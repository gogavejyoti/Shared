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lsanke\Desktop\WFMaaS\Checkr\ADHOC\"/>
    </mc:Choice>
  </mc:AlternateContent>
  <xr:revisionPtr revIDLastSave="0" documentId="13_ncr:1_{0A885304-0E30-40D3-9D2E-6566E4339FCF}" xr6:coauthVersionLast="47" xr6:coauthVersionMax="47" xr10:uidLastSave="{00000000-0000-0000-0000-000000000000}"/>
  <bookViews>
    <workbookView xWindow="-110" yWindow="-110" windowWidth="19420" windowHeight="11500" xr2:uid="{3C5CB513-CD88-4990-BE2E-4839024767DE}"/>
  </bookViews>
  <sheets>
    <sheet name="Volume &amp; Delivered Hours" sheetId="1" r:id="rId1"/>
    <sheet name="Schedule Adherence &amp; Conformanc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17" i="1" l="1"/>
  <c r="T16" i="1"/>
  <c r="T15" i="1"/>
  <c r="T14" i="1"/>
  <c r="T13" i="1"/>
  <c r="T12" i="1"/>
  <c r="AD9" i="1"/>
  <c r="AD8" i="1"/>
  <c r="AD7" i="1"/>
  <c r="AD6" i="1"/>
  <c r="AD5" i="1"/>
  <c r="AD4" i="1"/>
  <c r="Z9" i="1"/>
  <c r="Z8" i="1"/>
  <c r="Z7" i="1"/>
  <c r="Z6" i="1"/>
  <c r="Z5" i="1"/>
  <c r="Z4" i="1"/>
  <c r="U9" i="1"/>
  <c r="U8" i="1"/>
  <c r="U7" i="1"/>
  <c r="U6" i="1"/>
  <c r="U5" i="1"/>
  <c r="U4" i="1"/>
  <c r="Q5" i="2" l="1"/>
  <c r="Q6" i="2"/>
  <c r="Q7" i="2"/>
  <c r="Q8" i="2"/>
  <c r="Q9" i="2"/>
  <c r="Q10" i="2"/>
  <c r="Q11" i="2"/>
  <c r="Q12" i="2"/>
  <c r="Q13" i="2"/>
  <c r="Q14" i="2"/>
  <c r="Q15" i="2"/>
  <c r="Q4" i="2"/>
  <c r="P5" i="2"/>
  <c r="P6" i="2"/>
  <c r="P7" i="2"/>
  <c r="P8" i="2"/>
  <c r="P9" i="2"/>
  <c r="P10" i="2"/>
  <c r="P11" i="2"/>
  <c r="P12" i="2"/>
  <c r="P13" i="2"/>
  <c r="P14" i="2"/>
  <c r="P15" i="2"/>
  <c r="P4" i="2"/>
  <c r="E33" i="1"/>
  <c r="D33" i="1"/>
  <c r="C33" i="1"/>
  <c r="E32" i="1"/>
  <c r="D32" i="1"/>
  <c r="C32" i="1"/>
  <c r="E31" i="1"/>
  <c r="D31" i="1"/>
  <c r="C31" i="1"/>
  <c r="E30" i="1"/>
  <c r="D30" i="1"/>
  <c r="C30" i="1"/>
  <c r="E29" i="1"/>
  <c r="D29" i="1"/>
  <c r="C29" i="1"/>
  <c r="E28" i="1"/>
  <c r="D28" i="1"/>
  <c r="C28" i="1"/>
  <c r="E21" i="1"/>
  <c r="E22" i="1"/>
  <c r="E23" i="1"/>
  <c r="E24" i="1"/>
  <c r="E25" i="1"/>
  <c r="E41" i="1" s="1"/>
  <c r="E49" i="1" s="1"/>
  <c r="E20" i="1"/>
  <c r="D21" i="1"/>
  <c r="D22" i="1"/>
  <c r="D23" i="1"/>
  <c r="D24" i="1"/>
  <c r="D25" i="1"/>
  <c r="D20" i="1"/>
  <c r="C21" i="1"/>
  <c r="C37" i="1" s="1"/>
  <c r="C45" i="1" s="1"/>
  <c r="C22" i="1"/>
  <c r="C23" i="1"/>
  <c r="C24" i="1"/>
  <c r="C25" i="1"/>
  <c r="C41" i="1" s="1"/>
  <c r="C49" i="1" s="1"/>
  <c r="C20" i="1"/>
  <c r="K17" i="1"/>
  <c r="K13" i="1"/>
  <c r="K14" i="1"/>
  <c r="K15" i="1"/>
  <c r="K16" i="1"/>
  <c r="K12" i="1"/>
  <c r="F13" i="1"/>
  <c r="F14" i="1"/>
  <c r="F15" i="1"/>
  <c r="F16" i="1"/>
  <c r="F17" i="1"/>
  <c r="O17" i="1"/>
  <c r="O16" i="1"/>
  <c r="O15" i="1"/>
  <c r="O14" i="1"/>
  <c r="O13" i="1"/>
  <c r="O12" i="1"/>
  <c r="F12" i="1"/>
  <c r="O5" i="1"/>
  <c r="O6" i="1"/>
  <c r="O7" i="1"/>
  <c r="O8" i="1"/>
  <c r="O9" i="1"/>
  <c r="O4" i="1"/>
  <c r="K5" i="1"/>
  <c r="K6" i="1"/>
  <c r="K7" i="1"/>
  <c r="K8" i="1"/>
  <c r="K9" i="1"/>
  <c r="K4" i="1"/>
  <c r="F5" i="1"/>
  <c r="F6" i="1"/>
  <c r="F7" i="1"/>
  <c r="F8" i="1"/>
  <c r="F9" i="1"/>
  <c r="F4" i="1"/>
  <c r="D37" i="1" l="1"/>
  <c r="D45" i="1" s="1"/>
  <c r="F24" i="1"/>
  <c r="C39" i="1"/>
  <c r="C47" i="1" s="1"/>
  <c r="E37" i="1"/>
  <c r="E45" i="1" s="1"/>
  <c r="E39" i="1"/>
  <c r="E47" i="1" s="1"/>
  <c r="C38" i="1"/>
  <c r="C46" i="1" s="1"/>
  <c r="C40" i="1"/>
  <c r="C48" i="1" s="1"/>
  <c r="F23" i="1"/>
  <c r="D36" i="1"/>
  <c r="D44" i="1" s="1"/>
  <c r="F28" i="1"/>
  <c r="E40" i="1"/>
  <c r="E48" i="1" s="1"/>
  <c r="D39" i="1"/>
  <c r="D47" i="1" s="1"/>
  <c r="E38" i="1"/>
  <c r="E46" i="1" s="1"/>
  <c r="D38" i="1"/>
  <c r="D46" i="1" s="1"/>
  <c r="F33" i="1"/>
  <c r="F30" i="1"/>
  <c r="F21" i="1"/>
  <c r="F25" i="1"/>
  <c r="D41" i="1"/>
  <c r="D49" i="1" s="1"/>
  <c r="D40" i="1"/>
  <c r="D48" i="1" s="1"/>
  <c r="F20" i="1"/>
  <c r="E36" i="1"/>
  <c r="E44" i="1" s="1"/>
  <c r="F22" i="1"/>
  <c r="F32" i="1"/>
  <c r="F40" i="1" s="1"/>
  <c r="F29" i="1"/>
  <c r="F37" i="1" s="1"/>
  <c r="C36" i="1"/>
  <c r="C44" i="1" s="1"/>
  <c r="F31" i="1"/>
  <c r="F39" i="1" s="1"/>
  <c r="F38" i="1" l="1"/>
  <c r="F46" i="1" s="1"/>
  <c r="F36" i="1"/>
  <c r="F44" i="1" s="1"/>
  <c r="F41" i="1"/>
  <c r="F49" i="1" s="1"/>
  <c r="F47" i="1"/>
  <c r="F45" i="1"/>
  <c r="F48" i="1"/>
</calcChain>
</file>

<file path=xl/sharedStrings.xml><?xml version="1.0" encoding="utf-8"?>
<sst xmlns="http://schemas.openxmlformats.org/spreadsheetml/2006/main" count="105" uniqueCount="32">
  <si>
    <t>Handled Volume</t>
  </si>
  <si>
    <t>Voice</t>
  </si>
  <si>
    <t>Chat</t>
  </si>
  <si>
    <t>Email</t>
  </si>
  <si>
    <t>Total</t>
  </si>
  <si>
    <t>Delivered Hours</t>
  </si>
  <si>
    <t>CX</t>
  </si>
  <si>
    <t>CS</t>
  </si>
  <si>
    <t xml:space="preserve">CX Intl </t>
  </si>
  <si>
    <t>CPH</t>
  </si>
  <si>
    <t>AHT</t>
  </si>
  <si>
    <t>Schedule Adherence</t>
  </si>
  <si>
    <t>Shift Conformance</t>
  </si>
  <si>
    <t>Scheduling Metrics</t>
  </si>
  <si>
    <t>CX International</t>
  </si>
  <si>
    <t>Wk14</t>
  </si>
  <si>
    <t>Wk15</t>
  </si>
  <si>
    <t>Wk16</t>
  </si>
  <si>
    <t>Wk17</t>
  </si>
  <si>
    <t>Wk18</t>
  </si>
  <si>
    <t>Wk19</t>
  </si>
  <si>
    <t>Wk20</t>
  </si>
  <si>
    <t>Wk21</t>
  </si>
  <si>
    <t>Wk22</t>
  </si>
  <si>
    <t>Wk23</t>
  </si>
  <si>
    <t>Wk24</t>
  </si>
  <si>
    <t>Wk25</t>
  </si>
  <si>
    <t>Scheduled HC</t>
  </si>
  <si>
    <t>Headcount Scheduled</t>
  </si>
  <si>
    <t>Overall HC</t>
  </si>
  <si>
    <t>Month</t>
  </si>
  <si>
    <t>SL%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</si>
</sst>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1"/>
      <color rgb="FF000000"/>
      <name val="Calibri"/>
      <family val="2"/>
    </font>
    <font>
      <sz val="9"/>
      <color rgb="FF1A1A1A"/>
      <name val="Arial"/>
      <family val="2"/>
    </font>
    <font>
      <sz val="12"/>
      <color rgb="FF000000"/>
      <name val="Aptos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8F4F8"/>
        <bgColor indexed="64"/>
      </patternFill>
    </fill>
    <fill>
      <patternFill patternType="solid">
        <fgColor rgb="FFEEE8F5"/>
        <bgColor indexed="64"/>
      </patternFill>
    </fill>
    <fill>
      <patternFill patternType="solid">
        <fgColor rgb="FFEBF5EE"/>
        <bgColor indexed="64"/>
      </patternFill>
    </fill>
    <fill>
      <patternFill patternType="solid">
        <fgColor rgb="FFFFFFFF"/>
        <bgColor indexed="64"/>
      </patternFill>
    </fill>
  </fills>
  <borders count="41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3" fontId="4" fillId="3" borderId="2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3" fontId="4" fillId="3" borderId="4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8" xfId="0" applyNumberFormat="1" applyFont="1" applyBorder="1" applyAlignment="1">
      <alignment horizontal="center" vertical="center"/>
    </xf>
    <xf numFmtId="3" fontId="3" fillId="0" borderId="19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7" fontId="4" fillId="2" borderId="8" xfId="0" applyNumberFormat="1" applyFont="1" applyFill="1" applyBorder="1" applyAlignment="1">
      <alignment horizontal="center" vertical="center"/>
    </xf>
    <xf numFmtId="17" fontId="4" fillId="2" borderId="10" xfId="0" applyNumberFormat="1" applyFont="1" applyFill="1" applyBorder="1" applyAlignment="1">
      <alignment horizontal="center" vertical="center"/>
    </xf>
    <xf numFmtId="17" fontId="4" fillId="2" borderId="11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3" fontId="0" fillId="0" borderId="0" xfId="0" applyNumberFormat="1"/>
    <xf numFmtId="0" fontId="3" fillId="0" borderId="2" xfId="0" applyFont="1" applyBorder="1" applyAlignment="1">
      <alignment horizontal="center" vertical="center"/>
    </xf>
    <xf numFmtId="17" fontId="4" fillId="2" borderId="2" xfId="0" applyNumberFormat="1" applyFont="1" applyFill="1" applyBorder="1" applyAlignment="1">
      <alignment horizontal="center" vertical="center"/>
    </xf>
    <xf numFmtId="3" fontId="0" fillId="0" borderId="2" xfId="0" applyNumberFormat="1" applyBorder="1"/>
    <xf numFmtId="0" fontId="0" fillId="0" borderId="2" xfId="0" applyBorder="1"/>
    <xf numFmtId="1" fontId="0" fillId="0" borderId="0" xfId="0" applyNumberFormat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5" fillId="5" borderId="26" xfId="0" applyFont="1" applyFill="1" applyBorder="1" applyAlignment="1">
      <alignment vertical="center"/>
    </xf>
    <xf numFmtId="0" fontId="5" fillId="5" borderId="29" xfId="0" applyFont="1" applyFill="1" applyBorder="1" applyAlignment="1">
      <alignment vertical="center"/>
    </xf>
    <xf numFmtId="0" fontId="5" fillId="5" borderId="30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left" vertical="center"/>
    </xf>
    <xf numFmtId="0" fontId="5" fillId="0" borderId="0" xfId="0" applyFont="1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32" xfId="0" applyFont="1" applyFill="1" applyBorder="1" applyAlignment="1">
      <alignment horizontal="center" vertical="center"/>
    </xf>
    <xf numFmtId="1" fontId="4" fillId="4" borderId="15" xfId="0" applyNumberFormat="1" applyFont="1" applyFill="1" applyBorder="1" applyAlignment="1">
      <alignment horizontal="center" vertical="center"/>
    </xf>
    <xf numFmtId="1" fontId="4" fillId="4" borderId="16" xfId="0" applyNumberFormat="1" applyFont="1" applyFill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1" fontId="4" fillId="0" borderId="25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1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5" fillId="5" borderId="30" xfId="0" applyNumberFormat="1" applyFont="1" applyFill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9" fontId="0" fillId="0" borderId="0" xfId="0" applyNumberFormat="1"/>
    <xf numFmtId="0" fontId="0" fillId="0" borderId="2" xfId="0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9" fontId="4" fillId="0" borderId="36" xfId="0" applyNumberFormat="1" applyFont="1" applyBorder="1" applyAlignment="1">
      <alignment horizontal="center" vertical="center"/>
    </xf>
    <xf numFmtId="9" fontId="4" fillId="0" borderId="37" xfId="0" applyNumberFormat="1" applyFont="1" applyBorder="1" applyAlignment="1">
      <alignment horizontal="center" vertical="center"/>
    </xf>
    <xf numFmtId="10" fontId="6" fillId="5" borderId="38" xfId="0" applyNumberFormat="1" applyFont="1" applyFill="1" applyBorder="1" applyAlignment="1">
      <alignment horizontal="center" wrapText="1"/>
    </xf>
    <xf numFmtId="10" fontId="6" fillId="5" borderId="0" xfId="0" applyNumberFormat="1" applyFont="1" applyFill="1" applyAlignment="1">
      <alignment horizontal="center" wrapText="1"/>
    </xf>
    <xf numFmtId="10" fontId="6" fillId="5" borderId="39" xfId="0" applyNumberFormat="1" applyFont="1" applyFill="1" applyBorder="1" applyAlignment="1">
      <alignment horizontal="center" wrapText="1"/>
    </xf>
    <xf numFmtId="10" fontId="6" fillId="5" borderId="40" xfId="0" applyNumberFormat="1" applyFont="1" applyFill="1" applyBorder="1" applyAlignment="1">
      <alignment horizontal="center" wrapText="1"/>
    </xf>
    <xf numFmtId="9" fontId="4" fillId="3" borderId="4" xfId="0" applyNumberFormat="1" applyFont="1" applyFill="1" applyBorder="1" applyAlignment="1">
      <alignment horizontal="center" vertical="center"/>
    </xf>
    <xf numFmtId="9" fontId="4" fillId="0" borderId="4" xfId="0" applyNumberFormat="1" applyFont="1" applyBorder="1" applyAlignment="1">
      <alignment horizontal="center" vertical="center"/>
    </xf>
    <xf numFmtId="9" fontId="4" fillId="4" borderId="14" xfId="0" applyNumberFormat="1" applyFont="1" applyFill="1" applyBorder="1" applyAlignment="1">
      <alignment horizontal="center" vertical="center"/>
    </xf>
    <xf numFmtId="9" fontId="4" fillId="3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4" borderId="15" xfId="0" applyNumberFormat="1" applyFont="1" applyFill="1" applyBorder="1" applyAlignment="1">
      <alignment horizontal="center" vertical="center"/>
    </xf>
    <xf numFmtId="9" fontId="4" fillId="3" borderId="12" xfId="0" applyNumberFormat="1" applyFont="1" applyFill="1" applyBorder="1" applyAlignment="1">
      <alignment horizontal="center" vertical="center"/>
    </xf>
    <xf numFmtId="9" fontId="4" fillId="0" borderId="12" xfId="0" applyNumberFormat="1" applyFont="1" applyBorder="1" applyAlignment="1">
      <alignment horizontal="center" vertical="center"/>
    </xf>
    <xf numFmtId="9" fontId="4" fillId="4" borderId="16" xfId="0" applyNumberFormat="1" applyFont="1" applyFill="1" applyBorder="1" applyAlignment="1">
      <alignment horizontal="center" vertical="center"/>
    </xf>
    <xf numFmtId="9" fontId="3" fillId="0" borderId="17" xfId="0" applyNumberFormat="1" applyFont="1" applyBorder="1" applyAlignment="1">
      <alignment horizontal="center" vertical="center"/>
    </xf>
    <xf numFmtId="9" fontId="3" fillId="0" borderId="18" xfId="0" applyNumberFormat="1" applyFont="1" applyBorder="1" applyAlignment="1">
      <alignment horizontal="center" vertical="center"/>
    </xf>
    <xf numFmtId="9" fontId="3" fillId="0" borderId="19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Contacts/Hour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'Volume &amp; Delivered Hours'!$D$35</c:f>
              <c:strCache>
                <c:ptCount val="1"/>
                <c:pt idx="0">
                  <c:v>Chat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7222222222222221E-2"/>
                  <c:y val="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9F3-4CB3-AC9F-E26BF17E58DA}"/>
                </c:ext>
              </c:extLst>
            </c:dLbl>
            <c:dLbl>
              <c:idx val="5"/>
              <c:layout>
                <c:manualLayout>
                  <c:x val="-4.7222222222222325E-2"/>
                  <c:y val="-3.7037037037037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9F3-4CB3-AC9F-E26BF17E58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'Volume &amp; Delivered Hours'!$B$36:$B$41</c:f>
              <c:numCache>
                <c:formatCode>mmm\-yy</c:formatCode>
                <c:ptCount val="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</c:numCache>
            </c:numRef>
          </c:cat>
          <c:val>
            <c:numRef>
              <c:f>'Volume &amp; Delivered Hours'!$D$36:$D$41</c:f>
              <c:numCache>
                <c:formatCode>0.0</c:formatCode>
                <c:ptCount val="6"/>
                <c:pt idx="0">
                  <c:v>1.0287935441620719</c:v>
                </c:pt>
                <c:pt idx="1">
                  <c:v>1.8501922182227772</c:v>
                </c:pt>
                <c:pt idx="2">
                  <c:v>1.9310311503398514</c:v>
                </c:pt>
                <c:pt idx="3">
                  <c:v>2.2151490782745347</c:v>
                </c:pt>
                <c:pt idx="4">
                  <c:v>1.6867635644713368</c:v>
                </c:pt>
                <c:pt idx="5">
                  <c:v>2.1971796140524491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9F3-4CB3-AC9F-E26BF17E58DA}"/>
            </c:ext>
          </c:extLst>
        </c:ser>
        <c:ser>
          <c:idx val="1"/>
          <c:order val="1"/>
          <c:tx>
            <c:strRef>
              <c:f>'Volume &amp; Delivered Hours'!$E$35</c:f>
              <c:strCache>
                <c:ptCount val="1"/>
                <c:pt idx="0">
                  <c:v>Email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3333333333333333E-2"/>
                  <c:y val="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9F3-4CB3-AC9F-E26BF17E58DA}"/>
                </c:ext>
              </c:extLst>
            </c:dLbl>
            <c:dLbl>
              <c:idx val="5"/>
              <c:layout>
                <c:manualLayout>
                  <c:x val="-4.4444444444444446E-2"/>
                  <c:y val="-5.5555555555555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9F3-4CB3-AC9F-E26BF17E58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'Volume &amp; Delivered Hours'!$B$36:$B$41</c:f>
              <c:numCache>
                <c:formatCode>mmm\-yy</c:formatCode>
                <c:ptCount val="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</c:numCache>
            </c:numRef>
          </c:cat>
          <c:val>
            <c:numRef>
              <c:f>'Volume &amp; Delivered Hours'!$E$36:$E$41</c:f>
              <c:numCache>
                <c:formatCode>0.0</c:formatCode>
                <c:ptCount val="6"/>
                <c:pt idx="0">
                  <c:v>3.3381849878297478</c:v>
                </c:pt>
                <c:pt idx="1">
                  <c:v>3.8660683146325199</c:v>
                </c:pt>
                <c:pt idx="2">
                  <c:v>4.9146829679926212</c:v>
                </c:pt>
                <c:pt idx="3">
                  <c:v>5.1910990580386374</c:v>
                </c:pt>
                <c:pt idx="4">
                  <c:v>4.3986919824343325</c:v>
                </c:pt>
                <c:pt idx="5">
                  <c:v>6.4080173329928254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9F3-4CB3-AC9F-E26BF17E5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2269600"/>
        <c:axId val="302275360"/>
      </c:lineChart>
      <c:dateAx>
        <c:axId val="30226960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275360"/>
        <c:crosses val="autoZero"/>
        <c:auto val="1"/>
        <c:lblOffset val="100"/>
        <c:baseTimeUnit val="months"/>
      </c:dateAx>
      <c:valAx>
        <c:axId val="302275360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269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Volume vs. Delivered 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'Volume &amp; Delivered Hours'!$R$11</c:f>
              <c:strCache>
                <c:ptCount val="1"/>
                <c:pt idx="0">
                  <c:v>Handled Volume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6.6666666666666666E-2"/>
                  <c:y val="-6.48148148148148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02C-402D-8CC8-9DC0D4896FD8}"/>
                </c:ext>
              </c:extLst>
            </c:dLbl>
            <c:dLbl>
              <c:idx val="5"/>
              <c:layout>
                <c:manualLayout>
                  <c:x val="-4.4444444444444446E-2"/>
                  <c:y val="4.16666666666665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02C-402D-8CC8-9DC0D4896F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'Volume &amp; Delivered Hours'!$Q$12:$Q$17</c:f>
              <c:numCache>
                <c:formatCode>mmm\-yy</c:formatCode>
                <c:ptCount val="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</c:numCache>
            </c:numRef>
          </c:cat>
          <c:val>
            <c:numRef>
              <c:f>'Volume &amp; Delivered Hours'!$R$12:$R$17</c:f>
              <c:numCache>
                <c:formatCode>General</c:formatCode>
                <c:ptCount val="6"/>
                <c:pt idx="0">
                  <c:v>48468</c:v>
                </c:pt>
                <c:pt idx="1">
                  <c:v>54416</c:v>
                </c:pt>
                <c:pt idx="2">
                  <c:v>53374</c:v>
                </c:pt>
                <c:pt idx="3">
                  <c:v>55986</c:v>
                </c:pt>
                <c:pt idx="4">
                  <c:v>46896</c:v>
                </c:pt>
                <c:pt idx="5">
                  <c:v>40554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02C-402D-8CC8-9DC0D4896FD8}"/>
            </c:ext>
          </c:extLst>
        </c:ser>
        <c:ser>
          <c:idx val="1"/>
          <c:order val="1"/>
          <c:tx>
            <c:strRef>
              <c:f>'Volume &amp; Delivered Hours'!$S$11</c:f>
              <c:strCache>
                <c:ptCount val="1"/>
                <c:pt idx="0">
                  <c:v>Delivered Hours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7.5000000000000011E-2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02C-402D-8CC8-9DC0D4896FD8}"/>
                </c:ext>
              </c:extLst>
            </c:dLbl>
            <c:dLbl>
              <c:idx val="5"/>
              <c:layout>
                <c:manualLayout>
                  <c:x val="-3.6111111111111108E-2"/>
                  <c:y val="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02C-402D-8CC8-9DC0D4896F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'Volume &amp; Delivered Hours'!$Q$12:$Q$17</c:f>
              <c:numCache>
                <c:formatCode>mmm\-yy</c:formatCode>
                <c:ptCount val="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</c:numCache>
            </c:numRef>
          </c:cat>
          <c:val>
            <c:numRef>
              <c:f>'Volume &amp; Delivered Hours'!$S$12:$S$17</c:f>
              <c:numCache>
                <c:formatCode>0</c:formatCode>
                <c:ptCount val="6"/>
                <c:pt idx="0">
                  <c:v>19408.780000000002</c:v>
                </c:pt>
                <c:pt idx="1">
                  <c:v>17879.809999999998</c:v>
                </c:pt>
                <c:pt idx="2">
                  <c:v>15711.34</c:v>
                </c:pt>
                <c:pt idx="3">
                  <c:v>15304.970000000001</c:v>
                </c:pt>
                <c:pt idx="4">
                  <c:v>15248.419999999998</c:v>
                </c:pt>
                <c:pt idx="5">
                  <c:v>9369.2099999999991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02C-402D-8CC8-9DC0D4896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5429856"/>
        <c:axId val="735405856"/>
      </c:lineChart>
      <c:dateAx>
        <c:axId val="73542985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405856"/>
        <c:crosses val="autoZero"/>
        <c:auto val="1"/>
        <c:lblOffset val="100"/>
        <c:baseTimeUnit val="months"/>
      </c:dateAx>
      <c:valAx>
        <c:axId val="7354058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3542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384175</xdr:colOff>
      <xdr:row>18</xdr:row>
      <xdr:rowOff>38100</xdr:rowOff>
    </xdr:from>
    <xdr:to>
      <xdr:col>22</xdr:col>
      <xdr:colOff>269875</xdr:colOff>
      <xdr:row>32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4538D5-67E8-934E-4367-EFEFA4C942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111125</xdr:colOff>
      <xdr:row>17</xdr:row>
      <xdr:rowOff>184150</xdr:rowOff>
    </xdr:from>
    <xdr:to>
      <xdr:col>14</xdr:col>
      <xdr:colOff>66675</xdr:colOff>
      <xdr:row>32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78B1F2-B10E-9FA3-06C2-2D7045726E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C4C78-8E88-44A8-A7B0-1E9E6FD79715}">
  <dimension ref="B1:AD49"/>
  <sheetViews>
    <sheetView showGridLines="0" tabSelected="1" workbookViewId="0">
      <selection activeCell="Q35" sqref="Q35"/>
    </sheetView>
  </sheetViews>
  <sheetFormatPr defaultRowHeight="14.5" x14ac:dyDescent="0.35"/>
  <cols>
    <col min="1" max="1" width="2.81640625" customWidth="1"/>
    <col min="2" max="2" width="14.7265625" bestFit="1" customWidth="1"/>
    <col min="7" max="7" width="2.453125" customWidth="1"/>
    <col min="8" max="8" width="14.7265625" style="50" bestFit="1" customWidth="1"/>
    <col min="12" max="12" width="1.7265625" customWidth="1"/>
    <col min="13" max="13" width="14.7265625" bestFit="1" customWidth="1"/>
    <col min="17" max="17" width="14.7265625" bestFit="1" customWidth="1"/>
  </cols>
  <sheetData>
    <row r="1" spans="2:30" ht="15" thickBot="1" x14ac:dyDescent="0.4"/>
    <row r="2" spans="2:30" ht="15" thickBot="1" x14ac:dyDescent="0.4">
      <c r="B2" s="79" t="s">
        <v>6</v>
      </c>
      <c r="C2" s="80"/>
      <c r="D2" s="80"/>
      <c r="E2" s="80"/>
      <c r="F2" s="81"/>
      <c r="H2" s="82" t="s">
        <v>7</v>
      </c>
      <c r="I2" s="83"/>
      <c r="J2" s="83"/>
      <c r="K2" s="84"/>
      <c r="M2" s="76" t="s">
        <v>8</v>
      </c>
      <c r="N2" s="77"/>
      <c r="O2" s="78"/>
      <c r="Q2" s="79" t="s">
        <v>6</v>
      </c>
      <c r="R2" s="80"/>
      <c r="S2" s="80"/>
      <c r="T2" s="80"/>
      <c r="U2" s="81"/>
      <c r="W2" s="82" t="s">
        <v>7</v>
      </c>
      <c r="X2" s="83"/>
      <c r="Y2" s="83"/>
      <c r="Z2" s="84"/>
      <c r="AB2" s="76" t="s">
        <v>8</v>
      </c>
      <c r="AC2" s="77"/>
      <c r="AD2" s="78"/>
    </row>
    <row r="3" spans="2:30" ht="15" thickBot="1" x14ac:dyDescent="0.4">
      <c r="B3" s="19" t="s">
        <v>0</v>
      </c>
      <c r="C3" s="8" t="s">
        <v>1</v>
      </c>
      <c r="D3" s="8" t="s">
        <v>2</v>
      </c>
      <c r="E3" s="11" t="s">
        <v>3</v>
      </c>
      <c r="F3" s="15" t="s">
        <v>4</v>
      </c>
      <c r="H3" s="19" t="s">
        <v>0</v>
      </c>
      <c r="I3" s="8" t="s">
        <v>2</v>
      </c>
      <c r="J3" s="11" t="s">
        <v>3</v>
      </c>
      <c r="K3" s="15" t="s">
        <v>4</v>
      </c>
      <c r="M3" s="19" t="s">
        <v>0</v>
      </c>
      <c r="N3" s="11" t="s">
        <v>3</v>
      </c>
      <c r="O3" s="15" t="s">
        <v>4</v>
      </c>
      <c r="Q3" s="19" t="s">
        <v>0</v>
      </c>
      <c r="R3" s="8" t="s">
        <v>1</v>
      </c>
      <c r="S3" s="8" t="s">
        <v>2</v>
      </c>
      <c r="T3" s="11" t="s">
        <v>3</v>
      </c>
      <c r="U3" s="15" t="s">
        <v>4</v>
      </c>
      <c r="W3" s="19" t="s">
        <v>0</v>
      </c>
      <c r="X3" s="8" t="s">
        <v>2</v>
      </c>
      <c r="Y3" s="11" t="s">
        <v>3</v>
      </c>
      <c r="Z3" s="15" t="s">
        <v>4</v>
      </c>
      <c r="AB3" s="19" t="s">
        <v>0</v>
      </c>
      <c r="AC3" s="11" t="s">
        <v>3</v>
      </c>
      <c r="AD3" s="15" t="s">
        <v>4</v>
      </c>
    </row>
    <row r="4" spans="2:30" x14ac:dyDescent="0.35">
      <c r="B4" s="20">
        <v>46023</v>
      </c>
      <c r="C4" s="6">
        <v>1055</v>
      </c>
      <c r="D4" s="7">
        <v>4778</v>
      </c>
      <c r="E4" s="12">
        <v>17467</v>
      </c>
      <c r="F4" s="16">
        <f>SUM(C4,D4,E4)</f>
        <v>23300</v>
      </c>
      <c r="H4" s="20">
        <v>46023</v>
      </c>
      <c r="I4" s="7">
        <v>2040</v>
      </c>
      <c r="J4" s="12">
        <v>17467</v>
      </c>
      <c r="K4" s="16">
        <f>SUM(I4,J4)</f>
        <v>19507</v>
      </c>
      <c r="M4" s="20">
        <v>46023</v>
      </c>
      <c r="N4" s="12">
        <v>5661</v>
      </c>
      <c r="O4" s="16">
        <f>SUM(N4)</f>
        <v>5661</v>
      </c>
      <c r="Q4" s="20">
        <v>46023</v>
      </c>
      <c r="R4" s="64">
        <v>0.93179999999999996</v>
      </c>
      <c r="S4" s="65">
        <v>0.88949999999999996</v>
      </c>
      <c r="T4" s="66">
        <v>0.624</v>
      </c>
      <c r="U4" s="73">
        <f>SUM(C4*R4,D4*S4,E4*T4)/F4</f>
        <v>0.69238145922746774</v>
      </c>
      <c r="W4" s="20">
        <v>46023</v>
      </c>
      <c r="X4" s="65">
        <v>0.97</v>
      </c>
      <c r="Y4" s="66">
        <v>0.89739999999999998</v>
      </c>
      <c r="Z4" s="73">
        <f>SUM(X4*I4,Y4*J4)/K4</f>
        <v>0.90499235146357715</v>
      </c>
      <c r="AB4" s="20">
        <v>46023</v>
      </c>
      <c r="AC4" s="66">
        <v>0.70989999999999998</v>
      </c>
      <c r="AD4" s="73">
        <f>AC4</f>
        <v>0.70989999999999998</v>
      </c>
    </row>
    <row r="5" spans="2:30" x14ac:dyDescent="0.35">
      <c r="B5" s="21">
        <v>46054</v>
      </c>
      <c r="C5" s="3">
        <v>1291</v>
      </c>
      <c r="D5" s="4">
        <v>7614</v>
      </c>
      <c r="E5" s="13">
        <v>17501</v>
      </c>
      <c r="F5" s="17">
        <f t="shared" ref="F5:F9" si="0">SUM(C5,D5,E5)</f>
        <v>26406</v>
      </c>
      <c r="H5" s="21">
        <v>46054</v>
      </c>
      <c r="I5" s="4">
        <v>3720</v>
      </c>
      <c r="J5" s="13">
        <v>13988</v>
      </c>
      <c r="K5" s="17">
        <f t="shared" ref="K5:K9" si="1">SUM(I5,J5)</f>
        <v>17708</v>
      </c>
      <c r="M5" s="21">
        <v>46054</v>
      </c>
      <c r="N5" s="13">
        <v>10302</v>
      </c>
      <c r="O5" s="17">
        <f t="shared" ref="O5:O9" si="2">SUM(N5)</f>
        <v>10302</v>
      </c>
      <c r="Q5" s="21">
        <v>46054</v>
      </c>
      <c r="R5" s="67">
        <v>0.86709999999999998</v>
      </c>
      <c r="S5" s="68">
        <v>0.84260000000000002</v>
      </c>
      <c r="T5" s="69">
        <v>0.84230000000000005</v>
      </c>
      <c r="U5" s="74">
        <f t="shared" ref="U5:U9" si="3">SUM(C5*R5,D5*S5,E5*T5)/F5</f>
        <v>0.84359898507914877</v>
      </c>
      <c r="W5" s="21">
        <v>46054</v>
      </c>
      <c r="X5" s="68">
        <v>0.95320000000000005</v>
      </c>
      <c r="Y5" s="69">
        <v>0.88219999999999998</v>
      </c>
      <c r="Z5" s="74">
        <f t="shared" ref="Z5:Z9" si="4">SUM(X5*I5,Y5*J5)/K5</f>
        <v>0.89711529252315336</v>
      </c>
      <c r="AB5" s="21">
        <v>46054</v>
      </c>
      <c r="AC5" s="69">
        <v>0.69359999999999999</v>
      </c>
      <c r="AD5" s="74">
        <f t="shared" ref="AD5:AD9" si="5">AC5</f>
        <v>0.69359999999999999</v>
      </c>
    </row>
    <row r="6" spans="2:30" x14ac:dyDescent="0.35">
      <c r="B6" s="21">
        <v>46082</v>
      </c>
      <c r="C6" s="3">
        <v>1315</v>
      </c>
      <c r="D6" s="4">
        <v>8088</v>
      </c>
      <c r="E6" s="13">
        <v>17694</v>
      </c>
      <c r="F6" s="17">
        <f t="shared" si="0"/>
        <v>27097</v>
      </c>
      <c r="H6" s="21">
        <v>46082</v>
      </c>
      <c r="I6" s="4">
        <v>3901</v>
      </c>
      <c r="J6" s="13">
        <v>12662</v>
      </c>
      <c r="K6" s="17">
        <f t="shared" si="1"/>
        <v>16563</v>
      </c>
      <c r="M6" s="21">
        <v>46082</v>
      </c>
      <c r="N6" s="13">
        <v>9714</v>
      </c>
      <c r="O6" s="17">
        <f t="shared" si="2"/>
        <v>9714</v>
      </c>
      <c r="Q6" s="21">
        <v>46082</v>
      </c>
      <c r="R6" s="67">
        <v>0.90410000000000001</v>
      </c>
      <c r="S6" s="68">
        <v>0.86229999999999996</v>
      </c>
      <c r="T6" s="69">
        <v>0.91180000000000005</v>
      </c>
      <c r="U6" s="74">
        <f t="shared" si="3"/>
        <v>0.89665140421448863</v>
      </c>
      <c r="W6" s="21">
        <v>46082</v>
      </c>
      <c r="X6" s="68">
        <v>0.9486</v>
      </c>
      <c r="Y6" s="69">
        <v>0.89439999999999997</v>
      </c>
      <c r="Z6" s="74">
        <f t="shared" si="4"/>
        <v>0.90716545311839647</v>
      </c>
      <c r="AB6" s="21">
        <v>46082</v>
      </c>
      <c r="AC6" s="69">
        <v>0.84230000000000005</v>
      </c>
      <c r="AD6" s="74">
        <f t="shared" si="5"/>
        <v>0.84230000000000005</v>
      </c>
    </row>
    <row r="7" spans="2:30" x14ac:dyDescent="0.35">
      <c r="B7" s="21">
        <v>46113</v>
      </c>
      <c r="C7" s="3">
        <v>1278</v>
      </c>
      <c r="D7" s="4">
        <v>10536</v>
      </c>
      <c r="E7" s="13">
        <v>17455</v>
      </c>
      <c r="F7" s="17">
        <f t="shared" si="0"/>
        <v>29269</v>
      </c>
      <c r="H7" s="21">
        <v>46113</v>
      </c>
      <c r="I7" s="4">
        <v>3898</v>
      </c>
      <c r="J7" s="13">
        <v>12685</v>
      </c>
      <c r="K7" s="17">
        <f t="shared" si="1"/>
        <v>16583</v>
      </c>
      <c r="M7" s="21">
        <v>46113</v>
      </c>
      <c r="N7" s="13">
        <v>10134</v>
      </c>
      <c r="O7" s="17">
        <f t="shared" si="2"/>
        <v>10134</v>
      </c>
      <c r="Q7" s="21">
        <v>46113</v>
      </c>
      <c r="R7" s="67">
        <v>0.81240000000000001</v>
      </c>
      <c r="S7" s="68">
        <v>0.86429999999999996</v>
      </c>
      <c r="T7" s="69">
        <v>0.78800000000000003</v>
      </c>
      <c r="U7" s="74">
        <f t="shared" si="3"/>
        <v>0.8165312104957464</v>
      </c>
      <c r="W7" s="21">
        <v>46113</v>
      </c>
      <c r="X7" s="68">
        <v>0.93159999999999998</v>
      </c>
      <c r="Y7" s="69">
        <v>0.9254</v>
      </c>
      <c r="Z7" s="74">
        <f t="shared" si="4"/>
        <v>0.92685737200747753</v>
      </c>
      <c r="AB7" s="21">
        <v>46113</v>
      </c>
      <c r="AC7" s="69">
        <v>0.79490000000000005</v>
      </c>
      <c r="AD7" s="74">
        <f t="shared" si="5"/>
        <v>0.79490000000000005</v>
      </c>
    </row>
    <row r="8" spans="2:30" x14ac:dyDescent="0.35">
      <c r="B8" s="21">
        <v>46143</v>
      </c>
      <c r="C8" s="5">
        <v>549</v>
      </c>
      <c r="D8" s="4">
        <v>8838</v>
      </c>
      <c r="E8" s="13">
        <v>12812</v>
      </c>
      <c r="F8" s="17">
        <f t="shared" si="0"/>
        <v>22199</v>
      </c>
      <c r="H8" s="21">
        <v>46143</v>
      </c>
      <c r="I8" s="4">
        <v>2441</v>
      </c>
      <c r="J8" s="13">
        <v>8975</v>
      </c>
      <c r="K8" s="17">
        <f t="shared" si="1"/>
        <v>11416</v>
      </c>
      <c r="M8" s="21">
        <v>46143</v>
      </c>
      <c r="N8" s="13">
        <v>13281</v>
      </c>
      <c r="O8" s="17">
        <f t="shared" si="2"/>
        <v>13281</v>
      </c>
      <c r="Q8" s="21">
        <v>46143</v>
      </c>
      <c r="R8" s="67">
        <v>0.78249999999999997</v>
      </c>
      <c r="S8" s="68">
        <v>0.90439999999999998</v>
      </c>
      <c r="T8" s="69">
        <v>0.64610000000000001</v>
      </c>
      <c r="U8" s="74">
        <f t="shared" si="3"/>
        <v>0.75230924365962437</v>
      </c>
      <c r="W8" s="21">
        <v>46143</v>
      </c>
      <c r="X8" s="68">
        <v>0.86019999999999996</v>
      </c>
      <c r="Y8" s="69">
        <v>0.93269999999999997</v>
      </c>
      <c r="Z8" s="74">
        <f t="shared" si="4"/>
        <v>0.91719785388927821</v>
      </c>
      <c r="AB8" s="21">
        <v>46143</v>
      </c>
      <c r="AC8" s="69">
        <v>0.40489999999999998</v>
      </c>
      <c r="AD8" s="74">
        <f t="shared" si="5"/>
        <v>0.40489999999999998</v>
      </c>
    </row>
    <row r="9" spans="2:30" ht="15" thickBot="1" x14ac:dyDescent="0.4">
      <c r="B9" s="22">
        <v>46174</v>
      </c>
      <c r="C9" s="9">
        <v>559</v>
      </c>
      <c r="D9" s="10">
        <v>6498</v>
      </c>
      <c r="E9" s="14">
        <v>12984</v>
      </c>
      <c r="F9" s="18">
        <f t="shared" si="0"/>
        <v>20041</v>
      </c>
      <c r="H9" s="22">
        <v>46174</v>
      </c>
      <c r="I9" s="10">
        <v>2383</v>
      </c>
      <c r="J9" s="14">
        <v>8441</v>
      </c>
      <c r="K9" s="18">
        <f t="shared" si="1"/>
        <v>10824</v>
      </c>
      <c r="M9" s="22">
        <v>46174</v>
      </c>
      <c r="N9" s="14">
        <v>9689</v>
      </c>
      <c r="O9" s="18">
        <f t="shared" si="2"/>
        <v>9689</v>
      </c>
      <c r="Q9" s="22">
        <v>46174</v>
      </c>
      <c r="R9" s="70">
        <v>0.93049999999999999</v>
      </c>
      <c r="S9" s="71">
        <v>0.93879999999999997</v>
      </c>
      <c r="T9" s="72">
        <v>0.68640000000000001</v>
      </c>
      <c r="U9" s="75">
        <f t="shared" si="3"/>
        <v>0.77504563145551619</v>
      </c>
      <c r="W9" s="22">
        <v>46174</v>
      </c>
      <c r="X9" s="71">
        <v>0.70640000000000003</v>
      </c>
      <c r="Y9" s="72">
        <v>0.89810000000000001</v>
      </c>
      <c r="Z9" s="75">
        <f t="shared" si="4"/>
        <v>0.85589553769401328</v>
      </c>
      <c r="AB9" s="22">
        <v>46174</v>
      </c>
      <c r="AC9" s="72">
        <v>0.64749999999999996</v>
      </c>
      <c r="AD9" s="75">
        <f t="shared" si="5"/>
        <v>0.64749999999999996</v>
      </c>
    </row>
    <row r="10" spans="2:30" ht="16.5" thickBot="1" x14ac:dyDescent="0.45">
      <c r="B10" s="1"/>
      <c r="C10" s="2"/>
      <c r="D10" s="2"/>
      <c r="E10" s="2"/>
      <c r="F10" s="2"/>
    </row>
    <row r="11" spans="2:30" ht="15" thickBot="1" x14ac:dyDescent="0.4">
      <c r="B11" s="24" t="s">
        <v>5</v>
      </c>
      <c r="C11" s="8" t="s">
        <v>1</v>
      </c>
      <c r="D11" s="8" t="s">
        <v>2</v>
      </c>
      <c r="E11" s="11" t="s">
        <v>3</v>
      </c>
      <c r="F11" s="15" t="s">
        <v>4</v>
      </c>
      <c r="H11" s="24" t="s">
        <v>5</v>
      </c>
      <c r="I11" s="8" t="s">
        <v>2</v>
      </c>
      <c r="J11" s="11" t="s">
        <v>3</v>
      </c>
      <c r="K11" s="15" t="s">
        <v>4</v>
      </c>
      <c r="M11" s="24" t="s">
        <v>5</v>
      </c>
      <c r="N11" s="11" t="s">
        <v>3</v>
      </c>
      <c r="O11" s="15" t="s">
        <v>4</v>
      </c>
      <c r="Q11" s="55" t="s">
        <v>30</v>
      </c>
      <c r="R11" s="56" t="s">
        <v>0</v>
      </c>
      <c r="S11" s="56" t="s">
        <v>5</v>
      </c>
      <c r="T11" s="57" t="s">
        <v>31</v>
      </c>
    </row>
    <row r="12" spans="2:30" x14ac:dyDescent="0.35">
      <c r="B12" s="20">
        <v>46023</v>
      </c>
      <c r="C12" s="23">
        <v>620.79999999999995</v>
      </c>
      <c r="D12" s="7">
        <v>5362.45</v>
      </c>
      <c r="E12" s="13">
        <v>7187.97</v>
      </c>
      <c r="F12" s="25">
        <f>SUM(C12,D12,E12)</f>
        <v>13171.220000000001</v>
      </c>
      <c r="H12" s="20">
        <v>46023</v>
      </c>
      <c r="I12" s="47">
        <v>1264.73</v>
      </c>
      <c r="J12" s="43">
        <v>3533.88</v>
      </c>
      <c r="K12" s="45">
        <f>SUM(I12,J12)</f>
        <v>4798.6100000000006</v>
      </c>
      <c r="M12" s="20">
        <v>46023</v>
      </c>
      <c r="N12" s="43">
        <v>1438.95</v>
      </c>
      <c r="O12" s="45">
        <f>SUM(N12)</f>
        <v>1438.95</v>
      </c>
      <c r="Q12" s="21">
        <v>46023</v>
      </c>
      <c r="R12" s="4">
        <v>48468</v>
      </c>
      <c r="S12" s="48">
        <v>19408.780000000002</v>
      </c>
      <c r="T12" s="58">
        <f>SUM(U4*F4,Z4*K4,AD4*O4)/F20</f>
        <v>0.77999747668564823</v>
      </c>
      <c r="W12" s="60"/>
      <c r="X12" s="61"/>
      <c r="Y12" s="61"/>
      <c r="Z12" s="61"/>
      <c r="AA12" s="61"/>
      <c r="AB12" s="61"/>
    </row>
    <row r="13" spans="2:30" x14ac:dyDescent="0.35">
      <c r="B13" s="21">
        <v>46054</v>
      </c>
      <c r="C13" s="5">
        <v>944.27</v>
      </c>
      <c r="D13" s="4">
        <v>4608.7700000000004</v>
      </c>
      <c r="E13" s="13">
        <v>6751.85</v>
      </c>
      <c r="F13" s="25">
        <f t="shared" ref="F13:F17" si="6">SUM(C13,D13,E13)</f>
        <v>12304.890000000001</v>
      </c>
      <c r="H13" s="21">
        <v>46054</v>
      </c>
      <c r="I13" s="48">
        <v>1517.08</v>
      </c>
      <c r="J13" s="43">
        <v>2914.97</v>
      </c>
      <c r="K13" s="45">
        <f t="shared" ref="K13:K16" si="7">SUM(I13,J13)</f>
        <v>4432.0499999999993</v>
      </c>
      <c r="M13" s="21">
        <v>46054</v>
      </c>
      <c r="N13" s="43">
        <v>1142.8699999999999</v>
      </c>
      <c r="O13" s="45">
        <f t="shared" ref="O13:O17" si="8">SUM(N13)</f>
        <v>1142.8699999999999</v>
      </c>
      <c r="Q13" s="21">
        <v>46054</v>
      </c>
      <c r="R13" s="4">
        <v>54416</v>
      </c>
      <c r="S13" s="48">
        <v>17879.809999999998</v>
      </c>
      <c r="T13" s="58">
        <f t="shared" ref="T13:T17" si="9">SUM(U5*F5,Z5*K5,AD5*O5)/F21</f>
        <v>0.83261650249926489</v>
      </c>
      <c r="W13" s="60"/>
      <c r="X13" s="61"/>
      <c r="Y13" s="61"/>
      <c r="Z13" s="61"/>
      <c r="AA13" s="61"/>
      <c r="AB13" s="61"/>
    </row>
    <row r="14" spans="2:30" ht="15" thickBot="1" x14ac:dyDescent="0.4">
      <c r="B14" s="21">
        <v>46082</v>
      </c>
      <c r="C14" s="5">
        <v>1349.62</v>
      </c>
      <c r="D14" s="4">
        <v>4453.9799999999996</v>
      </c>
      <c r="E14" s="13">
        <v>4827.7700000000004</v>
      </c>
      <c r="F14" s="25">
        <f t="shared" si="6"/>
        <v>10631.369999999999</v>
      </c>
      <c r="H14" s="21">
        <v>46082</v>
      </c>
      <c r="I14" s="48">
        <v>1754.62</v>
      </c>
      <c r="J14" s="43">
        <v>2025.03</v>
      </c>
      <c r="K14" s="45">
        <f t="shared" si="7"/>
        <v>3779.6499999999996</v>
      </c>
      <c r="M14" s="21">
        <v>46082</v>
      </c>
      <c r="N14" s="43">
        <v>1300.32</v>
      </c>
      <c r="O14" s="45">
        <f t="shared" si="8"/>
        <v>1300.32</v>
      </c>
      <c r="Q14" s="21">
        <v>46082</v>
      </c>
      <c r="R14" s="4">
        <v>53374</v>
      </c>
      <c r="S14" s="48">
        <v>15711.34</v>
      </c>
      <c r="T14" s="58">
        <f t="shared" si="9"/>
        <v>0.8900222336718252</v>
      </c>
      <c r="W14" s="62"/>
      <c r="X14" s="63"/>
      <c r="Y14" s="63"/>
      <c r="Z14" s="63"/>
      <c r="AA14" s="63"/>
      <c r="AB14" s="63"/>
    </row>
    <row r="15" spans="2:30" x14ac:dyDescent="0.35">
      <c r="B15" s="21">
        <v>46113</v>
      </c>
      <c r="C15" s="5">
        <v>1030.6500000000001</v>
      </c>
      <c r="D15" s="4">
        <v>4818.72</v>
      </c>
      <c r="E15" s="13">
        <v>4369.58</v>
      </c>
      <c r="F15" s="25">
        <f t="shared" si="6"/>
        <v>10218.950000000001</v>
      </c>
      <c r="H15" s="21">
        <v>46113</v>
      </c>
      <c r="I15" s="48">
        <v>1697.32</v>
      </c>
      <c r="J15" s="43">
        <v>1990.2</v>
      </c>
      <c r="K15" s="45">
        <f t="shared" si="7"/>
        <v>3687.52</v>
      </c>
      <c r="M15" s="21">
        <v>46113</v>
      </c>
      <c r="N15" s="43">
        <v>1398.5</v>
      </c>
      <c r="O15" s="45">
        <f t="shared" si="8"/>
        <v>1398.5</v>
      </c>
      <c r="Q15" s="21">
        <v>46113</v>
      </c>
      <c r="R15" s="4">
        <v>55986</v>
      </c>
      <c r="S15" s="48">
        <v>15304.970000000001</v>
      </c>
      <c r="T15" s="58">
        <f t="shared" si="9"/>
        <v>0.84529425927910562</v>
      </c>
    </row>
    <row r="16" spans="2:30" x14ac:dyDescent="0.35">
      <c r="B16" s="21">
        <v>46143</v>
      </c>
      <c r="C16" s="5">
        <v>589.28</v>
      </c>
      <c r="D16" s="4">
        <v>5219.07</v>
      </c>
      <c r="E16" s="13">
        <v>3595.57</v>
      </c>
      <c r="F16" s="25">
        <f t="shared" si="6"/>
        <v>9403.92</v>
      </c>
      <c r="H16" s="21">
        <v>46143</v>
      </c>
      <c r="I16" s="48">
        <v>1467.7</v>
      </c>
      <c r="J16" s="43">
        <v>1455.25</v>
      </c>
      <c r="K16" s="45">
        <f t="shared" si="7"/>
        <v>2922.95</v>
      </c>
      <c r="M16" s="21">
        <v>46143</v>
      </c>
      <c r="N16" s="43">
        <v>2921.55</v>
      </c>
      <c r="O16" s="45">
        <f t="shared" si="8"/>
        <v>2921.55</v>
      </c>
      <c r="Q16" s="21">
        <v>46143</v>
      </c>
      <c r="R16" s="4">
        <v>46896</v>
      </c>
      <c r="S16" s="48">
        <v>15248.419999999998</v>
      </c>
      <c r="T16" s="58">
        <f t="shared" si="9"/>
        <v>0.69406176432958044</v>
      </c>
    </row>
    <row r="17" spans="2:20" ht="15" thickBot="1" x14ac:dyDescent="0.4">
      <c r="B17" s="22">
        <v>46174</v>
      </c>
      <c r="C17" s="9">
        <v>471.73</v>
      </c>
      <c r="D17" s="10">
        <v>3163.18</v>
      </c>
      <c r="E17" s="14">
        <v>2636.43</v>
      </c>
      <c r="F17" s="26">
        <f t="shared" si="6"/>
        <v>6271.34</v>
      </c>
      <c r="H17" s="22">
        <v>46174</v>
      </c>
      <c r="I17" s="49">
        <v>878.82</v>
      </c>
      <c r="J17" s="44">
        <v>1002.05</v>
      </c>
      <c r="K17" s="46">
        <f>SUM(I17,J17)</f>
        <v>1880.87</v>
      </c>
      <c r="M17" s="22">
        <v>46174</v>
      </c>
      <c r="N17" s="44">
        <v>1217</v>
      </c>
      <c r="O17" s="46">
        <f t="shared" si="8"/>
        <v>1217</v>
      </c>
      <c r="Q17" s="22">
        <v>46174</v>
      </c>
      <c r="R17" s="10">
        <v>40554</v>
      </c>
      <c r="S17" s="49">
        <v>9369.2099999999991</v>
      </c>
      <c r="T17" s="59">
        <f t="shared" si="9"/>
        <v>0.76615205158554023</v>
      </c>
    </row>
    <row r="18" spans="2:20" ht="16" x14ac:dyDescent="0.4">
      <c r="Q18" s="38"/>
    </row>
    <row r="19" spans="2:20" x14ac:dyDescent="0.35">
      <c r="B19" s="28" t="s">
        <v>0</v>
      </c>
      <c r="C19" s="28" t="s">
        <v>1</v>
      </c>
      <c r="D19" s="28" t="s">
        <v>2</v>
      </c>
      <c r="E19" s="28" t="s">
        <v>3</v>
      </c>
      <c r="F19" s="28" t="s">
        <v>4</v>
      </c>
    </row>
    <row r="20" spans="2:20" x14ac:dyDescent="0.35">
      <c r="B20" s="29">
        <v>46023</v>
      </c>
      <c r="C20" s="30">
        <f>C4</f>
        <v>1055</v>
      </c>
      <c r="D20" s="31">
        <f>SUM(D4,I4,)</f>
        <v>6818</v>
      </c>
      <c r="E20" s="31">
        <f>SUM(E4,J4,N4)</f>
        <v>40595</v>
      </c>
      <c r="F20" s="30">
        <f>SUM(C20:E20)</f>
        <v>48468</v>
      </c>
    </row>
    <row r="21" spans="2:20" x14ac:dyDescent="0.35">
      <c r="B21" s="29">
        <v>46054</v>
      </c>
      <c r="C21" s="30">
        <f t="shared" ref="C21:C25" si="10">C5</f>
        <v>1291</v>
      </c>
      <c r="D21" s="31">
        <f t="shared" ref="D21:D25" si="11">SUM(D5,I5,)</f>
        <v>11334</v>
      </c>
      <c r="E21" s="31">
        <f t="shared" ref="E21:E25" si="12">SUM(E5,J5,N5)</f>
        <v>41791</v>
      </c>
      <c r="F21" s="30">
        <f t="shared" ref="F21:F25" si="13">SUM(C21:E21)</f>
        <v>54416</v>
      </c>
    </row>
    <row r="22" spans="2:20" x14ac:dyDescent="0.35">
      <c r="B22" s="29">
        <v>46082</v>
      </c>
      <c r="C22" s="30">
        <f t="shared" si="10"/>
        <v>1315</v>
      </c>
      <c r="D22" s="31">
        <f t="shared" si="11"/>
        <v>11989</v>
      </c>
      <c r="E22" s="31">
        <f t="shared" si="12"/>
        <v>40070</v>
      </c>
      <c r="F22" s="30">
        <f t="shared" si="13"/>
        <v>53374</v>
      </c>
    </row>
    <row r="23" spans="2:20" x14ac:dyDescent="0.35">
      <c r="B23" s="29">
        <v>46113</v>
      </c>
      <c r="C23" s="30">
        <f t="shared" si="10"/>
        <v>1278</v>
      </c>
      <c r="D23" s="31">
        <f t="shared" si="11"/>
        <v>14434</v>
      </c>
      <c r="E23" s="31">
        <f t="shared" si="12"/>
        <v>40274</v>
      </c>
      <c r="F23" s="30">
        <f t="shared" si="13"/>
        <v>55986</v>
      </c>
    </row>
    <row r="24" spans="2:20" x14ac:dyDescent="0.35">
      <c r="B24" s="29">
        <v>46143</v>
      </c>
      <c r="C24" s="30">
        <f t="shared" si="10"/>
        <v>549</v>
      </c>
      <c r="D24" s="31">
        <f t="shared" si="11"/>
        <v>11279</v>
      </c>
      <c r="E24" s="31">
        <f t="shared" si="12"/>
        <v>35068</v>
      </c>
      <c r="F24" s="30">
        <f t="shared" si="13"/>
        <v>46896</v>
      </c>
    </row>
    <row r="25" spans="2:20" x14ac:dyDescent="0.35">
      <c r="B25" s="29">
        <v>46174</v>
      </c>
      <c r="C25" s="30">
        <f t="shared" si="10"/>
        <v>559</v>
      </c>
      <c r="D25" s="31">
        <f t="shared" si="11"/>
        <v>8881</v>
      </c>
      <c r="E25" s="31">
        <f t="shared" si="12"/>
        <v>31114</v>
      </c>
      <c r="F25" s="30">
        <f t="shared" si="13"/>
        <v>40554</v>
      </c>
    </row>
    <row r="26" spans="2:20" x14ac:dyDescent="0.35">
      <c r="C26" s="27"/>
    </row>
    <row r="27" spans="2:20" x14ac:dyDescent="0.35">
      <c r="B27" s="28" t="s">
        <v>5</v>
      </c>
      <c r="C27" s="28" t="s">
        <v>1</v>
      </c>
      <c r="D27" s="28" t="s">
        <v>2</v>
      </c>
      <c r="E27" s="28" t="s">
        <v>3</v>
      </c>
      <c r="F27" s="28" t="s">
        <v>4</v>
      </c>
    </row>
    <row r="28" spans="2:20" x14ac:dyDescent="0.35">
      <c r="B28" s="29">
        <v>46023</v>
      </c>
      <c r="C28" s="52">
        <f t="shared" ref="C28:C33" si="14">C12</f>
        <v>620.79999999999995</v>
      </c>
      <c r="D28" s="52">
        <f t="shared" ref="D28:D33" si="15">SUM(D12,I12,)</f>
        <v>6627.18</v>
      </c>
      <c r="E28" s="52">
        <f t="shared" ref="E28:E33" si="16">SUM(E12,J12,N12)</f>
        <v>12160.800000000001</v>
      </c>
      <c r="F28" s="52">
        <f t="shared" ref="F28:F33" si="17">SUM(C28:E28)</f>
        <v>19408.780000000002</v>
      </c>
    </row>
    <row r="29" spans="2:20" x14ac:dyDescent="0.35">
      <c r="B29" s="29">
        <v>46054</v>
      </c>
      <c r="C29" s="52">
        <f t="shared" si="14"/>
        <v>944.27</v>
      </c>
      <c r="D29" s="52">
        <f t="shared" si="15"/>
        <v>6125.85</v>
      </c>
      <c r="E29" s="52">
        <f t="shared" si="16"/>
        <v>10809.689999999999</v>
      </c>
      <c r="F29" s="52">
        <f t="shared" si="17"/>
        <v>17879.809999999998</v>
      </c>
    </row>
    <row r="30" spans="2:20" x14ac:dyDescent="0.35">
      <c r="B30" s="29">
        <v>46082</v>
      </c>
      <c r="C30" s="52">
        <f t="shared" si="14"/>
        <v>1349.62</v>
      </c>
      <c r="D30" s="52">
        <f t="shared" si="15"/>
        <v>6208.5999999999995</v>
      </c>
      <c r="E30" s="52">
        <f t="shared" si="16"/>
        <v>8153.12</v>
      </c>
      <c r="F30" s="52">
        <f t="shared" si="17"/>
        <v>15711.34</v>
      </c>
    </row>
    <row r="31" spans="2:20" x14ac:dyDescent="0.35">
      <c r="B31" s="29">
        <v>46113</v>
      </c>
      <c r="C31" s="52">
        <f t="shared" si="14"/>
        <v>1030.6500000000001</v>
      </c>
      <c r="D31" s="52">
        <f t="shared" si="15"/>
        <v>6516.04</v>
      </c>
      <c r="E31" s="52">
        <f t="shared" si="16"/>
        <v>7758.28</v>
      </c>
      <c r="F31" s="52">
        <f t="shared" si="17"/>
        <v>15304.970000000001</v>
      </c>
    </row>
    <row r="32" spans="2:20" x14ac:dyDescent="0.35">
      <c r="B32" s="29">
        <v>46143</v>
      </c>
      <c r="C32" s="52">
        <f t="shared" si="14"/>
        <v>589.28</v>
      </c>
      <c r="D32" s="52">
        <f t="shared" si="15"/>
        <v>6686.7699999999995</v>
      </c>
      <c r="E32" s="52">
        <f t="shared" si="16"/>
        <v>7972.37</v>
      </c>
      <c r="F32" s="52">
        <f t="shared" si="17"/>
        <v>15248.419999999998</v>
      </c>
    </row>
    <row r="33" spans="2:7" x14ac:dyDescent="0.35">
      <c r="B33" s="29">
        <v>46174</v>
      </c>
      <c r="C33" s="52">
        <f t="shared" si="14"/>
        <v>471.73</v>
      </c>
      <c r="D33" s="52">
        <f t="shared" si="15"/>
        <v>4042</v>
      </c>
      <c r="E33" s="52">
        <f t="shared" si="16"/>
        <v>4855.4799999999996</v>
      </c>
      <c r="F33" s="52">
        <f t="shared" si="17"/>
        <v>9369.2099999999991</v>
      </c>
    </row>
    <row r="35" spans="2:7" x14ac:dyDescent="0.35">
      <c r="B35" s="54" t="s">
        <v>9</v>
      </c>
      <c r="C35" s="28" t="s">
        <v>1</v>
      </c>
      <c r="D35" s="28" t="s">
        <v>2</v>
      </c>
      <c r="E35" s="28" t="s">
        <v>3</v>
      </c>
      <c r="F35" s="28" t="s">
        <v>4</v>
      </c>
    </row>
    <row r="36" spans="2:7" x14ac:dyDescent="0.35">
      <c r="B36" s="29">
        <v>46023</v>
      </c>
      <c r="C36" s="33">
        <f t="shared" ref="C36:F41" si="18">C20/C28</f>
        <v>1.6994201030927836</v>
      </c>
      <c r="D36" s="33">
        <f t="shared" si="18"/>
        <v>1.0287935441620719</v>
      </c>
      <c r="E36" s="33">
        <f t="shared" si="18"/>
        <v>3.3381849878297478</v>
      </c>
      <c r="F36" s="33">
        <f t="shared" si="18"/>
        <v>2.4972203301804643</v>
      </c>
    </row>
    <row r="37" spans="2:7" x14ac:dyDescent="0.35">
      <c r="B37" s="29">
        <v>46054</v>
      </c>
      <c r="C37" s="33">
        <f t="shared" si="18"/>
        <v>1.3671937051902527</v>
      </c>
      <c r="D37" s="33">
        <f t="shared" si="18"/>
        <v>1.8501922182227772</v>
      </c>
      <c r="E37" s="33">
        <f t="shared" si="18"/>
        <v>3.8660683146325199</v>
      </c>
      <c r="F37" s="33">
        <f t="shared" si="18"/>
        <v>3.0434327881560268</v>
      </c>
    </row>
    <row r="38" spans="2:7" x14ac:dyDescent="0.35">
      <c r="B38" s="29">
        <v>46082</v>
      </c>
      <c r="C38" s="33">
        <f t="shared" si="18"/>
        <v>0.97434833508691343</v>
      </c>
      <c r="D38" s="33">
        <f t="shared" si="18"/>
        <v>1.9310311503398514</v>
      </c>
      <c r="E38" s="33">
        <f t="shared" si="18"/>
        <v>4.9146829679926212</v>
      </c>
      <c r="F38" s="33">
        <f t="shared" si="18"/>
        <v>3.3971640865769563</v>
      </c>
    </row>
    <row r="39" spans="2:7" x14ac:dyDescent="0.35">
      <c r="B39" s="29">
        <v>46113</v>
      </c>
      <c r="C39" s="33">
        <f t="shared" si="18"/>
        <v>1.2399941784310871</v>
      </c>
      <c r="D39" s="33">
        <f t="shared" si="18"/>
        <v>2.2151490782745347</v>
      </c>
      <c r="E39" s="33">
        <f t="shared" si="18"/>
        <v>5.1910990580386374</v>
      </c>
      <c r="F39" s="33">
        <f t="shared" si="18"/>
        <v>3.6580274250782585</v>
      </c>
    </row>
    <row r="40" spans="2:7" x14ac:dyDescent="0.35">
      <c r="B40" s="29">
        <v>46143</v>
      </c>
      <c r="C40" s="33">
        <f t="shared" si="18"/>
        <v>0.93164539777355426</v>
      </c>
      <c r="D40" s="33">
        <f t="shared" si="18"/>
        <v>1.6867635644713368</v>
      </c>
      <c r="E40" s="33">
        <f t="shared" si="18"/>
        <v>4.3986919824343325</v>
      </c>
      <c r="F40" s="33">
        <f t="shared" si="18"/>
        <v>3.075466179446789</v>
      </c>
    </row>
    <row r="41" spans="2:7" x14ac:dyDescent="0.35">
      <c r="B41" s="29">
        <v>46174</v>
      </c>
      <c r="C41" s="33">
        <f t="shared" si="18"/>
        <v>1.1849998940071651</v>
      </c>
      <c r="D41" s="33">
        <f t="shared" si="18"/>
        <v>2.1971796140524491</v>
      </c>
      <c r="E41" s="33">
        <f t="shared" si="18"/>
        <v>6.4080173329928254</v>
      </c>
      <c r="F41" s="33">
        <f t="shared" si="18"/>
        <v>4.328433240369252</v>
      </c>
    </row>
    <row r="42" spans="2:7" x14ac:dyDescent="0.35">
      <c r="C42" s="32"/>
      <c r="D42" s="32"/>
      <c r="E42" s="32"/>
      <c r="F42" s="32"/>
    </row>
    <row r="43" spans="2:7" x14ac:dyDescent="0.35">
      <c r="B43" s="31" t="s">
        <v>10</v>
      </c>
      <c r="C43" s="28" t="s">
        <v>1</v>
      </c>
      <c r="D43" s="28" t="s">
        <v>2</v>
      </c>
      <c r="E43" s="28" t="s">
        <v>3</v>
      </c>
      <c r="F43" s="28" t="s">
        <v>4</v>
      </c>
    </row>
    <row r="44" spans="2:7" x14ac:dyDescent="0.35">
      <c r="B44" s="29">
        <v>46023</v>
      </c>
      <c r="C44" s="33">
        <f t="shared" ref="C44:F49" si="19">60/C36</f>
        <v>35.306161137440753</v>
      </c>
      <c r="D44" s="33">
        <f t="shared" si="19"/>
        <v>58.320739219712529</v>
      </c>
      <c r="E44" s="33">
        <f t="shared" si="19"/>
        <v>17.973839142751572</v>
      </c>
      <c r="F44" s="33">
        <f t="shared" si="19"/>
        <v>24.026714533300325</v>
      </c>
      <c r="G44" s="39"/>
    </row>
    <row r="45" spans="2:7" x14ac:dyDescent="0.35">
      <c r="B45" s="29">
        <v>46054</v>
      </c>
      <c r="C45" s="33">
        <f t="shared" si="19"/>
        <v>43.885515104570104</v>
      </c>
      <c r="D45" s="33">
        <f t="shared" si="19"/>
        <v>32.429062996294334</v>
      </c>
      <c r="E45" s="33">
        <f t="shared" si="19"/>
        <v>15.519642985331769</v>
      </c>
      <c r="F45" s="33">
        <f t="shared" si="19"/>
        <v>19.714580270508669</v>
      </c>
      <c r="G45" s="39"/>
    </row>
    <row r="46" spans="2:7" x14ac:dyDescent="0.35">
      <c r="B46" s="29">
        <v>46082</v>
      </c>
      <c r="C46" s="33">
        <f t="shared" si="19"/>
        <v>61.579619771863115</v>
      </c>
      <c r="D46" s="33">
        <f t="shared" si="19"/>
        <v>31.071482192009338</v>
      </c>
      <c r="E46" s="33">
        <f t="shared" si="19"/>
        <v>12.20831544796606</v>
      </c>
      <c r="F46" s="33">
        <f t="shared" si="19"/>
        <v>17.661790384831566</v>
      </c>
      <c r="G46" s="39"/>
    </row>
    <row r="47" spans="2:7" x14ac:dyDescent="0.35">
      <c r="B47" s="29">
        <v>46113</v>
      </c>
      <c r="C47" s="33">
        <f t="shared" si="19"/>
        <v>48.387323943661976</v>
      </c>
      <c r="D47" s="33">
        <f t="shared" si="19"/>
        <v>27.086213107939589</v>
      </c>
      <c r="E47" s="33">
        <f t="shared" si="19"/>
        <v>11.55824601479863</v>
      </c>
      <c r="F47" s="33">
        <f t="shared" si="19"/>
        <v>16.402282713535527</v>
      </c>
      <c r="G47" s="39"/>
    </row>
    <row r="48" spans="2:7" x14ac:dyDescent="0.35">
      <c r="B48" s="29">
        <v>46143</v>
      </c>
      <c r="C48" s="33">
        <f t="shared" si="19"/>
        <v>64.402185792349727</v>
      </c>
      <c r="D48" s="33">
        <f t="shared" si="19"/>
        <v>35.571078996364925</v>
      </c>
      <c r="E48" s="33">
        <f t="shared" si="19"/>
        <v>13.640418615261778</v>
      </c>
      <c r="F48" s="33">
        <f t="shared" si="19"/>
        <v>19.509237461617193</v>
      </c>
      <c r="G48" s="39"/>
    </row>
    <row r="49" spans="2:7" x14ac:dyDescent="0.35">
      <c r="B49" s="29">
        <v>46174</v>
      </c>
      <c r="C49" s="33">
        <f t="shared" si="19"/>
        <v>50.632915921288017</v>
      </c>
      <c r="D49" s="33">
        <f t="shared" si="19"/>
        <v>27.307735615358634</v>
      </c>
      <c r="E49" s="33">
        <f t="shared" si="19"/>
        <v>9.3632705534486078</v>
      </c>
      <c r="F49" s="33">
        <f t="shared" si="19"/>
        <v>13.861828672880604</v>
      </c>
      <c r="G49" s="39"/>
    </row>
  </sheetData>
  <mergeCells count="6">
    <mergeCell ref="AB2:AD2"/>
    <mergeCell ref="B2:F2"/>
    <mergeCell ref="H2:K2"/>
    <mergeCell ref="M2:O2"/>
    <mergeCell ref="Q2:U2"/>
    <mergeCell ref="W2:Z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52011-88EF-473E-B47B-4CC0CED5C0F3}">
  <dimension ref="B2:Q16"/>
  <sheetViews>
    <sheetView workbookViewId="0">
      <selection activeCell="A4" sqref="A4"/>
    </sheetView>
  </sheetViews>
  <sheetFormatPr defaultRowHeight="14.5" x14ac:dyDescent="0.35"/>
  <cols>
    <col min="1" max="1" width="2.453125" customWidth="1"/>
    <col min="5" max="5" width="16.36328125" bestFit="1" customWidth="1"/>
    <col min="8" max="8" width="16.36328125" bestFit="1" customWidth="1"/>
    <col min="9" max="9" width="2.08984375" customWidth="1"/>
    <col min="10" max="10" width="14.7265625" bestFit="1" customWidth="1"/>
    <col min="13" max="13" width="16.36328125" bestFit="1" customWidth="1"/>
    <col min="14" max="14" width="11.36328125" bestFit="1" customWidth="1"/>
  </cols>
  <sheetData>
    <row r="2" spans="2:17" ht="16" x14ac:dyDescent="0.35">
      <c r="B2" s="34"/>
      <c r="C2" s="85" t="s">
        <v>11</v>
      </c>
      <c r="D2" s="86"/>
      <c r="E2" s="87"/>
      <c r="F2" s="85" t="s">
        <v>12</v>
      </c>
      <c r="G2" s="86"/>
      <c r="H2" s="87"/>
      <c r="J2" s="88" t="s">
        <v>28</v>
      </c>
      <c r="K2" s="88"/>
      <c r="L2" s="88"/>
      <c r="M2" s="88"/>
      <c r="N2" s="88"/>
    </row>
    <row r="3" spans="2:17" ht="16" x14ac:dyDescent="0.35">
      <c r="B3" s="35" t="s">
        <v>13</v>
      </c>
      <c r="C3" s="36" t="s">
        <v>7</v>
      </c>
      <c r="D3" s="36" t="s">
        <v>6</v>
      </c>
      <c r="E3" s="36" t="s">
        <v>14</v>
      </c>
      <c r="F3" s="36" t="s">
        <v>7</v>
      </c>
      <c r="G3" s="36" t="s">
        <v>6</v>
      </c>
      <c r="H3" s="36" t="s">
        <v>14</v>
      </c>
      <c r="J3" s="35" t="s">
        <v>27</v>
      </c>
      <c r="K3" s="36" t="s">
        <v>7</v>
      </c>
      <c r="L3" s="36" t="s">
        <v>6</v>
      </c>
      <c r="M3" s="42" t="s">
        <v>14</v>
      </c>
      <c r="N3" s="41" t="s">
        <v>29</v>
      </c>
    </row>
    <row r="4" spans="2:17" ht="16" x14ac:dyDescent="0.35">
      <c r="B4" s="37" t="s">
        <v>15</v>
      </c>
      <c r="C4" s="51">
        <v>0.65</v>
      </c>
      <c r="D4" s="51">
        <v>0.64</v>
      </c>
      <c r="E4" s="51">
        <v>0.68</v>
      </c>
      <c r="F4" s="51">
        <v>0.77</v>
      </c>
      <c r="G4" s="51">
        <v>0.56999999999999995</v>
      </c>
      <c r="H4" s="51">
        <v>0.79</v>
      </c>
      <c r="J4" s="37" t="s">
        <v>15</v>
      </c>
      <c r="K4" s="36">
        <v>40</v>
      </c>
      <c r="L4" s="36">
        <v>68</v>
      </c>
      <c r="M4" s="36">
        <v>21</v>
      </c>
      <c r="N4" s="36">
        <v>129</v>
      </c>
      <c r="P4" s="53">
        <f>SUM(C4*K4,D4*L4,E4*M4)/N4</f>
        <v>0.64961240310077528</v>
      </c>
      <c r="Q4" s="53">
        <f>SUM(F4*K4,G4*L4,H4*M4)/N4</f>
        <v>0.66782945736434118</v>
      </c>
    </row>
    <row r="5" spans="2:17" ht="16" x14ac:dyDescent="0.35">
      <c r="B5" s="37" t="s">
        <v>16</v>
      </c>
      <c r="C5" s="51">
        <v>0.85</v>
      </c>
      <c r="D5" s="51">
        <v>0.71</v>
      </c>
      <c r="E5" s="51">
        <v>0.78</v>
      </c>
      <c r="F5" s="51">
        <v>0.72</v>
      </c>
      <c r="G5" s="51">
        <v>0.56000000000000005</v>
      </c>
      <c r="H5" s="51">
        <v>0.9</v>
      </c>
      <c r="J5" s="37" t="s">
        <v>16</v>
      </c>
      <c r="K5" s="36">
        <v>40</v>
      </c>
      <c r="L5" s="36">
        <v>67</v>
      </c>
      <c r="M5" s="36">
        <v>21</v>
      </c>
      <c r="N5" s="36">
        <v>128</v>
      </c>
      <c r="P5" s="53">
        <f t="shared" ref="P5:P15" si="0">SUM(C5*K5,D5*L5,E5*M5)/N5</f>
        <v>0.76523437499999991</v>
      </c>
      <c r="Q5" s="53">
        <f t="shared" ref="Q5:Q15" si="1">SUM(F5*K5,G5*L5,H5*M5)/N5</f>
        <v>0.66578124999999999</v>
      </c>
    </row>
    <row r="6" spans="2:17" ht="16" x14ac:dyDescent="0.35">
      <c r="B6" s="37" t="s">
        <v>17</v>
      </c>
      <c r="C6" s="51">
        <v>0.83</v>
      </c>
      <c r="D6" s="51">
        <v>0.74</v>
      </c>
      <c r="E6" s="51">
        <v>0.76</v>
      </c>
      <c r="F6" s="51">
        <v>0.78</v>
      </c>
      <c r="G6" s="51">
        <v>0.56000000000000005</v>
      </c>
      <c r="H6" s="51">
        <v>0.85</v>
      </c>
      <c r="J6" s="37" t="s">
        <v>17</v>
      </c>
      <c r="K6" s="36">
        <v>41</v>
      </c>
      <c r="L6" s="36">
        <v>66</v>
      </c>
      <c r="M6" s="36">
        <v>21</v>
      </c>
      <c r="N6" s="36">
        <v>128</v>
      </c>
      <c r="P6" s="53">
        <f t="shared" si="0"/>
        <v>0.7721093750000001</v>
      </c>
      <c r="Q6" s="53">
        <f t="shared" si="1"/>
        <v>0.67804687499999994</v>
      </c>
    </row>
    <row r="7" spans="2:17" ht="16" x14ac:dyDescent="0.35">
      <c r="B7" s="37" t="s">
        <v>18</v>
      </c>
      <c r="C7" s="51">
        <v>0.82</v>
      </c>
      <c r="D7" s="51">
        <v>0.77</v>
      </c>
      <c r="E7" s="51">
        <v>0.82</v>
      </c>
      <c r="F7" s="51">
        <v>0.85</v>
      </c>
      <c r="G7" s="51">
        <v>0.55000000000000004</v>
      </c>
      <c r="H7" s="51">
        <v>0.85</v>
      </c>
      <c r="J7" s="37" t="s">
        <v>18</v>
      </c>
      <c r="K7" s="36">
        <v>39</v>
      </c>
      <c r="L7" s="36">
        <v>66</v>
      </c>
      <c r="M7" s="36">
        <v>21</v>
      </c>
      <c r="N7" s="36">
        <v>126</v>
      </c>
      <c r="P7" s="53">
        <f t="shared" si="0"/>
        <v>0.79380952380952374</v>
      </c>
      <c r="Q7" s="53">
        <f t="shared" si="1"/>
        <v>0.69285714285714284</v>
      </c>
    </row>
    <row r="8" spans="2:17" ht="16" x14ac:dyDescent="0.35">
      <c r="B8" s="37" t="s">
        <v>19</v>
      </c>
      <c r="C8" s="51">
        <v>0.73</v>
      </c>
      <c r="D8" s="51">
        <v>0.71</v>
      </c>
      <c r="E8" s="51">
        <v>0.72</v>
      </c>
      <c r="F8" s="51">
        <v>0.57999999999999996</v>
      </c>
      <c r="G8" s="51">
        <v>0.6</v>
      </c>
      <c r="H8" s="51">
        <v>0.79</v>
      </c>
      <c r="J8" s="37" t="s">
        <v>19</v>
      </c>
      <c r="K8" s="36">
        <v>39</v>
      </c>
      <c r="L8" s="36">
        <v>65</v>
      </c>
      <c r="M8" s="36">
        <v>21</v>
      </c>
      <c r="N8" s="36">
        <v>125</v>
      </c>
      <c r="P8" s="53">
        <f t="shared" si="0"/>
        <v>0.71792000000000011</v>
      </c>
      <c r="Q8" s="53">
        <f t="shared" si="1"/>
        <v>0.6256799999999999</v>
      </c>
    </row>
    <row r="9" spans="2:17" ht="16" x14ac:dyDescent="0.35">
      <c r="B9" s="37" t="s">
        <v>20</v>
      </c>
      <c r="C9" s="51">
        <v>0.84</v>
      </c>
      <c r="D9" s="51">
        <v>0.76</v>
      </c>
      <c r="E9" s="51">
        <v>0.75</v>
      </c>
      <c r="F9" s="51">
        <v>0.73</v>
      </c>
      <c r="G9" s="51">
        <v>0.47</v>
      </c>
      <c r="H9" s="51">
        <v>0.87</v>
      </c>
      <c r="J9" s="37" t="s">
        <v>20</v>
      </c>
      <c r="K9" s="36">
        <v>39</v>
      </c>
      <c r="L9" s="36">
        <v>65</v>
      </c>
      <c r="M9" s="36">
        <v>21</v>
      </c>
      <c r="N9" s="36">
        <v>125</v>
      </c>
      <c r="P9" s="53">
        <f t="shared" si="0"/>
        <v>0.78327999999999998</v>
      </c>
      <c r="Q9" s="53">
        <f t="shared" si="1"/>
        <v>0.61831999999999998</v>
      </c>
    </row>
    <row r="10" spans="2:17" ht="16" x14ac:dyDescent="0.35">
      <c r="B10" s="37" t="s">
        <v>21</v>
      </c>
      <c r="C10" s="51">
        <v>0.84</v>
      </c>
      <c r="D10" s="51">
        <v>0.84</v>
      </c>
      <c r="E10" s="51">
        <v>0.8</v>
      </c>
      <c r="F10" s="51">
        <v>0.83</v>
      </c>
      <c r="G10" s="51">
        <v>0.63</v>
      </c>
      <c r="H10" s="51">
        <v>0.9</v>
      </c>
      <c r="J10" s="37" t="s">
        <v>21</v>
      </c>
      <c r="K10" s="36">
        <v>38</v>
      </c>
      <c r="L10" s="36">
        <v>65</v>
      </c>
      <c r="M10" s="36">
        <v>21</v>
      </c>
      <c r="N10" s="36">
        <v>124</v>
      </c>
      <c r="P10" s="53">
        <f t="shared" si="0"/>
        <v>0.83322580645161282</v>
      </c>
      <c r="Q10" s="53">
        <f t="shared" si="1"/>
        <v>0.73701612903225822</v>
      </c>
    </row>
    <row r="11" spans="2:17" ht="16" x14ac:dyDescent="0.35">
      <c r="B11" s="37" t="s">
        <v>22</v>
      </c>
      <c r="C11" s="51">
        <v>0.83</v>
      </c>
      <c r="D11" s="51">
        <v>0.72</v>
      </c>
      <c r="E11" s="51">
        <v>0.8</v>
      </c>
      <c r="F11" s="51">
        <v>0.57999999999999996</v>
      </c>
      <c r="G11" s="51">
        <v>0.38</v>
      </c>
      <c r="H11" s="51">
        <v>0.87</v>
      </c>
      <c r="J11" s="37" t="s">
        <v>22</v>
      </c>
      <c r="K11" s="36">
        <v>38</v>
      </c>
      <c r="L11" s="36">
        <v>62</v>
      </c>
      <c r="M11" s="36">
        <v>21</v>
      </c>
      <c r="N11" s="36">
        <v>121</v>
      </c>
      <c r="P11" s="53">
        <f t="shared" si="0"/>
        <v>0.76842975206611575</v>
      </c>
      <c r="Q11" s="53">
        <f t="shared" si="1"/>
        <v>0.52785123966942138</v>
      </c>
    </row>
    <row r="12" spans="2:17" ht="16" x14ac:dyDescent="0.35">
      <c r="B12" s="37" t="s">
        <v>23</v>
      </c>
      <c r="C12" s="51">
        <v>0.89</v>
      </c>
      <c r="D12" s="51">
        <v>0.82</v>
      </c>
      <c r="E12" s="51">
        <v>0.81</v>
      </c>
      <c r="F12" s="51">
        <v>0.8</v>
      </c>
      <c r="G12" s="51">
        <v>0.42</v>
      </c>
      <c r="H12" s="51">
        <v>0.85</v>
      </c>
      <c r="J12" s="37" t="s">
        <v>23</v>
      </c>
      <c r="K12" s="36">
        <v>38</v>
      </c>
      <c r="L12" s="36">
        <v>62</v>
      </c>
      <c r="M12" s="36">
        <v>21</v>
      </c>
      <c r="N12" s="36">
        <v>121</v>
      </c>
      <c r="P12" s="53">
        <f t="shared" si="0"/>
        <v>0.84024793388429753</v>
      </c>
      <c r="Q12" s="53">
        <f t="shared" si="1"/>
        <v>0.61396694214876024</v>
      </c>
    </row>
    <row r="13" spans="2:17" ht="16" x14ac:dyDescent="0.35">
      <c r="B13" s="37" t="s">
        <v>24</v>
      </c>
      <c r="C13" s="51">
        <v>0.71</v>
      </c>
      <c r="D13" s="51">
        <v>0.87</v>
      </c>
      <c r="E13" s="51">
        <v>0.65</v>
      </c>
      <c r="F13" s="51">
        <v>0.78</v>
      </c>
      <c r="G13" s="51">
        <v>0.71</v>
      </c>
      <c r="H13" s="51">
        <v>0.85</v>
      </c>
      <c r="J13" s="37" t="s">
        <v>24</v>
      </c>
      <c r="K13" s="36">
        <v>39</v>
      </c>
      <c r="L13" s="36">
        <v>61</v>
      </c>
      <c r="M13" s="36">
        <v>21</v>
      </c>
      <c r="N13" s="36">
        <v>121</v>
      </c>
      <c r="P13" s="53">
        <f t="shared" si="0"/>
        <v>0.78024793388429747</v>
      </c>
      <c r="Q13" s="53">
        <f t="shared" si="1"/>
        <v>0.75685950413223124</v>
      </c>
    </row>
    <row r="14" spans="2:17" ht="16" x14ac:dyDescent="0.35">
      <c r="B14" s="37" t="s">
        <v>25</v>
      </c>
      <c r="C14" s="51">
        <v>0.9</v>
      </c>
      <c r="D14" s="51">
        <v>0.79</v>
      </c>
      <c r="E14" s="51">
        <v>0.73</v>
      </c>
      <c r="F14" s="51">
        <v>0.8</v>
      </c>
      <c r="G14" s="51">
        <v>0.38</v>
      </c>
      <c r="H14" s="51">
        <v>0.82</v>
      </c>
      <c r="J14" s="37" t="s">
        <v>25</v>
      </c>
      <c r="K14" s="36">
        <v>39</v>
      </c>
      <c r="L14" s="36">
        <v>83</v>
      </c>
      <c r="M14" s="36">
        <v>21</v>
      </c>
      <c r="N14" s="36">
        <v>143</v>
      </c>
      <c r="P14" s="53">
        <f t="shared" si="0"/>
        <v>0.81118881118881125</v>
      </c>
      <c r="Q14" s="53">
        <f t="shared" si="1"/>
        <v>0.55916083916083925</v>
      </c>
    </row>
    <row r="15" spans="2:17" ht="16" x14ac:dyDescent="0.35">
      <c r="B15" s="37" t="s">
        <v>26</v>
      </c>
      <c r="C15" s="51">
        <v>0.9</v>
      </c>
      <c r="D15" s="51">
        <v>0.8</v>
      </c>
      <c r="E15" s="51">
        <v>0.72</v>
      </c>
      <c r="F15" s="51">
        <v>0.92</v>
      </c>
      <c r="G15" s="51">
        <v>0.74</v>
      </c>
      <c r="H15" s="51">
        <v>0.81</v>
      </c>
      <c r="J15" s="37" t="s">
        <v>26</v>
      </c>
      <c r="K15" s="36">
        <v>39</v>
      </c>
      <c r="L15" s="36">
        <v>81</v>
      </c>
      <c r="M15" s="36">
        <v>21</v>
      </c>
      <c r="N15" s="36">
        <v>141</v>
      </c>
      <c r="P15" s="53">
        <f t="shared" si="0"/>
        <v>0.81574468085106389</v>
      </c>
      <c r="Q15" s="53">
        <f t="shared" si="1"/>
        <v>0.80021276595744684</v>
      </c>
    </row>
    <row r="16" spans="2:17" x14ac:dyDescent="0.35">
      <c r="C16" s="40"/>
      <c r="D16" s="40"/>
      <c r="E16" s="40"/>
      <c r="F16" s="40"/>
      <c r="G16" s="40"/>
      <c r="H16" s="40"/>
    </row>
  </sheetData>
  <mergeCells count="3">
    <mergeCell ref="C2:E2"/>
    <mergeCell ref="F2:H2"/>
    <mergeCell ref="J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Volume &amp; Delivered Hours</vt:lpstr>
      <vt:lpstr>Schedule Adherence &amp; Conformanc</vt:lpstr>
    </vt:vector>
  </TitlesOfParts>
  <Company>Sutherland Global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Shikha Thakur</dc:creator>
  <cp:lastModifiedBy>Sanket Polge</cp:lastModifiedBy>
  <dcterms:created xsi:type="dcterms:W3CDTF">2026-07-07T14:24:41Z</dcterms:created>
  <dcterms:modified xsi:type="dcterms:W3CDTF">2026-08-05T17:49:50Z</dcterms:modified>
</cp:coreProperties>
</file>