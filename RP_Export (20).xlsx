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SL Dispatch" state="visible" r:id="rId4"/>
    <sheet sheetId="2" name="Regulatory Response" state="visible" r:id="rId5"/>
    <sheet sheetId="3" name="Neighbors COL" state="visible" r:id="rId6"/>
    <sheet sheetId="4" name="Neighbors LV" state="visible" r:id="rId7"/>
    <sheet sheetId="5" name="Open Homes (Airbnb Org)" state="visible" r:id="rId8"/>
    <sheet sheetId="6" name="SocMed SPA" state="visible" r:id="rId9"/>
    <sheet sheetId="7" name="Experiences" state="visible" r:id="rId10"/>
    <sheet sheetId="8" name="Safety COL" state="visible" r:id="rId11"/>
    <sheet sheetId="9" name="SafetyHub COL" state="visible" r:id="rId12"/>
    <sheet sheetId="10" name="Safety JAM" state="visible" r:id="rId13"/>
    <sheet sheetId="11" name="Safetyhub JAM" state="visible" r:id="rId14"/>
  </sheets>
  <calcPr calcId="171027"/>
</workbook>
</file>

<file path=xl/sharedStrings.xml><?xml version="1.0" encoding="utf-8"?>
<sst xmlns="http://schemas.openxmlformats.org/spreadsheetml/2006/main" count="6389" uniqueCount="413">
  <si>
    <t>NSL Dispatch</t>
  </si>
  <si>
    <t>Lock Status</t>
  </si>
  <si>
    <t>Locked</t>
  </si>
  <si>
    <t>Current Week</t>
  </si>
  <si>
    <t>Month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</si>
  <si>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</si>
  <si>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</si>
  <si>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</si>
  <si>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</si>
  <si>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</si>
  <si>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</si>
  <si>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</si>
  <si>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</si>
  <si>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</si>
  <si>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</si>
  <si>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</si>
  <si>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</si>
  <si>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</si>
  <si>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</si>
  <si>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</si>
  <si>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</si>
  <si>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</si>
  <si>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</si>
  <si>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</si>
  <si>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</si>
  <si>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</si>
  <si>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</si>
  <si>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</si>
  <si>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</si>
  <si>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</si>
  <si>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Week-ST</t>
  </si>
  <si>
    <t>30-Jun-24</t>
  </si>
  <si>
    <t>07-Jul-24</t>
  </si>
  <si>
    <t>14-Jul-24</t>
  </si>
  <si>
    <t>21-Jul-24</t>
  </si>
  <si>
    <t>28-Jul-24</t>
  </si>
  <si>
    <t>04-Aug-24</t>
  </si>
  <si>
    <t>11-Aug-24</t>
  </si>
  <si>
    <t>18-Aug-24</t>
  </si>
  <si>
    <t>25-Aug-24</t>
  </si>
  <si>
    <t>01-Sep-24</t>
  </si>
  <si>
    <t>08-Sep-24</t>
  </si>
  <si>
    <t>15-Sep-24</t>
  </si>
  <si>
    <t>22-Sep-24</t>
  </si>
  <si>
    <t>29-Sep-24</t>
  </si>
  <si>
    <t>06-Oct-24</t>
  </si>
  <si>
    <t>13-Oct-24</t>
  </si>
  <si>
    <t>20-Oct-24</t>
  </si>
  <si>
    <t>27-Oct-24</t>
  </si>
  <si>
    <t>03-Nov-24</t>
  </si>
  <si>
    <t>10-Nov-24</t>
  </si>
  <si>
    <t>17-Nov-24</t>
  </si>
  <si>
    <t>24-Nov-24</t>
  </si>
  <si>
    <t>01-Dec-24</t>
  </si>
  <si>
    <t>08-Dec-24</t>
  </si>
  <si>
    <t>15-Dec-24</t>
  </si>
  <si>
    <t>22-Dec-24</t>
  </si>
  <si>
    <t>29-Dec-24</t>
  </si>
  <si>
    <t>05-Jan-25</t>
  </si>
  <si>
    <t>12-Jan-25</t>
  </si>
  <si>
    <t>19-Jan-25</t>
  </si>
  <si>
    <t>26-Jan-25</t>
  </si>
  <si>
    <t>02-Feb-25</t>
  </si>
  <si>
    <t>09-Feb-25</t>
  </si>
  <si>
    <t>16-Feb-25</t>
  </si>
  <si>
    <t>23-Feb-25</t>
  </si>
  <si>
    <t>02-Mar-25</t>
  </si>
  <si>
    <t>09-Mar-25</t>
  </si>
  <si>
    <t>16-Mar-25</t>
  </si>
  <si>
    <t>23-Mar-25</t>
  </si>
  <si>
    <t>30-Mar-25</t>
  </si>
  <si>
    <t>06-Apr-25</t>
  </si>
  <si>
    <t>13-Apr-25</t>
  </si>
  <si>
    <t>20-Apr-25</t>
  </si>
  <si>
    <t>27-Apr-25</t>
  </si>
  <si>
    <t>04-May-25</t>
  </si>
  <si>
    <t>11-May-25</t>
  </si>
  <si>
    <t>18-May-25</t>
  </si>
  <si>
    <t>25-May-25</t>
  </si>
  <si>
    <t>01-Jun-25</t>
  </si>
  <si>
    <t>08-Jun-25</t>
  </si>
  <si>
    <t>15-Jun-25</t>
  </si>
  <si>
    <t>22-Jun-25</t>
  </si>
  <si>
    <t>29-Jun-25</t>
  </si>
  <si>
    <t>06-Jul-25</t>
  </si>
  <si>
    <t>13-Jul-25</t>
  </si>
  <si>
    <t>20-Jul-25</t>
  </si>
  <si>
    <t>27-Jul-25</t>
  </si>
  <si>
    <t>03-Aug-25</t>
  </si>
  <si>
    <t>10-Aug-25</t>
  </si>
  <si>
    <t>17-Aug-25</t>
  </si>
  <si>
    <t>24-Aug-25</t>
  </si>
  <si>
    <t>31-Aug-25</t>
  </si>
  <si>
    <t>07-Sep-25</t>
  </si>
  <si>
    <t>14-Sep-25</t>
  </si>
  <si>
    <t>21-Sep-25</t>
  </si>
  <si>
    <t>28-Sep-25</t>
  </si>
  <si>
    <t>05-Oct-25</t>
  </si>
  <si>
    <t>12-Oct-25</t>
  </si>
  <si>
    <t>19-Oct-25</t>
  </si>
  <si>
    <t>26-Oct-25</t>
  </si>
  <si>
    <t>02-Nov-25</t>
  </si>
  <si>
    <t>09-Nov-25</t>
  </si>
  <si>
    <t>16-Nov-25</t>
  </si>
  <si>
    <t>23-Nov-25</t>
  </si>
  <si>
    <t>30-Nov-25</t>
  </si>
  <si>
    <t>07-Dec-25</t>
  </si>
  <si>
    <t>14-Dec-25</t>
  </si>
  <si>
    <t>21-Dec-25</t>
  </si>
  <si>
    <t>28-Dec-25</t>
  </si>
  <si>
    <t>04-Jan-26</t>
  </si>
  <si>
    <t>11-Jan-26</t>
  </si>
  <si>
    <t>18-Jan-26</t>
  </si>
  <si>
    <t>25-Jan-26</t>
  </si>
  <si>
    <t>01-Feb-26</t>
  </si>
  <si>
    <t>08-Feb-26</t>
  </si>
  <si>
    <t>15-Feb-26</t>
  </si>
  <si>
    <t>22-Feb-26</t>
  </si>
  <si>
    <t>01-Mar-26</t>
  </si>
  <si>
    <t>08-Mar-26</t>
  </si>
  <si>
    <t>15-Mar-26</t>
  </si>
  <si>
    <t>22-Mar-26</t>
  </si>
  <si>
    <t>29-Mar-26</t>
  </si>
  <si>
    <t>05-Apr-26</t>
  </si>
  <si>
    <t>12-Apr-26</t>
  </si>
  <si>
    <t>19-Apr-26</t>
  </si>
  <si>
    <t>26-Apr-26</t>
  </si>
  <si>
    <t>03-May-26</t>
  </si>
  <si>
    <t>10-May-26</t>
  </si>
  <si>
    <t>17-May-26</t>
  </si>
  <si>
    <t>24-May-26</t>
  </si>
  <si>
    <t>31-May-26</t>
  </si>
  <si>
    <t>07-Jun-26</t>
  </si>
  <si>
    <t>14-Jun-26</t>
  </si>
  <si>
    <t>21-Jun-26</t>
  </si>
  <si>
    <t>Week-ED</t>
  </si>
  <si>
    <t>06-Jul-24</t>
  </si>
  <si>
    <t>13-Jul-24</t>
  </si>
  <si>
    <t>20-Jul-24</t>
  </si>
  <si>
    <t>27-Jul-24</t>
  </si>
  <si>
    <t>03-Aug-24</t>
  </si>
  <si>
    <t>10-Aug-24</t>
  </si>
  <si>
    <t>17-Aug-24</t>
  </si>
  <si>
    <t>24-Aug-24</t>
  </si>
  <si>
    <t>31-Aug-24</t>
  </si>
  <si>
    <t>07-Sep-24</t>
  </si>
  <si>
    <t>14-Sep-24</t>
  </si>
  <si>
    <t>21-Sep-24</t>
  </si>
  <si>
    <t>28-Sep-24</t>
  </si>
  <si>
    <t>05-Oct-24</t>
  </si>
  <si>
    <t>12-Oct-24</t>
  </si>
  <si>
    <t>19-Oct-24</t>
  </si>
  <si>
    <t>26-Oct-24</t>
  </si>
  <si>
    <t>02-Nov-24</t>
  </si>
  <si>
    <t>09-Nov-24</t>
  </si>
  <si>
    <t>16-Nov-24</t>
  </si>
  <si>
    <t>23-Nov-24</t>
  </si>
  <si>
    <t>30-Nov-24</t>
  </si>
  <si>
    <t>07-Dec-24</t>
  </si>
  <si>
    <t>14-Dec-24</t>
  </si>
  <si>
    <t>21-Dec-24</t>
  </si>
  <si>
    <t>28-Dec-24</t>
  </si>
  <si>
    <t>04-Jan-25</t>
  </si>
  <si>
    <t>11-Jan-25</t>
  </si>
  <si>
    <t>18-Jan-25</t>
  </si>
  <si>
    <t>25-Jan-25</t>
  </si>
  <si>
    <t>01-Feb-25</t>
  </si>
  <si>
    <t>08-Feb-25</t>
  </si>
  <si>
    <t>15-Feb-25</t>
  </si>
  <si>
    <t>22-Feb-25</t>
  </si>
  <si>
    <t>01-Mar-25</t>
  </si>
  <si>
    <t>08-Mar-25</t>
  </si>
  <si>
    <t>15-Mar-25</t>
  </si>
  <si>
    <t>22-Mar-25</t>
  </si>
  <si>
    <t>29-Mar-25</t>
  </si>
  <si>
    <t>05-Apr-25</t>
  </si>
  <si>
    <t>12-Apr-25</t>
  </si>
  <si>
    <t>19-Apr-25</t>
  </si>
  <si>
    <t>26-Apr-25</t>
  </si>
  <si>
    <t>03-May-25</t>
  </si>
  <si>
    <t>10-May-25</t>
  </si>
  <si>
    <t>17-May-25</t>
  </si>
  <si>
    <t>24-May-25</t>
  </si>
  <si>
    <t>31-May-25</t>
  </si>
  <si>
    <t>07-Jun-25</t>
  </si>
  <si>
    <t>14-Jun-25</t>
  </si>
  <si>
    <t>21-Jun-25</t>
  </si>
  <si>
    <t>28-Jun-25</t>
  </si>
  <si>
    <t>05-Jul-25</t>
  </si>
  <si>
    <t>12-Jul-25</t>
  </si>
  <si>
    <t>19-Jul-25</t>
  </si>
  <si>
    <t>26-Jul-25</t>
  </si>
  <si>
    <t>02-Aug-25</t>
  </si>
  <si>
    <t>09-Aug-25</t>
  </si>
  <si>
    <t>16-Aug-25</t>
  </si>
  <si>
    <t>23-Aug-25</t>
  </si>
  <si>
    <t>30-Aug-25</t>
  </si>
  <si>
    <t>06-Sep-25</t>
  </si>
  <si>
    <t>13-Sep-25</t>
  </si>
  <si>
    <t>20-Sep-25</t>
  </si>
  <si>
    <t>27-Sep-25</t>
  </si>
  <si>
    <t>04-Oct-25</t>
  </si>
  <si>
    <t>11-Oct-25</t>
  </si>
  <si>
    <t>18-Oct-25</t>
  </si>
  <si>
    <t>25-Oct-25</t>
  </si>
  <si>
    <t>01-Nov-25</t>
  </si>
  <si>
    <t>08-Nov-25</t>
  </si>
  <si>
    <t>15-Nov-25</t>
  </si>
  <si>
    <t>22-Nov-25</t>
  </si>
  <si>
    <t>29-Nov-25</t>
  </si>
  <si>
    <t>06-Dec-25</t>
  </si>
  <si>
    <t>13-Dec-25</t>
  </si>
  <si>
    <t>20-Dec-25</t>
  </si>
  <si>
    <t>27-Dec-25</t>
  </si>
  <si>
    <t>03-Jan-26</t>
  </si>
  <si>
    <t>10-Jan-26</t>
  </si>
  <si>
    <t>17-Jan-26</t>
  </si>
  <si>
    <t>24-Jan-26</t>
  </si>
  <si>
    <t>31-Jan-26</t>
  </si>
  <si>
    <t>07-Feb-26</t>
  </si>
  <si>
    <t>14-Feb-26</t>
  </si>
  <si>
    <t>21-Feb-26</t>
  </si>
  <si>
    <t>28-Feb-26</t>
  </si>
  <si>
    <t>07-Mar-26</t>
  </si>
  <si>
    <t>14-Mar-26</t>
  </si>
  <si>
    <t>21-Mar-26</t>
  </si>
  <si>
    <t>28-Mar-26</t>
  </si>
  <si>
    <t>04-Apr-26</t>
  </si>
  <si>
    <t>11-Apr-26</t>
  </si>
  <si>
    <t>18-Apr-26</t>
  </si>
  <si>
    <t>25-Apr-26</t>
  </si>
  <si>
    <t>02-May-26</t>
  </si>
  <si>
    <t>09-May-26</t>
  </si>
  <si>
    <t>16-May-26</t>
  </si>
  <si>
    <t>23-May-26</t>
  </si>
  <si>
    <t>30-May-26</t>
  </si>
  <si>
    <t>06-Jun-26</t>
  </si>
  <si>
    <t>13-Jun-26</t>
  </si>
  <si>
    <t>20-Jun-26</t>
  </si>
  <si>
    <t>27-Jun-26</t>
  </si>
  <si>
    <t xml:space="preserve">Summary </t>
  </si>
  <si>
    <t>Client FTE Lock</t>
  </si>
  <si>
    <t>Client Locked Hours</t>
  </si>
  <si>
    <t xml:space="preserve">Required FTE With Shrinkage </t>
  </si>
  <si>
    <t>Available FTE</t>
  </si>
  <si>
    <t>Projected Hours</t>
  </si>
  <si>
    <t>FTE (Delta Client Required)</t>
  </si>
  <si>
    <t>FTE (Delta Sutherland Required)</t>
  </si>
  <si>
    <t>Delta in Hours</t>
  </si>
  <si>
    <t>Staffing % (Client Req)</t>
  </si>
  <si>
    <t>Staffing % (SGS Req)</t>
  </si>
  <si>
    <t>Staffing % (Hours)</t>
  </si>
  <si>
    <t>Overall HC available</t>
  </si>
  <si>
    <t>Production HC Available</t>
  </si>
  <si>
    <t>Training HC</t>
  </si>
  <si>
    <t>AL HC</t>
  </si>
  <si>
    <t>Nesting HC</t>
  </si>
  <si>
    <t>Production HC (P1 + P2)</t>
  </si>
  <si>
    <t>Over Time (Tenured)/WK - Hrs</t>
  </si>
  <si>
    <t>Tenured HC Available 30+ Day %</t>
  </si>
  <si>
    <t xml:space="preserve">Planned Assumptions </t>
  </si>
  <si>
    <t>Planned Overall Shrinkage</t>
  </si>
  <si>
    <t>Planned Shrinkage Out Of Office</t>
  </si>
  <si>
    <t>PTO/UTO</t>
  </si>
  <si>
    <t>Unplanned + Late</t>
  </si>
  <si>
    <t>Planned Absence (MAT/PAT/LTS)</t>
  </si>
  <si>
    <t>Place Holder</t>
  </si>
  <si>
    <t>Planned Shrinkage In Office</t>
  </si>
  <si>
    <t>Break/Lunch</t>
  </si>
  <si>
    <t>Coaching</t>
  </si>
  <si>
    <t>Meeting/One-on-one</t>
  </si>
  <si>
    <t>Mentor/Floor Support</t>
  </si>
  <si>
    <t>Training</t>
  </si>
  <si>
    <t>System Downtime/Issues (Airbnb)</t>
  </si>
  <si>
    <t>Planned Production Attrition%</t>
  </si>
  <si>
    <t>Planned Production Attrition FTE</t>
  </si>
  <si>
    <t>Planned Training Attrition%</t>
  </si>
  <si>
    <t>Planned Training Attrition FTE</t>
  </si>
  <si>
    <t>Concurrency</t>
  </si>
  <si>
    <t>Scheduling InFlex</t>
  </si>
  <si>
    <t>Work Days</t>
  </si>
  <si>
    <t>Work Hours</t>
  </si>
  <si>
    <t>Overtime Hours</t>
  </si>
  <si>
    <t xml:space="preserve">Actuals Shrinkage </t>
  </si>
  <si>
    <t>Actual Overall Shrinkage</t>
  </si>
  <si>
    <t>Actual Shrinkage Out Of Office</t>
  </si>
  <si>
    <t>Sub Out Of Office</t>
  </si>
  <si>
    <t>Actual Shrinkage In Office</t>
  </si>
  <si>
    <t>Meeting</t>
  </si>
  <si>
    <t>System Donwtime (Airbnb + Partner)</t>
  </si>
  <si>
    <t>Actual Production Attrition%</t>
  </si>
  <si>
    <t>Actual Production Attrition FTE</t>
  </si>
  <si>
    <t>Actual Training Attrition%</t>
  </si>
  <si>
    <t>Actual Training Attrition FTE</t>
  </si>
  <si>
    <t>Scheduling Inflex</t>
  </si>
  <si>
    <t>HC Details:</t>
  </si>
  <si>
    <t>Budget_Lock_HC</t>
  </si>
  <si>
    <t>Client_Lock_HC</t>
  </si>
  <si>
    <t>Internal_Lock_HC</t>
  </si>
  <si>
    <t>Avail_Production_FTE</t>
  </si>
  <si>
    <t>Avail_Production_HC</t>
  </si>
  <si>
    <t>HC Delta - Lock Vs Production HC</t>
  </si>
  <si>
    <t>Resource Supply:</t>
  </si>
  <si>
    <t>Movement Out</t>
  </si>
  <si>
    <t>Attrition</t>
  </si>
  <si>
    <t>Ramp down</t>
  </si>
  <si>
    <t>LOA</t>
  </si>
  <si>
    <t>Production to Support TC/VTC</t>
  </si>
  <si>
    <t>Production to Support TM/VTM</t>
  </si>
  <si>
    <t>Production to Training</t>
  </si>
  <si>
    <t>R1 NA</t>
  </si>
  <si>
    <t>R2 NA</t>
  </si>
  <si>
    <t>Safety</t>
  </si>
  <si>
    <t>SafetyHub</t>
  </si>
  <si>
    <t>Experiences</t>
  </si>
  <si>
    <t>Dedicated Support</t>
  </si>
  <si>
    <t>Regulatory Response</t>
  </si>
  <si>
    <t>Neighbors</t>
  </si>
  <si>
    <t>CE Spanish</t>
  </si>
  <si>
    <t>R2 SP</t>
  </si>
  <si>
    <t>Transfer out to Other LOB</t>
  </si>
  <si>
    <t>Movement In</t>
  </si>
  <si>
    <t>Back from LOA</t>
  </si>
  <si>
    <t>Support to Production TC/VTC</t>
  </si>
  <si>
    <t>Support to Production TM/VTM</t>
  </si>
  <si>
    <t>Transfered in from other LOB</t>
  </si>
  <si>
    <t>Training to Production</t>
  </si>
  <si>
    <t>Hiring Summary</t>
  </si>
  <si>
    <t>Service Order#</t>
  </si>
  <si>
    <t>Service Order Status</t>
  </si>
  <si>
    <t>Hiring Target</t>
  </si>
  <si>
    <t>Actual Hired</t>
  </si>
  <si>
    <t>Fullfillment Rate%</t>
  </si>
  <si>
    <t>Attrition Class (SO Count)</t>
  </si>
  <si>
    <t>Growth Class (SO Count)</t>
  </si>
  <si>
    <t>Wave No</t>
  </si>
  <si>
    <t>PST WK 1</t>
  </si>
  <si>
    <t>PST WK 2</t>
  </si>
  <si>
    <t>PST WK 3</t>
  </si>
  <si>
    <t>Ticket Time Wk1</t>
  </si>
  <si>
    <t>Nesting WK1</t>
  </si>
  <si>
    <t>Nesting WK2</t>
  </si>
  <si>
    <t>Production Week 1</t>
  </si>
  <si>
    <t>Production Week 2</t>
  </si>
  <si>
    <t>New Waves Golive HC</t>
  </si>
  <si>
    <t>Actuals Delivered</t>
  </si>
  <si>
    <t>Locked Hours</t>
  </si>
  <si>
    <t>Scheduled Hours</t>
  </si>
  <si>
    <t>Actual Production Hours Delivered</t>
  </si>
  <si>
    <t>Delivered v/s Locked%</t>
  </si>
  <si>
    <t>Productive Hours</t>
  </si>
  <si>
    <t>Actual Out Of Office Hours</t>
  </si>
  <si>
    <t>Actual In Office Hours</t>
  </si>
  <si>
    <t>Support Summary</t>
  </si>
  <si>
    <t>Support Requirement</t>
  </si>
  <si>
    <t xml:space="preserve">Team Manager -
  Production</t>
  </si>
  <si>
    <t>Nesting Team Manager</t>
  </si>
  <si>
    <t>Team Coordinator</t>
  </si>
  <si>
    <t>Trainer</t>
  </si>
  <si>
    <t xml:space="preserve">Quality </t>
  </si>
  <si>
    <t>RTA</t>
  </si>
  <si>
    <t>Nesting TC</t>
  </si>
  <si>
    <t>Production TC</t>
  </si>
  <si>
    <t>Nesting QA</t>
  </si>
  <si>
    <t>Transition QA</t>
  </si>
  <si>
    <t>Nesting Trainer</t>
  </si>
  <si>
    <t>Support Available</t>
  </si>
  <si>
    <t>Team Manager</t>
  </si>
  <si>
    <t>Support Delta</t>
  </si>
  <si>
    <t>FX - WK1</t>
  </si>
  <si>
    <t>FX - WK2</t>
  </si>
  <si>
    <t>Neighbors COL</t>
  </si>
  <si>
    <t>Airbnb Org</t>
  </si>
  <si>
    <t>Neighbors LV</t>
  </si>
  <si>
    <t>Production to Support</t>
  </si>
  <si>
    <t>Claims</t>
  </si>
  <si>
    <t>DMHS</t>
  </si>
  <si>
    <t>Support to Production</t>
  </si>
  <si>
    <t>Open Homes</t>
  </si>
  <si>
    <t>Nesting WK3</t>
  </si>
  <si>
    <t>Nesting WK4</t>
  </si>
  <si>
    <t>Social Media SP</t>
  </si>
  <si>
    <t>Investments/Offline Activities</t>
  </si>
  <si>
    <t>System Downtime</t>
  </si>
  <si>
    <t>RIF</t>
  </si>
  <si>
    <t>R1 English IND</t>
  </si>
  <si>
    <t>R2 English IND</t>
  </si>
  <si>
    <t>R2 English IND Upskill</t>
  </si>
  <si>
    <t>R2 Lotus</t>
  </si>
  <si>
    <t>R2 Lotus Upskill</t>
  </si>
  <si>
    <t>Transfer in from Other LOB</t>
  </si>
  <si>
    <t>FX - WK 1</t>
  </si>
  <si>
    <t>FX - WK 2</t>
  </si>
  <si>
    <t>Applied Learning Wk1</t>
  </si>
  <si>
    <t>Applied Learning Wk2</t>
  </si>
  <si>
    <t>Safety COL</t>
  </si>
  <si>
    <t>R1 Spanish</t>
  </si>
  <si>
    <t>Ticket Time</t>
  </si>
  <si>
    <t>PST WK4</t>
  </si>
  <si>
    <t>SafetyHub COL</t>
  </si>
  <si>
    <t>CXL SP</t>
  </si>
  <si>
    <t>Production WK1</t>
  </si>
  <si>
    <t>Production WK2</t>
  </si>
  <si>
    <t>Safety JAM</t>
  </si>
  <si>
    <t>Production to training</t>
  </si>
  <si>
    <t xml:space="preserve">CE </t>
  </si>
  <si>
    <t>PST WK 4</t>
  </si>
  <si>
    <t>Nesting Week 3</t>
  </si>
  <si>
    <t>Safetyhub JAM</t>
  </si>
  <si>
    <t xml:space="preserve">Support to training </t>
  </si>
  <si>
    <t>CE</t>
  </si>
  <si>
    <t>Nesting Week1</t>
  </si>
  <si>
    <t>Nesting WK5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</si>
</sst>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yyyy-MM-dd"/>
    <numFmt numFmtId="165" formatCode="#"/>
    <numFmt numFmtId="166" formatCode="##0"/>
    <numFmt numFmtId="167" formatCode="0.0"/>
    <numFmt numFmtId="168" formatCode="0.0000"/>
    <numFmt numFmtId="169" formatCode="0.000000"/>
  </numFmts>
  <fonts count="29" x14ac:knownFonts="1">
    <font>
      <color theme="1"/>
      <family val="2"/>
      <scheme val="minor"/>
      <sz val="11"/>
      <name val="Calibri"/>
    </font>
    <font>
      <b/>
      <color rgb="FF073763"/>
      <sz val="14"/>
      <name val="Verdana"/>
    </font>
    <font>
      <color rgb="FF212529"/>
      <sz val="9"/>
      <name val="1"/>
    </font>
    <font>
      <color rgb="FF444444"/>
    </font>
    <font>
      <b/>
    </font>
    <font>
      <color rgb="FFEEEEEE"/>
      <sz val="10"/>
      <name val="1"/>
    </font>
    <font>
      <color rgb="FF000000"/>
      <sz val="11"/>
    </font>
    <font>
      <b/>
      <color rgb="FF000000"/>
      <sz val="11"/>
    </font>
    <font>
      <color rgb="FFFFFFFF"/>
      <sz val="10"/>
      <name val="1"/>
    </font>
    <font>
      <color rgb="FF000000"/>
      <sz val="10"/>
    </font>
    <font>
      <color rgb="FF000000"/>
      <sz val="10"/>
      <name val="1"/>
    </font>
    <font>
      <sz val="10"/>
    </font>
    <font>
      <color rgb="FF000000"/>
      <sz val="10"/>
      <name val="Arial"/>
    </font>
    <font>
      <b/>
      <color rgb="FF000000"/>
      <sz val="10"/>
    </font>
    <font>
      <b/>
      <color rgb="FFFFFFFF"/>
      <sz val="10"/>
      <name val="1"/>
    </font>
    <font>
      <color rgb="FF666666"/>
      <sz val="9"/>
    </font>
    <font>
      <color rgb="FF666666"/>
      <sz val="10"/>
    </font>
    <font>
      <color rgb="FF999999"/>
      <sz val="10"/>
    </font>
    <font>
      <color rgb="FF666666"/>
      <sz val="10"/>
      <name val="1"/>
    </font>
    <font>
      <color rgb="FF000000"/>
      <sz val="9"/>
    </font>
    <font>
      <color rgb="FFFF0000"/>
      <sz val="10"/>
      <name val="1"/>
    </font>
    <font>
      <b/>
      <sz val="10"/>
    </font>
    <font>
      <color rgb="FF444444"/>
      <sz val="10"/>
    </font>
    <font>
      <color rgb="FF212529"/>
      <sz val="10"/>
      <name val="1"/>
    </font>
    <font>
      <color rgb="FF666666"/>
      <sz val="9"/>
      <name val="Times New Roman"/>
    </font>
    <font>
      <color rgb="FF666666"/>
      <sz val="11"/>
    </font>
    <font>
      <color rgb="FF666666"/>
    </font>
    <font>
      <color rgb="FF444444"/>
      <sz val="11"/>
    </font>
    <font>
      <color rgb="FF444444"/>
      <sz val="9"/>
    </font>
  </fonts>
  <fills count="1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27BA0"/>
      </patternFill>
    </fill>
    <fill>
      <patternFill patternType="solid">
        <fgColor rgb="FF000000"/>
      </patternFill>
    </fill>
    <fill>
      <patternFill patternType="solid">
        <fgColor rgb="FF999999"/>
      </patternFill>
    </fill>
    <fill>
      <patternFill patternType="solid">
        <fgColor rgb="FF45818E"/>
      </patternFill>
    </fill>
    <fill>
      <patternFill patternType="solid">
        <fgColor rgb="FFF3F3F3"/>
      </patternFill>
    </fill>
    <fill>
      <patternFill patternType="solid">
        <fgColor rgb="FFEEEEEE"/>
      </patternFill>
    </fill>
    <fill>
      <patternFill patternType="solid">
        <fgColor rgb="FFFF9900"/>
      </patternFill>
    </fill>
    <fill>
      <patternFill patternType="solid">
        <fgColor rgb="FFFFFF00"/>
      </patternFill>
    </fill>
    <fill>
      <patternFill patternType="solid">
        <fgColor rgb="FFCCCCCC"/>
      </patternFill>
    </fill>
    <fill>
      <patternFill patternType="solid">
        <fgColor rgb="FF83E28E"/>
      </patternFill>
    </fill>
    <fill>
      <patternFill patternType="solid">
        <fgColor rgb="FFFCE4D6"/>
      </patternFill>
    </fill>
    <fill>
      <patternFill patternType="solid">
        <fgColor rgb="FF76A5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 applyAlignment="1"/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2" fillId="0" borderId="0" xfId="0" applyFont="1" applyAlignment="1"/>
    <xf numFmtId="0" fontId="3" fillId="0" borderId="0" xfId="0" applyFont="1"/>
    <xf numFmtId="49" fontId="4" fillId="0" borderId="0" xfId="0" applyNumberFormat="1" applyFont="1"/>
    <xf numFmtId="49" fontId="0" fillId="0" borderId="0" xfId="0" applyNumberFormat="1"/>
    <xf numFmtId="0" fontId="5" fillId="4" borderId="0" xfId="0" applyFont="1" applyFill="1" applyAlignment="1"/>
    <xf numFmtId="0" fontId="6" fillId="5" borderId="0" xfId="0" applyFont="1" applyFill="1" applyAlignment="1"/>
    <xf numFmtId="0" fontId="7" fillId="5" borderId="0" xfId="0" applyFont="1" applyFill="1" applyAlignment="1"/>
    <xf numFmtId="0" fontId="8" fillId="6" borderId="0" xfId="0" applyFont="1" applyFill="1" applyAlignment="1"/>
    <xf numFmtId="0" fontId="6" fillId="7" borderId="0" xfId="0" applyFont="1" applyFill="1" applyAlignment="1"/>
    <xf numFmtId="0" fontId="9" fillId="8" borderId="0" xfId="0" applyFont="1" applyFill="1" applyAlignment="1"/>
    <xf numFmtId="0" fontId="9" fillId="7" borderId="0" xfId="0" applyFont="1" applyFill="1" applyAlignment="1"/>
    <xf numFmtId="0" fontId="10" fillId="0" borderId="0" xfId="0" applyFont="1" applyAlignment="1"/>
    <xf numFmtId="0" fontId="6" fillId="0" borderId="0" xfId="0" applyFont="1" applyAlignment="1"/>
    <xf numFmtId="165" fontId="9" fillId="0" borderId="0" xfId="0" applyNumberFormat="1" applyFont="1" applyAlignment="1"/>
    <xf numFmtId="166" fontId="11" fillId="0" borderId="0" xfId="0" applyNumberFormat="1" applyFont="1" applyAlignment="1"/>
    <xf numFmtId="49" fontId="10" fillId="0" borderId="0" xfId="0" applyNumberFormat="1" applyFont="1" applyAlignment="1"/>
    <xf numFmtId="166" fontId="9" fillId="0" borderId="0" xfId="0" applyNumberFormat="1" applyFont="1" applyAlignment="1"/>
    <xf numFmtId="49" fontId="12" fillId="0" borderId="0" xfId="0" applyNumberFormat="1" applyFont="1" applyAlignment="1"/>
    <xf numFmtId="49" fontId="12" fillId="7" borderId="0" xfId="0" applyNumberFormat="1" applyFont="1" applyFill="1" applyAlignment="1"/>
    <xf numFmtId="0" fontId="0" fillId="7" borderId="0" xfId="0" applyFill="1"/>
    <xf numFmtId="9" fontId="11" fillId="7" borderId="0" xfId="0" applyNumberFormat="1" applyFont="1" applyFill="1" applyAlignment="1"/>
    <xf numFmtId="9" fontId="11" fillId="9" borderId="0" xfId="0" applyNumberFormat="1" applyFont="1" applyFill="1" applyAlignment="1"/>
    <xf numFmtId="0" fontId="12" fillId="0" borderId="0" xfId="0" applyFont="1" applyAlignment="1"/>
    <xf numFmtId="165" fontId="11" fillId="0" borderId="0" xfId="0" applyNumberFormat="1" applyFont="1" applyAlignment="1"/>
    <xf numFmtId="165" fontId="11" fillId="10" borderId="0" xfId="0" applyNumberFormat="1" applyFont="1" applyFill="1" applyAlignment="1"/>
    <xf numFmtId="0" fontId="11" fillId="0" borderId="0" xfId="0" applyFont="1" applyAlignment="1"/>
    <xf numFmtId="9" fontId="11" fillId="0" borderId="0" xfId="0" applyNumberFormat="1" applyFont="1" applyAlignment="1"/>
    <xf numFmtId="0" fontId="13" fillId="0" borderId="0" xfId="0" applyFont="1" applyAlignment="1"/>
    <xf numFmtId="0" fontId="14" fillId="6" borderId="0" xfId="0" applyFont="1" applyFill="1" applyAlignment="1"/>
    <xf numFmtId="9" fontId="13" fillId="11" borderId="0" xfId="0" applyNumberFormat="1" applyFont="1" applyFill="1" applyAlignment="1"/>
    <xf numFmtId="9" fontId="9" fillId="7" borderId="0" xfId="0" applyNumberFormat="1" applyFont="1" applyFill="1" applyAlignment="1"/>
    <xf numFmtId="0" fontId="15" fillId="0" borderId="0" xfId="0" applyFont="1" applyAlignment="1"/>
    <xf numFmtId="9" fontId="16" fillId="0" borderId="0" xfId="0" applyNumberFormat="1" applyFont="1" applyAlignment="1"/>
    <xf numFmtId="0" fontId="17" fillId="0" borderId="0" xfId="0" applyFont="1" applyAlignment="1"/>
    <xf numFmtId="9" fontId="18" fillId="0" borderId="0" xfId="0" applyNumberFormat="1" applyFont="1"/>
    <xf numFmtId="10" fontId="19" fillId="0" borderId="0" xfId="0" applyNumberFormat="1" applyFont="1"/>
    <xf numFmtId="1" fontId="16" fillId="0" borderId="0" xfId="0" applyNumberFormat="1" applyFont="1" applyAlignment="1"/>
    <xf numFmtId="10" fontId="9" fillId="0" borderId="0" xfId="0" applyNumberFormat="1" applyFont="1" applyAlignment="1"/>
    <xf numFmtId="166" fontId="17" fillId="0" borderId="0" xfId="0" applyNumberFormat="1" applyFont="1" applyAlignment="1"/>
    <xf numFmtId="0" fontId="0" fillId="0" borderId="0" xfId="0" applyAlignment="1"/>
    <xf numFmtId="9" fontId="9" fillId="0" borderId="0" xfId="0" applyNumberFormat="1" applyFont="1" applyAlignment="1"/>
    <xf numFmtId="0" fontId="16" fillId="0" borderId="0" xfId="0" applyFont="1" applyAlignment="1"/>
    <xf numFmtId="9" fontId="17" fillId="0" borderId="0" xfId="0" applyNumberFormat="1" applyFont="1" applyAlignment="1"/>
    <xf numFmtId="10" fontId="11" fillId="0" borderId="0" xfId="0" applyNumberFormat="1" applyFont="1" applyAlignment="1"/>
    <xf numFmtId="0" fontId="10" fillId="12" borderId="0" xfId="0" applyFont="1" applyFill="1" applyAlignment="1"/>
    <xf numFmtId="0" fontId="9" fillId="0" borderId="0" xfId="0" applyFont="1" applyAlignment="1"/>
    <xf numFmtId="0" fontId="20" fillId="0" borderId="0" xfId="0" applyFont="1" applyAlignment="1"/>
    <xf numFmtId="0" fontId="7" fillId="8" borderId="0" xfId="0" applyFont="1" applyFill="1" applyAlignment="1"/>
    <xf numFmtId="0" fontId="21" fillId="8" borderId="0" xfId="0" applyFont="1" applyFill="1" applyAlignment="1"/>
    <xf numFmtId="0" fontId="21" fillId="7" borderId="0" xfId="0" applyFont="1" applyFill="1" applyAlignment="1"/>
    <xf numFmtId="0" fontId="19" fillId="0" borderId="0" xfId="0" applyFont="1"/>
    <xf numFmtId="0" fontId="19" fillId="13" borderId="0" xfId="0" applyFont="1" applyFill="1"/>
    <xf numFmtId="0" fontId="19" fillId="0" borderId="0" xfId="0" applyFont="1" applyAlignment="1"/>
    <xf numFmtId="0" fontId="19" fillId="10" borderId="0" xfId="0" applyFont="1" applyFill="1"/>
    <xf numFmtId="0" fontId="22" fillId="0" borderId="0" xfId="0" applyFont="1" applyAlignment="1"/>
    <xf numFmtId="0" fontId="4" fillId="8" borderId="0" xfId="0" applyFont="1" applyFill="1"/>
    <xf numFmtId="0" fontId="10" fillId="7" borderId="0" xfId="0" applyFont="1" applyFill="1" applyAlignment="1"/>
    <xf numFmtId="0" fontId="2" fillId="7" borderId="0" xfId="0" applyFont="1" applyFill="1" applyAlignment="1"/>
    <xf numFmtId="0" fontId="11" fillId="7" borderId="0" xfId="0" applyFont="1" applyFill="1" applyAlignment="1"/>
    <xf numFmtId="10" fontId="9" fillId="7" borderId="0" xfId="0" applyNumberFormat="1" applyFont="1" applyFill="1" applyAlignment="1"/>
    <xf numFmtId="0" fontId="0" fillId="14" borderId="0" xfId="0" applyFill="1"/>
    <xf numFmtId="0" fontId="11" fillId="14" borderId="0" xfId="0" applyFont="1" applyFill="1" applyAlignment="1"/>
    <xf numFmtId="165" fontId="6" fillId="0" borderId="0" xfId="0" applyNumberFormat="1" applyFont="1" applyAlignment="1"/>
    <xf numFmtId="0" fontId="23" fillId="0" borderId="0" xfId="0" applyFont="1" applyAlignment="1"/>
    <xf numFmtId="0" fontId="9" fillId="2" borderId="0" xfId="0" applyFont="1" applyFill="1" applyAlignment="1"/>
    <xf numFmtId="49" fontId="23" fillId="0" borderId="0" xfId="0" applyNumberFormat="1" applyFont="1" applyAlignment="1"/>
    <xf numFmtId="0" fontId="11" fillId="0" borderId="0" xfId="0" applyFont="1"/>
    <xf numFmtId="0" fontId="24" fillId="0" borderId="0" xfId="0" applyFont="1" applyAlignment="1"/>
    <xf numFmtId="49" fontId="16" fillId="0" borderId="0" xfId="0" applyNumberFormat="1" applyFont="1" applyAlignment="1"/>
    <xf numFmtId="0" fontId="6" fillId="8" borderId="0" xfId="0" applyFont="1" applyFill="1" applyAlignment="1"/>
    <xf numFmtId="9" fontId="9" fillId="0" borderId="0" xfId="0" applyNumberFormat="1" applyFont="1"/>
    <xf numFmtId="10" fontId="9" fillId="0" borderId="0" xfId="0" applyNumberFormat="1" applyFont="1"/>
    <xf numFmtId="9" fontId="25" fillId="2" borderId="0" xfId="0" applyNumberFormat="1" applyFont="1" applyFill="1" applyAlignment="1"/>
    <xf numFmtId="0" fontId="26" fillId="0" borderId="0" xfId="0" applyFont="1"/>
    <xf numFmtId="9" fontId="16" fillId="2" borderId="0" xfId="0" applyNumberFormat="1" applyFont="1" applyFill="1" applyAlignment="1"/>
    <xf numFmtId="10" fontId="16" fillId="0" borderId="0" xfId="0" applyNumberFormat="1" applyFont="1" applyAlignment="1"/>
    <xf numFmtId="9" fontId="16" fillId="0" borderId="0" xfId="0" applyNumberFormat="1" applyFont="1"/>
    <xf numFmtId="1" fontId="17" fillId="0" borderId="0" xfId="0" applyNumberFormat="1" applyFont="1" applyAlignment="1"/>
    <xf numFmtId="165" fontId="17" fillId="0" borderId="0" xfId="0" applyNumberFormat="1" applyFont="1" applyAlignment="1"/>
    <xf numFmtId="0" fontId="11" fillId="8" borderId="0" xfId="0" applyFont="1" applyFill="1" applyAlignment="1"/>
    <xf numFmtId="165" fontId="6" fillId="7" borderId="0" xfId="0" applyNumberFormat="1" applyFont="1" applyFill="1" applyAlignment="1"/>
    <xf numFmtId="167" fontId="6" fillId="8" borderId="0" xfId="0" applyNumberFormat="1" applyFont="1" applyFill="1" applyAlignment="1"/>
    <xf numFmtId="9" fontId="19" fillId="0" borderId="0" xfId="0" applyNumberFormat="1" applyFont="1"/>
    <xf numFmtId="0" fontId="0" fillId="8" borderId="0" xfId="0" applyFill="1"/>
    <xf numFmtId="1" fontId="6" fillId="0" borderId="0" xfId="0" applyNumberFormat="1" applyFont="1" applyAlignment="1"/>
    <xf numFmtId="165" fontId="6" fillId="2" borderId="0" xfId="0" applyNumberFormat="1" applyFont="1" applyFill="1" applyAlignment="1"/>
    <xf numFmtId="10" fontId="19" fillId="0" borderId="0" xfId="0" applyNumberFormat="1" applyFont="1" applyAlignment="1"/>
    <xf numFmtId="0" fontId="27" fillId="0" borderId="0" xfId="0" applyFont="1" applyAlignment="1"/>
    <xf numFmtId="1" fontId="11" fillId="0" borderId="0" xfId="0" applyNumberFormat="1" applyFont="1" applyAlignment="1"/>
    <xf numFmtId="0" fontId="28" fillId="0" borderId="0" xfId="0" applyFont="1" applyAlignment="1"/>
    <xf numFmtId="2" fontId="6" fillId="0" borderId="0" xfId="0" applyNumberFormat="1" applyFont="1" applyAlignment="1"/>
    <xf numFmtId="168" fontId="6" fillId="0" borderId="0" xfId="0" applyNumberFormat="1" applyFont="1" applyAlignment="1"/>
    <xf numFmtId="169" fontId="6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179"/>
  <sheetFormatPr defaultRowHeight="15" outlineLevelRow="0" outlineLevelCol="0" x14ac:dyDescent="55"/>
  <cols>
    <col min="1" max="1" width="33" customWidth="1"/>
    <col min="2" max="2" width="17" customWidth="1"/>
    <col min="3" max="3" width="11" customWidth="1"/>
  </cols>
  <sheetData>
    <row r="1" ht="18" customHeight="1" spans="1:106" x14ac:dyDescent="0.25">
      <c r="A1" s="1" t="s">
        <v>0</v>
      </c>
      <c r="B1" t="s">
        <v>1</v>
      </c>
      <c r="C1" t="s">
        <v>2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2</v>
      </c>
      <c r="X1" t="s">
        <v>2</v>
      </c>
      <c r="Y1" t="s">
        <v>2</v>
      </c>
      <c r="Z1" t="s">
        <v>2</v>
      </c>
      <c r="AA1" t="s">
        <v>2</v>
      </c>
      <c r="AB1" t="s">
        <v>2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 t="s">
        <v>2</v>
      </c>
      <c r="AI1" t="s">
        <v>2</v>
      </c>
      <c r="AJ1" t="s">
        <v>2</v>
      </c>
      <c r="AK1" t="s">
        <v>2</v>
      </c>
      <c r="AL1" t="s">
        <v>2</v>
      </c>
      <c r="AM1" t="s">
        <v>2</v>
      </c>
      <c r="AN1" t="s">
        <v>2</v>
      </c>
      <c r="AO1" t="s">
        <v>2</v>
      </c>
      <c r="AP1" t="s">
        <v>2</v>
      </c>
      <c r="AQ1" t="s">
        <v>2</v>
      </c>
      <c r="AR1" t="s">
        <v>2</v>
      </c>
      <c r="AS1" t="s">
        <v>2</v>
      </c>
      <c r="AT1" t="s">
        <v>2</v>
      </c>
      <c r="AU1" t="s">
        <v>2</v>
      </c>
      <c r="AV1" t="s">
        <v>2</v>
      </c>
      <c r="AW1" t="s">
        <v>2</v>
      </c>
      <c r="AX1" t="s">
        <v>2</v>
      </c>
      <c r="AY1" t="s">
        <v>2</v>
      </c>
      <c r="AZ1" t="s">
        <v>2</v>
      </c>
      <c r="BA1" t="s">
        <v>2</v>
      </c>
      <c r="BB1" t="s">
        <v>2</v>
      </c>
      <c r="BC1" t="s">
        <v>2</v>
      </c>
      <c r="BD1" t="s">
        <v>2</v>
      </c>
      <c r="BE1" t="s">
        <v>2</v>
      </c>
      <c r="BF1" t="s">
        <v>2</v>
      </c>
      <c r="BG1" t="s">
        <v>2</v>
      </c>
      <c r="BH1" t="s">
        <v>2</v>
      </c>
      <c r="BI1" t="s">
        <v>2</v>
      </c>
      <c r="BJ1" t="s">
        <v>2</v>
      </c>
      <c r="BK1" t="s">
        <v>2</v>
      </c>
      <c r="BL1" t="s">
        <v>2</v>
      </c>
      <c r="BM1" t="s">
        <v>2</v>
      </c>
      <c r="BN1" t="s">
        <v>2</v>
      </c>
      <c r="BO1" t="s">
        <v>2</v>
      </c>
      <c r="BP1" t="s">
        <v>2</v>
      </c>
      <c r="BQ1" t="s">
        <v>2</v>
      </c>
      <c r="BR1" t="s">
        <v>2</v>
      </c>
      <c r="BS1" t="s">
        <v>2</v>
      </c>
      <c r="BT1" t="s">
        <v>2</v>
      </c>
      <c r="BU1" t="s">
        <v>2</v>
      </c>
      <c r="BV1" t="s">
        <v>2</v>
      </c>
      <c r="BW1" t="s">
        <v>2</v>
      </c>
      <c r="BX1" t="s">
        <v>2</v>
      </c>
      <c r="BY1" t="s">
        <v>2</v>
      </c>
      <c r="BZ1" t="s">
        <v>2</v>
      </c>
      <c r="CA1" t="s">
        <v>2</v>
      </c>
      <c r="CB1" t="s">
        <v>2</v>
      </c>
      <c r="CC1" t="s">
        <v>2</v>
      </c>
      <c r="CD1" t="s">
        <v>2</v>
      </c>
      <c r="CE1" t="s">
        <v>2</v>
      </c>
      <c r="CF1" t="s">
        <v>2</v>
      </c>
      <c r="CG1" t="s">
        <v>2</v>
      </c>
      <c r="CH1" t="s">
        <v>2</v>
      </c>
      <c r="CI1" t="s">
        <v>2</v>
      </c>
      <c r="CJ1" t="s">
        <v>2</v>
      </c>
      <c r="CK1" t="s">
        <v>2</v>
      </c>
      <c r="CL1" t="s">
        <v>2</v>
      </c>
      <c r="CM1" t="s">
        <v>2</v>
      </c>
      <c r="CN1" t="s">
        <v>2</v>
      </c>
      <c r="CO1" t="s">
        <v>2</v>
      </c>
      <c r="CP1" t="s">
        <v>2</v>
      </c>
      <c r="CQ1" t="s">
        <v>2</v>
      </c>
      <c r="CR1" t="s">
        <v>2</v>
      </c>
      <c r="CS1" t="s">
        <v>2</v>
      </c>
      <c r="CT1" t="s">
        <v>2</v>
      </c>
      <c r="CU1" t="s">
        <v>2</v>
      </c>
      <c r="CV1" t="s">
        <v>2</v>
      </c>
      <c r="CW1" t="s">
        <v>2</v>
      </c>
      <c r="CX1" t="s">
        <v>2</v>
      </c>
      <c r="CY1" t="s">
        <v>2</v>
      </c>
      <c r="CZ1" t="s">
        <v>2</v>
      </c>
      <c r="DA1" t="s">
        <v>2</v>
      </c>
      <c r="DB1" t="s">
        <v>2</v>
      </c>
    </row>
    <row r="2" ht="18" customHeight="1" spans="1:106" x14ac:dyDescent="0.25">
      <c r="B2" t="s">
        <v>3</v>
      </c>
      <c r="C2" s="2">
        <f>=TODAY()</f>
        <v>45972</v>
      </c>
      <c r="D2" t="str">
        <f>=IF(C2="Current WK","Next Week",IF(DATEVALUE(D4)=$C$2-WEEKDAY($C$2,1)+1,"Current WK",""))</f>
        <v/>
      </c>
      <c r="E2" t="str">
        <f>=IF(D2="Current WK","Next Week",IF(DATEVALUE(E4)=$C$2-WEEKDAY($C$2,1)+1,"Current WK",""))</f>
        <v/>
      </c>
      <c r="F2" t="str">
        <f>=IF(E2="Current WK","Next Week",IF(DATEVALUE(F4)=$C$2-WEEKDAY($C$2,1)+1,"Current WK",""))</f>
        <v/>
      </c>
      <c r="G2" t="str">
        <f>=IF(F2="Current WK","Next Week",IF(DATEVALUE(G4)=$C$2-WEEKDAY($C$2,1)+1,"Current WK",""))</f>
        <v/>
      </c>
      <c r="H2" t="str">
        <f>=IF(G2="Current WK","Next Week",IF(DATEVALUE(H4)=$C$2-WEEKDAY($C$2,1)+1,"Current WK",""))</f>
        <v/>
      </c>
      <c r="I2" t="str">
        <f>=IF(H2="Current WK","Next Week",IF(DATEVALUE(I4)=$C$2-WEEKDAY($C$2,1)+1,"Current WK",""))</f>
        <v/>
      </c>
      <c r="J2" t="str">
        <f>=IF(I2="Current WK","Next Week",IF(DATEVALUE(J4)=$C$2-WEEKDAY($C$2,1)+1,"Current WK",""))</f>
        <v/>
      </c>
      <c r="K2" t="str">
        <f>=IF(J2="Current WK","Next Week",IF(DATEVALUE(K4)=$C$2-WEEKDAY($C$2,1)+1,"Current WK",""))</f>
        <v/>
      </c>
      <c r="L2" t="str">
        <f>=IF(K2="Current WK","Next Week",IF(DATEVALUE(L4)=$C$2-WEEKDAY($C$2,1)+1,"Current WK",""))</f>
        <v/>
      </c>
      <c r="M2" t="str">
        <f>=IF(L2="Current WK","Next Week",IF(DATEVALUE(M4)=$C$2-WEEKDAY($C$2,1)+1,"Current WK",""))</f>
        <v/>
      </c>
      <c r="N2" t="str">
        <f>=IF(M2="Current WK","Next Week",IF(DATEVALUE(N4)=$C$2-WEEKDAY($C$2,1)+1,"Current WK",""))</f>
        <v/>
      </c>
      <c r="O2" t="str">
        <f>=IF(N2="Current WK","Next Week",IF(DATEVALUE(O4)=$C$2-WEEKDAY($C$2,1)+1,"Current WK",""))</f>
        <v/>
      </c>
      <c r="P2" t="str">
        <f>=IF(O2="Current WK","Next Week",IF(DATEVALUE(P4)=$C$2-WEEKDAY($C$2,1)+1,"Current WK",""))</f>
        <v/>
      </c>
      <c r="Q2" t="str">
        <f>=IF(P2="Current WK","Next Week",IF(DATEVALUE(Q4)=$C$2-WEEKDAY($C$2,1)+1,"Current WK",""))</f>
        <v/>
      </c>
      <c r="R2" t="str">
        <f>=IF(Q2="Current WK","Next Week",IF(DATEVALUE(R4)=$C$2-WEEKDAY($C$2,1)+1,"Current WK",""))</f>
        <v/>
      </c>
      <c r="S2" t="str">
        <f>=IF(R2="Current WK","Next Week",IF(DATEVALUE(S4)=$C$2-WEEKDAY($C$2,1)+1,"Current WK",""))</f>
        <v/>
      </c>
      <c r="T2" t="str">
        <f>=IF(S2="Current WK","Next Week",IF(DATEVALUE(T4)=$C$2-WEEKDAY($C$2,1)+1,"Current WK",""))</f>
        <v/>
      </c>
      <c r="U2" t="str">
        <f>=IF(T2="Current WK","Next Week",IF(DATEVALUE(U4)=$C$2-WEEKDAY($C$2,1)+1,"Current WK",""))</f>
        <v/>
      </c>
      <c r="V2" t="str">
        <f>=IF(U2="Current WK","Next Week",IF(DATEVALUE(V4)=$C$2-WEEKDAY($C$2,1)+1,"Current WK",""))</f>
        <v/>
      </c>
      <c r="W2" t="str">
        <f>=IF(V2="Current WK","Next Week",IF(DATEVALUE(W4)=$C$2-WEEKDAY($C$2,1)+1,"Current WK",""))</f>
        <v/>
      </c>
      <c r="X2" t="str">
        <f>=IF(W2="Current WK","Next Week",IF(DATEVALUE(X4)=$C$2-WEEKDAY($C$2,1)+1,"Current WK",""))</f>
        <v/>
      </c>
      <c r="Y2" t="str">
        <f>=IF(X2="Current WK","Next Week",IF(DATEVALUE(Y4)=$C$2-WEEKDAY($C$2,1)+1,"Current WK",""))</f>
        <v/>
      </c>
      <c r="Z2" t="str">
        <f>=IF(Y2="Current WK","Next Week",IF(DATEVALUE(Z4)=$C$2-WEEKDAY($C$2,1)+1,"Current WK",""))</f>
        <v/>
      </c>
      <c r="AA2" t="str">
        <f>=IF(Z2="Current WK","Next Week",IF(DATEVALUE(AA4)=$C$2-WEEKDAY($C$2,1)+1,"Current WK",""))</f>
        <v/>
      </c>
      <c r="AB2" t="str">
        <f>=IF(AA2="Current WK","Next Week",IF(DATEVALUE(AB4)=$C$2-WEEKDAY($C$2,1)+1,"Current WK",""))</f>
        <v/>
      </c>
      <c r="AC2" t="str">
        <f>=IF(AB2="Current WK","Next Week",IF(DATEVALUE(AC4)=$C$2-WEEKDAY($C$2,1)+1,"Current WK",""))</f>
        <v/>
      </c>
      <c r="AD2" t="str">
        <f>=IF(AC2="Current WK","Next Week",IF(DATEVALUE(AD4)=$C$2-WEEKDAY($C$2,1)+1,"Current WK",""))</f>
        <v/>
      </c>
      <c r="AE2" t="str">
        <f>=IF(AD2="Current WK","Next Week",IF(DATEVALUE(AE4)=$C$2-WEEKDAY($C$2,1)+1,"Current WK",""))</f>
        <v/>
      </c>
      <c r="AF2" t="str">
        <f>=IF(AE2="Current WK","Next Week",IF(DATEVALUE(AF4)=$C$2-WEEKDAY($C$2,1)+1,"Current WK",""))</f>
        <v/>
      </c>
      <c r="AG2" t="str">
        <f>=IF(AF2="Current WK","Next Week",IF(DATEVALUE(AG4)=$C$2-WEEKDAY($C$2,1)+1,"Current WK",""))</f>
        <v/>
      </c>
      <c r="AH2" t="str">
        <f>=IF(AG2="Current WK","Next Week",IF(DATEVALUE(AH4)=$C$2-WEEKDAY($C$2,1)+1,"Current WK",""))</f>
        <v/>
      </c>
      <c r="AI2" t="str">
        <f>=IF(AH2="Current WK","Next Week",IF(DATEVALUE(AI4)=$C$2-WEEKDAY($C$2,1)+1,"Current WK",""))</f>
        <v/>
      </c>
      <c r="AJ2" t="str">
        <f>=IF(AI2="Current WK","Next Week",IF(DATEVALUE(AJ4)=$C$2-WEEKDAY($C$2,1)+1,"Current WK",""))</f>
        <v/>
      </c>
      <c r="AK2" t="str">
        <f>=IF(AJ2="Current WK","Next Week",IF(DATEVALUE(AK4)=$C$2-WEEKDAY($C$2,1)+1,"Current WK",""))</f>
        <v/>
      </c>
      <c r="AL2" t="str">
        <f>=IF(AK2="Current WK","Next Week",IF(DATEVALUE(AL4)=$C$2-WEEKDAY($C$2,1)+1,"Current WK",""))</f>
        <v/>
      </c>
      <c r="AM2" t="str">
        <f>=IF(AL2="Current WK","Next Week",IF(DATEVALUE(AM4)=$C$2-WEEKDAY($C$2,1)+1,"Current WK",""))</f>
        <v/>
      </c>
      <c r="AN2" t="str">
        <f>=IF(AM2="Current WK","Next Week",IF(DATEVALUE(AN4)=$C$2-WEEKDAY($C$2,1)+1,"Current WK",""))</f>
        <v/>
      </c>
      <c r="AO2" t="str">
        <f>=IF(AN2="Current WK","Next Week",IF(DATEVALUE(AO4)=$C$2-WEEKDAY($C$2,1)+1,"Current WK",""))</f>
        <v/>
      </c>
      <c r="AP2" t="str">
        <f>=IF(AO2="Current WK","Next Week",IF(DATEVALUE(AP4)=$C$2-WEEKDAY($C$2,1)+1,"Current WK",""))</f>
        <v/>
      </c>
      <c r="AQ2" t="str">
        <f>=IF(AP2="Current WK","Next Week",IF(DATEVALUE(AQ4)=$C$2-WEEKDAY($C$2,1)+1,"Current WK",""))</f>
        <v/>
      </c>
      <c r="AR2" t="str">
        <f>=IF(AQ2="Current WK","Next Week",IF(DATEVALUE(AR4)=$C$2-WEEKDAY($C$2,1)+1,"Current WK",""))</f>
        <v/>
      </c>
      <c r="AS2" t="str">
        <f>=IF(AR2="Current WK","Next Week",IF(DATEVALUE(AS4)=$C$2-WEEKDAY($C$2,1)+1,"Current WK",""))</f>
        <v/>
      </c>
      <c r="AT2" t="str">
        <f>=IF(AS2="Current WK","Next Week",IF(DATEVALUE(AT4)=$C$2-WEEKDAY($C$2,1)+1,"Current WK",""))</f>
        <v/>
      </c>
      <c r="AU2" t="str">
        <f>=IF(AT2="Current WK","Next Week",IF(DATEVALUE(AU4)=$C$2-WEEKDAY($C$2,1)+1,"Current WK",""))</f>
        <v/>
      </c>
      <c r="AV2" t="str">
        <f>=IF(AU2="Current WK","Next Week",IF(DATEVALUE(AV4)=$C$2-WEEKDAY($C$2,1)+1,"Current WK",""))</f>
        <v/>
      </c>
      <c r="AW2" t="str">
        <f>=IF(AV2="Current WK","Next Week",IF(DATEVALUE(AW4)=$C$2-WEEKDAY($C$2,1)+1,"Current WK",""))</f>
        <v/>
      </c>
      <c r="AX2" t="str">
        <f>=IF(AW2="Current WK","Next Week",IF(DATEVALUE(AX4)=$C$2-WEEKDAY($C$2,1)+1,"Current WK",""))</f>
        <v/>
      </c>
      <c r="AY2" t="str">
        <f>=IF(AX2="Current WK","Next Week",IF(DATEVALUE(AY4)=$C$2-WEEKDAY($C$2,1)+1,"Current WK",""))</f>
        <v/>
      </c>
      <c r="AZ2" t="str">
        <f>=IF(AY2="Current WK","Next Week",IF(DATEVALUE(AZ4)=$C$2-WEEKDAY($C$2,1)+1,"Current WK",""))</f>
        <v/>
      </c>
      <c r="BA2" t="str">
        <f>=IF(AZ2="Current WK","Next Week",IF(DATEVALUE(BA4)=$C$2-WEEKDAY($C$2,1)+1,"Current WK",""))</f>
        <v/>
      </c>
      <c r="BB2" t="str">
        <f>=IF(BA2="Current WK","Next Week",IF(DATEVALUE(BB4)=$C$2-WEEKDAY($C$2,1)+1,"Current WK",""))</f>
        <v/>
      </c>
      <c r="BC2" t="str">
        <f>=IF(BB2="Current WK","Next Week",IF(DATEVALUE(BC4)=$C$2-WEEKDAY($C$2,1)+1,"Current WK",""))</f>
        <v/>
      </c>
      <c r="BD2" t="str">
        <f>=IF(BC2="Current WK","Next Week",IF(DATEVALUE(BD4)=$C$2-WEEKDAY($C$2,1)+1,"Current WK",""))</f>
        <v/>
      </c>
      <c r="BE2" t="str">
        <f>=IF(BD2="Current WK","Next Week",IF(DATEVALUE(BE4)=$C$2-WEEKDAY($C$2,1)+1,"Current WK",""))</f>
        <v/>
      </c>
      <c r="BF2" t="str">
        <f>=IF(BE2="Current WK","Next Week",IF(DATEVALUE(BF4)=$C$2-WEEKDAY($C$2,1)+1,"Current WK",""))</f>
        <v/>
      </c>
      <c r="BG2" t="str">
        <f>=IF(BF2="Current WK","Next Week",IF(DATEVALUE(BG4)=$C$2-WEEKDAY($C$2,1)+1,"Current WK",""))</f>
        <v/>
      </c>
      <c r="BH2" t="str">
        <f>=IF(BG2="Current WK","Next Week",IF(DATEVALUE(BH4)=$C$2-WEEKDAY($C$2,1)+1,"Current WK",""))</f>
        <v/>
      </c>
      <c r="BI2" t="str">
        <f>=IF(BH2="Current WK","Next Week",IF(DATEVALUE(BI4)=$C$2-WEEKDAY($C$2,1)+1,"Current WK",""))</f>
        <v/>
      </c>
      <c r="BJ2" t="str">
        <f>=IF(BI2="Current WK","Next Week",IF(DATEVALUE(BJ4)=$C$2-WEEKDAY($C$2,1)+1,"Current WK",""))</f>
        <v/>
      </c>
      <c r="BK2" t="str">
        <f>=IF(BJ2="Current WK","Next Week",IF(DATEVALUE(BK4)=$C$2-WEEKDAY($C$2,1)+1,"Current WK",""))</f>
        <v/>
      </c>
      <c r="BL2" t="str">
        <f>=IF(BK2="Current WK","Next Week",IF(DATEVALUE(BL4)=$C$2-WEEKDAY($C$2,1)+1,"Current WK",""))</f>
        <v/>
      </c>
      <c r="BM2" t="str">
        <f>=IF(BL2="Current WK","Next Week",IF(DATEVALUE(BM4)=$C$2-WEEKDAY($C$2,1)+1,"Current WK",""))</f>
        <v/>
      </c>
      <c r="BN2" t="str">
        <f>=IF(BM2="Current WK","Next Week",IF(DATEVALUE(BN4)=$C$2-WEEKDAY($C$2,1)+1,"Current WK",""))</f>
        <v/>
      </c>
      <c r="BO2" t="str">
        <f>=IF(BN2="Current WK","Next Week",IF(DATEVALUE(BO4)=$C$2-WEEKDAY($C$2,1)+1,"Current WK",""))</f>
        <v/>
      </c>
      <c r="BP2" t="str">
        <f>=IF(BO2="Current WK","Next Week",IF(DATEVALUE(BP4)=$C$2-WEEKDAY($C$2,1)+1,"Current WK",""))</f>
        <v/>
      </c>
      <c r="BQ2" t="str">
        <f>=IF(BP2="Current WK","Next Week",IF(DATEVALUE(BQ4)=$C$2-WEEKDAY($C$2,1)+1,"Current WK",""))</f>
        <v/>
      </c>
      <c r="BR2" t="str">
        <f>=IF(BQ2="Current WK","Next Week",IF(DATEVALUE(BR4)=$C$2-WEEKDAY($C$2,1)+1,"Current WK",""))</f>
        <v/>
      </c>
      <c r="BS2" t="str">
        <f>=IF(BR2="Current WK","Next Week",IF(DATEVALUE(BS4)=$C$2-WEEKDAY($C$2,1)+1,"Current WK",""))</f>
        <v/>
      </c>
      <c r="BT2" t="str">
        <f>=IF(BS2="Current WK","Next Week",IF(DATEVALUE(BT4)=$C$2-WEEKDAY($C$2,1)+1,"Current WK",""))</f>
        <v/>
      </c>
      <c r="BU2" s="3" t="str">
        <f>=IF(BT2="Current WK","Next Week",IF(DATEVALUE(BU4)=$C$2-WEEKDAY($C$2,1)+1,"Current WK",""))</f>
        <v/>
      </c>
      <c r="BV2" s="4" t="str">
        <f>=IF(BU2="Current WK","Next Week",IF(DATEVALUE(BV4)=$C$2-WEEKDAY($C$2,1)+1,"Current WK",""))</f>
        <v>Current WK</v>
      </c>
      <c r="BW2" s="4" t="str">
        <f>=IF(BV2="Current WK","Next Week",IF(DATEVALUE(BW4)=$C$2-WEEKDAY($C$2,1)+1,"Current WK",""))</f>
        <v>Next Week</v>
      </c>
      <c r="BX2" t="str">
        <f>=IF(BW2="Current WK","Next Week",IF(DATEVALUE(BX4)=$C$2-WEEKDAY($C$2,1)+1,"Current WK",""))</f>
        <v/>
      </c>
      <c r="BY2" t="str">
        <f>=IF(BX2="Current WK","Next Week",IF(DATEVALUE(BY4)=$C$2-WEEKDAY($C$2,1)+1,"Current WK",""))</f>
        <v/>
      </c>
      <c r="BZ2" t="str">
        <f>=IF(BY2="Current WK","Next Week",IF(DATEVALUE(BZ4)=$C$2-WEEKDAY($C$2,1)+1,"Current WK",""))</f>
        <v/>
      </c>
      <c r="CA2" t="str">
        <f>=IF(BZ2="Current WK","Next Week",IF(DATEVALUE(CA4)=$C$2-WEEKDAY($C$2,1)+1,"Current WK",""))</f>
        <v/>
      </c>
      <c r="CB2" t="str">
        <f>=IF(CA2="Current WK","Next Week",IF(DATEVALUE(CB4)=$C$2-WEEKDAY($C$2,1)+1,"Current WK",""))</f>
        <v/>
      </c>
      <c r="CC2" t="str">
        <f>=IF(CB2="Current WK","Next Week",IF(DATEVALUE(CC4)=$C$2-WEEKDAY($C$2,1)+1,"Current WK",""))</f>
        <v/>
      </c>
      <c r="CD2" t="str">
        <f>=IF(CC2="Current WK","Next Week",IF(DATEVALUE(CD4)=$C$2-WEEKDAY($C$2,1)+1,"Current WK",""))</f>
        <v/>
      </c>
      <c r="CE2" t="str">
        <f>=IF(CD2="Current WK","Next Week",IF(DATEVALUE(CE4)=$C$2-WEEKDAY($C$2,1)+1,"Current WK",""))</f>
        <v/>
      </c>
      <c r="CF2" t="str">
        <f>=IF(CE2="Current WK","Next Week",IF(DATEVALUE(CF4)=$C$2-WEEKDAY($C$2,1)+1,"Current WK",""))</f>
        <v/>
      </c>
      <c r="CG2" t="str">
        <f>=IF(CF2="Current WK","Next Week",IF(DATEVALUE(CG4)=$C$2-WEEKDAY($C$2,1)+1,"Current WK",""))</f>
        <v/>
      </c>
      <c r="CH2" t="str">
        <f>=IF(CG2="Current WK","Next Week",IF(DATEVALUE(CH4)=$C$2-WEEKDAY($C$2,1)+1,"Current WK",""))</f>
        <v/>
      </c>
      <c r="CI2" t="str">
        <f>=IF(CH2="Current WK","Next Week",IF(DATEVALUE(CI4)=$C$2-WEEKDAY($C$2,1)+1,"Current WK",""))</f>
        <v/>
      </c>
      <c r="CJ2" t="str">
        <f>=IF(CI2="Current WK","Next Week",IF(DATEVALUE(CJ4)=$C$2-WEEKDAY($C$2,1)+1,"Current WK",""))</f>
        <v/>
      </c>
      <c r="CK2" t="str">
        <f>=IF(CJ2="Current WK","Next Week",IF(DATEVALUE(CK4)=$C$2-WEEKDAY($C$2,1)+1,"Current WK",""))</f>
        <v/>
      </c>
      <c r="CL2" t="str">
        <f>=IF(CK2="Current WK","Next Week",IF(DATEVALUE(CL4)=$C$2-WEEKDAY($C$2,1)+1,"Current WK",""))</f>
        <v/>
      </c>
      <c r="CM2" t="str">
        <f>=IF(CL2="Current WK","Next Week",IF(DATEVALUE(CM4)=$C$2-WEEKDAY($C$2,1)+1,"Current WK",""))</f>
        <v/>
      </c>
      <c r="CN2" t="str">
        <f>=IF(CM2="Current WK","Next Week",IF(DATEVALUE(CN4)=$C$2-WEEKDAY($C$2,1)+1,"Current WK",""))</f>
        <v/>
      </c>
      <c r="CO2" t="str">
        <f>=IF(CN2="Current WK","Next Week",IF(DATEVALUE(CO4)=$C$2-WEEKDAY($C$2,1)+1,"Current WK",""))</f>
        <v/>
      </c>
      <c r="CP2" t="str">
        <f>=IF(CO2="Current WK","Next Week",IF(DATEVALUE(CP4)=$C$2-WEEKDAY($C$2,1)+1,"Current WK",""))</f>
        <v/>
      </c>
      <c r="CQ2" t="str">
        <f>=IF(CP2="Current WK","Next Week",IF(DATEVALUE(CQ4)=$C$2-WEEKDAY($C$2,1)+1,"Current WK",""))</f>
        <v/>
      </c>
      <c r="CR2" t="str">
        <f>=IF(CQ2="Current WK","Next Week",IF(DATEVALUE(CR4)=$C$2-WEEKDAY($C$2,1)+1,"Current WK",""))</f>
        <v/>
      </c>
      <c r="CS2" t="str">
        <f>=IF(CR2="Current WK","Next Week",IF(DATEVALUE(CS4)=$C$2-WEEKDAY($C$2,1)+1,"Current WK",""))</f>
        <v/>
      </c>
      <c r="CT2" t="str">
        <f>=IF(CS2="Current WK","Next Week",IF(DATEVALUE(CT4)=$C$2-WEEKDAY($C$2,1)+1,"Current WK",""))</f>
        <v/>
      </c>
      <c r="CU2" t="str">
        <f>=IF(CT2="Current WK","Next Week",IF(DATEVALUE(CU4)=$C$2-WEEKDAY($C$2,1)+1,"Current WK",""))</f>
        <v/>
      </c>
      <c r="CV2" t="str">
        <f>=IF(CU2="Current WK","Next Week",IF(DATEVALUE(CV4)=$C$2-WEEKDAY($C$2,1)+1,"Current WK",""))</f>
        <v/>
      </c>
      <c r="CW2" t="str">
        <f>=IF(CV2="Current WK","Next Week",IF(DATEVALUE(CW4)=$C$2-WEEKDAY($C$2,1)+1,"Current WK",""))</f>
        <v/>
      </c>
      <c r="CX2" t="str">
        <f>=IF(CW2="Current WK","Next Week",IF(DATEVALUE(CX4)=$C$2-WEEKDAY($C$2,1)+1,"Current WK",""))</f>
        <v/>
      </c>
      <c r="CY2" t="str">
        <f>=IF(CX2="Current WK","Next Week",IF(DATEVALUE(CY4)=$C$2-WEEKDAY($C$2,1)+1,"Current WK",""))</f>
        <v/>
      </c>
      <c r="CZ2" t="str">
        <f>=IF(CY2="Current WK","Next Week",IF(DATEVALUE(CZ4)=$C$2-WEEKDAY($C$2,1)+1,"Current WK",""))</f>
        <v/>
      </c>
      <c r="DA2" t="str">
        <f>=IF(CZ2="Current WK","Next Week",IF(DATEVALUE(DA4)=$C$2-WEEKDAY($C$2,1)+1,"Current WK",""))</f>
        <v/>
      </c>
      <c r="DB2" t="str">
        <f>=IF(DA2="Current WK","Next Week",IF(DATEVALUE(DB4)=$C$2-WEEKDAY($C$2,1)+1,"Current WK",""))</f>
        <v/>
      </c>
    </row>
    <row r="3" ht="18" customHeight="1" spans="1:106" x14ac:dyDescent="0.25">
      <c r="A3" s="1"/>
      <c r="B3" s="5" t="s">
        <v>4</v>
      </c>
      <c r="C3" t="s">
        <v>5</v>
      </c>
      <c r="D3" t="s">
        <v>6</v>
      </c>
      <c r="E3" t="s">
        <v>6</v>
      </c>
      <c r="F3" s="6" t="s">
        <v>6</v>
      </c>
      <c r="G3" t="s">
        <v>6</v>
      </c>
      <c r="H3" t="s">
        <v>7</v>
      </c>
      <c r="I3" t="s">
        <v>7</v>
      </c>
      <c r="J3" t="s">
        <v>7</v>
      </c>
      <c r="K3" t="s">
        <v>7</v>
      </c>
      <c r="L3" t="s">
        <v>8</v>
      </c>
      <c r="M3" t="s">
        <v>8</v>
      </c>
      <c r="N3" t="s">
        <v>8</v>
      </c>
      <c r="O3" t="s">
        <v>8</v>
      </c>
      <c r="P3" t="s">
        <v>8</v>
      </c>
      <c r="Q3" t="s">
        <v>9</v>
      </c>
      <c r="R3" t="s">
        <v>9</v>
      </c>
      <c r="S3" t="s">
        <v>9</v>
      </c>
      <c r="T3" t="s">
        <v>9</v>
      </c>
      <c r="U3" t="s">
        <v>10</v>
      </c>
      <c r="V3" t="s">
        <v>10</v>
      </c>
      <c r="W3" t="s">
        <v>10</v>
      </c>
      <c r="X3" t="s">
        <v>10</v>
      </c>
      <c r="Y3" t="s">
        <v>11</v>
      </c>
      <c r="Z3" t="s">
        <v>11</v>
      </c>
      <c r="AA3" t="s">
        <v>11</v>
      </c>
      <c r="AB3" t="s">
        <v>11</v>
      </c>
      <c r="AC3" t="s">
        <v>11</v>
      </c>
      <c r="AD3" t="s">
        <v>12</v>
      </c>
      <c r="AE3" t="s">
        <v>12</v>
      </c>
      <c r="AF3" t="s">
        <v>12</v>
      </c>
      <c r="AG3" t="s">
        <v>12</v>
      </c>
      <c r="AH3" t="s">
        <v>13</v>
      </c>
      <c r="AI3" t="s">
        <v>13</v>
      </c>
      <c r="AJ3" t="s">
        <v>13</v>
      </c>
      <c r="AK3" t="s">
        <v>13</v>
      </c>
      <c r="AL3" t="s">
        <v>14</v>
      </c>
      <c r="AM3" t="s">
        <v>14</v>
      </c>
      <c r="AN3" t="s">
        <v>14</v>
      </c>
      <c r="AO3" t="s">
        <v>14</v>
      </c>
      <c r="AP3" t="s">
        <v>14</v>
      </c>
      <c r="AQ3" t="s">
        <v>15</v>
      </c>
      <c r="AR3" t="s">
        <v>15</v>
      </c>
      <c r="AS3" t="s">
        <v>15</v>
      </c>
      <c r="AT3" t="s">
        <v>15</v>
      </c>
      <c r="AU3" t="s">
        <v>16</v>
      </c>
      <c r="AV3" t="s">
        <v>16</v>
      </c>
      <c r="AW3" t="s">
        <v>16</v>
      </c>
      <c r="AX3" t="s">
        <v>16</v>
      </c>
      <c r="AY3" t="s">
        <v>17</v>
      </c>
      <c r="AZ3" t="s">
        <v>17</v>
      </c>
      <c r="BA3" t="s">
        <v>17</v>
      </c>
      <c r="BB3" t="s">
        <v>17</v>
      </c>
      <c r="BC3" t="s">
        <v>17</v>
      </c>
      <c r="BD3" t="s">
        <v>18</v>
      </c>
      <c r="BE3" t="s">
        <v>18</v>
      </c>
      <c r="BF3" t="s">
        <v>18</v>
      </c>
      <c r="BG3" t="s">
        <v>18</v>
      </c>
      <c r="BH3" t="s">
        <v>19</v>
      </c>
      <c r="BI3" t="s">
        <v>19</v>
      </c>
      <c r="BJ3" t="s">
        <v>19</v>
      </c>
      <c r="BK3" t="s">
        <v>19</v>
      </c>
      <c r="BL3" t="s">
        <v>19</v>
      </c>
      <c r="BM3" t="s">
        <v>20</v>
      </c>
      <c r="BN3" t="s">
        <v>20</v>
      </c>
      <c r="BO3" t="s">
        <v>20</v>
      </c>
      <c r="BP3" t="s">
        <v>20</v>
      </c>
      <c r="BQ3" t="s">
        <v>21</v>
      </c>
      <c r="BR3" t="s">
        <v>21</v>
      </c>
      <c r="BS3" t="s">
        <v>21</v>
      </c>
      <c r="BT3" t="s">
        <v>21</v>
      </c>
      <c r="BU3" t="s">
        <v>22</v>
      </c>
      <c r="BV3" t="s">
        <v>22</v>
      </c>
      <c r="BW3" t="s">
        <v>22</v>
      </c>
      <c r="BX3" t="s">
        <v>22</v>
      </c>
      <c r="BY3" t="s">
        <v>22</v>
      </c>
      <c r="BZ3" t="s">
        <v>23</v>
      </c>
      <c r="CA3" t="s">
        <v>23</v>
      </c>
      <c r="CB3" t="s">
        <v>23</v>
      </c>
      <c r="CC3" t="s">
        <v>23</v>
      </c>
      <c r="CD3" t="s">
        <v>24</v>
      </c>
      <c r="CE3" t="s">
        <v>24</v>
      </c>
      <c r="CF3" t="s">
        <v>24</v>
      </c>
      <c r="CG3" t="s">
        <v>24</v>
      </c>
      <c r="CH3" t="s">
        <v>25</v>
      </c>
      <c r="CI3" t="s">
        <v>25</v>
      </c>
      <c r="CJ3" t="s">
        <v>25</v>
      </c>
      <c r="CK3" t="s">
        <v>25</v>
      </c>
      <c r="CL3" t="s">
        <v>26</v>
      </c>
      <c r="CM3" t="s">
        <v>26</v>
      </c>
      <c r="CN3" t="s">
        <v>26</v>
      </c>
      <c r="CO3" t="s">
        <v>26</v>
      </c>
      <c r="CP3" t="s">
        <v>26</v>
      </c>
      <c r="CQ3" t="s">
        <v>27</v>
      </c>
      <c r="CR3" t="s">
        <v>27</v>
      </c>
      <c r="CS3" t="s">
        <v>27</v>
      </c>
      <c r="CT3" t="s">
        <v>27</v>
      </c>
      <c r="CU3" t="s">
        <v>28</v>
      </c>
      <c r="CV3" t="s">
        <v>28</v>
      </c>
      <c r="CW3" t="s">
        <v>28</v>
      </c>
      <c r="CX3" t="s">
        <v>28</v>
      </c>
      <c r="CY3" t="s">
        <v>28</v>
      </c>
      <c r="CZ3" t="s">
        <v>29</v>
      </c>
      <c r="DA3" t="s">
        <v>29</v>
      </c>
      <c r="DB3" t="s">
        <v>29</v>
      </c>
    </row>
    <row r="4" ht="18" customHeight="1" spans="1:106" x14ac:dyDescent="0.25">
      <c r="A4" s="1"/>
      <c r="B4" s="5" t="s">
        <v>30</v>
      </c>
      <c r="C4" s="7" t="s">
        <v>31</v>
      </c>
      <c r="D4" s="7" t="s">
        <v>32</v>
      </c>
      <c r="E4" s="7" t="s">
        <v>33</v>
      </c>
      <c r="F4" s="7" t="s">
        <v>34</v>
      </c>
      <c r="G4" s="7" t="s">
        <v>35</v>
      </c>
      <c r="H4" s="7" t="s">
        <v>36</v>
      </c>
      <c r="I4" s="7" t="s">
        <v>37</v>
      </c>
      <c r="J4" s="7" t="s">
        <v>38</v>
      </c>
      <c r="K4" s="7" t="s">
        <v>39</v>
      </c>
      <c r="L4" s="7" t="s">
        <v>40</v>
      </c>
      <c r="M4" s="7" t="s">
        <v>41</v>
      </c>
      <c r="N4" s="7" t="s">
        <v>42</v>
      </c>
      <c r="O4" s="7" t="s">
        <v>43</v>
      </c>
      <c r="P4" s="7" t="s">
        <v>44</v>
      </c>
      <c r="Q4" s="7" t="s">
        <v>45</v>
      </c>
      <c r="R4" s="7" t="s">
        <v>46</v>
      </c>
      <c r="S4" s="7" t="s">
        <v>47</v>
      </c>
      <c r="T4" s="7" t="s">
        <v>48</v>
      </c>
      <c r="U4" s="7" t="s">
        <v>49</v>
      </c>
      <c r="V4" s="7" t="s">
        <v>50</v>
      </c>
      <c r="W4" s="7" t="s">
        <v>51</v>
      </c>
      <c r="X4" s="7" t="s">
        <v>52</v>
      </c>
      <c r="Y4" s="7" t="s">
        <v>53</v>
      </c>
      <c r="Z4" s="7" t="s">
        <v>54</v>
      </c>
      <c r="AA4" s="7" t="s">
        <v>55</v>
      </c>
      <c r="AB4" s="7" t="s">
        <v>56</v>
      </c>
      <c r="AC4" s="7" t="s">
        <v>57</v>
      </c>
      <c r="AD4" s="7" t="s">
        <v>58</v>
      </c>
      <c r="AE4" s="7" t="s">
        <v>59</v>
      </c>
      <c r="AF4" s="7" t="s">
        <v>60</v>
      </c>
      <c r="AG4" s="7" t="s">
        <v>61</v>
      </c>
      <c r="AH4" s="7" t="s">
        <v>62</v>
      </c>
      <c r="AI4" s="7" t="s">
        <v>63</v>
      </c>
      <c r="AJ4" s="7" t="s">
        <v>64</v>
      </c>
      <c r="AK4" s="7" t="s">
        <v>65</v>
      </c>
      <c r="AL4" s="7" t="s">
        <v>66</v>
      </c>
      <c r="AM4" s="7" t="s">
        <v>67</v>
      </c>
      <c r="AN4" s="7" t="s">
        <v>68</v>
      </c>
      <c r="AO4" s="7" t="s">
        <v>69</v>
      </c>
      <c r="AP4" s="7" t="s">
        <v>70</v>
      </c>
      <c r="AQ4" s="7" t="s">
        <v>71</v>
      </c>
      <c r="AR4" s="7" t="s">
        <v>72</v>
      </c>
      <c r="AS4" s="7" t="s">
        <v>73</v>
      </c>
      <c r="AT4" s="7" t="s">
        <v>74</v>
      </c>
      <c r="AU4" s="7" t="s">
        <v>75</v>
      </c>
      <c r="AV4" s="7" t="s">
        <v>76</v>
      </c>
      <c r="AW4" s="7" t="s">
        <v>77</v>
      </c>
      <c r="AX4" s="7" t="s">
        <v>78</v>
      </c>
      <c r="AY4" s="7" t="s">
        <v>79</v>
      </c>
      <c r="AZ4" s="7" t="s">
        <v>80</v>
      </c>
      <c r="BA4" s="7" t="s">
        <v>81</v>
      </c>
      <c r="BB4" s="7" t="s">
        <v>82</v>
      </c>
      <c r="BC4" s="7" t="s">
        <v>83</v>
      </c>
      <c r="BD4" s="7" t="s">
        <v>84</v>
      </c>
      <c r="BE4" s="7" t="s">
        <v>85</v>
      </c>
      <c r="BF4" s="7" t="s">
        <v>86</v>
      </c>
      <c r="BG4" s="7" t="s">
        <v>87</v>
      </c>
      <c r="BH4" s="7" t="s">
        <v>88</v>
      </c>
      <c r="BI4" s="7" t="s">
        <v>89</v>
      </c>
      <c r="BJ4" s="7" t="s">
        <v>90</v>
      </c>
      <c r="BK4" s="7" t="s">
        <v>91</v>
      </c>
      <c r="BL4" s="7" t="s">
        <v>92</v>
      </c>
      <c r="BM4" s="7" t="s">
        <v>93</v>
      </c>
      <c r="BN4" s="7" t="s">
        <v>94</v>
      </c>
      <c r="BO4" s="7" t="s">
        <v>95</v>
      </c>
      <c r="BP4" s="7" t="s">
        <v>96</v>
      </c>
      <c r="BQ4" s="7" t="s">
        <v>97</v>
      </c>
      <c r="BR4" s="7" t="s">
        <v>98</v>
      </c>
      <c r="BS4" s="7" t="s">
        <v>99</v>
      </c>
      <c r="BT4" s="7" t="s">
        <v>100</v>
      </c>
      <c r="BU4" s="7" t="s">
        <v>101</v>
      </c>
      <c r="BV4" s="7" t="s">
        <v>102</v>
      </c>
      <c r="BW4" s="7" t="s">
        <v>103</v>
      </c>
      <c r="BX4" s="7" t="s">
        <v>104</v>
      </c>
      <c r="BY4" s="7" t="s">
        <v>105</v>
      </c>
      <c r="BZ4" s="7" t="s">
        <v>106</v>
      </c>
      <c r="CA4" s="7" t="s">
        <v>107</v>
      </c>
      <c r="CB4" s="7" t="s">
        <v>108</v>
      </c>
      <c r="CC4" s="7" t="s">
        <v>109</v>
      </c>
      <c r="CD4" s="7" t="s">
        <v>110</v>
      </c>
      <c r="CE4" s="7" t="s">
        <v>111</v>
      </c>
      <c r="CF4" s="7" t="s">
        <v>112</v>
      </c>
      <c r="CG4" s="7" t="s">
        <v>113</v>
      </c>
      <c r="CH4" s="7" t="s">
        <v>114</v>
      </c>
      <c r="CI4" s="7" t="s">
        <v>115</v>
      </c>
      <c r="CJ4" s="7" t="s">
        <v>116</v>
      </c>
      <c r="CK4" s="7" t="s">
        <v>117</v>
      </c>
      <c r="CL4" s="7" t="s">
        <v>118</v>
      </c>
      <c r="CM4" s="7" t="s">
        <v>119</v>
      </c>
      <c r="CN4" s="7" t="s">
        <v>120</v>
      </c>
      <c r="CO4" s="7" t="s">
        <v>121</v>
      </c>
      <c r="CP4" s="7" t="s">
        <v>122</v>
      </c>
      <c r="CQ4" s="7" t="s">
        <v>123</v>
      </c>
      <c r="CR4" s="7" t="s">
        <v>124</v>
      </c>
      <c r="CS4" s="7" t="s">
        <v>125</v>
      </c>
      <c r="CT4" s="7" t="s">
        <v>126</v>
      </c>
      <c r="CU4" s="7" t="s">
        <v>127</v>
      </c>
      <c r="CV4" s="7" t="s">
        <v>128</v>
      </c>
      <c r="CW4" s="7" t="s">
        <v>129</v>
      </c>
      <c r="CX4" s="7" t="s">
        <v>130</v>
      </c>
      <c r="CY4" s="7" t="s">
        <v>131</v>
      </c>
      <c r="CZ4" s="7" t="s">
        <v>132</v>
      </c>
      <c r="DA4" s="7" t="s">
        <v>133</v>
      </c>
      <c r="DB4" s="7" t="s">
        <v>134</v>
      </c>
    </row>
    <row r="5" ht="18" customHeight="1" spans="1:106" x14ac:dyDescent="0.25">
      <c r="A5" s="1"/>
      <c r="B5" s="5" t="s">
        <v>135</v>
      </c>
      <c r="C5" s="8" t="s">
        <v>136</v>
      </c>
      <c r="D5" s="8" t="s">
        <v>137</v>
      </c>
      <c r="E5" s="8" t="s">
        <v>138</v>
      </c>
      <c r="F5" s="8" t="s">
        <v>139</v>
      </c>
      <c r="G5" s="8" t="s">
        <v>140</v>
      </c>
      <c r="H5" s="8" t="s">
        <v>141</v>
      </c>
      <c r="I5" s="8" t="s">
        <v>142</v>
      </c>
      <c r="J5" s="8" t="s">
        <v>143</v>
      </c>
      <c r="K5" s="8" t="s">
        <v>144</v>
      </c>
      <c r="L5" s="8" t="s">
        <v>145</v>
      </c>
      <c r="M5" s="8" t="s">
        <v>146</v>
      </c>
      <c r="N5" s="8" t="s">
        <v>147</v>
      </c>
      <c r="O5" s="8" t="s">
        <v>148</v>
      </c>
      <c r="P5" s="8" t="s">
        <v>149</v>
      </c>
      <c r="Q5" s="8" t="s">
        <v>150</v>
      </c>
      <c r="R5" s="8" t="s">
        <v>151</v>
      </c>
      <c r="S5" s="8" t="s">
        <v>152</v>
      </c>
      <c r="T5" s="8" t="s">
        <v>153</v>
      </c>
      <c r="U5" s="8" t="s">
        <v>154</v>
      </c>
      <c r="V5" s="8" t="s">
        <v>155</v>
      </c>
      <c r="W5" s="8" t="s">
        <v>156</v>
      </c>
      <c r="X5" s="8" t="s">
        <v>157</v>
      </c>
      <c r="Y5" s="8" t="s">
        <v>158</v>
      </c>
      <c r="Z5" s="8" t="s">
        <v>159</v>
      </c>
      <c r="AA5" s="8" t="s">
        <v>160</v>
      </c>
      <c r="AB5" s="8" t="s">
        <v>161</v>
      </c>
      <c r="AC5" s="8" t="s">
        <v>162</v>
      </c>
      <c r="AD5" s="8" t="s">
        <v>163</v>
      </c>
      <c r="AE5" s="8" t="s">
        <v>164</v>
      </c>
      <c r="AF5" s="8" t="s">
        <v>165</v>
      </c>
      <c r="AG5" s="8" t="s">
        <v>166</v>
      </c>
      <c r="AH5" s="8" t="s">
        <v>167</v>
      </c>
      <c r="AI5" s="8" t="s">
        <v>168</v>
      </c>
      <c r="AJ5" s="8" t="s">
        <v>169</v>
      </c>
      <c r="AK5" s="8" t="s">
        <v>170</v>
      </c>
      <c r="AL5" s="8" t="s">
        <v>171</v>
      </c>
      <c r="AM5" s="8" t="s">
        <v>172</v>
      </c>
      <c r="AN5" s="8" t="s">
        <v>173</v>
      </c>
      <c r="AO5" s="8" t="s">
        <v>174</v>
      </c>
      <c r="AP5" s="8" t="s">
        <v>175</v>
      </c>
      <c r="AQ5" s="8" t="s">
        <v>176</v>
      </c>
      <c r="AR5" s="8" t="s">
        <v>177</v>
      </c>
      <c r="AS5" s="8" t="s">
        <v>178</v>
      </c>
      <c r="AT5" s="8" t="s">
        <v>179</v>
      </c>
      <c r="AU5" s="8" t="s">
        <v>180</v>
      </c>
      <c r="AV5" s="8" t="s">
        <v>181</v>
      </c>
      <c r="AW5" s="8" t="s">
        <v>182</v>
      </c>
      <c r="AX5" s="8" t="s">
        <v>183</v>
      </c>
      <c r="AY5" s="8" t="s">
        <v>184</v>
      </c>
      <c r="AZ5" s="8" t="s">
        <v>185</v>
      </c>
      <c r="BA5" s="8" t="s">
        <v>186</v>
      </c>
      <c r="BB5" s="8" t="s">
        <v>187</v>
      </c>
      <c r="BC5" s="8" t="s">
        <v>188</v>
      </c>
      <c r="BD5" s="8" t="s">
        <v>189</v>
      </c>
      <c r="BE5" s="8" t="s">
        <v>190</v>
      </c>
      <c r="BF5" s="8" t="s">
        <v>191</v>
      </c>
      <c r="BG5" s="8" t="s">
        <v>192</v>
      </c>
      <c r="BH5" s="8" t="s">
        <v>193</v>
      </c>
      <c r="BI5" s="8" t="s">
        <v>194</v>
      </c>
      <c r="BJ5" s="8" t="s">
        <v>195</v>
      </c>
      <c r="BK5" s="8" t="s">
        <v>196</v>
      </c>
      <c r="BL5" s="8" t="s">
        <v>197</v>
      </c>
      <c r="BM5" s="8" t="s">
        <v>198</v>
      </c>
      <c r="BN5" s="8" t="s">
        <v>199</v>
      </c>
      <c r="BO5" s="8" t="s">
        <v>200</v>
      </c>
      <c r="BP5" s="8" t="s">
        <v>201</v>
      </c>
      <c r="BQ5" s="8" t="s">
        <v>202</v>
      </c>
      <c r="BR5" s="8" t="s">
        <v>203</v>
      </c>
      <c r="BS5" s="8" t="s">
        <v>204</v>
      </c>
      <c r="BT5" s="8" t="s">
        <v>205</v>
      </c>
      <c r="BU5" s="8" t="s">
        <v>206</v>
      </c>
      <c r="BV5" s="8" t="s">
        <v>207</v>
      </c>
      <c r="BW5" s="8" t="s">
        <v>208</v>
      </c>
      <c r="BX5" s="8" t="s">
        <v>209</v>
      </c>
      <c r="BY5" s="8" t="s">
        <v>210</v>
      </c>
      <c r="BZ5" s="8" t="s">
        <v>211</v>
      </c>
      <c r="CA5" s="8" t="s">
        <v>212</v>
      </c>
      <c r="CB5" s="8" t="s">
        <v>213</v>
      </c>
      <c r="CC5" s="8" t="s">
        <v>214</v>
      </c>
      <c r="CD5" s="8" t="s">
        <v>215</v>
      </c>
      <c r="CE5" s="8" t="s">
        <v>216</v>
      </c>
      <c r="CF5" s="8" t="s">
        <v>217</v>
      </c>
      <c r="CG5" s="8" t="s">
        <v>218</v>
      </c>
      <c r="CH5" s="8" t="s">
        <v>219</v>
      </c>
      <c r="CI5" s="8" t="s">
        <v>220</v>
      </c>
      <c r="CJ5" s="8" t="s">
        <v>221</v>
      </c>
      <c r="CK5" s="8" t="s">
        <v>222</v>
      </c>
      <c r="CL5" s="8" t="s">
        <v>223</v>
      </c>
      <c r="CM5" s="8" t="s">
        <v>224</v>
      </c>
      <c r="CN5" s="8" t="s">
        <v>225</v>
      </c>
      <c r="CO5" s="8" t="s">
        <v>226</v>
      </c>
      <c r="CP5" s="8" t="s">
        <v>227</v>
      </c>
      <c r="CQ5" s="8" t="s">
        <v>228</v>
      </c>
      <c r="CR5" s="8" t="s">
        <v>229</v>
      </c>
      <c r="CS5" s="8" t="s">
        <v>230</v>
      </c>
      <c r="CT5" s="8" t="s">
        <v>231</v>
      </c>
      <c r="CU5" s="8" t="s">
        <v>232</v>
      </c>
      <c r="CV5" s="8" t="s">
        <v>233</v>
      </c>
      <c r="CW5" s="8" t="s">
        <v>234</v>
      </c>
      <c r="CX5" s="8" t="s">
        <v>235</v>
      </c>
      <c r="CY5" s="8" t="s">
        <v>236</v>
      </c>
      <c r="CZ5" s="8" t="s">
        <v>237</v>
      </c>
      <c r="DA5" s="8" t="s">
        <v>238</v>
      </c>
      <c r="DB5" s="8" t="s">
        <v>239</v>
      </c>
    </row>
    <row r="6" ht="18" customHeight="1" spans="1:106" x14ac:dyDescent="0.25">
      <c r="A6" s="9" t="s">
        <v>240</v>
      </c>
      <c r="B6" s="10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</row>
    <row r="7" ht="18" customHeight="1" spans="1:106" x14ac:dyDescent="0.25">
      <c r="A7" s="12" t="s">
        <v>241</v>
      </c>
      <c r="B7" s="13"/>
      <c r="C7" s="14">
        <v>110</v>
      </c>
      <c r="D7" s="14">
        <v>110</v>
      </c>
      <c r="E7" s="14">
        <v>110</v>
      </c>
      <c r="F7" s="14">
        <v>110</v>
      </c>
      <c r="G7" s="14">
        <v>110</v>
      </c>
      <c r="H7" s="14">
        <v>110</v>
      </c>
      <c r="I7" s="14">
        <v>110</v>
      </c>
      <c r="J7" s="14">
        <v>110</v>
      </c>
      <c r="K7" s="14">
        <v>110</v>
      </c>
      <c r="L7" s="14">
        <v>105</v>
      </c>
      <c r="M7" s="14">
        <v>95</v>
      </c>
      <c r="N7" s="14">
        <v>85</v>
      </c>
      <c r="O7" s="14">
        <v>85</v>
      </c>
      <c r="P7" s="14">
        <v>75</v>
      </c>
      <c r="Q7" s="14">
        <v>65</v>
      </c>
      <c r="R7" s="14">
        <v>65</v>
      </c>
      <c r="S7" s="14">
        <v>65</v>
      </c>
      <c r="T7" s="14">
        <v>60</v>
      </c>
      <c r="U7" s="14">
        <v>60</v>
      </c>
      <c r="V7" s="14">
        <v>60</v>
      </c>
      <c r="W7" s="14">
        <v>60</v>
      </c>
      <c r="X7" s="14">
        <v>60</v>
      </c>
      <c r="Y7" s="14">
        <v>60</v>
      </c>
      <c r="Z7" s="14">
        <v>60</v>
      </c>
      <c r="AA7" s="14">
        <v>60</v>
      </c>
      <c r="AB7" s="14">
        <v>60</v>
      </c>
      <c r="AC7" s="14">
        <v>60</v>
      </c>
      <c r="AD7" s="14">
        <v>60</v>
      </c>
      <c r="AE7" s="14">
        <v>60</v>
      </c>
      <c r="AF7" s="14">
        <v>60</v>
      </c>
      <c r="AG7" s="14">
        <v>60</v>
      </c>
      <c r="AH7" s="14">
        <v>53</v>
      </c>
      <c r="AI7" s="14">
        <v>53</v>
      </c>
      <c r="AJ7" s="14">
        <v>53</v>
      </c>
      <c r="AK7" s="14">
        <v>53</v>
      </c>
      <c r="AL7" s="14">
        <v>53</v>
      </c>
      <c r="AM7" s="14">
        <v>53</v>
      </c>
      <c r="AN7" s="14">
        <v>53</v>
      </c>
      <c r="AO7" s="14">
        <v>53</v>
      </c>
      <c r="AP7" s="14">
        <v>53</v>
      </c>
      <c r="AQ7" s="14">
        <v>53</v>
      </c>
      <c r="AR7" s="14">
        <v>53</v>
      </c>
      <c r="AS7" s="14">
        <v>53</v>
      </c>
      <c r="AT7" s="14">
        <v>53</v>
      </c>
      <c r="AU7" s="14">
        <v>53</v>
      </c>
      <c r="AV7" s="14">
        <v>53</v>
      </c>
      <c r="AW7" s="14">
        <v>53</v>
      </c>
      <c r="AX7" s="14">
        <v>53</v>
      </c>
      <c r="AY7" s="14">
        <v>53</v>
      </c>
      <c r="AZ7" s="14">
        <v>53</v>
      </c>
      <c r="BA7" s="14">
        <v>53</v>
      </c>
      <c r="BB7" s="14">
        <v>53</v>
      </c>
      <c r="BC7" s="14">
        <v>53</v>
      </c>
      <c r="BD7" s="14">
        <v>53</v>
      </c>
      <c r="BE7" s="14">
        <v>53</v>
      </c>
      <c r="BF7" s="14">
        <v>53</v>
      </c>
      <c r="BG7" s="14">
        <v>53</v>
      </c>
      <c r="BH7" s="14">
        <v>53</v>
      </c>
      <c r="BI7" s="14">
        <v>53</v>
      </c>
      <c r="BJ7" s="14">
        <v>53</v>
      </c>
      <c r="BK7" s="14">
        <v>53</v>
      </c>
      <c r="BL7" s="14">
        <v>53</v>
      </c>
      <c r="BM7" s="14">
        <v>45</v>
      </c>
      <c r="BN7" s="14">
        <v>40</v>
      </c>
      <c r="BO7" s="14">
        <v>40</v>
      </c>
      <c r="BP7" s="14">
        <v>34</v>
      </c>
      <c r="BQ7" s="14">
        <v>34</v>
      </c>
      <c r="BR7" s="14">
        <v>34</v>
      </c>
      <c r="BS7" s="14">
        <v>34</v>
      </c>
      <c r="BT7" s="14">
        <v>34</v>
      </c>
      <c r="BU7" s="14">
        <v>34</v>
      </c>
      <c r="BV7" s="14">
        <v>34</v>
      </c>
      <c r="BW7" s="14">
        <v>34</v>
      </c>
      <c r="BX7" s="14">
        <v>34</v>
      </c>
      <c r="BY7" s="14">
        <v>34</v>
      </c>
      <c r="BZ7" s="14">
        <v>34</v>
      </c>
      <c r="CA7" s="14">
        <v>34</v>
      </c>
      <c r="CB7" s="14">
        <v>34</v>
      </c>
      <c r="CC7" s="14">
        <v>34</v>
      </c>
      <c r="CD7" s="14">
        <v>34</v>
      </c>
      <c r="CE7" s="14">
        <v>34</v>
      </c>
      <c r="CF7" s="14">
        <v>24</v>
      </c>
      <c r="CG7" s="14">
        <v>24</v>
      </c>
      <c r="CH7" s="14">
        <v>34</v>
      </c>
      <c r="CI7" s="14">
        <v>34</v>
      </c>
      <c r="CJ7" s="14">
        <v>34</v>
      </c>
      <c r="CK7" s="14">
        <v>34</v>
      </c>
      <c r="CL7" s="14">
        <v>34</v>
      </c>
      <c r="CM7" s="14">
        <v>34</v>
      </c>
      <c r="CN7" s="14">
        <v>34</v>
      </c>
      <c r="CO7" s="14">
        <v>34</v>
      </c>
      <c r="CP7" s="14">
        <v>34</v>
      </c>
      <c r="CQ7" s="14">
        <v>34</v>
      </c>
      <c r="CR7" s="14">
        <v>34</v>
      </c>
      <c r="CS7" s="14">
        <v>34</v>
      </c>
      <c r="CT7" s="14">
        <v>34</v>
      </c>
      <c r="CU7" s="14">
        <v>34</v>
      </c>
      <c r="CV7" s="14">
        <v>34</v>
      </c>
      <c r="CW7" s="14">
        <v>34</v>
      </c>
      <c r="CX7" s="14">
        <v>34</v>
      </c>
      <c r="CY7" s="14">
        <v>34</v>
      </c>
      <c r="CZ7" s="14">
        <v>34</v>
      </c>
      <c r="DA7" s="14">
        <v>34</v>
      </c>
      <c r="DB7" s="14">
        <v>34</v>
      </c>
    </row>
    <row r="8" ht="18" customHeight="1" spans="1:106" x14ac:dyDescent="0.25">
      <c r="A8" s="12" t="s">
        <v>242</v>
      </c>
      <c r="B8" s="13"/>
      <c r="C8" s="14">
        <v>3828</v>
      </c>
      <c r="D8" s="14">
        <v>3829</v>
      </c>
      <c r="E8" s="14">
        <v>3831</v>
      </c>
      <c r="F8" s="14">
        <v>3827</v>
      </c>
      <c r="G8" s="14">
        <v>3821</v>
      </c>
      <c r="H8" s="14">
        <v>3791</v>
      </c>
      <c r="I8" s="14">
        <v>3781</v>
      </c>
      <c r="J8" s="14">
        <v>3786</v>
      </c>
      <c r="K8" s="14">
        <v>3781</v>
      </c>
      <c r="L8" s="14">
        <v>3597</v>
      </c>
      <c r="M8" s="14">
        <v>3263</v>
      </c>
      <c r="N8" s="14">
        <v>2908</v>
      </c>
      <c r="O8" s="14">
        <v>2911</v>
      </c>
      <c r="P8" s="14">
        <v>2572</v>
      </c>
      <c r="Q8" s="14">
        <v>2229</v>
      </c>
      <c r="R8" s="14">
        <v>2229</v>
      </c>
      <c r="S8" s="14">
        <v>2223</v>
      </c>
      <c r="T8" s="14">
        <v>2053</v>
      </c>
      <c r="U8" s="14">
        <v>2036</v>
      </c>
      <c r="V8" s="14">
        <v>2036</v>
      </c>
      <c r="W8" s="14">
        <v>2036</v>
      </c>
      <c r="X8" s="14">
        <v>2036</v>
      </c>
      <c r="Y8" s="14">
        <v>2034</v>
      </c>
      <c r="Z8" s="14">
        <v>2034</v>
      </c>
      <c r="AA8" s="14">
        <v>2034</v>
      </c>
      <c r="AB8" s="14">
        <v>2034</v>
      </c>
      <c r="AC8" s="14">
        <v>2034</v>
      </c>
      <c r="AD8" s="14">
        <v>2034</v>
      </c>
      <c r="AE8" s="14">
        <v>2034</v>
      </c>
      <c r="AF8" s="14">
        <v>2034</v>
      </c>
      <c r="AG8" s="14">
        <v>2034</v>
      </c>
      <c r="AH8" s="14">
        <v>1797</v>
      </c>
      <c r="AI8" s="14">
        <v>1797</v>
      </c>
      <c r="AJ8" s="14">
        <v>1797</v>
      </c>
      <c r="AK8" s="14">
        <v>1797</v>
      </c>
      <c r="AL8" s="14">
        <v>1797</v>
      </c>
      <c r="AM8" s="14">
        <v>1797</v>
      </c>
      <c r="AN8" s="14">
        <v>1797</v>
      </c>
      <c r="AO8" s="14">
        <v>1797</v>
      </c>
      <c r="AP8" s="14">
        <v>1797</v>
      </c>
      <c r="AQ8" s="14">
        <v>1797</v>
      </c>
      <c r="AR8" s="14">
        <v>1797</v>
      </c>
      <c r="AS8" s="14">
        <v>1797</v>
      </c>
      <c r="AT8" s="14">
        <v>1797</v>
      </c>
      <c r="AU8" s="14">
        <v>1797</v>
      </c>
      <c r="AV8" s="14">
        <v>1797</v>
      </c>
      <c r="AW8" s="14">
        <v>1797</v>
      </c>
      <c r="AX8" s="14">
        <v>1797</v>
      </c>
      <c r="AY8" s="14">
        <v>1819</v>
      </c>
      <c r="AZ8" s="14">
        <v>1819</v>
      </c>
      <c r="BA8" s="14">
        <v>1819</v>
      </c>
      <c r="BB8" s="14">
        <v>1819</v>
      </c>
      <c r="BC8" s="14">
        <v>1820</v>
      </c>
      <c r="BD8" s="14">
        <v>1820</v>
      </c>
      <c r="BE8" s="14">
        <v>1820</v>
      </c>
      <c r="BF8" s="14">
        <v>1820</v>
      </c>
      <c r="BG8" s="14">
        <v>1819</v>
      </c>
      <c r="BH8" s="14">
        <v>1818</v>
      </c>
      <c r="BI8" s="14">
        <v>1818</v>
      </c>
      <c r="BJ8" s="14">
        <v>1818</v>
      </c>
      <c r="BK8" s="14">
        <v>1818</v>
      </c>
      <c r="BL8" s="14">
        <v>1808</v>
      </c>
      <c r="BM8" s="14">
        <v>1541</v>
      </c>
      <c r="BN8" s="14">
        <v>1370</v>
      </c>
      <c r="BO8" s="14">
        <v>1370</v>
      </c>
      <c r="BP8" s="14">
        <v>1162</v>
      </c>
      <c r="BQ8" s="14">
        <v>1162</v>
      </c>
      <c r="BR8" s="14">
        <v>1162</v>
      </c>
      <c r="BS8" s="14">
        <v>1162</v>
      </c>
      <c r="BT8" s="14">
        <v>1162</v>
      </c>
      <c r="BU8" s="14">
        <v>1162</v>
      </c>
      <c r="BV8" s="14">
        <v>1162</v>
      </c>
      <c r="BW8" s="14">
        <v>1162</v>
      </c>
      <c r="BX8" s="14">
        <v>1162</v>
      </c>
      <c r="BY8" s="14">
        <v>1177</v>
      </c>
      <c r="BZ8" s="14">
        <v>1186</v>
      </c>
      <c r="CA8" s="14">
        <v>1183</v>
      </c>
      <c r="CB8" s="14">
        <v>1183</v>
      </c>
      <c r="CC8" s="14">
        <v>1182</v>
      </c>
      <c r="CD8" s="14">
        <v>1177</v>
      </c>
      <c r="CE8" s="14">
        <v>1177</v>
      </c>
      <c r="CF8" s="14">
        <v>831</v>
      </c>
      <c r="CG8" s="14">
        <v>831</v>
      </c>
      <c r="CH8" s="14">
        <v>1177</v>
      </c>
      <c r="CI8" s="14">
        <v>1177</v>
      </c>
      <c r="CJ8" s="14">
        <v>1177</v>
      </c>
      <c r="CK8" s="14">
        <v>1177</v>
      </c>
      <c r="CL8" s="14">
        <v>1178</v>
      </c>
      <c r="CM8" s="14">
        <v>1178</v>
      </c>
      <c r="CN8" s="14">
        <v>1178</v>
      </c>
      <c r="CO8" s="14">
        <v>1180</v>
      </c>
      <c r="CP8" s="14">
        <v>1180</v>
      </c>
      <c r="CQ8" s="14">
        <v>1184</v>
      </c>
      <c r="CR8" s="14">
        <v>1184</v>
      </c>
      <c r="CS8" s="14">
        <v>1184</v>
      </c>
      <c r="CT8" s="14">
        <v>1185</v>
      </c>
      <c r="CU8" s="14">
        <v>1176</v>
      </c>
      <c r="CV8" s="14">
        <v>1176</v>
      </c>
      <c r="CW8" s="14">
        <v>1176</v>
      </c>
      <c r="CX8" s="14">
        <v>1176</v>
      </c>
      <c r="CY8" s="14">
        <v>1182</v>
      </c>
      <c r="CZ8" s="14">
        <v>1183</v>
      </c>
      <c r="DA8" s="14">
        <v>1183</v>
      </c>
      <c r="DB8" s="14">
        <v>1184</v>
      </c>
    </row>
    <row r="9" ht="18" customHeight="1" spans="1:106" x14ac:dyDescent="0.25">
      <c r="A9" s="12" t="s">
        <v>243</v>
      </c>
      <c r="B9" s="13"/>
      <c r="C9" s="15">
        <f>=IFERROR(ROUND((C8/(C47*C48))/(1-C29)/C45,0),"")</f>
        <v>111</v>
      </c>
      <c r="D9" s="15">
        <f>=IFERROR(ROUND((D8/(D47*D48))/(1-D29)/D45,0),"")</f>
        <v>111</v>
      </c>
      <c r="E9" s="15">
        <f>=IFERROR(ROUND((E8/(E47*E48))/(1-E29)/E45,0),"")</f>
        <v>111</v>
      </c>
      <c r="F9" s="15">
        <f>=IFERROR(ROUND((F8/(F47*F48))/(1-F29)/F45,0),"")</f>
        <v>111</v>
      </c>
      <c r="G9" s="15">
        <f>=IFERROR(ROUND((G8/(G47*G48))/(1-G29)/G45,0),"")</f>
        <v>111</v>
      </c>
      <c r="H9" s="15">
        <f>=IFERROR(ROUND((H8/(H47*H48))/(1-H29)/H45,0),"")</f>
        <v>110</v>
      </c>
      <c r="I9" s="15">
        <f>=IFERROR(ROUND((I8/(I47*I48))/(1-I29)/I45,0),"")</f>
        <v>110</v>
      </c>
      <c r="J9" s="15">
        <f>=IFERROR(ROUND((J8/(J47*J48))/(1-J29)/J45,0),"")</f>
        <v>110</v>
      </c>
      <c r="K9" s="15">
        <f>=IFERROR(ROUND((K8/(K47*K48))/(1-K29)/K45,0),"")</f>
        <v>110</v>
      </c>
      <c r="L9" s="15">
        <f>=IFERROR(ROUND((L8/(L47*L48))/(1-L29)/L45,0),"")</f>
        <v>105</v>
      </c>
      <c r="M9" s="15">
        <f>=IFERROR(ROUND((M8/(M47*M48))/(1-M29)/M45,0),"")</f>
        <v>95</v>
      </c>
      <c r="N9" s="15">
        <f>=IFERROR(ROUND((N8/(N47*N48))/(1-N29)/N45,0),"")</f>
        <v>85</v>
      </c>
      <c r="O9" s="15">
        <f>=IFERROR(ROUND((O8/(O47*O48))/(1-O29)/O45,0),"")</f>
        <v>85</v>
      </c>
      <c r="P9" s="15">
        <f>=IFERROR(ROUND((P8/(P47*P48))/(1-P29)/P45,0),"")</f>
        <v>75</v>
      </c>
      <c r="Q9" s="15">
        <f>=IFERROR(ROUND((Q8/(Q47*Q48))/(1-Q29)/Q45,0),"")</f>
        <v>65</v>
      </c>
      <c r="R9" s="15">
        <f>=IFERROR(ROUND((R8/(R47*R48))/(1-R29)/R45,0),"")</f>
        <v>65</v>
      </c>
      <c r="S9" s="15">
        <f>=IFERROR(ROUND((S8/(S47*S48))/(1-S29)/S45,0),"")</f>
        <v>65</v>
      </c>
      <c r="T9" s="15">
        <f>=IFERROR(ROUND((T8/(T47*T48))/(1-T29)/T45,0),"")</f>
        <v>60</v>
      </c>
      <c r="U9" s="15">
        <f>=IFERROR(ROUND((U8/(U47*U48))/(1-U29)/U45,0),"")</f>
        <v>59</v>
      </c>
      <c r="V9" s="15">
        <f>=IFERROR(ROUND((V8/(V47*V48))/(1-V29)/V45,0),"")</f>
        <v>59</v>
      </c>
      <c r="W9" s="15">
        <f>=IFERROR(ROUND((W8/(W47*W48))/(1-W29)/W45,0),"")</f>
        <v>59</v>
      </c>
      <c r="X9" s="15">
        <f>=IFERROR(ROUND((X8/(X47*X48))/(1-X29)/X45,0),"")</f>
        <v>59</v>
      </c>
      <c r="Y9" s="15">
        <f>=IFERROR(ROUND((Y8/(Y47*Y48))/(1-Y29)/Y45,0),"")</f>
        <v>59</v>
      </c>
      <c r="Z9" s="15">
        <f>=IFERROR(ROUND((Z8/(Z47*Z48))/(1-Z29)/Z45,0),"")</f>
        <v>59</v>
      </c>
      <c r="AA9" s="15">
        <f>=IFERROR(ROUND((AA8/(AA47*AA48))/(1-AA29)/AA45,0),"")</f>
        <v>59</v>
      </c>
      <c r="AB9" s="15">
        <f>=IFERROR(ROUND((AB8/(AB47*AB48))/(1-AB29)/AB45,0),"")</f>
        <v>59</v>
      </c>
      <c r="AC9" s="15">
        <f>=IFERROR(ROUND((AC8/(AC47*AC48))/(1-AC29)/AC45,0),"")</f>
        <v>59</v>
      </c>
      <c r="AD9" s="15">
        <f>=IFERROR(ROUND((AD8/(AD47*AD48))/(1-AD29)/AD45,0),"")</f>
        <v>59</v>
      </c>
      <c r="AE9" s="15">
        <f>=IFERROR(ROUND((AE8/(AE47*AE48))/(1-AE29)/AE45,0),"")</f>
        <v>59</v>
      </c>
      <c r="AF9" s="15">
        <f>=IFERROR(ROUND((AF8/(AF47*AF48))/(1-AF29)/AF45,0),"")</f>
        <v>59</v>
      </c>
      <c r="AG9" s="15">
        <f>=IFERROR(ROUND((AG8/(AG47*AG48))/(1-AG29)/AG45,0),"")</f>
        <v>59</v>
      </c>
      <c r="AH9" s="15">
        <f>=IFERROR(ROUND((AH8/(AH47*AH48))/(1-AH29)/AH45,0),"")</f>
        <v>52</v>
      </c>
      <c r="AI9" s="15">
        <f>=IFERROR(ROUND((AI8/(AI47*AI48))/(1-AI29)/AI45,0),"")</f>
        <v>52</v>
      </c>
      <c r="AJ9" s="15">
        <f>=IFERROR(ROUND((AJ8/(AJ47*AJ48))/(1-AJ29)/AJ45,0),"")</f>
        <v>52</v>
      </c>
      <c r="AK9" s="15">
        <f>=IFERROR(ROUND((AK8/(AK47*AK48))/(1-AK29)/AK45,0),"")</f>
        <v>52</v>
      </c>
      <c r="AL9" s="15">
        <f>=IFERROR(ROUND((AL8/(AL47*AL48))/(1-AL29)/AL45,0),"")</f>
        <v>52</v>
      </c>
      <c r="AM9" s="15">
        <f>=IFERROR(ROUND((AM8/(AM47*AM48))/(1-AM29)/AM45,0),"")</f>
        <v>52</v>
      </c>
      <c r="AN9" s="15">
        <f>=IFERROR(ROUND((AN8/(AN47*AN48))/(1-AN29)/AN45,0),"")</f>
        <v>52</v>
      </c>
      <c r="AO9" s="15">
        <f>=IFERROR(ROUND((AO8/(AO47*AO48))/(1-AO29)/AO45,0),"")</f>
        <v>52</v>
      </c>
      <c r="AP9" s="15">
        <f>=IFERROR(ROUND((AP8/(AP47*AP48))/(1-AP29)/AP45,0),"")</f>
        <v>52</v>
      </c>
      <c r="AQ9" s="15">
        <f>=IFERROR(ROUND((AQ8/(AQ47*AQ48))/(1-AQ29)/AQ45,0),"")</f>
        <v>52</v>
      </c>
      <c r="AR9" s="15">
        <f>=IFERROR(ROUND((AR8/(AR47*AR48))/(1-AR29)/AR45,0),"")</f>
        <v>52</v>
      </c>
      <c r="AS9" s="15">
        <f>=IFERROR(ROUND((AS8/(AS47*AS48))/(1-AS29)/AS45,0),"")</f>
        <v>52</v>
      </c>
      <c r="AT9" s="15">
        <f>=IFERROR(ROUND((AT8/(AT47*AT48))/(1-AT29)/AT45,0),"")</f>
        <v>52</v>
      </c>
      <c r="AU9" s="15">
        <f>=IFERROR(ROUND((AU8/(AU47*AU48))/(1-AU29)/AU45,0),"")</f>
        <v>52</v>
      </c>
      <c r="AV9" s="15">
        <f>=IFERROR(ROUND((AV8/(AV47*AV48))/(1-AV29)/AV45,0),"")</f>
        <v>52</v>
      </c>
      <c r="AW9" s="15">
        <f>=IFERROR(ROUND((AW8/(AW47*AW48))/(1-AW29)/AW45,0),"")</f>
        <v>52</v>
      </c>
      <c r="AX9" s="15">
        <f>=IFERROR(ROUND((AX8/(AX47*AX48))/(1-AX29)/AX45,0),"")</f>
        <v>52</v>
      </c>
      <c r="AY9" s="15">
        <f>=IFERROR(ROUND((AY8/(AY47*AY48))/(1-AY29)/AY45,0),"")</f>
        <v>52</v>
      </c>
      <c r="AZ9" s="15">
        <f>=IFERROR(ROUND((AZ8/(AZ47*AZ48))/(1-AZ29)/AZ45,0),"")</f>
        <v>52</v>
      </c>
      <c r="BA9" s="15">
        <f>=IFERROR(ROUND((BA8/(BA47*BA48))/(1-BA29)/BA45,0),"")</f>
        <v>52</v>
      </c>
      <c r="BB9" s="15">
        <f>=IFERROR(ROUND((BB8/(BB47*BB48))/(1-BB29)/BB45,0),"")</f>
        <v>52</v>
      </c>
      <c r="BC9" s="15">
        <f>=IFERROR(ROUND((BC8/(BC47*BC48))/(1-BC29)/BC45,0),"")</f>
        <v>53</v>
      </c>
      <c r="BD9" s="15">
        <f>=IFERROR(ROUND((BD8/(BD47*BD48))/(1-BD29)/BD45,0),"")</f>
        <v>53</v>
      </c>
      <c r="BE9" s="15">
        <f>=IFERROR(ROUND((BE8/(BE47*BE48))/(1-BE29)/BE45,0),"")</f>
        <v>53</v>
      </c>
      <c r="BF9" s="15">
        <f>=IFERROR(ROUND((BF8/(BF47*BF48))/(1-BF29)/BF45,0),"")</f>
        <v>53</v>
      </c>
      <c r="BG9" s="15">
        <f>=IFERROR(ROUND((BG8/(BG47*BG48))/(1-BG29)/BG45,0),"")</f>
        <v>53</v>
      </c>
      <c r="BH9" s="15">
        <f>=IFERROR(ROUND((BH8/(BH47*BH48))/(1-BH29)/BH45,0),"")</f>
        <v>53</v>
      </c>
      <c r="BI9" s="15">
        <f>=IFERROR(ROUND((BI8/(BI47*BI48))/(1-BI29)/BI45,0),"")</f>
        <v>53</v>
      </c>
      <c r="BJ9" s="15">
        <f>=IFERROR(ROUND((BJ8/(BJ47*BJ48))/(1-BJ29)/BJ45,0),"")</f>
        <v>53</v>
      </c>
      <c r="BK9" s="15">
        <f>=IFERROR(ROUND((BK8/(BK47*BK48))/(1-BK29)/BK45,0),"")</f>
        <v>53</v>
      </c>
      <c r="BL9" s="15">
        <f>=IFERROR(ROUND((BL8/(BL47*BL48))/(1-BL29)/BL45,0),"")</f>
        <v>53</v>
      </c>
      <c r="BM9" s="15">
        <f>=IFERROR(ROUND((BM8/(BM47*BM48))/(1-BM29)/BM45,0),"")</f>
        <v>45</v>
      </c>
      <c r="BN9" s="15">
        <f>=IFERROR(ROUND((BN8/(BN47*BN48))/(1-BN29)/BN45,0),"")</f>
        <v>40</v>
      </c>
      <c r="BO9" s="15">
        <f>=IFERROR(ROUND((BO8/(BO47*BO48))/(1-BO29)/BO45,0),"")</f>
        <v>40</v>
      </c>
      <c r="BP9" s="15">
        <f>=IFERROR(ROUND((BP8/(BP47*BP48))/(1-BP29)/BP45,0),"")</f>
        <v>34</v>
      </c>
      <c r="BQ9" s="15">
        <f>=IFERROR(ROUND((BQ8/(BQ47*BQ48))/(1-BQ29)/BQ45,0),"")</f>
        <v>34</v>
      </c>
      <c r="BR9" s="15">
        <f>=IFERROR(ROUND((BR8/(BR47*BR48))/(1-BR29)/BR45,0),"")</f>
        <v>34</v>
      </c>
      <c r="BS9" s="15">
        <f>=IFERROR(ROUND((BS8/(BS47*BS48))/(1-BS29)/BS45,0),"")</f>
        <v>34</v>
      </c>
      <c r="BT9" s="15">
        <f>=IFERROR(ROUND((BT8/(BT47*BT48))/(1-BT29)/BT45,0),"")</f>
        <v>34</v>
      </c>
      <c r="BU9" s="15">
        <f>=IFERROR(ROUND((BU8/(BU47*BU48))/(1-BU29)/BU45,0),"")</f>
        <v>34</v>
      </c>
      <c r="BV9" s="15">
        <f>=IFERROR(ROUND((BV8/(BV47*BV48))/(1-BV29)/BV45,0),"")</f>
        <v>34</v>
      </c>
      <c r="BW9" s="15">
        <f>=IFERROR(ROUND((BW8/(BW47*BW48))/(1-BW29)/BW45,0),"")</f>
        <v>34</v>
      </c>
      <c r="BX9" s="15">
        <f>=IFERROR(ROUND((BX8/(BX47*BX48))/(1-BX29)/BX45,0),"")</f>
        <v>34</v>
      </c>
      <c r="BY9" s="15">
        <f>=IFERROR(ROUND((BY8/(BY47*BY48))/(1-BY29)/BY45,0),"")</f>
        <v>33</v>
      </c>
      <c r="BZ9" s="15">
        <f>=IFERROR(ROUND((BZ8/(BZ47*BZ48))/(1-BZ29)/BZ45,0),"")</f>
        <v>34</v>
      </c>
      <c r="CA9" s="15">
        <f>=IFERROR(ROUND((CA8/(CA47*CA48))/(1-CA29)/CA45,0),"")</f>
        <v>34</v>
      </c>
      <c r="CB9" s="15">
        <f>=IFERROR(ROUND((CB8/(CB47*CB48))/(1-CB29)/CB45,0),"")</f>
        <v>34</v>
      </c>
      <c r="CC9" s="15">
        <f>=IFERROR(ROUND((CC8/(CC47*CC48))/(1-CC29)/CC45,0),"")</f>
        <v>34</v>
      </c>
      <c r="CD9" s="15">
        <f>=IFERROR(ROUND((CD8/(CD47*CD48))/(1-CD29)/CD45,0),"")</f>
        <v>33</v>
      </c>
      <c r="CE9" s="15">
        <f>=IFERROR(ROUND((CE8/(CE47*CE48))/(1-CE29)/CE45,0),"")</f>
        <v>33</v>
      </c>
      <c r="CF9" s="15">
        <f>=IFERROR(ROUND((CF8/(CF47*CF48))/(1-CF29)/CF45,0),"")</f>
        <v>24</v>
      </c>
      <c r="CG9" s="15">
        <f>=IFERROR(ROUND((CG8/(CG47*CG48))/(1-CG29)/CG45,0),"")</f>
        <v>24</v>
      </c>
      <c r="CH9" s="15">
        <f>=IFERROR(ROUND((CH8/(CH47*CH48))/(1-CH29)/CH45,0),"")</f>
        <v>33</v>
      </c>
      <c r="CI9" s="15">
        <f>=IFERROR(ROUND((CI8/(CI47*CI48))/(1-CI29)/CI45,0),"")</f>
        <v>33</v>
      </c>
      <c r="CJ9" s="15">
        <f>=IFERROR(ROUND((CJ8/(CJ47*CJ48))/(1-CJ29)/CJ45,0),"")</f>
        <v>33</v>
      </c>
      <c r="CK9" s="15">
        <f>=IFERROR(ROUND((CK8/(CK47*CK48))/(1-CK29)/CK45,0),"")</f>
        <v>33</v>
      </c>
      <c r="CL9" s="15">
        <f>=IFERROR(ROUND((CL8/(CL47*CL48))/(1-CL29)/CL45,0),"")</f>
        <v>33</v>
      </c>
      <c r="CM9" s="15">
        <f>=IFERROR(ROUND((CM8/(CM47*CM48))/(1-CM29)/CM45,0),"")</f>
        <v>33</v>
      </c>
      <c r="CN9" s="15">
        <f>=IFERROR(ROUND((CN8/(CN47*CN48))/(1-CN29)/CN45,0),"")</f>
        <v>33</v>
      </c>
      <c r="CO9" s="15">
        <f>=IFERROR(ROUND((CO8/(CO47*CO48))/(1-CO29)/CO45,0),"")</f>
        <v>34</v>
      </c>
      <c r="CP9" s="15">
        <f>=IFERROR(ROUND((CP8/(CP47*CP48))/(1-CP29)/CP45,0),"")</f>
        <v>34</v>
      </c>
      <c r="CQ9" s="15">
        <f>=IFERROR(ROUND((CQ8/(CQ47*CQ48))/(1-CQ29)/CQ45,0),"")</f>
        <v>34</v>
      </c>
      <c r="CR9" s="15">
        <f>=IFERROR(ROUND((CR8/(CR47*CR48))/(1-CR29)/CR45,0),"")</f>
        <v>34</v>
      </c>
      <c r="CS9" s="15">
        <f>=IFERROR(ROUND((CS8/(CS47*CS48))/(1-CS29)/CS45,0),"")</f>
        <v>34</v>
      </c>
      <c r="CT9" s="15">
        <f>=IFERROR(ROUND((CT8/(CT47*CT48))/(1-CT29)/CT45,0),"")</f>
        <v>34</v>
      </c>
      <c r="CU9" s="15">
        <f>=IFERROR(ROUND((CU8/(CU47*CU48))/(1-CU29)/CU45,0),"")</f>
        <v>33</v>
      </c>
      <c r="CV9" s="15">
        <f>=IFERROR(ROUND((CV8/(CV47*CV48))/(1-CV29)/CV45,0),"")</f>
        <v>33</v>
      </c>
      <c r="CW9" s="15">
        <f>=IFERROR(ROUND((CW8/(CW47*CW48))/(1-CW29)/CW45,0),"")</f>
        <v>33</v>
      </c>
      <c r="CX9" s="15">
        <f>=IFERROR(ROUND((CX8/(CX47*CX48))/(1-CX29)/CX45,0),"")</f>
        <v>33</v>
      </c>
      <c r="CY9" s="15">
        <f>=IFERROR(ROUND((CY8/(CY47*CY48))/(1-CY29)/CY45,0),"")</f>
        <v>34</v>
      </c>
      <c r="CZ9" s="15">
        <f>=IFERROR(ROUND((CZ8/(CZ47*CZ48))/(1-CZ29)/CZ45,0),"")</f>
        <v>34</v>
      </c>
      <c r="DA9" s="15">
        <f>=IFERROR(ROUND((DA8/(DA47*DA48))/(1-DA29)/DA45,0),"")</f>
        <v>34</v>
      </c>
      <c r="DB9" s="15">
        <f>=IFERROR(ROUND((DB8/(DB47*DB48))/(1-DB29)/DB45,0),"")</f>
        <v>34</v>
      </c>
    </row>
    <row r="10" ht="18" customHeight="1" spans="1:106" x14ac:dyDescent="0.25">
      <c r="A10" s="16" t="s">
        <v>244</v>
      </c>
      <c r="B10" s="17"/>
      <c r="C10" s="18">
        <f>=IFERROR(C19+C22+C23,0)</f>
        <v>110</v>
      </c>
      <c r="D10" s="18">
        <f>=IFERROR(D19+D22+D23,0)</f>
        <v>108</v>
      </c>
      <c r="E10" s="18">
        <f>=IFERROR(E19+E22+E23,0)</f>
        <v>112</v>
      </c>
      <c r="F10" s="18">
        <f>=IFERROR(F19+F22+F23,0)</f>
        <v>110</v>
      </c>
      <c r="G10" s="18">
        <f>=IFERROR(G19+G22+G23,0)</f>
        <v>103</v>
      </c>
      <c r="H10" s="18">
        <f>=IFERROR(H19+H22+H23,0)</f>
        <v>104</v>
      </c>
      <c r="I10" s="18">
        <f>=IFERROR(I19+I22+I23,0)</f>
        <v>104</v>
      </c>
      <c r="J10" s="18">
        <f>=IFERROR(J19+J22+J23,0)</f>
        <v>105</v>
      </c>
      <c r="K10" s="18">
        <f>=IFERROR(K19+K22+K23,0)</f>
        <v>105</v>
      </c>
      <c r="L10" s="18">
        <f>=IFERROR(L19+L22+L23,0)</f>
        <v>105</v>
      </c>
      <c r="M10" s="18">
        <f>=IFERROR(M19+M22+M23,0)</f>
        <v>97</v>
      </c>
      <c r="N10" s="18">
        <f>=IFERROR(N19+N22+N23,0)</f>
        <v>94</v>
      </c>
      <c r="O10" s="18">
        <f>=IFERROR(O19+O22+O23,0)</f>
        <v>84</v>
      </c>
      <c r="P10" s="18">
        <f>=IFERROR(P19+P22+P23,0)</f>
        <v>79</v>
      </c>
      <c r="Q10" s="18">
        <f>=IFERROR(Q19+Q22+Q23,0)</f>
        <v>77</v>
      </c>
      <c r="R10" s="18">
        <f>=IFERROR(R19+R22+R23,0)</f>
        <v>76</v>
      </c>
      <c r="S10" s="18">
        <f>=IFERROR(S19+S22+S23,0)</f>
        <v>70</v>
      </c>
      <c r="T10" s="18">
        <f>=IFERROR(T19+T22+T23,0)</f>
        <v>70</v>
      </c>
      <c r="U10" s="18">
        <f>=IFERROR(U19+U22+U23,0)</f>
        <v>69</v>
      </c>
      <c r="V10" s="18">
        <f>=IFERROR(V19+V22+V23,0)</f>
        <v>61</v>
      </c>
      <c r="W10" s="18">
        <f>=IFERROR(W19+W22+W23,0)</f>
        <v>60</v>
      </c>
      <c r="X10" s="18">
        <f>=IFERROR(X19+X22+X23,0)</f>
        <v>65</v>
      </c>
      <c r="Y10" s="18">
        <f>=IFERROR(Y19+Y22+Y23,0)</f>
        <v>63</v>
      </c>
      <c r="Z10" s="18">
        <f>=IFERROR(Z19+Z22+Z23,0)</f>
        <v>62</v>
      </c>
      <c r="AA10" s="18">
        <f>=IFERROR(AA19+AA22+AA23,0)</f>
        <v>59</v>
      </c>
      <c r="AB10" s="18">
        <f>=IFERROR(AB19+AB22+AB23,0)</f>
        <v>59</v>
      </c>
      <c r="AC10" s="18">
        <f>=IFERROR(AC19+AC22+AC23,0)</f>
        <v>58</v>
      </c>
      <c r="AD10" s="18">
        <f>=IFERROR(AD19+AD22+AD23,0)</f>
        <v>56</v>
      </c>
      <c r="AE10" s="18">
        <f>=IFERROR(AE19+AE22+AE23,0)</f>
        <v>57</v>
      </c>
      <c r="AF10" s="18">
        <f>=IFERROR(AF19+AF22+AF23,0)</f>
        <v>57</v>
      </c>
      <c r="AG10" s="18">
        <f>=IFERROR(AG19+AG22+AG23,0)</f>
        <v>59</v>
      </c>
      <c r="AH10" s="18">
        <f>=IFERROR(AH19+AH22+AH23,0)</f>
        <v>55</v>
      </c>
      <c r="AI10" s="18">
        <f>=IFERROR(AI19+AI22+AI23,0)</f>
        <v>58</v>
      </c>
      <c r="AJ10" s="18">
        <f>=IFERROR(AJ19+AJ22+AJ23,0)</f>
        <v>53</v>
      </c>
      <c r="AK10" s="18">
        <f>=IFERROR(AK19+AK22+AK23,0)</f>
        <v>54</v>
      </c>
      <c r="AL10" s="18">
        <f>=IFERROR(AL19+AL22+AL23,0)</f>
        <v>53</v>
      </c>
      <c r="AM10" s="18">
        <f>=IFERROR(AM19+AM22+AM23,0)</f>
        <v>52</v>
      </c>
      <c r="AN10" s="18">
        <f>=IFERROR(AN19+AN22+AN23,0)</f>
        <v>52</v>
      </c>
      <c r="AO10" s="18">
        <f>=IFERROR(AO19+AO22+AO23,0)</f>
        <v>50</v>
      </c>
      <c r="AP10" s="18">
        <f>=IFERROR(AP19+AP22+AP23,0)</f>
        <v>50</v>
      </c>
      <c r="AQ10" s="18">
        <f>=IFERROR(AQ19+AQ22+AQ23,0)</f>
        <v>51</v>
      </c>
      <c r="AR10" s="18">
        <f>=IFERROR(AR19+AR22+AR23,0)</f>
        <v>49</v>
      </c>
      <c r="AS10" s="18">
        <f>=IFERROR(AS19+AS22+AS23,0)</f>
        <v>47</v>
      </c>
      <c r="AT10" s="18">
        <f>=IFERROR(AT19+AT22+AT23,0)</f>
        <v>49</v>
      </c>
      <c r="AU10" s="18">
        <f>=IFERROR(AU19+AU22+AU23,0)</f>
        <v>49</v>
      </c>
      <c r="AV10" s="18">
        <f>=IFERROR(AV19+AV22+AV23,0)</f>
        <v>49</v>
      </c>
      <c r="AW10" s="18">
        <f>=IFERROR(AW19+AW22+AW23,0)</f>
        <v>56</v>
      </c>
      <c r="AX10" s="18">
        <f>=IFERROR(AX19+AX22+AX23,0)</f>
        <v>55</v>
      </c>
      <c r="AY10" s="18">
        <f>=IFERROR(AY19+AY22+AY23,0)</f>
        <v>46</v>
      </c>
      <c r="AZ10" s="18">
        <f>=IFERROR(AZ19+AZ22+AZ23,0)</f>
        <v>48</v>
      </c>
      <c r="BA10" s="18">
        <f>=IFERROR(BA19+BA22+BA23,0)</f>
        <v>62</v>
      </c>
      <c r="BB10" s="18">
        <f>=IFERROR(BB19+BB22+BB23,0)</f>
        <v>54</v>
      </c>
      <c r="BC10" s="18">
        <f>=IFERROR(BC19+BC22+BC23,0)</f>
        <v>53</v>
      </c>
      <c r="BD10" s="18">
        <f>=IFERROR(BD19+BD22+BD23,0)</f>
        <v>51</v>
      </c>
      <c r="BE10" s="18">
        <f>=IFERROR(BE19+BE22+BE23,0)</f>
        <v>50</v>
      </c>
      <c r="BF10" s="18">
        <f>=IFERROR(BF19+BF22+BF23,0)</f>
        <v>47</v>
      </c>
      <c r="BG10" s="18">
        <f>=IFERROR(BG19+BG22+BG23,0)</f>
        <v>53</v>
      </c>
      <c r="BH10" s="18">
        <f>=IFERROR(BH19+BH22+BH23,0)</f>
        <v>50</v>
      </c>
      <c r="BI10" s="18">
        <f>=IFERROR(BI19+BI22+BI23,0)</f>
        <v>50</v>
      </c>
      <c r="BJ10" s="18">
        <f>=IFERROR(BJ19+BJ22+BJ23,0)</f>
        <v>53</v>
      </c>
      <c r="BK10" s="18">
        <f>=IFERROR(BK19+BK22+BK23,0)</f>
        <v>54</v>
      </c>
      <c r="BL10" s="18">
        <f>=IFERROR(BL19+BL22+BL23,0)</f>
        <v>55</v>
      </c>
      <c r="BM10" s="18">
        <f>=IFERROR(BM19+BM22+BM23,0)</f>
        <v>49</v>
      </c>
      <c r="BN10" s="18">
        <f>=IFERROR(BN19+BN22+BN23,0)</f>
        <v>48</v>
      </c>
      <c r="BO10" s="18">
        <f>=IFERROR(BO19+BO22+BO23,0)</f>
        <v>44</v>
      </c>
      <c r="BP10" s="18">
        <f>=IFERROR(BP19+BP22+BP23,0)</f>
        <v>39</v>
      </c>
      <c r="BQ10" s="18">
        <f>=IFERROR(BQ19+BQ22+BQ23,0)</f>
        <v>37</v>
      </c>
      <c r="BR10" s="18">
        <f>=IFERROR(BR19+BR22+BR23,0)</f>
        <v>38</v>
      </c>
      <c r="BS10" s="18">
        <f>=IFERROR(BS19+BS22+BS23,0)</f>
        <v>36</v>
      </c>
      <c r="BT10" s="18">
        <f>=IFERROR(BT19+BT22+BT23,0)</f>
        <v>36</v>
      </c>
      <c r="BU10" s="18">
        <f>=IFERROR(BU19+BU22+BU23,0)</f>
        <v>36</v>
      </c>
      <c r="BV10" s="18">
        <f>=IFERROR(BV19+BV22+BV23,0)</f>
        <v>35</v>
      </c>
      <c r="BW10" s="18">
        <f>=IFERROR(BW19+BW22+BW23,0)</f>
        <v>37</v>
      </c>
      <c r="BX10" s="18">
        <f>=IFERROR(BX19+BX22+BX23,0)</f>
        <v>36</v>
      </c>
      <c r="BY10" s="18">
        <f>=IFERROR(BY19+BY22+BY23,0)</f>
        <v>35</v>
      </c>
      <c r="BZ10" s="18">
        <f>=IFERROR(BZ19+BZ22+BZ23,0)</f>
        <v>35.5625</v>
      </c>
      <c r="CA10" s="18">
        <f>=IFERROR(CA19+CA22+CA23,0)</f>
        <v>35.11796875</v>
      </c>
      <c r="CB10" s="18">
        <f>=IFERROR(CB19+CB22+CB23,0)</f>
        <v>34.678994140625</v>
      </c>
      <c r="CC10" s="18">
        <f>=IFERROR(CC19+CC22+CC23,0)</f>
        <v>34.24550671386719</v>
      </c>
      <c r="CD10" s="18">
        <f>=IFERROR(CD19+CD22+CD23,0)</f>
        <v>33.90305164672852</v>
      </c>
      <c r="CE10" s="18">
        <f>=IFERROR(CE19+CE22+CE23,0)</f>
        <v>33.56402113026124</v>
      </c>
      <c r="CF10" s="18">
        <f>=IFERROR(CF19+CF22+CF23,0)</f>
        <v>25.22838091895863</v>
      </c>
      <c r="CG10" s="18">
        <f>=IFERROR(CG19+CG22+CG23,0)</f>
        <v>24.976097109769043</v>
      </c>
      <c r="CH10" s="18">
        <f>=IFERROR(CH19+CH22+CH23,0)</f>
        <v>24.726336138671357</v>
      </c>
      <c r="CI10" s="18">
        <f>=IFERROR(CI19+CI22+CI23,0)</f>
        <v>24.417256936937957</v>
      </c>
      <c r="CJ10" s="18">
        <f>=IFERROR(CJ19+CJ22+CJ23,0)</f>
        <v>24.11204122522623</v>
      </c>
      <c r="CK10" s="18">
        <f>=IFERROR(CK19+CK22+CK23,0)</f>
        <v>23.810640709910906</v>
      </c>
      <c r="CL10" s="18">
        <f>=IFERROR(CL19+CL22+CL23,0)</f>
        <v>23.513007701037026</v>
      </c>
      <c r="CM10" s="18">
        <f>=IFERROR(CM19+CM22+CM23,0)</f>
        <v>23.219095104774063</v>
      </c>
      <c r="CN10" s="18">
        <f>=IFERROR(CN19+CN22+CN23,0)</f>
        <v>22.92885641596439</v>
      </c>
      <c r="CO10" s="18">
        <f>=IFERROR(CO19+CO22+CO23,0)</f>
        <v>22.642245710764836</v>
      </c>
      <c r="CP10" s="18">
        <f>=IFERROR(CP19+CP22+CP23,0)</f>
        <v>22.359217639380272</v>
      </c>
      <c r="CQ10" s="18">
        <f>=IFERROR(CQ19+CQ22+CQ23,0)</f>
        <v>22.13562546298647</v>
      </c>
      <c r="CR10" s="18">
        <f>=IFERROR(CR19+CR22+CR23,0)</f>
        <v>21.914269208356608</v>
      </c>
      <c r="CS10" s="18">
        <f>=IFERROR(CS19+CS22+CS23,0)</f>
        <v>21.69512651627304</v>
      </c>
      <c r="CT10" s="18">
        <f>=IFERROR(CT19+CT22+CT23,0)</f>
        <v>21.478175251110315</v>
      </c>
      <c r="CU10" s="18">
        <f>=IFERROR(CU19+CU22+CU23,0)</f>
        <v>21.26339349859921</v>
      </c>
      <c r="CV10" s="18">
        <f>=IFERROR(CV19+CV22+CV23,0)</f>
        <v>20.99760107986672</v>
      </c>
      <c r="CW10" s="18">
        <f>=IFERROR(CW19+CW22+CW23,0)</f>
        <v>20.73513106636839</v>
      </c>
      <c r="CX10" s="18">
        <f>=IFERROR(CX19+CX22+CX23,0)</f>
        <v>20.475941928038782</v>
      </c>
      <c r="CY10" s="18">
        <f>=IFERROR(CY19+CY22+CY23,0)</f>
        <v>20.2199926539383</v>
      </c>
      <c r="CZ10" s="18">
        <f>=IFERROR(CZ19+CZ22+CZ23,0)</f>
        <v>19.967242745764068</v>
      </c>
      <c r="DA10" s="18">
        <f>=IFERROR(DA19+DA22+DA23,0)</f>
        <v>19.717652211442015</v>
      </c>
      <c r="DB10" s="18">
        <f>=IFERROR(DB19+DB22+DB23,0)</f>
        <v>19.47118155879899</v>
      </c>
    </row>
    <row r="11" ht="18" customHeight="1" spans="1:106" x14ac:dyDescent="0.25">
      <c r="A11" s="16" t="s">
        <v>245</v>
      </c>
      <c r="B11" s="17"/>
      <c r="C11" s="18">
        <f>=C10*(C47*C48*(1-C29)*(1-C46))</f>
        <v>3784</v>
      </c>
      <c r="D11" s="18">
        <f>=D10*(D47*D48*(1-D29)*(1-D46))</f>
        <v>3715.2</v>
      </c>
      <c r="E11" s="18">
        <f>=E10*(E47*E48*(1-E29)*(1-E46))</f>
        <v>3852.8</v>
      </c>
      <c r="F11" s="18">
        <f>=F10*(F47*F48*(1-F29)*(1-F46))</f>
        <v>3784</v>
      </c>
      <c r="G11" s="18">
        <f>=G10*(G47*G48*(1-G29)*(1-G46))</f>
        <v>3543.2</v>
      </c>
      <c r="H11" s="18">
        <f>=H10*(H47*H48*(1-H29)*(1-H46))</f>
        <v>3577.6</v>
      </c>
      <c r="I11" s="18">
        <f>=I10*(I47*I48*(1-I29)*(1-I46))</f>
        <v>3577.6</v>
      </c>
      <c r="J11" s="18">
        <f>=J10*(J47*J48*(1-J29)*(1-J46))</f>
        <v>3612</v>
      </c>
      <c r="K11" s="18">
        <f>=K10*(K47*K48*(1-K29)*(1-K46))</f>
        <v>3612</v>
      </c>
      <c r="L11" s="18">
        <f>=L10*(L47*L48*(1-L29)*(1-L46))</f>
        <v>3612</v>
      </c>
      <c r="M11" s="18">
        <f>=M10*(M47*M48*(1-M29)*(1-M46))</f>
        <v>3336.8</v>
      </c>
      <c r="N11" s="18">
        <f>=N10*(N47*N48*(1-N29)*(1-N46))</f>
        <v>3233.6</v>
      </c>
      <c r="O11" s="18">
        <f>=O10*(O47*O48*(1-O29)*(1-O46))</f>
        <v>2889.6</v>
      </c>
      <c r="P11" s="18">
        <f>=P10*(P47*P48*(1-P29)*(1-P46))</f>
        <v>2717.6</v>
      </c>
      <c r="Q11" s="18">
        <f>=Q10*(Q47*Q48*(1-Q29)*(1-Q46))</f>
        <v>2648.8</v>
      </c>
      <c r="R11" s="18">
        <f>=R10*(R47*R48*(1-R29)*(1-R46))</f>
        <v>2614.4</v>
      </c>
      <c r="S11" s="18">
        <f>=S10*(S47*S48*(1-S29)*(1-S46))</f>
        <v>2408</v>
      </c>
      <c r="T11" s="18">
        <f>=T10*(T47*T48*(1-T29)*(1-T46))</f>
        <v>2408</v>
      </c>
      <c r="U11" s="18">
        <f>=U10*(U47*U48*(1-U29)*(1-U46))</f>
        <v>2373.6</v>
      </c>
      <c r="V11" s="18">
        <f>=V10*(V47*V48*(1-V29)*(1-V46))</f>
        <v>2098.4</v>
      </c>
      <c r="W11" s="18">
        <f>=W10*(W47*W48*(1-W29)*(1-W46))</f>
        <v>2064</v>
      </c>
      <c r="X11" s="18">
        <f>=X10*(X47*X48*(1-X29)*(1-X46))</f>
        <v>2236</v>
      </c>
      <c r="Y11" s="18">
        <f>=Y10*(Y47*Y48*(1-Y29)*(1-Y46))</f>
        <v>2167.2</v>
      </c>
      <c r="Z11" s="18">
        <f>=Z10*(Z47*Z48*(1-Z29)*(1-Z46))</f>
        <v>2132.8</v>
      </c>
      <c r="AA11" s="18">
        <f>=AA10*(AA47*AA48*(1-AA29)*(1-AA46))</f>
        <v>2029.6</v>
      </c>
      <c r="AB11" s="18">
        <f>=AB10*(AB47*AB48*(1-AB29)*(1-AB46))</f>
        <v>2029.6</v>
      </c>
      <c r="AC11" s="18">
        <f>=AC10*(AC47*AC48*(1-AC29)*(1-AC46))</f>
        <v>1995.2</v>
      </c>
      <c r="AD11" s="18">
        <f>=AD10*(AD47*AD48*(1-AD29)*(1-AD46))</f>
        <v>1926.4</v>
      </c>
      <c r="AE11" s="18">
        <f>=AE10*(AE47*AE48*(1-AE29)*(1-AE46))</f>
        <v>1960.8</v>
      </c>
      <c r="AF11" s="18">
        <f>=AF10*(AF47*AF48*(1-AF29)*(1-AF46))</f>
        <v>1960.8</v>
      </c>
      <c r="AG11" s="18">
        <f>=AG10*(AG47*AG48*(1-AG29)*(1-AG46))</f>
        <v>2029.6</v>
      </c>
      <c r="AH11" s="18">
        <f>=AH10*(AH47*AH48*(1-AH29)*(1-AH46))</f>
        <v>1892</v>
      </c>
      <c r="AI11" s="18">
        <f>=AI10*(AI47*AI48*(1-AI29)*(1-AI46))</f>
        <v>1995.2</v>
      </c>
      <c r="AJ11" s="18">
        <f>=AJ10*(AJ47*AJ48*(1-AJ29)*(1-AJ46))</f>
        <v>1823.2</v>
      </c>
      <c r="AK11" s="18">
        <f>=AK10*(AK47*AK48*(1-AK29)*(1-AK46))</f>
        <v>1857.6</v>
      </c>
      <c r="AL11" s="18">
        <f>=AL10*(AL47*AL48*(1-AL29)*(1-AL46))</f>
        <v>1823.2</v>
      </c>
      <c r="AM11" s="18">
        <f>=AM10*(AM47*AM48*(1-AM29)*(1-AM46))</f>
        <v>1788.8</v>
      </c>
      <c r="AN11" s="18">
        <f>=AN10*(AN47*AN48*(1-AN29)*(1-AN46))</f>
        <v>1788.8</v>
      </c>
      <c r="AO11" s="18">
        <f>=AO10*(AO47*AO48*(1-AO29)*(1-AO46))</f>
        <v>1720</v>
      </c>
      <c r="AP11" s="18">
        <f>=AP10*(AP47*AP48*(1-AP29)*(1-AP46))</f>
        <v>1740</v>
      </c>
      <c r="AQ11" s="18">
        <f>=AQ10*(AQ47*AQ48*(1-AQ29)*(1-AQ46))</f>
        <v>1774.8</v>
      </c>
      <c r="AR11" s="18">
        <f>=AR10*(AR47*AR48*(1-AR29)*(1-AR46))</f>
        <v>1705.2</v>
      </c>
      <c r="AS11" s="18">
        <f>=AS10*(AS47*AS48*(1-AS29)*(1-AS46))</f>
        <v>1635.6</v>
      </c>
      <c r="AT11" s="18">
        <f>=AT10*(AT47*AT48*(1-AT29)*(1-AT46))</f>
        <v>1705.2</v>
      </c>
      <c r="AU11" s="18">
        <f>=AU10*(AU47*AU48*(1-AU29)*(1-AU46))</f>
        <v>1705.2</v>
      </c>
      <c r="AV11" s="18">
        <f>=AV10*(AV47*AV48*(1-AV29)*(1-AV46))</f>
        <v>1705.2</v>
      </c>
      <c r="AW11" s="18">
        <f>=AW10*(AW47*AW48*(1-AW29)*(1-AW46))</f>
        <v>1948.8</v>
      </c>
      <c r="AX11" s="18">
        <f>=AX10*(AX47*AX48*(1-AX29)*(1-AX46))</f>
        <v>1914</v>
      </c>
      <c r="AY11" s="18">
        <f>=AY10*(AY47*AY48*(1-AY29)*(1-AY46))</f>
        <v>1600.8</v>
      </c>
      <c r="AZ11" s="18">
        <f>=AZ10*(AZ47*AZ48*(1-AZ29)*(1-AZ46))</f>
        <v>1670.4</v>
      </c>
      <c r="BA11" s="18">
        <f>=BA10*(BA47*BA48*(1-BA29)*(1-BA46))</f>
        <v>2157.6</v>
      </c>
      <c r="BB11" s="18">
        <f>=BB10*(BB47*BB48*(1-BB29)*(1-BB46))</f>
        <v>1879.2</v>
      </c>
      <c r="BC11" s="18">
        <f>=BC10*(BC47*BC48*(1-BC29)*(1-BC46))</f>
        <v>1823.2</v>
      </c>
      <c r="BD11" s="18">
        <f>=BD10*(BD47*BD48*(1-BD29)*(1-BD46))</f>
        <v>1754.4</v>
      </c>
      <c r="BE11" s="18">
        <f>=BE10*(BE47*BE48*(1-BE29)*(1-BE46))</f>
        <v>1720</v>
      </c>
      <c r="BF11" s="18">
        <f>=BF10*(BF47*BF48*(1-BF29)*(1-BF46))</f>
        <v>1616.8</v>
      </c>
      <c r="BG11" s="18">
        <f>=BG10*(BG47*BG48*(1-BG29)*(1-BG46))</f>
        <v>1823.2</v>
      </c>
      <c r="BH11" s="18">
        <f>=BH10*(BH47*BH48*(1-BH29)*(1-BH46))</f>
        <v>1720</v>
      </c>
      <c r="BI11" s="18">
        <f>=BI10*(BI47*BI48*(1-BI29)*(1-BI46))</f>
        <v>1720</v>
      </c>
      <c r="BJ11" s="18">
        <f>=BJ10*(BJ47*BJ48*(1-BJ29)*(1-BJ46))</f>
        <v>1823.2</v>
      </c>
      <c r="BK11" s="18">
        <f>=BK10*(BK47*BK48*(1-BK29)*(1-BK46))</f>
        <v>1857.6</v>
      </c>
      <c r="BL11" s="18">
        <f>=BL10*(BL47*BL48*(1-BL29)*(1-BL46))</f>
        <v>1892</v>
      </c>
      <c r="BM11" s="18">
        <f>=BM10*(BM47*BM48*(1-BM29)*(1-BM46))</f>
        <v>1685.6</v>
      </c>
      <c r="BN11" s="18">
        <f>=BN10*(BN47*BN48*(1-BN29)*(1-BN46))</f>
        <v>1651.2</v>
      </c>
      <c r="BO11" s="18">
        <f>=BO10*(BO47*BO48*(1-BO29)*(1-BO46))</f>
        <v>1513.6</v>
      </c>
      <c r="BP11" s="18">
        <f>=BP10*(BP47*BP48*(1-BP29)*(1-BP46))</f>
        <v>1341.6</v>
      </c>
      <c r="BQ11" s="18">
        <f>=BQ10*(BQ47*BQ48*(1-BQ29)*(1-BQ46))</f>
        <v>1272.8</v>
      </c>
      <c r="BR11" s="18">
        <f>=BR10*(BR47*BR48*(1-BR29)*(1-BR46))</f>
        <v>1307.2</v>
      </c>
      <c r="BS11" s="18">
        <f>=BS10*(BS47*BS48*(1-BS29)*(1-BS46))</f>
        <v>1238.4</v>
      </c>
      <c r="BT11" s="18">
        <f>=BT10*(BT47*BT48*(1-BT29)*(1-BT46))</f>
        <v>1238.4</v>
      </c>
      <c r="BU11" s="18">
        <f>=BU10*(BU47*BU48*(1-BU29)*(1-BU46))</f>
        <v>1238.4</v>
      </c>
      <c r="BV11" s="18">
        <f>=BV10*(BV47*BV48*(1-BV29)*(1-BV46))</f>
        <v>1204</v>
      </c>
      <c r="BW11" s="18">
        <f>=BW10*(BW47*BW48*(1-BW29)*(1-BW46))</f>
        <v>1272.8</v>
      </c>
      <c r="BX11" s="18">
        <f>=BX10*(BX47*BX48*(1-BX29)*(1-BX46))</f>
        <v>1238.4</v>
      </c>
      <c r="BY11" s="18">
        <f>=BY10*(BY47*BY48*(1-BY29)*(1-BY46))</f>
        <v>1232</v>
      </c>
      <c r="BZ11" s="18">
        <f>=BZ10*(BZ47*BZ48*(1-BZ29)*(1-BZ46))</f>
        <v>1251.8</v>
      </c>
      <c r="CA11" s="18">
        <f>=CA10*(CA47*CA48*(1-CA29)*(1-CA46))</f>
        <v>1236.1525</v>
      </c>
      <c r="CB11" s="18">
        <f>=CB10*(CB47*CB48*(1-CB29)*(1-CB46))</f>
        <v>1220.70059375</v>
      </c>
      <c r="CC11" s="18">
        <f>=CC10*(CC47*CC48*(1-CC29)*(1-CC46))</f>
        <v>1205.4418363281254</v>
      </c>
      <c r="CD11" s="18">
        <f>=CD10*(CD47*CD48*(1-CD29)*(1-CD46))</f>
        <v>1193.3874179648442</v>
      </c>
      <c r="CE11" s="18">
        <f>=CE10*(CE47*CE48*(1-CE29)*(1-CE46))</f>
        <v>1181.453543785196</v>
      </c>
      <c r="CF11" s="18">
        <f>=CF10*(CF47*CF48*(1-CF29)*(1-CF46))</f>
        <v>888.0390083473441</v>
      </c>
      <c r="CG11" s="18">
        <f>=CG10*(CG47*CG48*(1-CG29)*(1-CG46))</f>
        <v>879.1586182638706</v>
      </c>
      <c r="CH11" s="18">
        <f>=CH10*(CH47*CH48*(1-CH29)*(1-CH46))</f>
        <v>870.3670320812317</v>
      </c>
      <c r="CI11" s="18">
        <f>=CI10*(CI47*CI48*(1-CI29)*(1-CI46))</f>
        <v>859.4874441802161</v>
      </c>
      <c r="CJ11" s="18">
        <f>=CJ10*(CJ47*CJ48*(1-CJ29)*(1-CJ46))</f>
        <v>848.7438511279636</v>
      </c>
      <c r="CK11" s="18">
        <f>=CK10*(CK47*CK48*(1-CK29)*(1-CK46))</f>
        <v>838.1345529888642</v>
      </c>
      <c r="CL11" s="18">
        <f>=CL10*(CL47*CL48*(1-CL29)*(1-CL46))</f>
        <v>827.6578710765034</v>
      </c>
      <c r="CM11" s="18">
        <f>=CM10*(CM47*CM48*(1-CM29)*(1-CM46))</f>
        <v>817.3121476880472</v>
      </c>
      <c r="CN11" s="18">
        <f>=CN10*(CN47*CN48*(1-CN29)*(1-CN46))</f>
        <v>807.0957458419468</v>
      </c>
      <c r="CO11" s="18">
        <f>=CO10*(CO47*CO48*(1-CO29)*(1-CO46))</f>
        <v>797.0070490189223</v>
      </c>
      <c r="CP11" s="18">
        <f>=CP10*(CP47*CP48*(1-CP29)*(1-CP46))</f>
        <v>787.0444609061857</v>
      </c>
      <c r="CQ11" s="18">
        <f>=CQ10*(CQ47*CQ48*(1-CQ29)*(1-CQ46))</f>
        <v>779.174016297124</v>
      </c>
      <c r="CR11" s="18">
        <f>=CR10*(CR47*CR48*(1-CR29)*(1-CR46))</f>
        <v>771.3822761341526</v>
      </c>
      <c r="CS11" s="18">
        <f>=CS10*(CS47*CS48*(1-CS29)*(1-CS46))</f>
        <v>763.6684533728112</v>
      </c>
      <c r="CT11" s="18">
        <f>=CT10*(CT47*CT48*(1-CT29)*(1-CT46))</f>
        <v>756.0317688390832</v>
      </c>
      <c r="CU11" s="18">
        <f>=CU10*(CU47*CU48*(1-CU29)*(1-CU46))</f>
        <v>748.4714511506925</v>
      </c>
      <c r="CV11" s="18">
        <f>=CV10*(CV47*CV48*(1-CV29)*(1-CV46))</f>
        <v>739.1155580113087</v>
      </c>
      <c r="CW11" s="18">
        <f>=CW10*(CW47*CW48*(1-CW29)*(1-CW46))</f>
        <v>729.8766135361675</v>
      </c>
      <c r="CX11" s="18">
        <f>=CX10*(CX47*CX48*(1-CX29)*(1-CX46))</f>
        <v>720.7531558669652</v>
      </c>
      <c r="CY11" s="18">
        <f>=CY10*(CY47*CY48*(1-CY29)*(1-CY46))</f>
        <v>711.7437414186281</v>
      </c>
      <c r="CZ11" s="18">
        <f>=CZ10*(CZ47*CZ48*(1-CZ29)*(1-CZ46))</f>
        <v>702.8469446508952</v>
      </c>
      <c r="DA11" s="18">
        <f>=DA10*(DA47*DA48*(1-DA29)*(1-DA46))</f>
        <v>694.061357842759</v>
      </c>
      <c r="DB11" s="18">
        <f>=DB10*(DB47*DB48*(1-DB29)*(1-DB46))</f>
        <v>685.3855908697246</v>
      </c>
    </row>
    <row r="12" ht="18" customHeight="1" spans="1:106" x14ac:dyDescent="0.25">
      <c r="A12" s="16" t="s">
        <v>246</v>
      </c>
      <c r="C12" s="19">
        <f>=IFERROR(C10-C7,0)</f>
        <v>0</v>
      </c>
      <c r="D12" s="19">
        <f>=IFERROR(D10-D7,0)</f>
        <v>-2</v>
      </c>
      <c r="E12" s="19">
        <f>=IFERROR(E10-E7,0)</f>
        <v>2</v>
      </c>
      <c r="F12" s="19">
        <f>=IFERROR(F10-F7,0)</f>
        <v>0</v>
      </c>
      <c r="G12" s="19">
        <f>=IFERROR(G10-G7,0)</f>
        <v>-7</v>
      </c>
      <c r="H12" s="19">
        <f>=IFERROR(H10-H7,0)</f>
        <v>-6</v>
      </c>
      <c r="I12" s="19">
        <f>=IFERROR(I10-I7,0)</f>
        <v>-6</v>
      </c>
      <c r="J12" s="19">
        <f>=IFERROR(J10-J7,0)</f>
        <v>-5</v>
      </c>
      <c r="K12" s="19">
        <f>=IFERROR(K10-K7,0)</f>
        <v>-5</v>
      </c>
      <c r="L12" s="19">
        <f>=IFERROR(L10-L7,0)</f>
        <v>0</v>
      </c>
      <c r="M12" s="19">
        <f>=IFERROR(M10-M7,0)</f>
        <v>2</v>
      </c>
      <c r="N12" s="19">
        <f>=IFERROR(N10-N7,0)</f>
        <v>9</v>
      </c>
      <c r="O12" s="19">
        <f>=IFERROR(O10-O7,0)</f>
        <v>-1</v>
      </c>
      <c r="P12" s="19">
        <f>=IFERROR(P10-P7,0)</f>
        <v>4</v>
      </c>
      <c r="Q12" s="19">
        <f>=IFERROR(Q10-Q7,0)</f>
        <v>12</v>
      </c>
      <c r="R12" s="19">
        <f>=IFERROR(R10-R7,0)</f>
        <v>11</v>
      </c>
      <c r="S12" s="19">
        <f>=IFERROR(S10-S7,0)</f>
        <v>5</v>
      </c>
      <c r="T12" s="19">
        <f>=IFERROR(T10-T7,0)</f>
        <v>10</v>
      </c>
      <c r="U12" s="19">
        <f>=IFERROR(U10-U7,0)</f>
        <v>9</v>
      </c>
      <c r="V12" s="19">
        <f>=IFERROR(V10-V7,0)</f>
        <v>1</v>
      </c>
      <c r="W12" s="19">
        <f>=IFERROR(W10-W7,0)</f>
        <v>0</v>
      </c>
      <c r="X12" s="19">
        <f>=IFERROR(X10-X7,0)</f>
        <v>5</v>
      </c>
      <c r="Y12" s="19">
        <f>=IFERROR(Y10-Y7,0)</f>
        <v>3</v>
      </c>
      <c r="Z12" s="19">
        <f>=IFERROR(Z10-Z7,0)</f>
        <v>2</v>
      </c>
      <c r="AA12" s="19">
        <f>=IFERROR(AA10-AA7,0)</f>
        <v>-1</v>
      </c>
      <c r="AB12" s="19">
        <f>=IFERROR(AB10-AB7,0)</f>
        <v>-1</v>
      </c>
      <c r="AC12" s="19">
        <f>=IFERROR(AC10-AC7,0)</f>
        <v>-2</v>
      </c>
      <c r="AD12" s="19">
        <f>=IFERROR(AD10-AD7,0)</f>
        <v>-4</v>
      </c>
      <c r="AE12" s="19">
        <f>=IFERROR(AE10-AE7,0)</f>
        <v>-3</v>
      </c>
      <c r="AF12" s="19">
        <f>=IFERROR(AF10-AF7,0)</f>
        <v>-3</v>
      </c>
      <c r="AG12" s="19">
        <f>=IFERROR(AG10-AG7,0)</f>
        <v>-1</v>
      </c>
      <c r="AH12" s="19">
        <f>=IFERROR(AH10-AH7,0)</f>
        <v>2</v>
      </c>
      <c r="AI12" s="19">
        <f>=IFERROR(AI10-AI7,0)</f>
        <v>5</v>
      </c>
      <c r="AJ12" s="19">
        <f>=IFERROR(AJ10-AJ7,0)</f>
        <v>0</v>
      </c>
      <c r="AK12" s="19">
        <f>=IFERROR(AK10-AK7,0)</f>
        <v>1</v>
      </c>
      <c r="AL12" s="19">
        <f>=IFERROR(AL10-AL7,0)</f>
        <v>0</v>
      </c>
      <c r="AM12" s="19">
        <f>=IFERROR(AM10-AM7,0)</f>
        <v>-1</v>
      </c>
      <c r="AN12" s="19">
        <f>=IFERROR(AN10-AN7,0)</f>
        <v>-1</v>
      </c>
      <c r="AO12" s="19">
        <f>=IFERROR(AO10-AO7,0)</f>
        <v>-3</v>
      </c>
      <c r="AP12" s="19">
        <f>=IFERROR(AP10-AP7,0)</f>
        <v>-3</v>
      </c>
      <c r="AQ12" s="19">
        <f>=IFERROR(AQ10-AQ7,0)</f>
        <v>-2</v>
      </c>
      <c r="AR12" s="19">
        <f>=IFERROR(AR10-AR7,0)</f>
        <v>-4</v>
      </c>
      <c r="AS12" s="19">
        <f>=IFERROR(AS10-AS7,0)</f>
        <v>-6</v>
      </c>
      <c r="AT12" s="19">
        <f>=IFERROR(AT10-AT7,0)</f>
        <v>-4</v>
      </c>
      <c r="AU12" s="19">
        <f>=IFERROR(AU10-AU7,0)</f>
        <v>-4</v>
      </c>
      <c r="AV12" s="19">
        <f>=IFERROR(AV10-AV7,0)</f>
        <v>-4</v>
      </c>
      <c r="AW12" s="19">
        <f>=IFERROR(AW10-AW7,0)</f>
        <v>3</v>
      </c>
      <c r="AX12" s="19">
        <f>=IFERROR(AX10-AX7,0)</f>
        <v>2</v>
      </c>
      <c r="AY12" s="19">
        <f>=IFERROR(AY10-AY7,0)</f>
        <v>-7</v>
      </c>
      <c r="AZ12" s="19">
        <f>=IFERROR(AZ10-AZ7,0)</f>
        <v>-5</v>
      </c>
      <c r="BA12" s="19">
        <f>=IFERROR(BA10-BA7,0)</f>
        <v>9</v>
      </c>
      <c r="BB12" s="19">
        <f>=IFERROR(BB10-BB7,0)</f>
        <v>1</v>
      </c>
      <c r="BC12" s="19">
        <f>=IFERROR(BC10-BC7,0)</f>
        <v>0</v>
      </c>
      <c r="BD12" s="19">
        <f>=IFERROR(BD10-BD7,0)</f>
        <v>-2</v>
      </c>
      <c r="BE12" s="19">
        <f>=IFERROR(BE10-BE7,0)</f>
        <v>-3</v>
      </c>
      <c r="BF12" s="19">
        <f>=IFERROR(BF10-BF7,0)</f>
        <v>-6</v>
      </c>
      <c r="BG12" s="19">
        <f>=IFERROR(BG10-BG7,0)</f>
        <v>0</v>
      </c>
      <c r="BH12" s="19">
        <f>=IFERROR(BH10-BH7,0)</f>
        <v>-3</v>
      </c>
      <c r="BI12" s="19">
        <f>=IFERROR(BI10-BI7,0)</f>
        <v>-3</v>
      </c>
      <c r="BJ12" s="19">
        <f>=IFERROR(BJ10-BJ7,0)</f>
        <v>0</v>
      </c>
      <c r="BK12" s="19">
        <f>=IFERROR(BK10-BK7,0)</f>
        <v>1</v>
      </c>
      <c r="BL12" s="19">
        <f>=IFERROR(BL10-BL7,0)</f>
        <v>2</v>
      </c>
      <c r="BM12" s="19">
        <f>=IFERROR(BM10-BM7,0)</f>
        <v>4</v>
      </c>
      <c r="BN12" s="19">
        <f>=IFERROR(BN10-BN7,0)</f>
        <v>8</v>
      </c>
      <c r="BO12" s="19">
        <f>=IFERROR(BO10-BO7,0)</f>
        <v>4</v>
      </c>
      <c r="BP12" s="19">
        <f>=IFERROR(BP10-BP7,0)</f>
        <v>5</v>
      </c>
      <c r="BQ12" s="19">
        <f>=IFERROR(BQ10-BQ7,0)</f>
        <v>3</v>
      </c>
      <c r="BR12" s="19">
        <f>=IFERROR(BR10-BR7,0)</f>
        <v>4</v>
      </c>
      <c r="BS12" s="19">
        <f>=IFERROR(BS10-BS7,0)</f>
        <v>2</v>
      </c>
      <c r="BT12" s="19">
        <f>=IFERROR(BT10-BT7,0)</f>
        <v>2</v>
      </c>
      <c r="BU12" s="19">
        <f>=IFERROR(BU10-BU7,0)</f>
        <v>2</v>
      </c>
      <c r="BV12" s="19">
        <f>=IFERROR(BV10-BV7,0)</f>
        <v>1</v>
      </c>
      <c r="BW12" s="19">
        <f>=IFERROR(BW10-BW7,0)</f>
        <v>3</v>
      </c>
      <c r="BX12" s="19">
        <f>=IFERROR(BX10-BX7,0)</f>
        <v>2</v>
      </c>
      <c r="BY12" s="19">
        <f>=IFERROR(BY10-BY7,0)</f>
        <v>1</v>
      </c>
      <c r="BZ12" s="19">
        <f>=IFERROR(BZ10-BZ7,0)</f>
        <v>1.5625</v>
      </c>
      <c r="CA12" s="19">
        <f>=IFERROR(CA10-CA7,0)</f>
        <v>1.11796875</v>
      </c>
      <c r="CB12" s="19">
        <f>=IFERROR(CB10-CB7,0)</f>
        <v>0.678994140625</v>
      </c>
      <c r="CC12" s="19">
        <f>=IFERROR(CC10-CC7,0)</f>
        <v>0.24550671386719</v>
      </c>
      <c r="CD12" s="19">
        <f>=IFERROR(CD10-CD7,0)</f>
        <v>-0.09694835327148</v>
      </c>
      <c r="CE12" s="19">
        <f>=IFERROR(CE10-CE7,0)</f>
        <v>-0.43597886973876</v>
      </c>
      <c r="CF12" s="19">
        <f>=IFERROR(CF10-CF7,0)</f>
        <v>1.22838091895863</v>
      </c>
      <c r="CG12" s="19">
        <f>=IFERROR(CG10-CG7,0)</f>
        <v>0.976097109769044</v>
      </c>
      <c r="CH12" s="19">
        <f>=IFERROR(CH10-CH7,0)</f>
        <v>-9.273663861328645</v>
      </c>
      <c r="CI12" s="19">
        <f>=IFERROR(CI10-CI7,0)</f>
        <v>-9.582743063062043</v>
      </c>
      <c r="CJ12" s="19">
        <f>=IFERROR(CJ10-CJ7,0)</f>
        <v>-9.88795877477377</v>
      </c>
      <c r="CK12" s="19">
        <f>=IFERROR(CK10-CK7,0)</f>
        <v>-10.189359290089092</v>
      </c>
      <c r="CL12" s="19">
        <f>=IFERROR(CL10-CL7,0)</f>
        <v>-10.486992298962976</v>
      </c>
      <c r="CM12" s="19">
        <f>=IFERROR(CM10-CM7,0)</f>
        <v>-10.780904895225936</v>
      </c>
      <c r="CN12" s="19">
        <f>=IFERROR(CN10-CN7,0)</f>
        <v>-11.07114358403561</v>
      </c>
      <c r="CO12" s="19">
        <f>=IFERROR(CO10-CO7,0)</f>
        <v>-11.357754289235164</v>
      </c>
      <c r="CP12" s="19">
        <f>=IFERROR(CP10-CP7,0)</f>
        <v>-11.640782360619728</v>
      </c>
      <c r="CQ12" s="19">
        <f>=IFERROR(CQ10-CQ7,0)</f>
        <v>-11.86437453701353</v>
      </c>
      <c r="CR12" s="19">
        <f>=IFERROR(CR10-CR7,0)</f>
        <v>-12.085730791643392</v>
      </c>
      <c r="CS12" s="19">
        <f>=IFERROR(CS10-CS7,0)</f>
        <v>-12.30487348372696</v>
      </c>
      <c r="CT12" s="19">
        <f>=IFERROR(CT10-CT7,0)</f>
        <v>-12.521824748889683</v>
      </c>
      <c r="CU12" s="19">
        <f>=IFERROR(CU10-CU7,0)</f>
        <v>-12.73660650140079</v>
      </c>
      <c r="CV12" s="19">
        <f>=IFERROR(CV10-CV7,0)</f>
        <v>-13.00239892013328</v>
      </c>
      <c r="CW12" s="19">
        <f>=IFERROR(CW10-CW7,0)</f>
        <v>-13.26486893363161</v>
      </c>
      <c r="CX12" s="19">
        <f>=IFERROR(CX10-CX7,0)</f>
        <v>-13.524058071961216</v>
      </c>
      <c r="CY12" s="19">
        <f>=IFERROR(CY10-CY7,0)</f>
        <v>-13.7800073460617</v>
      </c>
      <c r="CZ12" s="19">
        <f>=IFERROR(CZ10-CZ7,0)</f>
        <v>-14.032757254235932</v>
      </c>
      <c r="DA12" s="19">
        <f>=IFERROR(DA10-DA7,0)</f>
        <v>-14.282347788557985</v>
      </c>
      <c r="DB12" s="19">
        <f>=IFERROR(DB10-DB7,0)</f>
        <v>-14.52881844120101</v>
      </c>
    </row>
    <row r="13" ht="18" customHeight="1" spans="1:106" x14ac:dyDescent="0.25">
      <c r="A13" s="20" t="s">
        <v>247</v>
      </c>
      <c r="B13" s="17"/>
      <c r="C13" s="21">
        <f>=IFERROR(C10-C9,0)</f>
        <v>-1</v>
      </c>
      <c r="D13" s="21">
        <f>=IFERROR(D10-D9,0)</f>
        <v>-3</v>
      </c>
      <c r="E13" s="21">
        <f>=IFERROR(E10-E9,0)</f>
        <v>1</v>
      </c>
      <c r="F13" s="21">
        <f>=IFERROR(F10-F9,0)</f>
        <v>-1</v>
      </c>
      <c r="G13" s="21">
        <f>=IFERROR(G10-G9,0)</f>
        <v>-8</v>
      </c>
      <c r="H13" s="21">
        <f>=IFERROR(H10-H9,0)</f>
        <v>-6</v>
      </c>
      <c r="I13" s="21">
        <f>=IFERROR(I10-I9,0)</f>
        <v>-6</v>
      </c>
      <c r="J13" s="21">
        <f>=IFERROR(J10-J9,0)</f>
        <v>-5</v>
      </c>
      <c r="K13" s="21">
        <f>=IFERROR(K10-K9,0)</f>
        <v>-5</v>
      </c>
      <c r="L13" s="21">
        <f>=IFERROR(L10-L9,0)</f>
        <v>0</v>
      </c>
      <c r="M13" s="21">
        <f>=IFERROR(M10-M9,0)</f>
        <v>2</v>
      </c>
      <c r="N13" s="21">
        <f>=IFERROR(N10-N9,0)</f>
        <v>9</v>
      </c>
      <c r="O13" s="21">
        <f>=IFERROR(O10-O9,0)</f>
        <v>-1</v>
      </c>
      <c r="P13" s="21">
        <f>=IFERROR(P10-P9,0)</f>
        <v>4</v>
      </c>
      <c r="Q13" s="21">
        <f>=IFERROR(Q10-Q9,0)</f>
        <v>12</v>
      </c>
      <c r="R13" s="21">
        <f>=IFERROR(R10-R9,0)</f>
        <v>11</v>
      </c>
      <c r="S13" s="21">
        <f>=IFERROR(S10-S9,0)</f>
        <v>5</v>
      </c>
      <c r="T13" s="21">
        <f>=IFERROR(T10-T9,0)</f>
        <v>10</v>
      </c>
      <c r="U13" s="21">
        <f>=IFERROR(U10-U9,0)</f>
        <v>10</v>
      </c>
      <c r="V13" s="21">
        <f>=IFERROR(V10-V9,0)</f>
        <v>2</v>
      </c>
      <c r="W13" s="21">
        <f>=IFERROR(W10-W9,0)</f>
        <v>1</v>
      </c>
      <c r="X13" s="21">
        <f>=IFERROR(X10-X9,0)</f>
        <v>6</v>
      </c>
      <c r="Y13" s="21">
        <f>=IFERROR(Y10-Y9,0)</f>
        <v>4</v>
      </c>
      <c r="Z13" s="21">
        <f>=IFERROR(Z10-Z9,0)</f>
        <v>3</v>
      </c>
      <c r="AA13" s="21">
        <f>=IFERROR(AA10-AA9,0)</f>
        <v>0</v>
      </c>
      <c r="AB13" s="21">
        <f>=IFERROR(AB10-AB9,0)</f>
        <v>0</v>
      </c>
      <c r="AC13" s="21">
        <f>=IFERROR(AC10-AC9,0)</f>
        <v>-1</v>
      </c>
      <c r="AD13" s="21">
        <f>=IFERROR(AD10-AD9,0)</f>
        <v>-3</v>
      </c>
      <c r="AE13" s="21">
        <f>=IFERROR(AE10-AE9,0)</f>
        <v>-2</v>
      </c>
      <c r="AF13" s="21">
        <f>=IFERROR(AF10-AF9,0)</f>
        <v>-2</v>
      </c>
      <c r="AG13" s="21">
        <f>=IFERROR(AG10-AG9,0)</f>
        <v>0</v>
      </c>
      <c r="AH13" s="21">
        <f>=IFERROR(AH10-AH9,0)</f>
        <v>3</v>
      </c>
      <c r="AI13" s="21">
        <f>=IFERROR(AI10-AI9,0)</f>
        <v>6</v>
      </c>
      <c r="AJ13" s="21">
        <f>=IFERROR(AJ10-AJ9,0)</f>
        <v>1</v>
      </c>
      <c r="AK13" s="21">
        <f>=IFERROR(AK10-AK9,0)</f>
        <v>2</v>
      </c>
      <c r="AL13" s="21">
        <f>=IFERROR(AL10-AL9,0)</f>
        <v>1</v>
      </c>
      <c r="AM13" s="21">
        <f>=IFERROR(AM10-AM9,0)</f>
        <v>0</v>
      </c>
      <c r="AN13" s="21">
        <f>=IFERROR(AN10-AN9,0)</f>
        <v>0</v>
      </c>
      <c r="AO13" s="21">
        <f>=IFERROR(AO10-AO9,0)</f>
        <v>-2</v>
      </c>
      <c r="AP13" s="21">
        <f>=IFERROR(AP10-AP9,0)</f>
        <v>-2</v>
      </c>
      <c r="AQ13" s="21">
        <f>=IFERROR(AQ10-AQ9,0)</f>
        <v>-1</v>
      </c>
      <c r="AR13" s="21">
        <f>=IFERROR(AR10-AR9,0)</f>
        <v>-3</v>
      </c>
      <c r="AS13" s="21">
        <f>=IFERROR(AS10-AS9,0)</f>
        <v>-5</v>
      </c>
      <c r="AT13" s="21">
        <f>=IFERROR(AT10-AT9,0)</f>
        <v>-3</v>
      </c>
      <c r="AU13" s="21">
        <f>=IFERROR(AU10-AU9,0)</f>
        <v>-3</v>
      </c>
      <c r="AV13" s="21">
        <f>=IFERROR(AV10-AV9,0)</f>
        <v>-3</v>
      </c>
      <c r="AW13" s="21">
        <f>=IFERROR(AW10-AW9,0)</f>
        <v>4</v>
      </c>
      <c r="AX13" s="21">
        <f>=IFERROR(AX10-AX9,0)</f>
        <v>3</v>
      </c>
      <c r="AY13" s="21">
        <f>=IFERROR(AY10-AY9,0)</f>
        <v>-6</v>
      </c>
      <c r="AZ13" s="21">
        <f>=IFERROR(AZ10-AZ9,0)</f>
        <v>-4</v>
      </c>
      <c r="BA13" s="21">
        <f>=IFERROR(BA10-BA9,0)</f>
        <v>10</v>
      </c>
      <c r="BB13" s="21">
        <f>=IFERROR(BB10-BB9,0)</f>
        <v>2</v>
      </c>
      <c r="BC13" s="21">
        <f>=IFERROR(BC10-BC9,0)</f>
        <v>0</v>
      </c>
      <c r="BD13" s="21">
        <f>=IFERROR(BD10-BD9,0)</f>
        <v>-2</v>
      </c>
      <c r="BE13" s="21">
        <f>=IFERROR(BE10-BE9,0)</f>
        <v>-3</v>
      </c>
      <c r="BF13" s="21">
        <f>=IFERROR(BF10-BF9,0)</f>
        <v>-6</v>
      </c>
      <c r="BG13" s="21">
        <f>=IFERROR(BG10-BG9,0)</f>
        <v>0</v>
      </c>
      <c r="BH13" s="21">
        <f>=IFERROR(BH10-BH9,0)</f>
        <v>-3</v>
      </c>
      <c r="BI13" s="21">
        <f>=IFERROR(BI10-BI9,0)</f>
        <v>-3</v>
      </c>
      <c r="BJ13" s="21">
        <f>=IFERROR(BJ10-BJ9,0)</f>
        <v>0</v>
      </c>
      <c r="BK13" s="21">
        <f>=IFERROR(BK10-BK9,0)</f>
        <v>1</v>
      </c>
      <c r="BL13" s="21">
        <f>=IFERROR(BL10-BL9,0)</f>
        <v>2</v>
      </c>
      <c r="BM13" s="21">
        <f>=IFERROR(BM10-BM9,0)</f>
        <v>4</v>
      </c>
      <c r="BN13" s="21">
        <f>=IFERROR(BN10-BN9,0)</f>
        <v>8</v>
      </c>
      <c r="BO13" s="21">
        <f>=IFERROR(BO10-BO9,0)</f>
        <v>4</v>
      </c>
      <c r="BP13" s="21">
        <f>=IFERROR(BP10-BP9,0)</f>
        <v>5</v>
      </c>
      <c r="BQ13" s="21">
        <f>=IFERROR(BQ10-BQ9,0)</f>
        <v>3</v>
      </c>
      <c r="BR13" s="21">
        <f>=IFERROR(BR10-BR9,0)</f>
        <v>4</v>
      </c>
      <c r="BS13" s="21">
        <f>=IFERROR(BS10-BS9,0)</f>
        <v>2</v>
      </c>
      <c r="BT13" s="21">
        <f>=IFERROR(BT10-BT9,0)</f>
        <v>2</v>
      </c>
      <c r="BU13" s="21">
        <f>=IFERROR(BU10-BU9,0)</f>
        <v>2</v>
      </c>
      <c r="BV13" s="21">
        <f>=IFERROR(BV10-BV9,0)</f>
        <v>1</v>
      </c>
      <c r="BW13" s="21">
        <f>=IFERROR(BW10-BW9,0)</f>
        <v>3</v>
      </c>
      <c r="BX13" s="21">
        <f>=IFERROR(BX10-BX9,0)</f>
        <v>2</v>
      </c>
      <c r="BY13" s="21">
        <f>=IFERROR(BY10-BY9,0)</f>
        <v>2</v>
      </c>
      <c r="BZ13" s="21">
        <f>=IFERROR(BZ10-BZ9,0)</f>
        <v>1.5625</v>
      </c>
      <c r="CA13" s="21">
        <f>=IFERROR(CA10-CA9,0)</f>
        <v>1.11796875</v>
      </c>
      <c r="CB13" s="21">
        <f>=IFERROR(CB10-CB9,0)</f>
        <v>0.678994140625</v>
      </c>
      <c r="CC13" s="21">
        <f>=IFERROR(CC10-CC9,0)</f>
        <v>0.24550671386719</v>
      </c>
      <c r="CD13" s="21">
        <f>=IFERROR(CD10-CD9,0)</f>
        <v>0.90305164672852</v>
      </c>
      <c r="CE13" s="21">
        <f>=IFERROR(CE10-CE9,0)</f>
        <v>0.56402113026124</v>
      </c>
      <c r="CF13" s="21">
        <f>=IFERROR(CF10-CF9,0)</f>
        <v>1.22838091895863</v>
      </c>
      <c r="CG13" s="21">
        <f>=IFERROR(CG10-CG9,0)</f>
        <v>0.976097109769044</v>
      </c>
      <c r="CH13" s="21">
        <f>=IFERROR(CH10-CH9,0)</f>
        <v>-8.273663861328645</v>
      </c>
      <c r="CI13" s="21">
        <f>=IFERROR(CI10-CI9,0)</f>
        <v>-8.582743063062043</v>
      </c>
      <c r="CJ13" s="21">
        <f>=IFERROR(CJ10-CJ9,0)</f>
        <v>-8.88795877477377</v>
      </c>
      <c r="CK13" s="21">
        <f>=IFERROR(CK10-CK9,0)</f>
        <v>-9.189359290089092</v>
      </c>
      <c r="CL13" s="21">
        <f>=IFERROR(CL10-CL9,0)</f>
        <v>-9.486992298962976</v>
      </c>
      <c r="CM13" s="21">
        <f>=IFERROR(CM10-CM9,0)</f>
        <v>-9.780904895225936</v>
      </c>
      <c r="CN13" s="21">
        <f>=IFERROR(CN10-CN9,0)</f>
        <v>-10.07114358403561</v>
      </c>
      <c r="CO13" s="21">
        <f>=IFERROR(CO10-CO9,0)</f>
        <v>-11.357754289235164</v>
      </c>
      <c r="CP13" s="21">
        <f>=IFERROR(CP10-CP9,0)</f>
        <v>-11.640782360619728</v>
      </c>
      <c r="CQ13" s="21">
        <f>=IFERROR(CQ10-CQ9,0)</f>
        <v>-11.86437453701353</v>
      </c>
      <c r="CR13" s="21">
        <f>=IFERROR(CR10-CR9,0)</f>
        <v>-12.085730791643392</v>
      </c>
      <c r="CS13" s="21">
        <f>=IFERROR(CS10-CS9,0)</f>
        <v>-12.30487348372696</v>
      </c>
      <c r="CT13" s="21">
        <f>=IFERROR(CT10-CT9,0)</f>
        <v>-12.521824748889683</v>
      </c>
      <c r="CU13" s="21">
        <f>=IFERROR(CU10-CU9,0)</f>
        <v>-11.73660650140079</v>
      </c>
      <c r="CV13" s="21">
        <f>=IFERROR(CV10-CV9,0)</f>
        <v>-12.00239892013328</v>
      </c>
      <c r="CW13" s="21">
        <f>=IFERROR(CW10-CW9,0)</f>
        <v>-12.26486893363161</v>
      </c>
      <c r="CX13" s="21">
        <f>=IFERROR(CX10-CX9,0)</f>
        <v>-12.524058071961216</v>
      </c>
      <c r="CY13" s="21">
        <f>=IFERROR(CY10-CY9,0)</f>
        <v>-13.7800073460617</v>
      </c>
      <c r="CZ13" s="21">
        <f>=IFERROR(CZ10-CZ9,0)</f>
        <v>-14.032757254235932</v>
      </c>
      <c r="DA13" s="21">
        <f>=IFERROR(DA10-DA9,0)</f>
        <v>-14.282347788557985</v>
      </c>
      <c r="DB13" s="21">
        <f>=IFERROR(DB10-DB9,0)</f>
        <v>-14.52881844120101</v>
      </c>
    </row>
    <row r="14" ht="18" customHeight="1" spans="1:106" x14ac:dyDescent="0.25">
      <c r="A14" s="22" t="s">
        <v>248</v>
      </c>
      <c r="B14" s="17"/>
      <c r="C14" s="18">
        <f>=Round(C11-C8,0)</f>
        <v>-44</v>
      </c>
      <c r="D14" s="18">
        <f>=Round(D11-D8,0)</f>
        <v>-114</v>
      </c>
      <c r="E14" s="18">
        <f>=Round(E11-E8,0)</f>
        <v>22</v>
      </c>
      <c r="F14" s="18">
        <f>=Round(F11-F8,0)</f>
        <v>-43</v>
      </c>
      <c r="G14" s="18">
        <f>=Round(G11-G8,0)</f>
        <v>-278</v>
      </c>
      <c r="H14" s="18">
        <f>=Round(H11-H8,0)</f>
        <v>-213</v>
      </c>
      <c r="I14" s="18">
        <f>=Round(I11-I8,0)</f>
        <v>-203</v>
      </c>
      <c r="J14" s="18">
        <f>=Round(J11-J8,0)</f>
        <v>-174</v>
      </c>
      <c r="K14" s="18">
        <f>=Round(K11-K8,0)</f>
        <v>-169</v>
      </c>
      <c r="L14" s="18">
        <f>=Round(L11-L8,0)</f>
        <v>15</v>
      </c>
      <c r="M14" s="18">
        <f>=Round(M11-M8,0)</f>
        <v>74</v>
      </c>
      <c r="N14" s="18">
        <f>=Round(N11-N8,0)</f>
        <v>326</v>
      </c>
      <c r="O14" s="18">
        <f>=Round(O11-O8,0)</f>
        <v>-21</v>
      </c>
      <c r="P14" s="18">
        <f>=Round(P11-P8,0)</f>
        <v>146</v>
      </c>
      <c r="Q14" s="18">
        <f>=Round(Q11-Q8,0)</f>
        <v>420</v>
      </c>
      <c r="R14" s="18">
        <f>=Round(R11-R8,0)</f>
        <v>385</v>
      </c>
      <c r="S14" s="18">
        <f>=Round(S11-S8,0)</f>
        <v>185</v>
      </c>
      <c r="T14" s="18">
        <f>=Round(T11-T8,0)</f>
        <v>355</v>
      </c>
      <c r="U14" s="18">
        <f>=Round(U11-U8,0)</f>
        <v>338</v>
      </c>
      <c r="V14" s="18">
        <f>=Round(V11-V8,0)</f>
        <v>62</v>
      </c>
      <c r="W14" s="18">
        <f>=Round(W11-W8,0)</f>
        <v>28</v>
      </c>
      <c r="X14" s="18">
        <f>=Round(X11-X8,0)</f>
        <v>200</v>
      </c>
      <c r="Y14" s="18">
        <f>=Round(Y11-Y8,0)</f>
        <v>133</v>
      </c>
      <c r="Z14" s="18">
        <f>=Round(Z11-Z8,0)</f>
        <v>99</v>
      </c>
      <c r="AA14" s="18">
        <f>=Round(AA11-AA8,0)</f>
        <v>-4</v>
      </c>
      <c r="AB14" s="18">
        <f>=Round(AB11-AB8,0)</f>
        <v>-4</v>
      </c>
      <c r="AC14" s="18">
        <f>=Round(AC11-AC8,0)</f>
        <v>-39</v>
      </c>
      <c r="AD14" s="18">
        <f>=Round(AD11-AD8,0)</f>
        <v>-108</v>
      </c>
      <c r="AE14" s="18">
        <f>=Round(AE11-AE8,0)</f>
        <v>-73</v>
      </c>
      <c r="AF14" s="18">
        <f>=Round(AF11-AF8,0)</f>
        <v>-73</v>
      </c>
      <c r="AG14" s="18">
        <f>=Round(AG11-AG8,0)</f>
        <v>-4</v>
      </c>
      <c r="AH14" s="18">
        <f>=Round(AH11-AH8,0)</f>
        <v>95</v>
      </c>
      <c r="AI14" s="18">
        <f>=Round(AI11-AI8,0)</f>
        <v>198</v>
      </c>
      <c r="AJ14" s="18">
        <f>=Round(AJ11-AJ8,0)</f>
        <v>26</v>
      </c>
      <c r="AK14" s="18">
        <f>=Round(AK11-AK8,0)</f>
        <v>61</v>
      </c>
      <c r="AL14" s="18">
        <f>=Round(AL11-AL8,0)</f>
        <v>26</v>
      </c>
      <c r="AM14" s="18">
        <f>=Round(AM11-AM8,0)</f>
        <v>-8</v>
      </c>
      <c r="AN14" s="18">
        <f>=Round(AN11-AN8,0)</f>
        <v>-8</v>
      </c>
      <c r="AO14" s="18">
        <f>=Round(AO11-AO8,0)</f>
        <v>-77</v>
      </c>
      <c r="AP14" s="18">
        <f>=Round(AP11-AP8,0)</f>
        <v>-57</v>
      </c>
      <c r="AQ14" s="18">
        <f>=Round(AQ11-AQ8,0)</f>
        <v>-22</v>
      </c>
      <c r="AR14" s="18">
        <f>=Round(AR11-AR8,0)</f>
        <v>-92</v>
      </c>
      <c r="AS14" s="18">
        <f>=Round(AS11-AS8,0)</f>
        <v>-161</v>
      </c>
      <c r="AT14" s="18">
        <f>=Round(AT11-AT8,0)</f>
        <v>-92</v>
      </c>
      <c r="AU14" s="18">
        <f>=Round(AU11-AU8,0)</f>
        <v>-92</v>
      </c>
      <c r="AV14" s="18">
        <f>=Round(AV11-AV8,0)</f>
        <v>-92</v>
      </c>
      <c r="AW14" s="18">
        <f>=Round(AW11-AW8,0)</f>
        <v>152</v>
      </c>
      <c r="AX14" s="18">
        <f>=Round(AX11-AX8,0)</f>
        <v>117</v>
      </c>
      <c r="AY14" s="18">
        <f>=Round(AY11-AY8,0)</f>
        <v>-218</v>
      </c>
      <c r="AZ14" s="18">
        <f>=Round(AZ11-AZ8,0)</f>
        <v>-149</v>
      </c>
      <c r="BA14" s="18">
        <f>=Round(BA11-BA8,0)</f>
        <v>339</v>
      </c>
      <c r="BB14" s="18">
        <f>=Round(BB11-BB8,0)</f>
        <v>60</v>
      </c>
      <c r="BC14" s="18">
        <f>=Round(BC11-BC8,0)</f>
        <v>3</v>
      </c>
      <c r="BD14" s="18">
        <f>=Round(BD11-BD8,0)</f>
        <v>-66</v>
      </c>
      <c r="BE14" s="18">
        <f>=Round(BE11-BE8,0)</f>
        <v>-100</v>
      </c>
      <c r="BF14" s="18">
        <f>=Round(BF11-BF8,0)</f>
        <v>-203</v>
      </c>
      <c r="BG14" s="18">
        <f>=Round(BG11-BG8,0)</f>
        <v>4</v>
      </c>
      <c r="BH14" s="18">
        <f>=Round(BH11-BH8,0)</f>
        <v>-98</v>
      </c>
      <c r="BI14" s="18">
        <f>=Round(BI11-BI8,0)</f>
        <v>-98</v>
      </c>
      <c r="BJ14" s="18">
        <f>=Round(BJ11-BJ8,0)</f>
        <v>5</v>
      </c>
      <c r="BK14" s="18">
        <f>=Round(BK11-BK8,0)</f>
        <v>40</v>
      </c>
      <c r="BL14" s="18">
        <f>=Round(BL11-BL8,0)</f>
        <v>84</v>
      </c>
      <c r="BM14" s="18">
        <f>=Round(BM11-BM8,0)</f>
        <v>145</v>
      </c>
      <c r="BN14" s="18">
        <f>=Round(BN11-BN8,0)</f>
        <v>281</v>
      </c>
      <c r="BO14" s="18">
        <f>=Round(BO11-BO8,0)</f>
        <v>144</v>
      </c>
      <c r="BP14" s="18">
        <f>=Round(BP11-BP8,0)</f>
        <v>180</v>
      </c>
      <c r="BQ14" s="18">
        <f>=Round(BQ11-BQ8,0)</f>
        <v>111</v>
      </c>
      <c r="BR14" s="18">
        <f>=Round(BR11-BR8,0)</f>
        <v>145</v>
      </c>
      <c r="BS14" s="18">
        <f>=Round(BS11-BS8,0)</f>
        <v>76</v>
      </c>
      <c r="BT14" s="18">
        <f>=Round(BT11-BT8,0)</f>
        <v>76</v>
      </c>
      <c r="BU14" s="18">
        <f>=Round(BU11-BU8,0)</f>
        <v>76</v>
      </c>
      <c r="BV14" s="18">
        <f>=Round(BV11-BV8,0)</f>
        <v>42</v>
      </c>
      <c r="BW14" s="18">
        <f>=Round(BW11-BW8,0)</f>
        <v>111</v>
      </c>
      <c r="BX14" s="18">
        <f>=Round(BX11-BX8,0)</f>
        <v>76</v>
      </c>
      <c r="BY14" s="18">
        <f>=Round(BY11-BY8,0)</f>
        <v>55</v>
      </c>
      <c r="BZ14" s="18">
        <f>=Round(BZ11-BZ8,0)</f>
        <v>66</v>
      </c>
      <c r="CA14" s="18">
        <f>=Round(CA11-CA8,0)</f>
        <v>53</v>
      </c>
      <c r="CB14" s="18">
        <f>=Round(CB11-CB8,0)</f>
        <v>38</v>
      </c>
      <c r="CC14" s="18">
        <f>=Round(CC11-CC8,0)</f>
        <v>23</v>
      </c>
      <c r="CD14" s="18">
        <f>=Round(CD11-CD8,0)</f>
        <v>16</v>
      </c>
      <c r="CE14" s="18">
        <f>=Round(CE11-CE8,0)</f>
        <v>4</v>
      </c>
      <c r="CF14" s="18">
        <f>=Round(CF11-CF8,0)</f>
        <v>57</v>
      </c>
      <c r="CG14" s="18">
        <f>=Round(CG11-CG8,0)</f>
        <v>48</v>
      </c>
      <c r="CH14" s="18">
        <f>=Round(CH11-CH8,0)</f>
        <v>-307</v>
      </c>
      <c r="CI14" s="18">
        <f>=Round(CI11-CI8,0)</f>
        <v>-318</v>
      </c>
      <c r="CJ14" s="18">
        <f>=Round(CJ11-CJ8,0)</f>
        <v>-328</v>
      </c>
      <c r="CK14" s="18">
        <f>=Round(CK11-CK8,0)</f>
        <v>-339</v>
      </c>
      <c r="CL14" s="18">
        <f>=Round(CL11-CL8,0)</f>
        <v>-350</v>
      </c>
      <c r="CM14" s="18">
        <f>=Round(CM11-CM8,0)</f>
        <v>-361</v>
      </c>
      <c r="CN14" s="18">
        <f>=Round(CN11-CN8,0)</f>
        <v>-371</v>
      </c>
      <c r="CO14" s="18">
        <f>=Round(CO11-CO8,0)</f>
        <v>-383</v>
      </c>
      <c r="CP14" s="18">
        <f>=Round(CP11-CP8,0)</f>
        <v>-393</v>
      </c>
      <c r="CQ14" s="18">
        <f>=Round(CQ11-CQ8,0)</f>
        <v>-405</v>
      </c>
      <c r="CR14" s="18">
        <f>=Round(CR11-CR8,0)</f>
        <v>-413</v>
      </c>
      <c r="CS14" s="18">
        <f>=Round(CS11-CS8,0)</f>
        <v>-420</v>
      </c>
      <c r="CT14" s="18">
        <f>=Round(CT11-CT8,0)</f>
        <v>-429</v>
      </c>
      <c r="CU14" s="18">
        <f>=Round(CU11-CU8,0)</f>
        <v>-428</v>
      </c>
      <c r="CV14" s="18">
        <f>=Round(CV11-CV8,0)</f>
        <v>-437</v>
      </c>
      <c r="CW14" s="18">
        <f>=Round(CW11-CW8,0)</f>
        <v>-446</v>
      </c>
      <c r="CX14" s="18">
        <f>=Round(CX11-CX8,0)</f>
        <v>-455</v>
      </c>
      <c r="CY14" s="18">
        <f>=Round(CY11-CY8,0)</f>
        <v>-470</v>
      </c>
      <c r="CZ14" s="18">
        <f>=Round(CZ11-CZ8,0)</f>
        <v>-480</v>
      </c>
      <c r="DA14" s="18">
        <f>=Round(DA11-DA8,0)</f>
        <v>-489</v>
      </c>
      <c r="DB14" s="18">
        <f>=Round(DB11-DB8,0)</f>
        <v>-499</v>
      </c>
    </row>
    <row r="15" ht="18" customHeight="1" spans="1:106" x14ac:dyDescent="0.25">
      <c r="A15" s="23" t="s">
        <v>249</v>
      </c>
      <c r="B15" s="24"/>
      <c r="C15" s="25">
        <f>=Round(IFERROR(C10/C7,0),2)</f>
        <v>1</v>
      </c>
      <c r="D15" s="25">
        <f>=Round(IFERROR(D10/D7,0),2)</f>
        <v>0.98</v>
      </c>
      <c r="E15" s="25">
        <f>=Round(IFERROR(E10/E7,0),2)</f>
        <v>1.02</v>
      </c>
      <c r="F15" s="25">
        <f>=Round(IFERROR(F10/F7,0),2)</f>
        <v>1</v>
      </c>
      <c r="G15" s="25">
        <f>=Round(IFERROR(G10/G7,0),2)</f>
        <v>0.94</v>
      </c>
      <c r="H15" s="25">
        <f>=Round(IFERROR(H10/H7,0),2)</f>
        <v>0.95</v>
      </c>
      <c r="I15" s="25">
        <f>=Round(IFERROR(I10/I7,0),2)</f>
        <v>0.95</v>
      </c>
      <c r="J15" s="25">
        <f>=Round(IFERROR(J10/J7,0),2)</f>
        <v>0.95</v>
      </c>
      <c r="K15" s="25">
        <f>=Round(IFERROR(K10/K7,0),2)</f>
        <v>0.95</v>
      </c>
      <c r="L15" s="25">
        <f>=Round(IFERROR(L10/L7,0),2)</f>
        <v>1</v>
      </c>
      <c r="M15" s="25">
        <f>=Round(IFERROR(M10/M7,0),2)</f>
        <v>1.02</v>
      </c>
      <c r="N15" s="25">
        <f>=Round(IFERROR(N10/N7,0),2)</f>
        <v>1.11</v>
      </c>
      <c r="O15" s="25">
        <f>=Round(IFERROR(O10/O7,0),2)</f>
        <v>0.99</v>
      </c>
      <c r="P15" s="25">
        <f>=Round(IFERROR(P10/P7,0),2)</f>
        <v>1.05</v>
      </c>
      <c r="Q15" s="25">
        <f>=Round(IFERROR(Q10/Q7,0),2)</f>
        <v>1.18</v>
      </c>
      <c r="R15" s="25">
        <f>=Round(IFERROR(R10/R7,0),2)</f>
        <v>1.17</v>
      </c>
      <c r="S15" s="25">
        <f>=Round(IFERROR(S10/S7,0),2)</f>
        <v>1.08</v>
      </c>
      <c r="T15" s="25">
        <f>=Round(IFERROR(T10/T7,0),2)</f>
        <v>1.17</v>
      </c>
      <c r="U15" s="25">
        <f>=Round(IFERROR(U10/U7,0),2)</f>
        <v>1.15</v>
      </c>
      <c r="V15" s="25">
        <f>=Round(IFERROR(V10/V7,0),2)</f>
        <v>1.02</v>
      </c>
      <c r="W15" s="25">
        <f>=Round(IFERROR(W10/W7,0),2)</f>
        <v>1</v>
      </c>
      <c r="X15" s="25">
        <f>=Round(IFERROR(X10/X7,0),2)</f>
        <v>1.08</v>
      </c>
      <c r="Y15" s="25">
        <f>=Round(IFERROR(Y10/Y7,0),2)</f>
        <v>1.05</v>
      </c>
      <c r="Z15" s="25">
        <f>=Round(IFERROR(Z10/Z7,0),2)</f>
        <v>1.03</v>
      </c>
      <c r="AA15" s="25">
        <f>=Round(IFERROR(AA10/AA7,0),2)</f>
        <v>0.98</v>
      </c>
      <c r="AB15" s="25">
        <f>=Round(IFERROR(AB10/AB7,0),2)</f>
        <v>0.98</v>
      </c>
      <c r="AC15" s="25">
        <f>=Round(IFERROR(AC10/AC7,0),2)</f>
        <v>0.97</v>
      </c>
      <c r="AD15" s="25">
        <f>=Round(IFERROR(AD10/AD7,0),2)</f>
        <v>0.93</v>
      </c>
      <c r="AE15" s="25">
        <f>=Round(IFERROR(AE10/AE7,0),2)</f>
        <v>0.95</v>
      </c>
      <c r="AF15" s="25">
        <f>=Round(IFERROR(AF10/AF7,0),2)</f>
        <v>0.95</v>
      </c>
      <c r="AG15" s="25">
        <f>=Round(IFERROR(AG10/AG7,0),2)</f>
        <v>0.98</v>
      </c>
      <c r="AH15" s="25">
        <f>=Round(IFERROR(AH10/AH7,0),2)</f>
        <v>1.04</v>
      </c>
      <c r="AI15" s="25">
        <f>=Round(IFERROR(AI10/AI7,0),2)</f>
        <v>1.09</v>
      </c>
      <c r="AJ15" s="25">
        <f>=Round(IFERROR(AJ10/AJ7,0),2)</f>
        <v>1</v>
      </c>
      <c r="AK15" s="25">
        <f>=Round(IFERROR(AK10/AK7,0),2)</f>
        <v>1.02</v>
      </c>
      <c r="AL15" s="25">
        <f>=Round(IFERROR(AL10/AL7,0),2)</f>
        <v>1</v>
      </c>
      <c r="AM15" s="25">
        <f>=Round(IFERROR(AM10/AM7,0),2)</f>
        <v>0.98</v>
      </c>
      <c r="AN15" s="25">
        <f>=Round(IFERROR(AN10/AN7,0),2)</f>
        <v>0.98</v>
      </c>
      <c r="AO15" s="25">
        <f>=Round(IFERROR(AO10/AO7,0),2)</f>
        <v>0.94</v>
      </c>
      <c r="AP15" s="25">
        <f>=Round(IFERROR(AP10/AP7,0),2)</f>
        <v>0.94</v>
      </c>
      <c r="AQ15" s="25">
        <f>=Round(IFERROR(AQ10/AQ7,0),2)</f>
        <v>0.96</v>
      </c>
      <c r="AR15" s="25">
        <f>=Round(IFERROR(AR10/AR7,0),2)</f>
        <v>0.92</v>
      </c>
      <c r="AS15" s="25">
        <f>=Round(IFERROR(AS10/AS7,0),2)</f>
        <v>0.89</v>
      </c>
      <c r="AT15" s="25">
        <f>=Round(IFERROR(AT10/AT7,0),2)</f>
        <v>0.92</v>
      </c>
      <c r="AU15" s="25">
        <f>=Round(IFERROR(AU10/AU7,0),2)</f>
        <v>0.92</v>
      </c>
      <c r="AV15" s="25">
        <f>=Round(IFERROR(AV10/AV7,0),2)</f>
        <v>0.92</v>
      </c>
      <c r="AW15" s="25">
        <f>=Round(IFERROR(AW10/AW7,0),2)</f>
        <v>1.06</v>
      </c>
      <c r="AX15" s="25">
        <f>=Round(IFERROR(AX10/AX7,0),2)</f>
        <v>1.04</v>
      </c>
      <c r="AY15" s="25">
        <f>=Round(IFERROR(AY10/AY7,0),2)</f>
        <v>0.87</v>
      </c>
      <c r="AZ15" s="25">
        <f>=Round(IFERROR(AZ10/AZ7,0),2)</f>
        <v>0.91</v>
      </c>
      <c r="BA15" s="25">
        <f>=Round(IFERROR(BA10/BA7,0),2)</f>
        <v>1.17</v>
      </c>
      <c r="BB15" s="25">
        <f>=Round(IFERROR(BB10/BB7,0),2)</f>
        <v>1.02</v>
      </c>
      <c r="BC15" s="25">
        <f>=Round(IFERROR(BC10/BC7,0),2)</f>
        <v>1</v>
      </c>
      <c r="BD15" s="25">
        <f>=Round(IFERROR(BD10/BD7,0),2)</f>
        <v>0.96</v>
      </c>
      <c r="BE15" s="25">
        <f>=Round(IFERROR(BE10/BE7,0),2)</f>
        <v>0.94</v>
      </c>
      <c r="BF15" s="25">
        <f>=Round(IFERROR(BF10/BF7,0),2)</f>
        <v>0.89</v>
      </c>
      <c r="BG15" s="25">
        <f>=Round(IFERROR(BG10/BG7,0),2)</f>
        <v>1</v>
      </c>
      <c r="BH15" s="25">
        <f>=Round(IFERROR(BH10/BH7,0),2)</f>
        <v>0.94</v>
      </c>
      <c r="BI15" s="25">
        <f>=Round(IFERROR(BI10/BI7,0),2)</f>
        <v>0.94</v>
      </c>
      <c r="BJ15" s="25">
        <f>=Round(IFERROR(BJ10/BJ7,0),2)</f>
        <v>1</v>
      </c>
      <c r="BK15" s="25">
        <f>=Round(IFERROR(BK10/BK7,0),2)</f>
        <v>1.02</v>
      </c>
      <c r="BL15" s="25">
        <f>=Round(IFERROR(BL10/BL7,0),2)</f>
        <v>1.04</v>
      </c>
      <c r="BM15" s="25">
        <f>=Round(IFERROR(BM10/BM7,0),2)</f>
        <v>1.09</v>
      </c>
      <c r="BN15" s="25">
        <f>=Round(IFERROR(BN10/BN7,0),2)</f>
        <v>1.2</v>
      </c>
      <c r="BO15" s="25">
        <f>=Round(IFERROR(BO10/BO7,0),2)</f>
        <v>1.1</v>
      </c>
      <c r="BP15" s="25">
        <f>=Round(IFERROR(BP10/BP7,0),2)</f>
        <v>1.15</v>
      </c>
      <c r="BQ15" s="25">
        <f>=Round(IFERROR(BQ10/BQ7,0),2)</f>
        <v>1.09</v>
      </c>
      <c r="BR15" s="25">
        <f>=Round(IFERROR(BR10/BR7,0),2)</f>
        <v>1.12</v>
      </c>
      <c r="BS15" s="25">
        <f>=Round(IFERROR(BS10/BS7,0),2)</f>
        <v>1.06</v>
      </c>
      <c r="BT15" s="25">
        <f>=Round(IFERROR(BT10/BT7,0),2)</f>
        <v>1.06</v>
      </c>
      <c r="BU15" s="25">
        <f>=Round(IFERROR(BU10/BU7,0),2)</f>
        <v>1.06</v>
      </c>
      <c r="BV15" s="25">
        <f>=Round(IFERROR(BV10/BV7,0),2)</f>
        <v>1.03</v>
      </c>
      <c r="BW15" s="25">
        <f>=Round(IFERROR(BW10/BW7,0),2)</f>
        <v>1.09</v>
      </c>
      <c r="BX15" s="25">
        <f>=Round(IFERROR(BX10/BX7,0),2)</f>
        <v>1.06</v>
      </c>
      <c r="BY15" s="25">
        <f>=Round(IFERROR(BY10/BY7,0),2)</f>
        <v>1.03</v>
      </c>
      <c r="BZ15" s="25">
        <f>=Round(IFERROR(BZ10/BZ7,0),2)</f>
        <v>1.05</v>
      </c>
      <c r="CA15" s="25">
        <f>=Round(IFERROR(CA10/CA7,0),2)</f>
        <v>1.03</v>
      </c>
      <c r="CB15" s="25">
        <f>=Round(IFERROR(CB10/CB7,0),2)</f>
        <v>1.02</v>
      </c>
      <c r="CC15" s="25">
        <f>=Round(IFERROR(CC10/CC7,0),2)</f>
        <v>1.01</v>
      </c>
      <c r="CD15" s="25">
        <f>=Round(IFERROR(CD10/CD7,0),2)</f>
        <v>1</v>
      </c>
      <c r="CE15" s="25">
        <f>=Round(IFERROR(CE10/CE7,0),2)</f>
        <v>0.99</v>
      </c>
      <c r="CF15" s="25">
        <f>=Round(IFERROR(CF10/CF7,0),2)</f>
        <v>1.05</v>
      </c>
      <c r="CG15" s="25">
        <f>=Round(IFERROR(CG10/CG7,0),2)</f>
        <v>1.04</v>
      </c>
      <c r="CH15" s="25">
        <f>=Round(IFERROR(CH10/CH7,0),2)</f>
        <v>0.73</v>
      </c>
      <c r="CI15" s="25">
        <f>=Round(IFERROR(CI10/CI7,0),2)</f>
        <v>0.72</v>
      </c>
      <c r="CJ15" s="25">
        <f>=Round(IFERROR(CJ10/CJ7,0),2)</f>
        <v>0.71</v>
      </c>
      <c r="CK15" s="25">
        <f>=Round(IFERROR(CK10/CK7,0),2)</f>
        <v>0.7</v>
      </c>
      <c r="CL15" s="25">
        <f>=Round(IFERROR(CL10/CL7,0),2)</f>
        <v>0.69</v>
      </c>
      <c r="CM15" s="25">
        <f>=Round(IFERROR(CM10/CM7,0),2)</f>
        <v>0.68</v>
      </c>
      <c r="CN15" s="25">
        <f>=Round(IFERROR(CN10/CN7,0),2)</f>
        <v>0.67</v>
      </c>
      <c r="CO15" s="25">
        <f>=Round(IFERROR(CO10/CO7,0),2)</f>
        <v>0.67</v>
      </c>
      <c r="CP15" s="25">
        <f>=Round(IFERROR(CP10/CP7,0),2)</f>
        <v>0.66</v>
      </c>
      <c r="CQ15" s="25">
        <f>=Round(IFERROR(CQ10/CQ7,0),2)</f>
        <v>0.65</v>
      </c>
      <c r="CR15" s="25">
        <f>=Round(IFERROR(CR10/CR7,0),2)</f>
        <v>0.64</v>
      </c>
      <c r="CS15" s="25">
        <f>=Round(IFERROR(CS10/CS7,0),2)</f>
        <v>0.64</v>
      </c>
      <c r="CT15" s="25">
        <f>=Round(IFERROR(CT10/CT7,0),2)</f>
        <v>0.63</v>
      </c>
      <c r="CU15" s="25">
        <f>=Round(IFERROR(CU10/CU7,0),2)</f>
        <v>0.63</v>
      </c>
      <c r="CV15" s="25">
        <f>=Round(IFERROR(CV10/CV7,0),2)</f>
        <v>0.62</v>
      </c>
      <c r="CW15" s="25">
        <f>=Round(IFERROR(CW10/CW7,0),2)</f>
        <v>0.61</v>
      </c>
      <c r="CX15" s="25">
        <f>=Round(IFERROR(CX10/CX7,0),2)</f>
        <v>0.6</v>
      </c>
      <c r="CY15" s="25">
        <f>=Round(IFERROR(CY10/CY7,0),2)</f>
        <v>0.59</v>
      </c>
      <c r="CZ15" s="25">
        <f>=Round(IFERROR(CZ10/CZ7,0),2)</f>
        <v>0.59</v>
      </c>
      <c r="DA15" s="25">
        <f>=Round(IFERROR(DA10/DA7,0),2)</f>
        <v>0.58</v>
      </c>
      <c r="DB15" s="25">
        <f>=Round(IFERROR(DB10/DB7,0),2)</f>
        <v>0.57</v>
      </c>
    </row>
    <row r="16" ht="18" customHeight="1" spans="1:106" x14ac:dyDescent="0.25">
      <c r="A16" s="23" t="s">
        <v>250</v>
      </c>
      <c r="B16" s="24"/>
      <c r="C16" s="25">
        <f>=Round(IFERROR(C10/C9,0),2)</f>
        <v>0.99</v>
      </c>
      <c r="D16" s="25">
        <f>=Round(IFERROR(D10/D9,0),2)</f>
        <v>0.97</v>
      </c>
      <c r="E16" s="25">
        <f>=Round(IFERROR(E10/E9,0),2)</f>
        <v>1.01</v>
      </c>
      <c r="F16" s="25">
        <f>=Round(IFERROR(F10/F9,0),2)</f>
        <v>0.99</v>
      </c>
      <c r="G16" s="25">
        <f>=Round(IFERROR(G10/G9,0),2)</f>
        <v>0.93</v>
      </c>
      <c r="H16" s="25">
        <f>=Round(IFERROR(H10/H9,0),2)</f>
        <v>0.95</v>
      </c>
      <c r="I16" s="25">
        <f>=Round(IFERROR(I10/I9,0),2)</f>
        <v>0.95</v>
      </c>
      <c r="J16" s="25">
        <f>=Round(IFERROR(J10/J9,0),2)</f>
        <v>0.95</v>
      </c>
      <c r="K16" s="25">
        <f>=Round(IFERROR(K10/K9,0),2)</f>
        <v>0.95</v>
      </c>
      <c r="L16" s="25">
        <f>=Round(IFERROR(L10/L9,0),2)</f>
        <v>1</v>
      </c>
      <c r="M16" s="25">
        <f>=Round(IFERROR(M10/M9,0),2)</f>
        <v>1.02</v>
      </c>
      <c r="N16" s="25">
        <f>=Round(IFERROR(N10/N9,0),2)</f>
        <v>1.11</v>
      </c>
      <c r="O16" s="25">
        <f>=Round(IFERROR(O10/O9,0),2)</f>
        <v>0.99</v>
      </c>
      <c r="P16" s="25">
        <f>=Round(IFERROR(P10/P9,0),2)</f>
        <v>1.05</v>
      </c>
      <c r="Q16" s="25">
        <f>=Round(IFERROR(Q10/Q9,0),2)</f>
        <v>1.18</v>
      </c>
      <c r="R16" s="25">
        <f>=Round(IFERROR(R10/R9,0),2)</f>
        <v>1.17</v>
      </c>
      <c r="S16" s="25">
        <f>=Round(IFERROR(S10/S9,0),2)</f>
        <v>1.08</v>
      </c>
      <c r="T16" s="25">
        <f>=Round(IFERROR(T10/T9,0),2)</f>
        <v>1.17</v>
      </c>
      <c r="U16" s="25">
        <f>=Round(IFERROR(U10/U9,0),2)</f>
        <v>1.17</v>
      </c>
      <c r="V16" s="25">
        <f>=Round(IFERROR(V10/V9,0),2)</f>
        <v>1.03</v>
      </c>
      <c r="W16" s="25">
        <f>=Round(IFERROR(W10/W9,0),2)</f>
        <v>1.02</v>
      </c>
      <c r="X16" s="25">
        <f>=Round(IFERROR(X10/X9,0),2)</f>
        <v>1.1</v>
      </c>
      <c r="Y16" s="25">
        <f>=Round(IFERROR(Y10/Y9,0),2)</f>
        <v>1.07</v>
      </c>
      <c r="Z16" s="25">
        <f>=Round(IFERROR(Z10/Z9,0),2)</f>
        <v>1.05</v>
      </c>
      <c r="AA16" s="25">
        <f>=Round(IFERROR(AA10/AA9,0),2)</f>
        <v>1</v>
      </c>
      <c r="AB16" s="25">
        <f>=Round(IFERROR(AB10/AB9,0),2)</f>
        <v>1</v>
      </c>
      <c r="AC16" s="25">
        <f>=Round(IFERROR(AC10/AC9,0),2)</f>
        <v>0.98</v>
      </c>
      <c r="AD16" s="25">
        <f>=Round(IFERROR(AD10/AD9,0),2)</f>
        <v>0.95</v>
      </c>
      <c r="AE16" s="25">
        <f>=Round(IFERROR(AE10/AE9,0),2)</f>
        <v>0.97</v>
      </c>
      <c r="AF16" s="25">
        <f>=Round(IFERROR(AF10/AF9,0),2)</f>
        <v>0.97</v>
      </c>
      <c r="AG16" s="25">
        <f>=Round(IFERROR(AG10/AG9,0),2)</f>
        <v>1</v>
      </c>
      <c r="AH16" s="25">
        <f>=Round(IFERROR(AH10/AH9,0),2)</f>
        <v>1.06</v>
      </c>
      <c r="AI16" s="25">
        <f>=Round(IFERROR(AI10/AI9,0),2)</f>
        <v>1.12</v>
      </c>
      <c r="AJ16" s="25">
        <f>=Round(IFERROR(AJ10/AJ9,0),2)</f>
        <v>1.02</v>
      </c>
      <c r="AK16" s="25">
        <f>=Round(IFERROR(AK10/AK9,0),2)</f>
        <v>1.04</v>
      </c>
      <c r="AL16" s="25">
        <f>=Round(IFERROR(AL10/AL9,0),2)</f>
        <v>1.02</v>
      </c>
      <c r="AM16" s="25">
        <f>=Round(IFERROR(AM10/AM9,0),2)</f>
        <v>1</v>
      </c>
      <c r="AN16" s="25">
        <f>=Round(IFERROR(AN10/AN9,0),2)</f>
        <v>1</v>
      </c>
      <c r="AO16" s="25">
        <f>=Round(IFERROR(AO10/AO9,0),2)</f>
        <v>0.96</v>
      </c>
      <c r="AP16" s="25">
        <f>=Round(IFERROR(AP10/AP9,0),2)</f>
        <v>0.96</v>
      </c>
      <c r="AQ16" s="25">
        <f>=Round(IFERROR(AQ10/AQ9,0),2)</f>
        <v>0.98</v>
      </c>
      <c r="AR16" s="25">
        <f>=Round(IFERROR(AR10/AR9,0),2)</f>
        <v>0.94</v>
      </c>
      <c r="AS16" s="25">
        <f>=Round(IFERROR(AS10/AS9,0),2)</f>
        <v>0.9</v>
      </c>
      <c r="AT16" s="25">
        <f>=Round(IFERROR(AT10/AT9,0),2)</f>
        <v>0.94</v>
      </c>
      <c r="AU16" s="25">
        <f>=Round(IFERROR(AU10/AU9,0),2)</f>
        <v>0.94</v>
      </c>
      <c r="AV16" s="25">
        <f>=Round(IFERROR(AV10/AV9,0),2)</f>
        <v>0.94</v>
      </c>
      <c r="AW16" s="25">
        <f>=Round(IFERROR(AW10/AW9,0),2)</f>
        <v>1.08</v>
      </c>
      <c r="AX16" s="25">
        <f>=Round(IFERROR(AX10/AX9,0),2)</f>
        <v>1.06</v>
      </c>
      <c r="AY16" s="25">
        <f>=Round(IFERROR(AY10/AY9,0),2)</f>
        <v>0.88</v>
      </c>
      <c r="AZ16" s="25">
        <f>=Round(IFERROR(AZ10/AZ9,0),2)</f>
        <v>0.92</v>
      </c>
      <c r="BA16" s="25">
        <f>=Round(IFERROR(BA10/BA9,0),2)</f>
        <v>1.19</v>
      </c>
      <c r="BB16" s="25">
        <f>=Round(IFERROR(BB10/BB9,0),2)</f>
        <v>1.04</v>
      </c>
      <c r="BC16" s="25">
        <f>=Round(IFERROR(BC10/BC9,0),2)</f>
        <v>1</v>
      </c>
      <c r="BD16" s="25">
        <f>=Round(IFERROR(BD10/BD9,0),2)</f>
        <v>0.96</v>
      </c>
      <c r="BE16" s="25">
        <f>=Round(IFERROR(BE10/BE9,0),2)</f>
        <v>0.94</v>
      </c>
      <c r="BF16" s="25">
        <f>=Round(IFERROR(BF10/BF9,0),2)</f>
        <v>0.89</v>
      </c>
      <c r="BG16" s="25">
        <f>=Round(IFERROR(BG10/BG9,0),2)</f>
        <v>1</v>
      </c>
      <c r="BH16" s="25">
        <f>=Round(IFERROR(BH10/BH9,0),2)</f>
        <v>0.94</v>
      </c>
      <c r="BI16" s="25">
        <f>=Round(IFERROR(BI10/BI9,0),2)</f>
        <v>0.94</v>
      </c>
      <c r="BJ16" s="25">
        <f>=Round(IFERROR(BJ10/BJ9,0),2)</f>
        <v>1</v>
      </c>
      <c r="BK16" s="25">
        <f>=Round(IFERROR(BK10/BK9,0),2)</f>
        <v>1.02</v>
      </c>
      <c r="BL16" s="25">
        <f>=Round(IFERROR(BL10/BL9,0),2)</f>
        <v>1.04</v>
      </c>
      <c r="BM16" s="25">
        <f>=Round(IFERROR(BM10/BM9,0),2)</f>
        <v>1.09</v>
      </c>
      <c r="BN16" s="25">
        <f>=Round(IFERROR(BN10/BN9,0),2)</f>
        <v>1.2</v>
      </c>
      <c r="BO16" s="25">
        <f>=Round(IFERROR(BO10/BO9,0),2)</f>
        <v>1.1</v>
      </c>
      <c r="BP16" s="25">
        <f>=Round(IFERROR(BP10/BP9,0),2)</f>
        <v>1.15</v>
      </c>
      <c r="BQ16" s="25">
        <f>=Round(IFERROR(BQ10/BQ9,0),2)</f>
        <v>1.09</v>
      </c>
      <c r="BR16" s="25">
        <f>=Round(IFERROR(BR10/BR9,0),2)</f>
        <v>1.12</v>
      </c>
      <c r="BS16" s="25">
        <f>=Round(IFERROR(BS10/BS9,0),2)</f>
        <v>1.06</v>
      </c>
      <c r="BT16" s="25">
        <f>=Round(IFERROR(BT10/BT9,0),2)</f>
        <v>1.06</v>
      </c>
      <c r="BU16" s="25">
        <f>=Round(IFERROR(BU10/BU9,0),2)</f>
        <v>1.06</v>
      </c>
      <c r="BV16" s="25">
        <f>=Round(IFERROR(BV10/BV9,0),2)</f>
        <v>1.03</v>
      </c>
      <c r="BW16" s="25">
        <f>=Round(IFERROR(BW10/BW9,0),2)</f>
        <v>1.09</v>
      </c>
      <c r="BX16" s="25">
        <f>=Round(IFERROR(BX10/BX9,0),2)</f>
        <v>1.06</v>
      </c>
      <c r="BY16" s="25">
        <f>=Round(IFERROR(BY10/BY9,0),2)</f>
        <v>1.06</v>
      </c>
      <c r="BZ16" s="25">
        <f>=Round(IFERROR(BZ10/BZ9,0),2)</f>
        <v>1.05</v>
      </c>
      <c r="CA16" s="25">
        <f>=Round(IFERROR(CA10/CA9,0),2)</f>
        <v>1.03</v>
      </c>
      <c r="CB16" s="25">
        <f>=Round(IFERROR(CB10/CB9,0),2)</f>
        <v>1.02</v>
      </c>
      <c r="CC16" s="25">
        <f>=Round(IFERROR(CC10/CC9,0),2)</f>
        <v>1.01</v>
      </c>
      <c r="CD16" s="25">
        <f>=Round(IFERROR(CD10/CD9,0),2)</f>
        <v>1.03</v>
      </c>
      <c r="CE16" s="25">
        <f>=Round(IFERROR(CE10/CE9,0),2)</f>
        <v>1.02</v>
      </c>
      <c r="CF16" s="25">
        <f>=Round(IFERROR(CF10/CF9,0),2)</f>
        <v>1.05</v>
      </c>
      <c r="CG16" s="25">
        <f>=Round(IFERROR(CG10/CG9,0),2)</f>
        <v>1.04</v>
      </c>
      <c r="CH16" s="25">
        <f>=Round(IFERROR(CH10/CH9,0),2)</f>
        <v>0.75</v>
      </c>
      <c r="CI16" s="25">
        <f>=Round(IFERROR(CI10/CI9,0),2)</f>
        <v>0.74</v>
      </c>
      <c r="CJ16" s="25">
        <f>=Round(IFERROR(CJ10/CJ9,0),2)</f>
        <v>0.73</v>
      </c>
      <c r="CK16" s="25">
        <f>=Round(IFERROR(CK10/CK9,0),2)</f>
        <v>0.72</v>
      </c>
      <c r="CL16" s="25">
        <f>=Round(IFERROR(CL10/CL9,0),2)</f>
        <v>0.71</v>
      </c>
      <c r="CM16" s="25">
        <f>=Round(IFERROR(CM10/CM9,0),2)</f>
        <v>0.7</v>
      </c>
      <c r="CN16" s="25">
        <f>=Round(IFERROR(CN10/CN9,0),2)</f>
        <v>0.69</v>
      </c>
      <c r="CO16" s="25">
        <f>=Round(IFERROR(CO10/CO9,0),2)</f>
        <v>0.67</v>
      </c>
      <c r="CP16" s="25">
        <f>=Round(IFERROR(CP10/CP9,0),2)</f>
        <v>0.66</v>
      </c>
      <c r="CQ16" s="25">
        <f>=Round(IFERROR(CQ10/CQ9,0),2)</f>
        <v>0.65</v>
      </c>
      <c r="CR16" s="25">
        <f>=Round(IFERROR(CR10/CR9,0),2)</f>
        <v>0.64</v>
      </c>
      <c r="CS16" s="25">
        <f>=Round(IFERROR(CS10/CS9,0),2)</f>
        <v>0.64</v>
      </c>
      <c r="CT16" s="25">
        <f>=Round(IFERROR(CT10/CT9,0),2)</f>
        <v>0.63</v>
      </c>
      <c r="CU16" s="25">
        <f>=Round(IFERROR(CU10/CU9,0),2)</f>
        <v>0.64</v>
      </c>
      <c r="CV16" s="25">
        <f>=Round(IFERROR(CV10/CV9,0),2)</f>
        <v>0.64</v>
      </c>
      <c r="CW16" s="25">
        <f>=Round(IFERROR(CW10/CW9,0),2)</f>
        <v>0.63</v>
      </c>
      <c r="CX16" s="25">
        <f>=Round(IFERROR(CX10/CX9,0),2)</f>
        <v>0.62</v>
      </c>
      <c r="CY16" s="25">
        <f>=Round(IFERROR(CY10/CY9,0),2)</f>
        <v>0.59</v>
      </c>
      <c r="CZ16" s="25">
        <f>=Round(IFERROR(CZ10/CZ9,0),2)</f>
        <v>0.59</v>
      </c>
      <c r="DA16" s="25">
        <f>=Round(IFERROR(DA10/DA9,0),2)</f>
        <v>0.58</v>
      </c>
      <c r="DB16" s="25">
        <f>=Round(IFERROR(DB10/DB9,0),2)</f>
        <v>0.57</v>
      </c>
    </row>
    <row r="17" ht="18" customHeight="1" spans="1:106" x14ac:dyDescent="0.25">
      <c r="A17" s="23" t="s">
        <v>251</v>
      </c>
      <c r="B17" s="24"/>
      <c r="C17" s="26">
        <f>=IFERROR(C11/C8,0)</f>
        <v>0.9885057471264368</v>
      </c>
      <c r="D17" s="26">
        <f>=IFERROR(D11/D8,0)</f>
        <v>0.9702794463306347</v>
      </c>
      <c r="E17" s="25">
        <f>=IFERROR(E11/E8,0)</f>
        <v>1.005690420255808</v>
      </c>
      <c r="F17" s="25">
        <f>=IFERROR(F11/F8,0)</f>
        <v>0.9887640449438202</v>
      </c>
      <c r="G17" s="25">
        <f>=IFERROR(G11/G8,0)</f>
        <v>0.9272965192358021</v>
      </c>
      <c r="H17" s="25">
        <f>=IFERROR(H11/H8,0)</f>
        <v>0.9437087839620153</v>
      </c>
      <c r="I17" s="25">
        <f>=IFERROR(I11/I8,0)</f>
        <v>0.9462047077492727</v>
      </c>
      <c r="J17" s="25">
        <f>=IFERROR(J11/J8,0)</f>
        <v>0.9540412044374009</v>
      </c>
      <c r="K17" s="25">
        <f>=IFERROR(K11/K8,0)</f>
        <v>0.9553028299391695</v>
      </c>
      <c r="L17" s="25">
        <f>=IFERROR(L11/L8,0)</f>
        <v>1.0041701417848208</v>
      </c>
      <c r="M17" s="25">
        <f>=IFERROR(M11/M8,0)</f>
        <v>1.0226172234140363</v>
      </c>
      <c r="N17" s="25">
        <f>=IFERROR(N11/N8,0)</f>
        <v>1.1119669876203577</v>
      </c>
      <c r="O17" s="25">
        <f>=IFERROR(O11/O8,0)</f>
        <v>0.9926485743730676</v>
      </c>
      <c r="P17" s="25">
        <f>=IFERROR(P11/P8,0)</f>
        <v>1.0566096423017108</v>
      </c>
      <c r="Q17" s="25">
        <f>=IFERROR(Q11/Q8,0)</f>
        <v>1.1883355764917003</v>
      </c>
      <c r="R17" s="25">
        <f>=IFERROR(R11/R8,0)</f>
        <v>1.172902646926873</v>
      </c>
      <c r="S17" s="25">
        <f>=IFERROR(S11/S8,0)</f>
        <v>1.083220872694557</v>
      </c>
      <c r="T17" s="25">
        <f>=IFERROR(T11/T8,0)</f>
        <v>1.1729176814417925</v>
      </c>
      <c r="U17" s="25">
        <f>=IFERROR(U11/U8,0)</f>
        <v>1.1658153241650295</v>
      </c>
      <c r="V17" s="25">
        <f>=IFERROR(V11/V8,0)</f>
        <v>1.030648330058939</v>
      </c>
      <c r="W17" s="25">
        <f>=IFERROR(W11/W8,0)</f>
        <v>1.0137524557956779</v>
      </c>
      <c r="X17" s="25">
        <f>=IFERROR(X11/X8,0)</f>
        <v>1.0982318271119842</v>
      </c>
      <c r="Y17" s="25">
        <f>=IFERROR(Y11/Y8,0)</f>
        <v>1.0654867256637168</v>
      </c>
      <c r="Z17" s="25">
        <f>=IFERROR(Z11/Z8,0)</f>
        <v>1.048574237954769</v>
      </c>
      <c r="AA17" s="25">
        <f>=IFERROR(AA11/AA8,0)</f>
        <v>0.9978367748279253</v>
      </c>
      <c r="AB17" s="25">
        <f>=IFERROR(AB11/AB8,0)</f>
        <v>0.9978367748279253</v>
      </c>
      <c r="AC17" s="25">
        <f>=IFERROR(AC11/AC8,0)</f>
        <v>0.9809242871189774</v>
      </c>
      <c r="AD17" s="25">
        <f>=IFERROR(AD11/AD8,0)</f>
        <v>0.9470993117010816</v>
      </c>
      <c r="AE17" s="25">
        <f>=IFERROR(AE11/AE8,0)</f>
        <v>0.9640117994100295</v>
      </c>
      <c r="AF17" s="25">
        <f>=IFERROR(AF11/AF8,0)</f>
        <v>0.9640117994100295</v>
      </c>
      <c r="AG17" s="25">
        <f>=IFERROR(AG11/AG8,0)</f>
        <v>0.9978367748279253</v>
      </c>
      <c r="AH17" s="25">
        <f>=IFERROR(AH11/AH8,0)</f>
        <v>1.0528658875904284</v>
      </c>
      <c r="AI17" s="25">
        <f>=IFERROR(AI11/AI8,0)</f>
        <v>1.1102949360044518</v>
      </c>
      <c r="AJ17" s="25">
        <f>=IFERROR(AJ11/AJ8,0)</f>
        <v>1.014579855314413</v>
      </c>
      <c r="AK17" s="25">
        <f>=IFERROR(AK11/AK8,0)</f>
        <v>1.0337228714524207</v>
      </c>
      <c r="AL17" s="25">
        <f>=IFERROR(AL11/AL8,0)</f>
        <v>1.014579855314413</v>
      </c>
      <c r="AM17" s="25">
        <f>=IFERROR(AM11/AM8,0)</f>
        <v>0.9954368391764051</v>
      </c>
      <c r="AN17" s="25">
        <f>=IFERROR(AN11/AN8,0)</f>
        <v>0.9954368391764051</v>
      </c>
      <c r="AO17" s="25">
        <f>=IFERROR(AO11/AO8,0)</f>
        <v>0.9571508069003896</v>
      </c>
      <c r="AP17" s="25">
        <f>=IFERROR(AP11/AP8,0)</f>
        <v>0.9682804674457429</v>
      </c>
      <c r="AQ17" s="25">
        <f>=IFERROR(AQ11/AQ8,0)</f>
        <v>0.9876460767946578</v>
      </c>
      <c r="AR17" s="25">
        <f>=IFERROR(AR11/AR8,0)</f>
        <v>0.9489148580968281</v>
      </c>
      <c r="AS17" s="25">
        <f>=IFERROR(AS11/AS8,0)</f>
        <v>0.9101836393989984</v>
      </c>
      <c r="AT17" s="25">
        <f>=IFERROR(AT11/AT8,0)</f>
        <v>0.9489148580968281</v>
      </c>
      <c r="AU17" s="25">
        <f>=IFERROR(AU11/AU8,0)</f>
        <v>0.9489148580968281</v>
      </c>
      <c r="AV17" s="25">
        <f>=IFERROR(AV11/AV8,0)</f>
        <v>0.9489148580968281</v>
      </c>
      <c r="AW17" s="25">
        <f>=IFERROR(AW11/AW8,0)</f>
        <v>1.0844741235392321</v>
      </c>
      <c r="AX17" s="25">
        <f>=IFERROR(AX11/AX8,0)</f>
        <v>1.0651085141903172</v>
      </c>
      <c r="AY17" s="25">
        <f>=IFERROR(AY11/AY8,0)</f>
        <v>0.880043980208906</v>
      </c>
      <c r="AZ17" s="25">
        <f>=IFERROR(AZ11/AZ8,0)</f>
        <v>0.9183067619571192</v>
      </c>
      <c r="BA17" s="25">
        <f>=IFERROR(BA11/BA8,0)</f>
        <v>1.1861462341946125</v>
      </c>
      <c r="BB17" s="25">
        <f>=IFERROR(BB11/BB8,0)</f>
        <v>1.0330951072017591</v>
      </c>
      <c r="BC17" s="25">
        <f>=IFERROR(BC11/BC8,0)</f>
        <v>1.0017582417582418</v>
      </c>
      <c r="BD17" s="25">
        <f>=IFERROR(BD11/BD8,0)</f>
        <v>0.963956043956044</v>
      </c>
      <c r="BE17" s="25">
        <f>=IFERROR(BE11/BE8,0)</f>
        <v>0.945054945054945</v>
      </c>
      <c r="BF17" s="25">
        <f>=IFERROR(BF11/BF8,0)</f>
        <v>0.8883516483516484</v>
      </c>
      <c r="BG17" s="25">
        <f>=IFERROR(BG11/BG8,0)</f>
        <v>1.0023089609675646</v>
      </c>
      <c r="BH17" s="25">
        <f>=IFERROR(BH11/BH8,0)</f>
        <v>0.9460946094609461</v>
      </c>
      <c r="BI17" s="25">
        <f>=IFERROR(BI11/BI8,0)</f>
        <v>0.9460946094609461</v>
      </c>
      <c r="BJ17" s="25">
        <f>=IFERROR(BJ11/BJ8,0)</f>
        <v>1.0028602860286029</v>
      </c>
      <c r="BK17" s="25">
        <f>=IFERROR(BK11/BK8,0)</f>
        <v>1.0217821782178218</v>
      </c>
      <c r="BL17" s="25">
        <f>=IFERROR(BL11/BL8,0)</f>
        <v>1.0464601769911503</v>
      </c>
      <c r="BM17" s="25">
        <f>=IFERROR(BM11/BM8,0)</f>
        <v>1.0938351719662556</v>
      </c>
      <c r="BN17" s="25">
        <f>=IFERROR(BN11/BN8,0)</f>
        <v>1.2052554744525548</v>
      </c>
      <c r="BO17" s="25">
        <f>=IFERROR(BO11/BO8,0)</f>
        <v>1.1048175182481752</v>
      </c>
      <c r="BP17" s="25">
        <f>=IFERROR(BP11/BP8,0)</f>
        <v>1.1545611015490533</v>
      </c>
      <c r="BQ17" s="25">
        <f>=IFERROR(BQ11/BQ8,0)</f>
        <v>1.0953528399311532</v>
      </c>
      <c r="BR17" s="25">
        <f>=IFERROR(BR11/BR8,0)</f>
        <v>1.1249569707401033</v>
      </c>
      <c r="BS17" s="25">
        <f>=IFERROR(BS11/BS8,0)</f>
        <v>1.065748709122203</v>
      </c>
      <c r="BT17" s="25">
        <f>=IFERROR(BT11/BT8,0)</f>
        <v>1.065748709122203</v>
      </c>
      <c r="BU17" s="25">
        <f>=IFERROR(BU11/BU8,0)</f>
        <v>1.065748709122203</v>
      </c>
      <c r="BV17" s="25">
        <f>=IFERROR(BV11/BV8,0)</f>
        <v>1.036144578313253</v>
      </c>
      <c r="BW17" s="25">
        <f>=IFERROR(BW11/BW8,0)</f>
        <v>1.0953528399311532</v>
      </c>
      <c r="BX17" s="25">
        <f>=IFERROR(BX11/BX8,0)</f>
        <v>1.065748709122203</v>
      </c>
      <c r="BY17" s="25">
        <f>=IFERROR(BY11/BY8,0)</f>
        <v>1.0467289719626167</v>
      </c>
      <c r="BZ17" s="25">
        <f>=IFERROR(BZ11/BZ8,0)</f>
        <v>1.0554806070826306</v>
      </c>
      <c r="CA17" s="25">
        <f>=IFERROR(CA11/CA8,0)</f>
        <v>1.0449302620456467</v>
      </c>
      <c r="CB17" s="25">
        <f>=IFERROR(CB11/CB8,0)</f>
        <v>1.031868633770076</v>
      </c>
      <c r="CC17" s="25">
        <f>=IFERROR(CC11/CC8,0)</f>
        <v>1.0198323488393617</v>
      </c>
      <c r="CD17" s="25">
        <f>=IFERROR(CD11/CD8,0)</f>
        <v>1.0139230399021617</v>
      </c>
      <c r="CE17" s="25">
        <f>=IFERROR(CE11/CE8,0)</f>
        <v>1.0037838095031402</v>
      </c>
      <c r="CF17" s="25">
        <f>=IFERROR(CF11/CF8,0)</f>
        <v>1.068638999214614</v>
      </c>
      <c r="CG17" s="25">
        <f>=IFERROR(CG11/CG8,0)</f>
        <v>1.0579526092224676</v>
      </c>
      <c r="CH17" s="25">
        <f>=IFERROR(CH11/CH8,0)</f>
        <v>0.7394792116238162</v>
      </c>
      <c r="CI17" s="25">
        <f>=IFERROR(CI11/CI8,0)</f>
        <v>0.7302357214785183</v>
      </c>
      <c r="CJ17" s="25">
        <f>=IFERROR(CJ11/CJ8,0)</f>
        <v>0.7211077749600371</v>
      </c>
      <c r="CK17" s="25">
        <f>=IFERROR(CK11/CK8,0)</f>
        <v>0.7120939277730367</v>
      </c>
      <c r="CL17" s="25">
        <f>=IFERROR(CL11/CL8,0)</f>
        <v>0.7025958158544171</v>
      </c>
      <c r="CM17" s="25">
        <f>=IFERROR(CM11/CM8,0)</f>
        <v>0.6938133681562371</v>
      </c>
      <c r="CN17" s="25">
        <f>=IFERROR(CN11/CN8,0)</f>
        <v>0.6851407010542843</v>
      </c>
      <c r="CO17" s="25">
        <f>=IFERROR(CO11/CO8,0)</f>
        <v>0.6754297025584087</v>
      </c>
      <c r="CP17" s="25">
        <f>=IFERROR(CP11/CP8,0)</f>
        <v>0.6669868312764285</v>
      </c>
      <c r="CQ17" s="25">
        <f>=IFERROR(CQ11/CQ8,0)</f>
        <v>0.6580861624131115</v>
      </c>
      <c r="CR17" s="25">
        <f>=IFERROR(CR11/CR8,0)</f>
        <v>0.6515053007889803</v>
      </c>
      <c r="CS17" s="25">
        <f>=IFERROR(CS11/CS8,0)</f>
        <v>0.6449902477810905</v>
      </c>
      <c r="CT17" s="25">
        <f>=IFERROR(CT11/CT8,0)</f>
        <v>0.6380014926912094</v>
      </c>
      <c r="CU17" s="25">
        <f>=IFERROR(CU11/CU8,0)</f>
        <v>0.6364553156043303</v>
      </c>
      <c r="CV17" s="25">
        <f>=IFERROR(CV11/CV8,0)</f>
        <v>0.6284996241592761</v>
      </c>
      <c r="CW17" s="25">
        <f>=IFERROR(CW11/CW8,0)</f>
        <v>0.6206433788572853</v>
      </c>
      <c r="CX17" s="25">
        <f>=IFERROR(CX11/CX8,0)</f>
        <v>0.6128853366215691</v>
      </c>
      <c r="CY17" s="25">
        <f>=IFERROR(CY11/CY8,0)</f>
        <v>0.6021520654979933</v>
      </c>
      <c r="CZ17" s="25">
        <f>=IFERROR(CZ11/CZ8,0)</f>
        <v>0.5941225229508835</v>
      </c>
      <c r="DA17" s="25">
        <f>=IFERROR(DA11/DA8,0)</f>
        <v>0.5866959914139974</v>
      </c>
      <c r="DB17" s="25">
        <f>=IFERROR(DB11/DB8,0)</f>
        <v>0.5788729652615917</v>
      </c>
    </row>
    <row r="18" ht="18" customHeight="1" spans="1:106" x14ac:dyDescent="0.25">
      <c r="A18" s="27" t="s">
        <v>252</v>
      </c>
      <c r="C18" s="28">
        <f>=SUM(C19:C23)</f>
        <v>116</v>
      </c>
      <c r="D18" s="28">
        <f>=SUM(D19:D23)</f>
        <v>114</v>
      </c>
      <c r="E18" s="28">
        <f>=SUM(E19:E23)</f>
        <v>112</v>
      </c>
      <c r="F18" s="28">
        <f>=SUM(F19:F23)</f>
        <v>110</v>
      </c>
      <c r="G18" s="28">
        <f>=SUM(G19:G23)</f>
        <v>103</v>
      </c>
      <c r="H18" s="28">
        <f>=SUM(H19:H23)</f>
        <v>104</v>
      </c>
      <c r="I18" s="28">
        <f>=SUM(I19:I23)</f>
        <v>104</v>
      </c>
      <c r="J18" s="28">
        <f>=SUM(J19:J23)</f>
        <v>105</v>
      </c>
      <c r="K18" s="28">
        <f>=SUM(K19:K23)</f>
        <v>105</v>
      </c>
      <c r="L18" s="28">
        <f>=SUM(L19:L23)</f>
        <v>105</v>
      </c>
      <c r="M18" s="28">
        <f>=SUM(M19:M23)</f>
        <v>97</v>
      </c>
      <c r="N18" s="28">
        <f>=SUM(N19:N23)</f>
        <v>94</v>
      </c>
      <c r="O18" s="28">
        <f>=SUM(O19:O23)</f>
        <v>84</v>
      </c>
      <c r="P18" s="28">
        <f>=SUM(P19:P23)</f>
        <v>79</v>
      </c>
      <c r="Q18" s="28">
        <f>=SUM(Q19:Q23)</f>
        <v>77</v>
      </c>
      <c r="R18" s="28">
        <f>=SUM(R19:R23)</f>
        <v>76</v>
      </c>
      <c r="S18" s="28">
        <f>=SUM(S19:S23)</f>
        <v>70</v>
      </c>
      <c r="T18" s="28">
        <f>=SUM(T19:T23)</f>
        <v>70</v>
      </c>
      <c r="U18" s="28">
        <f>=SUM(U19:U23)</f>
        <v>69</v>
      </c>
      <c r="V18" s="28">
        <f>=SUM(V19:V23)</f>
        <v>61</v>
      </c>
      <c r="W18" s="28">
        <f>=SUM(W19:W23)</f>
        <v>60</v>
      </c>
      <c r="X18" s="28">
        <f>=SUM(X19:X23)</f>
        <v>65</v>
      </c>
      <c r="Y18" s="28">
        <f>=SUM(Y19:Y23)</f>
        <v>63</v>
      </c>
      <c r="Z18" s="28">
        <f>=SUM(Z19:Z23)</f>
        <v>62</v>
      </c>
      <c r="AA18" s="28">
        <f>=SUM(AA19:AA23)</f>
        <v>59</v>
      </c>
      <c r="AB18" s="28">
        <f>=SUM(AB19:AB23)</f>
        <v>59</v>
      </c>
      <c r="AC18" s="28">
        <f>=SUM(AC19:AC23)</f>
        <v>58</v>
      </c>
      <c r="AD18" s="28">
        <f>=SUM(AD19:AD23)</f>
        <v>59</v>
      </c>
      <c r="AE18" s="28">
        <f>=SUM(AE19:AE23)</f>
        <v>60</v>
      </c>
      <c r="AF18" s="28">
        <f>=SUM(AF19:AF23)</f>
        <v>57</v>
      </c>
      <c r="AG18" s="29">
        <f>=SUM(AG19:AG23)</f>
        <v>59</v>
      </c>
      <c r="AH18" s="28">
        <f>=SUM(AH19:AH23)</f>
        <v>55</v>
      </c>
      <c r="AI18" s="28">
        <f>=SUM(AI19:AI23)</f>
        <v>58</v>
      </c>
      <c r="AJ18" s="28">
        <f>=SUM(AJ19:AJ23)</f>
        <v>53</v>
      </c>
      <c r="AK18" s="28">
        <f>=SUM(AK19:AK23)</f>
        <v>54</v>
      </c>
      <c r="AL18" s="28">
        <f>=SUM(AL19:AL23)</f>
        <v>53</v>
      </c>
      <c r="AM18" s="28">
        <f>=SUM(AM19:AM23)</f>
        <v>52</v>
      </c>
      <c r="AN18" s="28">
        <f>=SUM(AN19:AN23)</f>
        <v>52</v>
      </c>
      <c r="AO18" s="28">
        <f>=SUM(AO19:AO23)</f>
        <v>62</v>
      </c>
      <c r="AP18" s="28">
        <f>=SUM(AP19:AP23)</f>
        <v>62</v>
      </c>
      <c r="AQ18" s="28">
        <f>=SUM(AQ19:AQ23)</f>
        <v>51</v>
      </c>
      <c r="AR18" s="28">
        <f>=SUM(AR19:AR23)</f>
        <v>49</v>
      </c>
      <c r="AS18" s="28">
        <f>=SUM(AS19:AS23)</f>
        <v>47</v>
      </c>
      <c r="AT18" s="28">
        <f>=SUM(AT19:AT23)</f>
        <v>59</v>
      </c>
      <c r="AU18" s="28">
        <f>=SUM(AU19:AU23)</f>
        <v>59</v>
      </c>
      <c r="AV18" s="28">
        <f>=SUM(AV19:AV23)</f>
        <v>49</v>
      </c>
      <c r="AW18" s="28">
        <f>=SUM(AW19:AW23)</f>
        <v>56</v>
      </c>
      <c r="AX18" s="28">
        <f>=SUM(AX19:AX23)</f>
        <v>55</v>
      </c>
      <c r="AY18" s="28">
        <f>=SUM(AY19:AY23)</f>
        <v>56</v>
      </c>
      <c r="AZ18" s="28">
        <f>=SUM(AZ19:AZ23)</f>
        <v>58</v>
      </c>
      <c r="BA18" s="28">
        <f>=SUM(BA19:BA23)</f>
        <v>62</v>
      </c>
      <c r="BB18" s="28">
        <f>=SUM(BB19:BB23)</f>
        <v>54</v>
      </c>
      <c r="BC18" s="28">
        <f>=SUM(BC19:BC23)</f>
        <v>53</v>
      </c>
      <c r="BD18" s="28">
        <f>=SUM(BD19:BD23)</f>
        <v>51</v>
      </c>
      <c r="BE18" s="28">
        <f>=SUM(BE19:BE23)</f>
        <v>56</v>
      </c>
      <c r="BF18" s="28">
        <f>=SUM(BF19:BF23)</f>
        <v>52</v>
      </c>
      <c r="BG18" s="28">
        <f>=SUM(BG19:BG23)</f>
        <v>53</v>
      </c>
      <c r="BH18" s="28">
        <f>=SUM(BH19:BH23)</f>
        <v>55</v>
      </c>
      <c r="BI18" s="28">
        <f>=SUM(BI19:BI23)</f>
        <v>55</v>
      </c>
      <c r="BJ18" s="28">
        <f>=SUM(BJ19:BJ23)</f>
        <v>53</v>
      </c>
      <c r="BK18" s="28">
        <f>=SUM(BK19:BK23)</f>
        <v>54</v>
      </c>
      <c r="BL18" s="28">
        <f>=SUM(BL19:BL23)</f>
        <v>55</v>
      </c>
      <c r="BM18" s="28">
        <f>=SUM(BM19:BM23)</f>
        <v>49</v>
      </c>
      <c r="BN18" s="28">
        <f>=SUM(BN19:BN23)</f>
        <v>48</v>
      </c>
      <c r="BO18" s="28">
        <f>=SUM(BO19:BO23)</f>
        <v>44</v>
      </c>
      <c r="BP18" s="28">
        <f>=SUM(BP19:BP23)</f>
        <v>39</v>
      </c>
      <c r="BQ18" s="28">
        <f>=SUM(BQ19:BQ23)</f>
        <v>37</v>
      </c>
      <c r="BR18" s="28">
        <f>=SUM(BR19:BR23)</f>
        <v>38</v>
      </c>
      <c r="BS18" s="28">
        <f>=SUM(BS19:BS23)</f>
        <v>36</v>
      </c>
      <c r="BT18" s="28">
        <f>=SUM(BT19:BT23)</f>
        <v>36</v>
      </c>
      <c r="BU18" s="28">
        <f>=SUM(BU19:BU23)</f>
        <v>38</v>
      </c>
      <c r="BV18" s="28">
        <f>=SUM(BV19:BV23)</f>
        <v>37</v>
      </c>
      <c r="BW18" s="28">
        <f>=SUM(BW19:BW23)</f>
        <v>37</v>
      </c>
      <c r="BX18" s="28">
        <f>=SUM(BX19:BX23)</f>
        <v>36</v>
      </c>
      <c r="BY18" s="28">
        <f>=SUM(BY19:BY23)</f>
        <v>35</v>
      </c>
      <c r="BZ18" s="28">
        <f>=SUM(BZ19:BZ23)</f>
        <v>35.5625</v>
      </c>
      <c r="CA18" s="28">
        <f>=SUM(CA19:CA23)</f>
        <v>35.11796875</v>
      </c>
      <c r="CB18" s="28">
        <f>=SUM(CB19:CB23)</f>
        <v>34.678994140625</v>
      </c>
      <c r="CC18" s="28">
        <f>=SUM(CC19:CC23)</f>
        <v>34.24550671386719</v>
      </c>
      <c r="CD18" s="28">
        <f>=SUM(CD19:CD23)</f>
        <v>33.90305164672852</v>
      </c>
      <c r="CE18" s="28">
        <f>=SUM(CE19:CE23)</f>
        <v>33.56402113026124</v>
      </c>
      <c r="CF18" s="28">
        <f>=SUM(CF19:CF23)</f>
        <v>25.22838091895863</v>
      </c>
      <c r="CG18" s="28">
        <f>=SUM(CG19:CG23)</f>
        <v>24.976097109769043</v>
      </c>
      <c r="CH18" s="28">
        <f>=SUM(CH19:CH23)</f>
        <v>24.726336138671357</v>
      </c>
      <c r="CI18" s="28">
        <f>=SUM(CI19:CI23)</f>
        <v>24.417256936937957</v>
      </c>
      <c r="CJ18" s="28">
        <f>=SUM(CJ19:CJ23)</f>
        <v>24.11204122522623</v>
      </c>
      <c r="CK18" s="28">
        <f>=SUM(CK19:CK23)</f>
        <v>23.810640709910906</v>
      </c>
      <c r="CL18" s="28">
        <f>=SUM(CL19:CL23)</f>
        <v>23.513007701037026</v>
      </c>
      <c r="CM18" s="28">
        <f>=SUM(CM19:CM23)</f>
        <v>23.219095104774063</v>
      </c>
      <c r="CN18" s="28">
        <f>=SUM(CN19:CN23)</f>
        <v>22.92885641596439</v>
      </c>
      <c r="CO18" s="28">
        <f>=SUM(CO19:CO23)</f>
        <v>22.642245710764836</v>
      </c>
      <c r="CP18" s="28">
        <f>=SUM(CP19:CP23)</f>
        <v>22.359217639380272</v>
      </c>
      <c r="CQ18" s="28">
        <f>=SUM(CQ19:CQ23)</f>
        <v>22.13562546298647</v>
      </c>
      <c r="CR18" s="28">
        <f>=SUM(CR19:CR23)</f>
        <v>21.914269208356608</v>
      </c>
      <c r="CS18" s="28">
        <f>=SUM(CS19:CS23)</f>
        <v>21.69512651627304</v>
      </c>
      <c r="CT18" s="28">
        <f>=SUM(CT19:CT23)</f>
        <v>21.478175251110315</v>
      </c>
      <c r="CU18" s="28">
        <f>=SUM(CU19:CU23)</f>
        <v>21.26339349859921</v>
      </c>
      <c r="CV18" s="28">
        <f>=SUM(CV19:CV23)</f>
        <v>20.99760107986672</v>
      </c>
      <c r="CW18" s="28">
        <f>=SUM(CW19:CW23)</f>
        <v>20.73513106636839</v>
      </c>
      <c r="CX18" s="28">
        <f>=SUM(CX19:CX23)</f>
        <v>20.475941928038782</v>
      </c>
      <c r="CY18" s="28">
        <f>=SUM(CY19:CY23)</f>
        <v>20.2199926539383</v>
      </c>
      <c r="CZ18" s="28">
        <f>=SUM(CZ19:CZ23)</f>
        <v>19.967242745764068</v>
      </c>
      <c r="DA18" s="28">
        <f>=SUM(DA19:DA23)</f>
        <v>19.717652211442015</v>
      </c>
      <c r="DB18" s="28">
        <f>=SUM(DB19:DB23)</f>
        <v>19.47118155879899</v>
      </c>
    </row>
    <row r="19" ht="18" customHeight="1" spans="1:106" x14ac:dyDescent="0.25">
      <c r="A19" s="27" t="s">
        <v>253</v>
      </c>
      <c r="C19" s="28">
        <f>=IF(LEN(C82)=0,(110*(1-B41))-C81+C99+C128,(110-C81+C99+C128))</f>
        <v>110</v>
      </c>
      <c r="D19" s="28">
        <f>=IF(LEN(D82)=0,(C19*(1-C41))-D81+D99+D128,(C19-D81+D99+D128))</f>
        <v>108</v>
      </c>
      <c r="E19" s="28">
        <f>=IF(LEN(E82)=0,(D19*(1-D41))-E81+E99+E128,(D19-E81+E99+E128))</f>
        <v>106</v>
      </c>
      <c r="F19" s="28">
        <f>=IF(LEN(F82)=0,(E19*(1-E41))-F81+F99+F128,(E19-F81+F99+F128))</f>
        <v>105</v>
      </c>
      <c r="G19" s="28">
        <f>=IF(LEN(G82)=0,(F19*(1-F41))-G81+G99+G128,(F19-G81+G99+G128))</f>
        <v>103</v>
      </c>
      <c r="H19" s="28">
        <f>=IF(LEN(H82)=0,(G19*(1-G41))-H81+H99+H128,(G19-H81+H99+H128))</f>
        <v>104</v>
      </c>
      <c r="I19" s="28">
        <f>=IF(LEN(I82)=0,(H19*(1-H41))-I81+I99+I128,(H19-I81+I99+I128))</f>
        <v>104</v>
      </c>
      <c r="J19" s="28">
        <f>=IF(LEN(J82)=0,(I19*(1-I41))-J81+J99+J128,(I19-J81+J99+J128))</f>
        <v>105</v>
      </c>
      <c r="K19" s="28">
        <f>=IF(LEN(K82)=0,(J19*(1-J41))-K81+K99+K128,(J19-K81+K99+K128))</f>
        <v>105</v>
      </c>
      <c r="L19" s="28">
        <f>=IF(LEN(L82)=0,(K19*(1-K41))-L81+L99+L128,(K19-L81+L99+L128))</f>
        <v>105</v>
      </c>
      <c r="M19" s="28">
        <f>=IF(LEN(M82)=0,(L19*(1-L41))-M81+M99+M128,(L19-M81+M99+M128))</f>
        <v>97</v>
      </c>
      <c r="N19" s="28">
        <f>=IF(LEN(N82)=0,(M19*(1-M41))-N81+N99+N128,(M19-N81+N99+N128))</f>
        <v>94</v>
      </c>
      <c r="O19" s="28">
        <f>=IF(LEN(O82)=0,(N19*(1-N41))-O81+O99+O128,(N19-O81+O99+O128))</f>
        <v>84</v>
      </c>
      <c r="P19" s="28">
        <f>=IF(LEN(P82)=0,(O19*(1-O41))-P81+P99+P128,(O19-P81+P99+P128))</f>
        <v>79</v>
      </c>
      <c r="Q19" s="28">
        <f>=IF(LEN(Q82)=0,(P19*(1-P41))-Q81+Q99+Q128,(P19-Q81+Q99+Q128))</f>
        <v>77</v>
      </c>
      <c r="R19" s="28">
        <f>=IF(LEN(R82)=0,(Q19*(1-Q41))-R81+R99+R128,(Q19-R81+R99+R128))</f>
        <v>76</v>
      </c>
      <c r="S19" s="28">
        <f>=IF(LEN(S82)=0,(R19*(1-R41))-S81+S99+S128,(R19-S81+S99+S128))</f>
        <v>70</v>
      </c>
      <c r="T19" s="28">
        <f>=IF(LEN(T82)=0,(S19*(1-S41))-T81+T99+T128,(S19-T81+T99+T128))</f>
        <v>70</v>
      </c>
      <c r="U19" s="28">
        <f>=IF(LEN(U82)=0,(T19*(1-T41))-U81+U99+U128,(T19-U81+U99+U128))</f>
        <v>69</v>
      </c>
      <c r="V19" s="28">
        <f>=IF(LEN(V82)=0,(U19*(1-U41))-V81+V99+V128,(U19-V81+V99+V128))</f>
        <v>61</v>
      </c>
      <c r="W19" s="28">
        <f>=IF(LEN(W82)=0,(V19*(1-V41))-W81+W99+W128,(V19-W81+W99+W128))</f>
        <v>60</v>
      </c>
      <c r="X19" s="28">
        <f>=IF(LEN(X82)=0,(W19*(1-W41))-X81+X99+X128,(W19-X81+X99+X128))</f>
        <v>65</v>
      </c>
      <c r="Y19" s="28">
        <f>=IF(LEN(Y82)=0,(X19*(1-X41))-Y81+Y99+Y128,(X19-Y81+Y99+Y128))</f>
        <v>63</v>
      </c>
      <c r="Z19" s="28">
        <f>=IF(LEN(Z82)=0,(Y19*(1-Y41))-Z81+Z99+Z128,(Y19-Z81+Z99+Z128))</f>
        <v>62</v>
      </c>
      <c r="AA19" s="28">
        <f>=IF(LEN(AA82)=0,(Z19*(1-Z41))-AA81+AA99+AA128,(Z19-AA81+AA99+AA128))</f>
        <v>59</v>
      </c>
      <c r="AB19" s="28">
        <f>=IF(LEN(AB82)=0,(AA19*(1-AA41))-AB81+AB99+AB128,(AA19-AB81+AB99+AB128))</f>
        <v>59</v>
      </c>
      <c r="AC19" s="28">
        <f>=IF(LEN(AC82)=0,(AB19*(1-AB41))-AC81+AC99+AC128,(AB19-AC81+AC99+AC128))</f>
        <v>58</v>
      </c>
      <c r="AD19" s="28">
        <f>=IF(LEN(AD82)=0,(AC19*(1-AC41))-AD81+AD99+AD128,(AC19-AD81+AD99+AD128))</f>
        <v>56</v>
      </c>
      <c r="AE19" s="28">
        <f>=IF(LEN(AE82)=0,(AD19*(1-AD41))-AE81+AE99+AE128,(AD19-AE81+AE99+AE128))</f>
        <v>57</v>
      </c>
      <c r="AF19" s="28">
        <f>=IF(LEN(AF82)=0,(AE19*(1-AE41))-AF81+AF99+AF128,(AE19-AF81+AF99+AF128))</f>
        <v>54</v>
      </c>
      <c r="AG19" s="28">
        <f>=IF(LEN(AG82)=0,(AF19*(1-AF41))-AG81+AG99+AG128,(AF19-AG81+AG99+AG128))</f>
        <v>56</v>
      </c>
      <c r="AH19" s="28">
        <f>=IF(LEN(AH82)=0,(AG19*(1-AG41))-AH81+AH99+AH128,(AG19-AH81+AH99+AH128))</f>
        <v>55</v>
      </c>
      <c r="AI19" s="28">
        <f>=IF(LEN(AI82)=0,(AH19*(1-AH41))-AI81+AI99+AI128,(AH19-AI81+AI99+AI128))</f>
        <v>58</v>
      </c>
      <c r="AJ19" s="28">
        <f>=IF(LEN(AJ82)=0,(AI19*(1-AI41))-AJ81+AJ99+AJ128,(AI19-AJ81+AJ99+AJ128))</f>
        <v>53</v>
      </c>
      <c r="AK19" s="28">
        <f>=IF(LEN(AK82)=0,(AJ19*(1-AJ41))-AK81+AK99+AK128,(AJ19-AK81+AK99+AK128))</f>
        <v>54</v>
      </c>
      <c r="AL19" s="28">
        <f>=IF(LEN(AL82)=0,(AK19*(1-AK41))-AL81+AL99+AL128,(AK19-AL81+AL99+AL128))</f>
        <v>53</v>
      </c>
      <c r="AM19" s="28">
        <f>=IF(LEN(AM82)=0,(AL19*(1-AL41))-AM81+AM99+AM128,(AL19-AM81+AM99+AM128))</f>
        <v>52</v>
      </c>
      <c r="AN19" s="28">
        <f>=IF(LEN(AN82)=0,(AM19*(1-AM41))-AN81+AN99+AN128,(AM19-AN81+AN99+AN128))</f>
        <v>52</v>
      </c>
      <c r="AO19" s="28">
        <f>=IF(LEN(AO82)=0,(AN19*(1-AN41))-AO81+AO99+AO128,(AN19-AO81+AO99+AO128))</f>
        <v>50</v>
      </c>
      <c r="AP19" s="28">
        <f>=IF(LEN(AP82)=0,(AO19*(1-AO41))-AP81+AP99+AP128,(AO19-AP81+AP99+AP128))</f>
        <v>50</v>
      </c>
      <c r="AQ19" s="28">
        <f>=IF(LEN(AQ82)=0,(AP19*(1-AP41))-AQ81+AQ99+AQ128,(AP19-AQ81+AQ99+AQ128))</f>
        <v>42</v>
      </c>
      <c r="AR19" s="28">
        <f>=IF(LEN(AR82)=0,(AQ19*(1-AQ41))-AR81+AR99+AR128,(AQ19-AR81+AR99+AR128))</f>
        <v>41</v>
      </c>
      <c r="AS19" s="28">
        <f>=IF(LEN(AS82)=0,(AR19*(1-AR41))-AS81+AS99+AS128,(AR19-AS81+AS99+AS128))</f>
        <v>39</v>
      </c>
      <c r="AT19" s="28">
        <f>=IF(LEN(AT82)=0,(AS19*(1-AS41))-AT81+AT99+AT128,(AS19-AT81+AT99+AT128))</f>
        <v>41</v>
      </c>
      <c r="AU19" s="28">
        <f>=IF(LEN(AU82)=0,(AT19*(1-AT41))-AU81+AU99+AU128,(AT19-AU81+AU99+AU128))</f>
        <v>49</v>
      </c>
      <c r="AV19" s="28">
        <f>=IF(LEN(AV82)=0,(AU19*(1-AU41))-AV81+AV99+AV128,(AU19-AV81+AV99+AV128))</f>
        <v>40</v>
      </c>
      <c r="AW19" s="28">
        <f>=IF(LEN(AW82)=0,(AV19*(1-AV41))-AW81+AW99+AW128,(AV19-AW81+AW99+AW128))</f>
        <v>48</v>
      </c>
      <c r="AX19" s="28">
        <f>=IF(LEN(AX82)=0,(AW19*(1-AW41))-AX81+AX99+AX128,(AW19-AX81+AX99+AX128))</f>
        <v>47</v>
      </c>
      <c r="AY19" s="28">
        <f>=IF(LEN(AY82)=0,(AX19*(1-AX41))-AY81+AY99+AY128,(AX19-AY81+AY99+AY128))</f>
        <v>39</v>
      </c>
      <c r="AZ19" s="28">
        <f>=IF(LEN(AZ82)=0,(AY19*(1-AY41))-AZ81+AZ99+AZ128,(AY19-AZ81+AZ99+AZ128))</f>
        <v>48</v>
      </c>
      <c r="BA19" s="28">
        <f>=IF(LEN(BA82)=0,(AZ19*(1-AZ41))-BA81+BA99+BA128,(AZ19-BA81+BA99+BA128))</f>
        <v>52</v>
      </c>
      <c r="BB19" s="28">
        <f>=IF(LEN(BB82)=0,(BA19*(1-BA41))-BB81+BB99+BB128,(BA19-BB81+BB99+BB128))</f>
        <v>44</v>
      </c>
      <c r="BC19" s="28">
        <f>=IF(LEN(BC82)=0,(BB19*(1-BB41))-BC81+BC99+BC128,(BB19-BC81+BC99+BC128))</f>
        <v>43</v>
      </c>
      <c r="BD19" s="28">
        <f>=IF(LEN(BD82)=0,(BC19*(1-BC41))-BD81+BD99+BD128,(BC19-BD81+BD99+BD128))</f>
        <v>41</v>
      </c>
      <c r="BE19" s="28">
        <f>=IF(LEN(BE82)=0,(BD19*(1-BD41))-BE81+BE99+BE128,(BD19-BE81+BE99+BE128))</f>
        <v>50</v>
      </c>
      <c r="BF19" s="28">
        <f>=IF(LEN(BF82)=0,(BE19*(1-BE41))-BF81+BF99+BF128,(BE19-BF81+BF99+BF128))</f>
        <v>47</v>
      </c>
      <c r="BG19" s="28">
        <f>=IF(LEN(BG82)=0,(BF19*(1-BF41))-BG81+BG99+BG128,(BF19-BG81+BG99+BG128))</f>
        <v>48</v>
      </c>
      <c r="BH19" s="28">
        <f>=IF(LEN(BH82)=0,(BG19*(1-BG41))-BH81+BH99+BH128,(BG19-BH81+BH99+BH128))</f>
        <v>46</v>
      </c>
      <c r="BI19" s="28">
        <f>=IF(LEN(BI82)=0,(BH19*(1-BH41))-BI81+BI99+BI128,(BH19-BI81+BI99+BI128))</f>
        <v>46</v>
      </c>
      <c r="BJ19" s="28">
        <f>=IF(LEN(BJ82)=0,(BI19*(1-BI41))-BJ81+BJ99+BJ128,(BI19-BJ81+BJ99+BJ128))</f>
        <v>44</v>
      </c>
      <c r="BK19" s="28">
        <f>=IF(LEN(BK82)=0,(BJ19*(1-BJ41))-BK81+BK99+BK128,(BJ19-BK81+BK99+BK128))</f>
        <v>49</v>
      </c>
      <c r="BL19" s="28">
        <f>=IF(LEN(BL82)=0,(BK19*(1-BK41))-BL81+BL99+BL128,(BK19-BL81+BL99+BL128))</f>
        <v>50</v>
      </c>
      <c r="BM19" s="28">
        <f>=IF(LEN(BM82)=0,(BL19*(1-BL41))-BM81+BM99+BM128,(BL19-BM81+BM99+BM128))</f>
        <v>44</v>
      </c>
      <c r="BN19" s="28">
        <f>=IF(LEN(BN82)=0,(BM19*(1-BM41))-BN81+BN99+BN128,(BM19-BN81+BN99+BN128))</f>
        <v>48</v>
      </c>
      <c r="BO19" s="28">
        <f>=IF(LEN(BO82)=0,(BN19*(1-BN41))-BO81+BO99+BO128,(BN19-BO81+BO99+BO128))</f>
        <v>44</v>
      </c>
      <c r="BP19" s="28">
        <f>=IF(LEN(BP82)=0,(BO19*(1-BO41))-BP81+BP99+BP128,(BO19-BP81+BP99+BP128))</f>
        <v>39</v>
      </c>
      <c r="BQ19" s="28">
        <f>=IF(LEN(BQ82)=0,(BP19*(1-BP41))-BQ81+BQ99+BQ128,(BP19-BQ81+BQ99+BQ128))</f>
        <v>37</v>
      </c>
      <c r="BR19" s="28">
        <f>=IF(LEN(BR82)=0,(BQ19*(1-BQ41))-BR81+BR99+BR128,(BQ19-BR81+BR99+BR128))</f>
        <v>38</v>
      </c>
      <c r="BS19" s="28">
        <f>=IF(LEN(BS82)=0,(BR19*(1-BR41))-BS81+BS99+BS128,(BR19-BS81+BS99+BS128))</f>
        <v>36</v>
      </c>
      <c r="BT19" s="28">
        <f>=IF(LEN(BT82)=0,(BS19*(1-BS41))-BT81+BT99+BT128,(BS19-BT81+BT99+BT128))</f>
        <v>36</v>
      </c>
      <c r="BU19" s="28">
        <f>=IF(LEN(BU82)=0,(BT19*(1-BT41))-BU81+BU99+BU128,(BT19-BU81+BU99+BU128))</f>
        <v>36</v>
      </c>
      <c r="BV19" s="28">
        <f>=IF(LEN(BV82)=0,(BU19*(1-BU41))-BV81+BV99+BV128,(BU19-BV81+BV99+BV128))</f>
        <v>35</v>
      </c>
      <c r="BW19" s="28">
        <f>=IF(LEN(BW82)=0,(BV19*(1-BV41))-BW81+BW99+BW128,(BV19-BW81+BW99+BW128))</f>
        <v>35</v>
      </c>
      <c r="BX19" s="28">
        <f>=IF(LEN(BX82)=0,(BW19*(1-BW41))-BX81+BX99+BX128,(BW19-BX81+BX99+BX128))</f>
        <v>34</v>
      </c>
      <c r="BY19" s="28">
        <f>=IF(LEN(BY82)=0,(BX19*(1-BX41))-BY81+BY99+BY128,(BX19-BY81+BY99+BY128))</f>
        <v>35</v>
      </c>
      <c r="BZ19" s="28">
        <f>=IF(LEN(BZ82)=0,(BY19*(1-BY41))-BZ81+BZ99+BZ128,(BY19-BZ81+BZ99+BZ128))</f>
        <v>35.5625</v>
      </c>
      <c r="CA19" s="28">
        <f>=IF(LEN(CA82)=0,(BZ19*(1-BZ41))-CA81+CA99+CA128,(BZ19-CA81+CA99+CA128))</f>
        <v>35.11796875</v>
      </c>
      <c r="CB19" s="28">
        <f>=IF(LEN(CB82)=0,(CA19*(1-CA41))-CB81+CB99+CB128,(CA19-CB81+CB99+CB128))</f>
        <v>34.678994140625</v>
      </c>
      <c r="CC19" s="28">
        <f>=IF(LEN(CC82)=0,(CB19*(1-CB41))-CC81+CC99+CC128,(CB19-CC81+CC99+CC128))</f>
        <v>34.24550671386719</v>
      </c>
      <c r="CD19" s="28">
        <f>=IF(LEN(CD82)=0,(CC19*(1-CC41))-CD81+CD99+CD128,(CC19-CD81+CD99+CD128))</f>
        <v>33.90305164672852</v>
      </c>
      <c r="CE19" s="28">
        <f>=IF(LEN(CE82)=0,(CD19*(1-CD41))-CE81+CE99+CE128,(CD19-CE81+CE99+CE128))</f>
        <v>33.56402113026124</v>
      </c>
      <c r="CF19" s="28">
        <f>=IF(LEN(CF82)=0,(CE19*(1-CE41))-CF81+CF99+CF128,(CE19-CF81+CF99+CF128))</f>
        <v>25.22838091895863</v>
      </c>
      <c r="CG19" s="28">
        <f>=IF(LEN(CG82)=0,(CF19*(1-CF41))-CG81+CG99+CG128,(CF19-CG81+CG99+CG128))</f>
        <v>24.976097109769043</v>
      </c>
      <c r="CH19" s="28">
        <f>=IF(LEN(CH82)=0,(CG19*(1-CG41))-CH81+CH99+CH128,(CG19-CH81+CH99+CH128))</f>
        <v>24.726336138671357</v>
      </c>
      <c r="CI19" s="28">
        <f>=IF(LEN(CI82)=0,(CH19*(1-CH41))-CI81+CI99+CI128,(CH19-CI81+CI99+CI128))</f>
        <v>24.417256936937957</v>
      </c>
      <c r="CJ19" s="28">
        <f>=IF(LEN(CJ82)=0,(CI19*(1-CI41))-CJ81+CJ99+CJ128,(CI19-CJ81+CJ99+CJ128))</f>
        <v>24.11204122522623</v>
      </c>
      <c r="CK19" s="28">
        <f>=IF(LEN(CK82)=0,(CJ19*(1-CJ41))-CK81+CK99+CK128,(CJ19-CK81+CK99+CK128))</f>
        <v>23.810640709910906</v>
      </c>
      <c r="CL19" s="28">
        <f>=IF(LEN(CL82)=0,(CK19*(1-CK41))-CL81+CL99+CL128,(CK19-CL81+CL99+CL128))</f>
        <v>23.513007701037026</v>
      </c>
      <c r="CM19" s="28">
        <f>=IF(LEN(CM82)=0,(CL19*(1-CL41))-CM81+CM99+CM128,(CL19-CM81+CM99+CM128))</f>
        <v>23.219095104774063</v>
      </c>
      <c r="CN19" s="28">
        <f>=IF(LEN(CN82)=0,(CM19*(1-CM41))-CN81+CN99+CN128,(CM19-CN81+CN99+CN128))</f>
        <v>22.92885641596439</v>
      </c>
      <c r="CO19" s="28">
        <f>=IF(LEN(CO82)=0,(CN19*(1-CN41))-CO81+CO99+CO128,(CN19-CO81+CO99+CO128))</f>
        <v>22.642245710764836</v>
      </c>
      <c r="CP19" s="28">
        <f>=IF(LEN(CP82)=0,(CO19*(1-CO41))-CP81+CP99+CP128,(CO19-CP81+CP99+CP128))</f>
        <v>22.359217639380272</v>
      </c>
      <c r="CQ19" s="28">
        <f>=IF(LEN(CQ82)=0,(CP19*(1-CP41))-CQ81+CQ99+CQ128,(CP19-CQ81+CQ99+CQ128))</f>
        <v>22.13562546298647</v>
      </c>
      <c r="CR19" s="28">
        <f>=IF(LEN(CR82)=0,(CQ19*(1-CQ41))-CR81+CR99+CR128,(CQ19-CR81+CR99+CR128))</f>
        <v>21.914269208356608</v>
      </c>
      <c r="CS19" s="28">
        <f>=IF(LEN(CS82)=0,(CR19*(1-CR41))-CS81+CS99+CS128,(CR19-CS81+CS99+CS128))</f>
        <v>21.69512651627304</v>
      </c>
      <c r="CT19" s="28">
        <f>=IF(LEN(CT82)=0,(CS19*(1-CS41))-CT81+CT99+CT128,(CS19-CT81+CT99+CT128))</f>
        <v>21.478175251110315</v>
      </c>
      <c r="CU19" s="28">
        <f>=IF(LEN(CU82)=0,(CT19*(1-CT41))-CU81+CU99+CU128,(CT19-CU81+CU99+CU128))</f>
        <v>21.26339349859921</v>
      </c>
      <c r="CV19" s="28">
        <f>=IF(LEN(CV82)=0,(CU19*(1-CU41))-CV81+CV99+CV128,(CU19-CV81+CV99+CV128))</f>
        <v>20.99760107986672</v>
      </c>
      <c r="CW19" s="28">
        <f>=IF(LEN(CW82)=0,(CV19*(1-CV41))-CW81+CW99+CW128,(CV19-CW81+CW99+CW128))</f>
        <v>20.73513106636839</v>
      </c>
      <c r="CX19" s="28">
        <f>=IF(LEN(CX82)=0,(CW19*(1-CW41))-CX81+CX99+CX128,(CW19-CX81+CX99+CX128))</f>
        <v>20.475941928038782</v>
      </c>
      <c r="CY19" s="28">
        <f>=IF(LEN(CY82)=0,(CX19*(1-CX41))-CY81+CY99+CY128,(CX19-CY81+CY99+CY128))</f>
        <v>20.2199926539383</v>
      </c>
      <c r="CZ19" s="28">
        <f>=IF(LEN(CZ82)=0,(CY19*(1-CY41))-CZ81+CZ99+CZ128,(CY19-CZ81+CZ99+CZ128))</f>
        <v>19.967242745764068</v>
      </c>
      <c r="DA19" s="28">
        <f>=IF(LEN(DA82)=0,(CZ19*(1-CZ41))-DA81+DA99+DA128,(CZ19-DA81+DA99+DA128))</f>
        <v>19.717652211442015</v>
      </c>
      <c r="DB19" s="28">
        <f>=IF(LEN(DB82)=0,(DA19*(1-DA41))-DB81+DB99+DB128,(DA19-DB81+DB99+DB128))</f>
        <v>19.47118155879899</v>
      </c>
    </row>
    <row r="20" ht="18" customHeight="1" spans="1:106" x14ac:dyDescent="0.25">
      <c r="A20" s="27" t="s">
        <v>254</v>
      </c>
      <c r="C20" s="28">
        <f>=SUM(C119:C121)</f>
        <v>6</v>
      </c>
      <c r="D20" s="28">
        <f>=SUM(D119:D121)</f>
        <v>6</v>
      </c>
      <c r="E20" s="28">
        <f>=SUM(E119:E121)</f>
        <v>0</v>
      </c>
      <c r="F20" s="28">
        <f>=SUM(F119:F121)</f>
        <v>0</v>
      </c>
      <c r="G20" s="28">
        <f>=SUM(G119:G121)</f>
        <v>0</v>
      </c>
      <c r="H20" s="28">
        <f>=SUM(H119:H121)</f>
        <v>0</v>
      </c>
      <c r="I20" s="28">
        <f>=SUM(I119:I121)</f>
        <v>0</v>
      </c>
      <c r="J20" s="28">
        <f>=SUM(J119:J121)</f>
        <v>0</v>
      </c>
      <c r="K20" s="28">
        <f>=SUM(K119:K121)</f>
        <v>0</v>
      </c>
      <c r="L20" s="28">
        <f>=SUM(L119:L121)</f>
        <v>0</v>
      </c>
      <c r="M20" s="28">
        <f>=SUM(M119:M121)</f>
        <v>0</v>
      </c>
      <c r="N20" s="28">
        <f>=SUM(N119:N121)</f>
        <v>0</v>
      </c>
      <c r="O20" s="28">
        <f>=SUM(O119:O121)</f>
        <v>0</v>
      </c>
      <c r="P20" s="28">
        <f>=SUM(P119:P121)</f>
        <v>0</v>
      </c>
      <c r="Q20" s="28">
        <f>=SUM(Q119:Q121)</f>
        <v>0</v>
      </c>
      <c r="R20" s="28">
        <f>=SUM(R119:R121)</f>
        <v>0</v>
      </c>
      <c r="S20" s="28">
        <f>=SUM(S119:S121)</f>
        <v>0</v>
      </c>
      <c r="T20" s="28">
        <f>=SUM(T119:T121)</f>
        <v>0</v>
      </c>
      <c r="U20" s="28">
        <f>=SUM(U119:U121)</f>
        <v>0</v>
      </c>
      <c r="V20" s="28">
        <f>=SUM(V119:V121)</f>
        <v>0</v>
      </c>
      <c r="W20" s="28">
        <f>=SUM(W119:W121)</f>
        <v>0</v>
      </c>
      <c r="X20" s="28">
        <f>=SUM(X119:X121)</f>
        <v>0</v>
      </c>
      <c r="Y20" s="28">
        <f>=SUM(Y119:Y121)</f>
        <v>0</v>
      </c>
      <c r="Z20" s="28">
        <f>=SUM(Z119:Z121)</f>
        <v>0</v>
      </c>
      <c r="AA20" s="28">
        <f>=SUM(AA119:AA121)</f>
        <v>0</v>
      </c>
      <c r="AB20" s="28">
        <f>=SUM(AB119:AB121)</f>
        <v>0</v>
      </c>
      <c r="AC20" s="28">
        <f>=SUM(AC119:AC121)</f>
        <v>0</v>
      </c>
      <c r="AD20" s="28">
        <f>=SUM(AD119:AD121)</f>
        <v>3</v>
      </c>
      <c r="AE20" s="28">
        <f>=SUM(AE119:AE121)</f>
        <v>3</v>
      </c>
      <c r="AF20" s="28">
        <f>=SUM(AF119:AF121)</f>
        <v>0</v>
      </c>
      <c r="AG20" s="28">
        <f>=SUM(AG119:AG121)</f>
        <v>0</v>
      </c>
      <c r="AH20" s="28">
        <f>=SUM(AH119:AH121)</f>
        <v>0</v>
      </c>
      <c r="AI20" s="28">
        <f>=SUM(AI119:AI121)</f>
        <v>0</v>
      </c>
      <c r="AJ20" s="28">
        <f>=SUM(AJ119:AJ121)</f>
        <v>0</v>
      </c>
      <c r="AK20" s="28">
        <f>=SUM(AK119:AK121)</f>
        <v>0</v>
      </c>
      <c r="AL20" s="28">
        <f>=SUM(AL119:AL121)</f>
        <v>0</v>
      </c>
      <c r="AM20" s="28">
        <f>=SUM(AM119:AM121)</f>
        <v>0</v>
      </c>
      <c r="AN20" s="28">
        <f>=SUM(AN119:AN121)</f>
        <v>0</v>
      </c>
      <c r="AO20" s="28">
        <f>=SUM(AO119:AO121)</f>
        <v>12</v>
      </c>
      <c r="AP20" s="28">
        <f>=SUM(AP119:AP121)</f>
        <v>12</v>
      </c>
      <c r="AQ20" s="28">
        <f>=SUM(AQ119:AQ121)</f>
        <v>0</v>
      </c>
      <c r="AR20" s="28">
        <f>=SUM(AR119:AR121)</f>
        <v>0</v>
      </c>
      <c r="AS20" s="28">
        <f>=SUM(AS119:AS121)</f>
        <v>0</v>
      </c>
      <c r="AT20" s="28">
        <f>=SUM(AT119:AT121)</f>
        <v>10</v>
      </c>
      <c r="AU20" s="28">
        <f>=SUM(AU119:AU121)</f>
        <v>10</v>
      </c>
      <c r="AV20" s="28">
        <f>=SUM(AV119:AV121)</f>
        <v>0</v>
      </c>
      <c r="AW20" s="28">
        <f>=SUM(AW119:AW121)</f>
        <v>0</v>
      </c>
      <c r="AX20" s="28">
        <f>=SUM(AX119:AX121)</f>
        <v>0</v>
      </c>
      <c r="AY20" s="28">
        <f>=SUM(AY119:AY121)</f>
        <v>10</v>
      </c>
      <c r="AZ20" s="28">
        <f>=SUM(AZ119:AZ121)</f>
        <v>10</v>
      </c>
      <c r="BA20" s="28">
        <f>=SUM(BA119:BA121)</f>
        <v>0</v>
      </c>
      <c r="BB20" s="28">
        <f>=SUM(BB119:BB121)</f>
        <v>0</v>
      </c>
      <c r="BC20" s="28">
        <f>=SUM(BC119:BC121)</f>
        <v>0</v>
      </c>
      <c r="BD20" s="28">
        <f>=SUM(BD119:BD121)</f>
        <v>0</v>
      </c>
      <c r="BE20" s="28">
        <f>=SUM(BE119:BE121)</f>
        <v>6</v>
      </c>
      <c r="BF20" s="28">
        <f>=SUM(BF119:BF121)</f>
        <v>5</v>
      </c>
      <c r="BG20" s="28">
        <f>=SUM(BG119:BG121)</f>
        <v>0</v>
      </c>
      <c r="BH20" s="28">
        <f>=SUM(BH119:BH121)</f>
        <v>5</v>
      </c>
      <c r="BI20" s="28">
        <f>=SUM(BI119:BI121)</f>
        <v>5</v>
      </c>
      <c r="BJ20" s="28">
        <f>=SUM(BJ119:BJ121)</f>
        <v>0</v>
      </c>
      <c r="BK20" s="28">
        <f>=SUM(BK119:BK121)</f>
        <v>0</v>
      </c>
      <c r="BL20" s="28">
        <f>=SUM(BL119:BL121)</f>
        <v>0</v>
      </c>
      <c r="BM20" s="28">
        <f>=SUM(BM119:BM121)</f>
        <v>0</v>
      </c>
      <c r="BN20" s="28">
        <f>=SUM(BN119:BN121)</f>
        <v>0</v>
      </c>
      <c r="BO20" s="28">
        <f>=SUM(BO119:BO121)</f>
        <v>0</v>
      </c>
      <c r="BP20" s="30"/>
      <c r="BQ20" s="28">
        <f>=SUM(BQ119:BQ121)</f>
        <v>0</v>
      </c>
      <c r="BR20" s="28">
        <f>=SUM(BR119:BR121)</f>
        <v>0</v>
      </c>
      <c r="BS20" s="28">
        <f>=SUM(BS119:BS121)</f>
        <v>0</v>
      </c>
      <c r="BT20" s="28">
        <f>=SUM(BT119:BT121)</f>
        <v>0</v>
      </c>
      <c r="BU20" s="28">
        <f>=SUM(BU119:BU121)</f>
        <v>2</v>
      </c>
      <c r="BV20" s="28">
        <f>=SUM(BV119:BV121)</f>
        <v>2</v>
      </c>
      <c r="BW20" s="28">
        <f>=SUM(BW119:BW121)</f>
        <v>0</v>
      </c>
      <c r="BX20" s="28">
        <f>=SUM(BX119:BX121)</f>
        <v>0</v>
      </c>
      <c r="BY20" s="28">
        <f>=SUM(BY119:BY121)</f>
        <v>0</v>
      </c>
      <c r="BZ20" s="28">
        <f>=SUM(BZ119:BZ121)</f>
        <v>0</v>
      </c>
      <c r="CA20" s="28">
        <f>=SUM(CA119:CA121)</f>
        <v>0</v>
      </c>
      <c r="CB20" s="28">
        <f>=SUM(CB119:CB121)</f>
        <v>0</v>
      </c>
      <c r="CC20" s="28">
        <f>=SUM(CC119:CC121)</f>
        <v>0</v>
      </c>
      <c r="CD20" s="28">
        <f>=SUM(CD119:CD121)</f>
        <v>0</v>
      </c>
      <c r="CE20" s="28">
        <f>=SUM(CE119:CE121)</f>
        <v>0</v>
      </c>
      <c r="CF20" s="28">
        <f>=SUM(CF119:CF121)</f>
        <v>0</v>
      </c>
      <c r="CG20" s="28">
        <f>=SUM(CG119:CG121)</f>
        <v>0</v>
      </c>
      <c r="CH20" s="28">
        <f>=SUM(CH119:CH121)</f>
        <v>0</v>
      </c>
      <c r="CI20" s="28">
        <f>=SUM(CI119:CI121)</f>
        <v>0</v>
      </c>
      <c r="CJ20" s="28">
        <f>=SUM(CJ119:CJ121)</f>
        <v>0</v>
      </c>
      <c r="CK20" s="28">
        <f>=SUM(CK119:CK121)</f>
        <v>0</v>
      </c>
      <c r="CL20" s="28">
        <f>=SUM(CL119:CL121)</f>
        <v>0</v>
      </c>
      <c r="CM20" s="28">
        <f>=SUM(CM119:CM121)</f>
        <v>0</v>
      </c>
      <c r="CN20" s="28">
        <f>=SUM(CN119:CN121)</f>
        <v>0</v>
      </c>
      <c r="CO20" s="28">
        <f>=SUM(CO119:CO121)</f>
        <v>0</v>
      </c>
      <c r="CP20" s="28">
        <f>=SUM(CP119:CP121)</f>
        <v>0</v>
      </c>
      <c r="CQ20" s="28">
        <f>=SUM(CQ119:CQ121)</f>
        <v>0</v>
      </c>
      <c r="CR20" s="28">
        <f>=SUM(CR119:CR121)</f>
        <v>0</v>
      </c>
      <c r="CS20" s="28">
        <f>=SUM(CS119:CS121)</f>
        <v>0</v>
      </c>
      <c r="CT20" s="28">
        <f>=SUM(CT119:CT121)</f>
        <v>0</v>
      </c>
      <c r="CU20" s="28">
        <f>=SUM(CU119:CU121)</f>
        <v>0</v>
      </c>
      <c r="CV20" s="28">
        <f>=SUM(CV119:CV121)</f>
        <v>0</v>
      </c>
      <c r="CW20" s="28">
        <f>=SUM(CW119:CW121)</f>
        <v>0</v>
      </c>
      <c r="CX20" s="28">
        <f>=SUM(CX119:CX121)</f>
        <v>0</v>
      </c>
      <c r="CY20" s="28">
        <f>=SUM(CY119:CY121)</f>
        <v>0</v>
      </c>
      <c r="CZ20" s="28">
        <f>=SUM(CZ119:CZ121)</f>
        <v>0</v>
      </c>
      <c r="DA20" s="28">
        <f>=SUM(DA119:DA121)</f>
        <v>0</v>
      </c>
      <c r="DB20" s="28">
        <f>=SUM(DB119:DB121)</f>
        <v>0</v>
      </c>
    </row>
    <row r="21" ht="18" customHeight="1" spans="1:106" x14ac:dyDescent="0.25">
      <c r="A21" s="27" t="s">
        <v>255</v>
      </c>
      <c r="C21" s="28">
        <f>=SUM(C122:C123)</f>
        <v>0</v>
      </c>
      <c r="D21" s="28">
        <f>=SUM(D122:D123)</f>
        <v>0</v>
      </c>
      <c r="E21" s="28">
        <f>=SUM(E122:E123)</f>
        <v>0</v>
      </c>
      <c r="F21" s="28">
        <f>=SUM(F122:F123)</f>
        <v>0</v>
      </c>
      <c r="G21" s="28">
        <f>=SUM(G122:G123)</f>
        <v>0</v>
      </c>
      <c r="H21" s="28">
        <f>=SUM(H122:H123)</f>
        <v>0</v>
      </c>
      <c r="I21" s="28">
        <f>=SUM(I122:I123)</f>
        <v>0</v>
      </c>
      <c r="J21" s="28">
        <f>=SUM(J122:J123)</f>
        <v>0</v>
      </c>
      <c r="K21" s="28">
        <f>=SUM(K122:K123)</f>
        <v>0</v>
      </c>
      <c r="L21" s="28">
        <f>=SUM(L122:L123)</f>
        <v>0</v>
      </c>
      <c r="M21" s="28">
        <f>=SUM(M122:M123)</f>
        <v>0</v>
      </c>
      <c r="N21" s="28">
        <f>=SUM(N122:N123)</f>
        <v>0</v>
      </c>
      <c r="O21" s="28">
        <f>=SUM(O122:O123)</f>
        <v>0</v>
      </c>
      <c r="P21" s="28">
        <f>=SUM(P122:P123)</f>
        <v>0</v>
      </c>
      <c r="Q21" s="28">
        <f>=SUM(Q122:Q123)</f>
        <v>0</v>
      </c>
      <c r="R21" s="28">
        <f>=SUM(R122:R123)</f>
        <v>0</v>
      </c>
      <c r="S21" s="28">
        <f>=SUM(S122:S123)</f>
        <v>0</v>
      </c>
      <c r="T21" s="28">
        <f>=SUM(T122:T123)</f>
        <v>0</v>
      </c>
      <c r="U21" s="28">
        <f>=SUM(U122:U123)</f>
        <v>0</v>
      </c>
      <c r="V21" s="28">
        <f>=SUM(V122:V123)</f>
        <v>0</v>
      </c>
      <c r="W21" s="28">
        <f>=SUM(W122:W123)</f>
        <v>0</v>
      </c>
      <c r="X21" s="28">
        <f>=SUM(X122:X123)</f>
        <v>0</v>
      </c>
      <c r="Y21" s="28">
        <f>=SUM(Y122:Y123)</f>
        <v>0</v>
      </c>
      <c r="Z21" s="28">
        <f>=SUM(Z122:Z123)</f>
        <v>0</v>
      </c>
      <c r="AA21" s="28">
        <f>=SUM(AA122:AA123)</f>
        <v>0</v>
      </c>
      <c r="AB21" s="28">
        <f>=SUM(AB122:AB123)</f>
        <v>0</v>
      </c>
      <c r="AC21" s="28">
        <f>=SUM(AC122:AC123)</f>
        <v>0</v>
      </c>
      <c r="AD21" s="28">
        <f>=SUM(AD122:AD123)</f>
        <v>0</v>
      </c>
      <c r="AE21" s="28">
        <f>=SUM(AE122:AE123)</f>
        <v>0</v>
      </c>
      <c r="AF21" s="28">
        <f>=SUM(AF122:AF123)</f>
        <v>0</v>
      </c>
      <c r="AG21" s="28">
        <f>=SUM(AG122:AG123)</f>
        <v>0</v>
      </c>
      <c r="AH21" s="28">
        <f>=SUM(AH122:AH123)</f>
        <v>0</v>
      </c>
      <c r="AI21" s="28">
        <f>=SUM(AI122:AI123)</f>
        <v>0</v>
      </c>
      <c r="AJ21" s="28">
        <f>=SUM(AJ122:AJ123)</f>
        <v>0</v>
      </c>
      <c r="AK21" s="28">
        <f>=SUM(AK122:AK123)</f>
        <v>0</v>
      </c>
      <c r="AL21" s="28">
        <f>=SUM(AL122:AL123)</f>
        <v>0</v>
      </c>
      <c r="AM21" s="28">
        <f>=SUM(AM122:AM123)</f>
        <v>0</v>
      </c>
      <c r="AN21" s="28">
        <f>=SUM(AN122:AN123)</f>
        <v>0</v>
      </c>
      <c r="AO21" s="28">
        <f>=SUM(AO122:AO123)</f>
        <v>0</v>
      </c>
      <c r="AP21" s="28">
        <f>=SUM(AP122:AP123)</f>
        <v>0</v>
      </c>
      <c r="AQ21" s="28">
        <f>=SUM(AQ122:AQ123)</f>
        <v>0</v>
      </c>
      <c r="AR21" s="28">
        <f>=SUM(AR122:AR123)</f>
        <v>0</v>
      </c>
      <c r="AS21" s="28">
        <f>=SUM(AS122:AS123)</f>
        <v>0</v>
      </c>
      <c r="AT21" s="28">
        <f>=SUM(AT122:AT123)</f>
        <v>0</v>
      </c>
      <c r="AU21" s="28">
        <f>=SUM(AU122:AU123)</f>
        <v>0</v>
      </c>
      <c r="AV21" s="28">
        <f>=SUM(AV122:AV123)</f>
        <v>0</v>
      </c>
      <c r="AW21" s="28">
        <f>=SUM(AW122:AW123)</f>
        <v>0</v>
      </c>
      <c r="AX21" s="28">
        <f>=SUM(AX122:AX123)</f>
        <v>0</v>
      </c>
      <c r="AY21" s="28">
        <f>=SUM(AY122:AY123)</f>
        <v>0</v>
      </c>
      <c r="AZ21" s="28">
        <f>=SUM(AZ122:AZ123)</f>
        <v>0</v>
      </c>
      <c r="BA21" s="28">
        <f>=SUM(BA122:BA123)</f>
        <v>0</v>
      </c>
      <c r="BB21" s="28">
        <f>=SUM(BB122:BB123)</f>
        <v>0</v>
      </c>
      <c r="BC21" s="28">
        <f>=SUM(BC122:BC123)</f>
        <v>0</v>
      </c>
      <c r="BD21" s="28">
        <f>=SUM(BD122:BD123)</f>
        <v>0</v>
      </c>
      <c r="BE21" s="28">
        <f>=SUM(BE122:BE123)</f>
        <v>0</v>
      </c>
      <c r="BF21" s="28">
        <f>=SUM(BF122:BF123)</f>
        <v>0</v>
      </c>
      <c r="BG21" s="28">
        <f>=SUM(BG122:BG123)</f>
        <v>0</v>
      </c>
      <c r="BH21" s="28">
        <f>=SUM(BH122:BH123)</f>
        <v>0</v>
      </c>
      <c r="BI21" s="28">
        <f>=SUM(BI122:BI123)</f>
        <v>0</v>
      </c>
      <c r="BJ21" s="28">
        <f>=SUM(BJ122:BJ123)</f>
        <v>0</v>
      </c>
      <c r="BK21" s="28">
        <f>=SUM(BK122:BK123)</f>
        <v>0</v>
      </c>
      <c r="BL21" s="28">
        <f>=SUM(BL122:BL123)</f>
        <v>0</v>
      </c>
      <c r="BM21" s="28">
        <f>=SUM(BM122:BM123)</f>
        <v>0</v>
      </c>
      <c r="BN21" s="28">
        <f>=SUM(BN122:BN123)</f>
        <v>0</v>
      </c>
      <c r="BO21" s="28">
        <f>=SUM(BO122:BO123)</f>
        <v>0</v>
      </c>
      <c r="BP21" s="28">
        <f>=SUM(BP122:BP123)</f>
        <v>0</v>
      </c>
      <c r="BQ21" s="28">
        <f>=SUM(BQ122:BQ123)</f>
        <v>0</v>
      </c>
      <c r="BR21" s="28">
        <f>=SUM(BR122:BR123)</f>
        <v>0</v>
      </c>
      <c r="BS21" s="28">
        <f>=SUM(BS122:BS123)</f>
        <v>0</v>
      </c>
      <c r="BT21" s="28">
        <f>=SUM(BT122:BT123)</f>
        <v>0</v>
      </c>
      <c r="BU21" s="28">
        <f>=SUM(BU122:BU123)</f>
        <v>0</v>
      </c>
      <c r="BV21" s="28">
        <f>=SUM(BV122:BV123)</f>
        <v>0</v>
      </c>
      <c r="BW21" s="28">
        <f>=SUM(BW122:BW123)</f>
        <v>0</v>
      </c>
      <c r="BX21" s="28">
        <f>=SUM(BX122:BX123)</f>
        <v>0</v>
      </c>
      <c r="BY21" s="28">
        <f>=SUM(BY122:BY123)</f>
        <v>0</v>
      </c>
      <c r="BZ21" s="28">
        <f>=SUM(BZ122:BZ123)</f>
        <v>0</v>
      </c>
      <c r="CA21" s="28">
        <f>=SUM(CA122:CA123)</f>
        <v>0</v>
      </c>
      <c r="CB21" s="28">
        <f>=SUM(CB122:CB123)</f>
        <v>0</v>
      </c>
      <c r="CC21" s="28">
        <f>=SUM(CC122:CC123)</f>
        <v>0</v>
      </c>
      <c r="CD21" s="28">
        <f>=SUM(CD122:CD123)</f>
        <v>0</v>
      </c>
      <c r="CE21" s="28">
        <f>=SUM(CE122:CE123)</f>
        <v>0</v>
      </c>
      <c r="CF21" s="28">
        <f>=SUM(CF122:CF123)</f>
        <v>0</v>
      </c>
      <c r="CG21" s="28">
        <f>=SUM(CG122:CG123)</f>
        <v>0</v>
      </c>
      <c r="CH21" s="28">
        <f>=SUM(CH122:CH123)</f>
        <v>0</v>
      </c>
      <c r="CI21" s="28">
        <f>=SUM(CI122:CI123)</f>
        <v>0</v>
      </c>
      <c r="CJ21" s="28">
        <f>=SUM(CJ122:CJ123)</f>
        <v>0</v>
      </c>
      <c r="CK21" s="28">
        <f>=SUM(CK122:CK123)</f>
        <v>0</v>
      </c>
      <c r="CL21" s="28">
        <f>=SUM(CL122:CL123)</f>
        <v>0</v>
      </c>
      <c r="CM21" s="28">
        <f>=SUM(CM122:CM123)</f>
        <v>0</v>
      </c>
      <c r="CN21" s="28">
        <f>=SUM(CN122:CN123)</f>
        <v>0</v>
      </c>
      <c r="CO21" s="28">
        <f>=SUM(CO122:CO123)</f>
        <v>0</v>
      </c>
      <c r="CP21" s="28">
        <f>=SUM(CP122:CP123)</f>
        <v>0</v>
      </c>
      <c r="CQ21" s="28">
        <f>=SUM(CQ122:CQ123)</f>
        <v>0</v>
      </c>
      <c r="CR21" s="28">
        <f>=SUM(CR122:CR123)</f>
        <v>0</v>
      </c>
      <c r="CS21" s="28">
        <f>=SUM(CS122:CS123)</f>
        <v>0</v>
      </c>
      <c r="CT21" s="28">
        <f>=SUM(CT122:CT123)</f>
        <v>0</v>
      </c>
      <c r="CU21" s="28">
        <f>=SUM(CU122:CU123)</f>
        <v>0</v>
      </c>
      <c r="CV21" s="28">
        <f>=SUM(CV122:CV123)</f>
        <v>0</v>
      </c>
      <c r="CW21" s="28">
        <f>=SUM(CW122:CW123)</f>
        <v>0</v>
      </c>
      <c r="CX21" s="28">
        <f>=SUM(CX122:CX123)</f>
        <v>0</v>
      </c>
      <c r="CY21" s="28">
        <f>=SUM(CY122:CY123)</f>
        <v>0</v>
      </c>
      <c r="CZ21" s="28">
        <f>=SUM(CZ122:CZ123)</f>
        <v>0</v>
      </c>
      <c r="DA21" s="28">
        <f>=SUM(DA122:DA123)</f>
        <v>0</v>
      </c>
      <c r="DB21" s="28">
        <f>=SUM(DB122:DB123)</f>
        <v>0</v>
      </c>
    </row>
    <row r="22" ht="18" customHeight="1" spans="1:106" x14ac:dyDescent="0.25">
      <c r="A22" s="27" t="s">
        <v>256</v>
      </c>
      <c r="C22" s="28">
        <f>=SUM(C124:C125)</f>
        <v>0</v>
      </c>
      <c r="D22" s="28">
        <f>=SUM(D124:D125)</f>
        <v>0</v>
      </c>
      <c r="E22" s="28">
        <f>=SUM(E124:E125)</f>
        <v>6</v>
      </c>
      <c r="F22" s="28">
        <f>=SUM(F124:F125)</f>
        <v>5</v>
      </c>
      <c r="G22" s="28">
        <f>=SUM(G124:G125)</f>
        <v>0</v>
      </c>
      <c r="H22" s="28">
        <f>=SUM(H124:H125)</f>
        <v>0</v>
      </c>
      <c r="I22" s="28">
        <v>0</v>
      </c>
      <c r="J22" s="28">
        <f>=SUM(J124:J125)</f>
        <v>0</v>
      </c>
      <c r="K22" s="28">
        <f>=SUM(K124:K125)</f>
        <v>0</v>
      </c>
      <c r="L22" s="28">
        <f>=SUM(L124:L125)</f>
        <v>0</v>
      </c>
      <c r="M22" s="28">
        <f>=SUM(M124:M125)</f>
        <v>0</v>
      </c>
      <c r="N22" s="28">
        <f>=SUM(N124:N125)</f>
        <v>0</v>
      </c>
      <c r="O22" s="28">
        <f>=SUM(O124:O125)</f>
        <v>0</v>
      </c>
      <c r="P22" s="28">
        <f>=SUM(P124:P125)</f>
        <v>0</v>
      </c>
      <c r="Q22" s="28">
        <f>=SUM(Q124:Q125)</f>
        <v>0</v>
      </c>
      <c r="R22" s="28">
        <f>=SUM(R124:R125)</f>
        <v>0</v>
      </c>
      <c r="S22" s="28">
        <f>=SUM(S124:S125)</f>
        <v>0</v>
      </c>
      <c r="T22" s="28">
        <f>=SUM(T124:T125)</f>
        <v>0</v>
      </c>
      <c r="U22" s="28">
        <f>=SUM(U124:U125)</f>
        <v>0</v>
      </c>
      <c r="V22" s="28">
        <f>=SUM(V124:V125)</f>
        <v>0</v>
      </c>
      <c r="W22" s="28">
        <f>=SUM(W124:W125)</f>
        <v>0</v>
      </c>
      <c r="X22" s="28">
        <f>=SUM(X124:X125)</f>
        <v>0</v>
      </c>
      <c r="Y22" s="28">
        <f>=SUM(Y124:Y125)</f>
        <v>0</v>
      </c>
      <c r="Z22" s="28">
        <f>=SUM(Z124:Z125)</f>
        <v>0</v>
      </c>
      <c r="AA22" s="28">
        <f>=SUM(AA124:AA125)</f>
        <v>0</v>
      </c>
      <c r="AB22" s="28">
        <f>=SUM(AB124:AB125)</f>
        <v>0</v>
      </c>
      <c r="AC22" s="28">
        <f>=SUM(AC124:AC125)</f>
        <v>0</v>
      </c>
      <c r="AD22" s="28">
        <f>=SUM(AD124:AD125)</f>
        <v>0</v>
      </c>
      <c r="AE22" s="28">
        <f>=SUM(AE124:AE125)</f>
        <v>0</v>
      </c>
      <c r="AF22" s="28">
        <f>=SUM(AF124:AF125)</f>
        <v>3</v>
      </c>
      <c r="AG22" s="28">
        <f>=SUM(AG124:AG125)</f>
        <v>3</v>
      </c>
      <c r="AH22" s="28">
        <f>=SUM(AH124:AH125)</f>
        <v>0</v>
      </c>
      <c r="AI22" s="28">
        <f>=SUM(AI124:AI125)</f>
        <v>0</v>
      </c>
      <c r="AJ22" s="28">
        <f>=SUM(AJ124:AJ125)</f>
        <v>0</v>
      </c>
      <c r="AK22" s="28">
        <f>=SUM(AK124:AK125)</f>
        <v>0</v>
      </c>
      <c r="AL22" s="28">
        <f>=SUM(AL124:AL125)</f>
        <v>0</v>
      </c>
      <c r="AM22" s="28">
        <f>=SUM(AM124:AM125)</f>
        <v>0</v>
      </c>
      <c r="AN22" s="28">
        <f>=SUM(AN124:AN125)</f>
        <v>0</v>
      </c>
      <c r="AO22" s="28">
        <f>=SUM(AO124:AO125)</f>
        <v>0</v>
      </c>
      <c r="AP22" s="28">
        <f>=SUM(AP124:AP125)</f>
        <v>0</v>
      </c>
      <c r="AQ22" s="28">
        <f>=SUM(AQ124:AQ125)</f>
        <v>9</v>
      </c>
      <c r="AR22" s="28">
        <f>=SUM(AR124:AR125)</f>
        <v>8</v>
      </c>
      <c r="AS22" s="28">
        <f>=SUM(AS124:AS125)</f>
        <v>0</v>
      </c>
      <c r="AT22" s="28">
        <f>=SUM(AT124:AT125)</f>
        <v>0</v>
      </c>
      <c r="AU22" s="28">
        <f>=SUM(AU124:AU125)</f>
        <v>0</v>
      </c>
      <c r="AV22" s="28">
        <f>=SUM(AV124:AV125)</f>
        <v>9</v>
      </c>
      <c r="AW22" s="28">
        <f>=SUM(AW124:AW125)</f>
        <v>8</v>
      </c>
      <c r="AX22" s="28">
        <f>=SUM(AX124:AX125)</f>
        <v>0</v>
      </c>
      <c r="AY22" s="28">
        <f>=SUM(AY124:AY125)</f>
        <v>0</v>
      </c>
      <c r="AZ22" s="28">
        <f>=SUM(AZ124:AZ125)</f>
        <v>0</v>
      </c>
      <c r="BA22" s="28">
        <f>=SUM(BA124:BA125)</f>
        <v>10</v>
      </c>
      <c r="BB22" s="28">
        <f>=SUM(BB124:BB125)</f>
        <v>10</v>
      </c>
      <c r="BC22" s="28">
        <f>=SUM(BC124:BC125)</f>
        <v>0</v>
      </c>
      <c r="BD22" s="28">
        <f>=SUM(BD124:BD125)</f>
        <v>0</v>
      </c>
      <c r="BE22" s="28">
        <f>=SUM(BE124:BE125)</f>
        <v>0</v>
      </c>
      <c r="BF22" s="28">
        <f>=SUM(BF124:BF125)</f>
        <v>0</v>
      </c>
      <c r="BG22" s="28">
        <f>=SUM(BG124:BG125)</f>
        <v>5</v>
      </c>
      <c r="BH22" s="28">
        <f>=SUM(BH124:BH125)</f>
        <v>4</v>
      </c>
      <c r="BI22" s="28">
        <f>=SUM(BI124:BI125)</f>
        <v>0</v>
      </c>
      <c r="BJ22" s="28">
        <f>=SUM(BJ124:BJ125)</f>
        <v>5</v>
      </c>
      <c r="BK22" s="28">
        <f>=SUM(BK124:BK125)</f>
        <v>5</v>
      </c>
      <c r="BL22" s="28">
        <f>=SUM(BL124:BL125)</f>
        <v>0</v>
      </c>
      <c r="BM22" s="28">
        <f>=SUM(BM124:BM125)</f>
        <v>0</v>
      </c>
      <c r="BN22" s="28">
        <f>=SUM(BN124:BN125)</f>
        <v>0</v>
      </c>
      <c r="BO22" s="28">
        <f>=SUM(BO124:BO125)</f>
        <v>0</v>
      </c>
      <c r="BP22" s="28">
        <f>=SUM(BP124:BP125)</f>
        <v>0</v>
      </c>
      <c r="BQ22" s="28">
        <f>=SUM(BQ124:BQ125)</f>
        <v>0</v>
      </c>
      <c r="BR22" s="28">
        <f>=SUM(BR124:BR125)</f>
        <v>0</v>
      </c>
      <c r="BS22" s="28">
        <f>=SUM(BS124:BS125)</f>
        <v>0</v>
      </c>
      <c r="BT22" s="28">
        <f>=SUM(BT124:BT125)</f>
        <v>0</v>
      </c>
      <c r="BU22" s="28">
        <f>=SUM(BU124:BU125)</f>
        <v>0</v>
      </c>
      <c r="BV22" s="28">
        <f>=SUM(BV124:BV125)</f>
        <v>0</v>
      </c>
      <c r="BW22" s="28">
        <f>=SUM(BW124:BW125)</f>
        <v>2</v>
      </c>
      <c r="BX22" s="28">
        <f>=SUM(BX124:BX125)</f>
        <v>0</v>
      </c>
      <c r="BY22" s="28">
        <f>=SUM(BY124:BY125)</f>
        <v>0</v>
      </c>
      <c r="BZ22" s="28">
        <f>=SUM(BZ124:BZ125)</f>
        <v>0</v>
      </c>
      <c r="CA22" s="28">
        <f>=SUM(CA124:CA125)</f>
        <v>0</v>
      </c>
      <c r="CB22" s="28">
        <f>=SUM(CB124:CB125)</f>
        <v>0</v>
      </c>
      <c r="CC22" s="28">
        <f>=SUM(CC124:CC125)</f>
        <v>0</v>
      </c>
      <c r="CD22" s="28">
        <f>=SUM(CD124:CD125)</f>
        <v>0</v>
      </c>
      <c r="CE22" s="28">
        <f>=SUM(CE124:CE125)</f>
        <v>0</v>
      </c>
      <c r="CF22" s="28">
        <f>=SUM(CF124:CF125)</f>
        <v>0</v>
      </c>
      <c r="CG22" s="28">
        <f>=SUM(CG124:CG125)</f>
        <v>0</v>
      </c>
      <c r="CH22" s="28">
        <f>=SUM(CH124:CH125)</f>
        <v>0</v>
      </c>
      <c r="CI22" s="28">
        <f>=SUM(CI124:CI125)</f>
        <v>0</v>
      </c>
      <c r="CJ22" s="28">
        <f>=SUM(CJ124:CJ125)</f>
        <v>0</v>
      </c>
      <c r="CK22" s="28">
        <f>=SUM(CK124:CK125)</f>
        <v>0</v>
      </c>
      <c r="CL22" s="28">
        <f>=SUM(CL124:CL125)</f>
        <v>0</v>
      </c>
      <c r="CM22" s="28">
        <f>=SUM(CM124:CM125)</f>
        <v>0</v>
      </c>
      <c r="CN22" s="28">
        <f>=SUM(CN124:CN125)</f>
        <v>0</v>
      </c>
      <c r="CO22" s="28">
        <f>=SUM(CO124:CO125)</f>
        <v>0</v>
      </c>
      <c r="CP22" s="28">
        <f>=SUM(CP124:CP125)</f>
        <v>0</v>
      </c>
      <c r="CQ22" s="28">
        <f>=SUM(CQ124:CQ125)</f>
        <v>0</v>
      </c>
      <c r="CR22" s="28">
        <f>=SUM(CR124:CR125)</f>
        <v>0</v>
      </c>
      <c r="CS22" s="28">
        <f>=SUM(CS124:CS125)</f>
        <v>0</v>
      </c>
      <c r="CT22" s="28">
        <f>=SUM(CT124:CT125)</f>
        <v>0</v>
      </c>
      <c r="CU22" s="28">
        <f>=SUM(CU124:CU125)</f>
        <v>0</v>
      </c>
      <c r="CV22" s="28">
        <f>=SUM(CV124:CV125)</f>
        <v>0</v>
      </c>
      <c r="CW22" s="28">
        <f>=SUM(CW124:CW125)</f>
        <v>0</v>
      </c>
      <c r="CX22" s="28">
        <f>=SUM(CX124:CX125)</f>
        <v>0</v>
      </c>
      <c r="CY22" s="28">
        <f>=SUM(CY124:CY125)</f>
        <v>0</v>
      </c>
      <c r="CZ22" s="28">
        <f>=SUM(CZ124:CZ125)</f>
        <v>0</v>
      </c>
      <c r="DA22" s="28">
        <f>=SUM(DA124:DA125)</f>
        <v>0</v>
      </c>
      <c r="DB22" s="28">
        <f>=SUM(DB124:DB125)</f>
        <v>0</v>
      </c>
    </row>
    <row r="23" ht="18" customHeight="1" spans="1:106" x14ac:dyDescent="0.25">
      <c r="A23" s="27" t="s">
        <v>257</v>
      </c>
      <c r="C23" s="28">
        <f>=SUM(C126:C127)</f>
        <v>0</v>
      </c>
      <c r="D23" s="28">
        <f>=SUM(D126:D127)</f>
        <v>0</v>
      </c>
      <c r="E23" s="28">
        <f>=SUM(E126:E127)</f>
        <v>0</v>
      </c>
      <c r="F23" s="28">
        <f>=SUM(F126:F127)</f>
        <v>0</v>
      </c>
      <c r="G23" s="28">
        <f>=SUM(G126:G127)</f>
        <v>0</v>
      </c>
      <c r="H23" s="28">
        <f>=SUM(H126:H127)</f>
        <v>0</v>
      </c>
      <c r="I23" s="28">
        <f>=SUM(I126:I127)</f>
        <v>0</v>
      </c>
      <c r="J23" s="28">
        <f>=SUM(J126:J127)</f>
        <v>0</v>
      </c>
      <c r="K23" s="28">
        <f>=SUM(K126:K127)</f>
        <v>0</v>
      </c>
      <c r="L23" s="28">
        <f>=SUM(L126:L127)</f>
        <v>0</v>
      </c>
      <c r="M23" s="28">
        <f>=SUM(M126:M127)</f>
        <v>0</v>
      </c>
      <c r="N23" s="28">
        <f>=SUM(N126:N127)</f>
        <v>0</v>
      </c>
      <c r="O23" s="28">
        <f>=SUM(O126:O127)</f>
        <v>0</v>
      </c>
      <c r="P23" s="28">
        <f>=SUM(P126:P127)</f>
        <v>0</v>
      </c>
      <c r="Q23" s="28">
        <f>=SUM(Q126:Q127)</f>
        <v>0</v>
      </c>
      <c r="R23" s="28">
        <f>=SUM(R126:R127)</f>
        <v>0</v>
      </c>
      <c r="S23" s="28">
        <f>=SUM(S126:S127)</f>
        <v>0</v>
      </c>
      <c r="T23" s="28">
        <f>=SUM(T126:T127)</f>
        <v>0</v>
      </c>
      <c r="U23" s="28">
        <f>=SUM(U126:U127)</f>
        <v>0</v>
      </c>
      <c r="V23" s="28">
        <f>=SUM(V126:V127)</f>
        <v>0</v>
      </c>
      <c r="W23" s="28">
        <f>=SUM(W126:W127)</f>
        <v>0</v>
      </c>
      <c r="X23" s="28">
        <f>=SUM(X126:X127)</f>
        <v>0</v>
      </c>
      <c r="Y23" s="28">
        <f>=SUM(Y126:Y127)</f>
        <v>0</v>
      </c>
      <c r="Z23" s="28">
        <f>=SUM(Z126:Z127)</f>
        <v>0</v>
      </c>
      <c r="AA23" s="28">
        <f>=SUM(AA126:AA127)</f>
        <v>0</v>
      </c>
      <c r="AB23" s="28">
        <f>=SUM(AB126:AB127)</f>
        <v>0</v>
      </c>
      <c r="AC23" s="28">
        <f>=SUM(AC126:AC127)</f>
        <v>0</v>
      </c>
      <c r="AD23" s="28">
        <f>=SUM(AD126:AD127)</f>
        <v>0</v>
      </c>
      <c r="AE23" s="28">
        <f>=SUM(AE126:AE127)</f>
        <v>0</v>
      </c>
      <c r="AF23" s="28">
        <f>=SUM(AF126:AF127)</f>
        <v>0</v>
      </c>
      <c r="AG23" s="28">
        <f>=SUM(AG126:AG127)</f>
        <v>0</v>
      </c>
      <c r="AH23" s="28">
        <f>=SUM(AH126:AH127)</f>
        <v>0</v>
      </c>
      <c r="AI23" s="28">
        <f>=SUM(AI126:AI127)</f>
        <v>0</v>
      </c>
      <c r="AJ23" s="28">
        <f>=SUM(AJ126:AJ127)</f>
        <v>0</v>
      </c>
      <c r="AK23" s="28">
        <f>=SUM(AK126:AK127)</f>
        <v>0</v>
      </c>
      <c r="AL23" s="28">
        <f>=SUM(AL126:AL127)</f>
        <v>0</v>
      </c>
      <c r="AM23" s="28">
        <f>=SUM(AM126:AM127)</f>
        <v>0</v>
      </c>
      <c r="AN23" s="28">
        <f>=SUM(AN126:AN127)</f>
        <v>0</v>
      </c>
      <c r="AO23" s="28">
        <f>=SUM(AO126:AO127)</f>
        <v>0</v>
      </c>
      <c r="AP23" s="28">
        <f>=SUM(AP126:AP127)</f>
        <v>0</v>
      </c>
      <c r="AQ23" s="28">
        <f>=SUM(AQ126:AQ127)</f>
        <v>0</v>
      </c>
      <c r="AR23" s="28">
        <f>=SUM(AR126:AR127)</f>
        <v>0</v>
      </c>
      <c r="AS23" s="28">
        <f>=SUM(AS126:AS127)</f>
        <v>8</v>
      </c>
      <c r="AT23" s="28">
        <f>=SUM(AT126:AT127)</f>
        <v>8</v>
      </c>
      <c r="AU23" s="28">
        <f>=SUM(AU126:AU127)</f>
        <v>0</v>
      </c>
      <c r="AV23" s="28">
        <f>=SUM(AV126:AV127)</f>
        <v>0</v>
      </c>
      <c r="AW23" s="28">
        <f>=SUM(AW126:AW127)</f>
        <v>0</v>
      </c>
      <c r="AX23" s="28">
        <f>=SUM(AX126:AX127)</f>
        <v>8</v>
      </c>
      <c r="AY23" s="28">
        <f>=SUM(AY126:AY127)</f>
        <v>7</v>
      </c>
      <c r="AZ23" s="28">
        <f>=SUM(AZ126:AZ127)</f>
        <v>0</v>
      </c>
      <c r="BA23" s="28">
        <f>=SUM(BA126:BA127)</f>
        <v>0</v>
      </c>
      <c r="BB23" s="28">
        <f>=SUM(BB126:BB127)</f>
        <v>0</v>
      </c>
      <c r="BC23" s="28">
        <f>=SUM(BC126:BC127)</f>
        <v>10</v>
      </c>
      <c r="BD23" s="28">
        <f>=SUM(BD126:BD127)</f>
        <v>10</v>
      </c>
      <c r="BE23" s="28">
        <f>=SUM(BE126:BE127)</f>
        <v>0</v>
      </c>
      <c r="BF23" s="28">
        <f>=SUM(BF126:BF127)</f>
        <v>0</v>
      </c>
      <c r="BG23" s="28">
        <f>=SUM(BG126:BG127)</f>
        <v>0</v>
      </c>
      <c r="BH23" s="28">
        <f>=SUM(BH126:BH127)</f>
        <v>0</v>
      </c>
      <c r="BI23" s="28">
        <f>=SUM(BI126:BI127)</f>
        <v>4</v>
      </c>
      <c r="BJ23" s="28">
        <f>=SUM(BJ126:BJ127)</f>
        <v>4</v>
      </c>
      <c r="BK23" s="28">
        <f>=SUM(BK126:BK127)</f>
        <v>0</v>
      </c>
      <c r="BL23" s="28">
        <f>=SUM(BL126:BL127)</f>
        <v>5</v>
      </c>
      <c r="BM23" s="28">
        <f>=SUM(BM126:BM127)</f>
        <v>5</v>
      </c>
      <c r="BN23" s="28">
        <f>=SUM(BN126:BN127)</f>
        <v>0</v>
      </c>
      <c r="BO23" s="28">
        <f>=SUM(BO126:BO127)</f>
        <v>0</v>
      </c>
      <c r="BP23" s="28">
        <f>=SUM(BP126:BP127)</f>
        <v>0</v>
      </c>
      <c r="BQ23" s="28">
        <f>=SUM(BQ126:BQ127)</f>
        <v>0</v>
      </c>
      <c r="BR23" s="28">
        <f>=SUM(BR126:BR127)</f>
        <v>0</v>
      </c>
      <c r="BS23" s="28">
        <f>=SUM(BS126:BS127)</f>
        <v>0</v>
      </c>
      <c r="BT23" s="28">
        <f>=SUM(BT126:BT127)</f>
        <v>0</v>
      </c>
      <c r="BU23" s="28">
        <f>=SUM(BU126:BU127)</f>
        <v>0</v>
      </c>
      <c r="BV23" s="28">
        <f>=SUM(BV126:BV127)</f>
        <v>0</v>
      </c>
      <c r="BW23" s="28">
        <f>=SUM(BW126:BW127)</f>
        <v>0</v>
      </c>
      <c r="BX23" s="28">
        <f>=SUM(BX126:BX127)</f>
        <v>2</v>
      </c>
      <c r="BY23" s="28">
        <f>=SUM(BY126:BY127)</f>
        <v>0</v>
      </c>
      <c r="BZ23" s="28">
        <f>=SUM(BZ126:BZ127)</f>
        <v>0</v>
      </c>
      <c r="CA23" s="28">
        <f>=SUM(CA126:CA127)</f>
        <v>0</v>
      </c>
      <c r="CB23" s="28">
        <f>=SUM(CB126:CB127)</f>
        <v>0</v>
      </c>
      <c r="CC23" s="28">
        <f>=SUM(CC126:CC127)</f>
        <v>0</v>
      </c>
      <c r="CD23" s="28">
        <f>=SUM(CD126:CD127)</f>
        <v>0</v>
      </c>
      <c r="CE23" s="28">
        <f>=SUM(CE126:CE127)</f>
        <v>0</v>
      </c>
      <c r="CF23" s="28">
        <f>=SUM(CF126:CF127)</f>
        <v>0</v>
      </c>
      <c r="CG23" s="28">
        <f>=SUM(CG126:CG127)</f>
        <v>0</v>
      </c>
      <c r="CH23" s="28">
        <f>=SUM(CH126:CH127)</f>
        <v>0</v>
      </c>
      <c r="CI23" s="28">
        <f>=SUM(CI126:CI127)</f>
        <v>0</v>
      </c>
      <c r="CJ23" s="28">
        <f>=SUM(CJ126:CJ127)</f>
        <v>0</v>
      </c>
      <c r="CK23" s="28">
        <f>=SUM(CK126:CK127)</f>
        <v>0</v>
      </c>
      <c r="CL23" s="28">
        <f>=SUM(CL126:CL127)</f>
        <v>0</v>
      </c>
      <c r="CM23" s="28">
        <f>=SUM(CM126:CM127)</f>
        <v>0</v>
      </c>
      <c r="CN23" s="28">
        <f>=SUM(CN126:CN127)</f>
        <v>0</v>
      </c>
      <c r="CO23" s="28">
        <f>=SUM(CO126:CO127)</f>
        <v>0</v>
      </c>
      <c r="CP23" s="28">
        <f>=SUM(CP126:CP127)</f>
        <v>0</v>
      </c>
      <c r="CQ23" s="28">
        <f>=SUM(CQ126:CQ127)</f>
        <v>0</v>
      </c>
      <c r="CR23" s="28">
        <f>=SUM(CR126:CR127)</f>
        <v>0</v>
      </c>
      <c r="CS23" s="28">
        <f>=SUM(CS126:CS127)</f>
        <v>0</v>
      </c>
      <c r="CT23" s="28">
        <f>=SUM(CT126:CT127)</f>
        <v>0</v>
      </c>
      <c r="CU23" s="28">
        <f>=SUM(CU126:CU127)</f>
        <v>0</v>
      </c>
      <c r="CV23" s="28">
        <f>=SUM(CV126:CV127)</f>
        <v>0</v>
      </c>
      <c r="CW23" s="28">
        <f>=SUM(CW126:CW127)</f>
        <v>0</v>
      </c>
      <c r="CX23" s="28">
        <f>=SUM(CX126:CX127)</f>
        <v>0</v>
      </c>
      <c r="CY23" s="28">
        <f>=SUM(CY126:CY127)</f>
        <v>0</v>
      </c>
      <c r="CZ23" s="28">
        <f>=SUM(CZ126:CZ127)</f>
        <v>0</v>
      </c>
      <c r="DA23" s="28">
        <f>=SUM(DA126:DA127)</f>
        <v>0</v>
      </c>
      <c r="DB23" s="28">
        <f>=SUM(DB126:DB127)</f>
        <v>0</v>
      </c>
    </row>
    <row r="24" ht="18" customHeight="1" spans="1:106" x14ac:dyDescent="0.25">
      <c r="A24" s="27" t="s">
        <v>258</v>
      </c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0"/>
      <c r="CI24" s="30"/>
      <c r="CJ24" s="30"/>
      <c r="CK24" s="30"/>
      <c r="CL24" s="30"/>
      <c r="CM24" s="30"/>
      <c r="CN24" s="30"/>
      <c r="CO24" s="30"/>
      <c r="CP24" s="30"/>
      <c r="CQ24" s="30"/>
      <c r="CR24" s="30"/>
      <c r="CS24" s="30"/>
      <c r="CT24" s="30"/>
      <c r="CU24" s="30"/>
      <c r="CV24" s="30"/>
      <c r="CW24" s="30"/>
      <c r="CX24" s="30"/>
      <c r="CY24" s="30"/>
      <c r="CZ24" s="30"/>
      <c r="DA24" s="30"/>
      <c r="DB24" s="30"/>
    </row>
    <row r="25" ht="18" customHeight="1" spans="1:106" x14ac:dyDescent="0.25">
      <c r="A25" s="22" t="s">
        <v>259</v>
      </c>
      <c r="C25" s="31">
        <f>=IFERROR(C19/C10,0)</f>
        <v>1</v>
      </c>
      <c r="D25" s="31">
        <f>=IFERROR(D19/D10,0)</f>
        <v>1</v>
      </c>
      <c r="E25" s="31">
        <f>=IFERROR(E19/E10,0)</f>
        <v>0.9464285714285714</v>
      </c>
      <c r="F25" s="31">
        <f>=IFERROR(F19/F10,0)</f>
        <v>0.9545454545454546</v>
      </c>
      <c r="G25" s="31">
        <f>=IFERROR(G19/G10,0)</f>
        <v>1</v>
      </c>
      <c r="H25" s="31">
        <f>=IFERROR(H19/H10,0)</f>
        <v>1</v>
      </c>
      <c r="I25" s="31">
        <f>=IFERROR(I19/I10,0)</f>
        <v>1</v>
      </c>
      <c r="J25" s="31">
        <f>=IFERROR(J19/J10,0)</f>
        <v>1</v>
      </c>
      <c r="K25" s="31">
        <f>=IFERROR(K19/K10,0)</f>
        <v>1</v>
      </c>
      <c r="L25" s="31">
        <f>=IFERROR(L19/L10,0)</f>
        <v>1</v>
      </c>
      <c r="M25" s="31">
        <f>=IFERROR(M19/M10,0)</f>
        <v>1</v>
      </c>
      <c r="N25" s="31">
        <f>=IFERROR(N19/N10,0)</f>
        <v>1</v>
      </c>
      <c r="O25" s="31">
        <f>=IFERROR(O19/O10,0)</f>
        <v>1</v>
      </c>
      <c r="P25" s="31">
        <f>=IFERROR(P19/P10,0)</f>
        <v>1</v>
      </c>
      <c r="Q25" s="31">
        <f>=IFERROR(Q19/Q10,0)</f>
        <v>1</v>
      </c>
      <c r="R25" s="31">
        <f>=IFERROR(R19/R10,0)</f>
        <v>1</v>
      </c>
      <c r="S25" s="31">
        <f>=IFERROR(S19/S10,0)</f>
        <v>1</v>
      </c>
      <c r="T25" s="31">
        <f>=IFERROR(T19/T10,0)</f>
        <v>1</v>
      </c>
      <c r="U25" s="31">
        <f>=IFERROR(U19/U10,0)</f>
        <v>1</v>
      </c>
      <c r="V25" s="31">
        <f>=IFERROR(V19/V10,0)</f>
        <v>1</v>
      </c>
      <c r="W25" s="31">
        <f>=IFERROR(W19/W10,0)</f>
        <v>1</v>
      </c>
      <c r="X25" s="31">
        <f>=IFERROR(X19/X10,0)</f>
        <v>1</v>
      </c>
      <c r="Y25" s="31">
        <f>=IFERROR(Y19/Y10,0)</f>
        <v>1</v>
      </c>
      <c r="Z25" s="31">
        <f>=IFERROR(Z19/Z10,0)</f>
        <v>1</v>
      </c>
      <c r="AA25" s="31">
        <f>=IFERROR(AA19/AA10,0)</f>
        <v>1</v>
      </c>
      <c r="AB25" s="31">
        <f>=IFERROR(AB19/AB10,0)</f>
        <v>1</v>
      </c>
      <c r="AC25" s="31">
        <f>=IFERROR(AC19/AC10,0)</f>
        <v>1</v>
      </c>
      <c r="AD25" s="31">
        <f>=IFERROR(AD19/AD10,0)</f>
        <v>1</v>
      </c>
      <c r="AE25" s="31">
        <f>=IFERROR(AE19/AE10,0)</f>
        <v>1</v>
      </c>
      <c r="AF25" s="31">
        <f>=IFERROR(AF19/AF10,0)</f>
        <v>0.9473684210526315</v>
      </c>
      <c r="AG25" s="31">
        <f>=IFERROR(AG19/AG10,0)</f>
        <v>0.9491525423728814</v>
      </c>
      <c r="AH25" s="31">
        <f>=IFERROR(AH19/AH10,0)</f>
        <v>1</v>
      </c>
      <c r="AI25" s="31">
        <f>=IFERROR(AI19/AI10,0)</f>
        <v>1</v>
      </c>
      <c r="AJ25" s="31">
        <f>=IFERROR(AJ19/AJ10,0)</f>
        <v>1</v>
      </c>
      <c r="AK25" s="31">
        <f>=IFERROR(AK19/AK10,0)</f>
        <v>1</v>
      </c>
      <c r="AL25" s="31">
        <f>=IFERROR(AL19/AL10,0)</f>
        <v>1</v>
      </c>
      <c r="AM25" s="31">
        <f>=IFERROR(AM19/AM10,0)</f>
        <v>1</v>
      </c>
      <c r="AN25" s="31">
        <f>=IFERROR(AN19/AN10,0)</f>
        <v>1</v>
      </c>
      <c r="AO25" s="31">
        <f>=IFERROR(AO19/AO10,0)</f>
        <v>1</v>
      </c>
      <c r="AP25" s="31">
        <f>=IFERROR(AP19/AP10,0)</f>
        <v>1</v>
      </c>
      <c r="AQ25" s="31">
        <f>=IFERROR(AQ19/AQ10,0)</f>
        <v>0.8235294117647058</v>
      </c>
      <c r="AR25" s="31">
        <f>=IFERROR(AR19/AR10,0)</f>
        <v>0.8367346938775511</v>
      </c>
      <c r="AS25" s="31">
        <f>=IFERROR(AS19/AS10,0)</f>
        <v>0.8297872340425532</v>
      </c>
      <c r="AT25" s="31">
        <f>=IFERROR(AT19/AT10,0)</f>
        <v>0.8367346938775511</v>
      </c>
      <c r="AU25" s="31">
        <f>=IFERROR(AU19/AU10,0)</f>
        <v>1</v>
      </c>
      <c r="AV25" s="31">
        <f>=IFERROR(AV19/AV10,0)</f>
        <v>0.8163265306122449</v>
      </c>
      <c r="AW25" s="31">
        <f>=IFERROR(AW19/AW10,0)</f>
        <v>0.8571428571428571</v>
      </c>
      <c r="AX25" s="31">
        <f>=IFERROR(AX19/AX10,0)</f>
        <v>0.8545454545454545</v>
      </c>
      <c r="AY25" s="31">
        <f>=IFERROR(AY19/AY10,0)</f>
        <v>0.8478260869565217</v>
      </c>
      <c r="AZ25" s="31">
        <f>=IFERROR(AZ19/AZ10,0)</f>
        <v>1</v>
      </c>
      <c r="BA25" s="31">
        <f>=IFERROR(BA19/BA10,0)</f>
        <v>0.8387096774193549</v>
      </c>
      <c r="BB25" s="31">
        <f>=IFERROR(BB19/BB10,0)</f>
        <v>0.8148148148148148</v>
      </c>
      <c r="BC25" s="31">
        <f>=IFERROR(BC19/BC10,0)</f>
        <v>0.8113207547169812</v>
      </c>
      <c r="BD25" s="31">
        <f>=IFERROR(BD19/BD10,0)</f>
        <v>0.803921568627451</v>
      </c>
      <c r="BE25" s="31">
        <f>=IFERROR(BE19/BE10,0)</f>
        <v>1</v>
      </c>
      <c r="BF25" s="31">
        <f>=IFERROR(BF19/BF10,0)</f>
        <v>1</v>
      </c>
      <c r="BG25" s="31">
        <f>=IFERROR(BG19/BG10,0)</f>
        <v>0.9056603773584906</v>
      </c>
      <c r="BH25" s="31">
        <f>=IFERROR(BH19/BH10,0)</f>
        <v>0.92</v>
      </c>
      <c r="BI25" s="31">
        <f>=IFERROR(BI19/BI10,0)</f>
        <v>0.92</v>
      </c>
      <c r="BJ25" s="31">
        <f>=IFERROR(BJ19/BJ10,0)</f>
        <v>0.8301886792452831</v>
      </c>
      <c r="BK25" s="31">
        <f>=IFERROR(BK19/BK10,0)</f>
        <v>0.9074074074074074</v>
      </c>
      <c r="BL25" s="31">
        <f>=IFERROR(BL19/BL10,0)</f>
        <v>0.9090909090909091</v>
      </c>
      <c r="BM25" s="31">
        <f>=IFERROR(BM19/BM10,0)</f>
        <v>0.8979591836734694</v>
      </c>
      <c r="BN25" s="31">
        <f>=IFERROR(BN19/BN10,0)</f>
        <v>1</v>
      </c>
      <c r="BO25" s="31">
        <f>=IFERROR(BO19/BO10,0)</f>
        <v>1</v>
      </c>
      <c r="BP25" s="31">
        <f>=IFERROR(BP19/BP10,0)</f>
        <v>1</v>
      </c>
      <c r="BQ25" s="31">
        <f>=IFERROR(BQ19/BQ10,0)</f>
        <v>1</v>
      </c>
      <c r="BR25" s="31">
        <f>=IFERROR(BR19/BR10,0)</f>
        <v>1</v>
      </c>
      <c r="BS25" s="31">
        <f>=IFERROR(BS19/BS10,0)</f>
        <v>1</v>
      </c>
      <c r="BT25" s="31">
        <f>=IFERROR(BT19/BT10,0)</f>
        <v>1</v>
      </c>
      <c r="BU25" s="31">
        <f>=IFERROR(BU19/BU10,0)</f>
        <v>1</v>
      </c>
      <c r="BV25" s="31">
        <f>=IFERROR(BV19/BV10,0)</f>
        <v>1</v>
      </c>
      <c r="BW25" s="31">
        <f>=IFERROR(BW19/BW10,0)</f>
        <v>0.9459459459459459</v>
      </c>
      <c r="BX25" s="31">
        <f>=IFERROR(BX19/BX10,0)</f>
        <v>0.9444444444444444</v>
      </c>
      <c r="BY25" s="31">
        <f>=IFERROR(BY19/BY10,0)</f>
        <v>1</v>
      </c>
      <c r="BZ25" s="31">
        <f>=IFERROR(BZ19/BZ10,0)</f>
        <v>1</v>
      </c>
      <c r="CA25" s="31">
        <f>=IFERROR(CA19/CA10,0)</f>
        <v>1</v>
      </c>
      <c r="CB25" s="31">
        <f>=IFERROR(CB19/CB10,0)</f>
        <v>1</v>
      </c>
      <c r="CC25" s="31">
        <f>=IFERROR(CC19/CC10,0)</f>
        <v>1</v>
      </c>
      <c r="CD25" s="31">
        <f>=IFERROR(CD19/CD10,0)</f>
        <v>1</v>
      </c>
      <c r="CE25" s="31">
        <f>=IFERROR(CE19/CE10,0)</f>
        <v>1</v>
      </c>
      <c r="CF25" s="31">
        <f>=IFERROR(CF19/CF10,0)</f>
        <v>1</v>
      </c>
      <c r="CG25" s="31">
        <f>=IFERROR(CG19/CG10,0)</f>
        <v>1</v>
      </c>
      <c r="CH25" s="31">
        <f>=IFERROR(CH19/CH10,0)</f>
        <v>1</v>
      </c>
      <c r="CI25" s="31">
        <f>=IFERROR(CI19/CI10,0)</f>
        <v>1</v>
      </c>
      <c r="CJ25" s="31">
        <f>=IFERROR(CJ19/CJ10,0)</f>
        <v>1</v>
      </c>
      <c r="CK25" s="31">
        <f>=IFERROR(CK19/CK10,0)</f>
        <v>1</v>
      </c>
      <c r="CL25" s="31">
        <f>=IFERROR(CL19/CL10,0)</f>
        <v>1</v>
      </c>
      <c r="CM25" s="31">
        <f>=IFERROR(CM19/CM10,0)</f>
        <v>1</v>
      </c>
      <c r="CN25" s="31">
        <f>=IFERROR(CN19/CN10,0)</f>
        <v>1</v>
      </c>
      <c r="CO25" s="31">
        <f>=IFERROR(CO19/CO10,0)</f>
        <v>1</v>
      </c>
      <c r="CP25" s="31">
        <f>=IFERROR(CP19/CP10,0)</f>
        <v>1</v>
      </c>
      <c r="CQ25" s="31">
        <f>=IFERROR(CQ19/CQ10,0)</f>
        <v>1</v>
      </c>
      <c r="CR25" s="31">
        <f>=IFERROR(CR19/CR10,0)</f>
        <v>1</v>
      </c>
      <c r="CS25" s="31">
        <f>=IFERROR(CS19/CS10,0)</f>
        <v>1</v>
      </c>
      <c r="CT25" s="31">
        <f>=IFERROR(CT19/CT10,0)</f>
        <v>1</v>
      </c>
      <c r="CU25" s="31">
        <f>=IFERROR(CU19/CU10,0)</f>
        <v>1</v>
      </c>
      <c r="CV25" s="31">
        <f>=IFERROR(CV19/CV10,0)</f>
        <v>1</v>
      </c>
      <c r="CW25" s="31">
        <f>=IFERROR(CW19/CW10,0)</f>
        <v>1</v>
      </c>
      <c r="CX25" s="31">
        <f>=IFERROR(CX19/CX10,0)</f>
        <v>1</v>
      </c>
      <c r="CY25" s="31">
        <f>=IFERROR(CY19/CY10,0)</f>
        <v>1</v>
      </c>
      <c r="CZ25" s="31">
        <f>=IFERROR(CZ19/CZ10,0)</f>
        <v>1</v>
      </c>
      <c r="DA25" s="31">
        <f>=IFERROR(DA19/DA10,0)</f>
        <v>1</v>
      </c>
      <c r="DB25" s="31">
        <f>=IFERROR(DB19/DB10,0)</f>
        <v>1</v>
      </c>
    </row>
    <row r="26" ht="18" customHeight="1" spans="3:106" x14ac:dyDescent="0.25"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0"/>
      <c r="CG26" s="30"/>
      <c r="CH26" s="30"/>
      <c r="CI26" s="30"/>
      <c r="CJ26" s="30"/>
      <c r="CK26" s="30"/>
      <c r="CL26" s="30"/>
      <c r="CM26" s="30"/>
      <c r="CN26" s="30"/>
      <c r="CO26" s="30"/>
      <c r="CP26" s="30"/>
      <c r="CQ26" s="30"/>
      <c r="CR26" s="30"/>
      <c r="CS26" s="30"/>
      <c r="CT26" s="30"/>
      <c r="CU26" s="30"/>
      <c r="CV26" s="30"/>
      <c r="CW26" s="30"/>
      <c r="CX26" s="30"/>
      <c r="CY26" s="30"/>
      <c r="CZ26" s="30"/>
      <c r="DA26" s="30"/>
      <c r="DB26" s="30"/>
    </row>
    <row r="27" ht="18" customHeight="1" spans="1:106" x14ac:dyDescent="0.25">
      <c r="A27" s="9" t="s">
        <v>260</v>
      </c>
      <c r="B27" s="17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</row>
    <row r="28" ht="18" customHeight="1" spans="1:106" x14ac:dyDescent="0.25">
      <c r="A28" s="33" t="s">
        <v>261</v>
      </c>
      <c r="B28" s="13"/>
      <c r="C28" s="34">
        <f>=IFERROR(1-((1-C29)*(1-C34)),0)</f>
        <v>0.269</v>
      </c>
      <c r="D28" s="34">
        <f>=IFERROR(1-((1-D29)*(1-D34)),0)</f>
        <v>0.269</v>
      </c>
      <c r="E28" s="34">
        <f>=IFERROR(1-((1-E29)*(1-E34)),0)</f>
        <v>0.269</v>
      </c>
      <c r="F28" s="34">
        <f>=IFERROR(1-((1-F29)*(1-F34)),0)</f>
        <v>0.269</v>
      </c>
      <c r="G28" s="34">
        <f>=IFERROR(1-((1-G29)*(1-G34)),0)</f>
        <v>0.269</v>
      </c>
      <c r="H28" s="34">
        <f>=IFERROR(1-((1-H29)*(1-H34)),0)</f>
        <v>0.269</v>
      </c>
      <c r="I28" s="34">
        <f>=IFERROR(1-((1-I29)*(1-I34)),0)</f>
        <v>0.269</v>
      </c>
      <c r="J28" s="34">
        <f>=IFERROR(1-((1-J29)*(1-J34)),0)</f>
        <v>0.269</v>
      </c>
      <c r="K28" s="34">
        <f>=IFERROR(1-((1-K29)*(1-K34)),0)</f>
        <v>0.269</v>
      </c>
      <c r="L28" s="34">
        <f>=IFERROR(1-((1-L29)*(1-L34)),0)</f>
        <v>0.269</v>
      </c>
      <c r="M28" s="34">
        <f>=IFERROR(1-((1-M29)*(1-M34)),0)</f>
        <v>0.269</v>
      </c>
      <c r="N28" s="34">
        <f>=IFERROR(1-((1-N29)*(1-N34)),0)</f>
        <v>0.269</v>
      </c>
      <c r="O28" s="34">
        <f>=IFERROR(1-((1-O29)*(1-O34)),0)</f>
        <v>0.269</v>
      </c>
      <c r="P28" s="34">
        <f>=IFERROR(1-((1-P29)*(1-P34)),0)</f>
        <v>0.269</v>
      </c>
      <c r="Q28" s="34">
        <f>=IFERROR(1-((1-Q29)*(1-Q34)),0)</f>
        <v>0.269</v>
      </c>
      <c r="R28" s="34">
        <f>=IFERROR(1-((1-R29)*(1-R34)),0)</f>
        <v>0.269</v>
      </c>
      <c r="S28" s="34">
        <f>=IFERROR(1-((1-S29)*(1-S34)),0)</f>
        <v>0.269</v>
      </c>
      <c r="T28" s="34">
        <f>=IFERROR(1-((1-T29)*(1-T34)),0)</f>
        <v>0.269</v>
      </c>
      <c r="U28" s="34">
        <f>=IFERROR(1-((1-U29)*(1-U34)),0)</f>
        <v>0.269</v>
      </c>
      <c r="V28" s="34">
        <f>=IFERROR(1-((1-V29)*(1-V34)),0)</f>
        <v>0.269</v>
      </c>
      <c r="W28" s="34">
        <f>=IFERROR(1-((1-W29)*(1-W34)),0)</f>
        <v>0.269</v>
      </c>
      <c r="X28" s="34">
        <f>=IFERROR(1-((1-X29)*(1-X34)),0)</f>
        <v>0.269</v>
      </c>
      <c r="Y28" s="34">
        <f>=IFERROR(1-((1-Y29)*(1-Y34)),0)</f>
        <v>0.269</v>
      </c>
      <c r="Z28" s="34">
        <f>=IFERROR(1-((1-Z29)*(1-Z34)),0)</f>
        <v>0.269</v>
      </c>
      <c r="AA28" s="34">
        <f>=IFERROR(1-((1-AA29)*(1-AA34)),0)</f>
        <v>0.269</v>
      </c>
      <c r="AB28" s="34">
        <f>=IFERROR(1-((1-AB29)*(1-AB34)),0)</f>
        <v>0.269</v>
      </c>
      <c r="AC28" s="34">
        <f>=IFERROR(1-((1-AC29)*(1-AC34)),0)</f>
        <v>0.269</v>
      </c>
      <c r="AD28" s="34">
        <f>=IFERROR(1-((1-AD29)*(1-AD34)),0)</f>
        <v>0.269</v>
      </c>
      <c r="AE28" s="34">
        <f>=IFERROR(1-((1-AE29)*(1-AE34)),0)</f>
        <v>0.269</v>
      </c>
      <c r="AF28" s="34">
        <f>=IFERROR(1-((1-AF29)*(1-AF34)),0)</f>
        <v>0.269</v>
      </c>
      <c r="AG28" s="34">
        <f>=IFERROR(1-((1-AG29)*(1-AG34)),0)</f>
        <v>0.269</v>
      </c>
      <c r="AH28" s="34">
        <f>=IFERROR(1-((1-AH29)*(1-AH34)),0)</f>
        <v>0.269</v>
      </c>
      <c r="AI28" s="34">
        <f>=IFERROR(1-((1-AI29)*(1-AI34)),0)</f>
        <v>0.269</v>
      </c>
      <c r="AJ28" s="34">
        <f>=IFERROR(1-((1-AJ29)*(1-AJ34)),0)</f>
        <v>0.269</v>
      </c>
      <c r="AK28" s="34">
        <f>=IFERROR(1-((1-AK29)*(1-AK34)),0)</f>
        <v>0.269</v>
      </c>
      <c r="AL28" s="34">
        <f>=IFERROR(1-((1-AL29)*(1-AL34)),0)</f>
        <v>0.269</v>
      </c>
      <c r="AM28" s="34">
        <f>=IFERROR(1-((1-AM29)*(1-AM34)),0)</f>
        <v>0.269</v>
      </c>
      <c r="AN28" s="34">
        <f>=IFERROR(1-((1-AN29)*(1-AN34)),0)</f>
        <v>0.269</v>
      </c>
      <c r="AO28" s="34">
        <f>=IFERROR(1-((1-AO29)*(1-AO34)),0)</f>
        <v>0.269</v>
      </c>
      <c r="AP28" s="34">
        <f>=IFERROR(1-((1-AP29)*(1-AP34)),0)</f>
        <v>0.2605</v>
      </c>
      <c r="AQ28" s="34">
        <f>=IFERROR(1-((1-AQ29)*(1-AQ34)),0)</f>
        <v>0.2605</v>
      </c>
      <c r="AR28" s="34">
        <f>=IFERROR(1-((1-AR29)*(1-AR34)),0)</f>
        <v>0.2605</v>
      </c>
      <c r="AS28" s="34">
        <f>=IFERROR(1-((1-AS29)*(1-AS34)),0)</f>
        <v>0.2605</v>
      </c>
      <c r="AT28" s="34">
        <f>=IFERROR(1-((1-AT29)*(1-AT34)),0)</f>
        <v>0.2605</v>
      </c>
      <c r="AU28" s="34">
        <f>=IFERROR(1-((1-AU29)*(1-AU34)),0)</f>
        <v>0.2605</v>
      </c>
      <c r="AV28" s="34">
        <f>=IFERROR(1-((1-AV29)*(1-AV34)),0)</f>
        <v>0.2605</v>
      </c>
      <c r="AW28" s="34">
        <f>=IFERROR(1-((1-AW29)*(1-AW34)),0)</f>
        <v>0.2605</v>
      </c>
      <c r="AX28" s="34">
        <f>=IFERROR(1-((1-AX29)*(1-AX34)),0)</f>
        <v>0.2605</v>
      </c>
      <c r="AY28" s="34">
        <f>=IFERROR(1-((1-AY29)*(1-AY34)),0)</f>
        <v>0.2605</v>
      </c>
      <c r="AZ28" s="34">
        <f>=IFERROR(1-((1-AZ29)*(1-AZ34)),0)</f>
        <v>0.2605</v>
      </c>
      <c r="BA28" s="34">
        <f>=IFERROR(1-((1-BA29)*(1-BA34)),0)</f>
        <v>0.2605</v>
      </c>
      <c r="BB28" s="34">
        <f>=IFERROR(1-((1-BB29)*(1-BB34)),0)</f>
        <v>0.2605</v>
      </c>
      <c r="BC28" s="34">
        <f>=IFERROR(1-((1-BC29)*(1-BC34)),0)</f>
        <v>0.269</v>
      </c>
      <c r="BD28" s="34">
        <f>=IFERROR(1-((1-BD29)*(1-BD34)),0)</f>
        <v>0.269</v>
      </c>
      <c r="BE28" s="34">
        <f>=IFERROR(1-((1-BE29)*(1-BE34)),0)</f>
        <v>0.269</v>
      </c>
      <c r="BF28" s="34">
        <f>=IFERROR(1-((1-BF29)*(1-BF34)),0)</f>
        <v>0.269</v>
      </c>
      <c r="BG28" s="34">
        <f>=IFERROR(1-((1-BG29)*(1-BG34)),0)</f>
        <v>0.269</v>
      </c>
      <c r="BH28" s="34">
        <f>=IFERROR(1-((1-BH29)*(1-BH34)),0)</f>
        <v>0.269</v>
      </c>
      <c r="BI28" s="34">
        <f>=IFERROR(1-((1-BI29)*(1-BI34)),0)</f>
        <v>0.269</v>
      </c>
      <c r="BJ28" s="34">
        <f>=IFERROR(1-((1-BJ29)*(1-BJ34)),0)</f>
        <v>0.269</v>
      </c>
      <c r="BK28" s="34">
        <f>=IFERROR(1-((1-BK29)*(1-BK34)),0)</f>
        <v>0.269</v>
      </c>
      <c r="BL28" s="34">
        <f>=IFERROR(1-((1-BL29)*(1-BL34)),0)</f>
        <v>0.269</v>
      </c>
      <c r="BM28" s="34">
        <f>=IFERROR(1-((1-BM29)*(1-BM34)),0)</f>
        <v>0.269</v>
      </c>
      <c r="BN28" s="34">
        <f>=IFERROR(1-((1-BN29)*(1-BN34)),0)</f>
        <v>0.269</v>
      </c>
      <c r="BO28" s="34">
        <f>=IFERROR(1-((1-BO29)*(1-BO34)),0)</f>
        <v>0.269</v>
      </c>
      <c r="BP28" s="34">
        <f>=IFERROR(1-((1-BP29)*(1-BP34)),0)</f>
        <v>0.269</v>
      </c>
      <c r="BQ28" s="34">
        <f>=IFERROR(1-((1-BQ29)*(1-BQ34)),0)</f>
        <v>0.269</v>
      </c>
      <c r="BR28" s="34">
        <f>=IFERROR(1-((1-BR29)*(1-BR34)),0)</f>
        <v>0.269</v>
      </c>
      <c r="BS28" s="34">
        <f>=IFERROR(1-((1-BS29)*(1-BS34)),0)</f>
        <v>0.269</v>
      </c>
      <c r="BT28" s="34">
        <f>=IFERROR(1-((1-BT29)*(1-BT34)),0)</f>
        <v>0.269</v>
      </c>
      <c r="BU28" s="34">
        <f>=IFERROR(1-((1-BU29)*(1-BU34)),0)</f>
        <v>0.269</v>
      </c>
      <c r="BV28" s="34">
        <f>=IFERROR(1-((1-BV29)*(1-BV34)),0)</f>
        <v>0.269</v>
      </c>
      <c r="BW28" s="34">
        <f>=IFERROR(1-((1-BW29)*(1-BW34)),0)</f>
        <v>0.269</v>
      </c>
      <c r="BX28" s="34">
        <f>=IFERROR(1-((1-BX29)*(1-BX34)),0)</f>
        <v>0.269</v>
      </c>
      <c r="BY28" s="34">
        <f>=IFERROR(1-((1-BY29)*(1-BY34)),0)</f>
        <v>0.252</v>
      </c>
      <c r="BZ28" s="34">
        <f>=IFERROR(1-((1-BZ29)*(1-BZ34)),0)</f>
        <v>0.252</v>
      </c>
      <c r="CA28" s="34">
        <f>=IFERROR(1-((1-CA29)*(1-CA34)),0)</f>
        <v>0.252</v>
      </c>
      <c r="CB28" s="34">
        <f>=IFERROR(1-((1-CB29)*(1-CB34)),0)</f>
        <v>0.252</v>
      </c>
      <c r="CC28" s="34">
        <f>=IFERROR(1-((1-CC29)*(1-CC34)),0)</f>
        <v>0.252</v>
      </c>
      <c r="CD28" s="34">
        <f>=IFERROR(1-((1-CD29)*(1-CD34)),0)</f>
        <v>0.252</v>
      </c>
      <c r="CE28" s="34">
        <f>=IFERROR(1-((1-CE29)*(1-CE34)),0)</f>
        <v>0.252</v>
      </c>
      <c r="CF28" s="34">
        <f>=IFERROR(1-((1-CF29)*(1-CF34)),0)</f>
        <v>0.252</v>
      </c>
      <c r="CG28" s="34">
        <f>=IFERROR(1-((1-CG29)*(1-CG34)),0)</f>
        <v>0.252</v>
      </c>
      <c r="CH28" s="34">
        <f>=IFERROR(1-((1-CH29)*(1-CH34)),0)</f>
        <v>0.252</v>
      </c>
      <c r="CI28" s="34">
        <f>=IFERROR(1-((1-CI29)*(1-CI34)),0)</f>
        <v>0.252</v>
      </c>
      <c r="CJ28" s="34">
        <f>=IFERROR(1-((1-CJ29)*(1-CJ34)),0)</f>
        <v>0.252</v>
      </c>
      <c r="CK28" s="34">
        <f>=IFERROR(1-((1-CK29)*(1-CK34)),0)</f>
        <v>0.252</v>
      </c>
      <c r="CL28" s="34">
        <f>=IFERROR(1-((1-CL29)*(1-CL34)),0)</f>
        <v>0.252</v>
      </c>
      <c r="CM28" s="34">
        <f>=IFERROR(1-((1-CM29)*(1-CM34)),0)</f>
        <v>0.252</v>
      </c>
      <c r="CN28" s="34">
        <f>=IFERROR(1-((1-CN29)*(1-CN34)),0)</f>
        <v>0.252</v>
      </c>
      <c r="CO28" s="34">
        <f>=IFERROR(1-((1-CO29)*(1-CO34)),0)</f>
        <v>0.252</v>
      </c>
      <c r="CP28" s="34">
        <f>=IFERROR(1-((1-CP29)*(1-CP34)),0)</f>
        <v>0.252</v>
      </c>
      <c r="CQ28" s="34">
        <f>=IFERROR(1-((1-CQ29)*(1-CQ34)),0)</f>
        <v>0.252</v>
      </c>
      <c r="CR28" s="34">
        <f>=IFERROR(1-((1-CR29)*(1-CR34)),0)</f>
        <v>0.252</v>
      </c>
      <c r="CS28" s="34">
        <f>=IFERROR(1-((1-CS29)*(1-CS34)),0)</f>
        <v>0.252</v>
      </c>
      <c r="CT28" s="34">
        <f>=IFERROR(1-((1-CT29)*(1-CT34)),0)</f>
        <v>0.252</v>
      </c>
      <c r="CU28" s="34">
        <f>=IFERROR(1-((1-CU29)*(1-CU34)),0)</f>
        <v>0.252</v>
      </c>
      <c r="CV28" s="34">
        <f>=IFERROR(1-((1-CV29)*(1-CV34)),0)</f>
        <v>0.252</v>
      </c>
      <c r="CW28" s="34">
        <f>=IFERROR(1-((1-CW29)*(1-CW34)),0)</f>
        <v>0.252</v>
      </c>
      <c r="CX28" s="34">
        <f>=IFERROR(1-((1-CX29)*(1-CX34)),0)</f>
        <v>0.252</v>
      </c>
      <c r="CY28" s="34">
        <f>=IFERROR(1-((1-CY29)*(1-CY34)),0)</f>
        <v>0.252</v>
      </c>
      <c r="CZ28" s="34">
        <f>=IFERROR(1-((1-CZ29)*(1-CZ34)),0)</f>
        <v>0.252</v>
      </c>
      <c r="DA28" s="34">
        <f>=IFERROR(1-((1-DA29)*(1-DA34)),0)</f>
        <v>0.252</v>
      </c>
      <c r="DB28" s="34">
        <f>=IFERROR(1-((1-DB29)*(1-DB34)),0)</f>
        <v>0.252</v>
      </c>
    </row>
    <row r="29" ht="18" customHeight="1" spans="1:106" x14ac:dyDescent="0.25">
      <c r="A29" s="16" t="s">
        <v>262</v>
      </c>
      <c r="B29" s="17"/>
      <c r="C29" s="35">
        <f>=SUM(C30:C33)</f>
        <v>0.14</v>
      </c>
      <c r="D29" s="35">
        <f>=SUM(D30:D33)</f>
        <v>0.14</v>
      </c>
      <c r="E29" s="35">
        <f>=SUM(E30:E33)</f>
        <v>0.14</v>
      </c>
      <c r="F29" s="35">
        <f>=SUM(F30:F33)</f>
        <v>0.14</v>
      </c>
      <c r="G29" s="35">
        <f>=SUM(G30:G33)</f>
        <v>0.14</v>
      </c>
      <c r="H29" s="35">
        <f>=SUM(H30:H33)</f>
        <v>0.14</v>
      </c>
      <c r="I29" s="35">
        <f>=SUM(I30:I33)</f>
        <v>0.14</v>
      </c>
      <c r="J29" s="35">
        <f>=SUM(J30:J33)</f>
        <v>0.14</v>
      </c>
      <c r="K29" s="35">
        <f>=SUM(K30:K33)</f>
        <v>0.14</v>
      </c>
      <c r="L29" s="35">
        <f>=SUM(L30:L33)</f>
        <v>0.14</v>
      </c>
      <c r="M29" s="35">
        <f>=SUM(M30:M33)</f>
        <v>0.14</v>
      </c>
      <c r="N29" s="35">
        <f>=SUM(N30:N33)</f>
        <v>0.14</v>
      </c>
      <c r="O29" s="35">
        <f>=SUM(O30:O33)</f>
        <v>0.14</v>
      </c>
      <c r="P29" s="35">
        <f>=SUM(P30:P33)</f>
        <v>0.14</v>
      </c>
      <c r="Q29" s="35">
        <f>=SUM(Q30:Q33)</f>
        <v>0.14</v>
      </c>
      <c r="R29" s="35">
        <f>=SUM(R30:R33)</f>
        <v>0.14</v>
      </c>
      <c r="S29" s="35">
        <f>=SUM(S30:S33)</f>
        <v>0.14</v>
      </c>
      <c r="T29" s="35">
        <f>=SUM(T30:T33)</f>
        <v>0.14</v>
      </c>
      <c r="U29" s="35">
        <f>=SUM(U30:U33)</f>
        <v>0.14</v>
      </c>
      <c r="V29" s="35">
        <f>=SUM(V30:V33)</f>
        <v>0.14</v>
      </c>
      <c r="W29" s="35">
        <f>=SUM(W30:W33)</f>
        <v>0.14</v>
      </c>
      <c r="X29" s="35">
        <f>=SUM(X30:X33)</f>
        <v>0.14</v>
      </c>
      <c r="Y29" s="35">
        <f>=SUM(Y30:Y33)</f>
        <v>0.14</v>
      </c>
      <c r="Z29" s="35">
        <f>=SUM(Z30:Z33)</f>
        <v>0.14</v>
      </c>
      <c r="AA29" s="35">
        <f>=SUM(AA30:AA33)</f>
        <v>0.14</v>
      </c>
      <c r="AB29" s="35">
        <f>=SUM(AB30:AB33)</f>
        <v>0.14</v>
      </c>
      <c r="AC29" s="35">
        <f>=SUM(AC30:AC33)</f>
        <v>0.14</v>
      </c>
      <c r="AD29" s="35">
        <f>=SUM(AD30:AD33)</f>
        <v>0.14</v>
      </c>
      <c r="AE29" s="35">
        <f>=SUM(AE30:AE33)</f>
        <v>0.14</v>
      </c>
      <c r="AF29" s="35">
        <f>=SUM(AF30:AF33)</f>
        <v>0.14</v>
      </c>
      <c r="AG29" s="35">
        <f>=SUM(AG30:AG33)</f>
        <v>0.14</v>
      </c>
      <c r="AH29" s="35">
        <f>=SUM(AH30:AH33)</f>
        <v>0.14</v>
      </c>
      <c r="AI29" s="35">
        <f>=SUM(AI30:AI33)</f>
        <v>0.14</v>
      </c>
      <c r="AJ29" s="35">
        <f>=SUM(AJ30:AJ33)</f>
        <v>0.14</v>
      </c>
      <c r="AK29" s="35">
        <f>=SUM(AK30:AK33)</f>
        <v>0.14</v>
      </c>
      <c r="AL29" s="35">
        <f>=SUM(AL30:AL33)</f>
        <v>0.14</v>
      </c>
      <c r="AM29" s="35">
        <f>=SUM(AM30:AM33)</f>
        <v>0.14</v>
      </c>
      <c r="AN29" s="35">
        <f>=SUM(AN30:AN33)</f>
        <v>0.14</v>
      </c>
      <c r="AO29" s="35">
        <f>=SUM(AO30:AO33)</f>
        <v>0.14</v>
      </c>
      <c r="AP29" s="35">
        <f>=SUM(AP30:AP33)</f>
        <v>0.13</v>
      </c>
      <c r="AQ29" s="35">
        <f>=SUM(AQ30:AQ33)</f>
        <v>0.13</v>
      </c>
      <c r="AR29" s="35">
        <f>=SUM(AR30:AR33)</f>
        <v>0.13</v>
      </c>
      <c r="AS29" s="35">
        <f>=SUM(AS30:AS33)</f>
        <v>0.13</v>
      </c>
      <c r="AT29" s="35">
        <f>=SUM(AT30:AT33)</f>
        <v>0.13</v>
      </c>
      <c r="AU29" s="35">
        <f>=SUM(AU30:AU33)</f>
        <v>0.13</v>
      </c>
      <c r="AV29" s="35">
        <f>=SUM(AV30:AV33)</f>
        <v>0.13</v>
      </c>
      <c r="AW29" s="35">
        <f>=SUM(AW30:AW33)</f>
        <v>0.13</v>
      </c>
      <c r="AX29" s="35">
        <f>=SUM(AX30:AX33)</f>
        <v>0.13</v>
      </c>
      <c r="AY29" s="35">
        <f>=SUM(AY30:AY33)</f>
        <v>0.13</v>
      </c>
      <c r="AZ29" s="35">
        <f>=SUM(AZ30:AZ33)</f>
        <v>0.13</v>
      </c>
      <c r="BA29" s="35">
        <f>=SUM(BA30:BA33)</f>
        <v>0.13</v>
      </c>
      <c r="BB29" s="35">
        <f>=SUM(BB30:BB33)</f>
        <v>0.13</v>
      </c>
      <c r="BC29" s="35">
        <f>=SUM(BC30:BC33)</f>
        <v>0.14</v>
      </c>
      <c r="BD29" s="35">
        <f>=SUM(BD30:BD33)</f>
        <v>0.14</v>
      </c>
      <c r="BE29" s="35">
        <f>=SUM(BE30:BE33)</f>
        <v>0.14</v>
      </c>
      <c r="BF29" s="35">
        <f>=SUM(BF30:BF33)</f>
        <v>0.14</v>
      </c>
      <c r="BG29" s="35">
        <f>=SUM(BG30:BG33)</f>
        <v>0.14</v>
      </c>
      <c r="BH29" s="35">
        <f>=SUM(BH30:BH33)</f>
        <v>0.14</v>
      </c>
      <c r="BI29" s="35">
        <f>=SUM(BI30:BI33)</f>
        <v>0.14</v>
      </c>
      <c r="BJ29" s="35">
        <f>=SUM(BJ30:BJ33)</f>
        <v>0.14</v>
      </c>
      <c r="BK29" s="35">
        <f>=SUM(BK30:BK33)</f>
        <v>0.14</v>
      </c>
      <c r="BL29" s="35">
        <f>=SUM(BL30:BL33)</f>
        <v>0.14</v>
      </c>
      <c r="BM29" s="35">
        <f>=SUM(BM30:BM33)</f>
        <v>0.14</v>
      </c>
      <c r="BN29" s="35">
        <f>=SUM(BN30:BN33)</f>
        <v>0.14</v>
      </c>
      <c r="BO29" s="35">
        <f>=SUM(BO30:BO33)</f>
        <v>0.14</v>
      </c>
      <c r="BP29" s="35">
        <f>=SUM(BP30:BP33)</f>
        <v>0.14</v>
      </c>
      <c r="BQ29" s="35">
        <f>=SUM(BQ30:BQ33)</f>
        <v>0.14</v>
      </c>
      <c r="BR29" s="35">
        <f>=SUM(BR30:BR33)</f>
        <v>0.14</v>
      </c>
      <c r="BS29" s="35">
        <f>=SUM(BS30:BS33)</f>
        <v>0.14</v>
      </c>
      <c r="BT29" s="35">
        <f>=SUM(BT30:BT33)</f>
        <v>0.14</v>
      </c>
      <c r="BU29" s="35">
        <f>=SUM(BU30:BU33)</f>
        <v>0.14</v>
      </c>
      <c r="BV29" s="35">
        <f>=SUM(BV30:BV33)</f>
        <v>0.14</v>
      </c>
      <c r="BW29" s="35">
        <f>=SUM(BW30:BW33)</f>
        <v>0.14</v>
      </c>
      <c r="BX29" s="35">
        <f>=SUM(BX30:BX33)</f>
        <v>0.14</v>
      </c>
      <c r="BY29" s="35">
        <f>=SUM(BY30:BY33)</f>
        <v>0.12</v>
      </c>
      <c r="BZ29" s="35">
        <f>=SUM(BZ30:BZ33)</f>
        <v>0.12</v>
      </c>
      <c r="CA29" s="35">
        <f>=SUM(CA30:CA33)</f>
        <v>0.12</v>
      </c>
      <c r="CB29" s="35">
        <f>=SUM(CB30:CB33)</f>
        <v>0.12</v>
      </c>
      <c r="CC29" s="35">
        <f>=SUM(CC30:CC33)</f>
        <v>0.12</v>
      </c>
      <c r="CD29" s="35">
        <f>=SUM(CD30:CD33)</f>
        <v>0.12</v>
      </c>
      <c r="CE29" s="35">
        <f>=SUM(CE30:CE33)</f>
        <v>0.12</v>
      </c>
      <c r="CF29" s="35">
        <f>=SUM(CF30:CF33)</f>
        <v>0.12</v>
      </c>
      <c r="CG29" s="35">
        <f>=SUM(CG30:CG33)</f>
        <v>0.12</v>
      </c>
      <c r="CH29" s="35">
        <f>=SUM(CH30:CH33)</f>
        <v>0.12</v>
      </c>
      <c r="CI29" s="35">
        <f>=SUM(CI30:CI33)</f>
        <v>0.12</v>
      </c>
      <c r="CJ29" s="35">
        <f>=SUM(CJ30:CJ33)</f>
        <v>0.12</v>
      </c>
      <c r="CK29" s="35">
        <f>=SUM(CK30:CK33)</f>
        <v>0.12</v>
      </c>
      <c r="CL29" s="35">
        <f>=SUM(CL30:CL33)</f>
        <v>0.12</v>
      </c>
      <c r="CM29" s="35">
        <f>=SUM(CM30:CM33)</f>
        <v>0.12</v>
      </c>
      <c r="CN29" s="35">
        <f>=SUM(CN30:CN33)</f>
        <v>0.12</v>
      </c>
      <c r="CO29" s="35">
        <f>=SUM(CO30:CO33)</f>
        <v>0.12</v>
      </c>
      <c r="CP29" s="35">
        <f>=SUM(CP30:CP33)</f>
        <v>0.12</v>
      </c>
      <c r="CQ29" s="35">
        <f>=SUM(CQ30:CQ33)</f>
        <v>0.12</v>
      </c>
      <c r="CR29" s="35">
        <f>=SUM(CR30:CR33)</f>
        <v>0.12</v>
      </c>
      <c r="CS29" s="35">
        <f>=SUM(CS30:CS33)</f>
        <v>0.12</v>
      </c>
      <c r="CT29" s="35">
        <f>=SUM(CT30:CT33)</f>
        <v>0.12</v>
      </c>
      <c r="CU29" s="35">
        <f>=SUM(CU30:CU33)</f>
        <v>0.12</v>
      </c>
      <c r="CV29" s="35">
        <f>=SUM(CV30:CV33)</f>
        <v>0.12</v>
      </c>
      <c r="CW29" s="35">
        <f>=SUM(CW30:CW33)</f>
        <v>0.12</v>
      </c>
      <c r="CX29" s="35">
        <f>=SUM(CX30:CX33)</f>
        <v>0.12</v>
      </c>
      <c r="CY29" s="35">
        <f>=SUM(CY30:CY33)</f>
        <v>0.12</v>
      </c>
      <c r="CZ29" s="35">
        <f>=SUM(CZ30:CZ33)</f>
        <v>0.12</v>
      </c>
      <c r="DA29" s="35">
        <f>=SUM(DA30:DA33)</f>
        <v>0.12</v>
      </c>
      <c r="DB29" s="35">
        <f>=SUM(DB30:DB33)</f>
        <v>0.12</v>
      </c>
    </row>
    <row r="30" ht="18" customHeight="1" spans="1:106" x14ac:dyDescent="0.25">
      <c r="A30" s="36" t="s">
        <v>263</v>
      </c>
      <c r="C30" s="37">
        <v>0.07</v>
      </c>
      <c r="D30" s="37">
        <v>0.07</v>
      </c>
      <c r="E30" s="37">
        <v>0.07</v>
      </c>
      <c r="F30" s="37">
        <v>0.07</v>
      </c>
      <c r="G30" s="37">
        <v>0.07</v>
      </c>
      <c r="H30" s="37">
        <v>0.07</v>
      </c>
      <c r="I30" s="37">
        <v>0.07</v>
      </c>
      <c r="J30" s="37">
        <v>0.07</v>
      </c>
      <c r="K30" s="37">
        <v>0.07</v>
      </c>
      <c r="L30" s="37">
        <v>0.07</v>
      </c>
      <c r="M30" s="37">
        <v>0.07</v>
      </c>
      <c r="N30" s="37">
        <v>0.07</v>
      </c>
      <c r="O30" s="37">
        <v>0.07</v>
      </c>
      <c r="P30" s="37">
        <v>0.07</v>
      </c>
      <c r="Q30" s="37">
        <v>0.07</v>
      </c>
      <c r="R30" s="37">
        <v>0.07</v>
      </c>
      <c r="S30" s="37">
        <v>0.07</v>
      </c>
      <c r="T30" s="37">
        <v>0.07</v>
      </c>
      <c r="U30" s="37">
        <v>0.07</v>
      </c>
      <c r="V30" s="37">
        <v>0.07</v>
      </c>
      <c r="W30" s="37">
        <v>0.07</v>
      </c>
      <c r="X30" s="37">
        <v>0.07</v>
      </c>
      <c r="Y30" s="37">
        <v>0.07</v>
      </c>
      <c r="Z30" s="37">
        <v>0.07</v>
      </c>
      <c r="AA30" s="37">
        <v>0.07</v>
      </c>
      <c r="AB30" s="37">
        <v>0.07</v>
      </c>
      <c r="AC30" s="37">
        <v>0.07</v>
      </c>
      <c r="AD30" s="37">
        <v>0.07</v>
      </c>
      <c r="AE30" s="37">
        <v>0.07</v>
      </c>
      <c r="AF30" s="37">
        <v>0.07</v>
      </c>
      <c r="AG30" s="37">
        <v>0.07</v>
      </c>
      <c r="AH30" s="37">
        <v>0.07</v>
      </c>
      <c r="AI30" s="37">
        <v>0.07</v>
      </c>
      <c r="AJ30" s="37">
        <v>0.07</v>
      </c>
      <c r="AK30" s="37">
        <v>0.07</v>
      </c>
      <c r="AL30" s="37">
        <v>0.07</v>
      </c>
      <c r="AM30" s="37">
        <v>0.07</v>
      </c>
      <c r="AN30" s="37">
        <v>0.07</v>
      </c>
      <c r="AO30" s="37">
        <v>0.07</v>
      </c>
      <c r="AP30" s="37">
        <v>0.065</v>
      </c>
      <c r="AQ30" s="37">
        <v>0.065</v>
      </c>
      <c r="AR30" s="37">
        <v>0.065</v>
      </c>
      <c r="AS30" s="37">
        <v>0.065</v>
      </c>
      <c r="AT30" s="37">
        <v>0.065</v>
      </c>
      <c r="AU30" s="37">
        <v>0.065</v>
      </c>
      <c r="AV30" s="37">
        <v>0.065</v>
      </c>
      <c r="AW30" s="37">
        <v>0.065</v>
      </c>
      <c r="AX30" s="37">
        <v>0.065</v>
      </c>
      <c r="AY30" s="37">
        <v>0.065</v>
      </c>
      <c r="AZ30" s="37">
        <v>0.065</v>
      </c>
      <c r="BA30" s="37">
        <v>0.065</v>
      </c>
      <c r="BB30" s="37">
        <v>0.065</v>
      </c>
      <c r="BC30" s="37">
        <v>0.07</v>
      </c>
      <c r="BD30" s="37">
        <v>0.07</v>
      </c>
      <c r="BE30" s="37">
        <v>0.07</v>
      </c>
      <c r="BF30" s="37">
        <v>0.07</v>
      </c>
      <c r="BG30" s="37">
        <v>0.07</v>
      </c>
      <c r="BH30" s="37">
        <v>0.07</v>
      </c>
      <c r="BI30" s="37">
        <v>0.07</v>
      </c>
      <c r="BJ30" s="37">
        <v>0.07</v>
      </c>
      <c r="BK30" s="37">
        <v>0.07</v>
      </c>
      <c r="BL30" s="37">
        <v>0.07</v>
      </c>
      <c r="BM30" s="37">
        <v>0.07</v>
      </c>
      <c r="BN30" s="37">
        <v>0.07</v>
      </c>
      <c r="BO30" s="37">
        <v>0.07</v>
      </c>
      <c r="BP30" s="37">
        <v>0.07</v>
      </c>
      <c r="BQ30" s="37">
        <v>0.07</v>
      </c>
      <c r="BR30" s="37">
        <v>0.07</v>
      </c>
      <c r="BS30" s="37">
        <v>0.07</v>
      </c>
      <c r="BT30" s="37">
        <v>0.07</v>
      </c>
      <c r="BU30" s="37">
        <v>0.07</v>
      </c>
      <c r="BV30" s="37">
        <v>0.07</v>
      </c>
      <c r="BW30" s="37">
        <v>0.07</v>
      </c>
      <c r="BX30" s="37">
        <v>0.07</v>
      </c>
      <c r="BY30" s="37">
        <v>0.06</v>
      </c>
      <c r="BZ30" s="37">
        <v>0.06</v>
      </c>
      <c r="CA30" s="37">
        <v>0.06</v>
      </c>
      <c r="CB30" s="37">
        <v>0.06</v>
      </c>
      <c r="CC30" s="37">
        <v>0.06</v>
      </c>
      <c r="CD30" s="37">
        <v>0.06</v>
      </c>
      <c r="CE30" s="37">
        <v>0.06</v>
      </c>
      <c r="CF30" s="37">
        <v>0.06</v>
      </c>
      <c r="CG30" s="37">
        <v>0.06</v>
      </c>
      <c r="CH30" s="37">
        <v>0.06</v>
      </c>
      <c r="CI30" s="37">
        <v>0.06</v>
      </c>
      <c r="CJ30" s="37">
        <v>0.06</v>
      </c>
      <c r="CK30" s="37">
        <v>0.06</v>
      </c>
      <c r="CL30" s="37">
        <v>0.06</v>
      </c>
      <c r="CM30" s="37">
        <v>0.06</v>
      </c>
      <c r="CN30" s="37">
        <v>0.06</v>
      </c>
      <c r="CO30" s="37">
        <v>0.06</v>
      </c>
      <c r="CP30" s="37">
        <v>0.06</v>
      </c>
      <c r="CQ30" s="37">
        <v>0.06</v>
      </c>
      <c r="CR30" s="37">
        <v>0.06</v>
      </c>
      <c r="CS30" s="37">
        <v>0.06</v>
      </c>
      <c r="CT30" s="37">
        <v>0.06</v>
      </c>
      <c r="CU30" s="37">
        <v>0.06</v>
      </c>
      <c r="CV30" s="37">
        <v>0.06</v>
      </c>
      <c r="CW30" s="37">
        <v>0.06</v>
      </c>
      <c r="CX30" s="37">
        <v>0.06</v>
      </c>
      <c r="CY30" s="37">
        <v>0.06</v>
      </c>
      <c r="CZ30" s="37">
        <v>0.06</v>
      </c>
      <c r="DA30" s="37">
        <v>0.06</v>
      </c>
      <c r="DB30" s="37">
        <v>0.06</v>
      </c>
    </row>
    <row r="31" ht="18" customHeight="1" spans="1:106" x14ac:dyDescent="0.25">
      <c r="A31" s="36" t="s">
        <v>264</v>
      </c>
      <c r="C31" s="37">
        <v>0.07</v>
      </c>
      <c r="D31" s="37">
        <v>0.07</v>
      </c>
      <c r="E31" s="37">
        <v>0.07</v>
      </c>
      <c r="F31" s="37">
        <v>0.07</v>
      </c>
      <c r="G31" s="37">
        <v>0.07</v>
      </c>
      <c r="H31" s="37">
        <v>0.07</v>
      </c>
      <c r="I31" s="37">
        <v>0.07</v>
      </c>
      <c r="J31" s="37">
        <v>0.07</v>
      </c>
      <c r="K31" s="37">
        <v>0.07</v>
      </c>
      <c r="L31" s="37">
        <v>0.07</v>
      </c>
      <c r="M31" s="37">
        <v>0.07</v>
      </c>
      <c r="N31" s="37">
        <v>0.07</v>
      </c>
      <c r="O31" s="37">
        <v>0.07</v>
      </c>
      <c r="P31" s="37">
        <v>0.07</v>
      </c>
      <c r="Q31" s="37">
        <v>0.07</v>
      </c>
      <c r="R31" s="37">
        <v>0.07</v>
      </c>
      <c r="S31" s="37">
        <v>0.07</v>
      </c>
      <c r="T31" s="37">
        <v>0.07</v>
      </c>
      <c r="U31" s="37">
        <v>0.07</v>
      </c>
      <c r="V31" s="37">
        <v>0.07</v>
      </c>
      <c r="W31" s="37">
        <v>0.07</v>
      </c>
      <c r="X31" s="37">
        <v>0.07</v>
      </c>
      <c r="Y31" s="37">
        <v>0.07</v>
      </c>
      <c r="Z31" s="37">
        <v>0.07</v>
      </c>
      <c r="AA31" s="37">
        <v>0.07</v>
      </c>
      <c r="AB31" s="37">
        <v>0.07</v>
      </c>
      <c r="AC31" s="37">
        <v>0.07</v>
      </c>
      <c r="AD31" s="37">
        <v>0.07</v>
      </c>
      <c r="AE31" s="37">
        <v>0.07</v>
      </c>
      <c r="AF31" s="37">
        <v>0.07</v>
      </c>
      <c r="AG31" s="37">
        <v>0.07</v>
      </c>
      <c r="AH31" s="37">
        <v>0.07</v>
      </c>
      <c r="AI31" s="37">
        <v>0.07</v>
      </c>
      <c r="AJ31" s="37">
        <v>0.07</v>
      </c>
      <c r="AK31" s="37">
        <v>0.07</v>
      </c>
      <c r="AL31" s="37">
        <v>0.07</v>
      </c>
      <c r="AM31" s="37">
        <v>0.07</v>
      </c>
      <c r="AN31" s="37">
        <v>0.07</v>
      </c>
      <c r="AO31" s="37">
        <v>0.07</v>
      </c>
      <c r="AP31" s="37">
        <v>0.065</v>
      </c>
      <c r="AQ31" s="37">
        <v>0.065</v>
      </c>
      <c r="AR31" s="37">
        <v>0.065</v>
      </c>
      <c r="AS31" s="37">
        <v>0.065</v>
      </c>
      <c r="AT31" s="37">
        <v>0.065</v>
      </c>
      <c r="AU31" s="37">
        <v>0.065</v>
      </c>
      <c r="AV31" s="37">
        <v>0.065</v>
      </c>
      <c r="AW31" s="37">
        <v>0.065</v>
      </c>
      <c r="AX31" s="37">
        <v>0.065</v>
      </c>
      <c r="AY31" s="37">
        <v>0.065</v>
      </c>
      <c r="AZ31" s="37">
        <v>0.065</v>
      </c>
      <c r="BA31" s="37">
        <v>0.065</v>
      </c>
      <c r="BB31" s="37">
        <v>0.065</v>
      </c>
      <c r="BC31" s="37">
        <v>0.07</v>
      </c>
      <c r="BD31" s="37">
        <v>0.07</v>
      </c>
      <c r="BE31" s="37">
        <v>0.07</v>
      </c>
      <c r="BF31" s="37">
        <v>0.07</v>
      </c>
      <c r="BG31" s="37">
        <v>0.07</v>
      </c>
      <c r="BH31" s="37">
        <v>0.07</v>
      </c>
      <c r="BI31" s="37">
        <v>0.07</v>
      </c>
      <c r="BJ31" s="37">
        <v>0.07</v>
      </c>
      <c r="BK31" s="37">
        <v>0.07</v>
      </c>
      <c r="BL31" s="37">
        <v>0.07</v>
      </c>
      <c r="BM31" s="37">
        <v>0.07</v>
      </c>
      <c r="BN31" s="37">
        <v>0.07</v>
      </c>
      <c r="BO31" s="37">
        <v>0.07</v>
      </c>
      <c r="BP31" s="37">
        <v>0.07</v>
      </c>
      <c r="BQ31" s="37">
        <v>0.07</v>
      </c>
      <c r="BR31" s="37">
        <v>0.07</v>
      </c>
      <c r="BS31" s="37">
        <v>0.07</v>
      </c>
      <c r="BT31" s="37">
        <v>0.07</v>
      </c>
      <c r="BU31" s="37">
        <v>0.07</v>
      </c>
      <c r="BV31" s="37">
        <v>0.07</v>
      </c>
      <c r="BW31" s="37">
        <v>0.07</v>
      </c>
      <c r="BX31" s="37">
        <v>0.07</v>
      </c>
      <c r="BY31" s="37">
        <v>0.06</v>
      </c>
      <c r="BZ31" s="37">
        <v>0.06</v>
      </c>
      <c r="CA31" s="37">
        <v>0.06</v>
      </c>
      <c r="CB31" s="37">
        <v>0.06</v>
      </c>
      <c r="CC31" s="37">
        <v>0.06</v>
      </c>
      <c r="CD31" s="37">
        <v>0.06</v>
      </c>
      <c r="CE31" s="37">
        <v>0.06</v>
      </c>
      <c r="CF31" s="37">
        <v>0.06</v>
      </c>
      <c r="CG31" s="37">
        <v>0.06</v>
      </c>
      <c r="CH31" s="37">
        <v>0.06</v>
      </c>
      <c r="CI31" s="37">
        <v>0.06</v>
      </c>
      <c r="CJ31" s="37">
        <v>0.06</v>
      </c>
      <c r="CK31" s="37">
        <v>0.06</v>
      </c>
      <c r="CL31" s="37">
        <v>0.06</v>
      </c>
      <c r="CM31" s="37">
        <v>0.06</v>
      </c>
      <c r="CN31" s="37">
        <v>0.06</v>
      </c>
      <c r="CO31" s="37">
        <v>0.06</v>
      </c>
      <c r="CP31" s="37">
        <v>0.06</v>
      </c>
      <c r="CQ31" s="37">
        <v>0.06</v>
      </c>
      <c r="CR31" s="37">
        <v>0.06</v>
      </c>
      <c r="CS31" s="37">
        <v>0.06</v>
      </c>
      <c r="CT31" s="37">
        <v>0.06</v>
      </c>
      <c r="CU31" s="37">
        <v>0.06</v>
      </c>
      <c r="CV31" s="37">
        <v>0.06</v>
      </c>
      <c r="CW31" s="37">
        <v>0.06</v>
      </c>
      <c r="CX31" s="37">
        <v>0.06</v>
      </c>
      <c r="CY31" s="37">
        <v>0.06</v>
      </c>
      <c r="CZ31" s="37">
        <v>0.06</v>
      </c>
      <c r="DA31" s="37">
        <v>0.06</v>
      </c>
      <c r="DB31" s="37">
        <v>0.06</v>
      </c>
    </row>
    <row r="32" ht="18" customHeight="1" spans="1:106" x14ac:dyDescent="0.25">
      <c r="A32" s="36" t="s">
        <v>265</v>
      </c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38"/>
      <c r="BM32" s="38"/>
      <c r="BN32" s="38"/>
      <c r="BO32" s="38"/>
      <c r="BP32" s="38"/>
      <c r="BQ32" s="38"/>
      <c r="BR32" s="38"/>
      <c r="BS32" s="38"/>
      <c r="BT32" s="38"/>
      <c r="BU32" s="38"/>
      <c r="BV32" s="38"/>
      <c r="BW32" s="38"/>
      <c r="BX32" s="38"/>
      <c r="BY32" s="38"/>
      <c r="BZ32" s="38"/>
      <c r="CA32" s="38"/>
      <c r="CB32" s="38"/>
      <c r="CC32" s="38"/>
      <c r="CD32" s="38"/>
      <c r="CE32" s="38"/>
      <c r="CF32" s="38"/>
      <c r="CG32" s="38"/>
      <c r="CH32" s="38"/>
      <c r="CI32" s="38"/>
      <c r="CJ32" s="38"/>
      <c r="CK32" s="38"/>
      <c r="CL32" s="38"/>
      <c r="CM32" s="38"/>
      <c r="CN32" s="38"/>
      <c r="CO32" s="38"/>
      <c r="CP32" s="38"/>
      <c r="CQ32" s="38"/>
      <c r="CR32" s="38"/>
      <c r="CS32" s="38"/>
      <c r="CT32" s="38"/>
      <c r="CU32" s="38"/>
      <c r="CV32" s="38"/>
      <c r="CW32" s="38"/>
      <c r="CX32" s="38"/>
      <c r="CY32" s="38"/>
      <c r="CZ32" s="38"/>
      <c r="DA32" s="38"/>
      <c r="DB32" s="38"/>
    </row>
    <row r="33" ht="18" customHeight="1" spans="1:106" x14ac:dyDescent="0.25">
      <c r="A33" s="36" t="s">
        <v>266</v>
      </c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/>
      <c r="BK33" s="38"/>
      <c r="BL33" s="38"/>
      <c r="BM33" s="38"/>
      <c r="BN33" s="38"/>
      <c r="BO33" s="38"/>
      <c r="BP33" s="38"/>
      <c r="BQ33" s="38"/>
      <c r="BR33" s="38"/>
      <c r="BS33" s="38"/>
      <c r="BT33" s="38"/>
      <c r="BU33" s="38"/>
      <c r="BV33" s="38"/>
      <c r="BW33" s="38"/>
      <c r="BX33" s="38"/>
      <c r="BY33" s="38"/>
      <c r="BZ33" s="38"/>
      <c r="CA33" s="38"/>
      <c r="CB33" s="38"/>
      <c r="CC33" s="38"/>
      <c r="CD33" s="38"/>
      <c r="CE33" s="38"/>
      <c r="CF33" s="38"/>
      <c r="CG33" s="38"/>
      <c r="CH33" s="38"/>
      <c r="CI33" s="38"/>
      <c r="CJ33" s="38"/>
      <c r="CK33" s="38"/>
      <c r="CL33" s="38"/>
      <c r="CM33" s="38"/>
      <c r="CN33" s="38"/>
      <c r="CO33" s="38"/>
      <c r="CP33" s="38"/>
      <c r="CQ33" s="38"/>
      <c r="CR33" s="38"/>
      <c r="CS33" s="38"/>
      <c r="CT33" s="38"/>
      <c r="CU33" s="38"/>
      <c r="CV33" s="38"/>
      <c r="CW33" s="38"/>
      <c r="CX33" s="38"/>
      <c r="CY33" s="38"/>
      <c r="CZ33" s="38"/>
      <c r="DA33" s="38"/>
      <c r="DB33" s="38"/>
    </row>
    <row r="34" ht="18" customHeight="1" spans="1:106" x14ac:dyDescent="0.25">
      <c r="A34" s="16" t="s">
        <v>267</v>
      </c>
      <c r="B34" s="17"/>
      <c r="C34" s="35">
        <f>=SUM(C35:C40)</f>
        <v>0.15</v>
      </c>
      <c r="D34" s="35">
        <f>=SUM(D35:D40)</f>
        <v>0.15</v>
      </c>
      <c r="E34" s="35">
        <f>=SUM(E35:E40)</f>
        <v>0.15</v>
      </c>
      <c r="F34" s="35">
        <f>=SUM(F35:F40)</f>
        <v>0.15</v>
      </c>
      <c r="G34" s="35">
        <f>=SUM(G35:G40)</f>
        <v>0.15</v>
      </c>
      <c r="H34" s="35">
        <f>=SUM(H35:H40)</f>
        <v>0.15</v>
      </c>
      <c r="I34" s="35">
        <f>=SUM(I35:I40)</f>
        <v>0.15</v>
      </c>
      <c r="J34" s="35">
        <f>=SUM(J35:J40)</f>
        <v>0.15</v>
      </c>
      <c r="K34" s="35">
        <f>=SUM(K35:K40)</f>
        <v>0.15</v>
      </c>
      <c r="L34" s="35">
        <f>=SUM(L35:L40)</f>
        <v>0.15</v>
      </c>
      <c r="M34" s="35">
        <f>=SUM(M35:M40)</f>
        <v>0.15</v>
      </c>
      <c r="N34" s="35">
        <f>=SUM(N35:N40)</f>
        <v>0.15</v>
      </c>
      <c r="O34" s="35">
        <f>=SUM(O35:O40)</f>
        <v>0.15</v>
      </c>
      <c r="P34" s="35">
        <f>=SUM(P35:P40)</f>
        <v>0.15</v>
      </c>
      <c r="Q34" s="35">
        <f>=SUM(Q35:Q40)</f>
        <v>0.15</v>
      </c>
      <c r="R34" s="35">
        <f>=SUM(R35:R40)</f>
        <v>0.15</v>
      </c>
      <c r="S34" s="35">
        <f>=SUM(S35:S40)</f>
        <v>0.15</v>
      </c>
      <c r="T34" s="35">
        <f>=SUM(T35:T40)</f>
        <v>0.15</v>
      </c>
      <c r="U34" s="35">
        <f>=SUM(U35:U40)</f>
        <v>0.15</v>
      </c>
      <c r="V34" s="35">
        <f>=SUM(V35:V40)</f>
        <v>0.15</v>
      </c>
      <c r="W34" s="35">
        <f>=SUM(W35:W40)</f>
        <v>0.15</v>
      </c>
      <c r="X34" s="35">
        <f>=SUM(X35:X40)</f>
        <v>0.15</v>
      </c>
      <c r="Y34" s="35">
        <f>=SUM(Y35:Y40)</f>
        <v>0.15</v>
      </c>
      <c r="Z34" s="35">
        <f>=SUM(Z35:Z40)</f>
        <v>0.15</v>
      </c>
      <c r="AA34" s="35">
        <f>=SUM(AA35:AA40)</f>
        <v>0.15</v>
      </c>
      <c r="AB34" s="35">
        <f>=SUM(AB35:AB40)</f>
        <v>0.15</v>
      </c>
      <c r="AC34" s="35">
        <f>=SUM(AC35:AC40)</f>
        <v>0.15</v>
      </c>
      <c r="AD34" s="35">
        <f>=SUM(AD35:AD40)</f>
        <v>0.15</v>
      </c>
      <c r="AE34" s="35">
        <f>=SUM(AE35:AE40)</f>
        <v>0.15</v>
      </c>
      <c r="AF34" s="35">
        <f>=SUM(AF35:AF40)</f>
        <v>0.15</v>
      </c>
      <c r="AG34" s="35">
        <f>=SUM(AG35:AG40)</f>
        <v>0.15</v>
      </c>
      <c r="AH34" s="35">
        <f>=SUM(AH35:AH40)</f>
        <v>0.15</v>
      </c>
      <c r="AI34" s="35">
        <f>=SUM(AI35:AI40)</f>
        <v>0.15</v>
      </c>
      <c r="AJ34" s="35">
        <f>=SUM(AJ35:AJ40)</f>
        <v>0.15</v>
      </c>
      <c r="AK34" s="35">
        <f>=SUM(AK35:AK40)</f>
        <v>0.15</v>
      </c>
      <c r="AL34" s="35">
        <f>=SUM(AL35:AL40)</f>
        <v>0.15</v>
      </c>
      <c r="AM34" s="35">
        <f>=SUM(AM35:AM40)</f>
        <v>0.15</v>
      </c>
      <c r="AN34" s="35">
        <f>=SUM(AN35:AN40)</f>
        <v>0.15</v>
      </c>
      <c r="AO34" s="35">
        <f>=SUM(AO35:AO40)</f>
        <v>0.15</v>
      </c>
      <c r="AP34" s="35">
        <f>=SUM(AP35:AP40)</f>
        <v>0.15</v>
      </c>
      <c r="AQ34" s="35">
        <f>=SUM(AQ35:AQ40)</f>
        <v>0.15</v>
      </c>
      <c r="AR34" s="35">
        <f>=SUM(AR35:AR40)</f>
        <v>0.15</v>
      </c>
      <c r="AS34" s="35">
        <f>=SUM(AS35:AS40)</f>
        <v>0.15</v>
      </c>
      <c r="AT34" s="35">
        <f>=SUM(AT35:AT40)</f>
        <v>0.15</v>
      </c>
      <c r="AU34" s="35">
        <f>=SUM(AU35:AU40)</f>
        <v>0.15</v>
      </c>
      <c r="AV34" s="35">
        <f>=SUM(AV35:AV40)</f>
        <v>0.15</v>
      </c>
      <c r="AW34" s="35">
        <f>=SUM(AW35:AW40)</f>
        <v>0.15</v>
      </c>
      <c r="AX34" s="35">
        <f>=SUM(AX35:AX40)</f>
        <v>0.15</v>
      </c>
      <c r="AY34" s="35">
        <f>=SUM(AY35:AY40)</f>
        <v>0.15</v>
      </c>
      <c r="AZ34" s="35">
        <f>=SUM(AZ35:AZ40)</f>
        <v>0.15</v>
      </c>
      <c r="BA34" s="35">
        <f>=SUM(BA35:BA40)</f>
        <v>0.15</v>
      </c>
      <c r="BB34" s="35">
        <f>=SUM(BB35:BB40)</f>
        <v>0.15</v>
      </c>
      <c r="BC34" s="35">
        <f>=SUM(BC35:BC40)</f>
        <v>0.15</v>
      </c>
      <c r="BD34" s="35">
        <f>=SUM(BD35:BD40)</f>
        <v>0.15</v>
      </c>
      <c r="BE34" s="35">
        <f>=SUM(BE35:BE40)</f>
        <v>0.15</v>
      </c>
      <c r="BF34" s="35">
        <f>=SUM(BF35:BF40)</f>
        <v>0.15</v>
      </c>
      <c r="BG34" s="35">
        <f>=SUM(BG35:BG40)</f>
        <v>0.15</v>
      </c>
      <c r="BH34" s="35">
        <f>=SUM(BH35:BH40)</f>
        <v>0.15</v>
      </c>
      <c r="BI34" s="35">
        <f>=SUM(BI35:BI40)</f>
        <v>0.15</v>
      </c>
      <c r="BJ34" s="35">
        <f>=SUM(BJ35:BJ40)</f>
        <v>0.15</v>
      </c>
      <c r="BK34" s="35">
        <f>=SUM(BK35:BK40)</f>
        <v>0.15</v>
      </c>
      <c r="BL34" s="35">
        <f>=SUM(BL35:BL40)</f>
        <v>0.15</v>
      </c>
      <c r="BM34" s="35">
        <f>=SUM(BM35:BM40)</f>
        <v>0.15</v>
      </c>
      <c r="BN34" s="35">
        <f>=SUM(BN35:BN40)</f>
        <v>0.15</v>
      </c>
      <c r="BO34" s="35">
        <f>=SUM(BO35:BO40)</f>
        <v>0.15</v>
      </c>
      <c r="BP34" s="35">
        <f>=SUM(BP35:BP40)</f>
        <v>0.15</v>
      </c>
      <c r="BQ34" s="35">
        <f>=SUM(BQ35:BQ40)</f>
        <v>0.15</v>
      </c>
      <c r="BR34" s="35">
        <f>=SUM(BR35:BR40)</f>
        <v>0.15</v>
      </c>
      <c r="BS34" s="35">
        <f>=SUM(BS35:BS40)</f>
        <v>0.15</v>
      </c>
      <c r="BT34" s="35">
        <f>=SUM(BT35:BT40)</f>
        <v>0.15</v>
      </c>
      <c r="BU34" s="35">
        <f>=SUM(BU35:BU40)</f>
        <v>0.15</v>
      </c>
      <c r="BV34" s="35">
        <f>=SUM(BV35:BV40)</f>
        <v>0.15</v>
      </c>
      <c r="BW34" s="35">
        <f>=SUM(BW35:BW40)</f>
        <v>0.15</v>
      </c>
      <c r="BX34" s="35">
        <f>=SUM(BX35:BX40)</f>
        <v>0.15</v>
      </c>
      <c r="BY34" s="35">
        <f>=SUM(BY35:BY40)</f>
        <v>0.15</v>
      </c>
      <c r="BZ34" s="35">
        <f>=SUM(BZ35:BZ40)</f>
        <v>0.15</v>
      </c>
      <c r="CA34" s="35">
        <f>=SUM(CA35:CA40)</f>
        <v>0.15</v>
      </c>
      <c r="CB34" s="35">
        <f>=SUM(CB35:CB40)</f>
        <v>0.15</v>
      </c>
      <c r="CC34" s="35">
        <f>=SUM(CC35:CC40)</f>
        <v>0.15</v>
      </c>
      <c r="CD34" s="35">
        <f>=SUM(CD35:CD40)</f>
        <v>0.15</v>
      </c>
      <c r="CE34" s="35">
        <f>=SUM(CE35:CE40)</f>
        <v>0.15</v>
      </c>
      <c r="CF34" s="35">
        <f>=SUM(CF35:CF40)</f>
        <v>0.15</v>
      </c>
      <c r="CG34" s="35">
        <f>=SUM(CG35:CG40)</f>
        <v>0.15</v>
      </c>
      <c r="CH34" s="35">
        <f>=SUM(CH35:CH40)</f>
        <v>0.15</v>
      </c>
      <c r="CI34" s="35">
        <f>=SUM(CI35:CI40)</f>
        <v>0.15</v>
      </c>
      <c r="CJ34" s="35">
        <f>=SUM(CJ35:CJ40)</f>
        <v>0.15</v>
      </c>
      <c r="CK34" s="35">
        <f>=SUM(CK35:CK40)</f>
        <v>0.15</v>
      </c>
      <c r="CL34" s="35">
        <f>=SUM(CL35:CL40)</f>
        <v>0.15</v>
      </c>
      <c r="CM34" s="35">
        <f>=SUM(CM35:CM40)</f>
        <v>0.15</v>
      </c>
      <c r="CN34" s="35">
        <f>=SUM(CN35:CN40)</f>
        <v>0.15</v>
      </c>
      <c r="CO34" s="35">
        <f>=SUM(CO35:CO40)</f>
        <v>0.15</v>
      </c>
      <c r="CP34" s="35">
        <f>=SUM(CP35:CP40)</f>
        <v>0.15</v>
      </c>
      <c r="CQ34" s="35">
        <f>=SUM(CQ35:CQ40)</f>
        <v>0.15</v>
      </c>
      <c r="CR34" s="35">
        <f>=SUM(CR35:CR40)</f>
        <v>0.15</v>
      </c>
      <c r="CS34" s="35">
        <f>=SUM(CS35:CS40)</f>
        <v>0.15</v>
      </c>
      <c r="CT34" s="35">
        <f>=SUM(CT35:CT40)</f>
        <v>0.15</v>
      </c>
      <c r="CU34" s="35">
        <f>=SUM(CU35:CU40)</f>
        <v>0.15</v>
      </c>
      <c r="CV34" s="35">
        <f>=SUM(CV35:CV40)</f>
        <v>0.15</v>
      </c>
      <c r="CW34" s="35">
        <f>=SUM(CW35:CW40)</f>
        <v>0.15</v>
      </c>
      <c r="CX34" s="35">
        <f>=SUM(CX35:CX40)</f>
        <v>0.15</v>
      </c>
      <c r="CY34" s="35">
        <f>=SUM(CY35:CY40)</f>
        <v>0.15</v>
      </c>
      <c r="CZ34" s="35">
        <f>=SUM(CZ35:CZ40)</f>
        <v>0.15</v>
      </c>
      <c r="DA34" s="35">
        <f>=SUM(DA35:DA40)</f>
        <v>0.15</v>
      </c>
      <c r="DB34" s="35">
        <f>=SUM(DB35:DB40)</f>
        <v>0.15</v>
      </c>
    </row>
    <row r="35" ht="18" customHeight="1" spans="1:106" x14ac:dyDescent="0.25">
      <c r="A35" s="36" t="s">
        <v>268</v>
      </c>
      <c r="B35" s="17"/>
      <c r="C35" s="37">
        <v>0.06</v>
      </c>
      <c r="D35" s="37">
        <v>0.06</v>
      </c>
      <c r="E35" s="37">
        <v>0.06</v>
      </c>
      <c r="F35" s="37">
        <v>0.06</v>
      </c>
      <c r="G35" s="37">
        <v>0.06</v>
      </c>
      <c r="H35" s="37">
        <v>0.06</v>
      </c>
      <c r="I35" s="37">
        <v>0.06</v>
      </c>
      <c r="J35" s="37">
        <v>0.06</v>
      </c>
      <c r="K35" s="37">
        <v>0.06</v>
      </c>
      <c r="L35" s="37">
        <v>0.06</v>
      </c>
      <c r="M35" s="37">
        <v>0.06</v>
      </c>
      <c r="N35" s="37">
        <v>0.06</v>
      </c>
      <c r="O35" s="37">
        <v>0.06</v>
      </c>
      <c r="P35" s="37">
        <v>0.06</v>
      </c>
      <c r="Q35" s="37">
        <v>0.06</v>
      </c>
      <c r="R35" s="37">
        <v>0.06</v>
      </c>
      <c r="S35" s="37">
        <v>0.06</v>
      </c>
      <c r="T35" s="37">
        <v>0.06</v>
      </c>
      <c r="U35" s="37">
        <v>0.06</v>
      </c>
      <c r="V35" s="37">
        <v>0.06</v>
      </c>
      <c r="W35" s="37">
        <v>0.06</v>
      </c>
      <c r="X35" s="37">
        <v>0.06</v>
      </c>
      <c r="Y35" s="37">
        <v>0.06</v>
      </c>
      <c r="Z35" s="37">
        <v>0.06</v>
      </c>
      <c r="AA35" s="37">
        <v>0.06</v>
      </c>
      <c r="AB35" s="37">
        <v>0.06</v>
      </c>
      <c r="AC35" s="37">
        <v>0.06</v>
      </c>
      <c r="AD35" s="37">
        <v>0.06</v>
      </c>
      <c r="AE35" s="37">
        <v>0.06</v>
      </c>
      <c r="AF35" s="37">
        <v>0.06</v>
      </c>
      <c r="AG35" s="37">
        <v>0.06</v>
      </c>
      <c r="AH35" s="37">
        <v>0.06</v>
      </c>
      <c r="AI35" s="37">
        <v>0.06</v>
      </c>
      <c r="AJ35" s="37">
        <v>0.06</v>
      </c>
      <c r="AK35" s="37">
        <v>0.06</v>
      </c>
      <c r="AL35" s="37">
        <v>0.06</v>
      </c>
      <c r="AM35" s="37">
        <v>0.06</v>
      </c>
      <c r="AN35" s="37">
        <v>0.06</v>
      </c>
      <c r="AO35" s="37">
        <v>0.06</v>
      </c>
      <c r="AP35" s="37">
        <v>0.06</v>
      </c>
      <c r="AQ35" s="37">
        <v>0.06</v>
      </c>
      <c r="AR35" s="37">
        <v>0.06</v>
      </c>
      <c r="AS35" s="37">
        <v>0.06</v>
      </c>
      <c r="AT35" s="37">
        <v>0.06</v>
      </c>
      <c r="AU35" s="37">
        <v>0.06</v>
      </c>
      <c r="AV35" s="37">
        <v>0.06</v>
      </c>
      <c r="AW35" s="37">
        <v>0.06</v>
      </c>
      <c r="AX35" s="37">
        <v>0.06</v>
      </c>
      <c r="AY35" s="37">
        <v>0.06</v>
      </c>
      <c r="AZ35" s="37">
        <v>0.06</v>
      </c>
      <c r="BA35" s="37">
        <v>0.06</v>
      </c>
      <c r="BB35" s="37">
        <v>0.06</v>
      </c>
      <c r="BC35" s="37">
        <v>0.06</v>
      </c>
      <c r="BD35" s="37">
        <v>0.06</v>
      </c>
      <c r="BE35" s="37">
        <v>0.06</v>
      </c>
      <c r="BF35" s="37">
        <v>0.06</v>
      </c>
      <c r="BG35" s="37">
        <v>0.06</v>
      </c>
      <c r="BH35" s="37">
        <v>0.06</v>
      </c>
      <c r="BI35" s="37">
        <v>0.06</v>
      </c>
      <c r="BJ35" s="37">
        <v>0.06</v>
      </c>
      <c r="BK35" s="37">
        <v>0.06</v>
      </c>
      <c r="BL35" s="37">
        <v>0.06</v>
      </c>
      <c r="BM35" s="37">
        <v>0.06</v>
      </c>
      <c r="BN35" s="37">
        <v>0.06</v>
      </c>
      <c r="BO35" s="37">
        <v>0.06</v>
      </c>
      <c r="BP35" s="37">
        <v>0.06</v>
      </c>
      <c r="BQ35" s="37">
        <v>0.06</v>
      </c>
      <c r="BR35" s="37">
        <v>0.06</v>
      </c>
      <c r="BS35" s="37">
        <v>0.06</v>
      </c>
      <c r="BT35" s="37">
        <v>0.06</v>
      </c>
      <c r="BU35" s="37">
        <v>0.06</v>
      </c>
      <c r="BV35" s="37">
        <v>0.06</v>
      </c>
      <c r="BW35" s="37">
        <v>0.06</v>
      </c>
      <c r="BX35" s="37">
        <v>0.06</v>
      </c>
      <c r="BY35" s="37">
        <v>0.06</v>
      </c>
      <c r="BZ35" s="37">
        <v>0.06</v>
      </c>
      <c r="CA35" s="37">
        <v>0.06</v>
      </c>
      <c r="CB35" s="37">
        <v>0.06</v>
      </c>
      <c r="CC35" s="37">
        <v>0.06</v>
      </c>
      <c r="CD35" s="37">
        <v>0.06</v>
      </c>
      <c r="CE35" s="37">
        <v>0.06</v>
      </c>
      <c r="CF35" s="37">
        <v>0.06</v>
      </c>
      <c r="CG35" s="37">
        <v>0.06</v>
      </c>
      <c r="CH35" s="37">
        <v>0.06</v>
      </c>
      <c r="CI35" s="37">
        <v>0.06</v>
      </c>
      <c r="CJ35" s="37">
        <v>0.06</v>
      </c>
      <c r="CK35" s="37">
        <v>0.06</v>
      </c>
      <c r="CL35" s="37">
        <v>0.06</v>
      </c>
      <c r="CM35" s="37">
        <v>0.06</v>
      </c>
      <c r="CN35" s="37">
        <v>0.06</v>
      </c>
      <c r="CO35" s="37">
        <v>0.06</v>
      </c>
      <c r="CP35" s="37">
        <v>0.06</v>
      </c>
      <c r="CQ35" s="37">
        <v>0.06</v>
      </c>
      <c r="CR35" s="37">
        <v>0.06</v>
      </c>
      <c r="CS35" s="37">
        <v>0.06</v>
      </c>
      <c r="CT35" s="37">
        <v>0.06</v>
      </c>
      <c r="CU35" s="37">
        <v>0.06</v>
      </c>
      <c r="CV35" s="37">
        <v>0.06</v>
      </c>
      <c r="CW35" s="37">
        <v>0.06</v>
      </c>
      <c r="CX35" s="37">
        <v>0.06</v>
      </c>
      <c r="CY35" s="37">
        <v>0.06</v>
      </c>
      <c r="CZ35" s="37">
        <v>0.06</v>
      </c>
      <c r="DA35" s="37">
        <v>0.06</v>
      </c>
      <c r="DB35" s="37">
        <v>0.06</v>
      </c>
    </row>
    <row r="36" ht="18" customHeight="1" spans="1:106" x14ac:dyDescent="0.25">
      <c r="A36" s="36" t="s">
        <v>269</v>
      </c>
      <c r="B36" s="17"/>
      <c r="C36" s="37">
        <v>0.03</v>
      </c>
      <c r="D36" s="37">
        <v>0.03</v>
      </c>
      <c r="E36" s="37">
        <v>0.03</v>
      </c>
      <c r="F36" s="37">
        <v>0.03</v>
      </c>
      <c r="G36" s="37">
        <v>0.03</v>
      </c>
      <c r="H36" s="37">
        <v>0.03</v>
      </c>
      <c r="I36" s="37">
        <v>0.03</v>
      </c>
      <c r="J36" s="37">
        <v>0.03</v>
      </c>
      <c r="K36" s="37">
        <v>0.03</v>
      </c>
      <c r="L36" s="37">
        <v>0.03</v>
      </c>
      <c r="M36" s="37">
        <v>0.03</v>
      </c>
      <c r="N36" s="37">
        <v>0.03</v>
      </c>
      <c r="O36" s="37">
        <v>0.03</v>
      </c>
      <c r="P36" s="37">
        <v>0.03</v>
      </c>
      <c r="Q36" s="37">
        <v>0.03</v>
      </c>
      <c r="R36" s="37">
        <v>0.03</v>
      </c>
      <c r="S36" s="37">
        <v>0.03</v>
      </c>
      <c r="T36" s="37">
        <v>0.03</v>
      </c>
      <c r="U36" s="37">
        <v>0.03</v>
      </c>
      <c r="V36" s="37">
        <v>0.03</v>
      </c>
      <c r="W36" s="37">
        <v>0.03</v>
      </c>
      <c r="X36" s="37">
        <v>0.03</v>
      </c>
      <c r="Y36" s="37">
        <v>0.03</v>
      </c>
      <c r="Z36" s="37">
        <v>0.03</v>
      </c>
      <c r="AA36" s="37">
        <v>0.03</v>
      </c>
      <c r="AB36" s="37">
        <v>0.03</v>
      </c>
      <c r="AC36" s="37">
        <v>0.03</v>
      </c>
      <c r="AD36" s="37">
        <v>0.03</v>
      </c>
      <c r="AE36" s="37">
        <v>0.03</v>
      </c>
      <c r="AF36" s="37">
        <v>0.03</v>
      </c>
      <c r="AG36" s="37">
        <v>0.03</v>
      </c>
      <c r="AH36" s="37">
        <v>0.03</v>
      </c>
      <c r="AI36" s="37">
        <v>0.03</v>
      </c>
      <c r="AJ36" s="37">
        <v>0.03</v>
      </c>
      <c r="AK36" s="37">
        <v>0.03</v>
      </c>
      <c r="AL36" s="37">
        <v>0.03</v>
      </c>
      <c r="AM36" s="37">
        <v>0.03</v>
      </c>
      <c r="AN36" s="37">
        <v>0.03</v>
      </c>
      <c r="AO36" s="37">
        <v>0.03</v>
      </c>
      <c r="AP36" s="37">
        <v>0.03</v>
      </c>
      <c r="AQ36" s="37">
        <v>0.03</v>
      </c>
      <c r="AR36" s="37">
        <v>0.03</v>
      </c>
      <c r="AS36" s="37">
        <v>0.03</v>
      </c>
      <c r="AT36" s="37">
        <v>0.03</v>
      </c>
      <c r="AU36" s="37">
        <v>0.03</v>
      </c>
      <c r="AV36" s="37">
        <v>0.03</v>
      </c>
      <c r="AW36" s="37">
        <v>0.03</v>
      </c>
      <c r="AX36" s="37">
        <v>0.03</v>
      </c>
      <c r="AY36" s="37">
        <v>0.03</v>
      </c>
      <c r="AZ36" s="37">
        <v>0.03</v>
      </c>
      <c r="BA36" s="37">
        <v>0.03</v>
      </c>
      <c r="BB36" s="37">
        <v>0.03</v>
      </c>
      <c r="BC36" s="37">
        <v>0.03</v>
      </c>
      <c r="BD36" s="37">
        <v>0.03</v>
      </c>
      <c r="BE36" s="37">
        <v>0.03</v>
      </c>
      <c r="BF36" s="37">
        <v>0.03</v>
      </c>
      <c r="BG36" s="37">
        <v>0.03</v>
      </c>
      <c r="BH36" s="37">
        <v>0.03</v>
      </c>
      <c r="BI36" s="37">
        <v>0.03</v>
      </c>
      <c r="BJ36" s="37">
        <v>0.03</v>
      </c>
      <c r="BK36" s="37">
        <v>0.03</v>
      </c>
      <c r="BL36" s="37">
        <v>0.03</v>
      </c>
      <c r="BM36" s="37">
        <v>0.03</v>
      </c>
      <c r="BN36" s="37">
        <v>0.03</v>
      </c>
      <c r="BO36" s="37">
        <v>0.03</v>
      </c>
      <c r="BP36" s="37">
        <v>0.03</v>
      </c>
      <c r="BQ36" s="37">
        <v>0.03</v>
      </c>
      <c r="BR36" s="37">
        <v>0.03</v>
      </c>
      <c r="BS36" s="37">
        <v>0.03</v>
      </c>
      <c r="BT36" s="37">
        <v>0.03</v>
      </c>
      <c r="BU36" s="37">
        <v>0.03</v>
      </c>
      <c r="BV36" s="37">
        <v>0.03</v>
      </c>
      <c r="BW36" s="37">
        <v>0.03</v>
      </c>
      <c r="BX36" s="37">
        <v>0.03</v>
      </c>
      <c r="BY36" s="37">
        <v>0.03</v>
      </c>
      <c r="BZ36" s="37">
        <v>0.03</v>
      </c>
      <c r="CA36" s="37">
        <v>0.03</v>
      </c>
      <c r="CB36" s="37">
        <v>0.03</v>
      </c>
      <c r="CC36" s="37">
        <v>0.03</v>
      </c>
      <c r="CD36" s="37">
        <v>0.03</v>
      </c>
      <c r="CE36" s="37">
        <v>0.03</v>
      </c>
      <c r="CF36" s="37">
        <v>0.03</v>
      </c>
      <c r="CG36" s="37">
        <v>0.03</v>
      </c>
      <c r="CH36" s="37">
        <v>0.03</v>
      </c>
      <c r="CI36" s="37">
        <v>0.03</v>
      </c>
      <c r="CJ36" s="37">
        <v>0.03</v>
      </c>
      <c r="CK36" s="37">
        <v>0.03</v>
      </c>
      <c r="CL36" s="37">
        <v>0.03</v>
      </c>
      <c r="CM36" s="37">
        <v>0.03</v>
      </c>
      <c r="CN36" s="37">
        <v>0.03</v>
      </c>
      <c r="CO36" s="37">
        <v>0.03</v>
      </c>
      <c r="CP36" s="37">
        <v>0.03</v>
      </c>
      <c r="CQ36" s="37">
        <v>0.03</v>
      </c>
      <c r="CR36" s="37">
        <v>0.03</v>
      </c>
      <c r="CS36" s="37">
        <v>0.03</v>
      </c>
      <c r="CT36" s="37">
        <v>0.03</v>
      </c>
      <c r="CU36" s="37">
        <v>0.03</v>
      </c>
      <c r="CV36" s="37">
        <v>0.03</v>
      </c>
      <c r="CW36" s="37">
        <v>0.03</v>
      </c>
      <c r="CX36" s="37">
        <v>0.03</v>
      </c>
      <c r="CY36" s="37">
        <v>0.03</v>
      </c>
      <c r="CZ36" s="37">
        <v>0.03</v>
      </c>
      <c r="DA36" s="37">
        <v>0.03</v>
      </c>
      <c r="DB36" s="37">
        <v>0.03</v>
      </c>
    </row>
    <row r="37" ht="18" customHeight="1" spans="1:106" x14ac:dyDescent="0.25">
      <c r="A37" s="36" t="s">
        <v>270</v>
      </c>
      <c r="C37" s="37">
        <v>0.03</v>
      </c>
      <c r="D37" s="37">
        <v>0.03</v>
      </c>
      <c r="E37" s="37">
        <v>0.03</v>
      </c>
      <c r="F37" s="37">
        <v>0.03</v>
      </c>
      <c r="G37" s="37">
        <v>0.03</v>
      </c>
      <c r="H37" s="37">
        <v>0.03</v>
      </c>
      <c r="I37" s="37">
        <v>0.03</v>
      </c>
      <c r="J37" s="37">
        <v>0.03</v>
      </c>
      <c r="K37" s="37">
        <v>0.03</v>
      </c>
      <c r="L37" s="37">
        <v>0.03</v>
      </c>
      <c r="M37" s="37">
        <v>0.03</v>
      </c>
      <c r="N37" s="37">
        <v>0.03</v>
      </c>
      <c r="O37" s="37">
        <v>0.03</v>
      </c>
      <c r="P37" s="37">
        <v>0.03</v>
      </c>
      <c r="Q37" s="37">
        <v>0.03</v>
      </c>
      <c r="R37" s="37">
        <v>0.03</v>
      </c>
      <c r="S37" s="37">
        <v>0.03</v>
      </c>
      <c r="T37" s="37">
        <v>0.03</v>
      </c>
      <c r="U37" s="37">
        <v>0.03</v>
      </c>
      <c r="V37" s="37">
        <v>0.03</v>
      </c>
      <c r="W37" s="37">
        <v>0.03</v>
      </c>
      <c r="X37" s="37">
        <v>0.03</v>
      </c>
      <c r="Y37" s="37">
        <v>0.03</v>
      </c>
      <c r="Z37" s="37">
        <v>0.03</v>
      </c>
      <c r="AA37" s="37">
        <v>0.03</v>
      </c>
      <c r="AB37" s="37">
        <v>0.03</v>
      </c>
      <c r="AC37" s="37">
        <v>0.03</v>
      </c>
      <c r="AD37" s="37">
        <v>0.03</v>
      </c>
      <c r="AE37" s="37">
        <v>0.03</v>
      </c>
      <c r="AF37" s="37">
        <v>0.03</v>
      </c>
      <c r="AG37" s="37">
        <v>0.03</v>
      </c>
      <c r="AH37" s="37">
        <v>0.03</v>
      </c>
      <c r="AI37" s="37">
        <v>0.03</v>
      </c>
      <c r="AJ37" s="37">
        <v>0.03</v>
      </c>
      <c r="AK37" s="37">
        <v>0.03</v>
      </c>
      <c r="AL37" s="37">
        <v>0.03</v>
      </c>
      <c r="AM37" s="37">
        <v>0.03</v>
      </c>
      <c r="AN37" s="37">
        <v>0.03</v>
      </c>
      <c r="AO37" s="37">
        <v>0.03</v>
      </c>
      <c r="AP37" s="37">
        <v>0.03</v>
      </c>
      <c r="AQ37" s="37">
        <v>0.03</v>
      </c>
      <c r="AR37" s="37">
        <v>0.03</v>
      </c>
      <c r="AS37" s="37">
        <v>0.03</v>
      </c>
      <c r="AT37" s="37">
        <v>0.03</v>
      </c>
      <c r="AU37" s="37">
        <v>0.03</v>
      </c>
      <c r="AV37" s="37">
        <v>0.03</v>
      </c>
      <c r="AW37" s="37">
        <v>0.03</v>
      </c>
      <c r="AX37" s="37">
        <v>0.03</v>
      </c>
      <c r="AY37" s="37">
        <v>0.03</v>
      </c>
      <c r="AZ37" s="37">
        <v>0.03</v>
      </c>
      <c r="BA37" s="37">
        <v>0.03</v>
      </c>
      <c r="BB37" s="37">
        <v>0.03</v>
      </c>
      <c r="BC37" s="37">
        <v>0.03</v>
      </c>
      <c r="BD37" s="37">
        <v>0.03</v>
      </c>
      <c r="BE37" s="37">
        <v>0.03</v>
      </c>
      <c r="BF37" s="37">
        <v>0.03</v>
      </c>
      <c r="BG37" s="37">
        <v>0.03</v>
      </c>
      <c r="BH37" s="37">
        <v>0.03</v>
      </c>
      <c r="BI37" s="37">
        <v>0.03</v>
      </c>
      <c r="BJ37" s="37">
        <v>0.03</v>
      </c>
      <c r="BK37" s="37">
        <v>0.03</v>
      </c>
      <c r="BL37" s="37">
        <v>0.03</v>
      </c>
      <c r="BM37" s="37">
        <v>0.03</v>
      </c>
      <c r="BN37" s="37">
        <v>0.03</v>
      </c>
      <c r="BO37" s="37">
        <v>0.03</v>
      </c>
      <c r="BP37" s="37">
        <v>0.03</v>
      </c>
      <c r="BQ37" s="37">
        <v>0.03</v>
      </c>
      <c r="BR37" s="37">
        <v>0.03</v>
      </c>
      <c r="BS37" s="37">
        <v>0.03</v>
      </c>
      <c r="BT37" s="37">
        <v>0.03</v>
      </c>
      <c r="BU37" s="37">
        <v>0.03</v>
      </c>
      <c r="BV37" s="37">
        <v>0.03</v>
      </c>
      <c r="BW37" s="37">
        <v>0.03</v>
      </c>
      <c r="BX37" s="37">
        <v>0.03</v>
      </c>
      <c r="BY37" s="37">
        <v>0.03</v>
      </c>
      <c r="BZ37" s="37">
        <v>0.03</v>
      </c>
      <c r="CA37" s="37">
        <v>0.03</v>
      </c>
      <c r="CB37" s="37">
        <v>0.03</v>
      </c>
      <c r="CC37" s="37">
        <v>0.03</v>
      </c>
      <c r="CD37" s="37">
        <v>0.03</v>
      </c>
      <c r="CE37" s="37">
        <v>0.03</v>
      </c>
      <c r="CF37" s="37">
        <v>0.03</v>
      </c>
      <c r="CG37" s="37">
        <v>0.03</v>
      </c>
      <c r="CH37" s="37">
        <v>0.03</v>
      </c>
      <c r="CI37" s="37">
        <v>0.03</v>
      </c>
      <c r="CJ37" s="37">
        <v>0.03</v>
      </c>
      <c r="CK37" s="37">
        <v>0.03</v>
      </c>
      <c r="CL37" s="37">
        <v>0.03</v>
      </c>
      <c r="CM37" s="37">
        <v>0.03</v>
      </c>
      <c r="CN37" s="37">
        <v>0.03</v>
      </c>
      <c r="CO37" s="37">
        <v>0.03</v>
      </c>
      <c r="CP37" s="37">
        <v>0.03</v>
      </c>
      <c r="CQ37" s="37">
        <v>0.03</v>
      </c>
      <c r="CR37" s="37">
        <v>0.03</v>
      </c>
      <c r="CS37" s="37">
        <v>0.03</v>
      </c>
      <c r="CT37" s="37">
        <v>0.03</v>
      </c>
      <c r="CU37" s="37">
        <v>0.03</v>
      </c>
      <c r="CV37" s="37">
        <v>0.03</v>
      </c>
      <c r="CW37" s="37">
        <v>0.03</v>
      </c>
      <c r="CX37" s="37">
        <v>0.03</v>
      </c>
      <c r="CY37" s="37">
        <v>0.03</v>
      </c>
      <c r="CZ37" s="37">
        <v>0.03</v>
      </c>
      <c r="DA37" s="37">
        <v>0.03</v>
      </c>
      <c r="DB37" s="37">
        <v>0.03</v>
      </c>
    </row>
    <row r="38" ht="18" customHeight="1" spans="1:106" x14ac:dyDescent="0.25">
      <c r="A38" s="36" t="s">
        <v>271</v>
      </c>
      <c r="C38" s="37">
        <v>0.01</v>
      </c>
      <c r="D38" s="37">
        <v>0.01</v>
      </c>
      <c r="E38" s="37">
        <v>0.01</v>
      </c>
      <c r="F38" s="37">
        <v>0.01</v>
      </c>
      <c r="G38" s="37">
        <v>0.01</v>
      </c>
      <c r="H38" s="37">
        <v>0.01</v>
      </c>
      <c r="I38" s="37">
        <v>0.01</v>
      </c>
      <c r="J38" s="37">
        <v>0.01</v>
      </c>
      <c r="K38" s="37">
        <v>0.01</v>
      </c>
      <c r="L38" s="37">
        <v>0.01</v>
      </c>
      <c r="M38" s="37">
        <v>0.01</v>
      </c>
      <c r="N38" s="37">
        <v>0.01</v>
      </c>
      <c r="O38" s="37">
        <v>0.01</v>
      </c>
      <c r="P38" s="37">
        <v>0.01</v>
      </c>
      <c r="Q38" s="37">
        <v>0.01</v>
      </c>
      <c r="R38" s="37">
        <v>0.01</v>
      </c>
      <c r="S38" s="37">
        <v>0.01</v>
      </c>
      <c r="T38" s="37">
        <v>0.01</v>
      </c>
      <c r="U38" s="37">
        <v>0.01</v>
      </c>
      <c r="V38" s="37">
        <v>0.01</v>
      </c>
      <c r="W38" s="37">
        <v>0.01</v>
      </c>
      <c r="X38" s="37">
        <v>0.01</v>
      </c>
      <c r="Y38" s="37">
        <v>0.01</v>
      </c>
      <c r="Z38" s="37">
        <v>0.01</v>
      </c>
      <c r="AA38" s="37">
        <v>0.01</v>
      </c>
      <c r="AB38" s="37">
        <v>0.01</v>
      </c>
      <c r="AC38" s="37">
        <v>0.01</v>
      </c>
      <c r="AD38" s="37">
        <v>0.01</v>
      </c>
      <c r="AE38" s="37">
        <v>0.01</v>
      </c>
      <c r="AF38" s="37">
        <v>0.01</v>
      </c>
      <c r="AG38" s="37">
        <v>0.01</v>
      </c>
      <c r="AH38" s="37">
        <v>0.01</v>
      </c>
      <c r="AI38" s="37">
        <v>0.01</v>
      </c>
      <c r="AJ38" s="37">
        <v>0.01</v>
      </c>
      <c r="AK38" s="37">
        <v>0.01</v>
      </c>
      <c r="AL38" s="37">
        <v>0.01</v>
      </c>
      <c r="AM38" s="37">
        <v>0.01</v>
      </c>
      <c r="AN38" s="37">
        <v>0.01</v>
      </c>
      <c r="AO38" s="37">
        <v>0.01</v>
      </c>
      <c r="AP38" s="37">
        <v>0.01</v>
      </c>
      <c r="AQ38" s="37">
        <v>0.01</v>
      </c>
      <c r="AR38" s="37">
        <v>0.01</v>
      </c>
      <c r="AS38" s="37">
        <v>0.01</v>
      </c>
      <c r="AT38" s="37">
        <v>0.01</v>
      </c>
      <c r="AU38" s="37">
        <v>0.01</v>
      </c>
      <c r="AV38" s="37">
        <v>0.01</v>
      </c>
      <c r="AW38" s="37">
        <v>0.01</v>
      </c>
      <c r="AX38" s="37">
        <v>0.01</v>
      </c>
      <c r="AY38" s="37">
        <v>0.01</v>
      </c>
      <c r="AZ38" s="37">
        <v>0.01</v>
      </c>
      <c r="BA38" s="37">
        <v>0.01</v>
      </c>
      <c r="BB38" s="37">
        <v>0.01</v>
      </c>
      <c r="BC38" s="37">
        <v>0.01</v>
      </c>
      <c r="BD38" s="37">
        <v>0.01</v>
      </c>
      <c r="BE38" s="37">
        <v>0.01</v>
      </c>
      <c r="BF38" s="37">
        <v>0.01</v>
      </c>
      <c r="BG38" s="37">
        <v>0.01</v>
      </c>
      <c r="BH38" s="37">
        <v>0.01</v>
      </c>
      <c r="BI38" s="37">
        <v>0.01</v>
      </c>
      <c r="BJ38" s="37">
        <v>0.01</v>
      </c>
      <c r="BK38" s="37">
        <v>0.01</v>
      </c>
      <c r="BL38" s="37">
        <v>0.01</v>
      </c>
      <c r="BM38" s="37">
        <v>0.01</v>
      </c>
      <c r="BN38" s="37">
        <v>0.01</v>
      </c>
      <c r="BO38" s="37">
        <v>0.01</v>
      </c>
      <c r="BP38" s="37">
        <v>0.01</v>
      </c>
      <c r="BQ38" s="37">
        <v>0.01</v>
      </c>
      <c r="BR38" s="37">
        <v>0.01</v>
      </c>
      <c r="BS38" s="37">
        <v>0.01</v>
      </c>
      <c r="BT38" s="37">
        <v>0.01</v>
      </c>
      <c r="BU38" s="37">
        <v>0.01</v>
      </c>
      <c r="BV38" s="37">
        <v>0.01</v>
      </c>
      <c r="BW38" s="37">
        <v>0.01</v>
      </c>
      <c r="BX38" s="37">
        <v>0.01</v>
      </c>
      <c r="BY38" s="37">
        <v>0.01</v>
      </c>
      <c r="BZ38" s="37">
        <v>0.01</v>
      </c>
      <c r="CA38" s="37">
        <v>0.01</v>
      </c>
      <c r="CB38" s="37">
        <v>0.01</v>
      </c>
      <c r="CC38" s="37">
        <v>0.01</v>
      </c>
      <c r="CD38" s="37">
        <v>0.01</v>
      </c>
      <c r="CE38" s="37">
        <v>0.01</v>
      </c>
      <c r="CF38" s="37">
        <v>0.01</v>
      </c>
      <c r="CG38" s="37">
        <v>0.01</v>
      </c>
      <c r="CH38" s="37">
        <v>0.01</v>
      </c>
      <c r="CI38" s="37">
        <v>0.01</v>
      </c>
      <c r="CJ38" s="37">
        <v>0.01</v>
      </c>
      <c r="CK38" s="37">
        <v>0.01</v>
      </c>
      <c r="CL38" s="37">
        <v>0.01</v>
      </c>
      <c r="CM38" s="37">
        <v>0.01</v>
      </c>
      <c r="CN38" s="37">
        <v>0.01</v>
      </c>
      <c r="CO38" s="37">
        <v>0.01</v>
      </c>
      <c r="CP38" s="37">
        <v>0.01</v>
      </c>
      <c r="CQ38" s="37">
        <v>0.01</v>
      </c>
      <c r="CR38" s="37">
        <v>0.01</v>
      </c>
      <c r="CS38" s="37">
        <v>0.01</v>
      </c>
      <c r="CT38" s="37">
        <v>0.01</v>
      </c>
      <c r="CU38" s="37">
        <v>0.01</v>
      </c>
      <c r="CV38" s="37">
        <v>0.01</v>
      </c>
      <c r="CW38" s="37">
        <v>0.01</v>
      </c>
      <c r="CX38" s="37">
        <v>0.01</v>
      </c>
      <c r="CY38" s="37">
        <v>0.01</v>
      </c>
      <c r="CZ38" s="37">
        <v>0.01</v>
      </c>
      <c r="DA38" s="37">
        <v>0.01</v>
      </c>
      <c r="DB38" s="37">
        <v>0.01</v>
      </c>
    </row>
    <row r="39" ht="18" customHeight="1" spans="1:106" x14ac:dyDescent="0.25">
      <c r="A39" s="36" t="s">
        <v>272</v>
      </c>
      <c r="C39" s="39">
        <v>0.02</v>
      </c>
      <c r="D39" s="39">
        <v>0.02</v>
      </c>
      <c r="E39" s="39">
        <v>0.02</v>
      </c>
      <c r="F39" s="39">
        <v>0.02</v>
      </c>
      <c r="G39" s="39">
        <v>0.02</v>
      </c>
      <c r="H39" s="39">
        <v>0.02</v>
      </c>
      <c r="I39" s="39">
        <v>0.02</v>
      </c>
      <c r="J39" s="39">
        <v>0.02</v>
      </c>
      <c r="K39" s="39">
        <v>0.02</v>
      </c>
      <c r="L39" s="39">
        <v>0.02</v>
      </c>
      <c r="M39" s="39">
        <v>0.02</v>
      </c>
      <c r="N39" s="39">
        <v>0.02</v>
      </c>
      <c r="O39" s="39">
        <v>0.02</v>
      </c>
      <c r="P39" s="39">
        <v>0.02</v>
      </c>
      <c r="Q39" s="39">
        <v>0.02</v>
      </c>
      <c r="R39" s="39">
        <v>0.02</v>
      </c>
      <c r="S39" s="39">
        <v>0.02</v>
      </c>
      <c r="T39" s="39">
        <v>0.02</v>
      </c>
      <c r="U39" s="39">
        <v>0.02</v>
      </c>
      <c r="V39" s="39">
        <v>0.02</v>
      </c>
      <c r="W39" s="39">
        <v>0.02</v>
      </c>
      <c r="X39" s="39">
        <v>0.02</v>
      </c>
      <c r="Y39" s="39">
        <v>0.02</v>
      </c>
      <c r="Z39" s="39">
        <v>0.02</v>
      </c>
      <c r="AA39" s="39">
        <v>0.02</v>
      </c>
      <c r="AB39" s="39">
        <v>0.02</v>
      </c>
      <c r="AC39" s="39">
        <v>0.02</v>
      </c>
      <c r="AD39" s="39">
        <v>0.02</v>
      </c>
      <c r="AE39" s="39">
        <v>0.02</v>
      </c>
      <c r="AF39" s="39">
        <v>0.02</v>
      </c>
      <c r="AG39" s="39">
        <v>0.02</v>
      </c>
      <c r="AH39" s="39">
        <v>0.02</v>
      </c>
      <c r="AI39" s="39">
        <v>0.02</v>
      </c>
      <c r="AJ39" s="39">
        <v>0.02</v>
      </c>
      <c r="AK39" s="39">
        <v>0.02</v>
      </c>
      <c r="AL39" s="39">
        <v>0.02</v>
      </c>
      <c r="AM39" s="39">
        <v>0.02</v>
      </c>
      <c r="AN39" s="39">
        <v>0.02</v>
      </c>
      <c r="AO39" s="39">
        <v>0.02</v>
      </c>
      <c r="AP39" s="39">
        <v>0.02</v>
      </c>
      <c r="AQ39" s="39">
        <v>0.02</v>
      </c>
      <c r="AR39" s="39">
        <v>0.02</v>
      </c>
      <c r="AS39" s="39">
        <v>0.02</v>
      </c>
      <c r="AT39" s="39">
        <v>0.02</v>
      </c>
      <c r="AU39" s="39">
        <v>0.02</v>
      </c>
      <c r="AV39" s="39">
        <v>0.02</v>
      </c>
      <c r="AW39" s="39">
        <v>0.02</v>
      </c>
      <c r="AX39" s="39">
        <v>0.02</v>
      </c>
      <c r="AY39" s="39">
        <v>0.02</v>
      </c>
      <c r="AZ39" s="39">
        <v>0.02</v>
      </c>
      <c r="BA39" s="39">
        <v>0.02</v>
      </c>
      <c r="BB39" s="39">
        <v>0.02</v>
      </c>
      <c r="BC39" s="39">
        <v>0.02</v>
      </c>
      <c r="BD39" s="39">
        <v>0.02</v>
      </c>
      <c r="BE39" s="39">
        <v>0.02</v>
      </c>
      <c r="BF39" s="39">
        <v>0.02</v>
      </c>
      <c r="BG39" s="39">
        <v>0.02</v>
      </c>
      <c r="BH39" s="39">
        <v>0.02</v>
      </c>
      <c r="BI39" s="39">
        <v>0.02</v>
      </c>
      <c r="BJ39" s="39">
        <v>0.02</v>
      </c>
      <c r="BK39" s="39">
        <v>0.02</v>
      </c>
      <c r="BL39" s="39">
        <v>0.02</v>
      </c>
      <c r="BM39" s="39">
        <v>0.02</v>
      </c>
      <c r="BN39" s="39">
        <v>0.02</v>
      </c>
      <c r="BO39" s="39">
        <v>0.02</v>
      </c>
      <c r="BP39" s="39">
        <v>0.02</v>
      </c>
      <c r="BQ39" s="39">
        <v>0.02</v>
      </c>
      <c r="BR39" s="39">
        <v>0.02</v>
      </c>
      <c r="BS39" s="39">
        <v>0.02</v>
      </c>
      <c r="BT39" s="39">
        <v>0.02</v>
      </c>
      <c r="BU39" s="39">
        <v>0.02</v>
      </c>
      <c r="BV39" s="39">
        <v>0.02</v>
      </c>
      <c r="BW39" s="39">
        <v>0.02</v>
      </c>
      <c r="BX39" s="39">
        <v>0.02</v>
      </c>
      <c r="BY39" s="39">
        <v>0.02</v>
      </c>
      <c r="BZ39" s="39">
        <v>0.02</v>
      </c>
      <c r="CA39" s="39">
        <v>0.02</v>
      </c>
      <c r="CB39" s="39">
        <v>0.02</v>
      </c>
      <c r="CC39" s="39">
        <v>0.02</v>
      </c>
      <c r="CD39" s="39">
        <v>0.02</v>
      </c>
      <c r="CE39" s="39">
        <v>0.02</v>
      </c>
      <c r="CF39" s="39">
        <v>0.02</v>
      </c>
      <c r="CG39" s="39">
        <v>0.02</v>
      </c>
      <c r="CH39" s="39">
        <v>0.02</v>
      </c>
      <c r="CI39" s="39">
        <v>0.02</v>
      </c>
      <c r="CJ39" s="39">
        <v>0.02</v>
      </c>
      <c r="CK39" s="39">
        <v>0.02</v>
      </c>
      <c r="CL39" s="39">
        <v>0.02</v>
      </c>
      <c r="CM39" s="39">
        <v>0.02</v>
      </c>
      <c r="CN39" s="39">
        <v>0.02</v>
      </c>
      <c r="CO39" s="39">
        <v>0.02</v>
      </c>
      <c r="CP39" s="39">
        <v>0.02</v>
      </c>
      <c r="CQ39" s="39">
        <v>0.02</v>
      </c>
      <c r="CR39" s="39">
        <v>0.02</v>
      </c>
      <c r="CS39" s="39">
        <v>0.02</v>
      </c>
      <c r="CT39" s="39">
        <v>0.02</v>
      </c>
      <c r="CU39" s="39">
        <v>0.02</v>
      </c>
      <c r="CV39" s="39">
        <v>0.02</v>
      </c>
      <c r="CW39" s="39">
        <v>0.02</v>
      </c>
      <c r="CX39" s="39">
        <v>0.02</v>
      </c>
      <c r="CY39" s="39">
        <v>0.02</v>
      </c>
      <c r="CZ39" s="39">
        <v>0.02</v>
      </c>
      <c r="DA39" s="39">
        <v>0.02</v>
      </c>
      <c r="DB39" s="39">
        <v>0.02</v>
      </c>
    </row>
    <row r="40" ht="18" customHeight="1" spans="1:106" x14ac:dyDescent="0.25">
      <c r="A40" s="36" t="s">
        <v>273</v>
      </c>
      <c r="C40" s="39">
        <v>0</v>
      </c>
      <c r="D40" s="39">
        <v>0</v>
      </c>
      <c r="E40" s="39">
        <v>0</v>
      </c>
      <c r="F40" s="39">
        <v>0</v>
      </c>
      <c r="G40" s="39">
        <v>0</v>
      </c>
      <c r="H40" s="39">
        <v>0</v>
      </c>
      <c r="I40" s="39">
        <v>0</v>
      </c>
      <c r="J40" s="39">
        <v>0</v>
      </c>
      <c r="K40" s="39">
        <v>0</v>
      </c>
      <c r="L40" s="39">
        <v>0</v>
      </c>
      <c r="M40" s="39">
        <v>0</v>
      </c>
      <c r="N40" s="39">
        <v>0</v>
      </c>
      <c r="O40" s="39">
        <v>0</v>
      </c>
      <c r="P40" s="39">
        <v>0</v>
      </c>
      <c r="Q40" s="39">
        <v>0</v>
      </c>
      <c r="R40" s="39">
        <v>0</v>
      </c>
      <c r="S40" s="39">
        <v>0</v>
      </c>
      <c r="T40" s="39">
        <v>0</v>
      </c>
      <c r="U40" s="39">
        <v>0</v>
      </c>
      <c r="V40" s="39">
        <v>0</v>
      </c>
      <c r="W40" s="39">
        <v>0</v>
      </c>
      <c r="X40" s="39">
        <v>0</v>
      </c>
      <c r="Y40" s="39">
        <v>0</v>
      </c>
      <c r="Z40" s="39">
        <v>0</v>
      </c>
      <c r="AA40" s="39">
        <v>0</v>
      </c>
      <c r="AB40" s="39">
        <v>0</v>
      </c>
      <c r="AC40" s="39">
        <v>0</v>
      </c>
      <c r="AD40" s="39">
        <v>0</v>
      </c>
      <c r="AE40" s="39">
        <v>0</v>
      </c>
      <c r="AF40" s="39">
        <v>0</v>
      </c>
      <c r="AG40" s="39">
        <v>0</v>
      </c>
      <c r="AH40" s="39">
        <v>0</v>
      </c>
      <c r="AI40" s="39">
        <v>0</v>
      </c>
      <c r="AJ40" s="39">
        <v>0</v>
      </c>
      <c r="AK40" s="39">
        <v>0</v>
      </c>
      <c r="AL40" s="39">
        <v>0</v>
      </c>
      <c r="AM40" s="39">
        <v>0</v>
      </c>
      <c r="AN40" s="39">
        <v>0</v>
      </c>
      <c r="AO40" s="39">
        <v>0</v>
      </c>
      <c r="AP40" s="39">
        <v>0</v>
      </c>
      <c r="AQ40" s="39">
        <v>0</v>
      </c>
      <c r="AR40" s="39">
        <v>0</v>
      </c>
      <c r="AS40" s="39">
        <v>0</v>
      </c>
      <c r="AT40" s="39">
        <v>0</v>
      </c>
      <c r="AU40" s="39">
        <v>0</v>
      </c>
      <c r="AV40" s="39">
        <v>0</v>
      </c>
      <c r="AW40" s="39">
        <v>0</v>
      </c>
      <c r="AX40" s="39">
        <v>0</v>
      </c>
      <c r="AY40" s="39">
        <v>0</v>
      </c>
      <c r="AZ40" s="39">
        <v>0</v>
      </c>
      <c r="BA40" s="39">
        <v>0</v>
      </c>
      <c r="BB40" s="39">
        <v>0</v>
      </c>
      <c r="BC40" s="39">
        <v>0</v>
      </c>
      <c r="BD40" s="39">
        <v>0</v>
      </c>
      <c r="BE40" s="39">
        <v>0</v>
      </c>
      <c r="BF40" s="39">
        <v>0</v>
      </c>
      <c r="BG40" s="39">
        <v>0</v>
      </c>
      <c r="BH40" s="39">
        <v>0</v>
      </c>
      <c r="BI40" s="39">
        <v>0</v>
      </c>
      <c r="BJ40" s="39">
        <v>0</v>
      </c>
      <c r="BK40" s="39">
        <v>0</v>
      </c>
      <c r="BL40" s="39">
        <v>0</v>
      </c>
      <c r="BM40" s="39">
        <v>0</v>
      </c>
      <c r="BN40" s="39">
        <v>0</v>
      </c>
      <c r="BO40" s="39">
        <v>0</v>
      </c>
      <c r="BP40" s="39">
        <v>0</v>
      </c>
      <c r="BQ40" s="39">
        <v>0</v>
      </c>
      <c r="BR40" s="39">
        <v>0</v>
      </c>
      <c r="BS40" s="39">
        <v>0</v>
      </c>
      <c r="BT40" s="39">
        <v>0</v>
      </c>
      <c r="BU40" s="39">
        <v>0</v>
      </c>
      <c r="BV40" s="39">
        <v>0</v>
      </c>
      <c r="BW40" s="39">
        <v>0</v>
      </c>
      <c r="BX40" s="39">
        <v>0</v>
      </c>
      <c r="BY40" s="39">
        <v>0</v>
      </c>
      <c r="BZ40" s="39">
        <v>0</v>
      </c>
      <c r="CA40" s="39">
        <v>0</v>
      </c>
      <c r="CB40" s="39">
        <v>0</v>
      </c>
      <c r="CC40" s="39">
        <v>0</v>
      </c>
      <c r="CD40" s="39">
        <v>0</v>
      </c>
      <c r="CE40" s="39">
        <v>0</v>
      </c>
      <c r="CF40" s="39">
        <v>0</v>
      </c>
      <c r="CG40" s="39">
        <v>0</v>
      </c>
      <c r="CH40" s="39">
        <v>0</v>
      </c>
      <c r="CI40" s="39">
        <v>0</v>
      </c>
      <c r="CJ40" s="39">
        <v>0</v>
      </c>
      <c r="CK40" s="39">
        <v>0</v>
      </c>
      <c r="CL40" s="39">
        <v>0</v>
      </c>
      <c r="CM40" s="39">
        <v>0</v>
      </c>
      <c r="CN40" s="39">
        <v>0</v>
      </c>
      <c r="CO40" s="39">
        <v>0</v>
      </c>
      <c r="CP40" s="39">
        <v>0</v>
      </c>
      <c r="CQ40" s="39">
        <v>0</v>
      </c>
      <c r="CR40" s="39">
        <v>0</v>
      </c>
      <c r="CS40" s="39">
        <v>0</v>
      </c>
      <c r="CT40" s="39">
        <v>0</v>
      </c>
      <c r="CU40" s="39">
        <v>0</v>
      </c>
      <c r="CV40" s="39">
        <v>0</v>
      </c>
      <c r="CW40" s="39">
        <v>0</v>
      </c>
      <c r="CX40" s="39">
        <v>0</v>
      </c>
      <c r="CY40" s="39">
        <v>0</v>
      </c>
      <c r="CZ40" s="39">
        <v>0</v>
      </c>
      <c r="DA40" s="39">
        <v>0</v>
      </c>
      <c r="DB40" s="39">
        <v>0</v>
      </c>
    </row>
    <row r="41" ht="18" customHeight="1" spans="1:106" x14ac:dyDescent="0.25">
      <c r="A41" s="20" t="s">
        <v>274</v>
      </c>
      <c r="B41" s="17"/>
      <c r="C41" s="40">
        <v>0.01</v>
      </c>
      <c r="D41" s="40">
        <v>0.01</v>
      </c>
      <c r="E41" s="40">
        <v>0.01</v>
      </c>
      <c r="F41" s="40">
        <v>0.01</v>
      </c>
      <c r="G41" s="40">
        <v>0.01</v>
      </c>
      <c r="H41" s="40">
        <v>0.01</v>
      </c>
      <c r="I41" s="40">
        <v>0.01</v>
      </c>
      <c r="J41" s="40">
        <v>0.01</v>
      </c>
      <c r="K41" s="40">
        <v>0.01</v>
      </c>
      <c r="L41" s="40">
        <v>0.01</v>
      </c>
      <c r="M41" s="40">
        <v>0.01</v>
      </c>
      <c r="N41" s="40">
        <v>0.01</v>
      </c>
      <c r="O41" s="40">
        <v>0.01</v>
      </c>
      <c r="P41" s="40">
        <v>0.01</v>
      </c>
      <c r="Q41" s="40">
        <v>0.01</v>
      </c>
      <c r="R41" s="40">
        <v>0.01</v>
      </c>
      <c r="S41" s="40">
        <v>0.01</v>
      </c>
      <c r="T41" s="40">
        <v>0.01</v>
      </c>
      <c r="U41" s="40">
        <v>0.01</v>
      </c>
      <c r="V41" s="40">
        <v>0.01</v>
      </c>
      <c r="W41" s="40">
        <v>0.01</v>
      </c>
      <c r="X41" s="40">
        <v>0.01</v>
      </c>
      <c r="Y41" s="40">
        <v>0.01</v>
      </c>
      <c r="Z41" s="40">
        <v>0.01</v>
      </c>
      <c r="AA41" s="40">
        <v>0.01</v>
      </c>
      <c r="AB41" s="40">
        <v>0.01</v>
      </c>
      <c r="AC41" s="40">
        <v>0.01</v>
      </c>
      <c r="AD41" s="40">
        <v>0.01</v>
      </c>
      <c r="AE41" s="40">
        <v>0.01</v>
      </c>
      <c r="AF41" s="40">
        <v>0.01</v>
      </c>
      <c r="AG41" s="40">
        <v>0.01</v>
      </c>
      <c r="AH41" s="40">
        <v>0.01</v>
      </c>
      <c r="AI41" s="40">
        <v>0.01</v>
      </c>
      <c r="AJ41" s="40">
        <v>0.01</v>
      </c>
      <c r="AK41" s="40">
        <v>0.01</v>
      </c>
      <c r="AL41" s="40">
        <v>0.01</v>
      </c>
      <c r="AM41" s="40">
        <v>0.01</v>
      </c>
      <c r="AN41" s="40">
        <v>0.01</v>
      </c>
      <c r="AO41" s="40">
        <v>0.01</v>
      </c>
      <c r="AP41" s="40">
        <v>0.01</v>
      </c>
      <c r="AQ41" s="40">
        <v>0.01</v>
      </c>
      <c r="AR41" s="40">
        <v>0.01</v>
      </c>
      <c r="AS41" s="40">
        <v>0.01</v>
      </c>
      <c r="AT41" s="40">
        <v>0.01</v>
      </c>
      <c r="AU41" s="40">
        <v>0.01</v>
      </c>
      <c r="AV41" s="40">
        <v>0.01</v>
      </c>
      <c r="AW41" s="40">
        <v>0.01</v>
      </c>
      <c r="AX41" s="40">
        <v>0.01</v>
      </c>
      <c r="AY41" s="40">
        <v>0.01</v>
      </c>
      <c r="AZ41" s="40">
        <v>0.01</v>
      </c>
      <c r="BA41" s="40">
        <v>0.01</v>
      </c>
      <c r="BB41" s="40">
        <v>0.01</v>
      </c>
      <c r="BC41" s="40">
        <v>0.01</v>
      </c>
      <c r="BD41" s="40">
        <v>0.01</v>
      </c>
      <c r="BE41" s="40">
        <v>0.01</v>
      </c>
      <c r="BF41" s="40">
        <v>0.01</v>
      </c>
      <c r="BG41" s="40">
        <v>0.01</v>
      </c>
      <c r="BH41" s="40">
        <v>0.0125</v>
      </c>
      <c r="BI41" s="40">
        <v>0.0125</v>
      </c>
      <c r="BJ41" s="40">
        <v>0.0125</v>
      </c>
      <c r="BK41" s="40">
        <v>0.0125</v>
      </c>
      <c r="BL41" s="40">
        <v>0.0125</v>
      </c>
      <c r="BM41" s="40">
        <v>0.0125</v>
      </c>
      <c r="BN41" s="40">
        <v>0.0125</v>
      </c>
      <c r="BO41" s="40">
        <v>0.0125</v>
      </c>
      <c r="BP41" s="40">
        <v>0.01</v>
      </c>
      <c r="BQ41" s="40">
        <v>0.01</v>
      </c>
      <c r="BR41" s="40">
        <v>0.01</v>
      </c>
      <c r="BS41" s="40">
        <v>0.01</v>
      </c>
      <c r="BT41" s="40">
        <v>0.01</v>
      </c>
      <c r="BU41" s="40">
        <v>0.0125</v>
      </c>
      <c r="BV41" s="40">
        <v>0.0125</v>
      </c>
      <c r="BW41" s="40">
        <v>0.0125</v>
      </c>
      <c r="BX41" s="40">
        <v>0.0125</v>
      </c>
      <c r="BY41" s="40">
        <v>0.0125</v>
      </c>
      <c r="BZ41" s="40">
        <v>0.0125</v>
      </c>
      <c r="CA41" s="40">
        <v>0.0125</v>
      </c>
      <c r="CB41" s="40">
        <v>0.0125</v>
      </c>
      <c r="CC41" s="40">
        <v>0.01</v>
      </c>
      <c r="CD41" s="40">
        <v>0.01</v>
      </c>
      <c r="CE41" s="40">
        <v>0.01</v>
      </c>
      <c r="CF41" s="40">
        <v>0.01</v>
      </c>
      <c r="CG41" s="40">
        <v>0.01</v>
      </c>
      <c r="CH41" s="40">
        <v>0.0125</v>
      </c>
      <c r="CI41" s="40">
        <v>0.0125</v>
      </c>
      <c r="CJ41" s="40">
        <v>0.0125</v>
      </c>
      <c r="CK41" s="40">
        <v>0.0125</v>
      </c>
      <c r="CL41" s="40">
        <v>0.0125</v>
      </c>
      <c r="CM41" s="40">
        <v>0.0125</v>
      </c>
      <c r="CN41" s="40">
        <v>0.0125</v>
      </c>
      <c r="CO41" s="40">
        <v>0.0125</v>
      </c>
      <c r="CP41" s="40">
        <v>0.01</v>
      </c>
      <c r="CQ41" s="40">
        <v>0.01</v>
      </c>
      <c r="CR41" s="40">
        <v>0.01</v>
      </c>
      <c r="CS41" s="40">
        <v>0.01</v>
      </c>
      <c r="CT41" s="40">
        <v>0.01</v>
      </c>
      <c r="CU41" s="40">
        <v>0.0125</v>
      </c>
      <c r="CV41" s="40">
        <v>0.0125</v>
      </c>
      <c r="CW41" s="40">
        <v>0.0125</v>
      </c>
      <c r="CX41" s="40">
        <v>0.0125</v>
      </c>
      <c r="CY41" s="40">
        <v>0.0125</v>
      </c>
      <c r="CZ41" s="40">
        <v>0.0125</v>
      </c>
      <c r="DA41" s="40">
        <v>0.0125</v>
      </c>
      <c r="DB41" s="40">
        <v>0.0125</v>
      </c>
    </row>
    <row r="42" ht="18" customHeight="1" spans="1:106" x14ac:dyDescent="0.25">
      <c r="A42" s="36" t="s">
        <v>275</v>
      </c>
      <c r="C42" s="41">
        <f>=IFERROR(C19*C41,0)</f>
        <v>1.1</v>
      </c>
      <c r="D42" s="41">
        <f>=IFERROR(C19*C41,0)</f>
        <v>1.1</v>
      </c>
      <c r="E42" s="41">
        <f>=IFERROR(D19*D41,0)</f>
        <v>1.08</v>
      </c>
      <c r="F42" s="41">
        <f>=IFERROR(E19*E41,0)</f>
        <v>1.06</v>
      </c>
      <c r="G42" s="41">
        <f>=IFERROR(F19*F41,0)</f>
        <v>1.05</v>
      </c>
      <c r="H42" s="41">
        <f>=IFERROR(G19*G41,0)</f>
        <v>1.03</v>
      </c>
      <c r="I42" s="41">
        <f>=IFERROR(H19*H41,0)</f>
        <v>1.04</v>
      </c>
      <c r="J42" s="41">
        <f>=IFERROR(I19*I41,0)</f>
        <v>1.04</v>
      </c>
      <c r="K42" s="41">
        <f>=IFERROR(J19*J41,0)</f>
        <v>1.05</v>
      </c>
      <c r="L42" s="41">
        <f>=IFERROR(K19*K41,0)</f>
        <v>1.05</v>
      </c>
      <c r="M42" s="41">
        <f>=IFERROR(L19*L41,0)</f>
        <v>1.05</v>
      </c>
      <c r="N42" s="41">
        <f>=IFERROR(M19*M41,0)</f>
        <v>0.97</v>
      </c>
      <c r="O42" s="41">
        <f>=IFERROR(N19*N41,0)</f>
        <v>0.94</v>
      </c>
      <c r="P42" s="41">
        <f>=IFERROR(O19*O41,0)</f>
        <v>0.84</v>
      </c>
      <c r="Q42" s="41">
        <f>=IFERROR(P19*P41,0)</f>
        <v>0.79</v>
      </c>
      <c r="R42" s="41">
        <f>=IFERROR(Q19*Q41,0)</f>
        <v>0.77</v>
      </c>
      <c r="S42" s="41">
        <f>=IFERROR(R19*R41,0)</f>
        <v>0.76</v>
      </c>
      <c r="T42" s="41">
        <f>=IFERROR(S19*S41,0)</f>
        <v>0.7</v>
      </c>
      <c r="U42" s="41">
        <f>=IFERROR(T19*T41,0)</f>
        <v>0.7</v>
      </c>
      <c r="V42" s="41">
        <f>=IFERROR(U19*U41,0)</f>
        <v>0.69</v>
      </c>
      <c r="W42" s="41">
        <f>=IFERROR(V19*V41,0)</f>
        <v>0.61</v>
      </c>
      <c r="X42" s="41">
        <f>=IFERROR(W19*W41,0)</f>
        <v>0.6</v>
      </c>
      <c r="Y42" s="41">
        <f>=IFERROR(X19*X41,0)</f>
        <v>0.65</v>
      </c>
      <c r="Z42" s="41">
        <f>=IFERROR(Y19*Y41,0)</f>
        <v>0.63</v>
      </c>
      <c r="AA42" s="41">
        <f>=IFERROR(Z19*Z41,0)</f>
        <v>0.62</v>
      </c>
      <c r="AB42" s="41">
        <f>=IFERROR(AA19*AA41,0)</f>
        <v>0.59</v>
      </c>
      <c r="AC42" s="41">
        <f>=IFERROR(AB19*AB41,0)</f>
        <v>0.59</v>
      </c>
      <c r="AD42" s="41">
        <f>=IFERROR(AC19*AC41,0)</f>
        <v>0.58</v>
      </c>
      <c r="AE42" s="41">
        <f>=IFERROR(AD19*AD41,0)</f>
        <v>0.56</v>
      </c>
      <c r="AF42" s="41">
        <f>=IFERROR(AE19*AE41,0)</f>
        <v>0.57</v>
      </c>
      <c r="AG42" s="41">
        <f>=IFERROR(AF19*AF41,0)</f>
        <v>0.54</v>
      </c>
      <c r="AH42" s="41">
        <f>=IFERROR(AG19*AG41,0)</f>
        <v>0.56</v>
      </c>
      <c r="AI42" s="41">
        <f>=IFERROR(AH19*AH41,0)</f>
        <v>0.55</v>
      </c>
      <c r="AJ42" s="41">
        <f>=IFERROR(AI19*AI41,0)</f>
        <v>0.58</v>
      </c>
      <c r="AK42" s="41">
        <f>=IFERROR(AJ19*AJ41,0)</f>
        <v>0.53</v>
      </c>
      <c r="AL42" s="41">
        <f>=IFERROR(AK19*AK41,0)</f>
        <v>0.54</v>
      </c>
      <c r="AM42" s="41">
        <f>=IFERROR(AL19*AL41,0)</f>
        <v>0.53</v>
      </c>
      <c r="AN42" s="41">
        <f>=IFERROR(AM19*AM41,0)</f>
        <v>0.52</v>
      </c>
      <c r="AO42" s="41">
        <f>=IFERROR(AN19*AN41,0)</f>
        <v>0.52</v>
      </c>
      <c r="AP42" s="41">
        <f>=IFERROR(AO19*AO41,0)</f>
        <v>0.5</v>
      </c>
      <c r="AQ42" s="41">
        <f>=IFERROR(AP19*AP41,0)</f>
        <v>0.5</v>
      </c>
      <c r="AR42" s="41">
        <f>=IFERROR(AQ19*AQ41,0)</f>
        <v>0.42</v>
      </c>
      <c r="AS42" s="41">
        <f>=IFERROR(AR19*AR41,0)</f>
        <v>0.41</v>
      </c>
      <c r="AT42" s="41">
        <f>=IFERROR(AS19*AS41,0)</f>
        <v>0.39</v>
      </c>
      <c r="AU42" s="41">
        <f>=IFERROR(AT19*AT41,0)</f>
        <v>0.41</v>
      </c>
      <c r="AV42" s="41">
        <f>=IFERROR(AU19*AU41,0)</f>
        <v>0.49</v>
      </c>
      <c r="AW42" s="41">
        <f>=IFERROR(AV19*AV41,0)</f>
        <v>0.4</v>
      </c>
      <c r="AX42" s="41">
        <f>=IFERROR(AW19*AW41,0)</f>
        <v>0.48</v>
      </c>
      <c r="AY42" s="41">
        <f>=IFERROR(AX19*AX41,0)</f>
        <v>0.47</v>
      </c>
      <c r="AZ42" s="41">
        <f>=IFERROR(AY19*AY41,0)</f>
        <v>0.39</v>
      </c>
      <c r="BA42" s="41">
        <f>=IFERROR(AZ19*AZ41,0)</f>
        <v>0.48</v>
      </c>
      <c r="BB42" s="41">
        <f>=IFERROR(BA19*BA41,0)</f>
        <v>0.52</v>
      </c>
      <c r="BC42" s="41">
        <f>=IFERROR(BB19*BB41,0)</f>
        <v>0.44</v>
      </c>
      <c r="BD42" s="41">
        <f>=IFERROR(BC19*BC41,0)</f>
        <v>0.43</v>
      </c>
      <c r="BE42" s="41">
        <f>=IFERROR(BD19*BD41,0)</f>
        <v>0.41</v>
      </c>
      <c r="BF42" s="41">
        <f>=IFERROR(BE19*BE41,0)</f>
        <v>0.5</v>
      </c>
      <c r="BG42" s="41">
        <f>=IFERROR(BF19*BF41,0)</f>
        <v>0.47</v>
      </c>
      <c r="BH42" s="41">
        <f>=IFERROR(BG19*BG41,0)</f>
        <v>0.48</v>
      </c>
      <c r="BI42" s="41">
        <f>=IFERROR(BH19*BH41,0)</f>
        <v>0.575</v>
      </c>
      <c r="BJ42" s="41">
        <f>=IFERROR(BI19*BI41,0)</f>
        <v>0.575</v>
      </c>
      <c r="BK42" s="41">
        <f>=IFERROR(BJ19*BJ41,0)</f>
        <v>0.55</v>
      </c>
      <c r="BL42" s="41">
        <f>=IFERROR(BK19*BK41,0)</f>
        <v>0.6125</v>
      </c>
      <c r="BM42" s="41">
        <f>=IFERROR(BL19*BL41,0)</f>
        <v>0.625</v>
      </c>
      <c r="BN42" s="41">
        <f>=IFERROR(BM19*BM41,0)</f>
        <v>0.55</v>
      </c>
      <c r="BO42" s="41">
        <f>=IFERROR(BN19*BN41,0)</f>
        <v>0.6</v>
      </c>
      <c r="BP42" s="41">
        <f>=IFERROR(BO19*BO41,0)</f>
        <v>0.55</v>
      </c>
      <c r="BQ42" s="41">
        <f>=IFERROR(BP19*BP41,0)</f>
        <v>0.39</v>
      </c>
      <c r="BR42" s="41">
        <f>=IFERROR(BQ19*BQ41,0)</f>
        <v>0.37</v>
      </c>
      <c r="BS42" s="41">
        <f>=IFERROR(BR19*BR41,0)</f>
        <v>0.38</v>
      </c>
      <c r="BT42" s="41">
        <f>=IFERROR(BS19*BS41,0)</f>
        <v>0.36</v>
      </c>
      <c r="BU42" s="41">
        <f>=IFERROR(BT19*BT41,0)</f>
        <v>0.36</v>
      </c>
      <c r="BV42" s="41">
        <f>=IFERROR(BU19*BU41,0)</f>
        <v>0.45</v>
      </c>
      <c r="BW42" s="41">
        <f>=IFERROR(BV19*BV41,0)</f>
        <v>0.4375</v>
      </c>
      <c r="BX42" s="41">
        <f>=IFERROR(BW19*BW41,0)</f>
        <v>0.4375</v>
      </c>
      <c r="BY42" s="41">
        <f>=IFERROR(BX19*BX41,0)</f>
        <v>0.425</v>
      </c>
      <c r="BZ42" s="41">
        <f>=IFERROR(BY19*BY41,0)</f>
        <v>0.4375</v>
      </c>
      <c r="CA42" s="41">
        <f>=IFERROR(BZ19*BZ41,0)</f>
        <v>0.44453125</v>
      </c>
      <c r="CB42" s="41">
        <f>=IFERROR(CA19*CA41,0)</f>
        <v>0.438974609375</v>
      </c>
      <c r="CC42" s="41">
        <f>=IFERROR(CB19*CB41,0)</f>
        <v>0.43348742675781254</v>
      </c>
      <c r="CD42" s="41">
        <f>=IFERROR(CC19*CC41,0)</f>
        <v>0.3424550671386719</v>
      </c>
      <c r="CE42" s="41">
        <f>=IFERROR(CD19*CD41,0)</f>
        <v>0.3390305164672852</v>
      </c>
      <c r="CF42" s="41">
        <f>=IFERROR(CE19*CE41,0)</f>
        <v>0.33564021130261246</v>
      </c>
      <c r="CG42" s="41">
        <f>=IFERROR(CF19*CF41,0)</f>
        <v>0.25228380918958626</v>
      </c>
      <c r="CH42" s="41">
        <f>=IFERROR(CG19*CG41,0)</f>
        <v>0.24976097109769047</v>
      </c>
      <c r="CI42" s="41">
        <f>=IFERROR(CH19*CH41,0)</f>
        <v>0.3090792017333919</v>
      </c>
      <c r="CJ42" s="41">
        <f>=IFERROR(CI19*CI41,0)</f>
        <v>0.30521571171172446</v>
      </c>
      <c r="CK42" s="41">
        <f>=IFERROR(CJ19*CJ41,0)</f>
        <v>0.30140051531532785</v>
      </c>
      <c r="CL42" s="41">
        <f>=IFERROR(CK19*CK41,0)</f>
        <v>0.2976330088738864</v>
      </c>
      <c r="CM42" s="41">
        <f>=IFERROR(CL19*CL41,0)</f>
        <v>0.2939125962629628</v>
      </c>
      <c r="CN42" s="41">
        <f>=IFERROR(CM19*CM41,0)</f>
        <v>0.2902386888096758</v>
      </c>
      <c r="CO42" s="41">
        <f>=IFERROR(CN19*CN41,0)</f>
        <v>0.2866107051995549</v>
      </c>
      <c r="CP42" s="41">
        <f>=IFERROR(CO19*CO41,0)</f>
        <v>0.28302807138456043</v>
      </c>
      <c r="CQ42" s="41">
        <f>=IFERROR(CP19*CP41,0)</f>
        <v>0.22359217639380272</v>
      </c>
      <c r="CR42" s="41">
        <f>=IFERROR(CQ19*CQ41,0)</f>
        <v>0.2213562546298647</v>
      </c>
      <c r="CS42" s="41">
        <f>=IFERROR(CR19*CR41,0)</f>
        <v>0.2191426920835661</v>
      </c>
      <c r="CT42" s="41">
        <f>=IFERROR(CS19*CS41,0)</f>
        <v>0.21695126516273042</v>
      </c>
      <c r="CU42" s="41">
        <f>=IFERROR(CT19*CT41,0)</f>
        <v>0.21478175251110315</v>
      </c>
      <c r="CV42" s="41">
        <f>=IFERROR(CU19*CU41,0)</f>
        <v>0.2657924187324901</v>
      </c>
      <c r="CW42" s="41">
        <f>=IFERROR(CV19*CV41,0)</f>
        <v>0.26247001349833404</v>
      </c>
      <c r="CX42" s="41">
        <f>=IFERROR(CW19*CW41,0)</f>
        <v>0.2591891383296049</v>
      </c>
      <c r="CY42" s="41">
        <f>=IFERROR(CX19*CX41,0)</f>
        <v>0.2559492741004848</v>
      </c>
      <c r="CZ42" s="41">
        <f>=IFERROR(CY19*CY41,0)</f>
        <v>0.2527499081742287</v>
      </c>
      <c r="DA42" s="41">
        <f>=IFERROR(CZ19*CZ41,0)</f>
        <v>0.24959053432205086</v>
      </c>
      <c r="DB42" s="41">
        <f>=IFERROR(DA19*DA41,0)</f>
        <v>0.2464706526430252</v>
      </c>
    </row>
    <row r="43" ht="18" customHeight="1" spans="1:106" x14ac:dyDescent="0.25">
      <c r="A43" s="20" t="s">
        <v>276</v>
      </c>
      <c r="B43" s="17"/>
      <c r="C43" s="42">
        <v>0.03</v>
      </c>
      <c r="D43" s="42">
        <v>0.03</v>
      </c>
      <c r="E43" s="42">
        <v>0.03</v>
      </c>
      <c r="F43" s="42">
        <v>0.03</v>
      </c>
      <c r="G43" s="42">
        <v>0.03</v>
      </c>
      <c r="H43" s="42">
        <v>0.03</v>
      </c>
      <c r="I43" s="42">
        <v>0.03</v>
      </c>
      <c r="J43" s="42">
        <v>0.03</v>
      </c>
      <c r="K43" s="42">
        <v>0.03</v>
      </c>
      <c r="L43" s="42">
        <v>0.03</v>
      </c>
      <c r="M43" s="42">
        <v>0.03</v>
      </c>
      <c r="N43" s="42">
        <v>0.03</v>
      </c>
      <c r="O43" s="42">
        <v>0.03</v>
      </c>
      <c r="P43" s="42">
        <v>0.03</v>
      </c>
      <c r="Q43" s="42">
        <v>0.03</v>
      </c>
      <c r="R43" s="42">
        <v>0.03</v>
      </c>
      <c r="S43" s="42">
        <v>0.03</v>
      </c>
      <c r="T43" s="42">
        <v>0.03</v>
      </c>
      <c r="U43" s="42">
        <v>0.03</v>
      </c>
      <c r="V43" s="42">
        <v>0.03</v>
      </c>
      <c r="W43" s="42">
        <v>0.03</v>
      </c>
      <c r="X43" s="42">
        <v>0.03</v>
      </c>
      <c r="Y43" s="42">
        <v>0.03</v>
      </c>
      <c r="Z43" s="42">
        <v>0.03</v>
      </c>
      <c r="AA43" s="42">
        <v>0.03</v>
      </c>
      <c r="AB43" s="42">
        <v>0.03</v>
      </c>
      <c r="AC43" s="42">
        <v>0.03</v>
      </c>
      <c r="AD43" s="42">
        <v>0.03</v>
      </c>
      <c r="AE43" s="42">
        <v>0.03</v>
      </c>
      <c r="AF43" s="42">
        <v>0.03</v>
      </c>
      <c r="AG43" s="42">
        <v>0.03</v>
      </c>
      <c r="AH43" s="42">
        <v>0.03</v>
      </c>
      <c r="AI43" s="42">
        <v>0.03</v>
      </c>
      <c r="AJ43" s="42">
        <v>0.03</v>
      </c>
      <c r="AK43" s="42">
        <v>0.03</v>
      </c>
      <c r="AL43" s="42">
        <v>0.03</v>
      </c>
      <c r="AM43" s="42">
        <v>0.03</v>
      </c>
      <c r="AN43" s="42">
        <v>0.03</v>
      </c>
      <c r="AO43" s="42">
        <v>0.03</v>
      </c>
      <c r="AP43" s="42">
        <v>0.03</v>
      </c>
      <c r="AQ43" s="42">
        <v>0.03</v>
      </c>
      <c r="AR43" s="42">
        <v>0.03</v>
      </c>
      <c r="AS43" s="42">
        <v>0.03</v>
      </c>
      <c r="AT43" s="42">
        <v>0.03</v>
      </c>
      <c r="AU43" s="42">
        <v>0.03</v>
      </c>
      <c r="AV43" s="42">
        <v>0.03</v>
      </c>
      <c r="AW43" s="42">
        <v>0.03</v>
      </c>
      <c r="AX43" s="42">
        <v>0.03</v>
      </c>
      <c r="AY43" s="42">
        <v>0.03</v>
      </c>
      <c r="AZ43" s="42">
        <v>0.03</v>
      </c>
      <c r="BA43" s="42">
        <v>0.03</v>
      </c>
      <c r="BB43" s="42">
        <v>0.03</v>
      </c>
      <c r="BC43" s="42">
        <v>0.03</v>
      </c>
      <c r="BD43" s="42">
        <v>0.03</v>
      </c>
      <c r="BE43" s="42">
        <v>0.03</v>
      </c>
      <c r="BF43" s="42">
        <v>0.03</v>
      </c>
      <c r="BG43" s="42">
        <v>0.03</v>
      </c>
      <c r="BH43" s="42">
        <v>0.03</v>
      </c>
      <c r="BI43" s="42">
        <v>0.03</v>
      </c>
      <c r="BJ43" s="42">
        <v>0.03</v>
      </c>
      <c r="BK43" s="42">
        <v>0.03</v>
      </c>
      <c r="BL43" s="42">
        <v>0.03</v>
      </c>
      <c r="BM43" s="42">
        <v>0.03</v>
      </c>
      <c r="BN43" s="42">
        <v>0.03</v>
      </c>
      <c r="BO43" s="42">
        <v>0.03</v>
      </c>
      <c r="BP43" s="42">
        <v>0.03</v>
      </c>
      <c r="BQ43" s="42">
        <v>0.03</v>
      </c>
      <c r="BR43" s="42">
        <v>0.03</v>
      </c>
      <c r="BS43" s="42">
        <v>0.03</v>
      </c>
      <c r="BT43" s="42">
        <v>0.03</v>
      </c>
      <c r="BU43" s="42">
        <v>0.03</v>
      </c>
      <c r="BV43" s="42">
        <v>0.03</v>
      </c>
      <c r="BW43" s="42">
        <v>0.03</v>
      </c>
      <c r="BX43" s="42">
        <v>0.03</v>
      </c>
      <c r="BY43" s="42">
        <v>0.03</v>
      </c>
      <c r="BZ43" s="42">
        <v>0.03</v>
      </c>
      <c r="CA43" s="42">
        <v>0.03</v>
      </c>
      <c r="CB43" s="42">
        <v>0.03</v>
      </c>
      <c r="CC43" s="42">
        <v>0.03</v>
      </c>
      <c r="CD43" s="42">
        <v>0.03</v>
      </c>
      <c r="CE43" s="42">
        <v>0.03</v>
      </c>
      <c r="CF43" s="42">
        <v>0.03</v>
      </c>
      <c r="CG43" s="42">
        <v>0.03</v>
      </c>
      <c r="CH43" s="42">
        <v>0.03</v>
      </c>
      <c r="CI43" s="42">
        <v>0.03</v>
      </c>
      <c r="CJ43" s="42">
        <v>0.03</v>
      </c>
      <c r="CK43" s="42">
        <v>0.03</v>
      </c>
      <c r="CL43" s="42">
        <v>0.03</v>
      </c>
      <c r="CM43" s="42">
        <v>0.03</v>
      </c>
      <c r="CN43" s="42">
        <v>0.03</v>
      </c>
      <c r="CO43" s="42">
        <v>0.03</v>
      </c>
      <c r="CP43" s="42">
        <v>0.03</v>
      </c>
      <c r="CQ43" s="42">
        <v>0.03</v>
      </c>
      <c r="CR43" s="42">
        <v>0.03</v>
      </c>
      <c r="CS43" s="42">
        <v>0.03</v>
      </c>
      <c r="CT43" s="42">
        <v>0.03</v>
      </c>
      <c r="CU43" s="42">
        <v>0.03</v>
      </c>
      <c r="CV43" s="42">
        <v>0.03</v>
      </c>
      <c r="CW43" s="42">
        <v>0.03</v>
      </c>
      <c r="CX43" s="42">
        <v>0.03</v>
      </c>
      <c r="CY43" s="42">
        <v>0.03</v>
      </c>
      <c r="CZ43" s="42">
        <v>0.03</v>
      </c>
      <c r="DA43" s="42">
        <v>0.03</v>
      </c>
      <c r="DB43" s="42">
        <v>0.03</v>
      </c>
    </row>
    <row r="44" ht="18" customHeight="1" spans="1:106" x14ac:dyDescent="0.25">
      <c r="A44" s="36" t="s">
        <v>277</v>
      </c>
      <c r="C44" s="43">
        <f>=IFERROR(SUM(C119:C128)*C43,0)</f>
        <v>0.18</v>
      </c>
      <c r="D44" s="43">
        <f>=IFERROR(SUM(C119:C128)*C43,0)</f>
        <v>0.18</v>
      </c>
      <c r="E44" s="43">
        <f>=IFERROR(SUM(D119:D128)*D43,0)</f>
        <v>0.18</v>
      </c>
      <c r="F44" s="43">
        <f>=IFERROR(SUM(E119:E128)*E43,0)</f>
        <v>0.18</v>
      </c>
      <c r="G44" s="43">
        <f>=IFERROR(SUM(F119:F128)*F43,0)</f>
        <v>0.15</v>
      </c>
      <c r="H44" s="43">
        <f>=IFERROR(SUM(G119:G128)*G43,0)</f>
        <v>0.15</v>
      </c>
      <c r="I44" s="43">
        <f>=IFERROR(SUM(H119:H128)*H43,0)</f>
        <v>0</v>
      </c>
      <c r="J44" s="43">
        <f>=IFERROR(SUM(I119:I128)*I43,0)</f>
        <v>0</v>
      </c>
      <c r="K44" s="43">
        <f>=IFERROR(SUM(J119:J128)*J43,0)</f>
        <v>0</v>
      </c>
      <c r="L44" s="43">
        <f>=IFERROR(SUM(K119:K128)*K43,0)</f>
        <v>0</v>
      </c>
      <c r="M44" s="43">
        <f>=IFERROR(SUM(L119:L128)*L43,0)</f>
        <v>0</v>
      </c>
      <c r="N44" s="43">
        <f>=IFERROR(SUM(M119:M128)*M43,0)</f>
        <v>0</v>
      </c>
      <c r="O44" s="43">
        <f>=IFERROR(SUM(N119:N128)*N43,0)</f>
        <v>0</v>
      </c>
      <c r="P44" s="43">
        <f>=IFERROR(SUM(O119:O128)*O43,0)</f>
        <v>0</v>
      </c>
      <c r="Q44" s="43">
        <f>=IFERROR(SUM(P119:P128)*P43,0)</f>
        <v>0</v>
      </c>
      <c r="R44" s="43">
        <f>=IFERROR(SUM(Q119:Q128)*Q43,0)</f>
        <v>0</v>
      </c>
      <c r="S44" s="43">
        <f>=IFERROR(SUM(R119:R128)*R43,0)</f>
        <v>0</v>
      </c>
      <c r="T44" s="43">
        <f>=IFERROR(SUM(S119:S128)*S43,0)</f>
        <v>0</v>
      </c>
      <c r="U44" s="43">
        <f>=IFERROR(SUM(T119:T128)*T43,0)</f>
        <v>0</v>
      </c>
      <c r="V44" s="43">
        <f>=IFERROR(SUM(U119:U128)*U43,0)</f>
        <v>0</v>
      </c>
      <c r="W44" s="43">
        <f>=IFERROR(SUM(V119:V128)*V43,0)</f>
        <v>0</v>
      </c>
      <c r="X44" s="43">
        <f>=IFERROR(SUM(W119:W128)*W43,0)</f>
        <v>0</v>
      </c>
      <c r="Y44" s="43">
        <f>=IFERROR(SUM(X119:X128)*X43,0)</f>
        <v>0</v>
      </c>
      <c r="Z44" s="43">
        <f>=IFERROR(SUM(Y119:Y128)*Y43,0)</f>
        <v>0</v>
      </c>
      <c r="AA44" s="43">
        <f>=IFERROR(SUM(Z119:Z128)*Z43,0)</f>
        <v>0</v>
      </c>
      <c r="AB44" s="43">
        <f>=IFERROR(SUM(AA119:AA128)*AA43,0)</f>
        <v>0</v>
      </c>
      <c r="AC44" s="43">
        <f>=IFERROR(SUM(AB119:AB128)*AB43,0)</f>
        <v>0</v>
      </c>
      <c r="AD44" s="43">
        <f>=IFERROR(SUM(AC119:AC128)*AC43,0)</f>
        <v>0</v>
      </c>
      <c r="AE44" s="43">
        <f>=IFERROR(SUM(AD119:AD128)*AD43,0)</f>
        <v>0.09</v>
      </c>
      <c r="AF44" s="43">
        <f>=IFERROR(SUM(AE119:AE128)*AE43,0)</f>
        <v>0.09</v>
      </c>
      <c r="AG44" s="43">
        <f>=IFERROR(SUM(AF119:AF128)*AF43,0)</f>
        <v>0.09</v>
      </c>
      <c r="AH44" s="43">
        <f>=IFERROR(SUM(AG119:AG128)*AG43,0)</f>
        <v>0.09</v>
      </c>
      <c r="AI44" s="43">
        <f>=IFERROR(SUM(AH119:AH128)*AH43,0)</f>
        <v>0.09</v>
      </c>
      <c r="AJ44" s="43">
        <f>=IFERROR(SUM(AI119:AI128)*AI43,0)</f>
        <v>0</v>
      </c>
      <c r="AK44" s="43">
        <f>=IFERROR(SUM(AJ119:AJ128)*AJ43,0)</f>
        <v>0</v>
      </c>
      <c r="AL44" s="43">
        <f>=IFERROR(SUM(AK119:AK128)*AK43,0)</f>
        <v>0</v>
      </c>
      <c r="AM44" s="43">
        <f>=IFERROR(SUM(AL119:AL128)*AL43,0)</f>
        <v>0</v>
      </c>
      <c r="AN44" s="43">
        <f>=IFERROR(SUM(AM119:AM128)*AM43,0)</f>
        <v>0</v>
      </c>
      <c r="AO44" s="43">
        <f>=IFERROR(SUM(AN119:AN128)*AN43,0)</f>
        <v>0</v>
      </c>
      <c r="AP44" s="43">
        <f>=IFERROR(SUM(AO119:AO128)*AO43,0)</f>
        <v>0.36</v>
      </c>
      <c r="AQ44" s="43">
        <f>=IFERROR(SUM(AP119:AP128)*AP43,0)</f>
        <v>0.36</v>
      </c>
      <c r="AR44" s="43">
        <f>=IFERROR(SUM(AQ119:AQ128)*AQ43,0)</f>
        <v>0.27</v>
      </c>
      <c r="AS44" s="43">
        <f>=IFERROR(SUM(AR119:AR128)*AR43,0)</f>
        <v>0.24</v>
      </c>
      <c r="AT44" s="43">
        <f>=IFERROR(SUM(AS119:AS128)*AS43,0)</f>
        <v>0.24</v>
      </c>
      <c r="AU44" s="43">
        <f>=IFERROR(SUM(AT119:AT128)*AT43,0)</f>
        <v>0.54</v>
      </c>
      <c r="AV44" s="43">
        <f>=IFERROR(SUM(AU119:AU128)*AU43,0)</f>
        <v>0.54</v>
      </c>
      <c r="AW44" s="43">
        <f>=IFERROR(SUM(AV119:AV128)*AV43,0)</f>
        <v>0.27</v>
      </c>
      <c r="AX44" s="43">
        <f>=IFERROR(SUM(AW119:AW128)*AW43,0)</f>
        <v>0.24</v>
      </c>
      <c r="AY44" s="43">
        <f>=IFERROR(SUM(AX119:AX128)*AX43,0)</f>
        <v>0.24</v>
      </c>
      <c r="AZ44" s="43">
        <f>=IFERROR(SUM(AY119:AY128)*AY43,0)</f>
        <v>0.51</v>
      </c>
      <c r="BA44" s="43">
        <f>=IFERROR(SUM(AZ119:AZ128)*AZ43,0)</f>
        <v>0.51</v>
      </c>
      <c r="BB44" s="43">
        <f>=IFERROR(SUM(BA119:BA128)*BA43,0)</f>
        <v>0.3</v>
      </c>
      <c r="BC44" s="43">
        <f>=IFERROR(SUM(BB119:BB128)*BB43,0)</f>
        <v>0.3</v>
      </c>
      <c r="BD44" s="43">
        <f>=IFERROR(SUM(BC119:BC128)*BC43,0)</f>
        <v>0.3</v>
      </c>
      <c r="BE44" s="43">
        <f>=IFERROR(SUM(BD119:BD128)*BD43,0)</f>
        <v>0.3</v>
      </c>
      <c r="BF44" s="43">
        <f>=IFERROR(SUM(BE119:BE128)*BE43,0)</f>
        <v>0.48</v>
      </c>
      <c r="BG44" s="43">
        <f>=IFERROR(SUM(BF119:BF128)*BF43,0)</f>
        <v>0.15</v>
      </c>
      <c r="BH44" s="43">
        <f>=IFERROR(SUM(BG119:BG128)*BG43,0)</f>
        <v>0.15</v>
      </c>
      <c r="BI44" s="43">
        <f>=IFERROR(SUM(BH119:BH128)*BH43,0)</f>
        <v>0.27</v>
      </c>
      <c r="BJ44" s="43">
        <f>=IFERROR(SUM(BI119:BI128)*BI43,0)</f>
        <v>0.27</v>
      </c>
      <c r="BK44" s="43">
        <f>=IFERROR(SUM(BJ119:BJ128)*BJ43,0)</f>
        <v>0.27</v>
      </c>
      <c r="BL44" s="43">
        <f>=IFERROR(SUM(BK119:BK128)*BK43,0)</f>
        <v>0.27</v>
      </c>
      <c r="BM44" s="43">
        <f>=IFERROR(SUM(BL119:BL128)*BL43,0)</f>
        <v>0.15</v>
      </c>
      <c r="BN44" s="43">
        <f>=IFERROR(SUM(BM119:BM128)*BM43,0)</f>
        <v>0.15</v>
      </c>
      <c r="BO44" s="43">
        <f>=IFERROR(SUM(BN119:BN128)*BN43,0)</f>
        <v>0.15</v>
      </c>
      <c r="BP44" s="43">
        <f>=IFERROR(SUM(BO119:BO128)*BO43,0)</f>
        <v>0</v>
      </c>
      <c r="BQ44" s="43">
        <f>=IFERROR(SUM(BP119:BP128)*BP43,0)</f>
        <v>0</v>
      </c>
      <c r="BR44" s="43">
        <f>=IFERROR(SUM(BQ119:BQ128)*BQ43,0)</f>
        <v>0</v>
      </c>
      <c r="BS44" s="43">
        <f>=IFERROR(SUM(BR119:BR128)*BR43,0)</f>
        <v>0</v>
      </c>
      <c r="BT44" s="43">
        <f>=IFERROR(SUM(BS119:BS128)*BS43,0)</f>
        <v>0</v>
      </c>
      <c r="BU44" s="43">
        <f>=IFERROR(SUM(BT119:BT128)*BT43,0)</f>
        <v>0</v>
      </c>
      <c r="BV44" s="43">
        <f>=IFERROR(SUM(BU119:BU128)*BU43,0)</f>
        <v>0.06</v>
      </c>
      <c r="BW44" s="43">
        <f>=IFERROR(SUM(BV119:BV128)*BV43,0)</f>
        <v>0.06</v>
      </c>
      <c r="BX44" s="43">
        <f>=IFERROR(SUM(BW119:BW128)*BW43,0)</f>
        <v>0.06</v>
      </c>
      <c r="BY44" s="43">
        <f>=IFERROR(SUM(BX119:BX128)*BX43,0)</f>
        <v>0.06</v>
      </c>
      <c r="BZ44" s="43">
        <f>=IFERROR(SUM(BY119:BY128)*BY43,0)</f>
        <v>0.06</v>
      </c>
      <c r="CA44" s="43">
        <f>=IFERROR(SUM(BZ119:BZ128)*BZ43,0)</f>
        <v>0</v>
      </c>
      <c r="CB44" s="43">
        <f>=IFERROR(SUM(CA119:CA128)*CA43,0)</f>
        <v>0</v>
      </c>
      <c r="CC44" s="43">
        <f>=IFERROR(SUM(CB119:CB128)*CB43,0)</f>
        <v>0</v>
      </c>
      <c r="CD44" s="43">
        <f>=IFERROR(SUM(CC119:CC128)*CC43,0)</f>
        <v>0</v>
      </c>
      <c r="CE44" s="43">
        <f>=IFERROR(SUM(CD119:CD128)*CD43,0)</f>
        <v>0</v>
      </c>
      <c r="CF44" s="43">
        <f>=IFERROR(SUM(CE119:CE128)*CE43,0)</f>
        <v>0</v>
      </c>
      <c r="CG44" s="43">
        <f>=IFERROR(SUM(CF119:CF128)*CF43,0)</f>
        <v>0</v>
      </c>
      <c r="CH44" s="43">
        <f>=IFERROR(SUM(CG119:CG128)*CG43,0)</f>
        <v>0</v>
      </c>
      <c r="CI44" s="43">
        <f>=IFERROR(SUM(CH119:CH128)*CH43,0)</f>
        <v>0</v>
      </c>
      <c r="CJ44" s="43">
        <f>=IFERROR(SUM(CI119:CI128)*CI43,0)</f>
        <v>0</v>
      </c>
      <c r="CK44" s="43">
        <f>=IFERROR(SUM(CJ119:CJ128)*CJ43,0)</f>
        <v>0</v>
      </c>
      <c r="CL44" s="43">
        <f>=IFERROR(SUM(CK119:CK128)*CK43,0)</f>
        <v>0</v>
      </c>
      <c r="CM44" s="43">
        <f>=IFERROR(SUM(CL119:CL128)*CL43,0)</f>
        <v>0</v>
      </c>
      <c r="CN44" s="43">
        <f>=IFERROR(SUM(CM119:CM128)*CM43,0)</f>
        <v>0</v>
      </c>
      <c r="CO44" s="43">
        <f>=IFERROR(SUM(CN119:CN128)*CN43,0)</f>
        <v>0</v>
      </c>
      <c r="CP44" s="43">
        <f>=IFERROR(SUM(CO119:CO128)*CO43,0)</f>
        <v>0</v>
      </c>
      <c r="CQ44" s="43">
        <f>=IFERROR(SUM(CP119:CP128)*CP43,0)</f>
        <v>0</v>
      </c>
      <c r="CR44" s="43">
        <f>=IFERROR(SUM(CQ119:CQ128)*CQ43,0)</f>
        <v>0</v>
      </c>
      <c r="CS44" s="43">
        <f>=IFERROR(SUM(CR119:CR128)*CR43,0)</f>
        <v>0</v>
      </c>
      <c r="CT44" s="43">
        <f>=IFERROR(SUM(CS119:CS128)*CS43,0)</f>
        <v>0</v>
      </c>
      <c r="CU44" s="43">
        <f>=IFERROR(SUM(CT119:CT128)*CT43,0)</f>
        <v>0</v>
      </c>
      <c r="CV44" s="43">
        <f>=IFERROR(SUM(CU119:CU128)*CU43,0)</f>
        <v>0</v>
      </c>
      <c r="CW44" s="43">
        <f>=IFERROR(SUM(CV119:CV128)*CV43,0)</f>
        <v>0</v>
      </c>
      <c r="CX44" s="43">
        <f>=IFERROR(SUM(CW119:CW128)*CW43,0)</f>
        <v>0</v>
      </c>
      <c r="CY44" s="43">
        <f>=IFERROR(SUM(CX119:CX128)*CX43,0)</f>
        <v>0</v>
      </c>
      <c r="CZ44" s="43">
        <f>=IFERROR(SUM(CY119:CY128)*CY43,0)</f>
        <v>0</v>
      </c>
      <c r="DA44" s="43">
        <f>=IFERROR(SUM(CZ119:CZ128)*CZ43,0)</f>
        <v>0</v>
      </c>
      <c r="DB44" s="43">
        <f>=IFERROR(SUM(DA119:DA128)*DA43,0)</f>
        <v>0</v>
      </c>
    </row>
    <row r="45" ht="18" customHeight="1" spans="1:106" x14ac:dyDescent="0.25">
      <c r="A45" s="16" t="s">
        <v>278</v>
      </c>
      <c r="C45" s="44">
        <v>1</v>
      </c>
      <c r="D45" s="44">
        <v>1</v>
      </c>
      <c r="E45" s="44">
        <v>1</v>
      </c>
      <c r="F45" s="44">
        <v>1</v>
      </c>
      <c r="G45" s="44">
        <v>1</v>
      </c>
      <c r="H45" s="44">
        <v>1</v>
      </c>
      <c r="I45" s="44">
        <v>1</v>
      </c>
      <c r="J45" s="44">
        <v>1</v>
      </c>
      <c r="K45" s="44">
        <v>1</v>
      </c>
      <c r="L45" s="44">
        <v>1</v>
      </c>
      <c r="M45" s="44">
        <v>1</v>
      </c>
      <c r="N45" s="44">
        <v>1</v>
      </c>
      <c r="O45" s="44">
        <v>1</v>
      </c>
      <c r="P45" s="44">
        <v>1</v>
      </c>
      <c r="Q45" s="44">
        <v>1</v>
      </c>
      <c r="R45" s="44">
        <v>1</v>
      </c>
      <c r="S45" s="44">
        <v>1</v>
      </c>
      <c r="T45" s="44">
        <v>1</v>
      </c>
      <c r="U45" s="44">
        <v>1</v>
      </c>
      <c r="V45" s="44">
        <v>1</v>
      </c>
      <c r="W45" s="44">
        <v>1</v>
      </c>
      <c r="X45" s="44">
        <v>1</v>
      </c>
      <c r="Y45" s="44">
        <v>1</v>
      </c>
      <c r="Z45" s="44">
        <v>1</v>
      </c>
      <c r="AA45" s="44">
        <v>1</v>
      </c>
      <c r="AB45" s="44">
        <v>1</v>
      </c>
      <c r="AC45" s="44">
        <v>1</v>
      </c>
      <c r="AD45" s="44">
        <v>1</v>
      </c>
      <c r="AE45" s="44">
        <v>1</v>
      </c>
      <c r="AF45" s="44">
        <v>1</v>
      </c>
      <c r="AG45" s="44">
        <v>1</v>
      </c>
      <c r="AH45" s="44">
        <v>1</v>
      </c>
      <c r="AI45" s="44">
        <v>1</v>
      </c>
      <c r="AJ45" s="44">
        <v>1</v>
      </c>
      <c r="AK45" s="44">
        <v>1</v>
      </c>
      <c r="AL45" s="44">
        <v>1</v>
      </c>
      <c r="AM45" s="44">
        <v>1</v>
      </c>
      <c r="AN45" s="44">
        <v>1</v>
      </c>
      <c r="AO45" s="44">
        <v>1</v>
      </c>
      <c r="AP45" s="44">
        <v>1</v>
      </c>
      <c r="AQ45" s="44">
        <v>1</v>
      </c>
      <c r="AR45" s="44">
        <v>1</v>
      </c>
      <c r="AS45" s="44">
        <v>1</v>
      </c>
      <c r="AT45" s="44">
        <v>1</v>
      </c>
      <c r="AU45" s="44">
        <v>1</v>
      </c>
      <c r="AV45" s="44">
        <v>1</v>
      </c>
      <c r="AW45" s="44">
        <v>1</v>
      </c>
      <c r="AX45" s="44">
        <v>1</v>
      </c>
      <c r="AY45" s="44">
        <v>1</v>
      </c>
      <c r="AZ45" s="44">
        <v>1</v>
      </c>
      <c r="BA45" s="44">
        <v>1</v>
      </c>
      <c r="BB45" s="44">
        <v>1</v>
      </c>
      <c r="BC45" s="44">
        <v>1</v>
      </c>
      <c r="BD45" s="44">
        <v>1</v>
      </c>
      <c r="BE45" s="44">
        <v>1</v>
      </c>
      <c r="BF45" s="44">
        <v>1</v>
      </c>
      <c r="BG45" s="44">
        <v>1</v>
      </c>
      <c r="BH45" s="44">
        <v>1</v>
      </c>
      <c r="BI45" s="44">
        <v>1</v>
      </c>
      <c r="BJ45" s="44">
        <v>1</v>
      </c>
      <c r="BK45" s="44">
        <v>1</v>
      </c>
      <c r="BL45" s="44">
        <v>1</v>
      </c>
      <c r="BM45" s="44">
        <v>1</v>
      </c>
      <c r="BN45" s="44">
        <v>1</v>
      </c>
      <c r="BO45" s="44">
        <v>1</v>
      </c>
      <c r="BP45" s="44">
        <v>1</v>
      </c>
      <c r="BQ45" s="44">
        <v>1</v>
      </c>
      <c r="BR45" s="44">
        <v>1</v>
      </c>
      <c r="BS45" s="44">
        <v>1</v>
      </c>
      <c r="BT45" s="44">
        <v>1</v>
      </c>
      <c r="BU45" s="44">
        <v>1</v>
      </c>
      <c r="BV45" s="44">
        <v>1</v>
      </c>
      <c r="BW45" s="44">
        <v>1</v>
      </c>
      <c r="BX45" s="44">
        <v>1</v>
      </c>
      <c r="BY45" s="44">
        <v>1</v>
      </c>
      <c r="BZ45" s="44">
        <v>1</v>
      </c>
      <c r="CA45" s="44">
        <v>1</v>
      </c>
      <c r="CB45" s="44">
        <v>1</v>
      </c>
      <c r="CC45" s="44">
        <v>1</v>
      </c>
      <c r="CD45" s="44">
        <v>1</v>
      </c>
      <c r="CE45" s="44">
        <v>1</v>
      </c>
      <c r="CF45" s="44">
        <v>1</v>
      </c>
      <c r="CG45" s="44">
        <v>1</v>
      </c>
      <c r="CH45" s="44">
        <v>1</v>
      </c>
      <c r="CI45" s="44">
        <v>1</v>
      </c>
      <c r="CJ45" s="44">
        <v>1</v>
      </c>
      <c r="CK45" s="44">
        <v>1</v>
      </c>
      <c r="CL45" s="44">
        <v>1</v>
      </c>
      <c r="CM45" s="44">
        <v>1</v>
      </c>
      <c r="CN45" s="44">
        <v>1</v>
      </c>
      <c r="CO45" s="44">
        <v>1</v>
      </c>
      <c r="CP45" s="44">
        <v>1</v>
      </c>
      <c r="CQ45" s="44">
        <v>1</v>
      </c>
      <c r="CR45" s="44">
        <v>1</v>
      </c>
      <c r="CS45" s="44">
        <v>1</v>
      </c>
      <c r="CT45" s="44">
        <v>1</v>
      </c>
      <c r="CU45" s="44">
        <v>1</v>
      </c>
      <c r="CV45" s="44">
        <v>1</v>
      </c>
      <c r="CW45" s="44">
        <v>1</v>
      </c>
      <c r="CX45" s="44">
        <v>1</v>
      </c>
      <c r="CY45" s="44">
        <v>1</v>
      </c>
      <c r="CZ45" s="44">
        <v>1</v>
      </c>
      <c r="DA45" s="44">
        <v>1</v>
      </c>
      <c r="DB45" s="44">
        <v>1</v>
      </c>
    </row>
    <row r="46" ht="18" customHeight="1" spans="1:106" x14ac:dyDescent="0.25">
      <c r="A46" s="16" t="s">
        <v>279</v>
      </c>
      <c r="B46" s="17"/>
      <c r="C46" s="45">
        <v>0</v>
      </c>
      <c r="D46" s="45">
        <v>0</v>
      </c>
      <c r="E46" s="45">
        <v>0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v>0</v>
      </c>
      <c r="O46" s="45">
        <v>0</v>
      </c>
      <c r="P46" s="45">
        <v>0</v>
      </c>
      <c r="Q46" s="45">
        <v>0</v>
      </c>
      <c r="R46" s="45">
        <v>0</v>
      </c>
      <c r="S46" s="45">
        <v>0</v>
      </c>
      <c r="T46" s="45">
        <v>0</v>
      </c>
      <c r="U46" s="45">
        <v>0</v>
      </c>
      <c r="V46" s="45">
        <v>0</v>
      </c>
      <c r="W46" s="45">
        <v>0</v>
      </c>
      <c r="X46" s="45">
        <v>0</v>
      </c>
      <c r="Y46" s="45">
        <v>0</v>
      </c>
      <c r="Z46" s="45">
        <v>0</v>
      </c>
      <c r="AA46" s="45">
        <v>0</v>
      </c>
      <c r="AB46" s="45">
        <v>0</v>
      </c>
      <c r="AC46" s="45">
        <v>0</v>
      </c>
      <c r="AD46" s="45">
        <v>0</v>
      </c>
      <c r="AE46" s="45">
        <v>0</v>
      </c>
      <c r="AF46" s="45">
        <v>0</v>
      </c>
      <c r="AG46" s="45">
        <v>0</v>
      </c>
      <c r="AH46" s="45">
        <v>0</v>
      </c>
      <c r="AI46" s="45">
        <v>0</v>
      </c>
      <c r="AJ46" s="45">
        <v>0</v>
      </c>
      <c r="AK46" s="45">
        <v>0</v>
      </c>
      <c r="AL46" s="45">
        <v>0</v>
      </c>
      <c r="AM46" s="45">
        <v>0</v>
      </c>
      <c r="AN46" s="45">
        <v>0</v>
      </c>
      <c r="AO46" s="45">
        <v>0</v>
      </c>
      <c r="AP46" s="45">
        <v>0</v>
      </c>
      <c r="AQ46" s="45">
        <v>0</v>
      </c>
      <c r="AR46" s="45">
        <v>0</v>
      </c>
      <c r="AS46" s="45">
        <v>0</v>
      </c>
      <c r="AT46" s="45">
        <v>0</v>
      </c>
      <c r="AU46" s="45">
        <v>0</v>
      </c>
      <c r="AV46" s="45">
        <v>0</v>
      </c>
      <c r="AW46" s="45">
        <v>0</v>
      </c>
      <c r="AX46" s="45">
        <v>0</v>
      </c>
      <c r="AY46" s="45">
        <v>0</v>
      </c>
      <c r="AZ46" s="45">
        <v>0</v>
      </c>
      <c r="BA46" s="45">
        <v>0</v>
      </c>
      <c r="BB46" s="45">
        <v>0</v>
      </c>
      <c r="BC46" s="45">
        <v>0</v>
      </c>
      <c r="BD46" s="45">
        <v>0</v>
      </c>
      <c r="BE46" s="45">
        <v>0</v>
      </c>
      <c r="BF46" s="45">
        <v>0</v>
      </c>
      <c r="BG46" s="45">
        <v>0</v>
      </c>
      <c r="BH46" s="45">
        <v>0</v>
      </c>
      <c r="BI46" s="45">
        <v>0</v>
      </c>
      <c r="BJ46" s="45">
        <v>0</v>
      </c>
      <c r="BK46" s="45">
        <v>0</v>
      </c>
      <c r="BL46" s="45">
        <v>0</v>
      </c>
      <c r="BM46" s="45">
        <v>0</v>
      </c>
      <c r="BN46" s="45">
        <v>0</v>
      </c>
      <c r="BO46" s="45">
        <v>0</v>
      </c>
      <c r="BP46" s="45">
        <v>0</v>
      </c>
      <c r="BQ46" s="45">
        <v>0</v>
      </c>
      <c r="BR46" s="45">
        <v>0</v>
      </c>
      <c r="BS46" s="45">
        <v>0</v>
      </c>
      <c r="BT46" s="45">
        <v>0</v>
      </c>
      <c r="BU46" s="45">
        <v>0</v>
      </c>
      <c r="BV46" s="45">
        <v>0</v>
      </c>
      <c r="BW46" s="45">
        <v>0</v>
      </c>
      <c r="BX46" s="45">
        <v>0</v>
      </c>
      <c r="BY46" s="45">
        <v>0</v>
      </c>
      <c r="BZ46" s="45">
        <v>0</v>
      </c>
      <c r="CA46" s="45">
        <v>0</v>
      </c>
      <c r="CB46" s="45">
        <v>0</v>
      </c>
      <c r="CC46" s="45">
        <v>0</v>
      </c>
      <c r="CD46" s="45">
        <v>0</v>
      </c>
      <c r="CE46" s="45">
        <v>0</v>
      </c>
      <c r="CF46" s="45">
        <v>0</v>
      </c>
      <c r="CG46" s="45">
        <v>0</v>
      </c>
      <c r="CH46" s="45">
        <v>0</v>
      </c>
      <c r="CI46" s="45">
        <v>0</v>
      </c>
      <c r="CJ46" s="45">
        <v>0</v>
      </c>
      <c r="CK46" s="45">
        <v>0</v>
      </c>
      <c r="CL46" s="45">
        <v>0</v>
      </c>
      <c r="CM46" s="45">
        <v>0</v>
      </c>
      <c r="CN46" s="45">
        <v>0</v>
      </c>
      <c r="CO46" s="45">
        <v>0</v>
      </c>
      <c r="CP46" s="45">
        <v>0</v>
      </c>
      <c r="CQ46" s="45">
        <v>0</v>
      </c>
      <c r="CR46" s="45">
        <v>0</v>
      </c>
      <c r="CS46" s="45">
        <v>0</v>
      </c>
      <c r="CT46" s="45">
        <v>0</v>
      </c>
      <c r="CU46" s="45">
        <v>0</v>
      </c>
      <c r="CV46" s="45">
        <v>0</v>
      </c>
      <c r="CW46" s="45">
        <v>0</v>
      </c>
      <c r="CX46" s="45">
        <v>0</v>
      </c>
      <c r="CY46" s="45">
        <v>0</v>
      </c>
      <c r="CZ46" s="45">
        <v>0</v>
      </c>
      <c r="DA46" s="45">
        <v>0</v>
      </c>
      <c r="DB46" s="45">
        <v>0</v>
      </c>
    </row>
    <row r="47" ht="18" customHeight="1" spans="1:106" x14ac:dyDescent="0.25">
      <c r="A47" s="16" t="s">
        <v>280</v>
      </c>
      <c r="B47" s="17"/>
      <c r="C47" s="46">
        <v>5</v>
      </c>
      <c r="D47" s="46">
        <v>5</v>
      </c>
      <c r="E47" s="46">
        <v>5</v>
      </c>
      <c r="F47" s="46">
        <v>5</v>
      </c>
      <c r="G47" s="46">
        <v>5</v>
      </c>
      <c r="H47" s="46">
        <v>5</v>
      </c>
      <c r="I47" s="46">
        <v>5</v>
      </c>
      <c r="J47" s="46">
        <v>5</v>
      </c>
      <c r="K47" s="46">
        <v>5</v>
      </c>
      <c r="L47" s="46">
        <v>5</v>
      </c>
      <c r="M47" s="46">
        <v>5</v>
      </c>
      <c r="N47" s="46">
        <v>5</v>
      </c>
      <c r="O47" s="46">
        <v>5</v>
      </c>
      <c r="P47" s="46">
        <v>5</v>
      </c>
      <c r="Q47" s="46">
        <v>5</v>
      </c>
      <c r="R47" s="46">
        <v>5</v>
      </c>
      <c r="S47" s="46">
        <v>5</v>
      </c>
      <c r="T47" s="46">
        <v>5</v>
      </c>
      <c r="U47" s="46">
        <v>5</v>
      </c>
      <c r="V47" s="46">
        <v>5</v>
      </c>
      <c r="W47" s="46">
        <v>5</v>
      </c>
      <c r="X47" s="46">
        <v>5</v>
      </c>
      <c r="Y47" s="46">
        <v>5</v>
      </c>
      <c r="Z47" s="46">
        <v>5</v>
      </c>
      <c r="AA47" s="46">
        <v>5</v>
      </c>
      <c r="AB47" s="46">
        <v>5</v>
      </c>
      <c r="AC47" s="46">
        <v>5</v>
      </c>
      <c r="AD47" s="46">
        <v>5</v>
      </c>
      <c r="AE47" s="46">
        <v>5</v>
      </c>
      <c r="AF47" s="46">
        <v>5</v>
      </c>
      <c r="AG47" s="46">
        <v>5</v>
      </c>
      <c r="AH47" s="46">
        <v>5</v>
      </c>
      <c r="AI47" s="46">
        <v>5</v>
      </c>
      <c r="AJ47" s="46">
        <v>5</v>
      </c>
      <c r="AK47" s="46">
        <v>5</v>
      </c>
      <c r="AL47" s="46">
        <v>5</v>
      </c>
      <c r="AM47" s="46">
        <v>5</v>
      </c>
      <c r="AN47" s="46">
        <v>5</v>
      </c>
      <c r="AO47" s="46">
        <v>5</v>
      </c>
      <c r="AP47" s="46">
        <v>5</v>
      </c>
      <c r="AQ47" s="46">
        <v>5</v>
      </c>
      <c r="AR47" s="46">
        <v>5</v>
      </c>
      <c r="AS47" s="46">
        <v>5</v>
      </c>
      <c r="AT47" s="46">
        <v>5</v>
      </c>
      <c r="AU47" s="46">
        <v>5</v>
      </c>
      <c r="AV47" s="46">
        <v>5</v>
      </c>
      <c r="AW47" s="46">
        <v>5</v>
      </c>
      <c r="AX47" s="46">
        <v>5</v>
      </c>
      <c r="AY47" s="46">
        <v>5</v>
      </c>
      <c r="AZ47" s="46">
        <v>5</v>
      </c>
      <c r="BA47" s="46">
        <v>5</v>
      </c>
      <c r="BB47" s="46">
        <v>5</v>
      </c>
      <c r="BC47" s="46">
        <v>5</v>
      </c>
      <c r="BD47" s="46">
        <v>5</v>
      </c>
      <c r="BE47" s="46">
        <v>5</v>
      </c>
      <c r="BF47" s="46">
        <v>5</v>
      </c>
      <c r="BG47" s="46">
        <v>5</v>
      </c>
      <c r="BH47" s="46">
        <v>5</v>
      </c>
      <c r="BI47" s="46">
        <v>5</v>
      </c>
      <c r="BJ47" s="46">
        <v>5</v>
      </c>
      <c r="BK47" s="46">
        <v>5</v>
      </c>
      <c r="BL47" s="46">
        <v>5</v>
      </c>
      <c r="BM47" s="46">
        <v>5</v>
      </c>
      <c r="BN47" s="46">
        <v>5</v>
      </c>
      <c r="BO47" s="46">
        <v>5</v>
      </c>
      <c r="BP47" s="46">
        <v>5</v>
      </c>
      <c r="BQ47" s="46">
        <v>5</v>
      </c>
      <c r="BR47" s="46">
        <v>5</v>
      </c>
      <c r="BS47" s="46">
        <v>5</v>
      </c>
      <c r="BT47" s="46">
        <v>5</v>
      </c>
      <c r="BU47" s="46">
        <v>5</v>
      </c>
      <c r="BV47" s="46">
        <v>5</v>
      </c>
      <c r="BW47" s="46">
        <v>5</v>
      </c>
      <c r="BX47" s="46">
        <v>5</v>
      </c>
      <c r="BY47" s="46">
        <v>5</v>
      </c>
      <c r="BZ47" s="46">
        <v>5</v>
      </c>
      <c r="CA47" s="46">
        <v>5</v>
      </c>
      <c r="CB47" s="46">
        <v>5</v>
      </c>
      <c r="CC47" s="46">
        <v>5</v>
      </c>
      <c r="CD47" s="46">
        <v>5</v>
      </c>
      <c r="CE47" s="46">
        <v>5</v>
      </c>
      <c r="CF47" s="46">
        <v>5</v>
      </c>
      <c r="CG47" s="46">
        <v>5</v>
      </c>
      <c r="CH47" s="46">
        <v>5</v>
      </c>
      <c r="CI47" s="46">
        <v>5</v>
      </c>
      <c r="CJ47" s="46">
        <v>5</v>
      </c>
      <c r="CK47" s="46">
        <v>5</v>
      </c>
      <c r="CL47" s="46">
        <v>5</v>
      </c>
      <c r="CM47" s="46">
        <v>5</v>
      </c>
      <c r="CN47" s="46">
        <v>5</v>
      </c>
      <c r="CO47" s="46">
        <v>5</v>
      </c>
      <c r="CP47" s="46">
        <v>5</v>
      </c>
      <c r="CQ47" s="46">
        <v>5</v>
      </c>
      <c r="CR47" s="46">
        <v>5</v>
      </c>
      <c r="CS47" s="46">
        <v>5</v>
      </c>
      <c r="CT47" s="46">
        <v>5</v>
      </c>
      <c r="CU47" s="46">
        <v>5</v>
      </c>
      <c r="CV47" s="46">
        <v>5</v>
      </c>
      <c r="CW47" s="46">
        <v>5</v>
      </c>
      <c r="CX47" s="46">
        <v>5</v>
      </c>
      <c r="CY47" s="46">
        <v>5</v>
      </c>
      <c r="CZ47" s="46">
        <v>5</v>
      </c>
      <c r="DA47" s="46">
        <v>5</v>
      </c>
      <c r="DB47" s="46">
        <v>5</v>
      </c>
    </row>
    <row r="48" ht="18" customHeight="1" spans="1:106" x14ac:dyDescent="0.25">
      <c r="A48" s="16" t="s">
        <v>281</v>
      </c>
      <c r="B48" s="17"/>
      <c r="C48" s="46">
        <v>8</v>
      </c>
      <c r="D48" s="46">
        <v>8</v>
      </c>
      <c r="E48" s="46">
        <v>8</v>
      </c>
      <c r="F48" s="46">
        <v>8</v>
      </c>
      <c r="G48" s="46">
        <v>8</v>
      </c>
      <c r="H48" s="46">
        <v>8</v>
      </c>
      <c r="I48" s="46">
        <v>8</v>
      </c>
      <c r="J48" s="46">
        <v>8</v>
      </c>
      <c r="K48" s="46">
        <v>8</v>
      </c>
      <c r="L48" s="46">
        <v>8</v>
      </c>
      <c r="M48" s="46">
        <v>8</v>
      </c>
      <c r="N48" s="46">
        <v>8</v>
      </c>
      <c r="O48" s="46">
        <v>8</v>
      </c>
      <c r="P48" s="46">
        <v>8</v>
      </c>
      <c r="Q48" s="46">
        <v>8</v>
      </c>
      <c r="R48" s="46">
        <v>8</v>
      </c>
      <c r="S48" s="46">
        <v>8</v>
      </c>
      <c r="T48" s="46">
        <v>8</v>
      </c>
      <c r="U48" s="46">
        <v>8</v>
      </c>
      <c r="V48" s="46">
        <v>8</v>
      </c>
      <c r="W48" s="46">
        <v>8</v>
      </c>
      <c r="X48" s="46">
        <v>8</v>
      </c>
      <c r="Y48" s="46">
        <v>8</v>
      </c>
      <c r="Z48" s="46">
        <v>8</v>
      </c>
      <c r="AA48" s="46">
        <v>8</v>
      </c>
      <c r="AB48" s="46">
        <v>8</v>
      </c>
      <c r="AC48" s="46">
        <v>8</v>
      </c>
      <c r="AD48" s="46">
        <v>8</v>
      </c>
      <c r="AE48" s="46">
        <v>8</v>
      </c>
      <c r="AF48" s="46">
        <v>8</v>
      </c>
      <c r="AG48" s="46">
        <v>8</v>
      </c>
      <c r="AH48" s="46">
        <v>8</v>
      </c>
      <c r="AI48" s="46">
        <v>8</v>
      </c>
      <c r="AJ48" s="46">
        <v>8</v>
      </c>
      <c r="AK48" s="46">
        <v>8</v>
      </c>
      <c r="AL48" s="46">
        <v>8</v>
      </c>
      <c r="AM48" s="46">
        <v>8</v>
      </c>
      <c r="AN48" s="46">
        <v>8</v>
      </c>
      <c r="AO48" s="46">
        <v>8</v>
      </c>
      <c r="AP48" s="46">
        <v>8</v>
      </c>
      <c r="AQ48" s="46">
        <v>8</v>
      </c>
      <c r="AR48" s="46">
        <v>8</v>
      </c>
      <c r="AS48" s="46">
        <v>8</v>
      </c>
      <c r="AT48" s="46">
        <v>8</v>
      </c>
      <c r="AU48" s="46">
        <v>8</v>
      </c>
      <c r="AV48" s="46">
        <v>8</v>
      </c>
      <c r="AW48" s="46">
        <v>8</v>
      </c>
      <c r="AX48" s="46">
        <v>8</v>
      </c>
      <c r="AY48" s="46">
        <v>8</v>
      </c>
      <c r="AZ48" s="46">
        <v>8</v>
      </c>
      <c r="BA48" s="46">
        <v>8</v>
      </c>
      <c r="BB48" s="46">
        <v>8</v>
      </c>
      <c r="BC48" s="46">
        <v>8</v>
      </c>
      <c r="BD48" s="46">
        <v>8</v>
      </c>
      <c r="BE48" s="46">
        <v>8</v>
      </c>
      <c r="BF48" s="46">
        <v>8</v>
      </c>
      <c r="BG48" s="46">
        <v>8</v>
      </c>
      <c r="BH48" s="46">
        <v>8</v>
      </c>
      <c r="BI48" s="46">
        <v>8</v>
      </c>
      <c r="BJ48" s="46">
        <v>8</v>
      </c>
      <c r="BK48" s="46">
        <v>8</v>
      </c>
      <c r="BL48" s="46">
        <v>8</v>
      </c>
      <c r="BM48" s="46">
        <v>8</v>
      </c>
      <c r="BN48" s="46">
        <v>8</v>
      </c>
      <c r="BO48" s="46">
        <v>8</v>
      </c>
      <c r="BP48" s="46">
        <v>8</v>
      </c>
      <c r="BQ48" s="46">
        <v>8</v>
      </c>
      <c r="BR48" s="46">
        <v>8</v>
      </c>
      <c r="BS48" s="46">
        <v>8</v>
      </c>
      <c r="BT48" s="46">
        <v>8</v>
      </c>
      <c r="BU48" s="46">
        <v>8</v>
      </c>
      <c r="BV48" s="46">
        <v>8</v>
      </c>
      <c r="BW48" s="46">
        <v>8</v>
      </c>
      <c r="BX48" s="46">
        <v>8</v>
      </c>
      <c r="BY48" s="46">
        <v>8</v>
      </c>
      <c r="BZ48" s="46">
        <v>8</v>
      </c>
      <c r="CA48" s="46">
        <v>8</v>
      </c>
      <c r="CB48" s="46">
        <v>8</v>
      </c>
      <c r="CC48" s="46">
        <v>8</v>
      </c>
      <c r="CD48" s="46">
        <v>8</v>
      </c>
      <c r="CE48" s="46">
        <v>8</v>
      </c>
      <c r="CF48" s="46">
        <v>8</v>
      </c>
      <c r="CG48" s="46">
        <v>8</v>
      </c>
      <c r="CH48" s="46">
        <v>8</v>
      </c>
      <c r="CI48" s="46">
        <v>8</v>
      </c>
      <c r="CJ48" s="46">
        <v>8</v>
      </c>
      <c r="CK48" s="46">
        <v>8</v>
      </c>
      <c r="CL48" s="46">
        <v>8</v>
      </c>
      <c r="CM48" s="46">
        <v>8</v>
      </c>
      <c r="CN48" s="46">
        <v>8</v>
      </c>
      <c r="CO48" s="46">
        <v>8</v>
      </c>
      <c r="CP48" s="46">
        <v>8</v>
      </c>
      <c r="CQ48" s="46">
        <v>8</v>
      </c>
      <c r="CR48" s="46">
        <v>8</v>
      </c>
      <c r="CS48" s="46">
        <v>8</v>
      </c>
      <c r="CT48" s="46">
        <v>8</v>
      </c>
      <c r="CU48" s="46">
        <v>8</v>
      </c>
      <c r="CV48" s="46">
        <v>8</v>
      </c>
      <c r="CW48" s="46">
        <v>8</v>
      </c>
      <c r="CX48" s="46">
        <v>8</v>
      </c>
      <c r="CY48" s="46">
        <v>8</v>
      </c>
      <c r="CZ48" s="46">
        <v>8</v>
      </c>
      <c r="DA48" s="46">
        <v>8</v>
      </c>
      <c r="DB48" s="46">
        <v>8</v>
      </c>
    </row>
    <row r="49" ht="18" customHeight="1" spans="1:106" x14ac:dyDescent="0.25">
      <c r="A49" s="16" t="s">
        <v>282</v>
      </c>
      <c r="B49" s="17"/>
      <c r="C49" s="46">
        <v>0</v>
      </c>
      <c r="D49" s="46">
        <v>0</v>
      </c>
      <c r="E49" s="46">
        <v>0</v>
      </c>
      <c r="F49" s="46">
        <v>0</v>
      </c>
      <c r="G49" s="46">
        <v>0</v>
      </c>
      <c r="H49" s="46">
        <v>0</v>
      </c>
      <c r="I49" s="46">
        <v>0</v>
      </c>
      <c r="J49" s="46">
        <v>0</v>
      </c>
      <c r="K49" s="46">
        <v>0</v>
      </c>
      <c r="L49" s="46">
        <v>0</v>
      </c>
      <c r="M49" s="46">
        <v>0</v>
      </c>
      <c r="N49" s="46">
        <v>0</v>
      </c>
      <c r="O49" s="46">
        <v>0</v>
      </c>
      <c r="P49" s="46">
        <v>0</v>
      </c>
      <c r="Q49" s="46">
        <v>0</v>
      </c>
      <c r="R49" s="46">
        <v>0</v>
      </c>
      <c r="S49" s="46">
        <v>0</v>
      </c>
      <c r="T49" s="46">
        <v>0</v>
      </c>
      <c r="U49" s="46">
        <v>0</v>
      </c>
      <c r="V49" s="46">
        <v>0</v>
      </c>
      <c r="W49" s="46">
        <v>0</v>
      </c>
      <c r="X49" s="46">
        <v>0</v>
      </c>
      <c r="Y49" s="46">
        <v>0</v>
      </c>
      <c r="Z49" s="46">
        <v>0</v>
      </c>
      <c r="AA49" s="46">
        <v>0</v>
      </c>
      <c r="AB49" s="46">
        <v>0</v>
      </c>
      <c r="AC49" s="46">
        <v>0</v>
      </c>
      <c r="AD49" s="46">
        <v>0</v>
      </c>
      <c r="AE49" s="46">
        <v>0</v>
      </c>
      <c r="AF49" s="46">
        <v>0</v>
      </c>
      <c r="AG49" s="46">
        <v>0</v>
      </c>
      <c r="AH49" s="46">
        <v>0</v>
      </c>
      <c r="AI49" s="46">
        <v>0</v>
      </c>
      <c r="AJ49" s="46">
        <v>0</v>
      </c>
      <c r="AK49" s="46">
        <v>0</v>
      </c>
      <c r="AL49" s="46">
        <v>0</v>
      </c>
      <c r="AM49" s="46">
        <v>0</v>
      </c>
      <c r="AN49" s="46">
        <v>0</v>
      </c>
      <c r="AO49" s="46">
        <v>0</v>
      </c>
      <c r="AP49" s="46">
        <v>0</v>
      </c>
      <c r="AQ49" s="46">
        <v>0</v>
      </c>
      <c r="AR49" s="46">
        <v>0</v>
      </c>
      <c r="AS49" s="46">
        <v>0</v>
      </c>
      <c r="AT49" s="46">
        <v>0</v>
      </c>
      <c r="AU49" s="46">
        <v>0</v>
      </c>
      <c r="AV49" s="46">
        <v>0</v>
      </c>
      <c r="AW49" s="46">
        <v>0</v>
      </c>
      <c r="AX49" s="46">
        <v>0</v>
      </c>
      <c r="AY49" s="46">
        <v>0</v>
      </c>
      <c r="AZ49" s="46">
        <v>0</v>
      </c>
      <c r="BA49" s="46">
        <v>0</v>
      </c>
      <c r="BB49" s="46">
        <v>0</v>
      </c>
      <c r="BC49" s="46">
        <v>0</v>
      </c>
      <c r="BD49" s="46">
        <v>0</v>
      </c>
      <c r="BE49" s="46">
        <v>0</v>
      </c>
      <c r="BF49" s="46">
        <v>0</v>
      </c>
      <c r="BG49" s="46">
        <v>0</v>
      </c>
      <c r="BH49" s="46">
        <v>0</v>
      </c>
      <c r="BI49" s="46">
        <v>0</v>
      </c>
      <c r="BJ49" s="46">
        <v>0</v>
      </c>
      <c r="BK49" s="46">
        <v>0</v>
      </c>
      <c r="BL49" s="46">
        <v>0</v>
      </c>
      <c r="BM49" s="46">
        <v>0</v>
      </c>
      <c r="BN49" s="46">
        <v>0</v>
      </c>
      <c r="BO49" s="46">
        <v>0</v>
      </c>
      <c r="BP49" s="46">
        <v>0</v>
      </c>
      <c r="BQ49" s="46">
        <v>0</v>
      </c>
      <c r="BR49" s="46">
        <v>0</v>
      </c>
      <c r="BS49" s="46">
        <v>0</v>
      </c>
      <c r="BT49" s="46">
        <v>0</v>
      </c>
      <c r="BU49" s="46">
        <v>0</v>
      </c>
      <c r="BV49" s="46">
        <v>0</v>
      </c>
      <c r="BW49" s="46">
        <v>0</v>
      </c>
      <c r="BX49" s="46">
        <v>0</v>
      </c>
      <c r="BY49" s="46">
        <v>0</v>
      </c>
      <c r="BZ49" s="46">
        <v>0</v>
      </c>
      <c r="CA49" s="46">
        <v>0</v>
      </c>
      <c r="CB49" s="46">
        <v>0</v>
      </c>
      <c r="CC49" s="46">
        <v>0</v>
      </c>
      <c r="CD49" s="46">
        <v>0</v>
      </c>
      <c r="CE49" s="46">
        <v>0</v>
      </c>
      <c r="CF49" s="46">
        <v>0</v>
      </c>
      <c r="CG49" s="46">
        <v>0</v>
      </c>
      <c r="CH49" s="46">
        <v>0</v>
      </c>
      <c r="CI49" s="46">
        <v>0</v>
      </c>
      <c r="CJ49" s="46">
        <v>0</v>
      </c>
      <c r="CK49" s="46">
        <v>0</v>
      </c>
      <c r="CL49" s="46">
        <v>0</v>
      </c>
      <c r="CM49" s="46">
        <v>0</v>
      </c>
      <c r="CN49" s="46">
        <v>0</v>
      </c>
      <c r="CO49" s="46">
        <v>0</v>
      </c>
      <c r="CP49" s="46">
        <v>0</v>
      </c>
      <c r="CQ49" s="46">
        <v>0</v>
      </c>
      <c r="CR49" s="46">
        <v>0</v>
      </c>
      <c r="CS49" s="46">
        <v>0</v>
      </c>
      <c r="CT49" s="46">
        <v>0</v>
      </c>
      <c r="CU49" s="46">
        <v>0</v>
      </c>
      <c r="CV49" s="46">
        <v>0</v>
      </c>
      <c r="CW49" s="46">
        <v>0</v>
      </c>
      <c r="CX49" s="46">
        <v>0</v>
      </c>
      <c r="CY49" s="46">
        <v>0</v>
      </c>
      <c r="CZ49" s="46">
        <v>0</v>
      </c>
      <c r="DA49" s="46">
        <v>0</v>
      </c>
      <c r="DB49" s="46">
        <v>0</v>
      </c>
    </row>
    <row r="50" ht="18" customHeight="1" spans="3:106" x14ac:dyDescent="0.25"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0"/>
      <c r="CI50" s="30"/>
      <c r="CJ50" s="30"/>
      <c r="CK50" s="30"/>
      <c r="CL50" s="30"/>
      <c r="CM50" s="30"/>
      <c r="CN50" s="30"/>
      <c r="CO50" s="30"/>
      <c r="CP50" s="30"/>
      <c r="CQ50" s="30"/>
      <c r="CR50" s="30"/>
      <c r="CS50" s="30"/>
      <c r="CT50" s="30"/>
      <c r="CU50" s="30"/>
      <c r="CV50" s="30"/>
      <c r="CW50" s="30"/>
      <c r="CX50" s="30"/>
      <c r="CY50" s="30"/>
      <c r="CZ50" s="30"/>
      <c r="DA50" s="30"/>
      <c r="DB50" s="30"/>
    </row>
    <row r="51" ht="18" customHeight="1" spans="1:106" x14ac:dyDescent="0.25">
      <c r="A51" s="9" t="s">
        <v>283</v>
      </c>
      <c r="B51" s="17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  <c r="CQ51" s="32"/>
      <c r="CR51" s="32"/>
      <c r="CS51" s="32"/>
      <c r="CT51" s="32"/>
      <c r="CU51" s="32"/>
      <c r="CV51" s="32"/>
      <c r="CW51" s="32"/>
      <c r="CX51" s="32"/>
      <c r="CY51" s="32"/>
      <c r="CZ51" s="32"/>
      <c r="DA51" s="32"/>
      <c r="DB51" s="32"/>
    </row>
    <row r="52" ht="18" customHeight="1" spans="1:106" x14ac:dyDescent="0.25">
      <c r="A52" s="33" t="s">
        <v>284</v>
      </c>
      <c r="B52" s="17"/>
      <c r="C52" s="34">
        <f>=IFERROR(1-((1-C53)*(1-C58)),0)</f>
        <v>0</v>
      </c>
      <c r="D52" s="34">
        <f>=IFERROR(1-((1-D53)*(1-D58)),0)</f>
        <v>0</v>
      </c>
      <c r="E52" s="34">
        <f>=IFERROR(1-((1-E53)*(1-E58)),0)</f>
        <v>0</v>
      </c>
      <c r="F52" s="34">
        <f>=IFERROR(1-((1-F53)*(1-F58)),0)</f>
        <v>0</v>
      </c>
      <c r="G52" s="34">
        <f>=IFERROR(1-((1-G53)*(1-G58)),0)</f>
        <v>0</v>
      </c>
      <c r="H52" s="34">
        <f>=IFERROR(1-((1-H53)*(1-H58)),0)</f>
        <v>0</v>
      </c>
      <c r="I52" s="34">
        <f>=IFERROR(1-((1-I53)*(1-I58)),0)</f>
        <v>0</v>
      </c>
      <c r="J52" s="34">
        <f>=IFERROR(1-((1-J53)*(1-J58)),0)</f>
        <v>0</v>
      </c>
      <c r="K52" s="34">
        <f>=IFERROR(1-((1-K53)*(1-K58)),0)</f>
        <v>0</v>
      </c>
      <c r="L52" s="34">
        <f>=IFERROR(1-((1-L53)*(1-L58)),0)</f>
        <v>0</v>
      </c>
      <c r="M52" s="34">
        <f>=IFERROR(1-((1-M53)*(1-M58)),0)</f>
        <v>0</v>
      </c>
      <c r="N52" s="34">
        <f>=IFERROR(1-((1-N53)*(1-N58)),0)</f>
        <v>0</v>
      </c>
      <c r="O52" s="34">
        <f>=IFERROR(1-((1-O53)*(1-O58)),0)</f>
        <v>0</v>
      </c>
      <c r="P52" s="34">
        <f>=IFERROR(1-((1-P53)*(1-P58)),0)</f>
        <v>0</v>
      </c>
      <c r="Q52" s="34">
        <f>=IFERROR(1-((1-Q53)*(1-Q58)),0)</f>
        <v>0</v>
      </c>
      <c r="R52" s="34">
        <f>=IFERROR(1-((1-R53)*(1-R58)),0)</f>
        <v>0</v>
      </c>
      <c r="S52" s="34">
        <f>=IFERROR(1-((1-S53)*(1-S58)),0)</f>
        <v>0</v>
      </c>
      <c r="T52" s="34">
        <f>=IFERROR(1-((1-T53)*(1-T58)),0)</f>
        <v>0</v>
      </c>
      <c r="U52" s="34">
        <f>=IFERROR(1-((1-U53)*(1-U58)),0)</f>
        <v>0</v>
      </c>
      <c r="V52" s="34">
        <f>=IFERROR(1-((1-V53)*(1-V58)),0)</f>
        <v>0</v>
      </c>
      <c r="W52" s="34">
        <f>=IFERROR(1-((1-W53)*(1-W58)),0)</f>
        <v>0</v>
      </c>
      <c r="X52" s="34">
        <f>=IFERROR(1-((1-X53)*(1-X58)),0)</f>
        <v>0</v>
      </c>
      <c r="Y52" s="34">
        <f>=IFERROR(1-((1-Y53)*(1-Y58)),0)</f>
        <v>0</v>
      </c>
      <c r="Z52" s="34">
        <f>=IFERROR(1-((1-Z53)*(1-Z58)),0)</f>
        <v>0</v>
      </c>
      <c r="AA52" s="34">
        <f>=IFERROR(1-((1-AA53)*(1-AA58)),0)</f>
        <v>0</v>
      </c>
      <c r="AB52" s="34">
        <f>=IFERROR(1-((1-AB53)*(1-AB58)),0)</f>
        <v>0</v>
      </c>
      <c r="AC52" s="34">
        <f>=IFERROR(1-((1-AC53)*(1-AC58)),0)</f>
        <v>0.2686006825938566</v>
      </c>
      <c r="AD52" s="34">
        <f>=IFERROR(1-((1-AD53)*(1-AD58)),0)</f>
        <v>0.1597972972972973</v>
      </c>
      <c r="AE52" s="34">
        <f>=IFERROR(1-((1-AE53)*(1-AE58)),0)</f>
        <v>0.1444444444444445</v>
      </c>
      <c r="AF52" s="34">
        <f>=IFERROR(1-((1-AF53)*(1-AF58)),0)</f>
        <v>0.100648242920505</v>
      </c>
      <c r="AG52" s="34">
        <f>=IFERROR(1-((1-AG53)*(1-AG58)),0)</f>
        <v>0.1037671232876711</v>
      </c>
      <c r="AH52" s="34">
        <f>=IFERROR(1-((1-AH53)*(1-AH58)),0)</f>
        <v>0.0708130385912326</v>
      </c>
      <c r="AI52" s="34">
        <f>=IFERROR(1-((1-AI53)*(1-AI58)),0)</f>
        <v>0.1121605667060213</v>
      </c>
      <c r="AJ52" s="34">
        <f>=IFERROR(1-((1-AJ53)*(1-AJ58)),0)</f>
        <v>0.1051344743276283</v>
      </c>
      <c r="AK52" s="34">
        <f>=IFERROR(1-((1-AK53)*(1-AK58)),0)</f>
        <v>0.0667739340305712</v>
      </c>
      <c r="AL52" s="34">
        <f>=IFERROR(1-((1-AL53)*(1-AL58)),0)</f>
        <v>0.1185609157808668</v>
      </c>
      <c r="AM52" s="34">
        <f>=IFERROR(1-((1-AM53)*(1-AM58)),0)</f>
        <v>0.1326226012793178</v>
      </c>
      <c r="AN52" s="34">
        <f>=IFERROR(1-((1-AN53)*(1-AN58)),0)</f>
        <v>0.1151662611516626</v>
      </c>
      <c r="AO52" s="34">
        <f>=IFERROR(1-((1-AO53)*(1-AO58)),0)</f>
        <v>0.0898287312128626</v>
      </c>
      <c r="AP52" s="34">
        <f>=IFERROR(1-((1-AP53)*(1-AP58)),0)</f>
        <v>0.1016522988505747</v>
      </c>
      <c r="AQ52" s="34">
        <f>=IFERROR(1-((1-AQ53)*(1-AQ58)),0)</f>
        <v>0.1064623032311517</v>
      </c>
      <c r="AR52" s="34">
        <f>=IFERROR(1-((1-AR53)*(1-AR58)),0)</f>
        <v>0.1233988044406492</v>
      </c>
      <c r="AS52" s="34">
        <f>=IFERROR(1-((1-AS53)*(1-AS58)),0)</f>
        <v>0.1043133802816901</v>
      </c>
      <c r="AT52" s="34">
        <f>=IFERROR(1-((1-AT53)*(1-AT58)),0)</f>
        <v>0.046875</v>
      </c>
      <c r="AU52" s="34">
        <f>=IFERROR(1-((1-AU53)*(1-AU58)),0)</f>
        <v>0.0797610681658468</v>
      </c>
      <c r="AV52" s="34">
        <f>=IFERROR(1-((1-AV53)*(1-AV58)),0)</f>
        <v>0.0834035383319292</v>
      </c>
      <c r="AW52" s="34">
        <f>=IFERROR(1-((1-AW53)*(1-AW58)),0)</f>
        <v>0.098828125</v>
      </c>
      <c r="AX52" s="34">
        <f>=IFERROR(1-((1-AX53)*(1-AX58)),0)</f>
        <v>0.050165990409443</v>
      </c>
      <c r="AY52" s="34">
        <f>=IFERROR(1-((1-AY53)*(1-AY58)),0)</f>
        <v>0.0221932114882506</v>
      </c>
      <c r="AZ52" s="34">
        <f>=IFERROR(1-((1-AZ53)*(1-AZ58)),0)</f>
        <v>0.0784518828451884</v>
      </c>
      <c r="BA52" s="34">
        <f>=IFERROR(1-((1-BA53)*(1-BA58)),0)</f>
        <v>0.1216553692472353</v>
      </c>
      <c r="BB52" s="34">
        <f>=IFERROR(1-((1-BB53)*(1-BB58)),0)</f>
        <v>0.0607625099285148</v>
      </c>
      <c r="BC52" s="34">
        <f>=IFERROR(1-((1-BC53)*(1-BC58)),0)</f>
        <v>0.0896405919661734</v>
      </c>
      <c r="BD52" s="34">
        <f>=IFERROR(1-((1-BD53)*(1-BD58)),0)</f>
        <v>0.0368397691966266</v>
      </c>
      <c r="BE52" s="34">
        <f>=IFERROR(1-((1-BE53)*(1-BE58)),0)</f>
        <v>0.1025934401220442</v>
      </c>
      <c r="BF52" s="34">
        <f>=IFERROR(1-((1-BF53)*(1-BF58)),0)</f>
        <v>0.0985299960270162</v>
      </c>
      <c r="BG52" s="34">
        <f>=IFERROR(1-((1-BG53)*(1-BG58)),0)</f>
        <v>0.0686900958466454</v>
      </c>
      <c r="BH52" s="34">
        <f>=IFERROR(1-((1-BH53)*(1-BH58)),0)</f>
        <v>0.041146216017634</v>
      </c>
      <c r="BI52" s="34">
        <f>=IFERROR(1-((1-BI53)*(1-BI58)),0)</f>
        <v>0.0652256351915056</v>
      </c>
      <c r="BJ52" s="34">
        <f>=IFERROR(1-((1-BJ53)*(1-BJ58)),0)</f>
        <v>0.061439879381832</v>
      </c>
      <c r="BK52" s="34">
        <f>=IFERROR(1-((1-BK53)*(1-BK58)),0)</f>
        <v>0.071593533487298</v>
      </c>
      <c r="BL52" s="34">
        <f>=IFERROR(1-((1-BL53)*(1-BL58)),0)</f>
        <v>0.1209708001516876</v>
      </c>
      <c r="BM52" s="34">
        <f>=IFERROR(1-((1-BM53)*(1-BM58)),0)</f>
        <v>0.1091142490372272</v>
      </c>
      <c r="BN52" s="34">
        <f>=IFERROR(1-((1-BN53)*(1-BN58)),0)</f>
        <v>0.1134913400182316</v>
      </c>
      <c r="BO52" s="34">
        <f>=IFERROR(1-((1-BO53)*(1-BO58)),0)</f>
        <v>0.110892065056678</v>
      </c>
      <c r="BP52" s="34">
        <f>=IFERROR(1-((1-BP53)*(1-BP58)),0)</f>
        <v>0.0450771055753262</v>
      </c>
      <c r="BQ52" s="34">
        <f>=IFERROR(1-((1-BQ53)*(1-BQ58)),0)</f>
        <v>0.0746268656716418</v>
      </c>
      <c r="BR52" s="34">
        <f>=IFERROR(1-((1-BR53)*(1-BR58)),0)</f>
        <v>0.085430076067876</v>
      </c>
      <c r="BS52" s="34">
        <f>=IFERROR(1-((1-BS53)*(1-BS58)),0)</f>
        <v>0.0797773654916512</v>
      </c>
      <c r="BT52" s="34">
        <f>=IFERROR(1-((1-BT53)*(1-BT58)),0)</f>
        <v>0.0882882882882882</v>
      </c>
      <c r="BU52" s="34">
        <f>=IFERROR(1-((1-BU53)*(1-BU58)),0)</f>
        <v>0.0839080459770116</v>
      </c>
      <c r="BV52" s="34">
        <f>=IFERROR(1-((1-BV53)*(1-BV58)),0)</f>
        <v>0.1117117117117118</v>
      </c>
      <c r="BW52" s="34">
        <f>=IFERROR(1-((1-BW53)*(1-BW58)),0)</f>
        <v>0.0845771144278606</v>
      </c>
      <c r="BX52" s="34">
        <f>=IFERROR(1-((1-BX53)*(1-BX58)),0)</f>
        <v>0</v>
      </c>
      <c r="BY52" s="34">
        <f>=IFERROR(1-((1-BY53)*(1-BY58)),0)</f>
        <v>0</v>
      </c>
      <c r="BZ52" s="34">
        <f>=IFERROR(1-((1-BZ53)*(1-BZ58)),0)</f>
        <v>0</v>
      </c>
      <c r="CA52" s="34">
        <f>=IFERROR(1-((1-CA53)*(1-CA58)),0)</f>
        <v>0</v>
      </c>
      <c r="CB52" s="34">
        <f>=IFERROR(1-((1-CB53)*(1-CB58)),0)</f>
        <v>0</v>
      </c>
      <c r="CC52" s="34">
        <f>=IFERROR(1-((1-CC53)*(1-CC58)),0)</f>
        <v>0</v>
      </c>
      <c r="CD52" s="34">
        <f>=IFERROR(1-((1-CD53)*(1-CD58)),0)</f>
        <v>0</v>
      </c>
      <c r="CE52" s="34">
        <f>=IFERROR(1-((1-CE53)*(1-CE58)),0)</f>
        <v>0</v>
      </c>
      <c r="CF52" s="34">
        <f>=IFERROR(1-((1-CF53)*(1-CF58)),0)</f>
        <v>0</v>
      </c>
      <c r="CG52" s="34">
        <f>=IFERROR(1-((1-CG53)*(1-CG58)),0)</f>
        <v>0</v>
      </c>
      <c r="CH52" s="34">
        <f>=IFERROR(1-((1-CH53)*(1-CH58)),0)</f>
        <v>0</v>
      </c>
      <c r="CI52" s="34">
        <f>=IFERROR(1-((1-CI53)*(1-CI58)),0)</f>
        <v>0</v>
      </c>
      <c r="CJ52" s="34">
        <f>=IFERROR(1-((1-CJ53)*(1-CJ58)),0)</f>
        <v>0</v>
      </c>
      <c r="CK52" s="34">
        <f>=IFERROR(1-((1-CK53)*(1-CK58)),0)</f>
        <v>0</v>
      </c>
      <c r="CL52" s="34">
        <f>=IFERROR(1-((1-CL53)*(1-CL58)),0)</f>
        <v>0</v>
      </c>
      <c r="CM52" s="34">
        <f>=IFERROR(1-((1-CM53)*(1-CM58)),0)</f>
        <v>0</v>
      </c>
      <c r="CN52" s="34">
        <f>=IFERROR(1-((1-CN53)*(1-CN58)),0)</f>
        <v>0</v>
      </c>
      <c r="CO52" s="34">
        <f>=IFERROR(1-((1-CO53)*(1-CO58)),0)</f>
        <v>0</v>
      </c>
      <c r="CP52" s="34">
        <f>=IFERROR(1-((1-CP53)*(1-CP58)),0)</f>
        <v>0</v>
      </c>
      <c r="CQ52" s="34">
        <f>=IFERROR(1-((1-CQ53)*(1-CQ58)),0)</f>
        <v>0</v>
      </c>
      <c r="CR52" s="34">
        <f>=IFERROR(1-((1-CR53)*(1-CR58)),0)</f>
        <v>0</v>
      </c>
      <c r="CS52" s="34">
        <f>=IFERROR(1-((1-CS53)*(1-CS58)),0)</f>
        <v>0</v>
      </c>
      <c r="CT52" s="34">
        <f>=IFERROR(1-((1-CT53)*(1-CT58)),0)</f>
        <v>0</v>
      </c>
      <c r="CU52" s="34">
        <f>=IFERROR(1-((1-CU53)*(1-CU58)),0)</f>
        <v>0</v>
      </c>
      <c r="CV52" s="34">
        <f>=IFERROR(1-((1-CV53)*(1-CV58)),0)</f>
        <v>0</v>
      </c>
      <c r="CW52" s="34">
        <f>=IFERROR(1-((1-CW53)*(1-CW58)),0)</f>
        <v>0</v>
      </c>
      <c r="CX52" s="34">
        <f>=IFERROR(1-((1-CX53)*(1-CX58)),0)</f>
        <v>0</v>
      </c>
      <c r="CY52" s="34">
        <f>=IFERROR(1-((1-CY53)*(1-CY58)),0)</f>
        <v>0</v>
      </c>
      <c r="CZ52" s="34">
        <f>=IFERROR(1-((1-CZ53)*(1-CZ58)),0)</f>
        <v>0</v>
      </c>
      <c r="DA52" s="34">
        <f>=IFERROR(1-((1-DA53)*(1-DA58)),0)</f>
        <v>0</v>
      </c>
      <c r="DB52" s="34">
        <f>=IFERROR(1-((1-DB53)*(1-DB58)),0)</f>
        <v>0</v>
      </c>
    </row>
    <row r="53" ht="18" customHeight="1" spans="1:106" x14ac:dyDescent="0.25">
      <c r="A53" s="16" t="s">
        <v>285</v>
      </c>
      <c r="B53" s="17"/>
      <c r="C53" s="35">
        <f>=SUM(C54:C57)</f>
        <v>0</v>
      </c>
      <c r="D53" s="35">
        <f>=SUM(D54:D57)</f>
        <v>0</v>
      </c>
      <c r="E53" s="35">
        <f>=SUM(E54:E57)</f>
        <v>0</v>
      </c>
      <c r="F53" s="35">
        <f>=SUM(F54:F57)</f>
        <v>0</v>
      </c>
      <c r="G53" s="35">
        <f>=SUM(G54:G57)</f>
        <v>0</v>
      </c>
      <c r="H53" s="35">
        <f>=SUM(H54:H57)</f>
        <v>0</v>
      </c>
      <c r="I53" s="35">
        <f>=SUM(I54:I57)</f>
        <v>0</v>
      </c>
      <c r="J53" s="35">
        <f>=SUM(J54:J57)</f>
        <v>0</v>
      </c>
      <c r="K53" s="35">
        <f>=SUM(K54:K57)</f>
        <v>0</v>
      </c>
      <c r="L53" s="35">
        <f>=SUM(L54:L57)</f>
        <v>0</v>
      </c>
      <c r="M53" s="35">
        <f>=SUM(M54:M57)</f>
        <v>0</v>
      </c>
      <c r="N53" s="35">
        <f>=SUM(N54:N57)</f>
        <v>0</v>
      </c>
      <c r="O53" s="35">
        <f>=SUM(O54:O57)</f>
        <v>0</v>
      </c>
      <c r="P53" s="35">
        <f>=SUM(P54:P57)</f>
        <v>0</v>
      </c>
      <c r="Q53" s="35">
        <f>=SUM(Q54:Q57)</f>
        <v>0</v>
      </c>
      <c r="R53" s="35">
        <f>=SUM(R54:R57)</f>
        <v>0</v>
      </c>
      <c r="S53" s="35">
        <f>=SUM(S54:S57)</f>
        <v>0</v>
      </c>
      <c r="T53" s="35">
        <f>=SUM(T54:T57)</f>
        <v>0</v>
      </c>
      <c r="U53" s="35">
        <f>=SUM(U54:U57)</f>
        <v>0</v>
      </c>
      <c r="V53" s="35">
        <f>=SUM(V54:V57)</f>
        <v>0</v>
      </c>
      <c r="W53" s="35">
        <f>=SUM(W54:W57)</f>
        <v>0</v>
      </c>
      <c r="X53" s="35">
        <f>=SUM(X54:X57)</f>
        <v>0</v>
      </c>
      <c r="Y53" s="35">
        <f>=SUM(Y54:Y57)</f>
        <v>0</v>
      </c>
      <c r="Z53" s="35">
        <f>=SUM(Z54:Z57)</f>
        <v>0</v>
      </c>
      <c r="AA53" s="35">
        <f>=SUM(AA54:AA57)</f>
        <v>0</v>
      </c>
      <c r="AB53" s="35">
        <f>=SUM(AB54:AB57)</f>
        <v>0</v>
      </c>
      <c r="AC53" s="35">
        <f>=SUM(AC54:AC57)</f>
        <v>0.26860068259385667</v>
      </c>
      <c r="AD53" s="35">
        <f>=SUM(AD54:AD57)</f>
        <v>0.1597972972972973</v>
      </c>
      <c r="AE53" s="35">
        <f>=SUM(AE54:AE57)</f>
        <v>0.14444444444444443</v>
      </c>
      <c r="AF53" s="35">
        <f>=SUM(AF54:AF57)</f>
        <v>0.10064824292050495</v>
      </c>
      <c r="AG53" s="35">
        <f>=SUM(AG54:AG57)</f>
        <v>0.10376712328767124</v>
      </c>
      <c r="AH53" s="35">
        <f>=SUM(AH54:AH57)</f>
        <v>0.07081303859123267</v>
      </c>
      <c r="AI53" s="35">
        <f>=SUM(AI54:AI57)</f>
        <v>0.11216056670602126</v>
      </c>
      <c r="AJ53" s="35">
        <f>=SUM(AJ54:AJ57)</f>
        <v>0.10513447432762837</v>
      </c>
      <c r="AK53" s="35">
        <f>=SUM(AK54:AK57)</f>
        <v>0.0667739340305712</v>
      </c>
      <c r="AL53" s="35">
        <f>=SUM(AL54:AL57)</f>
        <v>0.11856091578086672</v>
      </c>
      <c r="AM53" s="35">
        <f>=SUM(AM54:AM57)</f>
        <v>0.1326226012793177</v>
      </c>
      <c r="AN53" s="35">
        <f>=SUM(AN54:AN57)</f>
        <v>0.1151662611516626</v>
      </c>
      <c r="AO53" s="35">
        <f>=SUM(AO54:AO57)</f>
        <v>0.08982873121286263</v>
      </c>
      <c r="AP53" s="35">
        <f>=SUM(AP54:AP57)</f>
        <v>0.10165229885057472</v>
      </c>
      <c r="AQ53" s="35">
        <f>=SUM(AQ54:AQ57)</f>
        <v>0.10646230323115162</v>
      </c>
      <c r="AR53" s="35">
        <f>=SUM(AR54:AR57)</f>
        <v>0.123398804440649</v>
      </c>
      <c r="AS53" s="35">
        <f>=SUM(AS54:AS57)</f>
        <v>0.10431338028169014</v>
      </c>
      <c r="AT53" s="35">
        <f>=SUM(AT54:AT57)</f>
        <v>0.046875</v>
      </c>
      <c r="AU53" s="35">
        <f>=SUM(AU54:AU57)</f>
        <v>0.0797610681658468</v>
      </c>
      <c r="AV53" s="35">
        <f>=SUM(AV54:AV57)</f>
        <v>0.08340353833192923</v>
      </c>
      <c r="AW53" s="35">
        <f>=SUM(AW54:AW57)</f>
        <v>0.098828125</v>
      </c>
      <c r="AX53" s="35">
        <f>=SUM(AX54:AX57)</f>
        <v>0.05016599040944301</v>
      </c>
      <c r="AY53" s="35">
        <f>=SUM(AY54:AY57)</f>
        <v>0.022193211488250656</v>
      </c>
      <c r="AZ53" s="35">
        <f>=SUM(AZ54:AZ57)</f>
        <v>0.0784518828451883</v>
      </c>
      <c r="BA53" s="35">
        <f>=SUM(BA54:BA57)</f>
        <v>0.12165536924723512</v>
      </c>
      <c r="BB53" s="35">
        <f>=SUM(BB54:BB57)</f>
        <v>0.06076250992851469</v>
      </c>
      <c r="BC53" s="35">
        <f>=SUM(BC54:BC57)</f>
        <v>0.08964059196617336</v>
      </c>
      <c r="BD53" s="35">
        <f>=SUM(BD54:BD57)</f>
        <v>0.03683976919662672</v>
      </c>
      <c r="BE53" s="35">
        <f>=SUM(BE54:BE57)</f>
        <v>0.10259344012204424</v>
      </c>
      <c r="BF53" s="35">
        <f>=SUM(BF54:BF57)</f>
        <v>0.09852999602701629</v>
      </c>
      <c r="BG53" s="35">
        <f>=SUM(BG54:BG57)</f>
        <v>0.06869009584664536</v>
      </c>
      <c r="BH53" s="35">
        <f>=SUM(BH54:BH57)</f>
        <v>0.041146216017634095</v>
      </c>
      <c r="BI53" s="35">
        <f>=SUM(BI54:BI57)</f>
        <v>0.0652256351915055</v>
      </c>
      <c r="BJ53" s="35">
        <f>=SUM(BJ54:BJ57)</f>
        <v>0.06143987938183189</v>
      </c>
      <c r="BK53" s="35">
        <f>=SUM(BK54:BK57)</f>
        <v>0.07159353348729793</v>
      </c>
      <c r="BL53" s="35">
        <f>=SUM(BL54:BL57)</f>
        <v>0.12097080015168751</v>
      </c>
      <c r="BM53" s="35">
        <f>=SUM(BM54:BM57)</f>
        <v>0.10911424903722722</v>
      </c>
      <c r="BN53" s="35">
        <f>=SUM(BN54:BN57)</f>
        <v>0.11349134001823154</v>
      </c>
      <c r="BO53" s="35">
        <f>=SUM(BO54:BO57)</f>
        <v>0.11089206505667816</v>
      </c>
      <c r="BP53" s="35">
        <f>=SUM(BP54:BP57)</f>
        <v>0.04507710557532622</v>
      </c>
      <c r="BQ53" s="35">
        <f>=SUM(BQ54:BQ57)</f>
        <v>0.0746268656716418</v>
      </c>
      <c r="BR53" s="35">
        <f>=SUM(BR54:BR57)</f>
        <v>0.08543007606787595</v>
      </c>
      <c r="BS53" s="35">
        <f>=SUM(BS54:BS57)</f>
        <v>0.0797773654916512</v>
      </c>
      <c r="BT53" s="35">
        <f>=SUM(BT54:BT57)</f>
        <v>0.08828828828828829</v>
      </c>
      <c r="BU53" s="35">
        <f>=SUM(BU54:BU57)</f>
        <v>0.0839080459770115</v>
      </c>
      <c r="BV53" s="35">
        <f>=SUM(BV54:BV57)</f>
        <v>0.1117117117117117</v>
      </c>
      <c r="BW53" s="35">
        <f>=SUM(BW54:BW57)</f>
        <v>0.08457711442786071</v>
      </c>
      <c r="BX53" s="35">
        <f>=SUM(BX54:BX57)</f>
        <v>0</v>
      </c>
      <c r="BY53" s="35">
        <f>=SUM(BY54:BY57)</f>
        <v>0</v>
      </c>
      <c r="BZ53" s="35">
        <f>=SUM(BZ54:BZ57)</f>
        <v>0</v>
      </c>
      <c r="CA53" s="35">
        <f>=SUM(CA54:CA57)</f>
        <v>0</v>
      </c>
      <c r="CB53" s="35">
        <f>=SUM(CB54:CB57)</f>
        <v>0</v>
      </c>
      <c r="CC53" s="35">
        <f>=SUM(CC54:CC57)</f>
        <v>0</v>
      </c>
      <c r="CD53" s="35">
        <f>=SUM(CD54:CD57)</f>
        <v>0</v>
      </c>
      <c r="CE53" s="35">
        <f>=SUM(CE54:CE57)</f>
        <v>0</v>
      </c>
      <c r="CF53" s="35">
        <f>=SUM(CF54:CF57)</f>
        <v>0</v>
      </c>
      <c r="CG53" s="35">
        <f>=SUM(CG54:CG57)</f>
        <v>0</v>
      </c>
      <c r="CH53" s="35">
        <f>=SUM(CH54:CH57)</f>
        <v>0</v>
      </c>
      <c r="CI53" s="35">
        <f>=SUM(CI54:CI57)</f>
        <v>0</v>
      </c>
      <c r="CJ53" s="35">
        <f>=SUM(CJ54:CJ57)</f>
        <v>0</v>
      </c>
      <c r="CK53" s="35">
        <f>=SUM(CK54:CK57)</f>
        <v>0</v>
      </c>
      <c r="CL53" s="35">
        <f>=SUM(CL54:CL57)</f>
        <v>0</v>
      </c>
      <c r="CM53" s="35">
        <f>=SUM(CM54:CM57)</f>
        <v>0</v>
      </c>
      <c r="CN53" s="35">
        <f>=SUM(CN54:CN57)</f>
        <v>0</v>
      </c>
      <c r="CO53" s="35">
        <f>=SUM(CO54:CO57)</f>
        <v>0</v>
      </c>
      <c r="CP53" s="35">
        <f>=SUM(CP54:CP57)</f>
        <v>0</v>
      </c>
      <c r="CQ53" s="35">
        <f>=SUM(CQ54:CQ57)</f>
        <v>0</v>
      </c>
      <c r="CR53" s="35">
        <f>=SUM(CR54:CR57)</f>
        <v>0</v>
      </c>
      <c r="CS53" s="35">
        <f>=SUM(CS54:CS57)</f>
        <v>0</v>
      </c>
      <c r="CT53" s="35">
        <f>=SUM(CT54:CT57)</f>
        <v>0</v>
      </c>
      <c r="CU53" s="35">
        <f>=SUM(CU54:CU57)</f>
        <v>0</v>
      </c>
      <c r="CV53" s="35">
        <f>=SUM(CV54:CV57)</f>
        <v>0</v>
      </c>
      <c r="CW53" s="35">
        <f>=SUM(CW54:CW57)</f>
        <v>0</v>
      </c>
      <c r="CX53" s="35">
        <f>=SUM(CX54:CX57)</f>
        <v>0</v>
      </c>
      <c r="CY53" s="35">
        <f>=SUM(CY54:CY57)</f>
        <v>0</v>
      </c>
      <c r="CZ53" s="35">
        <f>=SUM(CZ54:CZ57)</f>
        <v>0</v>
      </c>
      <c r="DA53" s="35">
        <f>=SUM(DA54:DA57)</f>
        <v>0</v>
      </c>
      <c r="DB53" s="35">
        <f>=SUM(DB54:DB57)</f>
        <v>0</v>
      </c>
    </row>
    <row r="54" ht="18" customHeight="1" spans="1:106" x14ac:dyDescent="0.25">
      <c r="A54" s="36" t="s">
        <v>263</v>
      </c>
      <c r="B54" s="17"/>
      <c r="C54" s="47">
        <f>=IFERROR(C137/C132,0)</f>
        <v>0</v>
      </c>
      <c r="D54" s="47">
        <f>=IFERROR(D137/D132,0)</f>
        <v>0</v>
      </c>
      <c r="E54" s="47">
        <f>=IFERROR(E137/E132,0)</f>
        <v>0</v>
      </c>
      <c r="F54" s="47">
        <f>=IFERROR(F137/F132,0)</f>
        <v>0</v>
      </c>
      <c r="G54" s="47">
        <f>=IFERROR(G137/G132,0)</f>
        <v>0</v>
      </c>
      <c r="H54" s="47">
        <f>=IFERROR(H137/H132,0)</f>
        <v>0</v>
      </c>
      <c r="I54" s="47">
        <f>=IFERROR(I137/I132,0)</f>
        <v>0</v>
      </c>
      <c r="J54" s="47">
        <f>=IFERROR(J137/J132,0)</f>
        <v>0</v>
      </c>
      <c r="K54" s="47">
        <f>=IFERROR(K137/K132,0)</f>
        <v>0</v>
      </c>
      <c r="L54" s="47">
        <f>=IFERROR(L137/L132,0)</f>
        <v>0</v>
      </c>
      <c r="M54" s="47">
        <f>=IFERROR(M137/M132,0)</f>
        <v>0</v>
      </c>
      <c r="N54" s="47">
        <f>=IFERROR(N137/N132,0)</f>
        <v>0</v>
      </c>
      <c r="O54" s="47">
        <f>=IFERROR(O137/O132,0)</f>
        <v>0</v>
      </c>
      <c r="P54" s="47">
        <f>=IFERROR(P137/P132,0)</f>
        <v>0</v>
      </c>
      <c r="Q54" s="47">
        <f>=IFERROR(Q137/Q132,0)</f>
        <v>0</v>
      </c>
      <c r="R54" s="47">
        <f>=IFERROR(R137/R132,0)</f>
        <v>0</v>
      </c>
      <c r="S54" s="47">
        <f>=IFERROR(S137/S132,0)</f>
        <v>0</v>
      </c>
      <c r="T54" s="47">
        <f>=IFERROR(T137/T132,0)</f>
        <v>0</v>
      </c>
      <c r="U54" s="47">
        <f>=IFERROR(U137/U132,0)</f>
        <v>0</v>
      </c>
      <c r="V54" s="47">
        <f>=IFERROR(V137/V132,0)</f>
        <v>0</v>
      </c>
      <c r="W54" s="47">
        <f>=IFERROR(W137/W132,0)</f>
        <v>0</v>
      </c>
      <c r="X54" s="47">
        <f>=IFERROR(X137/X132,0)</f>
        <v>0</v>
      </c>
      <c r="Y54" s="47">
        <f>=IFERROR(Y137/Y132,0)</f>
        <v>0</v>
      </c>
      <c r="Z54" s="47">
        <f>=IFERROR(Z137/Z132,0)</f>
        <v>0</v>
      </c>
      <c r="AA54" s="47">
        <f>=IFERROR(AA137/AA132,0)</f>
        <v>0</v>
      </c>
      <c r="AB54" s="47">
        <f>=IFERROR(AB137/AB132,0)</f>
        <v>0</v>
      </c>
      <c r="AC54" s="47">
        <f>=IFERROR(AC137/AC132,0)</f>
        <v>0.21569965870307167</v>
      </c>
      <c r="AD54" s="47">
        <f>=IFERROR(AD137/AD132,0)</f>
        <v>0.1125</v>
      </c>
      <c r="AE54" s="47">
        <f>=IFERROR(AE137/AE132,0)</f>
        <v>0.05592592592592593</v>
      </c>
      <c r="AF54" s="47">
        <f>=IFERROR(AF137/AF132,0)</f>
        <v>0.0566359604230638</v>
      </c>
      <c r="AG54" s="47">
        <f>=IFERROR(AG137/AG132,0)</f>
        <v>0.060616438356164384</v>
      </c>
      <c r="AH54" s="47">
        <f>=IFERROR(AH137/AH132,0)</f>
        <v>0.026227051330086175</v>
      </c>
      <c r="AI54" s="47">
        <f>=IFERROR(AI137/AI132,0)</f>
        <v>0.029122392758756395</v>
      </c>
      <c r="AJ54" s="47">
        <f>=IFERROR(AJ137/AJ132,0)</f>
        <v>0.06071719641401793</v>
      </c>
      <c r="AK54" s="47">
        <f>=IFERROR(AK137/AK132,0)</f>
        <v>0.04424778761061947</v>
      </c>
      <c r="AL54" s="47">
        <f>=IFERROR(AL137/AL132,0)</f>
        <v>0.06418642681929682</v>
      </c>
      <c r="AM54" s="47">
        <f>=IFERROR(AM137/AM132,0)</f>
        <v>0.06908315565031983</v>
      </c>
      <c r="AN54" s="47">
        <f>=IFERROR(AN137/AN132,0)</f>
        <v>0.058394160583941604</v>
      </c>
      <c r="AO54" s="47">
        <f>=IFERROR(AO137/AO132,0)</f>
        <v>0.049982523593149246</v>
      </c>
      <c r="AP54" s="47">
        <f>=IFERROR(AP137/AP132,0)</f>
        <v>0.04597701149425287</v>
      </c>
      <c r="AQ54" s="47">
        <f>=IFERROR(AQ137/AQ132,0)</f>
        <v>0.06586578293289147</v>
      </c>
      <c r="AR54" s="47">
        <f>=IFERROR(AR137/AR132,0)</f>
        <v>0.09564474807856532</v>
      </c>
      <c r="AS54" s="47">
        <f>=IFERROR(AS137/AS132,0)</f>
        <v>0.07086267605633803</v>
      </c>
      <c r="AT54" s="47">
        <f>=IFERROR(AT137/AT132,0)</f>
        <v>0.024796195652173912</v>
      </c>
      <c r="AU54" s="47">
        <f>=IFERROR(AU137/AU132,0)</f>
        <v>0.028460997891777935</v>
      </c>
      <c r="AV54" s="47">
        <f>=IFERROR(AV137/AV132,0)</f>
        <v>0.03201347935973041</v>
      </c>
      <c r="AW54" s="47">
        <f>=IFERROR(AW137/AW132,0)</f>
        <v>0.044921875</v>
      </c>
      <c r="AX54" s="47">
        <f>=IFERROR(AX137/AX132,0)</f>
        <v>0.021394319439321283</v>
      </c>
      <c r="AY54" s="47">
        <f>=IFERROR(AY137/AY132,0)</f>
        <v>0.00685378590078329</v>
      </c>
      <c r="AZ54" s="47">
        <f>=IFERROR(AZ137/AZ132,0)</f>
        <v>0.03277545327754533</v>
      </c>
      <c r="BA54" s="47">
        <f>=IFERROR(BA137/BA132,0)</f>
        <v>0.06136282554405994</v>
      </c>
      <c r="BB54" s="47">
        <f>=IFERROR(BB137/BB132,0)</f>
        <v>0.054011119936457505</v>
      </c>
      <c r="BC54" s="47">
        <f>=IFERROR(BC137/BC132,0)</f>
        <v>0.0427061310782241</v>
      </c>
      <c r="BD54" s="47">
        <f>=IFERROR(BD137/BD132,0)</f>
        <v>0.007101642254771416</v>
      </c>
      <c r="BE54" s="47">
        <f>=IFERROR(BE137/BE132,0)</f>
        <v>0.016018306636155607</v>
      </c>
      <c r="BF54" s="47">
        <f>=IFERROR(BF137/BF132,0)</f>
        <v>0.021056813667063964</v>
      </c>
      <c r="BG54" s="47">
        <f>=IFERROR(BG137/BG132,0)</f>
        <v>0.006389776357827476</v>
      </c>
      <c r="BH54" s="47">
        <f>=IFERROR(BH137/BH132,0)</f>
        <v>0.005878030859662013</v>
      </c>
      <c r="BI54" s="47">
        <f>=IFERROR(BI137/BI132,0)</f>
        <v>0.01820250284414107</v>
      </c>
      <c r="BJ54" s="47">
        <f>=IFERROR(BJ137/BJ132,0)</f>
        <v>0.027139087825103655</v>
      </c>
      <c r="BK54" s="47">
        <f>=IFERROR(BK137/BK132,0)</f>
        <v>0.049268668206312545</v>
      </c>
      <c r="BL54" s="47">
        <f>=IFERROR(BL137/BL132,0)</f>
        <v>0.04550625711035267</v>
      </c>
      <c r="BM54" s="47">
        <f>=IFERROR(BM137/BM132,0)</f>
        <v>0.06033376123234917</v>
      </c>
      <c r="BN54" s="47">
        <f>=IFERROR(BN137/BN132,0)</f>
        <v>0.08887876025524157</v>
      </c>
      <c r="BO54" s="47">
        <f>=IFERROR(BO137/BO132,0)</f>
        <v>0.04484967964514539</v>
      </c>
      <c r="BP54" s="47">
        <f>=IFERROR(BP137/BP132,0)</f>
        <v>0.009489916963226572</v>
      </c>
      <c r="BQ54" s="47">
        <f>=IFERROR(BQ137/BQ132,0)</f>
        <v>0.028656716417910448</v>
      </c>
      <c r="BR54" s="47">
        <f>=IFERROR(BR137/BR132,0)</f>
        <v>0.028671737858396724</v>
      </c>
      <c r="BS54" s="47">
        <f>=IFERROR(BS137/BS132,0)</f>
        <v>0.03772418058132344</v>
      </c>
      <c r="BT54" s="47">
        <f>=IFERROR(BT137/BT132,0)</f>
        <v>0.02702702702702703</v>
      </c>
      <c r="BU54" s="47">
        <f>=IFERROR(BU137/BU132,0)</f>
        <v>0.04195402298850575</v>
      </c>
      <c r="BV54" s="47">
        <f>=IFERROR(BV137/BV132,0)</f>
        <v>0.04084084084084084</v>
      </c>
      <c r="BW54" s="47">
        <f>=IFERROR(BW137/BW132,0)</f>
        <v>0.04042288557213931</v>
      </c>
      <c r="BX54" s="47">
        <f>=IFERROR(BX137/BX132,0)</f>
        <v>0</v>
      </c>
      <c r="BY54" s="47">
        <f>=IFERROR(BY137/BY132,0)</f>
        <v>0</v>
      </c>
      <c r="BZ54" s="47">
        <f>=IFERROR(BZ137/BZ132,0)</f>
        <v>0</v>
      </c>
      <c r="CA54" s="47">
        <f>=IFERROR(CA137/CA132,0)</f>
        <v>0</v>
      </c>
      <c r="CB54" s="47">
        <f>=IFERROR(CB137/CB132,0)</f>
        <v>0</v>
      </c>
      <c r="CC54" s="47">
        <f>=IFERROR(CC137/CC132,0)</f>
        <v>0</v>
      </c>
      <c r="CD54" s="47">
        <f>=IFERROR(CD137/CD132,0)</f>
        <v>0</v>
      </c>
      <c r="CE54" s="47">
        <f>=IFERROR(CE137/CE132,0)</f>
        <v>0</v>
      </c>
      <c r="CF54" s="47">
        <f>=IFERROR(CF137/CF132,0)</f>
        <v>0</v>
      </c>
      <c r="CG54" s="47">
        <f>=IFERROR(CG137/CG132,0)</f>
        <v>0</v>
      </c>
      <c r="CH54" s="47">
        <f>=IFERROR(CH137/CH132,0)</f>
        <v>0</v>
      </c>
      <c r="CI54" s="47">
        <f>=IFERROR(CI137/CI132,0)</f>
        <v>0</v>
      </c>
      <c r="CJ54" s="47">
        <f>=IFERROR(CJ137/CJ132,0)</f>
        <v>0</v>
      </c>
      <c r="CK54" s="47">
        <f>=IFERROR(CK137/CK132,0)</f>
        <v>0</v>
      </c>
      <c r="CL54" s="47">
        <f>=IFERROR(CL137/CL132,0)</f>
        <v>0</v>
      </c>
      <c r="CM54" s="47">
        <f>=IFERROR(CM137/CM132,0)</f>
        <v>0</v>
      </c>
      <c r="CN54" s="47">
        <f>=IFERROR(CN137/CN132,0)</f>
        <v>0</v>
      </c>
      <c r="CO54" s="47">
        <f>=IFERROR(CO137/CO132,0)</f>
        <v>0</v>
      </c>
      <c r="CP54" s="47">
        <f>=IFERROR(CP137/CP132,0)</f>
        <v>0</v>
      </c>
      <c r="CQ54" s="47">
        <f>=IFERROR(CQ137/CQ132,0)</f>
        <v>0</v>
      </c>
      <c r="CR54" s="47">
        <f>=IFERROR(CR137/CR132,0)</f>
        <v>0</v>
      </c>
      <c r="CS54" s="47">
        <f>=IFERROR(CS137/CS132,0)</f>
        <v>0</v>
      </c>
      <c r="CT54" s="47">
        <f>=IFERROR(CT137/CT132,0)</f>
        <v>0</v>
      </c>
      <c r="CU54" s="47">
        <f>=IFERROR(CU137/CU132,0)</f>
        <v>0</v>
      </c>
      <c r="CV54" s="47">
        <f>=IFERROR(CV137/CV132,0)</f>
        <v>0</v>
      </c>
      <c r="CW54" s="47">
        <f>=IFERROR(CW137/CW132,0)</f>
        <v>0</v>
      </c>
      <c r="CX54" s="47">
        <f>=IFERROR(CX137/CX132,0)</f>
        <v>0</v>
      </c>
      <c r="CY54" s="47">
        <f>=IFERROR(CY137/CY132,0)</f>
        <v>0</v>
      </c>
      <c r="CZ54" s="47">
        <f>=IFERROR(CZ137/CZ132,0)</f>
        <v>0</v>
      </c>
      <c r="DA54" s="47">
        <f>=IFERROR(DA137/DA132,0)</f>
        <v>0</v>
      </c>
      <c r="DB54" s="47">
        <f>=IFERROR(DB137/DB132,0)</f>
        <v>0</v>
      </c>
    </row>
    <row r="55" ht="18" customHeight="1" spans="1:106" x14ac:dyDescent="0.25">
      <c r="A55" s="36" t="s">
        <v>264</v>
      </c>
      <c r="B55" s="17"/>
      <c r="C55" s="47">
        <f>=IFERROR(C138/C132,0)</f>
        <v>0</v>
      </c>
      <c r="D55" s="47">
        <f>=IFERROR(D138/D132,0)</f>
        <v>0</v>
      </c>
      <c r="E55" s="47">
        <f>=IFERROR(E138/E132,0)</f>
        <v>0</v>
      </c>
      <c r="F55" s="47">
        <f>=IFERROR(F138/F132,0)</f>
        <v>0</v>
      </c>
      <c r="G55" s="47">
        <f>=IFERROR(G138/G132,0)</f>
        <v>0</v>
      </c>
      <c r="H55" s="47">
        <f>=IFERROR(H138/H132,0)</f>
        <v>0</v>
      </c>
      <c r="I55" s="47">
        <f>=IFERROR(I138/I132,0)</f>
        <v>0</v>
      </c>
      <c r="J55" s="47">
        <f>=IFERROR(J138/J132,0)</f>
        <v>0</v>
      </c>
      <c r="K55" s="47">
        <f>=IFERROR(K138/K132,0)</f>
        <v>0</v>
      </c>
      <c r="L55" s="47">
        <f>=IFERROR(L138/L132,0)</f>
        <v>0</v>
      </c>
      <c r="M55" s="47">
        <f>=IFERROR(M138/M132,0)</f>
        <v>0</v>
      </c>
      <c r="N55" s="47">
        <f>=IFERROR(N138/N132,0)</f>
        <v>0</v>
      </c>
      <c r="O55" s="47">
        <f>=IFERROR(O138/O132,0)</f>
        <v>0</v>
      </c>
      <c r="P55" s="47">
        <f>=IFERROR(P138/P132,0)</f>
        <v>0</v>
      </c>
      <c r="Q55" s="47">
        <f>=IFERROR(Q138/Q132,0)</f>
        <v>0</v>
      </c>
      <c r="R55" s="47">
        <f>=IFERROR(R138/R132,0)</f>
        <v>0</v>
      </c>
      <c r="S55" s="47">
        <f>=IFERROR(S138/S132,0)</f>
        <v>0</v>
      </c>
      <c r="T55" s="47">
        <f>=IFERROR(T138/T132,0)</f>
        <v>0</v>
      </c>
      <c r="U55" s="47">
        <f>=IFERROR(U138/U132,0)</f>
        <v>0</v>
      </c>
      <c r="V55" s="47">
        <f>=IFERROR(V138/V132,0)</f>
        <v>0</v>
      </c>
      <c r="W55" s="47">
        <f>=IFERROR(W138/W132,0)</f>
        <v>0</v>
      </c>
      <c r="X55" s="47">
        <f>=IFERROR(X138/X132,0)</f>
        <v>0</v>
      </c>
      <c r="Y55" s="47">
        <f>=IFERROR(Y138/Y132,0)</f>
        <v>0</v>
      </c>
      <c r="Z55" s="47">
        <f>=IFERROR(Z138/Z132,0)</f>
        <v>0</v>
      </c>
      <c r="AA55" s="47">
        <f>=IFERROR(AA138/AA132,0)</f>
        <v>0</v>
      </c>
      <c r="AB55" s="47">
        <f>=IFERROR(AB138/AB132,0)</f>
        <v>0</v>
      </c>
      <c r="AC55" s="47">
        <f>=IFERROR(AC138/AC132,0)</f>
        <v>0.052901023890784986</v>
      </c>
      <c r="AD55" s="47">
        <f>=IFERROR(AD138/AD132,0)</f>
        <v>0.0472972972972973</v>
      </c>
      <c r="AE55" s="47">
        <f>=IFERROR(AE138/AE132,0)</f>
        <v>0.08851851851851852</v>
      </c>
      <c r="AF55" s="47">
        <f>=IFERROR(AF138/AF132,0)</f>
        <v>0.044012282497441144</v>
      </c>
      <c r="AG55" s="47">
        <f>=IFERROR(AG138/AG132,0)</f>
        <v>0.04315068493150685</v>
      </c>
      <c r="AH55" s="47">
        <f>=IFERROR(AH138/AH132,0)</f>
        <v>0.044585987261146494</v>
      </c>
      <c r="AI55" s="47">
        <f>=IFERROR(AI138/AI132,0)</f>
        <v>0.08303817394726486</v>
      </c>
      <c r="AJ55" s="47">
        <f>=IFERROR(AJ138/AJ132,0)</f>
        <v>0.044417277913610435</v>
      </c>
      <c r="AK55" s="47">
        <f>=IFERROR(AK138/AK132,0)</f>
        <v>0.02252614641995173</v>
      </c>
      <c r="AL55" s="47">
        <f>=IFERROR(AL138/AL132,0)</f>
        <v>0.05437448896156991</v>
      </c>
      <c r="AM55" s="47">
        <f>=IFERROR(AM138/AM132,0)</f>
        <v>0.06353944562899787</v>
      </c>
      <c r="AN55" s="47">
        <f>=IFERROR(AN138/AN132,0)</f>
        <v>0.05677210056772101</v>
      </c>
      <c r="AO55" s="47">
        <f>=IFERROR(AO138/AO132,0)</f>
        <v>0.039846207619713386</v>
      </c>
      <c r="AP55" s="47">
        <f>=IFERROR(AP138/AP132,0)</f>
        <v>0.05567528735632184</v>
      </c>
      <c r="AQ55" s="47">
        <f>=IFERROR(AQ138/AQ132,0)</f>
        <v>0.04059652029826015</v>
      </c>
      <c r="AR55" s="47">
        <f>=IFERROR(AR138/AR132,0)</f>
        <v>0.02775405636208369</v>
      </c>
      <c r="AS55" s="47">
        <f>=IFERROR(AS138/AS132,0)</f>
        <v>0.03345070422535211</v>
      </c>
      <c r="AT55" s="47">
        <f>=IFERROR(AT138/AT132,0)</f>
        <v>0.022078804347826088</v>
      </c>
      <c r="AU55" s="47">
        <f>=IFERROR(AU138/AU132,0)</f>
        <v>0.05130007027406887</v>
      </c>
      <c r="AV55" s="47">
        <f>=IFERROR(AV138/AV132,0)</f>
        <v>0.051390058972198824</v>
      </c>
      <c r="AW55" s="47">
        <f>=IFERROR(AW138/AW132,0)</f>
        <v>0.05390625</v>
      </c>
      <c r="AX55" s="47">
        <f>=IFERROR(AX138/AX132,0)</f>
        <v>0.028771670970121725</v>
      </c>
      <c r="AY55" s="47">
        <f>=IFERROR(AY138/AY132,0)</f>
        <v>0.015339425587467363</v>
      </c>
      <c r="AZ55" s="47">
        <f>=IFERROR(AZ138/AZ132,0)</f>
        <v>0.04567642956764296</v>
      </c>
      <c r="BA55" s="47">
        <f>=IFERROR(BA138/BA132,0)</f>
        <v>0.06029254370317517</v>
      </c>
      <c r="BB55" s="47">
        <f>=IFERROR(BB138/BB132,0)</f>
        <v>0.006751389992057188</v>
      </c>
      <c r="BC55" s="47">
        <f>=IFERROR(BC138/BC132,0)</f>
        <v>0.04693446088794926</v>
      </c>
      <c r="BD55" s="47">
        <f>=IFERROR(BD138/BD132,0)</f>
        <v>0.029738126941855306</v>
      </c>
      <c r="BE55" s="47">
        <f>=IFERROR(BE138/BE132,0)</f>
        <v>0.08657513348588863</v>
      </c>
      <c r="BF55" s="47">
        <f>=IFERROR(BF138/BF132,0)</f>
        <v>0.07747318235995232</v>
      </c>
      <c r="BG55" s="47">
        <f>=IFERROR(BG138/BG132,0)</f>
        <v>0.06230031948881789</v>
      </c>
      <c r="BH55" s="47">
        <f>=IFERROR(BH138/BH132,0)</f>
        <v>0.03526818515797208</v>
      </c>
      <c r="BI55" s="47">
        <f>=IFERROR(BI138/BI132,0)</f>
        <v>0.04702313234736443</v>
      </c>
      <c r="BJ55" s="47">
        <f>=IFERROR(BJ138/BJ132,0)</f>
        <v>0.03430079155672823</v>
      </c>
      <c r="BK55" s="47">
        <f>=IFERROR(BK138/BK132,0)</f>
        <v>0.022324865280985373</v>
      </c>
      <c r="BL55" s="47">
        <f>=IFERROR(BL138/BL132,0)</f>
        <v>0.07546454304133485</v>
      </c>
      <c r="BM55" s="47">
        <f>=IFERROR(BM138/BM132,0)</f>
        <v>0.04878048780487805</v>
      </c>
      <c r="BN55" s="47">
        <f>=IFERROR(BN138/BN132,0)</f>
        <v>0.024612579762989972</v>
      </c>
      <c r="BO55" s="47">
        <f>=IFERROR(BO138/BO132,0)</f>
        <v>0.06604238541153278</v>
      </c>
      <c r="BP55" s="47">
        <f>=IFERROR(BP138/BP132,0)</f>
        <v>0.03558718861209965</v>
      </c>
      <c r="BQ55" s="47">
        <f>=IFERROR(BQ138/BQ132,0)</f>
        <v>0.04597014925373134</v>
      </c>
      <c r="BR55" s="47">
        <f>=IFERROR(BR138/BR132,0)</f>
        <v>0.05675833820947923</v>
      </c>
      <c r="BS55" s="47">
        <f>=IFERROR(BS138/BS132,0)</f>
        <v>0.042053184910327765</v>
      </c>
      <c r="BT55" s="47">
        <f>=IFERROR(BT138/BT132,0)</f>
        <v>0.06126126126126126</v>
      </c>
      <c r="BU55" s="47">
        <f>=IFERROR(BU138/BU132,0)</f>
        <v>0.04195402298850575</v>
      </c>
      <c r="BV55" s="47">
        <f>=IFERROR(BV138/BV132,0)</f>
        <v>0.07087087087087086</v>
      </c>
      <c r="BW55" s="47">
        <f>=IFERROR(BW138/BW132,0)</f>
        <v>0.04415422885572139</v>
      </c>
      <c r="BX55" s="47">
        <f>=IFERROR(BX138/BX132,0)</f>
        <v>0</v>
      </c>
      <c r="BY55" s="47">
        <f>=IFERROR(BY138/BY132,0)</f>
        <v>0</v>
      </c>
      <c r="BZ55" s="47">
        <f>=IFERROR(BZ138/BZ132,0)</f>
        <v>0</v>
      </c>
      <c r="CA55" s="47">
        <f>=IFERROR(CA138/CA132,0)</f>
        <v>0</v>
      </c>
      <c r="CB55" s="47">
        <f>=IFERROR(CB138/CB132,0)</f>
        <v>0</v>
      </c>
      <c r="CC55" s="47">
        <f>=IFERROR(CC138/CC132,0)</f>
        <v>0</v>
      </c>
      <c r="CD55" s="47">
        <f>=IFERROR(CD138/CD132,0)</f>
        <v>0</v>
      </c>
      <c r="CE55" s="47">
        <f>=IFERROR(CE138/CE132,0)</f>
        <v>0</v>
      </c>
      <c r="CF55" s="47">
        <f>=IFERROR(CF138/CF132,0)</f>
        <v>0</v>
      </c>
      <c r="CG55" s="47">
        <f>=IFERROR(CG138/CG132,0)</f>
        <v>0</v>
      </c>
      <c r="CH55" s="47">
        <f>=IFERROR(CH138/CH132,0)</f>
        <v>0</v>
      </c>
      <c r="CI55" s="47">
        <f>=IFERROR(CI138/CI132,0)</f>
        <v>0</v>
      </c>
      <c r="CJ55" s="47">
        <f>=IFERROR(CJ138/CJ132,0)</f>
        <v>0</v>
      </c>
      <c r="CK55" s="47">
        <f>=IFERROR(CK138/CK132,0)</f>
        <v>0</v>
      </c>
      <c r="CL55" s="47">
        <f>=IFERROR(CL138/CL132,0)</f>
        <v>0</v>
      </c>
      <c r="CM55" s="47">
        <f>=IFERROR(CM138/CM132,0)</f>
        <v>0</v>
      </c>
      <c r="CN55" s="47">
        <f>=IFERROR(CN138/CN132,0)</f>
        <v>0</v>
      </c>
      <c r="CO55" s="47">
        <f>=IFERROR(CO138/CO132,0)</f>
        <v>0</v>
      </c>
      <c r="CP55" s="47">
        <f>=IFERROR(CP138/CP132,0)</f>
        <v>0</v>
      </c>
      <c r="CQ55" s="47">
        <f>=IFERROR(CQ138/CQ132,0)</f>
        <v>0</v>
      </c>
      <c r="CR55" s="47">
        <f>=IFERROR(CR138/CR132,0)</f>
        <v>0</v>
      </c>
      <c r="CS55" s="47">
        <f>=IFERROR(CS138/CS132,0)</f>
        <v>0</v>
      </c>
      <c r="CT55" s="47">
        <f>=IFERROR(CT138/CT132,0)</f>
        <v>0</v>
      </c>
      <c r="CU55" s="47">
        <f>=IFERROR(CU138/CU132,0)</f>
        <v>0</v>
      </c>
      <c r="CV55" s="47">
        <f>=IFERROR(CV138/CV132,0)</f>
        <v>0</v>
      </c>
      <c r="CW55" s="47">
        <f>=IFERROR(CW138/CW132,0)</f>
        <v>0</v>
      </c>
      <c r="CX55" s="47">
        <f>=IFERROR(CX138/CX132,0)</f>
        <v>0</v>
      </c>
      <c r="CY55" s="47">
        <f>=IFERROR(CY138/CY132,0)</f>
        <v>0</v>
      </c>
      <c r="CZ55" s="47">
        <f>=IFERROR(CZ138/CZ132,0)</f>
        <v>0</v>
      </c>
      <c r="DA55" s="47">
        <f>=IFERROR(DA138/DA132,0)</f>
        <v>0</v>
      </c>
      <c r="DB55" s="47">
        <f>=IFERROR(DB138/DB132,0)</f>
        <v>0</v>
      </c>
    </row>
    <row r="56" ht="18" customHeight="1" spans="1:106" x14ac:dyDescent="0.25">
      <c r="A56" s="36" t="s">
        <v>265</v>
      </c>
      <c r="B56" s="17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8"/>
      <c r="BG56" s="38"/>
      <c r="BH56" s="38"/>
      <c r="BI56" s="38"/>
      <c r="BJ56" s="38"/>
      <c r="BK56" s="38"/>
      <c r="BL56" s="38"/>
      <c r="BM56" s="38"/>
      <c r="BN56" s="38"/>
      <c r="BO56" s="38"/>
      <c r="BP56" s="38"/>
      <c r="BQ56" s="38"/>
      <c r="BR56" s="38"/>
      <c r="BS56" s="38"/>
      <c r="BT56" s="38"/>
      <c r="BU56" s="38"/>
      <c r="BV56" s="38"/>
      <c r="BW56" s="38"/>
      <c r="BX56" s="38"/>
      <c r="BY56" s="38"/>
      <c r="BZ56" s="38"/>
      <c r="CA56" s="38"/>
      <c r="CB56" s="38"/>
      <c r="CC56" s="38"/>
      <c r="CD56" s="38"/>
      <c r="CE56" s="38"/>
      <c r="CF56" s="38"/>
      <c r="CG56" s="38"/>
      <c r="CH56" s="38"/>
      <c r="CI56" s="38"/>
      <c r="CJ56" s="38"/>
      <c r="CK56" s="38"/>
      <c r="CL56" s="38"/>
      <c r="CM56" s="38"/>
      <c r="CN56" s="38"/>
      <c r="CO56" s="38"/>
      <c r="CP56" s="38"/>
      <c r="CQ56" s="38"/>
      <c r="CR56" s="38"/>
      <c r="CS56" s="38"/>
      <c r="CT56" s="38"/>
      <c r="CU56" s="38"/>
      <c r="CV56" s="38"/>
      <c r="CW56" s="38"/>
      <c r="CX56" s="38"/>
      <c r="CY56" s="38"/>
      <c r="CZ56" s="38"/>
      <c r="DA56" s="38"/>
      <c r="DB56" s="38"/>
    </row>
    <row r="57" ht="18" customHeight="1" spans="1:106" x14ac:dyDescent="0.25">
      <c r="A57" s="36" t="s">
        <v>286</v>
      </c>
      <c r="B57" s="17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  <c r="CG57" s="38"/>
      <c r="CH57" s="38"/>
      <c r="CI57" s="38"/>
      <c r="CJ57" s="38"/>
      <c r="CK57" s="38"/>
      <c r="CL57" s="38"/>
      <c r="CM57" s="38"/>
      <c r="CN57" s="38"/>
      <c r="CO57" s="38"/>
      <c r="CP57" s="38"/>
      <c r="CQ57" s="38"/>
      <c r="CR57" s="38"/>
      <c r="CS57" s="38"/>
      <c r="CT57" s="38"/>
      <c r="CU57" s="38"/>
      <c r="CV57" s="38"/>
      <c r="CW57" s="38"/>
      <c r="CX57" s="38"/>
      <c r="CY57" s="38"/>
      <c r="CZ57" s="38"/>
      <c r="DA57" s="38"/>
      <c r="DB57" s="38"/>
    </row>
    <row r="58" ht="18" customHeight="1" spans="1:106" x14ac:dyDescent="0.25">
      <c r="A58" s="16" t="s">
        <v>287</v>
      </c>
      <c r="B58" s="17"/>
      <c r="C58" s="35">
        <f>=SUM(C59:C64)</f>
        <v>0</v>
      </c>
      <c r="D58" s="35">
        <f>=SUM(D59:D63)</f>
        <v>0</v>
      </c>
      <c r="E58" s="35">
        <f>=SUM(E59:E63)</f>
        <v>0</v>
      </c>
      <c r="F58" s="35">
        <f>=SUM(F59:F63)</f>
        <v>0</v>
      </c>
      <c r="G58" s="35">
        <f>=SUM(G59:G63)</f>
        <v>0</v>
      </c>
      <c r="H58" s="35">
        <f>=SUM(H59:H63)</f>
        <v>0</v>
      </c>
      <c r="I58" s="35">
        <f>=SUM(I59:I63)</f>
        <v>0</v>
      </c>
      <c r="J58" s="35">
        <f>=SUM(J59:J63)</f>
        <v>0</v>
      </c>
      <c r="K58" s="35">
        <f>=SUM(K59:K63)</f>
        <v>0</v>
      </c>
      <c r="L58" s="35">
        <f>=SUM(L59:L63)</f>
        <v>0</v>
      </c>
      <c r="M58" s="35">
        <f>=SUM(M59:M63)</f>
        <v>0</v>
      </c>
      <c r="N58" s="35">
        <f>=SUM(N59:N63)</f>
        <v>0</v>
      </c>
      <c r="O58" s="35">
        <f>=SUM(O59:O63)</f>
        <v>0</v>
      </c>
      <c r="P58" s="35">
        <f>=SUM(P59:P63)</f>
        <v>0</v>
      </c>
      <c r="Q58" s="35">
        <f>=SUM(Q59:Q63)</f>
        <v>0</v>
      </c>
      <c r="R58" s="35">
        <f>=SUM(R59:R63)</f>
        <v>0</v>
      </c>
      <c r="S58" s="35">
        <f>=SUM(S59:S63)</f>
        <v>0</v>
      </c>
      <c r="T58" s="35">
        <f>=SUM(T59:T63)</f>
        <v>0</v>
      </c>
      <c r="U58" s="35">
        <f>=SUM(U59:U63)</f>
        <v>0</v>
      </c>
      <c r="V58" s="35">
        <f>=SUM(V59:V63)</f>
        <v>0</v>
      </c>
      <c r="W58" s="35">
        <f>=SUM(W59:W63)</f>
        <v>0</v>
      </c>
      <c r="X58" s="35">
        <f>=SUM(X59:X63)</f>
        <v>0</v>
      </c>
      <c r="Y58" s="35">
        <f>=SUM(Y59:Y63)</f>
        <v>0</v>
      </c>
      <c r="Z58" s="35">
        <f>=SUM(Z59:Z63)</f>
        <v>0</v>
      </c>
      <c r="AA58" s="35">
        <f>=SUM(AA59:AA63)</f>
        <v>0</v>
      </c>
      <c r="AB58" s="35">
        <f>=SUM(AB59:AB63)</f>
        <v>0</v>
      </c>
      <c r="AC58" s="35">
        <f>=SUM(AC59:AC63)</f>
        <v>0</v>
      </c>
      <c r="AD58" s="35">
        <f>=SUM(AD59:AD63)</f>
        <v>0</v>
      </c>
      <c r="AE58" s="35">
        <f>=SUM(AE59:AE63)</f>
        <v>0</v>
      </c>
      <c r="AF58" s="35">
        <f>=SUM(AF59:AF63)</f>
        <v>0</v>
      </c>
      <c r="AG58" s="35">
        <f>=SUM(AG59:AG63)</f>
        <v>0</v>
      </c>
      <c r="AH58" s="35">
        <f>=SUM(AH59:AH63)</f>
        <v>0</v>
      </c>
      <c r="AI58" s="35">
        <f>=SUM(AI59:AI63)</f>
        <v>0</v>
      </c>
      <c r="AJ58" s="35">
        <f>=SUM(AJ59:AJ63)</f>
        <v>0</v>
      </c>
      <c r="AK58" s="35">
        <f>=SUM(AK59:AK63)</f>
        <v>0</v>
      </c>
      <c r="AL58" s="35">
        <f>=SUM(AL59:AL63)</f>
        <v>0</v>
      </c>
      <c r="AM58" s="35">
        <f>=SUM(AM59:AM63)</f>
        <v>0</v>
      </c>
      <c r="AN58" s="35">
        <f>=SUM(AN59:AN63)</f>
        <v>0</v>
      </c>
      <c r="AO58" s="35">
        <f>=SUM(AO59:AO63)</f>
        <v>0</v>
      </c>
      <c r="AP58" s="35">
        <f>=SUM(AP59:AP63)</f>
        <v>0</v>
      </c>
      <c r="AQ58" s="35">
        <f>=SUM(AQ59:AQ63)</f>
        <v>0</v>
      </c>
      <c r="AR58" s="35">
        <f>=SUM(AR59:AR63)</f>
        <v>0</v>
      </c>
      <c r="AS58" s="35">
        <f>=SUM(AS59:AS63)</f>
        <v>0</v>
      </c>
      <c r="AT58" s="35">
        <f>=SUM(AT59:AT63)</f>
        <v>0</v>
      </c>
      <c r="AU58" s="35">
        <f>=SUM(AU59:AU63)</f>
        <v>0</v>
      </c>
      <c r="AV58" s="35">
        <f>=SUM(AV59:AV63)</f>
        <v>0</v>
      </c>
      <c r="AW58" s="35">
        <f>=SUM(AW59:AW63)</f>
        <v>0</v>
      </c>
      <c r="AX58" s="35">
        <f>=SUM(AX59:AX63)</f>
        <v>0</v>
      </c>
      <c r="AY58" s="35">
        <f>=SUM(AY59:AY63)</f>
        <v>0</v>
      </c>
      <c r="AZ58" s="35">
        <f>=SUM(AZ59:AZ63)</f>
        <v>0</v>
      </c>
      <c r="BA58" s="35">
        <f>=SUM(BA59:BA63)</f>
        <v>0</v>
      </c>
      <c r="BB58" s="35">
        <f>=SUM(BB59:BB63)</f>
        <v>0</v>
      </c>
      <c r="BC58" s="35">
        <f>=SUM(BC59:BC63)</f>
        <v>0</v>
      </c>
      <c r="BD58" s="35">
        <f>=SUM(BD59:BD63)</f>
        <v>0</v>
      </c>
      <c r="BE58" s="35">
        <f>=SUM(BE59:BE63)</f>
        <v>0</v>
      </c>
      <c r="BF58" s="35">
        <f>=SUM(BF59:BF63)</f>
        <v>0</v>
      </c>
      <c r="BG58" s="35">
        <f>=SUM(BG59:BG63)</f>
        <v>0</v>
      </c>
      <c r="BH58" s="35">
        <f>=SUM(BH59:BH63)</f>
        <v>0</v>
      </c>
      <c r="BI58" s="35">
        <f>=SUM(BI59:BI63)</f>
        <v>0</v>
      </c>
      <c r="BJ58" s="35">
        <f>=SUM(BJ59:BJ63)</f>
        <v>0</v>
      </c>
      <c r="BK58" s="35">
        <f>=SUM(BK59:BK63)</f>
        <v>0</v>
      </c>
      <c r="BL58" s="35">
        <f>=SUM(BL59:BL63)</f>
        <v>0</v>
      </c>
      <c r="BM58" s="35">
        <f>=SUM(BM59:BM63)</f>
        <v>0</v>
      </c>
      <c r="BN58" s="35">
        <f>=SUM(BN59:BN63)</f>
        <v>0</v>
      </c>
      <c r="BO58" s="35">
        <f>=SUM(BO59:BO63)</f>
        <v>0</v>
      </c>
      <c r="BP58" s="35">
        <f>=SUM(BP59:BP63)</f>
        <v>0</v>
      </c>
      <c r="BQ58" s="35">
        <f>=SUM(BQ59:BQ63)</f>
        <v>0</v>
      </c>
      <c r="BR58" s="35">
        <f>=SUM(BR59:BR63)</f>
        <v>0</v>
      </c>
      <c r="BS58" s="35">
        <f>=SUM(BS59:BS63)</f>
        <v>0</v>
      </c>
      <c r="BT58" s="35">
        <f>=SUM(BT59:BT63)</f>
        <v>0</v>
      </c>
      <c r="BU58" s="35">
        <f>=SUM(BU59:BU63)</f>
        <v>0</v>
      </c>
      <c r="BV58" s="35">
        <f>=SUM(BV59:BV63)</f>
        <v>0</v>
      </c>
      <c r="BW58" s="35">
        <f>=SUM(BW59:BW63)</f>
        <v>0</v>
      </c>
      <c r="BX58" s="35">
        <f>=SUM(BX59:BX63)</f>
        <v>0</v>
      </c>
      <c r="BY58" s="35">
        <f>=SUM(BY59:BY63)</f>
        <v>0</v>
      </c>
      <c r="BZ58" s="35">
        <f>=SUM(BZ59:BZ63)</f>
        <v>0</v>
      </c>
      <c r="CA58" s="35">
        <f>=SUM(CA59:CA63)</f>
        <v>0</v>
      </c>
      <c r="CB58" s="35">
        <f>=SUM(CB59:CB63)</f>
        <v>0</v>
      </c>
      <c r="CC58" s="35">
        <f>=SUM(CC59:CC63)</f>
        <v>0</v>
      </c>
      <c r="CD58" s="35">
        <f>=SUM(CD59:CD63)</f>
        <v>0</v>
      </c>
      <c r="CE58" s="35">
        <f>=SUM(CE59:CE63)</f>
        <v>0</v>
      </c>
      <c r="CF58" s="35">
        <f>=SUM(CF59:CF63)</f>
        <v>0</v>
      </c>
      <c r="CG58" s="35">
        <f>=SUM(CG59:CG63)</f>
        <v>0</v>
      </c>
      <c r="CH58" s="35">
        <f>=SUM(CH59:CH63)</f>
        <v>0</v>
      </c>
      <c r="CI58" s="35">
        <f>=SUM(CI59:CI63)</f>
        <v>0</v>
      </c>
      <c r="CJ58" s="35">
        <f>=SUM(CJ59:CJ63)</f>
        <v>0</v>
      </c>
      <c r="CK58" s="35">
        <f>=SUM(CK59:CK63)</f>
        <v>0</v>
      </c>
      <c r="CL58" s="35">
        <f>=SUM(CL59:CL63)</f>
        <v>0</v>
      </c>
      <c r="CM58" s="35">
        <f>=SUM(CM59:CM63)</f>
        <v>0</v>
      </c>
      <c r="CN58" s="35">
        <f>=SUM(CN59:CN63)</f>
        <v>0</v>
      </c>
      <c r="CO58" s="35">
        <f>=SUM(CO59:CO63)</f>
        <v>0</v>
      </c>
      <c r="CP58" s="35">
        <f>=SUM(CP59:CP63)</f>
        <v>0</v>
      </c>
      <c r="CQ58" s="35">
        <f>=SUM(CQ59:CQ63)</f>
        <v>0</v>
      </c>
      <c r="CR58" s="35">
        <f>=SUM(CR59:CR63)</f>
        <v>0</v>
      </c>
      <c r="CS58" s="35">
        <f>=SUM(CS59:CS63)</f>
        <v>0</v>
      </c>
      <c r="CT58" s="35">
        <f>=SUM(CT59:CT63)</f>
        <v>0</v>
      </c>
      <c r="CU58" s="35">
        <f>=SUM(CU59:CU63)</f>
        <v>0</v>
      </c>
      <c r="CV58" s="35">
        <f>=SUM(CV59:CV63)</f>
        <v>0</v>
      </c>
      <c r="CW58" s="35">
        <f>=SUM(CW59:CW63)</f>
        <v>0</v>
      </c>
      <c r="CX58" s="35">
        <f>=SUM(CX59:CX63)</f>
        <v>0</v>
      </c>
      <c r="CY58" s="35">
        <f>=SUM(CY59:CY63)</f>
        <v>0</v>
      </c>
      <c r="CZ58" s="35">
        <f>=SUM(CZ59:CZ63)</f>
        <v>0</v>
      </c>
      <c r="DA58" s="35">
        <f>=SUM(DA59:DA63)</f>
        <v>0</v>
      </c>
      <c r="DB58" s="35">
        <f>=SUM(DB59:DB63)</f>
        <v>0</v>
      </c>
    </row>
    <row r="59" ht="18" customHeight="1" spans="1:106" x14ac:dyDescent="0.25">
      <c r="A59" s="36" t="s">
        <v>268</v>
      </c>
      <c r="B59" s="17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BH59" s="38"/>
      <c r="BI59" s="38"/>
      <c r="BJ59" s="38"/>
      <c r="BK59" s="38"/>
      <c r="BL59" s="38"/>
      <c r="BM59" s="38"/>
      <c r="BN59" s="38"/>
      <c r="BO59" s="38"/>
      <c r="BP59" s="38"/>
      <c r="BQ59" s="38"/>
      <c r="BR59" s="38"/>
      <c r="BS59" s="38"/>
      <c r="BT59" s="38"/>
      <c r="BU59" s="38"/>
      <c r="BV59" s="38"/>
      <c r="BW59" s="38"/>
      <c r="BX59" s="38"/>
      <c r="BY59" s="38"/>
      <c r="BZ59" s="38"/>
      <c r="CA59" s="38"/>
      <c r="CB59" s="38"/>
      <c r="CC59" s="38"/>
      <c r="CD59" s="38"/>
      <c r="CE59" s="38"/>
      <c r="CF59" s="38"/>
      <c r="CG59" s="38"/>
      <c r="CH59" s="38"/>
      <c r="CI59" s="38"/>
      <c r="CJ59" s="38"/>
      <c r="CK59" s="38"/>
      <c r="CL59" s="38"/>
      <c r="CM59" s="38"/>
      <c r="CN59" s="38"/>
      <c r="CO59" s="38"/>
      <c r="CP59" s="38"/>
      <c r="CQ59" s="38"/>
      <c r="CR59" s="38"/>
      <c r="CS59" s="38"/>
      <c r="CT59" s="38"/>
      <c r="CU59" s="38"/>
      <c r="CV59" s="38"/>
      <c r="CW59" s="38"/>
      <c r="CX59" s="38"/>
      <c r="CY59" s="38"/>
      <c r="CZ59" s="38"/>
      <c r="DA59" s="38"/>
      <c r="DB59" s="38"/>
    </row>
    <row r="60" ht="18" customHeight="1" spans="1:106" x14ac:dyDescent="0.25">
      <c r="A60" s="36" t="s">
        <v>269</v>
      </c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8"/>
      <c r="BH60" s="38"/>
      <c r="BI60" s="38"/>
      <c r="BJ60" s="38"/>
      <c r="BK60" s="38"/>
      <c r="BL60" s="38"/>
      <c r="BM60" s="38"/>
      <c r="BN60" s="38"/>
      <c r="BO60" s="38"/>
      <c r="BP60" s="38"/>
      <c r="BQ60" s="38"/>
      <c r="BR60" s="38"/>
      <c r="BS60" s="38"/>
      <c r="BT60" s="38"/>
      <c r="BU60" s="38"/>
      <c r="BV60" s="38"/>
      <c r="BW60" s="38"/>
      <c r="BX60" s="38"/>
      <c r="BY60" s="38"/>
      <c r="BZ60" s="38"/>
      <c r="CA60" s="38"/>
      <c r="CB60" s="38"/>
      <c r="CC60" s="38"/>
      <c r="CD60" s="38"/>
      <c r="CE60" s="38"/>
      <c r="CF60" s="38"/>
      <c r="CG60" s="38"/>
      <c r="CH60" s="38"/>
      <c r="CI60" s="38"/>
      <c r="CJ60" s="38"/>
      <c r="CK60" s="38"/>
      <c r="CL60" s="38"/>
      <c r="CM60" s="38"/>
      <c r="CN60" s="38"/>
      <c r="CO60" s="38"/>
      <c r="CP60" s="38"/>
      <c r="CQ60" s="38"/>
      <c r="CR60" s="38"/>
      <c r="CS60" s="38"/>
      <c r="CT60" s="38"/>
      <c r="CU60" s="38"/>
      <c r="CV60" s="38"/>
      <c r="CW60" s="38"/>
      <c r="CX60" s="38"/>
      <c r="CY60" s="38"/>
      <c r="CZ60" s="38"/>
      <c r="DA60" s="38"/>
      <c r="DB60" s="38"/>
    </row>
    <row r="61" ht="18" customHeight="1" spans="1:1" x14ac:dyDescent="0.25">
      <c r="A61" s="36" t="s">
        <v>288</v>
      </c>
    </row>
    <row r="62" ht="18" customHeight="1" spans="1:1" x14ac:dyDescent="0.25">
      <c r="A62" s="36" t="s">
        <v>272</v>
      </c>
    </row>
    <row r="63" ht="18" customHeight="1" spans="1:106" x14ac:dyDescent="0.25">
      <c r="A63" s="36" t="s">
        <v>289</v>
      </c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</row>
    <row r="64" ht="18" customHeight="1" spans="1:106" x14ac:dyDescent="0.25">
      <c r="A64" s="36" t="s">
        <v>271</v>
      </c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</row>
    <row r="65" ht="18" customHeight="1" spans="1:106" x14ac:dyDescent="0.25">
      <c r="A65" s="20" t="s">
        <v>290</v>
      </c>
      <c r="C65" s="31">
        <f>=IF(LEN(C66)&gt;0,C66/C19,"")</f>
        <v>0</v>
      </c>
      <c r="D65" s="31">
        <f>=IF(LEN(D66)&gt;0,D66/D19,"")</f>
        <v>0.009259259259259259</v>
      </c>
      <c r="E65" s="31">
        <f>=IF(LEN(E66)&gt;0,E66/E19,"")</f>
        <v>0</v>
      </c>
      <c r="F65" s="31">
        <f>=IF(LEN(F66)&gt;0,F66/F19,"")</f>
        <v>0.009523809523809525</v>
      </c>
      <c r="G65" s="31">
        <f>=IF(LEN(G66)&gt;0,G66/G19,"")</f>
        <v>0.038834951456310676</v>
      </c>
      <c r="H65" s="31">
        <f>=IF(LEN(H66)&gt;0,H66/H19,"")</f>
        <v>0.019230769230769232</v>
      </c>
      <c r="I65" s="31">
        <f>=IF(LEN(I66)&gt;0,I66/I19,"")</f>
        <v>0.009615384615384616</v>
      </c>
      <c r="J65" s="31">
        <f>=IF(LEN(J66)&gt;0,J66/J19,"")</f>
        <v>0</v>
      </c>
      <c r="K65" s="31">
        <f>=IF(LEN(K66)&gt;0,K66/K19,"")</f>
        <v>0</v>
      </c>
      <c r="L65" s="31">
        <f>=IF(LEN(L66)&gt;0,L66/L19,"")</f>
        <v>0</v>
      </c>
      <c r="M65" s="31">
        <f>=IF(LEN(M66)&gt;0,M66/M19,"")</f>
        <v>0</v>
      </c>
      <c r="N65" s="31">
        <f>=IF(LEN(N66)&gt;0,N66/N19,"")</f>
        <v>0.010638297872340425</v>
      </c>
      <c r="O65" s="31">
        <f>=IF(LEN(O66)&gt;0,O66/O19,"")</f>
        <v>0.023809523809523808</v>
      </c>
      <c r="P65" s="31">
        <f>=IF(LEN(P66)&gt;0,P66/P19,"")</f>
        <v>0.0379746835443038</v>
      </c>
      <c r="Q65" s="31">
        <f>=IF(LEN(Q66)&gt;0,Q66/Q19,"")</f>
        <v>0.025974025974025976</v>
      </c>
      <c r="R65" s="31">
        <f>=IF(LEN(R66)&gt;0,R66/R19,"")</f>
        <v>0.013157894736842105</v>
      </c>
      <c r="S65" s="31">
        <f>=IF(LEN(S66)&gt;0,S66/S19,"")</f>
        <v>0.014285714285714285</v>
      </c>
      <c r="T65" s="31">
        <f>=IF(LEN(T66)&gt;0,T66/T19,"")</f>
        <v>0.014285714285714285</v>
      </c>
      <c r="U65" s="31">
        <f>=IF(LEN(U66)&gt;0,U66/U19,"")</f>
        <v>0.014492753623188406</v>
      </c>
      <c r="V65" s="31">
        <f>=IF(LEN(V66)&gt;0,V66/V19,"")</f>
        <v>0.03278688524590164</v>
      </c>
      <c r="W65" s="31">
        <f>=IF(LEN(W66)&gt;0,W66/W19,"")</f>
        <v>0.016666666666666666</v>
      </c>
      <c r="X65" s="31">
        <f>=IF(LEN(X66)&gt;0,X66/X19,"")</f>
        <v>0</v>
      </c>
      <c r="Y65" s="31">
        <f>=IF(LEN(Y66)&gt;0,Y66/Y19,"")</f>
        <v>0.015873015873015872</v>
      </c>
      <c r="Z65" s="31">
        <f>=IF(LEN(Z66)&gt;0,Z66/Z19,"")</f>
        <v>0.016129032258064516</v>
      </c>
      <c r="AA65" s="31">
        <f>=IF(LEN(AA66)&gt;0,AA66/AA19,"")</f>
        <v>0.05084745762711865</v>
      </c>
      <c r="AB65" s="31">
        <f>=IF(LEN(AB66)&gt;0,AB66/AB19,"")</f>
        <v>0</v>
      </c>
      <c r="AC65" s="31">
        <f>=IF(LEN(AC66)&gt;0,AC66/AC19,"")</f>
        <v>0</v>
      </c>
      <c r="AD65" s="31">
        <f>=IF(LEN(AD66)&gt;0,AD66/AD19,"")</f>
        <v>0.03571428571428571</v>
      </c>
      <c r="AE65" s="31">
        <f>=IF(LEN(AE66)&gt;0,AE66/AE19,"")</f>
        <v>0</v>
      </c>
      <c r="AF65" s="31">
        <f>=IF(LEN(AF66)&gt;0,AF66/AF19,"")</f>
        <v>0.037037037037037035</v>
      </c>
      <c r="AG65" s="31">
        <f>=IF(LEN(AG66)&gt;0,AG66/AG19,"")</f>
        <v>0</v>
      </c>
      <c r="AH65" s="31">
        <f>=IF(LEN(AH66)&gt;0,AH66/AH19,"")</f>
        <v>0</v>
      </c>
      <c r="AI65" s="31">
        <f>=IF(LEN(AI66)&gt;0,AI66/AI19,"")</f>
        <v>0</v>
      </c>
      <c r="AJ65" s="31">
        <f>=IF(LEN(AJ66)&gt;0,AJ66/AJ19,"")</f>
        <v>0.03773584905660377</v>
      </c>
      <c r="AK65" s="31">
        <f>=IF(LEN(AK66)&gt;0,AK66/AK19,"")</f>
        <v>0</v>
      </c>
      <c r="AL65" s="31">
        <f>=IF(LEN(AL66)&gt;0,AL66/AL19,"")</f>
        <v>0</v>
      </c>
      <c r="AM65" s="31">
        <f>=IF(LEN(AM66)&gt;0,AM66/AM19,"")</f>
        <v>0</v>
      </c>
      <c r="AN65" s="31">
        <f>=IF(LEN(AN66)&gt;0,AN66/AN19,"")</f>
        <v>0.019230769230769232</v>
      </c>
      <c r="AO65" s="31">
        <f>=IF(LEN(AO66)&gt;0,AO66/AO19,"")</f>
        <v>0</v>
      </c>
      <c r="AP65" s="31">
        <f>=IF(LEN(AP66)&gt;0,AP66/AP19,"")</f>
        <v>0</v>
      </c>
      <c r="AQ65" s="31">
        <f>=IF(LEN(AQ66)&gt;0,AQ66/AQ19,"")</f>
        <v>0</v>
      </c>
      <c r="AR65" s="31">
        <f>=IF(LEN(AR66)&gt;0,AR66/AR19,"")</f>
        <v>0.024390243902439025</v>
      </c>
      <c r="AS65" s="31">
        <f>=IF(LEN(AS66)&gt;0,AS66/AS19,"")</f>
        <v>0</v>
      </c>
      <c r="AT65" s="31">
        <f>=IF(LEN(AT66)&gt;0,AT66/AT19,"")</f>
        <v>0.024390243902439025</v>
      </c>
      <c r="AU65" s="31">
        <f>=IF(LEN(AU66)&gt;0,AU66/AU19,"")</f>
        <v>0</v>
      </c>
      <c r="AV65" s="31">
        <f>=IF(LEN(AV66)&gt;0,AV66/AV19,"")</f>
        <v>0</v>
      </c>
      <c r="AW65" s="31">
        <f>=IF(LEN(AW66)&gt;0,AW66/AW19,"")</f>
        <v>0</v>
      </c>
      <c r="AX65" s="31">
        <f>=IF(LEN(AX66)&gt;0,AX66/AX19,"")</f>
        <v>0</v>
      </c>
      <c r="AY65" s="31">
        <f>=IF(LEN(AY66)&gt;0,AY66/AY19,"")</f>
        <v>0.02564102564102564</v>
      </c>
      <c r="AZ65" s="31">
        <f>=IF(LEN(AZ66)&gt;0,AZ66/AZ19,"")</f>
        <v>0</v>
      </c>
      <c r="BA65" s="31">
        <f>=IF(LEN(BA66)&gt;0,BA66/BA19,"")</f>
        <v>0.038461538461538464</v>
      </c>
      <c r="BB65" s="31">
        <f>=IF(LEN(BB66)&gt;0,BB66/BB19,"")</f>
        <v>0.022727272727272728</v>
      </c>
      <c r="BC65" s="31">
        <f>=IF(LEN(BC66)&gt;0,BC66/BC19,"")</f>
        <v>0.023255813953488372</v>
      </c>
      <c r="BD65" s="31">
        <f>=IF(LEN(BD66)&gt;0,BD66/BD19,"")</f>
        <v>0.04878048780487805</v>
      </c>
      <c r="BE65" s="31">
        <f>=IF(LEN(BE66)&gt;0,BE66/BE19,"")</f>
        <v>0.02</v>
      </c>
      <c r="BF65" s="31">
        <f>=IF(LEN(BF66)&gt;0,BF66/BF19,"")</f>
        <v>0.02127659574468085</v>
      </c>
      <c r="BG65" s="31">
        <f>=IF(LEN(BG66)&gt;0,BG66/BG19,"")</f>
        <v>0.020833333333333332</v>
      </c>
      <c r="BH65" s="31">
        <f>=IF(LEN(BH66)&gt;0,BH66/BH19,"")</f>
        <v>0.021739130434782608</v>
      </c>
      <c r="BI65" s="31">
        <f>=IF(LEN(BI66)&gt;0,BI66/BI19,"")</f>
        <v>0</v>
      </c>
      <c r="BJ65" s="31">
        <f>=IF(LEN(BJ66)&gt;0,BJ66/BJ19,"")</f>
        <v>0.022727272727272728</v>
      </c>
      <c r="BK65" s="31">
        <f>=IF(LEN(BK66)&gt;0,BK66/BK19,"")</f>
        <v>0</v>
      </c>
      <c r="BL65" s="31">
        <f>=IF(LEN(BL66)&gt;0,BL66/BL19,"")</f>
        <v>0</v>
      </c>
      <c r="BM65" s="31">
        <f>=IF(LEN(BM66)&gt;0,BM66/BM19,"")</f>
        <v>0</v>
      </c>
      <c r="BN65" s="31">
        <f>=IF(LEN(BN66)&gt;0,BN66/BN19,"")</f>
        <v>0</v>
      </c>
      <c r="BO65" s="31">
        <f>=IF(LEN(BO66)&gt;0,BO66/BO19,"")</f>
        <v>0</v>
      </c>
      <c r="BP65" s="31">
        <f>=IF(LEN(BP66)&gt;0,BP66/BP19,"")</f>
        <v>0</v>
      </c>
      <c r="BQ65" s="31">
        <f>=IF(LEN(BQ66)&gt;0,BQ66/BQ19,"")</f>
        <v>0</v>
      </c>
      <c r="BR65" s="31">
        <f>=IF(LEN(BR66)&gt;0,BR66/BR19,"")</f>
        <v>0</v>
      </c>
      <c r="BS65" s="31">
        <f>=IF(LEN(BS66)&gt;0,BS66/BS19,"")</f>
        <v>0.05555555555555555</v>
      </c>
      <c r="BT65" s="31">
        <f>=IF(LEN(BT66)&gt;0,BT66/BT19,"")</f>
        <v>0</v>
      </c>
      <c r="BU65" s="31">
        <f>=IF(LEN(BU66)&gt;0,BU66/BU19,"")</f>
        <v>0</v>
      </c>
      <c r="BV65" s="30">
        <f>=IF(LEN(BV66)&gt;0,BV66/BV19,"")</f>
        <v>0</v>
      </c>
      <c r="BW65" s="30">
        <f>=IF(LEN(BW66)&gt;0,BW66/BW19,"")</f>
        <v>0</v>
      </c>
      <c r="BX65" s="48">
        <f>=IF(LEN(BX66)&gt;0,BX66/BX19,"")</f>
        <v>0.058823529411764705</v>
      </c>
      <c r="BY65" s="30">
        <f>=IF(LEN(BY66)&gt;0,BY66/BY19,"")</f>
        <v>0</v>
      </c>
      <c r="BZ65" s="30" t="str">
        <f>=IF(LEN(BZ66)&gt;0,BZ66/BZ19,"")</f>
        <v/>
      </c>
      <c r="CA65" s="30" t="str">
        <f>=IF(LEN(CA66)&gt;0,CA66/CA19,"")</f>
        <v/>
      </c>
      <c r="CB65" s="30" t="str">
        <f>=IF(LEN(CB66)&gt;0,CB66/CB19,"")</f>
        <v/>
      </c>
      <c r="CC65" s="30" t="str">
        <f>=IF(LEN(CC66)&gt;0,CC66/CC19,"")</f>
        <v/>
      </c>
      <c r="CD65" s="30" t="str">
        <f>=IF(LEN(CD66)&gt;0,CD66/CD19,"")</f>
        <v/>
      </c>
      <c r="CE65" s="30" t="str">
        <f>=IF(LEN(CE66)&gt;0,CE66/CE19,"")</f>
        <v/>
      </c>
      <c r="CF65" s="30" t="str">
        <f>=IF(LEN(CF66)&gt;0,CF66/CF19,"")</f>
        <v/>
      </c>
      <c r="CG65" s="30" t="str">
        <f>=IF(LEN(CG66)&gt;0,CG66/CG19,"")</f>
        <v/>
      </c>
      <c r="CH65" s="30" t="str">
        <f>=IF(LEN(CH66)&gt;0,CH66/CH19,"")</f>
        <v/>
      </c>
      <c r="CI65" s="30" t="str">
        <f>=IF(LEN(CI66)&gt;0,CI66/CI19,"")</f>
        <v/>
      </c>
      <c r="CJ65" s="30" t="str">
        <f>=IF(LEN(CJ66)&gt;0,CJ66/CJ19,"")</f>
        <v/>
      </c>
      <c r="CK65" s="30" t="str">
        <f>=IF(LEN(CK66)&gt;0,CK66/CK19,"")</f>
        <v/>
      </c>
      <c r="CL65" s="30" t="str">
        <f>=IF(LEN(CL66)&gt;0,CL66/CL19,"")</f>
        <v/>
      </c>
      <c r="CM65" s="30" t="str">
        <f>=IF(LEN(CM66)&gt;0,CM66/CM19,"")</f>
        <v/>
      </c>
      <c r="CN65" s="30" t="str">
        <f>=IF(LEN(CN66)&gt;0,CN66/CN19,"")</f>
        <v/>
      </c>
      <c r="CO65" s="30" t="str">
        <f>=IF(LEN(CO66)&gt;0,CO66/CO19,"")</f>
        <v/>
      </c>
      <c r="CP65" s="30" t="str">
        <f>=IF(LEN(CP66)&gt;0,CP66/CP19,"")</f>
        <v/>
      </c>
      <c r="CQ65" s="30" t="str">
        <f>=IF(LEN(CQ66)&gt;0,CQ66/CQ19,"")</f>
        <v/>
      </c>
      <c r="CR65" s="30" t="str">
        <f>=IF(LEN(CR66)&gt;0,CR66/CR19,"")</f>
        <v/>
      </c>
      <c r="CS65" s="30" t="str">
        <f>=IF(LEN(CS66)&gt;0,CS66/CS19,"")</f>
        <v/>
      </c>
      <c r="CT65" s="30" t="str">
        <f>=IF(LEN(CT66)&gt;0,CT66/CT19,"")</f>
        <v/>
      </c>
      <c r="CU65" s="30" t="str">
        <f>=IF(LEN(CU66)&gt;0,CU66/CU19,"")</f>
        <v/>
      </c>
      <c r="CV65" s="30" t="str">
        <f>=IF(LEN(CV66)&gt;0,CV66/CV19,"")</f>
        <v/>
      </c>
      <c r="CW65" s="30" t="str">
        <f>=IF(LEN(CW66)&gt;0,CW66/CW19,"")</f>
        <v/>
      </c>
      <c r="CX65" s="30" t="str">
        <f>=IF(LEN(CX66)&gt;0,CX66/CX19,"")</f>
        <v/>
      </c>
      <c r="CY65" s="30" t="str">
        <f>=IF(LEN(CY66)&gt;0,CY66/CY19,"")</f>
        <v/>
      </c>
      <c r="CZ65" s="30" t="str">
        <f>=IF(LEN(CZ66)&gt;0,CZ66/CZ19,"")</f>
        <v/>
      </c>
      <c r="DA65" s="30" t="str">
        <f>=IF(LEN(DA66)&gt;0,DA66/DA19,"")</f>
        <v/>
      </c>
      <c r="DB65" s="30" t="str">
        <f>=IF(LEN(DB66)&gt;0,DB66/DB19,"")</f>
        <v/>
      </c>
    </row>
    <row r="66" ht="18" customHeight="1" spans="1:106" x14ac:dyDescent="0.25">
      <c r="A66" s="36" t="s">
        <v>291</v>
      </c>
      <c r="C66" s="30">
        <f>=IF(Len(C82)&gt;0,C82,"")</f>
        <v>0</v>
      </c>
      <c r="D66" s="30">
        <f>=IF(Len(D82)&gt;0,D82,"")</f>
        <v>1</v>
      </c>
      <c r="E66" s="30">
        <f>=IF(Len(E82)&gt;0,E82,"")</f>
        <v>0</v>
      </c>
      <c r="F66" s="30">
        <f>=IF(Len(F82)&gt;0,F82,"")</f>
        <v>1</v>
      </c>
      <c r="G66" s="30">
        <f>=IF(Len(G82)&gt;0,G82,"")</f>
        <v>4</v>
      </c>
      <c r="H66" s="30">
        <f>=IF(Len(H82)&gt;0,H82,"")</f>
        <v>2</v>
      </c>
      <c r="I66" s="30">
        <f>=IF(Len(I82)&gt;0,I82,"")</f>
        <v>1</v>
      </c>
      <c r="J66" s="30">
        <f>=IF(Len(J82)&gt;0,J82,"")</f>
        <v>0</v>
      </c>
      <c r="K66" s="30">
        <f>=IF(Len(K82)&gt;0,K82,"")</f>
        <v>0</v>
      </c>
      <c r="L66" s="30">
        <f>=IF(Len(L82)&gt;0,L82,"")</f>
        <v>0</v>
      </c>
      <c r="M66" s="30">
        <f>=IF(Len(M82)&gt;0,M82,"")</f>
        <v>0</v>
      </c>
      <c r="N66" s="30">
        <f>=IF(Len(N82)&gt;0,N82,"")</f>
        <v>1</v>
      </c>
      <c r="O66" s="30">
        <f>=IF(Len(O82)&gt;0,O82,"")</f>
        <v>2</v>
      </c>
      <c r="P66" s="30">
        <f>=IF(Len(P82)&gt;0,P82,"")</f>
        <v>3</v>
      </c>
      <c r="Q66" s="30">
        <f>=IF(Len(Q82)&gt;0,Q82,"")</f>
        <v>2</v>
      </c>
      <c r="R66" s="30">
        <f>=IF(Len(R82)&gt;0,R82,"")</f>
        <v>1</v>
      </c>
      <c r="S66" s="30">
        <f>=IF(Len(S82)&gt;0,S82,"")</f>
        <v>1</v>
      </c>
      <c r="T66" s="30">
        <f>=IF(Len(T82)&gt;0,T82,"")</f>
        <v>1</v>
      </c>
      <c r="U66" s="30">
        <f>=IF(Len(U82)&gt;0,U82,"")</f>
        <v>1</v>
      </c>
      <c r="V66" s="30">
        <f>=IF(Len(V82)&gt;0,V82,"")</f>
        <v>2</v>
      </c>
      <c r="W66" s="30">
        <f>=IF(Len(W82)&gt;0,W82,"")</f>
        <v>1</v>
      </c>
      <c r="X66" s="30">
        <f>=IF(Len(X82)&gt;0,X82,"")</f>
        <v>0</v>
      </c>
      <c r="Y66" s="30">
        <f>=IF(Len(Y82)&gt;0,Y82,"")</f>
        <v>1</v>
      </c>
      <c r="Z66" s="30">
        <f>=IF(Len(Z82)&gt;0,Z82,"")</f>
        <v>1</v>
      </c>
      <c r="AA66" s="30">
        <f>=IF(Len(AA82)&gt;0,AA82,"")</f>
        <v>3</v>
      </c>
      <c r="AB66" s="30">
        <f>=IF(Len(AB82)&gt;0,AB82,"")</f>
        <v>0</v>
      </c>
      <c r="AC66" s="30">
        <f>=IF(Len(AC82)&gt;0,AC82,"")</f>
        <v>0</v>
      </c>
      <c r="AD66" s="30">
        <f>=IF(Len(AD82)&gt;0,AD82,"")</f>
        <v>2</v>
      </c>
      <c r="AE66" s="30">
        <f>=IF(Len(AE82)&gt;0,AE82,"")</f>
        <v>0</v>
      </c>
      <c r="AF66" s="30">
        <f>=IF(Len(AF82)&gt;0,AF82,"")</f>
        <v>2</v>
      </c>
      <c r="AG66" s="30">
        <f>=IF(Len(AG82)&gt;0,AG82,"")</f>
        <v>0</v>
      </c>
      <c r="AH66" s="30">
        <f>=IF(Len(AH82)&gt;0,AH82,"")</f>
        <v>0</v>
      </c>
      <c r="AI66" s="30">
        <f>=IF(Len(AI82)&gt;0,AI82,"")</f>
        <v>0</v>
      </c>
      <c r="AJ66" s="30">
        <f>=IF(Len(AJ82)&gt;0,AJ82,"")</f>
        <v>2</v>
      </c>
      <c r="AK66" s="30">
        <f>=IF(Len(AK82)&gt;0,AK82,"")</f>
        <v>0</v>
      </c>
      <c r="AL66" s="30">
        <f>=IF(Len(AL82)&gt;0,AL82,"")</f>
        <v>0</v>
      </c>
      <c r="AM66" s="30">
        <f>=IF(Len(AM82)&gt;0,AM82,"")</f>
        <v>0</v>
      </c>
      <c r="AN66" s="30">
        <f>=IF(Len(AN82)&gt;0,AN82,"")</f>
        <v>1</v>
      </c>
      <c r="AO66" s="30">
        <f>=IF(Len(AO82)&gt;0,AO82,"")</f>
        <v>0</v>
      </c>
      <c r="AP66" s="30">
        <f>=IF(Len(AP82)&gt;0,AP82,"")</f>
        <v>0</v>
      </c>
      <c r="AQ66" s="30">
        <f>=IF(Len(AQ82)&gt;0,AQ82,"")</f>
        <v>0</v>
      </c>
      <c r="AR66" s="30">
        <f>=IF(Len(AR82)&gt;0,AR82,"")</f>
        <v>1</v>
      </c>
      <c r="AS66" s="30">
        <f>=IF(Len(AS82)&gt;0,AS82,"")</f>
        <v>0</v>
      </c>
      <c r="AT66" s="30">
        <f>=IF(Len(AT82)&gt;0,AT82,"")</f>
        <v>1</v>
      </c>
      <c r="AU66" s="30">
        <f>=IF(Len(AU82)&gt;0,AU82,"")</f>
        <v>0</v>
      </c>
      <c r="AV66" s="30">
        <f>=IF(Len(AV82)&gt;0,AV82,"")</f>
        <v>0</v>
      </c>
      <c r="AW66" s="30">
        <f>=IF(Len(AW82)&gt;0,AW82,"")</f>
        <v>0</v>
      </c>
      <c r="AX66" s="30">
        <f>=IF(Len(AX82)&gt;0,AX82,"")</f>
        <v>0</v>
      </c>
      <c r="AY66" s="30">
        <f>=IF(Len(AY82)&gt;0,AY82,"")</f>
        <v>1</v>
      </c>
      <c r="AZ66" s="30">
        <f>=IF(Len(AZ82)&gt;0,AZ82,"")</f>
        <v>0</v>
      </c>
      <c r="BA66" s="30">
        <f>=IF(Len(BA82)&gt;0,BA82,"")</f>
        <v>2</v>
      </c>
      <c r="BB66" s="30">
        <f>=IF(Len(BB82)&gt;0,BB82,"")</f>
        <v>1</v>
      </c>
      <c r="BC66" s="30">
        <f>=IF(Len(BC82)&gt;0,BC82,"")</f>
        <v>1</v>
      </c>
      <c r="BD66" s="30">
        <f>=IF(Len(BD82)&gt;0,BD82,"")</f>
        <v>2</v>
      </c>
      <c r="BE66" s="30">
        <f>=IF(Len(BE82)&gt;0,BE82,"")</f>
        <v>1</v>
      </c>
      <c r="BF66" s="30">
        <f>=IF(Len(BF82)&gt;0,BF82,"")</f>
        <v>1</v>
      </c>
      <c r="BG66" s="30">
        <f>=IF(Len(BG82)&gt;0,BG82,"")</f>
        <v>1</v>
      </c>
      <c r="BH66" s="30">
        <f>=IF(Len(BH82)&gt;0,BH82,"")</f>
        <v>1</v>
      </c>
      <c r="BI66" s="30">
        <f>=IF(Len(BI82)&gt;0,BI82,"")</f>
        <v>0</v>
      </c>
      <c r="BJ66" s="30">
        <f>=IF(Len(BJ82)&gt;0,BJ82,"")</f>
        <v>1</v>
      </c>
      <c r="BK66" s="30">
        <f>=IF(Len(BK82)&gt;0,BK82,"")</f>
        <v>0</v>
      </c>
      <c r="BL66" s="30">
        <f>=IF(Len(BL82)&gt;0,BL82,"")</f>
        <v>0</v>
      </c>
      <c r="BM66" s="30">
        <f>=IF(Len(BM82)&gt;0,BM82,"")</f>
        <v>0</v>
      </c>
      <c r="BN66" s="30">
        <f>=IF(Len(BN82)&gt;0,BN82,"")</f>
        <v>0</v>
      </c>
      <c r="BO66" s="30">
        <f>=IF(Len(BO82)&gt;0,BO82,"")</f>
        <v>0</v>
      </c>
      <c r="BP66" s="30">
        <f>=IF(Len(BP82)&gt;0,BP82,"")</f>
        <v>0</v>
      </c>
      <c r="BQ66" s="30">
        <f>=IF(Len(BQ82)&gt;0,BQ82,"")</f>
        <v>0</v>
      </c>
      <c r="BR66" s="30">
        <f>=IF(Len(BR82)&gt;0,BR82,"")</f>
        <v>0</v>
      </c>
      <c r="BS66" s="30">
        <f>=IF(Len(BS82)&gt;0,BS82,"")</f>
        <v>2</v>
      </c>
      <c r="BT66" s="30">
        <f>=IF(Len(BT82)&gt;0,BT82,"")</f>
        <v>0</v>
      </c>
      <c r="BU66" s="30">
        <f>=IF(Len(BU82)&gt;0,BU82,"")</f>
        <v>0</v>
      </c>
      <c r="BV66" s="30">
        <f>=IF(Len(BV82)&gt;0,BV82,"")</f>
        <v>0</v>
      </c>
      <c r="BW66" s="30">
        <f>=IF(Len(BW82)&gt;0,BW82,"")</f>
        <v>0</v>
      </c>
      <c r="BX66" s="30">
        <f>=IF(Len(BX82)&gt;0,BX82,"")</f>
        <v>2</v>
      </c>
      <c r="BY66" s="30">
        <f>=IF(Len(BY82)&gt;0,BY82,"")</f>
        <v>0</v>
      </c>
      <c r="BZ66" s="30" t="str">
        <f>=IF(Len(BZ82)&gt;0,BZ82,"")</f>
        <v/>
      </c>
      <c r="CA66" s="30" t="str">
        <f>=IF(Len(CA82)&gt;0,CA82,"")</f>
        <v/>
      </c>
      <c r="CB66" s="30" t="str">
        <f>=IF(Len(CB82)&gt;0,CB82,"")</f>
        <v/>
      </c>
      <c r="CC66" s="30" t="str">
        <f>=IF(Len(CC82)&gt;0,CC82,"")</f>
        <v/>
      </c>
      <c r="CD66" s="30" t="str">
        <f>=IF(Len(CD82)&gt;0,CD82,"")</f>
        <v/>
      </c>
      <c r="CE66" s="30" t="str">
        <f>=IF(Len(CE82)&gt;0,CE82,"")</f>
        <v/>
      </c>
      <c r="CF66" s="30" t="str">
        <f>=IF(Len(CF82)&gt;0,CF82,"")</f>
        <v/>
      </c>
      <c r="CG66" s="30" t="str">
        <f>=IF(Len(CG82)&gt;0,CG82,"")</f>
        <v/>
      </c>
      <c r="CH66" s="30" t="str">
        <f>=IF(Len(CH82)&gt;0,CH82,"")</f>
        <v/>
      </c>
      <c r="CI66" s="30" t="str">
        <f>=IF(Len(CI82)&gt;0,CI82,"")</f>
        <v/>
      </c>
      <c r="CJ66" s="30" t="str">
        <f>=IF(Len(CJ82)&gt;0,CJ82,"")</f>
        <v/>
      </c>
      <c r="CK66" s="30" t="str">
        <f>=IF(Len(CK82)&gt;0,CK82,"")</f>
        <v/>
      </c>
      <c r="CL66" s="30" t="str">
        <f>=IF(Len(CL82)&gt;0,CL82,"")</f>
        <v/>
      </c>
      <c r="CM66" s="30" t="str">
        <f>=IF(Len(CM82)&gt;0,CM82,"")</f>
        <v/>
      </c>
      <c r="CN66" s="30" t="str">
        <f>=IF(Len(CN82)&gt;0,CN82,"")</f>
        <v/>
      </c>
      <c r="CO66" s="30" t="str">
        <f>=IF(Len(CO82)&gt;0,CO82,"")</f>
        <v/>
      </c>
      <c r="CP66" s="30" t="str">
        <f>=IF(Len(CP82)&gt;0,CP82,"")</f>
        <v/>
      </c>
      <c r="CQ66" s="30" t="str">
        <f>=IF(Len(CQ82)&gt;0,CQ82,"")</f>
        <v/>
      </c>
      <c r="CR66" s="30" t="str">
        <f>=IF(Len(CR82)&gt;0,CR82,"")</f>
        <v/>
      </c>
      <c r="CS66" s="30" t="str">
        <f>=IF(Len(CS82)&gt;0,CS82,"")</f>
        <v/>
      </c>
      <c r="CT66" s="30" t="str">
        <f>=IF(Len(CT82)&gt;0,CT82,"")</f>
        <v/>
      </c>
      <c r="CU66" s="30" t="str">
        <f>=IF(Len(CU82)&gt;0,CU82,"")</f>
        <v/>
      </c>
      <c r="CV66" s="30" t="str">
        <f>=IF(Len(CV82)&gt;0,CV82,"")</f>
        <v/>
      </c>
      <c r="CW66" s="30" t="str">
        <f>=IF(Len(CW82)&gt;0,CW82,"")</f>
        <v/>
      </c>
      <c r="CX66" s="30" t="str">
        <f>=IF(Len(CX82)&gt;0,CX82,"")</f>
        <v/>
      </c>
      <c r="CY66" s="30" t="str">
        <f>=IF(Len(CY82)&gt;0,CY82,"")</f>
        <v/>
      </c>
      <c r="CZ66" s="30" t="str">
        <f>=IF(Len(CZ82)&gt;0,CZ82,"")</f>
        <v/>
      </c>
      <c r="DA66" s="30" t="str">
        <f>=IF(Len(DA82)&gt;0,DA82,"")</f>
        <v/>
      </c>
      <c r="DB66" s="30" t="str">
        <f>=IF(Len(DB82)&gt;0,DB82,"")</f>
        <v/>
      </c>
    </row>
    <row r="67" ht="18" customHeight="1" spans="1:106" x14ac:dyDescent="0.25">
      <c r="A67" s="20" t="s">
        <v>292</v>
      </c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1">
        <f>=IF(LEN(BB68)&gt;0,IF(BB68&lt;=0,0,BB68/(((SUM(BA119:BA128)-BA128)+(SUM(BB119:BB128)-BB119)/2))),"")</f>
        <v>0</v>
      </c>
      <c r="BC67" s="31">
        <f>=IF(LEN(BC68)&gt;0,IF(BC68&lt;=0,0,BC68/(((SUM(BB119:BB128)-BB128)+(SUM(BC119:BC128)-BC119)/2))),"")</f>
        <v>0</v>
      </c>
      <c r="BD67" s="31">
        <f>=IF(LEN(BD68)&gt;0,IF(BD68&lt;=0,0,BD68/(((SUM(BC119:BC128)-BC128)+(SUM(BD119:BD128)-BD119)/2))),"")</f>
        <v>0</v>
      </c>
      <c r="BE67" s="31">
        <f>=IF(LEN(BE68)&gt;0,IF(BE68&lt;=0,0,BE68/(((SUM(BD119:BD128)-BD128)+(SUM(BE119:BE128)-BE119)/2))),"")</f>
        <v>0</v>
      </c>
      <c r="BF67" s="31">
        <f>=IF(LEN(BF68)&gt;0,IF(BF68&lt;=0,0,BF68/(((SUM(BE119:BE128)-BE128)+(SUM(BF119:BF128)-BF119)/2))),"")</f>
        <v>0.11764705882352941</v>
      </c>
      <c r="BG67" s="31">
        <f>=IF(LEN(BG68)&gt;0,IF(BG68&lt;=0,0,BG68/(((SUM(BF119:BF128)-BF128)+(SUM(BG119:BG128)-BG119)/2))),"")</f>
        <v>0</v>
      </c>
      <c r="BH67" s="31">
        <f>=IF(LEN(BH68)&gt;0,IF(BH68&lt;=0,0,BH68/(((SUM(BG119:BG128)-BG128)+(SUM(BH119:BH128)-BH119)/2))),"")</f>
        <v>0.14285714285714285</v>
      </c>
      <c r="BI67" s="31">
        <f>=IF(LEN(BI68)&gt;0,IF(BI68&lt;=0,0,BI68/(((SUM(BH119:BH128)-BH128)+(SUM(BI119:BI128)-BI119)/2))),"")</f>
        <v>0</v>
      </c>
      <c r="BJ67" s="31">
        <f>=IF(LEN(BJ68)&gt;0,IF(BJ68&lt;=0,0,BJ68/(((SUM(BI119:BI128)-BI128)+(SUM(BJ119:BJ128)-BJ119)/2))),"")</f>
        <v>0</v>
      </c>
      <c r="BK67" s="31">
        <f>=IF(LEN(BK68)&gt;0,IF(BK68&lt;=0,0,BK68/(((SUM(BJ119:BJ128)-BJ128)+(SUM(BK119:BK128)-BK119)/2))),"")</f>
        <v>0</v>
      </c>
      <c r="BL67" s="31">
        <f>=IF(LEN(BL68)&gt;0,IF(BL68&lt;=0,0,BL68/(((SUM(BK119:BK128)-BK128)+(SUM(BL119:BL128)-BL119)/2))),"")</f>
        <v>0</v>
      </c>
      <c r="BM67" s="31">
        <f>=IF(LEN(BM68)&gt;0,IF(BM68&lt;=0,0,BM68/(((SUM(BL119:BL128)-BL128)+(SUM(BM119:BM128)-BM119)/2))),"")</f>
        <v>0</v>
      </c>
      <c r="BN67" s="31">
        <f>=IF(LEN(BN68)&gt;0,IF(BN68&lt;=0,0,BN68/(((SUM(BM119:BM128)-BM128)+(SUM(BN119:BN128)-BN119)/2))),"")</f>
        <v>0</v>
      </c>
      <c r="BO67" s="31">
        <f>=IF(LEN(BO68)&gt;0,IF(BO68&lt;=0,0,BO68/(((SUM(BN119:BN128)-BN128)+(SUM(BO119:BO128)-BO119)/2))),"")</f>
        <v>0</v>
      </c>
      <c r="BP67" s="31">
        <f>=IF(LEN(BP68)&gt;0,IF(BP68&lt;=0,0,BP68/(((SUM(BO119:BO128)-BO128)+(SUM(BP119:BP128)-BP119)/2))),"")</f>
        <v>0</v>
      </c>
      <c r="BQ67" s="31">
        <f>=IF(LEN(BQ68)&gt;0,IF(BQ68&lt;=0,0,BQ68/(((SUM(BP119:BP128)-BP128)+(SUM(BQ119:BQ128)-BQ119)/2))),"")</f>
        <v>0</v>
      </c>
      <c r="BR67" s="31">
        <f>=IF(LEN(BR68)&gt;0,IF(BR68&lt;=0,0,BR68/(((SUM(BQ119:BQ128)-BQ128)+(SUM(BR119:BR128)-BR119)/2))),"")</f>
        <v>0</v>
      </c>
      <c r="BS67" s="31">
        <f>=IF(LEN(BS68)&gt;0,IF(BS68&lt;=0,0,BS68/(((SUM(BR119:BR128)-BR128)+(SUM(BS119:BS128)-BS119)/2))),"")</f>
        <v>0</v>
      </c>
      <c r="BT67" s="31">
        <f>=IF(LEN(BT68)&gt;0,IF(BT68&lt;=0,0,BT68/(((SUM(BS119:BS128)-BS128)+(SUM(BT119:BT128)-BT119)/2))),"")</f>
        <v>0</v>
      </c>
      <c r="BU67" s="31">
        <f>=IF(LEN(BU68)&gt;0,IF(BU68&lt;=0,0,BU68/(((SUM(BT119:BT128)-BT128)+(SUM(BU119:BU128)-BU119)/2))),"")</f>
        <v>0</v>
      </c>
      <c r="BV67" s="30">
        <f>=IF(LEN(BV68)&gt;0,IF(BV68&lt;=0,0,BV68/(((SUM(BU119:BU128)-BU128)+(SUM(BV119:BV128)-BV119)/2))),"")</f>
        <v>0</v>
      </c>
      <c r="BW67" s="30" t="str">
        <f>=IF(LEN(BW68)&gt;0,IF(BW68&lt;=0,0,BW68/(((SUM(BV119:BV128)-BV128)+(SUM(BW119:BW128)-BW119)/2))),"")</f>
        <v/>
      </c>
      <c r="BX67" s="30" t="str">
        <f>=IF(LEN(BX68)&gt;0,IF(BX68&lt;=0,0,BX68/(((SUM(BW119:BW128)-BW128)+(SUM(BX119:BX128)-BX119)/2))),"")</f>
        <v/>
      </c>
      <c r="BY67" s="30" t="str">
        <f>=IF(LEN(BY68)&gt;0,IF(BY68&lt;=0,0,BY68/(((SUM(BX119:BX128)-BX128)+(SUM(BY119:BY128)-BY119)/2))),"")</f>
        <v/>
      </c>
      <c r="BZ67" s="30" t="str">
        <f>=IF(LEN(BZ68)&gt;0,IF(BZ68&lt;=0,0,BZ68/(((SUM(BY119:BY128)-BY128)+(SUM(BZ119:BZ128)-BZ119)/2))),"")</f>
        <v/>
      </c>
      <c r="CA67" s="30" t="str">
        <f>=IF(LEN(CA68)&gt;0,IF(CA68&lt;=0,0,CA68/(((SUM(BZ119:BZ128)-BZ128)+(SUM(CA119:CA128)-CA119)/2))),"")</f>
        <v/>
      </c>
      <c r="CB67" s="30" t="str">
        <f>=IF(LEN(CB68)&gt;0,IF(CB68&lt;=0,0,CB68/(((SUM(CA119:CA128)-CA128)+(SUM(CB119:CB128)-CB119)/2))),"")</f>
        <v/>
      </c>
      <c r="CC67" s="30" t="str">
        <f>=IF(LEN(CC68)&gt;0,IF(CC68&lt;=0,0,CC68/(((SUM(CB119:CB128)-CB128)+(SUM(CC119:CC128)-CC119)/2))),"")</f>
        <v/>
      </c>
      <c r="CD67" s="30" t="str">
        <f>=IF(LEN(CD68)&gt;0,IF(CD68&lt;=0,0,CD68/(((SUM(CC119:CC128)-CC128)+(SUM(CD119:CD128)-CD119)/2))),"")</f>
        <v/>
      </c>
      <c r="CE67" s="30" t="str">
        <f>=IF(LEN(CE68)&gt;0,IF(CE68&lt;=0,0,CE68/(((SUM(CD119:CD128)-CD128)+(SUM(CE119:CE128)-CE119)/2))),"")</f>
        <v/>
      </c>
      <c r="CF67" s="30" t="str">
        <f>=IF(LEN(CF68)&gt;0,IF(CF68&lt;=0,0,CF68/(((SUM(CE119:CE128)-CE128)+(SUM(CF119:CF128)-CF119)/2))),"")</f>
        <v/>
      </c>
      <c r="CG67" s="30" t="str">
        <f>=IF(LEN(CG68)&gt;0,IF(CG68&lt;=0,0,CG68/(((SUM(CF119:CF128)-CF128)+(SUM(CG119:CG128)-CG119)/2))),"")</f>
        <v/>
      </c>
      <c r="CH67" s="30" t="str">
        <f>=IF(LEN(CH68)&gt;0,IF(CH68&lt;=0,0,CH68/(((SUM(CG119:CG128)-CG128)+(SUM(CH119:CH128)-CH119)/2))),"")</f>
        <v/>
      </c>
      <c r="CI67" s="30" t="str">
        <f>=IF(LEN(CI68)&gt;0,IF(CI68&lt;=0,0,CI68/(((SUM(CH119:CH128)-CH128)+(SUM(CI119:CI128)-CI119)/2))),"")</f>
        <v/>
      </c>
      <c r="CJ67" s="30" t="str">
        <f>=IF(LEN(CJ68)&gt;0,IF(CJ68&lt;=0,0,CJ68/(((SUM(CI119:CI128)-CI128)+(SUM(CJ119:CJ128)-CJ119)/2))),"")</f>
        <v/>
      </c>
      <c r="CK67" s="30" t="str">
        <f>=IF(LEN(CK68)&gt;0,IF(CK68&lt;=0,0,CK68/(((SUM(CJ119:CJ128)-CJ128)+(SUM(CK119:CK128)-CK119)/2))),"")</f>
        <v/>
      </c>
      <c r="CL67" s="30" t="str">
        <f>=IF(LEN(CL68)&gt;0,IF(CL68&lt;=0,0,CL68/(((SUM(CK119:CK128)-CK128)+(SUM(CL119:CL128)-CL119)/2))),"")</f>
        <v/>
      </c>
      <c r="CM67" s="30" t="str">
        <f>=IF(LEN(CM68)&gt;0,IF(CM68&lt;=0,0,CM68/(((SUM(CL119:CL128)-CL128)+(SUM(CM119:CM128)-CM119)/2))),"")</f>
        <v/>
      </c>
      <c r="CN67" s="30" t="str">
        <f>=IF(LEN(CN68)&gt;0,IF(CN68&lt;=0,0,CN68/(((SUM(CM119:CM128)-CM128)+(SUM(CN119:CN128)-CN119)/2))),"")</f>
        <v/>
      </c>
      <c r="CO67" s="30" t="str">
        <f>=IF(LEN(CO68)&gt;0,IF(CO68&lt;=0,0,CO68/(((SUM(CN119:CN128)-CN128)+(SUM(CO119:CO128)-CO119)/2))),"")</f>
        <v/>
      </c>
      <c r="CP67" s="30" t="str">
        <f>=IF(LEN(CP68)&gt;0,IF(CP68&lt;=0,0,CP68/(((SUM(CO119:CO128)-CO128)+(SUM(CP119:CP128)-CP119)/2))),"")</f>
        <v/>
      </c>
      <c r="CQ67" s="30" t="str">
        <f>=IF(LEN(CQ68)&gt;0,IF(CQ68&lt;=0,0,CQ68/(((SUM(CP119:CP128)-CP128)+(SUM(CQ119:CQ128)-CQ119)/2))),"")</f>
        <v/>
      </c>
      <c r="CR67" s="30" t="str">
        <f>=IF(LEN(CR68)&gt;0,IF(CR68&lt;=0,0,CR68/(((SUM(CQ119:CQ128)-CQ128)+(SUM(CR119:CR128)-CR119)/2))),"")</f>
        <v/>
      </c>
      <c r="CS67" s="30" t="str">
        <f>=IF(LEN(CS68)&gt;0,IF(CS68&lt;=0,0,CS68/(((SUM(CR119:CR128)-CR128)+(SUM(CS119:CS128)-CS119)/2))),"")</f>
        <v/>
      </c>
      <c r="CT67" s="30" t="str">
        <f>=IF(LEN(CT68)&gt;0,IF(CT68&lt;=0,0,CT68/(((SUM(CS119:CS128)-CS128)+(SUM(CT119:CT128)-CT119)/2))),"")</f>
        <v/>
      </c>
      <c r="CU67" s="30" t="str">
        <f>=IF(LEN(CU68)&gt;0,IF(CU68&lt;=0,0,CU68/(((SUM(CT119:CT128)-CT128)+(SUM(CU119:CU128)-CU119)/2))),"")</f>
        <v/>
      </c>
      <c r="CV67" s="30" t="str">
        <f>=IF(LEN(CV68)&gt;0,IF(CV68&lt;=0,0,CV68/(((SUM(CU119:CU128)-CU128)+(SUM(CV119:CV128)-CV119)/2))),"")</f>
        <v/>
      </c>
      <c r="CW67" s="30" t="str">
        <f>=IF(LEN(CW68)&gt;0,IF(CW68&lt;=0,0,CW68/(((SUM(CV119:CV128)-CV128)+(SUM(CW119:CW128)-CW119)/2))),"")</f>
        <v/>
      </c>
      <c r="CX67" s="30" t="str">
        <f>=IF(LEN(CX68)&gt;0,IF(CX68&lt;=0,0,CX68/(((SUM(CW119:CW128)-CW128)+(SUM(CX119:CX128)-CX119)/2))),"")</f>
        <v/>
      </c>
      <c r="CY67" s="30" t="str">
        <f>=IF(LEN(CY68)&gt;0,IF(CY68&lt;=0,0,CY68/(((SUM(CX119:CX128)-CX128)+(SUM(CY119:CY128)-CY119)/2))),"")</f>
        <v/>
      </c>
      <c r="CZ67" s="30" t="str">
        <f>=IF(LEN(CZ68)&gt;0,IF(CZ68&lt;=0,0,CZ68/(((SUM(CY119:CY128)-CY128)+(SUM(CZ119:CZ128)-CZ119)/2))),"")</f>
        <v/>
      </c>
      <c r="DA67" s="30" t="str">
        <f>=IF(LEN(DA68)&gt;0,IF(DA68&lt;=0,0,DA68/(((SUM(CZ119:CZ128)-CZ128)+(SUM(DA119:DA128)-DA119)/2))),"")</f>
        <v/>
      </c>
      <c r="DB67" s="30" t="str">
        <f>=IF(LEN(DB68)&gt;0,IF(DB68&lt;=0,0,DB68/(((SUM(DA119:DA128)-DA128)+(SUM(DB119:DB128)-DB119)/2))),"")</f>
        <v/>
      </c>
    </row>
    <row r="68" ht="18" customHeight="1" spans="1:106" x14ac:dyDescent="0.25">
      <c r="A68" s="36" t="s">
        <v>293</v>
      </c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>
        <f>=IF(DATEVALUE(BB4)&lt;=$C$2-WEEKDAY($C$2,1)+1,IF(SUM(BA119:BA128)&lt;=0,0,(SUM(BA119:BA128)-BA128)-(SUM(BB119:BB128)-BB119)),"")</f>
        <v>0</v>
      </c>
      <c r="BC68" s="30">
        <f>=IF(DATEVALUE(BC4)&lt;=$C$2-WEEKDAY($C$2,1)+1,IF(SUM(BB119:BB128)&lt;=0,0,(SUM(BB119:BB128)-BB128)-(SUM(BC119:BC128)-BC119)),"")</f>
        <v>0</v>
      </c>
      <c r="BD68" s="30">
        <f>=IF(DATEVALUE(BD4)&lt;=$C$2-WEEKDAY($C$2,1)+1,IF(SUM(BC119:BC128)&lt;=0,0,(SUM(BC119:BC128)-BC128)-(SUM(BD119:BD128)-BD119)),"")</f>
        <v>0</v>
      </c>
      <c r="BE68" s="30">
        <f>=IF(DATEVALUE(BE4)&lt;=$C$2-WEEKDAY($C$2,1)+1,IF(SUM(BD119:BD128)&lt;=0,0,(SUM(BD119:BD128)-BD128)-(SUM(BE119:BE128)-BE119)),"")</f>
        <v>0</v>
      </c>
      <c r="BF68" s="30">
        <f>=IF(DATEVALUE(BF4)&lt;=$C$2-WEEKDAY($C$2,1)+1,IF(SUM(BE119:BE128)&lt;=0,0,(SUM(BE119:BE128)-BE128)-(SUM(BF119:BF128)-BF119)),"")</f>
        <v>1</v>
      </c>
      <c r="BG68" s="30">
        <f>=IF(DATEVALUE(BG4)&lt;=$C$2-WEEKDAY($C$2,1)+1,IF(SUM(BF119:BF128)&lt;=0,0,(SUM(BF119:BF128)-BF128)-(SUM(BG119:BG128)-BG119)),"")</f>
        <v>0</v>
      </c>
      <c r="BH68" s="30">
        <f>=IF(DATEVALUE(BH4)&lt;=$C$2-WEEKDAY($C$2,1)+1,IF(SUM(BG119:BG128)&lt;=0,0,(SUM(BG119:BG128)-BG128)-(SUM(BH119:BH128)-BH119)),"")</f>
        <v>1</v>
      </c>
      <c r="BI68" s="30">
        <f>=IF(DATEVALUE(BI4)&lt;=$C$2-WEEKDAY($C$2,1)+1,IF(SUM(BH119:BH128)&lt;=0,0,(SUM(BH119:BH128)-BH128)-(SUM(BI119:BI128)-BI119)),"")</f>
        <v>0</v>
      </c>
      <c r="BJ68" s="30">
        <f>=IF(DATEVALUE(BJ4)&lt;=$C$2-WEEKDAY($C$2,1)+1,IF(SUM(BI119:BI128)&lt;=0,0,(SUM(BI119:BI128)-BI128)-(SUM(BJ119:BJ128)-BJ119)),"")</f>
        <v>0</v>
      </c>
      <c r="BK68" s="30">
        <f>=IF(DATEVALUE(BK4)&lt;=$C$2-WEEKDAY($C$2,1)+1,IF(SUM(BJ119:BJ128)&lt;=0,0,(SUM(BJ119:BJ128)-BJ128)-(SUM(BK119:BK128)-BK119)),"")</f>
        <v>0</v>
      </c>
      <c r="BL68" s="30">
        <f>=IF(DATEVALUE(BL4)&lt;=$C$2-WEEKDAY($C$2,1)+1,IF(SUM(BK119:BK128)&lt;=0,0,(SUM(BK119:BK128)-BK128)-(SUM(BL119:BL128)-BL119)),"")</f>
        <v>0</v>
      </c>
      <c r="BM68" s="30">
        <f>=IF(DATEVALUE(BM4)&lt;=$C$2-WEEKDAY($C$2,1)+1,IF(SUM(BL119:BL128)&lt;=0,0,(SUM(BL119:BL128)-BL128)-(SUM(BM119:BM128)-BM119)),"")</f>
        <v>0</v>
      </c>
      <c r="BN68" s="30">
        <f>=IF(DATEVALUE(BN4)&lt;=$C$2-WEEKDAY($C$2,1)+1,IF(SUM(BM119:BM128)&lt;=0,0,(SUM(BM119:BM128)-BM128)-(SUM(BN119:BN128)-BN119)),"")</f>
        <v>0</v>
      </c>
      <c r="BO68" s="30">
        <f>=IF(DATEVALUE(BO4)&lt;=$C$2-WEEKDAY($C$2,1)+1,IF(SUM(BN119:BN128)&lt;=0,0,(SUM(BN119:BN128)-BN128)-(SUM(BO119:BO128)-BO119)),"")</f>
        <v>0</v>
      </c>
      <c r="BP68" s="30">
        <f>=IF(DATEVALUE(BP4)&lt;=$C$2-WEEKDAY($C$2,1)+1,IF(SUM(BO119:BO128)&lt;=0,0,(SUM(BO119:BO128)-BO128)-(SUM(BP119:BP128)-BP119)),"")</f>
        <v>0</v>
      </c>
      <c r="BQ68" s="30">
        <f>=IF(DATEVALUE(BQ4)&lt;=$C$2-WEEKDAY($C$2,1)+1,IF(SUM(BP119:BP128)&lt;=0,0,(SUM(BP119:BP128)-BP128)-(SUM(BQ119:BQ128)-BQ119)),"")</f>
        <v>0</v>
      </c>
      <c r="BR68" s="30">
        <f>=IF(DATEVALUE(BR4)&lt;=$C$2-WEEKDAY($C$2,1)+1,IF(SUM(BQ119:BQ128)&lt;=0,0,(SUM(BQ119:BQ128)-BQ128)-(SUM(BR119:BR128)-BR119)),"")</f>
        <v>0</v>
      </c>
      <c r="BS68" s="30">
        <f>=IF(DATEVALUE(BS4)&lt;=$C$2-WEEKDAY($C$2,1)+1,IF(SUM(BR119:BR128)&lt;=0,0,(SUM(BR119:BR128)-BR128)-(SUM(BS119:BS128)-BS119)),"")</f>
        <v>0</v>
      </c>
      <c r="BT68" s="30">
        <f>=IF(DATEVALUE(BT4)&lt;=$C$2-WEEKDAY($C$2,1)+1,IF(SUM(BS119:BS128)&lt;=0,0,(SUM(BS119:BS128)-BS128)-(SUM(BT119:BT128)-BT119)),"")</f>
        <v>0</v>
      </c>
      <c r="BU68" s="30">
        <f>=IF(DATEVALUE(BU4)&lt;=$C$2-WEEKDAY($C$2,1)+1,IF(SUM(BT119:BT128)&lt;=0,0,(SUM(BT119:BT128)-BT128)-(SUM(BU119:BU128)-BU119)),"")</f>
        <v>0</v>
      </c>
      <c r="BV68" s="30">
        <f>=IF(DATEVALUE(BV4)&lt;=$C$2-WEEKDAY($C$2,1)+1,IF(SUM(BU119:BU128)&lt;=0,0,(SUM(BU119:BU128)-BU128)-(SUM(BV119:BV128)-BV119)),"")</f>
        <v>0</v>
      </c>
      <c r="BW68" s="30" t="str">
        <f>=IF(DATEVALUE(BW4)&lt;=$C$2-WEEKDAY($C$2,1)+1,IF(SUM(BV119:BV128)&lt;=0,0,(SUM(BV119:BV128)-BV128)-(SUM(BW119:BW128)-BW119)),"")</f>
        <v/>
      </c>
      <c r="BX68" s="30" t="str">
        <f>=IF(DATEVALUE(BX4)&lt;=$C$2-WEEKDAY($C$2,1)+1,IF(SUM(BW119:BW128)&lt;=0,0,(SUM(BW119:BW128)-BW128)-(SUM(BX119:BX128)-BX119)),"")</f>
        <v/>
      </c>
      <c r="BY68" s="30" t="str">
        <f>=IF(DATEVALUE(BY4)&lt;=$C$2-WEEKDAY($C$2,1)+1,IF(SUM(BX119:BX128)&lt;=0,0,(SUM(BX119:BX128)-BX128)-(SUM(BY119:BY128)-BY119)),"")</f>
        <v/>
      </c>
      <c r="BZ68" s="30" t="str">
        <f>=IF(DATEVALUE(BZ4)&lt;=$C$2-WEEKDAY($C$2,1)+1,IF(SUM(BY119:BY128)&lt;=0,0,(SUM(BY119:BY128)-BY128)-(SUM(BZ119:BZ128)-BZ119)),"")</f>
        <v/>
      </c>
      <c r="CA68" s="30" t="str">
        <f>=IF(DATEVALUE(CA4)&lt;=$C$2-WEEKDAY($C$2,1)+1,IF(SUM(BZ119:BZ128)&lt;=0,0,(SUM(BZ119:BZ128)-BZ128)-(SUM(CA119:CA128)-CA119)),"")</f>
        <v/>
      </c>
      <c r="CB68" s="30" t="str">
        <f>=IF(DATEVALUE(CB4)&lt;=$C$2-WEEKDAY($C$2,1)+1,IF(SUM(CA119:CA128)&lt;=0,0,(SUM(CA119:CA128)-CA128)-(SUM(CB119:CB128)-CB119)),"")</f>
        <v/>
      </c>
      <c r="CC68" s="30" t="str">
        <f>=IF(DATEVALUE(CC4)&lt;=$C$2-WEEKDAY($C$2,1)+1,IF(SUM(CB119:CB128)&lt;=0,0,(SUM(CB119:CB128)-CB128)-(SUM(CC119:CC128)-CC119)),"")</f>
        <v/>
      </c>
      <c r="CD68" s="30" t="str">
        <f>=IF(DATEVALUE(CD4)&lt;=$C$2-WEEKDAY($C$2,1)+1,IF(SUM(CC119:CC128)&lt;=0,0,(SUM(CC119:CC128)-CC128)-(SUM(CD119:CD128)-CD119)),"")</f>
        <v/>
      </c>
      <c r="CE68" s="30" t="str">
        <f>=IF(DATEVALUE(CE4)&lt;=$C$2-WEEKDAY($C$2,1)+1,IF(SUM(CD119:CD128)&lt;=0,0,(SUM(CD119:CD128)-CD128)-(SUM(CE119:CE128)-CE119)),"")</f>
        <v/>
      </c>
      <c r="CF68" s="30" t="str">
        <f>=IF(DATEVALUE(CF4)&lt;=$C$2-WEEKDAY($C$2,1)+1,IF(SUM(CE119:CE128)&lt;=0,0,(SUM(CE119:CE128)-CE128)-(SUM(CF119:CF128)-CF119)),"")</f>
        <v/>
      </c>
      <c r="CG68" s="30" t="str">
        <f>=IF(DATEVALUE(CG4)&lt;=$C$2-WEEKDAY($C$2,1)+1,IF(SUM(CF119:CF128)&lt;=0,0,(SUM(CF119:CF128)-CF128)-(SUM(CG119:CG128)-CG119)),"")</f>
        <v/>
      </c>
      <c r="CH68" s="30" t="str">
        <f>=IF(DATEVALUE(CH4)&lt;=$C$2-WEEKDAY($C$2,1)+1,IF(SUM(CG119:CG128)&lt;=0,0,(SUM(CG119:CG128)-CG128)-(SUM(CH119:CH128)-CH119)),"")</f>
        <v/>
      </c>
      <c r="CI68" s="30" t="str">
        <f>=IF(DATEVALUE(CI4)&lt;=$C$2-WEEKDAY($C$2,1)+1,IF(SUM(CH119:CH128)&lt;=0,0,(SUM(CH119:CH128)-CH128)-(SUM(CI119:CI128)-CI119)),"")</f>
        <v/>
      </c>
      <c r="CJ68" s="30" t="str">
        <f>=IF(DATEVALUE(CJ4)&lt;=$C$2-WEEKDAY($C$2,1)+1,IF(SUM(CI119:CI128)&lt;=0,0,(SUM(CI119:CI128)-CI128)-(SUM(CJ119:CJ128)-CJ119)),"")</f>
        <v/>
      </c>
      <c r="CK68" s="30" t="str">
        <f>=IF(DATEVALUE(CK4)&lt;=$C$2-WEEKDAY($C$2,1)+1,IF(SUM(CJ119:CJ128)&lt;=0,0,(SUM(CJ119:CJ128)-CJ128)-(SUM(CK119:CK128)-CK119)),"")</f>
        <v/>
      </c>
      <c r="CL68" s="30" t="str">
        <f>=IF(DATEVALUE(CL4)&lt;=$C$2-WEEKDAY($C$2,1)+1,IF(SUM(CK119:CK128)&lt;=0,0,(SUM(CK119:CK128)-CK128)-(SUM(CL119:CL128)-CL119)),"")</f>
        <v/>
      </c>
      <c r="CM68" s="30" t="str">
        <f>=IF(DATEVALUE(CM4)&lt;=$C$2-WEEKDAY($C$2,1)+1,IF(SUM(CL119:CL128)&lt;=0,0,(SUM(CL119:CL128)-CL128)-(SUM(CM119:CM128)-CM119)),"")</f>
        <v/>
      </c>
      <c r="CN68" s="30" t="str">
        <f>=IF(DATEVALUE(CN4)&lt;=$C$2-WEEKDAY($C$2,1)+1,IF(SUM(CM119:CM128)&lt;=0,0,(SUM(CM119:CM128)-CM128)-(SUM(CN119:CN128)-CN119)),"")</f>
        <v/>
      </c>
      <c r="CO68" s="30" t="str">
        <f>=IF(DATEVALUE(CO4)&lt;=$C$2-WEEKDAY($C$2,1)+1,IF(SUM(CN119:CN128)&lt;=0,0,(SUM(CN119:CN128)-CN128)-(SUM(CO119:CO128)-CO119)),"")</f>
        <v/>
      </c>
      <c r="CP68" s="30" t="str">
        <f>=IF(DATEVALUE(CP4)&lt;=$C$2-WEEKDAY($C$2,1)+1,IF(SUM(CO119:CO128)&lt;=0,0,(SUM(CO119:CO128)-CO128)-(SUM(CP119:CP128)-CP119)),"")</f>
        <v/>
      </c>
      <c r="CQ68" s="30" t="str">
        <f>=IF(DATEVALUE(CQ4)&lt;=$C$2-WEEKDAY($C$2,1)+1,IF(SUM(CP119:CP128)&lt;=0,0,(SUM(CP119:CP128)-CP128)-(SUM(CQ119:CQ128)-CQ119)),"")</f>
        <v/>
      </c>
      <c r="CR68" s="30" t="str">
        <f>=IF(DATEVALUE(CR4)&lt;=$C$2-WEEKDAY($C$2,1)+1,IF(SUM(CQ119:CQ128)&lt;=0,0,(SUM(CQ119:CQ128)-CQ128)-(SUM(CR119:CR128)-CR119)),"")</f>
        <v/>
      </c>
      <c r="CS68" s="30" t="str">
        <f>=IF(DATEVALUE(CS4)&lt;=$C$2-WEEKDAY($C$2,1)+1,IF(SUM(CR119:CR128)&lt;=0,0,(SUM(CR119:CR128)-CR128)-(SUM(CS119:CS128)-CS119)),"")</f>
        <v/>
      </c>
      <c r="CT68" s="30" t="str">
        <f>=IF(DATEVALUE(CT4)&lt;=$C$2-WEEKDAY($C$2,1)+1,IF(SUM(CS119:CS128)&lt;=0,0,(SUM(CS119:CS128)-CS128)-(SUM(CT119:CT128)-CT119)),"")</f>
        <v/>
      </c>
      <c r="CU68" s="30" t="str">
        <f>=IF(DATEVALUE(CU4)&lt;=$C$2-WEEKDAY($C$2,1)+1,IF(SUM(CT119:CT128)&lt;=0,0,(SUM(CT119:CT128)-CT128)-(SUM(CU119:CU128)-CU119)),"")</f>
        <v/>
      </c>
      <c r="CV68" s="30" t="str">
        <f>=IF(DATEVALUE(CV4)&lt;=$C$2-WEEKDAY($C$2,1)+1,IF(SUM(CU119:CU128)&lt;=0,0,(SUM(CU119:CU128)-CU128)-(SUM(CV119:CV128)-CV119)),"")</f>
        <v/>
      </c>
      <c r="CW68" s="30" t="str">
        <f>=IF(DATEVALUE(CW4)&lt;=$C$2-WEEKDAY($C$2,1)+1,IF(SUM(CV119:CV128)&lt;=0,0,(SUM(CV119:CV128)-CV128)-(SUM(CW119:CW128)-CW119)),"")</f>
        <v/>
      </c>
      <c r="CX68" s="30" t="str">
        <f>=IF(DATEVALUE(CX4)&lt;=$C$2-WEEKDAY($C$2,1)+1,IF(SUM(CW119:CW128)&lt;=0,0,(SUM(CW119:CW128)-CW128)-(SUM(CX119:CX128)-CX119)),"")</f>
        <v/>
      </c>
      <c r="CY68" s="30" t="str">
        <f>=IF(DATEVALUE(CY4)&lt;=$C$2-WEEKDAY($C$2,1)+1,IF(SUM(CX119:CX128)&lt;=0,0,(SUM(CX119:CX128)-CX128)-(SUM(CY119:CY128)-CY119)),"")</f>
        <v/>
      </c>
      <c r="CZ68" s="30" t="str">
        <f>=IF(DATEVALUE(CZ4)&lt;=$C$2-WEEKDAY($C$2,1)+1,IF(SUM(CY119:CY128)&lt;=0,0,(SUM(CY119:CY128)-CY128)-(SUM(CZ119:CZ128)-CZ119)),"")</f>
        <v/>
      </c>
      <c r="DA68" s="30" t="str">
        <f>=IF(DATEVALUE(DA4)&lt;=$C$2-WEEKDAY($C$2,1)+1,IF(SUM(CZ119:CZ128)&lt;=0,0,(SUM(CZ119:CZ128)-CZ128)-(SUM(DA119:DA128)-DA119)),"")</f>
        <v/>
      </c>
      <c r="DB68" s="30" t="str">
        <f>=IF(DATEVALUE(DB4)&lt;=$C$2-WEEKDAY($C$2,1)+1,IF(SUM(DA119:DA128)&lt;=0,0,(SUM(DA119:DA128)-DA128)-(SUM(DB119:DB128)-DB119)),"")</f>
        <v/>
      </c>
    </row>
    <row r="69" ht="18" customHeight="1" spans="1:106" x14ac:dyDescent="0.25">
      <c r="A69" s="16" t="s">
        <v>294</v>
      </c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  <c r="BP69" s="30"/>
      <c r="BQ69" s="30"/>
      <c r="BR69" s="30"/>
      <c r="BS69" s="30"/>
      <c r="BT69" s="30"/>
      <c r="BU69" s="30"/>
      <c r="BV69" s="30"/>
      <c r="BW69" s="30"/>
      <c r="BX69" s="30"/>
      <c r="BY69" s="30"/>
      <c r="BZ69" s="30"/>
      <c r="CA69" s="30"/>
      <c r="CB69" s="30"/>
      <c r="CC69" s="30"/>
      <c r="CD69" s="30"/>
      <c r="CE69" s="30"/>
      <c r="CF69" s="30"/>
      <c r="CG69" s="30"/>
      <c r="CH69" s="30"/>
      <c r="CI69" s="30"/>
      <c r="CJ69" s="30"/>
      <c r="CK69" s="30"/>
      <c r="CL69" s="30"/>
      <c r="CM69" s="30"/>
      <c r="CN69" s="30"/>
      <c r="CO69" s="30"/>
      <c r="CP69" s="30"/>
      <c r="CQ69" s="30"/>
      <c r="CR69" s="30"/>
      <c r="CS69" s="30"/>
      <c r="CT69" s="30"/>
      <c r="CU69" s="30"/>
      <c r="CV69" s="30"/>
      <c r="CW69" s="30"/>
      <c r="CX69" s="30"/>
      <c r="CY69" s="30"/>
      <c r="CZ69" s="30"/>
      <c r="DA69" s="30"/>
      <c r="DB69" s="30"/>
    </row>
    <row r="70" ht="18" customHeight="1" spans="1:106" x14ac:dyDescent="0.25">
      <c r="A70" s="16" t="s">
        <v>282</v>
      </c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/>
      <c r="BO70" s="30"/>
      <c r="BP70" s="30"/>
      <c r="BQ70" s="30"/>
      <c r="BR70" s="30"/>
      <c r="BS70" s="30"/>
      <c r="BT70" s="30"/>
      <c r="BU70" s="30"/>
      <c r="BV70" s="30"/>
      <c r="BW70" s="30"/>
      <c r="BX70" s="30"/>
      <c r="BY70" s="30"/>
      <c r="BZ70" s="30"/>
      <c r="CA70" s="30"/>
      <c r="CB70" s="30"/>
      <c r="CC70" s="30"/>
      <c r="CD70" s="30"/>
      <c r="CE70" s="30"/>
      <c r="CF70" s="30"/>
      <c r="CG70" s="30"/>
      <c r="CH70" s="30"/>
      <c r="CI70" s="30"/>
      <c r="CJ70" s="30"/>
      <c r="CK70" s="30"/>
      <c r="CL70" s="30"/>
      <c r="CM70" s="30"/>
      <c r="CN70" s="30"/>
      <c r="CO70" s="30"/>
      <c r="CP70" s="30"/>
      <c r="CQ70" s="30"/>
      <c r="CR70" s="30"/>
      <c r="CS70" s="30"/>
      <c r="CT70" s="30"/>
      <c r="CU70" s="30"/>
      <c r="CV70" s="30"/>
      <c r="CW70" s="30"/>
      <c r="CX70" s="30"/>
      <c r="CY70" s="30"/>
      <c r="CZ70" s="30"/>
      <c r="DA70" s="30"/>
      <c r="DB70" s="30"/>
    </row>
    <row r="71" ht="18" customHeight="1" spans="3:106" x14ac:dyDescent="0.25"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30"/>
      <c r="BN71" s="30"/>
      <c r="BO71" s="30"/>
      <c r="BP71" s="30"/>
      <c r="BQ71" s="30"/>
      <c r="BR71" s="30"/>
      <c r="BS71" s="30"/>
      <c r="BT71" s="30"/>
      <c r="BU71" s="30"/>
      <c r="BV71" s="30"/>
      <c r="BW71" s="30"/>
      <c r="BX71" s="30"/>
      <c r="BY71" s="30"/>
      <c r="BZ71" s="30"/>
      <c r="CA71" s="30"/>
      <c r="CB71" s="30"/>
      <c r="CC71" s="30"/>
      <c r="CD71" s="30"/>
      <c r="CE71" s="30"/>
      <c r="CF71" s="30"/>
      <c r="CG71" s="30"/>
      <c r="CH71" s="30"/>
      <c r="CI71" s="30"/>
      <c r="CJ71" s="30"/>
      <c r="CK71" s="30"/>
      <c r="CL71" s="30"/>
      <c r="CM71" s="30"/>
      <c r="CN71" s="30"/>
      <c r="CO71" s="30"/>
      <c r="CP71" s="30"/>
      <c r="CQ71" s="30"/>
      <c r="CR71" s="30"/>
      <c r="CS71" s="30"/>
      <c r="CT71" s="30"/>
      <c r="CU71" s="30"/>
      <c r="CV71" s="30"/>
      <c r="CW71" s="30"/>
      <c r="CX71" s="30"/>
      <c r="CY71" s="30"/>
      <c r="CZ71" s="30"/>
      <c r="DA71" s="30"/>
      <c r="DB71" s="30"/>
    </row>
    <row r="72" ht="18" customHeight="1" spans="1:106" x14ac:dyDescent="0.25">
      <c r="A72" s="49" t="s">
        <v>295</v>
      </c>
      <c r="B72" s="17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2"/>
      <c r="CH72" s="32"/>
      <c r="CI72" s="32"/>
      <c r="CJ72" s="32"/>
      <c r="CK72" s="32"/>
      <c r="CL72" s="32"/>
      <c r="CM72" s="32"/>
      <c r="CN72" s="32"/>
      <c r="CO72" s="32"/>
      <c r="CP72" s="32"/>
      <c r="CQ72" s="32"/>
      <c r="CR72" s="32"/>
      <c r="CS72" s="32"/>
      <c r="CT72" s="32"/>
      <c r="CU72" s="32"/>
      <c r="CV72" s="32"/>
      <c r="CW72" s="32"/>
      <c r="CX72" s="32"/>
      <c r="CY72" s="32"/>
      <c r="CZ72" s="32"/>
      <c r="DA72" s="32"/>
      <c r="DB72" s="32"/>
    </row>
    <row r="73" ht="18" customHeight="1" spans="1:106" x14ac:dyDescent="0.25">
      <c r="A73" s="16" t="s">
        <v>296</v>
      </c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</row>
    <row r="74" ht="18" customHeight="1" spans="1:106" x14ac:dyDescent="0.25">
      <c r="A74" s="16" t="s">
        <v>297</v>
      </c>
      <c r="B74" s="17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  <c r="BC74" s="50"/>
      <c r="BD74" s="50"/>
      <c r="BE74" s="50"/>
      <c r="BF74" s="50"/>
      <c r="BG74" s="50"/>
      <c r="BH74" s="50"/>
      <c r="BI74" s="50"/>
      <c r="BJ74" s="50"/>
      <c r="BK74" s="50"/>
      <c r="BL74" s="50"/>
      <c r="BM74" s="50"/>
      <c r="BN74" s="50"/>
      <c r="BO74" s="50"/>
      <c r="BP74" s="50"/>
      <c r="BQ74" s="50"/>
      <c r="BR74" s="50"/>
      <c r="BS74" s="50"/>
      <c r="BT74" s="50"/>
      <c r="BU74" s="50"/>
      <c r="BV74" s="50"/>
      <c r="BW74" s="50"/>
      <c r="BX74" s="50"/>
      <c r="BY74" s="50"/>
      <c r="BZ74" s="50"/>
      <c r="CA74" s="50"/>
      <c r="CB74" s="50"/>
      <c r="CC74" s="50"/>
      <c r="CD74" s="50"/>
      <c r="CE74" s="50"/>
      <c r="CF74" s="50"/>
      <c r="CG74" s="50"/>
      <c r="CH74" s="50"/>
      <c r="CI74" s="50"/>
      <c r="CJ74" s="50"/>
      <c r="CK74" s="50"/>
      <c r="CL74" s="50"/>
      <c r="CM74" s="50"/>
      <c r="CN74" s="50"/>
      <c r="CO74" s="50"/>
      <c r="CP74" s="50"/>
      <c r="CQ74" s="50"/>
      <c r="CR74" s="50"/>
      <c r="CS74" s="50"/>
      <c r="CT74" s="50"/>
      <c r="CU74" s="50"/>
      <c r="CV74" s="50"/>
      <c r="CW74" s="50"/>
      <c r="CX74" s="50"/>
      <c r="CY74" s="50"/>
      <c r="CZ74" s="50"/>
      <c r="DA74" s="50"/>
      <c r="DB74" s="50"/>
    </row>
    <row r="75" ht="18" customHeight="1" spans="1:106" x14ac:dyDescent="0.25">
      <c r="A75" s="51" t="s">
        <v>298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</row>
    <row r="76" ht="18" customHeight="1" spans="1:106" x14ac:dyDescent="0.25">
      <c r="A76" s="16" t="s">
        <v>299</v>
      </c>
      <c r="B76" s="17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50"/>
      <c r="AR76" s="50"/>
      <c r="AS76" s="50"/>
      <c r="AT76" s="50"/>
      <c r="AU76" s="50"/>
      <c r="AV76" s="50"/>
      <c r="AW76" s="50"/>
      <c r="AX76" s="50"/>
      <c r="AY76" s="50"/>
      <c r="AZ76" s="50"/>
      <c r="BA76" s="50"/>
      <c r="BB76" s="50"/>
      <c r="BC76" s="50"/>
      <c r="BD76" s="50"/>
      <c r="BE76" s="50"/>
      <c r="BF76" s="50"/>
      <c r="BG76" s="50"/>
      <c r="BH76" s="50"/>
      <c r="BI76" s="50"/>
      <c r="BJ76" s="50"/>
      <c r="BK76" s="50"/>
      <c r="BL76" s="50"/>
      <c r="BM76" s="50"/>
      <c r="BN76" s="50"/>
      <c r="BO76" s="50"/>
      <c r="BP76" s="50"/>
      <c r="BQ76" s="50"/>
      <c r="BR76" s="50"/>
      <c r="BS76" s="50"/>
      <c r="BT76" s="50"/>
      <c r="BU76" s="50"/>
      <c r="BV76" s="50"/>
      <c r="BW76" s="50"/>
      <c r="BX76" s="50"/>
      <c r="BY76" s="50"/>
      <c r="BZ76" s="50"/>
      <c r="CA76" s="50"/>
      <c r="CB76" s="50"/>
      <c r="CC76" s="50"/>
      <c r="CD76" s="50"/>
      <c r="CE76" s="50"/>
      <c r="CF76" s="50"/>
      <c r="CG76" s="50"/>
      <c r="CH76" s="50"/>
      <c r="CI76" s="50"/>
      <c r="CJ76" s="50"/>
      <c r="CK76" s="50"/>
      <c r="CL76" s="50"/>
      <c r="CM76" s="50"/>
      <c r="CN76" s="50"/>
      <c r="CO76" s="50"/>
      <c r="CP76" s="50"/>
      <c r="CQ76" s="50"/>
      <c r="CR76" s="50"/>
      <c r="CS76" s="50"/>
      <c r="CT76" s="50"/>
      <c r="CU76" s="50"/>
      <c r="CV76" s="50"/>
      <c r="CW76" s="50"/>
      <c r="CX76" s="50"/>
      <c r="CY76" s="50"/>
      <c r="CZ76" s="50"/>
      <c r="DA76" s="50"/>
      <c r="DB76" s="50"/>
    </row>
    <row r="77" ht="18" customHeight="1" spans="1:106" x14ac:dyDescent="0.25">
      <c r="A77" s="16" t="s">
        <v>300</v>
      </c>
      <c r="B77" s="17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50"/>
      <c r="BC77" s="50"/>
      <c r="BD77" s="50"/>
      <c r="BE77" s="50"/>
      <c r="BF77" s="50"/>
      <c r="BG77" s="50"/>
      <c r="BH77" s="50"/>
      <c r="BI77" s="50"/>
      <c r="BJ77" s="50"/>
      <c r="BK77" s="50"/>
      <c r="BL77" s="50"/>
      <c r="BM77" s="50"/>
      <c r="BN77" s="50"/>
      <c r="BO77" s="50"/>
      <c r="BP77" s="50"/>
      <c r="BQ77" s="50"/>
      <c r="BR77" s="50"/>
      <c r="BS77" s="50"/>
      <c r="BT77" s="50"/>
      <c r="BU77" s="50"/>
      <c r="BV77" s="50"/>
      <c r="BW77" s="50"/>
      <c r="BX77" s="50"/>
      <c r="BY77" s="50"/>
      <c r="BZ77" s="50"/>
      <c r="CA77" s="50"/>
      <c r="CB77" s="50"/>
      <c r="CC77" s="50"/>
      <c r="CD77" s="50"/>
      <c r="CE77" s="50"/>
      <c r="CF77" s="50"/>
      <c r="CG77" s="50"/>
      <c r="CH77" s="50"/>
      <c r="CI77" s="50"/>
      <c r="CJ77" s="50"/>
      <c r="CK77" s="50"/>
      <c r="CL77" s="50"/>
      <c r="CM77" s="50"/>
      <c r="CN77" s="50"/>
      <c r="CO77" s="50"/>
      <c r="CP77" s="50"/>
      <c r="CQ77" s="50"/>
      <c r="CR77" s="50"/>
      <c r="CS77" s="50"/>
      <c r="CT77" s="50"/>
      <c r="CU77" s="50"/>
      <c r="CV77" s="50"/>
      <c r="CW77" s="50"/>
      <c r="CX77" s="50"/>
      <c r="CY77" s="50"/>
      <c r="CZ77" s="50"/>
      <c r="DA77" s="50"/>
      <c r="DB77" s="50"/>
    </row>
    <row r="78" ht="18" customHeight="1" spans="1:106" x14ac:dyDescent="0.25">
      <c r="A78" s="16" t="s">
        <v>301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</row>
    <row r="79" ht="18" customHeight="1" spans="3:106" x14ac:dyDescent="0.25"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  <c r="BK79" s="30"/>
      <c r="BL79" s="30"/>
      <c r="BM79" s="30"/>
      <c r="BN79" s="30"/>
      <c r="BO79" s="30"/>
      <c r="BP79" s="30"/>
      <c r="BQ79" s="30"/>
      <c r="BR79" s="30"/>
      <c r="BS79" s="30"/>
      <c r="BT79" s="30"/>
      <c r="BU79" s="30"/>
      <c r="BV79" s="30"/>
      <c r="BW79" s="30"/>
      <c r="BX79" s="30"/>
      <c r="BY79" s="30"/>
      <c r="BZ79" s="30"/>
      <c r="CA79" s="30"/>
      <c r="CB79" s="30"/>
      <c r="CC79" s="30"/>
      <c r="CD79" s="30"/>
      <c r="CE79" s="30"/>
      <c r="CF79" s="30"/>
      <c r="CG79" s="30"/>
      <c r="CH79" s="30"/>
      <c r="CI79" s="30"/>
      <c r="CJ79" s="30"/>
      <c r="CK79" s="30"/>
      <c r="CL79" s="30"/>
      <c r="CM79" s="30"/>
      <c r="CN79" s="30"/>
      <c r="CO79" s="30"/>
      <c r="CP79" s="30"/>
      <c r="CQ79" s="30"/>
      <c r="CR79" s="30"/>
      <c r="CS79" s="30"/>
      <c r="CT79" s="30"/>
      <c r="CU79" s="30"/>
      <c r="CV79" s="30"/>
      <c r="CW79" s="30"/>
      <c r="CX79" s="30"/>
      <c r="CY79" s="30"/>
      <c r="CZ79" s="30"/>
      <c r="DA79" s="30"/>
      <c r="DB79" s="30"/>
    </row>
    <row r="80" ht="18" customHeight="1" spans="1:106" x14ac:dyDescent="0.25">
      <c r="A80" s="9" t="s">
        <v>302</v>
      </c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30"/>
      <c r="BN80" s="30"/>
      <c r="BO80" s="30"/>
      <c r="BP80" s="30"/>
      <c r="BQ80" s="30"/>
      <c r="BR80" s="30"/>
      <c r="BS80" s="30"/>
      <c r="BT80" s="30"/>
      <c r="BU80" s="30"/>
      <c r="BV80" s="30"/>
      <c r="BW80" s="30"/>
      <c r="BX80" s="30"/>
      <c r="BY80" s="30"/>
      <c r="BZ80" s="30"/>
      <c r="CA80" s="30"/>
      <c r="CB80" s="30"/>
      <c r="CC80" s="30"/>
      <c r="CD80" s="30"/>
      <c r="CE80" s="30"/>
      <c r="CF80" s="30"/>
      <c r="CG80" s="30"/>
      <c r="CH80" s="30"/>
      <c r="CI80" s="30"/>
      <c r="CJ80" s="30"/>
      <c r="CK80" s="30"/>
      <c r="CL80" s="30"/>
      <c r="CM80" s="30"/>
      <c r="CN80" s="30"/>
      <c r="CO80" s="30"/>
      <c r="CP80" s="30"/>
      <c r="CQ80" s="30"/>
      <c r="CR80" s="30"/>
      <c r="CS80" s="30"/>
      <c r="CT80" s="30"/>
      <c r="CU80" s="30"/>
      <c r="CV80" s="30"/>
      <c r="CW80" s="30"/>
      <c r="CX80" s="30"/>
      <c r="CY80" s="30"/>
      <c r="CZ80" s="30"/>
      <c r="DA80" s="30"/>
      <c r="DB80" s="30"/>
    </row>
    <row r="81" ht="18" customHeight="1" spans="1:106" x14ac:dyDescent="0.25">
      <c r="A81" s="33" t="s">
        <v>303</v>
      </c>
      <c r="B81" s="24"/>
      <c r="C81" s="52">
        <v>0</v>
      </c>
      <c r="D81" s="52">
        <v>2</v>
      </c>
      <c r="E81" s="52">
        <v>2</v>
      </c>
      <c r="F81" s="52">
        <v>1</v>
      </c>
      <c r="G81" s="52">
        <v>7</v>
      </c>
      <c r="H81" s="52">
        <v>2</v>
      </c>
      <c r="I81" s="52">
        <v>2</v>
      </c>
      <c r="J81" s="52">
        <v>0</v>
      </c>
      <c r="K81" s="52">
        <v>0</v>
      </c>
      <c r="L81" s="52">
        <v>0</v>
      </c>
      <c r="M81" s="52">
        <v>8</v>
      </c>
      <c r="N81" s="52">
        <v>4</v>
      </c>
      <c r="O81" s="52">
        <v>11</v>
      </c>
      <c r="P81" s="52">
        <v>7</v>
      </c>
      <c r="Q81" s="52">
        <v>2</v>
      </c>
      <c r="R81" s="52">
        <v>2</v>
      </c>
      <c r="S81" s="52">
        <v>7</v>
      </c>
      <c r="T81" s="52">
        <v>1</v>
      </c>
      <c r="U81" s="52">
        <v>1</v>
      </c>
      <c r="V81" s="52">
        <v>8</v>
      </c>
      <c r="W81" s="52">
        <v>1</v>
      </c>
      <c r="X81" s="52">
        <v>0</v>
      </c>
      <c r="Y81" s="52">
        <v>2</v>
      </c>
      <c r="Z81" s="52">
        <v>1</v>
      </c>
      <c r="AA81" s="52">
        <v>4</v>
      </c>
      <c r="AB81" s="52">
        <v>0</v>
      </c>
      <c r="AC81" s="52">
        <v>1</v>
      </c>
      <c r="AD81" s="52">
        <v>4</v>
      </c>
      <c r="AE81" s="52">
        <v>2</v>
      </c>
      <c r="AF81" s="52">
        <v>3</v>
      </c>
      <c r="AG81" s="52">
        <v>0</v>
      </c>
      <c r="AH81" s="52">
        <v>4</v>
      </c>
      <c r="AI81" s="52">
        <v>0</v>
      </c>
      <c r="AJ81" s="52">
        <v>5</v>
      </c>
      <c r="AK81" s="52">
        <v>1</v>
      </c>
      <c r="AL81" s="52">
        <v>1</v>
      </c>
      <c r="AM81" s="52">
        <v>1</v>
      </c>
      <c r="AN81" s="52">
        <v>2</v>
      </c>
      <c r="AO81" s="52">
        <v>2</v>
      </c>
      <c r="AP81" s="52">
        <v>0</v>
      </c>
      <c r="AQ81" s="52">
        <v>8</v>
      </c>
      <c r="AR81" s="52">
        <v>1</v>
      </c>
      <c r="AS81" s="52">
        <v>4</v>
      </c>
      <c r="AT81" s="52">
        <v>2</v>
      </c>
      <c r="AU81" s="52">
        <v>0</v>
      </c>
      <c r="AV81" s="52">
        <v>10</v>
      </c>
      <c r="AW81" s="52">
        <v>2</v>
      </c>
      <c r="AX81" s="52">
        <v>1</v>
      </c>
      <c r="AY81" s="52">
        <v>9</v>
      </c>
      <c r="AZ81" s="52">
        <v>7</v>
      </c>
      <c r="BA81" s="52">
        <v>4</v>
      </c>
      <c r="BB81" s="52">
        <v>9</v>
      </c>
      <c r="BC81" s="52">
        <v>1</v>
      </c>
      <c r="BD81" s="52">
        <v>4</v>
      </c>
      <c r="BE81" s="52">
        <v>2</v>
      </c>
      <c r="BF81" s="52">
        <v>3</v>
      </c>
      <c r="BG81" s="52">
        <v>1</v>
      </c>
      <c r="BH81" s="52">
        <v>2</v>
      </c>
      <c r="BI81" s="52">
        <v>1</v>
      </c>
      <c r="BJ81" s="52">
        <v>2</v>
      </c>
      <c r="BK81" s="52">
        <v>0</v>
      </c>
      <c r="BL81" s="52">
        <v>0</v>
      </c>
      <c r="BM81" s="52">
        <v>6</v>
      </c>
      <c r="BN81" s="53">
        <f>=SUM(BN82:BN98)</f>
        <v>1</v>
      </c>
      <c r="BO81" s="53">
        <f>=SUM(BO82:BO98)</f>
        <v>4</v>
      </c>
      <c r="BP81" s="53">
        <f>=SUM(BP82:BP98)</f>
        <v>7</v>
      </c>
      <c r="BQ81" s="53">
        <f>=SUM(BQ82:BQ98)</f>
        <v>2</v>
      </c>
      <c r="BR81" s="53">
        <f>=SUM(BR82:BR98)</f>
        <v>0</v>
      </c>
      <c r="BS81" s="53">
        <f>=SUM(BS82:BS98)</f>
        <v>2</v>
      </c>
      <c r="BT81" s="53">
        <f>=SUM(BT82:BT98)</f>
        <v>0</v>
      </c>
      <c r="BU81" s="53">
        <f>=SUM(BU82:BU98)</f>
        <v>0</v>
      </c>
      <c r="BV81" s="53">
        <f>=SUM(BV82:BV98)</f>
        <v>1</v>
      </c>
      <c r="BW81" s="53">
        <f>=SUM(BW82:BW98)</f>
        <v>0</v>
      </c>
      <c r="BX81" s="53">
        <f>=SUM(BX82:BX98)</f>
        <v>2</v>
      </c>
      <c r="BY81" s="53">
        <f>=SUM(BY82:BY98)</f>
        <v>1</v>
      </c>
      <c r="BZ81" s="53">
        <f>=SUM(BZ82:BZ98)</f>
        <v>0</v>
      </c>
      <c r="CA81" s="53">
        <f>=SUM(CA82:CA98)</f>
        <v>0</v>
      </c>
      <c r="CB81" s="54">
        <f>=SUM(CB82:CB98)</f>
        <v>0</v>
      </c>
      <c r="CC81" s="54">
        <f>=SUM(CC82:CC98)</f>
        <v>0</v>
      </c>
      <c r="CD81" s="54">
        <f>=SUM(CD82:CD98)</f>
        <v>0</v>
      </c>
      <c r="CE81" s="54">
        <f>=SUM(CE82:CE98)</f>
        <v>0</v>
      </c>
      <c r="CF81" s="54">
        <f>=SUM(CF82:CF98)</f>
        <v>8</v>
      </c>
      <c r="CG81" s="54">
        <f>=SUM(CG82:CG98)</f>
        <v>0</v>
      </c>
      <c r="CH81" s="54">
        <f>=SUM(CH82:CH98)</f>
        <v>0</v>
      </c>
      <c r="CI81" s="54">
        <f>=SUM(CI82:CI98)</f>
        <v>0</v>
      </c>
      <c r="CJ81" s="54">
        <f>=SUM(CJ82:CJ98)</f>
        <v>0</v>
      </c>
      <c r="CK81" s="54">
        <f>=SUM(CK82:CK98)</f>
        <v>0</v>
      </c>
      <c r="CL81" s="54">
        <f>=SUM(CL82:CL98)</f>
        <v>0</v>
      </c>
      <c r="CM81" s="54">
        <f>=SUM(CM82:CM98)</f>
        <v>0</v>
      </c>
      <c r="CN81" s="54">
        <f>=SUM(CN82:CN98)</f>
        <v>0</v>
      </c>
      <c r="CO81" s="54">
        <f>=SUM(CO82:CO98)</f>
        <v>0</v>
      </c>
      <c r="CP81" s="54">
        <f>=SUM(CP82:CP98)</f>
        <v>0</v>
      </c>
      <c r="CQ81" s="54">
        <f>=SUM(CQ82:CQ98)</f>
        <v>0</v>
      </c>
      <c r="CR81" s="54">
        <f>=SUM(CR82:CR98)</f>
        <v>0</v>
      </c>
      <c r="CS81" s="54">
        <f>=SUM(CS82:CS98)</f>
        <v>0</v>
      </c>
      <c r="CT81" s="54">
        <f>=SUM(CT82:CT98)</f>
        <v>0</v>
      </c>
      <c r="CU81" s="54">
        <f>=SUM(CU82:CU98)</f>
        <v>0</v>
      </c>
      <c r="CV81" s="54">
        <f>=SUM(CV82:CV98)</f>
        <v>0</v>
      </c>
      <c r="CW81" s="54">
        <f>=SUM(CW82:CW98)</f>
        <v>0</v>
      </c>
      <c r="CX81" s="54">
        <f>=SUM(CX82:CX98)</f>
        <v>0</v>
      </c>
      <c r="CY81" s="54">
        <f>=SUM(CY82:CY98)</f>
        <v>0</v>
      </c>
      <c r="CZ81" s="54">
        <f>=SUM(CZ82:CZ98)</f>
        <v>0</v>
      </c>
      <c r="DA81" s="54">
        <f>=SUM(DA82:DA98)</f>
        <v>0</v>
      </c>
      <c r="DB81" s="54">
        <f>=SUM(DB82:DB98)</f>
        <v>0</v>
      </c>
    </row>
    <row r="82" ht="18" customHeight="1" spans="1:106" x14ac:dyDescent="0.25">
      <c r="A82" s="50" t="s">
        <v>304</v>
      </c>
      <c r="C82" s="17">
        <v>0</v>
      </c>
      <c r="D82" s="17">
        <v>1</v>
      </c>
      <c r="E82" s="17">
        <v>0</v>
      </c>
      <c r="F82" s="17">
        <v>1</v>
      </c>
      <c r="G82" s="17">
        <v>4</v>
      </c>
      <c r="H82" s="17">
        <v>2</v>
      </c>
      <c r="I82" s="17">
        <v>1</v>
      </c>
      <c r="J82" s="17">
        <v>0</v>
      </c>
      <c r="K82" s="17">
        <v>0</v>
      </c>
      <c r="L82" s="17">
        <v>0</v>
      </c>
      <c r="M82" s="17">
        <v>0</v>
      </c>
      <c r="N82" s="17">
        <v>1</v>
      </c>
      <c r="O82" s="17">
        <v>2</v>
      </c>
      <c r="P82" s="17">
        <v>3</v>
      </c>
      <c r="Q82" s="17">
        <v>2</v>
      </c>
      <c r="R82" s="17">
        <v>1</v>
      </c>
      <c r="S82" s="17">
        <v>1</v>
      </c>
      <c r="T82" s="17">
        <v>1</v>
      </c>
      <c r="U82" s="17">
        <v>1</v>
      </c>
      <c r="V82" s="17">
        <v>2</v>
      </c>
      <c r="W82" s="17">
        <v>1</v>
      </c>
      <c r="X82" s="17">
        <v>0</v>
      </c>
      <c r="Y82" s="17">
        <v>1</v>
      </c>
      <c r="Z82" s="17">
        <v>1</v>
      </c>
      <c r="AA82" s="17">
        <v>3</v>
      </c>
      <c r="AB82" s="17">
        <v>0</v>
      </c>
      <c r="AC82" s="17">
        <v>0</v>
      </c>
      <c r="AD82" s="17">
        <v>2</v>
      </c>
      <c r="AE82" s="17">
        <v>0</v>
      </c>
      <c r="AF82" s="17">
        <v>2</v>
      </c>
      <c r="AG82" s="17">
        <v>0</v>
      </c>
      <c r="AH82" s="17">
        <v>0</v>
      </c>
      <c r="AI82" s="17">
        <v>0</v>
      </c>
      <c r="AJ82" s="17">
        <v>2</v>
      </c>
      <c r="AK82" s="17">
        <v>0</v>
      </c>
      <c r="AL82" s="17">
        <v>0</v>
      </c>
      <c r="AM82" s="17">
        <v>0</v>
      </c>
      <c r="AN82" s="17">
        <v>1</v>
      </c>
      <c r="AO82" s="17">
        <v>0</v>
      </c>
      <c r="AP82" s="17">
        <v>0</v>
      </c>
      <c r="AQ82" s="17">
        <v>0</v>
      </c>
      <c r="AR82" s="17">
        <v>1</v>
      </c>
      <c r="AS82" s="17">
        <v>0</v>
      </c>
      <c r="AT82" s="17">
        <v>1</v>
      </c>
      <c r="AU82" s="17">
        <v>0</v>
      </c>
      <c r="AV82" s="17">
        <v>0</v>
      </c>
      <c r="AW82" s="17">
        <v>0</v>
      </c>
      <c r="AX82" s="17">
        <v>0</v>
      </c>
      <c r="AY82" s="17">
        <v>1</v>
      </c>
      <c r="AZ82" s="17">
        <v>0</v>
      </c>
      <c r="BA82" s="17">
        <v>2</v>
      </c>
      <c r="BB82" s="17">
        <v>1</v>
      </c>
      <c r="BC82" s="17">
        <v>1</v>
      </c>
      <c r="BD82" s="17">
        <v>2</v>
      </c>
      <c r="BE82" s="17">
        <v>1</v>
      </c>
      <c r="BF82" s="17">
        <v>1</v>
      </c>
      <c r="BG82" s="17">
        <v>1</v>
      </c>
      <c r="BH82" s="17">
        <v>1</v>
      </c>
      <c r="BI82" s="17">
        <v>0</v>
      </c>
      <c r="BJ82" s="17">
        <v>1</v>
      </c>
      <c r="BK82" s="17">
        <v>0</v>
      </c>
      <c r="BL82" s="17">
        <v>0</v>
      </c>
      <c r="BM82" s="17">
        <v>0</v>
      </c>
      <c r="BN82" s="55">
        <v>0</v>
      </c>
      <c r="BO82" s="55">
        <v>0</v>
      </c>
      <c r="BP82" s="55">
        <v>0</v>
      </c>
      <c r="BQ82" s="55">
        <v>0</v>
      </c>
      <c r="BR82" s="55">
        <v>0</v>
      </c>
      <c r="BS82" s="55">
        <v>2</v>
      </c>
      <c r="BT82" s="55">
        <v>0</v>
      </c>
      <c r="BU82" s="55">
        <v>0</v>
      </c>
      <c r="BV82" s="17">
        <v>0</v>
      </c>
      <c r="BW82" s="17">
        <v>0</v>
      </c>
      <c r="BX82" s="17">
        <v>2</v>
      </c>
      <c r="BY82" s="17">
        <v>0</v>
      </c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</row>
    <row r="83" ht="18" customHeight="1" spans="1:106" x14ac:dyDescent="0.25">
      <c r="A83" s="50" t="s">
        <v>305</v>
      </c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>
        <v>6</v>
      </c>
      <c r="BN83" s="56"/>
      <c r="BO83" s="55">
        <v>3</v>
      </c>
      <c r="BP83" s="55">
        <v>7</v>
      </c>
      <c r="BQ83" s="57"/>
      <c r="BR83" s="55"/>
      <c r="BS83" s="55"/>
      <c r="BT83" s="55"/>
      <c r="BU83" s="55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>
        <v>8</v>
      </c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</row>
    <row r="84" ht="18" customHeight="1" spans="1:106" x14ac:dyDescent="0.25">
      <c r="A84" s="50" t="s">
        <v>306</v>
      </c>
      <c r="C84" s="17"/>
      <c r="D84" s="17"/>
      <c r="E84" s="17">
        <v>1</v>
      </c>
      <c r="F84" s="17"/>
      <c r="G84" s="17">
        <v>2</v>
      </c>
      <c r="H84" s="17"/>
      <c r="I84" s="17">
        <v>1</v>
      </c>
      <c r="J84" s="17"/>
      <c r="K84" s="17"/>
      <c r="L84" s="17"/>
      <c r="M84" s="17">
        <v>1</v>
      </c>
      <c r="N84" s="17">
        <v>3</v>
      </c>
      <c r="O84" s="17"/>
      <c r="P84" s="17">
        <v>4</v>
      </c>
      <c r="Q84" s="17"/>
      <c r="R84" s="17">
        <v>1</v>
      </c>
      <c r="S84" s="17"/>
      <c r="T84" s="17"/>
      <c r="U84" s="17"/>
      <c r="V84" s="17"/>
      <c r="W84" s="17"/>
      <c r="X84" s="17"/>
      <c r="Y84" s="17">
        <v>1</v>
      </c>
      <c r="Z84" s="17"/>
      <c r="AA84" s="17"/>
      <c r="AB84" s="17"/>
      <c r="AC84" s="17">
        <v>1</v>
      </c>
      <c r="AD84" s="17">
        <v>1</v>
      </c>
      <c r="AE84" s="17">
        <v>2</v>
      </c>
      <c r="AF84" s="17"/>
      <c r="AG84" s="17"/>
      <c r="AH84" s="17">
        <v>1</v>
      </c>
      <c r="AI84" s="17">
        <v>0</v>
      </c>
      <c r="AJ84" s="17">
        <v>0</v>
      </c>
      <c r="AK84" s="17">
        <v>1</v>
      </c>
      <c r="AL84" s="17">
        <v>1</v>
      </c>
      <c r="AM84" s="17"/>
      <c r="AN84" s="17">
        <v>1</v>
      </c>
      <c r="AO84" s="17"/>
      <c r="AP84" s="17"/>
      <c r="AQ84" s="17"/>
      <c r="AR84" s="17"/>
      <c r="AS84" s="17">
        <v>4</v>
      </c>
      <c r="AT84" s="17">
        <v>1</v>
      </c>
      <c r="AU84" s="17"/>
      <c r="AV84" s="17"/>
      <c r="AW84" s="17">
        <v>2</v>
      </c>
      <c r="AX84" s="17"/>
      <c r="AY84" s="17"/>
      <c r="AZ84" s="17"/>
      <c r="BA84" s="17">
        <v>2</v>
      </c>
      <c r="BB84" s="17"/>
      <c r="BC84" s="17"/>
      <c r="BD84" s="17"/>
      <c r="BE84" s="17"/>
      <c r="BF84" s="17">
        <v>1</v>
      </c>
      <c r="BG84" s="17"/>
      <c r="BH84" s="17">
        <v>1</v>
      </c>
      <c r="BI84" s="17">
        <v>1</v>
      </c>
      <c r="BJ84" s="17"/>
      <c r="BK84" s="17"/>
      <c r="BL84" s="17"/>
      <c r="BM84" s="17"/>
      <c r="BN84" s="55"/>
      <c r="BO84" s="55">
        <v>1</v>
      </c>
      <c r="BP84" s="55"/>
      <c r="BQ84" s="55"/>
      <c r="BR84" s="55"/>
      <c r="BS84" s="55"/>
      <c r="BT84" s="55"/>
      <c r="BU84" s="55"/>
      <c r="BV84" s="17">
        <v>1</v>
      </c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</row>
    <row r="85" ht="18" customHeight="1" spans="1:106" x14ac:dyDescent="0.25">
      <c r="A85" s="50" t="s">
        <v>307</v>
      </c>
      <c r="C85" s="17"/>
      <c r="D85" s="17">
        <v>1</v>
      </c>
      <c r="E85" s="17">
        <v>1</v>
      </c>
      <c r="F85" s="17"/>
      <c r="G85" s="17">
        <v>1</v>
      </c>
      <c r="H85" s="17"/>
      <c r="I85" s="17"/>
      <c r="J85" s="17"/>
      <c r="K85" s="17"/>
      <c r="L85" s="17"/>
      <c r="M85" s="17"/>
      <c r="N85" s="17"/>
      <c r="O85" s="17">
        <v>1</v>
      </c>
      <c r="P85" s="17"/>
      <c r="Q85" s="17"/>
      <c r="R85" s="17"/>
      <c r="S85" s="17">
        <v>6</v>
      </c>
      <c r="T85" s="17"/>
      <c r="U85" s="17"/>
      <c r="V85" s="17"/>
      <c r="W85" s="17"/>
      <c r="X85" s="17"/>
      <c r="Y85" s="17"/>
      <c r="Z85" s="17"/>
      <c r="AA85" s="17">
        <v>1</v>
      </c>
      <c r="AB85" s="17"/>
      <c r="AC85" s="17"/>
      <c r="AD85" s="17">
        <v>1</v>
      </c>
      <c r="AE85" s="17"/>
      <c r="AF85" s="17">
        <v>1</v>
      </c>
      <c r="AG85" s="17"/>
      <c r="AH85" s="17"/>
      <c r="AI85" s="17"/>
      <c r="AJ85" s="17"/>
      <c r="AK85" s="17"/>
      <c r="AL85" s="17"/>
      <c r="AM85" s="17">
        <v>1</v>
      </c>
      <c r="AN85" s="17"/>
      <c r="AO85" s="17">
        <v>1</v>
      </c>
      <c r="AP85" s="17"/>
      <c r="AQ85" s="17"/>
      <c r="AR85" s="17"/>
      <c r="AS85" s="17"/>
      <c r="AT85" s="17"/>
      <c r="AU85" s="17"/>
      <c r="AV85" s="17"/>
      <c r="AW85" s="17"/>
      <c r="AX85" s="17">
        <v>1</v>
      </c>
      <c r="AY85" s="17"/>
      <c r="AZ85" s="17"/>
      <c r="BA85" s="17"/>
      <c r="BB85" s="17"/>
      <c r="BC85" s="17"/>
      <c r="BD85" s="17">
        <v>1</v>
      </c>
      <c r="BE85" s="17"/>
      <c r="BF85" s="17">
        <v>1</v>
      </c>
      <c r="BG85" s="17"/>
      <c r="BH85" s="17"/>
      <c r="BI85" s="17"/>
      <c r="BJ85" s="17">
        <v>1</v>
      </c>
      <c r="BK85" s="17"/>
      <c r="BL85" s="17"/>
      <c r="BM85" s="17"/>
      <c r="BN85" s="55">
        <v>1</v>
      </c>
      <c r="BO85" s="55"/>
      <c r="BP85" s="55"/>
      <c r="BQ85" s="58">
        <v>2</v>
      </c>
      <c r="BR85" s="55"/>
      <c r="BS85" s="55"/>
      <c r="BT85" s="55"/>
      <c r="BU85" s="55"/>
      <c r="BV85" s="17"/>
      <c r="BW85" s="17"/>
      <c r="BX85" s="17"/>
      <c r="BY85" s="17">
        <v>1</v>
      </c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</row>
    <row r="86" ht="18" customHeight="1" spans="1:106" x14ac:dyDescent="0.25">
      <c r="A86" s="50" t="s">
        <v>308</v>
      </c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>
        <v>1</v>
      </c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</row>
    <row r="87" ht="18" customHeight="1" spans="1:106" x14ac:dyDescent="0.25">
      <c r="A87" s="50" t="s">
        <v>309</v>
      </c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>
        <v>6</v>
      </c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>
        <v>1</v>
      </c>
      <c r="BE87" s="17">
        <v>1</v>
      </c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</row>
    <row r="88" ht="18" customHeight="1" spans="1:106" x14ac:dyDescent="0.25">
      <c r="A88" s="59" t="s">
        <v>310</v>
      </c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</row>
    <row r="89" ht="18" customHeight="1" spans="1:106" x14ac:dyDescent="0.25">
      <c r="A89" s="59" t="s">
        <v>311</v>
      </c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</row>
    <row r="90" ht="18" customHeight="1" spans="1:106" x14ac:dyDescent="0.25">
      <c r="A90" s="59" t="s">
        <v>312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>
        <v>7</v>
      </c>
      <c r="N90" s="17"/>
      <c r="O90" s="17">
        <v>8</v>
      </c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>
        <v>3</v>
      </c>
      <c r="AI90" s="17"/>
      <c r="AJ90" s="17"/>
      <c r="AK90" s="17"/>
      <c r="AL90" s="17"/>
      <c r="AM90" s="17"/>
      <c r="AN90" s="17"/>
      <c r="AO90" s="17"/>
      <c r="AP90" s="17"/>
      <c r="AQ90" s="17">
        <v>8</v>
      </c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>
        <v>6</v>
      </c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</row>
    <row r="91" ht="18" customHeight="1" spans="1:106" x14ac:dyDescent="0.25">
      <c r="A91" s="59" t="s">
        <v>313</v>
      </c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>
        <v>10</v>
      </c>
      <c r="AW91" s="17"/>
      <c r="AX91" s="17"/>
      <c r="AY91" s="17">
        <v>8</v>
      </c>
      <c r="AZ91" s="17">
        <v>7</v>
      </c>
      <c r="BA91" s="17"/>
      <c r="BB91" s="17">
        <v>2</v>
      </c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</row>
    <row r="92" ht="18" customHeight="1" spans="1:106" x14ac:dyDescent="0.25">
      <c r="A92" s="59" t="s">
        <v>314</v>
      </c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</row>
    <row r="93" ht="18" customHeight="1" spans="1:106" x14ac:dyDescent="0.25">
      <c r="A93" s="59" t="s">
        <v>315</v>
      </c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</row>
    <row r="94" ht="18" customHeight="1" spans="1:106" x14ac:dyDescent="0.25">
      <c r="A94" s="59" t="s">
        <v>316</v>
      </c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</row>
    <row r="95" ht="18" customHeight="1" spans="1:106" x14ac:dyDescent="0.25">
      <c r="A95" s="59" t="s">
        <v>317</v>
      </c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</row>
    <row r="96" ht="18" customHeight="1" spans="1:106" x14ac:dyDescent="0.25">
      <c r="A96" s="59" t="s">
        <v>318</v>
      </c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</row>
    <row r="97" ht="18" customHeight="1" spans="1:106" x14ac:dyDescent="0.25">
      <c r="A97" s="59" t="s">
        <v>319</v>
      </c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</row>
    <row r="98" ht="18" customHeight="1" spans="1:106" x14ac:dyDescent="0.25">
      <c r="A98" s="50" t="s">
        <v>320</v>
      </c>
      <c r="C98" s="17">
        <v>0</v>
      </c>
      <c r="D98" s="17">
        <v>0</v>
      </c>
      <c r="E98" s="17">
        <v>0</v>
      </c>
      <c r="F98" s="17">
        <v>0</v>
      </c>
      <c r="G98" s="17">
        <v>0</v>
      </c>
      <c r="H98" s="17">
        <v>0</v>
      </c>
      <c r="I98" s="17">
        <v>0</v>
      </c>
      <c r="J98" s="17">
        <v>0</v>
      </c>
      <c r="K98" s="17">
        <v>0</v>
      </c>
      <c r="L98" s="17">
        <v>0</v>
      </c>
      <c r="M98" s="17">
        <v>7</v>
      </c>
      <c r="N98" s="17">
        <v>0</v>
      </c>
      <c r="O98" s="17">
        <v>8</v>
      </c>
      <c r="P98" s="17">
        <v>0</v>
      </c>
      <c r="Q98" s="17">
        <v>0</v>
      </c>
      <c r="R98" s="17">
        <v>0</v>
      </c>
      <c r="S98" s="17">
        <v>0</v>
      </c>
      <c r="T98" s="17">
        <v>0</v>
      </c>
      <c r="U98" s="17">
        <v>0</v>
      </c>
      <c r="V98" s="17">
        <v>0</v>
      </c>
      <c r="W98" s="17">
        <v>0</v>
      </c>
      <c r="X98" s="17">
        <v>0</v>
      </c>
      <c r="Y98" s="17">
        <v>0</v>
      </c>
      <c r="Z98" s="17">
        <v>0</v>
      </c>
      <c r="AA98" s="17">
        <v>0</v>
      </c>
      <c r="AB98" s="17">
        <v>0</v>
      </c>
      <c r="AC98" s="17">
        <v>0</v>
      </c>
      <c r="AD98" s="17">
        <v>0</v>
      </c>
      <c r="AE98" s="17">
        <v>0</v>
      </c>
      <c r="AF98" s="17">
        <v>0</v>
      </c>
      <c r="AG98" s="17">
        <v>0</v>
      </c>
      <c r="AH98" s="17">
        <v>3</v>
      </c>
      <c r="AI98" s="17">
        <v>0</v>
      </c>
      <c r="AJ98" s="17">
        <v>0</v>
      </c>
      <c r="AK98" s="17">
        <v>0</v>
      </c>
      <c r="AL98" s="17">
        <v>0</v>
      </c>
      <c r="AM98" s="17">
        <v>0</v>
      </c>
      <c r="AN98" s="17">
        <v>0</v>
      </c>
      <c r="AO98" s="17">
        <v>0</v>
      </c>
      <c r="AP98" s="17">
        <v>0</v>
      </c>
      <c r="AQ98" s="17">
        <v>8</v>
      </c>
      <c r="AR98" s="17">
        <v>0</v>
      </c>
      <c r="AS98" s="17">
        <v>0</v>
      </c>
      <c r="AT98" s="17">
        <v>0</v>
      </c>
      <c r="AU98" s="17">
        <v>0</v>
      </c>
      <c r="AV98" s="17">
        <v>10</v>
      </c>
      <c r="AW98" s="17">
        <v>0</v>
      </c>
      <c r="AX98" s="17">
        <v>0</v>
      </c>
      <c r="AY98" s="17">
        <v>8</v>
      </c>
      <c r="AZ98" s="17">
        <v>7</v>
      </c>
      <c r="BA98" s="17">
        <v>0</v>
      </c>
      <c r="BB98" s="17">
        <v>8</v>
      </c>
      <c r="BC98" s="17">
        <v>0</v>
      </c>
      <c r="BD98" s="17">
        <v>0</v>
      </c>
      <c r="BE98" s="17">
        <v>0</v>
      </c>
      <c r="BF98" s="17">
        <v>0</v>
      </c>
      <c r="BG98" s="17">
        <v>0</v>
      </c>
      <c r="BH98" s="17">
        <v>0</v>
      </c>
      <c r="BI98" s="17">
        <v>0</v>
      </c>
      <c r="BJ98" s="17">
        <v>0</v>
      </c>
      <c r="BK98" s="17">
        <v>0</v>
      </c>
      <c r="BL98" s="17">
        <v>0</v>
      </c>
      <c r="BM98" s="17">
        <v>0</v>
      </c>
      <c r="BN98" s="30"/>
      <c r="BO98" s="30"/>
      <c r="BP98" s="30"/>
      <c r="BQ98" s="30"/>
      <c r="BR98" s="30"/>
      <c r="BS98" s="30"/>
      <c r="BT98" s="30"/>
      <c r="BU98" s="30"/>
      <c r="BV98" s="30"/>
      <c r="BW98" s="30"/>
      <c r="BX98" s="30"/>
      <c r="BY98" s="30"/>
      <c r="BZ98" s="30"/>
      <c r="CA98" s="30"/>
      <c r="CB98" s="30"/>
      <c r="CC98" s="30"/>
      <c r="CD98" s="30"/>
      <c r="CE98" s="30"/>
      <c r="CF98" s="30"/>
      <c r="CG98" s="30"/>
      <c r="CH98" s="30"/>
      <c r="CI98" s="30"/>
      <c r="CJ98" s="30"/>
      <c r="CK98" s="30"/>
      <c r="CL98" s="30"/>
      <c r="CM98" s="30"/>
      <c r="CN98" s="30"/>
      <c r="CO98" s="30"/>
      <c r="CP98" s="30"/>
      <c r="CQ98" s="30"/>
      <c r="CR98" s="30"/>
      <c r="CS98" s="30"/>
      <c r="CT98" s="30"/>
      <c r="CU98" s="30"/>
      <c r="CV98" s="30"/>
      <c r="CW98" s="30"/>
      <c r="CX98" s="30"/>
      <c r="CY98" s="30"/>
      <c r="CZ98" s="30"/>
      <c r="DA98" s="30"/>
      <c r="DB98" s="30"/>
    </row>
    <row r="99" ht="18" customHeight="1" spans="1:106" x14ac:dyDescent="0.25">
      <c r="A99" s="33" t="s">
        <v>321</v>
      </c>
      <c r="B99" s="60"/>
      <c r="C99" s="52">
        <v>0</v>
      </c>
      <c r="D99" s="52">
        <v>0</v>
      </c>
      <c r="E99" s="52">
        <v>0</v>
      </c>
      <c r="F99" s="52">
        <v>0</v>
      </c>
      <c r="G99" s="52">
        <v>0</v>
      </c>
      <c r="H99" s="52">
        <v>3</v>
      </c>
      <c r="I99" s="52">
        <v>2</v>
      </c>
      <c r="J99" s="52">
        <v>1</v>
      </c>
      <c r="K99" s="52">
        <v>0</v>
      </c>
      <c r="L99" s="52">
        <v>0</v>
      </c>
      <c r="M99" s="52">
        <v>0</v>
      </c>
      <c r="N99" s="52">
        <v>1</v>
      </c>
      <c r="O99" s="52">
        <v>1</v>
      </c>
      <c r="P99" s="52">
        <v>2</v>
      </c>
      <c r="Q99" s="52">
        <v>0</v>
      </c>
      <c r="R99" s="52">
        <v>1</v>
      </c>
      <c r="S99" s="52">
        <v>1</v>
      </c>
      <c r="T99" s="52">
        <v>1</v>
      </c>
      <c r="U99" s="52">
        <v>0</v>
      </c>
      <c r="V99" s="52">
        <v>0</v>
      </c>
      <c r="W99" s="52">
        <v>0</v>
      </c>
      <c r="X99" s="52">
        <v>5</v>
      </c>
      <c r="Y99" s="52">
        <v>0</v>
      </c>
      <c r="Z99" s="52">
        <v>0</v>
      </c>
      <c r="AA99" s="52">
        <v>1</v>
      </c>
      <c r="AB99" s="52">
        <v>0</v>
      </c>
      <c r="AC99" s="52">
        <v>0</v>
      </c>
      <c r="AD99" s="52">
        <v>2</v>
      </c>
      <c r="AE99" s="52">
        <v>3</v>
      </c>
      <c r="AF99" s="52">
        <v>0</v>
      </c>
      <c r="AG99" s="52">
        <v>2</v>
      </c>
      <c r="AH99" s="52">
        <v>0</v>
      </c>
      <c r="AI99" s="52">
        <v>3</v>
      </c>
      <c r="AJ99" s="52">
        <v>0</v>
      </c>
      <c r="AK99" s="52">
        <v>2</v>
      </c>
      <c r="AL99" s="52">
        <v>0</v>
      </c>
      <c r="AM99" s="52">
        <v>0</v>
      </c>
      <c r="AN99" s="52">
        <v>2</v>
      </c>
      <c r="AO99" s="52">
        <v>0</v>
      </c>
      <c r="AP99" s="52">
        <v>0</v>
      </c>
      <c r="AQ99" s="52">
        <v>0</v>
      </c>
      <c r="AR99" s="52">
        <v>0</v>
      </c>
      <c r="AS99" s="52">
        <v>2</v>
      </c>
      <c r="AT99" s="52">
        <v>4</v>
      </c>
      <c r="AU99" s="52">
        <v>0</v>
      </c>
      <c r="AV99" s="52">
        <v>1</v>
      </c>
      <c r="AW99" s="52">
        <v>10</v>
      </c>
      <c r="AX99" s="52">
        <v>0</v>
      </c>
      <c r="AY99" s="52">
        <v>1</v>
      </c>
      <c r="AZ99" s="52">
        <v>9</v>
      </c>
      <c r="BA99" s="52">
        <v>8</v>
      </c>
      <c r="BB99" s="52">
        <v>1</v>
      </c>
      <c r="BC99" s="52">
        <v>0</v>
      </c>
      <c r="BD99" s="52">
        <v>2</v>
      </c>
      <c r="BE99" s="52">
        <v>1</v>
      </c>
      <c r="BF99" s="52">
        <v>0</v>
      </c>
      <c r="BG99" s="52">
        <v>2</v>
      </c>
      <c r="BH99" s="52">
        <v>0</v>
      </c>
      <c r="BI99" s="52">
        <v>1</v>
      </c>
      <c r="BJ99" s="52">
        <v>0</v>
      </c>
      <c r="BK99" s="52">
        <v>1</v>
      </c>
      <c r="BL99" s="52">
        <v>1</v>
      </c>
      <c r="BM99" s="52">
        <v>0</v>
      </c>
      <c r="BN99" s="53">
        <f>=SUM(BN100:BN106)-SUM(BN103)</f>
        <v>0</v>
      </c>
      <c r="BO99" s="53">
        <f>=SUM(BO100:BO106)-SUM(BO103)</f>
        <v>0</v>
      </c>
      <c r="BP99" s="53">
        <f>=SUM(BP100:BP106)-SUM(BP103)</f>
        <v>2</v>
      </c>
      <c r="BQ99" s="53">
        <f>=SUM(BQ100:BQ106)-SUM(BQ103)</f>
        <v>0</v>
      </c>
      <c r="BR99" s="53">
        <f>=SUM(BR100:BR106)-SUM(BR103)</f>
        <v>1</v>
      </c>
      <c r="BS99" s="53">
        <f>=SUM(BS100:BS106)-SUM(BS103)</f>
        <v>0</v>
      </c>
      <c r="BT99" s="53">
        <f>=SUM(BT100:BT106)-SUM(BT103)</f>
        <v>0</v>
      </c>
      <c r="BU99" s="53">
        <f>=SUM(BU100:BU106)-SUM(BU103)</f>
        <v>0</v>
      </c>
      <c r="BV99" s="53">
        <f>=SUM(BV100:BV106)-SUM(BV103)</f>
        <v>0</v>
      </c>
      <c r="BW99" s="53">
        <f>=SUM(BW100:BW106)-SUM(BW103)</f>
        <v>0</v>
      </c>
      <c r="BX99" s="53">
        <f>=SUM(BX100:BX106)-SUM(BX103)</f>
        <v>1</v>
      </c>
      <c r="BY99" s="53">
        <f>=SUM(BY100:BY106)-SUM(BY103)</f>
        <v>0</v>
      </c>
      <c r="BZ99" s="53">
        <f>=SUM(BZ100:BZ106)-SUM(BZ103)</f>
        <v>1</v>
      </c>
      <c r="CA99" s="53">
        <f>=SUM(CA100:CA106)-SUM(CA103)</f>
        <v>0</v>
      </c>
      <c r="CB99" s="53">
        <f>=SUM(CB100:CB106)-SUM(CB103)</f>
        <v>0</v>
      </c>
      <c r="CC99" s="53">
        <f>=SUM(CC100:CC106)-SUM(CC103)</f>
        <v>0</v>
      </c>
      <c r="CD99" s="53">
        <f>=SUM(CD100:CD106)-SUM(CD103)</f>
        <v>0</v>
      </c>
      <c r="CE99" s="53">
        <f>=SUM(CE100:CE106)-SUM(CE103)</f>
        <v>0</v>
      </c>
      <c r="CF99" s="53">
        <f>=SUM(CF100:CF106)-SUM(CF103)</f>
        <v>0</v>
      </c>
      <c r="CG99" s="53">
        <f>=SUM(CG100:CG106)-SUM(CG103)</f>
        <v>0</v>
      </c>
      <c r="CH99" s="53">
        <f>=SUM(CH100:CH106)-SUM(CH103)</f>
        <v>0</v>
      </c>
      <c r="CI99" s="53">
        <f>=SUM(CI100:CI106)-SUM(CI103)</f>
        <v>0</v>
      </c>
      <c r="CJ99" s="53">
        <f>=SUM(CJ100:CJ106)-SUM(CJ103)</f>
        <v>0</v>
      </c>
      <c r="CK99" s="53">
        <f>=SUM(CK100:CK106)-SUM(CK103)</f>
        <v>0</v>
      </c>
      <c r="CL99" s="53">
        <f>=SUM(CL100:CL106)-SUM(CL103)</f>
        <v>0</v>
      </c>
      <c r="CM99" s="53">
        <f>=SUM(CM100:CM106)-SUM(CM103)</f>
        <v>0</v>
      </c>
      <c r="CN99" s="53">
        <f>=SUM(CN100:CN106)-SUM(CN103)</f>
        <v>0</v>
      </c>
      <c r="CO99" s="53">
        <f>=SUM(CO100:CO106)-SUM(CO103)</f>
        <v>0</v>
      </c>
      <c r="CP99" s="53">
        <f>=SUM(CP100:CP106)-SUM(CP103)</f>
        <v>0</v>
      </c>
      <c r="CQ99" s="53">
        <f>=SUM(CQ100:CQ106)-SUM(CQ103)</f>
        <v>0</v>
      </c>
      <c r="CR99" s="53">
        <f>=SUM(CR100:CR106)-SUM(CR103)</f>
        <v>0</v>
      </c>
      <c r="CS99" s="53">
        <f>=SUM(CS100:CS106)-SUM(CS103)</f>
        <v>0</v>
      </c>
      <c r="CT99" s="53">
        <f>=SUM(CT100:CT106)-SUM(CT103)</f>
        <v>0</v>
      </c>
      <c r="CU99" s="53">
        <f>=SUM(CU100:CU106)-SUM(CU103)</f>
        <v>0</v>
      </c>
      <c r="CV99" s="53">
        <f>=SUM(CV100:CV106)-SUM(CV103)</f>
        <v>0</v>
      </c>
      <c r="CW99" s="53">
        <f>=SUM(CW100:CW106)-SUM(CW103)</f>
        <v>0</v>
      </c>
      <c r="CX99" s="53">
        <f>=SUM(CX100:CX106)-SUM(CX103)</f>
        <v>0</v>
      </c>
      <c r="CY99" s="53">
        <f>=SUM(CY100:CY106)-SUM(CY103)</f>
        <v>0</v>
      </c>
      <c r="CZ99" s="53">
        <f>=SUM(CZ100:CZ106)-SUM(CZ103)</f>
        <v>0</v>
      </c>
      <c r="DA99" s="53">
        <f>=SUM(DA100:DA106)-SUM(DA103)</f>
        <v>0</v>
      </c>
      <c r="DB99" s="53">
        <f>=SUM(DB100:DB106)-SUM(DB103)</f>
        <v>0</v>
      </c>
    </row>
    <row r="100" ht="18" customHeight="1" spans="1:106" x14ac:dyDescent="0.25">
      <c r="A100" s="57" t="s">
        <v>322</v>
      </c>
      <c r="C100" s="17"/>
      <c r="D100" s="17"/>
      <c r="E100" s="17"/>
      <c r="F100" s="17"/>
      <c r="G100" s="17"/>
      <c r="H100" s="17">
        <v>3</v>
      </c>
      <c r="I100" s="17">
        <v>1</v>
      </c>
      <c r="J100" s="17"/>
      <c r="K100" s="17"/>
      <c r="L100" s="17"/>
      <c r="M100" s="17"/>
      <c r="N100" s="17">
        <v>1</v>
      </c>
      <c r="O100" s="17">
        <v>1</v>
      </c>
      <c r="P100" s="17">
        <v>1</v>
      </c>
      <c r="Q100" s="17"/>
      <c r="R100" s="17">
        <v>1</v>
      </c>
      <c r="S100" s="17"/>
      <c r="T100" s="17"/>
      <c r="U100" s="17"/>
      <c r="V100" s="17"/>
      <c r="W100" s="17"/>
      <c r="X100" s="17"/>
      <c r="Y100" s="17"/>
      <c r="Z100" s="17"/>
      <c r="AA100" s="17">
        <v>1</v>
      </c>
      <c r="AB100" s="17"/>
      <c r="AC100" s="17"/>
      <c r="AD100" s="17">
        <v>2</v>
      </c>
      <c r="AE100" s="17">
        <v>1</v>
      </c>
      <c r="AF100" s="17"/>
      <c r="AG100" s="17">
        <v>1</v>
      </c>
      <c r="AH100" s="17"/>
      <c r="AI100" s="17"/>
      <c r="AJ100" s="17"/>
      <c r="AK100" s="17"/>
      <c r="AL100" s="17"/>
      <c r="AM100" s="17"/>
      <c r="AN100" s="17">
        <v>1</v>
      </c>
      <c r="AO100" s="17"/>
      <c r="AP100" s="17"/>
      <c r="AQ100" s="17"/>
      <c r="AR100" s="17"/>
      <c r="AS100" s="17"/>
      <c r="AT100" s="17">
        <v>4</v>
      </c>
      <c r="AU100" s="17"/>
      <c r="AV100" s="17">
        <v>1</v>
      </c>
      <c r="AW100" s="17"/>
      <c r="AX100" s="17"/>
      <c r="AY100" s="17"/>
      <c r="AZ100" s="17">
        <v>1</v>
      </c>
      <c r="BA100" s="17">
        <v>1</v>
      </c>
      <c r="BB100" s="17">
        <v>1</v>
      </c>
      <c r="BC100" s="17"/>
      <c r="BD100" s="17"/>
      <c r="BE100" s="17"/>
      <c r="BF100" s="17"/>
      <c r="BG100" s="17">
        <v>1</v>
      </c>
      <c r="BH100" s="17"/>
      <c r="BI100" s="17">
        <v>1</v>
      </c>
      <c r="BJ100" s="17"/>
      <c r="BK100" s="17">
        <v>1</v>
      </c>
      <c r="BL100" s="17"/>
      <c r="BM100" s="17"/>
      <c r="BN100" s="55"/>
      <c r="BO100" s="55"/>
      <c r="BP100" s="55"/>
      <c r="BQ100" s="55"/>
      <c r="BR100" s="55">
        <v>1</v>
      </c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</row>
    <row r="101" ht="18" customHeight="1" spans="1:106" x14ac:dyDescent="0.25">
      <c r="A101" s="57" t="s">
        <v>323</v>
      </c>
      <c r="C101" s="17"/>
      <c r="D101" s="17"/>
      <c r="E101" s="17"/>
      <c r="F101" s="17"/>
      <c r="G101" s="17"/>
      <c r="H101" s="17"/>
      <c r="I101" s="17">
        <v>1</v>
      </c>
      <c r="J101" s="17">
        <v>1</v>
      </c>
      <c r="K101" s="17"/>
      <c r="L101" s="17"/>
      <c r="M101" s="17"/>
      <c r="N101" s="17"/>
      <c r="O101" s="17"/>
      <c r="P101" s="17">
        <v>1</v>
      </c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>
        <v>1</v>
      </c>
      <c r="AO101" s="17"/>
      <c r="AP101" s="17"/>
      <c r="AQ101" s="17"/>
      <c r="AR101" s="17"/>
      <c r="AS101" s="17">
        <v>2</v>
      </c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>
        <v>1</v>
      </c>
      <c r="BE101" s="17">
        <v>1</v>
      </c>
      <c r="BF101" s="17"/>
      <c r="BG101" s="17">
        <v>1</v>
      </c>
      <c r="BH101" s="17"/>
      <c r="BI101" s="17"/>
      <c r="BJ101" s="17"/>
      <c r="BK101" s="17"/>
      <c r="BL101" s="17">
        <v>1</v>
      </c>
      <c r="BM101" s="17"/>
      <c r="BN101" s="55"/>
      <c r="BO101" s="55"/>
      <c r="BP101" s="55">
        <v>2</v>
      </c>
      <c r="BQ101" s="55"/>
      <c r="BR101" s="55"/>
      <c r="BS101" s="17"/>
      <c r="BT101" s="17"/>
      <c r="BU101" s="17"/>
      <c r="BV101" s="17"/>
      <c r="BW101" s="17"/>
      <c r="BX101" s="17">
        <v>1</v>
      </c>
      <c r="BY101" s="17"/>
      <c r="BZ101" s="17">
        <f>=BY85</f>
        <v>1</v>
      </c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</row>
    <row r="102" ht="18" customHeight="1" spans="1:106" x14ac:dyDescent="0.25">
      <c r="A102" s="57" t="s">
        <v>324</v>
      </c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</row>
    <row r="103" ht="18" customHeight="1" spans="1:106" x14ac:dyDescent="0.25">
      <c r="A103" s="57" t="s">
        <v>325</v>
      </c>
      <c r="C103" s="17">
        <v>6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1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3</v>
      </c>
      <c r="AE103" s="17">
        <v>2</v>
      </c>
      <c r="AF103" s="17">
        <v>0</v>
      </c>
      <c r="AG103" s="17">
        <v>1</v>
      </c>
      <c r="AH103" s="17">
        <v>0</v>
      </c>
      <c r="AI103" s="17">
        <v>0</v>
      </c>
      <c r="AJ103" s="17">
        <v>0</v>
      </c>
      <c r="AK103" s="17">
        <v>0</v>
      </c>
      <c r="AL103" s="17">
        <v>0</v>
      </c>
      <c r="AM103" s="17">
        <v>0</v>
      </c>
      <c r="AN103" s="17">
        <v>0</v>
      </c>
      <c r="AO103" s="17">
        <v>12</v>
      </c>
      <c r="AP103" s="17">
        <v>0</v>
      </c>
      <c r="AQ103" s="17">
        <v>0</v>
      </c>
      <c r="AR103" s="17">
        <v>0</v>
      </c>
      <c r="AS103" s="17">
        <v>0</v>
      </c>
      <c r="AT103" s="17">
        <v>10</v>
      </c>
      <c r="AU103" s="17">
        <v>0</v>
      </c>
      <c r="AV103" s="17">
        <v>0</v>
      </c>
      <c r="AW103" s="17">
        <v>0</v>
      </c>
      <c r="AX103" s="17">
        <v>0</v>
      </c>
      <c r="AY103" s="17">
        <v>10</v>
      </c>
      <c r="AZ103" s="17">
        <v>0</v>
      </c>
      <c r="BA103" s="17">
        <v>0</v>
      </c>
      <c r="BB103" s="17">
        <v>0</v>
      </c>
      <c r="BC103" s="17">
        <v>0</v>
      </c>
      <c r="BD103" s="17">
        <v>0</v>
      </c>
      <c r="BE103" s="17">
        <v>6</v>
      </c>
      <c r="BF103" s="17">
        <v>0</v>
      </c>
      <c r="BG103" s="17">
        <v>0</v>
      </c>
      <c r="BH103" s="17">
        <v>5</v>
      </c>
      <c r="BI103" s="17">
        <v>0</v>
      </c>
      <c r="BJ103" s="17">
        <v>0</v>
      </c>
      <c r="BK103" s="17">
        <v>0</v>
      </c>
      <c r="BL103" s="17">
        <v>0</v>
      </c>
      <c r="BM103" s="17">
        <v>0</v>
      </c>
      <c r="BN103" s="17"/>
      <c r="BO103" s="17"/>
      <c r="BP103" s="17"/>
      <c r="BQ103" s="17"/>
      <c r="BR103" s="17"/>
      <c r="BS103" s="17"/>
      <c r="BT103" s="17"/>
      <c r="BU103" s="17">
        <v>2</v>
      </c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</row>
    <row r="104" ht="18" customHeight="1" spans="1:106" x14ac:dyDescent="0.25">
      <c r="A104" s="57" t="s">
        <v>326</v>
      </c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>
        <v>1</v>
      </c>
      <c r="T104" s="17"/>
      <c r="U104" s="17"/>
      <c r="V104" s="17"/>
      <c r="W104" s="17"/>
      <c r="X104" s="17">
        <v>5</v>
      </c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>
        <v>2</v>
      </c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>
        <v>10</v>
      </c>
      <c r="AX104" s="17"/>
      <c r="AY104" s="17">
        <v>1</v>
      </c>
      <c r="AZ104" s="17">
        <v>8</v>
      </c>
      <c r="BA104" s="17">
        <v>7</v>
      </c>
      <c r="BB104" s="17"/>
      <c r="BC104" s="17"/>
      <c r="BD104" s="17">
        <v>1</v>
      </c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30"/>
      <c r="CE104" s="30"/>
      <c r="CF104" s="30"/>
      <c r="CG104" s="30"/>
      <c r="CH104" s="30"/>
      <c r="CI104" s="30"/>
      <c r="CJ104" s="30"/>
      <c r="CK104" s="30"/>
      <c r="CL104" s="30"/>
      <c r="CM104" s="30"/>
      <c r="CN104" s="30"/>
      <c r="CO104" s="30"/>
      <c r="CP104" s="30"/>
      <c r="CQ104" s="30"/>
      <c r="CR104" s="30"/>
      <c r="CS104" s="30"/>
      <c r="CT104" s="30"/>
      <c r="CU104" s="30"/>
      <c r="CV104" s="30"/>
      <c r="CW104" s="30"/>
      <c r="CX104" s="30"/>
      <c r="CY104" s="30"/>
      <c r="CZ104" s="30"/>
      <c r="DA104" s="30"/>
      <c r="DB104" s="30"/>
    </row>
    <row r="105" ht="18" customHeight="1" spans="1:106" x14ac:dyDescent="0.25">
      <c r="A105" s="57" t="s">
        <v>266</v>
      </c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  <c r="AV105" s="30"/>
      <c r="AW105" s="30"/>
      <c r="AX105" s="30"/>
      <c r="AY105" s="30"/>
      <c r="AZ105" s="30"/>
      <c r="BA105" s="30"/>
      <c r="BB105" s="30"/>
      <c r="BC105" s="30"/>
      <c r="BD105" s="30"/>
      <c r="BE105" s="30"/>
      <c r="BF105" s="30"/>
      <c r="BG105" s="30"/>
      <c r="BH105" s="30"/>
      <c r="BI105" s="30"/>
      <c r="BJ105" s="30"/>
      <c r="BK105" s="30"/>
      <c r="BL105" s="30"/>
      <c r="BM105" s="30"/>
      <c r="BN105" s="30"/>
      <c r="BO105" s="30"/>
      <c r="BP105" s="30"/>
      <c r="BQ105" s="30"/>
      <c r="BR105" s="30"/>
      <c r="BS105" s="30"/>
      <c r="BT105" s="30"/>
      <c r="BU105" s="30"/>
      <c r="BV105" s="30"/>
      <c r="BW105" s="30"/>
      <c r="BX105" s="30"/>
      <c r="BY105" s="30"/>
      <c r="BZ105" s="30"/>
      <c r="CA105" s="30"/>
      <c r="CB105" s="30"/>
      <c r="CC105" s="30"/>
      <c r="CD105" s="30"/>
      <c r="CE105" s="30"/>
      <c r="CF105" s="30"/>
      <c r="CG105" s="30"/>
      <c r="CH105" s="30"/>
      <c r="CI105" s="30"/>
      <c r="CJ105" s="30"/>
      <c r="CK105" s="30"/>
      <c r="CL105" s="30"/>
      <c r="CM105" s="30"/>
      <c r="CN105" s="30"/>
      <c r="CO105" s="30"/>
      <c r="CP105" s="30"/>
      <c r="CQ105" s="30"/>
      <c r="CR105" s="30"/>
      <c r="CS105" s="30"/>
      <c r="CT105" s="30"/>
      <c r="CU105" s="30"/>
      <c r="CV105" s="30"/>
      <c r="CW105" s="30"/>
      <c r="CX105" s="30"/>
      <c r="CY105" s="30"/>
      <c r="CZ105" s="30"/>
      <c r="DA105" s="30"/>
      <c r="DB105" s="30"/>
    </row>
    <row r="106" ht="18" customHeight="1" spans="1:106" x14ac:dyDescent="0.25">
      <c r="A106" s="57" t="s">
        <v>266</v>
      </c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0"/>
      <c r="AY106" s="30"/>
      <c r="AZ106" s="30"/>
      <c r="BA106" s="30"/>
      <c r="BB106" s="30"/>
      <c r="BC106" s="30"/>
      <c r="BD106" s="30"/>
      <c r="BE106" s="30"/>
      <c r="BF106" s="30"/>
      <c r="BG106" s="30"/>
      <c r="BH106" s="30"/>
      <c r="BI106" s="30"/>
      <c r="BJ106" s="30"/>
      <c r="BK106" s="30"/>
      <c r="BL106" s="30"/>
      <c r="BM106" s="30"/>
      <c r="BN106" s="30"/>
      <c r="BO106" s="30"/>
      <c r="BP106" s="30"/>
      <c r="BQ106" s="30"/>
      <c r="BR106" s="30"/>
      <c r="BS106" s="30"/>
      <c r="BT106" s="30"/>
      <c r="BU106" s="30"/>
      <c r="BV106" s="30"/>
      <c r="BW106" s="30"/>
      <c r="BX106" s="30"/>
      <c r="BY106" s="30"/>
      <c r="BZ106" s="30"/>
      <c r="CA106" s="30"/>
      <c r="CB106" s="30"/>
      <c r="CC106" s="30"/>
      <c r="CD106" s="30"/>
      <c r="CE106" s="30"/>
      <c r="CF106" s="30"/>
      <c r="CG106" s="30"/>
      <c r="CH106" s="30"/>
      <c r="CI106" s="30"/>
      <c r="CJ106" s="30"/>
      <c r="CK106" s="30"/>
      <c r="CL106" s="30"/>
      <c r="CM106" s="30"/>
      <c r="CN106" s="30"/>
      <c r="CO106" s="30"/>
      <c r="CP106" s="30"/>
      <c r="CQ106" s="30"/>
      <c r="CR106" s="30"/>
      <c r="CS106" s="30"/>
      <c r="CT106" s="30"/>
      <c r="CU106" s="30"/>
      <c r="CV106" s="30"/>
      <c r="CW106" s="30"/>
      <c r="CX106" s="30"/>
      <c r="CY106" s="30"/>
      <c r="CZ106" s="30"/>
      <c r="DA106" s="30"/>
      <c r="DB106" s="30"/>
    </row>
    <row r="107" ht="18" customHeight="1" spans="3:106" x14ac:dyDescent="0.25"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  <c r="AX107" s="30"/>
      <c r="AY107" s="30"/>
      <c r="AZ107" s="30"/>
      <c r="BA107" s="30"/>
      <c r="BB107" s="30"/>
      <c r="BC107" s="30"/>
      <c r="BD107" s="30"/>
      <c r="BE107" s="30"/>
      <c r="BF107" s="30"/>
      <c r="BG107" s="30"/>
      <c r="BH107" s="30"/>
      <c r="BI107" s="30"/>
      <c r="BJ107" s="30"/>
      <c r="BK107" s="30"/>
      <c r="BL107" s="30"/>
      <c r="BM107" s="30"/>
      <c r="BN107" s="30"/>
      <c r="BO107" s="30"/>
      <c r="BP107" s="30"/>
      <c r="BQ107" s="30"/>
      <c r="BR107" s="30"/>
      <c r="BS107" s="30"/>
      <c r="BT107" s="30"/>
      <c r="BU107" s="30"/>
      <c r="BV107" s="30"/>
      <c r="BW107" s="30"/>
      <c r="BX107" s="30"/>
      <c r="BY107" s="30"/>
      <c r="BZ107" s="30"/>
      <c r="CA107" s="30"/>
      <c r="CB107" s="30"/>
      <c r="CC107" s="30"/>
      <c r="CD107" s="30"/>
      <c r="CE107" s="30"/>
      <c r="CF107" s="30"/>
      <c r="CG107" s="30"/>
      <c r="CH107" s="30"/>
      <c r="CI107" s="30"/>
      <c r="CJ107" s="30"/>
      <c r="CK107" s="30"/>
      <c r="CL107" s="30"/>
      <c r="CM107" s="30"/>
      <c r="CN107" s="30"/>
      <c r="CO107" s="30"/>
      <c r="CP107" s="30"/>
      <c r="CQ107" s="30"/>
      <c r="CR107" s="30"/>
      <c r="CS107" s="30"/>
      <c r="CT107" s="30"/>
      <c r="CU107" s="30"/>
      <c r="CV107" s="30"/>
      <c r="CW107" s="30"/>
      <c r="CX107" s="30"/>
      <c r="CY107" s="30"/>
      <c r="CZ107" s="30"/>
      <c r="DA107" s="30"/>
      <c r="DB107" s="30"/>
    </row>
    <row r="108" ht="18" customHeight="1" spans="1:106" x14ac:dyDescent="0.25">
      <c r="A108" s="9" t="s">
        <v>327</v>
      </c>
      <c r="B108" s="17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2"/>
      <c r="BF108" s="32"/>
      <c r="BG108" s="32"/>
      <c r="BH108" s="32"/>
      <c r="BI108" s="32"/>
      <c r="BJ108" s="32"/>
      <c r="BK108" s="32"/>
      <c r="BL108" s="32"/>
      <c r="BM108" s="32"/>
      <c r="BN108" s="32"/>
      <c r="BO108" s="32"/>
      <c r="BP108" s="32"/>
      <c r="BQ108" s="32"/>
      <c r="BR108" s="32"/>
      <c r="BS108" s="32"/>
      <c r="BT108" s="32"/>
      <c r="BU108" s="32"/>
      <c r="BV108" s="32"/>
      <c r="BW108" s="32"/>
      <c r="BX108" s="32"/>
      <c r="BY108" s="32"/>
      <c r="BZ108" s="32"/>
      <c r="CA108" s="32"/>
      <c r="CB108" s="32"/>
      <c r="CC108" s="32"/>
      <c r="CD108" s="32"/>
      <c r="CE108" s="32"/>
      <c r="CF108" s="32"/>
      <c r="CG108" s="32"/>
      <c r="CH108" s="32"/>
      <c r="CI108" s="32"/>
      <c r="CJ108" s="32"/>
      <c r="CK108" s="32"/>
      <c r="CL108" s="32"/>
      <c r="CM108" s="32"/>
      <c r="CN108" s="32"/>
      <c r="CO108" s="32"/>
      <c r="CP108" s="32"/>
      <c r="CQ108" s="32"/>
      <c r="CR108" s="32"/>
      <c r="CS108" s="32"/>
      <c r="CT108" s="32"/>
      <c r="CU108" s="32"/>
      <c r="CV108" s="32"/>
      <c r="CW108" s="32"/>
      <c r="CX108" s="32"/>
      <c r="CY108" s="32"/>
      <c r="CZ108" s="32"/>
      <c r="DA108" s="32"/>
      <c r="DB108" s="32"/>
    </row>
    <row r="109" ht="18" customHeight="1" spans="1:106" x14ac:dyDescent="0.25">
      <c r="A109" s="61" t="s">
        <v>328</v>
      </c>
      <c r="B109" s="13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</row>
    <row r="110" ht="18" customHeight="1" spans="1:106" x14ac:dyDescent="0.25">
      <c r="A110" s="62" t="s">
        <v>329</v>
      </c>
      <c r="B110" s="24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  <c r="AD110" s="63"/>
      <c r="AE110" s="63"/>
      <c r="AF110" s="63"/>
      <c r="AG110" s="63"/>
      <c r="AH110" s="63"/>
      <c r="AI110" s="63"/>
      <c r="AJ110" s="63"/>
      <c r="AK110" s="63"/>
      <c r="AL110" s="63"/>
      <c r="AM110" s="63"/>
      <c r="AN110" s="63"/>
      <c r="AO110" s="63"/>
      <c r="AP110" s="63"/>
      <c r="AQ110" s="63"/>
      <c r="AR110" s="63"/>
      <c r="AS110" s="63"/>
      <c r="AT110" s="63"/>
      <c r="AU110" s="63"/>
      <c r="AV110" s="63"/>
      <c r="AW110" s="63"/>
      <c r="AX110" s="63"/>
      <c r="AY110" s="63"/>
      <c r="AZ110" s="63"/>
      <c r="BA110" s="63"/>
      <c r="BB110" s="63"/>
      <c r="BC110" s="63"/>
      <c r="BD110" s="63"/>
      <c r="BE110" s="63"/>
      <c r="BF110" s="63"/>
      <c r="BG110" s="63"/>
      <c r="BH110" s="63"/>
      <c r="BI110" s="63"/>
      <c r="BJ110" s="63"/>
      <c r="BK110" s="63"/>
      <c r="BL110" s="63"/>
      <c r="BM110" s="63"/>
      <c r="BN110" s="63"/>
      <c r="BO110" s="63"/>
      <c r="BP110" s="63"/>
      <c r="BQ110" s="63"/>
      <c r="BR110" s="63"/>
      <c r="BS110" s="63"/>
      <c r="BT110" s="63"/>
      <c r="BU110" s="63"/>
      <c r="BV110" s="63"/>
      <c r="BW110" s="63"/>
      <c r="BX110" s="63"/>
      <c r="BY110" s="63"/>
      <c r="BZ110" s="63"/>
      <c r="CA110" s="63"/>
      <c r="CB110" s="63"/>
      <c r="CC110" s="63"/>
      <c r="CD110" s="63"/>
      <c r="CE110" s="63"/>
      <c r="CF110" s="63"/>
      <c r="CG110" s="63"/>
      <c r="CH110" s="63"/>
      <c r="CI110" s="63"/>
      <c r="CJ110" s="63"/>
      <c r="CK110" s="63"/>
      <c r="CL110" s="63"/>
      <c r="CM110" s="63"/>
      <c r="CN110" s="63"/>
      <c r="CO110" s="63"/>
      <c r="CP110" s="63"/>
      <c r="CQ110" s="63"/>
      <c r="CR110" s="63"/>
      <c r="CS110" s="63"/>
      <c r="CT110" s="63"/>
      <c r="CU110" s="63"/>
      <c r="CV110" s="63"/>
      <c r="CW110" s="63"/>
      <c r="CX110" s="63"/>
      <c r="CY110" s="63"/>
      <c r="CZ110" s="63"/>
      <c r="DA110" s="63"/>
      <c r="DB110" s="63"/>
    </row>
    <row r="111" ht="18" customHeight="1" spans="1:106" x14ac:dyDescent="0.25">
      <c r="A111" s="16" t="s">
        <v>330</v>
      </c>
      <c r="B111" s="17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/>
      <c r="AI111" s="50"/>
      <c r="AJ111" s="50"/>
      <c r="AK111" s="50"/>
      <c r="AL111" s="50"/>
      <c r="AM111" s="50"/>
      <c r="AN111" s="50"/>
      <c r="AO111" s="50"/>
      <c r="AP111" s="50"/>
      <c r="AQ111" s="50"/>
      <c r="AR111" s="50"/>
      <c r="AS111" s="50"/>
      <c r="AT111" s="50"/>
      <c r="AU111" s="50"/>
      <c r="AV111" s="50"/>
      <c r="AW111" s="50"/>
      <c r="AX111" s="50"/>
      <c r="AY111" s="50"/>
      <c r="AZ111" s="50"/>
      <c r="BA111" s="50"/>
      <c r="BB111" s="50"/>
      <c r="BC111" s="50"/>
      <c r="BD111" s="50"/>
      <c r="BE111" s="50"/>
      <c r="BF111" s="50"/>
      <c r="BG111" s="50"/>
      <c r="BH111" s="50"/>
      <c r="BI111" s="50"/>
      <c r="BJ111" s="50"/>
      <c r="BK111" s="50"/>
      <c r="BL111" s="50"/>
      <c r="BM111" s="50"/>
      <c r="BN111" s="50"/>
      <c r="BO111" s="50"/>
      <c r="BP111" s="50"/>
      <c r="BQ111" s="50"/>
      <c r="BR111" s="50"/>
      <c r="BS111" s="50"/>
      <c r="BT111" s="50"/>
      <c r="BU111" s="50"/>
      <c r="BV111" s="50"/>
      <c r="BW111" s="50"/>
      <c r="BX111" s="50"/>
      <c r="BY111" s="50"/>
      <c r="BZ111" s="50"/>
      <c r="CA111" s="50"/>
      <c r="CB111" s="50"/>
      <c r="CC111" s="50"/>
      <c r="CD111" s="50"/>
      <c r="CE111" s="50"/>
      <c r="CF111" s="50"/>
      <c r="CG111" s="50"/>
      <c r="CH111" s="50"/>
      <c r="CI111" s="50"/>
      <c r="CJ111" s="50"/>
      <c r="CK111" s="50"/>
      <c r="CL111" s="50"/>
      <c r="CM111" s="50"/>
      <c r="CN111" s="50"/>
      <c r="CO111" s="50"/>
      <c r="CP111" s="50"/>
      <c r="CQ111" s="50"/>
      <c r="CR111" s="50"/>
      <c r="CS111" s="50"/>
      <c r="CT111" s="50"/>
      <c r="CU111" s="50"/>
      <c r="CV111" s="50"/>
      <c r="CW111" s="50"/>
      <c r="CX111" s="50"/>
      <c r="CY111" s="50"/>
      <c r="CZ111" s="50"/>
      <c r="DA111" s="50"/>
      <c r="DB111" s="50"/>
    </row>
    <row r="112" ht="18" customHeight="1" spans="1:106" x14ac:dyDescent="0.25">
      <c r="A112" s="16" t="s">
        <v>331</v>
      </c>
      <c r="B112" s="17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  <c r="AK112" s="50"/>
      <c r="AL112" s="50"/>
      <c r="AM112" s="50"/>
      <c r="AN112" s="50"/>
      <c r="AO112" s="50"/>
      <c r="AP112" s="50"/>
      <c r="AQ112" s="50"/>
      <c r="AR112" s="50"/>
      <c r="AS112" s="50"/>
      <c r="AT112" s="50"/>
      <c r="AU112" s="50"/>
      <c r="AV112" s="50"/>
      <c r="AW112" s="50"/>
      <c r="AX112" s="50"/>
      <c r="AY112" s="50"/>
      <c r="AZ112" s="50"/>
      <c r="BA112" s="50"/>
      <c r="BB112" s="50"/>
      <c r="BC112" s="50"/>
      <c r="BD112" s="50"/>
      <c r="BE112" s="50"/>
      <c r="BF112" s="50"/>
      <c r="BG112" s="50"/>
      <c r="BH112" s="50"/>
      <c r="BI112" s="50"/>
      <c r="BJ112" s="50"/>
      <c r="BK112" s="50"/>
      <c r="BL112" s="50"/>
      <c r="BM112" s="50"/>
      <c r="BN112" s="50"/>
      <c r="BO112" s="50"/>
      <c r="BP112" s="50"/>
      <c r="BQ112" s="50"/>
      <c r="BR112" s="50"/>
      <c r="BS112" s="50"/>
      <c r="BT112" s="50"/>
      <c r="BU112" s="50"/>
      <c r="BV112" s="50"/>
      <c r="BW112" s="50"/>
      <c r="BX112" s="50"/>
      <c r="BY112" s="50"/>
      <c r="BZ112" s="50"/>
      <c r="CA112" s="50"/>
      <c r="CB112" s="50"/>
      <c r="CC112" s="50"/>
      <c r="CD112" s="50"/>
      <c r="CE112" s="50"/>
      <c r="CF112" s="50"/>
      <c r="CG112" s="50"/>
      <c r="CH112" s="50"/>
      <c r="CI112" s="50"/>
      <c r="CJ112" s="50"/>
      <c r="CK112" s="50"/>
      <c r="CL112" s="50"/>
      <c r="CM112" s="50"/>
      <c r="CN112" s="50"/>
      <c r="CO112" s="50"/>
      <c r="CP112" s="50"/>
      <c r="CQ112" s="50"/>
      <c r="CR112" s="50"/>
      <c r="CS112" s="50"/>
      <c r="CT112" s="50"/>
      <c r="CU112" s="50"/>
      <c r="CV112" s="50"/>
      <c r="CW112" s="50"/>
      <c r="CX112" s="50"/>
      <c r="CY112" s="50"/>
      <c r="CZ112" s="50"/>
      <c r="DA112" s="50"/>
      <c r="DB112" s="50"/>
    </row>
    <row r="113" ht="18" customHeight="1" spans="1:106" x14ac:dyDescent="0.25">
      <c r="A113" s="20" t="s">
        <v>332</v>
      </c>
      <c r="B113" s="13"/>
      <c r="C113" s="64">
        <f>=IFERROR(C112/C111,0)</f>
        <v>0</v>
      </c>
      <c r="D113" s="64">
        <f>=IFERROR(D112/D111,0)</f>
        <v>0</v>
      </c>
      <c r="E113" s="64">
        <f>=IFERROR(E112/E111,0)</f>
        <v>0</v>
      </c>
      <c r="F113" s="64">
        <f>=IFERROR(F112/F111,0)</f>
        <v>0</v>
      </c>
      <c r="G113" s="64">
        <f>=IFERROR(G112/G111,0)</f>
        <v>0</v>
      </c>
      <c r="H113" s="64">
        <f>=IFERROR(H112/H111,0)</f>
        <v>0</v>
      </c>
      <c r="I113" s="64">
        <f>=IFERROR(I112/I111,0)</f>
        <v>0</v>
      </c>
      <c r="J113" s="64">
        <f>=IFERROR(J112/J111,0)</f>
        <v>0</v>
      </c>
      <c r="K113" s="64">
        <f>=IFERROR(K112/K111,0)</f>
        <v>0</v>
      </c>
      <c r="L113" s="64">
        <f>=IFERROR(L112/L111,0)</f>
        <v>0</v>
      </c>
      <c r="M113" s="64">
        <f>=IFERROR(M112/M111,0)</f>
        <v>0</v>
      </c>
      <c r="N113" s="64">
        <f>=IFERROR(N112/N111,0)</f>
        <v>0</v>
      </c>
      <c r="O113" s="64">
        <f>=IFERROR(O112/O111,0)</f>
        <v>0</v>
      </c>
      <c r="P113" s="64">
        <f>=IFERROR(P112/P111,0)</f>
        <v>0</v>
      </c>
      <c r="Q113" s="64">
        <f>=IFERROR(Q112/Q111,0)</f>
        <v>0</v>
      </c>
      <c r="R113" s="64">
        <f>=IFERROR(R112/R111,0)</f>
        <v>0</v>
      </c>
      <c r="S113" s="64">
        <f>=IFERROR(S112/S111,0)</f>
        <v>0</v>
      </c>
      <c r="T113" s="64">
        <f>=IFERROR(T112/T111,0)</f>
        <v>0</v>
      </c>
      <c r="U113" s="64">
        <f>=IFERROR(U112/U111,0)</f>
        <v>0</v>
      </c>
      <c r="V113" s="64">
        <f>=IFERROR(V112/V111,0)</f>
        <v>0</v>
      </c>
      <c r="W113" s="64">
        <f>=IFERROR(W112/W111,0)</f>
        <v>0</v>
      </c>
      <c r="X113" s="64">
        <f>=IFERROR(X112/X111,0)</f>
        <v>0</v>
      </c>
      <c r="Y113" s="64">
        <f>=IFERROR(Y112/Y111,0)</f>
        <v>0</v>
      </c>
      <c r="Z113" s="64">
        <f>=IFERROR(Z112/Z111,0)</f>
        <v>0</v>
      </c>
      <c r="AA113" s="64">
        <f>=IFERROR(AA112/AA111,0)</f>
        <v>0</v>
      </c>
      <c r="AB113" s="64">
        <f>=IFERROR(AB112/AB111,0)</f>
        <v>0</v>
      </c>
      <c r="AC113" s="64">
        <f>=IFERROR(AC112/AC111,0)</f>
        <v>0</v>
      </c>
      <c r="AD113" s="64">
        <f>=IFERROR(AD112/AD111,0)</f>
        <v>0</v>
      </c>
      <c r="AE113" s="64">
        <f>=IFERROR(AE112/AE111,0)</f>
        <v>0</v>
      </c>
      <c r="AF113" s="64">
        <f>=IFERROR(AF112/AF111,0)</f>
        <v>0</v>
      </c>
      <c r="AG113" s="64">
        <f>=IFERROR(AG112/AG111,0)</f>
        <v>0</v>
      </c>
      <c r="AH113" s="64">
        <f>=IFERROR(AH112/AH111,0)</f>
        <v>0</v>
      </c>
      <c r="AI113" s="64">
        <f>=IFERROR(AI112/AI111,0)</f>
        <v>0</v>
      </c>
      <c r="AJ113" s="64">
        <f>=IFERROR(AJ112/AJ111,0)</f>
        <v>0</v>
      </c>
      <c r="AK113" s="64">
        <f>=IFERROR(AK112/AK111,0)</f>
        <v>0</v>
      </c>
      <c r="AL113" s="64">
        <f>=IFERROR(AL112/AL111,0)</f>
        <v>0</v>
      </c>
      <c r="AM113" s="64">
        <f>=IFERROR(AM112/AM111,0)</f>
        <v>0</v>
      </c>
      <c r="AN113" s="64">
        <f>=IFERROR(AN112/AN111,0)</f>
        <v>0</v>
      </c>
      <c r="AO113" s="64">
        <f>=IFERROR(AO112/AO111,0)</f>
        <v>0</v>
      </c>
      <c r="AP113" s="64">
        <f>=IFERROR(AP112/AP111,0)</f>
        <v>0</v>
      </c>
      <c r="AQ113" s="64">
        <f>=IFERROR(AQ112/AQ111,0)</f>
        <v>0</v>
      </c>
      <c r="AR113" s="64">
        <f>=IFERROR(AR112/AR111,0)</f>
        <v>0</v>
      </c>
      <c r="AS113" s="64">
        <f>=IFERROR(AS112/AS111,0)</f>
        <v>0</v>
      </c>
      <c r="AT113" s="64">
        <f>=IFERROR(AT112/AT111,0)</f>
        <v>0</v>
      </c>
      <c r="AU113" s="64">
        <f>=IFERROR(AU112/AU111,0)</f>
        <v>0</v>
      </c>
      <c r="AV113" s="64">
        <f>=IFERROR(AV112/AV111,0)</f>
        <v>0</v>
      </c>
      <c r="AW113" s="64">
        <f>=IFERROR(AW112/AW111,0)</f>
        <v>0</v>
      </c>
      <c r="AX113" s="64">
        <f>=IFERROR(AX112/AX111,0)</f>
        <v>0</v>
      </c>
      <c r="AY113" s="64">
        <f>=IFERROR(AY112/AY111,0)</f>
        <v>0</v>
      </c>
      <c r="AZ113" s="64">
        <f>=IFERROR(AZ112/AZ111,0)</f>
        <v>0</v>
      </c>
      <c r="BA113" s="64">
        <f>=IFERROR(BA112/BA111,0)</f>
        <v>0</v>
      </c>
      <c r="BB113" s="64">
        <f>=IFERROR(BB112/BB111,0)</f>
        <v>0</v>
      </c>
      <c r="BC113" s="64">
        <f>=IFERROR(BC112/BC111,0)</f>
        <v>0</v>
      </c>
      <c r="BD113" s="64">
        <f>=IFERROR(BD112/BD111,0)</f>
        <v>0</v>
      </c>
      <c r="BE113" s="64">
        <f>=IFERROR(BE112/BE111,0)</f>
        <v>0</v>
      </c>
      <c r="BF113" s="64">
        <f>=IFERROR(BF112/BF111,0)</f>
        <v>0</v>
      </c>
      <c r="BG113" s="64">
        <f>=IFERROR(BG112/BG111,0)</f>
        <v>0</v>
      </c>
      <c r="BH113" s="64">
        <f>=IFERROR(BH112/BH111,0)</f>
        <v>0</v>
      </c>
      <c r="BI113" s="64">
        <f>=IFERROR(BI112/BI111,0)</f>
        <v>0</v>
      </c>
      <c r="BJ113" s="64">
        <f>=IFERROR(BJ112/BJ111,0)</f>
        <v>0</v>
      </c>
      <c r="BK113" s="64">
        <f>=IFERROR(BK112/BK111,0)</f>
        <v>0</v>
      </c>
      <c r="BL113" s="64">
        <f>=IFERROR(BL112/BL111,0)</f>
        <v>0</v>
      </c>
      <c r="BM113" s="64">
        <f>=IFERROR(BM112/BM111,0)</f>
        <v>0</v>
      </c>
      <c r="BN113" s="64">
        <f>=IFERROR(BN112/BN111,0)</f>
        <v>0</v>
      </c>
      <c r="BO113" s="64">
        <f>=IFERROR(BO112/BO111,0)</f>
        <v>0</v>
      </c>
      <c r="BP113" s="64">
        <f>=IFERROR(BP112/BP111,0)</f>
        <v>0</v>
      </c>
      <c r="BQ113" s="64">
        <f>=IFERROR(BQ112/BQ111,0)</f>
        <v>0</v>
      </c>
      <c r="BR113" s="64">
        <f>=IFERROR(BR112/BR111,0)</f>
        <v>0</v>
      </c>
      <c r="BS113" s="64">
        <f>=IFERROR(BS112/BS111,0)</f>
        <v>0</v>
      </c>
      <c r="BT113" s="64">
        <f>=IFERROR(BT112/BT111,0)</f>
        <v>0</v>
      </c>
      <c r="BU113" s="64">
        <f>=IFERROR(BU112/BU111,0)</f>
        <v>0</v>
      </c>
      <c r="BV113" s="64">
        <f>=IFERROR(BV112/BV111,0)</f>
        <v>0</v>
      </c>
      <c r="BW113" s="64">
        <f>=IFERROR(BW112/BW111,0)</f>
        <v>0</v>
      </c>
      <c r="BX113" s="64">
        <f>=IFERROR(BX112/BX111,0)</f>
        <v>0</v>
      </c>
      <c r="BY113" s="64">
        <f>=IFERROR(BY112/BY111,0)</f>
        <v>0</v>
      </c>
      <c r="BZ113" s="64">
        <f>=IFERROR(BZ112/BZ111,0)</f>
        <v>0</v>
      </c>
      <c r="CA113" s="64">
        <f>=IFERROR(CA112/CA111,0)</f>
        <v>0</v>
      </c>
      <c r="CB113" s="64">
        <f>=IFERROR(CB112/CB111,0)</f>
        <v>0</v>
      </c>
      <c r="CC113" s="64">
        <f>=IFERROR(CC112/CC111,0)</f>
        <v>0</v>
      </c>
      <c r="CD113" s="64">
        <f>=IFERROR(CD112/CD111,0)</f>
        <v>0</v>
      </c>
      <c r="CE113" s="64">
        <f>=IFERROR(CE112/CE111,0)</f>
        <v>0</v>
      </c>
      <c r="CF113" s="64">
        <f>=IFERROR(CF112/CF111,0)</f>
        <v>0</v>
      </c>
      <c r="CG113" s="64">
        <f>=IFERROR(CG112/CG111,0)</f>
        <v>0</v>
      </c>
      <c r="CH113" s="64">
        <f>=IFERROR(CH112/CH111,0)</f>
        <v>0</v>
      </c>
      <c r="CI113" s="64">
        <f>=IFERROR(CI112/CI111,0)</f>
        <v>0</v>
      </c>
      <c r="CJ113" s="64">
        <f>=IFERROR(CJ112/CJ111,0)</f>
        <v>0</v>
      </c>
      <c r="CK113" s="64">
        <f>=IFERROR(CK112/CK111,0)</f>
        <v>0</v>
      </c>
      <c r="CL113" s="64">
        <f>=IFERROR(CL112/CL111,0)</f>
        <v>0</v>
      </c>
      <c r="CM113" s="64">
        <f>=IFERROR(CM112/CM111,0)</f>
        <v>0</v>
      </c>
      <c r="CN113" s="64">
        <f>=IFERROR(CN112/CN111,0)</f>
        <v>0</v>
      </c>
      <c r="CO113" s="64">
        <f>=IFERROR(CO112/CO111,0)</f>
        <v>0</v>
      </c>
      <c r="CP113" s="64">
        <f>=IFERROR(CP112/CP111,0)</f>
        <v>0</v>
      </c>
      <c r="CQ113" s="64">
        <f>=IFERROR(CQ112/CQ111,0)</f>
        <v>0</v>
      </c>
      <c r="CR113" s="64">
        <f>=IFERROR(CR112/CR111,0)</f>
        <v>0</v>
      </c>
      <c r="CS113" s="64">
        <f>=IFERROR(CS112/CS111,0)</f>
        <v>0</v>
      </c>
      <c r="CT113" s="64">
        <f>=IFERROR(CT112/CT111,0)</f>
        <v>0</v>
      </c>
      <c r="CU113" s="64">
        <f>=IFERROR(CU112/CU111,0)</f>
        <v>0</v>
      </c>
      <c r="CV113" s="64">
        <f>=IFERROR(CV112/CV111,0)</f>
        <v>0</v>
      </c>
      <c r="CW113" s="64">
        <f>=IFERROR(CW112/CW111,0)</f>
        <v>0</v>
      </c>
      <c r="CX113" s="64">
        <f>=IFERROR(CX112/CX111,0)</f>
        <v>0</v>
      </c>
      <c r="CY113" s="64">
        <f>=IFERROR(CY112/CY111,0)</f>
        <v>0</v>
      </c>
      <c r="CZ113" s="64">
        <f>=IFERROR(CZ112/CZ111,0)</f>
        <v>0</v>
      </c>
      <c r="DA113" s="64">
        <f>=IFERROR(DA112/DA111,0)</f>
        <v>0</v>
      </c>
      <c r="DB113" s="64">
        <f>=IFERROR(DB112/DB111,0)</f>
        <v>0</v>
      </c>
    </row>
    <row r="114" ht="18" customHeight="1" spans="1:106" x14ac:dyDescent="0.25">
      <c r="A114" s="17" t="s">
        <v>333</v>
      </c>
      <c r="B114" s="65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6"/>
      <c r="AR114" s="66"/>
      <c r="AS114" s="66"/>
      <c r="AT114" s="66"/>
      <c r="AU114" s="66"/>
      <c r="AV114" s="66"/>
      <c r="AW114" s="66"/>
      <c r="AX114" s="66"/>
      <c r="AY114" s="66"/>
      <c r="AZ114" s="66"/>
      <c r="BA114" s="66"/>
      <c r="BB114" s="66"/>
      <c r="BC114" s="66"/>
      <c r="BD114" s="66"/>
      <c r="BE114" s="66"/>
      <c r="BF114" s="66"/>
      <c r="BG114" s="66"/>
      <c r="BH114" s="66"/>
      <c r="BI114" s="66"/>
      <c r="BJ114" s="66"/>
      <c r="BK114" s="66"/>
      <c r="BL114" s="66"/>
      <c r="BM114" s="66"/>
      <c r="BN114" s="66"/>
      <c r="BO114" s="66"/>
      <c r="BP114" s="66"/>
      <c r="BQ114" s="66"/>
      <c r="BR114" s="66"/>
      <c r="BS114" s="66"/>
      <c r="BT114" s="66"/>
      <c r="BU114" s="66"/>
      <c r="BV114" s="66"/>
      <c r="BW114" s="66"/>
      <c r="BX114" s="66"/>
      <c r="BY114" s="66"/>
      <c r="BZ114" s="66"/>
      <c r="CA114" s="66"/>
      <c r="CB114" s="66"/>
      <c r="CC114" s="66"/>
      <c r="CD114" s="66"/>
      <c r="CE114" s="66"/>
      <c r="CF114" s="66"/>
      <c r="CG114" s="66"/>
      <c r="CH114" s="66"/>
      <c r="CI114" s="66"/>
      <c r="CJ114" s="66"/>
      <c r="CK114" s="66"/>
      <c r="CL114" s="66"/>
      <c r="CM114" s="66"/>
      <c r="CN114" s="66"/>
      <c r="CO114" s="66"/>
      <c r="CP114" s="66"/>
      <c r="CQ114" s="66"/>
      <c r="CR114" s="66"/>
      <c r="CS114" s="66"/>
      <c r="CT114" s="66"/>
      <c r="CU114" s="66"/>
      <c r="CV114" s="66"/>
      <c r="CW114" s="66"/>
      <c r="CX114" s="66"/>
      <c r="CY114" s="66"/>
      <c r="CZ114" s="66"/>
      <c r="DA114" s="66"/>
      <c r="DB114" s="66"/>
    </row>
    <row r="115" ht="18" customHeight="1" spans="1:106" x14ac:dyDescent="0.25">
      <c r="A115" s="17" t="s">
        <v>334</v>
      </c>
      <c r="B115" s="65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6"/>
      <c r="AT115" s="66"/>
      <c r="AU115" s="66"/>
      <c r="AV115" s="66"/>
      <c r="AW115" s="66"/>
      <c r="AX115" s="66"/>
      <c r="AY115" s="66"/>
      <c r="AZ115" s="66"/>
      <c r="BA115" s="66"/>
      <c r="BB115" s="66"/>
      <c r="BC115" s="66"/>
      <c r="BD115" s="66"/>
      <c r="BE115" s="66"/>
      <c r="BF115" s="66"/>
      <c r="BG115" s="66"/>
      <c r="BH115" s="66"/>
      <c r="BI115" s="66"/>
      <c r="BJ115" s="66"/>
      <c r="BK115" s="66"/>
      <c r="BL115" s="66"/>
      <c r="BM115" s="66"/>
      <c r="BN115" s="66"/>
      <c r="BO115" s="66"/>
      <c r="BP115" s="66"/>
      <c r="BQ115" s="66"/>
      <c r="BR115" s="66"/>
      <c r="BS115" s="66"/>
      <c r="BT115" s="66"/>
      <c r="BU115" s="66">
        <v>2</v>
      </c>
      <c r="BV115" s="66"/>
      <c r="BW115" s="66"/>
      <c r="BX115" s="66"/>
      <c r="BY115" s="66"/>
      <c r="BZ115" s="66"/>
      <c r="CA115" s="66"/>
      <c r="CB115" s="66"/>
      <c r="CC115" s="66"/>
      <c r="CD115" s="66"/>
      <c r="CE115" s="66"/>
      <c r="CF115" s="66"/>
      <c r="CG115" s="66"/>
      <c r="CH115" s="66"/>
      <c r="CI115" s="66"/>
      <c r="CJ115" s="66"/>
      <c r="CK115" s="66"/>
      <c r="CL115" s="66"/>
      <c r="CM115" s="66"/>
      <c r="CN115" s="66"/>
      <c r="CO115" s="66"/>
      <c r="CP115" s="66"/>
      <c r="CQ115" s="66"/>
      <c r="CR115" s="66"/>
      <c r="CS115" s="66"/>
      <c r="CT115" s="66"/>
      <c r="CU115" s="66"/>
      <c r="CV115" s="66"/>
      <c r="CW115" s="66"/>
      <c r="CX115" s="66"/>
      <c r="CY115" s="66"/>
      <c r="CZ115" s="66"/>
      <c r="DA115" s="66"/>
      <c r="DB115" s="66"/>
    </row>
    <row r="116" ht="18" customHeight="1" spans="1:106" x14ac:dyDescent="0.25">
      <c r="A116" s="17" t="s">
        <v>335</v>
      </c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  <c r="AV116" s="30"/>
      <c r="AW116" s="30"/>
      <c r="AX116" s="30"/>
      <c r="AY116" s="30"/>
      <c r="AZ116" s="30"/>
      <c r="BA116" s="30"/>
      <c r="BB116" s="30"/>
      <c r="BC116" s="30"/>
      <c r="BD116" s="30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  <c r="BT116" s="30"/>
      <c r="BU116" s="30"/>
      <c r="BV116" s="30"/>
      <c r="BW116" s="30"/>
      <c r="BX116" s="30"/>
      <c r="BY116" s="30"/>
      <c r="BZ116" s="30"/>
      <c r="CA116" s="30"/>
      <c r="CB116" s="30"/>
      <c r="CC116" s="30"/>
      <c r="CD116" s="30"/>
      <c r="CE116" s="30"/>
      <c r="CF116" s="30"/>
      <c r="CG116" s="30"/>
      <c r="CH116" s="30"/>
      <c r="CI116" s="30"/>
      <c r="CJ116" s="30"/>
      <c r="CK116" s="30"/>
      <c r="CL116" s="30"/>
      <c r="CM116" s="30"/>
      <c r="CN116" s="30"/>
      <c r="CO116" s="30"/>
      <c r="CP116" s="30"/>
      <c r="CQ116" s="30"/>
      <c r="CR116" s="30"/>
      <c r="CS116" s="30"/>
      <c r="CT116" s="30"/>
      <c r="CU116" s="30"/>
      <c r="CV116" s="30"/>
      <c r="CW116" s="30"/>
      <c r="CX116" s="30"/>
      <c r="CY116" s="30"/>
      <c r="CZ116" s="30"/>
      <c r="DA116" s="30"/>
      <c r="DB116" s="30"/>
    </row>
    <row r="117" ht="18" customHeight="1" spans="1:106" x14ac:dyDescent="0.25">
      <c r="A117" s="17" t="s">
        <v>266</v>
      </c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30"/>
      <c r="CD117" s="30"/>
      <c r="CE117" s="30"/>
      <c r="CF117" s="30"/>
      <c r="CG117" s="30"/>
      <c r="CH117" s="30"/>
      <c r="CI117" s="30"/>
      <c r="CJ117" s="30"/>
      <c r="CK117" s="30"/>
      <c r="CL117" s="30"/>
      <c r="CM117" s="30"/>
      <c r="CN117" s="30"/>
      <c r="CO117" s="30"/>
      <c r="CP117" s="30"/>
      <c r="CQ117" s="30"/>
      <c r="CR117" s="30"/>
      <c r="CS117" s="30"/>
      <c r="CT117" s="30"/>
      <c r="CU117" s="30"/>
      <c r="CV117" s="30"/>
      <c r="CW117" s="30"/>
      <c r="CX117" s="30"/>
      <c r="CY117" s="30"/>
      <c r="CZ117" s="30"/>
      <c r="DA117" s="30"/>
      <c r="DB117" s="30"/>
    </row>
    <row r="118" ht="18" customHeight="1" spans="1:106" x14ac:dyDescent="0.25">
      <c r="A118" s="17" t="s">
        <v>266</v>
      </c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30"/>
      <c r="CD118" s="30"/>
      <c r="CE118" s="30"/>
      <c r="CF118" s="30"/>
      <c r="CG118" s="30"/>
      <c r="CH118" s="30"/>
      <c r="CI118" s="30"/>
      <c r="CJ118" s="30"/>
      <c r="CK118" s="30"/>
      <c r="CL118" s="30"/>
      <c r="CM118" s="30"/>
      <c r="CN118" s="30"/>
      <c r="CO118" s="30"/>
      <c r="CP118" s="30"/>
      <c r="CQ118" s="30"/>
      <c r="CR118" s="30"/>
      <c r="CS118" s="30"/>
      <c r="CT118" s="30"/>
      <c r="CU118" s="30"/>
      <c r="CV118" s="30"/>
      <c r="CW118" s="30"/>
      <c r="CX118" s="30"/>
      <c r="CY118" s="30"/>
      <c r="CZ118" s="30"/>
      <c r="DA118" s="30"/>
      <c r="DB118" s="30"/>
    </row>
    <row r="119" ht="18" customHeight="1" spans="1:106" x14ac:dyDescent="0.25">
      <c r="A119" s="17" t="s">
        <v>336</v>
      </c>
      <c r="C119" s="17">
        <v>6</v>
      </c>
      <c r="D119" s="17"/>
      <c r="E119" s="17">
        <v>0</v>
      </c>
      <c r="F119" s="17"/>
      <c r="G119" s="17"/>
      <c r="H119" s="17"/>
      <c r="I119" s="17"/>
      <c r="J119" s="17"/>
      <c r="K119" s="17"/>
      <c r="L119" s="17"/>
      <c r="M119" s="17"/>
      <c r="N119" s="17">
        <v>0</v>
      </c>
      <c r="O119" s="17"/>
      <c r="P119" s="17"/>
      <c r="Q119" s="17"/>
      <c r="R119" s="17"/>
      <c r="S119" s="17"/>
      <c r="T119" s="17"/>
      <c r="U119" s="17"/>
      <c r="V119" s="17"/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3</v>
      </c>
      <c r="AE119" s="17"/>
      <c r="AF119" s="17">
        <v>0</v>
      </c>
      <c r="AG119" s="17"/>
      <c r="AH119" s="17">
        <v>0</v>
      </c>
      <c r="AI119" s="17">
        <v>0</v>
      </c>
      <c r="AJ119" s="17">
        <v>0</v>
      </c>
      <c r="AK119" s="17">
        <v>0</v>
      </c>
      <c r="AL119" s="17">
        <v>0</v>
      </c>
      <c r="AM119" s="17">
        <v>0</v>
      </c>
      <c r="AN119" s="17">
        <v>0</v>
      </c>
      <c r="AO119" s="17">
        <v>12</v>
      </c>
      <c r="AP119" s="17">
        <v>0</v>
      </c>
      <c r="AQ119" s="17">
        <v>0</v>
      </c>
      <c r="AR119" s="17">
        <v>0</v>
      </c>
      <c r="AS119" s="17">
        <v>0</v>
      </c>
      <c r="AT119" s="17">
        <v>10</v>
      </c>
      <c r="AU119" s="17">
        <v>0</v>
      </c>
      <c r="AV119" s="17">
        <v>0</v>
      </c>
      <c r="AW119" s="17">
        <v>0</v>
      </c>
      <c r="AX119" s="17">
        <v>0</v>
      </c>
      <c r="AY119" s="17">
        <v>10</v>
      </c>
      <c r="AZ119" s="17">
        <v>0</v>
      </c>
      <c r="BA119" s="17">
        <v>0</v>
      </c>
      <c r="BB119" s="17">
        <v>0</v>
      </c>
      <c r="BC119" s="17">
        <v>0</v>
      </c>
      <c r="BD119" s="17">
        <v>0</v>
      </c>
      <c r="BE119" s="17">
        <v>6</v>
      </c>
      <c r="BF119" s="17">
        <v>0</v>
      </c>
      <c r="BG119" s="17">
        <v>0</v>
      </c>
      <c r="BH119" s="17">
        <v>5</v>
      </c>
      <c r="BI119" s="17">
        <v>0</v>
      </c>
      <c r="BJ119" s="17">
        <v>0</v>
      </c>
      <c r="BK119" s="17">
        <v>0</v>
      </c>
      <c r="BL119" s="17">
        <v>0</v>
      </c>
      <c r="BM119" s="17">
        <v>0</v>
      </c>
      <c r="BN119" s="17">
        <v>0</v>
      </c>
      <c r="BO119" s="67">
        <f>=SUM(BO114:BO115)</f>
        <v>0</v>
      </c>
      <c r="BP119" s="67">
        <f>=SUM(BP114:BP115)</f>
        <v>0</v>
      </c>
      <c r="BQ119" s="67">
        <f>=SUM(BQ114:BQ115)</f>
        <v>0</v>
      </c>
      <c r="BR119" s="67">
        <f>=SUM(BR114:BR115)</f>
        <v>0</v>
      </c>
      <c r="BS119" s="67">
        <f>=SUM(BS114:BS115)</f>
        <v>0</v>
      </c>
      <c r="BT119" s="67">
        <f>=SUM(BT114:BT115)</f>
        <v>0</v>
      </c>
      <c r="BU119" s="67">
        <f>=SUM(BU114:BU115)</f>
        <v>2</v>
      </c>
      <c r="BV119" s="67">
        <f>=SUM(BV114:BV115)</f>
        <v>0</v>
      </c>
      <c r="BW119" s="67">
        <f>=SUM(BW114:BW115)</f>
        <v>0</v>
      </c>
      <c r="BX119" s="67">
        <f>=SUM(BX114:BX115)</f>
        <v>0</v>
      </c>
      <c r="BY119" s="67">
        <f>=SUM(BY114:BY115)</f>
        <v>0</v>
      </c>
      <c r="BZ119" s="67">
        <f>=SUM(BZ114:BZ115)</f>
        <v>0</v>
      </c>
      <c r="CA119" s="67">
        <f>=SUM(CA114:CA115)</f>
        <v>0</v>
      </c>
      <c r="CB119" s="67">
        <f>=SUM(CB114:CB115)</f>
        <v>0</v>
      </c>
      <c r="CC119" s="67">
        <f>=SUM(CC114:CC115)</f>
        <v>0</v>
      </c>
      <c r="CD119" s="67">
        <f>=SUM(CD114:CD115)</f>
        <v>0</v>
      </c>
      <c r="CE119" s="67">
        <f>=SUM(CE114:CE115)</f>
        <v>0</v>
      </c>
      <c r="CF119" s="67">
        <f>=SUM(CF114:CF115)</f>
        <v>0</v>
      </c>
      <c r="CG119" s="67">
        <f>=SUM(CG114:CG115)</f>
        <v>0</v>
      </c>
      <c r="CH119" s="67">
        <f>=SUM(CH114:CH115)</f>
        <v>0</v>
      </c>
      <c r="CI119" s="67">
        <f>=SUM(CI114:CI115)</f>
        <v>0</v>
      </c>
      <c r="CJ119" s="67">
        <f>=SUM(CJ114:CJ115)</f>
        <v>0</v>
      </c>
      <c r="CK119" s="67">
        <f>=SUM(CK114:CK115)</f>
        <v>0</v>
      </c>
      <c r="CL119" s="67">
        <f>=SUM(CL114:CL115)</f>
        <v>0</v>
      </c>
      <c r="CM119" s="67">
        <f>=SUM(CM114:CM115)</f>
        <v>0</v>
      </c>
      <c r="CN119" s="67">
        <f>=SUM(CN114:CN115)</f>
        <v>0</v>
      </c>
      <c r="CO119" s="67">
        <f>=SUM(CO114:CO115)</f>
        <v>0</v>
      </c>
      <c r="CP119" s="67">
        <f>=SUM(CP114:CP115)</f>
        <v>0</v>
      </c>
      <c r="CQ119" s="67">
        <f>=SUM(CQ114:CQ115)</f>
        <v>0</v>
      </c>
      <c r="CR119" s="67">
        <f>=SUM(CR114:CR115)</f>
        <v>0</v>
      </c>
      <c r="CS119" s="67">
        <f>=SUM(CS114:CS115)</f>
        <v>0</v>
      </c>
      <c r="CT119" s="67">
        <f>=SUM(CT114:CT115)</f>
        <v>0</v>
      </c>
      <c r="CU119" s="67">
        <f>=SUM(CU114:CU115)</f>
        <v>0</v>
      </c>
      <c r="CV119" s="67">
        <f>=SUM(CV114:CV115)</f>
        <v>0</v>
      </c>
      <c r="CW119" s="67">
        <f>=SUM(CW114:CW115)</f>
        <v>0</v>
      </c>
      <c r="CX119" s="67">
        <f>=SUM(CX114:CX115)</f>
        <v>0</v>
      </c>
      <c r="CY119" s="67">
        <f>=SUM(CY114:CY115)</f>
        <v>0</v>
      </c>
      <c r="CZ119" s="67">
        <f>=SUM(CZ114:CZ115)</f>
        <v>0</v>
      </c>
      <c r="DA119" s="67">
        <f>=SUM(DA114:DA115)</f>
        <v>0</v>
      </c>
      <c r="DB119" s="67">
        <f>=SUM(DB114:DB115)</f>
        <v>0</v>
      </c>
    </row>
    <row r="120" ht="18" customHeight="1" spans="1:106" x14ac:dyDescent="0.25">
      <c r="A120" s="17" t="s">
        <v>337</v>
      </c>
      <c r="C120" s="17">
        <v>0</v>
      </c>
      <c r="D120" s="17">
        <v>6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3</v>
      </c>
      <c r="AF120" s="17">
        <v>0</v>
      </c>
      <c r="AG120" s="17">
        <v>0</v>
      </c>
      <c r="AH120" s="17">
        <v>0</v>
      </c>
      <c r="AI120" s="17">
        <v>0</v>
      </c>
      <c r="AJ120" s="17">
        <v>0</v>
      </c>
      <c r="AK120" s="17">
        <v>0</v>
      </c>
      <c r="AL120" s="17">
        <v>0</v>
      </c>
      <c r="AM120" s="17">
        <v>0</v>
      </c>
      <c r="AN120" s="17">
        <v>0</v>
      </c>
      <c r="AO120" s="17">
        <v>0</v>
      </c>
      <c r="AP120" s="17">
        <v>12</v>
      </c>
      <c r="AQ120" s="17">
        <v>0</v>
      </c>
      <c r="AR120" s="17">
        <v>0</v>
      </c>
      <c r="AS120" s="17">
        <v>0</v>
      </c>
      <c r="AT120" s="17">
        <v>0</v>
      </c>
      <c r="AU120" s="17">
        <v>10</v>
      </c>
      <c r="AV120" s="17">
        <v>0</v>
      </c>
      <c r="AW120" s="17">
        <v>0</v>
      </c>
      <c r="AX120" s="17">
        <v>0</v>
      </c>
      <c r="AY120" s="17">
        <v>0</v>
      </c>
      <c r="AZ120" s="17">
        <v>10</v>
      </c>
      <c r="BA120" s="17">
        <v>0</v>
      </c>
      <c r="BB120" s="17">
        <v>0</v>
      </c>
      <c r="BC120" s="17">
        <v>0</v>
      </c>
      <c r="BD120" s="17">
        <v>0</v>
      </c>
      <c r="BE120" s="17">
        <v>0</v>
      </c>
      <c r="BF120" s="17">
        <v>5</v>
      </c>
      <c r="BG120" s="17">
        <v>0</v>
      </c>
      <c r="BH120" s="17">
        <v>0</v>
      </c>
      <c r="BI120" s="17">
        <v>5</v>
      </c>
      <c r="BJ120" s="17">
        <v>0</v>
      </c>
      <c r="BK120" s="17">
        <v>0</v>
      </c>
      <c r="BL120" s="17">
        <v>0</v>
      </c>
      <c r="BM120" s="17">
        <v>0</v>
      </c>
      <c r="BN120" s="17">
        <v>0</v>
      </c>
      <c r="BO120" s="67">
        <f>=BN119*(1-BO$43)</f>
        <v>0</v>
      </c>
      <c r="BP120" s="67">
        <f>=BO119*(1-BP$43)</f>
        <v>0</v>
      </c>
      <c r="BQ120" s="67">
        <f>=BP119*(1-BQ$43)</f>
        <v>0</v>
      </c>
      <c r="BR120" s="67">
        <f>=BQ119*(1-BR$43)</f>
        <v>0</v>
      </c>
      <c r="BS120" s="67">
        <f>=BR119*(1-BS$43)</f>
        <v>0</v>
      </c>
      <c r="BT120" s="67">
        <f>=BS119*(1-BT$43)</f>
        <v>0</v>
      </c>
      <c r="BU120" s="67">
        <f>=BT119*(1-BU$43)</f>
        <v>0</v>
      </c>
      <c r="BV120" s="67">
        <v>2</v>
      </c>
      <c r="BW120" s="67">
        <f>=BV119*(1-BW$43)</f>
        <v>0</v>
      </c>
      <c r="BX120" s="67">
        <f>=BW119*(1-BX$43)</f>
        <v>0</v>
      </c>
      <c r="BY120" s="67">
        <f>=BX119*(1-BY$43)</f>
        <v>0</v>
      </c>
      <c r="BZ120" s="67">
        <f>=BY119*(1-BZ$43)</f>
        <v>0</v>
      </c>
      <c r="CA120" s="67">
        <f>=BZ119*(1-CA$43)</f>
        <v>0</v>
      </c>
      <c r="CB120" s="67">
        <f>=CA119*(1-CB$43)</f>
        <v>0</v>
      </c>
      <c r="CC120" s="67">
        <f>=CB119*(1-CC$43)</f>
        <v>0</v>
      </c>
      <c r="CD120" s="67">
        <f>=CC119*(1-CD$43)</f>
        <v>0</v>
      </c>
      <c r="CE120" s="67">
        <f>=CD119*(1-CE$43)</f>
        <v>0</v>
      </c>
      <c r="CF120" s="67">
        <f>=CE119*(1-CF$43)</f>
        <v>0</v>
      </c>
      <c r="CG120" s="67">
        <f>=CF119*(1-CG$43)</f>
        <v>0</v>
      </c>
      <c r="CH120" s="67">
        <f>=CG119*(1-CH$43)</f>
        <v>0</v>
      </c>
      <c r="CI120" s="67">
        <f>=CH119*(1-CI$43)</f>
        <v>0</v>
      </c>
      <c r="CJ120" s="67">
        <f>=CI119*(1-CJ$43)</f>
        <v>0</v>
      </c>
      <c r="CK120" s="67">
        <f>=CJ119*(1-CK$43)</f>
        <v>0</v>
      </c>
      <c r="CL120" s="67">
        <f>=CK119*(1-CL$43)</f>
        <v>0</v>
      </c>
      <c r="CM120" s="67">
        <f>=CL119*(1-CM$43)</f>
        <v>0</v>
      </c>
      <c r="CN120" s="67">
        <f>=CM119*(1-CN$43)</f>
        <v>0</v>
      </c>
      <c r="CO120" s="67">
        <f>=CN119*(1-CO$43)</f>
        <v>0</v>
      </c>
      <c r="CP120" s="67">
        <f>=CO119*(1-CP$43)</f>
        <v>0</v>
      </c>
      <c r="CQ120" s="67">
        <f>=CP119*(1-CQ$43)</f>
        <v>0</v>
      </c>
      <c r="CR120" s="67">
        <f>=CQ119*(1-CR$43)</f>
        <v>0</v>
      </c>
      <c r="CS120" s="67">
        <f>=CR119*(1-CS$43)</f>
        <v>0</v>
      </c>
      <c r="CT120" s="67">
        <f>=CS119*(1-CT$43)</f>
        <v>0</v>
      </c>
      <c r="CU120" s="67">
        <f>=CT119*(1-CU$43)</f>
        <v>0</v>
      </c>
      <c r="CV120" s="67">
        <f>=CU119*(1-CV$43)</f>
        <v>0</v>
      </c>
      <c r="CW120" s="67">
        <f>=CV119*(1-CW$43)</f>
        <v>0</v>
      </c>
      <c r="CX120" s="67">
        <f>=CW119*(1-CX$43)</f>
        <v>0</v>
      </c>
      <c r="CY120" s="67">
        <f>=CX119*(1-CY$43)</f>
        <v>0</v>
      </c>
      <c r="CZ120" s="67">
        <f>=CY119*(1-CZ$43)</f>
        <v>0</v>
      </c>
      <c r="DA120" s="67">
        <f>=CZ119*(1-DA$43)</f>
        <v>0</v>
      </c>
      <c r="DB120" s="67">
        <f>=DA119*(1-DB$43)</f>
        <v>0</v>
      </c>
    </row>
    <row r="121" ht="18" customHeight="1" spans="1:106" x14ac:dyDescent="0.25">
      <c r="A121" s="17" t="s">
        <v>338</v>
      </c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</row>
    <row r="122" ht="18" customHeight="1" spans="1:106" x14ac:dyDescent="0.25">
      <c r="A122" s="17" t="s">
        <v>339</v>
      </c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</row>
    <row r="123" ht="18" customHeight="1" spans="1:106" x14ac:dyDescent="0.25">
      <c r="A123" s="17" t="s">
        <v>266</v>
      </c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</row>
    <row r="124" ht="18" customHeight="1" spans="1:106" x14ac:dyDescent="0.25">
      <c r="A124" s="17" t="s">
        <v>340</v>
      </c>
      <c r="C124" s="17">
        <v>0</v>
      </c>
      <c r="D124" s="17">
        <v>0</v>
      </c>
      <c r="E124" s="17">
        <v>6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  <c r="AE124" s="17">
        <v>0</v>
      </c>
      <c r="AF124" s="17">
        <v>3</v>
      </c>
      <c r="AG124" s="17">
        <v>0</v>
      </c>
      <c r="AH124" s="17">
        <v>0</v>
      </c>
      <c r="AI124" s="17">
        <v>0</v>
      </c>
      <c r="AJ124" s="17">
        <v>0</v>
      </c>
      <c r="AK124" s="17">
        <v>0</v>
      </c>
      <c r="AL124" s="17">
        <v>0</v>
      </c>
      <c r="AM124" s="17">
        <v>0</v>
      </c>
      <c r="AN124" s="17">
        <v>0</v>
      </c>
      <c r="AO124" s="17">
        <v>0</v>
      </c>
      <c r="AP124" s="17">
        <v>0</v>
      </c>
      <c r="AQ124" s="17">
        <v>9</v>
      </c>
      <c r="AR124" s="17">
        <v>0</v>
      </c>
      <c r="AS124" s="17">
        <v>0</v>
      </c>
      <c r="AT124" s="17">
        <v>0</v>
      </c>
      <c r="AU124" s="17">
        <v>0</v>
      </c>
      <c r="AV124" s="17">
        <v>9</v>
      </c>
      <c r="AW124" s="17">
        <v>0</v>
      </c>
      <c r="AX124" s="17">
        <v>0</v>
      </c>
      <c r="AY124" s="17">
        <v>0</v>
      </c>
      <c r="AZ124" s="17">
        <v>0</v>
      </c>
      <c r="BA124" s="17">
        <v>10</v>
      </c>
      <c r="BB124" s="17">
        <v>0</v>
      </c>
      <c r="BC124" s="17">
        <v>0</v>
      </c>
      <c r="BD124" s="17">
        <v>0</v>
      </c>
      <c r="BE124" s="17">
        <v>0</v>
      </c>
      <c r="BF124" s="17">
        <v>0</v>
      </c>
      <c r="BG124" s="17">
        <v>5</v>
      </c>
      <c r="BH124" s="17">
        <v>0</v>
      </c>
      <c r="BI124" s="17">
        <v>0</v>
      </c>
      <c r="BJ124" s="17">
        <v>5</v>
      </c>
      <c r="BK124" s="17">
        <v>0</v>
      </c>
      <c r="BL124" s="17">
        <v>0</v>
      </c>
      <c r="BM124" s="17">
        <v>0</v>
      </c>
      <c r="BN124" s="17">
        <v>0</v>
      </c>
      <c r="BO124" s="67">
        <f>=BN120*(1-BO$43)</f>
        <v>0</v>
      </c>
      <c r="BP124" s="67">
        <f>=BO120*(1-BP$43)</f>
        <v>0</v>
      </c>
      <c r="BQ124" s="67">
        <f>=BP120*(1-BQ$43)</f>
        <v>0</v>
      </c>
      <c r="BR124" s="67">
        <f>=BQ120*(1-BR$43)</f>
        <v>0</v>
      </c>
      <c r="BS124" s="67">
        <f>=BR120*(1-BS$43)</f>
        <v>0</v>
      </c>
      <c r="BT124" s="67">
        <f>=BS120*(1-BT$43)</f>
        <v>0</v>
      </c>
      <c r="BU124" s="67">
        <f>=BT120*(1-BU$43)</f>
        <v>0</v>
      </c>
      <c r="BV124" s="67">
        <f>=BU120*(1-BV$43)</f>
        <v>0</v>
      </c>
      <c r="BW124" s="67">
        <v>2</v>
      </c>
      <c r="BX124" s="67">
        <f>=BW120*(1-BX$43)</f>
        <v>0</v>
      </c>
      <c r="BY124" s="67">
        <f>=BX120*(1-BY$43)</f>
        <v>0</v>
      </c>
      <c r="BZ124" s="67">
        <f>=BY120*(1-BZ$43)</f>
        <v>0</v>
      </c>
      <c r="CA124" s="67">
        <f>=BZ120*(1-CA$43)</f>
        <v>0</v>
      </c>
      <c r="CB124" s="67">
        <f>=CA120*(1-CB$43)</f>
        <v>0</v>
      </c>
      <c r="CC124" s="67">
        <f>=CB120*(1-CC$43)</f>
        <v>0</v>
      </c>
      <c r="CD124" s="67">
        <f>=CC120*(1-CD$43)</f>
        <v>0</v>
      </c>
      <c r="CE124" s="67">
        <f>=CD120*(1-CE$43)</f>
        <v>0</v>
      </c>
      <c r="CF124" s="67">
        <f>=CE120*(1-CF$43)</f>
        <v>0</v>
      </c>
      <c r="CG124" s="67">
        <f>=CF120*(1-CG$43)</f>
        <v>0</v>
      </c>
      <c r="CH124" s="67">
        <f>=CG120*(1-CH$43)</f>
        <v>0</v>
      </c>
      <c r="CI124" s="67">
        <f>=CH120*(1-CI$43)</f>
        <v>0</v>
      </c>
      <c r="CJ124" s="67">
        <f>=CI120*(1-CJ$43)</f>
        <v>0</v>
      </c>
      <c r="CK124" s="67">
        <f>=CJ120*(1-CK$43)</f>
        <v>0</v>
      </c>
      <c r="CL124" s="67">
        <f>=CK120*(1-CL$43)</f>
        <v>0</v>
      </c>
      <c r="CM124" s="67">
        <f>=CL120*(1-CM$43)</f>
        <v>0</v>
      </c>
      <c r="CN124" s="67">
        <f>=CM120*(1-CN$43)</f>
        <v>0</v>
      </c>
      <c r="CO124" s="67">
        <f>=CN120*(1-CO$43)</f>
        <v>0</v>
      </c>
      <c r="CP124" s="67">
        <f>=CO120*(1-CP$43)</f>
        <v>0</v>
      </c>
      <c r="CQ124" s="67">
        <f>=CP120*(1-CQ$43)</f>
        <v>0</v>
      </c>
      <c r="CR124" s="67">
        <f>=CQ120*(1-CR$43)</f>
        <v>0</v>
      </c>
      <c r="CS124" s="67">
        <f>=CR120*(1-CS$43)</f>
        <v>0</v>
      </c>
      <c r="CT124" s="67">
        <f>=CS120*(1-CT$43)</f>
        <v>0</v>
      </c>
      <c r="CU124" s="67">
        <f>=CT120*(1-CU$43)</f>
        <v>0</v>
      </c>
      <c r="CV124" s="67">
        <f>=CU120*(1-CV$43)</f>
        <v>0</v>
      </c>
      <c r="CW124" s="67">
        <f>=CV120*(1-CW$43)</f>
        <v>0</v>
      </c>
      <c r="CX124" s="67">
        <f>=CW120*(1-CX$43)</f>
        <v>0</v>
      </c>
      <c r="CY124" s="67">
        <f>=CX120*(1-CY$43)</f>
        <v>0</v>
      </c>
      <c r="CZ124" s="67">
        <f>=CY120*(1-CZ$43)</f>
        <v>0</v>
      </c>
      <c r="DA124" s="67">
        <f>=CZ120*(1-DA$43)</f>
        <v>0</v>
      </c>
      <c r="DB124" s="67">
        <f>=DA120*(1-DB$43)</f>
        <v>0</v>
      </c>
    </row>
    <row r="125" ht="18" customHeight="1" spans="1:106" x14ac:dyDescent="0.25">
      <c r="A125" s="17" t="s">
        <v>341</v>
      </c>
      <c r="C125" s="17">
        <v>0</v>
      </c>
      <c r="D125" s="17">
        <v>0</v>
      </c>
      <c r="E125" s="17">
        <v>0</v>
      </c>
      <c r="F125" s="17">
        <v>5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7">
        <v>3</v>
      </c>
      <c r="AH125" s="17">
        <v>0</v>
      </c>
      <c r="AI125" s="17">
        <v>0</v>
      </c>
      <c r="AJ125" s="17">
        <v>0</v>
      </c>
      <c r="AK125" s="17">
        <v>0</v>
      </c>
      <c r="AL125" s="17">
        <v>0</v>
      </c>
      <c r="AM125" s="17">
        <v>0</v>
      </c>
      <c r="AN125" s="17">
        <v>0</v>
      </c>
      <c r="AO125" s="17">
        <v>0</v>
      </c>
      <c r="AP125" s="17">
        <v>0</v>
      </c>
      <c r="AQ125" s="17">
        <v>0</v>
      </c>
      <c r="AR125" s="17">
        <v>8</v>
      </c>
      <c r="AS125" s="17">
        <v>0</v>
      </c>
      <c r="AT125" s="17">
        <v>0</v>
      </c>
      <c r="AU125" s="17">
        <v>0</v>
      </c>
      <c r="AV125" s="17">
        <v>0</v>
      </c>
      <c r="AW125" s="17">
        <v>8</v>
      </c>
      <c r="AX125" s="17">
        <v>0</v>
      </c>
      <c r="AY125" s="17">
        <v>0</v>
      </c>
      <c r="AZ125" s="17">
        <v>0</v>
      </c>
      <c r="BA125" s="17">
        <v>0</v>
      </c>
      <c r="BB125" s="17">
        <v>10</v>
      </c>
      <c r="BC125" s="17">
        <v>0</v>
      </c>
      <c r="BD125" s="17">
        <v>0</v>
      </c>
      <c r="BE125" s="17">
        <v>0</v>
      </c>
      <c r="BF125" s="17">
        <v>0</v>
      </c>
      <c r="BG125" s="17">
        <v>0</v>
      </c>
      <c r="BH125" s="17">
        <v>4</v>
      </c>
      <c r="BI125" s="17">
        <v>0</v>
      </c>
      <c r="BJ125" s="17">
        <v>0</v>
      </c>
      <c r="BK125" s="17">
        <v>5</v>
      </c>
      <c r="BL125" s="17">
        <v>0</v>
      </c>
      <c r="BM125" s="17">
        <v>0</v>
      </c>
      <c r="BN125" s="17">
        <v>0</v>
      </c>
      <c r="BO125" s="67">
        <f>=BN124*(1-BO$43)</f>
        <v>0</v>
      </c>
      <c r="BP125" s="67">
        <f>=BO124*(1-BP$43)</f>
        <v>0</v>
      </c>
      <c r="BQ125" s="67">
        <f>=BP124*(1-BQ$43)</f>
        <v>0</v>
      </c>
      <c r="BR125" s="67">
        <f>=BQ124*(1-BR$43)</f>
        <v>0</v>
      </c>
      <c r="BS125" s="67">
        <f>=BR124*(1-BS$43)</f>
        <v>0</v>
      </c>
      <c r="BT125" s="67">
        <f>=BS124*(1-BT$43)</f>
        <v>0</v>
      </c>
      <c r="BU125" s="67">
        <f>=BT124*(1-BU$43)</f>
        <v>0</v>
      </c>
      <c r="BV125" s="67">
        <f>=BU124*(1-BV$43)</f>
        <v>0</v>
      </c>
      <c r="BW125" s="67">
        <f>=BV124*(1-BW$43)</f>
        <v>0</v>
      </c>
      <c r="BX125" s="17"/>
      <c r="BY125" s="67">
        <f>=BX124*(1-BY$43)</f>
        <v>0</v>
      </c>
      <c r="BZ125" s="67">
        <f>=BY124*(1-BZ$43)</f>
        <v>0</v>
      </c>
      <c r="CA125" s="67">
        <f>=BZ124*(1-CA$43)</f>
        <v>0</v>
      </c>
      <c r="CB125" s="67">
        <f>=CA124*(1-CB$43)</f>
        <v>0</v>
      </c>
      <c r="CC125" s="67">
        <f>=CB124*(1-CC$43)</f>
        <v>0</v>
      </c>
      <c r="CD125" s="67">
        <f>=CC124*(1-CD$43)</f>
        <v>0</v>
      </c>
      <c r="CE125" s="67">
        <f>=CD124*(1-CE$43)</f>
        <v>0</v>
      </c>
      <c r="CF125" s="67">
        <f>=CE124*(1-CF$43)</f>
        <v>0</v>
      </c>
      <c r="CG125" s="67">
        <f>=CF124*(1-CG$43)</f>
        <v>0</v>
      </c>
      <c r="CH125" s="67">
        <f>=CG124*(1-CH$43)</f>
        <v>0</v>
      </c>
      <c r="CI125" s="67">
        <f>=CH124*(1-CI$43)</f>
        <v>0</v>
      </c>
      <c r="CJ125" s="67">
        <f>=CI124*(1-CJ$43)</f>
        <v>0</v>
      </c>
      <c r="CK125" s="67">
        <f>=CJ124*(1-CK$43)</f>
        <v>0</v>
      </c>
      <c r="CL125" s="67">
        <f>=CK124*(1-CL$43)</f>
        <v>0</v>
      </c>
      <c r="CM125" s="67">
        <f>=CL124*(1-CM$43)</f>
        <v>0</v>
      </c>
      <c r="CN125" s="67">
        <f>=CM124*(1-CN$43)</f>
        <v>0</v>
      </c>
      <c r="CO125" s="67">
        <f>=CN124*(1-CO$43)</f>
        <v>0</v>
      </c>
      <c r="CP125" s="67">
        <f>=CO124*(1-CP$43)</f>
        <v>0</v>
      </c>
      <c r="CQ125" s="67">
        <f>=CP124*(1-CQ$43)</f>
        <v>0</v>
      </c>
      <c r="CR125" s="67">
        <f>=CQ124*(1-CR$43)</f>
        <v>0</v>
      </c>
      <c r="CS125" s="67">
        <f>=CR124*(1-CS$43)</f>
        <v>0</v>
      </c>
      <c r="CT125" s="67">
        <f>=CS124*(1-CT$43)</f>
        <v>0</v>
      </c>
      <c r="CU125" s="67">
        <f>=CT124*(1-CU$43)</f>
        <v>0</v>
      </c>
      <c r="CV125" s="67">
        <f>=CU124*(1-CV$43)</f>
        <v>0</v>
      </c>
      <c r="CW125" s="67">
        <f>=CV124*(1-CW$43)</f>
        <v>0</v>
      </c>
      <c r="CX125" s="67">
        <f>=CW124*(1-CX$43)</f>
        <v>0</v>
      </c>
      <c r="CY125" s="67">
        <f>=CX124*(1-CY$43)</f>
        <v>0</v>
      </c>
      <c r="CZ125" s="67">
        <f>=CY124*(1-CZ$43)</f>
        <v>0</v>
      </c>
      <c r="DA125" s="67">
        <f>=CZ124*(1-DA$43)</f>
        <v>0</v>
      </c>
      <c r="DB125" s="67">
        <f>=DA124*(1-DB$43)</f>
        <v>0</v>
      </c>
    </row>
    <row r="126" ht="18" customHeight="1" spans="1:106" x14ac:dyDescent="0.25">
      <c r="A126" s="17" t="s">
        <v>342</v>
      </c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>
        <v>0</v>
      </c>
      <c r="AM126" s="17">
        <v>0</v>
      </c>
      <c r="AN126" s="17">
        <v>0</v>
      </c>
      <c r="AO126" s="17">
        <v>0</v>
      </c>
      <c r="AP126" s="17">
        <v>0</v>
      </c>
      <c r="AQ126" s="17">
        <v>0</v>
      </c>
      <c r="AR126" s="17">
        <v>0</v>
      </c>
      <c r="AS126" s="17">
        <v>8</v>
      </c>
      <c r="AT126" s="17">
        <v>0</v>
      </c>
      <c r="AU126" s="17">
        <v>0</v>
      </c>
      <c r="AV126" s="17">
        <v>0</v>
      </c>
      <c r="AW126" s="17">
        <v>0</v>
      </c>
      <c r="AX126" s="17">
        <v>8</v>
      </c>
      <c r="AY126" s="17">
        <v>0</v>
      </c>
      <c r="AZ126" s="17">
        <v>0</v>
      </c>
      <c r="BA126" s="17">
        <v>0</v>
      </c>
      <c r="BB126" s="17">
        <v>0</v>
      </c>
      <c r="BC126" s="17">
        <v>10</v>
      </c>
      <c r="BD126" s="17">
        <v>0</v>
      </c>
      <c r="BE126" s="17">
        <v>0</v>
      </c>
      <c r="BF126" s="17">
        <v>0</v>
      </c>
      <c r="BG126" s="17">
        <v>0</v>
      </c>
      <c r="BH126" s="17">
        <v>0</v>
      </c>
      <c r="BI126" s="17">
        <v>4</v>
      </c>
      <c r="BJ126" s="17">
        <v>0</v>
      </c>
      <c r="BK126" s="17">
        <v>0</v>
      </c>
      <c r="BL126" s="17">
        <v>5</v>
      </c>
      <c r="BM126" s="17">
        <v>0</v>
      </c>
      <c r="BN126" s="17">
        <v>0</v>
      </c>
      <c r="BO126" s="67">
        <f>=BN125*(1-BO$43)</f>
        <v>0</v>
      </c>
      <c r="BP126" s="67">
        <f>=BO125*(1-BP$43)</f>
        <v>0</v>
      </c>
      <c r="BQ126" s="67">
        <f>=BP125*(1-BQ$43)</f>
        <v>0</v>
      </c>
      <c r="BR126" s="67">
        <f>=BQ125*(1-BR$43)</f>
        <v>0</v>
      </c>
      <c r="BS126" s="67">
        <f>=BR125*(1-BS$43)</f>
        <v>0</v>
      </c>
      <c r="BT126" s="67">
        <f>=BS125*(1-BT$43)</f>
        <v>0</v>
      </c>
      <c r="BU126" s="67">
        <f>=BT125*(1-BU$43)</f>
        <v>0</v>
      </c>
      <c r="BV126" s="67">
        <f>=BU125*(1-BV$43)</f>
        <v>0</v>
      </c>
      <c r="BW126" s="67">
        <f>=BV125*(1-BW$43)</f>
        <v>0</v>
      </c>
      <c r="BX126" s="67">
        <f>=BW125*(1-BX$43)</f>
        <v>0</v>
      </c>
      <c r="BY126" s="67">
        <f>=BX125*(1-BY$43)</f>
        <v>0</v>
      </c>
      <c r="BZ126" s="67">
        <f>=BY125*(1-BZ$43)</f>
        <v>0</v>
      </c>
      <c r="CA126" s="67">
        <f>=BZ125*(1-CA$43)</f>
        <v>0</v>
      </c>
      <c r="CB126" s="67">
        <f>=CA125*(1-CB$43)</f>
        <v>0</v>
      </c>
      <c r="CC126" s="67">
        <f>=CB125*(1-CC$43)</f>
        <v>0</v>
      </c>
      <c r="CD126" s="67">
        <f>=CC125*(1-CD$43)</f>
        <v>0</v>
      </c>
      <c r="CE126" s="67">
        <f>=CD125*(1-CE$43)</f>
        <v>0</v>
      </c>
      <c r="CF126" s="67">
        <f>=CE125*(1-CF$43)</f>
        <v>0</v>
      </c>
      <c r="CG126" s="67">
        <f>=CF125*(1-CG$43)</f>
        <v>0</v>
      </c>
      <c r="CH126" s="67">
        <f>=CG125*(1-CH$43)</f>
        <v>0</v>
      </c>
      <c r="CI126" s="67">
        <f>=CH125*(1-CI$43)</f>
        <v>0</v>
      </c>
      <c r="CJ126" s="67">
        <f>=CI125*(1-CJ$43)</f>
        <v>0</v>
      </c>
      <c r="CK126" s="67">
        <f>=CJ125*(1-CK$43)</f>
        <v>0</v>
      </c>
      <c r="CL126" s="67">
        <f>=CK125*(1-CL$43)</f>
        <v>0</v>
      </c>
      <c r="CM126" s="67">
        <f>=CL125*(1-CM$43)</f>
        <v>0</v>
      </c>
      <c r="CN126" s="67">
        <f>=CM125*(1-CN$43)</f>
        <v>0</v>
      </c>
      <c r="CO126" s="67">
        <f>=CN125*(1-CO$43)</f>
        <v>0</v>
      </c>
      <c r="CP126" s="67">
        <f>=CO125*(1-CP$43)</f>
        <v>0</v>
      </c>
      <c r="CQ126" s="67">
        <f>=CP125*(1-CQ$43)</f>
        <v>0</v>
      </c>
      <c r="CR126" s="67">
        <f>=CQ125*(1-CR$43)</f>
        <v>0</v>
      </c>
      <c r="CS126" s="67">
        <f>=CR125*(1-CS$43)</f>
        <v>0</v>
      </c>
      <c r="CT126" s="67">
        <f>=CS125*(1-CT$43)</f>
        <v>0</v>
      </c>
      <c r="CU126" s="67">
        <f>=CT125*(1-CU$43)</f>
        <v>0</v>
      </c>
      <c r="CV126" s="67">
        <f>=CU125*(1-CV$43)</f>
        <v>0</v>
      </c>
      <c r="CW126" s="67">
        <f>=CV125*(1-CW$43)</f>
        <v>0</v>
      </c>
      <c r="CX126" s="67">
        <f>=CW125*(1-CX$43)</f>
        <v>0</v>
      </c>
      <c r="CY126" s="67">
        <f>=CX125*(1-CY$43)</f>
        <v>0</v>
      </c>
      <c r="CZ126" s="67">
        <f>=CY125*(1-CZ$43)</f>
        <v>0</v>
      </c>
      <c r="DA126" s="67">
        <f>=CZ125*(1-DA$43)</f>
        <v>0</v>
      </c>
      <c r="DB126" s="67">
        <f>=DA125*(1-DB$43)</f>
        <v>0</v>
      </c>
    </row>
    <row r="127" ht="18" customHeight="1" spans="1:106" x14ac:dyDescent="0.25">
      <c r="A127" s="17" t="s">
        <v>343</v>
      </c>
      <c r="C127" s="17">
        <v>0</v>
      </c>
      <c r="D127" s="17">
        <v>0</v>
      </c>
      <c r="E127" s="17">
        <v>0</v>
      </c>
      <c r="F127" s="17">
        <v>0</v>
      </c>
      <c r="G127" s="17">
        <v>0</v>
      </c>
      <c r="H127" s="17">
        <v>0</v>
      </c>
      <c r="I127" s="17">
        <v>0</v>
      </c>
      <c r="J127" s="17">
        <v>0</v>
      </c>
      <c r="K127" s="17">
        <v>0</v>
      </c>
      <c r="L127" s="17">
        <v>0</v>
      </c>
      <c r="M127" s="17">
        <v>0</v>
      </c>
      <c r="N127" s="17">
        <v>0</v>
      </c>
      <c r="O127" s="17">
        <v>0</v>
      </c>
      <c r="P127" s="17">
        <v>0</v>
      </c>
      <c r="Q127" s="17">
        <v>0</v>
      </c>
      <c r="R127" s="17">
        <v>0</v>
      </c>
      <c r="S127" s="17">
        <v>0</v>
      </c>
      <c r="T127" s="17">
        <v>0</v>
      </c>
      <c r="U127" s="17">
        <v>0</v>
      </c>
      <c r="V127" s="17">
        <v>0</v>
      </c>
      <c r="W127" s="17">
        <v>0</v>
      </c>
      <c r="X127" s="17">
        <v>0</v>
      </c>
      <c r="Y127" s="17">
        <v>0</v>
      </c>
      <c r="Z127" s="17">
        <v>0</v>
      </c>
      <c r="AA127" s="17">
        <v>0</v>
      </c>
      <c r="AB127" s="17">
        <v>0</v>
      </c>
      <c r="AC127" s="17">
        <v>0</v>
      </c>
      <c r="AD127" s="17">
        <v>0</v>
      </c>
      <c r="AE127" s="17">
        <v>0</v>
      </c>
      <c r="AF127" s="17">
        <v>0</v>
      </c>
      <c r="AG127" s="17">
        <v>0</v>
      </c>
      <c r="AH127" s="17">
        <v>0</v>
      </c>
      <c r="AI127" s="17">
        <v>0</v>
      </c>
      <c r="AJ127" s="17">
        <v>0</v>
      </c>
      <c r="AK127" s="17">
        <v>0</v>
      </c>
      <c r="AL127" s="17">
        <v>0</v>
      </c>
      <c r="AM127" s="17">
        <v>0</v>
      </c>
      <c r="AN127" s="17">
        <v>0</v>
      </c>
      <c r="AO127" s="17">
        <v>0</v>
      </c>
      <c r="AP127" s="17">
        <v>0</v>
      </c>
      <c r="AQ127" s="17">
        <v>0</v>
      </c>
      <c r="AR127" s="17">
        <v>0</v>
      </c>
      <c r="AS127" s="17">
        <v>0</v>
      </c>
      <c r="AT127" s="17">
        <v>8</v>
      </c>
      <c r="AU127" s="17">
        <v>0</v>
      </c>
      <c r="AV127" s="17">
        <v>0</v>
      </c>
      <c r="AW127" s="17">
        <v>0</v>
      </c>
      <c r="AX127" s="17">
        <v>0</v>
      </c>
      <c r="AY127" s="17">
        <v>7</v>
      </c>
      <c r="AZ127" s="17">
        <v>0</v>
      </c>
      <c r="BA127" s="17">
        <v>0</v>
      </c>
      <c r="BB127" s="17">
        <v>0</v>
      </c>
      <c r="BC127" s="17">
        <v>0</v>
      </c>
      <c r="BD127" s="17">
        <v>10</v>
      </c>
      <c r="BE127" s="17">
        <v>0</v>
      </c>
      <c r="BF127" s="17">
        <v>0</v>
      </c>
      <c r="BG127" s="17">
        <v>0</v>
      </c>
      <c r="BH127" s="17">
        <v>0</v>
      </c>
      <c r="BI127" s="17">
        <v>0</v>
      </c>
      <c r="BJ127" s="17">
        <v>4</v>
      </c>
      <c r="BK127" s="17">
        <v>0</v>
      </c>
      <c r="BL127" s="17">
        <v>0</v>
      </c>
      <c r="BM127" s="17">
        <v>5</v>
      </c>
      <c r="BN127" s="17">
        <v>0</v>
      </c>
      <c r="BO127" s="67">
        <f>=BN126*(1-BO$43)</f>
        <v>0</v>
      </c>
      <c r="BP127" s="67">
        <f>=BO126*(1-BP$43)</f>
        <v>0</v>
      </c>
      <c r="BQ127" s="67">
        <f>=BP126*(1-BQ$43)</f>
        <v>0</v>
      </c>
      <c r="BR127" s="67">
        <f>=BQ126*(1-BR$43)</f>
        <v>0</v>
      </c>
      <c r="BS127" s="67">
        <f>=BR126*(1-BS$43)</f>
        <v>0</v>
      </c>
      <c r="BT127" s="67">
        <f>=BS126*(1-BT$43)</f>
        <v>0</v>
      </c>
      <c r="BU127" s="67">
        <f>=BT126*(1-BU$43)</f>
        <v>0</v>
      </c>
      <c r="BV127" s="67">
        <f>=BU126*(1-BV$43)</f>
        <v>0</v>
      </c>
      <c r="BW127" s="67">
        <f>=BV126*(1-BW$43)</f>
        <v>0</v>
      </c>
      <c r="BX127" s="67">
        <v>2</v>
      </c>
      <c r="BY127" s="67">
        <f>=BX126*(1-BY$43)</f>
        <v>0</v>
      </c>
      <c r="BZ127" s="67">
        <f>=BY126*(1-BZ$43)</f>
        <v>0</v>
      </c>
      <c r="CA127" s="67">
        <f>=BZ126*(1-CA$43)</f>
        <v>0</v>
      </c>
      <c r="CB127" s="67">
        <f>=CA126*(1-CB$43)</f>
        <v>0</v>
      </c>
      <c r="CC127" s="67">
        <f>=CB126*(1-CC$43)</f>
        <v>0</v>
      </c>
      <c r="CD127" s="67">
        <f>=CC126*(1-CD$43)</f>
        <v>0</v>
      </c>
      <c r="CE127" s="67">
        <f>=CD126*(1-CE$43)</f>
        <v>0</v>
      </c>
      <c r="CF127" s="67">
        <f>=CE126*(1-CF$43)</f>
        <v>0</v>
      </c>
      <c r="CG127" s="67">
        <f>=CF126*(1-CG$43)</f>
        <v>0</v>
      </c>
      <c r="CH127" s="67">
        <f>=CG126*(1-CH$43)</f>
        <v>0</v>
      </c>
      <c r="CI127" s="67">
        <f>=CH126*(1-CI$43)</f>
        <v>0</v>
      </c>
      <c r="CJ127" s="67">
        <f>=CI126*(1-CJ$43)</f>
        <v>0</v>
      </c>
      <c r="CK127" s="67">
        <f>=CJ126*(1-CK$43)</f>
        <v>0</v>
      </c>
      <c r="CL127" s="67">
        <f>=CK126*(1-CL$43)</f>
        <v>0</v>
      </c>
      <c r="CM127" s="67">
        <f>=CL126*(1-CM$43)</f>
        <v>0</v>
      </c>
      <c r="CN127" s="67">
        <f>=CM126*(1-CN$43)</f>
        <v>0</v>
      </c>
      <c r="CO127" s="67">
        <f>=CN126*(1-CO$43)</f>
        <v>0</v>
      </c>
      <c r="CP127" s="67">
        <f>=CO126*(1-CP$43)</f>
        <v>0</v>
      </c>
      <c r="CQ127" s="67">
        <f>=CP126*(1-CQ$43)</f>
        <v>0</v>
      </c>
      <c r="CR127" s="67">
        <f>=CQ126*(1-CR$43)</f>
        <v>0</v>
      </c>
      <c r="CS127" s="67">
        <f>=CR126*(1-CS$43)</f>
        <v>0</v>
      </c>
      <c r="CT127" s="67">
        <f>=CS126*(1-CT$43)</f>
        <v>0</v>
      </c>
      <c r="CU127" s="67">
        <f>=CT126*(1-CU$43)</f>
        <v>0</v>
      </c>
      <c r="CV127" s="67">
        <f>=CU126*(1-CV$43)</f>
        <v>0</v>
      </c>
      <c r="CW127" s="67">
        <f>=CV126*(1-CW$43)</f>
        <v>0</v>
      </c>
      <c r="CX127" s="67">
        <f>=CW126*(1-CX$43)</f>
        <v>0</v>
      </c>
      <c r="CY127" s="67">
        <f>=CX126*(1-CY$43)</f>
        <v>0</v>
      </c>
      <c r="CZ127" s="67">
        <f>=CY126*(1-CZ$43)</f>
        <v>0</v>
      </c>
      <c r="DA127" s="67">
        <f>=CZ126*(1-DA$43)</f>
        <v>0</v>
      </c>
      <c r="DB127" s="67">
        <f>=DA126*(1-DB$43)</f>
        <v>0</v>
      </c>
    </row>
    <row r="128" ht="18" customHeight="1" spans="1:106" x14ac:dyDescent="0.25">
      <c r="A128" s="17" t="s">
        <v>344</v>
      </c>
      <c r="C128" s="17">
        <v>0</v>
      </c>
      <c r="D128" s="17">
        <v>0</v>
      </c>
      <c r="E128" s="17">
        <v>0</v>
      </c>
      <c r="F128" s="17">
        <v>0</v>
      </c>
      <c r="G128" s="17">
        <v>5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7">
        <v>3</v>
      </c>
      <c r="AI128" s="17">
        <v>0</v>
      </c>
      <c r="AJ128" s="17">
        <v>0</v>
      </c>
      <c r="AK128" s="17">
        <v>0</v>
      </c>
      <c r="AL128" s="17">
        <v>0</v>
      </c>
      <c r="AM128" s="17">
        <v>0</v>
      </c>
      <c r="AN128" s="17">
        <v>0</v>
      </c>
      <c r="AO128" s="17">
        <v>0</v>
      </c>
      <c r="AP128" s="17">
        <v>0</v>
      </c>
      <c r="AQ128" s="17">
        <v>0</v>
      </c>
      <c r="AR128" s="17">
        <v>0</v>
      </c>
      <c r="AS128" s="17">
        <v>0</v>
      </c>
      <c r="AT128" s="17">
        <v>0</v>
      </c>
      <c r="AU128" s="17">
        <v>8</v>
      </c>
      <c r="AV128" s="17">
        <v>0</v>
      </c>
      <c r="AW128" s="17">
        <v>0</v>
      </c>
      <c r="AX128" s="17">
        <v>0</v>
      </c>
      <c r="AY128" s="17">
        <v>0</v>
      </c>
      <c r="AZ128" s="17">
        <v>7</v>
      </c>
      <c r="BA128" s="17">
        <v>0</v>
      </c>
      <c r="BB128" s="17">
        <v>0</v>
      </c>
      <c r="BC128" s="17">
        <v>0</v>
      </c>
      <c r="BD128" s="17">
        <v>0</v>
      </c>
      <c r="BE128" s="17">
        <v>10</v>
      </c>
      <c r="BF128" s="17">
        <v>0</v>
      </c>
      <c r="BG128" s="17">
        <v>0</v>
      </c>
      <c r="BH128" s="17">
        <v>0</v>
      </c>
      <c r="BI128" s="17">
        <v>0</v>
      </c>
      <c r="BJ128" s="17">
        <v>0</v>
      </c>
      <c r="BK128" s="17">
        <v>4</v>
      </c>
      <c r="BL128" s="17">
        <v>0</v>
      </c>
      <c r="BM128" s="17">
        <v>0</v>
      </c>
      <c r="BN128" s="17">
        <v>5</v>
      </c>
      <c r="BO128" s="67">
        <f>=BN127*(1-BO$43)</f>
        <v>0</v>
      </c>
      <c r="BP128" s="67">
        <f>=BO127*(1-BP$43)</f>
        <v>0</v>
      </c>
      <c r="BQ128" s="67">
        <f>=BP127*(1-BQ$43)</f>
        <v>0</v>
      </c>
      <c r="BR128" s="67">
        <f>=BQ127*(1-BR$43)</f>
        <v>0</v>
      </c>
      <c r="BS128" s="67">
        <f>=BR127*(1-BS$43)</f>
        <v>0</v>
      </c>
      <c r="BT128" s="67">
        <f>=BS127*(1-BT$43)</f>
        <v>0</v>
      </c>
      <c r="BU128" s="67">
        <f>=BT127*(1-BU$43)</f>
        <v>0</v>
      </c>
      <c r="BV128" s="67">
        <f>=BU127*(1-BV$43)</f>
        <v>0</v>
      </c>
      <c r="BW128" s="67">
        <f>=BV127*(1-BW$43)</f>
        <v>0</v>
      </c>
      <c r="BX128" s="67">
        <f>=BW127*(1-BX$43)</f>
        <v>0</v>
      </c>
      <c r="BY128" s="67">
        <v>2</v>
      </c>
      <c r="BZ128" s="67">
        <f>=BY127*(1-BZ$43)</f>
        <v>0</v>
      </c>
      <c r="CA128" s="67">
        <f>=BZ127*(1-CA$43)</f>
        <v>0</v>
      </c>
      <c r="CB128" s="67">
        <f>=CA127*(1-CB$43)</f>
        <v>0</v>
      </c>
      <c r="CC128" s="67">
        <f>=CB127*(1-CC$43)</f>
        <v>0</v>
      </c>
      <c r="CD128" s="67">
        <f>=CC127*(1-CD$43)</f>
        <v>0</v>
      </c>
      <c r="CE128" s="67">
        <f>=CD127*(1-CE$43)</f>
        <v>0</v>
      </c>
      <c r="CF128" s="67">
        <f>=CE127*(1-CF$43)</f>
        <v>0</v>
      </c>
      <c r="CG128" s="67">
        <f>=CF127*(1-CG$43)</f>
        <v>0</v>
      </c>
      <c r="CH128" s="67">
        <f>=CG127*(1-CH$43)</f>
        <v>0</v>
      </c>
      <c r="CI128" s="67">
        <f>=CH127*(1-CI$43)</f>
        <v>0</v>
      </c>
      <c r="CJ128" s="67">
        <f>=CI127*(1-CJ$43)</f>
        <v>0</v>
      </c>
      <c r="CK128" s="67">
        <f>=CJ127*(1-CK$43)</f>
        <v>0</v>
      </c>
      <c r="CL128" s="67">
        <f>=CK127*(1-CL$43)</f>
        <v>0</v>
      </c>
      <c r="CM128" s="67">
        <f>=CL127*(1-CM$43)</f>
        <v>0</v>
      </c>
      <c r="CN128" s="67">
        <f>=CM127*(1-CN$43)</f>
        <v>0</v>
      </c>
      <c r="CO128" s="67">
        <f>=CN127*(1-CO$43)</f>
        <v>0</v>
      </c>
      <c r="CP128" s="67">
        <f>=CO127*(1-CP$43)</f>
        <v>0</v>
      </c>
      <c r="CQ128" s="67">
        <f>=CP127*(1-CQ$43)</f>
        <v>0</v>
      </c>
      <c r="CR128" s="67">
        <f>=CQ127*(1-CR$43)</f>
        <v>0</v>
      </c>
      <c r="CS128" s="67">
        <f>=CR127*(1-CS$43)</f>
        <v>0</v>
      </c>
      <c r="CT128" s="67">
        <f>=CS127*(1-CT$43)</f>
        <v>0</v>
      </c>
      <c r="CU128" s="67">
        <f>=CT127*(1-CU$43)</f>
        <v>0</v>
      </c>
      <c r="CV128" s="67">
        <f>=CU127*(1-CV$43)</f>
        <v>0</v>
      </c>
      <c r="CW128" s="67">
        <f>=CV127*(1-CW$43)</f>
        <v>0</v>
      </c>
      <c r="CX128" s="67">
        <f>=CW127*(1-CX$43)</f>
        <v>0</v>
      </c>
      <c r="CY128" s="67">
        <f>=CX127*(1-CY$43)</f>
        <v>0</v>
      </c>
      <c r="CZ128" s="67">
        <f>=CY127*(1-CZ$43)</f>
        <v>0</v>
      </c>
      <c r="DA128" s="67">
        <f>=CZ127*(1-DA$43)</f>
        <v>0</v>
      </c>
      <c r="DB128" s="67">
        <f>=DA127*(1-DB$43)</f>
        <v>0</v>
      </c>
    </row>
    <row r="129" ht="18" customHeight="1" spans="3:106" x14ac:dyDescent="0.25"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  <c r="BA129" s="30"/>
      <c r="BB129" s="30"/>
      <c r="BC129" s="30"/>
      <c r="BD129" s="30"/>
      <c r="BE129" s="30"/>
      <c r="BF129" s="30"/>
      <c r="BG129" s="30"/>
      <c r="BH129" s="30"/>
      <c r="BI129" s="30"/>
      <c r="BJ129" s="30"/>
      <c r="BK129" s="30"/>
      <c r="BL129" s="30"/>
      <c r="BM129" s="30"/>
      <c r="BN129" s="30"/>
      <c r="BO129" s="30"/>
      <c r="BP129" s="30"/>
      <c r="BQ129" s="30"/>
      <c r="BR129" s="30"/>
      <c r="BS129" s="30"/>
      <c r="BT129" s="30"/>
      <c r="BU129" s="30"/>
      <c r="BV129" s="30"/>
      <c r="BW129" s="30"/>
      <c r="BX129" s="30"/>
      <c r="BY129" s="30"/>
      <c r="BZ129" s="30"/>
      <c r="CA129" s="30"/>
      <c r="CB129" s="30"/>
      <c r="CC129" s="30"/>
      <c r="CD129" s="30"/>
      <c r="CE129" s="30"/>
      <c r="CF129" s="30"/>
      <c r="CG129" s="30"/>
      <c r="CH129" s="30"/>
      <c r="CI129" s="30"/>
      <c r="CJ129" s="30"/>
      <c r="CK129" s="30"/>
      <c r="CL129" s="30"/>
      <c r="CM129" s="30"/>
      <c r="CN129" s="30"/>
      <c r="CO129" s="30"/>
      <c r="CP129" s="30"/>
      <c r="CQ129" s="30"/>
      <c r="CR129" s="30"/>
      <c r="CS129" s="30"/>
      <c r="CT129" s="30"/>
      <c r="CU129" s="30"/>
      <c r="CV129" s="30"/>
      <c r="CW129" s="30"/>
      <c r="CX129" s="30"/>
      <c r="CY129" s="30"/>
      <c r="CZ129" s="30"/>
      <c r="DA129" s="30"/>
      <c r="DB129" s="30"/>
    </row>
    <row r="130" ht="18" customHeight="1" spans="1:106" x14ac:dyDescent="0.25">
      <c r="A130" s="9" t="s">
        <v>345</v>
      </c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  <c r="AV130" s="30"/>
      <c r="AW130" s="30"/>
      <c r="AX130" s="30"/>
      <c r="AY130" s="30"/>
      <c r="AZ130" s="30"/>
      <c r="BA130" s="30"/>
      <c r="BB130" s="30"/>
      <c r="BC130" s="30"/>
      <c r="BD130" s="30"/>
      <c r="BE130" s="30"/>
      <c r="BF130" s="30"/>
      <c r="BG130" s="30"/>
      <c r="BH130" s="30"/>
      <c r="BI130" s="30"/>
      <c r="BJ130" s="30"/>
      <c r="BK130" s="30"/>
      <c r="BL130" s="30"/>
      <c r="BM130" s="30"/>
      <c r="BN130" s="30"/>
      <c r="BO130" s="30"/>
      <c r="BP130" s="30"/>
      <c r="BQ130" s="30"/>
      <c r="BR130" s="30"/>
      <c r="BS130" s="30"/>
      <c r="BT130" s="30"/>
      <c r="BU130" s="30"/>
      <c r="BV130" s="30"/>
      <c r="BW130" s="30"/>
      <c r="BX130" s="30"/>
      <c r="BY130" s="30"/>
      <c r="BZ130" s="30"/>
      <c r="CA130" s="30"/>
      <c r="CB130" s="30"/>
      <c r="CC130" s="30"/>
      <c r="CD130" s="30"/>
      <c r="CE130" s="30"/>
      <c r="CF130" s="30"/>
      <c r="CG130" s="30"/>
      <c r="CH130" s="30"/>
      <c r="CI130" s="30"/>
      <c r="CJ130" s="30"/>
      <c r="CK130" s="30"/>
      <c r="CL130" s="30"/>
      <c r="CM130" s="30"/>
      <c r="CN130" s="30"/>
      <c r="CO130" s="30"/>
      <c r="CP130" s="30"/>
      <c r="CQ130" s="30"/>
      <c r="CR130" s="30"/>
      <c r="CS130" s="30"/>
      <c r="CT130" s="30"/>
      <c r="CU130" s="30"/>
      <c r="CV130" s="30"/>
      <c r="CW130" s="30"/>
      <c r="CX130" s="30"/>
      <c r="CY130" s="30"/>
      <c r="CZ130" s="30"/>
      <c r="DA130" s="30"/>
      <c r="DB130" s="30"/>
    </row>
    <row r="131" ht="18" customHeight="1" spans="1:106" x14ac:dyDescent="0.25">
      <c r="A131" s="68" t="s">
        <v>346</v>
      </c>
      <c r="C131" s="30">
        <f>=C8</f>
        <v>3828</v>
      </c>
      <c r="D131" s="30">
        <f>=D8</f>
        <v>3829</v>
      </c>
      <c r="E131" s="30">
        <f>=E8</f>
        <v>3831</v>
      </c>
      <c r="F131" s="30">
        <f>=F8</f>
        <v>3827</v>
      </c>
      <c r="G131" s="30">
        <f>=G8</f>
        <v>3821</v>
      </c>
      <c r="H131" s="30">
        <f>=H8</f>
        <v>3791</v>
      </c>
      <c r="I131" s="30">
        <f>=I8</f>
        <v>3781</v>
      </c>
      <c r="J131" s="30">
        <f>=J8</f>
        <v>3786</v>
      </c>
      <c r="K131" s="30">
        <f>=K8</f>
        <v>3781</v>
      </c>
      <c r="L131" s="30">
        <f>=L8</f>
        <v>3597</v>
      </c>
      <c r="M131" s="30">
        <f>=M8</f>
        <v>3263</v>
      </c>
      <c r="N131" s="30">
        <f>=N8</f>
        <v>2908</v>
      </c>
      <c r="O131" s="30">
        <f>=O8</f>
        <v>2911</v>
      </c>
      <c r="P131" s="30">
        <f>=P8</f>
        <v>2572</v>
      </c>
      <c r="Q131" s="30">
        <f>=Q8</f>
        <v>2229</v>
      </c>
      <c r="R131" s="30">
        <f>=R8</f>
        <v>2229</v>
      </c>
      <c r="S131" s="30">
        <f>=S8</f>
        <v>2223</v>
      </c>
      <c r="T131" s="30">
        <f>=T8</f>
        <v>2053</v>
      </c>
      <c r="U131" s="30">
        <f>=U8</f>
        <v>2036</v>
      </c>
      <c r="V131" s="30">
        <f>=V8</f>
        <v>2036</v>
      </c>
      <c r="W131" s="30">
        <f>=W8</f>
        <v>2036</v>
      </c>
      <c r="X131" s="30">
        <f>=X8</f>
        <v>2036</v>
      </c>
      <c r="Y131" s="30">
        <f>=Y8</f>
        <v>2034</v>
      </c>
      <c r="Z131" s="30">
        <f>=Z8</f>
        <v>2034</v>
      </c>
      <c r="AA131" s="30">
        <f>=AA8</f>
        <v>2034</v>
      </c>
      <c r="AB131" s="30">
        <f>=AB8</f>
        <v>2034</v>
      </c>
      <c r="AC131" s="30">
        <f>=AC8</f>
        <v>2034</v>
      </c>
      <c r="AD131" s="30">
        <f>=AD8</f>
        <v>2034</v>
      </c>
      <c r="AE131" s="30">
        <f>=AE8</f>
        <v>2034</v>
      </c>
      <c r="AF131" s="30">
        <f>=AF8</f>
        <v>2034</v>
      </c>
      <c r="AG131" s="30">
        <f>=AG8</f>
        <v>2034</v>
      </c>
      <c r="AH131" s="30">
        <f>=AH8</f>
        <v>1797</v>
      </c>
      <c r="AI131" s="30">
        <f>=AI8</f>
        <v>1797</v>
      </c>
      <c r="AJ131" s="30">
        <f>=AJ8</f>
        <v>1797</v>
      </c>
      <c r="AK131" s="30">
        <f>=AK8</f>
        <v>1797</v>
      </c>
      <c r="AL131" s="30">
        <f>=AL8</f>
        <v>1797</v>
      </c>
      <c r="AM131" s="30">
        <f>=AM8</f>
        <v>1797</v>
      </c>
      <c r="AN131" s="30">
        <f>=AN8</f>
        <v>1797</v>
      </c>
      <c r="AO131" s="30">
        <f>=AO8</f>
        <v>1797</v>
      </c>
      <c r="AP131" s="30">
        <f>=AP8</f>
        <v>1797</v>
      </c>
      <c r="AQ131" s="30">
        <f>=AQ8</f>
        <v>1797</v>
      </c>
      <c r="AR131" s="30">
        <f>=AR8</f>
        <v>1797</v>
      </c>
      <c r="AS131" s="30">
        <f>=AS8</f>
        <v>1797</v>
      </c>
      <c r="AT131" s="30">
        <f>=AT8</f>
        <v>1797</v>
      </c>
      <c r="AU131" s="30">
        <f>=AU8</f>
        <v>1797</v>
      </c>
      <c r="AV131" s="30">
        <f>=AV8</f>
        <v>1797</v>
      </c>
      <c r="AW131" s="30">
        <f>=AW8</f>
        <v>1797</v>
      </c>
      <c r="AX131" s="30">
        <f>=AX8</f>
        <v>1797</v>
      </c>
      <c r="AY131" s="30">
        <f>=AY8</f>
        <v>1819</v>
      </c>
      <c r="AZ131" s="30">
        <f>=AZ8</f>
        <v>1819</v>
      </c>
      <c r="BA131" s="30">
        <f>=BA8</f>
        <v>1819</v>
      </c>
      <c r="BB131" s="30">
        <f>=BB8</f>
        <v>1819</v>
      </c>
      <c r="BC131" s="30">
        <f>=BC8</f>
        <v>1820</v>
      </c>
      <c r="BD131" s="30">
        <f>=BD8</f>
        <v>1820</v>
      </c>
      <c r="BE131" s="30">
        <f>=BE8</f>
        <v>1820</v>
      </c>
      <c r="BF131" s="30">
        <f>=BF8</f>
        <v>1820</v>
      </c>
      <c r="BG131" s="30">
        <f>=BG8</f>
        <v>1819</v>
      </c>
      <c r="BH131" s="30">
        <f>=BH8</f>
        <v>1818</v>
      </c>
      <c r="BI131" s="30">
        <f>=BI8</f>
        <v>1818</v>
      </c>
      <c r="BJ131" s="30">
        <f>=BJ8</f>
        <v>1818</v>
      </c>
      <c r="BK131" s="30">
        <f>=BK8</f>
        <v>1818</v>
      </c>
      <c r="BL131" s="30">
        <f>=BL8</f>
        <v>1808</v>
      </c>
      <c r="BM131" s="30">
        <f>=BM8</f>
        <v>1541</v>
      </c>
      <c r="BN131" s="30">
        <f>=BN8</f>
        <v>1370</v>
      </c>
      <c r="BO131" s="30">
        <f>=BO8</f>
        <v>1370</v>
      </c>
      <c r="BP131" s="30">
        <f>=BP8</f>
        <v>1162</v>
      </c>
      <c r="BQ131" s="30">
        <f>=BQ8</f>
        <v>1162</v>
      </c>
      <c r="BR131" s="30">
        <f>=BR8</f>
        <v>1162</v>
      </c>
      <c r="BS131" s="30">
        <f>=BS8</f>
        <v>1162</v>
      </c>
      <c r="BT131" s="30">
        <f>=BT8</f>
        <v>1162</v>
      </c>
      <c r="BU131" s="30">
        <f>=BU8</f>
        <v>1162</v>
      </c>
      <c r="BV131" s="30">
        <f>=BV8</f>
        <v>1162</v>
      </c>
      <c r="BW131" s="30">
        <f>=BW8</f>
        <v>1162</v>
      </c>
      <c r="BX131" s="30">
        <f>=BX8</f>
        <v>1162</v>
      </c>
      <c r="BY131" s="30">
        <f>=BY8</f>
        <v>1177</v>
      </c>
      <c r="BZ131" s="30">
        <f>=BZ8</f>
        <v>1186</v>
      </c>
      <c r="CA131" s="30">
        <f>=CA8</f>
        <v>1183</v>
      </c>
      <c r="CB131" s="30">
        <f>=CB8</f>
        <v>1183</v>
      </c>
      <c r="CC131" s="30">
        <f>=CC8</f>
        <v>1182</v>
      </c>
      <c r="CD131" s="30">
        <f>=CD8</f>
        <v>1177</v>
      </c>
      <c r="CE131" s="30">
        <f>=CE8</f>
        <v>1177</v>
      </c>
      <c r="CF131" s="30">
        <f>=CF8</f>
        <v>831</v>
      </c>
      <c r="CG131" s="30">
        <f>=CG8</f>
        <v>831</v>
      </c>
      <c r="CH131" s="30">
        <f>=CH8</f>
        <v>1177</v>
      </c>
      <c r="CI131" s="30">
        <f>=CI8</f>
        <v>1177</v>
      </c>
      <c r="CJ131" s="30">
        <f>=CJ8</f>
        <v>1177</v>
      </c>
      <c r="CK131" s="30">
        <f>=CK8</f>
        <v>1177</v>
      </c>
      <c r="CL131" s="30">
        <f>=CL8</f>
        <v>1178</v>
      </c>
      <c r="CM131" s="30">
        <f>=CM8</f>
        <v>1178</v>
      </c>
      <c r="CN131" s="30">
        <f>=CN8</f>
        <v>1178</v>
      </c>
      <c r="CO131" s="30">
        <f>=CO8</f>
        <v>1180</v>
      </c>
      <c r="CP131" s="30">
        <f>=CP8</f>
        <v>1180</v>
      </c>
      <c r="CQ131" s="30">
        <f>=CQ8</f>
        <v>1184</v>
      </c>
      <c r="CR131" s="30">
        <f>=CR8</f>
        <v>1184</v>
      </c>
      <c r="CS131" s="30">
        <f>=CS8</f>
        <v>1184</v>
      </c>
      <c r="CT131" s="30">
        <f>=CT8</f>
        <v>1185</v>
      </c>
      <c r="CU131" s="30">
        <f>=CU8</f>
        <v>1176</v>
      </c>
      <c r="CV131" s="30">
        <f>=CV8</f>
        <v>1176</v>
      </c>
      <c r="CW131" s="30">
        <f>=CW8</f>
        <v>1176</v>
      </c>
      <c r="CX131" s="30">
        <f>=CX8</f>
        <v>1176</v>
      </c>
      <c r="CY131" s="30">
        <f>=CY8</f>
        <v>1182</v>
      </c>
      <c r="CZ131" s="30">
        <f>=CZ8</f>
        <v>1183</v>
      </c>
      <c r="DA131" s="30">
        <f>=DA8</f>
        <v>1183</v>
      </c>
      <c r="DB131" s="30">
        <f>=DB8</f>
        <v>1184</v>
      </c>
    </row>
    <row r="132" ht="18" customHeight="1" spans="1:106" x14ac:dyDescent="0.25">
      <c r="A132" s="68" t="s">
        <v>347</v>
      </c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50">
        <v>2930</v>
      </c>
      <c r="AD132" s="50">
        <v>2960</v>
      </c>
      <c r="AE132" s="50">
        <v>2700</v>
      </c>
      <c r="AF132" s="50">
        <v>2931</v>
      </c>
      <c r="AG132" s="50">
        <v>2920</v>
      </c>
      <c r="AH132" s="50">
        <v>2669</v>
      </c>
      <c r="AI132" s="50">
        <v>2541</v>
      </c>
      <c r="AJ132" s="50">
        <v>2454</v>
      </c>
      <c r="AK132" s="50">
        <v>2486</v>
      </c>
      <c r="AL132" s="50">
        <v>2446</v>
      </c>
      <c r="AM132" s="50">
        <v>2345</v>
      </c>
      <c r="AN132" s="50">
        <v>2466</v>
      </c>
      <c r="AO132" s="50">
        <v>2861</v>
      </c>
      <c r="AP132" s="50">
        <v>2784</v>
      </c>
      <c r="AQ132" s="50">
        <v>2414</v>
      </c>
      <c r="AR132" s="50">
        <v>2342</v>
      </c>
      <c r="AS132" s="50">
        <v>2272</v>
      </c>
      <c r="AT132" s="50">
        <v>2944</v>
      </c>
      <c r="AU132" s="50">
        <v>2846</v>
      </c>
      <c r="AV132" s="50">
        <v>2374</v>
      </c>
      <c r="AW132" s="50">
        <v>2560</v>
      </c>
      <c r="AX132" s="50">
        <v>2711</v>
      </c>
      <c r="AY132" s="50">
        <v>3064</v>
      </c>
      <c r="AZ132" s="50">
        <v>2868</v>
      </c>
      <c r="BA132" s="50">
        <v>2803</v>
      </c>
      <c r="BB132" s="50">
        <v>2518</v>
      </c>
      <c r="BC132" s="50">
        <v>2365</v>
      </c>
      <c r="BD132" s="50">
        <v>2253</v>
      </c>
      <c r="BE132" s="50">
        <v>2622</v>
      </c>
      <c r="BF132" s="50">
        <v>2517</v>
      </c>
      <c r="BG132" s="50">
        <v>2504</v>
      </c>
      <c r="BH132" s="50">
        <v>2722</v>
      </c>
      <c r="BI132" s="50">
        <v>2637</v>
      </c>
      <c r="BJ132" s="50">
        <v>2653</v>
      </c>
      <c r="BK132" s="50">
        <v>2598</v>
      </c>
      <c r="BL132" s="50">
        <v>2637</v>
      </c>
      <c r="BM132" s="50">
        <v>2337</v>
      </c>
      <c r="BN132" s="50">
        <v>2194</v>
      </c>
      <c r="BO132" s="50">
        <v>2029</v>
      </c>
      <c r="BP132" s="50">
        <v>1686</v>
      </c>
      <c r="BQ132" s="50">
        <v>1675</v>
      </c>
      <c r="BR132" s="50">
        <v>1709</v>
      </c>
      <c r="BS132" s="50">
        <v>1617</v>
      </c>
      <c r="BT132" s="69">
        <v>1665</v>
      </c>
      <c r="BU132" s="69">
        <v>1740</v>
      </c>
      <c r="BV132" s="50">
        <v>1665</v>
      </c>
      <c r="BW132" s="69">
        <v>1608</v>
      </c>
      <c r="BX132" s="30"/>
      <c r="BY132" s="30"/>
      <c r="BZ132" s="30"/>
      <c r="CA132" s="30"/>
      <c r="CB132" s="30"/>
      <c r="CC132" s="30"/>
      <c r="CD132" s="30"/>
      <c r="CE132" s="30"/>
      <c r="CF132" s="30"/>
      <c r="CG132" s="30"/>
      <c r="CH132" s="30"/>
      <c r="CI132" s="30"/>
      <c r="CJ132" s="30"/>
      <c r="CK132" s="30"/>
      <c r="CL132" s="30"/>
      <c r="CM132" s="30"/>
      <c r="CN132" s="30"/>
      <c r="CO132" s="30"/>
      <c r="CP132" s="30"/>
      <c r="CQ132" s="30"/>
      <c r="CR132" s="30"/>
      <c r="CS132" s="30"/>
      <c r="CT132" s="30"/>
      <c r="CU132" s="30"/>
      <c r="CV132" s="30"/>
      <c r="CW132" s="30"/>
      <c r="CX132" s="30"/>
      <c r="CY132" s="30"/>
      <c r="CZ132" s="30"/>
      <c r="DA132" s="30"/>
      <c r="DB132" s="30"/>
    </row>
    <row r="133" ht="18" customHeight="1" spans="1:106" x14ac:dyDescent="0.25">
      <c r="A133" s="68" t="s">
        <v>348</v>
      </c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50">
        <v>1756</v>
      </c>
      <c r="AD133" s="50">
        <v>2122</v>
      </c>
      <c r="AE133" s="50">
        <v>1990</v>
      </c>
      <c r="AF133" s="50">
        <v>2131</v>
      </c>
      <c r="AG133" s="50">
        <v>2105</v>
      </c>
      <c r="AH133" s="50">
        <v>2142</v>
      </c>
      <c r="AI133" s="50">
        <v>1989</v>
      </c>
      <c r="AJ133" s="50">
        <v>1940</v>
      </c>
      <c r="AK133" s="50">
        <v>2047</v>
      </c>
      <c r="AL133" s="50">
        <v>1872</v>
      </c>
      <c r="AM133" s="50">
        <v>1762</v>
      </c>
      <c r="AN133" s="50">
        <v>1840</v>
      </c>
      <c r="AO133" s="50">
        <v>2080</v>
      </c>
      <c r="AP133" s="50">
        <v>2075</v>
      </c>
      <c r="AQ133" s="50">
        <v>1806</v>
      </c>
      <c r="AR133" s="50">
        <v>1775</v>
      </c>
      <c r="AS133" s="50">
        <v>1751</v>
      </c>
      <c r="AT133" s="50">
        <v>2339</v>
      </c>
      <c r="AU133" s="50">
        <v>2198</v>
      </c>
      <c r="AV133" s="50">
        <v>1802</v>
      </c>
      <c r="AW133" s="50">
        <v>1999</v>
      </c>
      <c r="AX133" s="50">
        <v>2027</v>
      </c>
      <c r="AY133" s="50">
        <v>2515</v>
      </c>
      <c r="AZ133" s="50">
        <v>2160</v>
      </c>
      <c r="BA133" s="50">
        <v>2115</v>
      </c>
      <c r="BB133" s="50">
        <v>1821</v>
      </c>
      <c r="BC133" s="50">
        <v>1855</v>
      </c>
      <c r="BD133" s="50">
        <v>1903</v>
      </c>
      <c r="BE133" s="50">
        <v>1984</v>
      </c>
      <c r="BF133" s="50">
        <v>1922</v>
      </c>
      <c r="BG133" s="50">
        <v>1963</v>
      </c>
      <c r="BH133" s="50">
        <v>2204</v>
      </c>
      <c r="BI133" s="50">
        <v>2030</v>
      </c>
      <c r="BJ133" s="50">
        <v>2080</v>
      </c>
      <c r="BK133" s="50">
        <v>2045</v>
      </c>
      <c r="BL133" s="50">
        <v>1973</v>
      </c>
      <c r="BM133" s="50">
        <v>1736</v>
      </c>
      <c r="BN133" s="50">
        <v>1658</v>
      </c>
      <c r="BO133" s="50">
        <v>1565</v>
      </c>
      <c r="BP133" s="50">
        <v>1484</v>
      </c>
      <c r="BQ133" s="50">
        <v>1346</v>
      </c>
      <c r="BR133" s="50">
        <v>1364</v>
      </c>
      <c r="BS133" s="50">
        <v>1298</v>
      </c>
      <c r="BT133" s="69">
        <v>1177</v>
      </c>
      <c r="BU133" s="69">
        <v>1367</v>
      </c>
      <c r="BV133" s="50">
        <v>1288</v>
      </c>
      <c r="BW133" s="69">
        <v>1309</v>
      </c>
      <c r="BX133" s="30"/>
      <c r="BY133" s="30"/>
      <c r="BZ133" s="30"/>
      <c r="CA133" s="30"/>
      <c r="CB133" s="30"/>
      <c r="CC133" s="30"/>
      <c r="CD133" s="30"/>
      <c r="CE133" s="30"/>
      <c r="CF133" s="30"/>
      <c r="CG133" s="30"/>
      <c r="CH133" s="30"/>
      <c r="CI133" s="30"/>
      <c r="CJ133" s="30"/>
      <c r="CK133" s="30"/>
      <c r="CL133" s="30"/>
      <c r="CM133" s="30"/>
      <c r="CN133" s="30"/>
      <c r="CO133" s="30"/>
      <c r="CP133" s="30"/>
      <c r="CQ133" s="30"/>
      <c r="CR133" s="30"/>
      <c r="CS133" s="30"/>
      <c r="CT133" s="30"/>
      <c r="CU133" s="30"/>
      <c r="CV133" s="30"/>
      <c r="CW133" s="30"/>
      <c r="CX133" s="30"/>
      <c r="CY133" s="30"/>
      <c r="CZ133" s="30"/>
      <c r="DA133" s="30"/>
      <c r="DB133" s="30"/>
    </row>
    <row r="134" ht="18" customHeight="1" spans="1:106" x14ac:dyDescent="0.25">
      <c r="A134" s="70" t="s">
        <v>349</v>
      </c>
      <c r="C134" s="31">
        <f>=IFERROR(C133/C131,0)</f>
        <v>0</v>
      </c>
      <c r="D134" s="31">
        <f>=IFERROR(D133/D131,0)</f>
        <v>0</v>
      </c>
      <c r="E134" s="31">
        <f>=IFERROR(E133/E131,0)</f>
        <v>0</v>
      </c>
      <c r="F134" s="31">
        <f>=IFERROR(F133/F131,0)</f>
        <v>0</v>
      </c>
      <c r="G134" s="31">
        <f>=IFERROR(G133/G131,0)</f>
        <v>0</v>
      </c>
      <c r="H134" s="31">
        <f>=IFERROR(H133/H131,0)</f>
        <v>0</v>
      </c>
      <c r="I134" s="31">
        <f>=IFERROR(I133/I131,0)</f>
        <v>0</v>
      </c>
      <c r="J134" s="31">
        <f>=IFERROR(J133/J131,0)</f>
        <v>0</v>
      </c>
      <c r="K134" s="31">
        <f>=IFERROR(K133/K131,0)</f>
        <v>0</v>
      </c>
      <c r="L134" s="31">
        <f>=IFERROR(L133/L131,0)</f>
        <v>0</v>
      </c>
      <c r="M134" s="31">
        <f>=IFERROR(M133/M131,0)</f>
        <v>0</v>
      </c>
      <c r="N134" s="31">
        <f>=IFERROR(N133/N131,0)</f>
        <v>0</v>
      </c>
      <c r="O134" s="31">
        <f>=IFERROR(O133/O131,0)</f>
        <v>0</v>
      </c>
      <c r="P134" s="31">
        <f>=IFERROR(P133/P131,0)</f>
        <v>0</v>
      </c>
      <c r="Q134" s="31">
        <f>=IFERROR(Q133/Q131,0)</f>
        <v>0</v>
      </c>
      <c r="R134" s="31">
        <f>=IFERROR(R133/R131,0)</f>
        <v>0</v>
      </c>
      <c r="S134" s="31">
        <f>=IFERROR(S133/S131,0)</f>
        <v>0</v>
      </c>
      <c r="T134" s="31">
        <f>=IFERROR(T133/T131,0)</f>
        <v>0</v>
      </c>
      <c r="U134" s="31">
        <f>=IFERROR(U133/U131,0)</f>
        <v>0</v>
      </c>
      <c r="V134" s="31">
        <f>=IFERROR(V133/V131,0)</f>
        <v>0</v>
      </c>
      <c r="W134" s="31">
        <f>=IFERROR(W133/W131,0)</f>
        <v>0</v>
      </c>
      <c r="X134" s="31">
        <f>=IFERROR(X133/X131,0)</f>
        <v>0</v>
      </c>
      <c r="Y134" s="31">
        <f>=IFERROR(Y133/Y131,0)</f>
        <v>0</v>
      </c>
      <c r="Z134" s="31">
        <f>=IFERROR(Z133/Z131,0)</f>
        <v>0</v>
      </c>
      <c r="AA134" s="31">
        <f>=IFERROR(AA133/AA131,0)</f>
        <v>0</v>
      </c>
      <c r="AB134" s="31">
        <f>=IFERROR(AB133/AB131,0)</f>
        <v>0</v>
      </c>
      <c r="AC134" s="31">
        <f>=IFERROR(AC133/AC131,0)</f>
        <v>0.8633235004916421</v>
      </c>
      <c r="AD134" s="31">
        <f>=IFERROR(AD133/AD131,0)</f>
        <v>1.0432645034414947</v>
      </c>
      <c r="AE134" s="31">
        <f>=IFERROR(AE133/AE131,0)</f>
        <v>0.9783677482792527</v>
      </c>
      <c r="AF134" s="31">
        <f>=IFERROR(AF133/AF131,0)</f>
        <v>1.0476892822025565</v>
      </c>
      <c r="AG134" s="31">
        <f>=IFERROR(AG133/AG131,0)</f>
        <v>1.0349065880039332</v>
      </c>
      <c r="AH134" s="31">
        <f>=IFERROR(AH133/AH131,0)</f>
        <v>1.1919866444073455</v>
      </c>
      <c r="AI134" s="31">
        <f>=IFERROR(AI133/AI131,0)</f>
        <v>1.1068447412353923</v>
      </c>
      <c r="AJ134" s="31">
        <f>=IFERROR(AJ133/AJ131,0)</f>
        <v>1.0795770728992766</v>
      </c>
      <c r="AK134" s="31">
        <f>=IFERROR(AK133/AK131,0)</f>
        <v>1.139120756816917</v>
      </c>
      <c r="AL134" s="31">
        <f>=IFERROR(AL133/AL131,0)</f>
        <v>1.0417362270450752</v>
      </c>
      <c r="AM134" s="31">
        <f>=IFERROR(AM133/AM131,0)</f>
        <v>0.9805230940456316</v>
      </c>
      <c r="AN134" s="31">
        <f>=IFERROR(AN133/AN131,0)</f>
        <v>1.0239287701725097</v>
      </c>
      <c r="AO134" s="31">
        <f>=IFERROR(AO133/AO131,0)</f>
        <v>1.1574846967167502</v>
      </c>
      <c r="AP134" s="31">
        <f>=IFERROR(AP133/AP131,0)</f>
        <v>1.1547022815804118</v>
      </c>
      <c r="AQ134" s="31">
        <f>=IFERROR(AQ133/AQ131,0)</f>
        <v>1.005008347245409</v>
      </c>
      <c r="AR134" s="31">
        <f>=IFERROR(AR133/AR131,0)</f>
        <v>0.9877573734001113</v>
      </c>
      <c r="AS134" s="31">
        <f>=IFERROR(AS133/AS131,0)</f>
        <v>0.9744017807456873</v>
      </c>
      <c r="AT134" s="31">
        <f>=IFERROR(AT133/AT131,0)</f>
        <v>1.3016138007790763</v>
      </c>
      <c r="AU134" s="31">
        <f>=IFERROR(AU133/AU131,0)</f>
        <v>1.223149693934335</v>
      </c>
      <c r="AV134" s="31">
        <f>=IFERROR(AV133/AV131,0)</f>
        <v>1.0027824151363383</v>
      </c>
      <c r="AW134" s="31">
        <f>=IFERROR(AW133/AW131,0)</f>
        <v>1.112409571508069</v>
      </c>
      <c r="AX134" s="31">
        <f>=IFERROR(AX133/AX131,0)</f>
        <v>1.1279910962715638</v>
      </c>
      <c r="AY134" s="31">
        <f>=IFERROR(AY133/AY131,0)</f>
        <v>1.3826278174821331</v>
      </c>
      <c r="AZ134" s="31">
        <f>=IFERROR(AZ133/AZ131,0)</f>
        <v>1.1874656404617923</v>
      </c>
      <c r="BA134" s="31">
        <f>=IFERROR(BA133/BA131,0)</f>
        <v>1.1627267729521715</v>
      </c>
      <c r="BB134" s="31">
        <f>=IFERROR(BB133/BB131,0)</f>
        <v>1.00109950522265</v>
      </c>
      <c r="BC134" s="31">
        <f>=IFERROR(BC133/BC131,0)</f>
        <v>1.0192307692307692</v>
      </c>
      <c r="BD134" s="31">
        <f>=IFERROR(BD133/BD131,0)</f>
        <v>1.0456043956043957</v>
      </c>
      <c r="BE134" s="31">
        <f>=IFERROR(BE133/BE131,0)</f>
        <v>1.09010989010989</v>
      </c>
      <c r="BF134" s="31">
        <f>=IFERROR(BF133/BF131,0)</f>
        <v>1.056043956043956</v>
      </c>
      <c r="BG134" s="31">
        <f>=IFERROR(BG133/BG131,0)</f>
        <v>1.079164376030786</v>
      </c>
      <c r="BH134" s="31">
        <f>=IFERROR(BH133/BH131,0)</f>
        <v>1.2123212321232124</v>
      </c>
      <c r="BI134" s="31">
        <f>=IFERROR(BI133/BI131,0)</f>
        <v>1.1166116611661165</v>
      </c>
      <c r="BJ134" s="31">
        <f>=IFERROR(BJ133/BJ131,0)</f>
        <v>1.1441144114411441</v>
      </c>
      <c r="BK134" s="31">
        <f>=IFERROR(BK133/BK131,0)</f>
        <v>1.124862486248625</v>
      </c>
      <c r="BL134" s="31">
        <f>=IFERROR(BL133/BL131,0)</f>
        <v>1.0912610619469028</v>
      </c>
      <c r="BM134" s="31">
        <f>=IFERROR(BM133/BM131,0)</f>
        <v>1.1265412070084362</v>
      </c>
      <c r="BN134" s="31">
        <f>=IFERROR(BN133/BN131,0)</f>
        <v>1.2102189781021897</v>
      </c>
      <c r="BO134" s="31">
        <f>=IFERROR(BO133/BO131,0)</f>
        <v>1.1423357664233578</v>
      </c>
      <c r="BP134" s="31">
        <f>=IFERROR(BP133/BP131,0)</f>
        <v>1.2771084337349397</v>
      </c>
      <c r="BQ134" s="31">
        <f>=IFERROR(BQ133/BQ131,0)</f>
        <v>1.1583476764199656</v>
      </c>
      <c r="BR134" s="31">
        <f>=IFERROR(BR133/BR131,0)</f>
        <v>1.1738382099827882</v>
      </c>
      <c r="BS134" s="31">
        <f>=IFERROR(BS133/BS131,0)</f>
        <v>1.117039586919105</v>
      </c>
      <c r="BT134" s="31">
        <f>=IFERROR(BT133/BT131,0)</f>
        <v>1.012908777969019</v>
      </c>
      <c r="BU134" s="31">
        <f>=IFERROR(BU133/BU131,0)</f>
        <v>1.1764199655765921</v>
      </c>
      <c r="BV134" s="31">
        <f>=IFERROR(BV133/BV131,0)</f>
        <v>1.108433734939759</v>
      </c>
      <c r="BW134" s="31">
        <f>=IFERROR(BW133/BW131,0)</f>
        <v>1.1265060240963856</v>
      </c>
      <c r="BX134" s="31">
        <f>=IFERROR(BX133/BX131,0)</f>
        <v>0</v>
      </c>
      <c r="BY134" s="31">
        <f>=IFERROR(BY133/BY131,0)</f>
        <v>0</v>
      </c>
      <c r="BZ134" s="31">
        <f>=IFERROR(BZ133/BZ131,0)</f>
        <v>0</v>
      </c>
      <c r="CA134" s="31">
        <f>=IFERROR(CA133/CA131,0)</f>
        <v>0</v>
      </c>
      <c r="CB134" s="31">
        <f>=IFERROR(CB133/CB131,0)</f>
        <v>0</v>
      </c>
      <c r="CC134" s="31">
        <f>=IFERROR(CC133/CC131,0)</f>
        <v>0</v>
      </c>
      <c r="CD134" s="31">
        <f>=IFERROR(CD133/CD131,0)</f>
        <v>0</v>
      </c>
      <c r="CE134" s="31">
        <f>=IFERROR(CE133/CE131,0)</f>
        <v>0</v>
      </c>
      <c r="CF134" s="31">
        <f>=IFERROR(CF133/CF131,0)</f>
        <v>0</v>
      </c>
      <c r="CG134" s="31">
        <f>=IFERROR(CG133/CG131,0)</f>
        <v>0</v>
      </c>
      <c r="CH134" s="31">
        <f>=IFERROR(CH133/CH131,0)</f>
        <v>0</v>
      </c>
      <c r="CI134" s="31">
        <f>=IFERROR(CI133/CI131,0)</f>
        <v>0</v>
      </c>
      <c r="CJ134" s="31">
        <f>=IFERROR(CJ133/CJ131,0)</f>
        <v>0</v>
      </c>
      <c r="CK134" s="31">
        <f>=IFERROR(CK133/CK131,0)</f>
        <v>0</v>
      </c>
      <c r="CL134" s="31">
        <f>=IFERROR(CL133/CL131,0)</f>
        <v>0</v>
      </c>
      <c r="CM134" s="31">
        <f>=IFERROR(CM133/CM131,0)</f>
        <v>0</v>
      </c>
      <c r="CN134" s="31">
        <f>=IFERROR(CN133/CN131,0)</f>
        <v>0</v>
      </c>
      <c r="CO134" s="31">
        <f>=IFERROR(CO133/CO131,0)</f>
        <v>0</v>
      </c>
      <c r="CP134" s="31">
        <f>=IFERROR(CP133/CP131,0)</f>
        <v>0</v>
      </c>
      <c r="CQ134" s="31">
        <f>=IFERROR(CQ133/CQ131,0)</f>
        <v>0</v>
      </c>
      <c r="CR134" s="31">
        <f>=IFERROR(CR133/CR131,0)</f>
        <v>0</v>
      </c>
      <c r="CS134" s="31">
        <f>=IFERROR(CS133/CS131,0)</f>
        <v>0</v>
      </c>
      <c r="CT134" s="31">
        <f>=IFERROR(CT133/CT131,0)</f>
        <v>0</v>
      </c>
      <c r="CU134" s="31">
        <f>=IFERROR(CU133/CU131,0)</f>
        <v>0</v>
      </c>
      <c r="CV134" s="31">
        <f>=IFERROR(CV133/CV131,0)</f>
        <v>0</v>
      </c>
      <c r="CW134" s="31">
        <f>=IFERROR(CW133/CW131,0)</f>
        <v>0</v>
      </c>
      <c r="CX134" s="31">
        <f>=IFERROR(CX133/CX131,0)</f>
        <v>0</v>
      </c>
      <c r="CY134" s="31">
        <f>=IFERROR(CY133/CY131,0)</f>
        <v>0</v>
      </c>
      <c r="CZ134" s="31">
        <f>=IFERROR(CZ133/CZ131,0)</f>
        <v>0</v>
      </c>
      <c r="DA134" s="31">
        <f>=IFERROR(DA133/DA131,0)</f>
        <v>0</v>
      </c>
      <c r="DB134" s="31">
        <f>=IFERROR(DB133/DB131,0)</f>
        <v>0</v>
      </c>
    </row>
    <row r="135" ht="18" customHeight="1" spans="1:75" x14ac:dyDescent="0.25">
      <c r="A135" s="68" t="s">
        <v>350</v>
      </c>
      <c r="AC135" s="50">
        <v>1658</v>
      </c>
      <c r="AD135" s="50">
        <v>1927</v>
      </c>
      <c r="AE135" s="50">
        <v>1729</v>
      </c>
      <c r="AF135" s="50">
        <v>1973</v>
      </c>
      <c r="AG135" s="50">
        <v>1945</v>
      </c>
      <c r="AH135" s="50">
        <v>1836</v>
      </c>
      <c r="AI135" s="50">
        <v>1721</v>
      </c>
      <c r="AJ135" s="50">
        <v>1723</v>
      </c>
      <c r="AK135" s="50">
        <v>1819</v>
      </c>
      <c r="AL135" s="50">
        <v>1665</v>
      </c>
      <c r="AM135" s="50">
        <v>1522</v>
      </c>
      <c r="AN135" s="50">
        <v>1601</v>
      </c>
      <c r="AO135" s="50">
        <v>1626</v>
      </c>
      <c r="AP135" s="50">
        <v>1603</v>
      </c>
      <c r="AQ135" s="50">
        <v>1454</v>
      </c>
      <c r="AR135" s="50">
        <v>1459</v>
      </c>
      <c r="AS135" s="50">
        <v>1437</v>
      </c>
      <c r="AT135" s="50">
        <v>1728</v>
      </c>
      <c r="AU135" s="50">
        <v>1669</v>
      </c>
      <c r="AV135" s="50">
        <v>1512</v>
      </c>
      <c r="AW135" s="50">
        <v>1651</v>
      </c>
      <c r="AX135" s="50">
        <v>1799</v>
      </c>
      <c r="AY135" s="50">
        <v>1644</v>
      </c>
      <c r="AZ135" s="50">
        <v>1602</v>
      </c>
      <c r="BA135" s="50">
        <v>1766</v>
      </c>
      <c r="BB135" s="50">
        <v>1549</v>
      </c>
      <c r="BC135" s="50">
        <v>1547</v>
      </c>
      <c r="BD135" s="50">
        <v>1659</v>
      </c>
      <c r="BE135" s="50">
        <v>1611</v>
      </c>
      <c r="BF135" s="50">
        <v>1606</v>
      </c>
      <c r="BG135" s="50">
        <v>1700</v>
      </c>
      <c r="BH135" s="50">
        <v>1782</v>
      </c>
      <c r="BI135" s="50">
        <v>1684</v>
      </c>
      <c r="BJ135" s="50">
        <v>1772</v>
      </c>
      <c r="BK135" s="50">
        <v>1761</v>
      </c>
      <c r="BL135" s="50">
        <v>1756</v>
      </c>
      <c r="BM135" s="50">
        <v>1510</v>
      </c>
      <c r="BN135" s="50">
        <v>1425</v>
      </c>
      <c r="BO135" s="50">
        <v>1309</v>
      </c>
      <c r="BP135" s="50">
        <v>1269</v>
      </c>
      <c r="BQ135" s="50">
        <v>1184</v>
      </c>
      <c r="BR135" s="50">
        <v>1172</v>
      </c>
      <c r="BS135" s="50">
        <v>1109</v>
      </c>
      <c r="BT135" s="69">
        <v>995</v>
      </c>
      <c r="BU135" s="69">
        <v>1107</v>
      </c>
      <c r="BV135" s="50">
        <v>1005</v>
      </c>
      <c r="BW135" s="69">
        <v>1060</v>
      </c>
    </row>
    <row r="136" ht="18" customHeight="1" spans="1:75" x14ac:dyDescent="0.25">
      <c r="A136" s="68" t="s">
        <v>351</v>
      </c>
      <c r="BN136" s="71"/>
      <c r="BO136" s="71"/>
      <c r="BP136" s="71"/>
      <c r="BQ136" s="71"/>
      <c r="BR136" s="71"/>
      <c r="BS136" s="71"/>
      <c r="BT136" s="71"/>
      <c r="BU136" s="71"/>
      <c r="BV136" s="71"/>
      <c r="BW136" s="71"/>
    </row>
    <row r="137" ht="18" customHeight="1" spans="1:106" x14ac:dyDescent="0.25">
      <c r="A137" s="72" t="s">
        <v>263</v>
      </c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50">
        <v>632</v>
      </c>
      <c r="AD137" s="50">
        <v>333</v>
      </c>
      <c r="AE137" s="50">
        <v>151</v>
      </c>
      <c r="AF137" s="50">
        <v>166</v>
      </c>
      <c r="AG137" s="50">
        <v>177</v>
      </c>
      <c r="AH137" s="50">
        <v>70</v>
      </c>
      <c r="AI137" s="50">
        <v>74</v>
      </c>
      <c r="AJ137" s="50">
        <v>149</v>
      </c>
      <c r="AK137" s="50">
        <v>110</v>
      </c>
      <c r="AL137" s="50">
        <v>157</v>
      </c>
      <c r="AM137" s="50">
        <v>162</v>
      </c>
      <c r="AN137" s="50">
        <v>144</v>
      </c>
      <c r="AO137" s="50">
        <v>143</v>
      </c>
      <c r="AP137" s="50">
        <v>128</v>
      </c>
      <c r="AQ137" s="50">
        <v>159</v>
      </c>
      <c r="AR137" s="50">
        <v>224</v>
      </c>
      <c r="AS137" s="50">
        <v>161</v>
      </c>
      <c r="AT137" s="50">
        <v>73</v>
      </c>
      <c r="AU137" s="50">
        <v>81</v>
      </c>
      <c r="AV137" s="50">
        <v>76</v>
      </c>
      <c r="AW137" s="50">
        <v>115</v>
      </c>
      <c r="AX137" s="50">
        <v>58</v>
      </c>
      <c r="AY137" s="50">
        <v>21</v>
      </c>
      <c r="AZ137" s="50">
        <v>94</v>
      </c>
      <c r="BA137" s="50">
        <v>172</v>
      </c>
      <c r="BB137" s="50">
        <v>136</v>
      </c>
      <c r="BC137" s="50">
        <v>101</v>
      </c>
      <c r="BD137" s="50">
        <v>16</v>
      </c>
      <c r="BE137" s="50">
        <v>42</v>
      </c>
      <c r="BF137" s="50">
        <v>53</v>
      </c>
      <c r="BG137" s="50">
        <v>16</v>
      </c>
      <c r="BH137" s="50">
        <v>16</v>
      </c>
      <c r="BI137" s="50">
        <v>48</v>
      </c>
      <c r="BJ137" s="50">
        <v>72</v>
      </c>
      <c r="BK137" s="50">
        <v>128</v>
      </c>
      <c r="BL137" s="50">
        <v>120</v>
      </c>
      <c r="BM137" s="50">
        <v>141</v>
      </c>
      <c r="BN137" s="50">
        <v>195</v>
      </c>
      <c r="BO137" s="50">
        <v>91</v>
      </c>
      <c r="BP137" s="50">
        <v>16</v>
      </c>
      <c r="BQ137" s="50">
        <v>48</v>
      </c>
      <c r="BR137" s="50">
        <v>49</v>
      </c>
      <c r="BS137" s="50">
        <v>61</v>
      </c>
      <c r="BT137" s="69">
        <v>45</v>
      </c>
      <c r="BU137" s="69">
        <v>73</v>
      </c>
      <c r="BV137" s="50">
        <v>68</v>
      </c>
      <c r="BW137" s="69">
        <v>65</v>
      </c>
      <c r="BX137" s="30"/>
      <c r="BY137" s="30"/>
      <c r="BZ137" s="30"/>
      <c r="CA137" s="30"/>
      <c r="CB137" s="30"/>
      <c r="CC137" s="30"/>
      <c r="CD137" s="30"/>
      <c r="CE137" s="30"/>
      <c r="CF137" s="30"/>
      <c r="CG137" s="30"/>
      <c r="CH137" s="30"/>
      <c r="CI137" s="30"/>
      <c r="CJ137" s="30"/>
      <c r="CK137" s="30"/>
      <c r="CL137" s="30"/>
      <c r="CM137" s="30"/>
      <c r="CN137" s="30"/>
      <c r="CO137" s="30"/>
      <c r="CP137" s="30"/>
      <c r="CQ137" s="30"/>
      <c r="CR137" s="30"/>
      <c r="CS137" s="30"/>
      <c r="CT137" s="30"/>
      <c r="CU137" s="30"/>
      <c r="CV137" s="30"/>
      <c r="CW137" s="30"/>
      <c r="CX137" s="30"/>
      <c r="CY137" s="30"/>
      <c r="CZ137" s="30"/>
      <c r="DA137" s="30"/>
      <c r="DB137" s="30"/>
    </row>
    <row r="138" ht="18" customHeight="1" spans="1:106" x14ac:dyDescent="0.25">
      <c r="A138" s="72" t="s">
        <v>264</v>
      </c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50">
        <v>155</v>
      </c>
      <c r="AD138" s="50">
        <v>140</v>
      </c>
      <c r="AE138" s="50">
        <v>239</v>
      </c>
      <c r="AF138" s="50">
        <v>129</v>
      </c>
      <c r="AG138" s="50">
        <v>126</v>
      </c>
      <c r="AH138" s="50">
        <v>119</v>
      </c>
      <c r="AI138" s="50">
        <v>211</v>
      </c>
      <c r="AJ138" s="50">
        <v>109</v>
      </c>
      <c r="AK138" s="50">
        <v>56</v>
      </c>
      <c r="AL138" s="50">
        <v>133</v>
      </c>
      <c r="AM138" s="50">
        <v>149</v>
      </c>
      <c r="AN138" s="50">
        <v>140</v>
      </c>
      <c r="AO138" s="50">
        <v>114</v>
      </c>
      <c r="AP138" s="50">
        <v>155</v>
      </c>
      <c r="AQ138" s="50">
        <v>98</v>
      </c>
      <c r="AR138" s="50">
        <v>65</v>
      </c>
      <c r="AS138" s="50">
        <v>76</v>
      </c>
      <c r="AT138" s="50">
        <v>65</v>
      </c>
      <c r="AU138" s="50">
        <v>146</v>
      </c>
      <c r="AV138" s="50">
        <v>122</v>
      </c>
      <c r="AW138" s="50">
        <v>138</v>
      </c>
      <c r="AX138" s="50">
        <v>78</v>
      </c>
      <c r="AY138" s="50">
        <v>47</v>
      </c>
      <c r="AZ138" s="50">
        <v>131</v>
      </c>
      <c r="BA138" s="50">
        <v>169</v>
      </c>
      <c r="BB138" s="50">
        <v>17</v>
      </c>
      <c r="BC138" s="50">
        <v>111</v>
      </c>
      <c r="BD138" s="50">
        <v>67</v>
      </c>
      <c r="BE138" s="50">
        <v>227</v>
      </c>
      <c r="BF138" s="50">
        <v>195</v>
      </c>
      <c r="BG138" s="50">
        <v>156</v>
      </c>
      <c r="BH138" s="50">
        <v>96</v>
      </c>
      <c r="BI138" s="50">
        <v>124</v>
      </c>
      <c r="BJ138" s="50">
        <v>91</v>
      </c>
      <c r="BK138" s="50">
        <v>58</v>
      </c>
      <c r="BL138" s="50">
        <v>199</v>
      </c>
      <c r="BM138" s="50">
        <v>114</v>
      </c>
      <c r="BN138" s="50">
        <v>54</v>
      </c>
      <c r="BO138" s="50">
        <v>134</v>
      </c>
      <c r="BP138" s="50">
        <v>60</v>
      </c>
      <c r="BQ138" s="50">
        <v>77</v>
      </c>
      <c r="BR138" s="50">
        <v>97</v>
      </c>
      <c r="BS138" s="50">
        <v>68</v>
      </c>
      <c r="BT138" s="69">
        <v>102</v>
      </c>
      <c r="BU138" s="69">
        <v>73</v>
      </c>
      <c r="BV138" s="50">
        <v>118</v>
      </c>
      <c r="BW138" s="69">
        <v>71</v>
      </c>
      <c r="BX138" s="30"/>
      <c r="BY138" s="30"/>
      <c r="BZ138" s="30"/>
      <c r="CA138" s="30"/>
      <c r="CB138" s="30"/>
      <c r="CC138" s="30"/>
      <c r="CD138" s="30"/>
      <c r="CE138" s="30"/>
      <c r="CF138" s="30"/>
      <c r="CG138" s="30"/>
      <c r="CH138" s="30"/>
      <c r="CI138" s="30"/>
      <c r="CJ138" s="30"/>
      <c r="CK138" s="30"/>
      <c r="CL138" s="30"/>
      <c r="CM138" s="30"/>
      <c r="CN138" s="30"/>
      <c r="CO138" s="30"/>
      <c r="CP138" s="30"/>
      <c r="CQ138" s="30"/>
      <c r="CR138" s="30"/>
      <c r="CS138" s="30"/>
      <c r="CT138" s="30"/>
      <c r="CU138" s="30"/>
      <c r="CV138" s="30"/>
      <c r="CW138" s="30"/>
      <c r="CX138" s="30"/>
      <c r="CY138" s="30"/>
      <c r="CZ138" s="30"/>
      <c r="DA138" s="30"/>
      <c r="DB138" s="30"/>
    </row>
    <row r="139" ht="18" customHeight="1" spans="1:106" x14ac:dyDescent="0.25">
      <c r="A139" s="72" t="s">
        <v>265</v>
      </c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  <c r="BA139" s="30"/>
      <c r="BB139" s="30"/>
      <c r="BC139" s="30"/>
      <c r="BD139" s="30"/>
      <c r="BE139" s="30"/>
      <c r="BF139" s="30"/>
      <c r="BG139" s="30"/>
      <c r="BH139" s="30"/>
      <c r="BI139" s="30"/>
      <c r="BJ139" s="30"/>
      <c r="BK139" s="30"/>
      <c r="BL139" s="30"/>
      <c r="BM139" s="30"/>
      <c r="BN139" s="30"/>
      <c r="BO139" s="30"/>
      <c r="BP139" s="30"/>
      <c r="BQ139" s="30"/>
      <c r="BR139" s="30"/>
      <c r="BS139" s="30"/>
      <c r="BT139" s="30"/>
      <c r="BU139" s="30"/>
      <c r="BV139" s="30"/>
      <c r="BW139" s="30"/>
      <c r="BX139" s="30"/>
      <c r="BY139" s="30"/>
      <c r="BZ139" s="30"/>
      <c r="CA139" s="30"/>
      <c r="CB139" s="30"/>
      <c r="CC139" s="30"/>
      <c r="CD139" s="30"/>
      <c r="CE139" s="30"/>
      <c r="CF139" s="30"/>
      <c r="CG139" s="30"/>
      <c r="CH139" s="30"/>
      <c r="CI139" s="30"/>
      <c r="CJ139" s="30"/>
      <c r="CK139" s="30"/>
      <c r="CL139" s="30"/>
      <c r="CM139" s="30"/>
      <c r="CN139" s="30"/>
      <c r="CO139" s="30"/>
      <c r="CP139" s="30"/>
      <c r="CQ139" s="30"/>
      <c r="CR139" s="30"/>
      <c r="CS139" s="30"/>
      <c r="CT139" s="30"/>
      <c r="CU139" s="30"/>
      <c r="CV139" s="30"/>
      <c r="CW139" s="30"/>
      <c r="CX139" s="30"/>
      <c r="CY139" s="30"/>
      <c r="CZ139" s="30"/>
      <c r="DA139" s="30"/>
      <c r="DB139" s="30"/>
    </row>
    <row r="140" ht="18" customHeight="1" spans="1:106" x14ac:dyDescent="0.25">
      <c r="A140" s="72" t="s">
        <v>266</v>
      </c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  <c r="BA140" s="30"/>
      <c r="BB140" s="30"/>
      <c r="BC140" s="30"/>
      <c r="BD140" s="30"/>
      <c r="BE140" s="30"/>
      <c r="BF140" s="30"/>
      <c r="BG140" s="30"/>
      <c r="BH140" s="30"/>
      <c r="BI140" s="30"/>
      <c r="BJ140" s="30"/>
      <c r="BK140" s="30"/>
      <c r="BL140" s="30"/>
      <c r="BM140" s="30"/>
      <c r="BN140" s="30"/>
      <c r="BO140" s="30"/>
      <c r="BP140" s="30"/>
      <c r="BQ140" s="30"/>
      <c r="BR140" s="30"/>
      <c r="BS140" s="30"/>
      <c r="BT140" s="30"/>
      <c r="BU140" s="30"/>
      <c r="BV140" s="30"/>
      <c r="BW140" s="30"/>
      <c r="BX140" s="30"/>
      <c r="BY140" s="30"/>
      <c r="BZ140" s="30"/>
      <c r="CA140" s="30"/>
      <c r="CB140" s="30"/>
      <c r="CC140" s="30"/>
      <c r="CD140" s="30"/>
      <c r="CE140" s="30"/>
      <c r="CF140" s="30"/>
      <c r="CG140" s="30"/>
      <c r="CH140" s="30"/>
      <c r="CI140" s="30"/>
      <c r="CJ140" s="30"/>
      <c r="CK140" s="30"/>
      <c r="CL140" s="30"/>
      <c r="CM140" s="30"/>
      <c r="CN140" s="30"/>
      <c r="CO140" s="30"/>
      <c r="CP140" s="30"/>
      <c r="CQ140" s="30"/>
      <c r="CR140" s="30"/>
      <c r="CS140" s="30"/>
      <c r="CT140" s="30"/>
      <c r="CU140" s="30"/>
      <c r="CV140" s="30"/>
      <c r="CW140" s="30"/>
      <c r="CX140" s="30"/>
      <c r="CY140" s="30"/>
      <c r="CZ140" s="30"/>
      <c r="DA140" s="30"/>
      <c r="DB140" s="30"/>
    </row>
    <row r="141" ht="18" customHeight="1" spans="1:106" x14ac:dyDescent="0.25">
      <c r="A141" s="68" t="s">
        <v>352</v>
      </c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  <c r="BA141" s="30"/>
      <c r="BB141" s="30"/>
      <c r="BC141" s="30"/>
      <c r="BD141" s="30"/>
      <c r="BE141" s="30"/>
      <c r="BF141" s="30"/>
      <c r="BG141" s="30"/>
      <c r="BH141" s="30"/>
      <c r="BI141" s="30"/>
      <c r="BJ141" s="30"/>
      <c r="BK141" s="30"/>
      <c r="BL141" s="30"/>
      <c r="BM141" s="30"/>
      <c r="BN141" s="30"/>
      <c r="BO141" s="30"/>
      <c r="BP141" s="30"/>
      <c r="BQ141" s="30"/>
      <c r="BR141" s="30"/>
      <c r="BS141" s="30"/>
      <c r="BT141" s="30"/>
      <c r="BU141" s="30"/>
      <c r="BV141" s="30"/>
      <c r="BW141" s="30"/>
      <c r="BX141" s="30"/>
      <c r="BY141" s="30"/>
      <c r="BZ141" s="30"/>
      <c r="CA141" s="30"/>
      <c r="CB141" s="30"/>
      <c r="CC141" s="30"/>
      <c r="CD141" s="30"/>
      <c r="CE141" s="30"/>
      <c r="CF141" s="30"/>
      <c r="CG141" s="30"/>
      <c r="CH141" s="30"/>
      <c r="CI141" s="30"/>
      <c r="CJ141" s="30"/>
      <c r="CK141" s="30"/>
      <c r="CL141" s="30"/>
      <c r="CM141" s="30"/>
      <c r="CN141" s="30"/>
      <c r="CO141" s="30"/>
      <c r="CP141" s="30"/>
      <c r="CQ141" s="30"/>
      <c r="CR141" s="30"/>
      <c r="CS141" s="30"/>
      <c r="CT141" s="30"/>
      <c r="CU141" s="30"/>
      <c r="CV141" s="30"/>
      <c r="CW141" s="30"/>
      <c r="CX141" s="30"/>
      <c r="CY141" s="30"/>
      <c r="CZ141" s="30"/>
      <c r="DA141" s="30"/>
      <c r="DB141" s="30"/>
    </row>
    <row r="142" ht="18" customHeight="1" spans="1:106" x14ac:dyDescent="0.25">
      <c r="A142" s="36" t="s">
        <v>268</v>
      </c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  <c r="BA142" s="30"/>
      <c r="BB142" s="30"/>
      <c r="BC142" s="30"/>
      <c r="BD142" s="30"/>
      <c r="BE142" s="30"/>
      <c r="BF142" s="30"/>
      <c r="BG142" s="30"/>
      <c r="BH142" s="30"/>
      <c r="BI142" s="30"/>
      <c r="BJ142" s="30"/>
      <c r="BK142" s="30"/>
      <c r="BL142" s="30"/>
      <c r="BM142" s="30"/>
      <c r="BN142" s="30"/>
      <c r="BO142" s="30"/>
      <c r="BP142" s="30"/>
      <c r="BQ142" s="30"/>
      <c r="BR142" s="30"/>
      <c r="BS142" s="30"/>
      <c r="BT142" s="30"/>
      <c r="BU142" s="30"/>
      <c r="BV142" s="30"/>
      <c r="BW142" s="30"/>
      <c r="BX142" s="30"/>
      <c r="BY142" s="30"/>
      <c r="BZ142" s="30"/>
      <c r="CA142" s="30"/>
      <c r="CB142" s="30"/>
      <c r="CC142" s="30"/>
      <c r="CD142" s="30"/>
      <c r="CE142" s="30"/>
      <c r="CF142" s="30"/>
      <c r="CG142" s="30"/>
      <c r="CH142" s="30"/>
      <c r="CI142" s="30"/>
      <c r="CJ142" s="30"/>
      <c r="CK142" s="30"/>
      <c r="CL142" s="30"/>
      <c r="CM142" s="30"/>
      <c r="CN142" s="30"/>
      <c r="CO142" s="30"/>
      <c r="CP142" s="30"/>
      <c r="CQ142" s="30"/>
      <c r="CR142" s="30"/>
      <c r="CS142" s="30"/>
      <c r="CT142" s="30"/>
      <c r="CU142" s="30"/>
      <c r="CV142" s="30"/>
      <c r="CW142" s="30"/>
      <c r="CX142" s="30"/>
      <c r="CY142" s="30"/>
      <c r="CZ142" s="30"/>
      <c r="DA142" s="30"/>
      <c r="DB142" s="30"/>
    </row>
    <row r="143" ht="18" customHeight="1" spans="1:1" x14ac:dyDescent="0.25">
      <c r="A143" s="36" t="s">
        <v>269</v>
      </c>
    </row>
    <row r="144" ht="18" customHeight="1" spans="1:1" x14ac:dyDescent="0.25">
      <c r="A144" s="36" t="s">
        <v>288</v>
      </c>
    </row>
    <row r="145" ht="18" customHeight="1" spans="1:106" x14ac:dyDescent="0.25">
      <c r="A145" s="36" t="s">
        <v>272</v>
      </c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30"/>
      <c r="BI145" s="30"/>
      <c r="BJ145" s="30"/>
      <c r="BK145" s="30"/>
      <c r="BL145" s="30"/>
      <c r="BM145" s="30"/>
      <c r="BN145" s="30"/>
      <c r="BO145" s="30"/>
      <c r="BP145" s="30"/>
      <c r="BQ145" s="30"/>
      <c r="BR145" s="30"/>
      <c r="BS145" s="30"/>
      <c r="BT145" s="30"/>
      <c r="BU145" s="30"/>
      <c r="BV145" s="30"/>
      <c r="BW145" s="30"/>
      <c r="BX145" s="30"/>
      <c r="BY145" s="30"/>
      <c r="BZ145" s="30"/>
      <c r="CA145" s="30"/>
      <c r="CB145" s="30"/>
      <c r="CC145" s="30"/>
      <c r="CD145" s="30"/>
      <c r="CE145" s="30"/>
      <c r="CF145" s="30"/>
      <c r="CG145" s="30"/>
      <c r="CH145" s="30"/>
      <c r="CI145" s="30"/>
      <c r="CJ145" s="30"/>
      <c r="CK145" s="30"/>
      <c r="CL145" s="30"/>
      <c r="CM145" s="30"/>
      <c r="CN145" s="30"/>
      <c r="CO145" s="30"/>
      <c r="CP145" s="30"/>
      <c r="CQ145" s="30"/>
      <c r="CR145" s="30"/>
      <c r="CS145" s="30"/>
      <c r="CT145" s="30"/>
      <c r="CU145" s="30"/>
      <c r="CV145" s="30"/>
      <c r="CW145" s="30"/>
      <c r="CX145" s="30"/>
      <c r="CY145" s="30"/>
      <c r="CZ145" s="30"/>
      <c r="DA145" s="30"/>
      <c r="DB145" s="30"/>
    </row>
    <row r="146" ht="18" customHeight="1" spans="1:106" x14ac:dyDescent="0.25">
      <c r="A146" s="36" t="s">
        <v>289</v>
      </c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  <c r="BD146" s="30"/>
      <c r="BE146" s="30"/>
      <c r="BF146" s="30"/>
      <c r="BG146" s="30"/>
      <c r="BH146" s="30"/>
      <c r="BI146" s="30"/>
      <c r="BJ146" s="30"/>
      <c r="BK146" s="30"/>
      <c r="BL146" s="30"/>
      <c r="BM146" s="30"/>
      <c r="BN146" s="30"/>
      <c r="BO146" s="30"/>
      <c r="BP146" s="30"/>
      <c r="BQ146" s="30"/>
      <c r="BR146" s="30"/>
      <c r="BS146" s="30"/>
      <c r="BT146" s="30"/>
      <c r="BU146" s="30"/>
      <c r="BV146" s="30"/>
      <c r="BW146" s="30"/>
      <c r="BX146" s="30"/>
      <c r="BY146" s="30"/>
      <c r="BZ146" s="30"/>
      <c r="CA146" s="30"/>
      <c r="CB146" s="30"/>
      <c r="CC146" s="30"/>
      <c r="CD146" s="30"/>
      <c r="CE146" s="30"/>
      <c r="CF146" s="30"/>
      <c r="CG146" s="30"/>
      <c r="CH146" s="30"/>
      <c r="CI146" s="30"/>
      <c r="CJ146" s="30"/>
      <c r="CK146" s="30"/>
      <c r="CL146" s="30"/>
      <c r="CM146" s="30"/>
      <c r="CN146" s="30"/>
      <c r="CO146" s="30"/>
      <c r="CP146" s="30"/>
      <c r="CQ146" s="30"/>
      <c r="CR146" s="30"/>
      <c r="CS146" s="30"/>
      <c r="CT146" s="30"/>
      <c r="CU146" s="30"/>
      <c r="CV146" s="30"/>
      <c r="CW146" s="30"/>
      <c r="CX146" s="30"/>
      <c r="CY146" s="30"/>
      <c r="CZ146" s="30"/>
      <c r="DA146" s="30"/>
      <c r="DB146" s="30"/>
    </row>
    <row r="147" ht="18" customHeight="1" spans="1:106" x14ac:dyDescent="0.25">
      <c r="A147" s="36" t="s">
        <v>271</v>
      </c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30"/>
      <c r="BI147" s="30"/>
      <c r="BJ147" s="30"/>
      <c r="BK147" s="30"/>
      <c r="BL147" s="30"/>
      <c r="BM147" s="30"/>
      <c r="BN147" s="30"/>
      <c r="BO147" s="30"/>
      <c r="BP147" s="30"/>
      <c r="BQ147" s="30"/>
      <c r="BR147" s="30"/>
      <c r="BS147" s="30"/>
      <c r="BT147" s="30"/>
      <c r="BU147" s="30"/>
      <c r="BV147" s="30"/>
      <c r="BW147" s="30"/>
      <c r="BX147" s="30"/>
      <c r="BY147" s="30"/>
      <c r="BZ147" s="30"/>
      <c r="CA147" s="30"/>
      <c r="CB147" s="30"/>
      <c r="CC147" s="30"/>
      <c r="CD147" s="30"/>
      <c r="CE147" s="30"/>
      <c r="CF147" s="30"/>
      <c r="CG147" s="30"/>
      <c r="CH147" s="30"/>
      <c r="CI147" s="30"/>
      <c r="CJ147" s="30"/>
      <c r="CK147" s="30"/>
      <c r="CL147" s="30"/>
      <c r="CM147" s="30"/>
      <c r="CN147" s="30"/>
      <c r="CO147" s="30"/>
      <c r="CP147" s="30"/>
      <c r="CQ147" s="30"/>
      <c r="CR147" s="30"/>
      <c r="CS147" s="30"/>
      <c r="CT147" s="30"/>
      <c r="CU147" s="30"/>
      <c r="CV147" s="30"/>
      <c r="CW147" s="30"/>
      <c r="CX147" s="30"/>
      <c r="CY147" s="30"/>
      <c r="CZ147" s="30"/>
      <c r="DA147" s="30"/>
      <c r="DB147" s="30"/>
    </row>
    <row r="148" ht="18" customHeight="1" spans="3:106" x14ac:dyDescent="0.25"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  <c r="AU148" s="30"/>
      <c r="AV148" s="30"/>
      <c r="AW148" s="30"/>
      <c r="AX148" s="30"/>
      <c r="AY148" s="30"/>
      <c r="AZ148" s="30"/>
      <c r="BA148" s="30"/>
      <c r="BB148" s="30"/>
      <c r="BC148" s="30"/>
      <c r="BD148" s="30"/>
      <c r="BE148" s="30"/>
      <c r="BF148" s="30"/>
      <c r="BG148" s="30"/>
      <c r="BH148" s="30"/>
      <c r="BI148" s="30"/>
      <c r="BJ148" s="30"/>
      <c r="BK148" s="30"/>
      <c r="BL148" s="30"/>
      <c r="BM148" s="30"/>
      <c r="BN148" s="30"/>
      <c r="BO148" s="30"/>
      <c r="BP148" s="30"/>
      <c r="BQ148" s="30"/>
      <c r="BR148" s="30"/>
      <c r="BS148" s="30"/>
      <c r="BT148" s="30"/>
      <c r="BU148" s="30"/>
      <c r="BV148" s="30"/>
      <c r="BW148" s="30"/>
      <c r="BX148" s="30"/>
      <c r="BY148" s="30"/>
      <c r="BZ148" s="30"/>
      <c r="CA148" s="30"/>
      <c r="CB148" s="30"/>
      <c r="CC148" s="30"/>
      <c r="CD148" s="30"/>
      <c r="CE148" s="30"/>
      <c r="CF148" s="30"/>
      <c r="CG148" s="30"/>
      <c r="CH148" s="30"/>
      <c r="CI148" s="30"/>
      <c r="CJ148" s="30"/>
      <c r="CK148" s="30"/>
      <c r="CL148" s="30"/>
      <c r="CM148" s="30"/>
      <c r="CN148" s="30"/>
      <c r="CO148" s="30"/>
      <c r="CP148" s="30"/>
      <c r="CQ148" s="30"/>
      <c r="CR148" s="30"/>
      <c r="CS148" s="30"/>
      <c r="CT148" s="30"/>
      <c r="CU148" s="30"/>
      <c r="CV148" s="30"/>
      <c r="CW148" s="30"/>
      <c r="CX148" s="30"/>
      <c r="CY148" s="30"/>
      <c r="CZ148" s="30"/>
      <c r="DA148" s="30"/>
      <c r="DB148" s="30"/>
    </row>
    <row r="149" ht="18" customHeight="1" spans="1:106" x14ac:dyDescent="0.25">
      <c r="A149" s="9" t="s">
        <v>353</v>
      </c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0"/>
      <c r="AV149" s="30"/>
      <c r="AW149" s="30"/>
      <c r="AX149" s="30"/>
      <c r="AY149" s="30"/>
      <c r="AZ149" s="30"/>
      <c r="BA149" s="30"/>
      <c r="BB149" s="30"/>
      <c r="BC149" s="30"/>
      <c r="BD149" s="30"/>
      <c r="BE149" s="30"/>
      <c r="BF149" s="30"/>
      <c r="BG149" s="30"/>
      <c r="BH149" s="30"/>
      <c r="BI149" s="30"/>
      <c r="BJ149" s="30"/>
      <c r="BK149" s="30"/>
      <c r="BL149" s="30"/>
      <c r="BM149" s="30"/>
      <c r="BN149" s="30"/>
      <c r="BO149" s="30"/>
      <c r="BP149" s="30"/>
      <c r="BQ149" s="30"/>
      <c r="BR149" s="30"/>
      <c r="BS149" s="30"/>
      <c r="BT149" s="30"/>
      <c r="BU149" s="30"/>
      <c r="BV149" s="30"/>
      <c r="BW149" s="30"/>
      <c r="BX149" s="30"/>
      <c r="BY149" s="30"/>
      <c r="BZ149" s="30"/>
      <c r="CA149" s="30"/>
      <c r="CB149" s="30"/>
      <c r="CC149" s="30"/>
      <c r="CD149" s="30"/>
      <c r="CE149" s="30"/>
      <c r="CF149" s="30"/>
      <c r="CG149" s="30"/>
      <c r="CH149" s="30"/>
      <c r="CI149" s="30"/>
      <c r="CJ149" s="30"/>
      <c r="CK149" s="30"/>
      <c r="CL149" s="30"/>
      <c r="CM149" s="30"/>
      <c r="CN149" s="30"/>
      <c r="CO149" s="30"/>
      <c r="CP149" s="30"/>
      <c r="CQ149" s="30"/>
      <c r="CR149" s="30"/>
      <c r="CS149" s="30"/>
      <c r="CT149" s="30"/>
      <c r="CU149" s="30"/>
      <c r="CV149" s="30"/>
      <c r="CW149" s="30"/>
      <c r="CX149" s="30"/>
      <c r="CY149" s="30"/>
      <c r="CZ149" s="30"/>
      <c r="DA149" s="30"/>
      <c r="DB149" s="30"/>
    </row>
    <row r="150" ht="18" customHeight="1" spans="1:106" x14ac:dyDescent="0.25">
      <c r="A150" s="33" t="s">
        <v>354</v>
      </c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  <c r="AX150" s="30"/>
      <c r="AY150" s="30"/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  <c r="BN150" s="30"/>
      <c r="BO150" s="30"/>
      <c r="BP150" s="30"/>
      <c r="BQ150" s="30"/>
      <c r="BR150" s="30"/>
      <c r="BS150" s="30"/>
      <c r="BT150" s="30"/>
      <c r="BU150" s="30"/>
      <c r="BV150" s="30"/>
      <c r="BW150" s="30"/>
      <c r="BX150" s="30"/>
      <c r="BY150" s="30"/>
      <c r="BZ150" s="30"/>
      <c r="CA150" s="30"/>
      <c r="CB150" s="30"/>
      <c r="CC150" s="30"/>
      <c r="CD150" s="30"/>
      <c r="CE150" s="30"/>
      <c r="CF150" s="30"/>
      <c r="CG150" s="30"/>
      <c r="CH150" s="30"/>
      <c r="CI150" s="30"/>
      <c r="CJ150" s="30"/>
      <c r="CK150" s="30"/>
      <c r="CL150" s="30"/>
      <c r="CM150" s="30"/>
      <c r="CN150" s="30"/>
      <c r="CO150" s="30"/>
      <c r="CP150" s="30"/>
      <c r="CQ150" s="30"/>
      <c r="CR150" s="30"/>
      <c r="CS150" s="30"/>
      <c r="CT150" s="30"/>
      <c r="CU150" s="30"/>
      <c r="CV150" s="30"/>
      <c r="CW150" s="30"/>
      <c r="CX150" s="30"/>
      <c r="CY150" s="30"/>
      <c r="CZ150" s="30"/>
      <c r="DA150" s="30"/>
      <c r="DB150" s="30"/>
    </row>
    <row r="151" ht="18" customHeight="1" spans="1:106" x14ac:dyDescent="0.25">
      <c r="A151" s="17" t="s">
        <v>355</v>
      </c>
      <c r="B151" s="17">
        <v>15</v>
      </c>
      <c r="C151" s="46">
        <f>=IFERROR(ROUND((C19+C23)/$B151,0),0)</f>
        <v>7</v>
      </c>
      <c r="D151" s="46">
        <f>=IFERROR(ROUND((D19+D23)/$B151,0),0)</f>
        <v>7</v>
      </c>
      <c r="E151" s="46">
        <f>=IFERROR(ROUND((E19+E23)/$B151,0),0)</f>
        <v>7</v>
      </c>
      <c r="F151" s="46">
        <f>=IFERROR(ROUND((F19+F23)/$B151,0),0)</f>
        <v>7</v>
      </c>
      <c r="G151" s="46">
        <f>=IFERROR(ROUND((G19+G23)/$B151,0),0)</f>
        <v>7</v>
      </c>
      <c r="H151" s="46">
        <f>=IFERROR(ROUND((H19+H23)/$B151,0),0)</f>
        <v>7</v>
      </c>
      <c r="I151" s="46">
        <f>=IFERROR(ROUND((I19+I23)/$B151,0),0)</f>
        <v>7</v>
      </c>
      <c r="J151" s="46">
        <f>=IFERROR(ROUND((J19+J23)/$B151,0),0)</f>
        <v>7</v>
      </c>
      <c r="K151" s="46">
        <f>=IFERROR(ROUND((K19+K23)/$B151,0),0)</f>
        <v>7</v>
      </c>
      <c r="L151" s="46">
        <f>=IFERROR(ROUND((L19+L23)/$B151,0),0)</f>
        <v>7</v>
      </c>
      <c r="M151" s="46">
        <f>=IFERROR(ROUND((M19+M23)/$B151,0),0)</f>
        <v>6</v>
      </c>
      <c r="N151" s="46">
        <f>=IFERROR(ROUND((N19+N23)/$B151,0),0)</f>
        <v>6</v>
      </c>
      <c r="O151" s="46">
        <f>=IFERROR(ROUND((O19+O23)/$B151,0),0)</f>
        <v>6</v>
      </c>
      <c r="P151" s="46">
        <f>=IFERROR(ROUND((P19+P23)/$B151,0),0)</f>
        <v>5</v>
      </c>
      <c r="Q151" s="46">
        <f>=IFERROR(ROUND((Q19+Q23)/$B151,0),0)</f>
        <v>5</v>
      </c>
      <c r="R151" s="46">
        <f>=IFERROR(ROUND((R19+R23)/$B151,0),0)</f>
        <v>5</v>
      </c>
      <c r="S151" s="46">
        <f>=IFERROR(ROUND((S19+S23)/$B151,0),0)</f>
        <v>5</v>
      </c>
      <c r="T151" s="46">
        <f>=IFERROR(ROUND((T19+T23)/$B151,0),0)</f>
        <v>5</v>
      </c>
      <c r="U151" s="46">
        <f>=IFERROR(ROUND((U19+U23)/$B151,0),0)</f>
        <v>5</v>
      </c>
      <c r="V151" s="46">
        <f>=IFERROR(ROUND((V19+V23)/$B151,0),0)</f>
        <v>4</v>
      </c>
      <c r="W151" s="46">
        <f>=IFERROR(ROUND((W19+W23)/$B151,0),0)</f>
        <v>4</v>
      </c>
      <c r="X151" s="46">
        <f>=IFERROR(ROUND((X19+X23)/$B151,0),0)</f>
        <v>4</v>
      </c>
      <c r="Y151" s="46">
        <f>=IFERROR(ROUND((Y19+Y23)/$B151,0),0)</f>
        <v>4</v>
      </c>
      <c r="Z151" s="46">
        <f>=IFERROR(ROUND((Z19+Z23)/$B151,0),0)</f>
        <v>4</v>
      </c>
      <c r="AA151" s="46">
        <f>=IFERROR(ROUND((AA19+AA23)/$B151,0),0)</f>
        <v>4</v>
      </c>
      <c r="AB151" s="46">
        <f>=IFERROR(ROUND((AB19+AB23)/$B151,0),0)</f>
        <v>4</v>
      </c>
      <c r="AC151" s="46">
        <f>=IFERROR(ROUND((AC19+AC23)/$B151,0),0)</f>
        <v>4</v>
      </c>
      <c r="AD151" s="46">
        <f>=IFERROR(ROUND((AD19+AD23)/$B151,0),0)</f>
        <v>4</v>
      </c>
      <c r="AE151" s="46">
        <f>=IFERROR(ROUND((AE19+AE23)/$B151,0),0)</f>
        <v>4</v>
      </c>
      <c r="AF151" s="46">
        <f>=IFERROR(ROUND((AF19+AF23)/$B151,0),0)</f>
        <v>4</v>
      </c>
      <c r="AG151" s="46">
        <f>=IFERROR(ROUND((AG19+AG23)/$B151,0),0)</f>
        <v>4</v>
      </c>
      <c r="AH151" s="46">
        <f>=IFERROR(ROUND((AH19+AH23)/$B151,0),0)</f>
        <v>4</v>
      </c>
      <c r="AI151" s="46">
        <f>=IFERROR(ROUND((AI19+AI23)/$B151,0),0)</f>
        <v>4</v>
      </c>
      <c r="AJ151" s="46">
        <f>=IFERROR(ROUND((AJ19+AJ23)/$B151,0),0)</f>
        <v>4</v>
      </c>
      <c r="AK151" s="46">
        <f>=IFERROR(ROUND((AK19+AK23)/$B151,0),0)</f>
        <v>4</v>
      </c>
      <c r="AL151" s="46">
        <f>=IFERROR(ROUND((AL19+AL23)/$B151,0),0)</f>
        <v>4</v>
      </c>
      <c r="AM151" s="46">
        <f>=IFERROR(ROUND((AM19+AM23)/$B151,0),0)</f>
        <v>3</v>
      </c>
      <c r="AN151" s="46">
        <f>=IFERROR(ROUND((AN19+AN23)/$B151,0),0)</f>
        <v>3</v>
      </c>
      <c r="AO151" s="46">
        <f>=IFERROR(ROUND((AO19+AO23)/$B151,0),0)</f>
        <v>3</v>
      </c>
      <c r="AP151" s="46">
        <f>=IFERROR(ROUND((AP19+AP23)/$B151,0),0)</f>
        <v>3</v>
      </c>
      <c r="AQ151" s="46">
        <f>=IFERROR(ROUND((AQ19+AQ23)/$B151,0),0)</f>
        <v>3</v>
      </c>
      <c r="AR151" s="46">
        <f>=IFERROR(ROUND((AR19+AR23)/$B151,0),0)</f>
        <v>3</v>
      </c>
      <c r="AS151" s="46">
        <f>=IFERROR(ROUND((AS19+AS23)/$B151,0),0)</f>
        <v>3</v>
      </c>
      <c r="AT151" s="46">
        <f>=IFERROR(ROUND((AT19+AT23)/$B151,0),0)</f>
        <v>3</v>
      </c>
      <c r="AU151" s="46">
        <f>=IFERROR(ROUND((AU19+AU23)/$B151,0),0)</f>
        <v>3</v>
      </c>
      <c r="AV151" s="46">
        <f>=IFERROR(ROUND((AV19+AV23)/$B151,0),0)</f>
        <v>3</v>
      </c>
      <c r="AW151" s="46">
        <f>=IFERROR(ROUND((AW19+AW23)/$B151,0),0)</f>
        <v>3</v>
      </c>
      <c r="AX151" s="46">
        <f>=IFERROR(ROUND((AX19+AX23)/$B151,0),0)</f>
        <v>4</v>
      </c>
      <c r="AY151" s="46">
        <f>=IFERROR(ROUND((AY19+AY23)/$B151,0),0)</f>
        <v>3</v>
      </c>
      <c r="AZ151" s="46">
        <f>=IFERROR(ROUND((AZ19+AZ23)/$B151,0),0)</f>
        <v>3</v>
      </c>
      <c r="BA151" s="46">
        <f>=IFERROR(ROUND((BA19+BA23)/$B151,0),0)</f>
        <v>3</v>
      </c>
      <c r="BB151" s="46">
        <f>=IFERROR(ROUND((BB19+BB23)/$B151,0),0)</f>
        <v>3</v>
      </c>
      <c r="BC151" s="46">
        <f>=IFERROR(ROUND((BC19+BC23)/$B151,0),0)</f>
        <v>4</v>
      </c>
      <c r="BD151" s="73">
        <f>=IFERROR(ROUND((BD19+BD23)/$B151,0),0)</f>
        <v>3</v>
      </c>
      <c r="BE151" s="46">
        <f>=IFERROR(ROUND((BE19+BE23)/$B151,0),0)</f>
        <v>3</v>
      </c>
      <c r="BF151" s="46">
        <f>=IFERROR(ROUND((BF19+BF23)/$B151,0),0)</f>
        <v>3</v>
      </c>
      <c r="BG151" s="46">
        <f>=IFERROR(ROUND((BG19+BG23)/$B151,0),0)</f>
        <v>3</v>
      </c>
      <c r="BH151" s="46">
        <f>=IFERROR(ROUND((BH19+BH23)/$B151,0),0)</f>
        <v>3</v>
      </c>
      <c r="BI151" s="46">
        <f>=IFERROR(ROUND((BI19+BI23)/$B151,0),0)</f>
        <v>3</v>
      </c>
      <c r="BJ151" s="46">
        <f>=IFERROR(ROUND((BJ19+BJ23)/$B151,0),0)</f>
        <v>3</v>
      </c>
      <c r="BK151" s="46">
        <f>=IFERROR(ROUND((BK19+BK23)/$B151,0),0)</f>
        <v>3</v>
      </c>
      <c r="BL151" s="73">
        <f>=IFERROR(ROUND((BL19+BL23)/$B151,0),0)</f>
        <v>4</v>
      </c>
      <c r="BM151" s="46">
        <f>=IFERROR(ROUND((BM19+BM23)/$B151,0),0)</f>
        <v>3</v>
      </c>
      <c r="BN151" s="46">
        <f>=IFERROR(ROUND((BN19+BN23)/$B151,0),0)</f>
        <v>3</v>
      </c>
      <c r="BO151" s="46">
        <f>=IFERROR(ROUND((BO19+BO23)/$B151,0),0)</f>
        <v>3</v>
      </c>
      <c r="BP151" s="46">
        <f>=IFERROR(ROUND((BP19+BP23)/$B151,0),0)</f>
        <v>3</v>
      </c>
      <c r="BQ151" s="46">
        <f>=IFERROR(ROUND((BQ19+BQ23)/$B151,0),0)</f>
        <v>2</v>
      </c>
      <c r="BR151" s="46">
        <f>=IFERROR(ROUND((BR19+BR23)/$B151,0),0)</f>
        <v>3</v>
      </c>
      <c r="BS151" s="46">
        <f>=IFERROR(ROUND((BS19+BS23)/$B151,0),0)</f>
        <v>2</v>
      </c>
      <c r="BT151" s="46">
        <f>=IFERROR(ROUND((BT19+BT23)/$B151,0),0)</f>
        <v>2</v>
      </c>
      <c r="BU151" s="46">
        <f>=IFERROR(ROUND((BU19+BU23)/$B151,0),0)</f>
        <v>2</v>
      </c>
      <c r="BV151" s="46">
        <f>=IFERROR(ROUND((BV19+BV23)/$B151,0),0)</f>
        <v>2</v>
      </c>
      <c r="BW151" s="46">
        <f>=IFERROR(ROUND((BW19+BW23)/$B151,0),0)</f>
        <v>2</v>
      </c>
      <c r="BX151" s="46">
        <f>=IFERROR(ROUND((BX19+BX23)/$B151,0),0)</f>
        <v>2</v>
      </c>
      <c r="BY151" s="73">
        <f>=IFERROR(ROUND((BY19+BY23)/$B151,0),0)</f>
        <v>2</v>
      </c>
      <c r="BZ151" s="46">
        <f>=IFERROR(ROUND((BZ19+BZ23)/$B151,0),0)</f>
        <v>2</v>
      </c>
      <c r="CA151" s="46">
        <f>=IFERROR(ROUND((CA19+CA23)/$B151,0),0)</f>
        <v>2</v>
      </c>
      <c r="CB151" s="46">
        <f>=IFERROR(ROUND((CB19+CB23)/$B151,0),0)</f>
        <v>2</v>
      </c>
      <c r="CC151" s="46">
        <f>=IFERROR(ROUND((CC19+CC23)/$B151,0),0)</f>
        <v>2</v>
      </c>
      <c r="CD151" s="46">
        <f>=IFERROR(ROUND((CD19+CD23)/$B151,0),0)</f>
        <v>2</v>
      </c>
      <c r="CE151" s="46">
        <f>=IFERROR(ROUND((CE19+CE23)/$B151,0),0)</f>
        <v>2</v>
      </c>
      <c r="CF151" s="46">
        <f>=IFERROR(ROUND((CF19+CF23)/$B151,0),0)</f>
        <v>2</v>
      </c>
      <c r="CG151" s="46">
        <f>=IFERROR(ROUND((CG19+CG23)/$B151,0),0)</f>
        <v>2</v>
      </c>
      <c r="CH151" s="46">
        <f>=IFERROR(ROUND((CH19+CH23)/$B151,0),0)</f>
        <v>2</v>
      </c>
      <c r="CI151" s="46">
        <f>=IFERROR(ROUND((CI19+CI23)/$B151,0),0)</f>
        <v>2</v>
      </c>
      <c r="CJ151" s="46">
        <f>=IFERROR(ROUND((CJ19+CJ23)/$B151,0),0)</f>
        <v>2</v>
      </c>
      <c r="CK151" s="46">
        <f>=IFERROR(ROUND((CK19+CK23)/$B151,0),0)</f>
        <v>2</v>
      </c>
      <c r="CL151" s="46">
        <f>=IFERROR(ROUND((CL19+CL23)/$B151,0),0)</f>
        <v>2</v>
      </c>
      <c r="CM151" s="46">
        <f>=IFERROR(ROUND((CM19+CM23)/$B151,0),0)</f>
        <v>2</v>
      </c>
      <c r="CN151" s="46">
        <f>=IFERROR(ROUND((CN19+CN23)/$B151,0),0)</f>
        <v>2</v>
      </c>
      <c r="CO151" s="46">
        <f>=IFERROR(ROUND((CO19+CO23)/$B151,0),0)</f>
        <v>2</v>
      </c>
      <c r="CP151" s="46">
        <f>=IFERROR(ROUND((CP19+CP23)/$B151,0),0)</f>
        <v>1</v>
      </c>
      <c r="CQ151" s="46">
        <f>=IFERROR(ROUND((CQ19+CQ23)/$B151,0),0)</f>
        <v>1</v>
      </c>
      <c r="CR151" s="46">
        <f>=IFERROR(ROUND((CR19+CR23)/$B151,0),0)</f>
        <v>1</v>
      </c>
      <c r="CS151" s="46">
        <f>=IFERROR(ROUND((CS19+CS23)/$B151,0),0)</f>
        <v>1</v>
      </c>
      <c r="CT151" s="73">
        <f>=IFERROR(ROUND((CT19+CT23)/$B151,0),0)</f>
        <v>1</v>
      </c>
      <c r="CU151" s="46">
        <f>=IFERROR(ROUND((CU19+CU23)/$B151,0),0)</f>
        <v>1</v>
      </c>
      <c r="CV151" s="46">
        <f>=IFERROR(ROUND((CV19+CV23)/$B151,0),0)</f>
        <v>1</v>
      </c>
      <c r="CW151" s="73">
        <f>=IFERROR(ROUND((CW19+CW23)/$B151,0),0)</f>
        <v>1</v>
      </c>
      <c r="CX151" s="73">
        <f>=IFERROR(ROUND((CX19+CX23)/$B151,0),0)</f>
        <v>1</v>
      </c>
      <c r="CY151" s="46">
        <f>=IFERROR(ROUND((CY19+CY23)/$B151,0),0)</f>
        <v>1</v>
      </c>
      <c r="CZ151" s="46">
        <f>=IFERROR(ROUND((CZ19+CZ23)/$B151,0),0)</f>
        <v>1</v>
      </c>
      <c r="DA151" s="46">
        <f>=IFERROR(ROUND((DA19+DA23)/$B151,0),0)</f>
        <v>1</v>
      </c>
      <c r="DB151" s="46">
        <f>=IFERROR(ROUND((DB19+DB23)/$B151,0),0)</f>
        <v>1</v>
      </c>
    </row>
    <row r="152" ht="18" customHeight="1" spans="1:106" x14ac:dyDescent="0.25">
      <c r="A152" s="17" t="s">
        <v>356</v>
      </c>
      <c r="B152" s="17">
        <v>15</v>
      </c>
      <c r="C152" s="46">
        <f>=IFERROR(ROUND((C21+C22)/$B152,0),0)</f>
        <v>0</v>
      </c>
      <c r="D152" s="46">
        <f>=IFERROR(ROUND((D21+D22)/$B152,0),0)</f>
        <v>0</v>
      </c>
      <c r="E152" s="46">
        <f>=IFERROR(ROUND((E21+E22)/$B152,0),0)</f>
        <v>0</v>
      </c>
      <c r="F152" s="46">
        <f>=IFERROR(ROUND((F21+F22)/$B152,0),0)</f>
        <v>0</v>
      </c>
      <c r="G152" s="46">
        <f>=IFERROR(ROUND((G21+G22)/$B152,0),0)</f>
        <v>0</v>
      </c>
      <c r="H152" s="46">
        <f>=IFERROR(ROUND((H21+H22)/$B152,0),0)</f>
        <v>0</v>
      </c>
      <c r="I152" s="46">
        <f>=IFERROR(ROUND((I21+I22)/$B152,0),0)</f>
        <v>0</v>
      </c>
      <c r="J152" s="46">
        <f>=IFERROR(ROUND((J21+J22)/$B152,0),0)</f>
        <v>0</v>
      </c>
      <c r="K152" s="46">
        <f>=IFERROR(ROUND((K21+K22)/$B152,0),0)</f>
        <v>0</v>
      </c>
      <c r="L152" s="46">
        <f>=IFERROR(ROUND((L21+L22)/$B152,0),0)</f>
        <v>0</v>
      </c>
      <c r="M152" s="46">
        <f>=IFERROR(ROUND((M21+M22)/$B152,0),0)</f>
        <v>0</v>
      </c>
      <c r="N152" s="46">
        <f>=IFERROR(ROUND((N21+N22)/$B152,0),0)</f>
        <v>0</v>
      </c>
      <c r="O152" s="46">
        <f>=IFERROR(ROUND((O21+O22)/$B152,0),0)</f>
        <v>0</v>
      </c>
      <c r="P152" s="46">
        <f>=IFERROR(ROUND((P21+P22)/$B152,0),0)</f>
        <v>0</v>
      </c>
      <c r="Q152" s="46">
        <f>=IFERROR(ROUND((Q21+Q22)/$B152,0),0)</f>
        <v>0</v>
      </c>
      <c r="R152" s="46">
        <f>=IFERROR(ROUND((R21+R22)/$B152,0),0)</f>
        <v>0</v>
      </c>
      <c r="S152" s="46">
        <f>=IFERROR(ROUND((S21+S22)/$B152,0),0)</f>
        <v>0</v>
      </c>
      <c r="T152" s="46">
        <f>=IFERROR(ROUND((T21+T22)/$B152,0),0)</f>
        <v>0</v>
      </c>
      <c r="U152" s="46">
        <f>=IFERROR(ROUND((U21+U22)/$B152,0),0)</f>
        <v>0</v>
      </c>
      <c r="V152" s="46">
        <f>=IFERROR(ROUND((V21+V22)/$B152,0),0)</f>
        <v>0</v>
      </c>
      <c r="W152" s="46">
        <f>=IFERROR(ROUND((W21+W22)/$B152,0),0)</f>
        <v>0</v>
      </c>
      <c r="X152" s="46">
        <f>=IFERROR(ROUND((X21+X22)/$B152,0),0)</f>
        <v>0</v>
      </c>
      <c r="Y152" s="46">
        <f>=IFERROR(ROUND((Y21+Y22)/$B152,0),0)</f>
        <v>0</v>
      </c>
      <c r="Z152" s="46">
        <f>=IFERROR(ROUND((Z21+Z22)/$B152,0),0)</f>
        <v>0</v>
      </c>
      <c r="AA152" s="46">
        <f>=IFERROR(ROUND((AA21+AA22)/$B152,0),0)</f>
        <v>0</v>
      </c>
      <c r="AB152" s="46">
        <f>=IFERROR(ROUND((AB21+AB22)/$B152,0),0)</f>
        <v>0</v>
      </c>
      <c r="AC152" s="46">
        <f>=IFERROR(ROUND((AC21+AC22)/$B152,0),0)</f>
        <v>0</v>
      </c>
      <c r="AD152" s="46">
        <f>=IFERROR(ROUND((AD21+AD22)/$B152,0),0)</f>
        <v>0</v>
      </c>
      <c r="AE152" s="46">
        <f>=IFERROR(ROUND((AE21+AE22)/$B152,0),0)</f>
        <v>0</v>
      </c>
      <c r="AF152" s="46">
        <f>=IFERROR(ROUND((AF21+AF22)/$B152,0),0)</f>
        <v>0</v>
      </c>
      <c r="AG152" s="46">
        <f>=IFERROR(ROUND((AG21+AG22)/$B152,0),0)</f>
        <v>0</v>
      </c>
      <c r="AH152" s="46">
        <f>=IFERROR(ROUND((AH21+AH22)/$B152,0),0)</f>
        <v>0</v>
      </c>
      <c r="AI152" s="46">
        <f>=IFERROR(ROUND((AI21+AI22)/$B152,0),0)</f>
        <v>0</v>
      </c>
      <c r="AJ152" s="46">
        <f>=IFERROR(ROUND((AJ21+AJ22)/$B152,0),0)</f>
        <v>0</v>
      </c>
      <c r="AK152" s="46">
        <f>=IFERROR(ROUND((AK21+AK22)/$B152,0),0)</f>
        <v>0</v>
      </c>
      <c r="AL152" s="46">
        <f>=IFERROR(ROUND((AL21+AL22)/$B152,0),0)</f>
        <v>0</v>
      </c>
      <c r="AM152" s="46">
        <f>=IFERROR(ROUND((AM21+AM22)/$B152,0),0)</f>
        <v>0</v>
      </c>
      <c r="AN152" s="46">
        <f>=IFERROR(ROUND((AN21+AN22)/$B152,0),0)</f>
        <v>0</v>
      </c>
      <c r="AO152" s="46">
        <f>=IFERROR(ROUND((AO21+AO22)/$B152,0),0)</f>
        <v>0</v>
      </c>
      <c r="AP152" s="46">
        <f>=IFERROR(ROUND((AP21+AP22)/$B152,0),0)</f>
        <v>0</v>
      </c>
      <c r="AQ152" s="46">
        <f>=IFERROR(ROUND((AQ21+AQ22)/$B152,0),0)</f>
        <v>1</v>
      </c>
      <c r="AR152" s="46">
        <f>=IFERROR(ROUND((AR21+AR22)/$B152,0),0)</f>
        <v>1</v>
      </c>
      <c r="AS152" s="46">
        <f>=IFERROR(ROUND((AS21+AS22)/$B152,0),0)</f>
        <v>0</v>
      </c>
      <c r="AT152" s="46">
        <f>=IFERROR(ROUND((AT21+AT22)/$B152,0),0)</f>
        <v>0</v>
      </c>
      <c r="AU152" s="46">
        <f>=IFERROR(ROUND((AU21+AU22)/$B152,0),0)</f>
        <v>0</v>
      </c>
      <c r="AV152" s="46">
        <f>=IFERROR(ROUND((AV21+AV22)/$B152,0),0)</f>
        <v>1</v>
      </c>
      <c r="AW152" s="46">
        <f>=IFERROR(ROUND((AW21+AW22)/$B152,0),0)</f>
        <v>1</v>
      </c>
      <c r="AX152" s="46">
        <f>=IFERROR(ROUND((AX21+AX22)/$B152,0),0)</f>
        <v>0</v>
      </c>
      <c r="AY152" s="46">
        <f>=IFERROR(ROUND((AY21+AY22)/$B152,0),0)</f>
        <v>0</v>
      </c>
      <c r="AZ152" s="46">
        <f>=IFERROR(ROUND((AZ21+AZ22)/$B152,0),0)</f>
        <v>0</v>
      </c>
      <c r="BA152" s="46">
        <f>=IFERROR(ROUND((BA21+BA22)/$B152,0),0)</f>
        <v>1</v>
      </c>
      <c r="BB152" s="46">
        <f>=IFERROR(ROUND((BB21+BB22)/$B152,0),0)</f>
        <v>1</v>
      </c>
      <c r="BC152" s="46">
        <f>=IFERROR(ROUND((BC21+BC22)/$B152,0),0)</f>
        <v>0</v>
      </c>
      <c r="BD152" s="46">
        <f>=IFERROR(ROUND((BD21+BD22)/$B152,0),0)</f>
        <v>0</v>
      </c>
      <c r="BE152" s="46">
        <f>=IFERROR(ROUND((BE21+BE22)/$B152,0),0)</f>
        <v>0</v>
      </c>
      <c r="BF152" s="46">
        <f>=IFERROR(ROUND((BF21+BF22)/$B152,0),0)</f>
        <v>0</v>
      </c>
      <c r="BG152" s="46">
        <f>=IFERROR(ROUND((BG21+BG22)/$B152,0),0)</f>
        <v>0</v>
      </c>
      <c r="BH152" s="46">
        <f>=IFERROR(ROUND((BH21+BH22)/$B152,0),0)</f>
        <v>0</v>
      </c>
      <c r="BI152" s="46">
        <f>=IFERROR(ROUND((BI21+BI22)/$B152,0),0)</f>
        <v>0</v>
      </c>
      <c r="BJ152" s="46">
        <f>=IFERROR(ROUND((BJ21+BJ22)/$B152,0),0)</f>
        <v>0</v>
      </c>
      <c r="BK152" s="46">
        <f>=IFERROR(ROUND((BK21+BK22)/$B152,0),0)</f>
        <v>0</v>
      </c>
      <c r="BL152" s="46">
        <f>=IFERROR(ROUND((BL21+BL22)/$B152,0),0)</f>
        <v>0</v>
      </c>
      <c r="BM152" s="46">
        <f>=IFERROR(ROUND((BM21+BM22)/$B152,0),0)</f>
        <v>0</v>
      </c>
      <c r="BN152" s="46">
        <f>=IFERROR(ROUND((BN21+BN22)/$B152,0),0)</f>
        <v>0</v>
      </c>
      <c r="BO152" s="46">
        <f>=IFERROR(ROUND((BO21+BO22)/$B152,0),0)</f>
        <v>0</v>
      </c>
      <c r="BP152" s="46">
        <f>=IFERROR(ROUND((BP21+BP22)/$B152,0),0)</f>
        <v>0</v>
      </c>
      <c r="BQ152" s="46">
        <f>=IFERROR(ROUND((BQ21+BQ22)/$B152,0),0)</f>
        <v>0</v>
      </c>
      <c r="BR152" s="46">
        <f>=IFERROR(ROUND((BR21+BR22)/$B152,0),0)</f>
        <v>0</v>
      </c>
      <c r="BS152" s="46">
        <f>=IFERROR(ROUND((BS21+BS22)/$B152,0),0)</f>
        <v>0</v>
      </c>
      <c r="BT152" s="46">
        <f>=IFERROR(ROUND((BT21+BT22)/$B152,0),0)</f>
        <v>0</v>
      </c>
      <c r="BU152" s="46">
        <f>=IFERROR(ROUND((BU21+BU22)/$B152,0),0)</f>
        <v>0</v>
      </c>
      <c r="BV152" s="46">
        <f>=IFERROR(ROUND((BV21+BV22)/$B152,0),0)</f>
        <v>0</v>
      </c>
      <c r="BW152" s="46">
        <f>=IFERROR(ROUND((BW21+BW22)/$B152,0),0)</f>
        <v>0</v>
      </c>
      <c r="BX152" s="46">
        <f>=IFERROR(ROUND((BX21+BX22)/$B152,0),0)</f>
        <v>0</v>
      </c>
      <c r="BY152" s="46">
        <f>=IFERROR(ROUND((BY21+BY22)/$B152,0),0)</f>
        <v>0</v>
      </c>
      <c r="BZ152" s="46">
        <f>=IFERROR(ROUND((BZ21+BZ22)/$B152,0),0)</f>
        <v>0</v>
      </c>
      <c r="CA152" s="46">
        <f>=IFERROR(ROUND((CA21+CA22)/$B152,0),0)</f>
        <v>0</v>
      </c>
      <c r="CB152" s="46">
        <f>=IFERROR(ROUND((CB21+CB22)/$B152,0),0)</f>
        <v>0</v>
      </c>
      <c r="CC152" s="46">
        <f>=IFERROR(ROUND((CC21+CC22)/$B152,0),0)</f>
        <v>0</v>
      </c>
      <c r="CD152" s="46">
        <f>=IFERROR(ROUND((CD21+CD22)/$B152,0),0)</f>
        <v>0</v>
      </c>
      <c r="CE152" s="46">
        <f>=IFERROR(ROUND((CE21+CE22)/$B152,0),0)</f>
        <v>0</v>
      </c>
      <c r="CF152" s="46">
        <f>=IFERROR(ROUND((CF21+CF22)/$B152,0),0)</f>
        <v>0</v>
      </c>
      <c r="CG152" s="46">
        <f>=IFERROR(ROUND((CG21+CG22)/$B152,0),0)</f>
        <v>0</v>
      </c>
      <c r="CH152" s="46">
        <f>=IFERROR(ROUND((CH21+CH22)/$B152,0),0)</f>
        <v>0</v>
      </c>
      <c r="CI152" s="46">
        <f>=IFERROR(ROUND((CI21+CI22)/$B152,0),0)</f>
        <v>0</v>
      </c>
      <c r="CJ152" s="46">
        <f>=IFERROR(ROUND((CJ21+CJ22)/$B152,0),0)</f>
        <v>0</v>
      </c>
      <c r="CK152" s="46">
        <f>=IFERROR(ROUND((CK21+CK22)/$B152,0),0)</f>
        <v>0</v>
      </c>
      <c r="CL152" s="46">
        <f>=IFERROR(ROUND((CL21+CL22)/$B152,0),0)</f>
        <v>0</v>
      </c>
      <c r="CM152" s="46">
        <f>=IFERROR(ROUND((CM21+CM22)/$B152,0),0)</f>
        <v>0</v>
      </c>
      <c r="CN152" s="46">
        <f>=IFERROR(ROUND((CN21+CN22)/$B152,0),0)</f>
        <v>0</v>
      </c>
      <c r="CO152" s="46">
        <f>=IFERROR(ROUND((CO21+CO22)/$B152,0),0)</f>
        <v>0</v>
      </c>
      <c r="CP152" s="46">
        <f>=IFERROR(ROUND((CP21+CP22)/$B152,0),0)</f>
        <v>0</v>
      </c>
      <c r="CQ152" s="46">
        <f>=IFERROR(ROUND((CQ21+CQ22)/$B152,0),0)</f>
        <v>0</v>
      </c>
      <c r="CR152" s="46">
        <f>=IFERROR(ROUND((CR21+CR22)/$B152,0),0)</f>
        <v>0</v>
      </c>
      <c r="CS152" s="46">
        <f>=IFERROR(ROUND((CS21+CS22)/$B152,0),0)</f>
        <v>0</v>
      </c>
      <c r="CT152" s="46">
        <f>=IFERROR(ROUND((CT21+CT22)/$B152,0),0)</f>
        <v>0</v>
      </c>
      <c r="CU152" s="46">
        <f>=IFERROR(ROUND((CU21+CU22)/$B152,0),0)</f>
        <v>0</v>
      </c>
      <c r="CV152" s="46">
        <f>=IFERROR(ROUND((CV21+CV22)/$B152,0),0)</f>
        <v>0</v>
      </c>
      <c r="CW152" s="46">
        <f>=IFERROR(ROUND((CW21+CW22)/$B152,0),0)</f>
        <v>0</v>
      </c>
      <c r="CX152" s="46">
        <f>=IFERROR(ROUND((CX21+CX22)/$B152,0),0)</f>
        <v>0</v>
      </c>
      <c r="CY152" s="46">
        <f>=IFERROR(ROUND((CY21+CY22)/$B152,0),0)</f>
        <v>0</v>
      </c>
      <c r="CZ152" s="46">
        <f>=IFERROR(ROUND((CZ21+CZ22)/$B152,0),0)</f>
        <v>0</v>
      </c>
      <c r="DA152" s="46">
        <f>=IFERROR(ROUND((DA21+DA22)/$B152,0),0)</f>
        <v>0</v>
      </c>
      <c r="DB152" s="46">
        <f>=IFERROR(ROUND((DB21+DB22)/$B152,0),0)</f>
        <v>0</v>
      </c>
    </row>
    <row r="153" ht="18" customHeight="1" spans="1:106" x14ac:dyDescent="0.25">
      <c r="A153" s="17" t="s">
        <v>357</v>
      </c>
      <c r="B153" s="17">
        <v>15</v>
      </c>
      <c r="C153" s="46">
        <f>=IFERROR(ROUND((C19+C23)/$B153,0),0)</f>
        <v>7</v>
      </c>
      <c r="D153" s="46">
        <f>=IFERROR(ROUND((D19+D23)/$B153,0),0)</f>
        <v>7</v>
      </c>
      <c r="E153" s="46">
        <f>=IFERROR(ROUND((E19+E23)/$B153,0),0)</f>
        <v>7</v>
      </c>
      <c r="F153" s="46">
        <f>=IFERROR(ROUND((F19+F23)/$B153,0),0)</f>
        <v>7</v>
      </c>
      <c r="G153" s="46">
        <f>=IFERROR(ROUND((G19+G23)/$B153,0),0)</f>
        <v>7</v>
      </c>
      <c r="H153" s="46">
        <f>=IFERROR(ROUND((H19+H23)/$B153,0),0)</f>
        <v>7</v>
      </c>
      <c r="I153" s="46">
        <f>=IFERROR(ROUND((I19+I23)/$B153,0),0)</f>
        <v>7</v>
      </c>
      <c r="J153" s="46">
        <f>=IFERROR(ROUND((J19+J23)/$B153,0),0)</f>
        <v>7</v>
      </c>
      <c r="K153" s="46">
        <f>=IFERROR(ROUND((K19+K23)/$B153,0),0)</f>
        <v>7</v>
      </c>
      <c r="L153" s="46">
        <f>=IFERROR(ROUND((L19+L23)/$B153,0),0)</f>
        <v>7</v>
      </c>
      <c r="M153" s="46">
        <f>=IFERROR(ROUND((M19+M23)/$B153,0),0)</f>
        <v>6</v>
      </c>
      <c r="N153" s="46">
        <f>=IFERROR(ROUND((N19+N23)/$B153,0),0)</f>
        <v>6</v>
      </c>
      <c r="O153" s="46">
        <f>=IFERROR(ROUND((O19+O23)/$B153,0),0)</f>
        <v>6</v>
      </c>
      <c r="P153" s="46">
        <f>=IFERROR(ROUND((P19+P23)/$B153,0),0)</f>
        <v>5</v>
      </c>
      <c r="Q153" s="46">
        <f>=IFERROR(ROUND((Q19+Q23)/$B153,0),0)</f>
        <v>5</v>
      </c>
      <c r="R153" s="46">
        <f>=IFERROR(ROUND((R19+R23)/$B153,0),0)</f>
        <v>5</v>
      </c>
      <c r="S153" s="46">
        <f>=IFERROR(ROUND((S19+S23)/$B153,0),0)</f>
        <v>5</v>
      </c>
      <c r="T153" s="46">
        <f>=IFERROR(ROUND((T19+T23)/$B153,0),0)</f>
        <v>5</v>
      </c>
      <c r="U153" s="46">
        <f>=IFERROR(ROUND((U19+U23)/$B153,0),0)</f>
        <v>5</v>
      </c>
      <c r="V153" s="46">
        <f>=IFERROR(ROUND((V19+V23)/$B153,0),0)</f>
        <v>4</v>
      </c>
      <c r="W153" s="46">
        <f>=IFERROR(ROUND((W19+W23)/$B153,0),0)</f>
        <v>4</v>
      </c>
      <c r="X153" s="46">
        <f>=IFERROR(ROUND((X19+X23)/$B153,0),0)</f>
        <v>4</v>
      </c>
      <c r="Y153" s="46">
        <f>=IFERROR(ROUND((Y19+Y23)/$B153,0),0)</f>
        <v>4</v>
      </c>
      <c r="Z153" s="46">
        <f>=IFERROR(ROUND((Z19+Z23)/$B153,0),0)</f>
        <v>4</v>
      </c>
      <c r="AA153" s="46">
        <f>=IFERROR(ROUND((AA19+AA23)/$B153,0),0)</f>
        <v>4</v>
      </c>
      <c r="AB153" s="46">
        <f>=IFERROR(ROUND((AB19+AB23)/$B153,0),0)</f>
        <v>4</v>
      </c>
      <c r="AC153" s="46">
        <f>=IFERROR(ROUND((AC19+AC23)/$B153,0),0)</f>
        <v>4</v>
      </c>
      <c r="AD153" s="46">
        <f>=IFERROR(ROUND((AD19+AD23)/$B153,0),0)</f>
        <v>4</v>
      </c>
      <c r="AE153" s="46">
        <f>=IFERROR(ROUND((AE19+AE23)/$B153,0),0)</f>
        <v>4</v>
      </c>
      <c r="AF153" s="46">
        <f>=IFERROR(ROUND((AF19+AF23)/$B153,0),0)</f>
        <v>4</v>
      </c>
      <c r="AG153" s="46">
        <f>=IFERROR(ROUND((AG19+AG23)/$B153,0),0)</f>
        <v>4</v>
      </c>
      <c r="AH153" s="46">
        <f>=IFERROR(ROUND((AH19+AH23)/$B153,0),0)</f>
        <v>4</v>
      </c>
      <c r="AI153" s="46">
        <f>=IFERROR(ROUND((AI19+AI23)/$B153,0),0)</f>
        <v>4</v>
      </c>
      <c r="AJ153" s="46">
        <f>=IFERROR(ROUND((AJ19+AJ23)/$B153,0),0)</f>
        <v>4</v>
      </c>
      <c r="AK153" s="46">
        <f>=IFERROR(ROUND((AK19+AK23)/$B153,0),0)</f>
        <v>4</v>
      </c>
      <c r="AL153" s="46">
        <f>=IFERROR(ROUND((AL19+AL23)/$B153,0),0)</f>
        <v>4</v>
      </c>
      <c r="AM153" s="46">
        <f>=IFERROR(ROUND((AM19+AM23)/$B153,0),0)</f>
        <v>3</v>
      </c>
      <c r="AN153" s="46">
        <f>=IFERROR(ROUND((AN19+AN23)/$B153,0),0)</f>
        <v>3</v>
      </c>
      <c r="AO153" s="46">
        <f>=IFERROR(ROUND((AO19+AO23)/$B153,0),0)</f>
        <v>3</v>
      </c>
      <c r="AP153" s="46">
        <f>=IFERROR(ROUND((AP19+AP23)/$B153,0),0)</f>
        <v>3</v>
      </c>
      <c r="AQ153" s="46">
        <f>=IFERROR(ROUND((AQ19+AQ23)/$B153,0),0)</f>
        <v>3</v>
      </c>
      <c r="AR153" s="46">
        <f>=IFERROR(ROUND((AR19+AR23)/$B153,0),0)</f>
        <v>3</v>
      </c>
      <c r="AS153" s="46">
        <f>=IFERROR(ROUND((AS19+AS23)/$B153,0),0)</f>
        <v>3</v>
      </c>
      <c r="AT153" s="46">
        <f>=IFERROR(ROUND((AT19+AT23)/$B153,0),0)</f>
        <v>3</v>
      </c>
      <c r="AU153" s="46">
        <f>=IFERROR(ROUND((AU19+AU23)/$B153,0),0)</f>
        <v>3</v>
      </c>
      <c r="AV153" s="46">
        <f>=IFERROR(ROUND((AV19+AV23)/$B153,0),0)</f>
        <v>3</v>
      </c>
      <c r="AW153" s="46">
        <f>=IFERROR(ROUND((AW19+AW23)/$B153,0),0)</f>
        <v>3</v>
      </c>
      <c r="AX153" s="46">
        <f>=IFERROR(ROUND((AX19+AX23)/$B153,0),0)</f>
        <v>4</v>
      </c>
      <c r="AY153" s="46">
        <f>=IFERROR(ROUND((AY19+AY23)/$B153,0),0)</f>
        <v>3</v>
      </c>
      <c r="AZ153" s="46">
        <f>=IFERROR(ROUND((AZ19+AZ23)/$B153,0),0)</f>
        <v>3</v>
      </c>
      <c r="BA153" s="46">
        <f>=IFERROR(ROUND((BA19+BA23)/$B153,0),0)</f>
        <v>3</v>
      </c>
      <c r="BB153" s="46">
        <f>=IFERROR(ROUND((BB19+BB23)/$B153,0),0)</f>
        <v>3</v>
      </c>
      <c r="BC153" s="46">
        <f>=IFERROR(ROUND((BC19+BC23)/$B153,0),0)</f>
        <v>4</v>
      </c>
      <c r="BD153" s="73">
        <f>=IFERROR(ROUND((BD19+BD23)/$B153,0),0)</f>
        <v>3</v>
      </c>
      <c r="BE153" s="46">
        <f>=IFERROR(ROUND((BE19+BE23)/$B153,0),0)</f>
        <v>3</v>
      </c>
      <c r="BF153" s="46">
        <f>=IFERROR(ROUND((BF19+BF23)/$B153,0),0)</f>
        <v>3</v>
      </c>
      <c r="BG153" s="46">
        <f>=IFERROR(ROUND((BG19+BG23)/$B153,0),0)</f>
        <v>3</v>
      </c>
      <c r="BH153" s="46">
        <f>=IFERROR(ROUND((BH19+BH23)/$B153,0),0)</f>
        <v>3</v>
      </c>
      <c r="BI153" s="46">
        <f>=IFERROR(ROUND((BI19+BI23)/$B153,0),0)</f>
        <v>3</v>
      </c>
      <c r="BJ153" s="46">
        <f>=IFERROR(ROUND((BJ19+BJ23)/$B153,0),0)</f>
        <v>3</v>
      </c>
      <c r="BK153" s="46">
        <f>=IFERROR(ROUND((BK19+BK23)/$B153,0),0)</f>
        <v>3</v>
      </c>
      <c r="BL153" s="73">
        <f>=IFERROR(ROUND((BL19+BL23)/$B153,0),0)</f>
        <v>4</v>
      </c>
      <c r="BM153" s="46">
        <f>=IFERROR(ROUND((BM19+BM23)/$B153,0),0)</f>
        <v>3</v>
      </c>
      <c r="BN153" s="46">
        <f>=IFERROR(ROUND((BN19+BN23)/$B153,0),0)</f>
        <v>3</v>
      </c>
      <c r="BO153" s="46">
        <f>=IFERROR(ROUND((BO19+BO23)/$B153,0),0)</f>
        <v>3</v>
      </c>
      <c r="BP153" s="46">
        <f>=IFERROR(ROUND((BP19+BP23)/$B153,0),0)</f>
        <v>3</v>
      </c>
      <c r="BQ153" s="46">
        <f>=IFERROR(ROUND((BQ19+BQ23)/$B153,0),0)</f>
        <v>2</v>
      </c>
      <c r="BR153" s="46">
        <f>=IFERROR(ROUND((BR19+BR23)/$B153,0),0)</f>
        <v>3</v>
      </c>
      <c r="BS153" s="46">
        <f>=IFERROR(ROUND((BS19+BS23)/$B153,0),0)</f>
        <v>2</v>
      </c>
      <c r="BT153" s="46">
        <f>=IFERROR(ROUND((BT19+BT23)/$B153,0),0)</f>
        <v>2</v>
      </c>
      <c r="BU153" s="46">
        <f>=IFERROR(ROUND((BU19+BU23)/$B153,0),0)</f>
        <v>2</v>
      </c>
      <c r="BV153" s="46">
        <f>=IFERROR(ROUND((BV19+BV23)/$B153,0),0)</f>
        <v>2</v>
      </c>
      <c r="BW153" s="46">
        <f>=IFERROR(ROUND((BW19+BW23)/$B153,0),0)</f>
        <v>2</v>
      </c>
      <c r="BX153" s="46">
        <f>=IFERROR(ROUND((BX19+BX23)/$B153,0),0)</f>
        <v>2</v>
      </c>
      <c r="BY153" s="73">
        <f>=IFERROR(ROUND((BY19+BY23)/$B153,0),0)</f>
        <v>2</v>
      </c>
      <c r="BZ153" s="46">
        <f>=IFERROR(ROUND((BZ19+BZ23)/$B153,0),0)</f>
        <v>2</v>
      </c>
      <c r="CA153" s="46">
        <f>=IFERROR(ROUND((CA19+CA23)/$B153,0),0)</f>
        <v>2</v>
      </c>
      <c r="CB153" s="46">
        <f>=IFERROR(ROUND((CB19+CB23)/$B153,0),0)</f>
        <v>2</v>
      </c>
      <c r="CC153" s="46">
        <f>=IFERROR(ROUND((CC19+CC23)/$B153,0),0)</f>
        <v>2</v>
      </c>
      <c r="CD153" s="46">
        <f>=IFERROR(ROUND((CD19+CD23)/$B153,0),0)</f>
        <v>2</v>
      </c>
      <c r="CE153" s="46">
        <f>=IFERROR(ROUND((CE19+CE23)/$B153,0),0)</f>
        <v>2</v>
      </c>
      <c r="CF153" s="46">
        <f>=IFERROR(ROUND((CF19+CF23)/$B153,0),0)</f>
        <v>2</v>
      </c>
      <c r="CG153" s="46">
        <f>=IFERROR(ROUND((CG19+CG23)/$B153,0),0)</f>
        <v>2</v>
      </c>
      <c r="CH153" s="46">
        <f>=IFERROR(ROUND((CH19+CH23)/$B153,0),0)</f>
        <v>2</v>
      </c>
      <c r="CI153" s="46">
        <f>=IFERROR(ROUND((CI19+CI23)/$B153,0),0)</f>
        <v>2</v>
      </c>
      <c r="CJ153" s="46">
        <f>=IFERROR(ROUND((CJ19+CJ23)/$B153,0),0)</f>
        <v>2</v>
      </c>
      <c r="CK153" s="46">
        <f>=IFERROR(ROUND((CK19+CK23)/$B153,0),0)</f>
        <v>2</v>
      </c>
      <c r="CL153" s="46">
        <f>=IFERROR(ROUND((CL19+CL23)/$B153,0),0)</f>
        <v>2</v>
      </c>
      <c r="CM153" s="46">
        <f>=IFERROR(ROUND((CM19+CM23)/$B153,0),0)</f>
        <v>2</v>
      </c>
      <c r="CN153" s="46">
        <f>=IFERROR(ROUND((CN19+CN23)/$B153,0),0)</f>
        <v>2</v>
      </c>
      <c r="CO153" s="46">
        <f>=IFERROR(ROUND((CO19+CO23)/$B153,0),0)</f>
        <v>2</v>
      </c>
      <c r="CP153" s="46">
        <f>=IFERROR(ROUND((CP19+CP23)/$B153,0),0)</f>
        <v>1</v>
      </c>
      <c r="CQ153" s="46">
        <f>=IFERROR(ROUND((CQ19+CQ23)/$B153,0),0)</f>
        <v>1</v>
      </c>
      <c r="CR153" s="46">
        <f>=IFERROR(ROUND((CR19+CR23)/$B153,0),0)</f>
        <v>1</v>
      </c>
      <c r="CS153" s="46">
        <f>=IFERROR(ROUND((CS19+CS23)/$B153,0),0)</f>
        <v>1</v>
      </c>
      <c r="CT153" s="73">
        <f>=IFERROR(ROUND((CT19+CT23)/$B153,0),0)</f>
        <v>1</v>
      </c>
      <c r="CU153" s="46">
        <f>=IFERROR(ROUND((CU19+CU23)/$B153,0),0)</f>
        <v>1</v>
      </c>
      <c r="CV153" s="46">
        <f>=IFERROR(ROUND((CV19+CV23)/$B153,0),0)</f>
        <v>1</v>
      </c>
      <c r="CW153" s="73">
        <f>=IFERROR(ROUND((CW19+CW23)/$B153,0),0)</f>
        <v>1</v>
      </c>
      <c r="CX153" s="73">
        <f>=IFERROR(ROUND((CX19+CX23)/$B153,0),0)</f>
        <v>1</v>
      </c>
      <c r="CY153" s="46">
        <f>=IFERROR(ROUND((CY19+CY23)/$B153,0),0)</f>
        <v>1</v>
      </c>
      <c r="CZ153" s="46">
        <f>=IFERROR(ROUND((CZ19+CZ23)/$B153,0),0)</f>
        <v>1</v>
      </c>
      <c r="DA153" s="46">
        <f>=IFERROR(ROUND((DA19+DA23)/$B153,0),0)</f>
        <v>1</v>
      </c>
      <c r="DB153" s="46">
        <f>=IFERROR(ROUND((DB19+DB23)/$B153,0),0)</f>
        <v>1</v>
      </c>
    </row>
    <row r="154" ht="18" customHeight="1" spans="1:106" x14ac:dyDescent="0.25">
      <c r="A154" s="17" t="s">
        <v>358</v>
      </c>
      <c r="B154" s="17">
        <v>40</v>
      </c>
      <c r="C154" s="46">
        <f>=IFERROR(ROUND((C19+C23)/$B154,0),0)</f>
        <v>3</v>
      </c>
      <c r="D154" s="46">
        <f>=IFERROR(ROUND((D19+D23)/$B154,0),0)</f>
        <v>3</v>
      </c>
      <c r="E154" s="46">
        <f>=IFERROR(ROUND((E19+E23)/$B154,0),0)</f>
        <v>3</v>
      </c>
      <c r="F154" s="46">
        <f>=IFERROR(ROUND((F19+F23)/$B154,0),0)</f>
        <v>3</v>
      </c>
      <c r="G154" s="46">
        <f>=IFERROR(ROUND((G19+G23)/$B154,0),0)</f>
        <v>3</v>
      </c>
      <c r="H154" s="46">
        <f>=IFERROR(ROUND((H19+H23)/$B154,0),0)</f>
        <v>3</v>
      </c>
      <c r="I154" s="46">
        <f>=IFERROR(ROUND((I19+I23)/$B154,0),0)</f>
        <v>3</v>
      </c>
      <c r="J154" s="46">
        <f>=IFERROR(ROUND((J19+J23)/$B154,0),0)</f>
        <v>3</v>
      </c>
      <c r="K154" s="46">
        <f>=IFERROR(ROUND((K19+K23)/$B154,0),0)</f>
        <v>3</v>
      </c>
      <c r="L154" s="46">
        <f>=IFERROR(ROUND((L19+L23)/$B154,0),0)</f>
        <v>3</v>
      </c>
      <c r="M154" s="46">
        <f>=IFERROR(ROUND((M19+M23)/$B154,0),0)</f>
        <v>2</v>
      </c>
      <c r="N154" s="46">
        <f>=IFERROR(ROUND((N19+N23)/$B154,0),0)</f>
        <v>2</v>
      </c>
      <c r="O154" s="46">
        <f>=IFERROR(ROUND((O19+O23)/$B154,0),0)</f>
        <v>2</v>
      </c>
      <c r="P154" s="46">
        <f>=IFERROR(ROUND((P19+P23)/$B154,0),0)</f>
        <v>2</v>
      </c>
      <c r="Q154" s="46">
        <f>=IFERROR(ROUND((Q19+Q23)/$B154,0),0)</f>
        <v>2</v>
      </c>
      <c r="R154" s="46">
        <f>=IFERROR(ROUND((R19+R23)/$B154,0),0)</f>
        <v>2</v>
      </c>
      <c r="S154" s="46">
        <f>=IFERROR(ROUND((S19+S23)/$B154,0),0)</f>
        <v>2</v>
      </c>
      <c r="T154" s="46">
        <f>=IFERROR(ROUND((T19+T23)/$B154,0),0)</f>
        <v>2</v>
      </c>
      <c r="U154" s="46">
        <f>=IFERROR(ROUND((U19+U23)/$B154,0),0)</f>
        <v>2</v>
      </c>
      <c r="V154" s="46">
        <f>=IFERROR(ROUND((V19+V23)/$B154,0),0)</f>
        <v>2</v>
      </c>
      <c r="W154" s="46">
        <f>=IFERROR(ROUND((W19+W23)/$B154,0),0)</f>
        <v>2</v>
      </c>
      <c r="X154" s="46">
        <f>=IFERROR(ROUND((X19+X23)/$B154,0),0)</f>
        <v>2</v>
      </c>
      <c r="Y154" s="46">
        <f>=IFERROR(ROUND((Y19+Y23)/$B154,0),0)</f>
        <v>2</v>
      </c>
      <c r="Z154" s="46">
        <f>=IFERROR(ROUND((Z19+Z23)/$B154,0),0)</f>
        <v>2</v>
      </c>
      <c r="AA154" s="46">
        <f>=IFERROR(ROUND((AA19+AA23)/$B154,0),0)</f>
        <v>1</v>
      </c>
      <c r="AB154" s="46">
        <f>=IFERROR(ROUND((AB19+AB23)/$B154,0),0)</f>
        <v>1</v>
      </c>
      <c r="AC154" s="46">
        <f>=IFERROR(ROUND((AC19+AC23)/$B154,0),0)</f>
        <v>1</v>
      </c>
      <c r="AD154" s="46">
        <f>=IFERROR(ROUND((AD19+AD23)/$B154,0),0)</f>
        <v>1</v>
      </c>
      <c r="AE154" s="46">
        <f>=IFERROR(ROUND((AE19+AE23)/$B154,0),0)</f>
        <v>1</v>
      </c>
      <c r="AF154" s="46">
        <f>=IFERROR(ROUND((AF19+AF23)/$B154,0),0)</f>
        <v>1</v>
      </c>
      <c r="AG154" s="46">
        <f>=IFERROR(ROUND((AG19+AG23)/$B154,0),0)</f>
        <v>1</v>
      </c>
      <c r="AH154" s="46">
        <f>=IFERROR(ROUND((AH19+AH23)/$B154,0),0)</f>
        <v>1</v>
      </c>
      <c r="AI154" s="46">
        <f>=IFERROR(ROUND((AI19+AI23)/$B154,0),0)</f>
        <v>1</v>
      </c>
      <c r="AJ154" s="46">
        <f>=IFERROR(ROUND((AJ19+AJ23)/$B154,0),0)</f>
        <v>1</v>
      </c>
      <c r="AK154" s="46">
        <f>=IFERROR(ROUND((AK19+AK23)/$B154,0),0)</f>
        <v>1</v>
      </c>
      <c r="AL154" s="46">
        <f>=IFERROR(ROUND((AL19+AL23)/$B154,0),0)</f>
        <v>1</v>
      </c>
      <c r="AM154" s="46">
        <f>=IFERROR(ROUND((AM19+AM23)/$B154,0),0)</f>
        <v>1</v>
      </c>
      <c r="AN154" s="46">
        <f>=IFERROR(ROUND((AN19+AN23)/$B154,0),0)</f>
        <v>1</v>
      </c>
      <c r="AO154" s="46">
        <f>=IFERROR(ROUND((AO19+AO23)/$B154,0),0)</f>
        <v>1</v>
      </c>
      <c r="AP154" s="46">
        <f>=IFERROR(ROUND((AP19+AP23)/$B154,0),0)</f>
        <v>1</v>
      </c>
      <c r="AQ154" s="46">
        <f>=IFERROR(ROUND((AQ19+AQ23)/$B154,0),0)</f>
        <v>1</v>
      </c>
      <c r="AR154" s="46">
        <f>=IFERROR(ROUND((AR19+AR23)/$B154,0),0)</f>
        <v>1</v>
      </c>
      <c r="AS154" s="46">
        <f>=IFERROR(ROUND((AS19+AS23)/$B154,0),0)</f>
        <v>1</v>
      </c>
      <c r="AT154" s="46">
        <f>=IFERROR(ROUND((AT19+AT23)/$B154,0),0)</f>
        <v>1</v>
      </c>
      <c r="AU154" s="46">
        <f>=IFERROR(ROUND((AU19+AU23)/$B154,0),0)</f>
        <v>1</v>
      </c>
      <c r="AV154" s="46">
        <f>=IFERROR(ROUND((AV19+AV23)/$B154,0),0)</f>
        <v>1</v>
      </c>
      <c r="AW154" s="46">
        <f>=IFERROR(ROUND((AW19+AW23)/$B154,0),0)</f>
        <v>1</v>
      </c>
      <c r="AX154" s="46">
        <f>=IFERROR(ROUND((AX19+AX23)/$B154,0),0)</f>
        <v>1</v>
      </c>
      <c r="AY154" s="46">
        <f>=IFERROR(ROUND((AY19+AY23)/$B154,0),0)</f>
        <v>1</v>
      </c>
      <c r="AZ154" s="46">
        <f>=IFERROR(ROUND((AZ19+AZ23)/$B154,0),0)</f>
        <v>1</v>
      </c>
      <c r="BA154" s="46">
        <f>=IFERROR(ROUND((BA19+BA23)/$B154,0),0)</f>
        <v>1</v>
      </c>
      <c r="BB154" s="46">
        <f>=IFERROR(ROUND((BB19+BB23)/$B154,0),0)</f>
        <v>1</v>
      </c>
      <c r="BC154" s="73">
        <f>=IFERROR(ROUND((BC19+BC23)/$B154,0),0)</f>
        <v>1</v>
      </c>
      <c r="BD154" s="46">
        <f>=IFERROR(ROUND((BD19+BD23)/$B154,0),0)</f>
        <v>1</v>
      </c>
      <c r="BE154" s="46">
        <f>=IFERROR(ROUND((BE19+BE23)/$B154,0),0)</f>
        <v>1</v>
      </c>
      <c r="BF154" s="46">
        <f>=IFERROR(ROUND((BF19+BF23)/$B154,0),0)</f>
        <v>1</v>
      </c>
      <c r="BG154" s="46">
        <f>=IFERROR(ROUND((BG19+BG23)/$B154,0),0)</f>
        <v>1</v>
      </c>
      <c r="BH154" s="46">
        <f>=IFERROR(ROUND((BH19+BH23)/$B154,0),0)</f>
        <v>1</v>
      </c>
      <c r="BI154" s="46">
        <f>=IFERROR(ROUND((BI19+BI23)/$B154,0),0)</f>
        <v>1</v>
      </c>
      <c r="BJ154" s="46">
        <f>=IFERROR(ROUND((BJ19+BJ23)/$B154,0),0)</f>
        <v>1</v>
      </c>
      <c r="BK154" s="46">
        <f>=IFERROR(ROUND((BK19+BK23)/$B154,0),0)</f>
        <v>1</v>
      </c>
      <c r="BL154" s="46">
        <f>=IFERROR(ROUND((BL19+BL23)/$B154,0),0)</f>
        <v>1</v>
      </c>
      <c r="BM154" s="46">
        <f>=IFERROR(ROUND((BM19+BM23)/$B154,0),0)</f>
        <v>1</v>
      </c>
      <c r="BN154" s="46">
        <f>=IFERROR(ROUND((BN19+BN23)/$B154,0),0)</f>
        <v>1</v>
      </c>
      <c r="BO154" s="46">
        <f>=IFERROR(ROUND((BO19+BO23)/$B154,0),0)</f>
        <v>1</v>
      </c>
      <c r="BP154" s="46">
        <f>=IFERROR(ROUND((BP19+BP23)/$B154,0),0)</f>
        <v>1</v>
      </c>
      <c r="BQ154" s="46">
        <f>=IFERROR(ROUND((BQ19+BQ23)/$B154,0),0)</f>
        <v>1</v>
      </c>
      <c r="BR154" s="46">
        <f>=IFERROR(ROUND((BR19+BR23)/$B154,0),0)</f>
        <v>1</v>
      </c>
      <c r="BS154" s="46">
        <f>=IFERROR(ROUND((BS19+BS23)/$B154,0),0)</f>
        <v>1</v>
      </c>
      <c r="BT154" s="46">
        <f>=IFERROR(ROUND((BT19+BT23)/$B154,0),0)</f>
        <v>1</v>
      </c>
      <c r="BU154" s="46">
        <f>=IFERROR(ROUND((BU19+BU23)/$B154,0),0)</f>
        <v>1</v>
      </c>
      <c r="BV154" s="46">
        <f>=IFERROR(ROUND((BV19+BV23)/$B154,0),0)</f>
        <v>1</v>
      </c>
      <c r="BW154" s="46">
        <f>=IFERROR(ROUND((BW19+BW23)/$B154,0),0)</f>
        <v>1</v>
      </c>
      <c r="BX154" s="46">
        <f>=IFERROR(ROUND((BX19+BX23)/$B154,0),0)</f>
        <v>1</v>
      </c>
      <c r="BY154" s="46">
        <f>=IFERROR(ROUND((BY19+BY23)/$B154,0),0)</f>
        <v>1</v>
      </c>
      <c r="BZ154" s="46">
        <f>=IFERROR(ROUND((BZ19+BZ23)/$B154,0),0)</f>
        <v>1</v>
      </c>
      <c r="CA154" s="46">
        <f>=IFERROR(ROUND((CA19+CA23)/$B154,0),0)</f>
        <v>1</v>
      </c>
      <c r="CB154" s="46">
        <f>=IFERROR(ROUND((CB19+CB23)/$B154,0),0)</f>
        <v>1</v>
      </c>
      <c r="CC154" s="46">
        <f>=IFERROR(ROUND((CC19+CC23)/$B154,0),0)</f>
        <v>1</v>
      </c>
      <c r="CD154" s="46">
        <f>=IFERROR(ROUND((CD19+CD23)/$B154,0),0)</f>
        <v>1</v>
      </c>
      <c r="CE154" s="46">
        <f>=IFERROR(ROUND((CE19+CE23)/$B154,0),0)</f>
        <v>1</v>
      </c>
      <c r="CF154" s="46">
        <f>=IFERROR(ROUND((CF19+CF23)/$B154,0),0)</f>
        <v>1</v>
      </c>
      <c r="CG154" s="46">
        <f>=IFERROR(ROUND((CG19+CG23)/$B154,0),0)</f>
        <v>1</v>
      </c>
      <c r="CH154" s="46">
        <f>=IFERROR(ROUND((CH19+CH23)/$B154,0),0)</f>
        <v>1</v>
      </c>
      <c r="CI154" s="46">
        <f>=IFERROR(ROUND((CI19+CI23)/$B154,0),0)</f>
        <v>1</v>
      </c>
      <c r="CJ154" s="73">
        <f>=IFERROR(ROUND((CJ19+CJ23)/$B154,0),0)</f>
        <v>1</v>
      </c>
      <c r="CK154" s="46">
        <f>=IFERROR(ROUND((CK19+CK23)/$B154,0),0)</f>
        <v>1</v>
      </c>
      <c r="CL154" s="73">
        <f>=IFERROR(ROUND((CL19+CL23)/$B154,0),0)</f>
        <v>1</v>
      </c>
      <c r="CM154" s="46">
        <f>=IFERROR(ROUND((CM19+CM23)/$B154,0),0)</f>
        <v>1</v>
      </c>
      <c r="CN154" s="46">
        <f>=IFERROR(ROUND((CN19+CN23)/$B154,0),0)</f>
        <v>1</v>
      </c>
      <c r="CO154" s="46">
        <f>=IFERROR(ROUND((CO19+CO23)/$B154,0),0)</f>
        <v>1</v>
      </c>
      <c r="CP154" s="46">
        <f>=IFERROR(ROUND((CP19+CP23)/$B154,0),0)</f>
        <v>1</v>
      </c>
      <c r="CQ154" s="46">
        <f>=IFERROR(ROUND((CQ19+CQ23)/$B154,0),0)</f>
        <v>1</v>
      </c>
      <c r="CR154" s="46">
        <f>=IFERROR(ROUND((CR19+CR23)/$B154,0),0)</f>
        <v>1</v>
      </c>
      <c r="CS154" s="46">
        <f>=IFERROR(ROUND((CS19+CS23)/$B154,0),0)</f>
        <v>1</v>
      </c>
      <c r="CT154" s="46">
        <f>=IFERROR(ROUND((CT19+CT23)/$B154,0),0)</f>
        <v>1</v>
      </c>
      <c r="CU154" s="46">
        <f>=IFERROR(ROUND((CU19+CU23)/$B154,0),0)</f>
        <v>1</v>
      </c>
      <c r="CV154" s="46">
        <f>=IFERROR(ROUND((CV19+CV23)/$B154,0),0)</f>
        <v>1</v>
      </c>
      <c r="CW154" s="46">
        <f>=IFERROR(ROUND((CW19+CW23)/$B154,0),0)</f>
        <v>1</v>
      </c>
      <c r="CX154" s="46">
        <f>=IFERROR(ROUND((CX19+CX23)/$B154,0),0)</f>
        <v>1</v>
      </c>
      <c r="CY154" s="46">
        <f>=IFERROR(ROUND((CY19+CY23)/$B154,0),0)</f>
        <v>1</v>
      </c>
      <c r="CZ154" s="46">
        <f>=IFERROR(ROUND((CZ19+CZ23)/$B154,0),0)</f>
        <v>0</v>
      </c>
      <c r="DA154" s="46">
        <f>=IFERROR(ROUND((DA19+DA23)/$B154,0),0)</f>
        <v>0</v>
      </c>
      <c r="DB154" s="46">
        <f>=IFERROR(ROUND((DB19+DB23)/$B154,0),0)</f>
        <v>0</v>
      </c>
    </row>
    <row r="155" ht="18" customHeight="1" spans="1:106" x14ac:dyDescent="0.25">
      <c r="A155" s="17" t="s">
        <v>359</v>
      </c>
      <c r="B155" s="17">
        <v>30</v>
      </c>
      <c r="C155" s="46">
        <f>=IFERROR(ROUND(C19/$B155,0),0)</f>
        <v>4</v>
      </c>
      <c r="D155" s="46">
        <f>=IFERROR(ROUND(D19/$B155,0),0)</f>
        <v>4</v>
      </c>
      <c r="E155" s="46">
        <f>=IFERROR(ROUND(E19/$B155,0),0)</f>
        <v>4</v>
      </c>
      <c r="F155" s="46">
        <f>=IFERROR(ROUND(F19/$B155,0),0)</f>
        <v>4</v>
      </c>
      <c r="G155" s="46">
        <f>=IFERROR(ROUND(G19/$B155,0),0)</f>
        <v>3</v>
      </c>
      <c r="H155" s="46">
        <f>=IFERROR(ROUND(H19/$B155,0),0)</f>
        <v>3</v>
      </c>
      <c r="I155" s="46">
        <f>=IFERROR(ROUND(I19/$B155,0),0)</f>
        <v>3</v>
      </c>
      <c r="J155" s="46">
        <f>=IFERROR(ROUND(J19/$B155,0),0)</f>
        <v>4</v>
      </c>
      <c r="K155" s="46">
        <f>=IFERROR(ROUND(K19/$B155,0),0)</f>
        <v>4</v>
      </c>
      <c r="L155" s="46">
        <f>=IFERROR(ROUND(L19/$B155,0),0)</f>
        <v>4</v>
      </c>
      <c r="M155" s="46">
        <f>=IFERROR(ROUND(M19/$B155,0),0)</f>
        <v>3</v>
      </c>
      <c r="N155" s="46">
        <f>=IFERROR(ROUND(N19/$B155,0),0)</f>
        <v>3</v>
      </c>
      <c r="O155" s="46">
        <f>=IFERROR(ROUND(O19/$B155,0),0)</f>
        <v>3</v>
      </c>
      <c r="P155" s="46">
        <f>=IFERROR(ROUND(P19/$B155,0),0)</f>
        <v>3</v>
      </c>
      <c r="Q155" s="46">
        <f>=IFERROR(ROUND(Q19/$B155,0),0)</f>
        <v>3</v>
      </c>
      <c r="R155" s="46">
        <f>=IFERROR(ROUND(R19/$B155,0),0)</f>
        <v>3</v>
      </c>
      <c r="S155" s="46">
        <f>=IFERROR(ROUND(S19/$B155,0),0)</f>
        <v>2</v>
      </c>
      <c r="T155" s="46">
        <f>=IFERROR(ROUND(T19/$B155,0),0)</f>
        <v>2</v>
      </c>
      <c r="U155" s="46">
        <f>=IFERROR(ROUND(U19/$B155,0),0)</f>
        <v>2</v>
      </c>
      <c r="V155" s="46">
        <f>=IFERROR(ROUND(V19/$B155,0),0)</f>
        <v>2</v>
      </c>
      <c r="W155" s="46">
        <f>=IFERROR(ROUND(W19/$B155,0),0)</f>
        <v>2</v>
      </c>
      <c r="X155" s="46">
        <f>=IFERROR(ROUND(X19/$B155,0),0)</f>
        <v>2</v>
      </c>
      <c r="Y155" s="46">
        <f>=IFERROR(ROUND(Y19/$B155,0),0)</f>
        <v>2</v>
      </c>
      <c r="Z155" s="46">
        <f>=IFERROR(ROUND(Z19/$B155,0),0)</f>
        <v>2</v>
      </c>
      <c r="AA155" s="46">
        <f>=IFERROR(ROUND(AA19/$B155,0),0)</f>
        <v>2</v>
      </c>
      <c r="AB155" s="46">
        <f>=IFERROR(ROUND(AB19/$B155,0),0)</f>
        <v>2</v>
      </c>
      <c r="AC155" s="46">
        <f>=IFERROR(ROUND(AC19/$B155,0),0)</f>
        <v>2</v>
      </c>
      <c r="AD155" s="46">
        <f>=IFERROR(ROUND(AD19/$B155,0),0)</f>
        <v>2</v>
      </c>
      <c r="AE155" s="46">
        <f>=IFERROR(ROUND(AE19/$B155,0),0)</f>
        <v>2</v>
      </c>
      <c r="AF155" s="46">
        <f>=IFERROR(ROUND(AF19/$B155,0),0)</f>
        <v>2</v>
      </c>
      <c r="AG155" s="46">
        <f>=IFERROR(ROUND(AG19/$B155,0),0)</f>
        <v>2</v>
      </c>
      <c r="AH155" s="46">
        <f>=IFERROR(ROUND(AH19/$B155,0),0)</f>
        <v>2</v>
      </c>
      <c r="AI155" s="46">
        <f>=IFERROR(ROUND(AI19/$B155,0),0)</f>
        <v>2</v>
      </c>
      <c r="AJ155" s="46">
        <f>=IFERROR(ROUND(AJ19/$B155,0),0)</f>
        <v>2</v>
      </c>
      <c r="AK155" s="46">
        <f>=IFERROR(ROUND(AK19/$B155,0),0)</f>
        <v>2</v>
      </c>
      <c r="AL155" s="46">
        <f>=IFERROR(ROUND(AL19/$B155,0),0)</f>
        <v>2</v>
      </c>
      <c r="AM155" s="46">
        <f>=IFERROR(ROUND(AM19/$B155,0),0)</f>
        <v>2</v>
      </c>
      <c r="AN155" s="46">
        <f>=IFERROR(ROUND(AN19/$B155,0),0)</f>
        <v>2</v>
      </c>
      <c r="AO155" s="46">
        <f>=IFERROR(ROUND(AO19/$B155,0),0)</f>
        <v>2</v>
      </c>
      <c r="AP155" s="46">
        <f>=IFERROR(ROUND(AP19/$B155,0),0)</f>
        <v>2</v>
      </c>
      <c r="AQ155" s="46">
        <f>=IFERROR(ROUND(AQ19/$B155,0),0)</f>
        <v>1</v>
      </c>
      <c r="AR155" s="46">
        <f>=IFERROR(ROUND(AR19/$B155,0),0)</f>
        <v>1</v>
      </c>
      <c r="AS155" s="46">
        <f>=IFERROR(ROUND(AS19/$B155,0),0)</f>
        <v>1</v>
      </c>
      <c r="AT155" s="46">
        <f>=IFERROR(ROUND(AT19/$B155,0),0)</f>
        <v>1</v>
      </c>
      <c r="AU155" s="46">
        <f>=IFERROR(ROUND(AU19/$B155,0),0)</f>
        <v>2</v>
      </c>
      <c r="AV155" s="46">
        <f>=IFERROR(ROUND(AV19/$B155,0),0)</f>
        <v>1</v>
      </c>
      <c r="AW155" s="46">
        <f>=IFERROR(ROUND(AW19/$B155,0),0)</f>
        <v>2</v>
      </c>
      <c r="AX155" s="46">
        <f>=IFERROR(ROUND(AX19/$B155,0),0)</f>
        <v>2</v>
      </c>
      <c r="AY155" s="46">
        <f>=IFERROR(ROUND(AY19/$B155,0),0)</f>
        <v>1</v>
      </c>
      <c r="AZ155" s="46">
        <f>=IFERROR(ROUND(AZ19/$B155,0),0)</f>
        <v>2</v>
      </c>
      <c r="BA155" s="46">
        <f>=IFERROR(ROUND(BA19/$B155,0),0)</f>
        <v>2</v>
      </c>
      <c r="BB155" s="46">
        <f>=IFERROR(ROUND(BB19/$B155,0),0)</f>
        <v>1</v>
      </c>
      <c r="BC155" s="46">
        <f>=IFERROR(ROUND(BC19/$B155,0),0)</f>
        <v>1</v>
      </c>
      <c r="BD155" s="46">
        <f>=IFERROR(ROUND(BD19/$B155,0),0)</f>
        <v>1</v>
      </c>
      <c r="BE155" s="46">
        <f>=IFERROR(ROUND(BE19/$B155,0),0)</f>
        <v>2</v>
      </c>
      <c r="BF155" s="46">
        <f>=IFERROR(ROUND(BF19/$B155,0),0)</f>
        <v>2</v>
      </c>
      <c r="BG155" s="46">
        <f>=IFERROR(ROUND(BG19/$B155,0),0)</f>
        <v>2</v>
      </c>
      <c r="BH155" s="46">
        <f>=IFERROR(ROUND(BH19/$B155,0),0)</f>
        <v>2</v>
      </c>
      <c r="BI155" s="46">
        <f>=IFERROR(ROUND(BI19/$B155,0),0)</f>
        <v>2</v>
      </c>
      <c r="BJ155" s="46">
        <f>=IFERROR(ROUND(BJ19/$B155,0),0)</f>
        <v>1</v>
      </c>
      <c r="BK155" s="46">
        <f>=IFERROR(ROUND(BK19/$B155,0),0)</f>
        <v>2</v>
      </c>
      <c r="BL155" s="73">
        <f>=IFERROR(ROUND(BL19/$B155,0),0)</f>
        <v>2</v>
      </c>
      <c r="BM155" s="46">
        <f>=IFERROR(ROUND(BM19/$B155,0),0)</f>
        <v>1</v>
      </c>
      <c r="BN155" s="46">
        <f>=IFERROR(ROUND(BN19/$B155,0),0)</f>
        <v>2</v>
      </c>
      <c r="BO155" s="46">
        <f>=IFERROR(ROUND(BO19/$B155,0),0)</f>
        <v>1</v>
      </c>
      <c r="BP155" s="46">
        <f>=IFERROR(ROUND(BP19/$B155,0),0)</f>
        <v>1</v>
      </c>
      <c r="BQ155" s="46">
        <f>=IFERROR(ROUND(BQ19/$B155,0),0)</f>
        <v>1</v>
      </c>
      <c r="BR155" s="46">
        <f>=IFERROR(ROUND(BR19/$B155,0),0)</f>
        <v>1</v>
      </c>
      <c r="BS155" s="46">
        <f>=IFERROR(ROUND(BS19/$B155,0),0)</f>
        <v>1</v>
      </c>
      <c r="BT155" s="46">
        <f>=IFERROR(ROUND(BT19/$B155,0),0)</f>
        <v>1</v>
      </c>
      <c r="BU155" s="46">
        <f>=IFERROR(ROUND(BU19/$B155,0),0)</f>
        <v>1</v>
      </c>
      <c r="BV155" s="46">
        <f>=IFERROR(ROUND(BV19/$B155,0),0)</f>
        <v>1</v>
      </c>
      <c r="BW155" s="46">
        <f>=IFERROR(ROUND(BW19/$B155,0),0)</f>
        <v>1</v>
      </c>
      <c r="BX155" s="46">
        <f>=IFERROR(ROUND(BX19/$B155,0),0)</f>
        <v>1</v>
      </c>
      <c r="BY155" s="73">
        <f>=IFERROR(ROUND(BY19/$B155,0),0)</f>
        <v>1</v>
      </c>
      <c r="BZ155" s="46">
        <f>=IFERROR(ROUND(BZ19/$B155,0),0)</f>
        <v>1</v>
      </c>
      <c r="CA155" s="46">
        <f>=IFERROR(ROUND(CA19/$B155,0),0)</f>
        <v>1</v>
      </c>
      <c r="CB155" s="46">
        <f>=IFERROR(ROUND(CB19/$B155,0),0)</f>
        <v>1</v>
      </c>
      <c r="CC155" s="46">
        <f>=IFERROR(ROUND(CC19/$B155,0),0)</f>
        <v>1</v>
      </c>
      <c r="CD155" s="46">
        <f>=IFERROR(ROUND(CD19/$B155,0),0)</f>
        <v>1</v>
      </c>
      <c r="CE155" s="46">
        <f>=IFERROR(ROUND(CE19/$B155,0),0)</f>
        <v>1</v>
      </c>
      <c r="CF155" s="46">
        <f>=IFERROR(ROUND(CF19/$B155,0),0)</f>
        <v>1</v>
      </c>
      <c r="CG155" s="46">
        <f>=IFERROR(ROUND(CG19/$B155,0),0)</f>
        <v>1</v>
      </c>
      <c r="CH155" s="46">
        <f>=IFERROR(ROUND(CH19/$B155,0),0)</f>
        <v>1</v>
      </c>
      <c r="CI155" s="46">
        <f>=IFERROR(ROUND(CI19/$B155,0),0)</f>
        <v>1</v>
      </c>
      <c r="CJ155" s="46">
        <f>=IFERROR(ROUND(CJ19/$B155,0),0)</f>
        <v>1</v>
      </c>
      <c r="CK155" s="46">
        <f>=IFERROR(ROUND(CK19/$B155,0),0)</f>
        <v>1</v>
      </c>
      <c r="CL155" s="46">
        <f>=IFERROR(ROUND(CL19/$B155,0),0)</f>
        <v>1</v>
      </c>
      <c r="CM155" s="46">
        <f>=IFERROR(ROUND(CM19/$B155,0),0)</f>
        <v>1</v>
      </c>
      <c r="CN155" s="46">
        <f>=IFERROR(ROUND(CN19/$B155,0),0)</f>
        <v>1</v>
      </c>
      <c r="CO155" s="46">
        <f>=IFERROR(ROUND(CO19/$B155,0),0)</f>
        <v>1</v>
      </c>
      <c r="CP155" s="46">
        <f>=IFERROR(ROUND(CP19/$B155,0),0)</f>
        <v>1</v>
      </c>
      <c r="CQ155" s="46">
        <f>=IFERROR(ROUND(CQ19/$B155,0),0)</f>
        <v>1</v>
      </c>
      <c r="CR155" s="46">
        <f>=IFERROR(ROUND(CR19/$B155,0),0)</f>
        <v>1</v>
      </c>
      <c r="CS155" s="46">
        <f>=IFERROR(ROUND(CS19/$B155,0),0)</f>
        <v>1</v>
      </c>
      <c r="CT155" s="73">
        <f>=IFERROR(ROUND(CT19/$B155,0),0)</f>
        <v>1</v>
      </c>
      <c r="CU155" s="46">
        <f>=IFERROR(ROUND(CU19/$B155,0),0)</f>
        <v>1</v>
      </c>
      <c r="CV155" s="46">
        <f>=IFERROR(ROUND(CV19/$B155,0),0)</f>
        <v>1</v>
      </c>
      <c r="CW155" s="73">
        <f>=IFERROR(ROUND(CW19/$B155,0),0)</f>
        <v>1</v>
      </c>
      <c r="CX155" s="73">
        <f>=IFERROR(ROUND(CX19/$B155,0),0)</f>
        <v>1</v>
      </c>
      <c r="CY155" s="46">
        <f>=IFERROR(ROUND(CY19/$B155,0),0)</f>
        <v>1</v>
      </c>
      <c r="CZ155" s="46">
        <f>=IFERROR(ROUND(CZ19/$B155,0),0)</f>
        <v>1</v>
      </c>
      <c r="DA155" s="46">
        <f>=IFERROR(ROUND(DA19/$B155,0),0)</f>
        <v>1</v>
      </c>
      <c r="DB155" s="46">
        <f>=IFERROR(ROUND(DB19/$B155,0),0)</f>
        <v>1</v>
      </c>
    </row>
    <row r="156" ht="18" customHeight="1" spans="1:106" x14ac:dyDescent="0.25">
      <c r="A156" s="17" t="s">
        <v>360</v>
      </c>
      <c r="B156" s="17">
        <v>100</v>
      </c>
      <c r="C156" s="46">
        <f>=IFERROR(ROUND(C10/$B156,0),0)</f>
        <v>1</v>
      </c>
      <c r="D156" s="46">
        <f>=IFERROR(ROUND(D10/$B156,0),0)</f>
        <v>1</v>
      </c>
      <c r="E156" s="46">
        <f>=IFERROR(ROUND(E10/$B156,0),0)</f>
        <v>1</v>
      </c>
      <c r="F156" s="46">
        <f>=IFERROR(ROUND(F10/$B156,0),0)</f>
        <v>1</v>
      </c>
      <c r="G156" s="46">
        <f>=IFERROR(ROUND(G10/$B156,0),0)</f>
        <v>1</v>
      </c>
      <c r="H156" s="46">
        <f>=IFERROR(ROUND(H10/$B156,0),0)</f>
        <v>1</v>
      </c>
      <c r="I156" s="46">
        <f>=IFERROR(ROUND(I10/$B156,0),0)</f>
        <v>1</v>
      </c>
      <c r="J156" s="46">
        <f>=IFERROR(ROUND(J10/$B156,0),0)</f>
        <v>1</v>
      </c>
      <c r="K156" s="46">
        <f>=IFERROR(ROUND(K10/$B156,0),0)</f>
        <v>1</v>
      </c>
      <c r="L156" s="46">
        <f>=IFERROR(ROUND(L10/$B156,0),0)</f>
        <v>1</v>
      </c>
      <c r="M156" s="46">
        <f>=IFERROR(ROUND(M10/$B156,0),0)</f>
        <v>1</v>
      </c>
      <c r="N156" s="46">
        <f>=IFERROR(ROUND(N10/$B156,0),0)</f>
        <v>1</v>
      </c>
      <c r="O156" s="46">
        <f>=IFERROR(ROUND(O10/$B156,0),0)</f>
        <v>1</v>
      </c>
      <c r="P156" s="46">
        <f>=IFERROR(ROUND(P10/$B156,0),0)</f>
        <v>1</v>
      </c>
      <c r="Q156" s="46">
        <f>=IFERROR(ROUND(Q10/$B156,0),0)</f>
        <v>1</v>
      </c>
      <c r="R156" s="46">
        <f>=IFERROR(ROUND(R10/$B156,0),0)</f>
        <v>1</v>
      </c>
      <c r="S156" s="46">
        <f>=IFERROR(ROUND(S10/$B156,0),0)</f>
        <v>1</v>
      </c>
      <c r="T156" s="46">
        <f>=IFERROR(ROUND(T10/$B156,0),0)</f>
        <v>1</v>
      </c>
      <c r="U156" s="46">
        <f>=IFERROR(ROUND(U10/$B156,0),0)</f>
        <v>1</v>
      </c>
      <c r="V156" s="46">
        <f>=IFERROR(ROUND(V10/$B156,0),0)</f>
        <v>1</v>
      </c>
      <c r="W156" s="46">
        <f>=IFERROR(ROUND(W10/$B156,0),0)</f>
        <v>1</v>
      </c>
      <c r="X156" s="46">
        <f>=IFERROR(ROUND(X10/$B156,0),0)</f>
        <v>1</v>
      </c>
      <c r="Y156" s="46">
        <f>=IFERROR(ROUND(Y10/$B156,0),0)</f>
        <v>1</v>
      </c>
      <c r="Z156" s="46">
        <f>=IFERROR(ROUND(Z10/$B156,0),0)</f>
        <v>1</v>
      </c>
      <c r="AA156" s="46">
        <f>=IFERROR(ROUND(AA10/$B156,0),0)</f>
        <v>1</v>
      </c>
      <c r="AB156" s="46">
        <f>=IFERROR(ROUND(AB10/$B156,0),0)</f>
        <v>1</v>
      </c>
      <c r="AC156" s="46">
        <f>=IFERROR(ROUND(AC10/$B156,0),0)</f>
        <v>1</v>
      </c>
      <c r="AD156" s="46">
        <f>=IFERROR(ROUND(AD10/$B156,0),0)</f>
        <v>1</v>
      </c>
      <c r="AE156" s="46">
        <f>=IFERROR(ROUND(AE10/$B156,0),0)</f>
        <v>1</v>
      </c>
      <c r="AF156" s="46">
        <f>=IFERROR(ROUND(AF10/$B156,0),0)</f>
        <v>1</v>
      </c>
      <c r="AG156" s="46">
        <f>=IFERROR(ROUND(AG10/$B156,0),0)</f>
        <v>1</v>
      </c>
      <c r="AH156" s="46">
        <f>=IFERROR(ROUND(AH10/$B156,0),0)</f>
        <v>1</v>
      </c>
      <c r="AI156" s="46">
        <f>=IFERROR(ROUND(AI10/$B156,0),0)</f>
        <v>1</v>
      </c>
      <c r="AJ156" s="46">
        <f>=IFERROR(ROUND(AJ10/$B156,0),0)</f>
        <v>1</v>
      </c>
      <c r="AK156" s="46">
        <f>=IFERROR(ROUND(AK10/$B156,0),0)</f>
        <v>1</v>
      </c>
      <c r="AL156" s="46">
        <f>=IFERROR(ROUND(AL10/$B156,0),0)</f>
        <v>1</v>
      </c>
      <c r="AM156" s="46">
        <f>=IFERROR(ROUND(AM10/$B156,0),0)</f>
        <v>1</v>
      </c>
      <c r="AN156" s="46">
        <f>=IFERROR(ROUND(AN10/$B156,0),0)</f>
        <v>1</v>
      </c>
      <c r="AO156" s="46">
        <f>=IFERROR(ROUND(AO10/$B156,0),0)</f>
        <v>1</v>
      </c>
      <c r="AP156" s="46">
        <f>=IFERROR(ROUND(AP10/$B156,0),0)</f>
        <v>1</v>
      </c>
      <c r="AQ156" s="46">
        <f>=IFERROR(ROUND(AQ10/$B156,0),0)</f>
        <v>1</v>
      </c>
      <c r="AR156" s="46">
        <f>=IFERROR(ROUND(AR10/$B156,0),0)</f>
        <v>0</v>
      </c>
      <c r="AS156" s="46">
        <f>=IFERROR(ROUND(AS10/$B156,0),0)</f>
        <v>0</v>
      </c>
      <c r="AT156" s="46">
        <f>=IFERROR(ROUND(AT10/$B156,0),0)</f>
        <v>0</v>
      </c>
      <c r="AU156" s="46">
        <f>=IFERROR(ROUND(AU10/$B156,0),0)</f>
        <v>0</v>
      </c>
      <c r="AV156" s="46">
        <f>=IFERROR(ROUND(AV10/$B156,0),0)</f>
        <v>0</v>
      </c>
      <c r="AW156" s="46">
        <f>=IFERROR(ROUND(AW10/$B156,0),0)</f>
        <v>1</v>
      </c>
      <c r="AX156" s="46">
        <f>=IFERROR(ROUND(AX10/$B156,0),0)</f>
        <v>1</v>
      </c>
      <c r="AY156" s="46">
        <f>=IFERROR(ROUND(AY10/$B156,0),0)</f>
        <v>0</v>
      </c>
      <c r="AZ156" s="46">
        <f>=IFERROR(ROUND(AZ10/$B156,0),0)</f>
        <v>0</v>
      </c>
      <c r="BA156" s="46">
        <f>=IFERROR(ROUND(BA10/$B156,0),0)</f>
        <v>1</v>
      </c>
      <c r="BB156" s="46">
        <f>=IFERROR(ROUND(BB10/$B156,0),0)</f>
        <v>1</v>
      </c>
      <c r="BC156" s="46">
        <f>=IFERROR(ROUND(BC10/$B156,0),0)</f>
        <v>1</v>
      </c>
      <c r="BD156" s="46">
        <f>=IFERROR(ROUND(BD10/$B156,0),0)</f>
        <v>1</v>
      </c>
      <c r="BE156" s="46">
        <f>=IFERROR(ROUND(BE10/$B156,0),0)</f>
        <v>1</v>
      </c>
      <c r="BF156" s="46">
        <f>=IFERROR(ROUND(BF10/$B156,0),0)</f>
        <v>0</v>
      </c>
      <c r="BG156" s="46">
        <f>=IFERROR(ROUND(BG10/$B156,0),0)</f>
        <v>1</v>
      </c>
      <c r="BH156" s="73">
        <f>=IFERROR(ROUND(BH10/$B156,0),0)</f>
        <v>1</v>
      </c>
      <c r="BI156" s="46">
        <f>=IFERROR(ROUND(BI10/$B156,0),0)</f>
        <v>1</v>
      </c>
      <c r="BJ156" s="46">
        <f>=IFERROR(ROUND(BJ10/$B156,0),0)</f>
        <v>1</v>
      </c>
      <c r="BK156" s="46">
        <f>=IFERROR(ROUND(BK10/$B156,0),0)</f>
        <v>1</v>
      </c>
      <c r="BL156" s="73">
        <f>=IFERROR(ROUND(BL10/$B156,0),0)</f>
        <v>1</v>
      </c>
      <c r="BM156" s="46">
        <f>=IFERROR(ROUND(BM10/$B156,0),0)</f>
        <v>0</v>
      </c>
      <c r="BN156" s="46">
        <f>=IFERROR(ROUND(BN10/$B156,0),0)</f>
        <v>0</v>
      </c>
      <c r="BO156" s="73">
        <f>=IFERROR(ROUND(BO10/$B156,0),0)</f>
        <v>0</v>
      </c>
      <c r="BP156" s="46">
        <f>=IFERROR(ROUND(BP10/$B156,0),0)</f>
        <v>0</v>
      </c>
      <c r="BQ156" s="46">
        <f>=IFERROR(ROUND(BQ10/$B156,0),0)</f>
        <v>0</v>
      </c>
      <c r="BR156" s="46">
        <f>=IFERROR(ROUND(BR10/$B156,0),0)</f>
        <v>0</v>
      </c>
      <c r="BS156" s="46">
        <f>=IFERROR(ROUND(BS10/$B156,0),0)</f>
        <v>0</v>
      </c>
      <c r="BT156" s="46">
        <f>=IFERROR(ROUND(BT10/$B156,0),0)</f>
        <v>0</v>
      </c>
      <c r="BU156" s="46">
        <f>=IFERROR(ROUND(BU10/$B156,0),0)</f>
        <v>0</v>
      </c>
      <c r="BV156" s="46">
        <f>=IFERROR(ROUND(BV10/$B156,0),0)</f>
        <v>0</v>
      </c>
      <c r="BW156" s="46">
        <f>=IFERROR(ROUND(BW10/$B156,0),0)</f>
        <v>0</v>
      </c>
      <c r="BX156" s="46">
        <f>=IFERROR(ROUND(BX10/$B156,0),0)</f>
        <v>0</v>
      </c>
      <c r="BY156" s="46">
        <f>=IFERROR(ROUND(BY10/$B156,0),0)</f>
        <v>0</v>
      </c>
      <c r="BZ156" s="46">
        <f>=IFERROR(ROUND(BZ10/$B156,0),0)</f>
        <v>0</v>
      </c>
      <c r="CA156" s="46">
        <f>=IFERROR(ROUND(CA10/$B156,0),0)</f>
        <v>0</v>
      </c>
      <c r="CB156" s="46">
        <f>=IFERROR(ROUND(CB10/$B156,0),0)</f>
        <v>0</v>
      </c>
      <c r="CC156" s="46">
        <f>=IFERROR(ROUND(CC10/$B156,0),0)</f>
        <v>0</v>
      </c>
      <c r="CD156" s="73">
        <f>=IFERROR(ROUND(CD10/$B156,0),0)</f>
        <v>0</v>
      </c>
      <c r="CE156" s="73">
        <f>=IFERROR(ROUND(CE10/$B156,0),0)</f>
        <v>0</v>
      </c>
      <c r="CF156" s="46">
        <f>=IFERROR(ROUND(CF10/$B156,0),0)</f>
        <v>0</v>
      </c>
      <c r="CG156" s="46">
        <f>=IFERROR(ROUND(CG10/$B156,0),0)</f>
        <v>0</v>
      </c>
      <c r="CH156" s="46">
        <f>=IFERROR(ROUND(CH10/$B156,0),0)</f>
        <v>0</v>
      </c>
      <c r="CI156" s="46">
        <f>=IFERROR(ROUND(CI10/$B156,0),0)</f>
        <v>0</v>
      </c>
      <c r="CJ156" s="46">
        <f>=IFERROR(ROUND(CJ10/$B156,0),0)</f>
        <v>0</v>
      </c>
      <c r="CK156" s="46">
        <f>=IFERROR(ROUND(CK10/$B156,0),0)</f>
        <v>0</v>
      </c>
      <c r="CL156" s="46">
        <f>=IFERROR(ROUND(CL10/$B156,0),0)</f>
        <v>0</v>
      </c>
      <c r="CM156" s="46">
        <f>=IFERROR(ROUND(CM10/$B156,0),0)</f>
        <v>0</v>
      </c>
      <c r="CN156" s="46">
        <f>=IFERROR(ROUND(CN10/$B156,0),0)</f>
        <v>0</v>
      </c>
      <c r="CO156" s="46">
        <f>=IFERROR(ROUND(CO10/$B156,0),0)</f>
        <v>0</v>
      </c>
      <c r="CP156" s="46">
        <f>=IFERROR(ROUND(CP10/$B156,0),0)</f>
        <v>0</v>
      </c>
      <c r="CQ156" s="46">
        <f>=IFERROR(ROUND(CQ10/$B156,0),0)</f>
        <v>0</v>
      </c>
      <c r="CR156" s="46">
        <f>=IFERROR(ROUND(CR10/$B156,0),0)</f>
        <v>0</v>
      </c>
      <c r="CS156" s="46">
        <f>=IFERROR(ROUND(CS10/$B156,0),0)</f>
        <v>0</v>
      </c>
      <c r="CT156" s="46">
        <f>=IFERROR(ROUND(CT10/$B156,0),0)</f>
        <v>0</v>
      </c>
      <c r="CU156" s="46">
        <f>=IFERROR(ROUND(CU10/$B156,0),0)</f>
        <v>0</v>
      </c>
      <c r="CV156" s="46">
        <f>=IFERROR(ROUND(CV10/$B156,0),0)</f>
        <v>0</v>
      </c>
      <c r="CW156" s="73">
        <f>=IFERROR(ROUND(CW10/$B156,0),0)</f>
        <v>0</v>
      </c>
      <c r="CX156" s="46">
        <f>=IFERROR(ROUND(CX10/$B156,0),0)</f>
        <v>0</v>
      </c>
      <c r="CY156" s="46">
        <f>=IFERROR(ROUND(CY10/$B156,0),0)</f>
        <v>0</v>
      </c>
      <c r="CZ156" s="46">
        <f>=IFERROR(ROUND(CZ10/$B156,0),0)</f>
        <v>0</v>
      </c>
      <c r="DA156" s="46">
        <f>=IFERROR(ROUND(DA10/$B156,0),0)</f>
        <v>0</v>
      </c>
      <c r="DB156" s="46">
        <f>=IFERROR(ROUND(DB10/$B156,0),0)</f>
        <v>0</v>
      </c>
    </row>
    <row r="157" ht="18" customHeight="1" spans="1:106" x14ac:dyDescent="0.25">
      <c r="A157" s="17" t="s">
        <v>361</v>
      </c>
      <c r="B157" s="17">
        <v>5</v>
      </c>
      <c r="C157" s="46">
        <f>=IFERROR(ROUND((C21+C22)/$B157,0),0)</f>
        <v>0</v>
      </c>
      <c r="D157" s="46">
        <f>=IFERROR(ROUND((D21+D22)/$B157,0),0)</f>
        <v>0</v>
      </c>
      <c r="E157" s="46">
        <f>=IFERROR(ROUND((E21+E22)/$B157,0),0)</f>
        <v>1</v>
      </c>
      <c r="F157" s="46">
        <f>=IFERROR(ROUND((F21+F22)/$B157,0),0)</f>
        <v>1</v>
      </c>
      <c r="G157" s="46">
        <f>=IFERROR(ROUND((G21+G22)/$B157,0),0)</f>
        <v>0</v>
      </c>
      <c r="H157" s="46">
        <f>=IFERROR(ROUND((H21+H22)/$B157,0),0)</f>
        <v>0</v>
      </c>
      <c r="I157" s="46">
        <f>=IFERROR(ROUND((I21+I22)/$B157,0),0)</f>
        <v>0</v>
      </c>
      <c r="J157" s="46">
        <f>=IFERROR(ROUND((J21+J22)/$B157,0),0)</f>
        <v>0</v>
      </c>
      <c r="K157" s="46">
        <f>=IFERROR(ROUND((K21+K22)/$B157,0),0)</f>
        <v>0</v>
      </c>
      <c r="L157" s="46">
        <f>=IFERROR(ROUND((L21+L22)/$B157,0),0)</f>
        <v>0</v>
      </c>
      <c r="M157" s="46">
        <f>=IFERROR(ROUND((M21+M22)/$B157,0),0)</f>
        <v>0</v>
      </c>
      <c r="N157" s="46">
        <f>=IFERROR(ROUND((N21+N22)/$B157,0),0)</f>
        <v>0</v>
      </c>
      <c r="O157" s="46">
        <f>=IFERROR(ROUND((O21+O22)/$B157,0),0)</f>
        <v>0</v>
      </c>
      <c r="P157" s="46">
        <f>=IFERROR(ROUND((P21+P22)/$B157,0),0)</f>
        <v>0</v>
      </c>
      <c r="Q157" s="46">
        <f>=IFERROR(ROUND((Q21+Q22)/$B157,0),0)</f>
        <v>0</v>
      </c>
      <c r="R157" s="46">
        <f>=IFERROR(ROUND((R21+R22)/$B157,0),0)</f>
        <v>0</v>
      </c>
      <c r="S157" s="46">
        <f>=IFERROR(ROUND((S21+S22)/$B157,0),0)</f>
        <v>0</v>
      </c>
      <c r="T157" s="46">
        <f>=IFERROR(ROUND((T21+T22)/$B157,0),0)</f>
        <v>0</v>
      </c>
      <c r="U157" s="46">
        <f>=IFERROR(ROUND((U21+U22)/$B157,0),0)</f>
        <v>0</v>
      </c>
      <c r="V157" s="46">
        <f>=IFERROR(ROUND((V21+V22)/$B157,0),0)</f>
        <v>0</v>
      </c>
      <c r="W157" s="46">
        <f>=IFERROR(ROUND((W21+W22)/$B157,0),0)</f>
        <v>0</v>
      </c>
      <c r="X157" s="46">
        <f>=IFERROR(ROUND((X21+X22)/$B157,0),0)</f>
        <v>0</v>
      </c>
      <c r="Y157" s="46">
        <f>=IFERROR(ROUND((Y21+Y22)/$B157,0),0)</f>
        <v>0</v>
      </c>
      <c r="Z157" s="46">
        <f>=IFERROR(ROUND((Z21+Z22)/$B157,0),0)</f>
        <v>0</v>
      </c>
      <c r="AA157" s="46">
        <f>=IFERROR(ROUND((AA21+AA22)/$B157,0),0)</f>
        <v>0</v>
      </c>
      <c r="AB157" s="46">
        <f>=IFERROR(ROUND((AB21+AB22)/$B157,0),0)</f>
        <v>0</v>
      </c>
      <c r="AC157" s="46">
        <f>=IFERROR(ROUND((AC21+AC22)/$B157,0),0)</f>
        <v>0</v>
      </c>
      <c r="AD157" s="46">
        <f>=IFERROR(ROUND((AD21+AD22)/$B157,0),0)</f>
        <v>0</v>
      </c>
      <c r="AE157" s="46">
        <f>=IFERROR(ROUND((AE21+AE22)/$B157,0),0)</f>
        <v>0</v>
      </c>
      <c r="AF157" s="46">
        <f>=IFERROR(ROUND((AF21+AF22)/$B157,0),0)</f>
        <v>1</v>
      </c>
      <c r="AG157" s="46">
        <f>=IFERROR(ROUND((AG21+AG22)/$B157,0),0)</f>
        <v>1</v>
      </c>
      <c r="AH157" s="46">
        <f>=IFERROR(ROUND((AH21+AH22)/$B157,0),0)</f>
        <v>0</v>
      </c>
      <c r="AI157" s="46">
        <f>=IFERROR(ROUND((AI21+AI22)/$B157,0),0)</f>
        <v>0</v>
      </c>
      <c r="AJ157" s="46">
        <f>=IFERROR(ROUND((AJ21+AJ22)/$B157,0),0)</f>
        <v>0</v>
      </c>
      <c r="AK157" s="46">
        <f>=IFERROR(ROUND((AK21+AK22)/$B157,0),0)</f>
        <v>0</v>
      </c>
      <c r="AL157" s="46">
        <f>=IFERROR(ROUND((AL21+AL22)/$B157,0),0)</f>
        <v>0</v>
      </c>
      <c r="AM157" s="46">
        <f>=IFERROR(ROUND((AM21+AM22)/$B157,0),0)</f>
        <v>0</v>
      </c>
      <c r="AN157" s="46">
        <f>=IFERROR(ROUND((AN21+AN22)/$B157,0),0)</f>
        <v>0</v>
      </c>
      <c r="AO157" s="46">
        <f>=IFERROR(ROUND((AO21+AO22)/$B157,0),0)</f>
        <v>0</v>
      </c>
      <c r="AP157" s="46">
        <f>=IFERROR(ROUND((AP21+AP22)/$B157,0),0)</f>
        <v>0</v>
      </c>
      <c r="AQ157" s="46">
        <f>=IFERROR(ROUND((AQ21+AQ22)/$B157,0),0)</f>
        <v>2</v>
      </c>
      <c r="AR157" s="46">
        <f>=IFERROR(ROUND((AR21+AR22)/$B157,0),0)</f>
        <v>2</v>
      </c>
      <c r="AS157" s="46">
        <f>=IFERROR(ROUND((AS21+AS22)/$B157,0),0)</f>
        <v>0</v>
      </c>
      <c r="AT157" s="46">
        <f>=IFERROR(ROUND((AT21+AT22)/$B157,0),0)</f>
        <v>0</v>
      </c>
      <c r="AU157" s="46">
        <f>=IFERROR(ROUND((AU21+AU22)/$B157,0),0)</f>
        <v>0</v>
      </c>
      <c r="AV157" s="46">
        <f>=IFERROR(ROUND((AV21+AV22)/$B157,0),0)</f>
        <v>2</v>
      </c>
      <c r="AW157" s="46">
        <f>=IFERROR(ROUND((AW21+AW22)/$B157,0),0)</f>
        <v>2</v>
      </c>
      <c r="AX157" s="46">
        <f>=IFERROR(ROUND((AX21+AX22)/$B157,0),0)</f>
        <v>0</v>
      </c>
      <c r="AY157" s="46">
        <f>=IFERROR(ROUND((AY21+AY22)/$B157,0),0)</f>
        <v>0</v>
      </c>
      <c r="AZ157" s="46">
        <f>=IFERROR(ROUND((AZ21+AZ22)/$B157,0),0)</f>
        <v>0</v>
      </c>
      <c r="BA157" s="46">
        <f>=IFERROR(ROUND((BA21+BA22)/$B157,0),0)</f>
        <v>2</v>
      </c>
      <c r="BB157" s="46">
        <f>=IFERROR(ROUND((BB21+BB22)/$B157,0),0)</f>
        <v>2</v>
      </c>
      <c r="BC157" s="46">
        <f>=IFERROR(ROUND((BC21+BC22)/$B157,0),0)</f>
        <v>0</v>
      </c>
      <c r="BD157" s="46">
        <f>=IFERROR(ROUND((BD21+BD22)/$B157,0),0)</f>
        <v>0</v>
      </c>
      <c r="BE157" s="46">
        <f>=IFERROR(ROUND((BE21+BE22)/$B157,0),0)</f>
        <v>0</v>
      </c>
      <c r="BF157" s="46">
        <f>=IFERROR(ROUND((BF21+BF22)/$B157,0),0)</f>
        <v>0</v>
      </c>
      <c r="BG157" s="46">
        <f>=IFERROR(ROUND((BG21+BG22)/$B157,0),0)</f>
        <v>1</v>
      </c>
      <c r="BH157" s="46">
        <f>=IFERROR(ROUND((BH21+BH22)/$B157,0),0)</f>
        <v>1</v>
      </c>
      <c r="BI157" s="46">
        <f>=IFERROR(ROUND((BI21+BI22)/$B157,0),0)</f>
        <v>0</v>
      </c>
      <c r="BJ157" s="46">
        <f>=IFERROR(ROUND((BJ21+BJ22)/$B157,0),0)</f>
        <v>1</v>
      </c>
      <c r="BK157" s="46">
        <f>=IFERROR(ROUND((BK21+BK22)/$B157,0),0)</f>
        <v>1</v>
      </c>
      <c r="BL157" s="46">
        <f>=IFERROR(ROUND((BL21+BL22)/$B157,0),0)</f>
        <v>0</v>
      </c>
      <c r="BM157" s="46">
        <f>=IFERROR(ROUND((BM21+BM22)/$B157,0),0)</f>
        <v>0</v>
      </c>
      <c r="BN157" s="46">
        <f>=IFERROR(ROUND((BN21+BN22)/$B157,0),0)</f>
        <v>0</v>
      </c>
      <c r="BO157" s="46">
        <f>=IFERROR(ROUND((BO21+BO22)/$B157,0),0)</f>
        <v>0</v>
      </c>
      <c r="BP157" s="46">
        <f>=IFERROR(ROUND((BP21+BP22)/$B157,0),0)</f>
        <v>0</v>
      </c>
      <c r="BQ157" s="46">
        <f>=IFERROR(ROUND((BQ21+BQ22)/$B157,0),0)</f>
        <v>0</v>
      </c>
      <c r="BR157" s="46">
        <f>=IFERROR(ROUND((BR21+BR22)/$B157,0),0)</f>
        <v>0</v>
      </c>
      <c r="BS157" s="46">
        <f>=IFERROR(ROUND((BS21+BS22)/$B157,0),0)</f>
        <v>0</v>
      </c>
      <c r="BT157" s="46">
        <f>=IFERROR(ROUND((BT21+BT22)/$B157,0),0)</f>
        <v>0</v>
      </c>
      <c r="BU157" s="46">
        <f>=IFERROR(ROUND((BU21+BU22)/$B157,0),0)</f>
        <v>0</v>
      </c>
      <c r="BV157" s="46">
        <f>=IFERROR(ROUND((BV21+BV22)/$B157,0),0)</f>
        <v>0</v>
      </c>
      <c r="BW157" s="46">
        <f>=IFERROR(ROUND((BW21+BW22)/$B157,0),0)</f>
        <v>0</v>
      </c>
      <c r="BX157" s="46">
        <f>=IFERROR(ROUND((BX21+BX22)/$B157,0),0)</f>
        <v>0</v>
      </c>
      <c r="BY157" s="46">
        <f>=IFERROR(ROUND((BY21+BY22)/$B157,0),0)</f>
        <v>0</v>
      </c>
      <c r="BZ157" s="46">
        <f>=IFERROR(ROUND((BZ21+BZ22)/$B157,0),0)</f>
        <v>0</v>
      </c>
      <c r="CA157" s="46">
        <f>=IFERROR(ROUND((CA21+CA22)/$B157,0),0)</f>
        <v>0</v>
      </c>
      <c r="CB157" s="46">
        <f>=IFERROR(ROUND((CB21+CB22)/$B157,0),0)</f>
        <v>0</v>
      </c>
      <c r="CC157" s="46">
        <f>=IFERROR(ROUND((CC21+CC22)/$B157,0),0)</f>
        <v>0</v>
      </c>
      <c r="CD157" s="46">
        <f>=IFERROR(ROUND((CD21+CD22)/$B157,0),0)</f>
        <v>0</v>
      </c>
      <c r="CE157" s="46">
        <f>=IFERROR(ROUND((CE21+CE22)/$B157,0),0)</f>
        <v>0</v>
      </c>
      <c r="CF157" s="46">
        <f>=IFERROR(ROUND((CF21+CF22)/$B157,0),0)</f>
        <v>0</v>
      </c>
      <c r="CG157" s="46">
        <f>=IFERROR(ROUND((CG21+CG22)/$B157,0),0)</f>
        <v>0</v>
      </c>
      <c r="CH157" s="46">
        <f>=IFERROR(ROUND((CH21+CH22)/$B157,0),0)</f>
        <v>0</v>
      </c>
      <c r="CI157" s="46">
        <f>=IFERROR(ROUND((CI21+CI22)/$B157,0),0)</f>
        <v>0</v>
      </c>
      <c r="CJ157" s="46">
        <f>=IFERROR(ROUND((CJ21+CJ22)/$B157,0),0)</f>
        <v>0</v>
      </c>
      <c r="CK157" s="46">
        <f>=IFERROR(ROUND((CK21+CK22)/$B157,0),0)</f>
        <v>0</v>
      </c>
      <c r="CL157" s="46">
        <f>=IFERROR(ROUND((CL21+CL22)/$B157,0),0)</f>
        <v>0</v>
      </c>
      <c r="CM157" s="46">
        <f>=IFERROR(ROUND((CM21+CM22)/$B157,0),0)</f>
        <v>0</v>
      </c>
      <c r="CN157" s="46">
        <f>=IFERROR(ROUND((CN21+CN22)/$B157,0),0)</f>
        <v>0</v>
      </c>
      <c r="CO157" s="46">
        <f>=IFERROR(ROUND((CO21+CO22)/$B157,0),0)</f>
        <v>0</v>
      </c>
      <c r="CP157" s="46">
        <f>=IFERROR(ROUND((CP21+CP22)/$B157,0),0)</f>
        <v>0</v>
      </c>
      <c r="CQ157" s="46">
        <f>=IFERROR(ROUND((CQ21+CQ22)/$B157,0),0)</f>
        <v>0</v>
      </c>
      <c r="CR157" s="46">
        <f>=IFERROR(ROUND((CR21+CR22)/$B157,0),0)</f>
        <v>0</v>
      </c>
      <c r="CS157" s="46">
        <f>=IFERROR(ROUND((CS21+CS22)/$B157,0),0)</f>
        <v>0</v>
      </c>
      <c r="CT157" s="46">
        <f>=IFERROR(ROUND((CT21+CT22)/$B157,0),0)</f>
        <v>0</v>
      </c>
      <c r="CU157" s="46">
        <f>=IFERROR(ROUND((CU21+CU22)/$B157,0),0)</f>
        <v>0</v>
      </c>
      <c r="CV157" s="46">
        <f>=IFERROR(ROUND((CV21+CV22)/$B157,0),0)</f>
        <v>0</v>
      </c>
      <c r="CW157" s="46">
        <f>=IFERROR(ROUND((CW21+CW22)/$B157,0),0)</f>
        <v>0</v>
      </c>
      <c r="CX157" s="46">
        <f>=IFERROR(ROUND((CX21+CX22)/$B157,0),0)</f>
        <v>0</v>
      </c>
      <c r="CY157" s="46">
        <f>=IFERROR(ROUND((CY21+CY22)/$B157,0),0)</f>
        <v>0</v>
      </c>
      <c r="CZ157" s="46">
        <f>=IFERROR(ROUND((CZ21+CZ22)/$B157,0),0)</f>
        <v>0</v>
      </c>
      <c r="DA157" s="46">
        <f>=IFERROR(ROUND((DA21+DA22)/$B157,0),0)</f>
        <v>0</v>
      </c>
      <c r="DB157" s="46">
        <f>=IFERROR(ROUND((DB21+DB22)/$B157,0),0)</f>
        <v>0</v>
      </c>
    </row>
    <row r="158" ht="18" customHeight="1" spans="1:106" x14ac:dyDescent="0.25">
      <c r="A158" s="17" t="s">
        <v>362</v>
      </c>
      <c r="B158" s="17">
        <v>15</v>
      </c>
      <c r="C158" s="46">
        <f>=IFERROR(ROUND(C23/$B158,0),0)</f>
        <v>0</v>
      </c>
      <c r="D158" s="46">
        <f>=IFERROR(ROUND(D23/$B158,0),0)</f>
        <v>0</v>
      </c>
      <c r="E158" s="46">
        <f>=IFERROR(ROUND(E23/$B158,0),0)</f>
        <v>0</v>
      </c>
      <c r="F158" s="46">
        <f>=IFERROR(ROUND(F23/$B158,0),0)</f>
        <v>0</v>
      </c>
      <c r="G158" s="46">
        <f>=IFERROR(ROUND(G23/$B158,0),0)</f>
        <v>0</v>
      </c>
      <c r="H158" s="46">
        <f>=IFERROR(ROUND(H23/$B158,0),0)</f>
        <v>0</v>
      </c>
      <c r="I158" s="46">
        <f>=IFERROR(ROUND(I23/$B158,0),0)</f>
        <v>0</v>
      </c>
      <c r="J158" s="46">
        <f>=IFERROR(ROUND(J23/$B158,0),0)</f>
        <v>0</v>
      </c>
      <c r="K158" s="46">
        <f>=IFERROR(ROUND(K23/$B158,0),0)</f>
        <v>0</v>
      </c>
      <c r="L158" s="46">
        <f>=IFERROR(ROUND(L23/$B158,0),0)</f>
        <v>0</v>
      </c>
      <c r="M158" s="46">
        <f>=IFERROR(ROUND(M23/$B158,0),0)</f>
        <v>0</v>
      </c>
      <c r="N158" s="46">
        <f>=IFERROR(ROUND(N23/$B158,0),0)</f>
        <v>0</v>
      </c>
      <c r="O158" s="46">
        <f>=IFERROR(ROUND(O23/$B158,0),0)</f>
        <v>0</v>
      </c>
      <c r="P158" s="46">
        <f>=IFERROR(ROUND(P23/$B158,0),0)</f>
        <v>0</v>
      </c>
      <c r="Q158" s="46">
        <f>=IFERROR(ROUND(Q23/$B158,0),0)</f>
        <v>0</v>
      </c>
      <c r="R158" s="46">
        <f>=IFERROR(ROUND(R23/$B158,0),0)</f>
        <v>0</v>
      </c>
      <c r="S158" s="46">
        <f>=IFERROR(ROUND(S23/$B158,0),0)</f>
        <v>0</v>
      </c>
      <c r="T158" s="46">
        <f>=IFERROR(ROUND(T23/$B158,0),0)</f>
        <v>0</v>
      </c>
      <c r="U158" s="46">
        <f>=IFERROR(ROUND(U23/$B158,0),0)</f>
        <v>0</v>
      </c>
      <c r="V158" s="46">
        <f>=IFERROR(ROUND(V23/$B158,0),0)</f>
        <v>0</v>
      </c>
      <c r="W158" s="46">
        <f>=IFERROR(ROUND(W23/$B158,0),0)</f>
        <v>0</v>
      </c>
      <c r="X158" s="46">
        <f>=IFERROR(ROUND(X23/$B158,0),0)</f>
        <v>0</v>
      </c>
      <c r="Y158" s="46">
        <f>=IFERROR(ROUND(Y23/$B158,0),0)</f>
        <v>0</v>
      </c>
      <c r="Z158" s="46">
        <f>=IFERROR(ROUND(Z23/$B158,0),0)</f>
        <v>0</v>
      </c>
      <c r="AA158" s="46">
        <f>=IFERROR(ROUND(AA23/$B158,0),0)</f>
        <v>0</v>
      </c>
      <c r="AB158" s="46">
        <f>=IFERROR(ROUND(AB23/$B158,0),0)</f>
        <v>0</v>
      </c>
      <c r="AC158" s="46">
        <f>=IFERROR(ROUND(AC23/$B158,0),0)</f>
        <v>0</v>
      </c>
      <c r="AD158" s="46">
        <f>=IFERROR(ROUND(AD23/$B158,0),0)</f>
        <v>0</v>
      </c>
      <c r="AE158" s="46">
        <f>=IFERROR(ROUND(AE23/$B158,0),0)</f>
        <v>0</v>
      </c>
      <c r="AF158" s="46">
        <f>=IFERROR(ROUND(AF23/$B158,0),0)</f>
        <v>0</v>
      </c>
      <c r="AG158" s="46">
        <f>=IFERROR(ROUND(AG23/$B158,0),0)</f>
        <v>0</v>
      </c>
      <c r="AH158" s="46">
        <f>=IFERROR(ROUND(AH23/$B158,0),0)</f>
        <v>0</v>
      </c>
      <c r="AI158" s="46">
        <f>=IFERROR(ROUND(AI23/$B158,0),0)</f>
        <v>0</v>
      </c>
      <c r="AJ158" s="46">
        <f>=IFERROR(ROUND(AJ23/$B158,0),0)</f>
        <v>0</v>
      </c>
      <c r="AK158" s="46">
        <f>=IFERROR(ROUND(AK23/$B158,0),0)</f>
        <v>0</v>
      </c>
      <c r="AL158" s="46">
        <f>=IFERROR(ROUND(AL23/$B158,0),0)</f>
        <v>0</v>
      </c>
      <c r="AM158" s="46">
        <f>=IFERROR(ROUND(AM23/$B158,0),0)</f>
        <v>0</v>
      </c>
      <c r="AN158" s="46">
        <f>=IFERROR(ROUND(AN23/$B158,0),0)</f>
        <v>0</v>
      </c>
      <c r="AO158" s="46">
        <f>=IFERROR(ROUND(AO23/$B158,0),0)</f>
        <v>0</v>
      </c>
      <c r="AP158" s="46">
        <f>=IFERROR(ROUND(AP23/$B158,0),0)</f>
        <v>0</v>
      </c>
      <c r="AQ158" s="46">
        <f>=IFERROR(ROUND(AQ23/$B158,0),0)</f>
        <v>0</v>
      </c>
      <c r="AR158" s="46">
        <f>=IFERROR(ROUND(AR23/$B158,0),0)</f>
        <v>0</v>
      </c>
      <c r="AS158" s="46">
        <f>=IFERROR(ROUND(AS23/$B158,0),0)</f>
        <v>1</v>
      </c>
      <c r="AT158" s="46">
        <f>=IFERROR(ROUND(AT23/$B158,0),0)</f>
        <v>1</v>
      </c>
      <c r="AU158" s="46">
        <f>=IFERROR(ROUND(AU23/$B158,0),0)</f>
        <v>0</v>
      </c>
      <c r="AV158" s="46">
        <f>=IFERROR(ROUND(AV23/$B158,0),0)</f>
        <v>0</v>
      </c>
      <c r="AW158" s="46">
        <f>=IFERROR(ROUND(AW23/$B158,0),0)</f>
        <v>0</v>
      </c>
      <c r="AX158" s="46">
        <f>=IFERROR(ROUND(AX23/$B158,0),0)</f>
        <v>1</v>
      </c>
      <c r="AY158" s="46">
        <f>=IFERROR(ROUND(AY23/$B158,0),0)</f>
        <v>0</v>
      </c>
      <c r="AZ158" s="46">
        <f>=IFERROR(ROUND(AZ23/$B158,0),0)</f>
        <v>0</v>
      </c>
      <c r="BA158" s="46">
        <f>=IFERROR(ROUND(BA23/$B158,0),0)</f>
        <v>0</v>
      </c>
      <c r="BB158" s="46">
        <f>=IFERROR(ROUND(BB23/$B158,0),0)</f>
        <v>0</v>
      </c>
      <c r="BC158" s="46">
        <f>=IFERROR(ROUND(BC23/$B158,0),0)</f>
        <v>1</v>
      </c>
      <c r="BD158" s="46">
        <f>=IFERROR(ROUND(BD23/$B158,0),0)</f>
        <v>1</v>
      </c>
      <c r="BE158" s="46">
        <f>=IFERROR(ROUND(BE23/$B158,0),0)</f>
        <v>0</v>
      </c>
      <c r="BF158" s="46">
        <f>=IFERROR(ROUND(BF23/$B158,0),0)</f>
        <v>0</v>
      </c>
      <c r="BG158" s="46">
        <f>=IFERROR(ROUND(BG23/$B158,0),0)</f>
        <v>0</v>
      </c>
      <c r="BH158" s="46">
        <f>=IFERROR(ROUND(BH23/$B158,0),0)</f>
        <v>0</v>
      </c>
      <c r="BI158" s="46">
        <f>=IFERROR(ROUND(BI23/$B158,0),0)</f>
        <v>0</v>
      </c>
      <c r="BJ158" s="46">
        <f>=IFERROR(ROUND(BJ23/$B158,0),0)</f>
        <v>0</v>
      </c>
      <c r="BK158" s="46">
        <f>=IFERROR(ROUND(BK23/$B158,0),0)</f>
        <v>0</v>
      </c>
      <c r="BL158" s="46">
        <f>=IFERROR(ROUND(BL23/$B158,0),0)</f>
        <v>0</v>
      </c>
      <c r="BM158" s="46">
        <f>=IFERROR(ROUND(BM23/$B158,0),0)</f>
        <v>0</v>
      </c>
      <c r="BN158" s="46">
        <f>=IFERROR(ROUND(BN23/$B158,0),0)</f>
        <v>0</v>
      </c>
      <c r="BO158" s="46">
        <f>=IFERROR(ROUND(BO23/$B158,0),0)</f>
        <v>0</v>
      </c>
      <c r="BP158" s="46">
        <f>=IFERROR(ROUND(BP23/$B158,0),0)</f>
        <v>0</v>
      </c>
      <c r="BQ158" s="46">
        <f>=IFERROR(ROUND(BQ23/$B158,0),0)</f>
        <v>0</v>
      </c>
      <c r="BR158" s="46">
        <f>=IFERROR(ROUND(BR23/$B158,0),0)</f>
        <v>0</v>
      </c>
      <c r="BS158" s="46">
        <f>=IFERROR(ROUND(BS23/$B158,0),0)</f>
        <v>0</v>
      </c>
      <c r="BT158" s="46">
        <f>=IFERROR(ROUND(BT23/$B158,0),0)</f>
        <v>0</v>
      </c>
      <c r="BU158" s="46">
        <f>=IFERROR(ROUND(BU23/$B158,0),0)</f>
        <v>0</v>
      </c>
      <c r="BV158" s="46">
        <f>=IFERROR(ROUND(BV23/$B158,0),0)</f>
        <v>0</v>
      </c>
      <c r="BW158" s="46">
        <f>=IFERROR(ROUND(BW23/$B158,0),0)</f>
        <v>0</v>
      </c>
      <c r="BX158" s="46">
        <f>=IFERROR(ROUND(BX23/$B158,0),0)</f>
        <v>0</v>
      </c>
      <c r="BY158" s="46">
        <f>=IFERROR(ROUND(BY23/$B158,0),0)</f>
        <v>0</v>
      </c>
      <c r="BZ158" s="46">
        <f>=IFERROR(ROUND(BZ23/$B158,0),0)</f>
        <v>0</v>
      </c>
      <c r="CA158" s="46">
        <f>=IFERROR(ROUND(CA23/$B158,0),0)</f>
        <v>0</v>
      </c>
      <c r="CB158" s="46">
        <f>=IFERROR(ROUND(CB23/$B158,0),0)</f>
        <v>0</v>
      </c>
      <c r="CC158" s="46">
        <f>=IFERROR(ROUND(CC23/$B158,0),0)</f>
        <v>0</v>
      </c>
      <c r="CD158" s="46">
        <f>=IFERROR(ROUND(CD23/$B158,0),0)</f>
        <v>0</v>
      </c>
      <c r="CE158" s="46">
        <f>=IFERROR(ROUND(CE23/$B158,0),0)</f>
        <v>0</v>
      </c>
      <c r="CF158" s="46">
        <f>=IFERROR(ROUND(CF23/$B158,0),0)</f>
        <v>0</v>
      </c>
      <c r="CG158" s="46">
        <f>=IFERROR(ROUND(CG23/$B158,0),0)</f>
        <v>0</v>
      </c>
      <c r="CH158" s="46">
        <f>=IFERROR(ROUND(CH23/$B158,0),0)</f>
        <v>0</v>
      </c>
      <c r="CI158" s="46">
        <f>=IFERROR(ROUND(CI23/$B158,0),0)</f>
        <v>0</v>
      </c>
      <c r="CJ158" s="46">
        <f>=IFERROR(ROUND(CJ23/$B158,0),0)</f>
        <v>0</v>
      </c>
      <c r="CK158" s="46">
        <f>=IFERROR(ROUND(CK23/$B158,0),0)</f>
        <v>0</v>
      </c>
      <c r="CL158" s="46">
        <f>=IFERROR(ROUND(CL23/$B158,0),0)</f>
        <v>0</v>
      </c>
      <c r="CM158" s="46">
        <f>=IFERROR(ROUND(CM23/$B158,0),0)</f>
        <v>0</v>
      </c>
      <c r="CN158" s="46">
        <f>=IFERROR(ROUND(CN23/$B158,0),0)</f>
        <v>0</v>
      </c>
      <c r="CO158" s="46">
        <f>=IFERROR(ROUND(CO23/$B158,0),0)</f>
        <v>0</v>
      </c>
      <c r="CP158" s="46">
        <f>=IFERROR(ROUND(CP23/$B158,0),0)</f>
        <v>0</v>
      </c>
      <c r="CQ158" s="46">
        <f>=IFERROR(ROUND(CQ23/$B158,0),0)</f>
        <v>0</v>
      </c>
      <c r="CR158" s="46">
        <f>=IFERROR(ROUND(CR23/$B158,0),0)</f>
        <v>0</v>
      </c>
      <c r="CS158" s="46">
        <f>=IFERROR(ROUND(CS23/$B158,0),0)</f>
        <v>0</v>
      </c>
      <c r="CT158" s="46">
        <f>=IFERROR(ROUND(CT23/$B158,0),0)</f>
        <v>0</v>
      </c>
      <c r="CU158" s="46">
        <f>=IFERROR(ROUND(CU23/$B158,0),0)</f>
        <v>0</v>
      </c>
      <c r="CV158" s="46">
        <f>=IFERROR(ROUND(CV23/$B158,0),0)</f>
        <v>0</v>
      </c>
      <c r="CW158" s="46">
        <f>=IFERROR(ROUND(CW23/$B158,0),0)</f>
        <v>0</v>
      </c>
      <c r="CX158" s="46">
        <f>=IFERROR(ROUND(CX23/$B158,0),0)</f>
        <v>0</v>
      </c>
      <c r="CY158" s="46">
        <f>=IFERROR(ROUND(CY23/$B158,0),0)</f>
        <v>0</v>
      </c>
      <c r="CZ158" s="46">
        <f>=IFERROR(ROUND(CZ23/$B158,0),0)</f>
        <v>0</v>
      </c>
      <c r="DA158" s="46">
        <f>=IFERROR(ROUND(DA23/$B158,0),0)</f>
        <v>0</v>
      </c>
      <c r="DB158" s="46">
        <f>=IFERROR(ROUND(DB23/$B158,0),0)</f>
        <v>0</v>
      </c>
    </row>
    <row r="159" ht="18" customHeight="1" spans="1:106" x14ac:dyDescent="0.25">
      <c r="A159" s="17" t="s">
        <v>363</v>
      </c>
      <c r="B159" s="17">
        <v>15</v>
      </c>
      <c r="C159" s="46">
        <f>=IFERROR(ROUND(C24/$B159,0),0)</f>
        <v>0</v>
      </c>
      <c r="D159" s="46">
        <f>=IFERROR(ROUND(D24/$B159,0),0)</f>
        <v>0</v>
      </c>
      <c r="E159" s="46">
        <f>=IFERROR(ROUND(E24/$B159,0),0)</f>
        <v>0</v>
      </c>
      <c r="F159" s="46">
        <f>=IFERROR(ROUND(F24/$B159,0),0)</f>
        <v>0</v>
      </c>
      <c r="G159" s="46">
        <f>=IFERROR(ROUND(G24/$B159,0),0)</f>
        <v>0</v>
      </c>
      <c r="H159" s="46">
        <f>=IFERROR(ROUND(H24/$B159,0),0)</f>
        <v>0</v>
      </c>
      <c r="I159" s="46">
        <f>=IFERROR(ROUND(I24/$B159,0),0)</f>
        <v>0</v>
      </c>
      <c r="J159" s="46">
        <f>=IFERROR(ROUND(J24/$B159,0),0)</f>
        <v>0</v>
      </c>
      <c r="K159" s="46">
        <f>=IFERROR(ROUND(K24/$B159,0),0)</f>
        <v>0</v>
      </c>
      <c r="L159" s="46">
        <f>=IFERROR(ROUND(L24/$B159,0),0)</f>
        <v>0</v>
      </c>
      <c r="M159" s="46">
        <f>=IFERROR(ROUND(M24/$B159,0),0)</f>
        <v>0</v>
      </c>
      <c r="N159" s="46">
        <f>=IFERROR(ROUND(N24/$B159,0),0)</f>
        <v>0</v>
      </c>
      <c r="O159" s="46">
        <f>=IFERROR(ROUND(O24/$B159,0),0)</f>
        <v>0</v>
      </c>
      <c r="P159" s="46">
        <f>=IFERROR(ROUND(P24/$B159,0),0)</f>
        <v>0</v>
      </c>
      <c r="Q159" s="46">
        <f>=IFERROR(ROUND(Q24/$B159,0),0)</f>
        <v>0</v>
      </c>
      <c r="R159" s="46">
        <f>=IFERROR(ROUND(R24/$B159,0),0)</f>
        <v>0</v>
      </c>
      <c r="S159" s="46">
        <f>=IFERROR(ROUND(S24/$B159,0),0)</f>
        <v>0</v>
      </c>
      <c r="T159" s="46">
        <f>=IFERROR(ROUND(T24/$B159,0),0)</f>
        <v>0</v>
      </c>
      <c r="U159" s="46">
        <f>=IFERROR(ROUND(U24/$B159,0),0)</f>
        <v>0</v>
      </c>
      <c r="V159" s="46">
        <f>=IFERROR(ROUND(V24/$B159,0),0)</f>
        <v>0</v>
      </c>
      <c r="W159" s="46">
        <f>=IFERROR(ROUND(W24/$B159,0),0)</f>
        <v>0</v>
      </c>
      <c r="X159" s="46">
        <f>=IFERROR(ROUND(X24/$B159,0),0)</f>
        <v>0</v>
      </c>
      <c r="Y159" s="46">
        <f>=IFERROR(ROUND(Y24/$B159,0),0)</f>
        <v>0</v>
      </c>
      <c r="Z159" s="46">
        <f>=IFERROR(ROUND(Z24/$B159,0),0)</f>
        <v>0</v>
      </c>
      <c r="AA159" s="46">
        <f>=IFERROR(ROUND(AA24/$B159,0),0)</f>
        <v>0</v>
      </c>
      <c r="AB159" s="46">
        <f>=IFERROR(ROUND(AB24/$B159,0),0)</f>
        <v>0</v>
      </c>
      <c r="AC159" s="46">
        <f>=IFERROR(ROUND(AC24/$B159,0),0)</f>
        <v>0</v>
      </c>
      <c r="AD159" s="46">
        <f>=IFERROR(ROUND(AD24/$B159,0),0)</f>
        <v>0</v>
      </c>
      <c r="AE159" s="46">
        <f>=IFERROR(ROUND(AE24/$B159,0),0)</f>
        <v>0</v>
      </c>
      <c r="AF159" s="46">
        <f>=IFERROR(ROUND(AF24/$B159,0),0)</f>
        <v>0</v>
      </c>
      <c r="AG159" s="46">
        <f>=IFERROR(ROUND(AG24/$B159,0),0)</f>
        <v>0</v>
      </c>
      <c r="AH159" s="46">
        <f>=IFERROR(ROUND(AH24/$B159,0),0)</f>
        <v>0</v>
      </c>
      <c r="AI159" s="46">
        <f>=IFERROR(ROUND(AI24/$B159,0),0)</f>
        <v>0</v>
      </c>
      <c r="AJ159" s="46">
        <f>=IFERROR(ROUND(AJ24/$B159,0),0)</f>
        <v>0</v>
      </c>
      <c r="AK159" s="46">
        <f>=IFERROR(ROUND(AK24/$B159,0),0)</f>
        <v>0</v>
      </c>
      <c r="AL159" s="46">
        <f>=IFERROR(ROUND(AL24/$B159,0),0)</f>
        <v>0</v>
      </c>
      <c r="AM159" s="46">
        <f>=IFERROR(ROUND(AM24/$B159,0),0)</f>
        <v>0</v>
      </c>
      <c r="AN159" s="46">
        <f>=IFERROR(ROUND(AN24/$B159,0),0)</f>
        <v>0</v>
      </c>
      <c r="AO159" s="46">
        <f>=IFERROR(ROUND(AO24/$B159,0),0)</f>
        <v>0</v>
      </c>
      <c r="AP159" s="46">
        <f>=IFERROR(ROUND(AP24/$B159,0),0)</f>
        <v>0</v>
      </c>
      <c r="AQ159" s="46">
        <f>=IFERROR(ROUND(AQ24/$B159,0),0)</f>
        <v>0</v>
      </c>
      <c r="AR159" s="46">
        <f>=IFERROR(ROUND(AR24/$B159,0),0)</f>
        <v>0</v>
      </c>
      <c r="AS159" s="46">
        <f>=IFERROR(ROUND(AS24/$B159,0),0)</f>
        <v>0</v>
      </c>
      <c r="AT159" s="46">
        <f>=IFERROR(ROUND(AT24/$B159,0),0)</f>
        <v>0</v>
      </c>
      <c r="AU159" s="46">
        <f>=IFERROR(ROUND(AU24/$B159,0),0)</f>
        <v>0</v>
      </c>
      <c r="AV159" s="46">
        <f>=IFERROR(ROUND(AV24/$B159,0),0)</f>
        <v>0</v>
      </c>
      <c r="AW159" s="46">
        <f>=IFERROR(ROUND(AW24/$B159,0),0)</f>
        <v>0</v>
      </c>
      <c r="AX159" s="46">
        <f>=IFERROR(ROUND(AX24/$B159,0),0)</f>
        <v>0</v>
      </c>
      <c r="AY159" s="46">
        <f>=IFERROR(ROUND(AY24/$B159,0),0)</f>
        <v>0</v>
      </c>
      <c r="AZ159" s="46">
        <f>=IFERROR(ROUND(AZ24/$B159,0),0)</f>
        <v>0</v>
      </c>
      <c r="BA159" s="46">
        <f>=IFERROR(ROUND(BA24/$B159,0),0)</f>
        <v>0</v>
      </c>
      <c r="BB159" s="46">
        <f>=IFERROR(ROUND(BB24/$B159,0),0)</f>
        <v>0</v>
      </c>
      <c r="BC159" s="46">
        <f>=IFERROR(ROUND(BC24/$B159,0),0)</f>
        <v>0</v>
      </c>
      <c r="BD159" s="46">
        <f>=IFERROR(ROUND(BD24/$B159,0),0)</f>
        <v>0</v>
      </c>
      <c r="BE159" s="46">
        <f>=IFERROR(ROUND(BE24/$B159,0),0)</f>
        <v>0</v>
      </c>
      <c r="BF159" s="46">
        <f>=IFERROR(ROUND(BF24/$B159,0),0)</f>
        <v>0</v>
      </c>
      <c r="BG159" s="46">
        <f>=IFERROR(ROUND(BG24/$B159,0),0)</f>
        <v>0</v>
      </c>
      <c r="BH159" s="46">
        <f>=IFERROR(ROUND(BH24/$B159,0),0)</f>
        <v>0</v>
      </c>
      <c r="BI159" s="46">
        <f>=IFERROR(ROUND(BI24/$B159,0),0)</f>
        <v>0</v>
      </c>
      <c r="BJ159" s="46">
        <f>=IFERROR(ROUND(BJ24/$B159,0),0)</f>
        <v>0</v>
      </c>
      <c r="BK159" s="46">
        <f>=IFERROR(ROUND(BK24/$B159,0),0)</f>
        <v>0</v>
      </c>
      <c r="BL159" s="46">
        <f>=IFERROR(ROUND(BL24/$B159,0),0)</f>
        <v>0</v>
      </c>
      <c r="BM159" s="46">
        <f>=IFERROR(ROUND(BM24/$B159,0),0)</f>
        <v>0</v>
      </c>
      <c r="BN159" s="46">
        <f>=IFERROR(ROUND(BN24/$B159,0),0)</f>
        <v>0</v>
      </c>
      <c r="BO159" s="46">
        <f>=IFERROR(ROUND(BO24/$B159,0),0)</f>
        <v>0</v>
      </c>
      <c r="BP159" s="46">
        <f>=IFERROR(ROUND(BP24/$B159,0),0)</f>
        <v>0</v>
      </c>
      <c r="BQ159" s="46">
        <f>=IFERROR(ROUND(BQ24/$B159,0),0)</f>
        <v>0</v>
      </c>
      <c r="BR159" s="46">
        <f>=IFERROR(ROUND(BR24/$B159,0),0)</f>
        <v>0</v>
      </c>
      <c r="BS159" s="46">
        <f>=IFERROR(ROUND(BS24/$B159,0),0)</f>
        <v>0</v>
      </c>
      <c r="BT159" s="46">
        <f>=IFERROR(ROUND(BT24/$B159,0),0)</f>
        <v>0</v>
      </c>
      <c r="BU159" s="46">
        <f>=IFERROR(ROUND(BU24/$B159,0),0)</f>
        <v>0</v>
      </c>
      <c r="BV159" s="46">
        <f>=IFERROR(ROUND(BV24/$B159,0),0)</f>
        <v>0</v>
      </c>
      <c r="BW159" s="46">
        <f>=IFERROR(ROUND(BW24/$B159,0),0)</f>
        <v>0</v>
      </c>
      <c r="BX159" s="46">
        <f>=IFERROR(ROUND(BX24/$B159,0),0)</f>
        <v>0</v>
      </c>
      <c r="BY159" s="46">
        <f>=IFERROR(ROUND(BY24/$B159,0),0)</f>
        <v>0</v>
      </c>
      <c r="BZ159" s="46">
        <f>=IFERROR(ROUND(BZ24/$B159,0),0)</f>
        <v>0</v>
      </c>
      <c r="CA159" s="46">
        <f>=IFERROR(ROUND(CA24/$B159,0),0)</f>
        <v>0</v>
      </c>
      <c r="CB159" s="46">
        <f>=IFERROR(ROUND(CB24/$B159,0),0)</f>
        <v>0</v>
      </c>
      <c r="CC159" s="46">
        <f>=IFERROR(ROUND(CC24/$B159,0),0)</f>
        <v>0</v>
      </c>
      <c r="CD159" s="46">
        <f>=IFERROR(ROUND(CD24/$B159,0),0)</f>
        <v>0</v>
      </c>
      <c r="CE159" s="46">
        <f>=IFERROR(ROUND(CE24/$B159,0),0)</f>
        <v>0</v>
      </c>
      <c r="CF159" s="46">
        <f>=IFERROR(ROUND(CF24/$B159,0),0)</f>
        <v>0</v>
      </c>
      <c r="CG159" s="46">
        <f>=IFERROR(ROUND(CG24/$B159,0),0)</f>
        <v>0</v>
      </c>
      <c r="CH159" s="46">
        <f>=IFERROR(ROUND(CH24/$B159,0),0)</f>
        <v>0</v>
      </c>
      <c r="CI159" s="46">
        <f>=IFERROR(ROUND(CI24/$B159,0),0)</f>
        <v>0</v>
      </c>
      <c r="CJ159" s="46">
        <f>=IFERROR(ROUND(CJ24/$B159,0),0)</f>
        <v>0</v>
      </c>
      <c r="CK159" s="46">
        <f>=IFERROR(ROUND(CK24/$B159,0),0)</f>
        <v>0</v>
      </c>
      <c r="CL159" s="46">
        <f>=IFERROR(ROUND(CL24/$B159,0),0)</f>
        <v>0</v>
      </c>
      <c r="CM159" s="46">
        <f>=IFERROR(ROUND(CM24/$B159,0),0)</f>
        <v>0</v>
      </c>
      <c r="CN159" s="46">
        <f>=IFERROR(ROUND(CN24/$B159,0),0)</f>
        <v>0</v>
      </c>
      <c r="CO159" s="46">
        <f>=IFERROR(ROUND(CO24/$B159,0),0)</f>
        <v>0</v>
      </c>
      <c r="CP159" s="46">
        <f>=IFERROR(ROUND(CP24/$B159,0),0)</f>
        <v>0</v>
      </c>
      <c r="CQ159" s="46">
        <f>=IFERROR(ROUND(CQ24/$B159,0),0)</f>
        <v>0</v>
      </c>
      <c r="CR159" s="46">
        <f>=IFERROR(ROUND(CR24/$B159,0),0)</f>
        <v>0</v>
      </c>
      <c r="CS159" s="46">
        <f>=IFERROR(ROUND(CS24/$B159,0),0)</f>
        <v>0</v>
      </c>
      <c r="CT159" s="46">
        <f>=IFERROR(ROUND(CT24/$B159,0),0)</f>
        <v>0</v>
      </c>
      <c r="CU159" s="46">
        <f>=IFERROR(ROUND(CU24/$B159,0),0)</f>
        <v>0</v>
      </c>
      <c r="CV159" s="46">
        <f>=IFERROR(ROUND(CV24/$B159,0),0)</f>
        <v>0</v>
      </c>
      <c r="CW159" s="46">
        <f>=IFERROR(ROUND(CW24/$B159,0),0)</f>
        <v>0</v>
      </c>
      <c r="CX159" s="46">
        <f>=IFERROR(ROUND(CX24/$B159,0),0)</f>
        <v>0</v>
      </c>
      <c r="CY159" s="46">
        <f>=IFERROR(ROUND(CY24/$B159,0),0)</f>
        <v>0</v>
      </c>
      <c r="CZ159" s="46">
        <f>=IFERROR(ROUND(CZ24/$B159,0),0)</f>
        <v>0</v>
      </c>
      <c r="DA159" s="46">
        <f>=IFERROR(ROUND(DA24/$B159,0),0)</f>
        <v>0</v>
      </c>
      <c r="DB159" s="46">
        <f>=IFERROR(ROUND(DB24/$B159,0),0)</f>
        <v>0</v>
      </c>
    </row>
    <row r="160" ht="18" customHeight="1" spans="1:106" x14ac:dyDescent="0.25">
      <c r="A160" s="17" t="s">
        <v>364</v>
      </c>
      <c r="B160" s="17">
        <v>30</v>
      </c>
      <c r="C160" s="46">
        <f>=IFERROR(ROUND(C23/$B160,0),0)</f>
        <v>0</v>
      </c>
      <c r="D160" s="46">
        <f>=IFERROR(ROUND(D23/$B160,0),0)</f>
        <v>0</v>
      </c>
      <c r="E160" s="46">
        <f>=IFERROR(ROUND(E23/$B160,0),0)</f>
        <v>0</v>
      </c>
      <c r="F160" s="46">
        <f>=IFERROR(ROUND(F23/$B160,0),0)</f>
        <v>0</v>
      </c>
      <c r="G160" s="46">
        <f>=IFERROR(ROUND(G23/$B160,0),0)</f>
        <v>0</v>
      </c>
      <c r="H160" s="46">
        <f>=IFERROR(ROUND(H23/$B160,0),0)</f>
        <v>0</v>
      </c>
      <c r="I160" s="46">
        <f>=IFERROR(ROUND(I23/$B160,0),0)</f>
        <v>0</v>
      </c>
      <c r="J160" s="46">
        <f>=IFERROR(ROUND(J23/$B160,0),0)</f>
        <v>0</v>
      </c>
      <c r="K160" s="46">
        <f>=IFERROR(ROUND(K23/$B160,0),0)</f>
        <v>0</v>
      </c>
      <c r="L160" s="46">
        <f>=IFERROR(ROUND(L23/$B160,0),0)</f>
        <v>0</v>
      </c>
      <c r="M160" s="46">
        <f>=IFERROR(ROUND(M23/$B160,0),0)</f>
        <v>0</v>
      </c>
      <c r="N160" s="46">
        <f>=IFERROR(ROUND(N23/$B160,0),0)</f>
        <v>0</v>
      </c>
      <c r="O160" s="46">
        <f>=IFERROR(ROUND(O23/$B160,0),0)</f>
        <v>0</v>
      </c>
      <c r="P160" s="46">
        <f>=IFERROR(ROUND(P23/$B160,0),0)</f>
        <v>0</v>
      </c>
      <c r="Q160" s="46">
        <f>=IFERROR(ROUND(Q23/$B160,0),0)</f>
        <v>0</v>
      </c>
      <c r="R160" s="46">
        <f>=IFERROR(ROUND(R23/$B160,0),0)</f>
        <v>0</v>
      </c>
      <c r="S160" s="46">
        <f>=IFERROR(ROUND(S23/$B160,0),0)</f>
        <v>0</v>
      </c>
      <c r="T160" s="46">
        <f>=IFERROR(ROUND(T23/$B160,0),0)</f>
        <v>0</v>
      </c>
      <c r="U160" s="46">
        <f>=IFERROR(ROUND(U23/$B160,0),0)</f>
        <v>0</v>
      </c>
      <c r="V160" s="46">
        <f>=IFERROR(ROUND(V23/$B160,0),0)</f>
        <v>0</v>
      </c>
      <c r="W160" s="46">
        <f>=IFERROR(ROUND(W23/$B160,0),0)</f>
        <v>0</v>
      </c>
      <c r="X160" s="46">
        <f>=IFERROR(ROUND(X23/$B160,0),0)</f>
        <v>0</v>
      </c>
      <c r="Y160" s="46">
        <f>=IFERROR(ROUND(Y23/$B160,0),0)</f>
        <v>0</v>
      </c>
      <c r="Z160" s="46">
        <f>=IFERROR(ROUND(Z23/$B160,0),0)</f>
        <v>0</v>
      </c>
      <c r="AA160" s="46">
        <f>=IFERROR(ROUND(AA23/$B160,0),0)</f>
        <v>0</v>
      </c>
      <c r="AB160" s="46">
        <f>=IFERROR(ROUND(AB23/$B160,0),0)</f>
        <v>0</v>
      </c>
      <c r="AC160" s="46">
        <f>=IFERROR(ROUND(AC23/$B160,0),0)</f>
        <v>0</v>
      </c>
      <c r="AD160" s="46">
        <f>=IFERROR(ROUND(AD23/$B160,0),0)</f>
        <v>0</v>
      </c>
      <c r="AE160" s="46">
        <f>=IFERROR(ROUND(AE23/$B160,0),0)</f>
        <v>0</v>
      </c>
      <c r="AF160" s="46">
        <f>=IFERROR(ROUND(AF23/$B160,0),0)</f>
        <v>0</v>
      </c>
      <c r="AG160" s="46">
        <f>=IFERROR(ROUND(AG23/$B160,0),0)</f>
        <v>0</v>
      </c>
      <c r="AH160" s="46">
        <f>=IFERROR(ROUND(AH23/$B160,0),0)</f>
        <v>0</v>
      </c>
      <c r="AI160" s="46">
        <f>=IFERROR(ROUND(AI23/$B160,0),0)</f>
        <v>0</v>
      </c>
      <c r="AJ160" s="46">
        <f>=IFERROR(ROUND(AJ23/$B160,0),0)</f>
        <v>0</v>
      </c>
      <c r="AK160" s="46">
        <f>=IFERROR(ROUND(AK23/$B160,0),0)</f>
        <v>0</v>
      </c>
      <c r="AL160" s="46">
        <f>=IFERROR(ROUND(AL23/$B160,0),0)</f>
        <v>0</v>
      </c>
      <c r="AM160" s="46">
        <f>=IFERROR(ROUND(AM23/$B160,0),0)</f>
        <v>0</v>
      </c>
      <c r="AN160" s="46">
        <f>=IFERROR(ROUND(AN23/$B160,0),0)</f>
        <v>0</v>
      </c>
      <c r="AO160" s="46">
        <f>=IFERROR(ROUND(AO23/$B160,0),0)</f>
        <v>0</v>
      </c>
      <c r="AP160" s="46">
        <f>=IFERROR(ROUND(AP23/$B160,0),0)</f>
        <v>0</v>
      </c>
      <c r="AQ160" s="46">
        <f>=IFERROR(ROUND(AQ23/$B160,0),0)</f>
        <v>0</v>
      </c>
      <c r="AR160" s="46">
        <f>=IFERROR(ROUND(AR23/$B160,0),0)</f>
        <v>0</v>
      </c>
      <c r="AS160" s="46">
        <f>=IFERROR(ROUND(AS23/$B160,0),0)</f>
        <v>0</v>
      </c>
      <c r="AT160" s="46">
        <f>=IFERROR(ROUND(AT23/$B160,0),0)</f>
        <v>0</v>
      </c>
      <c r="AU160" s="46">
        <f>=IFERROR(ROUND(AU23/$B160,0),0)</f>
        <v>0</v>
      </c>
      <c r="AV160" s="46">
        <f>=IFERROR(ROUND(AV23/$B160,0),0)</f>
        <v>0</v>
      </c>
      <c r="AW160" s="46">
        <f>=IFERROR(ROUND(AW23/$B160,0),0)</f>
        <v>0</v>
      </c>
      <c r="AX160" s="46">
        <f>=IFERROR(ROUND(AX23/$B160,0),0)</f>
        <v>0</v>
      </c>
      <c r="AY160" s="46">
        <f>=IFERROR(ROUND(AY23/$B160,0),0)</f>
        <v>0</v>
      </c>
      <c r="AZ160" s="46">
        <f>=IFERROR(ROUND(AZ23/$B160,0),0)</f>
        <v>0</v>
      </c>
      <c r="BA160" s="46">
        <f>=IFERROR(ROUND(BA23/$B160,0),0)</f>
        <v>0</v>
      </c>
      <c r="BB160" s="46">
        <f>=IFERROR(ROUND(BB23/$B160,0),0)</f>
        <v>0</v>
      </c>
      <c r="BC160" s="46">
        <f>=IFERROR(ROUND(BC23/$B160,0),0)</f>
        <v>0</v>
      </c>
      <c r="BD160" s="46">
        <f>=IFERROR(ROUND(BD23/$B160,0),0)</f>
        <v>0</v>
      </c>
      <c r="BE160" s="46">
        <f>=IFERROR(ROUND(BE23/$B160,0),0)</f>
        <v>0</v>
      </c>
      <c r="BF160" s="46">
        <f>=IFERROR(ROUND(BF23/$B160,0),0)</f>
        <v>0</v>
      </c>
      <c r="BG160" s="46">
        <f>=IFERROR(ROUND(BG23/$B160,0),0)</f>
        <v>0</v>
      </c>
      <c r="BH160" s="46">
        <f>=IFERROR(ROUND(BH23/$B160,0),0)</f>
        <v>0</v>
      </c>
      <c r="BI160" s="46">
        <f>=IFERROR(ROUND(BI23/$B160,0),0)</f>
        <v>0</v>
      </c>
      <c r="BJ160" s="46">
        <f>=IFERROR(ROUND(BJ23/$B160,0),0)</f>
        <v>0</v>
      </c>
      <c r="BK160" s="46">
        <f>=IFERROR(ROUND(BK23/$B160,0),0)</f>
        <v>0</v>
      </c>
      <c r="BL160" s="46">
        <f>=IFERROR(ROUND(BL23/$B160,0),0)</f>
        <v>0</v>
      </c>
      <c r="BM160" s="46">
        <f>=IFERROR(ROUND(BM23/$B160,0),0)</f>
        <v>0</v>
      </c>
      <c r="BN160" s="46">
        <f>=IFERROR(ROUND(BN23/$B160,0),0)</f>
        <v>0</v>
      </c>
      <c r="BO160" s="46">
        <f>=IFERROR(ROUND(BO23/$B160,0),0)</f>
        <v>0</v>
      </c>
      <c r="BP160" s="46">
        <f>=IFERROR(ROUND(BP23/$B160,0),0)</f>
        <v>0</v>
      </c>
      <c r="BQ160" s="46">
        <f>=IFERROR(ROUND(BQ23/$B160,0),0)</f>
        <v>0</v>
      </c>
      <c r="BR160" s="46">
        <f>=IFERROR(ROUND(BR23/$B160,0),0)</f>
        <v>0</v>
      </c>
      <c r="BS160" s="46">
        <f>=IFERROR(ROUND(BS23/$B160,0),0)</f>
        <v>0</v>
      </c>
      <c r="BT160" s="46">
        <f>=IFERROR(ROUND(BT23/$B160,0),0)</f>
        <v>0</v>
      </c>
      <c r="BU160" s="46">
        <f>=IFERROR(ROUND(BU23/$B160,0),0)</f>
        <v>0</v>
      </c>
      <c r="BV160" s="46">
        <f>=IFERROR(ROUND(BV23/$B160,0),0)</f>
        <v>0</v>
      </c>
      <c r="BW160" s="46">
        <f>=IFERROR(ROUND(BW23/$B160,0),0)</f>
        <v>0</v>
      </c>
      <c r="BX160" s="46">
        <f>=IFERROR(ROUND(BX23/$B160,0),0)</f>
        <v>0</v>
      </c>
      <c r="BY160" s="46">
        <f>=IFERROR(ROUND(BY23/$B160,0),0)</f>
        <v>0</v>
      </c>
      <c r="BZ160" s="46">
        <f>=IFERROR(ROUND(BZ23/$B160,0),0)</f>
        <v>0</v>
      </c>
      <c r="CA160" s="46">
        <f>=IFERROR(ROUND(CA23/$B160,0),0)</f>
        <v>0</v>
      </c>
      <c r="CB160" s="46">
        <f>=IFERROR(ROUND(CB23/$B160,0),0)</f>
        <v>0</v>
      </c>
      <c r="CC160" s="46">
        <f>=IFERROR(ROUND(CC23/$B160,0),0)</f>
        <v>0</v>
      </c>
      <c r="CD160" s="46">
        <f>=IFERROR(ROUND(CD23/$B160,0),0)</f>
        <v>0</v>
      </c>
      <c r="CE160" s="46">
        <f>=IFERROR(ROUND(CE23/$B160,0),0)</f>
        <v>0</v>
      </c>
      <c r="CF160" s="46">
        <f>=IFERROR(ROUND(CF23/$B160,0),0)</f>
        <v>0</v>
      </c>
      <c r="CG160" s="46">
        <f>=IFERROR(ROUND(CG23/$B160,0),0)</f>
        <v>0</v>
      </c>
      <c r="CH160" s="46">
        <f>=IFERROR(ROUND(CH23/$B160,0),0)</f>
        <v>0</v>
      </c>
      <c r="CI160" s="46">
        <f>=IFERROR(ROUND(CI23/$B160,0),0)</f>
        <v>0</v>
      </c>
      <c r="CJ160" s="46">
        <f>=IFERROR(ROUND(CJ23/$B160,0),0)</f>
        <v>0</v>
      </c>
      <c r="CK160" s="46">
        <f>=IFERROR(ROUND(CK23/$B160,0),0)</f>
        <v>0</v>
      </c>
      <c r="CL160" s="46">
        <f>=IFERROR(ROUND(CL23/$B160,0),0)</f>
        <v>0</v>
      </c>
      <c r="CM160" s="46">
        <f>=IFERROR(ROUND(CM23/$B160,0),0)</f>
        <v>0</v>
      </c>
      <c r="CN160" s="46">
        <f>=IFERROR(ROUND(CN23/$B160,0),0)</f>
        <v>0</v>
      </c>
      <c r="CO160" s="46">
        <f>=IFERROR(ROUND(CO23/$B160,0),0)</f>
        <v>0</v>
      </c>
      <c r="CP160" s="46">
        <f>=IFERROR(ROUND(CP23/$B160,0),0)</f>
        <v>0</v>
      </c>
      <c r="CQ160" s="46">
        <f>=IFERROR(ROUND(CQ23/$B160,0),0)</f>
        <v>0</v>
      </c>
      <c r="CR160" s="46">
        <f>=IFERROR(ROUND(CR23/$B160,0),0)</f>
        <v>0</v>
      </c>
      <c r="CS160" s="46">
        <f>=IFERROR(ROUND(CS23/$B160,0),0)</f>
        <v>0</v>
      </c>
      <c r="CT160" s="46">
        <f>=IFERROR(ROUND(CT23/$B160,0),0)</f>
        <v>0</v>
      </c>
      <c r="CU160" s="46">
        <f>=IFERROR(ROUND(CU23/$B160,0),0)</f>
        <v>0</v>
      </c>
      <c r="CV160" s="46">
        <f>=IFERROR(ROUND(CV23/$B160,0),0)</f>
        <v>0</v>
      </c>
      <c r="CW160" s="46">
        <f>=IFERROR(ROUND(CW23/$B160,0),0)</f>
        <v>0</v>
      </c>
      <c r="CX160" s="46">
        <f>=IFERROR(ROUND(CX23/$B160,0),0)</f>
        <v>0</v>
      </c>
      <c r="CY160" s="46">
        <f>=IFERROR(ROUND(CY23/$B160,0),0)</f>
        <v>0</v>
      </c>
      <c r="CZ160" s="46">
        <f>=IFERROR(ROUND(CZ23/$B160,0),0)</f>
        <v>0</v>
      </c>
      <c r="DA160" s="46">
        <f>=IFERROR(ROUND(DA23/$B160,0),0)</f>
        <v>0</v>
      </c>
      <c r="DB160" s="46">
        <f>=IFERROR(ROUND(DB23/$B160,0),0)</f>
        <v>0</v>
      </c>
    </row>
    <row r="161" ht="18" customHeight="1" spans="1:106" x14ac:dyDescent="0.25">
      <c r="A161" s="17" t="s">
        <v>365</v>
      </c>
      <c r="B161" s="17">
        <v>15</v>
      </c>
      <c r="C161" s="46">
        <f>=IFERROR(ROUND(C22/$B161,0),0)</f>
        <v>0</v>
      </c>
      <c r="D161" s="46">
        <f>=IFERROR(ROUND(D22/$B161,0),0)</f>
        <v>0</v>
      </c>
      <c r="E161" s="46">
        <f>=IFERROR(ROUND(E22/$B161,0),0)</f>
        <v>0</v>
      </c>
      <c r="F161" s="46">
        <f>=IFERROR(ROUND(F22/$B161,0),0)</f>
        <v>0</v>
      </c>
      <c r="G161" s="46">
        <f>=IFERROR(ROUND(G22/$B161,0),0)</f>
        <v>0</v>
      </c>
      <c r="H161" s="46">
        <f>=IFERROR(ROUND(H22/$B161,0),0)</f>
        <v>0</v>
      </c>
      <c r="I161" s="46">
        <f>=IFERROR(ROUND(I22/$B161,0),0)</f>
        <v>0</v>
      </c>
      <c r="J161" s="46">
        <f>=IFERROR(ROUND(J22/$B161,0),0)</f>
        <v>0</v>
      </c>
      <c r="K161" s="46">
        <f>=IFERROR(ROUND(K22/$B161,0),0)</f>
        <v>0</v>
      </c>
      <c r="L161" s="46">
        <f>=IFERROR(ROUND(L22/$B161,0),0)</f>
        <v>0</v>
      </c>
      <c r="M161" s="46">
        <f>=IFERROR(ROUND(M22/$B161,0),0)</f>
        <v>0</v>
      </c>
      <c r="N161" s="46">
        <f>=IFERROR(ROUND(N22/$B161,0),0)</f>
        <v>0</v>
      </c>
      <c r="O161" s="46">
        <f>=IFERROR(ROUND(O22/$B161,0),0)</f>
        <v>0</v>
      </c>
      <c r="P161" s="46">
        <f>=IFERROR(ROUND(P22/$B161,0),0)</f>
        <v>0</v>
      </c>
      <c r="Q161" s="46">
        <f>=IFERROR(ROUND(Q22/$B161,0),0)</f>
        <v>0</v>
      </c>
      <c r="R161" s="46">
        <f>=IFERROR(ROUND(R22/$B161,0),0)</f>
        <v>0</v>
      </c>
      <c r="S161" s="46">
        <f>=IFERROR(ROUND(S22/$B161,0),0)</f>
        <v>0</v>
      </c>
      <c r="T161" s="46">
        <f>=IFERROR(ROUND(T22/$B161,0),0)</f>
        <v>0</v>
      </c>
      <c r="U161" s="46">
        <f>=IFERROR(ROUND(U22/$B161,0),0)</f>
        <v>0</v>
      </c>
      <c r="V161" s="46">
        <f>=IFERROR(ROUND(V22/$B161,0),0)</f>
        <v>0</v>
      </c>
      <c r="W161" s="46">
        <f>=IFERROR(ROUND(W22/$B161,0),0)</f>
        <v>0</v>
      </c>
      <c r="X161" s="46">
        <f>=IFERROR(ROUND(X22/$B161,0),0)</f>
        <v>0</v>
      </c>
      <c r="Y161" s="46">
        <f>=IFERROR(ROUND(Y22/$B161,0),0)</f>
        <v>0</v>
      </c>
      <c r="Z161" s="46">
        <f>=IFERROR(ROUND(Z22/$B161,0),0)</f>
        <v>0</v>
      </c>
      <c r="AA161" s="46">
        <f>=IFERROR(ROUND(AA22/$B161,0),0)</f>
        <v>0</v>
      </c>
      <c r="AB161" s="46">
        <f>=IFERROR(ROUND(AB22/$B161,0),0)</f>
        <v>0</v>
      </c>
      <c r="AC161" s="46">
        <f>=IFERROR(ROUND(AC22/$B161,0),0)</f>
        <v>0</v>
      </c>
      <c r="AD161" s="46">
        <f>=IFERROR(ROUND(AD22/$B161,0),0)</f>
        <v>0</v>
      </c>
      <c r="AE161" s="46">
        <f>=IFERROR(ROUND(AE22/$B161,0),0)</f>
        <v>0</v>
      </c>
      <c r="AF161" s="46">
        <f>=IFERROR(ROUND(AF22/$B161,0),0)</f>
        <v>0</v>
      </c>
      <c r="AG161" s="46">
        <f>=IFERROR(ROUND(AG22/$B161,0),0)</f>
        <v>0</v>
      </c>
      <c r="AH161" s="46">
        <f>=IFERROR(ROUND(AH22/$B161,0),0)</f>
        <v>0</v>
      </c>
      <c r="AI161" s="46">
        <f>=IFERROR(ROUND(AI22/$B161,0),0)</f>
        <v>0</v>
      </c>
      <c r="AJ161" s="46">
        <f>=IFERROR(ROUND(AJ22/$B161,0),0)</f>
        <v>0</v>
      </c>
      <c r="AK161" s="46">
        <f>=IFERROR(ROUND(AK22/$B161,0),0)</f>
        <v>0</v>
      </c>
      <c r="AL161" s="46">
        <f>=IFERROR(ROUND(AL22/$B161,0),0)</f>
        <v>0</v>
      </c>
      <c r="AM161" s="46">
        <f>=IFERROR(ROUND(AM22/$B161,0),0)</f>
        <v>0</v>
      </c>
      <c r="AN161" s="46">
        <f>=IFERROR(ROUND(AN22/$B161,0),0)</f>
        <v>0</v>
      </c>
      <c r="AO161" s="46">
        <f>=IFERROR(ROUND(AO22/$B161,0),0)</f>
        <v>0</v>
      </c>
      <c r="AP161" s="46">
        <f>=IFERROR(ROUND(AP22/$B161,0),0)</f>
        <v>0</v>
      </c>
      <c r="AQ161" s="46">
        <f>=IFERROR(ROUND(AQ22/$B161,0),0)</f>
        <v>1</v>
      </c>
      <c r="AR161" s="46">
        <f>=IFERROR(ROUND(AR22/$B161,0),0)</f>
        <v>1</v>
      </c>
      <c r="AS161" s="46">
        <f>=IFERROR(ROUND(AS22/$B161,0),0)</f>
        <v>0</v>
      </c>
      <c r="AT161" s="46">
        <f>=IFERROR(ROUND(AT22/$B161,0),0)</f>
        <v>0</v>
      </c>
      <c r="AU161" s="46">
        <f>=IFERROR(ROUND(AU22/$B161,0),0)</f>
        <v>0</v>
      </c>
      <c r="AV161" s="46">
        <f>=IFERROR(ROUND(AV22/$B161,0),0)</f>
        <v>1</v>
      </c>
      <c r="AW161" s="46">
        <f>=IFERROR(ROUND(AW22/$B161,0),0)</f>
        <v>1</v>
      </c>
      <c r="AX161" s="46">
        <f>=IFERROR(ROUND(AX22/$B161,0),0)</f>
        <v>0</v>
      </c>
      <c r="AY161" s="46">
        <f>=IFERROR(ROUND(AY22/$B161,0),0)</f>
        <v>0</v>
      </c>
      <c r="AZ161" s="46">
        <f>=IFERROR(ROUND(AZ22/$B161,0),0)</f>
        <v>0</v>
      </c>
      <c r="BA161" s="46">
        <f>=IFERROR(ROUND(BA22/$B161,0),0)</f>
        <v>1</v>
      </c>
      <c r="BB161" s="46">
        <f>=IFERROR(ROUND(BB22/$B161,0),0)</f>
        <v>1</v>
      </c>
      <c r="BC161" s="46">
        <f>=IFERROR(ROUND(BC22/$B161,0),0)</f>
        <v>0</v>
      </c>
      <c r="BD161" s="46">
        <f>=IFERROR(ROUND(BD22/$B161,0),0)</f>
        <v>0</v>
      </c>
      <c r="BE161" s="46">
        <f>=IFERROR(ROUND(BE22/$B161,0),0)</f>
        <v>0</v>
      </c>
      <c r="BF161" s="46">
        <f>=IFERROR(ROUND(BF22/$B161,0),0)</f>
        <v>0</v>
      </c>
      <c r="BG161" s="46">
        <f>=IFERROR(ROUND(BG22/$B161,0),0)</f>
        <v>0</v>
      </c>
      <c r="BH161" s="46">
        <f>=IFERROR(ROUND(BH22/$B161,0),0)</f>
        <v>0</v>
      </c>
      <c r="BI161" s="46">
        <f>=IFERROR(ROUND(BI22/$B161,0),0)</f>
        <v>0</v>
      </c>
      <c r="BJ161" s="46">
        <f>=IFERROR(ROUND(BJ22/$B161,0),0)</f>
        <v>0</v>
      </c>
      <c r="BK161" s="46">
        <f>=IFERROR(ROUND(BK22/$B161,0),0)</f>
        <v>0</v>
      </c>
      <c r="BL161" s="46">
        <f>=IFERROR(ROUND(BL22/$B161,0),0)</f>
        <v>0</v>
      </c>
      <c r="BM161" s="46">
        <f>=IFERROR(ROUND(BM22/$B161,0),0)</f>
        <v>0</v>
      </c>
      <c r="BN161" s="46">
        <f>=IFERROR(ROUND(BN22/$B161,0),0)</f>
        <v>0</v>
      </c>
      <c r="BO161" s="46">
        <f>=IFERROR(ROUND(BO22/$B161,0),0)</f>
        <v>0</v>
      </c>
      <c r="BP161" s="46">
        <f>=IFERROR(ROUND(BP22/$B161,0),0)</f>
        <v>0</v>
      </c>
      <c r="BQ161" s="46">
        <f>=IFERROR(ROUND(BQ22/$B161,0),0)</f>
        <v>0</v>
      </c>
      <c r="BR161" s="46">
        <f>=IFERROR(ROUND(BR22/$B161,0),0)</f>
        <v>0</v>
      </c>
      <c r="BS161" s="46">
        <f>=IFERROR(ROUND(BS22/$B161,0),0)</f>
        <v>0</v>
      </c>
      <c r="BT161" s="46">
        <f>=IFERROR(ROUND(BT22/$B161,0),0)</f>
        <v>0</v>
      </c>
      <c r="BU161" s="46">
        <f>=IFERROR(ROUND(BU22/$B161,0),0)</f>
        <v>0</v>
      </c>
      <c r="BV161" s="46">
        <f>=IFERROR(ROUND(BV22/$B161,0),0)</f>
        <v>0</v>
      </c>
      <c r="BW161" s="46">
        <f>=IFERROR(ROUND(BW22/$B161,0),0)</f>
        <v>0</v>
      </c>
      <c r="BX161" s="46">
        <f>=IFERROR(ROUND(BX22/$B161,0),0)</f>
        <v>0</v>
      </c>
      <c r="BY161" s="46">
        <f>=IFERROR(ROUND(BY22/$B161,0),0)</f>
        <v>0</v>
      </c>
      <c r="BZ161" s="46">
        <f>=IFERROR(ROUND(BZ22/$B161,0),0)</f>
        <v>0</v>
      </c>
      <c r="CA161" s="46">
        <f>=IFERROR(ROUND(CA22/$B161,0),0)</f>
        <v>0</v>
      </c>
      <c r="CB161" s="46">
        <f>=IFERROR(ROUND(CB22/$B161,0),0)</f>
        <v>0</v>
      </c>
      <c r="CC161" s="46">
        <f>=IFERROR(ROUND(CC22/$B161,0),0)</f>
        <v>0</v>
      </c>
      <c r="CD161" s="46">
        <f>=IFERROR(ROUND(CD22/$B161,0),0)</f>
        <v>0</v>
      </c>
      <c r="CE161" s="46">
        <f>=IFERROR(ROUND(CE22/$B161,0),0)</f>
        <v>0</v>
      </c>
      <c r="CF161" s="46">
        <f>=IFERROR(ROUND(CF22/$B161,0),0)</f>
        <v>0</v>
      </c>
      <c r="CG161" s="46">
        <f>=IFERROR(ROUND(CG22/$B161,0),0)</f>
        <v>0</v>
      </c>
      <c r="CH161" s="46">
        <f>=IFERROR(ROUND(CH22/$B161,0),0)</f>
        <v>0</v>
      </c>
      <c r="CI161" s="46">
        <f>=IFERROR(ROUND(CI22/$B161,0),0)</f>
        <v>0</v>
      </c>
      <c r="CJ161" s="46">
        <f>=IFERROR(ROUND(CJ22/$B161,0),0)</f>
        <v>0</v>
      </c>
      <c r="CK161" s="46">
        <f>=IFERROR(ROUND(CK22/$B161,0),0)</f>
        <v>0</v>
      </c>
      <c r="CL161" s="46">
        <f>=IFERROR(ROUND(CL22/$B161,0),0)</f>
        <v>0</v>
      </c>
      <c r="CM161" s="46">
        <f>=IFERROR(ROUND(CM22/$B161,0),0)</f>
        <v>0</v>
      </c>
      <c r="CN161" s="46">
        <f>=IFERROR(ROUND(CN22/$B161,0),0)</f>
        <v>0</v>
      </c>
      <c r="CO161" s="46">
        <f>=IFERROR(ROUND(CO22/$B161,0),0)</f>
        <v>0</v>
      </c>
      <c r="CP161" s="46">
        <f>=IFERROR(ROUND(CP22/$B161,0),0)</f>
        <v>0</v>
      </c>
      <c r="CQ161" s="46">
        <f>=IFERROR(ROUND(CQ22/$B161,0),0)</f>
        <v>0</v>
      </c>
      <c r="CR161" s="46">
        <f>=IFERROR(ROUND(CR22/$B161,0),0)</f>
        <v>0</v>
      </c>
      <c r="CS161" s="46">
        <f>=IFERROR(ROUND(CS22/$B161,0),0)</f>
        <v>0</v>
      </c>
      <c r="CT161" s="46">
        <f>=IFERROR(ROUND(CT22/$B161,0),0)</f>
        <v>0</v>
      </c>
      <c r="CU161" s="46">
        <f>=IFERROR(ROUND(CU22/$B161,0),0)</f>
        <v>0</v>
      </c>
      <c r="CV161" s="46">
        <f>=IFERROR(ROUND(CV22/$B161,0),0)</f>
        <v>0</v>
      </c>
      <c r="CW161" s="46">
        <f>=IFERROR(ROUND(CW22/$B161,0),0)</f>
        <v>0</v>
      </c>
      <c r="CX161" s="46">
        <f>=IFERROR(ROUND(CX22/$B161,0),0)</f>
        <v>0</v>
      </c>
      <c r="CY161" s="46">
        <f>=IFERROR(ROUND(CY22/$B161,0),0)</f>
        <v>0</v>
      </c>
      <c r="CZ161" s="46">
        <f>=IFERROR(ROUND(CZ22/$B161,0),0)</f>
        <v>0</v>
      </c>
      <c r="DA161" s="46">
        <f>=IFERROR(ROUND(DA22/$B161,0),0)</f>
        <v>0</v>
      </c>
      <c r="DB161" s="46">
        <f>=IFERROR(ROUND(DB22/$B161,0),0)</f>
        <v>0</v>
      </c>
    </row>
    <row r="162" ht="18" customHeight="1" spans="3:106" x14ac:dyDescent="0.25"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30"/>
      <c r="BP162" s="30"/>
      <c r="BQ162" s="30"/>
      <c r="BR162" s="30"/>
      <c r="BS162" s="30"/>
      <c r="BT162" s="30"/>
      <c r="BU162" s="30"/>
      <c r="BV162" s="30"/>
      <c r="BW162" s="30"/>
      <c r="BX162" s="30"/>
      <c r="BY162" s="30"/>
      <c r="BZ162" s="30"/>
      <c r="CA162" s="30"/>
      <c r="CB162" s="30"/>
      <c r="CC162" s="30"/>
      <c r="CD162" s="30"/>
      <c r="CE162" s="30"/>
      <c r="CF162" s="30"/>
      <c r="CG162" s="30"/>
      <c r="CH162" s="30"/>
      <c r="CI162" s="30"/>
      <c r="CJ162" s="30"/>
      <c r="CK162" s="30"/>
      <c r="CL162" s="30"/>
      <c r="CM162" s="30"/>
      <c r="CN162" s="30"/>
      <c r="CO162" s="30"/>
      <c r="CP162" s="30"/>
      <c r="CQ162" s="30"/>
      <c r="CR162" s="30"/>
      <c r="CS162" s="30"/>
      <c r="CT162" s="30"/>
      <c r="CU162" s="30"/>
      <c r="CV162" s="30"/>
      <c r="CW162" s="30"/>
      <c r="CX162" s="30"/>
      <c r="CY162" s="30"/>
      <c r="CZ162" s="30"/>
      <c r="DA162" s="30"/>
      <c r="DB162" s="30"/>
    </row>
    <row r="163" ht="18" customHeight="1" spans="1:106" x14ac:dyDescent="0.25">
      <c r="A163" s="33" t="s">
        <v>366</v>
      </c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/>
      <c r="BE163" s="30"/>
      <c r="BF163" s="30"/>
      <c r="BG163" s="30"/>
      <c r="BH163" s="30"/>
      <c r="BI163" s="30"/>
      <c r="BJ163" s="30"/>
      <c r="BK163" s="30"/>
      <c r="BL163" s="30"/>
      <c r="BM163" s="30"/>
      <c r="BN163" s="30"/>
      <c r="BO163" s="30"/>
      <c r="BP163" s="30"/>
      <c r="BQ163" s="30"/>
      <c r="BR163" s="30"/>
      <c r="BS163" s="30"/>
      <c r="BT163" s="30"/>
      <c r="BU163" s="30"/>
      <c r="BV163" s="30"/>
      <c r="BW163" s="30"/>
      <c r="BX163" s="30"/>
      <c r="BY163" s="30"/>
      <c r="BZ163" s="30"/>
      <c r="CA163" s="30"/>
      <c r="CB163" s="30"/>
      <c r="CC163" s="30"/>
      <c r="CD163" s="30"/>
      <c r="CE163" s="30"/>
      <c r="CF163" s="30"/>
      <c r="CG163" s="30"/>
      <c r="CH163" s="30"/>
      <c r="CI163" s="30"/>
      <c r="CJ163" s="30"/>
      <c r="CK163" s="30"/>
      <c r="CL163" s="30"/>
      <c r="CM163" s="30"/>
      <c r="CN163" s="30"/>
      <c r="CO163" s="30"/>
      <c r="CP163" s="30"/>
      <c r="CQ163" s="30"/>
      <c r="CR163" s="30"/>
      <c r="CS163" s="30"/>
      <c r="CT163" s="30"/>
      <c r="CU163" s="30"/>
      <c r="CV163" s="30"/>
      <c r="CW163" s="30"/>
      <c r="CX163" s="30"/>
      <c r="CY163" s="30"/>
      <c r="CZ163" s="30"/>
      <c r="DA163" s="30"/>
      <c r="DB163" s="30"/>
    </row>
    <row r="164" ht="18" customHeight="1" spans="1:106" x14ac:dyDescent="0.25">
      <c r="A164" s="17" t="s">
        <v>367</v>
      </c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30"/>
      <c r="BD164" s="30"/>
      <c r="BE164" s="30"/>
      <c r="BF164" s="30"/>
      <c r="BG164" s="30"/>
      <c r="BH164" s="30"/>
      <c r="BI164" s="30"/>
      <c r="BJ164" s="30"/>
      <c r="BK164" s="30"/>
      <c r="BL164" s="30"/>
      <c r="BM164" s="30"/>
      <c r="BN164" s="30"/>
      <c r="BO164" s="30"/>
      <c r="BP164" s="30"/>
      <c r="BQ164" s="30"/>
      <c r="BR164" s="30"/>
      <c r="BS164" s="30"/>
      <c r="BT164" s="30"/>
      <c r="BU164" s="30"/>
      <c r="BV164" s="30"/>
      <c r="BW164" s="30"/>
      <c r="BX164" s="30"/>
      <c r="BY164" s="30"/>
      <c r="BZ164" s="30"/>
      <c r="CA164" s="30"/>
      <c r="CB164" s="30"/>
      <c r="CC164" s="30"/>
      <c r="CD164" s="30"/>
      <c r="CE164" s="30"/>
      <c r="CF164" s="30"/>
      <c r="CG164" s="30"/>
      <c r="CH164" s="30"/>
      <c r="CI164" s="30"/>
      <c r="CJ164" s="30"/>
      <c r="CK164" s="30"/>
      <c r="CL164" s="30"/>
      <c r="CM164" s="30"/>
      <c r="CN164" s="30"/>
      <c r="CO164" s="30"/>
      <c r="CP164" s="30"/>
      <c r="CQ164" s="30"/>
      <c r="CR164" s="30"/>
      <c r="CS164" s="30"/>
      <c r="CT164" s="30"/>
      <c r="CU164" s="30"/>
      <c r="CV164" s="30"/>
      <c r="CW164" s="30"/>
      <c r="CX164" s="30"/>
      <c r="CY164" s="30"/>
      <c r="CZ164" s="30"/>
      <c r="DA164" s="30"/>
      <c r="DB164" s="30"/>
    </row>
    <row r="165" ht="18" customHeight="1" spans="1:106" x14ac:dyDescent="0.25">
      <c r="A165" s="17" t="s">
        <v>357</v>
      </c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30"/>
      <c r="BD165" s="30"/>
      <c r="BE165" s="30"/>
      <c r="BF165" s="30"/>
      <c r="BG165" s="30"/>
      <c r="BH165" s="30"/>
      <c r="BI165" s="30"/>
      <c r="BJ165" s="30"/>
      <c r="BK165" s="30"/>
      <c r="BL165" s="30"/>
      <c r="BM165" s="30"/>
      <c r="BN165" s="30"/>
      <c r="BO165" s="30"/>
      <c r="BP165" s="30"/>
      <c r="BQ165" s="30"/>
      <c r="BR165" s="30"/>
      <c r="BS165" s="30"/>
      <c r="BT165" s="30"/>
      <c r="BU165" s="30"/>
      <c r="BV165" s="30"/>
      <c r="BW165" s="30"/>
      <c r="BX165" s="30"/>
      <c r="BY165" s="30"/>
      <c r="BZ165" s="30"/>
      <c r="CA165" s="30"/>
      <c r="CB165" s="30"/>
      <c r="CC165" s="30"/>
      <c r="CD165" s="30"/>
      <c r="CE165" s="30"/>
      <c r="CF165" s="30"/>
      <c r="CG165" s="30"/>
      <c r="CH165" s="30"/>
      <c r="CI165" s="30"/>
      <c r="CJ165" s="30"/>
      <c r="CK165" s="30"/>
      <c r="CL165" s="30"/>
      <c r="CM165" s="30"/>
      <c r="CN165" s="30"/>
      <c r="CO165" s="30"/>
      <c r="CP165" s="30"/>
      <c r="CQ165" s="30"/>
      <c r="CR165" s="30"/>
      <c r="CS165" s="30"/>
      <c r="CT165" s="30"/>
      <c r="CU165" s="30"/>
      <c r="CV165" s="30"/>
      <c r="CW165" s="30"/>
      <c r="CX165" s="30"/>
      <c r="CY165" s="30"/>
      <c r="CZ165" s="30"/>
      <c r="DA165" s="30"/>
      <c r="DB165" s="30"/>
    </row>
    <row r="166" ht="18" customHeight="1" spans="1:106" x14ac:dyDescent="0.25">
      <c r="A166" s="17" t="s">
        <v>358</v>
      </c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  <c r="BA166" s="30"/>
      <c r="BB166" s="30"/>
      <c r="BC166" s="30"/>
      <c r="BD166" s="30"/>
      <c r="BE166" s="30"/>
      <c r="BF166" s="30"/>
      <c r="BG166" s="30"/>
      <c r="BH166" s="30"/>
      <c r="BI166" s="30"/>
      <c r="BJ166" s="30"/>
      <c r="BK166" s="30"/>
      <c r="BL166" s="30"/>
      <c r="BM166" s="30"/>
      <c r="BN166" s="30"/>
      <c r="BO166" s="30"/>
      <c r="BP166" s="30"/>
      <c r="BQ166" s="30"/>
      <c r="BR166" s="30"/>
      <c r="BS166" s="30"/>
      <c r="BT166" s="30"/>
      <c r="BU166" s="30"/>
      <c r="BV166" s="30"/>
      <c r="BW166" s="30"/>
      <c r="BX166" s="30"/>
      <c r="BY166" s="30"/>
      <c r="BZ166" s="30"/>
      <c r="CA166" s="30"/>
      <c r="CB166" s="30"/>
      <c r="CC166" s="30"/>
      <c r="CD166" s="30"/>
      <c r="CE166" s="30"/>
      <c r="CF166" s="30"/>
      <c r="CG166" s="30"/>
      <c r="CH166" s="30"/>
      <c r="CI166" s="30"/>
      <c r="CJ166" s="30"/>
      <c r="CK166" s="30"/>
      <c r="CL166" s="30"/>
      <c r="CM166" s="30"/>
      <c r="CN166" s="30"/>
      <c r="CO166" s="30"/>
      <c r="CP166" s="30"/>
      <c r="CQ166" s="30"/>
      <c r="CR166" s="30"/>
      <c r="CS166" s="30"/>
      <c r="CT166" s="30"/>
      <c r="CU166" s="30"/>
      <c r="CV166" s="30"/>
      <c r="CW166" s="30"/>
      <c r="CX166" s="30"/>
      <c r="CY166" s="30"/>
      <c r="CZ166" s="30"/>
      <c r="DA166" s="30"/>
      <c r="DB166" s="30"/>
    </row>
    <row r="167" ht="18" customHeight="1" spans="1:106" x14ac:dyDescent="0.25">
      <c r="A167" s="17" t="s">
        <v>359</v>
      </c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  <c r="BC167" s="30"/>
      <c r="BD167" s="30"/>
      <c r="BE167" s="30"/>
      <c r="BF167" s="30"/>
      <c r="BG167" s="30"/>
      <c r="BH167" s="30"/>
      <c r="BI167" s="30"/>
      <c r="BJ167" s="30"/>
      <c r="BK167" s="30"/>
      <c r="BL167" s="30"/>
      <c r="BM167" s="30"/>
      <c r="BN167" s="30"/>
      <c r="BO167" s="30"/>
      <c r="BP167" s="30"/>
      <c r="BQ167" s="30"/>
      <c r="BR167" s="30"/>
      <c r="BS167" s="30"/>
      <c r="BT167" s="30"/>
      <c r="BU167" s="30"/>
      <c r="BV167" s="30"/>
      <c r="BW167" s="30"/>
      <c r="BX167" s="30"/>
      <c r="BY167" s="30"/>
      <c r="BZ167" s="30"/>
      <c r="CA167" s="30"/>
      <c r="CB167" s="30"/>
      <c r="CC167" s="30"/>
      <c r="CD167" s="30"/>
      <c r="CE167" s="30"/>
      <c r="CF167" s="30"/>
      <c r="CG167" s="30"/>
      <c r="CH167" s="30"/>
      <c r="CI167" s="30"/>
      <c r="CJ167" s="30"/>
      <c r="CK167" s="30"/>
      <c r="CL167" s="30"/>
      <c r="CM167" s="30"/>
      <c r="CN167" s="30"/>
      <c r="CO167" s="30"/>
      <c r="CP167" s="30"/>
      <c r="CQ167" s="30"/>
      <c r="CR167" s="30"/>
      <c r="CS167" s="30"/>
      <c r="CT167" s="30"/>
      <c r="CU167" s="30"/>
      <c r="CV167" s="30"/>
      <c r="CW167" s="30"/>
      <c r="CX167" s="30"/>
      <c r="CY167" s="30"/>
      <c r="CZ167" s="30"/>
      <c r="DA167" s="30"/>
      <c r="DB167" s="30"/>
    </row>
    <row r="168" ht="18" customHeight="1" spans="1:106" x14ac:dyDescent="0.25">
      <c r="A168" s="17" t="s">
        <v>360</v>
      </c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  <c r="BA168" s="30"/>
      <c r="BB168" s="30"/>
      <c r="BC168" s="30"/>
      <c r="BD168" s="30"/>
      <c r="BE168" s="30"/>
      <c r="BF168" s="30"/>
      <c r="BG168" s="30"/>
      <c r="BH168" s="30"/>
      <c r="BI168" s="30"/>
      <c r="BJ168" s="30"/>
      <c r="BK168" s="30"/>
      <c r="BL168" s="30"/>
      <c r="BM168" s="30"/>
      <c r="BN168" s="30"/>
      <c r="BO168" s="30"/>
      <c r="BP168" s="30"/>
      <c r="BQ168" s="30"/>
      <c r="BR168" s="30"/>
      <c r="BS168" s="30"/>
      <c r="BT168" s="30"/>
      <c r="BU168" s="30"/>
      <c r="BV168" s="30"/>
      <c r="BW168" s="30"/>
      <c r="BX168" s="30"/>
      <c r="BY168" s="30"/>
      <c r="BZ168" s="30"/>
      <c r="CA168" s="30"/>
      <c r="CB168" s="30"/>
      <c r="CC168" s="30"/>
      <c r="CD168" s="30"/>
      <c r="CE168" s="30"/>
      <c r="CF168" s="30"/>
      <c r="CG168" s="30"/>
      <c r="CH168" s="30"/>
      <c r="CI168" s="30"/>
      <c r="CJ168" s="30"/>
      <c r="CK168" s="30"/>
      <c r="CL168" s="30"/>
      <c r="CM168" s="30"/>
      <c r="CN168" s="30"/>
      <c r="CO168" s="30"/>
      <c r="CP168" s="30"/>
      <c r="CQ168" s="30"/>
      <c r="CR168" s="30"/>
      <c r="CS168" s="30"/>
      <c r="CT168" s="30"/>
      <c r="CU168" s="30"/>
      <c r="CV168" s="30"/>
      <c r="CW168" s="30"/>
      <c r="CX168" s="30"/>
      <c r="CY168" s="30"/>
      <c r="CZ168" s="30"/>
      <c r="DA168" s="30"/>
      <c r="DB168" s="30"/>
    </row>
    <row r="169" ht="18" customHeight="1" spans="1:106" x14ac:dyDescent="0.25">
      <c r="A169" s="17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  <c r="BA169" s="30"/>
      <c r="BB169" s="30"/>
      <c r="BC169" s="30"/>
      <c r="BD169" s="30"/>
      <c r="BE169" s="30"/>
      <c r="BF169" s="30"/>
      <c r="BG169" s="30"/>
      <c r="BH169" s="30"/>
      <c r="BI169" s="30"/>
      <c r="BJ169" s="30"/>
      <c r="BK169" s="30"/>
      <c r="BL169" s="30"/>
      <c r="BM169" s="30"/>
      <c r="BN169" s="30"/>
      <c r="BO169" s="30"/>
      <c r="BP169" s="30"/>
      <c r="BQ169" s="30"/>
      <c r="BR169" s="30"/>
      <c r="BS169" s="30"/>
      <c r="BT169" s="30"/>
      <c r="BU169" s="30"/>
      <c r="BV169" s="30"/>
      <c r="BW169" s="30"/>
      <c r="BX169" s="30"/>
      <c r="BY169" s="30"/>
      <c r="BZ169" s="30"/>
      <c r="CA169" s="30"/>
      <c r="CB169" s="30"/>
      <c r="CC169" s="30"/>
      <c r="CD169" s="30"/>
      <c r="CE169" s="30"/>
      <c r="CF169" s="30"/>
      <c r="CG169" s="30"/>
      <c r="CH169" s="30"/>
      <c r="CI169" s="30"/>
      <c r="CJ169" s="30"/>
      <c r="CK169" s="30"/>
      <c r="CL169" s="30"/>
      <c r="CM169" s="30"/>
      <c r="CN169" s="30"/>
      <c r="CO169" s="30"/>
      <c r="CP169" s="30"/>
      <c r="CQ169" s="30"/>
      <c r="CR169" s="30"/>
      <c r="CS169" s="30"/>
      <c r="CT169" s="30"/>
      <c r="CU169" s="30"/>
      <c r="CV169" s="30"/>
      <c r="CW169" s="30"/>
      <c r="CX169" s="30"/>
      <c r="CY169" s="30"/>
      <c r="CZ169" s="30"/>
      <c r="DA169" s="30"/>
      <c r="DB169" s="30"/>
    </row>
    <row r="170" ht="18" customHeight="1" spans="1:106" x14ac:dyDescent="0.25">
      <c r="A170" s="33" t="s">
        <v>368</v>
      </c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  <c r="BF170" s="30"/>
      <c r="BG170" s="30"/>
      <c r="BH170" s="30"/>
      <c r="BI170" s="30"/>
      <c r="BJ170" s="30"/>
      <c r="BK170" s="30"/>
      <c r="BL170" s="30"/>
      <c r="BM170" s="30"/>
      <c r="BN170" s="30"/>
      <c r="BO170" s="30"/>
      <c r="BP170" s="30"/>
      <c r="BQ170" s="30"/>
      <c r="BR170" s="30"/>
      <c r="BS170" s="30"/>
      <c r="BT170" s="30"/>
      <c r="BU170" s="30"/>
      <c r="BV170" s="30"/>
      <c r="BW170" s="30"/>
      <c r="BX170" s="30"/>
      <c r="BY170" s="30"/>
      <c r="BZ170" s="30"/>
      <c r="CA170" s="30"/>
      <c r="CB170" s="30"/>
      <c r="CC170" s="30"/>
      <c r="CD170" s="30"/>
      <c r="CE170" s="30"/>
      <c r="CF170" s="30"/>
      <c r="CG170" s="30"/>
      <c r="CH170" s="30"/>
      <c r="CI170" s="30"/>
      <c r="CJ170" s="30"/>
      <c r="CK170" s="30"/>
      <c r="CL170" s="30"/>
      <c r="CM170" s="30"/>
      <c r="CN170" s="30"/>
      <c r="CO170" s="30"/>
      <c r="CP170" s="30"/>
      <c r="CQ170" s="30"/>
      <c r="CR170" s="30"/>
      <c r="CS170" s="30"/>
      <c r="CT170" s="30"/>
      <c r="CU170" s="30"/>
      <c r="CV170" s="30"/>
      <c r="CW170" s="30"/>
      <c r="CX170" s="30"/>
      <c r="CY170" s="30"/>
      <c r="CZ170" s="30"/>
      <c r="DA170" s="30"/>
      <c r="DB170" s="30"/>
    </row>
    <row r="171" ht="18" customHeight="1" spans="1:106" x14ac:dyDescent="0.25">
      <c r="A171" s="17" t="s">
        <v>367</v>
      </c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  <c r="BA171" s="30"/>
      <c r="BB171" s="30"/>
      <c r="BC171" s="30"/>
      <c r="BD171" s="30"/>
      <c r="BE171" s="30"/>
      <c r="BF171" s="30"/>
      <c r="BG171" s="30"/>
      <c r="BH171" s="30"/>
      <c r="BI171" s="30"/>
      <c r="BJ171" s="30"/>
      <c r="BK171" s="30"/>
      <c r="BL171" s="30"/>
      <c r="BM171" s="30"/>
      <c r="BN171" s="30"/>
      <c r="BO171" s="30"/>
      <c r="BP171" s="30"/>
      <c r="BQ171" s="30"/>
      <c r="BR171" s="30"/>
      <c r="BS171" s="30"/>
      <c r="BT171" s="30"/>
      <c r="BU171" s="30"/>
      <c r="BV171" s="30"/>
      <c r="BW171" s="30"/>
      <c r="BX171" s="30"/>
      <c r="BY171" s="30"/>
      <c r="BZ171" s="30"/>
      <c r="CA171" s="30"/>
      <c r="CB171" s="30"/>
      <c r="CC171" s="30"/>
      <c r="CD171" s="30"/>
      <c r="CE171" s="30"/>
      <c r="CF171" s="30"/>
      <c r="CG171" s="30"/>
      <c r="CH171" s="30"/>
      <c r="CI171" s="30"/>
      <c r="CJ171" s="30"/>
      <c r="CK171" s="30"/>
      <c r="CL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</row>
    <row r="172" ht="18" customHeight="1" spans="1:106" x14ac:dyDescent="0.25">
      <c r="A172" s="17" t="s">
        <v>357</v>
      </c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  <c r="BA172" s="30"/>
      <c r="BB172" s="30"/>
      <c r="BC172" s="30"/>
      <c r="BD172" s="30"/>
      <c r="BE172" s="30"/>
      <c r="BF172" s="30"/>
      <c r="BG172" s="30"/>
      <c r="BH172" s="30"/>
      <c r="BI172" s="30"/>
      <c r="BJ172" s="30"/>
      <c r="BK172" s="30"/>
      <c r="BL172" s="30"/>
      <c r="BM172" s="30"/>
      <c r="BN172" s="30"/>
      <c r="BO172" s="30"/>
      <c r="BP172" s="30"/>
      <c r="BQ172" s="30"/>
      <c r="BR172" s="30"/>
      <c r="BS172" s="30"/>
      <c r="BT172" s="30"/>
      <c r="BU172" s="30"/>
      <c r="BV172" s="30"/>
      <c r="BW172" s="30"/>
      <c r="BX172" s="30"/>
      <c r="BY172" s="30"/>
      <c r="BZ172" s="30"/>
      <c r="CA172" s="30"/>
      <c r="CB172" s="30"/>
      <c r="CC172" s="30"/>
      <c r="CD172" s="30"/>
      <c r="CE172" s="30"/>
      <c r="CF172" s="30"/>
      <c r="CG172" s="30"/>
      <c r="CH172" s="30"/>
      <c r="CI172" s="30"/>
      <c r="CJ172" s="30"/>
      <c r="CK172" s="30"/>
      <c r="CL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</row>
    <row r="173" ht="18" customHeight="1" spans="1:106" x14ac:dyDescent="0.25">
      <c r="A173" s="17" t="s">
        <v>358</v>
      </c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  <c r="BA173" s="30"/>
      <c r="BB173" s="30"/>
      <c r="BC173" s="30"/>
      <c r="BD173" s="30"/>
      <c r="BE173" s="30"/>
      <c r="BF173" s="30"/>
      <c r="BG173" s="30"/>
      <c r="BH173" s="30"/>
      <c r="BI173" s="30"/>
      <c r="BJ173" s="30"/>
      <c r="BK173" s="30"/>
      <c r="BL173" s="30"/>
      <c r="BM173" s="30"/>
      <c r="BN173" s="30"/>
      <c r="BO173" s="30"/>
      <c r="BP173" s="30"/>
      <c r="BQ173" s="30"/>
      <c r="BR173" s="30"/>
      <c r="BS173" s="30"/>
      <c r="BT173" s="30"/>
      <c r="BU173" s="30"/>
      <c r="BV173" s="30"/>
      <c r="BW173" s="30"/>
      <c r="BX173" s="30"/>
      <c r="BY173" s="30"/>
      <c r="BZ173" s="30"/>
      <c r="CA173" s="30"/>
      <c r="CB173" s="30"/>
      <c r="CC173" s="30"/>
      <c r="CD173" s="30"/>
      <c r="CE173" s="30"/>
      <c r="CF173" s="30"/>
      <c r="CG173" s="30"/>
      <c r="CH173" s="30"/>
      <c r="CI173" s="30"/>
      <c r="CJ173" s="30"/>
      <c r="CK173" s="30"/>
      <c r="CL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</row>
    <row r="174" ht="18" customHeight="1" spans="1:106" x14ac:dyDescent="0.25">
      <c r="A174" s="17" t="s">
        <v>359</v>
      </c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  <c r="BA174" s="30"/>
      <c r="BB174" s="30"/>
      <c r="BC174" s="30"/>
      <c r="BD174" s="30"/>
      <c r="BE174" s="30"/>
      <c r="BF174" s="30"/>
      <c r="BG174" s="30"/>
      <c r="BH174" s="30"/>
      <c r="BI174" s="30"/>
      <c r="BJ174" s="30"/>
      <c r="BK174" s="30"/>
      <c r="BL174" s="30"/>
      <c r="BM174" s="30"/>
      <c r="BN174" s="30"/>
      <c r="BO174" s="30"/>
      <c r="BP174" s="30"/>
      <c r="BQ174" s="30"/>
      <c r="BR174" s="30"/>
      <c r="BS174" s="30"/>
      <c r="BT174" s="30"/>
      <c r="BU174" s="30"/>
      <c r="BV174" s="30"/>
      <c r="BW174" s="30"/>
      <c r="BX174" s="30"/>
      <c r="BY174" s="30"/>
      <c r="BZ174" s="30"/>
      <c r="CA174" s="30"/>
      <c r="CB174" s="30"/>
      <c r="CC174" s="30"/>
      <c r="CD174" s="30"/>
      <c r="CE174" s="30"/>
      <c r="CF174" s="30"/>
      <c r="CG174" s="30"/>
      <c r="CH174" s="30"/>
      <c r="CI174" s="30"/>
      <c r="CJ174" s="30"/>
      <c r="CK174" s="30"/>
      <c r="CL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</row>
    <row r="175" ht="18" customHeight="1" spans="1:106" x14ac:dyDescent="0.25">
      <c r="A175" s="17" t="s">
        <v>360</v>
      </c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  <c r="BA175" s="30"/>
      <c r="BB175" s="30"/>
      <c r="BC175" s="30"/>
      <c r="BD175" s="30"/>
      <c r="BE175" s="30"/>
      <c r="BF175" s="30"/>
      <c r="BG175" s="30"/>
      <c r="BH175" s="30"/>
      <c r="BI175" s="30"/>
      <c r="BJ175" s="30"/>
      <c r="BK175" s="30"/>
      <c r="BL175" s="30"/>
      <c r="BM175" s="30"/>
      <c r="BN175" s="30"/>
      <c r="BO175" s="30"/>
      <c r="BP175" s="30"/>
      <c r="BQ175" s="30"/>
      <c r="BR175" s="30"/>
      <c r="BS175" s="30"/>
      <c r="BT175" s="30"/>
      <c r="BU175" s="30"/>
      <c r="BV175" s="30"/>
      <c r="BW175" s="30"/>
      <c r="BX175" s="30"/>
      <c r="BY175" s="30"/>
      <c r="BZ175" s="30"/>
      <c r="CA175" s="30"/>
      <c r="CB175" s="30"/>
      <c r="CC175" s="30"/>
      <c r="CD175" s="30"/>
      <c r="CE175" s="30"/>
      <c r="CF175" s="30"/>
      <c r="CG175" s="30"/>
      <c r="CH175" s="30"/>
      <c r="CI175" s="30"/>
      <c r="CJ175" s="30"/>
      <c r="CK175" s="30"/>
      <c r="CL175" s="30"/>
      <c r="CM175" s="30"/>
      <c r="CN175" s="30"/>
      <c r="CO175" s="30"/>
      <c r="CP175" s="30"/>
      <c r="CQ175" s="30"/>
      <c r="CR175" s="30"/>
      <c r="CS175" s="30"/>
      <c r="CT175" s="30"/>
      <c r="CU175" s="30"/>
      <c r="CV175" s="30"/>
      <c r="CW175" s="30"/>
      <c r="CX175" s="30"/>
      <c r="CY175" s="30"/>
      <c r="CZ175" s="30"/>
      <c r="DA175" s="30"/>
      <c r="DB175" s="30"/>
    </row>
    <row r="176" ht="18" customHeight="1" spans="3:106" x14ac:dyDescent="0.25"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  <c r="BA176" s="30"/>
      <c r="BB176" s="30"/>
      <c r="BC176" s="30"/>
      <c r="BD176" s="30"/>
      <c r="BE176" s="30"/>
      <c r="BF176" s="30"/>
      <c r="BG176" s="30"/>
      <c r="BH176" s="30"/>
      <c r="BI176" s="30"/>
      <c r="BJ176" s="30"/>
      <c r="BK176" s="30"/>
      <c r="BL176" s="30"/>
      <c r="BM176" s="30"/>
      <c r="BN176" s="30"/>
      <c r="BO176" s="30"/>
      <c r="BP176" s="30"/>
      <c r="BQ176" s="30"/>
      <c r="BR176" s="30"/>
      <c r="BS176" s="30"/>
      <c r="BT176" s="30"/>
      <c r="BU176" s="30"/>
      <c r="BV176" s="30"/>
      <c r="BW176" s="30"/>
      <c r="BX176" s="30"/>
      <c r="BY176" s="30"/>
      <c r="BZ176" s="30"/>
      <c r="CA176" s="30"/>
      <c r="CB176" s="30"/>
      <c r="CC176" s="30"/>
      <c r="CD176" s="30"/>
      <c r="CE176" s="30"/>
      <c r="CF176" s="30"/>
      <c r="CG176" s="30"/>
      <c r="CH176" s="30"/>
      <c r="CI176" s="30"/>
      <c r="CJ176" s="30"/>
      <c r="CK176" s="30"/>
      <c r="CL176" s="30"/>
      <c r="CM176" s="30"/>
      <c r="CN176" s="30"/>
      <c r="CO176" s="30"/>
      <c r="CP176" s="30"/>
      <c r="CQ176" s="30"/>
      <c r="CR176" s="30"/>
      <c r="CS176" s="30"/>
      <c r="CT176" s="30"/>
      <c r="CU176" s="30"/>
      <c r="CV176" s="30"/>
      <c r="CW176" s="30"/>
      <c r="CX176" s="30"/>
      <c r="CY176" s="30"/>
      <c r="CZ176" s="30"/>
      <c r="DA176" s="30"/>
      <c r="DB176" s="30"/>
    </row>
    <row r="177" ht="18" customHeight="1" spans="3:106" x14ac:dyDescent="0.25"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  <c r="AW177" s="30"/>
      <c r="AX177" s="30"/>
      <c r="AY177" s="30"/>
      <c r="AZ177" s="30"/>
      <c r="BA177" s="30"/>
      <c r="BB177" s="30"/>
      <c r="BC177" s="30"/>
      <c r="BD177" s="30"/>
      <c r="BE177" s="30"/>
      <c r="BF177" s="30"/>
      <c r="BG177" s="30"/>
      <c r="BH177" s="30"/>
      <c r="BI177" s="30"/>
      <c r="BJ177" s="30"/>
      <c r="BK177" s="30"/>
      <c r="BL177" s="30"/>
      <c r="BM177" s="30"/>
      <c r="BN177" s="30"/>
      <c r="BO177" s="30"/>
      <c r="BP177" s="30"/>
      <c r="BQ177" s="30"/>
      <c r="BR177" s="30"/>
      <c r="BS177" s="30"/>
      <c r="BT177" s="30"/>
      <c r="BU177" s="30"/>
      <c r="BV177" s="30"/>
      <c r="BW177" s="30"/>
      <c r="BX177" s="30"/>
      <c r="BY177" s="30"/>
      <c r="BZ177" s="30"/>
      <c r="CA177" s="30"/>
      <c r="CB177" s="30"/>
      <c r="CC177" s="30"/>
      <c r="CD177" s="30"/>
      <c r="CE177" s="30"/>
      <c r="CF177" s="30"/>
      <c r="CG177" s="30"/>
      <c r="CH177" s="30"/>
      <c r="CI177" s="30"/>
      <c r="CJ177" s="30"/>
      <c r="CK177" s="30"/>
      <c r="CL177" s="30"/>
      <c r="CM177" s="30"/>
      <c r="CN177" s="30"/>
      <c r="CO177" s="30"/>
      <c r="CP177" s="30"/>
      <c r="CQ177" s="30"/>
      <c r="CR177" s="30"/>
      <c r="CS177" s="30"/>
      <c r="CT177" s="30"/>
      <c r="CU177" s="30"/>
      <c r="CV177" s="30"/>
      <c r="CW177" s="30"/>
      <c r="CX177" s="30"/>
      <c r="CY177" s="30"/>
      <c r="CZ177" s="30"/>
      <c r="DA177" s="30"/>
      <c r="DB177" s="30"/>
    </row>
    <row r="178" ht="18" customHeight="1" spans="3:106" x14ac:dyDescent="0.25"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/>
      <c r="AZ178" s="30"/>
      <c r="BA178" s="30"/>
      <c r="BB178" s="30"/>
      <c r="BC178" s="30"/>
      <c r="BD178" s="30"/>
      <c r="BE178" s="30"/>
      <c r="BF178" s="30"/>
      <c r="BG178" s="30"/>
      <c r="BH178" s="30"/>
      <c r="BI178" s="30"/>
      <c r="BJ178" s="30"/>
      <c r="BK178" s="30"/>
      <c r="BL178" s="30"/>
      <c r="BM178" s="30"/>
      <c r="BN178" s="30"/>
      <c r="BO178" s="30"/>
      <c r="BP178" s="30"/>
      <c r="BQ178" s="30"/>
      <c r="BR178" s="30"/>
      <c r="BS178" s="30"/>
      <c r="BT178" s="30"/>
      <c r="BU178" s="30"/>
      <c r="BV178" s="30"/>
      <c r="BW178" s="30"/>
      <c r="BX178" s="30"/>
      <c r="BY178" s="30"/>
      <c r="BZ178" s="30"/>
      <c r="CA178" s="30"/>
      <c r="CB178" s="30"/>
      <c r="CC178" s="30"/>
      <c r="CD178" s="30"/>
      <c r="CE178" s="30"/>
      <c r="CF178" s="30"/>
      <c r="CG178" s="30"/>
      <c r="CH178" s="30"/>
      <c r="CI178" s="30"/>
      <c r="CJ178" s="30"/>
      <c r="CK178" s="30"/>
      <c r="CL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</row>
    <row r="179" ht="18" customHeight="1" spans="1:106" x14ac:dyDescent="0.25">
      <c r="A179" s="17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  <c r="AP179" s="30"/>
      <c r="AQ179" s="30"/>
      <c r="AR179" s="30"/>
      <c r="AS179" s="30"/>
      <c r="AT179" s="30"/>
      <c r="AU179" s="30"/>
      <c r="AV179" s="30"/>
      <c r="AW179" s="30"/>
      <c r="AX179" s="30"/>
      <c r="AY179" s="30"/>
      <c r="AZ179" s="30"/>
      <c r="BA179" s="30"/>
      <c r="BB179" s="30"/>
      <c r="BC179" s="30"/>
      <c r="BD179" s="30"/>
      <c r="BE179" s="30"/>
      <c r="BF179" s="30"/>
      <c r="BG179" s="30"/>
      <c r="BH179" s="30"/>
      <c r="BI179" s="30"/>
      <c r="BJ179" s="30"/>
      <c r="BK179" s="30"/>
      <c r="BL179" s="30"/>
      <c r="BM179" s="30"/>
      <c r="BN179" s="30"/>
      <c r="BO179" s="30"/>
      <c r="BP179" s="30"/>
      <c r="BQ179" s="30"/>
      <c r="BR179" s="30"/>
      <c r="BS179" s="30"/>
      <c r="BT179" s="30"/>
      <c r="BU179" s="30"/>
      <c r="BV179" s="30"/>
      <c r="BW179" s="30"/>
      <c r="BX179" s="30"/>
      <c r="BY179" s="30"/>
      <c r="BZ179" s="30"/>
      <c r="CA179" s="30"/>
      <c r="CB179" s="30"/>
      <c r="CC179" s="30"/>
      <c r="CD179" s="30"/>
      <c r="CE179" s="30"/>
      <c r="CF179" s="30"/>
      <c r="CG179" s="30"/>
      <c r="CH179" s="30"/>
      <c r="CI179" s="30"/>
      <c r="CJ179" s="30"/>
      <c r="CK179" s="30"/>
      <c r="CL179" s="30"/>
      <c r="CM179" s="30"/>
      <c r="CN179" s="30"/>
      <c r="CO179" s="30"/>
      <c r="CP179" s="30"/>
      <c r="CQ179" s="30"/>
      <c r="CR179" s="30"/>
      <c r="CS179" s="30"/>
      <c r="CT179" s="30"/>
      <c r="CU179" s="30"/>
      <c r="CV179" s="30"/>
      <c r="CW179" s="30"/>
      <c r="CX179" s="30"/>
      <c r="CY179" s="30"/>
      <c r="CZ179" s="30"/>
      <c r="DA179" s="30"/>
      <c r="DB179" s="30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179"/>
  <sheetFormatPr defaultRowHeight="15" outlineLevelRow="0" outlineLevelCol="0" x14ac:dyDescent="55"/>
  <cols>
    <col min="1" max="1" width="33" customWidth="1"/>
    <col min="2" max="2" width="17" customWidth="1"/>
    <col min="3" max="3" width="11" customWidth="1"/>
  </cols>
  <sheetData>
    <row r="1" ht="17" customHeight="1" spans="1:106" x14ac:dyDescent="0.25">
      <c r="A1" s="1" t="s">
        <v>316</v>
      </c>
      <c r="B1" t="s">
        <v>1</v>
      </c>
      <c r="C1" t="s">
        <v>2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2</v>
      </c>
      <c r="X1" t="s">
        <v>2</v>
      </c>
      <c r="Y1" t="s">
        <v>2</v>
      </c>
      <c r="Z1" t="s">
        <v>2</v>
      </c>
      <c r="AA1" t="s">
        <v>2</v>
      </c>
      <c r="AB1" t="s">
        <v>2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 t="s">
        <v>2</v>
      </c>
      <c r="AI1" t="s">
        <v>2</v>
      </c>
      <c r="AJ1" t="s">
        <v>2</v>
      </c>
      <c r="AK1" t="s">
        <v>2</v>
      </c>
      <c r="AL1" t="s">
        <v>2</v>
      </c>
      <c r="AM1" t="s">
        <v>2</v>
      </c>
      <c r="AN1" t="s">
        <v>2</v>
      </c>
      <c r="AO1" t="s">
        <v>2</v>
      </c>
      <c r="AP1" t="s">
        <v>2</v>
      </c>
      <c r="AQ1" t="s">
        <v>2</v>
      </c>
      <c r="AR1" t="s">
        <v>2</v>
      </c>
      <c r="AS1" t="s">
        <v>2</v>
      </c>
      <c r="AT1" t="s">
        <v>2</v>
      </c>
      <c r="AU1" t="s">
        <v>2</v>
      </c>
      <c r="AV1" t="s">
        <v>2</v>
      </c>
      <c r="AW1" t="s">
        <v>2</v>
      </c>
      <c r="AX1" t="s">
        <v>2</v>
      </c>
      <c r="AY1" t="s">
        <v>2</v>
      </c>
      <c r="AZ1" t="s">
        <v>2</v>
      </c>
      <c r="BA1" t="s">
        <v>2</v>
      </c>
      <c r="BB1" t="s">
        <v>2</v>
      </c>
      <c r="BC1" t="s">
        <v>2</v>
      </c>
      <c r="BD1" t="s">
        <v>2</v>
      </c>
      <c r="BE1" t="s">
        <v>2</v>
      </c>
      <c r="BF1" t="s">
        <v>2</v>
      </c>
      <c r="BG1" t="s">
        <v>2</v>
      </c>
      <c r="BH1" t="s">
        <v>2</v>
      </c>
      <c r="BI1" t="s">
        <v>2</v>
      </c>
      <c r="BJ1" t="s">
        <v>2</v>
      </c>
      <c r="BK1" t="s">
        <v>2</v>
      </c>
      <c r="BL1" t="s">
        <v>2</v>
      </c>
      <c r="BM1" t="s">
        <v>2</v>
      </c>
      <c r="BN1" t="s">
        <v>2</v>
      </c>
      <c r="BO1" t="s">
        <v>2</v>
      </c>
      <c r="BP1" t="s">
        <v>2</v>
      </c>
      <c r="BQ1" t="s">
        <v>2</v>
      </c>
      <c r="BR1" t="s">
        <v>2</v>
      </c>
      <c r="BS1" t="s">
        <v>2</v>
      </c>
      <c r="BT1" t="s">
        <v>2</v>
      </c>
      <c r="BU1" t="s">
        <v>2</v>
      </c>
      <c r="BV1" t="s">
        <v>2</v>
      </c>
      <c r="BW1" t="s">
        <v>2</v>
      </c>
      <c r="BX1" t="s">
        <v>2</v>
      </c>
      <c r="BY1" t="s">
        <v>2</v>
      </c>
      <c r="BZ1" t="s">
        <v>2</v>
      </c>
      <c r="CA1" t="s">
        <v>2</v>
      </c>
      <c r="CB1" t="s">
        <v>2</v>
      </c>
      <c r="CC1" t="s">
        <v>2</v>
      </c>
      <c r="CD1" t="s">
        <v>2</v>
      </c>
      <c r="CE1" t="s">
        <v>2</v>
      </c>
      <c r="CF1" t="s">
        <v>2</v>
      </c>
      <c r="CG1" t="s">
        <v>2</v>
      </c>
      <c r="CH1" t="s">
        <v>2</v>
      </c>
      <c r="CI1" t="s">
        <v>2</v>
      </c>
      <c r="CJ1" t="s">
        <v>2</v>
      </c>
      <c r="CK1" t="s">
        <v>2</v>
      </c>
      <c r="CL1" t="s">
        <v>2</v>
      </c>
      <c r="CM1" t="s">
        <v>2</v>
      </c>
      <c r="CN1" t="s">
        <v>2</v>
      </c>
      <c r="CO1" t="s">
        <v>2</v>
      </c>
      <c r="CP1" t="s">
        <v>2</v>
      </c>
      <c r="CQ1" t="s">
        <v>2</v>
      </c>
      <c r="CR1" t="s">
        <v>2</v>
      </c>
      <c r="CS1" t="s">
        <v>2</v>
      </c>
      <c r="CT1" t="s">
        <v>2</v>
      </c>
      <c r="CU1" t="s">
        <v>2</v>
      </c>
      <c r="CV1" t="s">
        <v>2</v>
      </c>
      <c r="CW1" t="s">
        <v>2</v>
      </c>
      <c r="CX1" t="s">
        <v>2</v>
      </c>
      <c r="CY1" t="s">
        <v>2</v>
      </c>
      <c r="CZ1" t="s">
        <v>2</v>
      </c>
      <c r="DA1" t="s">
        <v>2</v>
      </c>
      <c r="DB1" t="s">
        <v>2</v>
      </c>
    </row>
    <row r="2" ht="14" customHeight="1" spans="1:106" x14ac:dyDescent="0.25">
      <c r="B2" t="s">
        <v>3</v>
      </c>
      <c r="C2" s="2">
        <f>=TODAY()</f>
        <v>45972</v>
      </c>
      <c r="D2" t="str">
        <f>=IF(C2="Current WK","Next Week",IF(DATEVALUE(D4)=$C$2-WEEKDAY($C$2,1)+1,"Current WK",""))</f>
        <v/>
      </c>
      <c r="E2" t="str">
        <f>=IF(D2="Current WK","Next Week",IF(DATEVALUE(E4)=$C$2-WEEKDAY($C$2,1)+1,"Current WK",""))</f>
        <v/>
      </c>
      <c r="F2" t="str">
        <f>=IF(E2="Current WK","Next Week",IF(DATEVALUE(F4)=$C$2-WEEKDAY($C$2,1)+1,"Current WK",""))</f>
        <v/>
      </c>
      <c r="G2" t="str">
        <f>=IF(F2="Current WK","Next Week",IF(DATEVALUE(G4)=$C$2-WEEKDAY($C$2,1)+1,"Current WK",""))</f>
        <v/>
      </c>
      <c r="H2" t="str">
        <f>=IF(G2="Current WK","Next Week",IF(DATEVALUE(H4)=$C$2-WEEKDAY($C$2,1)+1,"Current WK",""))</f>
        <v/>
      </c>
      <c r="I2" t="str">
        <f>=IF(H2="Current WK","Next Week",IF(DATEVALUE(I4)=$C$2-WEEKDAY($C$2,1)+1,"Current WK",""))</f>
        <v/>
      </c>
      <c r="J2" t="str">
        <f>=IF(I2="Current WK","Next Week",IF(DATEVALUE(J4)=$C$2-WEEKDAY($C$2,1)+1,"Current WK",""))</f>
        <v/>
      </c>
      <c r="K2" t="str">
        <f>=IF(J2="Current WK","Next Week",IF(DATEVALUE(K4)=$C$2-WEEKDAY($C$2,1)+1,"Current WK",""))</f>
        <v/>
      </c>
      <c r="L2" t="str">
        <f>=IF(K2="Current WK","Next Week",IF(DATEVALUE(L4)=$C$2-WEEKDAY($C$2,1)+1,"Current WK",""))</f>
        <v/>
      </c>
      <c r="M2" t="str">
        <f>=IF(L2="Current WK","Next Week",IF(DATEVALUE(M4)=$C$2-WEEKDAY($C$2,1)+1,"Current WK",""))</f>
        <v/>
      </c>
      <c r="N2" t="str">
        <f>=IF(M2="Current WK","Next Week",IF(DATEVALUE(N4)=$C$2-WEEKDAY($C$2,1)+1,"Current WK",""))</f>
        <v/>
      </c>
      <c r="O2" t="str">
        <f>=IF(N2="Current WK","Next Week",IF(DATEVALUE(O4)=$C$2-WEEKDAY($C$2,1)+1,"Current WK",""))</f>
        <v/>
      </c>
      <c r="P2" t="str">
        <f>=IF(O2="Current WK","Next Week",IF(DATEVALUE(P4)=$C$2-WEEKDAY($C$2,1)+1,"Current WK",""))</f>
        <v/>
      </c>
      <c r="Q2" t="str">
        <f>=IF(P2="Current WK","Next Week",IF(DATEVALUE(Q4)=$C$2-WEEKDAY($C$2,1)+1,"Current WK",""))</f>
        <v/>
      </c>
      <c r="R2" t="str">
        <f>=IF(Q2="Current WK","Next Week",IF(DATEVALUE(R4)=$C$2-WEEKDAY($C$2,1)+1,"Current WK",""))</f>
        <v/>
      </c>
      <c r="S2" t="str">
        <f>=IF(R2="Current WK","Next Week",IF(DATEVALUE(S4)=$C$2-WEEKDAY($C$2,1)+1,"Current WK",""))</f>
        <v/>
      </c>
      <c r="T2" t="str">
        <f>=IF(S2="Current WK","Next Week",IF(DATEVALUE(T4)=$C$2-WEEKDAY($C$2,1)+1,"Current WK",""))</f>
        <v/>
      </c>
      <c r="U2" t="str">
        <f>=IF(T2="Current WK","Next Week",IF(DATEVALUE(U4)=$C$2-WEEKDAY($C$2,1)+1,"Current WK",""))</f>
        <v/>
      </c>
      <c r="V2" t="str">
        <f>=IF(U2="Current WK","Next Week",IF(DATEVALUE(V4)=$C$2-WEEKDAY($C$2,1)+1,"Current WK",""))</f>
        <v/>
      </c>
      <c r="W2" t="str">
        <f>=IF(V2="Current WK","Next Week",IF(DATEVALUE(W4)=$C$2-WEEKDAY($C$2,1)+1,"Current WK",""))</f>
        <v/>
      </c>
      <c r="X2" t="str">
        <f>=IF(W2="Current WK","Next Week",IF(DATEVALUE(X4)=$C$2-WEEKDAY($C$2,1)+1,"Current WK",""))</f>
        <v/>
      </c>
      <c r="Y2" t="str">
        <f>=IF(X2="Current WK","Next Week",IF(DATEVALUE(Y4)=$C$2-WEEKDAY($C$2,1)+1,"Current WK",""))</f>
        <v/>
      </c>
      <c r="Z2" t="str">
        <f>=IF(Y2="Current WK","Next Week",IF(DATEVALUE(Z4)=$C$2-WEEKDAY($C$2,1)+1,"Current WK",""))</f>
        <v/>
      </c>
      <c r="AA2" t="str">
        <f>=IF(Z2="Current WK","Next Week",IF(DATEVALUE(AA4)=$C$2-WEEKDAY($C$2,1)+1,"Current WK",""))</f>
        <v/>
      </c>
      <c r="AB2" t="str">
        <f>=IF(AA2="Current WK","Next Week",IF(DATEVALUE(AB4)=$C$2-WEEKDAY($C$2,1)+1,"Current WK",""))</f>
        <v/>
      </c>
      <c r="AC2" t="str">
        <f>=IF(AB2="Current WK","Next Week",IF(DATEVALUE(AC4)=$C$2-WEEKDAY($C$2,1)+1,"Current WK",""))</f>
        <v/>
      </c>
      <c r="AD2" t="str">
        <f>=IF(AC2="Current WK","Next Week",IF(DATEVALUE(AD4)=$C$2-WEEKDAY($C$2,1)+1,"Current WK",""))</f>
        <v/>
      </c>
      <c r="AE2" t="str">
        <f>=IF(AD2="Current WK","Next Week",IF(DATEVALUE(AE4)=$C$2-WEEKDAY($C$2,1)+1,"Current WK",""))</f>
        <v/>
      </c>
      <c r="AF2" t="str">
        <f>=IF(AE2="Current WK","Next Week",IF(DATEVALUE(AF4)=$C$2-WEEKDAY($C$2,1)+1,"Current WK",""))</f>
        <v/>
      </c>
      <c r="AG2" t="str">
        <f>=IF(AF2="Current WK","Next Week",IF(DATEVALUE(AG4)=$C$2-WEEKDAY($C$2,1)+1,"Current WK",""))</f>
        <v/>
      </c>
      <c r="AH2" t="str">
        <f>=IF(AG2="Current WK","Next Week",IF(DATEVALUE(AH4)=$C$2-WEEKDAY($C$2,1)+1,"Current WK",""))</f>
        <v/>
      </c>
      <c r="AI2" t="str">
        <f>=IF(AH2="Current WK","Next Week",IF(DATEVALUE(AI4)=$C$2-WEEKDAY($C$2,1)+1,"Current WK",""))</f>
        <v/>
      </c>
      <c r="AJ2" t="str">
        <f>=IF(AI2="Current WK","Next Week",IF(DATEVALUE(AJ4)=$C$2-WEEKDAY($C$2,1)+1,"Current WK",""))</f>
        <v/>
      </c>
      <c r="AK2" t="str">
        <f>=IF(AJ2="Current WK","Next Week",IF(DATEVALUE(AK4)=$C$2-WEEKDAY($C$2,1)+1,"Current WK",""))</f>
        <v/>
      </c>
      <c r="AL2" t="str">
        <f>=IF(AK2="Current WK","Next Week",IF(DATEVALUE(AL4)=$C$2-WEEKDAY($C$2,1)+1,"Current WK",""))</f>
        <v/>
      </c>
      <c r="AM2" t="str">
        <f>=IF(AL2="Current WK","Next Week",IF(DATEVALUE(AM4)=$C$2-WEEKDAY($C$2,1)+1,"Current WK",""))</f>
        <v/>
      </c>
      <c r="AN2" t="str">
        <f>=IF(AM2="Current WK","Next Week",IF(DATEVALUE(AN4)=$C$2-WEEKDAY($C$2,1)+1,"Current WK",""))</f>
        <v/>
      </c>
      <c r="AO2" t="str">
        <f>=IF(AN2="Current WK","Next Week",IF(DATEVALUE(AO4)=$C$2-WEEKDAY($C$2,1)+1,"Current WK",""))</f>
        <v/>
      </c>
      <c r="AP2" t="str">
        <f>=IF(AO2="Current WK","Next Week",IF(DATEVALUE(AP4)=$C$2-WEEKDAY($C$2,1)+1,"Current WK",""))</f>
        <v/>
      </c>
      <c r="AQ2" t="str">
        <f>=IF(AP2="Current WK","Next Week",IF(DATEVALUE(AQ4)=$C$2-WEEKDAY($C$2,1)+1,"Current WK",""))</f>
        <v/>
      </c>
      <c r="AR2" t="str">
        <f>=IF(AQ2="Current WK","Next Week",IF(DATEVALUE(AR4)=$C$2-WEEKDAY($C$2,1)+1,"Current WK",""))</f>
        <v/>
      </c>
      <c r="AS2" t="str">
        <f>=IF(AR2="Current WK","Next Week",IF(DATEVALUE(AS4)=$C$2-WEEKDAY($C$2,1)+1,"Current WK",""))</f>
        <v/>
      </c>
      <c r="AT2" t="str">
        <f>=IF(AS2="Current WK","Next Week",IF(DATEVALUE(AT4)=$C$2-WEEKDAY($C$2,1)+1,"Current WK",""))</f>
        <v/>
      </c>
      <c r="AU2" t="str">
        <f>=IF(AT2="Current WK","Next Week",IF(DATEVALUE(AU4)=$C$2-WEEKDAY($C$2,1)+1,"Current WK",""))</f>
        <v/>
      </c>
      <c r="AV2" t="str">
        <f>=IF(AU2="Current WK","Next Week",IF(DATEVALUE(AV4)=$C$2-WEEKDAY($C$2,1)+1,"Current WK",""))</f>
        <v/>
      </c>
      <c r="AW2" t="str">
        <f>=IF(AV2="Current WK","Next Week",IF(DATEVALUE(AW4)=$C$2-WEEKDAY($C$2,1)+1,"Current WK",""))</f>
        <v/>
      </c>
      <c r="AX2" t="str">
        <f>=IF(AW2="Current WK","Next Week",IF(DATEVALUE(AX4)=$C$2-WEEKDAY($C$2,1)+1,"Current WK",""))</f>
        <v/>
      </c>
      <c r="AY2" t="str">
        <f>=IF(AX2="Current WK","Next Week",IF(DATEVALUE(AY4)=$C$2-WEEKDAY($C$2,1)+1,"Current WK",""))</f>
        <v/>
      </c>
      <c r="AZ2" t="str">
        <f>=IF(AY2="Current WK","Next Week",IF(DATEVALUE(AZ4)=$C$2-WEEKDAY($C$2,1)+1,"Current WK",""))</f>
        <v/>
      </c>
      <c r="BA2" t="str">
        <f>=IF(AZ2="Current WK","Next Week",IF(DATEVALUE(BA4)=$C$2-WEEKDAY($C$2,1)+1,"Current WK",""))</f>
        <v/>
      </c>
      <c r="BB2" t="str">
        <f>=IF(BA2="Current WK","Next Week",IF(DATEVALUE(BB4)=$C$2-WEEKDAY($C$2,1)+1,"Current WK",""))</f>
        <v/>
      </c>
      <c r="BC2" t="str">
        <f>=IF(BB2="Current WK","Next Week",IF(DATEVALUE(BC4)=$C$2-WEEKDAY($C$2,1)+1,"Current WK",""))</f>
        <v/>
      </c>
      <c r="BD2" t="str">
        <f>=IF(BC2="Current WK","Next Week",IF(DATEVALUE(BD4)=$C$2-WEEKDAY($C$2,1)+1,"Current WK",""))</f>
        <v/>
      </c>
      <c r="BE2" t="str">
        <f>=IF(BD2="Current WK","Next Week",IF(DATEVALUE(BE4)=$C$2-WEEKDAY($C$2,1)+1,"Current WK",""))</f>
        <v/>
      </c>
      <c r="BF2" t="str">
        <f>=IF(BE2="Current WK","Next Week",IF(DATEVALUE(BF4)=$C$2-WEEKDAY($C$2,1)+1,"Current WK",""))</f>
        <v/>
      </c>
      <c r="BG2" t="str">
        <f>=IF(BF2="Current WK","Next Week",IF(DATEVALUE(BG4)=$C$2-WEEKDAY($C$2,1)+1,"Current WK",""))</f>
        <v/>
      </c>
      <c r="BH2" t="str">
        <f>=IF(BG2="Current WK","Next Week",IF(DATEVALUE(BH4)=$C$2-WEEKDAY($C$2,1)+1,"Current WK",""))</f>
        <v/>
      </c>
      <c r="BI2" t="str">
        <f>=IF(BH2="Current WK","Next Week",IF(DATEVALUE(BI4)=$C$2-WEEKDAY($C$2,1)+1,"Current WK",""))</f>
        <v/>
      </c>
      <c r="BJ2" t="str">
        <f>=IF(BI2="Current WK","Next Week",IF(DATEVALUE(BJ4)=$C$2-WEEKDAY($C$2,1)+1,"Current WK",""))</f>
        <v/>
      </c>
      <c r="BK2" t="str">
        <f>=IF(BJ2="Current WK","Next Week",IF(DATEVALUE(BK4)=$C$2-WEEKDAY($C$2,1)+1,"Current WK",""))</f>
        <v/>
      </c>
      <c r="BL2" t="str">
        <f>=IF(BK2="Current WK","Next Week",IF(DATEVALUE(BL4)=$C$2-WEEKDAY($C$2,1)+1,"Current WK",""))</f>
        <v/>
      </c>
      <c r="BM2" t="str">
        <f>=IF(BL2="Current WK","Next Week",IF(DATEVALUE(BM4)=$C$2-WEEKDAY($C$2,1)+1,"Current WK",""))</f>
        <v/>
      </c>
      <c r="BN2" t="str">
        <f>=IF(BM2="Current WK","Next Week",IF(DATEVALUE(BN4)=$C$2-WEEKDAY($C$2,1)+1,"Current WK",""))</f>
        <v/>
      </c>
      <c r="BO2" t="str">
        <f>=IF(BN2="Current WK","Next Week",IF(DATEVALUE(BO4)=$C$2-WEEKDAY($C$2,1)+1,"Current WK",""))</f>
        <v/>
      </c>
      <c r="BP2" t="str">
        <f>=IF(BO2="Current WK","Next Week",IF(DATEVALUE(BP4)=$C$2-WEEKDAY($C$2,1)+1,"Current WK",""))</f>
        <v/>
      </c>
      <c r="BQ2" t="str">
        <f>=IF(BP2="Current WK","Next Week",IF(DATEVALUE(BQ4)=$C$2-WEEKDAY($C$2,1)+1,"Current WK",""))</f>
        <v/>
      </c>
      <c r="BR2" t="str">
        <f>=IF(BQ2="Current WK","Next Week",IF(DATEVALUE(BR4)=$C$2-WEEKDAY($C$2,1)+1,"Current WK",""))</f>
        <v/>
      </c>
      <c r="BS2" t="str">
        <f>=IF(BR2="Current WK","Next Week",IF(DATEVALUE(BS4)=$C$2-WEEKDAY($C$2,1)+1,"Current WK",""))</f>
        <v/>
      </c>
      <c r="BT2" t="str">
        <f>=IF(BS2="Current WK","Next Week",IF(DATEVALUE(BT4)=$C$2-WEEKDAY($C$2,1)+1,"Current WK",""))</f>
        <v/>
      </c>
      <c r="BU2" s="3" t="str">
        <f>=IF(BT2="Current WK","Next Week",IF(DATEVALUE(BU4)=$C$2-WEEKDAY($C$2,1)+1,"Current WK",""))</f>
        <v/>
      </c>
      <c r="BV2" s="4" t="str">
        <f>=IF(BU2="Current WK","Next Week",IF(DATEVALUE(BV4)=$C$2-WEEKDAY($C$2,1)+1,"Current WK",""))</f>
        <v>Current WK</v>
      </c>
      <c r="BW2" s="4" t="str">
        <f>=IF(BV2="Current WK","Next Week",IF(DATEVALUE(BW4)=$C$2-WEEKDAY($C$2,1)+1,"Current WK",""))</f>
        <v>Next Week</v>
      </c>
      <c r="BX2" t="str">
        <f>=IF(BW2="Current WK","Next Week",IF(DATEVALUE(BX4)=$C$2-WEEKDAY($C$2,1)+1,"Current WK",""))</f>
        <v/>
      </c>
      <c r="BY2" t="str">
        <f>=IF(BX2="Current WK","Next Week",IF(DATEVALUE(BY4)=$C$2-WEEKDAY($C$2,1)+1,"Current WK",""))</f>
        <v/>
      </c>
      <c r="BZ2" t="str">
        <f>=IF(BY2="Current WK","Next Week",IF(DATEVALUE(BZ4)=$C$2-WEEKDAY($C$2,1)+1,"Current WK",""))</f>
        <v/>
      </c>
      <c r="CA2" t="str">
        <f>=IF(BZ2="Current WK","Next Week",IF(DATEVALUE(CA4)=$C$2-WEEKDAY($C$2,1)+1,"Current WK",""))</f>
        <v/>
      </c>
      <c r="CB2" t="str">
        <f>=IF(CA2="Current WK","Next Week",IF(DATEVALUE(CB4)=$C$2-WEEKDAY($C$2,1)+1,"Current WK",""))</f>
        <v/>
      </c>
      <c r="CC2" t="str">
        <f>=IF(CB2="Current WK","Next Week",IF(DATEVALUE(CC4)=$C$2-WEEKDAY($C$2,1)+1,"Current WK",""))</f>
        <v/>
      </c>
      <c r="CD2" t="str">
        <f>=IF(CC2="Current WK","Next Week",IF(DATEVALUE(CD4)=$C$2-WEEKDAY($C$2,1)+1,"Current WK",""))</f>
        <v/>
      </c>
      <c r="CE2" t="str">
        <f>=IF(CD2="Current WK","Next Week",IF(DATEVALUE(CE4)=$C$2-WEEKDAY($C$2,1)+1,"Current WK",""))</f>
        <v/>
      </c>
      <c r="CF2" t="str">
        <f>=IF(CE2="Current WK","Next Week",IF(DATEVALUE(CF4)=$C$2-WEEKDAY($C$2,1)+1,"Current WK",""))</f>
        <v/>
      </c>
      <c r="CG2" t="str">
        <f>=IF(CF2="Current WK","Next Week",IF(DATEVALUE(CG4)=$C$2-WEEKDAY($C$2,1)+1,"Current WK",""))</f>
        <v/>
      </c>
      <c r="CH2" t="str">
        <f>=IF(CG2="Current WK","Next Week",IF(DATEVALUE(CH4)=$C$2-WEEKDAY($C$2,1)+1,"Current WK",""))</f>
        <v/>
      </c>
      <c r="CI2" t="str">
        <f>=IF(CH2="Current WK","Next Week",IF(DATEVALUE(CI4)=$C$2-WEEKDAY($C$2,1)+1,"Current WK",""))</f>
        <v/>
      </c>
      <c r="CJ2" t="str">
        <f>=IF(CI2="Current WK","Next Week",IF(DATEVALUE(CJ4)=$C$2-WEEKDAY($C$2,1)+1,"Current WK",""))</f>
        <v/>
      </c>
      <c r="CK2" t="str">
        <f>=IF(CJ2="Current WK","Next Week",IF(DATEVALUE(CK4)=$C$2-WEEKDAY($C$2,1)+1,"Current WK",""))</f>
        <v/>
      </c>
      <c r="CL2" t="str">
        <f>=IF(CK2="Current WK","Next Week",IF(DATEVALUE(CL4)=$C$2-WEEKDAY($C$2,1)+1,"Current WK",""))</f>
        <v/>
      </c>
      <c r="CM2" t="str">
        <f>=IF(CL2="Current WK","Next Week",IF(DATEVALUE(CM4)=$C$2-WEEKDAY($C$2,1)+1,"Current WK",""))</f>
        <v/>
      </c>
      <c r="CN2" t="str">
        <f>=IF(CM2="Current WK","Next Week",IF(DATEVALUE(CN4)=$C$2-WEEKDAY($C$2,1)+1,"Current WK",""))</f>
        <v/>
      </c>
      <c r="CO2" t="str">
        <f>=IF(CN2="Current WK","Next Week",IF(DATEVALUE(CO4)=$C$2-WEEKDAY($C$2,1)+1,"Current WK",""))</f>
        <v/>
      </c>
      <c r="CP2" t="str">
        <f>=IF(CO2="Current WK","Next Week",IF(DATEVALUE(CP4)=$C$2-WEEKDAY($C$2,1)+1,"Current WK",""))</f>
        <v/>
      </c>
      <c r="CQ2" t="str">
        <f>=IF(CP2="Current WK","Next Week",IF(DATEVALUE(CQ4)=$C$2-WEEKDAY($C$2,1)+1,"Current WK",""))</f>
        <v/>
      </c>
      <c r="CR2" t="str">
        <f>=IF(CQ2="Current WK","Next Week",IF(DATEVALUE(CR4)=$C$2-WEEKDAY($C$2,1)+1,"Current WK",""))</f>
        <v/>
      </c>
      <c r="CS2" t="str">
        <f>=IF(CR2="Current WK","Next Week",IF(DATEVALUE(CS4)=$C$2-WEEKDAY($C$2,1)+1,"Current WK",""))</f>
        <v/>
      </c>
      <c r="CT2" t="str">
        <f>=IF(CS2="Current WK","Next Week",IF(DATEVALUE(CT4)=$C$2-WEEKDAY($C$2,1)+1,"Current WK",""))</f>
        <v/>
      </c>
      <c r="CU2" t="str">
        <f>=IF(CT2="Current WK","Next Week",IF(DATEVALUE(CU4)=$C$2-WEEKDAY($C$2,1)+1,"Current WK",""))</f>
        <v/>
      </c>
      <c r="CV2" t="str">
        <f>=IF(CU2="Current WK","Next Week",IF(DATEVALUE(CV4)=$C$2-WEEKDAY($C$2,1)+1,"Current WK",""))</f>
        <v/>
      </c>
      <c r="CW2" t="str">
        <f>=IF(CV2="Current WK","Next Week",IF(DATEVALUE(CW4)=$C$2-WEEKDAY($C$2,1)+1,"Current WK",""))</f>
        <v/>
      </c>
      <c r="CX2" t="str">
        <f>=IF(CW2="Current WK","Next Week",IF(DATEVALUE(CX4)=$C$2-WEEKDAY($C$2,1)+1,"Current WK",""))</f>
        <v/>
      </c>
      <c r="CY2" t="str">
        <f>=IF(CX2="Current WK","Next Week",IF(DATEVALUE(CY4)=$C$2-WEEKDAY($C$2,1)+1,"Current WK",""))</f>
        <v/>
      </c>
      <c r="CZ2" t="str">
        <f>=IF(CY2="Current WK","Next Week",IF(DATEVALUE(CZ4)=$C$2-WEEKDAY($C$2,1)+1,"Current WK",""))</f>
        <v/>
      </c>
      <c r="DA2" t="str">
        <f>=IF(CZ2="Current WK","Next Week",IF(DATEVALUE(DA4)=$C$2-WEEKDAY($C$2,1)+1,"Current WK",""))</f>
        <v/>
      </c>
      <c r="DB2" t="str">
        <f>=IF(DA2="Current WK","Next Week",IF(DATEVALUE(DB4)=$C$2-WEEKDAY($C$2,1)+1,"Current WK",""))</f>
        <v/>
      </c>
    </row>
    <row r="3" spans="1:106" x14ac:dyDescent="0.25">
      <c r="A3" s="1"/>
      <c r="B3" s="5" t="s">
        <v>4</v>
      </c>
      <c r="C3" t="s">
        <v>5</v>
      </c>
      <c r="D3" t="s">
        <v>6</v>
      </c>
      <c r="E3" t="s">
        <v>6</v>
      </c>
      <c r="F3" s="6" t="s">
        <v>6</v>
      </c>
      <c r="G3" t="s">
        <v>6</v>
      </c>
      <c r="H3" t="s">
        <v>7</v>
      </c>
      <c r="I3" t="s">
        <v>7</v>
      </c>
      <c r="J3" t="s">
        <v>7</v>
      </c>
      <c r="K3" t="s">
        <v>7</v>
      </c>
      <c r="L3" t="s">
        <v>8</v>
      </c>
      <c r="M3" t="s">
        <v>8</v>
      </c>
      <c r="N3" t="s">
        <v>8</v>
      </c>
      <c r="O3" t="s">
        <v>8</v>
      </c>
      <c r="P3" t="s">
        <v>8</v>
      </c>
      <c r="Q3" t="s">
        <v>9</v>
      </c>
      <c r="R3" t="s">
        <v>9</v>
      </c>
      <c r="S3" t="s">
        <v>9</v>
      </c>
      <c r="T3" t="s">
        <v>9</v>
      </c>
      <c r="U3" t="s">
        <v>10</v>
      </c>
      <c r="V3" t="s">
        <v>10</v>
      </c>
      <c r="W3" t="s">
        <v>10</v>
      </c>
      <c r="X3" t="s">
        <v>10</v>
      </c>
      <c r="Y3" t="s">
        <v>11</v>
      </c>
      <c r="Z3" t="s">
        <v>11</v>
      </c>
      <c r="AA3" t="s">
        <v>11</v>
      </c>
      <c r="AB3" t="s">
        <v>11</v>
      </c>
      <c r="AC3" t="s">
        <v>11</v>
      </c>
      <c r="AD3" t="s">
        <v>12</v>
      </c>
      <c r="AE3" t="s">
        <v>12</v>
      </c>
      <c r="AF3" t="s">
        <v>12</v>
      </c>
      <c r="AG3" t="s">
        <v>12</v>
      </c>
      <c r="AH3" t="s">
        <v>13</v>
      </c>
      <c r="AI3" t="s">
        <v>13</v>
      </c>
      <c r="AJ3" t="s">
        <v>13</v>
      </c>
      <c r="AK3" t="s">
        <v>13</v>
      </c>
      <c r="AL3" t="s">
        <v>14</v>
      </c>
      <c r="AM3" t="s">
        <v>14</v>
      </c>
      <c r="AN3" t="s">
        <v>14</v>
      </c>
      <c r="AO3" t="s">
        <v>14</v>
      </c>
      <c r="AP3" t="s">
        <v>14</v>
      </c>
      <c r="AQ3" t="s">
        <v>15</v>
      </c>
      <c r="AR3" t="s">
        <v>15</v>
      </c>
      <c r="AS3" t="s">
        <v>15</v>
      </c>
      <c r="AT3" t="s">
        <v>15</v>
      </c>
      <c r="AU3" t="s">
        <v>16</v>
      </c>
      <c r="AV3" t="s">
        <v>16</v>
      </c>
      <c r="AW3" t="s">
        <v>16</v>
      </c>
      <c r="AX3" t="s">
        <v>16</v>
      </c>
      <c r="AY3" t="s">
        <v>17</v>
      </c>
      <c r="AZ3" t="s">
        <v>17</v>
      </c>
      <c r="BA3" t="s">
        <v>17</v>
      </c>
      <c r="BB3" t="s">
        <v>17</v>
      </c>
      <c r="BC3" t="s">
        <v>17</v>
      </c>
      <c r="BD3" t="s">
        <v>18</v>
      </c>
      <c r="BE3" t="s">
        <v>18</v>
      </c>
      <c r="BF3" t="s">
        <v>18</v>
      </c>
      <c r="BG3" t="s">
        <v>18</v>
      </c>
      <c r="BH3" t="s">
        <v>19</v>
      </c>
      <c r="BI3" t="s">
        <v>19</v>
      </c>
      <c r="BJ3" t="s">
        <v>19</v>
      </c>
      <c r="BK3" t="s">
        <v>19</v>
      </c>
      <c r="BL3" t="s">
        <v>19</v>
      </c>
      <c r="BM3" t="s">
        <v>20</v>
      </c>
      <c r="BN3" t="s">
        <v>20</v>
      </c>
      <c r="BO3" t="s">
        <v>20</v>
      </c>
      <c r="BP3" t="s">
        <v>20</v>
      </c>
      <c r="BQ3" t="s">
        <v>21</v>
      </c>
      <c r="BR3" t="s">
        <v>21</v>
      </c>
      <c r="BS3" t="s">
        <v>21</v>
      </c>
      <c r="BT3" t="s">
        <v>21</v>
      </c>
      <c r="BU3" t="s">
        <v>22</v>
      </c>
      <c r="BV3" t="s">
        <v>22</v>
      </c>
      <c r="BW3" t="s">
        <v>22</v>
      </c>
      <c r="BX3" t="s">
        <v>22</v>
      </c>
      <c r="BY3" t="s">
        <v>22</v>
      </c>
      <c r="BZ3" t="s">
        <v>23</v>
      </c>
      <c r="CA3" t="s">
        <v>23</v>
      </c>
      <c r="CB3" t="s">
        <v>23</v>
      </c>
      <c r="CC3" t="s">
        <v>23</v>
      </c>
      <c r="CD3" t="s">
        <v>24</v>
      </c>
      <c r="CE3" t="s">
        <v>24</v>
      </c>
      <c r="CF3" t="s">
        <v>24</v>
      </c>
      <c r="CG3" t="s">
        <v>24</v>
      </c>
      <c r="CH3" t="s">
        <v>25</v>
      </c>
      <c r="CI3" t="s">
        <v>25</v>
      </c>
      <c r="CJ3" t="s">
        <v>25</v>
      </c>
      <c r="CK3" t="s">
        <v>25</v>
      </c>
      <c r="CL3" t="s">
        <v>26</v>
      </c>
      <c r="CM3" t="s">
        <v>26</v>
      </c>
      <c r="CN3" t="s">
        <v>26</v>
      </c>
      <c r="CO3" t="s">
        <v>26</v>
      </c>
      <c r="CP3" t="s">
        <v>26</v>
      </c>
      <c r="CQ3" t="s">
        <v>27</v>
      </c>
      <c r="CR3" t="s">
        <v>27</v>
      </c>
      <c r="CS3" t="s">
        <v>27</v>
      </c>
      <c r="CT3" t="s">
        <v>27</v>
      </c>
      <c r="CU3" t="s">
        <v>28</v>
      </c>
      <c r="CV3" t="s">
        <v>28</v>
      </c>
      <c r="CW3" t="s">
        <v>28</v>
      </c>
      <c r="CX3" t="s">
        <v>28</v>
      </c>
      <c r="CY3" t="s">
        <v>28</v>
      </c>
      <c r="CZ3" t="s">
        <v>29</v>
      </c>
      <c r="DA3" t="s">
        <v>29</v>
      </c>
      <c r="DB3" t="s">
        <v>29</v>
      </c>
    </row>
    <row r="4" spans="1:106" x14ac:dyDescent="0.25">
      <c r="A4" s="1"/>
      <c r="B4" s="5" t="s">
        <v>30</v>
      </c>
      <c r="C4" s="7" t="s">
        <v>31</v>
      </c>
      <c r="D4" s="7" t="s">
        <v>32</v>
      </c>
      <c r="E4" s="7" t="s">
        <v>33</v>
      </c>
      <c r="F4" s="7" t="s">
        <v>34</v>
      </c>
      <c r="G4" s="7" t="s">
        <v>35</v>
      </c>
      <c r="H4" s="7" t="s">
        <v>36</v>
      </c>
      <c r="I4" s="7" t="s">
        <v>37</v>
      </c>
      <c r="J4" s="7" t="s">
        <v>38</v>
      </c>
      <c r="K4" s="7" t="s">
        <v>39</v>
      </c>
      <c r="L4" s="7" t="s">
        <v>40</v>
      </c>
      <c r="M4" s="7" t="s">
        <v>41</v>
      </c>
      <c r="N4" s="7" t="s">
        <v>42</v>
      </c>
      <c r="O4" s="7" t="s">
        <v>43</v>
      </c>
      <c r="P4" s="7" t="s">
        <v>44</v>
      </c>
      <c r="Q4" s="7" t="s">
        <v>45</v>
      </c>
      <c r="R4" s="7" t="s">
        <v>46</v>
      </c>
      <c r="S4" s="7" t="s">
        <v>47</v>
      </c>
      <c r="T4" s="7" t="s">
        <v>48</v>
      </c>
      <c r="U4" s="7" t="s">
        <v>49</v>
      </c>
      <c r="V4" s="7" t="s">
        <v>50</v>
      </c>
      <c r="W4" s="7" t="s">
        <v>51</v>
      </c>
      <c r="X4" s="7" t="s">
        <v>52</v>
      </c>
      <c r="Y4" s="7" t="s">
        <v>53</v>
      </c>
      <c r="Z4" s="7" t="s">
        <v>54</v>
      </c>
      <c r="AA4" s="7" t="s">
        <v>55</v>
      </c>
      <c r="AB4" s="7" t="s">
        <v>56</v>
      </c>
      <c r="AC4" s="7" t="s">
        <v>57</v>
      </c>
      <c r="AD4" s="7" t="s">
        <v>58</v>
      </c>
      <c r="AE4" s="7" t="s">
        <v>59</v>
      </c>
      <c r="AF4" s="7" t="s">
        <v>60</v>
      </c>
      <c r="AG4" s="7" t="s">
        <v>61</v>
      </c>
      <c r="AH4" s="7" t="s">
        <v>62</v>
      </c>
      <c r="AI4" s="7" t="s">
        <v>63</v>
      </c>
      <c r="AJ4" s="7" t="s">
        <v>64</v>
      </c>
      <c r="AK4" s="7" t="s">
        <v>65</v>
      </c>
      <c r="AL4" s="7" t="s">
        <v>66</v>
      </c>
      <c r="AM4" s="7" t="s">
        <v>67</v>
      </c>
      <c r="AN4" s="7" t="s">
        <v>68</v>
      </c>
      <c r="AO4" s="7" t="s">
        <v>69</v>
      </c>
      <c r="AP4" s="7" t="s">
        <v>70</v>
      </c>
      <c r="AQ4" s="7" t="s">
        <v>71</v>
      </c>
      <c r="AR4" s="7" t="s">
        <v>72</v>
      </c>
      <c r="AS4" s="7" t="s">
        <v>73</v>
      </c>
      <c r="AT4" s="7" t="s">
        <v>74</v>
      </c>
      <c r="AU4" s="7" t="s">
        <v>75</v>
      </c>
      <c r="AV4" s="7" t="s">
        <v>76</v>
      </c>
      <c r="AW4" s="7" t="s">
        <v>77</v>
      </c>
      <c r="AX4" s="7" t="s">
        <v>78</v>
      </c>
      <c r="AY4" s="7" t="s">
        <v>79</v>
      </c>
      <c r="AZ4" s="7" t="s">
        <v>80</v>
      </c>
      <c r="BA4" s="7" t="s">
        <v>81</v>
      </c>
      <c r="BB4" s="7" t="s">
        <v>82</v>
      </c>
      <c r="BC4" s="7" t="s">
        <v>83</v>
      </c>
      <c r="BD4" s="7" t="s">
        <v>84</v>
      </c>
      <c r="BE4" s="7" t="s">
        <v>85</v>
      </c>
      <c r="BF4" s="7" t="s">
        <v>86</v>
      </c>
      <c r="BG4" s="7" t="s">
        <v>87</v>
      </c>
      <c r="BH4" s="7" t="s">
        <v>88</v>
      </c>
      <c r="BI4" s="7" t="s">
        <v>89</v>
      </c>
      <c r="BJ4" s="7" t="s">
        <v>90</v>
      </c>
      <c r="BK4" s="7" t="s">
        <v>91</v>
      </c>
      <c r="BL4" s="7" t="s">
        <v>92</v>
      </c>
      <c r="BM4" s="7" t="s">
        <v>93</v>
      </c>
      <c r="BN4" s="7" t="s">
        <v>94</v>
      </c>
      <c r="BO4" s="7" t="s">
        <v>95</v>
      </c>
      <c r="BP4" s="7" t="s">
        <v>96</v>
      </c>
      <c r="BQ4" s="7" t="s">
        <v>97</v>
      </c>
      <c r="BR4" s="7" t="s">
        <v>98</v>
      </c>
      <c r="BS4" s="7" t="s">
        <v>99</v>
      </c>
      <c r="BT4" s="7" t="s">
        <v>100</v>
      </c>
      <c r="BU4" s="7" t="s">
        <v>101</v>
      </c>
      <c r="BV4" s="7" t="s">
        <v>102</v>
      </c>
      <c r="BW4" s="7" t="s">
        <v>103</v>
      </c>
      <c r="BX4" s="7" t="s">
        <v>104</v>
      </c>
      <c r="BY4" s="7" t="s">
        <v>105</v>
      </c>
      <c r="BZ4" s="7" t="s">
        <v>106</v>
      </c>
      <c r="CA4" s="7" t="s">
        <v>107</v>
      </c>
      <c r="CB4" s="7" t="s">
        <v>108</v>
      </c>
      <c r="CC4" s="7" t="s">
        <v>109</v>
      </c>
      <c r="CD4" s="7" t="s">
        <v>110</v>
      </c>
      <c r="CE4" s="7" t="s">
        <v>111</v>
      </c>
      <c r="CF4" s="7" t="s">
        <v>112</v>
      </c>
      <c r="CG4" s="7" t="s">
        <v>113</v>
      </c>
      <c r="CH4" s="7" t="s">
        <v>114</v>
      </c>
      <c r="CI4" s="7" t="s">
        <v>115</v>
      </c>
      <c r="CJ4" s="7" t="s">
        <v>116</v>
      </c>
      <c r="CK4" s="7" t="s">
        <v>117</v>
      </c>
      <c r="CL4" s="7" t="s">
        <v>118</v>
      </c>
      <c r="CM4" s="7" t="s">
        <v>119</v>
      </c>
      <c r="CN4" s="7" t="s">
        <v>120</v>
      </c>
      <c r="CO4" s="7" t="s">
        <v>121</v>
      </c>
      <c r="CP4" s="7" t="s">
        <v>122</v>
      </c>
      <c r="CQ4" s="7" t="s">
        <v>123</v>
      </c>
      <c r="CR4" s="7" t="s">
        <v>124</v>
      </c>
      <c r="CS4" s="7" t="s">
        <v>125</v>
      </c>
      <c r="CT4" s="7" t="s">
        <v>126</v>
      </c>
      <c r="CU4" s="7" t="s">
        <v>127</v>
      </c>
      <c r="CV4" s="7" t="s">
        <v>128</v>
      </c>
      <c r="CW4" s="7" t="s">
        <v>129</v>
      </c>
      <c r="CX4" s="7" t="s">
        <v>130</v>
      </c>
      <c r="CY4" s="7" t="s">
        <v>131</v>
      </c>
      <c r="CZ4" s="7" t="s">
        <v>132</v>
      </c>
      <c r="DA4" s="7" t="s">
        <v>133</v>
      </c>
      <c r="DB4" s="7" t="s">
        <v>134</v>
      </c>
    </row>
    <row r="5" spans="1:106" x14ac:dyDescent="0.25">
      <c r="A5" s="1"/>
      <c r="B5" s="5" t="s">
        <v>135</v>
      </c>
      <c r="C5" s="8" t="s">
        <v>136</v>
      </c>
      <c r="D5" s="8" t="s">
        <v>137</v>
      </c>
      <c r="E5" s="8" t="s">
        <v>138</v>
      </c>
      <c r="F5" s="8" t="s">
        <v>139</v>
      </c>
      <c r="G5" s="8" t="s">
        <v>140</v>
      </c>
      <c r="H5" s="8" t="s">
        <v>141</v>
      </c>
      <c r="I5" s="8" t="s">
        <v>142</v>
      </c>
      <c r="J5" s="8" t="s">
        <v>143</v>
      </c>
      <c r="K5" s="8" t="s">
        <v>144</v>
      </c>
      <c r="L5" s="8" t="s">
        <v>145</v>
      </c>
      <c r="M5" s="8" t="s">
        <v>146</v>
      </c>
      <c r="N5" s="8" t="s">
        <v>147</v>
      </c>
      <c r="O5" s="8" t="s">
        <v>148</v>
      </c>
      <c r="P5" s="8" t="s">
        <v>149</v>
      </c>
      <c r="Q5" s="8" t="s">
        <v>150</v>
      </c>
      <c r="R5" s="8" t="s">
        <v>151</v>
      </c>
      <c r="S5" s="8" t="s">
        <v>152</v>
      </c>
      <c r="T5" s="8" t="s">
        <v>153</v>
      </c>
      <c r="U5" s="8" t="s">
        <v>154</v>
      </c>
      <c r="V5" s="8" t="s">
        <v>155</v>
      </c>
      <c r="W5" s="8" t="s">
        <v>156</v>
      </c>
      <c r="X5" s="8" t="s">
        <v>157</v>
      </c>
      <c r="Y5" s="8" t="s">
        <v>158</v>
      </c>
      <c r="Z5" s="8" t="s">
        <v>159</v>
      </c>
      <c r="AA5" s="8" t="s">
        <v>160</v>
      </c>
      <c r="AB5" s="8" t="s">
        <v>161</v>
      </c>
      <c r="AC5" s="8" t="s">
        <v>162</v>
      </c>
      <c r="AD5" s="8" t="s">
        <v>163</v>
      </c>
      <c r="AE5" s="8" t="s">
        <v>164</v>
      </c>
      <c r="AF5" s="8" t="s">
        <v>165</v>
      </c>
      <c r="AG5" s="8" t="s">
        <v>166</v>
      </c>
      <c r="AH5" s="8" t="s">
        <v>167</v>
      </c>
      <c r="AI5" s="8" t="s">
        <v>168</v>
      </c>
      <c r="AJ5" s="8" t="s">
        <v>169</v>
      </c>
      <c r="AK5" s="8" t="s">
        <v>170</v>
      </c>
      <c r="AL5" s="8" t="s">
        <v>171</v>
      </c>
      <c r="AM5" s="8" t="s">
        <v>172</v>
      </c>
      <c r="AN5" s="8" t="s">
        <v>173</v>
      </c>
      <c r="AO5" s="8" t="s">
        <v>174</v>
      </c>
      <c r="AP5" s="8" t="s">
        <v>175</v>
      </c>
      <c r="AQ5" s="8" t="s">
        <v>176</v>
      </c>
      <c r="AR5" s="8" t="s">
        <v>177</v>
      </c>
      <c r="AS5" s="8" t="s">
        <v>178</v>
      </c>
      <c r="AT5" s="8" t="s">
        <v>179</v>
      </c>
      <c r="AU5" s="8" t="s">
        <v>180</v>
      </c>
      <c r="AV5" s="8" t="s">
        <v>181</v>
      </c>
      <c r="AW5" s="8" t="s">
        <v>182</v>
      </c>
      <c r="AX5" s="8" t="s">
        <v>183</v>
      </c>
      <c r="AY5" s="8" t="s">
        <v>184</v>
      </c>
      <c r="AZ5" s="8" t="s">
        <v>185</v>
      </c>
      <c r="BA5" s="8" t="s">
        <v>186</v>
      </c>
      <c r="BB5" s="8" t="s">
        <v>187</v>
      </c>
      <c r="BC5" s="8" t="s">
        <v>188</v>
      </c>
      <c r="BD5" s="8" t="s">
        <v>189</v>
      </c>
      <c r="BE5" s="8" t="s">
        <v>190</v>
      </c>
      <c r="BF5" s="8" t="s">
        <v>191</v>
      </c>
      <c r="BG5" s="8" t="s">
        <v>192</v>
      </c>
      <c r="BH5" s="8" t="s">
        <v>193</v>
      </c>
      <c r="BI5" s="8" t="s">
        <v>194</v>
      </c>
      <c r="BJ5" s="8" t="s">
        <v>195</v>
      </c>
      <c r="BK5" s="8" t="s">
        <v>196</v>
      </c>
      <c r="BL5" s="8" t="s">
        <v>197</v>
      </c>
      <c r="BM5" s="8" t="s">
        <v>198</v>
      </c>
      <c r="BN5" s="8" t="s">
        <v>199</v>
      </c>
      <c r="BO5" s="8" t="s">
        <v>200</v>
      </c>
      <c r="BP5" s="8" t="s">
        <v>201</v>
      </c>
      <c r="BQ5" s="8" t="s">
        <v>202</v>
      </c>
      <c r="BR5" s="8" t="s">
        <v>203</v>
      </c>
      <c r="BS5" s="8" t="s">
        <v>204</v>
      </c>
      <c r="BT5" s="8" t="s">
        <v>205</v>
      </c>
      <c r="BU5" s="8" t="s">
        <v>206</v>
      </c>
      <c r="BV5" s="8" t="s">
        <v>207</v>
      </c>
      <c r="BW5" s="8" t="s">
        <v>208</v>
      </c>
      <c r="BX5" s="8" t="s">
        <v>209</v>
      </c>
      <c r="BY5" s="8" t="s">
        <v>210</v>
      </c>
      <c r="BZ5" s="8" t="s">
        <v>211</v>
      </c>
      <c r="CA5" s="8" t="s">
        <v>212</v>
      </c>
      <c r="CB5" s="8" t="s">
        <v>213</v>
      </c>
      <c r="CC5" s="8" t="s">
        <v>214</v>
      </c>
      <c r="CD5" s="8" t="s">
        <v>215</v>
      </c>
      <c r="CE5" s="8" t="s">
        <v>216</v>
      </c>
      <c r="CF5" s="8" t="s">
        <v>217</v>
      </c>
      <c r="CG5" s="8" t="s">
        <v>218</v>
      </c>
      <c r="CH5" s="8" t="s">
        <v>219</v>
      </c>
      <c r="CI5" s="8" t="s">
        <v>220</v>
      </c>
      <c r="CJ5" s="8" t="s">
        <v>221</v>
      </c>
      <c r="CK5" s="8" t="s">
        <v>222</v>
      </c>
      <c r="CL5" s="8" t="s">
        <v>223</v>
      </c>
      <c r="CM5" s="8" t="s">
        <v>224</v>
      </c>
      <c r="CN5" s="8" t="s">
        <v>225</v>
      </c>
      <c r="CO5" s="8" t="s">
        <v>226</v>
      </c>
      <c r="CP5" s="8" t="s">
        <v>227</v>
      </c>
      <c r="CQ5" s="8" t="s">
        <v>228</v>
      </c>
      <c r="CR5" s="8" t="s">
        <v>229</v>
      </c>
      <c r="CS5" s="8" t="s">
        <v>230</v>
      </c>
      <c r="CT5" s="8" t="s">
        <v>231</v>
      </c>
      <c r="CU5" s="8" t="s">
        <v>232</v>
      </c>
      <c r="CV5" s="8" t="s">
        <v>233</v>
      </c>
      <c r="CW5" s="8" t="s">
        <v>234</v>
      </c>
      <c r="CX5" s="8" t="s">
        <v>235</v>
      </c>
      <c r="CY5" s="8" t="s">
        <v>236</v>
      </c>
      <c r="CZ5" s="8" t="s">
        <v>237</v>
      </c>
      <c r="DA5" s="8" t="s">
        <v>238</v>
      </c>
      <c r="DB5" s="8" t="s">
        <v>239</v>
      </c>
    </row>
    <row r="6" spans="1:106" x14ac:dyDescent="0.25">
      <c r="A6" s="9" t="s">
        <v>240</v>
      </c>
      <c r="B6" s="10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</row>
    <row r="7" ht="18" customHeight="1" spans="1:106" x14ac:dyDescent="0.25">
      <c r="A7" s="12" t="s">
        <v>241</v>
      </c>
      <c r="B7" s="13"/>
      <c r="C7" s="14">
        <v>41</v>
      </c>
      <c r="D7" s="14">
        <v>41</v>
      </c>
      <c r="E7" s="14">
        <v>41</v>
      </c>
      <c r="F7" s="14">
        <v>41</v>
      </c>
      <c r="G7" s="14">
        <v>41</v>
      </c>
      <c r="H7" s="14">
        <v>41</v>
      </c>
      <c r="I7" s="14">
        <v>41</v>
      </c>
      <c r="J7" s="14">
        <v>41</v>
      </c>
      <c r="K7" s="14">
        <v>41</v>
      </c>
      <c r="L7" s="14">
        <v>37</v>
      </c>
      <c r="M7" s="14">
        <v>37</v>
      </c>
      <c r="N7" s="14">
        <v>34</v>
      </c>
      <c r="O7" s="14">
        <v>34</v>
      </c>
      <c r="P7" s="14">
        <v>34</v>
      </c>
      <c r="Q7" s="14">
        <v>34</v>
      </c>
      <c r="R7" s="14">
        <v>34</v>
      </c>
      <c r="S7" s="14">
        <v>34</v>
      </c>
      <c r="T7" s="14">
        <v>34</v>
      </c>
      <c r="U7" s="14">
        <v>34</v>
      </c>
      <c r="V7" s="14">
        <v>34</v>
      </c>
      <c r="W7" s="14">
        <v>34</v>
      </c>
      <c r="X7" s="14">
        <v>34</v>
      </c>
      <c r="Y7" s="14">
        <v>34</v>
      </c>
      <c r="Z7" s="14">
        <v>34</v>
      </c>
      <c r="AA7" s="14">
        <v>34</v>
      </c>
      <c r="AB7" s="14">
        <v>34</v>
      </c>
      <c r="AC7" s="14">
        <v>34</v>
      </c>
      <c r="AD7" s="14">
        <v>34</v>
      </c>
      <c r="AE7" s="14">
        <v>34</v>
      </c>
      <c r="AF7" s="14">
        <v>34</v>
      </c>
      <c r="AG7" s="14">
        <v>34</v>
      </c>
      <c r="AH7" s="14">
        <v>34</v>
      </c>
      <c r="AI7" s="14">
        <v>34</v>
      </c>
      <c r="AJ7" s="14">
        <v>34</v>
      </c>
      <c r="AK7" s="14">
        <v>34</v>
      </c>
      <c r="AL7" s="14">
        <v>34</v>
      </c>
      <c r="AM7" s="14">
        <v>34</v>
      </c>
      <c r="AN7" s="14">
        <v>34</v>
      </c>
      <c r="AO7" s="14">
        <v>34</v>
      </c>
      <c r="AP7" s="14">
        <v>34</v>
      </c>
      <c r="AQ7" s="14">
        <v>34</v>
      </c>
      <c r="AR7" s="14">
        <v>34</v>
      </c>
      <c r="AS7" s="14">
        <v>34</v>
      </c>
      <c r="AT7" s="14">
        <v>34</v>
      </c>
      <c r="AU7" s="14">
        <v>34</v>
      </c>
      <c r="AV7" s="14">
        <v>34</v>
      </c>
      <c r="AW7" s="14">
        <v>34</v>
      </c>
      <c r="AX7" s="14">
        <v>34</v>
      </c>
      <c r="AY7" s="14">
        <v>34</v>
      </c>
      <c r="AZ7" s="14">
        <v>34</v>
      </c>
      <c r="BA7" s="14">
        <v>34</v>
      </c>
      <c r="BB7" s="14">
        <v>34</v>
      </c>
      <c r="BC7" s="14">
        <v>34</v>
      </c>
      <c r="BD7" s="14">
        <v>34</v>
      </c>
      <c r="BE7" s="14">
        <v>34</v>
      </c>
      <c r="BF7" s="14">
        <v>34</v>
      </c>
      <c r="BG7" s="14">
        <v>34</v>
      </c>
      <c r="BH7" s="14">
        <v>34</v>
      </c>
      <c r="BI7" s="14">
        <v>34</v>
      </c>
      <c r="BJ7" s="14">
        <v>34</v>
      </c>
      <c r="BK7" s="14">
        <v>34</v>
      </c>
      <c r="BL7" s="14">
        <v>34</v>
      </c>
      <c r="BM7" s="14">
        <v>34</v>
      </c>
      <c r="BN7" s="14">
        <v>34</v>
      </c>
      <c r="BO7" s="14">
        <v>34</v>
      </c>
      <c r="BP7" s="14">
        <v>30</v>
      </c>
      <c r="BQ7" s="14">
        <v>30</v>
      </c>
      <c r="BR7" s="14">
        <v>30</v>
      </c>
      <c r="BS7" s="14">
        <v>30</v>
      </c>
      <c r="BT7" s="14">
        <v>30</v>
      </c>
      <c r="BU7" s="14">
        <v>30</v>
      </c>
      <c r="BV7" s="14">
        <v>30</v>
      </c>
      <c r="BW7" s="14">
        <v>30</v>
      </c>
      <c r="BX7" s="14">
        <v>30</v>
      </c>
      <c r="BY7" s="14">
        <v>30</v>
      </c>
      <c r="BZ7" s="14">
        <v>30</v>
      </c>
      <c r="CA7" s="14">
        <v>30</v>
      </c>
      <c r="CB7" s="14">
        <v>30</v>
      </c>
      <c r="CC7" s="14">
        <v>30</v>
      </c>
      <c r="CD7" s="14">
        <v>30</v>
      </c>
      <c r="CE7" s="14">
        <v>30</v>
      </c>
      <c r="CF7" s="14">
        <v>30</v>
      </c>
      <c r="CG7" s="14">
        <v>30</v>
      </c>
      <c r="CH7" s="14">
        <v>30</v>
      </c>
      <c r="CI7" s="14">
        <v>30</v>
      </c>
      <c r="CJ7" s="14">
        <v>30</v>
      </c>
      <c r="CK7" s="14">
        <v>30</v>
      </c>
      <c r="CL7" s="14">
        <v>30</v>
      </c>
      <c r="CM7" s="14">
        <v>30</v>
      </c>
      <c r="CN7" s="14">
        <v>30</v>
      </c>
      <c r="CO7" s="14">
        <v>30</v>
      </c>
      <c r="CP7" s="14">
        <v>30</v>
      </c>
      <c r="CQ7" s="14">
        <v>30</v>
      </c>
      <c r="CR7" s="14">
        <v>30</v>
      </c>
      <c r="CS7" s="14">
        <v>30</v>
      </c>
      <c r="CT7" s="14">
        <v>30</v>
      </c>
      <c r="CU7" s="14">
        <v>30</v>
      </c>
      <c r="CV7" s="14">
        <v>30</v>
      </c>
      <c r="CW7" s="14">
        <v>30</v>
      </c>
      <c r="CX7" s="14">
        <v>30</v>
      </c>
      <c r="CY7" s="14">
        <v>30</v>
      </c>
      <c r="CZ7" s="14">
        <v>30</v>
      </c>
      <c r="DA7" s="14">
        <v>30</v>
      </c>
      <c r="DB7" s="14">
        <v>30</v>
      </c>
    </row>
    <row r="8" ht="18" customHeight="1" spans="1:106" x14ac:dyDescent="0.25">
      <c r="A8" s="12" t="s">
        <v>242</v>
      </c>
      <c r="B8" s="13"/>
      <c r="C8" s="14">
        <v>1368</v>
      </c>
      <c r="D8" s="14">
        <v>1367</v>
      </c>
      <c r="E8" s="14">
        <v>1366</v>
      </c>
      <c r="F8" s="14">
        <v>1367</v>
      </c>
      <c r="G8" s="14">
        <v>1367</v>
      </c>
      <c r="H8" s="14">
        <v>1367</v>
      </c>
      <c r="I8" s="14">
        <v>1367</v>
      </c>
      <c r="J8" s="14">
        <v>1370</v>
      </c>
      <c r="K8" s="14">
        <v>1368</v>
      </c>
      <c r="L8" s="14">
        <v>1233</v>
      </c>
      <c r="M8" s="14">
        <v>1235</v>
      </c>
      <c r="N8" s="14">
        <v>1134</v>
      </c>
      <c r="O8" s="14">
        <v>1135</v>
      </c>
      <c r="P8" s="14">
        <v>1135</v>
      </c>
      <c r="Q8" s="14">
        <v>1134</v>
      </c>
      <c r="R8" s="14">
        <v>1134</v>
      </c>
      <c r="S8" s="14">
        <v>1133</v>
      </c>
      <c r="T8" s="14">
        <v>1135</v>
      </c>
      <c r="U8" s="14">
        <v>1132</v>
      </c>
      <c r="V8" s="14">
        <v>1132</v>
      </c>
      <c r="W8" s="14">
        <v>1132</v>
      </c>
      <c r="X8" s="14">
        <v>1132</v>
      </c>
      <c r="Y8" s="14">
        <v>1132</v>
      </c>
      <c r="Z8" s="14">
        <v>1132</v>
      </c>
      <c r="AA8" s="14">
        <v>1132</v>
      </c>
      <c r="AB8" s="14">
        <v>1132</v>
      </c>
      <c r="AC8" s="14">
        <v>1133</v>
      </c>
      <c r="AD8" s="14">
        <v>1135</v>
      </c>
      <c r="AE8" s="14">
        <v>1135</v>
      </c>
      <c r="AF8" s="14">
        <v>1135</v>
      </c>
      <c r="AG8" s="14">
        <v>1135</v>
      </c>
      <c r="AH8" s="14">
        <v>1134</v>
      </c>
      <c r="AI8" s="14">
        <v>1134</v>
      </c>
      <c r="AJ8" s="14">
        <v>1134</v>
      </c>
      <c r="AK8" s="14">
        <v>1134</v>
      </c>
      <c r="AL8" s="14">
        <v>1142</v>
      </c>
      <c r="AM8" s="14">
        <v>1142</v>
      </c>
      <c r="AN8" s="14">
        <v>1142</v>
      </c>
      <c r="AO8" s="14">
        <v>1142</v>
      </c>
      <c r="AP8" s="14">
        <v>1142</v>
      </c>
      <c r="AQ8" s="14">
        <v>1142</v>
      </c>
      <c r="AR8" s="14">
        <v>1142</v>
      </c>
      <c r="AS8" s="14">
        <v>1142</v>
      </c>
      <c r="AT8" s="14">
        <v>1215</v>
      </c>
      <c r="AU8" s="14">
        <v>1216</v>
      </c>
      <c r="AV8" s="14">
        <v>1216</v>
      </c>
      <c r="AW8" s="14">
        <v>1216</v>
      </c>
      <c r="AX8" s="14">
        <v>1216</v>
      </c>
      <c r="AY8" s="14">
        <v>1144</v>
      </c>
      <c r="AZ8" s="14">
        <v>1144</v>
      </c>
      <c r="BA8" s="14">
        <v>1144</v>
      </c>
      <c r="BB8" s="14">
        <v>1144</v>
      </c>
      <c r="BC8" s="14">
        <v>1144</v>
      </c>
      <c r="BD8" s="14">
        <v>1141</v>
      </c>
      <c r="BE8" s="14">
        <v>1141</v>
      </c>
      <c r="BF8" s="14">
        <v>1141</v>
      </c>
      <c r="BG8" s="14">
        <v>1140</v>
      </c>
      <c r="BH8" s="14">
        <v>1141</v>
      </c>
      <c r="BI8" s="14">
        <v>1141</v>
      </c>
      <c r="BJ8" s="14">
        <v>1141</v>
      </c>
      <c r="BK8" s="14">
        <v>1141</v>
      </c>
      <c r="BL8" s="14">
        <v>1158</v>
      </c>
      <c r="BM8" s="14">
        <v>1157</v>
      </c>
      <c r="BN8" s="14">
        <v>1157</v>
      </c>
      <c r="BO8" s="14">
        <v>1157</v>
      </c>
      <c r="BP8" s="14">
        <v>1022</v>
      </c>
      <c r="BQ8" s="14">
        <v>1022</v>
      </c>
      <c r="BR8" s="14">
        <v>1022</v>
      </c>
      <c r="BS8" s="14">
        <v>1022</v>
      </c>
      <c r="BT8" s="14">
        <v>1024</v>
      </c>
      <c r="BU8" s="14">
        <v>1023</v>
      </c>
      <c r="BV8" s="14">
        <v>1023</v>
      </c>
      <c r="BW8" s="14">
        <v>1023</v>
      </c>
      <c r="BX8" s="14">
        <v>1023</v>
      </c>
      <c r="BY8" s="14">
        <v>1021</v>
      </c>
      <c r="BZ8" s="14">
        <v>1021</v>
      </c>
      <c r="CA8" s="14">
        <v>1021</v>
      </c>
      <c r="CB8" s="14">
        <v>1021</v>
      </c>
      <c r="CC8" s="14">
        <v>1022</v>
      </c>
      <c r="CD8" s="14">
        <v>984</v>
      </c>
      <c r="CE8" s="14">
        <v>985</v>
      </c>
      <c r="CF8" s="14">
        <v>984</v>
      </c>
      <c r="CG8" s="14">
        <v>985</v>
      </c>
      <c r="CH8" s="14">
        <v>988</v>
      </c>
      <c r="CI8" s="14">
        <v>989</v>
      </c>
      <c r="CJ8" s="14">
        <v>989</v>
      </c>
      <c r="CK8" s="14">
        <v>989</v>
      </c>
      <c r="CL8" s="14">
        <v>990</v>
      </c>
      <c r="CM8" s="14">
        <v>991</v>
      </c>
      <c r="CN8" s="14">
        <v>990</v>
      </c>
      <c r="CO8" s="14">
        <v>990</v>
      </c>
      <c r="CP8" s="14">
        <v>990</v>
      </c>
      <c r="CQ8" s="14">
        <v>989</v>
      </c>
      <c r="CR8" s="14">
        <v>990</v>
      </c>
      <c r="CS8" s="14">
        <v>990</v>
      </c>
      <c r="CT8" s="14">
        <v>989</v>
      </c>
      <c r="CU8" s="14">
        <v>990</v>
      </c>
      <c r="CV8" s="14">
        <v>990</v>
      </c>
      <c r="CW8" s="14">
        <v>990</v>
      </c>
      <c r="CX8" s="14">
        <v>990</v>
      </c>
      <c r="CY8" s="14">
        <v>987</v>
      </c>
      <c r="CZ8" s="14">
        <v>993</v>
      </c>
      <c r="DA8" s="14">
        <v>993</v>
      </c>
      <c r="DB8" s="14">
        <v>993</v>
      </c>
    </row>
    <row r="9" ht="18" customHeight="1" spans="1:106" x14ac:dyDescent="0.25">
      <c r="A9" s="12" t="s">
        <v>243</v>
      </c>
      <c r="B9" s="13"/>
      <c r="C9" s="15">
        <f>=IFERROR(ROUND((C8/(C47*C48))/(1-C29)/C45,0),"")</f>
        <v>41</v>
      </c>
      <c r="D9" s="15">
        <f>=IFERROR(ROUND((D8/(D47*D48))/(1-D29)/D45,0),"")</f>
        <v>41</v>
      </c>
      <c r="E9" s="15">
        <f>=IFERROR(ROUND((E8/(E47*E48))/(1-E29)/E45,0),"")</f>
        <v>39</v>
      </c>
      <c r="F9" s="15">
        <f>=IFERROR(ROUND((F8/(F47*F48))/(1-F29)/F45,0),"")</f>
        <v>39</v>
      </c>
      <c r="G9" s="15">
        <f>=IFERROR(ROUND((G8/(G47*G48))/(1-G29)/G45,0),"")</f>
        <v>39</v>
      </c>
      <c r="H9" s="15">
        <f>=IFERROR(ROUND((H8/(H47*H48))/(1-H29)/H45,0),"")</f>
        <v>39</v>
      </c>
      <c r="I9" s="15">
        <f>=IFERROR(ROUND((I8/(I47*I48))/(1-I29)/I45,0),"")</f>
        <v>39</v>
      </c>
      <c r="J9" s="15">
        <f>=IFERROR(ROUND((J8/(J47*J48))/(1-J29)/J45,0),"")</f>
        <v>39</v>
      </c>
      <c r="K9" s="15">
        <f>=IFERROR(ROUND((K8/(K47*K48))/(1-K29)/K45,0),"")</f>
        <v>39</v>
      </c>
      <c r="L9" s="15">
        <f>=IFERROR(ROUND((L8/(L47*L48))/(1-L29)/L45,0),"")</f>
        <v>37</v>
      </c>
      <c r="M9" s="15">
        <f>=IFERROR(ROUND((M8/(M47*M48))/(1-M29)/M45,0),"")</f>
        <v>37</v>
      </c>
      <c r="N9" s="15">
        <f>=IFERROR(ROUND((N8/(N47*N48))/(1-N29)/N45,0),"")</f>
        <v>34</v>
      </c>
      <c r="O9" s="15">
        <f>=IFERROR(ROUND((O8/(O47*O48))/(1-O29)/O45,0),"")</f>
        <v>34</v>
      </c>
      <c r="P9" s="15">
        <f>=IFERROR(ROUND((P8/(P47*P48))/(1-P29)/P45,0),"")</f>
        <v>34</v>
      </c>
      <c r="Q9" s="15">
        <f>=IFERROR(ROUND((Q8/(Q47*Q48))/(1-Q29)/Q45,0),"")</f>
        <v>34</v>
      </c>
      <c r="R9" s="15">
        <f>=IFERROR(ROUND((R8/(R47*R48))/(1-R29)/R45,0),"")</f>
        <v>34</v>
      </c>
      <c r="S9" s="15">
        <f>=IFERROR(ROUND((S8/(S47*S48))/(1-S29)/S45,0),"")</f>
        <v>34</v>
      </c>
      <c r="T9" s="15">
        <f>=IFERROR(ROUND((T8/(T47*T48))/(1-T29)/T45,0),"")</f>
        <v>34</v>
      </c>
      <c r="U9" s="15">
        <f>=IFERROR(ROUND((U8/(U47*U48))/(1-U29)/U45,0),"")</f>
        <v>34</v>
      </c>
      <c r="V9" s="15">
        <f>=IFERROR(ROUND((V8/(V47*V48))/(1-V29)/V45,0),"")</f>
        <v>34</v>
      </c>
      <c r="W9" s="15">
        <f>=IFERROR(ROUND((W8/(W47*W48))/(1-W29)/W45,0),"")</f>
        <v>34</v>
      </c>
      <c r="X9" s="15">
        <f>=IFERROR(ROUND((X8/(X47*X48))/(1-X29)/X45,0),"")</f>
        <v>34</v>
      </c>
      <c r="Y9" s="15">
        <f>=IFERROR(ROUND((Y8/(Y47*Y48))/(1-Y29)/Y45,0),"")</f>
        <v>34</v>
      </c>
      <c r="Z9" s="15">
        <f>=IFERROR(ROUND((Z8/(Z47*Z48))/(1-Z29)/Z45,0),"")</f>
        <v>34</v>
      </c>
      <c r="AA9" s="15">
        <f>=IFERROR(ROUND((AA8/(AA47*AA48))/(1-AA29)/AA45,0),"")</f>
        <v>34</v>
      </c>
      <c r="AB9" s="15">
        <f>=IFERROR(ROUND((AB8/(AB47*AB48))/(1-AB29)/AB45,0),"")</f>
        <v>34</v>
      </c>
      <c r="AC9" s="15">
        <f>=IFERROR(ROUND((AC8/(AC47*AC48))/(1-AC29)/AC45,0),"")</f>
        <v>34</v>
      </c>
      <c r="AD9" s="15">
        <f>=IFERROR(ROUND((AD8/(AD47*AD48))/(1-AD29)/AD45,0),"")</f>
        <v>34</v>
      </c>
      <c r="AE9" s="15">
        <f>=IFERROR(ROUND((AE8/(AE47*AE48))/(1-AE29)/AE45,0),"")</f>
        <v>34</v>
      </c>
      <c r="AF9" s="15">
        <f>=IFERROR(ROUND((AF8/(AF47*AF48))/(1-AF29)/AF45,0),"")</f>
        <v>34</v>
      </c>
      <c r="AG9" s="15">
        <f>=IFERROR(ROUND((AG8/(AG47*AG48))/(1-AG29)/AG45,0),"")</f>
        <v>34</v>
      </c>
      <c r="AH9" s="15">
        <f>=IFERROR(ROUND((AH8/(AH47*AH48))/(1-AH29)/AH45,0),"")</f>
        <v>34</v>
      </c>
      <c r="AI9" s="15">
        <f>=IFERROR(ROUND((AI8/(AI47*AI48))/(1-AI29)/AI45,0),"")</f>
        <v>34</v>
      </c>
      <c r="AJ9" s="15">
        <f>=IFERROR(ROUND((AJ8/(AJ47*AJ48))/(1-AJ29)/AJ45,0),"")</f>
        <v>34</v>
      </c>
      <c r="AK9" s="15">
        <f>=IFERROR(ROUND((AK8/(AK47*AK48))/(1-AK29)/AK45,0),"")</f>
        <v>34</v>
      </c>
      <c r="AL9" s="15">
        <f>=IFERROR(ROUND((AL8/(AL47*AL48))/(1-AL29)/AL45,0),"")</f>
        <v>34</v>
      </c>
      <c r="AM9" s="15">
        <f>=IFERROR(ROUND((AM8/(AM47*AM48))/(1-AM29)/AM45,0),"")</f>
        <v>34</v>
      </c>
      <c r="AN9" s="15">
        <f>=IFERROR(ROUND((AN8/(AN47*AN48))/(1-AN29)/AN45,0),"")</f>
        <v>34</v>
      </c>
      <c r="AO9" s="15">
        <f>=IFERROR(ROUND((AO8/(AO47*AO48))/(1-AO29)/AO45,0),"")</f>
        <v>34</v>
      </c>
      <c r="AP9" s="15">
        <f>=IFERROR(ROUND((AP8/(AP47*AP48))/(1-AP29)/AP45,0),"")</f>
        <v>33</v>
      </c>
      <c r="AQ9" s="15">
        <f>=IFERROR(ROUND((AQ8/(AQ47*AQ48))/(1-AQ29)/AQ45,0),"")</f>
        <v>33</v>
      </c>
      <c r="AR9" s="15">
        <f>=IFERROR(ROUND((AR8/(AR47*AR48))/(1-AR29)/AR45,0),"")</f>
        <v>33</v>
      </c>
      <c r="AS9" s="15">
        <f>=IFERROR(ROUND((AS8/(AS47*AS48))/(1-AS29)/AS45,0),"")</f>
        <v>33</v>
      </c>
      <c r="AT9" s="15">
        <f>=IFERROR(ROUND((AT8/(AT47*AT48))/(1-AT29)/AT45,0),"")</f>
        <v>35</v>
      </c>
      <c r="AU9" s="15">
        <f>=IFERROR(ROUND((AU8/(AU47*AU48))/(1-AU29)/AU45,0),"")</f>
        <v>35</v>
      </c>
      <c r="AV9" s="15">
        <f>=IFERROR(ROUND((AV8/(AV47*AV48))/(1-AV29)/AV45,0),"")</f>
        <v>35</v>
      </c>
      <c r="AW9" s="15">
        <f>=IFERROR(ROUND((AW8/(AW47*AW48))/(1-AW29)/AW45,0),"")</f>
        <v>35</v>
      </c>
      <c r="AX9" s="15">
        <f>=IFERROR(ROUND((AX8/(AX47*AX48))/(1-AX29)/AX45,0),"")</f>
        <v>35</v>
      </c>
      <c r="AY9" s="15">
        <f>=IFERROR(ROUND((AY8/(AY47*AY48))/(1-AY29)/AY45,0),"")</f>
        <v>33</v>
      </c>
      <c r="AZ9" s="15">
        <f>=IFERROR(ROUND((AZ8/(AZ47*AZ48))/(1-AZ29)/AZ45,0),"")</f>
        <v>33</v>
      </c>
      <c r="BA9" s="15">
        <f>=IFERROR(ROUND((BA8/(BA47*BA48))/(1-BA29)/BA45,0),"")</f>
        <v>33</v>
      </c>
      <c r="BB9" s="15">
        <f>=IFERROR(ROUND((BB8/(BB47*BB48))/(1-BB29)/BB45,0),"")</f>
        <v>33</v>
      </c>
      <c r="BC9" s="15">
        <f>=IFERROR(ROUND((BC8/(BC47*BC48))/(1-BC29)/BC45,0),"")</f>
        <v>33</v>
      </c>
      <c r="BD9" s="15">
        <f>=IFERROR(ROUND((BD8/(BD47*BD48))/(1-BD29)/BD45,0),"")</f>
        <v>33</v>
      </c>
      <c r="BE9" s="15">
        <f>=IFERROR(ROUND((BE8/(BE47*BE48))/(1-BE29)/BE45,0),"")</f>
        <v>33</v>
      </c>
      <c r="BF9" s="15">
        <f>=IFERROR(ROUND((BF8/(BF47*BF48))/(1-BF29)/BF45,0),"")</f>
        <v>33</v>
      </c>
      <c r="BG9" s="15">
        <f>=IFERROR(ROUND((BG8/(BG47*BG48))/(1-BG29)/BG45,0),"")</f>
        <v>33</v>
      </c>
      <c r="BH9" s="15">
        <f>=IFERROR(ROUND((BH8/(BH47*BH48))/(1-BH29)/BH45,0),"")</f>
        <v>33</v>
      </c>
      <c r="BI9" s="15">
        <f>=IFERROR(ROUND((BI8/(BI47*BI48))/(1-BI29)/BI45,0),"")</f>
        <v>33</v>
      </c>
      <c r="BJ9" s="15">
        <f>=IFERROR(ROUND((BJ8/(BJ47*BJ48))/(1-BJ29)/BJ45,0),"")</f>
        <v>33</v>
      </c>
      <c r="BK9" s="15">
        <f>=IFERROR(ROUND((BK8/(BK47*BK48))/(1-BK29)/BK45,0),"")</f>
        <v>33</v>
      </c>
      <c r="BL9" s="15">
        <f>=IFERROR(ROUND((BL8/(BL47*BL48))/(1-BL29)/BL45,0),"")</f>
        <v>34</v>
      </c>
      <c r="BM9" s="15">
        <f>=IFERROR(ROUND((BM8/(BM47*BM48))/(1-BM29)/BM45,0),"")</f>
        <v>34</v>
      </c>
      <c r="BN9" s="15">
        <f>=IFERROR(ROUND((BN8/(BN47*BN48))/(1-BN29)/BN45,0),"")</f>
        <v>34</v>
      </c>
      <c r="BO9" s="15">
        <f>=IFERROR(ROUND((BO8/(BO47*BO48))/(1-BO29)/BO45,0),"")</f>
        <v>34</v>
      </c>
      <c r="BP9" s="15">
        <f>=IFERROR(ROUND((BP8/(BP47*BP48))/(1-BP29)/BP45,0),"")</f>
        <v>30</v>
      </c>
      <c r="BQ9" s="15">
        <f>=IFERROR(ROUND((BQ8/(BQ47*BQ48))/(1-BQ29)/BQ45,0),"")</f>
        <v>30</v>
      </c>
      <c r="BR9" s="15">
        <f>=IFERROR(ROUND((BR8/(BR47*BR48))/(1-BR29)/BR45,0),"")</f>
        <v>30</v>
      </c>
      <c r="BS9" s="15">
        <f>=IFERROR(ROUND((BS8/(BS47*BS48))/(1-BS29)/BS45,0),"")</f>
        <v>30</v>
      </c>
      <c r="BT9" s="15">
        <f>=IFERROR(ROUND((BT8/(BT47*BT48))/(1-BT29)/BT45,0),"")</f>
        <v>30</v>
      </c>
      <c r="BU9" s="15">
        <f>=IFERROR(ROUND((BU8/(BU47*BU48))/(1-BU29)/BU45,0),"")</f>
        <v>30</v>
      </c>
      <c r="BV9" s="15">
        <f>=IFERROR(ROUND((BV8/(BV47*BV48))/(1-BV29)/BV45,0),"")</f>
        <v>30</v>
      </c>
      <c r="BW9" s="15">
        <f>=IFERROR(ROUND((BW8/(BW47*BW48))/(1-BW29)/BW45,0),"")</f>
        <v>30</v>
      </c>
      <c r="BX9" s="15">
        <f>=IFERROR(ROUND((BX8/(BX47*BX48))/(1-BX29)/BX45,0),"")</f>
        <v>30</v>
      </c>
      <c r="BY9" s="15">
        <f>=IFERROR(ROUND((BY8/(BY47*BY48))/(1-BY29)/BY45,0),"")</f>
        <v>30</v>
      </c>
      <c r="BZ9" s="15">
        <f>=IFERROR(ROUND((BZ8/(BZ47*BZ48))/(1-BZ29)/BZ45,0),"")</f>
        <v>30</v>
      </c>
      <c r="CA9" s="15">
        <f>=IFERROR(ROUND((CA8/(CA47*CA48))/(1-CA29)/CA45,0),"")</f>
        <v>30</v>
      </c>
      <c r="CB9" s="15">
        <f>=IFERROR(ROUND((CB8/(CB47*CB48))/(1-CB29)/CB45,0),"")</f>
        <v>30</v>
      </c>
      <c r="CC9" s="15">
        <f>=IFERROR(ROUND((CC8/(CC47*CC48))/(1-CC29)/CC45,0),"")</f>
        <v>30</v>
      </c>
      <c r="CD9" s="15">
        <f>=IFERROR(ROUND((CD8/(CD47*CD48))/(1-CD29)/CD45,0),"")</f>
        <v>29</v>
      </c>
      <c r="CE9" s="15">
        <f>=IFERROR(ROUND((CE8/(CE47*CE48))/(1-CE29)/CE45,0),"")</f>
        <v>29</v>
      </c>
      <c r="CF9" s="15">
        <f>=IFERROR(ROUND((CF8/(CF47*CF48))/(1-CF29)/CF45,0),"")</f>
        <v>29</v>
      </c>
      <c r="CG9" s="15">
        <f>=IFERROR(ROUND((CG8/(CG47*CG48))/(1-CG29)/CG45,0),"")</f>
        <v>29</v>
      </c>
      <c r="CH9" s="15">
        <f>=IFERROR(ROUND((CH8/(CH47*CH48))/(1-CH29)/CH45,0),"")</f>
        <v>29</v>
      </c>
      <c r="CI9" s="15">
        <f>=IFERROR(ROUND((CI8/(CI47*CI48))/(1-CI29)/CI45,0),"")</f>
        <v>29</v>
      </c>
      <c r="CJ9" s="15">
        <f>=IFERROR(ROUND((CJ8/(CJ47*CJ48))/(1-CJ29)/CJ45,0),"")</f>
        <v>29</v>
      </c>
      <c r="CK9" s="15">
        <f>=IFERROR(ROUND((CK8/(CK47*CK48))/(1-CK29)/CK45,0),"")</f>
        <v>29</v>
      </c>
      <c r="CL9" s="15">
        <f>=IFERROR(ROUND((CL8/(CL47*CL48))/(1-CL29)/CL45,0),"")</f>
        <v>29</v>
      </c>
      <c r="CM9" s="15">
        <f>=IFERROR(ROUND((CM8/(CM47*CM48))/(1-CM29)/CM45,0),"")</f>
        <v>29</v>
      </c>
      <c r="CN9" s="15">
        <f>=IFERROR(ROUND((CN8/(CN47*CN48))/(1-CN29)/CN45,0),"")</f>
        <v>29</v>
      </c>
      <c r="CO9" s="15">
        <f>=IFERROR(ROUND((CO8/(CO47*CO48))/(1-CO29)/CO45,0),"")</f>
        <v>29</v>
      </c>
      <c r="CP9" s="15">
        <f>=IFERROR(ROUND((CP8/(CP47*CP48))/(1-CP29)/CP45,0),"")</f>
        <v>29</v>
      </c>
      <c r="CQ9" s="15">
        <f>=IFERROR(ROUND((CQ8/(CQ47*CQ48))/(1-CQ29)/CQ45,0),"")</f>
        <v>29</v>
      </c>
      <c r="CR9" s="15">
        <f>=IFERROR(ROUND((CR8/(CR47*CR48))/(1-CR29)/CR45,0),"")</f>
        <v>29</v>
      </c>
      <c r="CS9" s="15">
        <f>=IFERROR(ROUND((CS8/(CS47*CS48))/(1-CS29)/CS45,0),"")</f>
        <v>29</v>
      </c>
      <c r="CT9" s="15">
        <f>=IFERROR(ROUND((CT8/(CT47*CT48))/(1-CT29)/CT45,0),"")</f>
        <v>29</v>
      </c>
      <c r="CU9" s="15">
        <f>=IFERROR(ROUND((CU8/(CU47*CU48))/(1-CU29)/CU45,0),"")</f>
        <v>29</v>
      </c>
      <c r="CV9" s="15">
        <f>=IFERROR(ROUND((CV8/(CV47*CV48))/(1-CV29)/CV45,0),"")</f>
        <v>29</v>
      </c>
      <c r="CW9" s="15">
        <f>=IFERROR(ROUND((CW8/(CW47*CW48))/(1-CW29)/CW45,0),"")</f>
        <v>29</v>
      </c>
      <c r="CX9" s="15">
        <f>=IFERROR(ROUND((CX8/(CX47*CX48))/(1-CX29)/CX45,0),"")</f>
        <v>29</v>
      </c>
      <c r="CY9" s="15">
        <f>=IFERROR(ROUND((CY8/(CY47*CY48))/(1-CY29)/CY45,0),"")</f>
        <v>29</v>
      </c>
      <c r="CZ9" s="15">
        <f>=IFERROR(ROUND((CZ8/(CZ47*CZ48))/(1-CZ29)/CZ45,0),"")</f>
        <v>29</v>
      </c>
      <c r="DA9" s="15">
        <f>=IFERROR(ROUND((DA8/(DA47*DA48))/(1-DA29)/DA45,0),"")</f>
        <v>29</v>
      </c>
      <c r="DB9" s="15">
        <f>=IFERROR(ROUND((DB8/(DB47*DB48))/(1-DB29)/DB45,0),"")</f>
        <v>29</v>
      </c>
    </row>
    <row r="10" ht="18" customHeight="1" spans="1:106" x14ac:dyDescent="0.25">
      <c r="A10" s="16" t="s">
        <v>244</v>
      </c>
      <c r="B10" s="17"/>
      <c r="C10" s="18">
        <f>=IFERROR(C19+C22+C23,0)</f>
        <v>41</v>
      </c>
      <c r="D10" s="18">
        <f>=IFERROR(D19+D22+D23,0)</f>
        <v>40</v>
      </c>
      <c r="E10" s="18">
        <f>=IFERROR(E19+E22+E23,0)</f>
        <v>38</v>
      </c>
      <c r="F10" s="18">
        <f>=IFERROR(F19+F22+F23,0)</f>
        <v>38</v>
      </c>
      <c r="G10" s="18">
        <f>=IFERROR(G19+G22+G23,0)</f>
        <v>38</v>
      </c>
      <c r="H10" s="18">
        <f>=IFERROR(H19+H22+H23,0)</f>
        <v>38</v>
      </c>
      <c r="I10" s="18">
        <f>=IFERROR(I19+I22+I23,0)</f>
        <v>39</v>
      </c>
      <c r="J10" s="18">
        <f>=IFERROR(J19+J22+J23,0)</f>
        <v>39</v>
      </c>
      <c r="K10" s="18">
        <f>=IFERROR(K19+K22+K23,0)</f>
        <v>40</v>
      </c>
      <c r="L10" s="18">
        <f>=IFERROR(L19+L22+L23,0)</f>
        <v>40</v>
      </c>
      <c r="M10" s="18">
        <f>=IFERROR(M19+M22+M23,0)</f>
        <v>40</v>
      </c>
      <c r="N10" s="18">
        <f>=IFERROR(N19+N22+N23,0)</f>
        <v>38</v>
      </c>
      <c r="O10" s="18">
        <f>=IFERROR(O19+O22+O23,0)</f>
        <v>38</v>
      </c>
      <c r="P10" s="18">
        <f>=IFERROR(P19+P22+P23,0)</f>
        <v>38</v>
      </c>
      <c r="Q10" s="18">
        <f>=IFERROR(Q19+Q22+Q23,0)</f>
        <v>37</v>
      </c>
      <c r="R10" s="18">
        <f>=IFERROR(R19+R22+R23,0)</f>
        <v>36</v>
      </c>
      <c r="S10" s="18">
        <f>=IFERROR(S19+S22+S23,0)</f>
        <v>36</v>
      </c>
      <c r="T10" s="18">
        <f>=IFERROR(T19+T22+T23,0)</f>
        <v>35</v>
      </c>
      <c r="U10" s="18">
        <f>=IFERROR(U19+U22+U23,0)</f>
        <v>35</v>
      </c>
      <c r="V10" s="18">
        <f>=IFERROR(V19+V22+V23,0)</f>
        <v>35</v>
      </c>
      <c r="W10" s="18">
        <f>=IFERROR(W19+W22+W23,0)</f>
        <v>35</v>
      </c>
      <c r="X10" s="18">
        <f>=IFERROR(X19+X22+X23,0)</f>
        <v>35</v>
      </c>
      <c r="Y10" s="18">
        <f>=IFERROR(Y19+Y22+Y23,0)</f>
        <v>35</v>
      </c>
      <c r="Z10" s="18">
        <f>=IFERROR(Z19+Z22+Z23,0)</f>
        <v>34</v>
      </c>
      <c r="AA10" s="18">
        <f>=IFERROR(AA19+AA22+AA23,0)</f>
        <v>34</v>
      </c>
      <c r="AB10" s="18">
        <f>=IFERROR(AB19+AB22+AB23,0)</f>
        <v>34</v>
      </c>
      <c r="AC10" s="18">
        <f>=IFERROR(AC19+AC22+AC23,0)</f>
        <v>34</v>
      </c>
      <c r="AD10" s="18">
        <f>=IFERROR(AD19+AD22+AD23,0)</f>
        <v>34</v>
      </c>
      <c r="AE10" s="18">
        <f>=IFERROR(AE19+AE22+AE23,0)</f>
        <v>34</v>
      </c>
      <c r="AF10" s="18">
        <f>=IFERROR(AF19+AF22+AF23,0)</f>
        <v>34</v>
      </c>
      <c r="AG10" s="18">
        <f>=IFERROR(AG19+AG22+AG23,0)</f>
        <v>32</v>
      </c>
      <c r="AH10" s="18">
        <f>=IFERROR(AH19+AH22+AH23,0)</f>
        <v>32</v>
      </c>
      <c r="AI10" s="18">
        <f>=IFERROR(AI19+AI22+AI23,0)</f>
        <v>31</v>
      </c>
      <c r="AJ10" s="18">
        <f>=IFERROR(AJ19+AJ22+AJ23,0)</f>
        <v>31</v>
      </c>
      <c r="AK10" s="18">
        <f>=IFERROR(AK19+AK22+AK23,0)</f>
        <v>31</v>
      </c>
      <c r="AL10" s="18">
        <f>=IFERROR(AL19+AL22+AL23,0)</f>
        <v>31</v>
      </c>
      <c r="AM10" s="18">
        <f>=IFERROR(AM19+AM22+AM23,0)</f>
        <v>31</v>
      </c>
      <c r="AN10" s="18">
        <f>=IFERROR(AN19+AN22+AN23,0)</f>
        <v>31</v>
      </c>
      <c r="AO10" s="18">
        <f>=IFERROR(AO19+AO22+AO23,0)</f>
        <v>31</v>
      </c>
      <c r="AP10" s="18">
        <f>=IFERROR(AP19+AP22+AP23,0)</f>
        <v>31</v>
      </c>
      <c r="AQ10" s="18">
        <f>=IFERROR(AQ19+AQ22+AQ23,0)</f>
        <v>31</v>
      </c>
      <c r="AR10" s="18">
        <f>=IFERROR(AR19+AR22+AR23,0)</f>
        <v>31</v>
      </c>
      <c r="AS10" s="18">
        <f>=IFERROR(AS19+AS22+AS23,0)</f>
        <v>31</v>
      </c>
      <c r="AT10" s="18">
        <f>=IFERROR(AT19+AT22+AT23,0)</f>
        <v>30</v>
      </c>
      <c r="AU10" s="18">
        <f>=IFERROR(AU19+AU22+AU23,0)</f>
        <v>34</v>
      </c>
      <c r="AV10" s="18">
        <f>=IFERROR(AV19+AV22+AV23,0)</f>
        <v>34</v>
      </c>
      <c r="AW10" s="18">
        <f>=IFERROR(AW19+AW22+AW23,0)</f>
        <v>34</v>
      </c>
      <c r="AX10" s="18">
        <f>=IFERROR(AX19+AX22+AX23,0)</f>
        <v>36</v>
      </c>
      <c r="AY10" s="18">
        <f>=IFERROR(AY19+AY22+AY23,0)</f>
        <v>36</v>
      </c>
      <c r="AZ10" s="18">
        <f>=IFERROR(AZ19+AZ22+AZ23,0)</f>
        <v>35</v>
      </c>
      <c r="BA10" s="18">
        <f>=IFERROR(BA19+BA22+BA23,0)</f>
        <v>35</v>
      </c>
      <c r="BB10" s="18">
        <f>=IFERROR(BB19+BB22+BB23,0)</f>
        <v>35</v>
      </c>
      <c r="BC10" s="18">
        <f>=IFERROR(BC19+BC22+BC23,0)</f>
        <v>34</v>
      </c>
      <c r="BD10" s="18">
        <f>=IFERROR(BD19+BD22+BD23,0)</f>
        <v>34</v>
      </c>
      <c r="BE10" s="18">
        <f>=IFERROR(BE19+BE22+BE23,0)</f>
        <v>34</v>
      </c>
      <c r="BF10" s="18">
        <f>=IFERROR(BF19+BF22+BF23,0)</f>
        <v>34</v>
      </c>
      <c r="BG10" s="18">
        <f>=IFERROR(BG19+BG22+BG23,0)</f>
        <v>33</v>
      </c>
      <c r="BH10" s="18">
        <f>=IFERROR(BH19+BH22+BH23,0)</f>
        <v>32</v>
      </c>
      <c r="BI10" s="18">
        <f>=IFERROR(BI19+BI22+BI23,0)</f>
        <v>33</v>
      </c>
      <c r="BJ10" s="18">
        <f>=IFERROR(BJ19+BJ22+BJ23,0)</f>
        <v>37</v>
      </c>
      <c r="BK10" s="18">
        <f>=IFERROR(BK19+BK22+BK23,0)</f>
        <v>37</v>
      </c>
      <c r="BL10" s="18">
        <f>=IFERROR(BL19+BL22+BL23,0)</f>
        <v>37</v>
      </c>
      <c r="BM10" s="18">
        <f>=IFERROR(BM19+BM22+BM23,0)</f>
        <v>37</v>
      </c>
      <c r="BN10" s="18">
        <f>=IFERROR(BN19+BN22+BN23,0)</f>
        <v>37</v>
      </c>
      <c r="BO10" s="18">
        <f>=IFERROR(BO19+BO22+BO23,0)</f>
        <v>36</v>
      </c>
      <c r="BP10" s="18">
        <f>=IFERROR(BP19+BP22+BP23,0)</f>
        <v>34</v>
      </c>
      <c r="BQ10" s="18">
        <f>=IFERROR(BQ19+BQ22+BQ23,0)</f>
        <v>33</v>
      </c>
      <c r="BR10" s="18">
        <f>=IFERROR(BR19+BR22+BR23,0)</f>
        <v>33</v>
      </c>
      <c r="BS10" s="18">
        <f>=IFERROR(BS19+BS22+BS23,0)</f>
        <v>33</v>
      </c>
      <c r="BT10" s="18">
        <f>=IFERROR(BT19+BT22+BT23,0)</f>
        <v>33</v>
      </c>
      <c r="BU10" s="18">
        <f>=IFERROR(BU19+BU22+BU23,0)</f>
        <v>33</v>
      </c>
      <c r="BV10" s="18">
        <f>=IFERROR(BV19+BV22+BV23,0)</f>
        <v>34</v>
      </c>
      <c r="BW10" s="18">
        <f>=IFERROR(BW19+BW22+BW23,0)</f>
        <v>34</v>
      </c>
      <c r="BX10" s="18">
        <f>=IFERROR(BX19+BX22+BX23,0)</f>
        <v>33</v>
      </c>
      <c r="BY10" s="18">
        <f>=IFERROR(BY19+BY22+BY23,0)</f>
        <v>33</v>
      </c>
      <c r="BZ10" s="18">
        <f>=IFERROR(BZ19+BZ22+BZ23,0)</f>
        <v>32.5875</v>
      </c>
      <c r="CA10" s="18">
        <f>=IFERROR(CA19+CA22+CA23,0)</f>
        <v>32.18015625</v>
      </c>
      <c r="CB10" s="18">
        <f>=IFERROR(CB19+CB22+CB23,0)</f>
        <v>31.777904296875</v>
      </c>
      <c r="CC10" s="18">
        <f>=IFERROR(CC19+CC22+CC23,0)</f>
        <v>31.380680493164064</v>
      </c>
      <c r="CD10" s="18">
        <f>=IFERROR(CD19+CD22+CD23,0)</f>
        <v>31.06687368823242</v>
      </c>
      <c r="CE10" s="18">
        <f>=IFERROR(CE19+CE22+CE23,0)</f>
        <v>30.756204951350096</v>
      </c>
      <c r="CF10" s="18">
        <f>=IFERROR(CF19+CF22+CF23,0)</f>
        <v>30.448642901836596</v>
      </c>
      <c r="CG10" s="18">
        <f>=IFERROR(CG19+CG22+CG23,0)</f>
        <v>30.144156472818228</v>
      </c>
      <c r="CH10" s="18">
        <f>=IFERROR(CH19+CH22+CH23,0)</f>
        <v>29.842714908090045</v>
      </c>
      <c r="CI10" s="18">
        <f>=IFERROR(CI19+CI22+CI23,0)</f>
        <v>29.469680971738917</v>
      </c>
      <c r="CJ10" s="18">
        <f>=IFERROR(CJ19+CJ22+CJ23,0)</f>
        <v>29.10130995959217</v>
      </c>
      <c r="CK10" s="18">
        <f>=IFERROR(CK19+CK22+CK23,0)</f>
        <v>28.737543585097264</v>
      </c>
      <c r="CL10" s="18">
        <f>=IFERROR(CL19+CL22+CL23,0)</f>
        <v>28.378324290283548</v>
      </c>
      <c r="CM10" s="18">
        <f>=IFERROR(CM19+CM22+CM23,0)</f>
        <v>28.023595236655005</v>
      </c>
      <c r="CN10" s="18">
        <f>=IFERROR(CN19+CN22+CN23,0)</f>
        <v>27.673300296196818</v>
      </c>
      <c r="CO10" s="18">
        <f>=IFERROR(CO19+CO22+CO23,0)</f>
        <v>27.327384042494355</v>
      </c>
      <c r="CP10" s="18">
        <f>=IFERROR(CP19+CP22+CP23,0)</f>
        <v>26.985791741963176</v>
      </c>
      <c r="CQ10" s="18">
        <f>=IFERROR(CQ19+CQ22+CQ23,0)</f>
        <v>26.715933824543544</v>
      </c>
      <c r="CR10" s="18">
        <f>=IFERROR(CR19+CR22+CR23,0)</f>
        <v>26.44877448629811</v>
      </c>
      <c r="CS10" s="18">
        <f>=IFERROR(CS19+CS22+CS23,0)</f>
        <v>26.18428674143513</v>
      </c>
      <c r="CT10" s="18">
        <f>=IFERROR(CT19+CT22+CT23,0)</f>
        <v>25.92244387402078</v>
      </c>
      <c r="CU10" s="18">
        <f>=IFERROR(CU19+CU22+CU23,0)</f>
        <v>25.663219435280578</v>
      </c>
      <c r="CV10" s="18">
        <f>=IFERROR(CV19+CV22+CV23,0)</f>
        <v>25.34242919233957</v>
      </c>
      <c r="CW10" s="18">
        <f>=IFERROR(CW19+CW22+CW23,0)</f>
        <v>25.025648827435322</v>
      </c>
      <c r="CX10" s="18">
        <f>=IFERROR(CX19+CX22+CX23,0)</f>
        <v>24.712828217092383</v>
      </c>
      <c r="CY10" s="18">
        <f>=IFERROR(CY19+CY22+CY23,0)</f>
        <v>24.40391786437873</v>
      </c>
      <c r="CZ10" s="18">
        <f>=IFERROR(CZ19+CZ22+CZ23,0)</f>
        <v>24.098868891074</v>
      </c>
      <c r="DA10" s="18">
        <f>=IFERROR(DA19+DA22+DA23,0)</f>
        <v>23.797633029935575</v>
      </c>
      <c r="DB10" s="18">
        <f>=IFERROR(DB19+DB22+DB23,0)</f>
        <v>23.50016261706138</v>
      </c>
    </row>
    <row r="11" ht="15" customHeight="1" spans="1:106" x14ac:dyDescent="0.25">
      <c r="A11" s="16" t="s">
        <v>245</v>
      </c>
      <c r="B11" s="17"/>
      <c r="C11" s="18">
        <f>=C10*(C47*C48*(1-C29)*(1-C46))</f>
        <v>1377.6</v>
      </c>
      <c r="D11" s="18">
        <f>=D10*(D47*D48*(1-D29)*(1-D46))</f>
        <v>1344</v>
      </c>
      <c r="E11" s="18">
        <f>=E10*(E47*E48*(1-E29)*(1-E46))</f>
        <v>1337.6</v>
      </c>
      <c r="F11" s="18">
        <f>=F10*(F47*F48*(1-F29)*(1-F46))</f>
        <v>1337.6</v>
      </c>
      <c r="G11" s="18">
        <f>=G10*(G47*G48*(1-G29)*(1-G46))</f>
        <v>1337.6</v>
      </c>
      <c r="H11" s="18">
        <f>=H10*(H47*H48*(1-H29)*(1-H46))</f>
        <v>1337.6</v>
      </c>
      <c r="I11" s="18">
        <f>=I10*(I47*I48*(1-I29)*(1-I46))</f>
        <v>1372.8</v>
      </c>
      <c r="J11" s="18">
        <f>=J10*(J47*J48*(1-J29)*(1-J46))</f>
        <v>1372.8</v>
      </c>
      <c r="K11" s="18">
        <f>=K10*(K47*K48*(1-K29)*(1-K46))</f>
        <v>1408</v>
      </c>
      <c r="L11" s="18">
        <f>=L10*(L47*L48*(1-L29)*(1-L46))</f>
        <v>1344</v>
      </c>
      <c r="M11" s="18">
        <f>=M10*(M47*M48*(1-M29)*(1-M46))</f>
        <v>1344</v>
      </c>
      <c r="N11" s="18">
        <f>=N10*(N47*N48*(1-N29)*(1-N46))</f>
        <v>1276.8</v>
      </c>
      <c r="O11" s="18">
        <f>=O10*(O47*O48*(1-O29)*(1-O46))</f>
        <v>1276.8</v>
      </c>
      <c r="P11" s="18">
        <f>=P10*(P47*P48*(1-P29)*(1-P46))</f>
        <v>1276.8</v>
      </c>
      <c r="Q11" s="18">
        <f>=Q10*(Q47*Q48*(1-Q29)*(1-Q46))</f>
        <v>1243.2</v>
      </c>
      <c r="R11" s="18">
        <f>=R10*(R47*R48*(1-R29)*(1-R46))</f>
        <v>1209.6</v>
      </c>
      <c r="S11" s="18">
        <f>=S10*(S47*S48*(1-S29)*(1-S46))</f>
        <v>1209.6</v>
      </c>
      <c r="T11" s="18">
        <f>=T10*(T47*T48*(1-T29)*(1-T46))</f>
        <v>1176</v>
      </c>
      <c r="U11" s="18">
        <f>=U10*(U47*U48*(1-U29)*(1-U46))</f>
        <v>1176</v>
      </c>
      <c r="V11" s="18">
        <f>=V10*(V47*V48*(1-V29)*(1-V46))</f>
        <v>1176</v>
      </c>
      <c r="W11" s="18">
        <f>=W10*(W47*W48*(1-W29)*(1-W46))</f>
        <v>1176</v>
      </c>
      <c r="X11" s="18">
        <f>=X10*(X47*X48*(1-X29)*(1-X46))</f>
        <v>1176</v>
      </c>
      <c r="Y11" s="18">
        <f>=Y10*(Y47*Y48*(1-Y29)*(1-Y46))</f>
        <v>1176</v>
      </c>
      <c r="Z11" s="18">
        <f>=Z10*(Z47*Z48*(1-Z29)*(1-Z46))</f>
        <v>1142.4</v>
      </c>
      <c r="AA11" s="18">
        <f>=AA10*(AA47*AA48*(1-AA29)*(1-AA46))</f>
        <v>1142.4</v>
      </c>
      <c r="AB11" s="18">
        <f>=AB10*(AB47*AB48*(1-AB29)*(1-AB46))</f>
        <v>1142.4</v>
      </c>
      <c r="AC11" s="18">
        <f>=AC10*(AC47*AC48*(1-AC29)*(1-AC46))</f>
        <v>1142.4</v>
      </c>
      <c r="AD11" s="18">
        <f>=AD10*(AD47*AD48*(1-AD29)*(1-AD46))</f>
        <v>1142.4</v>
      </c>
      <c r="AE11" s="18">
        <f>=AE10*(AE47*AE48*(1-AE29)*(1-AE46))</f>
        <v>1142.4</v>
      </c>
      <c r="AF11" s="18">
        <f>=AF10*(AF47*AF48*(1-AF29)*(1-AF46))</f>
        <v>1142.4</v>
      </c>
      <c r="AG11" s="18">
        <f>=AG10*(AG47*AG48*(1-AG29)*(1-AG46))</f>
        <v>1075.2</v>
      </c>
      <c r="AH11" s="18">
        <f>=AH10*(AH47*AH48*(1-AH29)*(1-AH46))</f>
        <v>1075.2</v>
      </c>
      <c r="AI11" s="18">
        <f>=AI10*(AI47*AI48*(1-AI29)*(1-AI46))</f>
        <v>1041.6</v>
      </c>
      <c r="AJ11" s="18">
        <f>=AJ10*(AJ47*AJ48*(1-AJ29)*(1-AJ46))</f>
        <v>1041.6</v>
      </c>
      <c r="AK11" s="18">
        <f>=AK10*(AK47*AK48*(1-AK29)*(1-AK46))</f>
        <v>1041.6</v>
      </c>
      <c r="AL11" s="18">
        <f>=AL10*(AL47*AL48*(1-AL29)*(1-AL46))</f>
        <v>1041.6</v>
      </c>
      <c r="AM11" s="18">
        <f>=AM10*(AM47*AM48*(1-AM29)*(1-AM46))</f>
        <v>1041.6</v>
      </c>
      <c r="AN11" s="18">
        <f>=AN10*(AN47*AN48*(1-AN29)*(1-AN46))</f>
        <v>1041.6</v>
      </c>
      <c r="AO11" s="18">
        <f>=AO10*(AO47*AO48*(1-AO29)*(1-AO46))</f>
        <v>1041.6</v>
      </c>
      <c r="AP11" s="18">
        <f>=AP10*(AP47*AP48*(1-AP29)*(1-AP46))</f>
        <v>1078.8</v>
      </c>
      <c r="AQ11" s="18">
        <f>=AQ10*(AQ47*AQ48*(1-AQ29)*(1-AQ46))</f>
        <v>1078.8</v>
      </c>
      <c r="AR11" s="18">
        <f>=AR10*(AR47*AR48*(1-AR29)*(1-AR46))</f>
        <v>1078.8</v>
      </c>
      <c r="AS11" s="18">
        <f>=AS10*(AS47*AS48*(1-AS29)*(1-AS46))</f>
        <v>1078.8</v>
      </c>
      <c r="AT11" s="18">
        <f>=AT10*(AT47*AT48*(1-AT29)*(1-AT46))</f>
        <v>1044</v>
      </c>
      <c r="AU11" s="18">
        <f>=AU10*(AU47*AU48*(1-AU29)*(1-AU46))</f>
        <v>1183.2</v>
      </c>
      <c r="AV11" s="18">
        <f>=AV10*(AV47*AV48*(1-AV29)*(1-AV46))</f>
        <v>1183.2</v>
      </c>
      <c r="AW11" s="18">
        <f>=AW10*(AW47*AW48*(1-AW29)*(1-AW46))</f>
        <v>1183.2</v>
      </c>
      <c r="AX11" s="18">
        <f>=AX10*(AX47*AX48*(1-AX29)*(1-AX46))</f>
        <v>1252.8</v>
      </c>
      <c r="AY11" s="18">
        <f>=AY10*(AY47*AY48*(1-AY29)*(1-AY46))</f>
        <v>1252.8</v>
      </c>
      <c r="AZ11" s="18">
        <f>=AZ10*(AZ47*AZ48*(1-AZ29)*(1-AZ46))</f>
        <v>1218</v>
      </c>
      <c r="BA11" s="18">
        <f>=BA10*(BA47*BA48*(1-BA29)*(1-BA46))</f>
        <v>1218</v>
      </c>
      <c r="BB11" s="18">
        <f>=BB10*(BB47*BB48*(1-BB29)*(1-BB46))</f>
        <v>1218</v>
      </c>
      <c r="BC11" s="18">
        <f>=BC10*(BC47*BC48*(1-BC29)*(1-BC46))</f>
        <v>1169.6</v>
      </c>
      <c r="BD11" s="18">
        <f>=BD10*(BD47*BD48*(1-BD29)*(1-BD46))</f>
        <v>1169.6</v>
      </c>
      <c r="BE11" s="18">
        <f>=BE10*(BE47*BE48*(1-BE29)*(1-BE46))</f>
        <v>1169.6</v>
      </c>
      <c r="BF11" s="18">
        <f>=BF10*(BF47*BF48*(1-BF29)*(1-BF46))</f>
        <v>1169.6</v>
      </c>
      <c r="BG11" s="18">
        <f>=BG10*(BG47*BG48*(1-BG29)*(1-BG46))</f>
        <v>1135.2</v>
      </c>
      <c r="BH11" s="18">
        <f>=BH10*(BH47*BH48*(1-BH29)*(1-BH46))</f>
        <v>1100.8</v>
      </c>
      <c r="BI11" s="18">
        <f>=BI10*(BI47*BI48*(1-BI29)*(1-BI46))</f>
        <v>1135.2</v>
      </c>
      <c r="BJ11" s="18">
        <f>=BJ10*(BJ47*BJ48*(1-BJ29)*(1-BJ46))</f>
        <v>1272.8</v>
      </c>
      <c r="BK11" s="18">
        <f>=BK10*(BK47*BK48*(1-BK29)*(1-BK46))</f>
        <v>1272.8</v>
      </c>
      <c r="BL11" s="18">
        <f>=BL10*(BL47*BL48*(1-BL29)*(1-BL46))</f>
        <v>1272.8</v>
      </c>
      <c r="BM11" s="18">
        <f>=BM10*(BM47*BM48*(1-BM29)*(1-BM46))</f>
        <v>1272.8</v>
      </c>
      <c r="BN11" s="18">
        <f>=BN10*(BN47*BN48*(1-BN29)*(1-BN46))</f>
        <v>1272.8</v>
      </c>
      <c r="BO11" s="18">
        <f>=BO10*(BO47*BO48*(1-BO29)*(1-BO46))</f>
        <v>1238.4</v>
      </c>
      <c r="BP11" s="18">
        <f>=BP10*(BP47*BP48*(1-BP29)*(1-BP46))</f>
        <v>1169.6</v>
      </c>
      <c r="BQ11" s="18">
        <f>=BQ10*(BQ47*BQ48*(1-BQ29)*(1-BQ46))</f>
        <v>1135.2</v>
      </c>
      <c r="BR11" s="18">
        <f>=BR10*(BR47*BR48*(1-BR29)*(1-BR46))</f>
        <v>1135.2</v>
      </c>
      <c r="BS11" s="18">
        <f>=BS10*(BS47*BS48*(1-BS29)*(1-BS46))</f>
        <v>1135.2</v>
      </c>
      <c r="BT11" s="18">
        <f>=BT10*(BT47*BT48*(1-BT29)*(1-BT46))</f>
        <v>1135.2</v>
      </c>
      <c r="BU11" s="18">
        <f>=BU10*(BU47*BU48*(1-BU29)*(1-BU46))</f>
        <v>1135.2</v>
      </c>
      <c r="BV11" s="18">
        <f>=BV10*(BV47*BV48*(1-BV29)*(1-BV46))</f>
        <v>1169.6</v>
      </c>
      <c r="BW11" s="18">
        <f>=BW10*(BW47*BW48*(1-BW29)*(1-BW46))</f>
        <v>1169.6</v>
      </c>
      <c r="BX11" s="18">
        <f>=BX10*(BX47*BX48*(1-BX29)*(1-BX46))</f>
        <v>1135.2</v>
      </c>
      <c r="BY11" s="18">
        <f>=BY10*(BY47*BY48*(1-BY29)*(1-BY46))</f>
        <v>1135.2</v>
      </c>
      <c r="BZ11" s="18">
        <f>=BZ10*(BZ47*BZ48*(1-BZ29)*(1-BZ46))</f>
        <v>1121.01</v>
      </c>
      <c r="CA11" s="18">
        <f>=CA10*(CA47*CA48*(1-CA29)*(1-CA46))</f>
        <v>1106.9973750000001</v>
      </c>
      <c r="CB11" s="18">
        <f>=CB10*(CB47*CB48*(1-CB29)*(1-CB46))</f>
        <v>1093.1599078125</v>
      </c>
      <c r="CC11" s="18">
        <f>=CC10*(CC47*CC48*(1-CC29)*(1-CC46))</f>
        <v>1079.4954089648436</v>
      </c>
      <c r="CD11" s="18">
        <f>=CD10*(CD47*CD48*(1-CD29)*(1-CD46))</f>
        <v>1068.7004548751954</v>
      </c>
      <c r="CE11" s="18">
        <f>=CE10*(CE47*CE48*(1-CE29)*(1-CE46))</f>
        <v>1058.0134503264433</v>
      </c>
      <c r="CF11" s="18">
        <f>=CF10*(CF47*CF48*(1-CF29)*(1-CF46))</f>
        <v>1047.4333158231789</v>
      </c>
      <c r="CG11" s="18">
        <f>=CG10*(CG47*CG48*(1-CG29)*(1-CG46))</f>
        <v>1036.958982664947</v>
      </c>
      <c r="CH11" s="18">
        <f>=CH10*(CH47*CH48*(1-CH29)*(1-CH46))</f>
        <v>1026.5893928382975</v>
      </c>
      <c r="CI11" s="18">
        <f>=CI10*(CI47*CI48*(1-CI29)*(1-CI46))</f>
        <v>1013.7570254278185</v>
      </c>
      <c r="CJ11" s="18">
        <f>=CJ10*(CJ47*CJ48*(1-CJ29)*(1-CJ46))</f>
        <v>1001.0850626099706</v>
      </c>
      <c r="CK11" s="18">
        <f>=CK10*(CK47*CK48*(1-CK29)*(1-CK46))</f>
        <v>988.5714993273458</v>
      </c>
      <c r="CL11" s="18">
        <f>=CL10*(CL47*CL48*(1-CL29)*(1-CL46))</f>
        <v>976.214355585754</v>
      </c>
      <c r="CM11" s="18">
        <f>=CM10*(CM47*CM48*(1-CM29)*(1-CM46))</f>
        <v>964.0116761409321</v>
      </c>
      <c r="CN11" s="18">
        <f>=CN10*(CN47*CN48*(1-CN29)*(1-CN46))</f>
        <v>951.9615301891705</v>
      </c>
      <c r="CO11" s="18">
        <f>=CO10*(CO47*CO48*(1-CO29)*(1-CO46))</f>
        <v>940.0620110618058</v>
      </c>
      <c r="CP11" s="18">
        <f>=CP10*(CP47*CP48*(1-CP29)*(1-CP46))</f>
        <v>928.3112359235332</v>
      </c>
      <c r="CQ11" s="18">
        <f>=CQ10*(CQ47*CQ48*(1-CQ29)*(1-CQ46))</f>
        <v>919.028123564298</v>
      </c>
      <c r="CR11" s="18">
        <f>=CR10*(CR47*CR48*(1-CR29)*(1-CR46))</f>
        <v>909.837842328655</v>
      </c>
      <c r="CS11" s="18">
        <f>=CS10*(CS47*CS48*(1-CS29)*(1-CS46))</f>
        <v>900.7394639053686</v>
      </c>
      <c r="CT11" s="18">
        <f>=CT10*(CT47*CT48*(1-CT29)*(1-CT46))</f>
        <v>891.732069266315</v>
      </c>
      <c r="CU11" s="18">
        <f>=CU10*(CU47*CU48*(1-CU29)*(1-CU46))</f>
        <v>882.8147485736517</v>
      </c>
      <c r="CV11" s="18">
        <f>=CV10*(CV47*CV48*(1-CV29)*(1-CV46))</f>
        <v>871.7795642164813</v>
      </c>
      <c r="CW11" s="18">
        <f>=CW10*(CW47*CW48*(1-CW29)*(1-CW46))</f>
        <v>860.8823196637751</v>
      </c>
      <c r="CX11" s="18">
        <f>=CX10*(CX47*CX48*(1-CX29)*(1-CX46))</f>
        <v>850.1212906679781</v>
      </c>
      <c r="CY11" s="18">
        <f>=CY10*(CY47*CY48*(1-CY29)*(1-CY46))</f>
        <v>839.4947745346284</v>
      </c>
      <c r="CZ11" s="18">
        <f>=CZ10*(CZ47*CZ48*(1-CZ29)*(1-CZ46))</f>
        <v>829.0010898529456</v>
      </c>
      <c r="DA11" s="18">
        <f>=DA10*(DA47*DA48*(1-DA29)*(1-DA46))</f>
        <v>818.6385762297838</v>
      </c>
      <c r="DB11" s="18">
        <f>=DB10*(DB47*DB48*(1-DB29)*(1-DB46))</f>
        <v>808.4055940269114</v>
      </c>
    </row>
    <row r="12" spans="1:106" x14ac:dyDescent="0.25">
      <c r="A12" s="16" t="s">
        <v>246</v>
      </c>
      <c r="C12" s="19">
        <f>=IFERROR(C10-C7,0)</f>
        <v>0</v>
      </c>
      <c r="D12" s="19">
        <f>=IFERROR(D10-D7,0)</f>
        <v>-1</v>
      </c>
      <c r="E12" s="19">
        <f>=IFERROR(E10-E7,0)</f>
        <v>-3</v>
      </c>
      <c r="F12" s="19">
        <f>=IFERROR(F10-F7,0)</f>
        <v>-3</v>
      </c>
      <c r="G12" s="19">
        <f>=IFERROR(G10-G7,0)</f>
        <v>-3</v>
      </c>
      <c r="H12" s="19">
        <f>=IFERROR(H10-H7,0)</f>
        <v>-3</v>
      </c>
      <c r="I12" s="19">
        <f>=IFERROR(I10-I7,0)</f>
        <v>-2</v>
      </c>
      <c r="J12" s="19">
        <f>=IFERROR(J10-J7,0)</f>
        <v>-2</v>
      </c>
      <c r="K12" s="19">
        <f>=IFERROR(K10-K7,0)</f>
        <v>-1</v>
      </c>
      <c r="L12" s="19">
        <f>=IFERROR(L10-L7,0)</f>
        <v>3</v>
      </c>
      <c r="M12" s="19">
        <f>=IFERROR(M10-M7,0)</f>
        <v>3</v>
      </c>
      <c r="N12" s="19">
        <f>=IFERROR(N10-N7,0)</f>
        <v>4</v>
      </c>
      <c r="O12" s="19">
        <f>=IFERROR(O10-O7,0)</f>
        <v>4</v>
      </c>
      <c r="P12" s="19">
        <f>=IFERROR(P10-P7,0)</f>
        <v>4</v>
      </c>
      <c r="Q12" s="19">
        <f>=IFERROR(Q10-Q7,0)</f>
        <v>3</v>
      </c>
      <c r="R12" s="19">
        <f>=IFERROR(R10-R7,0)</f>
        <v>2</v>
      </c>
      <c r="S12" s="19">
        <f>=IFERROR(S10-S7,0)</f>
        <v>2</v>
      </c>
      <c r="T12" s="19">
        <f>=IFERROR(T10-T7,0)</f>
        <v>1</v>
      </c>
      <c r="U12" s="19">
        <f>=IFERROR(U10-U7,0)</f>
        <v>1</v>
      </c>
      <c r="V12" s="19">
        <f>=IFERROR(V10-V7,0)</f>
        <v>1</v>
      </c>
      <c r="W12" s="19">
        <f>=IFERROR(W10-W7,0)</f>
        <v>1</v>
      </c>
      <c r="X12" s="19">
        <f>=IFERROR(X10-X7,0)</f>
        <v>1</v>
      </c>
      <c r="Y12" s="19">
        <f>=IFERROR(Y10-Y7,0)</f>
        <v>1</v>
      </c>
      <c r="Z12" s="19">
        <f>=IFERROR(Z10-Z7,0)</f>
        <v>0</v>
      </c>
      <c r="AA12" s="19">
        <f>=IFERROR(AA10-AA7,0)</f>
        <v>0</v>
      </c>
      <c r="AB12" s="19">
        <f>=IFERROR(AB10-AB7,0)</f>
        <v>0</v>
      </c>
      <c r="AC12" s="19">
        <f>=IFERROR(AC10-AC7,0)</f>
        <v>0</v>
      </c>
      <c r="AD12" s="19">
        <f>=IFERROR(AD10-AD7,0)</f>
        <v>0</v>
      </c>
      <c r="AE12" s="19">
        <f>=IFERROR(AE10-AE7,0)</f>
        <v>0</v>
      </c>
      <c r="AF12" s="19">
        <f>=IFERROR(AF10-AF7,0)</f>
        <v>0</v>
      </c>
      <c r="AG12" s="19">
        <f>=IFERROR(AG10-AG7,0)</f>
        <v>-2</v>
      </c>
      <c r="AH12" s="19">
        <f>=IFERROR(AH10-AH7,0)</f>
        <v>-2</v>
      </c>
      <c r="AI12" s="19">
        <f>=IFERROR(AI10-AI7,0)</f>
        <v>-3</v>
      </c>
      <c r="AJ12" s="19">
        <f>=IFERROR(AJ10-AJ7,0)</f>
        <v>-3</v>
      </c>
      <c r="AK12" s="19">
        <f>=IFERROR(AK10-AK7,0)</f>
        <v>-3</v>
      </c>
      <c r="AL12" s="19">
        <f>=IFERROR(AL10-AL7,0)</f>
        <v>-3</v>
      </c>
      <c r="AM12" s="19">
        <f>=IFERROR(AM10-AM7,0)</f>
        <v>-3</v>
      </c>
      <c r="AN12" s="19">
        <f>=IFERROR(AN10-AN7,0)</f>
        <v>-3</v>
      </c>
      <c r="AO12" s="19">
        <f>=IFERROR(AO10-AO7,0)</f>
        <v>-3</v>
      </c>
      <c r="AP12" s="19">
        <f>=IFERROR(AP10-AP7,0)</f>
        <v>-3</v>
      </c>
      <c r="AQ12" s="19">
        <f>=IFERROR(AQ10-AQ7,0)</f>
        <v>-3</v>
      </c>
      <c r="AR12" s="19">
        <f>=IFERROR(AR10-AR7,0)</f>
        <v>-3</v>
      </c>
      <c r="AS12" s="19">
        <f>=IFERROR(AS10-AS7,0)</f>
        <v>-3</v>
      </c>
      <c r="AT12" s="19">
        <f>=IFERROR(AT10-AT7,0)</f>
        <v>-4</v>
      </c>
      <c r="AU12" s="19">
        <f>=IFERROR(AU10-AU7,0)</f>
        <v>0</v>
      </c>
      <c r="AV12" s="19">
        <f>=IFERROR(AV10-AV7,0)</f>
        <v>0</v>
      </c>
      <c r="AW12" s="19">
        <f>=IFERROR(AW10-AW7,0)</f>
        <v>0</v>
      </c>
      <c r="AX12" s="19">
        <f>=IFERROR(AX10-AX7,0)</f>
        <v>2</v>
      </c>
      <c r="AY12" s="19">
        <f>=IFERROR(AY10-AY7,0)</f>
        <v>2</v>
      </c>
      <c r="AZ12" s="19">
        <f>=IFERROR(AZ10-AZ7,0)</f>
        <v>1</v>
      </c>
      <c r="BA12" s="19">
        <f>=IFERROR(BA10-BA7,0)</f>
        <v>1</v>
      </c>
      <c r="BB12" s="19">
        <f>=IFERROR(BB10-BB7,0)</f>
        <v>1</v>
      </c>
      <c r="BC12" s="19">
        <f>=IFERROR(BC10-BC7,0)</f>
        <v>0</v>
      </c>
      <c r="BD12" s="19">
        <f>=IFERROR(BD10-BD7,0)</f>
        <v>0</v>
      </c>
      <c r="BE12" s="19">
        <f>=IFERROR(BE10-BE7,0)</f>
        <v>0</v>
      </c>
      <c r="BF12" s="19">
        <f>=IFERROR(BF10-BF7,0)</f>
        <v>0</v>
      </c>
      <c r="BG12" s="19">
        <f>=IFERROR(BG10-BG7,0)</f>
        <v>-1</v>
      </c>
      <c r="BH12" s="19">
        <f>=IFERROR(BH10-BH7,0)</f>
        <v>-2</v>
      </c>
      <c r="BI12" s="19">
        <f>=IFERROR(BI10-BI7,0)</f>
        <v>-1</v>
      </c>
      <c r="BJ12" s="19">
        <f>=IFERROR(BJ10-BJ7,0)</f>
        <v>3</v>
      </c>
      <c r="BK12" s="19">
        <f>=IFERROR(BK10-BK7,0)</f>
        <v>3</v>
      </c>
      <c r="BL12" s="19">
        <f>=IFERROR(BL10-BL7,0)</f>
        <v>3</v>
      </c>
      <c r="BM12" s="19">
        <f>=IFERROR(BM10-BM7,0)</f>
        <v>3</v>
      </c>
      <c r="BN12" s="19">
        <f>=IFERROR(BN10-BN7,0)</f>
        <v>3</v>
      </c>
      <c r="BO12" s="19">
        <f>=IFERROR(BO10-BO7,0)</f>
        <v>2</v>
      </c>
      <c r="BP12" s="19">
        <f>=IFERROR(BP10-BP7,0)</f>
        <v>4</v>
      </c>
      <c r="BQ12" s="19">
        <f>=IFERROR(BQ10-BQ7,0)</f>
        <v>3</v>
      </c>
      <c r="BR12" s="19">
        <f>=IFERROR(BR10-BR7,0)</f>
        <v>3</v>
      </c>
      <c r="BS12" s="19">
        <f>=IFERROR(BS10-BS7,0)</f>
        <v>3</v>
      </c>
      <c r="BT12" s="19">
        <f>=IFERROR(BT10-BT7,0)</f>
        <v>3</v>
      </c>
      <c r="BU12" s="19">
        <f>=IFERROR(BU10-BU7,0)</f>
        <v>3</v>
      </c>
      <c r="BV12" s="19">
        <f>=IFERROR(BV10-BV7,0)</f>
        <v>4</v>
      </c>
      <c r="BW12" s="19">
        <f>=IFERROR(BW10-BW7,0)</f>
        <v>4</v>
      </c>
      <c r="BX12" s="19">
        <f>=IFERROR(BX10-BX7,0)</f>
        <v>3</v>
      </c>
      <c r="BY12" s="19">
        <f>=IFERROR(BY10-BY7,0)</f>
        <v>3</v>
      </c>
      <c r="BZ12" s="19">
        <f>=IFERROR(BZ10-BZ7,0)</f>
        <v>2.5875</v>
      </c>
      <c r="CA12" s="19">
        <f>=IFERROR(CA10-CA7,0)</f>
        <v>2.18015625</v>
      </c>
      <c r="CB12" s="19">
        <f>=IFERROR(CB10-CB7,0)</f>
        <v>1.777904296875</v>
      </c>
      <c r="CC12" s="19">
        <f>=IFERROR(CC10-CC7,0)</f>
        <v>1.380680493164064</v>
      </c>
      <c r="CD12" s="19">
        <f>=IFERROR(CD10-CD7,0)</f>
        <v>1.06687368823242</v>
      </c>
      <c r="CE12" s="19">
        <f>=IFERROR(CE10-CE7,0)</f>
        <v>0.756204951350096</v>
      </c>
      <c r="CF12" s="19">
        <f>=IFERROR(CF10-CF7,0)</f>
        <v>0.448642901836596</v>
      </c>
      <c r="CG12" s="19">
        <f>=IFERROR(CG10-CG7,0)</f>
        <v>0.144156472818228</v>
      </c>
      <c r="CH12" s="19">
        <f>=IFERROR(CH10-CH7,0)</f>
        <v>-0.157285091909956</v>
      </c>
      <c r="CI12" s="19">
        <f>=IFERROR(CI10-CI7,0)</f>
        <v>-0.530319028261084</v>
      </c>
      <c r="CJ12" s="19">
        <f>=IFERROR(CJ10-CJ7,0)</f>
        <v>-0.89869004040783</v>
      </c>
      <c r="CK12" s="19">
        <f>=IFERROR(CK10-CK7,0)</f>
        <v>-1.262456414902736</v>
      </c>
      <c r="CL12" s="19">
        <f>=IFERROR(CL10-CL7,0)</f>
        <v>-1.621675709716452</v>
      </c>
      <c r="CM12" s="19">
        <f>=IFERROR(CM10-CM7,0)</f>
        <v>-1.976404763344996</v>
      </c>
      <c r="CN12" s="19">
        <f>=IFERROR(CN10-CN7,0)</f>
        <v>-2.326699703803184</v>
      </c>
      <c r="CO12" s="19">
        <f>=IFERROR(CO10-CO7,0)</f>
        <v>-2.672615957505644</v>
      </c>
      <c r="CP12" s="19">
        <f>=IFERROR(CP10-CP7,0)</f>
        <v>-3.014208258036824</v>
      </c>
      <c r="CQ12" s="19">
        <f>=IFERROR(CQ10-CQ7,0)</f>
        <v>-3.284066175456456</v>
      </c>
      <c r="CR12" s="19">
        <f>=IFERROR(CR10-CR7,0)</f>
        <v>-3.55122551370189</v>
      </c>
      <c r="CS12" s="19">
        <f>=IFERROR(CS10-CS7,0)</f>
        <v>-3.81571325856487</v>
      </c>
      <c r="CT12" s="19">
        <f>=IFERROR(CT10-CT7,0)</f>
        <v>-4.07755612597922</v>
      </c>
      <c r="CU12" s="19">
        <f>=IFERROR(CU10-CU7,0)</f>
        <v>-4.336780564719424</v>
      </c>
      <c r="CV12" s="19">
        <f>=IFERROR(CV10-CV7,0)</f>
        <v>-4.65757080766043</v>
      </c>
      <c r="CW12" s="19">
        <f>=IFERROR(CW10-CW7,0)</f>
        <v>-4.974351172564676</v>
      </c>
      <c r="CX12" s="19">
        <f>=IFERROR(CX10-CX7,0)</f>
        <v>-5.287171782907616</v>
      </c>
      <c r="CY12" s="19">
        <f>=IFERROR(CY10-CY7,0)</f>
        <v>-5.59608213562127</v>
      </c>
      <c r="CZ12" s="19">
        <f>=IFERROR(CZ10-CZ7,0)</f>
        <v>-5.901131108926</v>
      </c>
      <c r="DA12" s="19">
        <f>=IFERROR(DA10-DA7,0)</f>
        <v>-6.202366970064424</v>
      </c>
      <c r="DB12" s="19">
        <f>=IFERROR(DB10-DB7,0)</f>
        <v>-6.49983738293862</v>
      </c>
    </row>
    <row r="13" ht="15" customHeight="1" spans="1:106" x14ac:dyDescent="0.25">
      <c r="A13" s="20" t="s">
        <v>247</v>
      </c>
      <c r="B13" s="17"/>
      <c r="C13" s="21">
        <f>=IFERROR(C10-C9,0)</f>
        <v>0</v>
      </c>
      <c r="D13" s="21">
        <f>=IFERROR(D10-D9,0)</f>
        <v>-1</v>
      </c>
      <c r="E13" s="21">
        <f>=IFERROR(E10-E9,0)</f>
        <v>-1</v>
      </c>
      <c r="F13" s="21">
        <f>=IFERROR(F10-F9,0)</f>
        <v>-1</v>
      </c>
      <c r="G13" s="21">
        <f>=IFERROR(G10-G9,0)</f>
        <v>-1</v>
      </c>
      <c r="H13" s="21">
        <f>=IFERROR(H10-H9,0)</f>
        <v>-1</v>
      </c>
      <c r="I13" s="21">
        <f>=IFERROR(I10-I9,0)</f>
        <v>0</v>
      </c>
      <c r="J13" s="21">
        <f>=IFERROR(J10-J9,0)</f>
        <v>0</v>
      </c>
      <c r="K13" s="21">
        <f>=IFERROR(K10-K9,0)</f>
        <v>1</v>
      </c>
      <c r="L13" s="21">
        <f>=IFERROR(L10-L9,0)</f>
        <v>3</v>
      </c>
      <c r="M13" s="21">
        <f>=IFERROR(M10-M9,0)</f>
        <v>3</v>
      </c>
      <c r="N13" s="21">
        <f>=IFERROR(N10-N9,0)</f>
        <v>4</v>
      </c>
      <c r="O13" s="21">
        <f>=IFERROR(O10-O9,0)</f>
        <v>4</v>
      </c>
      <c r="P13" s="21">
        <f>=IFERROR(P10-P9,0)</f>
        <v>4</v>
      </c>
      <c r="Q13" s="21">
        <f>=IFERROR(Q10-Q9,0)</f>
        <v>3</v>
      </c>
      <c r="R13" s="21">
        <f>=IFERROR(R10-R9,0)</f>
        <v>2</v>
      </c>
      <c r="S13" s="21">
        <f>=IFERROR(S10-S9,0)</f>
        <v>2</v>
      </c>
      <c r="T13" s="21">
        <f>=IFERROR(T10-T9,0)</f>
        <v>1</v>
      </c>
      <c r="U13" s="21">
        <f>=IFERROR(U10-U9,0)</f>
        <v>1</v>
      </c>
      <c r="V13" s="21">
        <f>=IFERROR(V10-V9,0)</f>
        <v>1</v>
      </c>
      <c r="W13" s="21">
        <f>=IFERROR(W10-W9,0)</f>
        <v>1</v>
      </c>
      <c r="X13" s="21">
        <f>=IFERROR(X10-X9,0)</f>
        <v>1</v>
      </c>
      <c r="Y13" s="21">
        <f>=IFERROR(Y10-Y9,0)</f>
        <v>1</v>
      </c>
      <c r="Z13" s="21">
        <f>=IFERROR(Z10-Z9,0)</f>
        <v>0</v>
      </c>
      <c r="AA13" s="21">
        <f>=IFERROR(AA10-AA9,0)</f>
        <v>0</v>
      </c>
      <c r="AB13" s="21">
        <f>=IFERROR(AB10-AB9,0)</f>
        <v>0</v>
      </c>
      <c r="AC13" s="21">
        <f>=IFERROR(AC10-AC9,0)</f>
        <v>0</v>
      </c>
      <c r="AD13" s="21">
        <f>=IFERROR(AD10-AD9,0)</f>
        <v>0</v>
      </c>
      <c r="AE13" s="21">
        <f>=IFERROR(AE10-AE9,0)</f>
        <v>0</v>
      </c>
      <c r="AF13" s="21">
        <f>=IFERROR(AF10-AF9,0)</f>
        <v>0</v>
      </c>
      <c r="AG13" s="21">
        <f>=IFERROR(AG10-AG9,0)</f>
        <v>-2</v>
      </c>
      <c r="AH13" s="21">
        <f>=IFERROR(AH10-AH9,0)</f>
        <v>-2</v>
      </c>
      <c r="AI13" s="21">
        <f>=IFERROR(AI10-AI9,0)</f>
        <v>-3</v>
      </c>
      <c r="AJ13" s="21">
        <f>=IFERROR(AJ10-AJ9,0)</f>
        <v>-3</v>
      </c>
      <c r="AK13" s="21">
        <f>=IFERROR(AK10-AK9,0)</f>
        <v>-3</v>
      </c>
      <c r="AL13" s="21">
        <f>=IFERROR(AL10-AL9,0)</f>
        <v>-3</v>
      </c>
      <c r="AM13" s="21">
        <f>=IFERROR(AM10-AM9,0)</f>
        <v>-3</v>
      </c>
      <c r="AN13" s="21">
        <f>=IFERROR(AN10-AN9,0)</f>
        <v>-3</v>
      </c>
      <c r="AO13" s="21">
        <f>=IFERROR(AO10-AO9,0)</f>
        <v>-3</v>
      </c>
      <c r="AP13" s="21">
        <f>=IFERROR(AP10-AP9,0)</f>
        <v>-2</v>
      </c>
      <c r="AQ13" s="21">
        <f>=IFERROR(AQ10-AQ9,0)</f>
        <v>-2</v>
      </c>
      <c r="AR13" s="21">
        <f>=IFERROR(AR10-AR9,0)</f>
        <v>-2</v>
      </c>
      <c r="AS13" s="21">
        <f>=IFERROR(AS10-AS9,0)</f>
        <v>-2</v>
      </c>
      <c r="AT13" s="21">
        <f>=IFERROR(AT10-AT9,0)</f>
        <v>-5</v>
      </c>
      <c r="AU13" s="21">
        <f>=IFERROR(AU10-AU9,0)</f>
        <v>-1</v>
      </c>
      <c r="AV13" s="21">
        <f>=IFERROR(AV10-AV9,0)</f>
        <v>-1</v>
      </c>
      <c r="AW13" s="21">
        <f>=IFERROR(AW10-AW9,0)</f>
        <v>-1</v>
      </c>
      <c r="AX13" s="21">
        <f>=IFERROR(AX10-AX9,0)</f>
        <v>1</v>
      </c>
      <c r="AY13" s="21">
        <f>=IFERROR(AY10-AY9,0)</f>
        <v>3</v>
      </c>
      <c r="AZ13" s="21">
        <f>=IFERROR(AZ10-AZ9,0)</f>
        <v>2</v>
      </c>
      <c r="BA13" s="21">
        <f>=IFERROR(BA10-BA9,0)</f>
        <v>2</v>
      </c>
      <c r="BB13" s="21">
        <f>=IFERROR(BB10-BB9,0)</f>
        <v>2</v>
      </c>
      <c r="BC13" s="21">
        <f>=IFERROR(BC10-BC9,0)</f>
        <v>1</v>
      </c>
      <c r="BD13" s="21">
        <f>=IFERROR(BD10-BD9,0)</f>
        <v>1</v>
      </c>
      <c r="BE13" s="21">
        <f>=IFERROR(BE10-BE9,0)</f>
        <v>1</v>
      </c>
      <c r="BF13" s="21">
        <f>=IFERROR(BF10-BF9,0)</f>
        <v>1</v>
      </c>
      <c r="BG13" s="21">
        <f>=IFERROR(BG10-BG9,0)</f>
        <v>0</v>
      </c>
      <c r="BH13" s="21">
        <f>=IFERROR(BH10-BH9,0)</f>
        <v>-1</v>
      </c>
      <c r="BI13" s="21">
        <f>=IFERROR(BI10-BI9,0)</f>
        <v>0</v>
      </c>
      <c r="BJ13" s="21">
        <f>=IFERROR(BJ10-BJ9,0)</f>
        <v>4</v>
      </c>
      <c r="BK13" s="21">
        <f>=IFERROR(BK10-BK9,0)</f>
        <v>4</v>
      </c>
      <c r="BL13" s="21">
        <f>=IFERROR(BL10-BL9,0)</f>
        <v>3</v>
      </c>
      <c r="BM13" s="21">
        <f>=IFERROR(BM10-BM9,0)</f>
        <v>3</v>
      </c>
      <c r="BN13" s="21">
        <f>=IFERROR(BN10-BN9,0)</f>
        <v>3</v>
      </c>
      <c r="BO13" s="21">
        <f>=IFERROR(BO10-BO9,0)</f>
        <v>2</v>
      </c>
      <c r="BP13" s="21">
        <f>=IFERROR(BP10-BP9,0)</f>
        <v>4</v>
      </c>
      <c r="BQ13" s="21">
        <f>=IFERROR(BQ10-BQ9,0)</f>
        <v>3</v>
      </c>
      <c r="BR13" s="21">
        <f>=IFERROR(BR10-BR9,0)</f>
        <v>3</v>
      </c>
      <c r="BS13" s="21">
        <f>=IFERROR(BS10-BS9,0)</f>
        <v>3</v>
      </c>
      <c r="BT13" s="21">
        <f>=IFERROR(BT10-BT9,0)</f>
        <v>3</v>
      </c>
      <c r="BU13" s="21">
        <f>=IFERROR(BU10-BU9,0)</f>
        <v>3</v>
      </c>
      <c r="BV13" s="21">
        <f>=IFERROR(BV10-BV9,0)</f>
        <v>4</v>
      </c>
      <c r="BW13" s="21">
        <f>=IFERROR(BW10-BW9,0)</f>
        <v>4</v>
      </c>
      <c r="BX13" s="21">
        <f>=IFERROR(BX10-BX9,0)</f>
        <v>3</v>
      </c>
      <c r="BY13" s="21">
        <f>=IFERROR(BY10-BY9,0)</f>
        <v>3</v>
      </c>
      <c r="BZ13" s="21">
        <f>=IFERROR(BZ10-BZ9,0)</f>
        <v>2.5875</v>
      </c>
      <c r="CA13" s="21">
        <f>=IFERROR(CA10-CA9,0)</f>
        <v>2.18015625</v>
      </c>
      <c r="CB13" s="21">
        <f>=IFERROR(CB10-CB9,0)</f>
        <v>1.777904296875</v>
      </c>
      <c r="CC13" s="21">
        <f>=IFERROR(CC10-CC9,0)</f>
        <v>1.380680493164064</v>
      </c>
      <c r="CD13" s="21">
        <f>=IFERROR(CD10-CD9,0)</f>
        <v>2.06687368823242</v>
      </c>
      <c r="CE13" s="21">
        <f>=IFERROR(CE10-CE9,0)</f>
        <v>1.756204951350096</v>
      </c>
      <c r="CF13" s="21">
        <f>=IFERROR(CF10-CF9,0)</f>
        <v>1.448642901836596</v>
      </c>
      <c r="CG13" s="21">
        <f>=IFERROR(CG10-CG9,0)</f>
        <v>1.144156472818228</v>
      </c>
      <c r="CH13" s="21">
        <f>=IFERROR(CH10-CH9,0)</f>
        <v>0.842714908090044</v>
      </c>
      <c r="CI13" s="21">
        <f>=IFERROR(CI10-CI9,0)</f>
        <v>0.469680971738916</v>
      </c>
      <c r="CJ13" s="21">
        <f>=IFERROR(CJ10-CJ9,0)</f>
        <v>0.10130995959217</v>
      </c>
      <c r="CK13" s="21">
        <f>=IFERROR(CK10-CK9,0)</f>
        <v>-0.262456414902736</v>
      </c>
      <c r="CL13" s="21">
        <f>=IFERROR(CL10-CL9,0)</f>
        <v>-0.621675709716452</v>
      </c>
      <c r="CM13" s="21">
        <f>=IFERROR(CM10-CM9,0)</f>
        <v>-0.976404763344996</v>
      </c>
      <c r="CN13" s="21">
        <f>=IFERROR(CN10-CN9,0)</f>
        <v>-1.326699703803184</v>
      </c>
      <c r="CO13" s="21">
        <f>=IFERROR(CO10-CO9,0)</f>
        <v>-1.672615957505644</v>
      </c>
      <c r="CP13" s="21">
        <f>=IFERROR(CP10-CP9,0)</f>
        <v>-2.014208258036824</v>
      </c>
      <c r="CQ13" s="21">
        <f>=IFERROR(CQ10-CQ9,0)</f>
        <v>-2.284066175456456</v>
      </c>
      <c r="CR13" s="21">
        <f>=IFERROR(CR10-CR9,0)</f>
        <v>-2.55122551370189</v>
      </c>
      <c r="CS13" s="21">
        <f>=IFERROR(CS10-CS9,0)</f>
        <v>-2.81571325856487</v>
      </c>
      <c r="CT13" s="21">
        <f>=IFERROR(CT10-CT9,0)</f>
        <v>-3.07755612597922</v>
      </c>
      <c r="CU13" s="21">
        <f>=IFERROR(CU10-CU9,0)</f>
        <v>-3.336780564719424</v>
      </c>
      <c r="CV13" s="21">
        <f>=IFERROR(CV10-CV9,0)</f>
        <v>-3.65757080766043</v>
      </c>
      <c r="CW13" s="21">
        <f>=IFERROR(CW10-CW9,0)</f>
        <v>-3.974351172564676</v>
      </c>
      <c r="CX13" s="21">
        <f>=IFERROR(CX10-CX9,0)</f>
        <v>-4.287171782907616</v>
      </c>
      <c r="CY13" s="21">
        <f>=IFERROR(CY10-CY9,0)</f>
        <v>-4.59608213562127</v>
      </c>
      <c r="CZ13" s="21">
        <f>=IFERROR(CZ10-CZ9,0)</f>
        <v>-4.901131108926</v>
      </c>
      <c r="DA13" s="21">
        <f>=IFERROR(DA10-DA9,0)</f>
        <v>-5.202366970064424</v>
      </c>
      <c r="DB13" s="21">
        <f>=IFERROR(DB10-DB9,0)</f>
        <v>-5.49983738293862</v>
      </c>
    </row>
    <row r="14" ht="15" customHeight="1" spans="1:106" x14ac:dyDescent="0.25">
      <c r="A14" s="22" t="s">
        <v>248</v>
      </c>
      <c r="B14" s="17"/>
      <c r="C14" s="18">
        <f>=Round(C11-C8,0)</f>
        <v>10</v>
      </c>
      <c r="D14" s="18">
        <f>=Round(D11-D8,0)</f>
        <v>-23</v>
      </c>
      <c r="E14" s="18">
        <f>=Round(E11-E8,0)</f>
        <v>-28</v>
      </c>
      <c r="F14" s="18">
        <f>=Round(F11-F8,0)</f>
        <v>-29</v>
      </c>
      <c r="G14" s="18">
        <f>=Round(G11-G8,0)</f>
        <v>-29</v>
      </c>
      <c r="H14" s="18">
        <f>=Round(H11-H8,0)</f>
        <v>-29</v>
      </c>
      <c r="I14" s="18">
        <f>=Round(I11-I8,0)</f>
        <v>6</v>
      </c>
      <c r="J14" s="18">
        <f>=Round(J11-J8,0)</f>
        <v>3</v>
      </c>
      <c r="K14" s="18">
        <f>=Round(K11-K8,0)</f>
        <v>40</v>
      </c>
      <c r="L14" s="18">
        <f>=Round(L11-L8,0)</f>
        <v>111</v>
      </c>
      <c r="M14" s="18">
        <f>=Round(M11-M8,0)</f>
        <v>109</v>
      </c>
      <c r="N14" s="18">
        <f>=Round(N11-N8,0)</f>
        <v>143</v>
      </c>
      <c r="O14" s="18">
        <f>=Round(O11-O8,0)</f>
        <v>142</v>
      </c>
      <c r="P14" s="18">
        <f>=Round(P11-P8,0)</f>
        <v>142</v>
      </c>
      <c r="Q14" s="18">
        <f>=Round(Q11-Q8,0)</f>
        <v>109</v>
      </c>
      <c r="R14" s="18">
        <f>=Round(R11-R8,0)</f>
        <v>76</v>
      </c>
      <c r="S14" s="18">
        <f>=Round(S11-S8,0)</f>
        <v>77</v>
      </c>
      <c r="T14" s="18">
        <f>=Round(T11-T8,0)</f>
        <v>41</v>
      </c>
      <c r="U14" s="18">
        <f>=Round(U11-U8,0)</f>
        <v>44</v>
      </c>
      <c r="V14" s="18">
        <f>=Round(V11-V8,0)</f>
        <v>44</v>
      </c>
      <c r="W14" s="18">
        <f>=Round(W11-W8,0)</f>
        <v>44</v>
      </c>
      <c r="X14" s="18">
        <f>=Round(X11-X8,0)</f>
        <v>44</v>
      </c>
      <c r="Y14" s="18">
        <f>=Round(Y11-Y8,0)</f>
        <v>44</v>
      </c>
      <c r="Z14" s="18">
        <f>=Round(Z11-Z8,0)</f>
        <v>10</v>
      </c>
      <c r="AA14" s="18">
        <f>=Round(AA11-AA8,0)</f>
        <v>10</v>
      </c>
      <c r="AB14" s="18">
        <f>=Round(AB11-AB8,0)</f>
        <v>10</v>
      </c>
      <c r="AC14" s="18">
        <f>=Round(AC11-AC8,0)</f>
        <v>9</v>
      </c>
      <c r="AD14" s="18">
        <f>=Round(AD11-AD8,0)</f>
        <v>7</v>
      </c>
      <c r="AE14" s="18">
        <f>=Round(AE11-AE8,0)</f>
        <v>7</v>
      </c>
      <c r="AF14" s="18">
        <f>=Round(AF11-AF8,0)</f>
        <v>7</v>
      </c>
      <c r="AG14" s="18">
        <f>=Round(AG11-AG8,0)</f>
        <v>-60</v>
      </c>
      <c r="AH14" s="18">
        <f>=Round(AH11-AH8,0)</f>
        <v>-59</v>
      </c>
      <c r="AI14" s="18">
        <f>=Round(AI11-AI8,0)</f>
        <v>-92</v>
      </c>
      <c r="AJ14" s="18">
        <f>=Round(AJ11-AJ8,0)</f>
        <v>-92</v>
      </c>
      <c r="AK14" s="18">
        <f>=Round(AK11-AK8,0)</f>
        <v>-92</v>
      </c>
      <c r="AL14" s="18">
        <f>=Round(AL11-AL8,0)</f>
        <v>-100</v>
      </c>
      <c r="AM14" s="18">
        <f>=Round(AM11-AM8,0)</f>
        <v>-100</v>
      </c>
      <c r="AN14" s="18">
        <f>=Round(AN11-AN8,0)</f>
        <v>-100</v>
      </c>
      <c r="AO14" s="18">
        <f>=Round(AO11-AO8,0)</f>
        <v>-100</v>
      </c>
      <c r="AP14" s="18">
        <f>=Round(AP11-AP8,0)</f>
        <v>-63</v>
      </c>
      <c r="AQ14" s="18">
        <f>=Round(AQ11-AQ8,0)</f>
        <v>-63</v>
      </c>
      <c r="AR14" s="18">
        <f>=Round(AR11-AR8,0)</f>
        <v>-63</v>
      </c>
      <c r="AS14" s="18">
        <f>=Round(AS11-AS8,0)</f>
        <v>-63</v>
      </c>
      <c r="AT14" s="18">
        <f>=Round(AT11-AT8,0)</f>
        <v>-171</v>
      </c>
      <c r="AU14" s="18">
        <f>=Round(AU11-AU8,0)</f>
        <v>-33</v>
      </c>
      <c r="AV14" s="18">
        <f>=Round(AV11-AV8,0)</f>
        <v>-33</v>
      </c>
      <c r="AW14" s="18">
        <f>=Round(AW11-AW8,0)</f>
        <v>-33</v>
      </c>
      <c r="AX14" s="18">
        <f>=Round(AX11-AX8,0)</f>
        <v>37</v>
      </c>
      <c r="AY14" s="18">
        <f>=Round(AY11-AY8,0)</f>
        <v>109</v>
      </c>
      <c r="AZ14" s="18">
        <f>=Round(AZ11-AZ8,0)</f>
        <v>74</v>
      </c>
      <c r="BA14" s="18">
        <f>=Round(BA11-BA8,0)</f>
        <v>74</v>
      </c>
      <c r="BB14" s="18">
        <f>=Round(BB11-BB8,0)</f>
        <v>74</v>
      </c>
      <c r="BC14" s="18">
        <f>=Round(BC11-BC8,0)</f>
        <v>26</v>
      </c>
      <c r="BD14" s="18">
        <f>=Round(BD11-BD8,0)</f>
        <v>29</v>
      </c>
      <c r="BE14" s="18">
        <f>=Round(BE11-BE8,0)</f>
        <v>29</v>
      </c>
      <c r="BF14" s="18">
        <f>=Round(BF11-BF8,0)</f>
        <v>29</v>
      </c>
      <c r="BG14" s="18">
        <f>=Round(BG11-BG8,0)</f>
        <v>-5</v>
      </c>
      <c r="BH14" s="18">
        <f>=Round(BH11-BH8,0)</f>
        <v>-40</v>
      </c>
      <c r="BI14" s="18">
        <f>=Round(BI11-BI8,0)</f>
        <v>-6</v>
      </c>
      <c r="BJ14" s="18">
        <f>=Round(BJ11-BJ8,0)</f>
        <v>132</v>
      </c>
      <c r="BK14" s="18">
        <f>=Round(BK11-BK8,0)</f>
        <v>132</v>
      </c>
      <c r="BL14" s="18">
        <f>=Round(BL11-BL8,0)</f>
        <v>115</v>
      </c>
      <c r="BM14" s="18">
        <f>=Round(BM11-BM8,0)</f>
        <v>116</v>
      </c>
      <c r="BN14" s="18">
        <f>=Round(BN11-BN8,0)</f>
        <v>116</v>
      </c>
      <c r="BO14" s="18">
        <f>=Round(BO11-BO8,0)</f>
        <v>81</v>
      </c>
      <c r="BP14" s="18">
        <f>=Round(BP11-BP8,0)</f>
        <v>148</v>
      </c>
      <c r="BQ14" s="18">
        <f>=Round(BQ11-BQ8,0)</f>
        <v>113</v>
      </c>
      <c r="BR14" s="18">
        <f>=Round(BR11-BR8,0)</f>
        <v>113</v>
      </c>
      <c r="BS14" s="18">
        <f>=Round(BS11-BS8,0)</f>
        <v>113</v>
      </c>
      <c r="BT14" s="18">
        <f>=Round(BT11-BT8,0)</f>
        <v>111</v>
      </c>
      <c r="BU14" s="18">
        <f>=Round(BU11-BU8,0)</f>
        <v>112</v>
      </c>
      <c r="BV14" s="18">
        <f>=Round(BV11-BV8,0)</f>
        <v>147</v>
      </c>
      <c r="BW14" s="18">
        <f>=Round(BW11-BW8,0)</f>
        <v>147</v>
      </c>
      <c r="BX14" s="18">
        <f>=Round(BX11-BX8,0)</f>
        <v>112</v>
      </c>
      <c r="BY14" s="18">
        <f>=Round(BY11-BY8,0)</f>
        <v>114</v>
      </c>
      <c r="BZ14" s="18">
        <f>=Round(BZ11-BZ8,0)</f>
        <v>100</v>
      </c>
      <c r="CA14" s="18">
        <f>=Round(CA11-CA8,0)</f>
        <v>86</v>
      </c>
      <c r="CB14" s="18">
        <f>=Round(CB11-CB8,0)</f>
        <v>72</v>
      </c>
      <c r="CC14" s="18">
        <f>=Round(CC11-CC8,0)</f>
        <v>57</v>
      </c>
      <c r="CD14" s="18">
        <f>=Round(CD11-CD8,0)</f>
        <v>85</v>
      </c>
      <c r="CE14" s="18">
        <f>=Round(CE11-CE8,0)</f>
        <v>73</v>
      </c>
      <c r="CF14" s="18">
        <f>=Round(CF11-CF8,0)</f>
        <v>63</v>
      </c>
      <c r="CG14" s="18">
        <f>=Round(CG11-CG8,0)</f>
        <v>52</v>
      </c>
      <c r="CH14" s="18">
        <f>=Round(CH11-CH8,0)</f>
        <v>39</v>
      </c>
      <c r="CI14" s="18">
        <f>=Round(CI11-CI8,0)</f>
        <v>25</v>
      </c>
      <c r="CJ14" s="18">
        <f>=Round(CJ11-CJ8,0)</f>
        <v>12</v>
      </c>
      <c r="CK14" s="18">
        <f>=Round(CK11-CK8,0)</f>
        <v>0</v>
      </c>
      <c r="CL14" s="18">
        <f>=Round(CL11-CL8,0)</f>
        <v>-14</v>
      </c>
      <c r="CM14" s="18">
        <f>=Round(CM11-CM8,0)</f>
        <v>-27</v>
      </c>
      <c r="CN14" s="18">
        <f>=Round(CN11-CN8,0)</f>
        <v>-38</v>
      </c>
      <c r="CO14" s="18">
        <f>=Round(CO11-CO8,0)</f>
        <v>-50</v>
      </c>
      <c r="CP14" s="18">
        <f>=Round(CP11-CP8,0)</f>
        <v>-62</v>
      </c>
      <c r="CQ14" s="18">
        <f>=Round(CQ11-CQ8,0)</f>
        <v>-70</v>
      </c>
      <c r="CR14" s="18">
        <f>=Round(CR11-CR8,0)</f>
        <v>-80</v>
      </c>
      <c r="CS14" s="18">
        <f>=Round(CS11-CS8,0)</f>
        <v>-89</v>
      </c>
      <c r="CT14" s="18">
        <f>=Round(CT11-CT8,0)</f>
        <v>-97</v>
      </c>
      <c r="CU14" s="18">
        <f>=Round(CU11-CU8,0)</f>
        <v>-107</v>
      </c>
      <c r="CV14" s="18">
        <f>=Round(CV11-CV8,0)</f>
        <v>-118</v>
      </c>
      <c r="CW14" s="18">
        <f>=Round(CW11-CW8,0)</f>
        <v>-129</v>
      </c>
      <c r="CX14" s="18">
        <f>=Round(CX11-CX8,0)</f>
        <v>-140</v>
      </c>
      <c r="CY14" s="18">
        <f>=Round(CY11-CY8,0)</f>
        <v>-148</v>
      </c>
      <c r="CZ14" s="18">
        <f>=Round(CZ11-CZ8,0)</f>
        <v>-164</v>
      </c>
      <c r="DA14" s="18">
        <f>=Round(DA11-DA8,0)</f>
        <v>-174</v>
      </c>
      <c r="DB14" s="18">
        <f>=Round(DB11-DB8,0)</f>
        <v>-185</v>
      </c>
    </row>
    <row r="15" ht="14" customHeight="1" spans="1:106" x14ac:dyDescent="0.25">
      <c r="A15" s="23" t="s">
        <v>249</v>
      </c>
      <c r="B15" s="24"/>
      <c r="C15" s="25">
        <f>=Round(IFERROR(C10/C7,0),2)</f>
        <v>1</v>
      </c>
      <c r="D15" s="25">
        <f>=Round(IFERROR(D10/D7,0),2)</f>
        <v>0.98</v>
      </c>
      <c r="E15" s="25">
        <f>=Round(IFERROR(E10/E7,0),2)</f>
        <v>0.93</v>
      </c>
      <c r="F15" s="25">
        <f>=Round(IFERROR(F10/F7,0),2)</f>
        <v>0.93</v>
      </c>
      <c r="G15" s="25">
        <f>=Round(IFERROR(G10/G7,0),2)</f>
        <v>0.93</v>
      </c>
      <c r="H15" s="25">
        <f>=Round(IFERROR(H10/H7,0),2)</f>
        <v>0.93</v>
      </c>
      <c r="I15" s="25">
        <f>=Round(IFERROR(I10/I7,0),2)</f>
        <v>0.95</v>
      </c>
      <c r="J15" s="25">
        <f>=Round(IFERROR(J10/J7,0),2)</f>
        <v>0.95</v>
      </c>
      <c r="K15" s="25">
        <f>=Round(IFERROR(K10/K7,0),2)</f>
        <v>0.98</v>
      </c>
      <c r="L15" s="25">
        <f>=Round(IFERROR(L10/L7,0),2)</f>
        <v>1.08</v>
      </c>
      <c r="M15" s="25">
        <f>=Round(IFERROR(M10/M7,0),2)</f>
        <v>1.08</v>
      </c>
      <c r="N15" s="25">
        <f>=Round(IFERROR(N10/N7,0),2)</f>
        <v>1.12</v>
      </c>
      <c r="O15" s="25">
        <f>=Round(IFERROR(O10/O7,0),2)</f>
        <v>1.12</v>
      </c>
      <c r="P15" s="25">
        <f>=Round(IFERROR(P10/P7,0),2)</f>
        <v>1.12</v>
      </c>
      <c r="Q15" s="25">
        <f>=Round(IFERROR(Q10/Q7,0),2)</f>
        <v>1.09</v>
      </c>
      <c r="R15" s="25">
        <f>=Round(IFERROR(R10/R7,0),2)</f>
        <v>1.06</v>
      </c>
      <c r="S15" s="25">
        <f>=Round(IFERROR(S10/S7,0),2)</f>
        <v>1.06</v>
      </c>
      <c r="T15" s="25">
        <f>=Round(IFERROR(T10/T7,0),2)</f>
        <v>1.03</v>
      </c>
      <c r="U15" s="25">
        <f>=Round(IFERROR(U10/U7,0),2)</f>
        <v>1.03</v>
      </c>
      <c r="V15" s="25">
        <f>=Round(IFERROR(V10/V7,0),2)</f>
        <v>1.03</v>
      </c>
      <c r="W15" s="25">
        <f>=Round(IFERROR(W10/W7,0),2)</f>
        <v>1.03</v>
      </c>
      <c r="X15" s="25">
        <f>=Round(IFERROR(X10/X7,0),2)</f>
        <v>1.03</v>
      </c>
      <c r="Y15" s="25">
        <f>=Round(IFERROR(Y10/Y7,0),2)</f>
        <v>1.03</v>
      </c>
      <c r="Z15" s="25">
        <f>=Round(IFERROR(Z10/Z7,0),2)</f>
        <v>1</v>
      </c>
      <c r="AA15" s="25">
        <f>=Round(IFERROR(AA10/AA7,0),2)</f>
        <v>1</v>
      </c>
      <c r="AB15" s="25">
        <f>=Round(IFERROR(AB10/AB7,0),2)</f>
        <v>1</v>
      </c>
      <c r="AC15" s="25">
        <f>=Round(IFERROR(AC10/AC7,0),2)</f>
        <v>1</v>
      </c>
      <c r="AD15" s="25">
        <f>=Round(IFERROR(AD10/AD7,0),2)</f>
        <v>1</v>
      </c>
      <c r="AE15" s="25">
        <f>=Round(IFERROR(AE10/AE7,0),2)</f>
        <v>1</v>
      </c>
      <c r="AF15" s="25">
        <f>=Round(IFERROR(AF10/AF7,0),2)</f>
        <v>1</v>
      </c>
      <c r="AG15" s="25">
        <f>=Round(IFERROR(AG10/AG7,0),2)</f>
        <v>0.94</v>
      </c>
      <c r="AH15" s="25">
        <f>=Round(IFERROR(AH10/AH7,0),2)</f>
        <v>0.94</v>
      </c>
      <c r="AI15" s="25">
        <f>=Round(IFERROR(AI10/AI7,0),2)</f>
        <v>0.91</v>
      </c>
      <c r="AJ15" s="25">
        <f>=Round(IFERROR(AJ10/AJ7,0),2)</f>
        <v>0.91</v>
      </c>
      <c r="AK15" s="25">
        <f>=Round(IFERROR(AK10/AK7,0),2)</f>
        <v>0.91</v>
      </c>
      <c r="AL15" s="25">
        <f>=Round(IFERROR(AL10/AL7,0),2)</f>
        <v>0.91</v>
      </c>
      <c r="AM15" s="25">
        <f>=Round(IFERROR(AM10/AM7,0),2)</f>
        <v>0.91</v>
      </c>
      <c r="AN15" s="25">
        <f>=Round(IFERROR(AN10/AN7,0),2)</f>
        <v>0.91</v>
      </c>
      <c r="AO15" s="25">
        <f>=Round(IFERROR(AO10/AO7,0),2)</f>
        <v>0.91</v>
      </c>
      <c r="AP15" s="25">
        <f>=Round(IFERROR(AP10/AP7,0),2)</f>
        <v>0.91</v>
      </c>
      <c r="AQ15" s="25">
        <f>=Round(IFERROR(AQ10/AQ7,0),2)</f>
        <v>0.91</v>
      </c>
      <c r="AR15" s="25">
        <f>=Round(IFERROR(AR10/AR7,0),2)</f>
        <v>0.91</v>
      </c>
      <c r="AS15" s="25">
        <f>=Round(IFERROR(AS10/AS7,0),2)</f>
        <v>0.91</v>
      </c>
      <c r="AT15" s="25">
        <f>=Round(IFERROR(AT10/AT7,0),2)</f>
        <v>0.88</v>
      </c>
      <c r="AU15" s="25">
        <f>=Round(IFERROR(AU10/AU7,0),2)</f>
        <v>1</v>
      </c>
      <c r="AV15" s="25">
        <f>=Round(IFERROR(AV10/AV7,0),2)</f>
        <v>1</v>
      </c>
      <c r="AW15" s="25">
        <f>=Round(IFERROR(AW10/AW7,0),2)</f>
        <v>1</v>
      </c>
      <c r="AX15" s="25">
        <f>=Round(IFERROR(AX10/AX7,0),2)</f>
        <v>1.06</v>
      </c>
      <c r="AY15" s="25">
        <f>=Round(IFERROR(AY10/AY7,0),2)</f>
        <v>1.06</v>
      </c>
      <c r="AZ15" s="25">
        <f>=Round(IFERROR(AZ10/AZ7,0),2)</f>
        <v>1.03</v>
      </c>
      <c r="BA15" s="25">
        <f>=Round(IFERROR(BA10/BA7,0),2)</f>
        <v>1.03</v>
      </c>
      <c r="BB15" s="25">
        <f>=Round(IFERROR(BB10/BB7,0),2)</f>
        <v>1.03</v>
      </c>
      <c r="BC15" s="25">
        <f>=Round(IFERROR(BC10/BC7,0),2)</f>
        <v>1</v>
      </c>
      <c r="BD15" s="25">
        <f>=Round(IFERROR(BD10/BD7,0),2)</f>
        <v>1</v>
      </c>
      <c r="BE15" s="25">
        <f>=Round(IFERROR(BE10/BE7,0),2)</f>
        <v>1</v>
      </c>
      <c r="BF15" s="25">
        <f>=Round(IFERROR(BF10/BF7,0),2)</f>
        <v>1</v>
      </c>
      <c r="BG15" s="25">
        <f>=Round(IFERROR(BG10/BG7,0),2)</f>
        <v>0.97</v>
      </c>
      <c r="BH15" s="25">
        <f>=Round(IFERROR(BH10/BH7,0),2)</f>
        <v>0.94</v>
      </c>
      <c r="BI15" s="25">
        <f>=Round(IFERROR(BI10/BI7,0),2)</f>
        <v>0.97</v>
      </c>
      <c r="BJ15" s="25">
        <f>=Round(IFERROR(BJ10/BJ7,0),2)</f>
        <v>1.09</v>
      </c>
      <c r="BK15" s="25">
        <f>=Round(IFERROR(BK10/BK7,0),2)</f>
        <v>1.09</v>
      </c>
      <c r="BL15" s="25">
        <f>=Round(IFERROR(BL10/BL7,0),2)</f>
        <v>1.09</v>
      </c>
      <c r="BM15" s="25">
        <f>=Round(IFERROR(BM10/BM7,0),2)</f>
        <v>1.09</v>
      </c>
      <c r="BN15" s="25">
        <f>=Round(IFERROR(BN10/BN7,0),2)</f>
        <v>1.09</v>
      </c>
      <c r="BO15" s="25">
        <f>=Round(IFERROR(BO10/BO7,0),2)</f>
        <v>1.06</v>
      </c>
      <c r="BP15" s="25">
        <f>=Round(IFERROR(BP10/BP7,0),2)</f>
        <v>1.13</v>
      </c>
      <c r="BQ15" s="25">
        <f>=Round(IFERROR(BQ10/BQ7,0),2)</f>
        <v>1.1</v>
      </c>
      <c r="BR15" s="25">
        <f>=Round(IFERROR(BR10/BR7,0),2)</f>
        <v>1.1</v>
      </c>
      <c r="BS15" s="25">
        <f>=Round(IFERROR(BS10/BS7,0),2)</f>
        <v>1.1</v>
      </c>
      <c r="BT15" s="25">
        <f>=Round(IFERROR(BT10/BT7,0),2)</f>
        <v>1.1</v>
      </c>
      <c r="BU15" s="25">
        <f>=Round(IFERROR(BU10/BU7,0),2)</f>
        <v>1.1</v>
      </c>
      <c r="BV15" s="25">
        <f>=Round(IFERROR(BV10/BV7,0),2)</f>
        <v>1.13</v>
      </c>
      <c r="BW15" s="25">
        <f>=Round(IFERROR(BW10/BW7,0),2)</f>
        <v>1.13</v>
      </c>
      <c r="BX15" s="25">
        <f>=Round(IFERROR(BX10/BX7,0),2)</f>
        <v>1.1</v>
      </c>
      <c r="BY15" s="25">
        <f>=Round(IFERROR(BY10/BY7,0),2)</f>
        <v>1.1</v>
      </c>
      <c r="BZ15" s="25">
        <f>=Round(IFERROR(BZ10/BZ7,0),2)</f>
        <v>1.09</v>
      </c>
      <c r="CA15" s="25">
        <f>=Round(IFERROR(CA10/CA7,0),2)</f>
        <v>1.07</v>
      </c>
      <c r="CB15" s="25">
        <f>=Round(IFERROR(CB10/CB7,0),2)</f>
        <v>1.06</v>
      </c>
      <c r="CC15" s="25">
        <f>=Round(IFERROR(CC10/CC7,0),2)</f>
        <v>1.05</v>
      </c>
      <c r="CD15" s="25">
        <f>=Round(IFERROR(CD10/CD7,0),2)</f>
        <v>1.04</v>
      </c>
      <c r="CE15" s="25">
        <f>=Round(IFERROR(CE10/CE7,0),2)</f>
        <v>1.03</v>
      </c>
      <c r="CF15" s="25">
        <f>=Round(IFERROR(CF10/CF7,0),2)</f>
        <v>1.01</v>
      </c>
      <c r="CG15" s="25">
        <f>=Round(IFERROR(CG10/CG7,0),2)</f>
        <v>1</v>
      </c>
      <c r="CH15" s="25">
        <f>=Round(IFERROR(CH10/CH7,0),2)</f>
        <v>0.99</v>
      </c>
      <c r="CI15" s="25">
        <f>=Round(IFERROR(CI10/CI7,0),2)</f>
        <v>0.98</v>
      </c>
      <c r="CJ15" s="25">
        <f>=Round(IFERROR(CJ10/CJ7,0),2)</f>
        <v>0.97</v>
      </c>
      <c r="CK15" s="25">
        <f>=Round(IFERROR(CK10/CK7,0),2)</f>
        <v>0.96</v>
      </c>
      <c r="CL15" s="25">
        <f>=Round(IFERROR(CL10/CL7,0),2)</f>
        <v>0.95</v>
      </c>
      <c r="CM15" s="25">
        <f>=Round(IFERROR(CM10/CM7,0),2)</f>
        <v>0.93</v>
      </c>
      <c r="CN15" s="25">
        <f>=Round(IFERROR(CN10/CN7,0),2)</f>
        <v>0.92</v>
      </c>
      <c r="CO15" s="25">
        <f>=Round(IFERROR(CO10/CO7,0),2)</f>
        <v>0.91</v>
      </c>
      <c r="CP15" s="25">
        <f>=Round(IFERROR(CP10/CP7,0),2)</f>
        <v>0.9</v>
      </c>
      <c r="CQ15" s="25">
        <f>=Round(IFERROR(CQ10/CQ7,0),2)</f>
        <v>0.89</v>
      </c>
      <c r="CR15" s="25">
        <f>=Round(IFERROR(CR10/CR7,0),2)</f>
        <v>0.88</v>
      </c>
      <c r="CS15" s="25">
        <f>=Round(IFERROR(CS10/CS7,0),2)</f>
        <v>0.87</v>
      </c>
      <c r="CT15" s="25">
        <f>=Round(IFERROR(CT10/CT7,0),2)</f>
        <v>0.86</v>
      </c>
      <c r="CU15" s="25">
        <f>=Round(IFERROR(CU10/CU7,0),2)</f>
        <v>0.86</v>
      </c>
      <c r="CV15" s="25">
        <f>=Round(IFERROR(CV10/CV7,0),2)</f>
        <v>0.84</v>
      </c>
      <c r="CW15" s="25">
        <f>=Round(IFERROR(CW10/CW7,0),2)</f>
        <v>0.83</v>
      </c>
      <c r="CX15" s="25">
        <f>=Round(IFERROR(CX10/CX7,0),2)</f>
        <v>0.82</v>
      </c>
      <c r="CY15" s="25">
        <f>=Round(IFERROR(CY10/CY7,0),2)</f>
        <v>0.81</v>
      </c>
      <c r="CZ15" s="25">
        <f>=Round(IFERROR(CZ10/CZ7,0),2)</f>
        <v>0.8</v>
      </c>
      <c r="DA15" s="25">
        <f>=Round(IFERROR(DA10/DA7,0),2)</f>
        <v>0.79</v>
      </c>
      <c r="DB15" s="25">
        <f>=Round(IFERROR(DB10/DB7,0),2)</f>
        <v>0.78</v>
      </c>
    </row>
    <row r="16" spans="1:106" x14ac:dyDescent="0.25">
      <c r="A16" s="23" t="s">
        <v>250</v>
      </c>
      <c r="B16" s="24"/>
      <c r="C16" s="25">
        <f>=Round(IFERROR(C10/C9,0),2)</f>
        <v>1</v>
      </c>
      <c r="D16" s="25">
        <f>=Round(IFERROR(D10/D9,0),2)</f>
        <v>0.98</v>
      </c>
      <c r="E16" s="25">
        <f>=Round(IFERROR(E10/E9,0),2)</f>
        <v>0.97</v>
      </c>
      <c r="F16" s="25">
        <f>=Round(IFERROR(F10/F9,0),2)</f>
        <v>0.97</v>
      </c>
      <c r="G16" s="25">
        <f>=Round(IFERROR(G10/G9,0),2)</f>
        <v>0.97</v>
      </c>
      <c r="H16" s="25">
        <f>=Round(IFERROR(H10/H9,0),2)</f>
        <v>0.97</v>
      </c>
      <c r="I16" s="25">
        <f>=Round(IFERROR(I10/I9,0),2)</f>
        <v>1</v>
      </c>
      <c r="J16" s="25">
        <f>=Round(IFERROR(J10/J9,0),2)</f>
        <v>1</v>
      </c>
      <c r="K16" s="25">
        <f>=Round(IFERROR(K10/K9,0),2)</f>
        <v>1.03</v>
      </c>
      <c r="L16" s="25">
        <f>=Round(IFERROR(L10/L9,0),2)</f>
        <v>1.08</v>
      </c>
      <c r="M16" s="25">
        <f>=Round(IFERROR(M10/M9,0),2)</f>
        <v>1.08</v>
      </c>
      <c r="N16" s="25">
        <f>=Round(IFERROR(N10/N9,0),2)</f>
        <v>1.12</v>
      </c>
      <c r="O16" s="25">
        <f>=Round(IFERROR(O10/O9,0),2)</f>
        <v>1.12</v>
      </c>
      <c r="P16" s="25">
        <f>=Round(IFERROR(P10/P9,0),2)</f>
        <v>1.12</v>
      </c>
      <c r="Q16" s="25">
        <f>=Round(IFERROR(Q10/Q9,0),2)</f>
        <v>1.09</v>
      </c>
      <c r="R16" s="25">
        <f>=Round(IFERROR(R10/R9,0),2)</f>
        <v>1.06</v>
      </c>
      <c r="S16" s="25">
        <f>=Round(IFERROR(S10/S9,0),2)</f>
        <v>1.06</v>
      </c>
      <c r="T16" s="25">
        <f>=Round(IFERROR(T10/T9,0),2)</f>
        <v>1.03</v>
      </c>
      <c r="U16" s="25">
        <f>=Round(IFERROR(U10/U9,0),2)</f>
        <v>1.03</v>
      </c>
      <c r="V16" s="25">
        <f>=Round(IFERROR(V10/V9,0),2)</f>
        <v>1.03</v>
      </c>
      <c r="W16" s="25">
        <f>=Round(IFERROR(W10/W9,0),2)</f>
        <v>1.03</v>
      </c>
      <c r="X16" s="25">
        <f>=Round(IFERROR(X10/X9,0),2)</f>
        <v>1.03</v>
      </c>
      <c r="Y16" s="25">
        <f>=Round(IFERROR(Y10/Y9,0),2)</f>
        <v>1.03</v>
      </c>
      <c r="Z16" s="25">
        <f>=Round(IFERROR(Z10/Z9,0),2)</f>
        <v>1</v>
      </c>
      <c r="AA16" s="25">
        <f>=Round(IFERROR(AA10/AA9,0),2)</f>
        <v>1</v>
      </c>
      <c r="AB16" s="25">
        <f>=Round(IFERROR(AB10/AB9,0),2)</f>
        <v>1</v>
      </c>
      <c r="AC16" s="25">
        <f>=Round(IFERROR(AC10/AC9,0),2)</f>
        <v>1</v>
      </c>
      <c r="AD16" s="25">
        <f>=Round(IFERROR(AD10/AD9,0),2)</f>
        <v>1</v>
      </c>
      <c r="AE16" s="25">
        <f>=Round(IFERROR(AE10/AE9,0),2)</f>
        <v>1</v>
      </c>
      <c r="AF16" s="25">
        <f>=Round(IFERROR(AF10/AF9,0),2)</f>
        <v>1</v>
      </c>
      <c r="AG16" s="25">
        <f>=Round(IFERROR(AG10/AG9,0),2)</f>
        <v>0.94</v>
      </c>
      <c r="AH16" s="25">
        <f>=Round(IFERROR(AH10/AH9,0),2)</f>
        <v>0.94</v>
      </c>
      <c r="AI16" s="25">
        <f>=Round(IFERROR(AI10/AI9,0),2)</f>
        <v>0.91</v>
      </c>
      <c r="AJ16" s="25">
        <f>=Round(IFERROR(AJ10/AJ9,0),2)</f>
        <v>0.91</v>
      </c>
      <c r="AK16" s="25">
        <f>=Round(IFERROR(AK10/AK9,0),2)</f>
        <v>0.91</v>
      </c>
      <c r="AL16" s="25">
        <f>=Round(IFERROR(AL10/AL9,0),2)</f>
        <v>0.91</v>
      </c>
      <c r="AM16" s="25">
        <f>=Round(IFERROR(AM10/AM9,0),2)</f>
        <v>0.91</v>
      </c>
      <c r="AN16" s="25">
        <f>=Round(IFERROR(AN10/AN9,0),2)</f>
        <v>0.91</v>
      </c>
      <c r="AO16" s="25">
        <f>=Round(IFERROR(AO10/AO9,0),2)</f>
        <v>0.91</v>
      </c>
      <c r="AP16" s="25">
        <f>=Round(IFERROR(AP10/AP9,0),2)</f>
        <v>0.94</v>
      </c>
      <c r="AQ16" s="25">
        <f>=Round(IFERROR(AQ10/AQ9,0),2)</f>
        <v>0.94</v>
      </c>
      <c r="AR16" s="25">
        <f>=Round(IFERROR(AR10/AR9,0),2)</f>
        <v>0.94</v>
      </c>
      <c r="AS16" s="25">
        <f>=Round(IFERROR(AS10/AS9,0),2)</f>
        <v>0.94</v>
      </c>
      <c r="AT16" s="25">
        <f>=Round(IFERROR(AT10/AT9,0),2)</f>
        <v>0.86</v>
      </c>
      <c r="AU16" s="25">
        <f>=Round(IFERROR(AU10/AU9,0),2)</f>
        <v>0.97</v>
      </c>
      <c r="AV16" s="25">
        <f>=Round(IFERROR(AV10/AV9,0),2)</f>
        <v>0.97</v>
      </c>
      <c r="AW16" s="25">
        <f>=Round(IFERROR(AW10/AW9,0),2)</f>
        <v>0.97</v>
      </c>
      <c r="AX16" s="25">
        <f>=Round(IFERROR(AX10/AX9,0),2)</f>
        <v>1.03</v>
      </c>
      <c r="AY16" s="25">
        <f>=Round(IFERROR(AY10/AY9,0),2)</f>
        <v>1.09</v>
      </c>
      <c r="AZ16" s="25">
        <f>=Round(IFERROR(AZ10/AZ9,0),2)</f>
        <v>1.06</v>
      </c>
      <c r="BA16" s="25">
        <f>=Round(IFERROR(BA10/BA9,0),2)</f>
        <v>1.06</v>
      </c>
      <c r="BB16" s="25">
        <f>=Round(IFERROR(BB10/BB9,0),2)</f>
        <v>1.06</v>
      </c>
      <c r="BC16" s="25">
        <f>=Round(IFERROR(BC10/BC9,0),2)</f>
        <v>1.03</v>
      </c>
      <c r="BD16" s="25">
        <f>=Round(IFERROR(BD10/BD9,0),2)</f>
        <v>1.03</v>
      </c>
      <c r="BE16" s="25">
        <f>=Round(IFERROR(BE10/BE9,0),2)</f>
        <v>1.03</v>
      </c>
      <c r="BF16" s="25">
        <f>=Round(IFERROR(BF10/BF9,0),2)</f>
        <v>1.03</v>
      </c>
      <c r="BG16" s="25">
        <f>=Round(IFERROR(BG10/BG9,0),2)</f>
        <v>1</v>
      </c>
      <c r="BH16" s="25">
        <f>=Round(IFERROR(BH10/BH9,0),2)</f>
        <v>0.97</v>
      </c>
      <c r="BI16" s="25">
        <f>=Round(IFERROR(BI10/BI9,0),2)</f>
        <v>1</v>
      </c>
      <c r="BJ16" s="25">
        <f>=Round(IFERROR(BJ10/BJ9,0),2)</f>
        <v>1.12</v>
      </c>
      <c r="BK16" s="25">
        <f>=Round(IFERROR(BK10/BK9,0),2)</f>
        <v>1.12</v>
      </c>
      <c r="BL16" s="25">
        <f>=Round(IFERROR(BL10/BL9,0),2)</f>
        <v>1.09</v>
      </c>
      <c r="BM16" s="25">
        <f>=Round(IFERROR(BM10/BM9,0),2)</f>
        <v>1.09</v>
      </c>
      <c r="BN16" s="25">
        <f>=Round(IFERROR(BN10/BN9,0),2)</f>
        <v>1.09</v>
      </c>
      <c r="BO16" s="25">
        <f>=Round(IFERROR(BO10/BO9,0),2)</f>
        <v>1.06</v>
      </c>
      <c r="BP16" s="25">
        <f>=Round(IFERROR(BP10/BP9,0),2)</f>
        <v>1.13</v>
      </c>
      <c r="BQ16" s="25">
        <f>=Round(IFERROR(BQ10/BQ9,0),2)</f>
        <v>1.1</v>
      </c>
      <c r="BR16" s="25">
        <f>=Round(IFERROR(BR10/BR9,0),2)</f>
        <v>1.1</v>
      </c>
      <c r="BS16" s="25">
        <f>=Round(IFERROR(BS10/BS9,0),2)</f>
        <v>1.1</v>
      </c>
      <c r="BT16" s="25">
        <f>=Round(IFERROR(BT10/BT9,0),2)</f>
        <v>1.1</v>
      </c>
      <c r="BU16" s="25">
        <f>=Round(IFERROR(BU10/BU9,0),2)</f>
        <v>1.1</v>
      </c>
      <c r="BV16" s="25">
        <f>=Round(IFERROR(BV10/BV9,0),2)</f>
        <v>1.13</v>
      </c>
      <c r="BW16" s="25">
        <f>=Round(IFERROR(BW10/BW9,0),2)</f>
        <v>1.13</v>
      </c>
      <c r="BX16" s="25">
        <f>=Round(IFERROR(BX10/BX9,0),2)</f>
        <v>1.1</v>
      </c>
      <c r="BY16" s="25">
        <f>=Round(IFERROR(BY10/BY9,0),2)</f>
        <v>1.1</v>
      </c>
      <c r="BZ16" s="25">
        <f>=Round(IFERROR(BZ10/BZ9,0),2)</f>
        <v>1.09</v>
      </c>
      <c r="CA16" s="25">
        <f>=Round(IFERROR(CA10/CA9,0),2)</f>
        <v>1.07</v>
      </c>
      <c r="CB16" s="25">
        <f>=Round(IFERROR(CB10/CB9,0),2)</f>
        <v>1.06</v>
      </c>
      <c r="CC16" s="25">
        <f>=Round(IFERROR(CC10/CC9,0),2)</f>
        <v>1.05</v>
      </c>
      <c r="CD16" s="25">
        <f>=Round(IFERROR(CD10/CD9,0),2)</f>
        <v>1.07</v>
      </c>
      <c r="CE16" s="25">
        <f>=Round(IFERROR(CE10/CE9,0),2)</f>
        <v>1.06</v>
      </c>
      <c r="CF16" s="25">
        <f>=Round(IFERROR(CF10/CF9,0),2)</f>
        <v>1.05</v>
      </c>
      <c r="CG16" s="25">
        <f>=Round(IFERROR(CG10/CG9,0),2)</f>
        <v>1.04</v>
      </c>
      <c r="CH16" s="25">
        <f>=Round(IFERROR(CH10/CH9,0),2)</f>
        <v>1.03</v>
      </c>
      <c r="CI16" s="25">
        <f>=Round(IFERROR(CI10/CI9,0),2)</f>
        <v>1.02</v>
      </c>
      <c r="CJ16" s="25">
        <f>=Round(IFERROR(CJ10/CJ9,0),2)</f>
        <v>1</v>
      </c>
      <c r="CK16" s="25">
        <f>=Round(IFERROR(CK10/CK9,0),2)</f>
        <v>0.99</v>
      </c>
      <c r="CL16" s="25">
        <f>=Round(IFERROR(CL10/CL9,0),2)</f>
        <v>0.98</v>
      </c>
      <c r="CM16" s="25">
        <f>=Round(IFERROR(CM10/CM9,0),2)</f>
        <v>0.97</v>
      </c>
      <c r="CN16" s="25">
        <f>=Round(IFERROR(CN10/CN9,0),2)</f>
        <v>0.95</v>
      </c>
      <c r="CO16" s="25">
        <f>=Round(IFERROR(CO10/CO9,0),2)</f>
        <v>0.94</v>
      </c>
      <c r="CP16" s="25">
        <f>=Round(IFERROR(CP10/CP9,0),2)</f>
        <v>0.93</v>
      </c>
      <c r="CQ16" s="25">
        <f>=Round(IFERROR(CQ10/CQ9,0),2)</f>
        <v>0.92</v>
      </c>
      <c r="CR16" s="25">
        <f>=Round(IFERROR(CR10/CR9,0),2)</f>
        <v>0.91</v>
      </c>
      <c r="CS16" s="25">
        <f>=Round(IFERROR(CS10/CS9,0),2)</f>
        <v>0.9</v>
      </c>
      <c r="CT16" s="25">
        <f>=Round(IFERROR(CT10/CT9,0),2)</f>
        <v>0.89</v>
      </c>
      <c r="CU16" s="25">
        <f>=Round(IFERROR(CU10/CU9,0),2)</f>
        <v>0.88</v>
      </c>
      <c r="CV16" s="25">
        <f>=Round(IFERROR(CV10/CV9,0),2)</f>
        <v>0.87</v>
      </c>
      <c r="CW16" s="25">
        <f>=Round(IFERROR(CW10/CW9,0),2)</f>
        <v>0.86</v>
      </c>
      <c r="CX16" s="25">
        <f>=Round(IFERROR(CX10/CX9,0),2)</f>
        <v>0.85</v>
      </c>
      <c r="CY16" s="25">
        <f>=Round(IFERROR(CY10/CY9,0),2)</f>
        <v>0.84</v>
      </c>
      <c r="CZ16" s="25">
        <f>=Round(IFERROR(CZ10/CZ9,0),2)</f>
        <v>0.83</v>
      </c>
      <c r="DA16" s="25">
        <f>=Round(IFERROR(DA10/DA9,0),2)</f>
        <v>0.82</v>
      </c>
      <c r="DB16" s="25">
        <f>=Round(IFERROR(DB10/DB9,0),2)</f>
        <v>0.81</v>
      </c>
    </row>
    <row r="17" ht="14" customHeight="1" spans="1:106" x14ac:dyDescent="0.25">
      <c r="A17" s="23" t="s">
        <v>251</v>
      </c>
      <c r="B17" s="24"/>
      <c r="C17" s="26">
        <f>=IFERROR(C11/C8,0)</f>
        <v>1.0070175438596491</v>
      </c>
      <c r="D17" s="26">
        <f>=IFERROR(D11/D8,0)</f>
        <v>0.9831748354059985</v>
      </c>
      <c r="E17" s="25">
        <f>=IFERROR(E11/E8,0)</f>
        <v>0.9792093704245973</v>
      </c>
      <c r="F17" s="25">
        <f>=IFERROR(F11/F8,0)</f>
        <v>0.9784930504754937</v>
      </c>
      <c r="G17" s="25">
        <f>=IFERROR(G11/G8,0)</f>
        <v>0.9784930504754937</v>
      </c>
      <c r="H17" s="25">
        <f>=IFERROR(H11/H8,0)</f>
        <v>0.9784930504754937</v>
      </c>
      <c r="I17" s="25">
        <f>=IFERROR(I11/I8,0)</f>
        <v>1.00424286759327</v>
      </c>
      <c r="J17" s="25">
        <f>=IFERROR(J11/J8,0)</f>
        <v>1.002043795620438</v>
      </c>
      <c r="K17" s="25">
        <f>=IFERROR(K11/K8,0)</f>
        <v>1.0292397660818713</v>
      </c>
      <c r="L17" s="25">
        <f>=IFERROR(L11/L8,0)</f>
        <v>1.0900243309002433</v>
      </c>
      <c r="M17" s="25">
        <f>=IFERROR(M11/M8,0)</f>
        <v>1.0882591093117409</v>
      </c>
      <c r="N17" s="25">
        <f>=IFERROR(N11/N8,0)</f>
        <v>1.125925925925926</v>
      </c>
      <c r="O17" s="25">
        <f>=IFERROR(O11/O8,0)</f>
        <v>1.1249339207048459</v>
      </c>
      <c r="P17" s="25">
        <f>=IFERROR(P11/P8,0)</f>
        <v>1.1249339207048459</v>
      </c>
      <c r="Q17" s="25">
        <f>=IFERROR(Q11/Q8,0)</f>
        <v>1.0962962962962963</v>
      </c>
      <c r="R17" s="25">
        <f>=IFERROR(R11/R8,0)</f>
        <v>1.0666666666666667</v>
      </c>
      <c r="S17" s="25">
        <f>=IFERROR(S11/S8,0)</f>
        <v>1.0676081200353045</v>
      </c>
      <c r="T17" s="25">
        <f>=IFERROR(T11/T8,0)</f>
        <v>1.036123348017621</v>
      </c>
      <c r="U17" s="25">
        <f>=IFERROR(U11/U8,0)</f>
        <v>1.03886925795053</v>
      </c>
      <c r="V17" s="25">
        <f>=IFERROR(V11/V8,0)</f>
        <v>1.03886925795053</v>
      </c>
      <c r="W17" s="25">
        <f>=IFERROR(W11/W8,0)</f>
        <v>1.03886925795053</v>
      </c>
      <c r="X17" s="25">
        <f>=IFERROR(X11/X8,0)</f>
        <v>1.03886925795053</v>
      </c>
      <c r="Y17" s="25">
        <f>=IFERROR(Y11/Y8,0)</f>
        <v>1.03886925795053</v>
      </c>
      <c r="Z17" s="25">
        <f>=IFERROR(Z11/Z8,0)</f>
        <v>1.0091872791519434</v>
      </c>
      <c r="AA17" s="25">
        <f>=IFERROR(AA11/AA8,0)</f>
        <v>1.0091872791519434</v>
      </c>
      <c r="AB17" s="25">
        <f>=IFERROR(AB11/AB8,0)</f>
        <v>1.0091872791519434</v>
      </c>
      <c r="AC17" s="25">
        <f>=IFERROR(AC11/AC8,0)</f>
        <v>1.008296557811121</v>
      </c>
      <c r="AD17" s="25">
        <f>=IFERROR(AD11/AD8,0)</f>
        <v>1.0065198237885462</v>
      </c>
      <c r="AE17" s="25">
        <f>=IFERROR(AE11/AE8,0)</f>
        <v>1.0065198237885462</v>
      </c>
      <c r="AF17" s="25">
        <f>=IFERROR(AF11/AF8,0)</f>
        <v>1.0065198237885462</v>
      </c>
      <c r="AG17" s="25">
        <f>=IFERROR(AG11/AG8,0)</f>
        <v>0.9473127753303965</v>
      </c>
      <c r="AH17" s="25">
        <f>=IFERROR(AH11/AH8,0)</f>
        <v>0.9481481481481482</v>
      </c>
      <c r="AI17" s="25">
        <f>=IFERROR(AI11/AI8,0)</f>
        <v>0.9185185185185185</v>
      </c>
      <c r="AJ17" s="25">
        <f>=IFERROR(AJ11/AJ8,0)</f>
        <v>0.9185185185185185</v>
      </c>
      <c r="AK17" s="25">
        <f>=IFERROR(AK11/AK8,0)</f>
        <v>0.9185185185185185</v>
      </c>
      <c r="AL17" s="25">
        <f>=IFERROR(AL11/AL8,0)</f>
        <v>0.9120840630472855</v>
      </c>
      <c r="AM17" s="25">
        <f>=IFERROR(AM11/AM8,0)</f>
        <v>0.9120840630472855</v>
      </c>
      <c r="AN17" s="25">
        <f>=IFERROR(AN11/AN8,0)</f>
        <v>0.9120840630472855</v>
      </c>
      <c r="AO17" s="25">
        <f>=IFERROR(AO11/AO8,0)</f>
        <v>0.9120840630472855</v>
      </c>
      <c r="AP17" s="25">
        <f>=IFERROR(AP11/AP8,0)</f>
        <v>0.9446584938704028</v>
      </c>
      <c r="AQ17" s="25">
        <f>=IFERROR(AQ11/AQ8,0)</f>
        <v>0.9446584938704028</v>
      </c>
      <c r="AR17" s="25">
        <f>=IFERROR(AR11/AR8,0)</f>
        <v>0.9446584938704028</v>
      </c>
      <c r="AS17" s="25">
        <f>=IFERROR(AS11/AS8,0)</f>
        <v>0.9446584938704028</v>
      </c>
      <c r="AT17" s="25">
        <f>=IFERROR(AT11/AT8,0)</f>
        <v>0.8592592592592593</v>
      </c>
      <c r="AU17" s="25">
        <f>=IFERROR(AU11/AU8,0)</f>
        <v>0.9730263157894737</v>
      </c>
      <c r="AV17" s="25">
        <f>=IFERROR(AV11/AV8,0)</f>
        <v>0.9730263157894737</v>
      </c>
      <c r="AW17" s="25">
        <f>=IFERROR(AW11/AW8,0)</f>
        <v>0.9730263157894737</v>
      </c>
      <c r="AX17" s="25">
        <f>=IFERROR(AX11/AX8,0)</f>
        <v>1.0302631578947368</v>
      </c>
      <c r="AY17" s="25">
        <f>=IFERROR(AY11/AY8,0)</f>
        <v>1.0951048951048952</v>
      </c>
      <c r="AZ17" s="25">
        <f>=IFERROR(AZ11/AZ8,0)</f>
        <v>1.0646853146853146</v>
      </c>
      <c r="BA17" s="25">
        <f>=IFERROR(BA11/BA8,0)</f>
        <v>1.0646853146853146</v>
      </c>
      <c r="BB17" s="25">
        <f>=IFERROR(BB11/BB8,0)</f>
        <v>1.0646853146853146</v>
      </c>
      <c r="BC17" s="25">
        <f>=IFERROR(BC11/BC8,0)</f>
        <v>1.0223776223776224</v>
      </c>
      <c r="BD17" s="25">
        <f>=IFERROR(BD11/BD8,0)</f>
        <v>1.025065731814198</v>
      </c>
      <c r="BE17" s="25">
        <f>=IFERROR(BE11/BE8,0)</f>
        <v>1.025065731814198</v>
      </c>
      <c r="BF17" s="25">
        <f>=IFERROR(BF11/BF8,0)</f>
        <v>1.025065731814198</v>
      </c>
      <c r="BG17" s="25">
        <f>=IFERROR(BG11/BG8,0)</f>
        <v>0.9957894736842106</v>
      </c>
      <c r="BH17" s="25">
        <f>=IFERROR(BH11/BH8,0)</f>
        <v>0.9647677475898335</v>
      </c>
      <c r="BI17" s="25">
        <f>=IFERROR(BI11/BI8,0)</f>
        <v>0.9949167397020158</v>
      </c>
      <c r="BJ17" s="25">
        <f>=IFERROR(BJ11/BJ8,0)</f>
        <v>1.115512708150745</v>
      </c>
      <c r="BK17" s="25">
        <f>=IFERROR(BK11/BK8,0)</f>
        <v>1.115512708150745</v>
      </c>
      <c r="BL17" s="25">
        <f>=IFERROR(BL11/BL8,0)</f>
        <v>1.0991364421416234</v>
      </c>
      <c r="BM17" s="25">
        <f>=IFERROR(BM11/BM8,0)</f>
        <v>1.1000864304235092</v>
      </c>
      <c r="BN17" s="25">
        <f>=IFERROR(BN11/BN8,0)</f>
        <v>1.1000864304235092</v>
      </c>
      <c r="BO17" s="25">
        <f>=IFERROR(BO11/BO8,0)</f>
        <v>1.0703543647363871</v>
      </c>
      <c r="BP17" s="25">
        <f>=IFERROR(BP11/BP8,0)</f>
        <v>1.1444227005870842</v>
      </c>
      <c r="BQ17" s="25">
        <f>=IFERROR(BQ11/BQ8,0)</f>
        <v>1.1107632093933464</v>
      </c>
      <c r="BR17" s="25">
        <f>=IFERROR(BR11/BR8,0)</f>
        <v>1.1107632093933464</v>
      </c>
      <c r="BS17" s="25">
        <f>=IFERROR(BS11/BS8,0)</f>
        <v>1.1107632093933464</v>
      </c>
      <c r="BT17" s="25">
        <f>=IFERROR(BT11/BT8,0)</f>
        <v>1.10859375</v>
      </c>
      <c r="BU17" s="25">
        <f>=IFERROR(BU11/BU8,0)</f>
        <v>1.1096774193548387</v>
      </c>
      <c r="BV17" s="25">
        <f>=IFERROR(BV11/BV8,0)</f>
        <v>1.1433040078201369</v>
      </c>
      <c r="BW17" s="25">
        <f>=IFERROR(BW11/BW8,0)</f>
        <v>1.1433040078201369</v>
      </c>
      <c r="BX17" s="25">
        <f>=IFERROR(BX11/BX8,0)</f>
        <v>1.1096774193548387</v>
      </c>
      <c r="BY17" s="25">
        <f>=IFERROR(BY11/BY8,0)</f>
        <v>1.111851126346719</v>
      </c>
      <c r="BZ17" s="25">
        <f>=IFERROR(BZ11/BZ8,0)</f>
        <v>1.097952987267385</v>
      </c>
      <c r="CA17" s="25">
        <f>=IFERROR(CA11/CA8,0)</f>
        <v>1.0842285749265428</v>
      </c>
      <c r="CB17" s="25">
        <f>=IFERROR(CB11/CB8,0)</f>
        <v>1.0706757177399608</v>
      </c>
      <c r="CC17" s="25">
        <f>=IFERROR(CC11/CC8,0)</f>
        <v>1.0562577387131542</v>
      </c>
      <c r="CD17" s="25">
        <f>=IFERROR(CD11/CD8,0)</f>
        <v>1.0860776980438978</v>
      </c>
      <c r="CE17" s="25">
        <f>=IFERROR(CE11/CE8,0)</f>
        <v>1.074125330280653</v>
      </c>
      <c r="CF17" s="25">
        <f>=IFERROR(CF11/CF8,0)</f>
        <v>1.064464751852824</v>
      </c>
      <c r="CG17" s="25">
        <f>=IFERROR(CG11/CG8,0)</f>
        <v>1.052750236208068</v>
      </c>
      <c r="CH17" s="25">
        <f>=IFERROR(CH11/CH8,0)</f>
        <v>1.039058089917305</v>
      </c>
      <c r="CI17" s="25">
        <f>=IFERROR(CI11/CI8,0)</f>
        <v>1.0250323816257012</v>
      </c>
      <c r="CJ17" s="25">
        <f>=IFERROR(CJ11/CJ8,0)</f>
        <v>1.0122194768553798</v>
      </c>
      <c r="CK17" s="25">
        <f>=IFERROR(CK11/CK8,0)</f>
        <v>0.9995667333946874</v>
      </c>
      <c r="CL17" s="25">
        <f>=IFERROR(CL11/CL8,0)</f>
        <v>0.9860751066522768</v>
      </c>
      <c r="CM17" s="25">
        <f>=IFERROR(CM11/CM8,0)</f>
        <v>0.9727665753188012</v>
      </c>
      <c r="CN17" s="25">
        <f>=IFERROR(CN11/CN8,0)</f>
        <v>0.9615773032213845</v>
      </c>
      <c r="CO17" s="25">
        <f>=IFERROR(CO11/CO8,0)</f>
        <v>0.9495575869311169</v>
      </c>
      <c r="CP17" s="25">
        <f>=IFERROR(CP11/CP8,0)</f>
        <v>0.937688117094478</v>
      </c>
      <c r="CQ17" s="25">
        <f>=IFERROR(CQ11/CQ8,0)</f>
        <v>0.9292498721580364</v>
      </c>
      <c r="CR17" s="25">
        <f>=IFERROR(CR11/CR8,0)</f>
        <v>0.919028123564298</v>
      </c>
      <c r="CS17" s="25">
        <f>=IFERROR(CS11/CS8,0)</f>
        <v>0.9098378423286552</v>
      </c>
      <c r="CT17" s="25">
        <f>=IFERROR(CT11/CT8,0)</f>
        <v>0.9016502217050708</v>
      </c>
      <c r="CU17" s="25">
        <f>=IFERROR(CU11/CU8,0)</f>
        <v>0.8917320692663149</v>
      </c>
      <c r="CV17" s="25">
        <f>=IFERROR(CV11/CV8,0)</f>
        <v>0.8805854184004862</v>
      </c>
      <c r="CW17" s="25">
        <f>=IFERROR(CW11/CW8,0)</f>
        <v>0.8695781006704799</v>
      </c>
      <c r="CX17" s="25">
        <f>=IFERROR(CX11/CX8,0)</f>
        <v>0.8587083744120991</v>
      </c>
      <c r="CY17" s="25">
        <f>=IFERROR(CY11/CY8,0)</f>
        <v>0.8505519498831088</v>
      </c>
      <c r="CZ17" s="25">
        <f>=IFERROR(CZ11/CZ8,0)</f>
        <v>0.8348450048871557</v>
      </c>
      <c r="DA17" s="25">
        <f>=IFERROR(DA11/DA8,0)</f>
        <v>0.8244094423260663</v>
      </c>
      <c r="DB17" s="25">
        <f>=IFERROR(DB11/DB8,0)</f>
        <v>0.8141043242969903</v>
      </c>
    </row>
    <row r="18" spans="1:106" x14ac:dyDescent="0.25">
      <c r="A18" s="27" t="s">
        <v>252</v>
      </c>
      <c r="C18" s="28">
        <f>=SUM(C19:C23)</f>
        <v>41</v>
      </c>
      <c r="D18" s="28">
        <f>=SUM(D19:D23)</f>
        <v>40</v>
      </c>
      <c r="E18" s="28">
        <f>=SUM(E19:E23)</f>
        <v>38</v>
      </c>
      <c r="F18" s="28">
        <f>=SUM(F19:F23)</f>
        <v>38</v>
      </c>
      <c r="G18" s="28">
        <f>=SUM(G19:G23)</f>
        <v>38</v>
      </c>
      <c r="H18" s="28">
        <f>=SUM(H19:H23)</f>
        <v>40</v>
      </c>
      <c r="I18" s="28">
        <f>=SUM(I19:I23)</f>
        <v>39</v>
      </c>
      <c r="J18" s="28">
        <f>=SUM(J19:J23)</f>
        <v>39</v>
      </c>
      <c r="K18" s="28">
        <f>=SUM(K19:K23)</f>
        <v>40</v>
      </c>
      <c r="L18" s="28">
        <f>=SUM(L19:L23)</f>
        <v>40</v>
      </c>
      <c r="M18" s="28">
        <f>=SUM(M19:M23)</f>
        <v>40</v>
      </c>
      <c r="N18" s="28">
        <f>=SUM(N19:N23)</f>
        <v>38</v>
      </c>
      <c r="O18" s="28">
        <f>=SUM(O19:O23)</f>
        <v>38</v>
      </c>
      <c r="P18" s="28">
        <f>=SUM(P19:P23)</f>
        <v>38</v>
      </c>
      <c r="Q18" s="28">
        <f>=SUM(Q19:Q23)</f>
        <v>37</v>
      </c>
      <c r="R18" s="28">
        <f>=SUM(R19:R23)</f>
        <v>36</v>
      </c>
      <c r="S18" s="28">
        <f>=SUM(S19:S23)</f>
        <v>36</v>
      </c>
      <c r="T18" s="28">
        <f>=SUM(T19:T23)</f>
        <v>35</v>
      </c>
      <c r="U18" s="28">
        <f>=SUM(U19:U23)</f>
        <v>35</v>
      </c>
      <c r="V18" s="28">
        <f>=SUM(V19:V23)</f>
        <v>35</v>
      </c>
      <c r="W18" s="28">
        <f>=SUM(W19:W23)</f>
        <v>35</v>
      </c>
      <c r="X18" s="28">
        <f>=SUM(X19:X23)</f>
        <v>35</v>
      </c>
      <c r="Y18" s="28">
        <f>=SUM(Y19:Y23)</f>
        <v>35</v>
      </c>
      <c r="Z18" s="28">
        <f>=SUM(Z19:Z23)</f>
        <v>34</v>
      </c>
      <c r="AA18" s="28">
        <f>=SUM(AA19:AA23)</f>
        <v>34</v>
      </c>
      <c r="AB18" s="28">
        <f>=SUM(AB19:AB23)</f>
        <v>34</v>
      </c>
      <c r="AC18" s="28">
        <f>=SUM(AC19:AC23)</f>
        <v>34</v>
      </c>
      <c r="AD18" s="28">
        <f>=SUM(AD19:AD23)</f>
        <v>34</v>
      </c>
      <c r="AE18" s="28">
        <f>=SUM(AE19:AE23)</f>
        <v>34</v>
      </c>
      <c r="AF18" s="28">
        <f>=SUM(AF19:AF23)</f>
        <v>34</v>
      </c>
      <c r="AG18" s="29">
        <f>=SUM(AG19:AG23)</f>
        <v>32</v>
      </c>
      <c r="AH18" s="28">
        <f>=SUM(AH19:AH23)</f>
        <v>32</v>
      </c>
      <c r="AI18" s="28">
        <f>=SUM(AI19:AI23)</f>
        <v>31</v>
      </c>
      <c r="AJ18" s="28">
        <f>=SUM(AJ19:AJ23)</f>
        <v>31</v>
      </c>
      <c r="AK18" s="28">
        <f>=SUM(AK19:AK23)</f>
        <v>31</v>
      </c>
      <c r="AL18" s="28">
        <f>=SUM(AL19:AL23)</f>
        <v>31</v>
      </c>
      <c r="AM18" s="28">
        <f>=SUM(AM19:AM23)</f>
        <v>31</v>
      </c>
      <c r="AN18" s="28">
        <f>=SUM(AN19:AN23)</f>
        <v>31</v>
      </c>
      <c r="AO18" s="28">
        <f>=SUM(AO19:AO23)</f>
        <v>31</v>
      </c>
      <c r="AP18" s="28">
        <f>=SUM(AP19:AP23)</f>
        <v>31</v>
      </c>
      <c r="AQ18" s="28">
        <f>=SUM(AQ19:AQ23)</f>
        <v>31</v>
      </c>
      <c r="AR18" s="28">
        <f>=SUM(AR19:AR23)</f>
        <v>31</v>
      </c>
      <c r="AS18" s="28">
        <f>=SUM(AS19:AS23)</f>
        <v>31</v>
      </c>
      <c r="AT18" s="28">
        <f>=SUM(AT19:AT23)</f>
        <v>35</v>
      </c>
      <c r="AU18" s="28">
        <f>=SUM(AU19:AU23)</f>
        <v>34</v>
      </c>
      <c r="AV18" s="28">
        <f>=SUM(AV19:AV23)</f>
        <v>34</v>
      </c>
      <c r="AW18" s="28">
        <f>=SUM(AW19:AW23)</f>
        <v>36</v>
      </c>
      <c r="AX18" s="28">
        <f>=SUM(AX19:AX23)</f>
        <v>36</v>
      </c>
      <c r="AY18" s="28">
        <f>=SUM(AY19:AY23)</f>
        <v>36</v>
      </c>
      <c r="AZ18" s="28">
        <f>=SUM(AZ19:AZ23)</f>
        <v>35</v>
      </c>
      <c r="BA18" s="28">
        <f>=SUM(BA19:BA23)</f>
        <v>35</v>
      </c>
      <c r="BB18" s="28">
        <f>=SUM(BB19:BB23)</f>
        <v>35</v>
      </c>
      <c r="BC18" s="28">
        <f>=SUM(BC19:BC23)</f>
        <v>34</v>
      </c>
      <c r="BD18" s="28">
        <f>=SUM(BD19:BD23)</f>
        <v>34</v>
      </c>
      <c r="BE18" s="28">
        <f>=SUM(BE19:BE23)</f>
        <v>34</v>
      </c>
      <c r="BF18" s="28">
        <f>=SUM(BF19:BF23)</f>
        <v>34</v>
      </c>
      <c r="BG18" s="28">
        <f>=SUM(BG19:BG23)</f>
        <v>33</v>
      </c>
      <c r="BH18" s="28">
        <f>=SUM(BH19:BH23)</f>
        <v>32</v>
      </c>
      <c r="BI18" s="28">
        <f>=SUM(BI19:BI23)</f>
        <v>37</v>
      </c>
      <c r="BJ18" s="28">
        <f>=SUM(BJ19:BJ23)</f>
        <v>37</v>
      </c>
      <c r="BK18" s="28">
        <f>=SUM(BK19:BK23)</f>
        <v>37</v>
      </c>
      <c r="BL18" s="28">
        <f>=SUM(BL19:BL23)</f>
        <v>37</v>
      </c>
      <c r="BM18" s="28">
        <f>=SUM(BM19:BM23)</f>
        <v>37</v>
      </c>
      <c r="BN18" s="28">
        <f>=SUM(BN19:BN23)</f>
        <v>37</v>
      </c>
      <c r="BO18" s="28">
        <f>=SUM(BO19:BO23)</f>
        <v>36</v>
      </c>
      <c r="BP18" s="28">
        <f>=SUM(BP19:BP23)</f>
        <v>34</v>
      </c>
      <c r="BQ18" s="28">
        <f>=SUM(BQ19:BQ23)</f>
        <v>33</v>
      </c>
      <c r="BR18" s="28">
        <f>=SUM(BR19:BR23)</f>
        <v>33</v>
      </c>
      <c r="BS18" s="28">
        <f>=SUM(BS19:BS23)</f>
        <v>33</v>
      </c>
      <c r="BT18" s="28">
        <f>=SUM(BT19:BT23)</f>
        <v>33</v>
      </c>
      <c r="BU18" s="28">
        <f>=SUM(BU19:BU23)</f>
        <v>33</v>
      </c>
      <c r="BV18" s="28">
        <f>=SUM(BV19:BV23)</f>
        <v>34</v>
      </c>
      <c r="BW18" s="28">
        <f>=SUM(BW19:BW23)</f>
        <v>34</v>
      </c>
      <c r="BX18" s="28">
        <f>=SUM(BX19:BX23)</f>
        <v>33</v>
      </c>
      <c r="BY18" s="28">
        <f>=SUM(BY19:BY23)</f>
        <v>33</v>
      </c>
      <c r="BZ18" s="28">
        <f>=SUM(BZ19:BZ23)</f>
        <v>32.5875</v>
      </c>
      <c r="CA18" s="28">
        <f>=SUM(CA19:CA23)</f>
        <v>32.18015625</v>
      </c>
      <c r="CB18" s="28">
        <f>=SUM(CB19:CB23)</f>
        <v>31.777904296875</v>
      </c>
      <c r="CC18" s="28">
        <f>=SUM(CC19:CC23)</f>
        <v>31.380680493164064</v>
      </c>
      <c r="CD18" s="28">
        <f>=SUM(CD19:CD23)</f>
        <v>31.06687368823242</v>
      </c>
      <c r="CE18" s="28">
        <f>=SUM(CE19:CE23)</f>
        <v>30.756204951350096</v>
      </c>
      <c r="CF18" s="28">
        <f>=SUM(CF19:CF23)</f>
        <v>30.448642901836596</v>
      </c>
      <c r="CG18" s="28">
        <f>=SUM(CG19:CG23)</f>
        <v>30.144156472818228</v>
      </c>
      <c r="CH18" s="28">
        <f>=SUM(CH19:CH23)</f>
        <v>29.842714908090045</v>
      </c>
      <c r="CI18" s="28">
        <f>=SUM(CI19:CI23)</f>
        <v>29.469680971738917</v>
      </c>
      <c r="CJ18" s="28">
        <f>=SUM(CJ19:CJ23)</f>
        <v>29.10130995959217</v>
      </c>
      <c r="CK18" s="28">
        <f>=SUM(CK19:CK23)</f>
        <v>28.737543585097264</v>
      </c>
      <c r="CL18" s="28">
        <f>=SUM(CL19:CL23)</f>
        <v>28.378324290283548</v>
      </c>
      <c r="CM18" s="28">
        <f>=SUM(CM19:CM23)</f>
        <v>28.023595236655005</v>
      </c>
      <c r="CN18" s="28">
        <f>=SUM(CN19:CN23)</f>
        <v>27.673300296196818</v>
      </c>
      <c r="CO18" s="28">
        <f>=SUM(CO19:CO23)</f>
        <v>27.327384042494355</v>
      </c>
      <c r="CP18" s="28">
        <f>=SUM(CP19:CP23)</f>
        <v>26.985791741963176</v>
      </c>
      <c r="CQ18" s="28">
        <f>=SUM(CQ19:CQ23)</f>
        <v>26.715933824543544</v>
      </c>
      <c r="CR18" s="28">
        <f>=SUM(CR19:CR23)</f>
        <v>26.44877448629811</v>
      </c>
      <c r="CS18" s="28">
        <f>=SUM(CS19:CS23)</f>
        <v>26.18428674143513</v>
      </c>
      <c r="CT18" s="28">
        <f>=SUM(CT19:CT23)</f>
        <v>25.92244387402078</v>
      </c>
      <c r="CU18" s="28">
        <f>=SUM(CU19:CU23)</f>
        <v>25.663219435280578</v>
      </c>
      <c r="CV18" s="28">
        <f>=SUM(CV19:CV23)</f>
        <v>25.34242919233957</v>
      </c>
      <c r="CW18" s="28">
        <f>=SUM(CW19:CW23)</f>
        <v>25.025648827435322</v>
      </c>
      <c r="CX18" s="28">
        <f>=SUM(CX19:CX23)</f>
        <v>24.712828217092383</v>
      </c>
      <c r="CY18" s="28">
        <f>=SUM(CY19:CY23)</f>
        <v>24.40391786437873</v>
      </c>
      <c r="CZ18" s="28">
        <f>=SUM(CZ19:CZ23)</f>
        <v>24.098868891074</v>
      </c>
      <c r="DA18" s="28">
        <f>=SUM(DA19:DA23)</f>
        <v>23.797633029935575</v>
      </c>
      <c r="DB18" s="28">
        <f>=SUM(DB19:DB23)</f>
        <v>23.50016261706138</v>
      </c>
    </row>
    <row r="19" spans="1:106" x14ac:dyDescent="0.25">
      <c r="A19" s="27" t="s">
        <v>253</v>
      </c>
      <c r="C19" s="28">
        <f>=IF(LEN(C82)=0,(41*(1-B41))-C81+C99+C128,(41-C81+C99+C128))</f>
        <v>41</v>
      </c>
      <c r="D19" s="28">
        <f>=IF(LEN(D82)=0,(C19*(1-C41))-D81+D99+D128,(C19-D81+D99+D128))</f>
        <v>40</v>
      </c>
      <c r="E19" s="28">
        <f>=IF(LEN(E82)=0,(D19*(1-D41))-E81+E99+E128,(D19-E81+E99+E128))</f>
        <v>38</v>
      </c>
      <c r="F19" s="28">
        <f>=IF(LEN(F82)=0,(E19*(1-E41))-F81+F99+F128,(E19-F81+F99+F128))</f>
        <v>38</v>
      </c>
      <c r="G19" s="28">
        <f>=IF(LEN(G82)=0,(F19*(1-F41))-G81+G99+G128,(F19-G81+G99+G128))</f>
        <v>38</v>
      </c>
      <c r="H19" s="28">
        <f>=IF(LEN(H82)=0,(G19*(1-G41))-H81+H99+H128,(G19-H81+H99+H128))</f>
        <v>38</v>
      </c>
      <c r="I19" s="28">
        <f>=IF(LEN(I82)=0,(H19*(1-H41))-I81+I99+I128,(H19-I81+I99+I128))</f>
        <v>39</v>
      </c>
      <c r="J19" s="28">
        <f>=IF(LEN(J82)=0,(I19*(1-I41))-J81+J99+J128,(I19-J81+J99+J128))</f>
        <v>39</v>
      </c>
      <c r="K19" s="28">
        <f>=IF(LEN(K82)=0,(J19*(1-J41))-K81+K99+K128,(J19-K81+K99+K128))</f>
        <v>40</v>
      </c>
      <c r="L19" s="28">
        <f>=IF(LEN(L82)=0,(K19*(1-K41))-L81+L99+L128,(K19-L81+L99+L128))</f>
        <v>40</v>
      </c>
      <c r="M19" s="28">
        <f>=IF(LEN(M82)=0,(L19*(1-L41))-M81+M99+M128,(L19-M81+M99+M128))</f>
        <v>40</v>
      </c>
      <c r="N19" s="28">
        <f>=IF(LEN(N82)=0,(M19*(1-M41))-N81+N99+N128,(M19-N81+N99+N128))</f>
        <v>38</v>
      </c>
      <c r="O19" s="28">
        <f>=IF(LEN(O82)=0,(N19*(1-N41))-O81+O99+O128,(N19-O81+O99+O128))</f>
        <v>38</v>
      </c>
      <c r="P19" s="28">
        <f>=IF(LEN(P82)=0,(O19*(1-O41))-P81+P99+P128,(O19-P81+P99+P128))</f>
        <v>38</v>
      </c>
      <c r="Q19" s="28">
        <f>=IF(LEN(Q82)=0,(P19*(1-P41))-Q81+Q99+Q128,(P19-Q81+Q99+Q128))</f>
        <v>37</v>
      </c>
      <c r="R19" s="28">
        <f>=IF(LEN(R82)=0,(Q19*(1-Q41))-R81+R99+R128,(Q19-R81+R99+R128))</f>
        <v>36</v>
      </c>
      <c r="S19" s="28">
        <f>=IF(LEN(S82)=0,(R19*(1-R41))-S81+S99+S128,(R19-S81+S99+S128))</f>
        <v>36</v>
      </c>
      <c r="T19" s="28">
        <f>=IF(LEN(T82)=0,(S19*(1-S41))-T81+T99+T128,(S19-T81+T99+T128))</f>
        <v>35</v>
      </c>
      <c r="U19" s="28">
        <f>=IF(LEN(U82)=0,(T19*(1-T41))-U81+U99+U128,(T19-U81+U99+U128))</f>
        <v>35</v>
      </c>
      <c r="V19" s="28">
        <f>=IF(LEN(V82)=0,(U19*(1-U41))-V81+V99+V128,(U19-V81+V99+V128))</f>
        <v>35</v>
      </c>
      <c r="W19" s="28">
        <f>=IF(LEN(W82)=0,(V19*(1-V41))-W81+W99+W128,(V19-W81+W99+W128))</f>
        <v>35</v>
      </c>
      <c r="X19" s="28">
        <f>=IF(LEN(X82)=0,(W19*(1-W41))-X81+X99+X128,(W19-X81+X99+X128))</f>
        <v>35</v>
      </c>
      <c r="Y19" s="28">
        <f>=IF(LEN(Y82)=0,(X19*(1-X41))-Y81+Y99+Y128,(X19-Y81+Y99+Y128))</f>
        <v>35</v>
      </c>
      <c r="Z19" s="28">
        <f>=IF(LEN(Z82)=0,(Y19*(1-Y41))-Z81+Z99+Z128,(Y19-Z81+Z99+Z128))</f>
        <v>34</v>
      </c>
      <c r="AA19" s="28">
        <f>=IF(LEN(AA82)=0,(Z19*(1-Z41))-AA81+AA99+AA128,(Z19-AA81+AA99+AA128))</f>
        <v>34</v>
      </c>
      <c r="AB19" s="28">
        <f>=IF(LEN(AB82)=0,(AA19*(1-AA41))-AB81+AB99+AB128,(AA19-AB81+AB99+AB128))</f>
        <v>34</v>
      </c>
      <c r="AC19" s="28">
        <f>=IF(LEN(AC82)=0,(AB19*(1-AB41))-AC81+AC99+AC128,(AB19-AC81+AC99+AC128))</f>
        <v>34</v>
      </c>
      <c r="AD19" s="28">
        <f>=IF(LEN(AD82)=0,(AC19*(1-AC41))-AD81+AD99+AD128,(AC19-AD81+AD99+AD128))</f>
        <v>34</v>
      </c>
      <c r="AE19" s="28">
        <f>=IF(LEN(AE82)=0,(AD19*(1-AD41))-AE81+AE99+AE128,(AD19-AE81+AE99+AE128))</f>
        <v>34</v>
      </c>
      <c r="AF19" s="28">
        <f>=IF(LEN(AF82)=0,(AE19*(1-AE41))-AF81+AF99+AF128,(AE19-AF81+AF99+AF128))</f>
        <v>34</v>
      </c>
      <c r="AG19" s="28">
        <f>=IF(LEN(AG82)=0,(AF19*(1-AF41))-AG81+AG99+AG128,(AF19-AG81+AG99+AG128))</f>
        <v>32</v>
      </c>
      <c r="AH19" s="28">
        <f>=IF(LEN(AH82)=0,(AG19*(1-AG41))-AH81+AH99+AH128,(AG19-AH81+AH99+AH128))</f>
        <v>32</v>
      </c>
      <c r="AI19" s="28">
        <f>=IF(LEN(AI82)=0,(AH19*(1-AH41))-AI81+AI99+AI128,(AH19-AI81+AI99+AI128))</f>
        <v>31</v>
      </c>
      <c r="AJ19" s="28">
        <f>=IF(LEN(AJ82)=0,(AI19*(1-AI41))-AJ81+AJ99+AJ128,(AI19-AJ81+AJ99+AJ128))</f>
        <v>31</v>
      </c>
      <c r="AK19" s="28">
        <f>=IF(LEN(AK82)=0,(AJ19*(1-AJ41))-AK81+AK99+AK128,(AJ19-AK81+AK99+AK128))</f>
        <v>31</v>
      </c>
      <c r="AL19" s="28">
        <f>=IF(LEN(AL82)=0,(AK19*(1-AK41))-AL81+AL99+AL128,(AK19-AL81+AL99+AL128))</f>
        <v>31</v>
      </c>
      <c r="AM19" s="28">
        <f>=IF(LEN(AM82)=0,(AL19*(1-AL41))-AM81+AM99+AM128,(AL19-AM81+AM99+AM128))</f>
        <v>31</v>
      </c>
      <c r="AN19" s="28">
        <f>=IF(LEN(AN82)=0,(AM19*(1-AM41))-AN81+AN99+AN128,(AM19-AN81+AN99+AN128))</f>
        <v>31</v>
      </c>
      <c r="AO19" s="28">
        <f>=IF(LEN(AO82)=0,(AN19*(1-AN41))-AO81+AO99+AO128,(AN19-AO81+AO99+AO128))</f>
        <v>31</v>
      </c>
      <c r="AP19" s="28">
        <f>=IF(LEN(AP82)=0,(AO19*(1-AO41))-AP81+AP99+AP128,(AO19-AP81+AP99+AP128))</f>
        <v>31</v>
      </c>
      <c r="AQ19" s="28">
        <f>=IF(LEN(AQ82)=0,(AP19*(1-AP41))-AQ81+AQ99+AQ128,(AP19-AQ81+AQ99+AQ128))</f>
        <v>31</v>
      </c>
      <c r="AR19" s="28">
        <f>=IF(LEN(AR82)=0,(AQ19*(1-AQ41))-AR81+AR99+AR128,(AQ19-AR81+AR99+AR128))</f>
        <v>31</v>
      </c>
      <c r="AS19" s="28">
        <f>=IF(LEN(AS82)=0,(AR19*(1-AR41))-AS81+AS99+AS128,(AR19-AS81+AS99+AS128))</f>
        <v>31</v>
      </c>
      <c r="AT19" s="28">
        <f>=IF(LEN(AT82)=0,(AS19*(1-AS41))-AT81+AT99+AT128,(AS19-AT81+AT99+AT128))</f>
        <v>30</v>
      </c>
      <c r="AU19" s="28">
        <f>=IF(LEN(AU82)=0,(AT19*(1-AT41))-AU81+AU99+AU128,(AT19-AU81+AU99+AU128))</f>
        <v>34</v>
      </c>
      <c r="AV19" s="28">
        <f>=IF(LEN(AV82)=0,(AU19*(1-AU41))-AV81+AV99+AV128,(AU19-AV81+AV99+AV128))</f>
        <v>34</v>
      </c>
      <c r="AW19" s="28">
        <f>=IF(LEN(AW82)=0,(AV19*(1-AV41))-AW81+AW99+AW128,(AV19-AW81+AW99+AW128))</f>
        <v>34</v>
      </c>
      <c r="AX19" s="28">
        <f>=IF(LEN(AX82)=0,(AW19*(1-AW41))-AX81+AX99+AX128,(AW19-AX81+AX99+AX128))</f>
        <v>36</v>
      </c>
      <c r="AY19" s="28">
        <f>=IF(LEN(AY82)=0,(AX19*(1-AX41))-AY81+AY99+AY128,(AX19-AY81+AY99+AY128))</f>
        <v>36</v>
      </c>
      <c r="AZ19" s="28">
        <f>=IF(LEN(AZ82)=0,(AY19*(1-AY41))-AZ81+AZ99+AZ128,(AY19-AZ81+AZ99+AZ128))</f>
        <v>35</v>
      </c>
      <c r="BA19" s="28">
        <f>=IF(LEN(BA82)=0,(AZ19*(1-AZ41))-BA81+BA99+BA128,(AZ19-BA81+BA99+BA128))</f>
        <v>35</v>
      </c>
      <c r="BB19" s="28">
        <f>=IF(LEN(BB82)=0,(BA19*(1-BA41))-BB81+BB99+BB128,(BA19-BB81+BB99+BB128))</f>
        <v>35</v>
      </c>
      <c r="BC19" s="28">
        <f>=IF(LEN(BC82)=0,(BB19*(1-BB41))-BC81+BC99+BC128,(BB19-BC81+BC99+BC128))</f>
        <v>34</v>
      </c>
      <c r="BD19" s="28">
        <f>=IF(LEN(BD82)=0,(BC19*(1-BC41))-BD81+BD99+BD128,(BC19-BD81+BD99+BD128))</f>
        <v>34</v>
      </c>
      <c r="BE19" s="28">
        <f>=IF(LEN(BE82)=0,(BD19*(1-BD41))-BE81+BE99+BE128,(BD19-BE81+BE99+BE128))</f>
        <v>34</v>
      </c>
      <c r="BF19" s="28">
        <f>=IF(LEN(BF82)=0,(BE19*(1-BE41))-BF81+BF99+BF128,(BE19-BF81+BF99+BF128))</f>
        <v>34</v>
      </c>
      <c r="BG19" s="28">
        <f>=IF(LEN(BG82)=0,(BF19*(1-BF41))-BG81+BG99+BG128,(BF19-BG81+BG99+BG128))</f>
        <v>33</v>
      </c>
      <c r="BH19" s="28">
        <f>=IF(LEN(BH82)=0,(BG19*(1-BG41))-BH81+BH99+BH128,(BG19-BH81+BH99+BH128))</f>
        <v>32</v>
      </c>
      <c r="BI19" s="28">
        <f>=IF(LEN(BI82)=0,(BH19*(1-BH41))-BI81+BI99+BI128,(BH19-BI81+BI99+BI128))</f>
        <v>33</v>
      </c>
      <c r="BJ19" s="28">
        <f>=IF(LEN(BJ82)=0,(BI19*(1-BI41))-BJ81+BJ99+BJ128,(BI19-BJ81+BJ99+BJ128))</f>
        <v>37</v>
      </c>
      <c r="BK19" s="28">
        <f>=IF(LEN(BK82)=0,(BJ19*(1-BJ41))-BK81+BK99+BK128,(BJ19-BK81+BK99+BK128))</f>
        <v>37</v>
      </c>
      <c r="BL19" s="28">
        <f>=IF(LEN(BL82)=0,(BK19*(1-BK41))-BL81+BL99+BL128,(BK19-BL81+BL99+BL128))</f>
        <v>37</v>
      </c>
      <c r="BM19" s="28">
        <f>=IF(LEN(BM82)=0,(BL19*(1-BL41))-BM81+BM99+BM128,(BL19-BM81+BM99+BM128))</f>
        <v>37</v>
      </c>
      <c r="BN19" s="28">
        <f>=IF(LEN(BN82)=0,(BM19*(1-BM41))-BN81+BN99+BN128,(BM19-BN81+BN99+BN128))</f>
        <v>37</v>
      </c>
      <c r="BO19" s="28">
        <f>=IF(LEN(BO82)=0,(BN19*(1-BN41))-BO81+BO99+BO128,(BN19-BO81+BO99+BO128))</f>
        <v>36</v>
      </c>
      <c r="BP19" s="28">
        <f>=IF(LEN(BP82)=0,(BO19*(1-BO41))-BP81+BP99+BP128,(BO19-BP81+BP99+BP128))</f>
        <v>34</v>
      </c>
      <c r="BQ19" s="28">
        <f>=IF(LEN(BQ82)=0,(BP19*(1-BP41))-BQ81+BQ99+BQ128,(BP19-BQ81+BQ99+BQ128))</f>
        <v>33</v>
      </c>
      <c r="BR19" s="28">
        <f>=IF(LEN(BR82)=0,(BQ19*(1-BQ41))-BR81+BR99+BR128,(BQ19-BR81+BR99+BR128))</f>
        <v>33</v>
      </c>
      <c r="BS19" s="28">
        <f>=IF(LEN(BS82)=0,(BR19*(1-BR41))-BS81+BS99+BS128,(BR19-BS81+BS99+BS128))</f>
        <v>33</v>
      </c>
      <c r="BT19" s="28">
        <f>=IF(LEN(BT82)=0,(BS19*(1-BS41))-BT81+BT99+BT128,(BS19-BT81+BT99+BT128))</f>
        <v>33</v>
      </c>
      <c r="BU19" s="28">
        <f>=IF(LEN(BU82)=0,(BT19*(1-BT41))-BU81+BU99+BU128,(BT19-BU81+BU99+BU128))</f>
        <v>33</v>
      </c>
      <c r="BV19" s="28">
        <f>=IF(LEN(BV82)=0,(BU19*(1-BU41))-BV81+BV99+BV128,(BU19-BV81+BV99+BV128))</f>
        <v>34</v>
      </c>
      <c r="BW19" s="28">
        <f>=IF(LEN(BW82)=0,(BV19*(1-BV41))-BW81+BW99+BW128,(BV19-BW81+BW99+BW128))</f>
        <v>34</v>
      </c>
      <c r="BX19" s="28">
        <f>=IF(LEN(BX82)=0,(BW19*(1-BW41))-BX81+BX99+BX128,(BW19-BX81+BX99+BX128))</f>
        <v>33</v>
      </c>
      <c r="BY19" s="28">
        <f>=IF(LEN(BY82)=0,(BX19*(1-BX41))-BY81+BY99+BY128,(BX19-BY81+BY99+BY128))</f>
        <v>33</v>
      </c>
      <c r="BZ19" s="28">
        <f>=IF(LEN(BZ82)=0,(BY19*(1-BY41))-BZ81+BZ99+BZ128,(BY19-BZ81+BZ99+BZ128))</f>
        <v>32.5875</v>
      </c>
      <c r="CA19" s="28">
        <f>=IF(LEN(CA82)=0,(BZ19*(1-BZ41))-CA81+CA99+CA128,(BZ19-CA81+CA99+CA128))</f>
        <v>32.18015625</v>
      </c>
      <c r="CB19" s="28">
        <f>=IF(LEN(CB82)=0,(CA19*(1-CA41))-CB81+CB99+CB128,(CA19-CB81+CB99+CB128))</f>
        <v>31.777904296875</v>
      </c>
      <c r="CC19" s="28">
        <f>=IF(LEN(CC82)=0,(CB19*(1-CB41))-CC81+CC99+CC128,(CB19-CC81+CC99+CC128))</f>
        <v>31.380680493164064</v>
      </c>
      <c r="CD19" s="28">
        <f>=IF(LEN(CD82)=0,(CC19*(1-CC41))-CD81+CD99+CD128,(CC19-CD81+CD99+CD128))</f>
        <v>31.06687368823242</v>
      </c>
      <c r="CE19" s="28">
        <f>=IF(LEN(CE82)=0,(CD19*(1-CD41))-CE81+CE99+CE128,(CD19-CE81+CE99+CE128))</f>
        <v>30.756204951350096</v>
      </c>
      <c r="CF19" s="28">
        <f>=IF(LEN(CF82)=0,(CE19*(1-CE41))-CF81+CF99+CF128,(CE19-CF81+CF99+CF128))</f>
        <v>30.448642901836596</v>
      </c>
      <c r="CG19" s="28">
        <f>=IF(LEN(CG82)=0,(CF19*(1-CF41))-CG81+CG99+CG128,(CF19-CG81+CG99+CG128))</f>
        <v>30.144156472818228</v>
      </c>
      <c r="CH19" s="28">
        <f>=IF(LEN(CH82)=0,(CG19*(1-CG41))-CH81+CH99+CH128,(CG19-CH81+CH99+CH128))</f>
        <v>29.842714908090045</v>
      </c>
      <c r="CI19" s="28">
        <f>=IF(LEN(CI82)=0,(CH19*(1-CH41))-CI81+CI99+CI128,(CH19-CI81+CI99+CI128))</f>
        <v>29.469680971738917</v>
      </c>
      <c r="CJ19" s="28">
        <f>=IF(LEN(CJ82)=0,(CI19*(1-CI41))-CJ81+CJ99+CJ128,(CI19-CJ81+CJ99+CJ128))</f>
        <v>29.10130995959217</v>
      </c>
      <c r="CK19" s="28">
        <f>=IF(LEN(CK82)=0,(CJ19*(1-CJ41))-CK81+CK99+CK128,(CJ19-CK81+CK99+CK128))</f>
        <v>28.737543585097264</v>
      </c>
      <c r="CL19" s="28">
        <f>=IF(LEN(CL82)=0,(CK19*(1-CK41))-CL81+CL99+CL128,(CK19-CL81+CL99+CL128))</f>
        <v>28.378324290283548</v>
      </c>
      <c r="CM19" s="28">
        <f>=IF(LEN(CM82)=0,(CL19*(1-CL41))-CM81+CM99+CM128,(CL19-CM81+CM99+CM128))</f>
        <v>28.023595236655005</v>
      </c>
      <c r="CN19" s="28">
        <f>=IF(LEN(CN82)=0,(CM19*(1-CM41))-CN81+CN99+CN128,(CM19-CN81+CN99+CN128))</f>
        <v>27.673300296196818</v>
      </c>
      <c r="CO19" s="28">
        <f>=IF(LEN(CO82)=0,(CN19*(1-CN41))-CO81+CO99+CO128,(CN19-CO81+CO99+CO128))</f>
        <v>27.327384042494355</v>
      </c>
      <c r="CP19" s="28">
        <f>=IF(LEN(CP82)=0,(CO19*(1-CO41))-CP81+CP99+CP128,(CO19-CP81+CP99+CP128))</f>
        <v>26.985791741963176</v>
      </c>
      <c r="CQ19" s="28">
        <f>=IF(LEN(CQ82)=0,(CP19*(1-CP41))-CQ81+CQ99+CQ128,(CP19-CQ81+CQ99+CQ128))</f>
        <v>26.715933824543544</v>
      </c>
      <c r="CR19" s="28">
        <f>=IF(LEN(CR82)=0,(CQ19*(1-CQ41))-CR81+CR99+CR128,(CQ19-CR81+CR99+CR128))</f>
        <v>26.44877448629811</v>
      </c>
      <c r="CS19" s="28">
        <f>=IF(LEN(CS82)=0,(CR19*(1-CR41))-CS81+CS99+CS128,(CR19-CS81+CS99+CS128))</f>
        <v>26.18428674143513</v>
      </c>
      <c r="CT19" s="28">
        <f>=IF(LEN(CT82)=0,(CS19*(1-CS41))-CT81+CT99+CT128,(CS19-CT81+CT99+CT128))</f>
        <v>25.92244387402078</v>
      </c>
      <c r="CU19" s="28">
        <f>=IF(LEN(CU82)=0,(CT19*(1-CT41))-CU81+CU99+CU128,(CT19-CU81+CU99+CU128))</f>
        <v>25.663219435280578</v>
      </c>
      <c r="CV19" s="28">
        <f>=IF(LEN(CV82)=0,(CU19*(1-CU41))-CV81+CV99+CV128,(CU19-CV81+CV99+CV128))</f>
        <v>25.34242919233957</v>
      </c>
      <c r="CW19" s="28">
        <f>=IF(LEN(CW82)=0,(CV19*(1-CV41))-CW81+CW99+CW128,(CV19-CW81+CW99+CW128))</f>
        <v>25.025648827435322</v>
      </c>
      <c r="CX19" s="28">
        <f>=IF(LEN(CX82)=0,(CW19*(1-CW41))-CX81+CX99+CX128,(CW19-CX81+CX99+CX128))</f>
        <v>24.712828217092383</v>
      </c>
      <c r="CY19" s="28">
        <f>=IF(LEN(CY82)=0,(CX19*(1-CX41))-CY81+CY99+CY128,(CX19-CY81+CY99+CY128))</f>
        <v>24.40391786437873</v>
      </c>
      <c r="CZ19" s="28">
        <f>=IF(LEN(CZ82)=0,(CY19*(1-CY41))-CZ81+CZ99+CZ128,(CY19-CZ81+CZ99+CZ128))</f>
        <v>24.098868891074</v>
      </c>
      <c r="DA19" s="28">
        <f>=IF(LEN(DA82)=0,(CZ19*(1-CZ41))-DA81+DA99+DA128,(CZ19-DA81+DA99+DA128))</f>
        <v>23.797633029935575</v>
      </c>
      <c r="DB19" s="28">
        <f>=IF(LEN(DB82)=0,(DA19*(1-DA41))-DB81+DB99+DB128,(DA19-DB81+DB99+DB128))</f>
        <v>23.50016261706138</v>
      </c>
    </row>
    <row r="20" ht="18" customHeight="1" spans="1:106" x14ac:dyDescent="0.25">
      <c r="A20" s="27" t="s">
        <v>254</v>
      </c>
      <c r="C20" s="28">
        <f>=SUM(C119:C121)</f>
        <v>0</v>
      </c>
      <c r="D20" s="28">
        <f>=SUM(D119:D121)</f>
        <v>0</v>
      </c>
      <c r="E20" s="28">
        <f>=SUM(E119:E121)</f>
        <v>0</v>
      </c>
      <c r="F20" s="28">
        <f>=SUM(F119:F121)</f>
        <v>0</v>
      </c>
      <c r="G20" s="28">
        <f>=SUM(G119:G121)</f>
        <v>0</v>
      </c>
      <c r="H20" s="28">
        <f>=SUM(H119:H121)</f>
        <v>2</v>
      </c>
      <c r="I20" s="28">
        <f>=SUM(I119:I121)</f>
        <v>0</v>
      </c>
      <c r="J20" s="28">
        <f>=SUM(J119:J121)</f>
        <v>0</v>
      </c>
      <c r="K20" s="28">
        <f>=SUM(K119:K121)</f>
        <v>0</v>
      </c>
      <c r="L20" s="28">
        <f>=SUM(L119:L121)</f>
        <v>0</v>
      </c>
      <c r="M20" s="28">
        <f>=SUM(M119:M121)</f>
        <v>0</v>
      </c>
      <c r="N20" s="28">
        <f>=SUM(N119:N121)</f>
        <v>0</v>
      </c>
      <c r="O20" s="28">
        <f>=SUM(O119:O121)</f>
        <v>0</v>
      </c>
      <c r="P20" s="28">
        <f>=SUM(P119:P121)</f>
        <v>0</v>
      </c>
      <c r="Q20" s="28">
        <f>=SUM(Q119:Q121)</f>
        <v>0</v>
      </c>
      <c r="R20" s="28">
        <f>=SUM(R119:R121)</f>
        <v>0</v>
      </c>
      <c r="S20" s="28">
        <f>=SUM(S119:S121)</f>
        <v>0</v>
      </c>
      <c r="T20" s="28">
        <f>=SUM(T119:T121)</f>
        <v>0</v>
      </c>
      <c r="U20" s="28">
        <f>=SUM(U119:U121)</f>
        <v>0</v>
      </c>
      <c r="V20" s="28">
        <f>=SUM(V119:V121)</f>
        <v>0</v>
      </c>
      <c r="W20" s="28">
        <f>=SUM(W119:W121)</f>
        <v>0</v>
      </c>
      <c r="X20" s="28">
        <f>=SUM(X119:X121)</f>
        <v>0</v>
      </c>
      <c r="Y20" s="28">
        <f>=SUM(Y119:Y121)</f>
        <v>0</v>
      </c>
      <c r="Z20" s="28">
        <f>=SUM(Z119:Z121)</f>
        <v>0</v>
      </c>
      <c r="AA20" s="28">
        <f>=SUM(AA119:AA121)</f>
        <v>0</v>
      </c>
      <c r="AB20" s="28">
        <f>=SUM(AB119:AB121)</f>
        <v>0</v>
      </c>
      <c r="AC20" s="28">
        <f>=SUM(AC119:AC121)</f>
        <v>0</v>
      </c>
      <c r="AD20" s="28">
        <f>=SUM(AD119:AD121)</f>
        <v>0</v>
      </c>
      <c r="AE20" s="28">
        <f>=SUM(AE119:AE121)</f>
        <v>0</v>
      </c>
      <c r="AF20" s="28">
        <f>=SUM(AF119:AF121)</f>
        <v>0</v>
      </c>
      <c r="AG20" s="28">
        <f>=SUM(AG119:AG121)</f>
        <v>0</v>
      </c>
      <c r="AH20" s="28">
        <f>=SUM(AH119:AH121)</f>
        <v>0</v>
      </c>
      <c r="AI20" s="28">
        <f>=SUM(AI119:AI121)</f>
        <v>0</v>
      </c>
      <c r="AJ20" s="28">
        <f>=SUM(AJ119:AJ121)</f>
        <v>0</v>
      </c>
      <c r="AK20" s="28">
        <f>=SUM(AK119:AK121)</f>
        <v>0</v>
      </c>
      <c r="AL20" s="28">
        <f>=SUM(AL119:AL121)</f>
        <v>0</v>
      </c>
      <c r="AM20" s="28">
        <f>=SUM(AM119:AM121)</f>
        <v>0</v>
      </c>
      <c r="AN20" s="28">
        <f>=SUM(AN119:AN121)</f>
        <v>0</v>
      </c>
      <c r="AO20" s="28">
        <f>=SUM(AO119:AO121)</f>
        <v>0</v>
      </c>
      <c r="AP20" s="28">
        <f>=SUM(AP119:AP121)</f>
        <v>0</v>
      </c>
      <c r="AQ20" s="28">
        <f>=SUM(AQ119:AQ121)</f>
        <v>0</v>
      </c>
      <c r="AR20" s="28">
        <f>=SUM(AR119:AR121)</f>
        <v>0</v>
      </c>
      <c r="AS20" s="28">
        <f>=SUM(AS119:AS121)</f>
        <v>0</v>
      </c>
      <c r="AT20" s="28">
        <f>=SUM(AT119:AT121)</f>
        <v>5</v>
      </c>
      <c r="AU20" s="28">
        <f>=SUM(AU119:AU121)</f>
        <v>0</v>
      </c>
      <c r="AV20" s="28">
        <f>=SUM(AV119:AV121)</f>
        <v>0</v>
      </c>
      <c r="AW20" s="28">
        <f>=SUM(AW119:AW121)</f>
        <v>2</v>
      </c>
      <c r="AX20" s="28">
        <f>=SUM(AX119:AX121)</f>
        <v>0</v>
      </c>
      <c r="AY20" s="28">
        <f>=SUM(AY119:AY121)</f>
        <v>0</v>
      </c>
      <c r="AZ20" s="28">
        <f>=SUM(AZ119:AZ121)</f>
        <v>0</v>
      </c>
      <c r="BA20" s="28">
        <f>=SUM(BA119:BA121)</f>
        <v>0</v>
      </c>
      <c r="BB20" s="28">
        <f>=SUM(BB119:BB121)</f>
        <v>0</v>
      </c>
      <c r="BC20" s="28">
        <f>=SUM(BC119:BC121)</f>
        <v>0</v>
      </c>
      <c r="BD20" s="28">
        <f>=SUM(BD119:BD121)</f>
        <v>0</v>
      </c>
      <c r="BE20" s="28">
        <f>=SUM(BE119:BE121)</f>
        <v>0</v>
      </c>
      <c r="BF20" s="28">
        <f>=SUM(BF119:BF121)</f>
        <v>0</v>
      </c>
      <c r="BG20" s="28">
        <f>=SUM(BG119:BG121)</f>
        <v>0</v>
      </c>
      <c r="BH20" s="28">
        <f>=SUM(BH119:BH121)</f>
        <v>0</v>
      </c>
      <c r="BI20" s="28">
        <f>=SUM(BI119:BI121)</f>
        <v>4</v>
      </c>
      <c r="BJ20" s="28">
        <f>=SUM(BJ119:BJ121)</f>
        <v>0</v>
      </c>
      <c r="BK20" s="28">
        <f>=SUM(BK119:BK121)</f>
        <v>0</v>
      </c>
      <c r="BL20" s="28">
        <f>=SUM(BL119:BL121)</f>
        <v>0</v>
      </c>
      <c r="BM20" s="28">
        <f>=SUM(BM119:BM121)</f>
        <v>0</v>
      </c>
      <c r="BN20" s="28">
        <f>=SUM(BN119:BN121)</f>
        <v>0</v>
      </c>
      <c r="BO20" s="28">
        <f>=SUM(BO119:BO121)</f>
        <v>0</v>
      </c>
      <c r="BP20" s="28">
        <f>=SUM(BP119:BP121)</f>
        <v>0</v>
      </c>
      <c r="BQ20" s="28">
        <f>=SUM(BQ119:BQ121)</f>
        <v>0</v>
      </c>
      <c r="BR20" s="28">
        <f>=SUM(BR119:BR121)</f>
        <v>0</v>
      </c>
      <c r="BS20" s="28">
        <f>=SUM(BS119:BS121)</f>
        <v>0</v>
      </c>
      <c r="BT20" s="28">
        <f>=SUM(BT119:BT121)</f>
        <v>0</v>
      </c>
      <c r="BU20" s="28">
        <f>=SUM(BU119:BU121)</f>
        <v>0</v>
      </c>
      <c r="BV20" s="28">
        <f>=SUM(BV119:BV121)</f>
        <v>0</v>
      </c>
      <c r="BW20" s="28">
        <f>=SUM(BW119:BW121)</f>
        <v>0</v>
      </c>
      <c r="BX20" s="28">
        <f>=BX119</f>
        <v>0</v>
      </c>
      <c r="BY20" s="28">
        <f>=BY119</f>
        <v>0</v>
      </c>
      <c r="BZ20" s="28">
        <f>=BZ119</f>
        <v>0</v>
      </c>
      <c r="CA20" s="28">
        <f>=CA119</f>
        <v>0</v>
      </c>
      <c r="CB20" s="28">
        <f>=CB119</f>
        <v>0</v>
      </c>
      <c r="CC20" s="28">
        <f>=CC119</f>
        <v>0</v>
      </c>
      <c r="CD20" s="28">
        <f>=CD119</f>
        <v>0</v>
      </c>
      <c r="CE20" s="28">
        <f>=CE119</f>
        <v>0</v>
      </c>
      <c r="CF20" s="28">
        <f>=CF119</f>
        <v>0</v>
      </c>
      <c r="CG20" s="28">
        <f>=CG119</f>
        <v>0</v>
      </c>
      <c r="CH20" s="28">
        <f>=CH119</f>
        <v>0</v>
      </c>
      <c r="CI20" s="28">
        <f>=CI119</f>
        <v>0</v>
      </c>
      <c r="CJ20" s="28">
        <f>=CJ119</f>
        <v>0</v>
      </c>
      <c r="CK20" s="28">
        <f>=CK119</f>
        <v>0</v>
      </c>
      <c r="CL20" s="28">
        <f>=CL119</f>
        <v>0</v>
      </c>
      <c r="CM20" s="28">
        <f>=CM119</f>
        <v>0</v>
      </c>
      <c r="CN20" s="28">
        <f>=CN119</f>
        <v>0</v>
      </c>
      <c r="CO20" s="28">
        <f>=CO119</f>
        <v>0</v>
      </c>
      <c r="CP20" s="28">
        <f>=CP119</f>
        <v>0</v>
      </c>
      <c r="CQ20" s="28">
        <f>=CQ119</f>
        <v>0</v>
      </c>
      <c r="CR20" s="28">
        <f>=CR119</f>
        <v>0</v>
      </c>
      <c r="CS20" s="28">
        <f>=CS119</f>
        <v>0</v>
      </c>
      <c r="CT20" s="28">
        <f>=CT119</f>
        <v>0</v>
      </c>
      <c r="CU20" s="28">
        <f>=CU119</f>
        <v>0</v>
      </c>
      <c r="CV20" s="28">
        <f>=CV119</f>
        <v>0</v>
      </c>
      <c r="CW20" s="28">
        <f>=CW119</f>
        <v>0</v>
      </c>
      <c r="CX20" s="28">
        <f>=CX119</f>
        <v>0</v>
      </c>
      <c r="CY20" s="28">
        <f>=CY119</f>
        <v>0</v>
      </c>
      <c r="CZ20" s="28">
        <f>=CZ119</f>
        <v>0</v>
      </c>
      <c r="DA20" s="28">
        <f>=DA119</f>
        <v>0</v>
      </c>
      <c r="DB20" s="28">
        <f>=DB119</f>
        <v>0</v>
      </c>
    </row>
    <row r="21" spans="1:106" x14ac:dyDescent="0.25">
      <c r="A21" s="27" t="s">
        <v>255</v>
      </c>
      <c r="C21" s="28">
        <f>=SUM(C122:C123)</f>
        <v>0</v>
      </c>
      <c r="D21" s="28">
        <f>=SUM(D122:D123)</f>
        <v>0</v>
      </c>
      <c r="E21" s="28">
        <f>=SUM(E122:E123)</f>
        <v>0</v>
      </c>
      <c r="F21" s="28">
        <f>=SUM(F122:F123)</f>
        <v>0</v>
      </c>
      <c r="G21" s="28">
        <f>=SUM(G122:G123)</f>
        <v>0</v>
      </c>
      <c r="H21" s="28">
        <f>=SUM(H122:H123)</f>
        <v>0</v>
      </c>
      <c r="I21" s="28">
        <f>=SUM(I122:I123)</f>
        <v>0</v>
      </c>
      <c r="J21" s="28">
        <f>=SUM(J122:J123)</f>
        <v>0</v>
      </c>
      <c r="K21" s="28">
        <f>=SUM(K122:K123)</f>
        <v>0</v>
      </c>
      <c r="L21" s="28">
        <f>=SUM(L122:L123)</f>
        <v>0</v>
      </c>
      <c r="M21" s="28">
        <f>=SUM(M122:M123)</f>
        <v>0</v>
      </c>
      <c r="N21" s="28">
        <f>=SUM(N122:N123)</f>
        <v>0</v>
      </c>
      <c r="O21" s="28">
        <f>=SUM(O122:O123)</f>
        <v>0</v>
      </c>
      <c r="P21" s="28">
        <f>=SUM(P122:P123)</f>
        <v>0</v>
      </c>
      <c r="Q21" s="28">
        <f>=SUM(Q122:Q123)</f>
        <v>0</v>
      </c>
      <c r="R21" s="28">
        <f>=SUM(R122:R123)</f>
        <v>0</v>
      </c>
      <c r="S21" s="28">
        <f>=SUM(S122:S123)</f>
        <v>0</v>
      </c>
      <c r="T21" s="28">
        <f>=SUM(T122:T123)</f>
        <v>0</v>
      </c>
      <c r="U21" s="28">
        <f>=SUM(U122:U123)</f>
        <v>0</v>
      </c>
      <c r="V21" s="28">
        <f>=SUM(V122:V123)</f>
        <v>0</v>
      </c>
      <c r="W21" s="28">
        <f>=SUM(W122:W123)</f>
        <v>0</v>
      </c>
      <c r="X21" s="28">
        <f>=SUM(X122:X123)</f>
        <v>0</v>
      </c>
      <c r="Y21" s="28">
        <f>=SUM(Y122:Y123)</f>
        <v>0</v>
      </c>
      <c r="Z21" s="28">
        <f>=SUM(Z122:Z123)</f>
        <v>0</v>
      </c>
      <c r="AA21" s="28">
        <f>=SUM(AA122:AA123)</f>
        <v>0</v>
      </c>
      <c r="AB21" s="28">
        <f>=SUM(AB122:AB123)</f>
        <v>0</v>
      </c>
      <c r="AC21" s="28">
        <f>=SUM(AC122:AC123)</f>
        <v>0</v>
      </c>
      <c r="AD21" s="28">
        <f>=SUM(AD122:AD123)</f>
        <v>0</v>
      </c>
      <c r="AE21" s="28">
        <f>=SUM(AE122:AE123)</f>
        <v>0</v>
      </c>
      <c r="AF21" s="28">
        <f>=SUM(AF122:AF123)</f>
        <v>0</v>
      </c>
      <c r="AG21" s="28">
        <f>=SUM(AG122:AG123)</f>
        <v>0</v>
      </c>
      <c r="AH21" s="28">
        <f>=SUM(AH122:AH123)</f>
        <v>0</v>
      </c>
      <c r="AI21" s="28">
        <f>=SUM(AI122:AI123)</f>
        <v>0</v>
      </c>
      <c r="AJ21" s="28">
        <f>=SUM(AJ122:AJ123)</f>
        <v>0</v>
      </c>
      <c r="AK21" s="28">
        <f>=SUM(AK122:AK123)</f>
        <v>0</v>
      </c>
      <c r="AL21" s="28">
        <f>=SUM(AL122:AL123)</f>
        <v>0</v>
      </c>
      <c r="AM21" s="28">
        <f>=SUM(AM122:AM123)</f>
        <v>0</v>
      </c>
      <c r="AN21" s="28">
        <f>=SUM(AN122:AN123)</f>
        <v>0</v>
      </c>
      <c r="AO21" s="28">
        <f>=SUM(AO122:AO123)</f>
        <v>0</v>
      </c>
      <c r="AP21" s="28">
        <f>=SUM(AP122:AP123)</f>
        <v>0</v>
      </c>
      <c r="AQ21" s="28">
        <f>=SUM(AQ122:AQ123)</f>
        <v>0</v>
      </c>
      <c r="AR21" s="28">
        <f>=SUM(AR122:AR123)</f>
        <v>0</v>
      </c>
      <c r="AS21" s="28">
        <f>=SUM(AS122:AS123)</f>
        <v>0</v>
      </c>
      <c r="AT21" s="28">
        <f>=SUM(AT122:AT123)</f>
        <v>0</v>
      </c>
      <c r="AU21" s="28">
        <f>=SUM(AU122:AU123)</f>
        <v>0</v>
      </c>
      <c r="AV21" s="28">
        <f>=SUM(AV122:AV123)</f>
        <v>0</v>
      </c>
      <c r="AW21" s="28">
        <f>=SUM(AW122:AW123)</f>
        <v>0</v>
      </c>
      <c r="AX21" s="28">
        <f>=SUM(AX122:AX123)</f>
        <v>0</v>
      </c>
      <c r="AY21" s="28">
        <f>=SUM(AY122:AY123)</f>
        <v>0</v>
      </c>
      <c r="AZ21" s="28">
        <f>=SUM(AZ122:AZ123)</f>
        <v>0</v>
      </c>
      <c r="BA21" s="28">
        <f>=SUM(BA122:BA123)</f>
        <v>0</v>
      </c>
      <c r="BB21" s="28">
        <f>=SUM(BB122:BB123)</f>
        <v>0</v>
      </c>
      <c r="BC21" s="28">
        <f>=SUM(BC122:BC123)</f>
        <v>0</v>
      </c>
      <c r="BD21" s="28">
        <f>=SUM(BD122:BD123)</f>
        <v>0</v>
      </c>
      <c r="BE21" s="28">
        <f>=SUM(BE122:BE123)</f>
        <v>0</v>
      </c>
      <c r="BF21" s="28">
        <f>=SUM(BF122:BF123)</f>
        <v>0</v>
      </c>
      <c r="BG21" s="28">
        <f>=SUM(BG122:BG123)</f>
        <v>0</v>
      </c>
      <c r="BH21" s="28">
        <f>=SUM(BH122:BH123)</f>
        <v>0</v>
      </c>
      <c r="BI21" s="28">
        <f>=SUM(BI122:BI123)</f>
        <v>0</v>
      </c>
      <c r="BJ21" s="28">
        <f>=SUM(BJ122:BJ123)</f>
        <v>0</v>
      </c>
      <c r="BK21" s="28">
        <f>=SUM(BK122:BK123)</f>
        <v>0</v>
      </c>
      <c r="BL21" s="28">
        <f>=SUM(BL122:BL123)</f>
        <v>0</v>
      </c>
      <c r="BM21" s="28">
        <f>=SUM(BM122:BM123)</f>
        <v>0</v>
      </c>
      <c r="BN21" s="28">
        <f>=SUM(BN122:BN123)</f>
        <v>0</v>
      </c>
      <c r="BO21" s="28">
        <f>=SUM(BO122:BO123)</f>
        <v>0</v>
      </c>
      <c r="BP21" s="28">
        <f>=SUM(BP122:BP123)</f>
        <v>0</v>
      </c>
      <c r="BQ21" s="28">
        <f>=SUM(BQ122:BQ123)</f>
        <v>0</v>
      </c>
      <c r="BR21" s="28">
        <f>=SUM(BR122:BR123)</f>
        <v>0</v>
      </c>
      <c r="BS21" s="28">
        <f>=SUM(BS122:BS123)</f>
        <v>0</v>
      </c>
      <c r="BT21" s="28">
        <f>=SUM(BT122:BT123)</f>
        <v>0</v>
      </c>
      <c r="BU21" s="28">
        <f>=SUM(BU122:BU123)</f>
        <v>0</v>
      </c>
      <c r="BV21" s="28">
        <f>=SUM(BV122:BV123)</f>
        <v>0</v>
      </c>
      <c r="BW21" s="28">
        <f>=SUM(BW122:BW123)</f>
        <v>0</v>
      </c>
      <c r="BX21" s="28">
        <f>=SUM(BX122:BX123)</f>
        <v>0</v>
      </c>
      <c r="BY21" s="28">
        <f>=SUM(BY122:BY123)</f>
        <v>0</v>
      </c>
      <c r="BZ21" s="28">
        <f>=SUM(BZ122:BZ123)</f>
        <v>0</v>
      </c>
      <c r="CA21" s="28">
        <f>=SUM(CA122:CA123)</f>
        <v>0</v>
      </c>
      <c r="CB21" s="28">
        <f>=SUM(CB122:CB123)</f>
        <v>0</v>
      </c>
      <c r="CC21" s="28">
        <f>=SUM(CC122:CC123)</f>
        <v>0</v>
      </c>
      <c r="CD21" s="28">
        <f>=SUM(CD122:CD123)</f>
        <v>0</v>
      </c>
      <c r="CE21" s="28">
        <f>=SUM(CE122:CE123)</f>
        <v>0</v>
      </c>
      <c r="CF21" s="28">
        <f>=SUM(CF122:CF123)</f>
        <v>0</v>
      </c>
      <c r="CG21" s="28">
        <f>=SUM(CG122:CG123)</f>
        <v>0</v>
      </c>
      <c r="CH21" s="28">
        <f>=SUM(CH122:CH123)</f>
        <v>0</v>
      </c>
      <c r="CI21" s="28">
        <f>=SUM(CI122:CI123)</f>
        <v>0</v>
      </c>
      <c r="CJ21" s="28">
        <f>=SUM(CJ122:CJ123)</f>
        <v>0</v>
      </c>
      <c r="CK21" s="28">
        <f>=SUM(CK122:CK123)</f>
        <v>0</v>
      </c>
      <c r="CL21" s="28">
        <f>=SUM(CL122:CL123)</f>
        <v>0</v>
      </c>
      <c r="CM21" s="28">
        <f>=SUM(CM122:CM123)</f>
        <v>0</v>
      </c>
      <c r="CN21" s="28">
        <f>=SUM(CN122:CN123)</f>
        <v>0</v>
      </c>
      <c r="CO21" s="28">
        <f>=SUM(CO122:CO123)</f>
        <v>0</v>
      </c>
      <c r="CP21" s="28">
        <f>=SUM(CP122:CP123)</f>
        <v>0</v>
      </c>
      <c r="CQ21" s="28">
        <f>=SUM(CQ122:CQ123)</f>
        <v>0</v>
      </c>
      <c r="CR21" s="28">
        <f>=SUM(CR122:CR123)</f>
        <v>0</v>
      </c>
      <c r="CS21" s="28">
        <f>=SUM(CS122:CS123)</f>
        <v>0</v>
      </c>
      <c r="CT21" s="28">
        <f>=SUM(CT122:CT123)</f>
        <v>0</v>
      </c>
      <c r="CU21" s="28">
        <f>=SUM(CU122:CU123)</f>
        <v>0</v>
      </c>
      <c r="CV21" s="28">
        <f>=SUM(CV122:CV123)</f>
        <v>0</v>
      </c>
      <c r="CW21" s="28">
        <f>=SUM(CW122:CW123)</f>
        <v>0</v>
      </c>
      <c r="CX21" s="28">
        <f>=SUM(CX122:CX123)</f>
        <v>0</v>
      </c>
      <c r="CY21" s="28">
        <f>=SUM(CY122:CY123)</f>
        <v>0</v>
      </c>
      <c r="CZ21" s="28">
        <f>=SUM(CZ122:CZ123)</f>
        <v>0</v>
      </c>
      <c r="DA21" s="28">
        <f>=SUM(DA122:DA123)</f>
        <v>0</v>
      </c>
      <c r="DB21" s="28">
        <f>=SUM(DB122:DB123)</f>
        <v>0</v>
      </c>
    </row>
    <row r="22" spans="1:106" x14ac:dyDescent="0.25">
      <c r="A22" s="27" t="s">
        <v>256</v>
      </c>
      <c r="C22" s="28">
        <f>=SUM(C124:C125)</f>
        <v>0</v>
      </c>
      <c r="D22" s="28">
        <f>=SUM(D124:D125)</f>
        <v>0</v>
      </c>
      <c r="E22" s="28">
        <f>=SUM(E124:E125)</f>
        <v>0</v>
      </c>
      <c r="F22" s="28">
        <f>=SUM(F124:F125)</f>
        <v>0</v>
      </c>
      <c r="G22" s="28">
        <f>=SUM(G124:G125)</f>
        <v>0</v>
      </c>
      <c r="H22" s="28">
        <f>=SUM(H124:H125)</f>
        <v>0</v>
      </c>
      <c r="I22" s="28">
        <v>0</v>
      </c>
      <c r="J22" s="28">
        <f>=SUM(J124:J125)</f>
        <v>0</v>
      </c>
      <c r="K22" s="28">
        <f>=SUM(K124:K125)</f>
        <v>0</v>
      </c>
      <c r="L22" s="28">
        <f>=SUM(L124:L125)</f>
        <v>0</v>
      </c>
      <c r="M22" s="28">
        <f>=SUM(M124:M125)</f>
        <v>0</v>
      </c>
      <c r="N22" s="28">
        <f>=SUM(N124:N125)</f>
        <v>0</v>
      </c>
      <c r="O22" s="28">
        <f>=SUM(O124:O125)</f>
        <v>0</v>
      </c>
      <c r="P22" s="28">
        <f>=SUM(P124:P125)</f>
        <v>0</v>
      </c>
      <c r="Q22" s="28">
        <f>=SUM(Q124:Q125)</f>
        <v>0</v>
      </c>
      <c r="R22" s="28">
        <f>=SUM(R124:R125)</f>
        <v>0</v>
      </c>
      <c r="S22" s="28">
        <f>=SUM(S124:S125)</f>
        <v>0</v>
      </c>
      <c r="T22" s="28">
        <f>=SUM(T124:T125)</f>
        <v>0</v>
      </c>
      <c r="U22" s="28">
        <f>=SUM(U124:U125)</f>
        <v>0</v>
      </c>
      <c r="V22" s="28">
        <f>=SUM(V124:V125)</f>
        <v>0</v>
      </c>
      <c r="W22" s="28">
        <f>=SUM(W124:W125)</f>
        <v>0</v>
      </c>
      <c r="X22" s="28">
        <f>=SUM(X124:X125)</f>
        <v>0</v>
      </c>
      <c r="Y22" s="28">
        <f>=SUM(Y124:Y125)</f>
        <v>0</v>
      </c>
      <c r="Z22" s="28">
        <f>=SUM(Z124:Z125)</f>
        <v>0</v>
      </c>
      <c r="AA22" s="28">
        <f>=SUM(AA124:AA125)</f>
        <v>0</v>
      </c>
      <c r="AB22" s="28">
        <f>=SUM(AB124:AB125)</f>
        <v>0</v>
      </c>
      <c r="AC22" s="28">
        <f>=SUM(AC124:AC125)</f>
        <v>0</v>
      </c>
      <c r="AD22" s="28">
        <f>=SUM(AD124:AD125)</f>
        <v>0</v>
      </c>
      <c r="AE22" s="28">
        <f>=SUM(AE124:AE125)</f>
        <v>0</v>
      </c>
      <c r="AF22" s="28">
        <f>=SUM(AF124:AF125)</f>
        <v>0</v>
      </c>
      <c r="AG22" s="28">
        <f>=SUM(AG124:AG125)</f>
        <v>0</v>
      </c>
      <c r="AH22" s="28">
        <f>=SUM(AH124:AH125)</f>
        <v>0</v>
      </c>
      <c r="AI22" s="28">
        <f>=SUM(AI124:AI125)</f>
        <v>0</v>
      </c>
      <c r="AJ22" s="28">
        <f>=SUM(AJ124:AJ125)</f>
        <v>0</v>
      </c>
      <c r="AK22" s="28">
        <f>=SUM(AK124:AK125)</f>
        <v>0</v>
      </c>
      <c r="AL22" s="28">
        <f>=SUM(AL124:AL125)</f>
        <v>0</v>
      </c>
      <c r="AM22" s="28">
        <f>=SUM(AM124:AM125)</f>
        <v>0</v>
      </c>
      <c r="AN22" s="28">
        <f>=SUM(AN124:AN125)</f>
        <v>0</v>
      </c>
      <c r="AO22" s="28">
        <f>=SUM(AO124:AO125)</f>
        <v>0</v>
      </c>
      <c r="AP22" s="28">
        <f>=SUM(AP124:AP125)</f>
        <v>0</v>
      </c>
      <c r="AQ22" s="28">
        <f>=SUM(AQ124:AQ125)</f>
        <v>0</v>
      </c>
      <c r="AR22" s="28">
        <f>=SUM(AR124:AR125)</f>
        <v>0</v>
      </c>
      <c r="AS22" s="28">
        <f>=SUM(AS124:AS125)</f>
        <v>0</v>
      </c>
      <c r="AT22" s="28">
        <f>=SUM(AT124:AT125)</f>
        <v>0</v>
      </c>
      <c r="AU22" s="28">
        <f>=SUM(AU124:AU125)</f>
        <v>0</v>
      </c>
      <c r="AV22" s="28">
        <f>=SUM(AV124:AV125)</f>
        <v>0</v>
      </c>
      <c r="AW22" s="28">
        <f>=SUM(AW124:AW125)</f>
        <v>0</v>
      </c>
      <c r="AX22" s="28">
        <f>=SUM(AX124:AX125)</f>
        <v>0</v>
      </c>
      <c r="AY22" s="28">
        <f>=SUM(AY124:AY125)</f>
        <v>0</v>
      </c>
      <c r="AZ22" s="28">
        <f>=SUM(AZ124:AZ125)</f>
        <v>0</v>
      </c>
      <c r="BA22" s="28">
        <f>=SUM(BA124:BA125)</f>
        <v>0</v>
      </c>
      <c r="BB22" s="28">
        <f>=SUM(BB124:BB125)</f>
        <v>0</v>
      </c>
      <c r="BC22" s="28">
        <f>=SUM(BC124:BC125)</f>
        <v>0</v>
      </c>
      <c r="BD22" s="28">
        <f>=SUM(BD124:BD125)</f>
        <v>0</v>
      </c>
      <c r="BE22" s="28">
        <f>=SUM(BE124:BE125)</f>
        <v>0</v>
      </c>
      <c r="BF22" s="28">
        <f>=SUM(BF124:BF125)</f>
        <v>0</v>
      </c>
      <c r="BG22" s="28">
        <f>=SUM(BG124:BG125)</f>
        <v>0</v>
      </c>
      <c r="BH22" s="28">
        <f>=SUM(BH124:BH125)</f>
        <v>0</v>
      </c>
      <c r="BI22" s="28">
        <f>=SUM(BI124:BI125)</f>
        <v>0</v>
      </c>
      <c r="BJ22" s="28">
        <f>=SUM(BJ124:BJ125)</f>
        <v>0</v>
      </c>
      <c r="BK22" s="28">
        <f>=SUM(BK124:BK125)</f>
        <v>0</v>
      </c>
      <c r="BL22" s="28">
        <f>=SUM(BL124:BL125)</f>
        <v>0</v>
      </c>
      <c r="BM22" s="28">
        <f>=SUM(BM124:BM125)</f>
        <v>0</v>
      </c>
      <c r="BN22" s="28">
        <f>=SUM(BN124:BN125)</f>
        <v>0</v>
      </c>
      <c r="BO22" s="28">
        <f>=SUM(BO124:BO125)</f>
        <v>0</v>
      </c>
      <c r="BP22" s="28">
        <f>=SUM(BP124:BP125)</f>
        <v>0</v>
      </c>
      <c r="BQ22" s="28">
        <f>=SUM(BQ124:BQ125)</f>
        <v>0</v>
      </c>
      <c r="BR22" s="28">
        <f>=SUM(BR124:BR125)</f>
        <v>0</v>
      </c>
      <c r="BS22" s="28">
        <f>=SUM(BS124:BS125)</f>
        <v>0</v>
      </c>
      <c r="BT22" s="28">
        <f>=SUM(BT124:BT125)</f>
        <v>0</v>
      </c>
      <c r="BU22" s="28">
        <f>=SUM(BU124:BU125)</f>
        <v>0</v>
      </c>
      <c r="BV22" s="28">
        <f>=SUM(BV124:BV125)</f>
        <v>0</v>
      </c>
      <c r="BW22" s="28">
        <f>=SUM(BW124:BW125)</f>
        <v>0</v>
      </c>
      <c r="BX22" s="28">
        <f>=SUM(BX124:BX125)</f>
        <v>0</v>
      </c>
      <c r="BY22" s="28">
        <f>=SUM(BY124:BY125)</f>
        <v>0</v>
      </c>
      <c r="BZ22" s="28">
        <f>=SUM(BZ124:BZ125)</f>
        <v>0</v>
      </c>
      <c r="CA22" s="28">
        <f>=SUM(CA124:CA125)</f>
        <v>0</v>
      </c>
      <c r="CB22" s="28">
        <f>=SUM(CB124:CB125)</f>
        <v>0</v>
      </c>
      <c r="CC22" s="28">
        <f>=SUM(CC124:CC125)</f>
        <v>0</v>
      </c>
      <c r="CD22" s="28">
        <f>=SUM(CD124:CD125)</f>
        <v>0</v>
      </c>
      <c r="CE22" s="28">
        <f>=SUM(CE124:CE125)</f>
        <v>0</v>
      </c>
      <c r="CF22" s="28">
        <f>=SUM(CF124:CF125)</f>
        <v>0</v>
      </c>
      <c r="CG22" s="28">
        <f>=SUM(CG124:CG125)</f>
        <v>0</v>
      </c>
      <c r="CH22" s="28">
        <f>=SUM(CH124:CH125)</f>
        <v>0</v>
      </c>
      <c r="CI22" s="28">
        <f>=SUM(CI124:CI125)</f>
        <v>0</v>
      </c>
      <c r="CJ22" s="28">
        <f>=SUM(CJ124:CJ125)</f>
        <v>0</v>
      </c>
      <c r="CK22" s="28">
        <f>=SUM(CK124:CK125)</f>
        <v>0</v>
      </c>
      <c r="CL22" s="28">
        <f>=SUM(CL124:CL125)</f>
        <v>0</v>
      </c>
      <c r="CM22" s="28">
        <f>=SUM(CM124:CM125)</f>
        <v>0</v>
      </c>
      <c r="CN22" s="28">
        <f>=SUM(CN124:CN125)</f>
        <v>0</v>
      </c>
      <c r="CO22" s="28">
        <f>=SUM(CO124:CO125)</f>
        <v>0</v>
      </c>
      <c r="CP22" s="28">
        <f>=SUM(CP124:CP125)</f>
        <v>0</v>
      </c>
      <c r="CQ22" s="28">
        <f>=SUM(CQ124:CQ125)</f>
        <v>0</v>
      </c>
      <c r="CR22" s="28">
        <f>=SUM(CR124:CR125)</f>
        <v>0</v>
      </c>
      <c r="CS22" s="28">
        <f>=SUM(CS124:CS125)</f>
        <v>0</v>
      </c>
      <c r="CT22" s="28">
        <f>=SUM(CT124:CT125)</f>
        <v>0</v>
      </c>
      <c r="CU22" s="28">
        <f>=SUM(CU124:CU125)</f>
        <v>0</v>
      </c>
      <c r="CV22" s="28">
        <f>=SUM(CV124:CV125)</f>
        <v>0</v>
      </c>
      <c r="CW22" s="28">
        <f>=SUM(CW124:CW125)</f>
        <v>0</v>
      </c>
      <c r="CX22" s="28">
        <f>=SUM(CX124:CX125)</f>
        <v>0</v>
      </c>
      <c r="CY22" s="28">
        <f>=SUM(CY124:CY125)</f>
        <v>0</v>
      </c>
      <c r="CZ22" s="28">
        <f>=SUM(CZ124:CZ125)</f>
        <v>0</v>
      </c>
      <c r="DA22" s="28">
        <f>=SUM(DA124:DA125)</f>
        <v>0</v>
      </c>
      <c r="DB22" s="28">
        <f>=SUM(DB124:DB125)</f>
        <v>0</v>
      </c>
    </row>
    <row r="23" spans="1:106" x14ac:dyDescent="0.25">
      <c r="A23" s="27" t="s">
        <v>257</v>
      </c>
      <c r="C23" s="28">
        <f>=SUM(C126:C127)</f>
        <v>0</v>
      </c>
      <c r="D23" s="28">
        <f>=SUM(D126:D127)</f>
        <v>0</v>
      </c>
      <c r="E23" s="28">
        <f>=SUM(E126:E127)</f>
        <v>0</v>
      </c>
      <c r="F23" s="28">
        <f>=SUM(F126:F127)</f>
        <v>0</v>
      </c>
      <c r="G23" s="28">
        <f>=SUM(G126:G127)</f>
        <v>0</v>
      </c>
      <c r="H23" s="28">
        <f>=SUM(H126:H127)</f>
        <v>0</v>
      </c>
      <c r="I23" s="28">
        <f>=SUM(I126:I127)</f>
        <v>0</v>
      </c>
      <c r="J23" s="28">
        <f>=SUM(J126:J127)</f>
        <v>0</v>
      </c>
      <c r="K23" s="28">
        <f>=SUM(K126:K127)</f>
        <v>0</v>
      </c>
      <c r="L23" s="28">
        <f>=SUM(L126:L127)</f>
        <v>0</v>
      </c>
      <c r="M23" s="28">
        <f>=SUM(M126:M127)</f>
        <v>0</v>
      </c>
      <c r="N23" s="28">
        <f>=SUM(N126:N127)</f>
        <v>0</v>
      </c>
      <c r="O23" s="28">
        <f>=SUM(O126:O127)</f>
        <v>0</v>
      </c>
      <c r="P23" s="28">
        <f>=SUM(P126:P127)</f>
        <v>0</v>
      </c>
      <c r="Q23" s="28">
        <f>=SUM(Q126:Q127)</f>
        <v>0</v>
      </c>
      <c r="R23" s="28">
        <f>=SUM(R126:R127)</f>
        <v>0</v>
      </c>
      <c r="S23" s="28">
        <f>=SUM(S126:S127)</f>
        <v>0</v>
      </c>
      <c r="T23" s="28">
        <f>=SUM(T126:T127)</f>
        <v>0</v>
      </c>
      <c r="U23" s="28">
        <f>=SUM(U126:U127)</f>
        <v>0</v>
      </c>
      <c r="V23" s="28">
        <f>=SUM(V126:V127)</f>
        <v>0</v>
      </c>
      <c r="W23" s="28">
        <f>=SUM(W126:W127)</f>
        <v>0</v>
      </c>
      <c r="X23" s="28">
        <f>=SUM(X126:X127)</f>
        <v>0</v>
      </c>
      <c r="Y23" s="28">
        <f>=SUM(Y126:Y127)</f>
        <v>0</v>
      </c>
      <c r="Z23" s="28">
        <f>=SUM(Z126:Z127)</f>
        <v>0</v>
      </c>
      <c r="AA23" s="28">
        <f>=SUM(AA126:AA127)</f>
        <v>0</v>
      </c>
      <c r="AB23" s="28">
        <f>=SUM(AB126:AB127)</f>
        <v>0</v>
      </c>
      <c r="AC23" s="28">
        <f>=SUM(AC126:AC127)</f>
        <v>0</v>
      </c>
      <c r="AD23" s="28">
        <f>=SUM(AD126:AD127)</f>
        <v>0</v>
      </c>
      <c r="AE23" s="28">
        <f>=SUM(AE126:AE127)</f>
        <v>0</v>
      </c>
      <c r="AF23" s="28">
        <f>=SUM(AF126:AF127)</f>
        <v>0</v>
      </c>
      <c r="AG23" s="28">
        <f>=SUM(AG126:AG127)</f>
        <v>0</v>
      </c>
      <c r="AH23" s="28">
        <f>=SUM(AH126:AH127)</f>
        <v>0</v>
      </c>
      <c r="AI23" s="28">
        <f>=SUM(AI126:AI127)</f>
        <v>0</v>
      </c>
      <c r="AJ23" s="28">
        <f>=SUM(AJ126:AJ127)</f>
        <v>0</v>
      </c>
      <c r="AK23" s="28">
        <f>=SUM(AK126:AK127)</f>
        <v>0</v>
      </c>
      <c r="AL23" s="28">
        <f>=SUM(AL126:AL127)</f>
        <v>0</v>
      </c>
      <c r="AM23" s="28">
        <f>=SUM(AM126:AM127)</f>
        <v>0</v>
      </c>
      <c r="AN23" s="28">
        <f>=SUM(AN126:AN127)</f>
        <v>0</v>
      </c>
      <c r="AO23" s="28">
        <f>=SUM(AO126:AO127)</f>
        <v>0</v>
      </c>
      <c r="AP23" s="28">
        <f>=SUM(AP126:AP127)</f>
        <v>0</v>
      </c>
      <c r="AQ23" s="28">
        <f>=SUM(AQ126:AQ127)</f>
        <v>0</v>
      </c>
      <c r="AR23" s="28">
        <f>=SUM(AR126:AR127)</f>
        <v>0</v>
      </c>
      <c r="AS23" s="28">
        <f>=SUM(AS126:AS127)</f>
        <v>0</v>
      </c>
      <c r="AT23" s="28">
        <f>=SUM(AT126:AT127)</f>
        <v>0</v>
      </c>
      <c r="AU23" s="28">
        <f>=SUM(AU126:AU127)</f>
        <v>0</v>
      </c>
      <c r="AV23" s="28">
        <f>=SUM(AV126:AV127)</f>
        <v>0</v>
      </c>
      <c r="AW23" s="28">
        <f>=SUM(AW126:AW127)</f>
        <v>0</v>
      </c>
      <c r="AX23" s="28">
        <f>=SUM(AX126:AX127)</f>
        <v>0</v>
      </c>
      <c r="AY23" s="28">
        <f>=SUM(AY126:AY127)</f>
        <v>0</v>
      </c>
      <c r="AZ23" s="28">
        <f>=SUM(AZ126:AZ127)</f>
        <v>0</v>
      </c>
      <c r="BA23" s="28">
        <f>=SUM(BA126:BA127)</f>
        <v>0</v>
      </c>
      <c r="BB23" s="28">
        <f>=SUM(BB126:BB127)</f>
        <v>0</v>
      </c>
      <c r="BC23" s="28">
        <f>=SUM(BC126:BC127)</f>
        <v>0</v>
      </c>
      <c r="BD23" s="28">
        <f>=SUM(BD126:BD127)</f>
        <v>0</v>
      </c>
      <c r="BE23" s="28">
        <f>=SUM(BE126:BE127)</f>
        <v>0</v>
      </c>
      <c r="BF23" s="28">
        <f>=SUM(BF126:BF127)</f>
        <v>0</v>
      </c>
      <c r="BG23" s="28">
        <f>=SUM(BG126:BG127)</f>
        <v>0</v>
      </c>
      <c r="BH23" s="28">
        <f>=SUM(BH126:BH127)</f>
        <v>0</v>
      </c>
      <c r="BI23" s="28">
        <f>=SUM(BI126:BI127)</f>
        <v>0</v>
      </c>
      <c r="BJ23" s="28">
        <f>=SUM(BJ126:BJ127)</f>
        <v>0</v>
      </c>
      <c r="BK23" s="28">
        <f>=SUM(BK126:BK127)</f>
        <v>0</v>
      </c>
      <c r="BL23" s="28">
        <f>=SUM(BL126:BL127)</f>
        <v>0</v>
      </c>
      <c r="BM23" s="28">
        <f>=SUM(BM126:BM127)</f>
        <v>0</v>
      </c>
      <c r="BN23" s="28">
        <f>=SUM(BN126:BN127)</f>
        <v>0</v>
      </c>
      <c r="BO23" s="28">
        <f>=SUM(BO126:BO127)</f>
        <v>0</v>
      </c>
      <c r="BP23" s="28">
        <f>=SUM(BP126:BP127)</f>
        <v>0</v>
      </c>
      <c r="BQ23" s="28">
        <f>=SUM(BQ126:BQ127)</f>
        <v>0</v>
      </c>
      <c r="BR23" s="28">
        <f>=SUM(BR126:BR127)</f>
        <v>0</v>
      </c>
      <c r="BS23" s="28">
        <f>=SUM(BS126:BS127)</f>
        <v>0</v>
      </c>
      <c r="BT23" s="28">
        <f>=SUM(BT126:BT127)</f>
        <v>0</v>
      </c>
      <c r="BU23" s="28">
        <f>=SUM(BU126:BU127)</f>
        <v>0</v>
      </c>
      <c r="BV23" s="28">
        <f>=SUM(BV126:BV127)</f>
        <v>0</v>
      </c>
      <c r="BW23" s="28">
        <f>=SUM(BW126:BW127)</f>
        <v>0</v>
      </c>
      <c r="BX23" s="28">
        <f>=SUM(BX126:BX127)</f>
        <v>0</v>
      </c>
      <c r="BY23" s="28">
        <f>=SUM(BY126:BY127)</f>
        <v>0</v>
      </c>
      <c r="BZ23" s="28">
        <f>=SUM(BZ126:BZ127)</f>
        <v>0</v>
      </c>
      <c r="CA23" s="28">
        <f>=SUM(CA126:CA127)</f>
        <v>0</v>
      </c>
      <c r="CB23" s="28">
        <f>=SUM(CB126:CB127)</f>
        <v>0</v>
      </c>
      <c r="CC23" s="28">
        <f>=SUM(CC126:CC127)</f>
        <v>0</v>
      </c>
      <c r="CD23" s="28">
        <f>=SUM(CD126:CD127)</f>
        <v>0</v>
      </c>
      <c r="CE23" s="28">
        <f>=SUM(CE126:CE127)</f>
        <v>0</v>
      </c>
      <c r="CF23" s="28">
        <f>=SUM(CF126:CF127)</f>
        <v>0</v>
      </c>
      <c r="CG23" s="28">
        <f>=SUM(CG126:CG127)</f>
        <v>0</v>
      </c>
      <c r="CH23" s="28">
        <f>=SUM(CH126:CH127)</f>
        <v>0</v>
      </c>
      <c r="CI23" s="28">
        <f>=SUM(CI126:CI127)</f>
        <v>0</v>
      </c>
      <c r="CJ23" s="28">
        <f>=SUM(CJ126:CJ127)</f>
        <v>0</v>
      </c>
      <c r="CK23" s="28">
        <f>=SUM(CK126:CK127)</f>
        <v>0</v>
      </c>
      <c r="CL23" s="28">
        <f>=SUM(CL126:CL127)</f>
        <v>0</v>
      </c>
      <c r="CM23" s="28">
        <f>=SUM(CM126:CM127)</f>
        <v>0</v>
      </c>
      <c r="CN23" s="28">
        <f>=SUM(CN126:CN127)</f>
        <v>0</v>
      </c>
      <c r="CO23" s="28">
        <f>=SUM(CO126:CO127)</f>
        <v>0</v>
      </c>
      <c r="CP23" s="28">
        <f>=SUM(CP126:CP127)</f>
        <v>0</v>
      </c>
      <c r="CQ23" s="28">
        <f>=SUM(CQ126:CQ127)</f>
        <v>0</v>
      </c>
      <c r="CR23" s="28">
        <f>=SUM(CR126:CR127)</f>
        <v>0</v>
      </c>
      <c r="CS23" s="28">
        <f>=SUM(CS126:CS127)</f>
        <v>0</v>
      </c>
      <c r="CT23" s="28">
        <f>=SUM(CT126:CT127)</f>
        <v>0</v>
      </c>
      <c r="CU23" s="28">
        <f>=SUM(CU126:CU127)</f>
        <v>0</v>
      </c>
      <c r="CV23" s="28">
        <f>=SUM(CV126:CV127)</f>
        <v>0</v>
      </c>
      <c r="CW23" s="28">
        <f>=SUM(CW126:CW127)</f>
        <v>0</v>
      </c>
      <c r="CX23" s="28">
        <f>=SUM(CX126:CX127)</f>
        <v>0</v>
      </c>
      <c r="CY23" s="28">
        <f>=SUM(CY126:CY127)</f>
        <v>0</v>
      </c>
      <c r="CZ23" s="28">
        <f>=SUM(CZ126:CZ127)</f>
        <v>0</v>
      </c>
      <c r="DA23" s="28">
        <f>=SUM(DA126:DA127)</f>
        <v>0</v>
      </c>
      <c r="DB23" s="28">
        <f>=SUM(DB126:DB127)</f>
        <v>0</v>
      </c>
    </row>
    <row r="24" spans="1:106" x14ac:dyDescent="0.25">
      <c r="A24" s="27" t="s">
        <v>258</v>
      </c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0"/>
      <c r="CI24" s="30"/>
      <c r="CJ24" s="30"/>
      <c r="CK24" s="30"/>
      <c r="CL24" s="30"/>
      <c r="CM24" s="30"/>
      <c r="CN24" s="30"/>
      <c r="CO24" s="30"/>
      <c r="CP24" s="30"/>
      <c r="CQ24" s="30"/>
      <c r="CR24" s="30"/>
      <c r="CS24" s="30"/>
      <c r="CT24" s="30"/>
      <c r="CU24" s="30"/>
      <c r="CV24" s="30"/>
      <c r="CW24" s="30"/>
      <c r="CX24" s="30"/>
      <c r="CY24" s="30"/>
      <c r="CZ24" s="30"/>
      <c r="DA24" s="30"/>
      <c r="DB24" s="30"/>
    </row>
    <row r="25" spans="1:106" x14ac:dyDescent="0.25">
      <c r="A25" s="22" t="s">
        <v>259</v>
      </c>
      <c r="C25" s="48">
        <f>=IFERROR(C19/C10,0)</f>
        <v>1</v>
      </c>
      <c r="D25" s="48">
        <f>=IFERROR(D19/D10,0)</f>
        <v>1</v>
      </c>
      <c r="E25" s="48">
        <f>=IFERROR(E19/E10,0)</f>
        <v>1</v>
      </c>
      <c r="F25" s="48">
        <f>=IFERROR(F19/F10,0)</f>
        <v>1</v>
      </c>
      <c r="G25" s="48">
        <f>=IFERROR(G19/G10,0)</f>
        <v>1</v>
      </c>
      <c r="H25" s="48">
        <f>=IFERROR(H19/H10,0)</f>
        <v>1</v>
      </c>
      <c r="I25" s="48">
        <f>=IFERROR(I19/I10,0)</f>
        <v>1</v>
      </c>
      <c r="J25" s="48">
        <f>=IFERROR(J19/J10,0)</f>
        <v>1</v>
      </c>
      <c r="K25" s="48">
        <f>=IFERROR(K19/K10,0)</f>
        <v>1</v>
      </c>
      <c r="L25" s="48">
        <f>=IFERROR(L19/L10,0)</f>
        <v>1</v>
      </c>
      <c r="M25" s="48">
        <f>=IFERROR(M19/M10,0)</f>
        <v>1</v>
      </c>
      <c r="N25" s="48">
        <f>=IFERROR(N19/N10,0)</f>
        <v>1</v>
      </c>
      <c r="O25" s="48">
        <f>=IFERROR(O19/O10,0)</f>
        <v>1</v>
      </c>
      <c r="P25" s="48">
        <f>=IFERROR(P19/P10,0)</f>
        <v>1</v>
      </c>
      <c r="Q25" s="48">
        <f>=IFERROR(Q19/Q10,0)</f>
        <v>1</v>
      </c>
      <c r="R25" s="48">
        <f>=IFERROR(R19/R10,0)</f>
        <v>1</v>
      </c>
      <c r="S25" s="48">
        <f>=IFERROR(S19/S10,0)</f>
        <v>1</v>
      </c>
      <c r="T25" s="48">
        <f>=IFERROR(T19/T10,0)</f>
        <v>1</v>
      </c>
      <c r="U25" s="48">
        <f>=IFERROR(U19/U10,0)</f>
        <v>1</v>
      </c>
      <c r="V25" s="48">
        <f>=IFERROR(V19/V10,0)</f>
        <v>1</v>
      </c>
      <c r="W25" s="48">
        <f>=IFERROR(W19/W10,0)</f>
        <v>1</v>
      </c>
      <c r="X25" s="48">
        <f>=IFERROR(X19/X10,0)</f>
        <v>1</v>
      </c>
      <c r="Y25" s="48">
        <f>=IFERROR(Y19/Y10,0)</f>
        <v>1</v>
      </c>
      <c r="Z25" s="48">
        <f>=IFERROR(Z19/Z10,0)</f>
        <v>1</v>
      </c>
      <c r="AA25" s="48">
        <f>=IFERROR(AA19/AA10,0)</f>
        <v>1</v>
      </c>
      <c r="AB25" s="48">
        <f>=IFERROR(AB19/AB10,0)</f>
        <v>1</v>
      </c>
      <c r="AC25" s="48">
        <f>=IFERROR(AC19/AC10,0)</f>
        <v>1</v>
      </c>
      <c r="AD25" s="48">
        <f>=IFERROR(AD19/AD10,0)</f>
        <v>1</v>
      </c>
      <c r="AE25" s="48">
        <f>=IFERROR(AE19/AE10,0)</f>
        <v>1</v>
      </c>
      <c r="AF25" s="48">
        <f>=IFERROR(AF19/AF10,0)</f>
        <v>1</v>
      </c>
      <c r="AG25" s="48">
        <f>=IFERROR(AG19/AG10,0)</f>
        <v>1</v>
      </c>
      <c r="AH25" s="48">
        <f>=IFERROR(AH19/AH10,0)</f>
        <v>1</v>
      </c>
      <c r="AI25" s="48">
        <f>=IFERROR(AI19/AI10,0)</f>
        <v>1</v>
      </c>
      <c r="AJ25" s="48">
        <f>=IFERROR(AJ19/AJ10,0)</f>
        <v>1</v>
      </c>
      <c r="AK25" s="48">
        <f>=IFERROR(AK19/AK10,0)</f>
        <v>1</v>
      </c>
      <c r="AL25" s="48">
        <f>=IFERROR(AL19/AL10,0)</f>
        <v>1</v>
      </c>
      <c r="AM25" s="48">
        <f>=IFERROR(AM19/AM10,0)</f>
        <v>1</v>
      </c>
      <c r="AN25" s="48">
        <f>=IFERROR(AN19/AN10,0)</f>
        <v>1</v>
      </c>
      <c r="AO25" s="48">
        <f>=IFERROR(AO19/AO10,0)</f>
        <v>1</v>
      </c>
      <c r="AP25" s="48">
        <f>=IFERROR(AP19/AP10,0)</f>
        <v>1</v>
      </c>
      <c r="AQ25" s="48">
        <f>=IFERROR(AQ19/AQ10,0)</f>
        <v>1</v>
      </c>
      <c r="AR25" s="48">
        <f>=IFERROR(AR19/AR10,0)</f>
        <v>1</v>
      </c>
      <c r="AS25" s="48">
        <f>=IFERROR(AS19/AS10,0)</f>
        <v>1</v>
      </c>
      <c r="AT25" s="48">
        <f>=IFERROR(AT19/AT10,0)</f>
        <v>1</v>
      </c>
      <c r="AU25" s="48">
        <f>=IFERROR(AU19/AU10,0)</f>
        <v>1</v>
      </c>
      <c r="AV25" s="48">
        <f>=IFERROR(AV19/AV10,0)</f>
        <v>1</v>
      </c>
      <c r="AW25" s="48">
        <f>=IFERROR(AW19/AW10,0)</f>
        <v>1</v>
      </c>
      <c r="AX25" s="48">
        <f>=IFERROR(AX19/AX10,0)</f>
        <v>1</v>
      </c>
      <c r="AY25" s="48">
        <f>=IFERROR(AY19/AY10,0)</f>
        <v>1</v>
      </c>
      <c r="AZ25" s="48">
        <f>=IFERROR(AZ19/AZ10,0)</f>
        <v>1</v>
      </c>
      <c r="BA25" s="48">
        <f>=IFERROR(BA19/BA10,0)</f>
        <v>1</v>
      </c>
      <c r="BB25" s="48">
        <f>=IFERROR(BB19/BB10,0)</f>
        <v>1</v>
      </c>
      <c r="BC25" s="48">
        <f>=IFERROR(BC19/BC10,0)</f>
        <v>1</v>
      </c>
      <c r="BD25" s="48">
        <f>=IFERROR(BD19/BD10,0)</f>
        <v>1</v>
      </c>
      <c r="BE25" s="48">
        <f>=IFERROR(BE19/BE10,0)</f>
        <v>1</v>
      </c>
      <c r="BF25" s="48">
        <f>=IFERROR(BF19/BF10,0)</f>
        <v>1</v>
      </c>
      <c r="BG25" s="48">
        <f>=IFERROR(BG19/BG10,0)</f>
        <v>1</v>
      </c>
      <c r="BH25" s="48">
        <f>=IFERROR(BH19/BH10,0)</f>
        <v>1</v>
      </c>
      <c r="BI25" s="48">
        <f>=IFERROR(BI19/BI10,0)</f>
        <v>1</v>
      </c>
      <c r="BJ25" s="48">
        <f>=IFERROR(BJ19/BJ10,0)</f>
        <v>1</v>
      </c>
      <c r="BK25" s="48">
        <f>=IFERROR(BK19/BK10,0)</f>
        <v>1</v>
      </c>
      <c r="BL25" s="48">
        <f>=IFERROR(BL19/BL10,0)</f>
        <v>1</v>
      </c>
      <c r="BM25" s="48">
        <f>=IFERROR(BM19/BM10,0)</f>
        <v>1</v>
      </c>
      <c r="BN25" s="48">
        <f>=IFERROR(BN19/BN10,0)</f>
        <v>1</v>
      </c>
      <c r="BO25" s="48">
        <f>=IFERROR(BO19/BO10,0)</f>
        <v>1</v>
      </c>
      <c r="BP25" s="48">
        <f>=IFERROR(BP19/BP10,0)</f>
        <v>1</v>
      </c>
      <c r="BQ25" s="48">
        <f>=IFERROR(BQ19/BQ10,0)</f>
        <v>1</v>
      </c>
      <c r="BR25" s="48">
        <f>=IFERROR(BR19/BR10,0)</f>
        <v>1</v>
      </c>
      <c r="BS25" s="48">
        <f>=IFERROR(BS19/BS10,0)</f>
        <v>1</v>
      </c>
      <c r="BT25" s="48">
        <f>=IFERROR(BT19/BT10,0)</f>
        <v>1</v>
      </c>
      <c r="BU25" s="48">
        <f>=IFERROR(BU19/BU10,0)</f>
        <v>1</v>
      </c>
      <c r="BV25" s="48">
        <f>=IFERROR(BV19/BV10,0)</f>
        <v>1</v>
      </c>
      <c r="BW25" s="48">
        <f>=IFERROR(BW19/BW10,0)</f>
        <v>1</v>
      </c>
      <c r="BX25" s="48">
        <f>=IFERROR(BX19/BX10,0)</f>
        <v>1</v>
      </c>
      <c r="BY25" s="48">
        <f>=IFERROR(BY19/BY10,0)</f>
        <v>1</v>
      </c>
      <c r="BZ25" s="48">
        <f>=IFERROR(BZ19/BZ10,0)</f>
        <v>1</v>
      </c>
      <c r="CA25" s="48">
        <f>=IFERROR(CA19/CA10,0)</f>
        <v>1</v>
      </c>
      <c r="CB25" s="48">
        <f>=IFERROR(CB19/CB10,0)</f>
        <v>1</v>
      </c>
      <c r="CC25" s="48">
        <f>=IFERROR(CC19/CC10,0)</f>
        <v>1</v>
      </c>
      <c r="CD25" s="48">
        <f>=IFERROR(CD19/CD10,0)</f>
        <v>1</v>
      </c>
      <c r="CE25" s="48">
        <f>=IFERROR(CE19/CE10,0)</f>
        <v>1</v>
      </c>
      <c r="CF25" s="48">
        <f>=IFERROR(CF19/CF10,0)</f>
        <v>1</v>
      </c>
      <c r="CG25" s="48">
        <f>=IFERROR(CG19/CG10,0)</f>
        <v>1</v>
      </c>
      <c r="CH25" s="48">
        <f>=IFERROR(CH19/CH10,0)</f>
        <v>1</v>
      </c>
      <c r="CI25" s="48">
        <f>=IFERROR(CI19/CI10,0)</f>
        <v>1</v>
      </c>
      <c r="CJ25" s="48">
        <f>=IFERROR(CJ19/CJ10,0)</f>
        <v>1</v>
      </c>
      <c r="CK25" s="48">
        <f>=IFERROR(CK19/CK10,0)</f>
        <v>1</v>
      </c>
      <c r="CL25" s="48">
        <f>=IFERROR(CL19/CL10,0)</f>
        <v>1</v>
      </c>
      <c r="CM25" s="48">
        <f>=IFERROR(CM19/CM10,0)</f>
        <v>1</v>
      </c>
      <c r="CN25" s="48">
        <f>=IFERROR(CN19/CN10,0)</f>
        <v>1</v>
      </c>
      <c r="CO25" s="48">
        <f>=IFERROR(CO19/CO10,0)</f>
        <v>1</v>
      </c>
      <c r="CP25" s="48">
        <f>=IFERROR(CP19/CP10,0)</f>
        <v>1</v>
      </c>
      <c r="CQ25" s="48">
        <f>=IFERROR(CQ19/CQ10,0)</f>
        <v>1</v>
      </c>
      <c r="CR25" s="48">
        <f>=IFERROR(CR19/CR10,0)</f>
        <v>1</v>
      </c>
      <c r="CS25" s="48">
        <f>=IFERROR(CS19/CS10,0)</f>
        <v>1</v>
      </c>
      <c r="CT25" s="48">
        <f>=IFERROR(CT19/CT10,0)</f>
        <v>1</v>
      </c>
      <c r="CU25" s="48">
        <f>=IFERROR(CU19/CU10,0)</f>
        <v>1</v>
      </c>
      <c r="CV25" s="48">
        <f>=IFERROR(CV19/CV10,0)</f>
        <v>1</v>
      </c>
      <c r="CW25" s="48">
        <f>=IFERROR(CW19/CW10,0)</f>
        <v>1</v>
      </c>
      <c r="CX25" s="48">
        <f>=IFERROR(CX19/CX10,0)</f>
        <v>1</v>
      </c>
      <c r="CY25" s="48">
        <f>=IFERROR(CY19/CY10,0)</f>
        <v>1</v>
      </c>
      <c r="CZ25" s="48">
        <f>=IFERROR(CZ19/CZ10,0)</f>
        <v>1</v>
      </c>
      <c r="DA25" s="48">
        <f>=IFERROR(DA19/DA10,0)</f>
        <v>1</v>
      </c>
      <c r="DB25" s="48">
        <f>=IFERROR(DB19/DB10,0)</f>
        <v>1</v>
      </c>
    </row>
    <row r="26" spans="3:106" x14ac:dyDescent="0.25"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0"/>
      <c r="CG26" s="30"/>
      <c r="CH26" s="30"/>
      <c r="CI26" s="30"/>
      <c r="CJ26" s="30"/>
      <c r="CK26" s="30"/>
      <c r="CL26" s="30"/>
      <c r="CM26" s="30"/>
      <c r="CN26" s="30"/>
      <c r="CO26" s="30"/>
      <c r="CP26" s="30"/>
      <c r="CQ26" s="30"/>
      <c r="CR26" s="30"/>
      <c r="CS26" s="30"/>
      <c r="CT26" s="30"/>
      <c r="CU26" s="30"/>
      <c r="CV26" s="30"/>
      <c r="CW26" s="30"/>
      <c r="CX26" s="30"/>
      <c r="CY26" s="30"/>
      <c r="CZ26" s="30"/>
      <c r="DA26" s="30"/>
      <c r="DB26" s="30"/>
    </row>
    <row r="27" ht="14" customHeight="1" spans="1:106" x14ac:dyDescent="0.25">
      <c r="A27" s="9" t="s">
        <v>260</v>
      </c>
      <c r="B27" s="17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</row>
    <row r="28" ht="15" customHeight="1" spans="1:106" x14ac:dyDescent="0.25">
      <c r="A28" s="33" t="s">
        <v>261</v>
      </c>
      <c r="B28" s="13"/>
      <c r="C28" s="34">
        <f>=IFERROR(1-((1-C29)*(1-C34)),0)</f>
        <v>0.286</v>
      </c>
      <c r="D28" s="34">
        <f>=IFERROR(1-((1-D29)*(1-D34)),0)</f>
        <v>0.286</v>
      </c>
      <c r="E28" s="34">
        <f>=IFERROR(1-((1-E29)*(1-E34)),0)</f>
        <v>0.252</v>
      </c>
      <c r="F28" s="34">
        <f>=IFERROR(1-((1-F29)*(1-F34)),0)</f>
        <v>0.252</v>
      </c>
      <c r="G28" s="34">
        <f>=IFERROR(1-((1-G29)*(1-G34)),0)</f>
        <v>0.252</v>
      </c>
      <c r="H28" s="34">
        <f>=IFERROR(1-((1-H29)*(1-H34)),0)</f>
        <v>0.252</v>
      </c>
      <c r="I28" s="34">
        <f>=IFERROR(1-((1-I29)*(1-I34)),0)</f>
        <v>0.252</v>
      </c>
      <c r="J28" s="34">
        <f>=IFERROR(1-((1-J29)*(1-J34)),0)</f>
        <v>0.252</v>
      </c>
      <c r="K28" s="34">
        <f>=IFERROR(1-((1-K29)*(1-K34)),0)</f>
        <v>0.252</v>
      </c>
      <c r="L28" s="34">
        <f>=IFERROR(1-((1-L29)*(1-L34)),0)</f>
        <v>0.286</v>
      </c>
      <c r="M28" s="34">
        <f>=IFERROR(1-((1-M29)*(1-M34)),0)</f>
        <v>0.286</v>
      </c>
      <c r="N28" s="34">
        <f>=IFERROR(1-((1-N29)*(1-N34)),0)</f>
        <v>0.286</v>
      </c>
      <c r="O28" s="34">
        <f>=IFERROR(1-((1-O29)*(1-O34)),0)</f>
        <v>0.286</v>
      </c>
      <c r="P28" s="34">
        <f>=IFERROR(1-((1-P29)*(1-P34)),0)</f>
        <v>0.286</v>
      </c>
      <c r="Q28" s="34">
        <f>=IFERROR(1-((1-Q29)*(1-Q34)),0)</f>
        <v>0.286</v>
      </c>
      <c r="R28" s="34">
        <f>=IFERROR(1-((1-R29)*(1-R34)),0)</f>
        <v>0.286</v>
      </c>
      <c r="S28" s="34">
        <f>=IFERROR(1-((1-S29)*(1-S34)),0)</f>
        <v>0.286</v>
      </c>
      <c r="T28" s="34">
        <f>=IFERROR(1-((1-T29)*(1-T34)),0)</f>
        <v>0.286</v>
      </c>
      <c r="U28" s="34">
        <f>=IFERROR(1-((1-U29)*(1-U34)),0)</f>
        <v>0.286</v>
      </c>
      <c r="V28" s="34">
        <f>=IFERROR(1-((1-V29)*(1-V34)),0)</f>
        <v>0.286</v>
      </c>
      <c r="W28" s="34">
        <f>=IFERROR(1-((1-W29)*(1-W34)),0)</f>
        <v>0.286</v>
      </c>
      <c r="X28" s="34">
        <f>=IFERROR(1-((1-X29)*(1-X34)),0)</f>
        <v>0.286</v>
      </c>
      <c r="Y28" s="34">
        <f>=IFERROR(1-((1-Y29)*(1-Y34)),0)</f>
        <v>0.286</v>
      </c>
      <c r="Z28" s="34">
        <f>=IFERROR(1-((1-Z29)*(1-Z34)),0)</f>
        <v>0.286</v>
      </c>
      <c r="AA28" s="34">
        <f>=IFERROR(1-((1-AA29)*(1-AA34)),0)</f>
        <v>0.286</v>
      </c>
      <c r="AB28" s="34">
        <f>=IFERROR(1-((1-AB29)*(1-AB34)),0)</f>
        <v>0.286</v>
      </c>
      <c r="AC28" s="34">
        <f>=IFERROR(1-((1-AC29)*(1-AC34)),0)</f>
        <v>0.286</v>
      </c>
      <c r="AD28" s="34">
        <f>=IFERROR(1-((1-AD29)*(1-AD34)),0)</f>
        <v>0.286</v>
      </c>
      <c r="AE28" s="34">
        <f>=IFERROR(1-((1-AE29)*(1-AE34)),0)</f>
        <v>0.286</v>
      </c>
      <c r="AF28" s="34">
        <f>=IFERROR(1-((1-AF29)*(1-AF34)),0)</f>
        <v>0.286</v>
      </c>
      <c r="AG28" s="34">
        <f>=IFERROR(1-((1-AG29)*(1-AG34)),0)</f>
        <v>0.286</v>
      </c>
      <c r="AH28" s="34">
        <f>=IFERROR(1-((1-AH29)*(1-AH34)),0)</f>
        <v>0.286</v>
      </c>
      <c r="AI28" s="34">
        <f>=IFERROR(1-((1-AI29)*(1-AI34)),0)</f>
        <v>0.286</v>
      </c>
      <c r="AJ28" s="34">
        <f>=IFERROR(1-((1-AJ29)*(1-AJ34)),0)</f>
        <v>0.286</v>
      </c>
      <c r="AK28" s="34">
        <f>=IFERROR(1-((1-AK29)*(1-AK34)),0)</f>
        <v>0.286</v>
      </c>
      <c r="AL28" s="34">
        <f>=IFERROR(1-((1-AL29)*(1-AL34)),0)</f>
        <v>0.286</v>
      </c>
      <c r="AM28" s="34">
        <f>=IFERROR(1-((1-AM29)*(1-AM34)),0)</f>
        <v>0.286</v>
      </c>
      <c r="AN28" s="34">
        <f>=IFERROR(1-((1-AN29)*(1-AN34)),0)</f>
        <v>0.286</v>
      </c>
      <c r="AO28" s="34">
        <f>=IFERROR(1-((1-AO29)*(1-AO34)),0)</f>
        <v>0.286</v>
      </c>
      <c r="AP28" s="34">
        <f>=IFERROR(1-((1-AP29)*(1-AP34)),0)</f>
        <v>0.2605</v>
      </c>
      <c r="AQ28" s="34">
        <f>=IFERROR(1-((1-AQ29)*(1-AQ34)),0)</f>
        <v>0.2605</v>
      </c>
      <c r="AR28" s="34">
        <f>=IFERROR(1-((1-AR29)*(1-AR34)),0)</f>
        <v>0.2605</v>
      </c>
      <c r="AS28" s="34">
        <f>=IFERROR(1-((1-AS29)*(1-AS34)),0)</f>
        <v>0.2605</v>
      </c>
      <c r="AT28" s="34">
        <f>=IFERROR(1-((1-AT29)*(1-AT34)),0)</f>
        <v>0.2605</v>
      </c>
      <c r="AU28" s="34">
        <f>=IFERROR(1-((1-AU29)*(1-AU34)),0)</f>
        <v>0.2605</v>
      </c>
      <c r="AV28" s="34">
        <f>=IFERROR(1-((1-AV29)*(1-AV34)),0)</f>
        <v>0.2605</v>
      </c>
      <c r="AW28" s="34">
        <f>=IFERROR(1-((1-AW29)*(1-AW34)),0)</f>
        <v>0.2605</v>
      </c>
      <c r="AX28" s="34">
        <f>=IFERROR(1-((1-AX29)*(1-AX34)),0)</f>
        <v>0.2605</v>
      </c>
      <c r="AY28" s="34">
        <f>=IFERROR(1-((1-AY29)*(1-AY34)),0)</f>
        <v>0.2605</v>
      </c>
      <c r="AZ28" s="34">
        <f>=IFERROR(1-((1-AZ29)*(1-AZ34)),0)</f>
        <v>0.2605</v>
      </c>
      <c r="BA28" s="34">
        <f>=IFERROR(1-((1-BA29)*(1-BA34)),0)</f>
        <v>0.2605</v>
      </c>
      <c r="BB28" s="34">
        <f>=IFERROR(1-((1-BB29)*(1-BB34)),0)</f>
        <v>0.2605</v>
      </c>
      <c r="BC28" s="34">
        <f>=IFERROR(1-((1-BC29)*(1-BC34)),0)</f>
        <v>0.269</v>
      </c>
      <c r="BD28" s="34">
        <f>=IFERROR(1-((1-BD29)*(1-BD34)),0)</f>
        <v>0.269</v>
      </c>
      <c r="BE28" s="34">
        <f>=IFERROR(1-((1-BE29)*(1-BE34)),0)</f>
        <v>0.269</v>
      </c>
      <c r="BF28" s="34">
        <f>=IFERROR(1-((1-BF29)*(1-BF34)),0)</f>
        <v>0.269</v>
      </c>
      <c r="BG28" s="34">
        <f>=IFERROR(1-((1-BG29)*(1-BG34)),0)</f>
        <v>0.269</v>
      </c>
      <c r="BH28" s="34">
        <f>=IFERROR(1-((1-BH29)*(1-BH34)),0)</f>
        <v>0.269</v>
      </c>
      <c r="BI28" s="34">
        <f>=IFERROR(1-((1-BI29)*(1-BI34)),0)</f>
        <v>0.269</v>
      </c>
      <c r="BJ28" s="34">
        <f>=IFERROR(1-((1-BJ29)*(1-BJ34)),0)</f>
        <v>0.269</v>
      </c>
      <c r="BK28" s="34">
        <f>=IFERROR(1-((1-BK29)*(1-BK34)),0)</f>
        <v>0.269</v>
      </c>
      <c r="BL28" s="34">
        <f>=IFERROR(1-((1-BL29)*(1-BL34)),0)</f>
        <v>0.269</v>
      </c>
      <c r="BM28" s="34">
        <f>=IFERROR(1-((1-BM29)*(1-BM34)),0)</f>
        <v>0.269</v>
      </c>
      <c r="BN28" s="34">
        <f>=IFERROR(1-((1-BN29)*(1-BN34)),0)</f>
        <v>0.269</v>
      </c>
      <c r="BO28" s="34">
        <f>=IFERROR(1-((1-BO29)*(1-BO34)),0)</f>
        <v>0.269</v>
      </c>
      <c r="BP28" s="34">
        <f>=IFERROR(1-((1-BP29)*(1-BP34)),0)</f>
        <v>0.269</v>
      </c>
      <c r="BQ28" s="34">
        <f>=IFERROR(1-((1-BQ29)*(1-BQ34)),0)</f>
        <v>0.269</v>
      </c>
      <c r="BR28" s="34">
        <f>=IFERROR(1-((1-BR29)*(1-BR34)),0)</f>
        <v>0.269</v>
      </c>
      <c r="BS28" s="34">
        <f>=IFERROR(1-((1-BS29)*(1-BS34)),0)</f>
        <v>0.269</v>
      </c>
      <c r="BT28" s="34">
        <f>=IFERROR(1-((1-BT29)*(1-BT34)),0)</f>
        <v>0.269</v>
      </c>
      <c r="BU28" s="34">
        <f>=IFERROR(1-((1-BU29)*(1-BU34)),0)</f>
        <v>0.269</v>
      </c>
      <c r="BV28" s="34">
        <f>=IFERROR(1-((1-BV29)*(1-BV34)),0)</f>
        <v>0.269</v>
      </c>
      <c r="BW28" s="34">
        <f>=IFERROR(1-((1-BW29)*(1-BW34)),0)</f>
        <v>0.269</v>
      </c>
      <c r="BX28" s="34">
        <f>=IFERROR(1-((1-BX29)*(1-BX34)),0)</f>
        <v>0.269</v>
      </c>
      <c r="BY28" s="34">
        <f>=IFERROR(1-((1-BY29)*(1-BY34)),0)</f>
        <v>0.269</v>
      </c>
      <c r="BZ28" s="34">
        <f>=IFERROR(1-((1-BZ29)*(1-BZ34)),0)</f>
        <v>0.269</v>
      </c>
      <c r="CA28" s="34">
        <f>=IFERROR(1-((1-CA29)*(1-CA34)),0)</f>
        <v>0.269</v>
      </c>
      <c r="CB28" s="34">
        <f>=IFERROR(1-((1-CB29)*(1-CB34)),0)</f>
        <v>0.269</v>
      </c>
      <c r="CC28" s="34">
        <f>=IFERROR(1-((1-CC29)*(1-CC34)),0)</f>
        <v>0.269</v>
      </c>
      <c r="CD28" s="34">
        <f>=IFERROR(1-((1-CD29)*(1-CD34)),0)</f>
        <v>0.269</v>
      </c>
      <c r="CE28" s="34">
        <f>=IFERROR(1-((1-CE29)*(1-CE34)),0)</f>
        <v>0.269</v>
      </c>
      <c r="CF28" s="34">
        <f>=IFERROR(1-((1-CF29)*(1-CF34)),0)</f>
        <v>0.269</v>
      </c>
      <c r="CG28" s="34">
        <f>=IFERROR(1-((1-CG29)*(1-CG34)),0)</f>
        <v>0.269</v>
      </c>
      <c r="CH28" s="34">
        <f>=IFERROR(1-((1-CH29)*(1-CH34)),0)</f>
        <v>0.269</v>
      </c>
      <c r="CI28" s="34">
        <f>=IFERROR(1-((1-CI29)*(1-CI34)),0)</f>
        <v>0.269</v>
      </c>
      <c r="CJ28" s="34">
        <f>=IFERROR(1-((1-CJ29)*(1-CJ34)),0)</f>
        <v>0.269</v>
      </c>
      <c r="CK28" s="34">
        <f>=IFERROR(1-((1-CK29)*(1-CK34)),0)</f>
        <v>0.269</v>
      </c>
      <c r="CL28" s="34">
        <f>=IFERROR(1-((1-CL29)*(1-CL34)),0)</f>
        <v>0.269</v>
      </c>
      <c r="CM28" s="34">
        <f>=IFERROR(1-((1-CM29)*(1-CM34)),0)</f>
        <v>0.269</v>
      </c>
      <c r="CN28" s="34">
        <f>=IFERROR(1-((1-CN29)*(1-CN34)),0)</f>
        <v>0.269</v>
      </c>
      <c r="CO28" s="34">
        <f>=IFERROR(1-((1-CO29)*(1-CO34)),0)</f>
        <v>0.269</v>
      </c>
      <c r="CP28" s="34">
        <f>=IFERROR(1-((1-CP29)*(1-CP34)),0)</f>
        <v>0.269</v>
      </c>
      <c r="CQ28" s="34">
        <f>=IFERROR(1-((1-CQ29)*(1-CQ34)),0)</f>
        <v>0.269</v>
      </c>
      <c r="CR28" s="34">
        <f>=IFERROR(1-((1-CR29)*(1-CR34)),0)</f>
        <v>0.269</v>
      </c>
      <c r="CS28" s="34">
        <f>=IFERROR(1-((1-CS29)*(1-CS34)),0)</f>
        <v>0.269</v>
      </c>
      <c r="CT28" s="34">
        <f>=IFERROR(1-((1-CT29)*(1-CT34)),0)</f>
        <v>0.269</v>
      </c>
      <c r="CU28" s="34">
        <f>=IFERROR(1-((1-CU29)*(1-CU34)),0)</f>
        <v>0.269</v>
      </c>
      <c r="CV28" s="34">
        <f>=IFERROR(1-((1-CV29)*(1-CV34)),0)</f>
        <v>0.269</v>
      </c>
      <c r="CW28" s="34">
        <f>=IFERROR(1-((1-CW29)*(1-CW34)),0)</f>
        <v>0.269</v>
      </c>
      <c r="CX28" s="34">
        <f>=IFERROR(1-((1-CX29)*(1-CX34)),0)</f>
        <v>0.269</v>
      </c>
      <c r="CY28" s="34">
        <f>=IFERROR(1-((1-CY29)*(1-CY34)),0)</f>
        <v>0.269</v>
      </c>
      <c r="CZ28" s="34">
        <f>=IFERROR(1-((1-CZ29)*(1-CZ34)),0)</f>
        <v>0.269</v>
      </c>
      <c r="DA28" s="34">
        <f>=IFERROR(1-((1-DA29)*(1-DA34)),0)</f>
        <v>0.269</v>
      </c>
      <c r="DB28" s="34">
        <f>=IFERROR(1-((1-DB29)*(1-DB34)),0)</f>
        <v>0.269</v>
      </c>
    </row>
    <row r="29" ht="15" customHeight="1" spans="1:106" x14ac:dyDescent="0.25">
      <c r="A29" s="16" t="s">
        <v>262</v>
      </c>
      <c r="B29" s="17"/>
      <c r="C29" s="35">
        <f>=SUM(C30:C33)</f>
        <v>0.16</v>
      </c>
      <c r="D29" s="35">
        <f>=SUM(D30:D33)</f>
        <v>0.16</v>
      </c>
      <c r="E29" s="35">
        <f>=SUM(E30:E33)</f>
        <v>0.12</v>
      </c>
      <c r="F29" s="35">
        <f>=SUM(F30:F33)</f>
        <v>0.12</v>
      </c>
      <c r="G29" s="35">
        <f>=SUM(G30:G33)</f>
        <v>0.12</v>
      </c>
      <c r="H29" s="35">
        <f>=SUM(H30:H33)</f>
        <v>0.12</v>
      </c>
      <c r="I29" s="35">
        <f>=SUM(I30:I33)</f>
        <v>0.12</v>
      </c>
      <c r="J29" s="35">
        <f>=SUM(J30:J33)</f>
        <v>0.12</v>
      </c>
      <c r="K29" s="35">
        <f>=SUM(K30:K33)</f>
        <v>0.12</v>
      </c>
      <c r="L29" s="35">
        <f>=SUM(L30:L33)</f>
        <v>0.16</v>
      </c>
      <c r="M29" s="35">
        <f>=SUM(M30:M33)</f>
        <v>0.16</v>
      </c>
      <c r="N29" s="35">
        <f>=SUM(N30:N33)</f>
        <v>0.16</v>
      </c>
      <c r="O29" s="35">
        <f>=SUM(O30:O33)</f>
        <v>0.16</v>
      </c>
      <c r="P29" s="35">
        <f>=SUM(P30:P33)</f>
        <v>0.16</v>
      </c>
      <c r="Q29" s="35">
        <f>=SUM(Q30:Q33)</f>
        <v>0.16</v>
      </c>
      <c r="R29" s="35">
        <f>=SUM(R30:R33)</f>
        <v>0.16</v>
      </c>
      <c r="S29" s="35">
        <f>=SUM(S30:S33)</f>
        <v>0.16</v>
      </c>
      <c r="T29" s="35">
        <f>=SUM(T30:T33)</f>
        <v>0.16</v>
      </c>
      <c r="U29" s="35">
        <f>=SUM(U30:U33)</f>
        <v>0.16</v>
      </c>
      <c r="V29" s="35">
        <f>=SUM(V30:V33)</f>
        <v>0.16</v>
      </c>
      <c r="W29" s="35">
        <f>=SUM(W30:W33)</f>
        <v>0.16</v>
      </c>
      <c r="X29" s="35">
        <f>=SUM(X30:X33)</f>
        <v>0.16</v>
      </c>
      <c r="Y29" s="35">
        <f>=SUM(Y30:Y33)</f>
        <v>0.16</v>
      </c>
      <c r="Z29" s="35">
        <f>=SUM(Z30:Z33)</f>
        <v>0.16</v>
      </c>
      <c r="AA29" s="35">
        <f>=SUM(AA30:AA33)</f>
        <v>0.16</v>
      </c>
      <c r="AB29" s="35">
        <f>=SUM(AB30:AB33)</f>
        <v>0.16</v>
      </c>
      <c r="AC29" s="35">
        <f>=SUM(AC30:AC33)</f>
        <v>0.16</v>
      </c>
      <c r="AD29" s="35">
        <f>=SUM(AD30:AD33)</f>
        <v>0.16</v>
      </c>
      <c r="AE29" s="35">
        <f>=SUM(AE30:AE33)</f>
        <v>0.16</v>
      </c>
      <c r="AF29" s="35">
        <f>=SUM(AF30:AF33)</f>
        <v>0.16</v>
      </c>
      <c r="AG29" s="35">
        <f>=SUM(AG30:AG33)</f>
        <v>0.16</v>
      </c>
      <c r="AH29" s="35">
        <f>=SUM(AH30:AH33)</f>
        <v>0.16</v>
      </c>
      <c r="AI29" s="35">
        <f>=SUM(AI30:AI33)</f>
        <v>0.16</v>
      </c>
      <c r="AJ29" s="35">
        <f>=SUM(AJ30:AJ33)</f>
        <v>0.16</v>
      </c>
      <c r="AK29" s="35">
        <f>=SUM(AK30:AK33)</f>
        <v>0.16</v>
      </c>
      <c r="AL29" s="35">
        <f>=SUM(AL30:AL33)</f>
        <v>0.16</v>
      </c>
      <c r="AM29" s="35">
        <f>=SUM(AM30:AM33)</f>
        <v>0.16</v>
      </c>
      <c r="AN29" s="35">
        <f>=SUM(AN30:AN33)</f>
        <v>0.16</v>
      </c>
      <c r="AO29" s="35">
        <f>=SUM(AO30:AO33)</f>
        <v>0.16</v>
      </c>
      <c r="AP29" s="35">
        <f>=SUM(AP30:AP33)</f>
        <v>0.13</v>
      </c>
      <c r="AQ29" s="35">
        <f>=SUM(AQ30:AQ33)</f>
        <v>0.13</v>
      </c>
      <c r="AR29" s="35">
        <f>=SUM(AR30:AR33)</f>
        <v>0.13</v>
      </c>
      <c r="AS29" s="35">
        <f>=SUM(AS30:AS33)</f>
        <v>0.13</v>
      </c>
      <c r="AT29" s="35">
        <f>=SUM(AT30:AT33)</f>
        <v>0.13</v>
      </c>
      <c r="AU29" s="35">
        <f>=SUM(AU30:AU33)</f>
        <v>0.13</v>
      </c>
      <c r="AV29" s="35">
        <f>=SUM(AV30:AV33)</f>
        <v>0.13</v>
      </c>
      <c r="AW29" s="35">
        <f>=SUM(AW30:AW33)</f>
        <v>0.13</v>
      </c>
      <c r="AX29" s="35">
        <f>=SUM(AX30:AX33)</f>
        <v>0.13</v>
      </c>
      <c r="AY29" s="35">
        <f>=SUM(AY30:AY33)</f>
        <v>0.13</v>
      </c>
      <c r="AZ29" s="35">
        <f>=SUM(AZ30:AZ33)</f>
        <v>0.13</v>
      </c>
      <c r="BA29" s="35">
        <f>=SUM(BA30:BA33)</f>
        <v>0.13</v>
      </c>
      <c r="BB29" s="35">
        <f>=SUM(BB30:BB33)</f>
        <v>0.13</v>
      </c>
      <c r="BC29" s="35">
        <f>=SUM(BC30:BC33)</f>
        <v>0.14</v>
      </c>
      <c r="BD29" s="35">
        <f>=SUM(BD30:BD33)</f>
        <v>0.14</v>
      </c>
      <c r="BE29" s="35">
        <f>=SUM(BE30:BE33)</f>
        <v>0.14</v>
      </c>
      <c r="BF29" s="35">
        <f>=SUM(BF30:BF33)</f>
        <v>0.14</v>
      </c>
      <c r="BG29" s="35">
        <f>=SUM(BG30:BG33)</f>
        <v>0.14</v>
      </c>
      <c r="BH29" s="35">
        <f>=SUM(BH30:BH33)</f>
        <v>0.14</v>
      </c>
      <c r="BI29" s="35">
        <f>=SUM(BI30:BI33)</f>
        <v>0.14</v>
      </c>
      <c r="BJ29" s="35">
        <f>=SUM(BJ30:BJ33)</f>
        <v>0.14</v>
      </c>
      <c r="BK29" s="35">
        <f>=SUM(BK30:BK33)</f>
        <v>0.14</v>
      </c>
      <c r="BL29" s="35">
        <f>=SUM(BL30:BL33)</f>
        <v>0.14</v>
      </c>
      <c r="BM29" s="35">
        <f>=SUM(BM30:BM33)</f>
        <v>0.14</v>
      </c>
      <c r="BN29" s="35">
        <f>=SUM(BN30:BN33)</f>
        <v>0.14</v>
      </c>
      <c r="BO29" s="35">
        <f>=SUM(BO30:BO33)</f>
        <v>0.14</v>
      </c>
      <c r="BP29" s="35">
        <f>=SUM(BP30:BP33)</f>
        <v>0.14</v>
      </c>
      <c r="BQ29" s="35">
        <f>=SUM(BQ30:BQ33)</f>
        <v>0.14</v>
      </c>
      <c r="BR29" s="35">
        <f>=SUM(BR30:BR33)</f>
        <v>0.14</v>
      </c>
      <c r="BS29" s="35">
        <f>=SUM(BS30:BS33)</f>
        <v>0.14</v>
      </c>
      <c r="BT29" s="35">
        <f>=SUM(BT30:BT33)</f>
        <v>0.14</v>
      </c>
      <c r="BU29" s="35">
        <f>=SUM(BU30:BU33)</f>
        <v>0.14</v>
      </c>
      <c r="BV29" s="35">
        <f>=SUM(BV30:BV33)</f>
        <v>0.14</v>
      </c>
      <c r="BW29" s="35">
        <f>=SUM(BW30:BW33)</f>
        <v>0.14</v>
      </c>
      <c r="BX29" s="35">
        <f>=SUM(BX30:BX33)</f>
        <v>0.14</v>
      </c>
      <c r="BY29" s="35">
        <f>=SUM(BY30:BY33)</f>
        <v>0.14</v>
      </c>
      <c r="BZ29" s="35">
        <f>=SUM(BZ30:BZ33)</f>
        <v>0.14</v>
      </c>
      <c r="CA29" s="35">
        <f>=SUM(CA30:CA33)</f>
        <v>0.14</v>
      </c>
      <c r="CB29" s="35">
        <f>=SUM(CB30:CB33)</f>
        <v>0.14</v>
      </c>
      <c r="CC29" s="35">
        <f>=SUM(CC30:CC33)</f>
        <v>0.14</v>
      </c>
      <c r="CD29" s="35">
        <f>=SUM(CD30:CD33)</f>
        <v>0.14</v>
      </c>
      <c r="CE29" s="35">
        <f>=SUM(CE30:CE33)</f>
        <v>0.14</v>
      </c>
      <c r="CF29" s="35">
        <f>=SUM(CF30:CF33)</f>
        <v>0.14</v>
      </c>
      <c r="CG29" s="35">
        <f>=SUM(CG30:CG33)</f>
        <v>0.14</v>
      </c>
      <c r="CH29" s="35">
        <f>=SUM(CH30:CH33)</f>
        <v>0.14</v>
      </c>
      <c r="CI29" s="35">
        <f>=SUM(CI30:CI33)</f>
        <v>0.14</v>
      </c>
      <c r="CJ29" s="35">
        <f>=SUM(CJ30:CJ33)</f>
        <v>0.14</v>
      </c>
      <c r="CK29" s="35">
        <f>=SUM(CK30:CK33)</f>
        <v>0.14</v>
      </c>
      <c r="CL29" s="35">
        <f>=SUM(CL30:CL33)</f>
        <v>0.14</v>
      </c>
      <c r="CM29" s="35">
        <f>=SUM(CM30:CM33)</f>
        <v>0.14</v>
      </c>
      <c r="CN29" s="35">
        <f>=SUM(CN30:CN33)</f>
        <v>0.14</v>
      </c>
      <c r="CO29" s="35">
        <f>=SUM(CO30:CO33)</f>
        <v>0.14</v>
      </c>
      <c r="CP29" s="35">
        <f>=SUM(CP30:CP33)</f>
        <v>0.14</v>
      </c>
      <c r="CQ29" s="35">
        <f>=SUM(CQ30:CQ33)</f>
        <v>0.14</v>
      </c>
      <c r="CR29" s="35">
        <f>=SUM(CR30:CR33)</f>
        <v>0.14</v>
      </c>
      <c r="CS29" s="35">
        <f>=SUM(CS30:CS33)</f>
        <v>0.14</v>
      </c>
      <c r="CT29" s="35">
        <f>=SUM(CT30:CT33)</f>
        <v>0.14</v>
      </c>
      <c r="CU29" s="35">
        <f>=SUM(CU30:CU33)</f>
        <v>0.14</v>
      </c>
      <c r="CV29" s="35">
        <f>=SUM(CV30:CV33)</f>
        <v>0.14</v>
      </c>
      <c r="CW29" s="35">
        <f>=SUM(CW30:CW33)</f>
        <v>0.14</v>
      </c>
      <c r="CX29" s="35">
        <f>=SUM(CX30:CX33)</f>
        <v>0.14</v>
      </c>
      <c r="CY29" s="35">
        <f>=SUM(CY30:CY33)</f>
        <v>0.14</v>
      </c>
      <c r="CZ29" s="35">
        <f>=SUM(CZ30:CZ33)</f>
        <v>0.14</v>
      </c>
      <c r="DA29" s="35">
        <f>=SUM(DA30:DA33)</f>
        <v>0.14</v>
      </c>
      <c r="DB29" s="35">
        <f>=SUM(DB30:DB33)</f>
        <v>0.14</v>
      </c>
    </row>
    <row r="30" ht="16" customHeight="1" spans="1:106" x14ac:dyDescent="0.25">
      <c r="A30" s="36" t="s">
        <v>263</v>
      </c>
      <c r="C30" s="37">
        <v>0.08</v>
      </c>
      <c r="D30" s="37">
        <v>0.08</v>
      </c>
      <c r="E30" s="37">
        <v>0.06</v>
      </c>
      <c r="F30" s="37">
        <v>0.06</v>
      </c>
      <c r="G30" s="37">
        <v>0.06</v>
      </c>
      <c r="H30" s="37">
        <v>0.06</v>
      </c>
      <c r="I30" s="37">
        <v>0.06</v>
      </c>
      <c r="J30" s="37">
        <v>0.06</v>
      </c>
      <c r="K30" s="37">
        <v>0.06</v>
      </c>
      <c r="L30" s="37">
        <v>0.08</v>
      </c>
      <c r="M30" s="37">
        <v>0.08</v>
      </c>
      <c r="N30" s="37">
        <v>0.08</v>
      </c>
      <c r="O30" s="37">
        <v>0.08</v>
      </c>
      <c r="P30" s="37">
        <v>0.08</v>
      </c>
      <c r="Q30" s="37">
        <v>0.08</v>
      </c>
      <c r="R30" s="37">
        <v>0.08</v>
      </c>
      <c r="S30" s="37">
        <v>0.08</v>
      </c>
      <c r="T30" s="37">
        <v>0.08</v>
      </c>
      <c r="U30" s="37">
        <v>0.08</v>
      </c>
      <c r="V30" s="37">
        <v>0.08</v>
      </c>
      <c r="W30" s="37">
        <v>0.08</v>
      </c>
      <c r="X30" s="37">
        <v>0.08</v>
      </c>
      <c r="Y30" s="37">
        <v>0.08</v>
      </c>
      <c r="Z30" s="37">
        <v>0.08</v>
      </c>
      <c r="AA30" s="37">
        <v>0.08</v>
      </c>
      <c r="AB30" s="37">
        <v>0.08</v>
      </c>
      <c r="AC30" s="37">
        <v>0.08</v>
      </c>
      <c r="AD30" s="37">
        <v>0.08</v>
      </c>
      <c r="AE30" s="37">
        <v>0.08</v>
      </c>
      <c r="AF30" s="37">
        <v>0.08</v>
      </c>
      <c r="AG30" s="37">
        <v>0.08</v>
      </c>
      <c r="AH30" s="37">
        <v>0.08</v>
      </c>
      <c r="AI30" s="37">
        <v>0.08</v>
      </c>
      <c r="AJ30" s="37">
        <v>0.08</v>
      </c>
      <c r="AK30" s="37">
        <v>0.08</v>
      </c>
      <c r="AL30" s="37">
        <v>0.08</v>
      </c>
      <c r="AM30" s="37">
        <v>0.08</v>
      </c>
      <c r="AN30" s="37">
        <v>0.08</v>
      </c>
      <c r="AO30" s="37">
        <v>0.08</v>
      </c>
      <c r="AP30" s="37">
        <v>0.065</v>
      </c>
      <c r="AQ30" s="37">
        <v>0.065</v>
      </c>
      <c r="AR30" s="37">
        <v>0.065</v>
      </c>
      <c r="AS30" s="37">
        <v>0.065</v>
      </c>
      <c r="AT30" s="37">
        <v>0.065</v>
      </c>
      <c r="AU30" s="37">
        <v>0.065</v>
      </c>
      <c r="AV30" s="37">
        <v>0.065</v>
      </c>
      <c r="AW30" s="37">
        <v>0.065</v>
      </c>
      <c r="AX30" s="37">
        <v>0.065</v>
      </c>
      <c r="AY30" s="37">
        <v>0.065</v>
      </c>
      <c r="AZ30" s="37">
        <v>0.065</v>
      </c>
      <c r="BA30" s="37">
        <v>0.065</v>
      </c>
      <c r="BB30" s="37">
        <v>0.065</v>
      </c>
      <c r="BC30" s="37">
        <v>0.07</v>
      </c>
      <c r="BD30" s="37">
        <v>0.07</v>
      </c>
      <c r="BE30" s="37">
        <v>0.07</v>
      </c>
      <c r="BF30" s="37">
        <v>0.07</v>
      </c>
      <c r="BG30" s="37">
        <v>0.07</v>
      </c>
      <c r="BH30" s="37">
        <v>0.07</v>
      </c>
      <c r="BI30" s="37">
        <v>0.07</v>
      </c>
      <c r="BJ30" s="37">
        <v>0.07</v>
      </c>
      <c r="BK30" s="37">
        <v>0.07</v>
      </c>
      <c r="BL30" s="37">
        <v>0.07</v>
      </c>
      <c r="BM30" s="37">
        <v>0.07</v>
      </c>
      <c r="BN30" s="37">
        <v>0.07</v>
      </c>
      <c r="BO30" s="37">
        <v>0.07</v>
      </c>
      <c r="BP30" s="37">
        <v>0.07</v>
      </c>
      <c r="BQ30" s="37">
        <v>0.07</v>
      </c>
      <c r="BR30" s="37">
        <v>0.07</v>
      </c>
      <c r="BS30" s="37">
        <v>0.07</v>
      </c>
      <c r="BT30" s="37">
        <v>0.07</v>
      </c>
      <c r="BU30" s="37">
        <v>0.07</v>
      </c>
      <c r="BV30" s="37">
        <v>0.07</v>
      </c>
      <c r="BW30" s="37">
        <v>0.07</v>
      </c>
      <c r="BX30" s="37">
        <v>0.07</v>
      </c>
      <c r="BY30" s="37">
        <v>0.07</v>
      </c>
      <c r="BZ30" s="37">
        <v>0.07</v>
      </c>
      <c r="CA30" s="37">
        <v>0.07</v>
      </c>
      <c r="CB30" s="37">
        <v>0.07</v>
      </c>
      <c r="CC30" s="37">
        <v>0.07</v>
      </c>
      <c r="CD30" s="37">
        <v>0.07</v>
      </c>
      <c r="CE30" s="37">
        <v>0.07</v>
      </c>
      <c r="CF30" s="37">
        <v>0.07</v>
      </c>
      <c r="CG30" s="37">
        <v>0.07</v>
      </c>
      <c r="CH30" s="37">
        <v>0.07</v>
      </c>
      <c r="CI30" s="37">
        <v>0.07</v>
      </c>
      <c r="CJ30" s="37">
        <v>0.07</v>
      </c>
      <c r="CK30" s="37">
        <v>0.07</v>
      </c>
      <c r="CL30" s="37">
        <v>0.07</v>
      </c>
      <c r="CM30" s="37">
        <v>0.07</v>
      </c>
      <c r="CN30" s="37">
        <v>0.07</v>
      </c>
      <c r="CO30" s="37">
        <v>0.07</v>
      </c>
      <c r="CP30" s="37">
        <v>0.07</v>
      </c>
      <c r="CQ30" s="37">
        <v>0.07</v>
      </c>
      <c r="CR30" s="37">
        <v>0.07</v>
      </c>
      <c r="CS30" s="37">
        <v>0.07</v>
      </c>
      <c r="CT30" s="37">
        <v>0.07</v>
      </c>
      <c r="CU30" s="37">
        <v>0.07</v>
      </c>
      <c r="CV30" s="37">
        <v>0.07</v>
      </c>
      <c r="CW30" s="37">
        <v>0.07</v>
      </c>
      <c r="CX30" s="37">
        <v>0.07</v>
      </c>
      <c r="CY30" s="37">
        <v>0.07</v>
      </c>
      <c r="CZ30" s="37">
        <v>0.07</v>
      </c>
      <c r="DA30" s="37">
        <v>0.07</v>
      </c>
      <c r="DB30" s="37">
        <v>0.07</v>
      </c>
    </row>
    <row r="31" ht="16" customHeight="1" spans="1:106" x14ac:dyDescent="0.25">
      <c r="A31" s="36" t="s">
        <v>264</v>
      </c>
      <c r="C31" s="37">
        <v>0.08</v>
      </c>
      <c r="D31" s="37">
        <v>0.08</v>
      </c>
      <c r="E31" s="37">
        <v>0.06</v>
      </c>
      <c r="F31" s="37">
        <v>0.06</v>
      </c>
      <c r="G31" s="37">
        <v>0.06</v>
      </c>
      <c r="H31" s="37">
        <v>0.06</v>
      </c>
      <c r="I31" s="37">
        <v>0.06</v>
      </c>
      <c r="J31" s="37">
        <v>0.06</v>
      </c>
      <c r="K31" s="37">
        <v>0.06</v>
      </c>
      <c r="L31" s="37">
        <v>0.08</v>
      </c>
      <c r="M31" s="37">
        <v>0.08</v>
      </c>
      <c r="N31" s="37">
        <v>0.08</v>
      </c>
      <c r="O31" s="37">
        <v>0.08</v>
      </c>
      <c r="P31" s="37">
        <v>0.08</v>
      </c>
      <c r="Q31" s="37">
        <v>0.08</v>
      </c>
      <c r="R31" s="37">
        <v>0.08</v>
      </c>
      <c r="S31" s="37">
        <v>0.08</v>
      </c>
      <c r="T31" s="37">
        <v>0.08</v>
      </c>
      <c r="U31" s="37">
        <v>0.08</v>
      </c>
      <c r="V31" s="37">
        <v>0.08</v>
      </c>
      <c r="W31" s="37">
        <v>0.08</v>
      </c>
      <c r="X31" s="37">
        <v>0.08</v>
      </c>
      <c r="Y31" s="37">
        <v>0.08</v>
      </c>
      <c r="Z31" s="37">
        <v>0.08</v>
      </c>
      <c r="AA31" s="37">
        <v>0.08</v>
      </c>
      <c r="AB31" s="37">
        <v>0.08</v>
      </c>
      <c r="AC31" s="37">
        <v>0.08</v>
      </c>
      <c r="AD31" s="37">
        <v>0.08</v>
      </c>
      <c r="AE31" s="37">
        <v>0.08</v>
      </c>
      <c r="AF31" s="37">
        <v>0.08</v>
      </c>
      <c r="AG31" s="37">
        <v>0.08</v>
      </c>
      <c r="AH31" s="37">
        <v>0.08</v>
      </c>
      <c r="AI31" s="37">
        <v>0.08</v>
      </c>
      <c r="AJ31" s="37">
        <v>0.08</v>
      </c>
      <c r="AK31" s="37">
        <v>0.08</v>
      </c>
      <c r="AL31" s="37">
        <v>0.08</v>
      </c>
      <c r="AM31" s="37">
        <v>0.08</v>
      </c>
      <c r="AN31" s="37">
        <v>0.08</v>
      </c>
      <c r="AO31" s="37">
        <v>0.08</v>
      </c>
      <c r="AP31" s="37">
        <v>0.065</v>
      </c>
      <c r="AQ31" s="37">
        <v>0.065</v>
      </c>
      <c r="AR31" s="37">
        <v>0.065</v>
      </c>
      <c r="AS31" s="37">
        <v>0.065</v>
      </c>
      <c r="AT31" s="37">
        <v>0.065</v>
      </c>
      <c r="AU31" s="37">
        <v>0.065</v>
      </c>
      <c r="AV31" s="37">
        <v>0.065</v>
      </c>
      <c r="AW31" s="37">
        <v>0.065</v>
      </c>
      <c r="AX31" s="37">
        <v>0.065</v>
      </c>
      <c r="AY31" s="37">
        <v>0.065</v>
      </c>
      <c r="AZ31" s="37">
        <v>0.065</v>
      </c>
      <c r="BA31" s="37">
        <v>0.065</v>
      </c>
      <c r="BB31" s="37">
        <v>0.065</v>
      </c>
      <c r="BC31" s="37">
        <v>0.07</v>
      </c>
      <c r="BD31" s="37">
        <v>0.07</v>
      </c>
      <c r="BE31" s="37">
        <v>0.07</v>
      </c>
      <c r="BF31" s="37">
        <v>0.07</v>
      </c>
      <c r="BG31" s="37">
        <v>0.07</v>
      </c>
      <c r="BH31" s="37">
        <v>0.07</v>
      </c>
      <c r="BI31" s="37">
        <v>0.07</v>
      </c>
      <c r="BJ31" s="37">
        <v>0.07</v>
      </c>
      <c r="BK31" s="37">
        <v>0.07</v>
      </c>
      <c r="BL31" s="37">
        <v>0.07</v>
      </c>
      <c r="BM31" s="37">
        <v>0.07</v>
      </c>
      <c r="BN31" s="37">
        <v>0.07</v>
      </c>
      <c r="BO31" s="37">
        <v>0.07</v>
      </c>
      <c r="BP31" s="37">
        <v>0.07</v>
      </c>
      <c r="BQ31" s="37">
        <v>0.07</v>
      </c>
      <c r="BR31" s="37">
        <v>0.07</v>
      </c>
      <c r="BS31" s="37">
        <v>0.07</v>
      </c>
      <c r="BT31" s="37">
        <v>0.07</v>
      </c>
      <c r="BU31" s="37">
        <v>0.07</v>
      </c>
      <c r="BV31" s="37">
        <v>0.07</v>
      </c>
      <c r="BW31" s="37">
        <v>0.07</v>
      </c>
      <c r="BX31" s="37">
        <v>0.07</v>
      </c>
      <c r="BY31" s="37">
        <v>0.07</v>
      </c>
      <c r="BZ31" s="37">
        <v>0.07</v>
      </c>
      <c r="CA31" s="37">
        <v>0.07</v>
      </c>
      <c r="CB31" s="37">
        <v>0.07</v>
      </c>
      <c r="CC31" s="37">
        <v>0.07</v>
      </c>
      <c r="CD31" s="37">
        <v>0.07</v>
      </c>
      <c r="CE31" s="37">
        <v>0.07</v>
      </c>
      <c r="CF31" s="37">
        <v>0.07</v>
      </c>
      <c r="CG31" s="37">
        <v>0.07</v>
      </c>
      <c r="CH31" s="37">
        <v>0.07</v>
      </c>
      <c r="CI31" s="37">
        <v>0.07</v>
      </c>
      <c r="CJ31" s="37">
        <v>0.07</v>
      </c>
      <c r="CK31" s="37">
        <v>0.07</v>
      </c>
      <c r="CL31" s="37">
        <v>0.07</v>
      </c>
      <c r="CM31" s="37">
        <v>0.07</v>
      </c>
      <c r="CN31" s="37">
        <v>0.07</v>
      </c>
      <c r="CO31" s="37">
        <v>0.07</v>
      </c>
      <c r="CP31" s="37">
        <v>0.07</v>
      </c>
      <c r="CQ31" s="37">
        <v>0.07</v>
      </c>
      <c r="CR31" s="37">
        <v>0.07</v>
      </c>
      <c r="CS31" s="37">
        <v>0.07</v>
      </c>
      <c r="CT31" s="37">
        <v>0.07</v>
      </c>
      <c r="CU31" s="37">
        <v>0.07</v>
      </c>
      <c r="CV31" s="37">
        <v>0.07</v>
      </c>
      <c r="CW31" s="37">
        <v>0.07</v>
      </c>
      <c r="CX31" s="37">
        <v>0.07</v>
      </c>
      <c r="CY31" s="37">
        <v>0.07</v>
      </c>
      <c r="CZ31" s="37">
        <v>0.07</v>
      </c>
      <c r="DA31" s="37">
        <v>0.07</v>
      </c>
      <c r="DB31" s="37">
        <v>0.07</v>
      </c>
    </row>
    <row r="32" spans="1:106" x14ac:dyDescent="0.25">
      <c r="A32" s="36" t="s">
        <v>265</v>
      </c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38"/>
      <c r="BM32" s="38"/>
      <c r="BN32" s="38"/>
      <c r="BO32" s="38"/>
      <c r="BP32" s="38"/>
      <c r="BQ32" s="38"/>
      <c r="BR32" s="38"/>
      <c r="BS32" s="38"/>
      <c r="BT32" s="38"/>
      <c r="BU32" s="38"/>
      <c r="BV32" s="38"/>
      <c r="BW32" s="38"/>
      <c r="BX32" s="38"/>
      <c r="BY32" s="38"/>
      <c r="BZ32" s="38"/>
      <c r="CA32" s="38"/>
      <c r="CB32" s="38"/>
      <c r="CC32" s="38"/>
      <c r="CD32" s="38"/>
      <c r="CE32" s="38"/>
      <c r="CF32" s="38"/>
      <c r="CG32" s="38"/>
      <c r="CH32" s="38"/>
      <c r="CI32" s="38"/>
      <c r="CJ32" s="38"/>
      <c r="CK32" s="38"/>
      <c r="CL32" s="38"/>
      <c r="CM32" s="38"/>
      <c r="CN32" s="38"/>
      <c r="CO32" s="38"/>
      <c r="CP32" s="38"/>
      <c r="CQ32" s="38"/>
      <c r="CR32" s="38"/>
      <c r="CS32" s="38"/>
      <c r="CT32" s="38"/>
      <c r="CU32" s="38"/>
      <c r="CV32" s="38"/>
      <c r="CW32" s="38"/>
      <c r="CX32" s="38"/>
      <c r="CY32" s="38"/>
      <c r="CZ32" s="38"/>
      <c r="DA32" s="38"/>
      <c r="DB32" s="38"/>
    </row>
    <row r="33" spans="1:106" x14ac:dyDescent="0.25">
      <c r="A33" s="36" t="s">
        <v>266</v>
      </c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/>
      <c r="BK33" s="38"/>
      <c r="BL33" s="38"/>
      <c r="BM33" s="38"/>
      <c r="BN33" s="38"/>
      <c r="BO33" s="38"/>
      <c r="BP33" s="38"/>
      <c r="BQ33" s="38"/>
      <c r="BR33" s="38"/>
      <c r="BS33" s="38"/>
      <c r="BT33" s="38"/>
      <c r="BU33" s="38"/>
      <c r="BV33" s="38"/>
      <c r="BW33" s="38"/>
      <c r="BX33" s="38"/>
      <c r="BY33" s="38"/>
      <c r="BZ33" s="38"/>
      <c r="CA33" s="38"/>
      <c r="CB33" s="38"/>
      <c r="CC33" s="38"/>
      <c r="CD33" s="38"/>
      <c r="CE33" s="38"/>
      <c r="CF33" s="38"/>
      <c r="CG33" s="38"/>
      <c r="CH33" s="38"/>
      <c r="CI33" s="38"/>
      <c r="CJ33" s="38"/>
      <c r="CK33" s="38"/>
      <c r="CL33" s="38"/>
      <c r="CM33" s="38"/>
      <c r="CN33" s="38"/>
      <c r="CO33" s="38"/>
      <c r="CP33" s="38"/>
      <c r="CQ33" s="38"/>
      <c r="CR33" s="38"/>
      <c r="CS33" s="38"/>
      <c r="CT33" s="38"/>
      <c r="CU33" s="38"/>
      <c r="CV33" s="38"/>
      <c r="CW33" s="38"/>
      <c r="CX33" s="38"/>
      <c r="CY33" s="38"/>
      <c r="CZ33" s="38"/>
      <c r="DA33" s="38"/>
      <c r="DB33" s="38"/>
    </row>
    <row r="34" ht="15" customHeight="1" spans="1:106" x14ac:dyDescent="0.25">
      <c r="A34" s="16" t="s">
        <v>267</v>
      </c>
      <c r="B34" s="17"/>
      <c r="C34" s="35">
        <f>=SUM(C35:C40)</f>
        <v>0.15</v>
      </c>
      <c r="D34" s="35">
        <f>=SUM(D35:D40)</f>
        <v>0.15</v>
      </c>
      <c r="E34" s="35">
        <f>=SUM(E35:E40)</f>
        <v>0.15</v>
      </c>
      <c r="F34" s="35">
        <f>=SUM(F35:F40)</f>
        <v>0.15</v>
      </c>
      <c r="G34" s="35">
        <f>=SUM(G35:G40)</f>
        <v>0.15</v>
      </c>
      <c r="H34" s="35">
        <f>=SUM(H35:H40)</f>
        <v>0.15</v>
      </c>
      <c r="I34" s="35">
        <f>=SUM(I35:I40)</f>
        <v>0.15</v>
      </c>
      <c r="J34" s="35">
        <f>=SUM(J35:J40)</f>
        <v>0.15</v>
      </c>
      <c r="K34" s="35">
        <f>=SUM(K35:K40)</f>
        <v>0.15</v>
      </c>
      <c r="L34" s="35">
        <f>=SUM(L35:L40)</f>
        <v>0.15</v>
      </c>
      <c r="M34" s="35">
        <f>=SUM(M35:M40)</f>
        <v>0.15</v>
      </c>
      <c r="N34" s="35">
        <f>=SUM(N35:N40)</f>
        <v>0.15</v>
      </c>
      <c r="O34" s="35">
        <f>=SUM(O35:O40)</f>
        <v>0.15</v>
      </c>
      <c r="P34" s="35">
        <f>=SUM(P35:P40)</f>
        <v>0.15</v>
      </c>
      <c r="Q34" s="35">
        <f>=SUM(Q35:Q40)</f>
        <v>0.15</v>
      </c>
      <c r="R34" s="35">
        <f>=SUM(R35:R40)</f>
        <v>0.15</v>
      </c>
      <c r="S34" s="35">
        <f>=SUM(S35:S40)</f>
        <v>0.15</v>
      </c>
      <c r="T34" s="35">
        <f>=SUM(T35:T40)</f>
        <v>0.15</v>
      </c>
      <c r="U34" s="35">
        <f>=SUM(U35:U40)</f>
        <v>0.15</v>
      </c>
      <c r="V34" s="35">
        <f>=SUM(V35:V40)</f>
        <v>0.15</v>
      </c>
      <c r="W34" s="35">
        <f>=SUM(W35:W40)</f>
        <v>0.15</v>
      </c>
      <c r="X34" s="35">
        <f>=SUM(X35:X40)</f>
        <v>0.15</v>
      </c>
      <c r="Y34" s="35">
        <f>=SUM(Y35:Y40)</f>
        <v>0.15</v>
      </c>
      <c r="Z34" s="35">
        <f>=SUM(Z35:Z40)</f>
        <v>0.15</v>
      </c>
      <c r="AA34" s="35">
        <f>=SUM(AA35:AA40)</f>
        <v>0.15</v>
      </c>
      <c r="AB34" s="35">
        <f>=SUM(AB35:AB40)</f>
        <v>0.15</v>
      </c>
      <c r="AC34" s="35">
        <f>=SUM(AC35:AC40)</f>
        <v>0.15</v>
      </c>
      <c r="AD34" s="35">
        <f>=SUM(AD35:AD40)</f>
        <v>0.15</v>
      </c>
      <c r="AE34" s="35">
        <f>=SUM(AE35:AE40)</f>
        <v>0.15</v>
      </c>
      <c r="AF34" s="35">
        <f>=SUM(AF35:AF40)</f>
        <v>0.15</v>
      </c>
      <c r="AG34" s="35">
        <f>=SUM(AG35:AG40)</f>
        <v>0.15</v>
      </c>
      <c r="AH34" s="35">
        <f>=SUM(AH35:AH40)</f>
        <v>0.15</v>
      </c>
      <c r="AI34" s="35">
        <f>=SUM(AI35:AI40)</f>
        <v>0.15</v>
      </c>
      <c r="AJ34" s="35">
        <f>=SUM(AJ35:AJ40)</f>
        <v>0.15</v>
      </c>
      <c r="AK34" s="35">
        <f>=SUM(AK35:AK40)</f>
        <v>0.15</v>
      </c>
      <c r="AL34" s="35">
        <f>=SUM(AL35:AL40)</f>
        <v>0.15</v>
      </c>
      <c r="AM34" s="35">
        <f>=SUM(AM35:AM40)</f>
        <v>0.15</v>
      </c>
      <c r="AN34" s="35">
        <f>=SUM(AN35:AN40)</f>
        <v>0.15</v>
      </c>
      <c r="AO34" s="35">
        <f>=SUM(AO35:AO40)</f>
        <v>0.15</v>
      </c>
      <c r="AP34" s="35">
        <f>=SUM(AP35:AP40)</f>
        <v>0.15</v>
      </c>
      <c r="AQ34" s="35">
        <f>=SUM(AQ35:AQ40)</f>
        <v>0.15</v>
      </c>
      <c r="AR34" s="35">
        <f>=SUM(AR35:AR40)</f>
        <v>0.15</v>
      </c>
      <c r="AS34" s="35">
        <f>=SUM(AS35:AS40)</f>
        <v>0.15</v>
      </c>
      <c r="AT34" s="35">
        <f>=SUM(AT35:AT40)</f>
        <v>0.15</v>
      </c>
      <c r="AU34" s="35">
        <f>=SUM(AU35:AU40)</f>
        <v>0.15</v>
      </c>
      <c r="AV34" s="35">
        <f>=SUM(AV35:AV40)</f>
        <v>0.15</v>
      </c>
      <c r="AW34" s="35">
        <f>=SUM(AW35:AW40)</f>
        <v>0.15</v>
      </c>
      <c r="AX34" s="35">
        <f>=SUM(AX35:AX40)</f>
        <v>0.15</v>
      </c>
      <c r="AY34" s="35">
        <f>=SUM(AY35:AY40)</f>
        <v>0.15</v>
      </c>
      <c r="AZ34" s="35">
        <f>=SUM(AZ35:AZ40)</f>
        <v>0.15</v>
      </c>
      <c r="BA34" s="35">
        <f>=SUM(BA35:BA40)</f>
        <v>0.15</v>
      </c>
      <c r="BB34" s="35">
        <f>=SUM(BB35:BB40)</f>
        <v>0.15</v>
      </c>
      <c r="BC34" s="35">
        <f>=SUM(BC35:BC40)</f>
        <v>0.15</v>
      </c>
      <c r="BD34" s="35">
        <f>=SUM(BD35:BD40)</f>
        <v>0.15</v>
      </c>
      <c r="BE34" s="35">
        <f>=SUM(BE35:BE40)</f>
        <v>0.15</v>
      </c>
      <c r="BF34" s="35">
        <f>=SUM(BF35:BF40)</f>
        <v>0.15</v>
      </c>
      <c r="BG34" s="35">
        <f>=SUM(BG35:BG40)</f>
        <v>0.15</v>
      </c>
      <c r="BH34" s="35">
        <f>=SUM(BH35:BH40)</f>
        <v>0.15</v>
      </c>
      <c r="BI34" s="35">
        <f>=SUM(BI35:BI40)</f>
        <v>0.15</v>
      </c>
      <c r="BJ34" s="35">
        <f>=SUM(BJ35:BJ40)</f>
        <v>0.15</v>
      </c>
      <c r="BK34" s="35">
        <f>=SUM(BK35:BK40)</f>
        <v>0.15</v>
      </c>
      <c r="BL34" s="35">
        <f>=SUM(BL35:BL40)</f>
        <v>0.15</v>
      </c>
      <c r="BM34" s="35">
        <f>=SUM(BM35:BM40)</f>
        <v>0.15</v>
      </c>
      <c r="BN34" s="35">
        <f>=SUM(BN35:BN40)</f>
        <v>0.15</v>
      </c>
      <c r="BO34" s="35">
        <f>=SUM(BO35:BO40)</f>
        <v>0.15</v>
      </c>
      <c r="BP34" s="35">
        <f>=SUM(BP35:BP40)</f>
        <v>0.15</v>
      </c>
      <c r="BQ34" s="35">
        <f>=SUM(BQ35:BQ40)</f>
        <v>0.15</v>
      </c>
      <c r="BR34" s="35">
        <f>=SUM(BR35:BR40)</f>
        <v>0.15</v>
      </c>
      <c r="BS34" s="35">
        <f>=SUM(BS35:BS40)</f>
        <v>0.15</v>
      </c>
      <c r="BT34" s="35">
        <f>=SUM(BT35:BT40)</f>
        <v>0.15</v>
      </c>
      <c r="BU34" s="35">
        <f>=SUM(BU35:BU40)</f>
        <v>0.15</v>
      </c>
      <c r="BV34" s="35">
        <f>=SUM(BV35:BV40)</f>
        <v>0.15</v>
      </c>
      <c r="BW34" s="35">
        <f>=SUM(BW35:BW40)</f>
        <v>0.15</v>
      </c>
      <c r="BX34" s="35">
        <f>=SUM(BX35:BX40)</f>
        <v>0.15</v>
      </c>
      <c r="BY34" s="35">
        <f>=SUM(BY35:BY40)</f>
        <v>0.15</v>
      </c>
      <c r="BZ34" s="35">
        <f>=SUM(BZ35:BZ40)</f>
        <v>0.15</v>
      </c>
      <c r="CA34" s="35">
        <f>=SUM(CA35:CA40)</f>
        <v>0.15</v>
      </c>
      <c r="CB34" s="35">
        <f>=SUM(CB35:CB40)</f>
        <v>0.15</v>
      </c>
      <c r="CC34" s="35">
        <f>=SUM(CC35:CC40)</f>
        <v>0.15</v>
      </c>
      <c r="CD34" s="35">
        <f>=SUM(CD35:CD40)</f>
        <v>0.15</v>
      </c>
      <c r="CE34" s="35">
        <f>=SUM(CE35:CE40)</f>
        <v>0.15</v>
      </c>
      <c r="CF34" s="35">
        <f>=SUM(CF35:CF40)</f>
        <v>0.15</v>
      </c>
      <c r="CG34" s="35">
        <f>=SUM(CG35:CG40)</f>
        <v>0.15</v>
      </c>
      <c r="CH34" s="35">
        <f>=SUM(CH35:CH40)</f>
        <v>0.15</v>
      </c>
      <c r="CI34" s="35">
        <f>=SUM(CI35:CI40)</f>
        <v>0.15</v>
      </c>
      <c r="CJ34" s="35">
        <f>=SUM(CJ35:CJ40)</f>
        <v>0.15</v>
      </c>
      <c r="CK34" s="35">
        <f>=SUM(CK35:CK40)</f>
        <v>0.15</v>
      </c>
      <c r="CL34" s="35">
        <f>=SUM(CL35:CL40)</f>
        <v>0.15</v>
      </c>
      <c r="CM34" s="35">
        <f>=SUM(CM35:CM40)</f>
        <v>0.15</v>
      </c>
      <c r="CN34" s="35">
        <f>=SUM(CN35:CN40)</f>
        <v>0.15</v>
      </c>
      <c r="CO34" s="35">
        <f>=SUM(CO35:CO40)</f>
        <v>0.15</v>
      </c>
      <c r="CP34" s="35">
        <f>=SUM(CP35:CP40)</f>
        <v>0.15</v>
      </c>
      <c r="CQ34" s="35">
        <f>=SUM(CQ35:CQ40)</f>
        <v>0.15</v>
      </c>
      <c r="CR34" s="35">
        <f>=SUM(CR35:CR40)</f>
        <v>0.15</v>
      </c>
      <c r="CS34" s="35">
        <f>=SUM(CS35:CS40)</f>
        <v>0.15</v>
      </c>
      <c r="CT34" s="35">
        <f>=SUM(CT35:CT40)</f>
        <v>0.15</v>
      </c>
      <c r="CU34" s="35">
        <f>=SUM(CU35:CU40)</f>
        <v>0.15</v>
      </c>
      <c r="CV34" s="35">
        <f>=SUM(CV35:CV40)</f>
        <v>0.15</v>
      </c>
      <c r="CW34" s="35">
        <f>=SUM(CW35:CW40)</f>
        <v>0.15</v>
      </c>
      <c r="CX34" s="35">
        <f>=SUM(CX35:CX40)</f>
        <v>0.15</v>
      </c>
      <c r="CY34" s="35">
        <f>=SUM(CY35:CY40)</f>
        <v>0.15</v>
      </c>
      <c r="CZ34" s="35">
        <f>=SUM(CZ35:CZ40)</f>
        <v>0.15</v>
      </c>
      <c r="DA34" s="35">
        <f>=SUM(DA35:DA40)</f>
        <v>0.15</v>
      </c>
      <c r="DB34" s="35">
        <f>=SUM(DB35:DB40)</f>
        <v>0.15</v>
      </c>
    </row>
    <row r="35" ht="18" customHeight="1" spans="1:106" x14ac:dyDescent="0.25">
      <c r="A35" s="36" t="s">
        <v>268</v>
      </c>
      <c r="B35" s="17"/>
      <c r="C35" s="37">
        <v>0.06</v>
      </c>
      <c r="D35" s="37">
        <v>0.06</v>
      </c>
      <c r="E35" s="37">
        <v>0.06</v>
      </c>
      <c r="F35" s="37">
        <v>0.06</v>
      </c>
      <c r="G35" s="37">
        <v>0.06</v>
      </c>
      <c r="H35" s="37">
        <v>0.06</v>
      </c>
      <c r="I35" s="37">
        <v>0.06</v>
      </c>
      <c r="J35" s="37">
        <v>0.06</v>
      </c>
      <c r="K35" s="37">
        <v>0.06</v>
      </c>
      <c r="L35" s="37">
        <v>0.06</v>
      </c>
      <c r="M35" s="37">
        <v>0.06</v>
      </c>
      <c r="N35" s="37">
        <v>0.06</v>
      </c>
      <c r="O35" s="37">
        <v>0.06</v>
      </c>
      <c r="P35" s="37">
        <v>0.06</v>
      </c>
      <c r="Q35" s="37">
        <v>0.06</v>
      </c>
      <c r="R35" s="37">
        <v>0.06</v>
      </c>
      <c r="S35" s="37">
        <v>0.06</v>
      </c>
      <c r="T35" s="37">
        <v>0.06</v>
      </c>
      <c r="U35" s="37">
        <v>0.06</v>
      </c>
      <c r="V35" s="37">
        <v>0.06</v>
      </c>
      <c r="W35" s="37">
        <v>0.06</v>
      </c>
      <c r="X35" s="37">
        <v>0.06</v>
      </c>
      <c r="Y35" s="37">
        <v>0.06</v>
      </c>
      <c r="Z35" s="37">
        <v>0.06</v>
      </c>
      <c r="AA35" s="37">
        <v>0.06</v>
      </c>
      <c r="AB35" s="37">
        <v>0.06</v>
      </c>
      <c r="AC35" s="37">
        <v>0.06</v>
      </c>
      <c r="AD35" s="37">
        <v>0.06</v>
      </c>
      <c r="AE35" s="37">
        <v>0.06</v>
      </c>
      <c r="AF35" s="37">
        <v>0.06</v>
      </c>
      <c r="AG35" s="37">
        <v>0.06</v>
      </c>
      <c r="AH35" s="37">
        <v>0.06</v>
      </c>
      <c r="AI35" s="37">
        <v>0.06</v>
      </c>
      <c r="AJ35" s="37">
        <v>0.06</v>
      </c>
      <c r="AK35" s="37">
        <v>0.06</v>
      </c>
      <c r="AL35" s="37">
        <v>0.06</v>
      </c>
      <c r="AM35" s="37">
        <v>0.06</v>
      </c>
      <c r="AN35" s="37">
        <v>0.06</v>
      </c>
      <c r="AO35" s="37">
        <v>0.06</v>
      </c>
      <c r="AP35" s="37">
        <v>0.06</v>
      </c>
      <c r="AQ35" s="37">
        <v>0.06</v>
      </c>
      <c r="AR35" s="37">
        <v>0.06</v>
      </c>
      <c r="AS35" s="37">
        <v>0.06</v>
      </c>
      <c r="AT35" s="37">
        <v>0.06</v>
      </c>
      <c r="AU35" s="37">
        <v>0.06</v>
      </c>
      <c r="AV35" s="37">
        <v>0.06</v>
      </c>
      <c r="AW35" s="37">
        <v>0.06</v>
      </c>
      <c r="AX35" s="37">
        <v>0.06</v>
      </c>
      <c r="AY35" s="37">
        <v>0.06</v>
      </c>
      <c r="AZ35" s="37">
        <v>0.06</v>
      </c>
      <c r="BA35" s="37">
        <v>0.06</v>
      </c>
      <c r="BB35" s="37">
        <v>0.06</v>
      </c>
      <c r="BC35" s="37">
        <v>0.06</v>
      </c>
      <c r="BD35" s="37">
        <v>0.06</v>
      </c>
      <c r="BE35" s="37">
        <v>0.06</v>
      </c>
      <c r="BF35" s="37">
        <v>0.06</v>
      </c>
      <c r="BG35" s="37">
        <v>0.06</v>
      </c>
      <c r="BH35" s="37">
        <v>0.06</v>
      </c>
      <c r="BI35" s="37">
        <v>0.06</v>
      </c>
      <c r="BJ35" s="37">
        <v>0.06</v>
      </c>
      <c r="BK35" s="37">
        <v>0.06</v>
      </c>
      <c r="BL35" s="37">
        <v>0.06</v>
      </c>
      <c r="BM35" s="37">
        <v>0.06</v>
      </c>
      <c r="BN35" s="37">
        <v>0.06</v>
      </c>
      <c r="BO35" s="37">
        <v>0.06</v>
      </c>
      <c r="BP35" s="37">
        <v>0.06</v>
      </c>
      <c r="BQ35" s="37">
        <v>0.06</v>
      </c>
      <c r="BR35" s="37">
        <v>0.06</v>
      </c>
      <c r="BS35" s="37">
        <v>0.06</v>
      </c>
      <c r="BT35" s="37">
        <v>0.06</v>
      </c>
      <c r="BU35" s="37">
        <v>0.06</v>
      </c>
      <c r="BV35" s="37">
        <v>0.06</v>
      </c>
      <c r="BW35" s="37">
        <v>0.06</v>
      </c>
      <c r="BX35" s="37">
        <v>0.06</v>
      </c>
      <c r="BY35" s="37">
        <v>0.06</v>
      </c>
      <c r="BZ35" s="37">
        <v>0.06</v>
      </c>
      <c r="CA35" s="37">
        <v>0.06</v>
      </c>
      <c r="CB35" s="37">
        <v>0.06</v>
      </c>
      <c r="CC35" s="37">
        <v>0.06</v>
      </c>
      <c r="CD35" s="37">
        <v>0.06</v>
      </c>
      <c r="CE35" s="37">
        <v>0.06</v>
      </c>
      <c r="CF35" s="37">
        <v>0.06</v>
      </c>
      <c r="CG35" s="37">
        <v>0.06</v>
      </c>
      <c r="CH35" s="37">
        <v>0.06</v>
      </c>
      <c r="CI35" s="37">
        <v>0.06</v>
      </c>
      <c r="CJ35" s="37">
        <v>0.06</v>
      </c>
      <c r="CK35" s="37">
        <v>0.06</v>
      </c>
      <c r="CL35" s="37">
        <v>0.06</v>
      </c>
      <c r="CM35" s="37">
        <v>0.06</v>
      </c>
      <c r="CN35" s="37">
        <v>0.06</v>
      </c>
      <c r="CO35" s="37">
        <v>0.06</v>
      </c>
      <c r="CP35" s="37">
        <v>0.06</v>
      </c>
      <c r="CQ35" s="37">
        <v>0.06</v>
      </c>
      <c r="CR35" s="37">
        <v>0.06</v>
      </c>
      <c r="CS35" s="37">
        <v>0.06</v>
      </c>
      <c r="CT35" s="37">
        <v>0.06</v>
      </c>
      <c r="CU35" s="37">
        <v>0.06</v>
      </c>
      <c r="CV35" s="37">
        <v>0.06</v>
      </c>
      <c r="CW35" s="37">
        <v>0.06</v>
      </c>
      <c r="CX35" s="37">
        <v>0.06</v>
      </c>
      <c r="CY35" s="37">
        <v>0.06</v>
      </c>
      <c r="CZ35" s="37">
        <v>0.06</v>
      </c>
      <c r="DA35" s="37">
        <v>0.06</v>
      </c>
      <c r="DB35" s="37">
        <v>0.06</v>
      </c>
    </row>
    <row r="36" ht="18" customHeight="1" spans="1:106" x14ac:dyDescent="0.25">
      <c r="A36" s="36" t="s">
        <v>269</v>
      </c>
      <c r="B36" s="17"/>
      <c r="C36" s="37">
        <v>0.03</v>
      </c>
      <c r="D36" s="37">
        <v>0.03</v>
      </c>
      <c r="E36" s="37">
        <v>0.03</v>
      </c>
      <c r="F36" s="37">
        <v>0.03</v>
      </c>
      <c r="G36" s="37">
        <v>0.03</v>
      </c>
      <c r="H36" s="37">
        <v>0.03</v>
      </c>
      <c r="I36" s="37">
        <v>0.03</v>
      </c>
      <c r="J36" s="37">
        <v>0.03</v>
      </c>
      <c r="K36" s="37">
        <v>0.03</v>
      </c>
      <c r="L36" s="37">
        <v>0.03</v>
      </c>
      <c r="M36" s="37">
        <v>0.03</v>
      </c>
      <c r="N36" s="37">
        <v>0.03</v>
      </c>
      <c r="O36" s="37">
        <v>0.03</v>
      </c>
      <c r="P36" s="37">
        <v>0.03</v>
      </c>
      <c r="Q36" s="37">
        <v>0.03</v>
      </c>
      <c r="R36" s="37">
        <v>0.03</v>
      </c>
      <c r="S36" s="37">
        <v>0.03</v>
      </c>
      <c r="T36" s="37">
        <v>0.03</v>
      </c>
      <c r="U36" s="37">
        <v>0.03</v>
      </c>
      <c r="V36" s="37">
        <v>0.03</v>
      </c>
      <c r="W36" s="37">
        <v>0.03</v>
      </c>
      <c r="X36" s="37">
        <v>0.03</v>
      </c>
      <c r="Y36" s="37">
        <v>0.03</v>
      </c>
      <c r="Z36" s="37">
        <v>0.03</v>
      </c>
      <c r="AA36" s="37">
        <v>0.03</v>
      </c>
      <c r="AB36" s="37">
        <v>0.03</v>
      </c>
      <c r="AC36" s="37">
        <v>0.03</v>
      </c>
      <c r="AD36" s="37">
        <v>0.03</v>
      </c>
      <c r="AE36" s="37">
        <v>0.03</v>
      </c>
      <c r="AF36" s="37">
        <v>0.03</v>
      </c>
      <c r="AG36" s="37">
        <v>0.03</v>
      </c>
      <c r="AH36" s="37">
        <v>0.03</v>
      </c>
      <c r="AI36" s="37">
        <v>0.03</v>
      </c>
      <c r="AJ36" s="37">
        <v>0.03</v>
      </c>
      <c r="AK36" s="37">
        <v>0.03</v>
      </c>
      <c r="AL36" s="37">
        <v>0.03</v>
      </c>
      <c r="AM36" s="37">
        <v>0.03</v>
      </c>
      <c r="AN36" s="37">
        <v>0.03</v>
      </c>
      <c r="AO36" s="37">
        <v>0.03</v>
      </c>
      <c r="AP36" s="37">
        <v>0.03</v>
      </c>
      <c r="AQ36" s="37">
        <v>0.03</v>
      </c>
      <c r="AR36" s="37">
        <v>0.03</v>
      </c>
      <c r="AS36" s="37">
        <v>0.03</v>
      </c>
      <c r="AT36" s="37">
        <v>0.03</v>
      </c>
      <c r="AU36" s="37">
        <v>0.03</v>
      </c>
      <c r="AV36" s="37">
        <v>0.03</v>
      </c>
      <c r="AW36" s="37">
        <v>0.03</v>
      </c>
      <c r="AX36" s="37">
        <v>0.03</v>
      </c>
      <c r="AY36" s="37">
        <v>0.03</v>
      </c>
      <c r="AZ36" s="37">
        <v>0.03</v>
      </c>
      <c r="BA36" s="37">
        <v>0.03</v>
      </c>
      <c r="BB36" s="37">
        <v>0.03</v>
      </c>
      <c r="BC36" s="37">
        <v>0.03</v>
      </c>
      <c r="BD36" s="37">
        <v>0.03</v>
      </c>
      <c r="BE36" s="37">
        <v>0.03</v>
      </c>
      <c r="BF36" s="37">
        <v>0.03</v>
      </c>
      <c r="BG36" s="37">
        <v>0.03</v>
      </c>
      <c r="BH36" s="37">
        <v>0.03</v>
      </c>
      <c r="BI36" s="37">
        <v>0.03</v>
      </c>
      <c r="BJ36" s="37">
        <v>0.03</v>
      </c>
      <c r="BK36" s="37">
        <v>0.03</v>
      </c>
      <c r="BL36" s="37">
        <v>0.03</v>
      </c>
      <c r="BM36" s="37">
        <v>0.03</v>
      </c>
      <c r="BN36" s="37">
        <v>0.03</v>
      </c>
      <c r="BO36" s="37">
        <v>0.03</v>
      </c>
      <c r="BP36" s="37">
        <v>0.03</v>
      </c>
      <c r="BQ36" s="37">
        <v>0.03</v>
      </c>
      <c r="BR36" s="37">
        <v>0.03</v>
      </c>
      <c r="BS36" s="37">
        <v>0.03</v>
      </c>
      <c r="BT36" s="37">
        <v>0.03</v>
      </c>
      <c r="BU36" s="37">
        <v>0.03</v>
      </c>
      <c r="BV36" s="37">
        <v>0.03</v>
      </c>
      <c r="BW36" s="37">
        <v>0.03</v>
      </c>
      <c r="BX36" s="37">
        <v>0.03</v>
      </c>
      <c r="BY36" s="37">
        <v>0.03</v>
      </c>
      <c r="BZ36" s="37">
        <v>0.03</v>
      </c>
      <c r="CA36" s="37">
        <v>0.03</v>
      </c>
      <c r="CB36" s="37">
        <v>0.03</v>
      </c>
      <c r="CC36" s="37">
        <v>0.03</v>
      </c>
      <c r="CD36" s="37">
        <v>0.03</v>
      </c>
      <c r="CE36" s="37">
        <v>0.03</v>
      </c>
      <c r="CF36" s="37">
        <v>0.03</v>
      </c>
      <c r="CG36" s="37">
        <v>0.03</v>
      </c>
      <c r="CH36" s="37">
        <v>0.03</v>
      </c>
      <c r="CI36" s="37">
        <v>0.03</v>
      </c>
      <c r="CJ36" s="37">
        <v>0.03</v>
      </c>
      <c r="CK36" s="37">
        <v>0.03</v>
      </c>
      <c r="CL36" s="37">
        <v>0.03</v>
      </c>
      <c r="CM36" s="37">
        <v>0.03</v>
      </c>
      <c r="CN36" s="37">
        <v>0.03</v>
      </c>
      <c r="CO36" s="37">
        <v>0.03</v>
      </c>
      <c r="CP36" s="37">
        <v>0.03</v>
      </c>
      <c r="CQ36" s="37">
        <v>0.03</v>
      </c>
      <c r="CR36" s="37">
        <v>0.03</v>
      </c>
      <c r="CS36" s="37">
        <v>0.03</v>
      </c>
      <c r="CT36" s="37">
        <v>0.03</v>
      </c>
      <c r="CU36" s="37">
        <v>0.03</v>
      </c>
      <c r="CV36" s="37">
        <v>0.03</v>
      </c>
      <c r="CW36" s="37">
        <v>0.03</v>
      </c>
      <c r="CX36" s="37">
        <v>0.03</v>
      </c>
      <c r="CY36" s="37">
        <v>0.03</v>
      </c>
      <c r="CZ36" s="37">
        <v>0.03</v>
      </c>
      <c r="DA36" s="37">
        <v>0.03</v>
      </c>
      <c r="DB36" s="37">
        <v>0.03</v>
      </c>
    </row>
    <row r="37" ht="18" customHeight="1" spans="1:106" x14ac:dyDescent="0.25">
      <c r="A37" s="36" t="s">
        <v>270</v>
      </c>
      <c r="C37" s="37">
        <v>0.03</v>
      </c>
      <c r="D37" s="37">
        <v>0.03</v>
      </c>
      <c r="E37" s="37">
        <v>0.03</v>
      </c>
      <c r="F37" s="37">
        <v>0.03</v>
      </c>
      <c r="G37" s="37">
        <v>0.03</v>
      </c>
      <c r="H37" s="37">
        <v>0.03</v>
      </c>
      <c r="I37" s="37">
        <v>0.03</v>
      </c>
      <c r="J37" s="37">
        <v>0.03</v>
      </c>
      <c r="K37" s="37">
        <v>0.03</v>
      </c>
      <c r="L37" s="37">
        <v>0.03</v>
      </c>
      <c r="M37" s="37">
        <v>0.03</v>
      </c>
      <c r="N37" s="37">
        <v>0.03</v>
      </c>
      <c r="O37" s="37">
        <v>0.03</v>
      </c>
      <c r="P37" s="37">
        <v>0.03</v>
      </c>
      <c r="Q37" s="37">
        <v>0.03</v>
      </c>
      <c r="R37" s="37">
        <v>0.03</v>
      </c>
      <c r="S37" s="37">
        <v>0.03</v>
      </c>
      <c r="T37" s="37">
        <v>0.03</v>
      </c>
      <c r="U37" s="37">
        <v>0.03</v>
      </c>
      <c r="V37" s="37">
        <v>0.03</v>
      </c>
      <c r="W37" s="37">
        <v>0.03</v>
      </c>
      <c r="X37" s="37">
        <v>0.03</v>
      </c>
      <c r="Y37" s="37">
        <v>0.03</v>
      </c>
      <c r="Z37" s="37">
        <v>0.03</v>
      </c>
      <c r="AA37" s="37">
        <v>0.03</v>
      </c>
      <c r="AB37" s="37">
        <v>0.03</v>
      </c>
      <c r="AC37" s="37">
        <v>0.03</v>
      </c>
      <c r="AD37" s="37">
        <v>0.03</v>
      </c>
      <c r="AE37" s="37">
        <v>0.03</v>
      </c>
      <c r="AF37" s="37">
        <v>0.03</v>
      </c>
      <c r="AG37" s="37">
        <v>0.03</v>
      </c>
      <c r="AH37" s="37">
        <v>0.03</v>
      </c>
      <c r="AI37" s="37">
        <v>0.03</v>
      </c>
      <c r="AJ37" s="37">
        <v>0.03</v>
      </c>
      <c r="AK37" s="37">
        <v>0.03</v>
      </c>
      <c r="AL37" s="37">
        <v>0.03</v>
      </c>
      <c r="AM37" s="37">
        <v>0.03</v>
      </c>
      <c r="AN37" s="37">
        <v>0.03</v>
      </c>
      <c r="AO37" s="37">
        <v>0.03</v>
      </c>
      <c r="AP37" s="37">
        <v>0.03</v>
      </c>
      <c r="AQ37" s="37">
        <v>0.03</v>
      </c>
      <c r="AR37" s="37">
        <v>0.03</v>
      </c>
      <c r="AS37" s="37">
        <v>0.03</v>
      </c>
      <c r="AT37" s="37">
        <v>0.03</v>
      </c>
      <c r="AU37" s="37">
        <v>0.03</v>
      </c>
      <c r="AV37" s="37">
        <v>0.03</v>
      </c>
      <c r="AW37" s="37">
        <v>0.03</v>
      </c>
      <c r="AX37" s="37">
        <v>0.03</v>
      </c>
      <c r="AY37" s="37">
        <v>0.03</v>
      </c>
      <c r="AZ37" s="37">
        <v>0.03</v>
      </c>
      <c r="BA37" s="37">
        <v>0.03</v>
      </c>
      <c r="BB37" s="37">
        <v>0.03</v>
      </c>
      <c r="BC37" s="37">
        <v>0.03</v>
      </c>
      <c r="BD37" s="37">
        <v>0.03</v>
      </c>
      <c r="BE37" s="37">
        <v>0.03</v>
      </c>
      <c r="BF37" s="37">
        <v>0.03</v>
      </c>
      <c r="BG37" s="37">
        <v>0.03</v>
      </c>
      <c r="BH37" s="37">
        <v>0.03</v>
      </c>
      <c r="BI37" s="37">
        <v>0.03</v>
      </c>
      <c r="BJ37" s="37">
        <v>0.03</v>
      </c>
      <c r="BK37" s="37">
        <v>0.03</v>
      </c>
      <c r="BL37" s="37">
        <v>0.03</v>
      </c>
      <c r="BM37" s="37">
        <v>0.03</v>
      </c>
      <c r="BN37" s="37">
        <v>0.03</v>
      </c>
      <c r="BO37" s="37">
        <v>0.03</v>
      </c>
      <c r="BP37" s="37">
        <v>0.03</v>
      </c>
      <c r="BQ37" s="37">
        <v>0.03</v>
      </c>
      <c r="BR37" s="37">
        <v>0.03</v>
      </c>
      <c r="BS37" s="37">
        <v>0.03</v>
      </c>
      <c r="BT37" s="37">
        <v>0.03</v>
      </c>
      <c r="BU37" s="37">
        <v>0.03</v>
      </c>
      <c r="BV37" s="37">
        <v>0.03</v>
      </c>
      <c r="BW37" s="37">
        <v>0.03</v>
      </c>
      <c r="BX37" s="37">
        <v>0.03</v>
      </c>
      <c r="BY37" s="37">
        <v>0.03</v>
      </c>
      <c r="BZ37" s="37">
        <v>0.03</v>
      </c>
      <c r="CA37" s="37">
        <v>0.03</v>
      </c>
      <c r="CB37" s="37">
        <v>0.03</v>
      </c>
      <c r="CC37" s="37">
        <v>0.03</v>
      </c>
      <c r="CD37" s="37">
        <v>0.03</v>
      </c>
      <c r="CE37" s="37">
        <v>0.03</v>
      </c>
      <c r="CF37" s="37">
        <v>0.03</v>
      </c>
      <c r="CG37" s="37">
        <v>0.03</v>
      </c>
      <c r="CH37" s="37">
        <v>0.03</v>
      </c>
      <c r="CI37" s="37">
        <v>0.03</v>
      </c>
      <c r="CJ37" s="37">
        <v>0.03</v>
      </c>
      <c r="CK37" s="37">
        <v>0.03</v>
      </c>
      <c r="CL37" s="37">
        <v>0.03</v>
      </c>
      <c r="CM37" s="37">
        <v>0.03</v>
      </c>
      <c r="CN37" s="37">
        <v>0.03</v>
      </c>
      <c r="CO37" s="37">
        <v>0.03</v>
      </c>
      <c r="CP37" s="37">
        <v>0.03</v>
      </c>
      <c r="CQ37" s="37">
        <v>0.03</v>
      </c>
      <c r="CR37" s="37">
        <v>0.03</v>
      </c>
      <c r="CS37" s="37">
        <v>0.03</v>
      </c>
      <c r="CT37" s="37">
        <v>0.03</v>
      </c>
      <c r="CU37" s="37">
        <v>0.03</v>
      </c>
      <c r="CV37" s="37">
        <v>0.03</v>
      </c>
      <c r="CW37" s="37">
        <v>0.03</v>
      </c>
      <c r="CX37" s="37">
        <v>0.03</v>
      </c>
      <c r="CY37" s="37">
        <v>0.03</v>
      </c>
      <c r="CZ37" s="37">
        <v>0.03</v>
      </c>
      <c r="DA37" s="37">
        <v>0.03</v>
      </c>
      <c r="DB37" s="37">
        <v>0.03</v>
      </c>
    </row>
    <row r="38" spans="1:106" x14ac:dyDescent="0.25">
      <c r="A38" s="36" t="s">
        <v>271</v>
      </c>
      <c r="C38" s="37">
        <v>0.01</v>
      </c>
      <c r="D38" s="37">
        <v>0.01</v>
      </c>
      <c r="E38" s="37">
        <v>0.01</v>
      </c>
      <c r="F38" s="37">
        <v>0.01</v>
      </c>
      <c r="G38" s="37">
        <v>0.01</v>
      </c>
      <c r="H38" s="37">
        <v>0.01</v>
      </c>
      <c r="I38" s="37">
        <v>0.01</v>
      </c>
      <c r="J38" s="37">
        <v>0.01</v>
      </c>
      <c r="K38" s="37">
        <v>0.01</v>
      </c>
      <c r="L38" s="37">
        <v>0.01</v>
      </c>
      <c r="M38" s="37">
        <v>0.01</v>
      </c>
      <c r="N38" s="37">
        <v>0.01</v>
      </c>
      <c r="O38" s="37">
        <v>0.01</v>
      </c>
      <c r="P38" s="37">
        <v>0.01</v>
      </c>
      <c r="Q38" s="37">
        <v>0.01</v>
      </c>
      <c r="R38" s="37">
        <v>0.01</v>
      </c>
      <c r="S38" s="37">
        <v>0.01</v>
      </c>
      <c r="T38" s="37">
        <v>0.01</v>
      </c>
      <c r="U38" s="37">
        <v>0.01</v>
      </c>
      <c r="V38" s="37">
        <v>0.01</v>
      </c>
      <c r="W38" s="37">
        <v>0.01</v>
      </c>
      <c r="X38" s="37">
        <v>0.01</v>
      </c>
      <c r="Y38" s="37">
        <v>0.01</v>
      </c>
      <c r="Z38" s="37">
        <v>0.01</v>
      </c>
      <c r="AA38" s="37">
        <v>0.01</v>
      </c>
      <c r="AB38" s="37">
        <v>0.01</v>
      </c>
      <c r="AC38" s="37">
        <v>0.01</v>
      </c>
      <c r="AD38" s="37">
        <v>0.01</v>
      </c>
      <c r="AE38" s="37">
        <v>0.01</v>
      </c>
      <c r="AF38" s="37">
        <v>0.01</v>
      </c>
      <c r="AG38" s="37">
        <v>0.01</v>
      </c>
      <c r="AH38" s="37">
        <v>0.01</v>
      </c>
      <c r="AI38" s="37">
        <v>0.01</v>
      </c>
      <c r="AJ38" s="37">
        <v>0.01</v>
      </c>
      <c r="AK38" s="37">
        <v>0.01</v>
      </c>
      <c r="AL38" s="37">
        <v>0.01</v>
      </c>
      <c r="AM38" s="37">
        <v>0.01</v>
      </c>
      <c r="AN38" s="37">
        <v>0.01</v>
      </c>
      <c r="AO38" s="37">
        <v>0.01</v>
      </c>
      <c r="AP38" s="37">
        <v>0.01</v>
      </c>
      <c r="AQ38" s="37">
        <v>0.01</v>
      </c>
      <c r="AR38" s="37">
        <v>0.01</v>
      </c>
      <c r="AS38" s="37">
        <v>0.01</v>
      </c>
      <c r="AT38" s="37">
        <v>0.01</v>
      </c>
      <c r="AU38" s="37">
        <v>0.01</v>
      </c>
      <c r="AV38" s="37">
        <v>0.01</v>
      </c>
      <c r="AW38" s="37">
        <v>0.01</v>
      </c>
      <c r="AX38" s="37">
        <v>0.01</v>
      </c>
      <c r="AY38" s="37">
        <v>0.01</v>
      </c>
      <c r="AZ38" s="37">
        <v>0.01</v>
      </c>
      <c r="BA38" s="37">
        <v>0.01</v>
      </c>
      <c r="BB38" s="37">
        <v>0.01</v>
      </c>
      <c r="BC38" s="37">
        <v>0.01</v>
      </c>
      <c r="BD38" s="37">
        <v>0.01</v>
      </c>
      <c r="BE38" s="37">
        <v>0.01</v>
      </c>
      <c r="BF38" s="37">
        <v>0.01</v>
      </c>
      <c r="BG38" s="37">
        <v>0.01</v>
      </c>
      <c r="BH38" s="37">
        <v>0.01</v>
      </c>
      <c r="BI38" s="37">
        <v>0.01</v>
      </c>
      <c r="BJ38" s="37">
        <v>0.01</v>
      </c>
      <c r="BK38" s="37">
        <v>0.01</v>
      </c>
      <c r="BL38" s="37">
        <v>0.01</v>
      </c>
      <c r="BM38" s="37">
        <v>0.01</v>
      </c>
      <c r="BN38" s="37">
        <v>0.01</v>
      </c>
      <c r="BO38" s="37">
        <v>0.01</v>
      </c>
      <c r="BP38" s="37">
        <v>0.01</v>
      </c>
      <c r="BQ38" s="37">
        <v>0.01</v>
      </c>
      <c r="BR38" s="37">
        <v>0.01</v>
      </c>
      <c r="BS38" s="37">
        <v>0.01</v>
      </c>
      <c r="BT38" s="37">
        <v>0.01</v>
      </c>
      <c r="BU38" s="37">
        <v>0.01</v>
      </c>
      <c r="BV38" s="37">
        <v>0.01</v>
      </c>
      <c r="BW38" s="37">
        <v>0.01</v>
      </c>
      <c r="BX38" s="37">
        <v>0.01</v>
      </c>
      <c r="BY38" s="37">
        <v>0.01</v>
      </c>
      <c r="BZ38" s="37">
        <v>0.01</v>
      </c>
      <c r="CA38" s="37">
        <v>0.01</v>
      </c>
      <c r="CB38" s="37">
        <v>0.01</v>
      </c>
      <c r="CC38" s="37">
        <v>0.01</v>
      </c>
      <c r="CD38" s="37">
        <v>0.01</v>
      </c>
      <c r="CE38" s="37">
        <v>0.01</v>
      </c>
      <c r="CF38" s="37">
        <v>0.01</v>
      </c>
      <c r="CG38" s="37">
        <v>0.01</v>
      </c>
      <c r="CH38" s="37">
        <v>0.01</v>
      </c>
      <c r="CI38" s="37">
        <v>0.01</v>
      </c>
      <c r="CJ38" s="37">
        <v>0.01</v>
      </c>
      <c r="CK38" s="37">
        <v>0.01</v>
      </c>
      <c r="CL38" s="37">
        <v>0.01</v>
      </c>
      <c r="CM38" s="37">
        <v>0.01</v>
      </c>
      <c r="CN38" s="37">
        <v>0.01</v>
      </c>
      <c r="CO38" s="37">
        <v>0.01</v>
      </c>
      <c r="CP38" s="37">
        <v>0.01</v>
      </c>
      <c r="CQ38" s="37">
        <v>0.01</v>
      </c>
      <c r="CR38" s="37">
        <v>0.01</v>
      </c>
      <c r="CS38" s="37">
        <v>0.01</v>
      </c>
      <c r="CT38" s="37">
        <v>0.01</v>
      </c>
      <c r="CU38" s="37">
        <v>0.01</v>
      </c>
      <c r="CV38" s="37">
        <v>0.01</v>
      </c>
      <c r="CW38" s="37">
        <v>0.01</v>
      </c>
      <c r="CX38" s="37">
        <v>0.01</v>
      </c>
      <c r="CY38" s="37">
        <v>0.01</v>
      </c>
      <c r="CZ38" s="37">
        <v>0.01</v>
      </c>
      <c r="DA38" s="37">
        <v>0.01</v>
      </c>
      <c r="DB38" s="37">
        <v>0.01</v>
      </c>
    </row>
    <row r="39" ht="18" customHeight="1" spans="1:106" x14ac:dyDescent="0.25">
      <c r="A39" s="36" t="s">
        <v>272</v>
      </c>
      <c r="C39" s="39">
        <v>0.02</v>
      </c>
      <c r="D39" s="39">
        <v>0.02</v>
      </c>
      <c r="E39" s="39">
        <v>0.02</v>
      </c>
      <c r="F39" s="39">
        <v>0.02</v>
      </c>
      <c r="G39" s="39">
        <v>0.02</v>
      </c>
      <c r="H39" s="39">
        <v>0.02</v>
      </c>
      <c r="I39" s="39">
        <v>0.02</v>
      </c>
      <c r="J39" s="39">
        <v>0.02</v>
      </c>
      <c r="K39" s="39">
        <v>0.02</v>
      </c>
      <c r="L39" s="39">
        <v>0.02</v>
      </c>
      <c r="M39" s="39">
        <v>0.02</v>
      </c>
      <c r="N39" s="39">
        <v>0.02</v>
      </c>
      <c r="O39" s="39">
        <v>0.02</v>
      </c>
      <c r="P39" s="39">
        <v>0.02</v>
      </c>
      <c r="Q39" s="39">
        <v>0.02</v>
      </c>
      <c r="R39" s="39">
        <v>0.02</v>
      </c>
      <c r="S39" s="39">
        <v>0.02</v>
      </c>
      <c r="T39" s="39">
        <v>0.02</v>
      </c>
      <c r="U39" s="39">
        <v>0.02</v>
      </c>
      <c r="V39" s="39">
        <v>0.02</v>
      </c>
      <c r="W39" s="39">
        <v>0.02</v>
      </c>
      <c r="X39" s="39">
        <v>0.02</v>
      </c>
      <c r="Y39" s="39">
        <v>0.02</v>
      </c>
      <c r="Z39" s="39">
        <v>0.02</v>
      </c>
      <c r="AA39" s="39">
        <v>0.02</v>
      </c>
      <c r="AB39" s="39">
        <v>0.02</v>
      </c>
      <c r="AC39" s="39">
        <v>0.02</v>
      </c>
      <c r="AD39" s="39">
        <v>0.02</v>
      </c>
      <c r="AE39" s="39">
        <v>0.02</v>
      </c>
      <c r="AF39" s="39">
        <v>0.02</v>
      </c>
      <c r="AG39" s="39">
        <v>0.02</v>
      </c>
      <c r="AH39" s="39">
        <v>0.02</v>
      </c>
      <c r="AI39" s="39">
        <v>0.02</v>
      </c>
      <c r="AJ39" s="39">
        <v>0.02</v>
      </c>
      <c r="AK39" s="39">
        <v>0.02</v>
      </c>
      <c r="AL39" s="39">
        <v>0.02</v>
      </c>
      <c r="AM39" s="39">
        <v>0.02</v>
      </c>
      <c r="AN39" s="39">
        <v>0.02</v>
      </c>
      <c r="AO39" s="39">
        <v>0.02</v>
      </c>
      <c r="AP39" s="39">
        <v>0.02</v>
      </c>
      <c r="AQ39" s="39">
        <v>0.02</v>
      </c>
      <c r="AR39" s="39">
        <v>0.02</v>
      </c>
      <c r="AS39" s="39">
        <v>0.02</v>
      </c>
      <c r="AT39" s="39">
        <v>0.02</v>
      </c>
      <c r="AU39" s="39">
        <v>0.02</v>
      </c>
      <c r="AV39" s="39">
        <v>0.02</v>
      </c>
      <c r="AW39" s="39">
        <v>0.02</v>
      </c>
      <c r="AX39" s="39">
        <v>0.02</v>
      </c>
      <c r="AY39" s="39">
        <v>0.02</v>
      </c>
      <c r="AZ39" s="39">
        <v>0.02</v>
      </c>
      <c r="BA39" s="39">
        <v>0.02</v>
      </c>
      <c r="BB39" s="39">
        <v>0.02</v>
      </c>
      <c r="BC39" s="39">
        <v>0.02</v>
      </c>
      <c r="BD39" s="39">
        <v>0.02</v>
      </c>
      <c r="BE39" s="39">
        <v>0.02</v>
      </c>
      <c r="BF39" s="39">
        <v>0.02</v>
      </c>
      <c r="BG39" s="39">
        <v>0.02</v>
      </c>
      <c r="BH39" s="39">
        <v>0.02</v>
      </c>
      <c r="BI39" s="39">
        <v>0.02</v>
      </c>
      <c r="BJ39" s="39">
        <v>0.02</v>
      </c>
      <c r="BK39" s="39">
        <v>0.02</v>
      </c>
      <c r="BL39" s="39">
        <v>0.02</v>
      </c>
      <c r="BM39" s="39">
        <v>0.02</v>
      </c>
      <c r="BN39" s="39">
        <v>0.02</v>
      </c>
      <c r="BO39" s="39">
        <v>0.02</v>
      </c>
      <c r="BP39" s="39">
        <v>0.02</v>
      </c>
      <c r="BQ39" s="39">
        <v>0.02</v>
      </c>
      <c r="BR39" s="39">
        <v>0.02</v>
      </c>
      <c r="BS39" s="39">
        <v>0.02</v>
      </c>
      <c r="BT39" s="39">
        <v>0.02</v>
      </c>
      <c r="BU39" s="39">
        <v>0.02</v>
      </c>
      <c r="BV39" s="39">
        <v>0.02</v>
      </c>
      <c r="BW39" s="39">
        <v>0.02</v>
      </c>
      <c r="BX39" s="39">
        <v>0.02</v>
      </c>
      <c r="BY39" s="39">
        <v>0.02</v>
      </c>
      <c r="BZ39" s="39">
        <v>0.02</v>
      </c>
      <c r="CA39" s="39">
        <v>0.02</v>
      </c>
      <c r="CB39" s="39">
        <v>0.02</v>
      </c>
      <c r="CC39" s="39">
        <v>0.02</v>
      </c>
      <c r="CD39" s="39">
        <v>0.02</v>
      </c>
      <c r="CE39" s="39">
        <v>0.02</v>
      </c>
      <c r="CF39" s="39">
        <v>0.02</v>
      </c>
      <c r="CG39" s="39">
        <v>0.02</v>
      </c>
      <c r="CH39" s="39">
        <v>0.02</v>
      </c>
      <c r="CI39" s="39">
        <v>0.02</v>
      </c>
      <c r="CJ39" s="39">
        <v>0.02</v>
      </c>
      <c r="CK39" s="39">
        <v>0.02</v>
      </c>
      <c r="CL39" s="39">
        <v>0.02</v>
      </c>
      <c r="CM39" s="39">
        <v>0.02</v>
      </c>
      <c r="CN39" s="39">
        <v>0.02</v>
      </c>
      <c r="CO39" s="39">
        <v>0.02</v>
      </c>
      <c r="CP39" s="39">
        <v>0.02</v>
      </c>
      <c r="CQ39" s="39">
        <v>0.02</v>
      </c>
      <c r="CR39" s="39">
        <v>0.02</v>
      </c>
      <c r="CS39" s="39">
        <v>0.02</v>
      </c>
      <c r="CT39" s="39">
        <v>0.02</v>
      </c>
      <c r="CU39" s="39">
        <v>0.02</v>
      </c>
      <c r="CV39" s="39">
        <v>0.02</v>
      </c>
      <c r="CW39" s="39">
        <v>0.02</v>
      </c>
      <c r="CX39" s="39">
        <v>0.02</v>
      </c>
      <c r="CY39" s="39">
        <v>0.02</v>
      </c>
      <c r="CZ39" s="39">
        <v>0.02</v>
      </c>
      <c r="DA39" s="39">
        <v>0.02</v>
      </c>
      <c r="DB39" s="39">
        <v>0.02</v>
      </c>
    </row>
    <row r="40" ht="18" customHeight="1" spans="1:106" x14ac:dyDescent="0.25">
      <c r="A40" s="36" t="s">
        <v>273</v>
      </c>
      <c r="C40" s="39">
        <v>0</v>
      </c>
      <c r="D40" s="39">
        <v>0</v>
      </c>
      <c r="E40" s="39">
        <v>0</v>
      </c>
      <c r="F40" s="39">
        <v>0</v>
      </c>
      <c r="G40" s="39">
        <v>0</v>
      </c>
      <c r="H40" s="39">
        <v>0</v>
      </c>
      <c r="I40" s="39">
        <v>0</v>
      </c>
      <c r="J40" s="39">
        <v>0</v>
      </c>
      <c r="K40" s="39">
        <v>0</v>
      </c>
      <c r="L40" s="39">
        <v>0</v>
      </c>
      <c r="M40" s="39">
        <v>0</v>
      </c>
      <c r="N40" s="39">
        <v>0</v>
      </c>
      <c r="O40" s="39">
        <v>0</v>
      </c>
      <c r="P40" s="39">
        <v>0</v>
      </c>
      <c r="Q40" s="39">
        <v>0</v>
      </c>
      <c r="R40" s="39">
        <v>0</v>
      </c>
      <c r="S40" s="39">
        <v>0</v>
      </c>
      <c r="T40" s="39">
        <v>0</v>
      </c>
      <c r="U40" s="39">
        <v>0</v>
      </c>
      <c r="V40" s="39">
        <v>0</v>
      </c>
      <c r="W40" s="39">
        <v>0</v>
      </c>
      <c r="X40" s="39">
        <v>0</v>
      </c>
      <c r="Y40" s="39">
        <v>0</v>
      </c>
      <c r="Z40" s="39">
        <v>0</v>
      </c>
      <c r="AA40" s="39">
        <v>0</v>
      </c>
      <c r="AB40" s="39">
        <v>0</v>
      </c>
      <c r="AC40" s="39">
        <v>0</v>
      </c>
      <c r="AD40" s="39">
        <v>0</v>
      </c>
      <c r="AE40" s="39">
        <v>0</v>
      </c>
      <c r="AF40" s="39">
        <v>0</v>
      </c>
      <c r="AG40" s="39">
        <v>0</v>
      </c>
      <c r="AH40" s="39">
        <v>0</v>
      </c>
      <c r="AI40" s="39">
        <v>0</v>
      </c>
      <c r="AJ40" s="39">
        <v>0</v>
      </c>
      <c r="AK40" s="39">
        <v>0</v>
      </c>
      <c r="AL40" s="39">
        <v>0</v>
      </c>
      <c r="AM40" s="39">
        <v>0</v>
      </c>
      <c r="AN40" s="39">
        <v>0</v>
      </c>
      <c r="AO40" s="39">
        <v>0</v>
      </c>
      <c r="AP40" s="39">
        <v>0</v>
      </c>
      <c r="AQ40" s="39">
        <v>0</v>
      </c>
      <c r="AR40" s="39">
        <v>0</v>
      </c>
      <c r="AS40" s="39">
        <v>0</v>
      </c>
      <c r="AT40" s="39">
        <v>0</v>
      </c>
      <c r="AU40" s="39">
        <v>0</v>
      </c>
      <c r="AV40" s="39">
        <v>0</v>
      </c>
      <c r="AW40" s="39">
        <v>0</v>
      </c>
      <c r="AX40" s="39">
        <v>0</v>
      </c>
      <c r="AY40" s="39">
        <v>0</v>
      </c>
      <c r="AZ40" s="39">
        <v>0</v>
      </c>
      <c r="BA40" s="39">
        <v>0</v>
      </c>
      <c r="BB40" s="39">
        <v>0</v>
      </c>
      <c r="BC40" s="39">
        <v>0</v>
      </c>
      <c r="BD40" s="39">
        <v>0</v>
      </c>
      <c r="BE40" s="39">
        <v>0</v>
      </c>
      <c r="BF40" s="39">
        <v>0</v>
      </c>
      <c r="BG40" s="39">
        <v>0</v>
      </c>
      <c r="BH40" s="39">
        <v>0</v>
      </c>
      <c r="BI40" s="39">
        <v>0</v>
      </c>
      <c r="BJ40" s="39">
        <v>0</v>
      </c>
      <c r="BK40" s="39">
        <v>0</v>
      </c>
      <c r="BL40" s="39">
        <v>0</v>
      </c>
      <c r="BM40" s="39">
        <v>0</v>
      </c>
      <c r="BN40" s="39">
        <v>0</v>
      </c>
      <c r="BO40" s="39">
        <v>0</v>
      </c>
      <c r="BP40" s="39">
        <v>0</v>
      </c>
      <c r="BQ40" s="39">
        <v>0</v>
      </c>
      <c r="BR40" s="39">
        <v>0</v>
      </c>
      <c r="BS40" s="39">
        <v>0</v>
      </c>
      <c r="BT40" s="39">
        <v>0</v>
      </c>
      <c r="BU40" s="39">
        <v>0</v>
      </c>
      <c r="BV40" s="39">
        <v>0</v>
      </c>
      <c r="BW40" s="39">
        <v>0</v>
      </c>
      <c r="BX40" s="39">
        <v>0</v>
      </c>
      <c r="BY40" s="39">
        <v>0</v>
      </c>
      <c r="BZ40" s="39">
        <v>0</v>
      </c>
      <c r="CA40" s="39">
        <v>0</v>
      </c>
      <c r="CB40" s="39">
        <v>0</v>
      </c>
      <c r="CC40" s="39">
        <v>0</v>
      </c>
      <c r="CD40" s="39">
        <v>0</v>
      </c>
      <c r="CE40" s="39">
        <v>0</v>
      </c>
      <c r="CF40" s="39">
        <v>0</v>
      </c>
      <c r="CG40" s="39">
        <v>0</v>
      </c>
      <c r="CH40" s="39">
        <v>0</v>
      </c>
      <c r="CI40" s="39">
        <v>0</v>
      </c>
      <c r="CJ40" s="39">
        <v>0</v>
      </c>
      <c r="CK40" s="39">
        <v>0</v>
      </c>
      <c r="CL40" s="39">
        <v>0</v>
      </c>
      <c r="CM40" s="39">
        <v>0</v>
      </c>
      <c r="CN40" s="39">
        <v>0</v>
      </c>
      <c r="CO40" s="39">
        <v>0</v>
      </c>
      <c r="CP40" s="39">
        <v>0</v>
      </c>
      <c r="CQ40" s="39">
        <v>0</v>
      </c>
      <c r="CR40" s="39">
        <v>0</v>
      </c>
      <c r="CS40" s="39">
        <v>0</v>
      </c>
      <c r="CT40" s="39">
        <v>0</v>
      </c>
      <c r="CU40" s="39">
        <v>0</v>
      </c>
      <c r="CV40" s="39">
        <v>0</v>
      </c>
      <c r="CW40" s="39">
        <v>0</v>
      </c>
      <c r="CX40" s="39">
        <v>0</v>
      </c>
      <c r="CY40" s="39">
        <v>0</v>
      </c>
      <c r="CZ40" s="39">
        <v>0</v>
      </c>
      <c r="DA40" s="39">
        <v>0</v>
      </c>
      <c r="DB40" s="39">
        <v>0</v>
      </c>
    </row>
    <row r="41" ht="18" customHeight="1" spans="1:106" x14ac:dyDescent="0.25">
      <c r="A41" s="20" t="s">
        <v>274</v>
      </c>
      <c r="B41" s="17"/>
      <c r="C41" s="45">
        <v>0.005</v>
      </c>
      <c r="D41" s="45">
        <v>0.005</v>
      </c>
      <c r="E41" s="45">
        <v>0.005</v>
      </c>
      <c r="F41" s="45">
        <v>0.005</v>
      </c>
      <c r="G41" s="45">
        <v>0.005</v>
      </c>
      <c r="H41" s="45">
        <v>0.005</v>
      </c>
      <c r="I41" s="45">
        <v>0.005</v>
      </c>
      <c r="J41" s="45">
        <v>0.005</v>
      </c>
      <c r="K41" s="45">
        <v>0.005</v>
      </c>
      <c r="L41" s="45">
        <v>0.005</v>
      </c>
      <c r="M41" s="45">
        <v>0.005</v>
      </c>
      <c r="N41" s="45">
        <v>0.005</v>
      </c>
      <c r="O41" s="45">
        <v>0.005</v>
      </c>
      <c r="P41" s="45">
        <v>0.005</v>
      </c>
      <c r="Q41" s="45">
        <v>0.005</v>
      </c>
      <c r="R41" s="45">
        <v>0.005</v>
      </c>
      <c r="S41" s="45">
        <v>0.005</v>
      </c>
      <c r="T41" s="45">
        <v>0.005</v>
      </c>
      <c r="U41" s="45">
        <v>0.005</v>
      </c>
      <c r="V41" s="45">
        <v>0.005</v>
      </c>
      <c r="W41" s="45">
        <v>0.005</v>
      </c>
      <c r="X41" s="45">
        <v>0.005</v>
      </c>
      <c r="Y41" s="45">
        <v>0.005</v>
      </c>
      <c r="Z41" s="45">
        <v>0.005</v>
      </c>
      <c r="AA41" s="45">
        <v>0.005</v>
      </c>
      <c r="AB41" s="45">
        <v>0.005</v>
      </c>
      <c r="AC41" s="45">
        <v>0.005</v>
      </c>
      <c r="AD41" s="45">
        <v>0.005</v>
      </c>
      <c r="AE41" s="45">
        <v>0.005</v>
      </c>
      <c r="AF41" s="45">
        <v>0.005</v>
      </c>
      <c r="AG41" s="45">
        <v>0.005</v>
      </c>
      <c r="AH41" s="45">
        <v>0.005</v>
      </c>
      <c r="AI41" s="45">
        <v>0.005</v>
      </c>
      <c r="AJ41" s="45">
        <v>0.005</v>
      </c>
      <c r="AK41" s="45">
        <v>0.005</v>
      </c>
      <c r="AL41" s="45">
        <v>0.005</v>
      </c>
      <c r="AM41" s="45">
        <v>0.005</v>
      </c>
      <c r="AN41" s="45">
        <v>0.005</v>
      </c>
      <c r="AO41" s="45">
        <v>0.005</v>
      </c>
      <c r="AP41" s="45">
        <v>0.005</v>
      </c>
      <c r="AQ41" s="45">
        <v>0.005</v>
      </c>
      <c r="AR41" s="45">
        <v>0.005</v>
      </c>
      <c r="AS41" s="45">
        <v>0.005</v>
      </c>
      <c r="AT41" s="45">
        <v>0.005</v>
      </c>
      <c r="AU41" s="45">
        <v>0.005</v>
      </c>
      <c r="AV41" s="45">
        <v>0.005</v>
      </c>
      <c r="AW41" s="45">
        <v>0.005</v>
      </c>
      <c r="AX41" s="45">
        <v>0.005</v>
      </c>
      <c r="AY41" s="45">
        <v>0.005</v>
      </c>
      <c r="AZ41" s="45">
        <v>0.005</v>
      </c>
      <c r="BA41" s="45">
        <v>0.005</v>
      </c>
      <c r="BB41" s="45">
        <v>0.005</v>
      </c>
      <c r="BC41" s="45">
        <v>0.01</v>
      </c>
      <c r="BD41" s="45">
        <v>0.01</v>
      </c>
      <c r="BE41" s="45">
        <v>0.01</v>
      </c>
      <c r="BF41" s="45">
        <v>0.01</v>
      </c>
      <c r="BG41" s="45">
        <v>0.01</v>
      </c>
      <c r="BH41" s="45">
        <v>0.0125</v>
      </c>
      <c r="BI41" s="45">
        <v>0.0125</v>
      </c>
      <c r="BJ41" s="45">
        <v>0.0125</v>
      </c>
      <c r="BK41" s="45">
        <v>0.0125</v>
      </c>
      <c r="BL41" s="45">
        <v>0.0125</v>
      </c>
      <c r="BM41" s="45">
        <v>0.0125</v>
      </c>
      <c r="BN41" s="45">
        <v>0.0125</v>
      </c>
      <c r="BO41" s="45">
        <v>0.0125</v>
      </c>
      <c r="BP41" s="45">
        <v>0.01</v>
      </c>
      <c r="BQ41" s="45">
        <v>0.01</v>
      </c>
      <c r="BR41" s="45">
        <v>0.01</v>
      </c>
      <c r="BS41" s="45">
        <v>0.01</v>
      </c>
      <c r="BT41" s="45">
        <v>0.01</v>
      </c>
      <c r="BU41" s="45">
        <v>0.0125</v>
      </c>
      <c r="BV41" s="45">
        <v>0.0125</v>
      </c>
      <c r="BW41" s="45">
        <v>0.0125</v>
      </c>
      <c r="BX41" s="42">
        <v>0.0125</v>
      </c>
      <c r="BY41" s="42">
        <v>0.0125</v>
      </c>
      <c r="BZ41" s="42">
        <v>0.0125</v>
      </c>
      <c r="CA41" s="42">
        <v>0.0125</v>
      </c>
      <c r="CB41" s="42">
        <v>0.0125</v>
      </c>
      <c r="CC41" s="45">
        <v>0.01</v>
      </c>
      <c r="CD41" s="45">
        <v>0.01</v>
      </c>
      <c r="CE41" s="45">
        <v>0.01</v>
      </c>
      <c r="CF41" s="45">
        <v>0.01</v>
      </c>
      <c r="CG41" s="45">
        <v>0.01</v>
      </c>
      <c r="CH41" s="45">
        <v>0.0125</v>
      </c>
      <c r="CI41" s="45">
        <v>0.0125</v>
      </c>
      <c r="CJ41" s="45">
        <v>0.0125</v>
      </c>
      <c r="CK41" s="45">
        <v>0.0125</v>
      </c>
      <c r="CL41" s="45">
        <v>0.0125</v>
      </c>
      <c r="CM41" s="45">
        <v>0.0125</v>
      </c>
      <c r="CN41" s="45">
        <v>0.0125</v>
      </c>
      <c r="CO41" s="45">
        <v>0.0125</v>
      </c>
      <c r="CP41" s="45">
        <v>0.01</v>
      </c>
      <c r="CQ41" s="45">
        <v>0.01</v>
      </c>
      <c r="CR41" s="45">
        <v>0.01</v>
      </c>
      <c r="CS41" s="45">
        <v>0.01</v>
      </c>
      <c r="CT41" s="45">
        <v>0.01</v>
      </c>
      <c r="CU41" s="45">
        <v>0.0125</v>
      </c>
      <c r="CV41" s="45">
        <v>0.0125</v>
      </c>
      <c r="CW41" s="45">
        <v>0.0125</v>
      </c>
      <c r="CX41" s="45">
        <v>0.0125</v>
      </c>
      <c r="CY41" s="45">
        <v>0.0125</v>
      </c>
      <c r="CZ41" s="45">
        <v>0.0125</v>
      </c>
      <c r="DA41" s="45">
        <v>0.0125</v>
      </c>
      <c r="DB41" s="45">
        <v>0.0125</v>
      </c>
    </row>
    <row r="42" spans="1:106" x14ac:dyDescent="0.25">
      <c r="A42" s="36" t="s">
        <v>275</v>
      </c>
      <c r="C42" s="41">
        <f>=IFERROR(C19*C41,0)</f>
        <v>0.205</v>
      </c>
      <c r="D42" s="41">
        <f>=IFERROR(C19*C41,0)</f>
        <v>0.205</v>
      </c>
      <c r="E42" s="41">
        <f>=IFERROR(D19*D41,0)</f>
        <v>0.2</v>
      </c>
      <c r="F42" s="41">
        <f>=IFERROR(E19*E41,0)</f>
        <v>0.19</v>
      </c>
      <c r="G42" s="41">
        <f>=IFERROR(F19*F41,0)</f>
        <v>0.19</v>
      </c>
      <c r="H42" s="41">
        <f>=IFERROR(G19*G41,0)</f>
        <v>0.19</v>
      </c>
      <c r="I42" s="41">
        <f>=IFERROR(H19*H41,0)</f>
        <v>0.19</v>
      </c>
      <c r="J42" s="41">
        <f>=IFERROR(I19*I41,0)</f>
        <v>0.195</v>
      </c>
      <c r="K42" s="41">
        <f>=IFERROR(J19*J41,0)</f>
        <v>0.195</v>
      </c>
      <c r="L42" s="41">
        <f>=IFERROR(K19*K41,0)</f>
        <v>0.2</v>
      </c>
      <c r="M42" s="41">
        <f>=IFERROR(L19*L41,0)</f>
        <v>0.2</v>
      </c>
      <c r="N42" s="41">
        <f>=IFERROR(M19*M41,0)</f>
        <v>0.2</v>
      </c>
      <c r="O42" s="41">
        <f>=IFERROR(N19*N41,0)</f>
        <v>0.19</v>
      </c>
      <c r="P42" s="41">
        <f>=IFERROR(O19*O41,0)</f>
        <v>0.19</v>
      </c>
      <c r="Q42" s="41">
        <f>=IFERROR(P19*P41,0)</f>
        <v>0.19</v>
      </c>
      <c r="R42" s="41">
        <f>=IFERROR(Q19*Q41,0)</f>
        <v>0.185</v>
      </c>
      <c r="S42" s="41">
        <f>=IFERROR(R19*R41,0)</f>
        <v>0.18</v>
      </c>
      <c r="T42" s="41">
        <f>=IFERROR(S19*S41,0)</f>
        <v>0.18</v>
      </c>
      <c r="U42" s="41">
        <f>=IFERROR(T19*T41,0)</f>
        <v>0.175</v>
      </c>
      <c r="V42" s="41">
        <f>=IFERROR(U19*U41,0)</f>
        <v>0.175</v>
      </c>
      <c r="W42" s="41">
        <f>=IFERROR(V19*V41,0)</f>
        <v>0.175</v>
      </c>
      <c r="X42" s="41">
        <f>=IFERROR(W19*W41,0)</f>
        <v>0.175</v>
      </c>
      <c r="Y42" s="41">
        <f>=IFERROR(X19*X41,0)</f>
        <v>0.175</v>
      </c>
      <c r="Z42" s="41">
        <f>=IFERROR(Y19*Y41,0)</f>
        <v>0.175</v>
      </c>
      <c r="AA42" s="41">
        <f>=IFERROR(Z19*Z41,0)</f>
        <v>0.17</v>
      </c>
      <c r="AB42" s="41">
        <f>=IFERROR(AA19*AA41,0)</f>
        <v>0.17</v>
      </c>
      <c r="AC42" s="41">
        <f>=IFERROR(AB19*AB41,0)</f>
        <v>0.17</v>
      </c>
      <c r="AD42" s="41">
        <f>=IFERROR(AC19*AC41,0)</f>
        <v>0.17</v>
      </c>
      <c r="AE42" s="41">
        <f>=IFERROR(AD19*AD41,0)</f>
        <v>0.17</v>
      </c>
      <c r="AF42" s="41">
        <f>=IFERROR(AE19*AE41,0)</f>
        <v>0.17</v>
      </c>
      <c r="AG42" s="41">
        <f>=IFERROR(AF19*AF41,0)</f>
        <v>0.17</v>
      </c>
      <c r="AH42" s="41">
        <f>=IFERROR(AG19*AG41,0)</f>
        <v>0.16</v>
      </c>
      <c r="AI42" s="41">
        <f>=IFERROR(AH19*AH41,0)</f>
        <v>0.16</v>
      </c>
      <c r="AJ42" s="41">
        <f>=IFERROR(AI19*AI41,0)</f>
        <v>0.155</v>
      </c>
      <c r="AK42" s="41">
        <f>=IFERROR(AJ19*AJ41,0)</f>
        <v>0.155</v>
      </c>
      <c r="AL42" s="41">
        <f>=IFERROR(AK19*AK41,0)</f>
        <v>0.155</v>
      </c>
      <c r="AM42" s="41">
        <f>=IFERROR(AL19*AL41,0)</f>
        <v>0.155</v>
      </c>
      <c r="AN42" s="41">
        <f>=IFERROR(AM19*AM41,0)</f>
        <v>0.155</v>
      </c>
      <c r="AO42" s="41">
        <f>=IFERROR(AN19*AN41,0)</f>
        <v>0.155</v>
      </c>
      <c r="AP42" s="41">
        <f>=IFERROR(AO19*AO41,0)</f>
        <v>0.155</v>
      </c>
      <c r="AQ42" s="41">
        <f>=IFERROR(AP19*AP41,0)</f>
        <v>0.155</v>
      </c>
      <c r="AR42" s="41">
        <f>=IFERROR(AQ19*AQ41,0)</f>
        <v>0.155</v>
      </c>
      <c r="AS42" s="41">
        <f>=IFERROR(AR19*AR41,0)</f>
        <v>0.155</v>
      </c>
      <c r="AT42" s="41">
        <f>=IFERROR(AS19*AS41,0)</f>
        <v>0.155</v>
      </c>
      <c r="AU42" s="41">
        <f>=IFERROR(AT19*AT41,0)</f>
        <v>0.15</v>
      </c>
      <c r="AV42" s="41">
        <f>=IFERROR(AU19*AU41,0)</f>
        <v>0.17</v>
      </c>
      <c r="AW42" s="41">
        <f>=IFERROR(AV19*AV41,0)</f>
        <v>0.17</v>
      </c>
      <c r="AX42" s="41">
        <f>=IFERROR(AW19*AW41,0)</f>
        <v>0.17</v>
      </c>
      <c r="AY42" s="41">
        <f>=IFERROR(AX19*AX41,0)</f>
        <v>0.18</v>
      </c>
      <c r="AZ42" s="41">
        <f>=IFERROR(AY19*AY41,0)</f>
        <v>0.18</v>
      </c>
      <c r="BA42" s="41">
        <f>=IFERROR(AZ19*AZ41,0)</f>
        <v>0.175</v>
      </c>
      <c r="BB42" s="41">
        <f>=IFERROR(BA19*BA41,0)</f>
        <v>0.175</v>
      </c>
      <c r="BC42" s="41">
        <f>=IFERROR(BB19*BB41,0)</f>
        <v>0.175</v>
      </c>
      <c r="BD42" s="41">
        <f>=IFERROR(BC19*BC41,0)</f>
        <v>0.34</v>
      </c>
      <c r="BE42" s="41">
        <f>=IFERROR(BD19*BD41,0)</f>
        <v>0.34</v>
      </c>
      <c r="BF42" s="41">
        <f>=IFERROR(BE19*BE41,0)</f>
        <v>0.34</v>
      </c>
      <c r="BG42" s="41">
        <f>=IFERROR(BF19*BF41,0)</f>
        <v>0.34</v>
      </c>
      <c r="BH42" s="41">
        <f>=IFERROR(BG19*BG41,0)</f>
        <v>0.33</v>
      </c>
      <c r="BI42" s="41">
        <f>=IFERROR(BH19*BH41,0)</f>
        <v>0.4</v>
      </c>
      <c r="BJ42" s="41">
        <f>=IFERROR(BI19*BI41,0)</f>
        <v>0.4125</v>
      </c>
      <c r="BK42" s="41">
        <f>=IFERROR(BJ19*BJ41,0)</f>
        <v>0.4625</v>
      </c>
      <c r="BL42" s="41">
        <f>=IFERROR(BK19*BK41,0)</f>
        <v>0.4625</v>
      </c>
      <c r="BM42" s="41">
        <f>=IFERROR(BL19*BL41,0)</f>
        <v>0.4625</v>
      </c>
      <c r="BN42" s="41">
        <f>=IFERROR(BM19*BM41,0)</f>
        <v>0.4625</v>
      </c>
      <c r="BO42" s="41">
        <f>=IFERROR(BN19*BN41,0)</f>
        <v>0.4625</v>
      </c>
      <c r="BP42" s="41">
        <f>=IFERROR(BO19*BO41,0)</f>
        <v>0.45</v>
      </c>
      <c r="BQ42" s="41">
        <f>=IFERROR(BP19*BP41,0)</f>
        <v>0.34</v>
      </c>
      <c r="BR42" s="41">
        <f>=IFERROR(BQ19*BQ41,0)</f>
        <v>0.33</v>
      </c>
      <c r="BS42" s="41">
        <f>=IFERROR(BR19*BR41,0)</f>
        <v>0.33</v>
      </c>
      <c r="BT42" s="41">
        <f>=IFERROR(BS19*BS41,0)</f>
        <v>0.33</v>
      </c>
      <c r="BU42" s="41">
        <f>=IFERROR(BT19*BT41,0)</f>
        <v>0.33</v>
      </c>
      <c r="BV42" s="41">
        <f>=IFERROR(BU19*BU41,0)</f>
        <v>0.4125</v>
      </c>
      <c r="BW42" s="41">
        <f>=IFERROR(BV19*BV41,0)</f>
        <v>0.425</v>
      </c>
      <c r="BX42" s="41">
        <f>=IFERROR(BW19*BW41,0)</f>
        <v>0.425</v>
      </c>
      <c r="BY42" s="41">
        <f>=IFERROR(BX19*BX41,0)</f>
        <v>0.4125</v>
      </c>
      <c r="BZ42" s="41">
        <f>=IFERROR(BY19*BY41,0)</f>
        <v>0.4125</v>
      </c>
      <c r="CA42" s="41">
        <f>=IFERROR(BZ19*BZ41,0)</f>
        <v>0.40734375</v>
      </c>
      <c r="CB42" s="41">
        <f>=IFERROR(CA19*CA41,0)</f>
        <v>0.402251953125</v>
      </c>
      <c r="CC42" s="41">
        <f>=IFERROR(CB19*CB41,0)</f>
        <v>0.3972238037109375</v>
      </c>
      <c r="CD42" s="41">
        <f>=IFERROR(CC19*CC41,0)</f>
        <v>0.31380680493164065</v>
      </c>
      <c r="CE42" s="41">
        <f>=IFERROR(CD19*CD41,0)</f>
        <v>0.3106687368823242</v>
      </c>
      <c r="CF42" s="41">
        <f>=IFERROR(CE19*CE41,0)</f>
        <v>0.30756204951350097</v>
      </c>
      <c r="CG42" s="41">
        <f>=IFERROR(CF19*CF41,0)</f>
        <v>0.3044864290183659</v>
      </c>
      <c r="CH42" s="41">
        <f>=IFERROR(CG19*CG41,0)</f>
        <v>0.3014415647281823</v>
      </c>
      <c r="CI42" s="41">
        <f>=IFERROR(CH19*CH41,0)</f>
        <v>0.3730339363511256</v>
      </c>
      <c r="CJ42" s="41">
        <f>=IFERROR(CI19*CI41,0)</f>
        <v>0.3683710121467364</v>
      </c>
      <c r="CK42" s="41">
        <f>=IFERROR(CJ19*CJ41,0)</f>
        <v>0.36376637449490207</v>
      </c>
      <c r="CL42" s="41">
        <f>=IFERROR(CK19*CK41,0)</f>
        <v>0.3592192948137158</v>
      </c>
      <c r="CM42" s="41">
        <f>=IFERROR(CL19*CL41,0)</f>
        <v>0.35472905362854434</v>
      </c>
      <c r="CN42" s="41">
        <f>=IFERROR(CM19*CM41,0)</f>
        <v>0.35029494045818754</v>
      </c>
      <c r="CO42" s="41">
        <f>=IFERROR(CN19*CN41,0)</f>
        <v>0.3459162537024602</v>
      </c>
      <c r="CP42" s="41">
        <f>=IFERROR(CO19*CO41,0)</f>
        <v>0.3415923005311794</v>
      </c>
      <c r="CQ42" s="41">
        <f>=IFERROR(CP19*CP41,0)</f>
        <v>0.2698579174196318</v>
      </c>
      <c r="CR42" s="41">
        <f>=IFERROR(CQ19*CQ41,0)</f>
        <v>0.2671593382454354</v>
      </c>
      <c r="CS42" s="41">
        <f>=IFERROR(CR19*CR41,0)</f>
        <v>0.26448774486298116</v>
      </c>
      <c r="CT42" s="41">
        <f>=IFERROR(CS19*CS41,0)</f>
        <v>0.2618428674143513</v>
      </c>
      <c r="CU42" s="41">
        <f>=IFERROR(CT19*CT41,0)</f>
        <v>0.25922443874020784</v>
      </c>
      <c r="CV42" s="41">
        <f>=IFERROR(CU19*CU41,0)</f>
        <v>0.32079024294100716</v>
      </c>
      <c r="CW42" s="41">
        <f>=IFERROR(CV19*CV41,0)</f>
        <v>0.31678036490424466</v>
      </c>
      <c r="CX42" s="41">
        <f>=IFERROR(CW19*CW41,0)</f>
        <v>0.31282061034294156</v>
      </c>
      <c r="CY42" s="41">
        <f>=IFERROR(CX19*CX41,0)</f>
        <v>0.3089103527136548</v>
      </c>
      <c r="CZ42" s="41">
        <f>=IFERROR(CY19*CY41,0)</f>
        <v>0.30504897330473413</v>
      </c>
      <c r="DA42" s="41">
        <f>=IFERROR(CZ19*CZ41,0)</f>
        <v>0.301235861138425</v>
      </c>
      <c r="DB42" s="41">
        <f>=IFERROR(DA19*DA41,0)</f>
        <v>0.2974704128741947</v>
      </c>
    </row>
    <row r="43" ht="16" customHeight="1" spans="1:106" x14ac:dyDescent="0.25">
      <c r="A43" s="20" t="s">
        <v>276</v>
      </c>
      <c r="B43" s="17"/>
      <c r="C43" s="45">
        <v>0.03</v>
      </c>
      <c r="D43" s="45">
        <v>0.03</v>
      </c>
      <c r="E43" s="45">
        <v>0.03</v>
      </c>
      <c r="F43" s="45">
        <v>0.03</v>
      </c>
      <c r="G43" s="45">
        <v>0.03</v>
      </c>
      <c r="H43" s="45">
        <v>0.03</v>
      </c>
      <c r="I43" s="45">
        <v>0.03</v>
      </c>
      <c r="J43" s="45">
        <v>0.03</v>
      </c>
      <c r="K43" s="45">
        <v>0.03</v>
      </c>
      <c r="L43" s="45">
        <v>0.03</v>
      </c>
      <c r="M43" s="45">
        <v>0.03</v>
      </c>
      <c r="N43" s="45">
        <v>0.03</v>
      </c>
      <c r="O43" s="45">
        <v>0.03</v>
      </c>
      <c r="P43" s="45">
        <v>0.03</v>
      </c>
      <c r="Q43" s="45">
        <v>0.03</v>
      </c>
      <c r="R43" s="45">
        <v>0.03</v>
      </c>
      <c r="S43" s="45">
        <v>0.03</v>
      </c>
      <c r="T43" s="45">
        <v>0.03</v>
      </c>
      <c r="U43" s="45">
        <v>0.03</v>
      </c>
      <c r="V43" s="45">
        <v>0.03</v>
      </c>
      <c r="W43" s="45">
        <v>0.03</v>
      </c>
      <c r="X43" s="45">
        <v>0.03</v>
      </c>
      <c r="Y43" s="45">
        <v>0.03</v>
      </c>
      <c r="Z43" s="45">
        <v>0.03</v>
      </c>
      <c r="AA43" s="45">
        <v>0.03</v>
      </c>
      <c r="AB43" s="45">
        <v>0.03</v>
      </c>
      <c r="AC43" s="45">
        <v>0.03</v>
      </c>
      <c r="AD43" s="45">
        <v>0.03</v>
      </c>
      <c r="AE43" s="45">
        <v>0.03</v>
      </c>
      <c r="AF43" s="45">
        <v>0.03</v>
      </c>
      <c r="AG43" s="45">
        <v>0.03</v>
      </c>
      <c r="AH43" s="45">
        <v>0.03</v>
      </c>
      <c r="AI43" s="45">
        <v>0.03</v>
      </c>
      <c r="AJ43" s="45">
        <v>0.03</v>
      </c>
      <c r="AK43" s="45">
        <v>0.03</v>
      </c>
      <c r="AL43" s="45">
        <v>0.03</v>
      </c>
      <c r="AM43" s="45">
        <v>0.03</v>
      </c>
      <c r="AN43" s="45">
        <v>0.03</v>
      </c>
      <c r="AO43" s="45">
        <v>0.03</v>
      </c>
      <c r="AP43" s="45">
        <v>0.03</v>
      </c>
      <c r="AQ43" s="45">
        <v>0.03</v>
      </c>
      <c r="AR43" s="45">
        <v>0.03</v>
      </c>
      <c r="AS43" s="45">
        <v>0.03</v>
      </c>
      <c r="AT43" s="45">
        <v>0.03</v>
      </c>
      <c r="AU43" s="45">
        <v>0.03</v>
      </c>
      <c r="AV43" s="45">
        <v>0.03</v>
      </c>
      <c r="AW43" s="45">
        <v>0.03</v>
      </c>
      <c r="AX43" s="45">
        <v>0.03</v>
      </c>
      <c r="AY43" s="45">
        <v>0.03</v>
      </c>
      <c r="AZ43" s="45">
        <v>0.03</v>
      </c>
      <c r="BA43" s="45">
        <v>0.03</v>
      </c>
      <c r="BB43" s="45">
        <v>0.03</v>
      </c>
      <c r="BC43" s="45">
        <v>0.03</v>
      </c>
      <c r="BD43" s="45">
        <v>0.03</v>
      </c>
      <c r="BE43" s="45">
        <v>0.03</v>
      </c>
      <c r="BF43" s="45">
        <v>0.03</v>
      </c>
      <c r="BG43" s="45">
        <v>0.03</v>
      </c>
      <c r="BH43" s="45">
        <v>0.03</v>
      </c>
      <c r="BI43" s="45">
        <v>0.03</v>
      </c>
      <c r="BJ43" s="45">
        <v>0.03</v>
      </c>
      <c r="BK43" s="45">
        <v>0.03</v>
      </c>
      <c r="BL43" s="45">
        <v>0.03</v>
      </c>
      <c r="BM43" s="45">
        <v>0.03</v>
      </c>
      <c r="BN43" s="45">
        <v>0.03</v>
      </c>
      <c r="BO43" s="45">
        <v>0.03</v>
      </c>
      <c r="BP43" s="45">
        <v>0.03</v>
      </c>
      <c r="BQ43" s="45">
        <v>0.03</v>
      </c>
      <c r="BR43" s="45">
        <v>0.03</v>
      </c>
      <c r="BS43" s="45">
        <v>0.03</v>
      </c>
      <c r="BT43" s="45">
        <v>0.03</v>
      </c>
      <c r="BU43" s="45">
        <v>0.03</v>
      </c>
      <c r="BV43" s="45">
        <v>0.03</v>
      </c>
      <c r="BW43" s="45">
        <v>0.03</v>
      </c>
      <c r="BX43" s="45">
        <v>0.03</v>
      </c>
      <c r="BY43" s="45">
        <v>0.03</v>
      </c>
      <c r="BZ43" s="45">
        <v>0.03</v>
      </c>
      <c r="CA43" s="45">
        <v>0.03</v>
      </c>
      <c r="CB43" s="45">
        <v>0.03</v>
      </c>
      <c r="CC43" s="45">
        <v>0.03</v>
      </c>
      <c r="CD43" s="45">
        <v>0.03</v>
      </c>
      <c r="CE43" s="45">
        <v>0.03</v>
      </c>
      <c r="CF43" s="45">
        <v>0.03</v>
      </c>
      <c r="CG43" s="45">
        <v>0.03</v>
      </c>
      <c r="CH43" s="45">
        <v>0.03</v>
      </c>
      <c r="CI43" s="45">
        <v>0.03</v>
      </c>
      <c r="CJ43" s="45">
        <v>0.03</v>
      </c>
      <c r="CK43" s="45">
        <v>0.03</v>
      </c>
      <c r="CL43" s="45">
        <v>0.03</v>
      </c>
      <c r="CM43" s="45">
        <v>0.03</v>
      </c>
      <c r="CN43" s="45">
        <v>0.03</v>
      </c>
      <c r="CO43" s="45">
        <v>0.03</v>
      </c>
      <c r="CP43" s="45">
        <v>0.03</v>
      </c>
      <c r="CQ43" s="45">
        <v>0.03</v>
      </c>
      <c r="CR43" s="45">
        <v>0.03</v>
      </c>
      <c r="CS43" s="45">
        <v>0.03</v>
      </c>
      <c r="CT43" s="45">
        <v>0.03</v>
      </c>
      <c r="CU43" s="45">
        <v>0.03</v>
      </c>
      <c r="CV43" s="45">
        <v>0.03</v>
      </c>
      <c r="CW43" s="45">
        <v>0.03</v>
      </c>
      <c r="CX43" s="45">
        <v>0.03</v>
      </c>
      <c r="CY43" s="45">
        <v>0.03</v>
      </c>
      <c r="CZ43" s="45">
        <v>0.03</v>
      </c>
      <c r="DA43" s="45">
        <v>0.03</v>
      </c>
      <c r="DB43" s="45">
        <v>0.03</v>
      </c>
    </row>
    <row r="44" spans="1:106" x14ac:dyDescent="0.25">
      <c r="A44" s="36" t="s">
        <v>277</v>
      </c>
      <c r="C44" s="43">
        <f>=IFERROR(SUM(C117:C128)*C43,0)</f>
        <v>0</v>
      </c>
      <c r="D44" s="43">
        <f>=IFERROR(SUM(C117:C128)*C43,0)</f>
        <v>0</v>
      </c>
      <c r="E44" s="43">
        <f>=IFERROR(SUM(D117:D128)*D43,0)</f>
        <v>0</v>
      </c>
      <c r="F44" s="43">
        <f>=IFERROR(SUM(E117:E128)*E43,0)</f>
        <v>0</v>
      </c>
      <c r="G44" s="43">
        <f>=IFERROR(SUM(F117:F128)*F43,0)</f>
        <v>0</v>
      </c>
      <c r="H44" s="43">
        <f>=IFERROR(SUM(G117:G128)*G43,0)</f>
        <v>0</v>
      </c>
      <c r="I44" s="43">
        <f>=IFERROR(SUM(H117:H128)*H43,0)</f>
        <v>0.06</v>
      </c>
      <c r="J44" s="43">
        <f>=IFERROR(SUM(I117:I128)*I43,0)</f>
        <v>0.06</v>
      </c>
      <c r="K44" s="43">
        <f>=IFERROR(SUM(J117:J128)*J43,0)</f>
        <v>0</v>
      </c>
      <c r="L44" s="43">
        <f>=IFERROR(SUM(K117:K128)*K43,0)</f>
        <v>0</v>
      </c>
      <c r="M44" s="43">
        <f>=IFERROR(SUM(L117:L128)*L43,0)</f>
        <v>0</v>
      </c>
      <c r="N44" s="43">
        <f>=IFERROR(SUM(M117:M128)*M43,0)</f>
        <v>0</v>
      </c>
      <c r="O44" s="43">
        <f>=IFERROR(SUM(N117:N128)*N43,0)</f>
        <v>0</v>
      </c>
      <c r="P44" s="43">
        <f>=IFERROR(SUM(O117:O128)*O43,0)</f>
        <v>0</v>
      </c>
      <c r="Q44" s="43">
        <f>=IFERROR(SUM(P117:P128)*P43,0)</f>
        <v>0</v>
      </c>
      <c r="R44" s="43">
        <f>=IFERROR(SUM(Q117:Q128)*Q43,0)</f>
        <v>0</v>
      </c>
      <c r="S44" s="43">
        <f>=IFERROR(SUM(R117:R128)*R43,0)</f>
        <v>0</v>
      </c>
      <c r="T44" s="43">
        <f>=IFERROR(SUM(S117:S128)*S43,0)</f>
        <v>0</v>
      </c>
      <c r="U44" s="43">
        <f>=IFERROR(SUM(T117:T128)*T43,0)</f>
        <v>0</v>
      </c>
      <c r="V44" s="43">
        <f>=IFERROR(SUM(U117:U128)*U43,0)</f>
        <v>0</v>
      </c>
      <c r="W44" s="43">
        <f>=IFERROR(SUM(V117:V128)*V43,0)</f>
        <v>0</v>
      </c>
      <c r="X44" s="43">
        <f>=IFERROR(SUM(W117:W128)*W43,0)</f>
        <v>0</v>
      </c>
      <c r="Y44" s="43">
        <f>=IFERROR(SUM(X117:X128)*X43,0)</f>
        <v>0</v>
      </c>
      <c r="Z44" s="43">
        <f>=IFERROR(SUM(Y117:Y128)*Y43,0)</f>
        <v>0</v>
      </c>
      <c r="AA44" s="43">
        <f>=IFERROR(SUM(Z117:Z128)*Z43,0)</f>
        <v>0</v>
      </c>
      <c r="AB44" s="43">
        <f>=IFERROR(SUM(AA117:AA128)*AA43,0)</f>
        <v>0</v>
      </c>
      <c r="AC44" s="43">
        <f>=IFERROR(SUM(AB117:AB128)*AB43,0)</f>
        <v>0</v>
      </c>
      <c r="AD44" s="43">
        <f>=IFERROR(SUM(AC117:AC128)*AC43,0)</f>
        <v>0</v>
      </c>
      <c r="AE44" s="43">
        <f>=IFERROR(SUM(AD117:AD128)*AD43,0)</f>
        <v>0</v>
      </c>
      <c r="AF44" s="43">
        <f>=IFERROR(SUM(AE117:AE128)*AE43,0)</f>
        <v>0</v>
      </c>
      <c r="AG44" s="43">
        <f>=IFERROR(SUM(AF117:AF128)*AF43,0)</f>
        <v>0</v>
      </c>
      <c r="AH44" s="43">
        <f>=IFERROR(SUM(AG117:AG128)*AG43,0)</f>
        <v>0</v>
      </c>
      <c r="AI44" s="43">
        <f>=IFERROR(SUM(AH117:AH128)*AH43,0)</f>
        <v>0</v>
      </c>
      <c r="AJ44" s="43">
        <f>=IFERROR(SUM(AI117:AI128)*AI43,0)</f>
        <v>0</v>
      </c>
      <c r="AK44" s="43">
        <f>=IFERROR(SUM(AJ117:AJ128)*AJ43,0)</f>
        <v>0</v>
      </c>
      <c r="AL44" s="43">
        <f>=IFERROR(SUM(AK117:AK128)*AK43,0)</f>
        <v>0</v>
      </c>
      <c r="AM44" s="43">
        <f>=IFERROR(SUM(AL117:AL128)*AL43,0)</f>
        <v>0</v>
      </c>
      <c r="AN44" s="43">
        <f>=IFERROR(SUM(AM117:AM128)*AM43,0)</f>
        <v>0</v>
      </c>
      <c r="AO44" s="43">
        <f>=IFERROR(SUM(AN117:AN128)*AN43,0)</f>
        <v>0</v>
      </c>
      <c r="AP44" s="43">
        <f>=IFERROR(SUM(AO117:AO128)*AO43,0)</f>
        <v>0</v>
      </c>
      <c r="AQ44" s="43">
        <f>=IFERROR(SUM(AP117:AP128)*AP43,0)</f>
        <v>0</v>
      </c>
      <c r="AR44" s="43">
        <f>=IFERROR(SUM(AQ117:AQ128)*AQ43,0)</f>
        <v>0</v>
      </c>
      <c r="AS44" s="43">
        <f>=IFERROR(SUM(AR117:AR128)*AR43,0)</f>
        <v>0</v>
      </c>
      <c r="AT44" s="43">
        <f>=IFERROR(SUM(AS117:AS128)*AS43,0)</f>
        <v>0</v>
      </c>
      <c r="AU44" s="43">
        <f>=IFERROR(SUM(AT117:AT128)*AT43,0)</f>
        <v>0.15</v>
      </c>
      <c r="AV44" s="43">
        <f>=IFERROR(SUM(AU117:AU128)*AU43,0)</f>
        <v>0.15</v>
      </c>
      <c r="AW44" s="43">
        <f>=IFERROR(SUM(AV117:AV128)*AV43,0)</f>
        <v>0</v>
      </c>
      <c r="AX44" s="43">
        <f>=IFERROR(SUM(AW117:AW128)*AW43,0)</f>
        <v>0.06</v>
      </c>
      <c r="AY44" s="43">
        <f>=IFERROR(SUM(AX117:AX128)*AX43,0)</f>
        <v>0.06</v>
      </c>
      <c r="AZ44" s="43">
        <f>=IFERROR(SUM(AY117:AY128)*AY43,0)</f>
        <v>0</v>
      </c>
      <c r="BA44" s="43">
        <f>=IFERROR(SUM(AZ117:AZ128)*AZ43,0)</f>
        <v>0</v>
      </c>
      <c r="BB44" s="43">
        <f>=IFERROR(SUM(BA117:BA128)*BA43,0)</f>
        <v>0</v>
      </c>
      <c r="BC44" s="43">
        <f>=IFERROR(SUM(BB117:BB128)*BB43,0)</f>
        <v>0</v>
      </c>
      <c r="BD44" s="43">
        <f>=IFERROR(SUM(BC117:BC128)*BC43,0)</f>
        <v>0</v>
      </c>
      <c r="BE44" s="43">
        <f>=IFERROR(SUM(BD117:BD128)*BD43,0)</f>
        <v>0</v>
      </c>
      <c r="BF44" s="43">
        <f>=IFERROR(SUM(BE117:BE128)*BE43,0)</f>
        <v>0</v>
      </c>
      <c r="BG44" s="43">
        <f>=IFERROR(SUM(BF117:BF128)*BF43,0)</f>
        <v>0</v>
      </c>
      <c r="BH44" s="43">
        <f>=IFERROR(SUM(BG117:BG128)*BG43,0)</f>
        <v>0</v>
      </c>
      <c r="BI44" s="43">
        <f>=IFERROR(SUM(BH117:BH128)*BH43,0)</f>
        <v>0</v>
      </c>
      <c r="BJ44" s="43">
        <f>=IFERROR(SUM(BI117:BI128)*BI43,0)</f>
        <v>0.12</v>
      </c>
      <c r="BK44" s="43">
        <f>=IFERROR(SUM(BJ117:BJ128)*BJ43,0)</f>
        <v>0.12</v>
      </c>
      <c r="BL44" s="43">
        <f>=IFERROR(SUM(BK117:BK128)*BK43,0)</f>
        <v>0</v>
      </c>
      <c r="BM44" s="43">
        <f>=IFERROR(SUM(BL117:BL128)*BL43,0)</f>
        <v>0</v>
      </c>
      <c r="BN44" s="43">
        <f>=IFERROR(SUM(BM117:BM128)*BM43,0)</f>
        <v>0</v>
      </c>
      <c r="BO44" s="43">
        <f>=IFERROR(SUM(BN117:BN128)*BN43,0)</f>
        <v>0</v>
      </c>
      <c r="BP44" s="43">
        <f>=IFERROR(SUM(BO117:BO128)*BO43,0)</f>
        <v>0</v>
      </c>
      <c r="BQ44" s="43">
        <f>=IFERROR(SUM(BP117:BP128)*BP43,0)</f>
        <v>0</v>
      </c>
      <c r="BR44" s="43">
        <f>=IFERROR(SUM(BQ117:BQ128)*BQ43,0)</f>
        <v>0</v>
      </c>
      <c r="BS44" s="43">
        <f>=IFERROR(SUM(BR117:BR128)*BR43,0)</f>
        <v>0</v>
      </c>
      <c r="BT44" s="43">
        <f>=IFERROR(SUM(BS117:BS128)*BS43,0)</f>
        <v>0</v>
      </c>
      <c r="BU44" s="43">
        <f>=IFERROR(SUM(BT117:BT128)*BT43,0)</f>
        <v>0</v>
      </c>
      <c r="BV44" s="43">
        <f>=IFERROR(SUM(BU117:BU128)*BU43,0)</f>
        <v>0</v>
      </c>
      <c r="BW44" s="43">
        <f>=IFERROR(SUM(BV117:BV128)*BV43,0)</f>
        <v>0</v>
      </c>
      <c r="BX44" s="43">
        <f>=IFERROR(SUM(BW117:BW128)*BW43,0)</f>
        <v>0</v>
      </c>
      <c r="BY44" s="43">
        <f>=IFERROR(SUM(BX117:BX128)*BX43,0)</f>
        <v>0</v>
      </c>
      <c r="BZ44" s="43">
        <f>=IFERROR(SUM(BY117:BY128)*BY43,0)</f>
        <v>0</v>
      </c>
      <c r="CA44" s="43">
        <f>=IFERROR(SUM(BZ117:BZ128)*BZ43,0)</f>
        <v>0</v>
      </c>
      <c r="CB44" s="43">
        <f>=IFERROR(SUM(CA117:CA128)*CA43,0)</f>
        <v>0</v>
      </c>
      <c r="CC44" s="43">
        <f>=IFERROR(SUM(CB117:CB128)*CB43,0)</f>
        <v>0</v>
      </c>
      <c r="CD44" s="43">
        <f>=IFERROR(SUM(CC117:CC128)*CC43,0)</f>
        <v>0</v>
      </c>
      <c r="CE44" s="43">
        <f>=IFERROR(SUM(CD117:CD128)*CD43,0)</f>
        <v>0</v>
      </c>
      <c r="CF44" s="43">
        <f>=IFERROR(SUM(CE117:CE128)*CE43,0)</f>
        <v>0</v>
      </c>
      <c r="CG44" s="43">
        <f>=IFERROR(SUM(CF117:CF128)*CF43,0)</f>
        <v>0</v>
      </c>
      <c r="CH44" s="43">
        <f>=IFERROR(SUM(CG117:CG128)*CG43,0)</f>
        <v>0</v>
      </c>
      <c r="CI44" s="43">
        <f>=IFERROR(SUM(CH117:CH128)*CH43,0)</f>
        <v>0</v>
      </c>
      <c r="CJ44" s="43">
        <f>=IFERROR(SUM(CI117:CI128)*CI43,0)</f>
        <v>0</v>
      </c>
      <c r="CK44" s="43">
        <f>=IFERROR(SUM(CJ117:CJ128)*CJ43,0)</f>
        <v>0</v>
      </c>
      <c r="CL44" s="43">
        <f>=IFERROR(SUM(CK117:CK128)*CK43,0)</f>
        <v>0</v>
      </c>
      <c r="CM44" s="43">
        <f>=IFERROR(SUM(CL117:CL128)*CL43,0)</f>
        <v>0</v>
      </c>
      <c r="CN44" s="43">
        <f>=IFERROR(SUM(CM117:CM128)*CM43,0)</f>
        <v>0</v>
      </c>
      <c r="CO44" s="43">
        <f>=IFERROR(SUM(CN117:CN128)*CN43,0)</f>
        <v>0</v>
      </c>
      <c r="CP44" s="43">
        <f>=IFERROR(SUM(CO117:CO128)*CO43,0)</f>
        <v>0</v>
      </c>
      <c r="CQ44" s="43">
        <f>=IFERROR(SUM(CP117:CP128)*CP43,0)</f>
        <v>0</v>
      </c>
      <c r="CR44" s="43">
        <f>=IFERROR(SUM(CQ117:CQ128)*CQ43,0)</f>
        <v>0</v>
      </c>
      <c r="CS44" s="43">
        <f>=IFERROR(SUM(CR117:CR128)*CR43,0)</f>
        <v>0</v>
      </c>
      <c r="CT44" s="43">
        <f>=IFERROR(SUM(CS117:CS128)*CS43,0)</f>
        <v>0</v>
      </c>
      <c r="CU44" s="43">
        <f>=IFERROR(SUM(CT117:CT128)*CT43,0)</f>
        <v>0</v>
      </c>
      <c r="CV44" s="43">
        <f>=IFERROR(SUM(CU117:CU128)*CU43,0)</f>
        <v>0</v>
      </c>
      <c r="CW44" s="43">
        <f>=IFERROR(SUM(CV117:CV128)*CV43,0)</f>
        <v>0</v>
      </c>
      <c r="CX44" s="43">
        <f>=IFERROR(SUM(CW117:CW128)*CW43,0)</f>
        <v>0</v>
      </c>
      <c r="CY44" s="43">
        <f>=IFERROR(SUM(CX117:CX128)*CX43,0)</f>
        <v>0</v>
      </c>
      <c r="CZ44" s="43">
        <f>=IFERROR(SUM(CY117:CY128)*CY43,0)</f>
        <v>0</v>
      </c>
      <c r="DA44" s="43">
        <f>=IFERROR(SUM(CZ117:CZ128)*CZ43,0)</f>
        <v>0</v>
      </c>
      <c r="DB44" s="43">
        <f>=IFERROR(SUM(DA117:DA128)*DA43,0)</f>
        <v>0</v>
      </c>
    </row>
    <row r="45" spans="1:106" x14ac:dyDescent="0.25">
      <c r="A45" s="16" t="s">
        <v>278</v>
      </c>
      <c r="C45" s="44">
        <v>1</v>
      </c>
      <c r="D45" s="44">
        <v>1</v>
      </c>
      <c r="E45" s="44">
        <v>1</v>
      </c>
      <c r="F45" s="44">
        <v>1</v>
      </c>
      <c r="G45" s="44">
        <v>1</v>
      </c>
      <c r="H45" s="44">
        <v>1</v>
      </c>
      <c r="I45" s="44">
        <v>1</v>
      </c>
      <c r="J45" s="44">
        <v>1</v>
      </c>
      <c r="K45" s="44">
        <v>1</v>
      </c>
      <c r="L45" s="44">
        <v>1</v>
      </c>
      <c r="M45" s="44">
        <v>1</v>
      </c>
      <c r="N45" s="44">
        <v>1</v>
      </c>
      <c r="O45" s="44">
        <v>1</v>
      </c>
      <c r="P45" s="44">
        <v>1</v>
      </c>
      <c r="Q45" s="44">
        <v>1</v>
      </c>
      <c r="R45" s="44">
        <v>1</v>
      </c>
      <c r="S45" s="44">
        <v>1</v>
      </c>
      <c r="T45" s="44">
        <v>1</v>
      </c>
      <c r="U45" s="44">
        <v>1</v>
      </c>
      <c r="V45" s="44">
        <v>1</v>
      </c>
      <c r="W45" s="44">
        <v>1</v>
      </c>
      <c r="X45" s="44">
        <v>1</v>
      </c>
      <c r="Y45" s="44">
        <v>1</v>
      </c>
      <c r="Z45" s="44">
        <v>1</v>
      </c>
      <c r="AA45" s="44">
        <v>1</v>
      </c>
      <c r="AB45" s="44">
        <v>1</v>
      </c>
      <c r="AC45" s="44">
        <v>1</v>
      </c>
      <c r="AD45" s="44">
        <v>1</v>
      </c>
      <c r="AE45" s="44">
        <v>1</v>
      </c>
      <c r="AF45" s="44">
        <v>1</v>
      </c>
      <c r="AG45" s="44">
        <v>1</v>
      </c>
      <c r="AH45" s="44">
        <v>1</v>
      </c>
      <c r="AI45" s="44">
        <v>1</v>
      </c>
      <c r="AJ45" s="44">
        <v>1</v>
      </c>
      <c r="AK45" s="44">
        <v>1</v>
      </c>
      <c r="AL45" s="44">
        <v>1</v>
      </c>
      <c r="AM45" s="44">
        <v>1</v>
      </c>
      <c r="AN45" s="44">
        <v>1</v>
      </c>
      <c r="AO45" s="44">
        <v>1</v>
      </c>
      <c r="AP45" s="44">
        <v>1</v>
      </c>
      <c r="AQ45" s="44">
        <v>1</v>
      </c>
      <c r="AR45" s="44">
        <v>1</v>
      </c>
      <c r="AS45" s="44">
        <v>1</v>
      </c>
      <c r="AT45" s="44">
        <v>1</v>
      </c>
      <c r="AU45" s="44">
        <v>1</v>
      </c>
      <c r="AV45" s="44">
        <v>1</v>
      </c>
      <c r="AW45" s="44">
        <v>1</v>
      </c>
      <c r="AX45" s="44">
        <v>1</v>
      </c>
      <c r="AY45" s="44">
        <v>1</v>
      </c>
      <c r="AZ45" s="44">
        <v>1</v>
      </c>
      <c r="BA45" s="44">
        <v>1</v>
      </c>
      <c r="BB45" s="44">
        <v>1</v>
      </c>
      <c r="BC45" s="44">
        <v>1</v>
      </c>
      <c r="BD45" s="44">
        <v>1</v>
      </c>
      <c r="BE45" s="44">
        <v>1</v>
      </c>
      <c r="BF45" s="44">
        <v>1</v>
      </c>
      <c r="BG45" s="44">
        <v>1</v>
      </c>
      <c r="BH45" s="44">
        <v>1</v>
      </c>
      <c r="BI45" s="44">
        <v>1</v>
      </c>
      <c r="BJ45" s="44">
        <v>1</v>
      </c>
      <c r="BK45" s="44">
        <v>1</v>
      </c>
      <c r="BL45" s="44">
        <v>1</v>
      </c>
      <c r="BM45" s="44">
        <v>1</v>
      </c>
      <c r="BN45" s="44">
        <v>1</v>
      </c>
      <c r="BO45" s="44">
        <v>1</v>
      </c>
      <c r="BP45" s="44">
        <v>1</v>
      </c>
      <c r="BQ45" s="44">
        <v>1</v>
      </c>
      <c r="BR45" s="44">
        <v>1</v>
      </c>
      <c r="BS45" s="44">
        <v>1</v>
      </c>
      <c r="BT45" s="44">
        <v>1</v>
      </c>
      <c r="BU45" s="44">
        <v>1</v>
      </c>
      <c r="BV45" s="44">
        <v>1</v>
      </c>
      <c r="BW45" s="44">
        <v>1</v>
      </c>
      <c r="BX45" s="44">
        <v>1</v>
      </c>
      <c r="BY45" s="44">
        <v>1</v>
      </c>
      <c r="BZ45" s="44">
        <v>1</v>
      </c>
      <c r="CA45" s="44">
        <v>1</v>
      </c>
      <c r="CB45" s="44">
        <v>1</v>
      </c>
      <c r="CC45" s="44">
        <v>1</v>
      </c>
      <c r="CD45" s="44">
        <v>1</v>
      </c>
      <c r="CE45" s="44">
        <v>1</v>
      </c>
      <c r="CF45" s="44">
        <v>1</v>
      </c>
      <c r="CG45" s="44">
        <v>1</v>
      </c>
      <c r="CH45" s="44">
        <v>1</v>
      </c>
      <c r="CI45" s="44">
        <v>1</v>
      </c>
      <c r="CJ45" s="44">
        <v>1</v>
      </c>
      <c r="CK45" s="44">
        <v>1</v>
      </c>
      <c r="CL45" s="44">
        <v>1</v>
      </c>
      <c r="CM45" s="44">
        <v>1</v>
      </c>
      <c r="CN45" s="44">
        <v>1</v>
      </c>
      <c r="CO45" s="44">
        <v>1</v>
      </c>
      <c r="CP45" s="44">
        <v>1</v>
      </c>
      <c r="CQ45" s="44">
        <v>1</v>
      </c>
      <c r="CR45" s="44">
        <v>1</v>
      </c>
      <c r="CS45" s="44">
        <v>1</v>
      </c>
      <c r="CT45" s="44">
        <v>1</v>
      </c>
      <c r="CU45" s="44">
        <v>1</v>
      </c>
      <c r="CV45" s="44">
        <v>1</v>
      </c>
      <c r="CW45" s="44">
        <v>1</v>
      </c>
      <c r="CX45" s="44">
        <v>1</v>
      </c>
      <c r="CY45" s="44">
        <v>1</v>
      </c>
      <c r="CZ45" s="44">
        <v>1</v>
      </c>
      <c r="DA45" s="44">
        <v>1</v>
      </c>
      <c r="DB45" s="44">
        <v>1</v>
      </c>
    </row>
    <row r="46" ht="15" customHeight="1" spans="1:106" x14ac:dyDescent="0.25">
      <c r="A46" s="16" t="s">
        <v>279</v>
      </c>
      <c r="B46" s="17"/>
      <c r="C46" s="45">
        <v>0</v>
      </c>
      <c r="D46" s="45">
        <v>0</v>
      </c>
      <c r="E46" s="45">
        <v>0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v>0</v>
      </c>
      <c r="O46" s="45">
        <v>0</v>
      </c>
      <c r="P46" s="45">
        <v>0</v>
      </c>
      <c r="Q46" s="45">
        <v>0</v>
      </c>
      <c r="R46" s="45">
        <v>0</v>
      </c>
      <c r="S46" s="45">
        <v>0</v>
      </c>
      <c r="T46" s="45">
        <v>0</v>
      </c>
      <c r="U46" s="45">
        <v>0</v>
      </c>
      <c r="V46" s="45">
        <v>0</v>
      </c>
      <c r="W46" s="45">
        <v>0</v>
      </c>
      <c r="X46" s="45">
        <v>0</v>
      </c>
      <c r="Y46" s="45">
        <v>0</v>
      </c>
      <c r="Z46" s="45">
        <v>0</v>
      </c>
      <c r="AA46" s="45">
        <v>0</v>
      </c>
      <c r="AB46" s="45">
        <v>0</v>
      </c>
      <c r="AC46" s="45">
        <v>0</v>
      </c>
      <c r="AD46" s="45">
        <v>0</v>
      </c>
      <c r="AE46" s="45">
        <v>0</v>
      </c>
      <c r="AF46" s="45">
        <v>0</v>
      </c>
      <c r="AG46" s="45">
        <v>0</v>
      </c>
      <c r="AH46" s="45">
        <v>0</v>
      </c>
      <c r="AI46" s="45">
        <v>0</v>
      </c>
      <c r="AJ46" s="45">
        <v>0</v>
      </c>
      <c r="AK46" s="45">
        <v>0</v>
      </c>
      <c r="AL46" s="45">
        <v>0</v>
      </c>
      <c r="AM46" s="45">
        <v>0</v>
      </c>
      <c r="AN46" s="45">
        <v>0</v>
      </c>
      <c r="AO46" s="45">
        <v>0</v>
      </c>
      <c r="AP46" s="45">
        <v>0</v>
      </c>
      <c r="AQ46" s="45">
        <v>0</v>
      </c>
      <c r="AR46" s="45">
        <v>0</v>
      </c>
      <c r="AS46" s="45">
        <v>0</v>
      </c>
      <c r="AT46" s="45">
        <v>0</v>
      </c>
      <c r="AU46" s="45">
        <v>0</v>
      </c>
      <c r="AV46" s="45">
        <v>0</v>
      </c>
      <c r="AW46" s="45">
        <v>0</v>
      </c>
      <c r="AX46" s="45">
        <v>0</v>
      </c>
      <c r="AY46" s="45">
        <v>0</v>
      </c>
      <c r="AZ46" s="45">
        <v>0</v>
      </c>
      <c r="BA46" s="45">
        <v>0</v>
      </c>
      <c r="BB46" s="45">
        <v>0</v>
      </c>
      <c r="BC46" s="45">
        <v>0</v>
      </c>
      <c r="BD46" s="45">
        <v>0</v>
      </c>
      <c r="BE46" s="45">
        <v>0</v>
      </c>
      <c r="BF46" s="45">
        <v>0</v>
      </c>
      <c r="BG46" s="45">
        <v>0</v>
      </c>
      <c r="BH46" s="45">
        <v>0</v>
      </c>
      <c r="BI46" s="45">
        <v>0</v>
      </c>
      <c r="BJ46" s="45">
        <v>0</v>
      </c>
      <c r="BK46" s="45">
        <v>0</v>
      </c>
      <c r="BL46" s="45">
        <v>0</v>
      </c>
      <c r="BM46" s="45">
        <v>0</v>
      </c>
      <c r="BN46" s="45">
        <v>0</v>
      </c>
      <c r="BO46" s="45">
        <v>0</v>
      </c>
      <c r="BP46" s="45">
        <v>0</v>
      </c>
      <c r="BQ46" s="45">
        <v>0</v>
      </c>
      <c r="BR46" s="45">
        <v>0</v>
      </c>
      <c r="BS46" s="45">
        <v>0</v>
      </c>
      <c r="BT46" s="45">
        <v>0</v>
      </c>
      <c r="BU46" s="45">
        <v>0</v>
      </c>
      <c r="BV46" s="45">
        <v>0</v>
      </c>
      <c r="BW46" s="45">
        <v>0</v>
      </c>
      <c r="BX46" s="45">
        <v>0</v>
      </c>
      <c r="BY46" s="45">
        <v>0</v>
      </c>
      <c r="BZ46" s="45">
        <v>0</v>
      </c>
      <c r="CA46" s="45">
        <v>0</v>
      </c>
      <c r="CB46" s="45">
        <v>0</v>
      </c>
      <c r="CC46" s="45">
        <v>0</v>
      </c>
      <c r="CD46" s="45">
        <v>0</v>
      </c>
      <c r="CE46" s="45">
        <v>0</v>
      </c>
      <c r="CF46" s="45">
        <v>0</v>
      </c>
      <c r="CG46" s="45">
        <v>0</v>
      </c>
      <c r="CH46" s="45">
        <v>0</v>
      </c>
      <c r="CI46" s="45">
        <v>0</v>
      </c>
      <c r="CJ46" s="45">
        <v>0</v>
      </c>
      <c r="CK46" s="45">
        <v>0</v>
      </c>
      <c r="CL46" s="45">
        <v>0</v>
      </c>
      <c r="CM46" s="45">
        <v>0</v>
      </c>
      <c r="CN46" s="45">
        <v>0</v>
      </c>
      <c r="CO46" s="45">
        <v>0</v>
      </c>
      <c r="CP46" s="45">
        <v>0</v>
      </c>
      <c r="CQ46" s="45">
        <v>0</v>
      </c>
      <c r="CR46" s="45">
        <v>0</v>
      </c>
      <c r="CS46" s="45">
        <v>0</v>
      </c>
      <c r="CT46" s="45">
        <v>0</v>
      </c>
      <c r="CU46" s="45">
        <v>0</v>
      </c>
      <c r="CV46" s="45">
        <v>0</v>
      </c>
      <c r="CW46" s="45">
        <v>0</v>
      </c>
      <c r="CX46" s="45">
        <v>0</v>
      </c>
      <c r="CY46" s="45">
        <v>0</v>
      </c>
      <c r="CZ46" s="45">
        <v>0</v>
      </c>
      <c r="DA46" s="45">
        <v>0</v>
      </c>
      <c r="DB46" s="45">
        <v>0</v>
      </c>
    </row>
    <row r="47" ht="15" customHeight="1" spans="1:106" x14ac:dyDescent="0.25">
      <c r="A47" s="16" t="s">
        <v>280</v>
      </c>
      <c r="B47" s="17"/>
      <c r="C47" s="46">
        <v>5</v>
      </c>
      <c r="D47" s="46">
        <v>5</v>
      </c>
      <c r="E47" s="46">
        <v>5</v>
      </c>
      <c r="F47" s="46">
        <v>5</v>
      </c>
      <c r="G47" s="46">
        <v>5</v>
      </c>
      <c r="H47" s="46">
        <v>5</v>
      </c>
      <c r="I47" s="46">
        <v>5</v>
      </c>
      <c r="J47" s="46">
        <v>5</v>
      </c>
      <c r="K47" s="46">
        <v>5</v>
      </c>
      <c r="L47" s="46">
        <v>5</v>
      </c>
      <c r="M47" s="46">
        <v>5</v>
      </c>
      <c r="N47" s="46">
        <v>5</v>
      </c>
      <c r="O47" s="46">
        <v>5</v>
      </c>
      <c r="P47" s="46">
        <v>5</v>
      </c>
      <c r="Q47" s="46">
        <v>5</v>
      </c>
      <c r="R47" s="46">
        <v>5</v>
      </c>
      <c r="S47" s="46">
        <v>5</v>
      </c>
      <c r="T47" s="46">
        <v>5</v>
      </c>
      <c r="U47" s="46">
        <v>5</v>
      </c>
      <c r="V47" s="46">
        <v>5</v>
      </c>
      <c r="W47" s="46">
        <v>5</v>
      </c>
      <c r="X47" s="46">
        <v>5</v>
      </c>
      <c r="Y47" s="46">
        <v>5</v>
      </c>
      <c r="Z47" s="46">
        <v>5</v>
      </c>
      <c r="AA47" s="46">
        <v>5</v>
      </c>
      <c r="AB47" s="46">
        <v>5</v>
      </c>
      <c r="AC47" s="46">
        <v>5</v>
      </c>
      <c r="AD47" s="46">
        <v>5</v>
      </c>
      <c r="AE47" s="46">
        <v>5</v>
      </c>
      <c r="AF47" s="46">
        <v>5</v>
      </c>
      <c r="AG47" s="46">
        <v>5</v>
      </c>
      <c r="AH47" s="46">
        <v>5</v>
      </c>
      <c r="AI47" s="46">
        <v>5</v>
      </c>
      <c r="AJ47" s="46">
        <v>5</v>
      </c>
      <c r="AK47" s="46">
        <v>5</v>
      </c>
      <c r="AL47" s="46">
        <v>5</v>
      </c>
      <c r="AM47" s="46">
        <v>5</v>
      </c>
      <c r="AN47" s="46">
        <v>5</v>
      </c>
      <c r="AO47" s="46">
        <v>5</v>
      </c>
      <c r="AP47" s="46">
        <v>5</v>
      </c>
      <c r="AQ47" s="46">
        <v>5</v>
      </c>
      <c r="AR47" s="46">
        <v>5</v>
      </c>
      <c r="AS47" s="46">
        <v>5</v>
      </c>
      <c r="AT47" s="46">
        <v>5</v>
      </c>
      <c r="AU47" s="46">
        <v>5</v>
      </c>
      <c r="AV47" s="46">
        <v>5</v>
      </c>
      <c r="AW47" s="46">
        <v>5</v>
      </c>
      <c r="AX47" s="46">
        <v>5</v>
      </c>
      <c r="AY47" s="46">
        <v>5</v>
      </c>
      <c r="AZ47" s="46">
        <v>5</v>
      </c>
      <c r="BA47" s="46">
        <v>5</v>
      </c>
      <c r="BB47" s="46">
        <v>5</v>
      </c>
      <c r="BC47" s="46">
        <v>5</v>
      </c>
      <c r="BD47" s="46">
        <v>5</v>
      </c>
      <c r="BE47" s="46">
        <v>5</v>
      </c>
      <c r="BF47" s="46">
        <v>5</v>
      </c>
      <c r="BG47" s="46">
        <v>5</v>
      </c>
      <c r="BH47" s="46">
        <v>5</v>
      </c>
      <c r="BI47" s="46">
        <v>5</v>
      </c>
      <c r="BJ47" s="46">
        <v>5</v>
      </c>
      <c r="BK47" s="46">
        <v>5</v>
      </c>
      <c r="BL47" s="46">
        <v>5</v>
      </c>
      <c r="BM47" s="46">
        <v>5</v>
      </c>
      <c r="BN47" s="46">
        <v>5</v>
      </c>
      <c r="BO47" s="46">
        <v>5</v>
      </c>
      <c r="BP47" s="46">
        <v>5</v>
      </c>
      <c r="BQ47" s="46">
        <v>5</v>
      </c>
      <c r="BR47" s="46">
        <v>5</v>
      </c>
      <c r="BS47" s="46">
        <v>5</v>
      </c>
      <c r="BT47" s="46">
        <v>5</v>
      </c>
      <c r="BU47" s="46">
        <v>5</v>
      </c>
      <c r="BV47" s="46">
        <v>5</v>
      </c>
      <c r="BW47" s="46">
        <v>5</v>
      </c>
      <c r="BX47" s="46">
        <v>5</v>
      </c>
      <c r="BY47" s="46">
        <v>5</v>
      </c>
      <c r="BZ47" s="46">
        <v>5</v>
      </c>
      <c r="CA47" s="46">
        <v>5</v>
      </c>
      <c r="CB47" s="46">
        <v>5</v>
      </c>
      <c r="CC47" s="46">
        <v>5</v>
      </c>
      <c r="CD47" s="46">
        <v>5</v>
      </c>
      <c r="CE47" s="46">
        <v>5</v>
      </c>
      <c r="CF47" s="46">
        <v>5</v>
      </c>
      <c r="CG47" s="46">
        <v>5</v>
      </c>
      <c r="CH47" s="46">
        <v>5</v>
      </c>
      <c r="CI47" s="46">
        <v>5</v>
      </c>
      <c r="CJ47" s="46">
        <v>5</v>
      </c>
      <c r="CK47" s="46">
        <v>5</v>
      </c>
      <c r="CL47" s="46">
        <v>5</v>
      </c>
      <c r="CM47" s="46">
        <v>5</v>
      </c>
      <c r="CN47" s="46">
        <v>5</v>
      </c>
      <c r="CO47" s="46">
        <v>5</v>
      </c>
      <c r="CP47" s="46">
        <v>5</v>
      </c>
      <c r="CQ47" s="46">
        <v>5</v>
      </c>
      <c r="CR47" s="46">
        <v>5</v>
      </c>
      <c r="CS47" s="46">
        <v>5</v>
      </c>
      <c r="CT47" s="46">
        <v>5</v>
      </c>
      <c r="CU47" s="46">
        <v>5</v>
      </c>
      <c r="CV47" s="46">
        <v>5</v>
      </c>
      <c r="CW47" s="46">
        <v>5</v>
      </c>
      <c r="CX47" s="46">
        <v>5</v>
      </c>
      <c r="CY47" s="46">
        <v>5</v>
      </c>
      <c r="CZ47" s="46">
        <v>5</v>
      </c>
      <c r="DA47" s="46">
        <v>5</v>
      </c>
      <c r="DB47" s="46">
        <v>5</v>
      </c>
    </row>
    <row r="48" ht="16" customHeight="1" spans="1:106" x14ac:dyDescent="0.25">
      <c r="A48" s="16" t="s">
        <v>281</v>
      </c>
      <c r="B48" s="17"/>
      <c r="C48" s="46">
        <v>8</v>
      </c>
      <c r="D48" s="46">
        <v>8</v>
      </c>
      <c r="E48" s="46">
        <v>8</v>
      </c>
      <c r="F48" s="46">
        <v>8</v>
      </c>
      <c r="G48" s="46">
        <v>8</v>
      </c>
      <c r="H48" s="46">
        <v>8</v>
      </c>
      <c r="I48" s="46">
        <v>8</v>
      </c>
      <c r="J48" s="46">
        <v>8</v>
      </c>
      <c r="K48" s="46">
        <v>8</v>
      </c>
      <c r="L48" s="46">
        <v>8</v>
      </c>
      <c r="M48" s="46">
        <v>8</v>
      </c>
      <c r="N48" s="46">
        <v>8</v>
      </c>
      <c r="O48" s="46">
        <v>8</v>
      </c>
      <c r="P48" s="46">
        <v>8</v>
      </c>
      <c r="Q48" s="46">
        <v>8</v>
      </c>
      <c r="R48" s="46">
        <v>8</v>
      </c>
      <c r="S48" s="46">
        <v>8</v>
      </c>
      <c r="T48" s="46">
        <v>8</v>
      </c>
      <c r="U48" s="46">
        <v>8</v>
      </c>
      <c r="V48" s="46">
        <v>8</v>
      </c>
      <c r="W48" s="46">
        <v>8</v>
      </c>
      <c r="X48" s="46">
        <v>8</v>
      </c>
      <c r="Y48" s="46">
        <v>8</v>
      </c>
      <c r="Z48" s="46">
        <v>8</v>
      </c>
      <c r="AA48" s="46">
        <v>8</v>
      </c>
      <c r="AB48" s="46">
        <v>8</v>
      </c>
      <c r="AC48" s="46">
        <v>8</v>
      </c>
      <c r="AD48" s="46">
        <v>8</v>
      </c>
      <c r="AE48" s="46">
        <v>8</v>
      </c>
      <c r="AF48" s="46">
        <v>8</v>
      </c>
      <c r="AG48" s="46">
        <v>8</v>
      </c>
      <c r="AH48" s="46">
        <v>8</v>
      </c>
      <c r="AI48" s="46">
        <v>8</v>
      </c>
      <c r="AJ48" s="46">
        <v>8</v>
      </c>
      <c r="AK48" s="46">
        <v>8</v>
      </c>
      <c r="AL48" s="46">
        <v>8</v>
      </c>
      <c r="AM48" s="46">
        <v>8</v>
      </c>
      <c r="AN48" s="46">
        <v>8</v>
      </c>
      <c r="AO48" s="46">
        <v>8</v>
      </c>
      <c r="AP48" s="46">
        <v>8</v>
      </c>
      <c r="AQ48" s="46">
        <v>8</v>
      </c>
      <c r="AR48" s="46">
        <v>8</v>
      </c>
      <c r="AS48" s="46">
        <v>8</v>
      </c>
      <c r="AT48" s="46">
        <v>8</v>
      </c>
      <c r="AU48" s="46">
        <v>8</v>
      </c>
      <c r="AV48" s="46">
        <v>8</v>
      </c>
      <c r="AW48" s="46">
        <v>8</v>
      </c>
      <c r="AX48" s="46">
        <v>8</v>
      </c>
      <c r="AY48" s="46">
        <v>8</v>
      </c>
      <c r="AZ48" s="46">
        <v>8</v>
      </c>
      <c r="BA48" s="46">
        <v>8</v>
      </c>
      <c r="BB48" s="46">
        <v>8</v>
      </c>
      <c r="BC48" s="46">
        <v>8</v>
      </c>
      <c r="BD48" s="46">
        <v>8</v>
      </c>
      <c r="BE48" s="46">
        <v>8</v>
      </c>
      <c r="BF48" s="46">
        <v>8</v>
      </c>
      <c r="BG48" s="46">
        <v>8</v>
      </c>
      <c r="BH48" s="46">
        <v>8</v>
      </c>
      <c r="BI48" s="46">
        <v>8</v>
      </c>
      <c r="BJ48" s="46">
        <v>8</v>
      </c>
      <c r="BK48" s="46">
        <v>8</v>
      </c>
      <c r="BL48" s="46">
        <v>8</v>
      </c>
      <c r="BM48" s="46">
        <v>8</v>
      </c>
      <c r="BN48" s="46">
        <v>8</v>
      </c>
      <c r="BO48" s="46">
        <v>8</v>
      </c>
      <c r="BP48" s="46">
        <v>8</v>
      </c>
      <c r="BQ48" s="46">
        <v>8</v>
      </c>
      <c r="BR48" s="46">
        <v>8</v>
      </c>
      <c r="BS48" s="46">
        <v>8</v>
      </c>
      <c r="BT48" s="46">
        <v>8</v>
      </c>
      <c r="BU48" s="46">
        <v>8</v>
      </c>
      <c r="BV48" s="46">
        <v>8</v>
      </c>
      <c r="BW48" s="46">
        <v>8</v>
      </c>
      <c r="BX48" s="46">
        <v>8</v>
      </c>
      <c r="BY48" s="46">
        <v>8</v>
      </c>
      <c r="BZ48" s="46">
        <v>8</v>
      </c>
      <c r="CA48" s="46">
        <v>8</v>
      </c>
      <c r="CB48" s="46">
        <v>8</v>
      </c>
      <c r="CC48" s="46">
        <v>8</v>
      </c>
      <c r="CD48" s="46">
        <v>8</v>
      </c>
      <c r="CE48" s="46">
        <v>8</v>
      </c>
      <c r="CF48" s="46">
        <v>8</v>
      </c>
      <c r="CG48" s="46">
        <v>8</v>
      </c>
      <c r="CH48" s="46">
        <v>8</v>
      </c>
      <c r="CI48" s="46">
        <v>8</v>
      </c>
      <c r="CJ48" s="46">
        <v>8</v>
      </c>
      <c r="CK48" s="46">
        <v>8</v>
      </c>
      <c r="CL48" s="46">
        <v>8</v>
      </c>
      <c r="CM48" s="46">
        <v>8</v>
      </c>
      <c r="CN48" s="46">
        <v>8</v>
      </c>
      <c r="CO48" s="46">
        <v>8</v>
      </c>
      <c r="CP48" s="46">
        <v>8</v>
      </c>
      <c r="CQ48" s="46">
        <v>8</v>
      </c>
      <c r="CR48" s="46">
        <v>8</v>
      </c>
      <c r="CS48" s="46">
        <v>8</v>
      </c>
      <c r="CT48" s="46">
        <v>8</v>
      </c>
      <c r="CU48" s="46">
        <v>8</v>
      </c>
      <c r="CV48" s="46">
        <v>8</v>
      </c>
      <c r="CW48" s="46">
        <v>8</v>
      </c>
      <c r="CX48" s="46">
        <v>8</v>
      </c>
      <c r="CY48" s="46">
        <v>8</v>
      </c>
      <c r="CZ48" s="46">
        <v>8</v>
      </c>
      <c r="DA48" s="46">
        <v>8</v>
      </c>
      <c r="DB48" s="46">
        <v>8</v>
      </c>
    </row>
    <row r="49" ht="15" customHeight="1" spans="1:106" x14ac:dyDescent="0.25">
      <c r="A49" s="16" t="s">
        <v>282</v>
      </c>
      <c r="B49" s="17"/>
      <c r="C49" s="46">
        <v>0</v>
      </c>
      <c r="D49" s="46">
        <v>0</v>
      </c>
      <c r="E49" s="46">
        <v>0</v>
      </c>
      <c r="F49" s="46">
        <v>0</v>
      </c>
      <c r="G49" s="46">
        <v>0</v>
      </c>
      <c r="H49" s="46">
        <v>0</v>
      </c>
      <c r="I49" s="46">
        <v>0</v>
      </c>
      <c r="J49" s="46">
        <v>0</v>
      </c>
      <c r="K49" s="46">
        <v>0</v>
      </c>
      <c r="L49" s="46">
        <v>0</v>
      </c>
      <c r="M49" s="46">
        <v>0</v>
      </c>
      <c r="N49" s="46">
        <v>0</v>
      </c>
      <c r="O49" s="46">
        <v>0</v>
      </c>
      <c r="P49" s="46">
        <v>0</v>
      </c>
      <c r="Q49" s="46">
        <v>0</v>
      </c>
      <c r="R49" s="46">
        <v>0</v>
      </c>
      <c r="S49" s="46">
        <v>0</v>
      </c>
      <c r="T49" s="46">
        <v>0</v>
      </c>
      <c r="U49" s="46">
        <v>0</v>
      </c>
      <c r="V49" s="46">
        <v>0</v>
      </c>
      <c r="W49" s="46">
        <v>0</v>
      </c>
      <c r="X49" s="46">
        <v>0</v>
      </c>
      <c r="Y49" s="46">
        <v>0</v>
      </c>
      <c r="Z49" s="46">
        <v>0</v>
      </c>
      <c r="AA49" s="46">
        <v>0</v>
      </c>
      <c r="AB49" s="46">
        <v>0</v>
      </c>
      <c r="AC49" s="46">
        <v>0</v>
      </c>
      <c r="AD49" s="46">
        <v>0</v>
      </c>
      <c r="AE49" s="46">
        <v>0</v>
      </c>
      <c r="AF49" s="46">
        <v>0</v>
      </c>
      <c r="AG49" s="46">
        <v>0</v>
      </c>
      <c r="AH49" s="46">
        <v>0</v>
      </c>
      <c r="AI49" s="46">
        <v>0</v>
      </c>
      <c r="AJ49" s="46">
        <v>0</v>
      </c>
      <c r="AK49" s="46">
        <v>0</v>
      </c>
      <c r="AL49" s="46">
        <v>0</v>
      </c>
      <c r="AM49" s="46">
        <v>0</v>
      </c>
      <c r="AN49" s="46">
        <v>0</v>
      </c>
      <c r="AO49" s="46">
        <v>0</v>
      </c>
      <c r="AP49" s="46">
        <v>0</v>
      </c>
      <c r="AQ49" s="46">
        <v>0</v>
      </c>
      <c r="AR49" s="46">
        <v>0</v>
      </c>
      <c r="AS49" s="46">
        <v>0</v>
      </c>
      <c r="AT49" s="46">
        <v>0</v>
      </c>
      <c r="AU49" s="46">
        <v>0</v>
      </c>
      <c r="AV49" s="46">
        <v>0</v>
      </c>
      <c r="AW49" s="46">
        <v>0</v>
      </c>
      <c r="AX49" s="46">
        <v>0</v>
      </c>
      <c r="AY49" s="46">
        <v>0</v>
      </c>
      <c r="AZ49" s="46">
        <v>0</v>
      </c>
      <c r="BA49" s="46">
        <v>0</v>
      </c>
      <c r="BB49" s="46">
        <v>0</v>
      </c>
      <c r="BC49" s="46">
        <v>0</v>
      </c>
      <c r="BD49" s="46">
        <v>0</v>
      </c>
      <c r="BE49" s="46">
        <v>0</v>
      </c>
      <c r="BF49" s="46">
        <v>0</v>
      </c>
      <c r="BG49" s="46">
        <v>0</v>
      </c>
      <c r="BH49" s="46">
        <v>0</v>
      </c>
      <c r="BI49" s="46">
        <v>0</v>
      </c>
      <c r="BJ49" s="46">
        <v>0</v>
      </c>
      <c r="BK49" s="46">
        <v>0</v>
      </c>
      <c r="BL49" s="46">
        <v>0</v>
      </c>
      <c r="BM49" s="46">
        <v>0</v>
      </c>
      <c r="BN49" s="46">
        <v>0</v>
      </c>
      <c r="BO49" s="46">
        <v>0</v>
      </c>
      <c r="BP49" s="46">
        <v>0</v>
      </c>
      <c r="BQ49" s="46">
        <v>0</v>
      </c>
      <c r="BR49" s="46">
        <v>0</v>
      </c>
      <c r="BS49" s="46">
        <v>0</v>
      </c>
      <c r="BT49" s="46">
        <v>0</v>
      </c>
      <c r="BU49" s="46">
        <v>0</v>
      </c>
      <c r="BV49" s="46">
        <v>0</v>
      </c>
      <c r="BW49" s="46">
        <v>0</v>
      </c>
      <c r="BX49" s="46">
        <v>0</v>
      </c>
      <c r="BY49" s="46">
        <v>0</v>
      </c>
      <c r="BZ49" s="46">
        <v>0</v>
      </c>
      <c r="CA49" s="46">
        <v>0</v>
      </c>
      <c r="CB49" s="46">
        <v>0</v>
      </c>
      <c r="CC49" s="46">
        <v>0</v>
      </c>
      <c r="CD49" s="46">
        <v>0</v>
      </c>
      <c r="CE49" s="46">
        <v>0</v>
      </c>
      <c r="CF49" s="46">
        <v>0</v>
      </c>
      <c r="CG49" s="46">
        <v>0</v>
      </c>
      <c r="CH49" s="46">
        <v>0</v>
      </c>
      <c r="CI49" s="46">
        <v>0</v>
      </c>
      <c r="CJ49" s="46">
        <v>0</v>
      </c>
      <c r="CK49" s="46">
        <v>0</v>
      </c>
      <c r="CL49" s="46">
        <v>0</v>
      </c>
      <c r="CM49" s="46">
        <v>0</v>
      </c>
      <c r="CN49" s="46">
        <v>0</v>
      </c>
      <c r="CO49" s="46">
        <v>0</v>
      </c>
      <c r="CP49" s="46">
        <v>0</v>
      </c>
      <c r="CQ49" s="46">
        <v>0</v>
      </c>
      <c r="CR49" s="46">
        <v>0</v>
      </c>
      <c r="CS49" s="46">
        <v>0</v>
      </c>
      <c r="CT49" s="46">
        <v>0</v>
      </c>
      <c r="CU49" s="46">
        <v>0</v>
      </c>
      <c r="CV49" s="46">
        <v>0</v>
      </c>
      <c r="CW49" s="46">
        <v>0</v>
      </c>
      <c r="CX49" s="46">
        <v>0</v>
      </c>
      <c r="CY49" s="46">
        <v>0</v>
      </c>
      <c r="CZ49" s="46">
        <v>0</v>
      </c>
      <c r="DA49" s="46">
        <v>0</v>
      </c>
      <c r="DB49" s="46">
        <v>0</v>
      </c>
    </row>
    <row r="50" spans="3:106" x14ac:dyDescent="0.25"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0"/>
      <c r="CI50" s="30"/>
      <c r="CJ50" s="30"/>
      <c r="CK50" s="30"/>
      <c r="CL50" s="30"/>
      <c r="CM50" s="30"/>
      <c r="CN50" s="30"/>
      <c r="CO50" s="30"/>
      <c r="CP50" s="30"/>
      <c r="CQ50" s="30"/>
      <c r="CR50" s="30"/>
      <c r="CS50" s="30"/>
      <c r="CT50" s="30"/>
      <c r="CU50" s="30"/>
      <c r="CV50" s="30"/>
      <c r="CW50" s="30"/>
      <c r="CX50" s="30"/>
      <c r="CY50" s="30"/>
      <c r="CZ50" s="30"/>
      <c r="DA50" s="30"/>
      <c r="DB50" s="30"/>
    </row>
    <row r="51" spans="1:106" x14ac:dyDescent="0.25">
      <c r="A51" s="9" t="s">
        <v>283</v>
      </c>
      <c r="B51" s="17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  <c r="CQ51" s="32"/>
      <c r="CR51" s="32"/>
      <c r="CS51" s="32"/>
      <c r="CT51" s="32"/>
      <c r="CU51" s="32"/>
      <c r="CV51" s="32"/>
      <c r="CW51" s="32"/>
      <c r="CX51" s="32"/>
      <c r="CY51" s="32"/>
      <c r="CZ51" s="32"/>
      <c r="DA51" s="32"/>
      <c r="DB51" s="32"/>
    </row>
    <row r="52" ht="15" customHeight="1" spans="1:106" x14ac:dyDescent="0.25">
      <c r="A52" s="33" t="s">
        <v>284</v>
      </c>
      <c r="B52" s="17"/>
      <c r="C52" s="34">
        <f>=IFERROR(1-((1-C53)*(1-C58)),0)</f>
        <v>0</v>
      </c>
      <c r="D52" s="34">
        <f>=IFERROR(1-((1-D53)*(1-D58)),0)</f>
        <v>0</v>
      </c>
      <c r="E52" s="34">
        <f>=IFERROR(1-((1-E53)*(1-E58)),0)</f>
        <v>0</v>
      </c>
      <c r="F52" s="34">
        <f>=IFERROR(1-((1-F53)*(1-F58)),0)</f>
        <v>0</v>
      </c>
      <c r="G52" s="34">
        <f>=IFERROR(1-((1-G53)*(1-G58)),0)</f>
        <v>0</v>
      </c>
      <c r="H52" s="34">
        <f>=IFERROR(1-((1-H53)*(1-H58)),0)</f>
        <v>0</v>
      </c>
      <c r="I52" s="34">
        <f>=IFERROR(1-((1-I53)*(1-I58)),0)</f>
        <v>0</v>
      </c>
      <c r="J52" s="34">
        <f>=IFERROR(1-((1-J53)*(1-J58)),0)</f>
        <v>0</v>
      </c>
      <c r="K52" s="34">
        <f>=IFERROR(1-((1-K53)*(1-K58)),0)</f>
        <v>0</v>
      </c>
      <c r="L52" s="34">
        <f>=IFERROR(1-((1-L53)*(1-L58)),0)</f>
        <v>0</v>
      </c>
      <c r="M52" s="34">
        <f>=IFERROR(1-((1-M53)*(1-M58)),0)</f>
        <v>0</v>
      </c>
      <c r="N52" s="34">
        <f>=IFERROR(1-((1-N53)*(1-N58)),0)</f>
        <v>0</v>
      </c>
      <c r="O52" s="34">
        <f>=IFERROR(1-((1-O53)*(1-O58)),0)</f>
        <v>0</v>
      </c>
      <c r="P52" s="34">
        <f>=IFERROR(1-((1-P53)*(1-P58)),0)</f>
        <v>0</v>
      </c>
      <c r="Q52" s="34">
        <f>=IFERROR(1-((1-Q53)*(1-Q58)),0)</f>
        <v>0</v>
      </c>
      <c r="R52" s="34">
        <f>=IFERROR(1-((1-R53)*(1-R58)),0)</f>
        <v>0</v>
      </c>
      <c r="S52" s="34">
        <f>=IFERROR(1-((1-S53)*(1-S58)),0)</f>
        <v>0</v>
      </c>
      <c r="T52" s="34">
        <f>=IFERROR(1-((1-T53)*(1-T58)),0)</f>
        <v>0</v>
      </c>
      <c r="U52" s="34">
        <f>=IFERROR(1-((1-U53)*(1-U58)),0)</f>
        <v>0</v>
      </c>
      <c r="V52" s="34">
        <f>=IFERROR(1-((1-V53)*(1-V58)),0)</f>
        <v>0</v>
      </c>
      <c r="W52" s="34">
        <f>=IFERROR(1-((1-W53)*(1-W58)),0)</f>
        <v>0</v>
      </c>
      <c r="X52" s="34">
        <f>=IFERROR(1-((1-X53)*(1-X58)),0)</f>
        <v>0</v>
      </c>
      <c r="Y52" s="34">
        <f>=IFERROR(1-((1-Y53)*(1-Y58)),0)</f>
        <v>0</v>
      </c>
      <c r="Z52" s="34">
        <f>=IFERROR(1-((1-Z53)*(1-Z58)),0)</f>
        <v>0</v>
      </c>
      <c r="AA52" s="34">
        <f>=IFERROR(1-((1-AA53)*(1-AA58)),0)</f>
        <v>0</v>
      </c>
      <c r="AB52" s="34">
        <f>=IFERROR(1-((1-AB53)*(1-AB58)),0)</f>
        <v>0</v>
      </c>
      <c r="AC52" s="34">
        <f>=IFERROR(1-((1-AC53)*(1-AC58)),0)</f>
        <v>0.1422319474835888</v>
      </c>
      <c r="AD52" s="34">
        <f>=IFERROR(1-((1-AD53)*(1-AD58)),0)</f>
        <v>0.0858150470219438</v>
      </c>
      <c r="AE52" s="34">
        <f>=IFERROR(1-((1-AE53)*(1-AE58)),0)</f>
        <v>0.0962995987516718</v>
      </c>
      <c r="AF52" s="34">
        <f>=IFERROR(1-((1-AF53)*(1-AF58)),0)</f>
        <v>0.0502723083368248</v>
      </c>
      <c r="AG52" s="34">
        <f>=IFERROR(1-((1-AG53)*(1-AG58)),0)</f>
        <v>0.0268907563025214</v>
      </c>
      <c r="AH52" s="34">
        <f>=IFERROR(1-((1-AH53)*(1-AH58)),0)</f>
        <v>0.020291693088142</v>
      </c>
      <c r="AI52" s="34">
        <f>=IFERROR(1-((1-AI53)*(1-AI58)),0)</f>
        <v>0.0175879396984924</v>
      </c>
      <c r="AJ52" s="34">
        <f>=IFERROR(1-((1-AJ53)*(1-AJ58)),0)</f>
        <v>0.0475896168108776</v>
      </c>
      <c r="AK52" s="34">
        <f>=IFERROR(1-((1-AK53)*(1-AK58)),0)</f>
        <v>0.096816114359974</v>
      </c>
      <c r="AL52" s="34">
        <f>=IFERROR(1-((1-AL53)*(1-AL58)),0)</f>
        <v>0.0652962515114876</v>
      </c>
      <c r="AM52" s="34">
        <f>=IFERROR(1-((1-AM53)*(1-AM58)),0)</f>
        <v>0.0872600349040142</v>
      </c>
      <c r="AN52" s="34">
        <f>=IFERROR(1-((1-AN53)*(1-AN58)),0)</f>
        <v>0.0773574251835122</v>
      </c>
      <c r="AO52" s="34">
        <f>=IFERROR(1-((1-AO53)*(1-AO58)),0)</f>
        <v>0.1082445316881663</v>
      </c>
      <c r="AP52" s="34">
        <f>=IFERROR(1-((1-AP53)*(1-AP58)),0)</f>
        <v>0.0723725613593456</v>
      </c>
      <c r="AQ52" s="34">
        <f>=IFERROR(1-((1-AQ53)*(1-AQ58)),0)</f>
        <v>0.095719381688466</v>
      </c>
      <c r="AR52" s="34">
        <f>=IFERROR(1-((1-AR53)*(1-AR58)),0)</f>
        <v>0.0901162790697674</v>
      </c>
      <c r="AS52" s="34">
        <f>=IFERROR(1-((1-AS53)*(1-AS58)),0)</f>
        <v>0.0934809348093482</v>
      </c>
      <c r="AT52" s="34">
        <f>=IFERROR(1-((1-AT53)*(1-AT58)),0)</f>
        <v>0.090497737556561</v>
      </c>
      <c r="AU52" s="34">
        <f>=IFERROR(1-((1-AU53)*(1-AU58)),0)</f>
        <v>0.0742605412208936</v>
      </c>
      <c r="AV52" s="34">
        <f>=IFERROR(1-((1-AV53)*(1-AV58)),0)</f>
        <v>0.0840764331210192</v>
      </c>
      <c r="AW52" s="34">
        <f>=IFERROR(1-((1-AW53)*(1-AW58)),0)</f>
        <v>0.0346926354230072</v>
      </c>
      <c r="AX52" s="34">
        <f>=IFERROR(1-((1-AX53)*(1-AX58)),0)</f>
        <v>0.060884549109707</v>
      </c>
      <c r="AY52" s="34">
        <f>=IFERROR(1-((1-AY53)*(1-AY58)),0)</f>
        <v>0.076923076923077</v>
      </c>
      <c r="AZ52" s="34">
        <f>=IFERROR(1-((1-AZ53)*(1-AZ58)),0)</f>
        <v>0.1049968374446554</v>
      </c>
      <c r="BA52" s="34">
        <f>=IFERROR(1-((1-BA53)*(1-BA58)),0)</f>
        <v>0.057704502219404</v>
      </c>
      <c r="BB52" s="34">
        <f>=IFERROR(1-((1-BB53)*(1-BB58)),0)</f>
        <v>0.08</v>
      </c>
      <c r="BC52" s="34">
        <f>=IFERROR(1-((1-BC53)*(1-BC58)),0)</f>
        <v>0.1136363636363636</v>
      </c>
      <c r="BD52" s="34">
        <f>=IFERROR(1-((1-BD53)*(1-BD58)),0)</f>
        <v>0.0480519480519482</v>
      </c>
      <c r="BE52" s="34">
        <f>=IFERROR(1-((1-BE53)*(1-BE58)),0)</f>
        <v>0.1164606376057254</v>
      </c>
      <c r="BF52" s="34">
        <f>=IFERROR(1-((1-BF53)*(1-BF58)),0)</f>
        <v>0.0688102893890676</v>
      </c>
      <c r="BG52" s="34">
        <f>=IFERROR(1-((1-BG53)*(1-BG58)),0)</f>
        <v>0.1320025756600129</v>
      </c>
      <c r="BH52" s="34">
        <f>=IFERROR(1-((1-BH53)*(1-BH58)),0)</f>
        <v>0.115358361774744</v>
      </c>
      <c r="BI52" s="34">
        <f>=IFERROR(1-((1-BI53)*(1-BI58)),0)</f>
        <v>0.0832841110454814</v>
      </c>
      <c r="BJ52" s="34">
        <f>=IFERROR(1-((1-BJ53)*(1-BJ58)),0)</f>
        <v>0.15673420738975</v>
      </c>
      <c r="BK52" s="34">
        <f>=IFERROR(1-((1-BK53)*(1-BK58)),0)</f>
        <v>0.0638805970149254</v>
      </c>
      <c r="BL52" s="34">
        <f>=IFERROR(1-((1-BL53)*(1-BL58)),0)</f>
        <v>0.1025794841031794</v>
      </c>
      <c r="BM52" s="34">
        <f>=IFERROR(1-((1-BM53)*(1-BM58)),0)</f>
        <v>0.0781818181818184</v>
      </c>
      <c r="BN52" s="34">
        <f>=IFERROR(1-((1-BN53)*(1-BN58)),0)</f>
        <v>0.0994930291508239</v>
      </c>
      <c r="BO52" s="34">
        <f>=IFERROR(1-((1-BO53)*(1-BO58)),0)</f>
        <v>0.1180555555555555</v>
      </c>
      <c r="BP52" s="34">
        <f>=IFERROR(1-((1-BP53)*(1-BP58)),0)</f>
        <v>0.1266318537859008</v>
      </c>
      <c r="BQ52" s="34">
        <f>=IFERROR(1-((1-BQ53)*(1-BQ58)),0)</f>
        <v>0.1207471647765178</v>
      </c>
      <c r="BR52" s="34">
        <f>=IFERROR(1-((1-BR53)*(1-BR58)),0)</f>
        <v>0.0773405698778832</v>
      </c>
      <c r="BS52" s="34">
        <f>=IFERROR(1-((1-BS53)*(1-BS58)),0)</f>
        <v>0.0754588715159756</v>
      </c>
      <c r="BT52" s="34">
        <f>=IFERROR(1-((1-BT53)*(1-BT58)),0)</f>
        <v>0.1547779273216692</v>
      </c>
      <c r="BU52" s="34">
        <f>=IFERROR(1-((1-BU53)*(1-BU58)),0)</f>
        <v>0.1067708333333333</v>
      </c>
      <c r="BV52" s="34">
        <f>=IFERROR(1-((1-BV53)*(1-BV58)),0)</f>
        <v>0.1258148631029987</v>
      </c>
      <c r="BW52" s="34">
        <f>=IFERROR(1-((1-BW53)*(1-BW58)),0)</f>
        <v>0.1592398427260813</v>
      </c>
      <c r="BX52" s="34">
        <f>=IFERROR(1-((1-BX53)*(1-BX58)),0)</f>
        <v>0</v>
      </c>
      <c r="BY52" s="34">
        <f>=IFERROR(1-((1-BY53)*(1-BY58)),0)</f>
        <v>0</v>
      </c>
      <c r="BZ52" s="34">
        <f>=IFERROR(1-((1-BZ53)*(1-BZ58)),0)</f>
        <v>0</v>
      </c>
      <c r="CA52" s="34">
        <f>=IFERROR(1-((1-CA53)*(1-CA58)),0)</f>
        <v>0</v>
      </c>
      <c r="CB52" s="34">
        <f>=IFERROR(1-((1-CB53)*(1-CB58)),0)</f>
        <v>0</v>
      </c>
      <c r="CC52" s="34">
        <f>=IFERROR(1-((1-CC53)*(1-CC58)),0)</f>
        <v>0</v>
      </c>
      <c r="CD52" s="34">
        <f>=IFERROR(1-((1-CD53)*(1-CD58)),0)</f>
        <v>0</v>
      </c>
      <c r="CE52" s="34">
        <f>=IFERROR(1-((1-CE53)*(1-CE58)),0)</f>
        <v>0</v>
      </c>
      <c r="CF52" s="34">
        <f>=IFERROR(1-((1-CF53)*(1-CF58)),0)</f>
        <v>0</v>
      </c>
      <c r="CG52" s="34">
        <f>=IFERROR(1-((1-CG53)*(1-CG58)),0)</f>
        <v>0</v>
      </c>
      <c r="CH52" s="34">
        <f>=IFERROR(1-((1-CH53)*(1-CH58)),0)</f>
        <v>0</v>
      </c>
      <c r="CI52" s="34">
        <f>=IFERROR(1-((1-CI53)*(1-CI58)),0)</f>
        <v>0</v>
      </c>
      <c r="CJ52" s="34">
        <f>=IFERROR(1-((1-CJ53)*(1-CJ58)),0)</f>
        <v>0</v>
      </c>
      <c r="CK52" s="34">
        <f>=IFERROR(1-((1-CK53)*(1-CK58)),0)</f>
        <v>0</v>
      </c>
      <c r="CL52" s="34">
        <f>=IFERROR(1-((1-CL53)*(1-CL58)),0)</f>
        <v>0</v>
      </c>
      <c r="CM52" s="34">
        <f>=IFERROR(1-((1-CM53)*(1-CM58)),0)</f>
        <v>0</v>
      </c>
      <c r="CN52" s="34">
        <f>=IFERROR(1-((1-CN53)*(1-CN58)),0)</f>
        <v>0</v>
      </c>
      <c r="CO52" s="34">
        <f>=IFERROR(1-((1-CO53)*(1-CO58)),0)</f>
        <v>0</v>
      </c>
      <c r="CP52" s="34">
        <f>=IFERROR(1-((1-CP53)*(1-CP58)),0)</f>
        <v>0</v>
      </c>
      <c r="CQ52" s="34">
        <f>=IFERROR(1-((1-CQ53)*(1-CQ58)),0)</f>
        <v>0</v>
      </c>
      <c r="CR52" s="34">
        <f>=IFERROR(1-((1-CR53)*(1-CR58)),0)</f>
        <v>0</v>
      </c>
      <c r="CS52" s="34">
        <f>=IFERROR(1-((1-CS53)*(1-CS58)),0)</f>
        <v>0</v>
      </c>
      <c r="CT52" s="34">
        <f>=IFERROR(1-((1-CT53)*(1-CT58)),0)</f>
        <v>0</v>
      </c>
      <c r="CU52" s="34">
        <f>=IFERROR(1-((1-CU53)*(1-CU58)),0)</f>
        <v>0</v>
      </c>
      <c r="CV52" s="34">
        <f>=IFERROR(1-((1-CV53)*(1-CV58)),0)</f>
        <v>0</v>
      </c>
      <c r="CW52" s="34">
        <f>=IFERROR(1-((1-CW53)*(1-CW58)),0)</f>
        <v>0</v>
      </c>
      <c r="CX52" s="34">
        <f>=IFERROR(1-((1-CX53)*(1-CX58)),0)</f>
        <v>0</v>
      </c>
      <c r="CY52" s="34">
        <f>=IFERROR(1-((1-CY53)*(1-CY58)),0)</f>
        <v>0</v>
      </c>
      <c r="CZ52" s="34">
        <f>=IFERROR(1-((1-CZ53)*(1-CZ58)),0)</f>
        <v>0</v>
      </c>
      <c r="DA52" s="34">
        <f>=IFERROR(1-((1-DA53)*(1-DA58)),0)</f>
        <v>0</v>
      </c>
      <c r="DB52" s="34">
        <f>=IFERROR(1-((1-DB53)*(1-DB58)),0)</f>
        <v>0</v>
      </c>
    </row>
    <row r="53" ht="15" customHeight="1" spans="1:106" x14ac:dyDescent="0.25">
      <c r="A53" s="16" t="s">
        <v>285</v>
      </c>
      <c r="B53" s="17"/>
      <c r="C53" s="35">
        <f>=SUM(C54:C57)</f>
        <v>0</v>
      </c>
      <c r="D53" s="35">
        <f>=SUM(D54:D57)</f>
        <v>0</v>
      </c>
      <c r="E53" s="35">
        <f>=SUM(E54:E57)</f>
        <v>0</v>
      </c>
      <c r="F53" s="35">
        <f>=SUM(F54:F57)</f>
        <v>0</v>
      </c>
      <c r="G53" s="35">
        <f>=SUM(G54:G57)</f>
        <v>0</v>
      </c>
      <c r="H53" s="35">
        <f>=SUM(H54:H57)</f>
        <v>0</v>
      </c>
      <c r="I53" s="35">
        <f>=SUM(I54:I57)</f>
        <v>0</v>
      </c>
      <c r="J53" s="35">
        <f>=SUM(J54:J57)</f>
        <v>0</v>
      </c>
      <c r="K53" s="35">
        <f>=SUM(K54:K57)</f>
        <v>0</v>
      </c>
      <c r="L53" s="35">
        <f>=SUM(L54:L57)</f>
        <v>0</v>
      </c>
      <c r="M53" s="35">
        <f>=SUM(M54:M57)</f>
        <v>0</v>
      </c>
      <c r="N53" s="35">
        <f>=SUM(N54:N57)</f>
        <v>0</v>
      </c>
      <c r="O53" s="35">
        <f>=SUM(O54:O57)</f>
        <v>0</v>
      </c>
      <c r="P53" s="35">
        <f>=SUM(P54:P57)</f>
        <v>0</v>
      </c>
      <c r="Q53" s="35">
        <f>=SUM(Q54:Q57)</f>
        <v>0</v>
      </c>
      <c r="R53" s="35">
        <f>=SUM(R54:R57)</f>
        <v>0</v>
      </c>
      <c r="S53" s="35">
        <f>=SUM(S54:S57)</f>
        <v>0</v>
      </c>
      <c r="T53" s="35">
        <f>=SUM(T54:T57)</f>
        <v>0</v>
      </c>
      <c r="U53" s="35">
        <f>=SUM(U54:U57)</f>
        <v>0</v>
      </c>
      <c r="V53" s="35">
        <f>=SUM(V54:V57)</f>
        <v>0</v>
      </c>
      <c r="W53" s="35">
        <f>=SUM(W54:W57)</f>
        <v>0</v>
      </c>
      <c r="X53" s="35">
        <f>=SUM(X54:X57)</f>
        <v>0</v>
      </c>
      <c r="Y53" s="35">
        <f>=SUM(Y54:Y57)</f>
        <v>0</v>
      </c>
      <c r="Z53" s="35">
        <f>=SUM(Z54:Z57)</f>
        <v>0</v>
      </c>
      <c r="AA53" s="35">
        <f>=SUM(AA54:AA57)</f>
        <v>0</v>
      </c>
      <c r="AB53" s="35">
        <f>=SUM(AB54:AB57)</f>
        <v>0</v>
      </c>
      <c r="AC53" s="35">
        <f>=SUM(AC54:AC57)</f>
        <v>0.14223194748358864</v>
      </c>
      <c r="AD53" s="35">
        <f>=SUM(AD54:AD57)</f>
        <v>0.08581504702194356</v>
      </c>
      <c r="AE53" s="35">
        <f>=SUM(AE54:AE57)</f>
        <v>0.09629959875167185</v>
      </c>
      <c r="AF53" s="35">
        <f>=SUM(AF54:AF57)</f>
        <v>0.050272308336824466</v>
      </c>
      <c r="AG53" s="35">
        <f>=SUM(AG54:AG57)</f>
        <v>0.026890756302521007</v>
      </c>
      <c r="AH53" s="35">
        <f>=SUM(AH54:AH57)</f>
        <v>0.02029169308814204</v>
      </c>
      <c r="AI53" s="35">
        <f>=SUM(AI54:AI57)</f>
        <v>0.017587939698492462</v>
      </c>
      <c r="AJ53" s="35">
        <f>=SUM(AJ54:AJ57)</f>
        <v>0.04758961681087762</v>
      </c>
      <c r="AK53" s="35">
        <f>=SUM(AK54:AK57)</f>
        <v>0.09681611435997402</v>
      </c>
      <c r="AL53" s="35">
        <f>=SUM(AL54:AL57)</f>
        <v>0.06529625151148731</v>
      </c>
      <c r="AM53" s="35">
        <f>=SUM(AM54:AM57)</f>
        <v>0.08726003490401396</v>
      </c>
      <c r="AN53" s="35">
        <f>=SUM(AN54:AN57)</f>
        <v>0.07735742518351213</v>
      </c>
      <c r="AO53" s="35">
        <f>=SUM(AO54:AO57)</f>
        <v>0.10824453168816602</v>
      </c>
      <c r="AP53" s="35">
        <f>=SUM(AP54:AP57)</f>
        <v>0.0723725613593455</v>
      </c>
      <c r="AQ53" s="35">
        <f>=SUM(AQ54:AQ57)</f>
        <v>0.09571938168846612</v>
      </c>
      <c r="AR53" s="35">
        <f>=SUM(AR54:AR57)</f>
        <v>0.09011627906976744</v>
      </c>
      <c r="AS53" s="35">
        <f>=SUM(AS54:AS57)</f>
        <v>0.09348093480934809</v>
      </c>
      <c r="AT53" s="35">
        <f>=SUM(AT54:AT57)</f>
        <v>0.09049773755656108</v>
      </c>
      <c r="AU53" s="35">
        <f>=SUM(AU54:AU57)</f>
        <v>0.07426054122089365</v>
      </c>
      <c r="AV53" s="35">
        <f>=SUM(AV54:AV57)</f>
        <v>0.0840764331210191</v>
      </c>
      <c r="AW53" s="35">
        <f>=SUM(AW54:AW57)</f>
        <v>0.0346926354230067</v>
      </c>
      <c r="AX53" s="35">
        <f>=SUM(AX54:AX57)</f>
        <v>0.060884549109707066</v>
      </c>
      <c r="AY53" s="35">
        <f>=SUM(AY54:AY57)</f>
        <v>0.07692307692307691</v>
      </c>
      <c r="AZ53" s="35">
        <f>=SUM(AZ54:AZ57)</f>
        <v>0.10499683744465528</v>
      </c>
      <c r="BA53" s="35">
        <f>=SUM(BA54:BA57)</f>
        <v>0.05770450221940394</v>
      </c>
      <c r="BB53" s="35">
        <f>=SUM(BB54:BB57)</f>
        <v>0.08</v>
      </c>
      <c r="BC53" s="35">
        <f>=SUM(BC54:BC57)</f>
        <v>0.11363636363636365</v>
      </c>
      <c r="BD53" s="35">
        <f>=SUM(BD54:BD57)</f>
        <v>0.04805194805194805</v>
      </c>
      <c r="BE53" s="35">
        <f>=SUM(BE54:BE57)</f>
        <v>0.11646063760572543</v>
      </c>
      <c r="BF53" s="35">
        <f>=SUM(BF54:BF57)</f>
        <v>0.06881028938906752</v>
      </c>
      <c r="BG53" s="35">
        <f>=SUM(BG54:BG57)</f>
        <v>0.1320025756600129</v>
      </c>
      <c r="BH53" s="35">
        <f>=SUM(BH54:BH57)</f>
        <v>0.11535836177474404</v>
      </c>
      <c r="BI53" s="35">
        <f>=SUM(BI54:BI57)</f>
        <v>0.08328411104548139</v>
      </c>
      <c r="BJ53" s="35">
        <f>=SUM(BJ54:BJ57)</f>
        <v>0.15673420738974972</v>
      </c>
      <c r="BK53" s="35">
        <f>=SUM(BK54:BK57)</f>
        <v>0.06388059701492536</v>
      </c>
      <c r="BL53" s="35">
        <f>=SUM(BL54:BL57)</f>
        <v>0.10257948410317937</v>
      </c>
      <c r="BM53" s="35">
        <f>=SUM(BM54:BM57)</f>
        <v>0.07818181818181819</v>
      </c>
      <c r="BN53" s="35">
        <f>=SUM(BN54:BN57)</f>
        <v>0.09949302915082382</v>
      </c>
      <c r="BO53" s="35">
        <f>=SUM(BO54:BO57)</f>
        <v>0.11805555555555555</v>
      </c>
      <c r="BP53" s="35">
        <f>=SUM(BP54:BP57)</f>
        <v>0.1266318537859008</v>
      </c>
      <c r="BQ53" s="35">
        <f>=SUM(BQ54:BQ57)</f>
        <v>0.12074716477651767</v>
      </c>
      <c r="BR53" s="35">
        <f>=SUM(BR54:BR57)</f>
        <v>0.0773405698778833</v>
      </c>
      <c r="BS53" s="35">
        <f>=SUM(BS54:BS57)</f>
        <v>0.07545887151597552</v>
      </c>
      <c r="BT53" s="35">
        <f>=SUM(BT54:BT57)</f>
        <v>0.15477792732166892</v>
      </c>
      <c r="BU53" s="35">
        <f>=SUM(BU54:BU57)</f>
        <v>0.10677083333333334</v>
      </c>
      <c r="BV53" s="35">
        <f>=SUM(BV54:BV57)</f>
        <v>0.12581486310299872</v>
      </c>
      <c r="BW53" s="35">
        <f>=SUM(BW54:BW57)</f>
        <v>0.15923984272608124</v>
      </c>
      <c r="BX53" s="35">
        <f>=SUM(BX54:BX57)</f>
        <v>0</v>
      </c>
      <c r="BY53" s="35">
        <f>=SUM(BY54:BY57)</f>
        <v>0</v>
      </c>
      <c r="BZ53" s="35">
        <f>=SUM(BZ54:BZ57)</f>
        <v>0</v>
      </c>
      <c r="CA53" s="35">
        <f>=SUM(CA54:CA57)</f>
        <v>0</v>
      </c>
      <c r="CB53" s="35">
        <f>=SUM(CB54:CB57)</f>
        <v>0</v>
      </c>
      <c r="CC53" s="35">
        <f>=SUM(CC54:CC57)</f>
        <v>0</v>
      </c>
      <c r="CD53" s="35">
        <f>=SUM(CD54:CD57)</f>
        <v>0</v>
      </c>
      <c r="CE53" s="35">
        <f>=SUM(CE54:CE57)</f>
        <v>0</v>
      </c>
      <c r="CF53" s="35">
        <f>=SUM(CF54:CF57)</f>
        <v>0</v>
      </c>
      <c r="CG53" s="35">
        <f>=SUM(CG54:CG57)</f>
        <v>0</v>
      </c>
      <c r="CH53" s="35">
        <f>=SUM(CH54:CH57)</f>
        <v>0</v>
      </c>
      <c r="CI53" s="35">
        <f>=SUM(CI54:CI57)</f>
        <v>0</v>
      </c>
      <c r="CJ53" s="35">
        <f>=SUM(CJ54:CJ57)</f>
        <v>0</v>
      </c>
      <c r="CK53" s="35">
        <f>=SUM(CK54:CK57)</f>
        <v>0</v>
      </c>
      <c r="CL53" s="35">
        <f>=SUM(CL54:CL57)</f>
        <v>0</v>
      </c>
      <c r="CM53" s="35">
        <f>=SUM(CM54:CM57)</f>
        <v>0</v>
      </c>
      <c r="CN53" s="35">
        <f>=SUM(CN54:CN57)</f>
        <v>0</v>
      </c>
      <c r="CO53" s="35">
        <f>=SUM(CO54:CO57)</f>
        <v>0</v>
      </c>
      <c r="CP53" s="35">
        <f>=SUM(CP54:CP57)</f>
        <v>0</v>
      </c>
      <c r="CQ53" s="35">
        <f>=SUM(CQ54:CQ57)</f>
        <v>0</v>
      </c>
      <c r="CR53" s="35">
        <f>=SUM(CR54:CR57)</f>
        <v>0</v>
      </c>
      <c r="CS53" s="35">
        <f>=SUM(CS54:CS57)</f>
        <v>0</v>
      </c>
      <c r="CT53" s="35">
        <f>=SUM(CT54:CT57)</f>
        <v>0</v>
      </c>
      <c r="CU53" s="35">
        <f>=SUM(CU54:CU57)</f>
        <v>0</v>
      </c>
      <c r="CV53" s="35">
        <f>=SUM(CV54:CV57)</f>
        <v>0</v>
      </c>
      <c r="CW53" s="35">
        <f>=SUM(CW54:CW57)</f>
        <v>0</v>
      </c>
      <c r="CX53" s="35">
        <f>=SUM(CX54:CX57)</f>
        <v>0</v>
      </c>
      <c r="CY53" s="35">
        <f>=SUM(CY54:CY57)</f>
        <v>0</v>
      </c>
      <c r="CZ53" s="35">
        <f>=SUM(CZ54:CZ57)</f>
        <v>0</v>
      </c>
      <c r="DA53" s="35">
        <f>=SUM(DA54:DA57)</f>
        <v>0</v>
      </c>
      <c r="DB53" s="35">
        <f>=SUM(DB54:DB57)</f>
        <v>0</v>
      </c>
    </row>
    <row r="54" ht="18" customHeight="1" spans="1:106" x14ac:dyDescent="0.25">
      <c r="A54" s="36" t="s">
        <v>263</v>
      </c>
      <c r="B54" s="17"/>
      <c r="C54" s="37">
        <f>=IFERROR(C137/C132,0)</f>
        <v>0</v>
      </c>
      <c r="D54" s="37">
        <f>=IFERROR(D137/D132,0)</f>
        <v>0</v>
      </c>
      <c r="E54" s="37">
        <f>=IFERROR(E137/E132,0)</f>
        <v>0</v>
      </c>
      <c r="F54" s="37">
        <f>=IFERROR(F137/F132,0)</f>
        <v>0</v>
      </c>
      <c r="G54" s="37">
        <f>=IFERROR(G137/G132,0)</f>
        <v>0</v>
      </c>
      <c r="H54" s="37">
        <f>=IFERROR(H137/H132,0)</f>
        <v>0</v>
      </c>
      <c r="I54" s="37">
        <f>=IFERROR(I137/I132,0)</f>
        <v>0</v>
      </c>
      <c r="J54" s="37">
        <f>=IFERROR(J137/J132,0)</f>
        <v>0</v>
      </c>
      <c r="K54" s="37">
        <f>=IFERROR(K137/K132,0)</f>
        <v>0</v>
      </c>
      <c r="L54" s="37">
        <f>=IFERROR(L137/L132,0)</f>
        <v>0</v>
      </c>
      <c r="M54" s="37">
        <f>=IFERROR(M137/M132,0)</f>
        <v>0</v>
      </c>
      <c r="N54" s="37">
        <f>=IFERROR(N137/N132,0)</f>
        <v>0</v>
      </c>
      <c r="O54" s="37">
        <f>=IFERROR(O137/O132,0)</f>
        <v>0</v>
      </c>
      <c r="P54" s="37">
        <f>=IFERROR(P137/P132,0)</f>
        <v>0</v>
      </c>
      <c r="Q54" s="37">
        <f>=IFERROR(Q137/Q132,0)</f>
        <v>0</v>
      </c>
      <c r="R54" s="37">
        <f>=IFERROR(R137/R132,0)</f>
        <v>0</v>
      </c>
      <c r="S54" s="37">
        <f>=IFERROR(S137/S132,0)</f>
        <v>0</v>
      </c>
      <c r="T54" s="37">
        <f>=IFERROR(T137/T132,0)</f>
        <v>0</v>
      </c>
      <c r="U54" s="37">
        <f>=IFERROR(U137/U132,0)</f>
        <v>0</v>
      </c>
      <c r="V54" s="37">
        <f>=IFERROR(V137/V132,0)</f>
        <v>0</v>
      </c>
      <c r="W54" s="37">
        <f>=IFERROR(W137/W132,0)</f>
        <v>0</v>
      </c>
      <c r="X54" s="37">
        <f>=IFERROR(X137/X132,0)</f>
        <v>0</v>
      </c>
      <c r="Y54" s="37">
        <f>=IFERROR(Y137/Y132,0)</f>
        <v>0</v>
      </c>
      <c r="Z54" s="37">
        <f>=IFERROR(Z137/Z132,0)</f>
        <v>0</v>
      </c>
      <c r="AA54" s="37">
        <f>=IFERROR(AA137/AA132,0)</f>
        <v>0</v>
      </c>
      <c r="AB54" s="37">
        <f>=IFERROR(AB137/AB132,0)</f>
        <v>0</v>
      </c>
      <c r="AC54" s="37">
        <f>=IFERROR(AC137/AC132,0)</f>
        <v>0.12800875273522977</v>
      </c>
      <c r="AD54" s="37">
        <f>=IFERROR(AD137/AD132,0)</f>
        <v>0.07053291536050156</v>
      </c>
      <c r="AE54" s="37">
        <f>=IFERROR(AE137/AE132,0)</f>
        <v>0.07935800267498885</v>
      </c>
      <c r="AF54" s="37">
        <f>=IFERROR(AF137/AF132,0)</f>
        <v>0.026811897779639715</v>
      </c>
      <c r="AG54" s="37">
        <f>=IFERROR(AG137/AG132,0)</f>
        <v>0.005042016806722689</v>
      </c>
      <c r="AH54" s="37">
        <f>=IFERROR(AH137/AH132,0)</f>
        <v>0</v>
      </c>
      <c r="AI54" s="37">
        <f>=IFERROR(AI137/AI132,0)</f>
        <v>0.008165829145728644</v>
      </c>
      <c r="AJ54" s="37">
        <f>=IFERROR(AJ137/AJ132,0)</f>
        <v>0.012978986402966625</v>
      </c>
      <c r="AK54" s="37">
        <f>=IFERROR(AK137/AK132,0)</f>
        <v>0.057179987004548405</v>
      </c>
      <c r="AL54" s="37">
        <f>=IFERROR(AL137/AL132,0)</f>
        <v>0.0471584038694075</v>
      </c>
      <c r="AM54" s="37">
        <f>=IFERROR(AM137/AM132,0)</f>
        <v>0.06573589296102385</v>
      </c>
      <c r="AN54" s="37">
        <f>=IFERROR(AN137/AN132,0)</f>
        <v>0.05251270468661773</v>
      </c>
      <c r="AO54" s="37">
        <f>=IFERROR(AO137/AO132,0)</f>
        <v>0.050476724621424565</v>
      </c>
      <c r="AP54" s="37">
        <f>=IFERROR(AP137/AP132,0)</f>
        <v>0.06167400881057269</v>
      </c>
      <c r="AQ54" s="37">
        <f>=IFERROR(AQ137/AQ132,0)</f>
        <v>0.04875148632580262</v>
      </c>
      <c r="AR54" s="37">
        <f>=IFERROR(AR137/AR132,0)</f>
        <v>0.046511627906976744</v>
      </c>
      <c r="AS54" s="37">
        <f>=IFERROR(AS137/AS132,0)</f>
        <v>0.042435424354243544</v>
      </c>
      <c r="AT54" s="37">
        <f>=IFERROR(AT137/AT132,0)</f>
        <v>0.03167420814479638</v>
      </c>
      <c r="AU54" s="37">
        <f>=IFERROR(AU137/AU132,0)</f>
        <v>0.03838892385147892</v>
      </c>
      <c r="AV54" s="37">
        <f>=IFERROR(AV137/AV132,0)</f>
        <v>0.038853503184713374</v>
      </c>
      <c r="AW54" s="37">
        <f>=IFERROR(AW137/AW132,0)</f>
        <v>0.014607425441265977</v>
      </c>
      <c r="AX54" s="37">
        <f>=IFERROR(AX137/AX132,0)</f>
        <v>0.04709936817920735</v>
      </c>
      <c r="AY54" s="37">
        <f>=IFERROR(AY137/AY132,0)</f>
        <v>0.033417402269861285</v>
      </c>
      <c r="AZ54" s="37">
        <f>=IFERROR(AZ137/AZ132,0)</f>
        <v>0.06072106261859583</v>
      </c>
      <c r="BA54" s="37">
        <f>=IFERROR(BA137/BA132,0)</f>
        <v>0.03868103994927077</v>
      </c>
      <c r="BB54" s="37">
        <f>=IFERROR(BB137/BB132,0)</f>
        <v>0.08</v>
      </c>
      <c r="BC54" s="37">
        <f>=IFERROR(BC137/BC132,0)</f>
        <v>0.06233766233766234</v>
      </c>
      <c r="BD54" s="37">
        <f>=IFERROR(BD137/BD132,0)</f>
        <v>0.03961038961038961</v>
      </c>
      <c r="BE54" s="37">
        <f>=IFERROR(BE137/BE132,0)</f>
        <v>0.048145738451528954</v>
      </c>
      <c r="BF54" s="37">
        <f>=IFERROR(BF137/BF132,0)</f>
        <v>0.02572347266881029</v>
      </c>
      <c r="BG54" s="37">
        <f>=IFERROR(BG137/BG132,0)</f>
        <v>0.04185447520927238</v>
      </c>
      <c r="BH54" s="37">
        <f>=IFERROR(BH137/BH132,0)</f>
        <v>0.04368600682593857</v>
      </c>
      <c r="BI54" s="37">
        <f>=IFERROR(BI137/BI132,0)</f>
        <v>0.026580035440047254</v>
      </c>
      <c r="BJ54" s="37">
        <f>=IFERROR(BJ137/BJ132,0)</f>
        <v>0.08581644815256258</v>
      </c>
      <c r="BK54" s="37">
        <f>=IFERROR(BK137/BK132,0)</f>
        <v>0.03343283582089552</v>
      </c>
      <c r="BL54" s="37">
        <f>=IFERROR(BL137/BL132,0)</f>
        <v>0.05338932213557288</v>
      </c>
      <c r="BM54" s="37">
        <f>=IFERROR(BM137/BM132,0)</f>
        <v>0.03878787878787879</v>
      </c>
      <c r="BN54" s="37">
        <f>=IFERROR(BN137/BN132,0)</f>
        <v>0.043726235741444866</v>
      </c>
      <c r="BO54" s="37">
        <f>=IFERROR(BO137/BO132,0)</f>
        <v>0.08080808080808081</v>
      </c>
      <c r="BP54" s="37">
        <f>=IFERROR(BP137/BP132,0)</f>
        <v>0.08159268929503917</v>
      </c>
      <c r="BQ54" s="37">
        <f>=IFERROR(BQ137/BQ132,0)</f>
        <v>0.08072048032021348</v>
      </c>
      <c r="BR54" s="37">
        <f>=IFERROR(BR137/BR132,0)</f>
        <v>0.03595658073270014</v>
      </c>
      <c r="BS54" s="37">
        <f>=IFERROR(BS137/BS132,0)</f>
        <v>0.043507817811012914</v>
      </c>
      <c r="BT54" s="37">
        <f>=IFERROR(BT137/BT132,0)</f>
        <v>0.08950201884253028</v>
      </c>
      <c r="BU54" s="37">
        <f>=IFERROR(BU137/BU132,0)</f>
        <v>0.07291666666666667</v>
      </c>
      <c r="BV54" s="37">
        <f>=IFERROR(BV137/BV132,0)</f>
        <v>0.09191655801825294</v>
      </c>
      <c r="BW54" s="37">
        <f>=IFERROR(BW137/BW132,0)</f>
        <v>0.14154652686762778</v>
      </c>
      <c r="BX54" s="37">
        <f>=IFERROR(BX137/BX132,0)</f>
        <v>0</v>
      </c>
      <c r="BY54" s="37">
        <f>=IFERROR(BY137/BY132,0)</f>
        <v>0</v>
      </c>
      <c r="BZ54" s="37">
        <f>=IFERROR(BZ137/BZ132,0)</f>
        <v>0</v>
      </c>
      <c r="CA54" s="37">
        <f>=IFERROR(CA137/CA132,0)</f>
        <v>0</v>
      </c>
      <c r="CB54" s="37">
        <f>=IFERROR(CB137/CB132,0)</f>
        <v>0</v>
      </c>
      <c r="CC54" s="37">
        <f>=IFERROR(CC137/CC132,0)</f>
        <v>0</v>
      </c>
      <c r="CD54" s="37">
        <f>=IFERROR(CD137/CD132,0)</f>
        <v>0</v>
      </c>
      <c r="CE54" s="37">
        <f>=IFERROR(CE137/CE132,0)</f>
        <v>0</v>
      </c>
      <c r="CF54" s="37">
        <f>=IFERROR(CF137/CF132,0)</f>
        <v>0</v>
      </c>
      <c r="CG54" s="37">
        <f>=IFERROR(CG137/CG132,0)</f>
        <v>0</v>
      </c>
      <c r="CH54" s="37">
        <f>=IFERROR(CH137/CH132,0)</f>
        <v>0</v>
      </c>
      <c r="CI54" s="37">
        <f>=IFERROR(CI137/CI132,0)</f>
        <v>0</v>
      </c>
      <c r="CJ54" s="37">
        <f>=IFERROR(CJ137/CJ132,0)</f>
        <v>0</v>
      </c>
      <c r="CK54" s="37">
        <f>=IFERROR(CK137/CK132,0)</f>
        <v>0</v>
      </c>
      <c r="CL54" s="37">
        <f>=IFERROR(CL137/CL132,0)</f>
        <v>0</v>
      </c>
      <c r="CM54" s="37">
        <f>=IFERROR(CM137/CM132,0)</f>
        <v>0</v>
      </c>
      <c r="CN54" s="37">
        <f>=IFERROR(CN137/CN132,0)</f>
        <v>0</v>
      </c>
      <c r="CO54" s="37">
        <f>=IFERROR(CO137/CO132,0)</f>
        <v>0</v>
      </c>
      <c r="CP54" s="37">
        <f>=IFERROR(CP137/CP132,0)</f>
        <v>0</v>
      </c>
      <c r="CQ54" s="37">
        <f>=IFERROR(CQ137/CQ132,0)</f>
        <v>0</v>
      </c>
      <c r="CR54" s="37">
        <f>=IFERROR(CR137/CR132,0)</f>
        <v>0</v>
      </c>
      <c r="CS54" s="37">
        <f>=IFERROR(CS137/CS132,0)</f>
        <v>0</v>
      </c>
      <c r="CT54" s="37">
        <f>=IFERROR(CT137/CT132,0)</f>
        <v>0</v>
      </c>
      <c r="CU54" s="37">
        <f>=IFERROR(CU137/CU132,0)</f>
        <v>0</v>
      </c>
      <c r="CV54" s="37">
        <f>=IFERROR(CV137/CV132,0)</f>
        <v>0</v>
      </c>
      <c r="CW54" s="37">
        <f>=IFERROR(CW137/CW132,0)</f>
        <v>0</v>
      </c>
      <c r="CX54" s="37">
        <f>=IFERROR(CX137/CX132,0)</f>
        <v>0</v>
      </c>
      <c r="CY54" s="37">
        <f>=IFERROR(CY137/CY132,0)</f>
        <v>0</v>
      </c>
      <c r="CZ54" s="37">
        <f>=IFERROR(CZ137/CZ132,0)</f>
        <v>0</v>
      </c>
      <c r="DA54" s="37">
        <f>=IFERROR(DA137/DA132,0)</f>
        <v>0</v>
      </c>
      <c r="DB54" s="37">
        <f>=IFERROR(DB137/DB132,0)</f>
        <v>0</v>
      </c>
    </row>
    <row r="55" ht="18" customHeight="1" spans="1:106" x14ac:dyDescent="0.25">
      <c r="A55" s="36" t="s">
        <v>264</v>
      </c>
      <c r="B55" s="17"/>
      <c r="C55" s="37">
        <f>=IFERROR(C138/C132,0)</f>
        <v>0</v>
      </c>
      <c r="D55" s="37">
        <f>=IFERROR(D138/D132,0)</f>
        <v>0</v>
      </c>
      <c r="E55" s="37">
        <f>=IFERROR(E138/E132,0)</f>
        <v>0</v>
      </c>
      <c r="F55" s="37">
        <f>=IFERROR(F138/F132,0)</f>
        <v>0</v>
      </c>
      <c r="G55" s="37">
        <f>=IFERROR(G138/G132,0)</f>
        <v>0</v>
      </c>
      <c r="H55" s="37">
        <f>=IFERROR(H138/H132,0)</f>
        <v>0</v>
      </c>
      <c r="I55" s="37">
        <f>=IFERROR(I138/I132,0)</f>
        <v>0</v>
      </c>
      <c r="J55" s="37">
        <f>=IFERROR(J138/J132,0)</f>
        <v>0</v>
      </c>
      <c r="K55" s="37">
        <f>=IFERROR(K138/K132,0)</f>
        <v>0</v>
      </c>
      <c r="L55" s="37">
        <f>=IFERROR(L138/L132,0)</f>
        <v>0</v>
      </c>
      <c r="M55" s="37">
        <f>=IFERROR(M138/M132,0)</f>
        <v>0</v>
      </c>
      <c r="N55" s="37">
        <f>=IFERROR(N138/N132,0)</f>
        <v>0</v>
      </c>
      <c r="O55" s="37">
        <f>=IFERROR(O138/O132,0)</f>
        <v>0</v>
      </c>
      <c r="P55" s="37">
        <f>=IFERROR(P138/P132,0)</f>
        <v>0</v>
      </c>
      <c r="Q55" s="37">
        <f>=IFERROR(Q138/Q132,0)</f>
        <v>0</v>
      </c>
      <c r="R55" s="37">
        <f>=IFERROR(R138/R132,0)</f>
        <v>0</v>
      </c>
      <c r="S55" s="37">
        <f>=IFERROR(S138/S132,0)</f>
        <v>0</v>
      </c>
      <c r="T55" s="37">
        <f>=IFERROR(T138/T132,0)</f>
        <v>0</v>
      </c>
      <c r="U55" s="37">
        <f>=IFERROR(U138/U132,0)</f>
        <v>0</v>
      </c>
      <c r="V55" s="37">
        <f>=IFERROR(V138/V132,0)</f>
        <v>0</v>
      </c>
      <c r="W55" s="37">
        <f>=IFERROR(W138/W132,0)</f>
        <v>0</v>
      </c>
      <c r="X55" s="37">
        <f>=IFERROR(X138/X132,0)</f>
        <v>0</v>
      </c>
      <c r="Y55" s="37">
        <f>=IFERROR(Y138/Y132,0)</f>
        <v>0</v>
      </c>
      <c r="Z55" s="37">
        <f>=IFERROR(Z138/Z132,0)</f>
        <v>0</v>
      </c>
      <c r="AA55" s="37">
        <f>=IFERROR(AA138/AA132,0)</f>
        <v>0</v>
      </c>
      <c r="AB55" s="37">
        <f>=IFERROR(AB138/AB132,0)</f>
        <v>0</v>
      </c>
      <c r="AC55" s="37">
        <f>=IFERROR(AC138/AC132,0)</f>
        <v>0.014223194748358862</v>
      </c>
      <c r="AD55" s="37">
        <f>=IFERROR(AD138/AD132,0)</f>
        <v>0.015282131661442006</v>
      </c>
      <c r="AE55" s="37">
        <f>=IFERROR(AE138/AE132,0)</f>
        <v>0.016941596076683014</v>
      </c>
      <c r="AF55" s="37">
        <f>=IFERROR(AF138/AF132,0)</f>
        <v>0.02346041055718475</v>
      </c>
      <c r="AG55" s="37">
        <f>=IFERROR(AG138/AG132,0)</f>
        <v>0.021848739495798318</v>
      </c>
      <c r="AH55" s="37">
        <f>=IFERROR(AH138/AH132,0)</f>
        <v>0.020291693088142042</v>
      </c>
      <c r="AI55" s="37">
        <f>=IFERROR(AI138/AI132,0)</f>
        <v>0.009422110552763818</v>
      </c>
      <c r="AJ55" s="37">
        <f>=IFERROR(AJ138/AJ132,0)</f>
        <v>0.034610630407911</v>
      </c>
      <c r="AK55" s="37">
        <f>=IFERROR(AK138/AK132,0)</f>
        <v>0.0396361273554256</v>
      </c>
      <c r="AL55" s="37">
        <f>=IFERROR(AL138/AL132,0)</f>
        <v>0.018137847642079808</v>
      </c>
      <c r="AM55" s="37">
        <f>=IFERROR(AM138/AM132,0)</f>
        <v>0.02152414194299011</v>
      </c>
      <c r="AN55" s="37">
        <f>=IFERROR(AN138/AN132,0)</f>
        <v>0.024844720496894408</v>
      </c>
      <c r="AO55" s="37">
        <f>=IFERROR(AO138/AO132,0)</f>
        <v>0.05776780706674145</v>
      </c>
      <c r="AP55" s="37">
        <f>=IFERROR(AP138/AP132,0)</f>
        <v>0.010698552548772814</v>
      </c>
      <c r="AQ55" s="37">
        <f>=IFERROR(AQ138/AQ132,0)</f>
        <v>0.0469678953626635</v>
      </c>
      <c r="AR55" s="37">
        <f>=IFERROR(AR138/AR132,0)</f>
        <v>0.0436046511627907</v>
      </c>
      <c r="AS55" s="37">
        <f>=IFERROR(AS138/AS132,0)</f>
        <v>0.051045510455104554</v>
      </c>
      <c r="AT55" s="37">
        <f>=IFERROR(AT138/AT132,0)</f>
        <v>0.058823529411764705</v>
      </c>
      <c r="AU55" s="37">
        <f>=IFERROR(AU138/AU132,0)</f>
        <v>0.03587161736941473</v>
      </c>
      <c r="AV55" s="37">
        <f>=IFERROR(AV138/AV132,0)</f>
        <v>0.04522292993630573</v>
      </c>
      <c r="AW55" s="37">
        <f>=IFERROR(AW138/AW132,0)</f>
        <v>0.02008520998174072</v>
      </c>
      <c r="AX55" s="37">
        <f>=IFERROR(AX138/AX132,0)</f>
        <v>0.013785180930499713</v>
      </c>
      <c r="AY55" s="37">
        <f>=IFERROR(AY138/AY132,0)</f>
        <v>0.043505674653215635</v>
      </c>
      <c r="AZ55" s="37">
        <f>=IFERROR(AZ138/AZ132,0)</f>
        <v>0.044275774826059454</v>
      </c>
      <c r="BA55" s="37">
        <f>=IFERROR(BA138/BA132,0)</f>
        <v>0.019023462270133164</v>
      </c>
      <c r="BB55" s="37">
        <f>=IFERROR(BB138/BB132,0)</f>
        <v>0</v>
      </c>
      <c r="BC55" s="37">
        <f>=IFERROR(BC138/BC132,0)</f>
        <v>0.0512987012987013</v>
      </c>
      <c r="BD55" s="37">
        <f>=IFERROR(BD138/BD132,0)</f>
        <v>0.008441558441558441</v>
      </c>
      <c r="BE55" s="37">
        <f>=IFERROR(BE138/BE132,0)</f>
        <v>0.06831489915419649</v>
      </c>
      <c r="BF55" s="37">
        <f>=IFERROR(BF138/BF132,0)</f>
        <v>0.043086816720257236</v>
      </c>
      <c r="BG55" s="37">
        <f>=IFERROR(BG138/BG132,0)</f>
        <v>0.0901481004507405</v>
      </c>
      <c r="BH55" s="37">
        <f>=IFERROR(BH138/BH132,0)</f>
        <v>0.07167235494880546</v>
      </c>
      <c r="BI55" s="37">
        <f>=IFERROR(BI138/BI132,0)</f>
        <v>0.05670407560543414</v>
      </c>
      <c r="BJ55" s="37">
        <f>=IFERROR(BJ138/BJ132,0)</f>
        <v>0.07091775923718713</v>
      </c>
      <c r="BK55" s="37">
        <f>=IFERROR(BK138/BK132,0)</f>
        <v>0.03044776119402985</v>
      </c>
      <c r="BL55" s="37">
        <f>=IFERROR(BL138/BL132,0)</f>
        <v>0.04919016196760648</v>
      </c>
      <c r="BM55" s="37">
        <f>=IFERROR(BM138/BM132,0)</f>
        <v>0.03939393939393939</v>
      </c>
      <c r="BN55" s="37">
        <f>=IFERROR(BN138/BN132,0)</f>
        <v>0.05576679340937896</v>
      </c>
      <c r="BO55" s="37">
        <f>=IFERROR(BO138/BO132,0)</f>
        <v>0.037247474747474744</v>
      </c>
      <c r="BP55" s="37">
        <f>=IFERROR(BP138/BP132,0)</f>
        <v>0.04503916449086162</v>
      </c>
      <c r="BQ55" s="37">
        <f>=IFERROR(BQ138/BQ132,0)</f>
        <v>0.0400266844563042</v>
      </c>
      <c r="BR55" s="37">
        <f>=IFERROR(BR138/BR132,0)</f>
        <v>0.041383989145183174</v>
      </c>
      <c r="BS55" s="37">
        <f>=IFERROR(BS138/BS132,0)</f>
        <v>0.03195105370496261</v>
      </c>
      <c r="BT55" s="37">
        <f>=IFERROR(BT138/BT132,0)</f>
        <v>0.06527590847913863</v>
      </c>
      <c r="BU55" s="37">
        <f>=IFERROR(BU138/BU132,0)</f>
        <v>0.033854166666666664</v>
      </c>
      <c r="BV55" s="37">
        <f>=IFERROR(BV138/BV132,0)</f>
        <v>0.03389830508474576</v>
      </c>
      <c r="BW55" s="37">
        <f>=IFERROR(BW138/BW132,0)</f>
        <v>0.017693315858453473</v>
      </c>
      <c r="BX55" s="37">
        <f>=IFERROR(BX138/BX132,0)</f>
        <v>0</v>
      </c>
      <c r="BY55" s="37">
        <f>=IFERROR(BY138/BY132,0)</f>
        <v>0</v>
      </c>
      <c r="BZ55" s="37">
        <f>=IFERROR(BZ138/BZ132,0)</f>
        <v>0</v>
      </c>
      <c r="CA55" s="37">
        <f>=IFERROR(CA138/CA132,0)</f>
        <v>0</v>
      </c>
      <c r="CB55" s="37">
        <f>=IFERROR(CB138/CB132,0)</f>
        <v>0</v>
      </c>
      <c r="CC55" s="37">
        <f>=IFERROR(CC138/CC132,0)</f>
        <v>0</v>
      </c>
      <c r="CD55" s="37">
        <f>=IFERROR(CD138/CD132,0)</f>
        <v>0</v>
      </c>
      <c r="CE55" s="37">
        <f>=IFERROR(CE138/CE132,0)</f>
        <v>0</v>
      </c>
      <c r="CF55" s="37">
        <f>=IFERROR(CF138/CF132,0)</f>
        <v>0</v>
      </c>
      <c r="CG55" s="37">
        <f>=IFERROR(CG138/CG132,0)</f>
        <v>0</v>
      </c>
      <c r="CH55" s="37">
        <f>=IFERROR(CH138/CH132,0)</f>
        <v>0</v>
      </c>
      <c r="CI55" s="37">
        <f>=IFERROR(CI138/CI132,0)</f>
        <v>0</v>
      </c>
      <c r="CJ55" s="37">
        <f>=IFERROR(CJ138/CJ132,0)</f>
        <v>0</v>
      </c>
      <c r="CK55" s="37">
        <f>=IFERROR(CK138/CK132,0)</f>
        <v>0</v>
      </c>
      <c r="CL55" s="37">
        <f>=IFERROR(CL138/CL132,0)</f>
        <v>0</v>
      </c>
      <c r="CM55" s="37">
        <f>=IFERROR(CM138/CM132,0)</f>
        <v>0</v>
      </c>
      <c r="CN55" s="37">
        <f>=IFERROR(CN138/CN132,0)</f>
        <v>0</v>
      </c>
      <c r="CO55" s="37">
        <f>=IFERROR(CO138/CO132,0)</f>
        <v>0</v>
      </c>
      <c r="CP55" s="37">
        <f>=IFERROR(CP138/CP132,0)</f>
        <v>0</v>
      </c>
      <c r="CQ55" s="37">
        <f>=IFERROR(CQ138/CQ132,0)</f>
        <v>0</v>
      </c>
      <c r="CR55" s="37">
        <f>=IFERROR(CR138/CR132,0)</f>
        <v>0</v>
      </c>
      <c r="CS55" s="37">
        <f>=IFERROR(CS138/CS132,0)</f>
        <v>0</v>
      </c>
      <c r="CT55" s="37">
        <f>=IFERROR(CT138/CT132,0)</f>
        <v>0</v>
      </c>
      <c r="CU55" s="37">
        <f>=IFERROR(CU138/CU132,0)</f>
        <v>0</v>
      </c>
      <c r="CV55" s="37">
        <f>=IFERROR(CV138/CV132,0)</f>
        <v>0</v>
      </c>
      <c r="CW55" s="37">
        <f>=IFERROR(CW138/CW132,0)</f>
        <v>0</v>
      </c>
      <c r="CX55" s="37">
        <f>=IFERROR(CX138/CX132,0)</f>
        <v>0</v>
      </c>
      <c r="CY55" s="37">
        <f>=IFERROR(CY138/CY132,0)</f>
        <v>0</v>
      </c>
      <c r="CZ55" s="37">
        <f>=IFERROR(CZ138/CZ132,0)</f>
        <v>0</v>
      </c>
      <c r="DA55" s="37">
        <f>=IFERROR(DA138/DA132,0)</f>
        <v>0</v>
      </c>
      <c r="DB55" s="37">
        <f>=IFERROR(DB138/DB132,0)</f>
        <v>0</v>
      </c>
    </row>
    <row r="56" ht="15" customHeight="1" spans="1:106" x14ac:dyDescent="0.25">
      <c r="A56" s="36" t="s">
        <v>265</v>
      </c>
      <c r="B56" s="17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6"/>
      <c r="BK56" s="46"/>
      <c r="BL56" s="46"/>
      <c r="BM56" s="46"/>
      <c r="BN56" s="46"/>
      <c r="BO56" s="46"/>
      <c r="BP56" s="46"/>
      <c r="BQ56" s="46"/>
      <c r="BR56" s="46"/>
      <c r="BS56" s="46"/>
      <c r="BT56" s="46"/>
      <c r="BU56" s="46"/>
      <c r="BV56" s="46"/>
      <c r="BW56" s="46"/>
      <c r="BX56" s="46"/>
      <c r="BY56" s="46"/>
      <c r="BZ56" s="46"/>
      <c r="CA56" s="46"/>
      <c r="CB56" s="46"/>
      <c r="CC56" s="46"/>
      <c r="CD56" s="46"/>
      <c r="CE56" s="46"/>
      <c r="CF56" s="46"/>
      <c r="CG56" s="46"/>
      <c r="CH56" s="46"/>
      <c r="CI56" s="46"/>
      <c r="CJ56" s="46"/>
      <c r="CK56" s="46"/>
      <c r="CL56" s="46"/>
      <c r="CM56" s="46"/>
      <c r="CN56" s="46"/>
      <c r="CO56" s="46"/>
      <c r="CP56" s="46"/>
      <c r="CQ56" s="46"/>
      <c r="CR56" s="46"/>
      <c r="CS56" s="46"/>
      <c r="CT56" s="46"/>
      <c r="CU56" s="46"/>
      <c r="CV56" s="46"/>
      <c r="CW56" s="46"/>
      <c r="CX56" s="46"/>
      <c r="CY56" s="46"/>
      <c r="CZ56" s="46"/>
      <c r="DA56" s="46"/>
      <c r="DB56" s="46"/>
    </row>
    <row r="57" ht="15" customHeight="1" spans="1:106" x14ac:dyDescent="0.25">
      <c r="A57" s="36" t="s">
        <v>286</v>
      </c>
      <c r="B57" s="17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46"/>
      <c r="BK57" s="46"/>
      <c r="BL57" s="46"/>
      <c r="BM57" s="46"/>
      <c r="BN57" s="46"/>
      <c r="BO57" s="46"/>
      <c r="BP57" s="46"/>
      <c r="BQ57" s="46"/>
      <c r="BR57" s="46"/>
      <c r="BS57" s="46"/>
      <c r="BT57" s="46"/>
      <c r="BU57" s="46"/>
      <c r="BV57" s="46"/>
      <c r="BW57" s="46"/>
      <c r="BX57" s="46"/>
      <c r="BY57" s="46"/>
      <c r="BZ57" s="46"/>
      <c r="CA57" s="46"/>
      <c r="CB57" s="46"/>
      <c r="CC57" s="46"/>
      <c r="CD57" s="46"/>
      <c r="CE57" s="46"/>
      <c r="CF57" s="46"/>
      <c r="CG57" s="46"/>
      <c r="CH57" s="46"/>
      <c r="CI57" s="46"/>
      <c r="CJ57" s="46"/>
      <c r="CK57" s="46"/>
      <c r="CL57" s="46"/>
      <c r="CM57" s="46"/>
      <c r="CN57" s="46"/>
      <c r="CO57" s="46"/>
      <c r="CP57" s="46"/>
      <c r="CQ57" s="46"/>
      <c r="CR57" s="46"/>
      <c r="CS57" s="46"/>
      <c r="CT57" s="46"/>
      <c r="CU57" s="46"/>
      <c r="CV57" s="46"/>
      <c r="CW57" s="46"/>
      <c r="CX57" s="46"/>
      <c r="CY57" s="46"/>
      <c r="CZ57" s="46"/>
      <c r="DA57" s="46"/>
      <c r="DB57" s="46"/>
    </row>
    <row r="58" ht="15" customHeight="1" spans="1:106" x14ac:dyDescent="0.25">
      <c r="A58" s="16" t="s">
        <v>287</v>
      </c>
      <c r="B58" s="17"/>
      <c r="C58" s="35">
        <f>=SUM(C59:C64)</f>
        <v>0</v>
      </c>
      <c r="D58" s="35">
        <f>=SUM(D59:D61)</f>
        <v>0</v>
      </c>
      <c r="E58" s="35">
        <f>=SUM(E59:E61)</f>
        <v>0</v>
      </c>
      <c r="F58" s="35">
        <f>=SUM(F59:F61)</f>
        <v>0</v>
      </c>
      <c r="G58" s="35">
        <f>=SUM(G59:G61)</f>
        <v>0</v>
      </c>
      <c r="H58" s="35">
        <f>=SUM(H59:H61)</f>
        <v>0</v>
      </c>
      <c r="I58" s="35">
        <f>=SUM(I59:I61)</f>
        <v>0</v>
      </c>
      <c r="J58" s="35">
        <f>=SUM(J59:J61)</f>
        <v>0</v>
      </c>
      <c r="K58" s="35">
        <f>=SUM(K59:K61)</f>
        <v>0</v>
      </c>
      <c r="L58" s="35">
        <f>=SUM(L59:L61)</f>
        <v>0</v>
      </c>
      <c r="M58" s="35">
        <f>=SUM(M59:M61)</f>
        <v>0</v>
      </c>
      <c r="N58" s="35">
        <f>=SUM(N59:N61)</f>
        <v>0</v>
      </c>
      <c r="O58" s="35">
        <f>=SUM(O59:O61)</f>
        <v>0</v>
      </c>
      <c r="P58" s="35">
        <f>=SUM(P59:P61)</f>
        <v>0</v>
      </c>
      <c r="Q58" s="35">
        <f>=SUM(Q59:Q61)</f>
        <v>0</v>
      </c>
      <c r="R58" s="35">
        <f>=SUM(R59:R61)</f>
        <v>0</v>
      </c>
      <c r="S58" s="35">
        <f>=SUM(S59:S61)</f>
        <v>0</v>
      </c>
      <c r="T58" s="35">
        <f>=SUM(T59:T61)</f>
        <v>0</v>
      </c>
      <c r="U58" s="35">
        <f>=SUM(U59:U61)</f>
        <v>0</v>
      </c>
      <c r="V58" s="35">
        <f>=SUM(V59:V61)</f>
        <v>0</v>
      </c>
      <c r="W58" s="35">
        <f>=SUM(W59:W61)</f>
        <v>0</v>
      </c>
      <c r="X58" s="35">
        <f>=SUM(X59:X61)</f>
        <v>0</v>
      </c>
      <c r="Y58" s="35">
        <f>=SUM(Y59:Y61)</f>
        <v>0</v>
      </c>
      <c r="Z58" s="35">
        <f>=SUM(Z59:Z61)</f>
        <v>0</v>
      </c>
      <c r="AA58" s="35">
        <f>=SUM(AA59:AA61)</f>
        <v>0</v>
      </c>
      <c r="AB58" s="35">
        <f>=SUM(AB59:AB61)</f>
        <v>0</v>
      </c>
      <c r="AC58" s="35">
        <f>=SUM(AC59:AC61)</f>
        <v>0</v>
      </c>
      <c r="AD58" s="35">
        <f>=SUM(AD59:AD61)</f>
        <v>0</v>
      </c>
      <c r="AE58" s="35">
        <f>=SUM(AE59:AE61)</f>
        <v>0</v>
      </c>
      <c r="AF58" s="35">
        <f>=SUM(AF59:AF61)</f>
        <v>0</v>
      </c>
      <c r="AG58" s="35">
        <f>=SUM(AG59:AG61)</f>
        <v>0</v>
      </c>
      <c r="AH58" s="35">
        <f>=SUM(AH59:AH61)</f>
        <v>0</v>
      </c>
      <c r="AI58" s="35">
        <f>=SUM(AI59:AI61)</f>
        <v>0</v>
      </c>
      <c r="AJ58" s="35">
        <f>=SUM(AJ59:AJ61)</f>
        <v>0</v>
      </c>
      <c r="AK58" s="35">
        <f>=SUM(AK59:AK61)</f>
        <v>0</v>
      </c>
      <c r="AL58" s="35">
        <f>=SUM(AL59:AL61)</f>
        <v>0</v>
      </c>
      <c r="AM58" s="35">
        <f>=SUM(AM59:AM61)</f>
        <v>0</v>
      </c>
      <c r="AN58" s="35">
        <f>=SUM(AN59:AN61)</f>
        <v>0</v>
      </c>
      <c r="AO58" s="35">
        <f>=SUM(AO59:AO61)</f>
        <v>0</v>
      </c>
      <c r="AP58" s="35">
        <f>=SUM(AP59:AP61)</f>
        <v>0</v>
      </c>
      <c r="AQ58" s="35">
        <f>=SUM(AQ59:AQ61)</f>
        <v>0</v>
      </c>
      <c r="AR58" s="35">
        <f>=SUM(AR59:AR61)</f>
        <v>0</v>
      </c>
      <c r="AS58" s="35">
        <f>=SUM(AS59:AS61)</f>
        <v>0</v>
      </c>
      <c r="AT58" s="35">
        <f>=SUM(AT59:AT61)</f>
        <v>0</v>
      </c>
      <c r="AU58" s="35">
        <f>=SUM(AU59:AU61)</f>
        <v>0</v>
      </c>
      <c r="AV58" s="35">
        <f>=SUM(AV59:AV61)</f>
        <v>0</v>
      </c>
      <c r="AW58" s="35">
        <f>=SUM(AW59:AW61)</f>
        <v>0</v>
      </c>
      <c r="AX58" s="35">
        <f>=SUM(AX59:AX61)</f>
        <v>0</v>
      </c>
      <c r="AY58" s="35">
        <f>=SUM(AY59:AY61)</f>
        <v>0</v>
      </c>
      <c r="AZ58" s="35">
        <f>=SUM(AZ59:AZ61)</f>
        <v>0</v>
      </c>
      <c r="BA58" s="35">
        <f>=SUM(BA59:BA61)</f>
        <v>0</v>
      </c>
      <c r="BB58" s="35">
        <f>=SUM(BB59:BB61)</f>
        <v>0</v>
      </c>
      <c r="BC58" s="35">
        <f>=SUM(BC59:BC61)</f>
        <v>0</v>
      </c>
      <c r="BD58" s="35">
        <f>=SUM(BD59:BD61)</f>
        <v>0</v>
      </c>
      <c r="BE58" s="35">
        <f>=SUM(BE59:BE61)</f>
        <v>0</v>
      </c>
      <c r="BF58" s="35">
        <f>=SUM(BF59:BF61)</f>
        <v>0</v>
      </c>
      <c r="BG58" s="35">
        <f>=SUM(BG59:BG61)</f>
        <v>0</v>
      </c>
      <c r="BH58" s="35">
        <f>=SUM(BH59:BH61)</f>
        <v>0</v>
      </c>
      <c r="BI58" s="35">
        <f>=SUM(BI59:BI61)</f>
        <v>0</v>
      </c>
      <c r="BJ58" s="35">
        <f>=SUM(BJ59:BJ61)</f>
        <v>0</v>
      </c>
      <c r="BK58" s="35">
        <f>=SUM(BK59:BK61)</f>
        <v>0</v>
      </c>
      <c r="BL58" s="35">
        <f>=SUM(BL59:BL61)</f>
        <v>0</v>
      </c>
      <c r="BM58" s="35">
        <f>=SUM(BM59:BM61)</f>
        <v>0</v>
      </c>
      <c r="BN58" s="35">
        <f>=SUM(BN59:BN61)</f>
        <v>0</v>
      </c>
      <c r="BO58" s="35">
        <f>=SUM(BO59:BO61)</f>
        <v>0</v>
      </c>
      <c r="BP58" s="35">
        <f>=SUM(BP59:BP61)</f>
        <v>0</v>
      </c>
      <c r="BQ58" s="35">
        <f>=SUM(BQ59:BQ61)</f>
        <v>0</v>
      </c>
      <c r="BR58" s="35">
        <f>=SUM(BR59:BR61)</f>
        <v>0</v>
      </c>
      <c r="BS58" s="35">
        <f>=SUM(BS59:BS61)</f>
        <v>0</v>
      </c>
      <c r="BT58" s="35">
        <f>=SUM(BT59:BT61)</f>
        <v>0</v>
      </c>
      <c r="BU58" s="35">
        <f>=SUM(BU59:BU61)</f>
        <v>0</v>
      </c>
      <c r="BV58" s="35">
        <f>=SUM(BV59:BV61)</f>
        <v>0</v>
      </c>
      <c r="BW58" s="35">
        <f>=SUM(BW59:BW61)</f>
        <v>0</v>
      </c>
      <c r="BX58" s="35">
        <f>=SUM(BX59:BX61)</f>
        <v>0</v>
      </c>
      <c r="BY58" s="35">
        <f>=SUM(BY59:BY61)</f>
        <v>0</v>
      </c>
      <c r="BZ58" s="35">
        <f>=SUM(BZ59:BZ61)</f>
        <v>0</v>
      </c>
      <c r="CA58" s="35">
        <f>=SUM(CA59:CA61)</f>
        <v>0</v>
      </c>
      <c r="CB58" s="35">
        <f>=SUM(CB59:CB61)</f>
        <v>0</v>
      </c>
      <c r="CC58" s="35">
        <f>=SUM(CC59:CC61)</f>
        <v>0</v>
      </c>
      <c r="CD58" s="35">
        <f>=SUM(CD59:CD61)</f>
        <v>0</v>
      </c>
      <c r="CE58" s="35">
        <f>=SUM(CE59:CE61)</f>
        <v>0</v>
      </c>
      <c r="CF58" s="35">
        <f>=SUM(CF59:CF61)</f>
        <v>0</v>
      </c>
      <c r="CG58" s="35">
        <f>=SUM(CG59:CG61)</f>
        <v>0</v>
      </c>
      <c r="CH58" s="35">
        <f>=SUM(CH59:CH61)</f>
        <v>0</v>
      </c>
      <c r="CI58" s="35">
        <f>=SUM(CI59:CI61)</f>
        <v>0</v>
      </c>
      <c r="CJ58" s="35">
        <f>=SUM(CJ59:CJ61)</f>
        <v>0</v>
      </c>
      <c r="CK58" s="35">
        <f>=SUM(CK59:CK61)</f>
        <v>0</v>
      </c>
      <c r="CL58" s="35">
        <f>=SUM(CL59:CL61)</f>
        <v>0</v>
      </c>
      <c r="CM58" s="35">
        <f>=SUM(CM59:CM61)</f>
        <v>0</v>
      </c>
      <c r="CN58" s="35">
        <f>=SUM(CN59:CN61)</f>
        <v>0</v>
      </c>
      <c r="CO58" s="35">
        <f>=SUM(CO59:CO61)</f>
        <v>0</v>
      </c>
      <c r="CP58" s="35">
        <f>=SUM(CP59:CP61)</f>
        <v>0</v>
      </c>
      <c r="CQ58" s="35">
        <f>=SUM(CQ59:CQ61)</f>
        <v>0</v>
      </c>
      <c r="CR58" s="35">
        <f>=SUM(CR59:CR61)</f>
        <v>0</v>
      </c>
      <c r="CS58" s="35">
        <f>=SUM(CS59:CS61)</f>
        <v>0</v>
      </c>
      <c r="CT58" s="35">
        <f>=SUM(CT59:CT61)</f>
        <v>0</v>
      </c>
      <c r="CU58" s="35">
        <f>=SUM(CU59:CU61)</f>
        <v>0</v>
      </c>
      <c r="CV58" s="35">
        <f>=SUM(CV59:CV61)</f>
        <v>0</v>
      </c>
      <c r="CW58" s="35">
        <f>=SUM(CW59:CW61)</f>
        <v>0</v>
      </c>
      <c r="CX58" s="35">
        <f>=SUM(CX59:CX61)</f>
        <v>0</v>
      </c>
      <c r="CY58" s="35">
        <f>=SUM(CY59:CY61)</f>
        <v>0</v>
      </c>
      <c r="CZ58" s="35">
        <f>=SUM(CZ59:CZ61)</f>
        <v>0</v>
      </c>
      <c r="DA58" s="35">
        <f>=SUM(DA59:DA61)</f>
        <v>0</v>
      </c>
      <c r="DB58" s="35">
        <f>=SUM(DB59:DB61)</f>
        <v>0</v>
      </c>
    </row>
    <row r="59" ht="18" customHeight="1" spans="1:106" x14ac:dyDescent="0.25">
      <c r="A59" s="36" t="s">
        <v>268</v>
      </c>
      <c r="B59" s="17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  <c r="BO59" s="46"/>
      <c r="BP59" s="46"/>
      <c r="BQ59" s="46"/>
      <c r="BR59" s="46"/>
      <c r="BS59" s="46"/>
      <c r="BT59" s="46"/>
      <c r="BU59" s="46"/>
      <c r="BV59" s="46"/>
      <c r="BW59" s="46"/>
      <c r="BX59" s="46"/>
      <c r="BY59" s="46"/>
      <c r="BZ59" s="46"/>
      <c r="CA59" s="46"/>
      <c r="CB59" s="46"/>
      <c r="CC59" s="46"/>
      <c r="CD59" s="46"/>
      <c r="CE59" s="46"/>
      <c r="CF59" s="46"/>
      <c r="CG59" s="46"/>
      <c r="CH59" s="46"/>
      <c r="CI59" s="46"/>
      <c r="CJ59" s="46"/>
      <c r="CK59" s="46"/>
      <c r="CL59" s="46"/>
      <c r="CM59" s="46"/>
      <c r="CN59" s="46"/>
      <c r="CO59" s="46"/>
      <c r="CP59" s="46"/>
      <c r="CQ59" s="46"/>
      <c r="CR59" s="46"/>
      <c r="CS59" s="46"/>
      <c r="CT59" s="46"/>
      <c r="CU59" s="46"/>
      <c r="CV59" s="46"/>
      <c r="CW59" s="46"/>
      <c r="CX59" s="46"/>
      <c r="CY59" s="46"/>
      <c r="CZ59" s="46"/>
      <c r="DA59" s="46"/>
      <c r="DB59" s="46"/>
    </row>
    <row r="60" ht="18" customHeight="1" spans="1:106" x14ac:dyDescent="0.25">
      <c r="A60" s="36" t="s">
        <v>269</v>
      </c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  <c r="BM60" s="46"/>
      <c r="BN60" s="46"/>
      <c r="BO60" s="46"/>
      <c r="BP60" s="46"/>
      <c r="BQ60" s="46"/>
      <c r="BR60" s="46"/>
      <c r="BS60" s="46"/>
      <c r="BT60" s="46"/>
      <c r="BU60" s="46"/>
      <c r="BV60" s="46"/>
      <c r="BW60" s="46"/>
      <c r="BX60" s="46"/>
      <c r="BY60" s="46"/>
      <c r="BZ60" s="46"/>
      <c r="CA60" s="46"/>
      <c r="CB60" s="46"/>
      <c r="CC60" s="46"/>
      <c r="CD60" s="46"/>
      <c r="CE60" s="46"/>
      <c r="CF60" s="46"/>
      <c r="CG60" s="46"/>
      <c r="CH60" s="46"/>
      <c r="CI60" s="46"/>
      <c r="CJ60" s="46"/>
      <c r="CK60" s="46"/>
      <c r="CL60" s="46"/>
      <c r="CM60" s="46"/>
      <c r="CN60" s="46"/>
      <c r="CO60" s="46"/>
      <c r="CP60" s="46"/>
      <c r="CQ60" s="46"/>
      <c r="CR60" s="46"/>
      <c r="CS60" s="46"/>
      <c r="CT60" s="46"/>
      <c r="CU60" s="46"/>
      <c r="CV60" s="46"/>
      <c r="CW60" s="46"/>
      <c r="CX60" s="46"/>
      <c r="CY60" s="46"/>
      <c r="CZ60" s="46"/>
      <c r="DA60" s="46"/>
      <c r="DB60" s="46"/>
    </row>
    <row r="61" ht="18" customHeight="1" spans="1:106" x14ac:dyDescent="0.25">
      <c r="A61" s="36" t="s">
        <v>288</v>
      </c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46"/>
      <c r="AS61" s="46"/>
      <c r="AT61" s="46"/>
      <c r="AU61" s="46"/>
      <c r="AV61" s="46"/>
      <c r="AW61" s="46"/>
      <c r="AX61" s="46"/>
      <c r="AY61" s="46"/>
      <c r="AZ61" s="46"/>
      <c r="BA61" s="46"/>
      <c r="BB61" s="46"/>
      <c r="BC61" s="46"/>
      <c r="BD61" s="46"/>
      <c r="BE61" s="46"/>
      <c r="BF61" s="46"/>
      <c r="BG61" s="46"/>
      <c r="BH61" s="46"/>
      <c r="BI61" s="46"/>
      <c r="BJ61" s="46"/>
      <c r="BK61" s="46"/>
      <c r="BL61" s="46"/>
      <c r="BM61" s="46"/>
      <c r="BN61" s="46"/>
      <c r="BO61" s="46"/>
      <c r="BP61" s="46"/>
      <c r="BQ61" s="46"/>
      <c r="BR61" s="46"/>
      <c r="BS61" s="46"/>
      <c r="BT61" s="46"/>
      <c r="BU61" s="46"/>
      <c r="BV61" s="46"/>
      <c r="BW61" s="46"/>
      <c r="BX61" s="46"/>
      <c r="BY61" s="46"/>
      <c r="BZ61" s="46"/>
      <c r="CA61" s="46"/>
      <c r="CB61" s="46"/>
      <c r="CC61" s="46"/>
      <c r="CD61" s="46"/>
      <c r="CE61" s="46"/>
      <c r="CF61" s="46"/>
      <c r="CG61" s="46"/>
      <c r="CH61" s="46"/>
      <c r="CI61" s="46"/>
      <c r="CJ61" s="46"/>
      <c r="CK61" s="46"/>
      <c r="CL61" s="46"/>
      <c r="CM61" s="46"/>
      <c r="CN61" s="46"/>
      <c r="CO61" s="46"/>
      <c r="CP61" s="46"/>
      <c r="CQ61" s="46"/>
      <c r="CR61" s="46"/>
      <c r="CS61" s="46"/>
      <c r="CT61" s="46"/>
      <c r="CU61" s="46"/>
      <c r="CV61" s="46"/>
      <c r="CW61" s="46"/>
      <c r="CX61" s="46"/>
      <c r="CY61" s="46"/>
      <c r="CZ61" s="46"/>
      <c r="DA61" s="46"/>
      <c r="DB61" s="46"/>
    </row>
    <row r="62" spans="1:1" x14ac:dyDescent="0.25">
      <c r="A62" s="36" t="s">
        <v>272</v>
      </c>
    </row>
    <row r="63" ht="18" customHeight="1" spans="1:1" x14ac:dyDescent="0.25">
      <c r="A63" s="36" t="s">
        <v>289</v>
      </c>
    </row>
    <row r="64" ht="18" customHeight="1" spans="1:106" x14ac:dyDescent="0.25">
      <c r="A64" s="36" t="s">
        <v>271</v>
      </c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/>
      <c r="AR64" s="46"/>
      <c r="AS64" s="46"/>
      <c r="AT64" s="46"/>
      <c r="AU64" s="46"/>
      <c r="AV64" s="46"/>
      <c r="AW64" s="46"/>
      <c r="AX64" s="46"/>
      <c r="AY64" s="46"/>
      <c r="AZ64" s="46"/>
      <c r="BA64" s="46"/>
      <c r="BB64" s="46"/>
      <c r="BC64" s="46"/>
      <c r="BD64" s="46"/>
      <c r="BE64" s="46"/>
      <c r="BF64" s="46"/>
      <c r="BG64" s="46"/>
      <c r="BH64" s="46"/>
      <c r="BI64" s="46"/>
      <c r="BJ64" s="46"/>
      <c r="BK64" s="46"/>
      <c r="BL64" s="46"/>
      <c r="BM64" s="46"/>
      <c r="BN64" s="46"/>
      <c r="BO64" s="46"/>
      <c r="BP64" s="46"/>
      <c r="BQ64" s="46"/>
      <c r="BR64" s="46"/>
      <c r="BS64" s="46"/>
      <c r="BT64" s="46"/>
      <c r="BU64" s="46"/>
      <c r="BV64" s="46"/>
      <c r="BW64" s="46"/>
      <c r="BX64" s="46"/>
      <c r="BY64" s="46"/>
      <c r="BZ64" s="46"/>
      <c r="CA64" s="46"/>
      <c r="CB64" s="46"/>
      <c r="CC64" s="46"/>
      <c r="CD64" s="46"/>
      <c r="CE64" s="46"/>
      <c r="CF64" s="46"/>
      <c r="CG64" s="46"/>
      <c r="CH64" s="46"/>
      <c r="CI64" s="46"/>
      <c r="CJ64" s="46"/>
      <c r="CK64" s="46"/>
      <c r="CL64" s="46"/>
      <c r="CM64" s="46"/>
      <c r="CN64" s="46"/>
      <c r="CO64" s="46"/>
      <c r="CP64" s="46"/>
      <c r="CQ64" s="46"/>
      <c r="CR64" s="46"/>
      <c r="CS64" s="46"/>
      <c r="CT64" s="46"/>
      <c r="CU64" s="46"/>
      <c r="CV64" s="46"/>
      <c r="CW64" s="46"/>
      <c r="CX64" s="46"/>
      <c r="CY64" s="46"/>
      <c r="CZ64" s="46"/>
      <c r="DA64" s="46"/>
      <c r="DB64" s="46"/>
    </row>
    <row r="65" spans="1:106" x14ac:dyDescent="0.25">
      <c r="A65" s="20" t="s">
        <v>290</v>
      </c>
      <c r="C65" s="31">
        <f>=IF(LEN(C66)&gt;0,C66/C19,"")</f>
        <v>0</v>
      </c>
      <c r="D65" s="31">
        <f>=IF(LEN(D66)&gt;0,D66/D19,"")</f>
        <v>0</v>
      </c>
      <c r="E65" s="31">
        <f>=IF(LEN(E66)&gt;0,E66/E19,"")</f>
        <v>0.02631578947368421</v>
      </c>
      <c r="F65" s="31">
        <f>=IF(LEN(F66)&gt;0,F66/F19,"")</f>
        <v>0</v>
      </c>
      <c r="G65" s="31">
        <f>=IF(LEN(G66)&gt;0,G66/G19,"")</f>
        <v>0</v>
      </c>
      <c r="H65" s="31">
        <f>=IF(LEN(H66)&gt;0,H66/H19,"")</f>
        <v>0</v>
      </c>
      <c r="I65" s="31">
        <f>=IF(LEN(I66)&gt;0,I66/I19,"")</f>
        <v>0</v>
      </c>
      <c r="J65" s="31">
        <f>=IF(LEN(J66)&gt;0,J66/J19,"")</f>
        <v>0</v>
      </c>
      <c r="K65" s="31">
        <f>=IF(LEN(K66)&gt;0,K66/K19,"")</f>
        <v>0</v>
      </c>
      <c r="L65" s="31">
        <f>=IF(LEN(L66)&gt;0,L66/L19,"")</f>
        <v>0</v>
      </c>
      <c r="M65" s="31">
        <f>=IF(LEN(M66)&gt;0,M66/M19,"")</f>
        <v>0</v>
      </c>
      <c r="N65" s="31">
        <f>=IF(LEN(N66)&gt;0,N66/N19,"")</f>
        <v>0.02631578947368421</v>
      </c>
      <c r="O65" s="31">
        <f>=IF(LEN(O66)&gt;0,O66/O19,"")</f>
        <v>0</v>
      </c>
      <c r="P65" s="31">
        <f>=IF(LEN(P66)&gt;0,P66/P19,"")</f>
        <v>0.02631578947368421</v>
      </c>
      <c r="Q65" s="31">
        <f>=IF(LEN(Q66)&gt;0,Q66/Q19,"")</f>
        <v>0.02702702702702703</v>
      </c>
      <c r="R65" s="31">
        <f>=IF(LEN(R66)&gt;0,R66/R19,"")</f>
        <v>0.027777777777777776</v>
      </c>
      <c r="S65" s="31">
        <f>=IF(LEN(S66)&gt;0,S66/S19,"")</f>
        <v>0</v>
      </c>
      <c r="T65" s="31">
        <f>=IF(LEN(T66)&gt;0,T66/T19,"")</f>
        <v>0.02857142857142857</v>
      </c>
      <c r="U65" s="31">
        <f>=IF(LEN(U66)&gt;0,U66/U19,"")</f>
        <v>0</v>
      </c>
      <c r="V65" s="31">
        <f>=IF(LEN(V66)&gt;0,V66/V19,"")</f>
        <v>0</v>
      </c>
      <c r="W65" s="31">
        <f>=IF(LEN(W66)&gt;0,W66/W19,"")</f>
        <v>0</v>
      </c>
      <c r="X65" s="31">
        <f>=IF(LEN(X66)&gt;0,X66/X19,"")</f>
        <v>0</v>
      </c>
      <c r="Y65" s="31">
        <f>=IF(LEN(Y66)&gt;0,Y66/Y19,"")</f>
        <v>0</v>
      </c>
      <c r="Z65" s="31">
        <f>=IF(LEN(Z66)&gt;0,Z66/Z19,"")</f>
        <v>0.029411764705882353</v>
      </c>
      <c r="AA65" s="31">
        <f>=IF(LEN(AA66)&gt;0,AA66/AA19,"")</f>
        <v>0</v>
      </c>
      <c r="AB65" s="31">
        <f>=IF(LEN(AB66)&gt;0,AB66/AB19,"")</f>
        <v>0</v>
      </c>
      <c r="AC65" s="31">
        <f>=IF(LEN(AC66)&gt;0,AC66/AC19,"")</f>
        <v>0</v>
      </c>
      <c r="AD65" s="31">
        <f>=IF(LEN(AD66)&gt;0,AD66/AD19,"")</f>
        <v>0</v>
      </c>
      <c r="AE65" s="31">
        <f>=IF(LEN(AE66)&gt;0,AE66/AE19,"")</f>
        <v>0</v>
      </c>
      <c r="AF65" s="31">
        <f>=IF(LEN(AF66)&gt;0,AF66/AF19,"")</f>
        <v>0</v>
      </c>
      <c r="AG65" s="31">
        <f>=IF(LEN(AG66)&gt;0,AG66/AG19,"")</f>
        <v>0.0625</v>
      </c>
      <c r="AH65" s="31">
        <f>=IF(LEN(AH66)&gt;0,AH66/AH19,"")</f>
        <v>0</v>
      </c>
      <c r="AI65" s="31">
        <f>=IF(LEN(AI66)&gt;0,AI66/AI19,"")</f>
        <v>0.03225806451612903</v>
      </c>
      <c r="AJ65" s="31">
        <f>=IF(LEN(AJ66)&gt;0,AJ66/AJ19,"")</f>
        <v>0</v>
      </c>
      <c r="AK65" s="31">
        <f>=IF(LEN(AK66)&gt;0,AK66/AK19,"")</f>
        <v>0</v>
      </c>
      <c r="AL65" s="31">
        <f>=IF(LEN(AL66)&gt;0,AL66/AL19,"")</f>
        <v>0</v>
      </c>
      <c r="AM65" s="31">
        <f>=IF(LEN(AM66)&gt;0,AM66/AM19,"")</f>
        <v>0</v>
      </c>
      <c r="AN65" s="31">
        <f>=IF(LEN(AN66)&gt;0,AN66/AN19,"")</f>
        <v>0</v>
      </c>
      <c r="AO65" s="31">
        <f>=IF(LEN(AO66)&gt;0,AO66/AO19,"")</f>
        <v>0</v>
      </c>
      <c r="AP65" s="31">
        <f>=IF(LEN(AP66)&gt;0,AP66/AP19,"")</f>
        <v>0</v>
      </c>
      <c r="AQ65" s="31">
        <f>=IF(LEN(AQ66)&gt;0,AQ66/AQ19,"")</f>
        <v>0</v>
      </c>
      <c r="AR65" s="31">
        <f>=IF(LEN(AR66)&gt;0,AR66/AR19,"")</f>
        <v>0</v>
      </c>
      <c r="AS65" s="31">
        <f>=IF(LEN(AS66)&gt;0,AS66/AS19,"")</f>
        <v>0</v>
      </c>
      <c r="AT65" s="31">
        <f>=IF(LEN(AT66)&gt;0,AT66/AT19,"")</f>
        <v>0</v>
      </c>
      <c r="AU65" s="31">
        <f>=IF(LEN(AU66)&gt;0,AU66/AU19,"")</f>
        <v>0</v>
      </c>
      <c r="AV65" s="31">
        <f>=IF(LEN(AV66)&gt;0,AV66/AV19,"")</f>
        <v>0</v>
      </c>
      <c r="AW65" s="31">
        <f>=IF(LEN(AW66)&gt;0,AW66/AW19,"")</f>
        <v>0.029411764705882353</v>
      </c>
      <c r="AX65" s="31">
        <f>=IF(LEN(AX66)&gt;0,AX66/AX19,"")</f>
        <v>0</v>
      </c>
      <c r="AY65" s="31">
        <f>=IF(LEN(AY66)&gt;0,AY66/AY19,"")</f>
        <v>0.027777777777777776</v>
      </c>
      <c r="AZ65" s="31">
        <f>=IF(LEN(AZ66)&gt;0,AZ66/AZ19,"")</f>
        <v>0</v>
      </c>
      <c r="BA65" s="31">
        <f>=IF(LEN(BA66)&gt;0,BA66/BA19,"")</f>
        <v>0</v>
      </c>
      <c r="BB65" s="31">
        <f>=IF(LEN(BB66)&gt;0,BB66/BB19,"")</f>
        <v>0</v>
      </c>
      <c r="BC65" s="31">
        <f>=IF(LEN(BC66)&gt;0,BC66/BC19,"")</f>
        <v>0.029411764705882353</v>
      </c>
      <c r="BD65" s="31">
        <f>=IF(LEN(BD66)&gt;0,BD66/BD19,"")</f>
        <v>0</v>
      </c>
      <c r="BE65" s="31">
        <f>=IF(LEN(BE66)&gt;0,BE66/BE19,"")</f>
        <v>0</v>
      </c>
      <c r="BF65" s="31">
        <f>=IF(LEN(BF66)&gt;0,BF66/BF19,"")</f>
        <v>0</v>
      </c>
      <c r="BG65" s="31">
        <f>=IF(LEN(BG66)&gt;0,BG66/BG19,"")</f>
        <v>0.030303030303030304</v>
      </c>
      <c r="BH65" s="31">
        <f>=IF(LEN(BH66)&gt;0,BH66/BH19,"")</f>
        <v>0</v>
      </c>
      <c r="BI65" s="31">
        <f>=IF(LEN(BI66)&gt;0,BI66/BI19,"")</f>
        <v>0</v>
      </c>
      <c r="BJ65" s="31">
        <f>=IF(LEN(BJ66)&gt;0,BJ66/BJ19,"")</f>
        <v>0</v>
      </c>
      <c r="BK65" s="31">
        <f>=IF(LEN(BK66)&gt;0,BK66/BK19,"")</f>
        <v>0</v>
      </c>
      <c r="BL65" s="31">
        <f>=IF(LEN(BL66)&gt;0,BL66/BL19,"")</f>
        <v>0</v>
      </c>
      <c r="BM65" s="31">
        <f>=IF(LEN(BM66)&gt;0,BM66/BM19,"")</f>
        <v>0</v>
      </c>
      <c r="BN65" s="31">
        <f>=IF(LEN(BN66)&gt;0,BN66/BN19,"")</f>
        <v>0</v>
      </c>
      <c r="BO65" s="31">
        <f>=IF(LEN(BO66)&gt;0,BO66/BO19,"")</f>
        <v>0</v>
      </c>
      <c r="BP65" s="31">
        <f>=IF(LEN(BP66)&gt;0,BP66/BP19,"")</f>
        <v>0</v>
      </c>
      <c r="BQ65" s="31">
        <f>=IF(LEN(BQ66)&gt;0,BQ66/BQ19,"")</f>
        <v>0</v>
      </c>
      <c r="BR65" s="31">
        <f>=IF(LEN(BR66)&gt;0,BR66/BR19,"")</f>
        <v>0</v>
      </c>
      <c r="BS65" s="31">
        <f>=IF(LEN(BS66)&gt;0,BS66/BS19,"")</f>
        <v>0</v>
      </c>
      <c r="BT65" s="31">
        <f>=IF(LEN(BT66)&gt;0,BT66/BT19,"")</f>
        <v>0</v>
      </c>
      <c r="BU65" s="31">
        <f>=IF(LEN(BU66)&gt;0,BU66/BU19,"")</f>
        <v>0</v>
      </c>
      <c r="BV65" s="30">
        <f>=IF(LEN(BV66)&gt;0,BV66/BV19,"")</f>
        <v>0</v>
      </c>
      <c r="BW65" s="30">
        <f>=IF(LEN(BW66)&gt;0,BW66/BW19,"")</f>
        <v>0</v>
      </c>
      <c r="BX65" s="30">
        <f>=IF(LEN(BX66)&gt;0,BX66/BX19,"")</f>
        <v>0</v>
      </c>
      <c r="BY65" s="30">
        <f>=IF(LEN(BY66)&gt;0,BY66/BY19,"")</f>
        <v>0</v>
      </c>
      <c r="BZ65" s="30" t="str">
        <f>=IF(LEN(BZ66)&gt;0,BZ66/BZ19,"")</f>
        <v/>
      </c>
      <c r="CA65" s="30" t="str">
        <f>=IF(LEN(CA66)&gt;0,CA66/CA19,"")</f>
        <v/>
      </c>
      <c r="CB65" s="30" t="str">
        <f>=IF(LEN(CB66)&gt;0,CB66/CB19,"")</f>
        <v/>
      </c>
      <c r="CC65" s="30" t="str">
        <f>=IF(LEN(CC66)&gt;0,CC66/CC19,"")</f>
        <v/>
      </c>
      <c r="CD65" s="30" t="str">
        <f>=IF(LEN(CD66)&gt;0,CD66/CD19,"")</f>
        <v/>
      </c>
      <c r="CE65" s="30" t="str">
        <f>=IF(LEN(CE66)&gt;0,CE66/CE19,"")</f>
        <v/>
      </c>
      <c r="CF65" s="30" t="str">
        <f>=IF(LEN(CF66)&gt;0,CF66/CF19,"")</f>
        <v/>
      </c>
      <c r="CG65" s="30" t="str">
        <f>=IF(LEN(CG66)&gt;0,CG66/CG19,"")</f>
        <v/>
      </c>
      <c r="CH65" s="30" t="str">
        <f>=IF(LEN(CH66)&gt;0,CH66/CH19,"")</f>
        <v/>
      </c>
      <c r="CI65" s="30" t="str">
        <f>=IF(LEN(CI66)&gt;0,CI66/CI19,"")</f>
        <v/>
      </c>
      <c r="CJ65" s="30" t="str">
        <f>=IF(LEN(CJ66)&gt;0,CJ66/CJ19,"")</f>
        <v/>
      </c>
      <c r="CK65" s="30" t="str">
        <f>=IF(LEN(CK66)&gt;0,CK66/CK19,"")</f>
        <v/>
      </c>
      <c r="CL65" s="30" t="str">
        <f>=IF(LEN(CL66)&gt;0,CL66/CL19,"")</f>
        <v/>
      </c>
      <c r="CM65" s="30" t="str">
        <f>=IF(LEN(CM66)&gt;0,CM66/CM19,"")</f>
        <v/>
      </c>
      <c r="CN65" s="30" t="str">
        <f>=IF(LEN(CN66)&gt;0,CN66/CN19,"")</f>
        <v/>
      </c>
      <c r="CO65" s="30" t="str">
        <f>=IF(LEN(CO66)&gt;0,CO66/CO19,"")</f>
        <v/>
      </c>
      <c r="CP65" s="30" t="str">
        <f>=IF(LEN(CP66)&gt;0,CP66/CP19,"")</f>
        <v/>
      </c>
      <c r="CQ65" s="30" t="str">
        <f>=IF(LEN(CQ66)&gt;0,CQ66/CQ19,"")</f>
        <v/>
      </c>
      <c r="CR65" s="30" t="str">
        <f>=IF(LEN(CR66)&gt;0,CR66/CR19,"")</f>
        <v/>
      </c>
      <c r="CS65" s="30" t="str">
        <f>=IF(LEN(CS66)&gt;0,CS66/CS19,"")</f>
        <v/>
      </c>
      <c r="CT65" s="30" t="str">
        <f>=IF(LEN(CT66)&gt;0,CT66/CT19,"")</f>
        <v/>
      </c>
      <c r="CU65" s="30" t="str">
        <f>=IF(LEN(CU66)&gt;0,CU66/CU19,"")</f>
        <v/>
      </c>
      <c r="CV65" s="30" t="str">
        <f>=IF(LEN(CV66)&gt;0,CV66/CV19,"")</f>
        <v/>
      </c>
      <c r="CW65" s="30" t="str">
        <f>=IF(LEN(CW66)&gt;0,CW66/CW19,"")</f>
        <v/>
      </c>
      <c r="CX65" s="30" t="str">
        <f>=IF(LEN(CX66)&gt;0,CX66/CX19,"")</f>
        <v/>
      </c>
      <c r="CY65" s="30" t="str">
        <f>=IF(LEN(CY66)&gt;0,CY66/CY19,"")</f>
        <v/>
      </c>
      <c r="CZ65" s="30" t="str">
        <f>=IF(LEN(CZ66)&gt;0,CZ66/CZ19,"")</f>
        <v/>
      </c>
      <c r="DA65" s="30" t="str">
        <f>=IF(LEN(DA66)&gt;0,DA66/DA19,"")</f>
        <v/>
      </c>
      <c r="DB65" s="30" t="str">
        <f>=IF(LEN(DB66)&gt;0,DB66/DB19,"")</f>
        <v/>
      </c>
    </row>
    <row r="66" spans="1:106" x14ac:dyDescent="0.25">
      <c r="A66" s="36" t="s">
        <v>291</v>
      </c>
      <c r="C66" s="30">
        <f>=IF(Len(C82)&gt;0,C82,"")</f>
        <v>0</v>
      </c>
      <c r="D66" s="30">
        <f>=IF(Len(D82)&gt;0,D82,"")</f>
        <v>0</v>
      </c>
      <c r="E66" s="30">
        <f>=IF(Len(E82)&gt;0,E82,"")</f>
        <v>1</v>
      </c>
      <c r="F66" s="30">
        <f>=IF(Len(F82)&gt;0,F82,"")</f>
        <v>0</v>
      </c>
      <c r="G66" s="30">
        <f>=IF(Len(G82)&gt;0,G82,"")</f>
        <v>0</v>
      </c>
      <c r="H66" s="30">
        <f>=IF(Len(H82)&gt;0,H82,"")</f>
        <v>0</v>
      </c>
      <c r="I66" s="30">
        <f>=IF(Len(I82)&gt;0,I82,"")</f>
        <v>0</v>
      </c>
      <c r="J66" s="30">
        <f>=IF(Len(J82)&gt;0,J82,"")</f>
        <v>0</v>
      </c>
      <c r="K66" s="30">
        <f>=IF(Len(K82)&gt;0,K82,"")</f>
        <v>0</v>
      </c>
      <c r="L66" s="30">
        <f>=IF(Len(L82)&gt;0,L82,"")</f>
        <v>0</v>
      </c>
      <c r="M66" s="30">
        <f>=IF(Len(M82)&gt;0,M82,"")</f>
        <v>0</v>
      </c>
      <c r="N66" s="30">
        <f>=IF(Len(N82)&gt;0,N82,"")</f>
        <v>1</v>
      </c>
      <c r="O66" s="30">
        <f>=IF(Len(O82)&gt;0,O82,"")</f>
        <v>0</v>
      </c>
      <c r="P66" s="30">
        <f>=IF(Len(P82)&gt;0,P82,"")</f>
        <v>1</v>
      </c>
      <c r="Q66" s="30">
        <f>=IF(Len(Q82)&gt;0,Q82,"")</f>
        <v>1</v>
      </c>
      <c r="R66" s="30">
        <f>=IF(Len(R82)&gt;0,R82,"")</f>
        <v>1</v>
      </c>
      <c r="S66" s="30">
        <f>=IF(Len(S82)&gt;0,S82,"")</f>
        <v>0</v>
      </c>
      <c r="T66" s="30">
        <f>=IF(Len(T82)&gt;0,T82,"")</f>
        <v>1</v>
      </c>
      <c r="U66" s="30">
        <f>=IF(Len(U82)&gt;0,U82,"")</f>
        <v>0</v>
      </c>
      <c r="V66" s="30">
        <f>=IF(Len(V82)&gt;0,V82,"")</f>
        <v>0</v>
      </c>
      <c r="W66" s="30">
        <f>=IF(Len(W82)&gt;0,W82,"")</f>
        <v>0</v>
      </c>
      <c r="X66" s="30">
        <f>=IF(Len(X82)&gt;0,X82,"")</f>
        <v>0</v>
      </c>
      <c r="Y66" s="30">
        <f>=IF(Len(Y82)&gt;0,Y82,"")</f>
        <v>0</v>
      </c>
      <c r="Z66" s="30">
        <f>=IF(Len(Z82)&gt;0,Z82,"")</f>
        <v>1</v>
      </c>
      <c r="AA66" s="30">
        <f>=IF(Len(AA82)&gt;0,AA82,"")</f>
        <v>0</v>
      </c>
      <c r="AB66" s="30">
        <f>=IF(Len(AB82)&gt;0,AB82,"")</f>
        <v>0</v>
      </c>
      <c r="AC66" s="30">
        <f>=IF(Len(AC82)&gt;0,AC82,"")</f>
        <v>0</v>
      </c>
      <c r="AD66" s="30">
        <f>=IF(Len(AD82)&gt;0,AD82,"")</f>
        <v>0</v>
      </c>
      <c r="AE66" s="30">
        <f>=IF(Len(AE82)&gt;0,AE82,"")</f>
        <v>0</v>
      </c>
      <c r="AF66" s="30">
        <f>=IF(Len(AF82)&gt;0,AF82,"")</f>
        <v>0</v>
      </c>
      <c r="AG66" s="30">
        <f>=IF(Len(AG82)&gt;0,AG82,"")</f>
        <v>2</v>
      </c>
      <c r="AH66" s="30">
        <f>=IF(Len(AH82)&gt;0,AH82,"")</f>
        <v>0</v>
      </c>
      <c r="AI66" s="30">
        <f>=IF(Len(AI82)&gt;0,AI82,"")</f>
        <v>1</v>
      </c>
      <c r="AJ66" s="30">
        <f>=IF(Len(AJ82)&gt;0,AJ82,"")</f>
        <v>0</v>
      </c>
      <c r="AK66" s="30">
        <f>=IF(Len(AK82)&gt;0,AK82,"")</f>
        <v>0</v>
      </c>
      <c r="AL66" s="30">
        <f>=IF(Len(AL82)&gt;0,AL82,"")</f>
        <v>0</v>
      </c>
      <c r="AM66" s="30">
        <f>=IF(Len(AM82)&gt;0,AM82,"")</f>
        <v>0</v>
      </c>
      <c r="AN66" s="30">
        <f>=IF(Len(AN82)&gt;0,AN82,"")</f>
        <v>0</v>
      </c>
      <c r="AO66" s="30">
        <f>=IF(Len(AO82)&gt;0,AO82,"")</f>
        <v>0</v>
      </c>
      <c r="AP66" s="30">
        <f>=IF(Len(AP82)&gt;0,AP82,"")</f>
        <v>0</v>
      </c>
      <c r="AQ66" s="30">
        <f>=IF(Len(AQ82)&gt;0,AQ82,"")</f>
        <v>0</v>
      </c>
      <c r="AR66" s="30">
        <f>=IF(Len(AR82)&gt;0,AR82,"")</f>
        <v>0</v>
      </c>
      <c r="AS66" s="30">
        <f>=IF(Len(AS82)&gt;0,AS82,"")</f>
        <v>0</v>
      </c>
      <c r="AT66" s="30">
        <f>=IF(Len(AT82)&gt;0,AT82,"")</f>
        <v>0</v>
      </c>
      <c r="AU66" s="30">
        <f>=IF(Len(AU82)&gt;0,AU82,"")</f>
        <v>0</v>
      </c>
      <c r="AV66" s="30">
        <f>=IF(Len(AV82)&gt;0,AV82,"")</f>
        <v>0</v>
      </c>
      <c r="AW66" s="30">
        <f>=IF(Len(AW82)&gt;0,AW82,"")</f>
        <v>1</v>
      </c>
      <c r="AX66" s="30">
        <f>=IF(Len(AX82)&gt;0,AX82,"")</f>
        <v>0</v>
      </c>
      <c r="AY66" s="30">
        <f>=IF(Len(AY82)&gt;0,AY82,"")</f>
        <v>1</v>
      </c>
      <c r="AZ66" s="30">
        <f>=IF(Len(AZ82)&gt;0,AZ82,"")</f>
        <v>0</v>
      </c>
      <c r="BA66" s="30">
        <f>=IF(Len(BA82)&gt;0,BA82,"")</f>
        <v>0</v>
      </c>
      <c r="BB66" s="30">
        <f>=IF(Len(BB82)&gt;0,BB82,"")</f>
        <v>0</v>
      </c>
      <c r="BC66" s="30">
        <f>=IF(Len(BC82)&gt;0,BC82,"")</f>
        <v>1</v>
      </c>
      <c r="BD66" s="30">
        <f>=IF(Len(BD82)&gt;0,BD82,"")</f>
        <v>0</v>
      </c>
      <c r="BE66" s="30">
        <f>=IF(Len(BE82)&gt;0,BE82,"")</f>
        <v>0</v>
      </c>
      <c r="BF66" s="30">
        <f>=IF(Len(BF82)&gt;0,BF82,"")</f>
        <v>0</v>
      </c>
      <c r="BG66" s="30">
        <f>=IF(Len(BG82)&gt;0,BG82,"")</f>
        <v>1</v>
      </c>
      <c r="BH66" s="30">
        <f>=IF(Len(BH82)&gt;0,BH82,"")</f>
        <v>0</v>
      </c>
      <c r="BI66" s="30">
        <f>=IF(Len(BI82)&gt;0,BI82,"")</f>
        <v>0</v>
      </c>
      <c r="BJ66" s="30">
        <f>=IF(Len(BJ82)&gt;0,BJ82,"")</f>
        <v>0</v>
      </c>
      <c r="BK66" s="30">
        <f>=IF(Len(BK82)&gt;0,BK82,"")</f>
        <v>0</v>
      </c>
      <c r="BL66" s="30">
        <f>=IF(Len(BL82)&gt;0,BL82,"")</f>
        <v>0</v>
      </c>
      <c r="BM66" s="30">
        <f>=IF(Len(BM82)&gt;0,BM82,"")</f>
        <v>0</v>
      </c>
      <c r="BN66" s="30">
        <f>=IF(Len(BN82)&gt;0,BN82,"")</f>
        <v>0</v>
      </c>
      <c r="BO66" s="30">
        <f>=IF(Len(BO82)&gt;0,BO82,"")</f>
        <v>0</v>
      </c>
      <c r="BP66" s="30">
        <f>=IF(Len(BP82)&gt;0,BP82,"")</f>
        <v>0</v>
      </c>
      <c r="BQ66" s="30">
        <f>=IF(Len(BQ82)&gt;0,BQ82,"")</f>
        <v>0</v>
      </c>
      <c r="BR66" s="30">
        <f>=IF(Len(BR82)&gt;0,BR82,"")</f>
        <v>0</v>
      </c>
      <c r="BS66" s="30">
        <f>=IF(Len(BS82)&gt;0,BS82,"")</f>
        <v>0</v>
      </c>
      <c r="BT66" s="30">
        <f>=IF(Len(BT82)&gt;0,BT82,"")</f>
        <v>0</v>
      </c>
      <c r="BU66" s="30">
        <f>=IF(Len(BU82)&gt;0,BU82,"")</f>
        <v>0</v>
      </c>
      <c r="BV66" s="30">
        <f>=IF(Len(BV82)&gt;0,BV82,"")</f>
        <v>0</v>
      </c>
      <c r="BW66" s="30">
        <f>=IF(Len(BW82)&gt;0,BW82,"")</f>
        <v>0</v>
      </c>
      <c r="BX66" s="30">
        <f>=IF(Len(BX82)&gt;0,BX82,"")</f>
        <v>0</v>
      </c>
      <c r="BY66" s="30">
        <f>=IF(Len(BY82)&gt;0,BY82,"")</f>
        <v>0</v>
      </c>
      <c r="BZ66" s="30" t="str">
        <f>=IF(Len(BZ82)&gt;0,BZ82,"")</f>
        <v/>
      </c>
      <c r="CA66" s="30" t="str">
        <f>=IF(Len(CA82)&gt;0,CA82,"")</f>
        <v/>
      </c>
      <c r="CB66" s="30" t="str">
        <f>=IF(Len(CB82)&gt;0,CB82,"")</f>
        <v/>
      </c>
      <c r="CC66" s="30" t="str">
        <f>=IF(Len(CC82)&gt;0,CC82,"")</f>
        <v/>
      </c>
      <c r="CD66" s="30" t="str">
        <f>=IF(Len(CD82)&gt;0,CD82,"")</f>
        <v/>
      </c>
      <c r="CE66" s="30" t="str">
        <f>=IF(Len(CE82)&gt;0,CE82,"")</f>
        <v/>
      </c>
      <c r="CF66" s="30" t="str">
        <f>=IF(Len(CF82)&gt;0,CF82,"")</f>
        <v/>
      </c>
      <c r="CG66" s="30" t="str">
        <f>=IF(Len(CG82)&gt;0,CG82,"")</f>
        <v/>
      </c>
      <c r="CH66" s="30" t="str">
        <f>=IF(Len(CH82)&gt;0,CH82,"")</f>
        <v/>
      </c>
      <c r="CI66" s="30" t="str">
        <f>=IF(Len(CI82)&gt;0,CI82,"")</f>
        <v/>
      </c>
      <c r="CJ66" s="30" t="str">
        <f>=IF(Len(CJ82)&gt;0,CJ82,"")</f>
        <v/>
      </c>
      <c r="CK66" s="30" t="str">
        <f>=IF(Len(CK82)&gt;0,CK82,"")</f>
        <v/>
      </c>
      <c r="CL66" s="30" t="str">
        <f>=IF(Len(CL82)&gt;0,CL82,"")</f>
        <v/>
      </c>
      <c r="CM66" s="30" t="str">
        <f>=IF(Len(CM82)&gt;0,CM82,"")</f>
        <v/>
      </c>
      <c r="CN66" s="30" t="str">
        <f>=IF(Len(CN82)&gt;0,CN82,"")</f>
        <v/>
      </c>
      <c r="CO66" s="30" t="str">
        <f>=IF(Len(CO82)&gt;0,CO82,"")</f>
        <v/>
      </c>
      <c r="CP66" s="30" t="str">
        <f>=IF(Len(CP82)&gt;0,CP82,"")</f>
        <v/>
      </c>
      <c r="CQ66" s="30" t="str">
        <f>=IF(Len(CQ82)&gt;0,CQ82,"")</f>
        <v/>
      </c>
      <c r="CR66" s="30" t="str">
        <f>=IF(Len(CR82)&gt;0,CR82,"")</f>
        <v/>
      </c>
      <c r="CS66" s="30" t="str">
        <f>=IF(Len(CS82)&gt;0,CS82,"")</f>
        <v/>
      </c>
      <c r="CT66" s="30" t="str">
        <f>=IF(Len(CT82)&gt;0,CT82,"")</f>
        <v/>
      </c>
      <c r="CU66" s="30" t="str">
        <f>=IF(Len(CU82)&gt;0,CU82,"")</f>
        <v/>
      </c>
      <c r="CV66" s="30" t="str">
        <f>=IF(Len(CV82)&gt;0,CV82,"")</f>
        <v/>
      </c>
      <c r="CW66" s="30" t="str">
        <f>=IF(Len(CW82)&gt;0,CW82,"")</f>
        <v/>
      </c>
      <c r="CX66" s="30" t="str">
        <f>=IF(Len(CX82)&gt;0,CX82,"")</f>
        <v/>
      </c>
      <c r="CY66" s="30" t="str">
        <f>=IF(Len(CY82)&gt;0,CY82,"")</f>
        <v/>
      </c>
      <c r="CZ66" s="30" t="str">
        <f>=IF(Len(CZ82)&gt;0,CZ82,"")</f>
        <v/>
      </c>
      <c r="DA66" s="30" t="str">
        <f>=IF(Len(DA82)&gt;0,DA82,"")</f>
        <v/>
      </c>
      <c r="DB66" s="30" t="str">
        <f>=IF(Len(DB82)&gt;0,DB82,"")</f>
        <v/>
      </c>
    </row>
    <row r="67" spans="1:106" x14ac:dyDescent="0.25">
      <c r="A67" s="20" t="s">
        <v>292</v>
      </c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1">
        <f>=IF(LEN(BB68)&gt;0,IF(BB68&lt;=0,0,BB68/(((SUM(BA119:BA128)-BA128)+(SUM(BB119:BB128)-BB119)/2))),"")</f>
        <v>0</v>
      </c>
      <c r="BC67" s="31">
        <f>=IF(LEN(BC68)&gt;0,IF(BC68&lt;=0,0,BC68/(((SUM(BB119:BB128)-BB128)+(SUM(BC119:BC128)-BC119)/2))),"")</f>
        <v>0</v>
      </c>
      <c r="BD67" s="31">
        <f>=IF(LEN(BD68)&gt;0,IF(BD68&lt;=0,0,BD68/(((SUM(BC119:BC128)-BC128)+(SUM(BD119:BD128)-BD119)/2))),"")</f>
        <v>0</v>
      </c>
      <c r="BE67" s="31">
        <f>=IF(LEN(BE68)&gt;0,IF(BE68&lt;=0,0,BE68/(((SUM(BD119:BD128)-BD128)+(SUM(BE119:BE128)-BE119)/2))),"")</f>
        <v>0</v>
      </c>
      <c r="BF67" s="31">
        <f>=IF(LEN(BF68)&gt;0,IF(BF68&lt;=0,0,BF68/(((SUM(BE119:BE128)-BE128)+(SUM(BF119:BF128)-BF119)/2))),"")</f>
        <v>0</v>
      </c>
      <c r="BG67" s="31">
        <f>=IF(LEN(BG68)&gt;0,IF(BG68&lt;=0,0,BG68/(((SUM(BF119:BF128)-BF128)+(SUM(BG119:BG128)-BG119)/2))),"")</f>
        <v>0</v>
      </c>
      <c r="BH67" s="31">
        <f>=IF(LEN(BH68)&gt;0,IF(BH68&lt;=0,0,BH68/(((SUM(BG119:BG128)-BG128)+(SUM(BH119:BH128)-BH119)/2))),"")</f>
        <v>0</v>
      </c>
      <c r="BI67" s="31">
        <f>=IF(LEN(BI68)&gt;0,IF(BI68&lt;=0,0,BI68/(((SUM(BH119:BH128)-BH128)+(SUM(BI119:BI128)-BI119)/2))),"")</f>
        <v>0</v>
      </c>
      <c r="BJ67" s="31">
        <f>=IF(LEN(BJ68)&gt;0,IF(BJ68&lt;=0,0,BJ68/(((SUM(BI119:BI128)-BI128)+(SUM(BJ119:BJ128)-BJ119)/2))),"")</f>
        <v>0</v>
      </c>
      <c r="BK67" s="31">
        <f>=IF(LEN(BK68)&gt;0,IF(BK68&lt;=0,0,BK68/(((SUM(BJ119:BJ128)-BJ128)+(SUM(BK119:BK128)-BK119)/2))),"")</f>
        <v>0</v>
      </c>
      <c r="BL67" s="31">
        <f>=IF(LEN(BL68)&gt;0,IF(BL68&lt;=0,0,BL68/(((SUM(BK119:BK128)-BK128)+(SUM(BL119:BL128)-BL119)/2))),"")</f>
        <v>0</v>
      </c>
      <c r="BM67" s="31">
        <f>=IF(LEN(BM68)&gt;0,IF(BM68&lt;=0,0,BM68/(((SUM(BL119:BL128)-BL128)+(SUM(BM119:BM128)-BM119)/2))),"")</f>
        <v>0</v>
      </c>
      <c r="BN67" s="31">
        <f>=IF(LEN(BN68)&gt;0,IF(BN68&lt;=0,0,BN68/(((SUM(BM119:BM128)-BM128)+(SUM(BN119:BN128)-BN119)/2))),"")</f>
        <v>0</v>
      </c>
      <c r="BO67" s="31">
        <f>=IF(LEN(BO68)&gt;0,IF(BO68&lt;=0,0,BO68/(((SUM(BN119:BN128)-BN128)+(SUM(BO119:BO128)-BO119)/2))),"")</f>
        <v>0</v>
      </c>
      <c r="BP67" s="31">
        <f>=IF(LEN(BP68)&gt;0,IF(BP68&lt;=0,0,BP68/(((SUM(BO119:BO128)-BO128)+(SUM(BP119:BP128)-BP119)/2))),"")</f>
        <v>0</v>
      </c>
      <c r="BQ67" s="31">
        <f>=IF(LEN(BQ68)&gt;0,IF(BQ68&lt;=0,0,BQ68/(((SUM(BP119:BP128)-BP128)+(SUM(BQ119:BQ128)-BQ119)/2))),"")</f>
        <v>0</v>
      </c>
      <c r="BR67" s="31">
        <f>=IF(LEN(BR68)&gt;0,IF(BR68&lt;=0,0,BR68/(((SUM(BQ119:BQ128)-BQ128)+(SUM(BR119:BR128)-BR119)/2))),"")</f>
        <v>0</v>
      </c>
      <c r="BS67" s="31">
        <f>=IF(LEN(BS68)&gt;0,IF(BS68&lt;=0,0,BS68/(((SUM(BR119:BR128)-BR128)+(SUM(BS119:BS128)-BS119)/2))),"")</f>
        <v>0</v>
      </c>
      <c r="BT67" s="31">
        <f>=IF(LEN(BT68)&gt;0,IF(BT68&lt;=0,0,BT68/(((SUM(BS119:BS128)-BS128)+(SUM(BT119:BT128)-BT119)/2))),"")</f>
        <v>0</v>
      </c>
      <c r="BU67" s="31">
        <f>=IF(LEN(BU68)&gt;0,IF(BU68&lt;=0,0,BU68/(((SUM(BT119:BT128)-BT128)+(SUM(BU119:BU128)-BU119)/2))),"")</f>
        <v>0</v>
      </c>
      <c r="BV67" s="30">
        <f>=IF(LEN(BV68)&gt;0,IF(BV68&lt;=0,0,BV68/(((SUM(BU119:BU128)-BU128)+(SUM(BV119:BV128)-BV119)/2))),"")</f>
        <v>0</v>
      </c>
      <c r="BW67" s="30" t="str">
        <f>=IF(LEN(BW68)&gt;0,IF(BW68&lt;=0,0,BW68/(((SUM(BV119:BV128)-BV128)+(SUM(BW119:BW128)-BW119)/2))),"")</f>
        <v/>
      </c>
      <c r="BX67" s="30" t="str">
        <f>=IF(LEN(BX68)&gt;0,IF(BX68&lt;=0,0,BX68/(((SUM(BW119:BW128)-BW128)+(SUM(BX119:BX128)-BX119)/2))),"")</f>
        <v/>
      </c>
      <c r="BY67" s="30" t="str">
        <f>=IF(LEN(BY68)&gt;0,IF(BY68&lt;=0,0,BY68/(((SUM(BX119:BX128)-BX128)+(SUM(BY119:BY128)-BY119)/2))),"")</f>
        <v/>
      </c>
      <c r="BZ67" s="30" t="str">
        <f>=IF(LEN(BZ68)&gt;0,IF(BZ68&lt;=0,0,BZ68/(((SUM(BY119:BY128)-BY128)+(SUM(BZ119:BZ128)-BZ119)/2))),"")</f>
        <v/>
      </c>
      <c r="CA67" s="30" t="str">
        <f>=IF(LEN(CA68)&gt;0,IF(CA68&lt;=0,0,CA68/(((SUM(BZ119:BZ128)-BZ128)+(SUM(CA119:CA128)-CA119)/2))),"")</f>
        <v/>
      </c>
      <c r="CB67" s="30" t="str">
        <f>=IF(LEN(CB68)&gt;0,IF(CB68&lt;=0,0,CB68/(((SUM(CA119:CA128)-CA128)+(SUM(CB119:CB128)-CB119)/2))),"")</f>
        <v/>
      </c>
      <c r="CC67" s="30" t="str">
        <f>=IF(LEN(CC68)&gt;0,IF(CC68&lt;=0,0,CC68/(((SUM(CB119:CB128)-CB128)+(SUM(CC119:CC128)-CC119)/2))),"")</f>
        <v/>
      </c>
      <c r="CD67" s="30" t="str">
        <f>=IF(LEN(CD68)&gt;0,IF(CD68&lt;=0,0,CD68/(((SUM(CC119:CC128)-CC128)+(SUM(CD119:CD128)-CD119)/2))),"")</f>
        <v/>
      </c>
      <c r="CE67" s="30" t="str">
        <f>=IF(LEN(CE68)&gt;0,IF(CE68&lt;=0,0,CE68/(((SUM(CD119:CD128)-CD128)+(SUM(CE119:CE128)-CE119)/2))),"")</f>
        <v/>
      </c>
      <c r="CF67" s="30" t="str">
        <f>=IF(LEN(CF68)&gt;0,IF(CF68&lt;=0,0,CF68/(((SUM(CE119:CE128)-CE128)+(SUM(CF119:CF128)-CF119)/2))),"")</f>
        <v/>
      </c>
      <c r="CG67" s="30" t="str">
        <f>=IF(LEN(CG68)&gt;0,IF(CG68&lt;=0,0,CG68/(((SUM(CF119:CF128)-CF128)+(SUM(CG119:CG128)-CG119)/2))),"")</f>
        <v/>
      </c>
      <c r="CH67" s="30" t="str">
        <f>=IF(LEN(CH68)&gt;0,IF(CH68&lt;=0,0,CH68/(((SUM(CG119:CG128)-CG128)+(SUM(CH119:CH128)-CH119)/2))),"")</f>
        <v/>
      </c>
      <c r="CI67" s="30" t="str">
        <f>=IF(LEN(CI68)&gt;0,IF(CI68&lt;=0,0,CI68/(((SUM(CH119:CH128)-CH128)+(SUM(CI119:CI128)-CI119)/2))),"")</f>
        <v/>
      </c>
      <c r="CJ67" s="30" t="str">
        <f>=IF(LEN(CJ68)&gt;0,IF(CJ68&lt;=0,0,CJ68/(((SUM(CI119:CI128)-CI128)+(SUM(CJ119:CJ128)-CJ119)/2))),"")</f>
        <v/>
      </c>
      <c r="CK67" s="30" t="str">
        <f>=IF(LEN(CK68)&gt;0,IF(CK68&lt;=0,0,CK68/(((SUM(CJ119:CJ128)-CJ128)+(SUM(CK119:CK128)-CK119)/2))),"")</f>
        <v/>
      </c>
      <c r="CL67" s="30" t="str">
        <f>=IF(LEN(CL68)&gt;0,IF(CL68&lt;=0,0,CL68/(((SUM(CK119:CK128)-CK128)+(SUM(CL119:CL128)-CL119)/2))),"")</f>
        <v/>
      </c>
      <c r="CM67" s="30" t="str">
        <f>=IF(LEN(CM68)&gt;0,IF(CM68&lt;=0,0,CM68/(((SUM(CL119:CL128)-CL128)+(SUM(CM119:CM128)-CM119)/2))),"")</f>
        <v/>
      </c>
      <c r="CN67" s="30" t="str">
        <f>=IF(LEN(CN68)&gt;0,IF(CN68&lt;=0,0,CN68/(((SUM(CM119:CM128)-CM128)+(SUM(CN119:CN128)-CN119)/2))),"")</f>
        <v/>
      </c>
      <c r="CO67" s="30" t="str">
        <f>=IF(LEN(CO68)&gt;0,IF(CO68&lt;=0,0,CO68/(((SUM(CN119:CN128)-CN128)+(SUM(CO119:CO128)-CO119)/2))),"")</f>
        <v/>
      </c>
      <c r="CP67" s="30" t="str">
        <f>=IF(LEN(CP68)&gt;0,IF(CP68&lt;=0,0,CP68/(((SUM(CO119:CO128)-CO128)+(SUM(CP119:CP128)-CP119)/2))),"")</f>
        <v/>
      </c>
      <c r="CQ67" s="30" t="str">
        <f>=IF(LEN(CQ68)&gt;0,IF(CQ68&lt;=0,0,CQ68/(((SUM(CP119:CP128)-CP128)+(SUM(CQ119:CQ128)-CQ119)/2))),"")</f>
        <v/>
      </c>
      <c r="CR67" s="30" t="str">
        <f>=IF(LEN(CR68)&gt;0,IF(CR68&lt;=0,0,CR68/(((SUM(CQ119:CQ128)-CQ128)+(SUM(CR119:CR128)-CR119)/2))),"")</f>
        <v/>
      </c>
      <c r="CS67" s="30" t="str">
        <f>=IF(LEN(CS68)&gt;0,IF(CS68&lt;=0,0,CS68/(((SUM(CR119:CR128)-CR128)+(SUM(CS119:CS128)-CS119)/2))),"")</f>
        <v/>
      </c>
      <c r="CT67" s="30" t="str">
        <f>=IF(LEN(CT68)&gt;0,IF(CT68&lt;=0,0,CT68/(((SUM(CS119:CS128)-CS128)+(SUM(CT119:CT128)-CT119)/2))),"")</f>
        <v/>
      </c>
      <c r="CU67" s="30" t="str">
        <f>=IF(LEN(CU68)&gt;0,IF(CU68&lt;=0,0,CU68/(((SUM(CT119:CT128)-CT128)+(SUM(CU119:CU128)-CU119)/2))),"")</f>
        <v/>
      </c>
      <c r="CV67" s="30" t="str">
        <f>=IF(LEN(CV68)&gt;0,IF(CV68&lt;=0,0,CV68/(((SUM(CU119:CU128)-CU128)+(SUM(CV119:CV128)-CV119)/2))),"")</f>
        <v/>
      </c>
      <c r="CW67" s="30" t="str">
        <f>=IF(LEN(CW68)&gt;0,IF(CW68&lt;=0,0,CW68/(((SUM(CV119:CV128)-CV128)+(SUM(CW119:CW128)-CW119)/2))),"")</f>
        <v/>
      </c>
      <c r="CX67" s="30" t="str">
        <f>=IF(LEN(CX68)&gt;0,IF(CX68&lt;=0,0,CX68/(((SUM(CW119:CW128)-CW128)+(SUM(CX119:CX128)-CX119)/2))),"")</f>
        <v/>
      </c>
      <c r="CY67" s="30" t="str">
        <f>=IF(LEN(CY68)&gt;0,IF(CY68&lt;=0,0,CY68/(((SUM(CX119:CX128)-CX128)+(SUM(CY119:CY128)-CY119)/2))),"")</f>
        <v/>
      </c>
      <c r="CZ67" s="30" t="str">
        <f>=IF(LEN(CZ68)&gt;0,IF(CZ68&lt;=0,0,CZ68/(((SUM(CY119:CY128)-CY128)+(SUM(CZ119:CZ128)-CZ119)/2))),"")</f>
        <v/>
      </c>
      <c r="DA67" s="30" t="str">
        <f>=IF(LEN(DA68)&gt;0,IF(DA68&lt;=0,0,DA68/(((SUM(CZ119:CZ128)-CZ128)+(SUM(DA119:DA128)-DA119)/2))),"")</f>
        <v/>
      </c>
      <c r="DB67" s="30" t="str">
        <f>=IF(LEN(DB68)&gt;0,IF(DB68&lt;=0,0,DB68/(((SUM(DA119:DA128)-DA128)+(SUM(DB119:DB128)-DB119)/2))),"")</f>
        <v/>
      </c>
    </row>
    <row r="68" spans="1:106" x14ac:dyDescent="0.25">
      <c r="A68" s="36" t="s">
        <v>293</v>
      </c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>
        <f>=IF(DATEVALUE(BB4)&lt;=$C$2-WEEKDAY($C$2,1)+1,IF(SUM(BA119:BA128)&lt;=0,0,(SUM(BA119:BA128)-BA128)-(SUM(BB119:BB128)-BB119)),"")</f>
        <v>0</v>
      </c>
      <c r="BC68" s="30">
        <f>=IF(DATEVALUE(BC4)&lt;=$C$2-WEEKDAY($C$2,1)+1,IF(SUM(BB119:BB128)&lt;=0,0,(SUM(BB119:BB128)-BB128)-(SUM(BC119:BC128)-BC119)),"")</f>
        <v>0</v>
      </c>
      <c r="BD68" s="30">
        <f>=IF(DATEVALUE(BD4)&lt;=$C$2-WEEKDAY($C$2,1)+1,IF(SUM(BC119:BC128)&lt;=0,0,(SUM(BC119:BC128)-BC128)-(SUM(BD119:BD128)-BD119)),"")</f>
        <v>0</v>
      </c>
      <c r="BE68" s="30">
        <f>=IF(DATEVALUE(BE4)&lt;=$C$2-WEEKDAY($C$2,1)+1,IF(SUM(BD119:BD128)&lt;=0,0,(SUM(BD119:BD128)-BD128)-(SUM(BE119:BE128)-BE119)),"")</f>
        <v>0</v>
      </c>
      <c r="BF68" s="30">
        <f>=IF(DATEVALUE(BF4)&lt;=$C$2-WEEKDAY($C$2,1)+1,IF(SUM(BE119:BE128)&lt;=0,0,(SUM(BE119:BE128)-BE128)-(SUM(BF119:BF128)-BF119)),"")</f>
        <v>0</v>
      </c>
      <c r="BG68" s="30">
        <f>=IF(DATEVALUE(BG4)&lt;=$C$2-WEEKDAY($C$2,1)+1,IF(SUM(BF119:BF128)&lt;=0,0,(SUM(BF119:BF128)-BF128)-(SUM(BG119:BG128)-BG119)),"")</f>
        <v>0</v>
      </c>
      <c r="BH68" s="30">
        <f>=IF(DATEVALUE(BH4)&lt;=$C$2-WEEKDAY($C$2,1)+1,IF(SUM(BG119:BG128)&lt;=0,0,(SUM(BG119:BG128)-BG128)-(SUM(BH119:BH128)-BH119)),"")</f>
        <v>0</v>
      </c>
      <c r="BI68" s="30">
        <f>=IF(DATEVALUE(BI4)&lt;=$C$2-WEEKDAY($C$2,1)+1,IF(SUM(BH119:BH128)&lt;=0,0,(SUM(BH119:BH128)-BH128)-(SUM(BI119:BI128)-BI119)),"")</f>
        <v>0</v>
      </c>
      <c r="BJ68" s="30">
        <f>=IF(DATEVALUE(BJ4)&lt;=$C$2-WEEKDAY($C$2,1)+1,IF(SUM(BI119:BI128)&lt;=0,0,(SUM(BI119:BI128)-BI128)-(SUM(BJ119:BJ128)-BJ119)),"")</f>
        <v>0</v>
      </c>
      <c r="BK68" s="30">
        <f>=IF(DATEVALUE(BK4)&lt;=$C$2-WEEKDAY($C$2,1)+1,IF(SUM(BJ119:BJ128)&lt;=0,0,(SUM(BJ119:BJ128)-BJ128)-(SUM(BK119:BK128)-BK119)),"")</f>
        <v>0</v>
      </c>
      <c r="BL68" s="30">
        <f>=IF(DATEVALUE(BL4)&lt;=$C$2-WEEKDAY($C$2,1)+1,IF(SUM(BK119:BK128)&lt;=0,0,(SUM(BK119:BK128)-BK128)-(SUM(BL119:BL128)-BL119)),"")</f>
        <v>0</v>
      </c>
      <c r="BM68" s="30">
        <f>=IF(DATEVALUE(BM4)&lt;=$C$2-WEEKDAY($C$2,1)+1,IF(SUM(BL119:BL128)&lt;=0,0,(SUM(BL119:BL128)-BL128)-(SUM(BM119:BM128)-BM119)),"")</f>
        <v>0</v>
      </c>
      <c r="BN68" s="30">
        <f>=IF(DATEVALUE(BN4)&lt;=$C$2-WEEKDAY($C$2,1)+1,IF(SUM(BM119:BM128)&lt;=0,0,(SUM(BM119:BM128)-BM128)-(SUM(BN119:BN128)-BN119)),"")</f>
        <v>0</v>
      </c>
      <c r="BO68" s="30">
        <f>=IF(DATEVALUE(BO4)&lt;=$C$2-WEEKDAY($C$2,1)+1,IF(SUM(BN119:BN128)&lt;=0,0,(SUM(BN119:BN128)-BN128)-(SUM(BO119:BO128)-BO119)),"")</f>
        <v>0</v>
      </c>
      <c r="BP68" s="30">
        <f>=IF(DATEVALUE(BP4)&lt;=$C$2-WEEKDAY($C$2,1)+1,IF(SUM(BO119:BO128)&lt;=0,0,(SUM(BO119:BO128)-BO128)-(SUM(BP119:BP128)-BP119)),"")</f>
        <v>0</v>
      </c>
      <c r="BQ68" s="30">
        <f>=IF(DATEVALUE(BQ4)&lt;=$C$2-WEEKDAY($C$2,1)+1,IF(SUM(BP119:BP128)&lt;=0,0,(SUM(BP119:BP128)-BP128)-(SUM(BQ119:BQ128)-BQ119)),"")</f>
        <v>0</v>
      </c>
      <c r="BR68" s="30">
        <f>=IF(DATEVALUE(BR4)&lt;=$C$2-WEEKDAY($C$2,1)+1,IF(SUM(BQ119:BQ128)&lt;=0,0,(SUM(BQ119:BQ128)-BQ128)-(SUM(BR119:BR128)-BR119)),"")</f>
        <v>0</v>
      </c>
      <c r="BS68" s="30">
        <f>=IF(DATEVALUE(BS4)&lt;=$C$2-WEEKDAY($C$2,1)+1,IF(SUM(BR119:BR128)&lt;=0,0,(SUM(BR119:BR128)-BR128)-(SUM(BS119:BS128)-BS119)),"")</f>
        <v>0</v>
      </c>
      <c r="BT68" s="30">
        <f>=IF(DATEVALUE(BT4)&lt;=$C$2-WEEKDAY($C$2,1)+1,IF(SUM(BS119:BS128)&lt;=0,0,(SUM(BS119:BS128)-BS128)-(SUM(BT119:BT128)-BT119)),"")</f>
        <v>0</v>
      </c>
      <c r="BU68" s="30">
        <f>=IF(DATEVALUE(BU4)&lt;=$C$2-WEEKDAY($C$2,1)+1,IF(SUM(BT119:BT128)&lt;=0,0,(SUM(BT119:BT128)-BT128)-(SUM(BU119:BU128)-BU119)),"")</f>
        <v>0</v>
      </c>
      <c r="BV68" s="30">
        <f>=IF(DATEVALUE(BV4)&lt;=$C$2-WEEKDAY($C$2,1)+1,IF(SUM(BU119:BU128)&lt;=0,0,(SUM(BU119:BU128)-BU128)-(SUM(BV119:BV128)-BV119)),"")</f>
        <v>0</v>
      </c>
      <c r="BW68" s="30" t="str">
        <f>=IF(DATEVALUE(BW4)&lt;=$C$2-WEEKDAY($C$2,1)+1,IF(SUM(BV119:BV128)&lt;=0,0,(SUM(BV119:BV128)-BV128)-(SUM(BW119:BW128)-BW119)),"")</f>
        <v/>
      </c>
      <c r="BX68" s="30" t="str">
        <f>=IF(DATEVALUE(BX4)&lt;=$C$2-WEEKDAY($C$2,1)+1,IF(SUM(BW119:BW128)&lt;=0,0,(SUM(BW119:BW128)-BW128)-(SUM(BX119:BX128)-BX119)),"")</f>
        <v/>
      </c>
      <c r="BY68" s="30" t="str">
        <f>=IF(DATEVALUE(BY4)&lt;=$C$2-WEEKDAY($C$2,1)+1,IF(SUM(BX119:BX128)&lt;=0,0,(SUM(BX119:BX128)-BX128)-(SUM(BY119:BY128)-BY119)),"")</f>
        <v/>
      </c>
      <c r="BZ68" s="30" t="str">
        <f>=IF(DATEVALUE(BZ4)&lt;=$C$2-WEEKDAY($C$2,1)+1,IF(SUM(BY119:BY128)&lt;=0,0,(SUM(BY119:BY128)-BY128)-(SUM(BZ119:BZ128)-BZ119)),"")</f>
        <v/>
      </c>
      <c r="CA68" s="30" t="str">
        <f>=IF(DATEVALUE(CA4)&lt;=$C$2-WEEKDAY($C$2,1)+1,IF(SUM(BZ119:BZ128)&lt;=0,0,(SUM(BZ119:BZ128)-BZ128)-(SUM(CA119:CA128)-CA119)),"")</f>
        <v/>
      </c>
      <c r="CB68" s="30" t="str">
        <f>=IF(DATEVALUE(CB4)&lt;=$C$2-WEEKDAY($C$2,1)+1,IF(SUM(CA119:CA128)&lt;=0,0,(SUM(CA119:CA128)-CA128)-(SUM(CB119:CB128)-CB119)),"")</f>
        <v/>
      </c>
      <c r="CC68" s="30" t="str">
        <f>=IF(DATEVALUE(CC4)&lt;=$C$2-WEEKDAY($C$2,1)+1,IF(SUM(CB119:CB128)&lt;=0,0,(SUM(CB119:CB128)-CB128)-(SUM(CC119:CC128)-CC119)),"")</f>
        <v/>
      </c>
      <c r="CD68" s="30" t="str">
        <f>=IF(DATEVALUE(CD4)&lt;=$C$2-WEEKDAY($C$2,1)+1,IF(SUM(CC119:CC128)&lt;=0,0,(SUM(CC119:CC128)-CC128)-(SUM(CD119:CD128)-CD119)),"")</f>
        <v/>
      </c>
      <c r="CE68" s="30" t="str">
        <f>=IF(DATEVALUE(CE4)&lt;=$C$2-WEEKDAY($C$2,1)+1,IF(SUM(CD119:CD128)&lt;=0,0,(SUM(CD119:CD128)-CD128)-(SUM(CE119:CE128)-CE119)),"")</f>
        <v/>
      </c>
      <c r="CF68" s="30" t="str">
        <f>=IF(DATEVALUE(CF4)&lt;=$C$2-WEEKDAY($C$2,1)+1,IF(SUM(CE119:CE128)&lt;=0,0,(SUM(CE119:CE128)-CE128)-(SUM(CF119:CF128)-CF119)),"")</f>
        <v/>
      </c>
      <c r="CG68" s="30" t="str">
        <f>=IF(DATEVALUE(CG4)&lt;=$C$2-WEEKDAY($C$2,1)+1,IF(SUM(CF119:CF128)&lt;=0,0,(SUM(CF119:CF128)-CF128)-(SUM(CG119:CG128)-CG119)),"")</f>
        <v/>
      </c>
      <c r="CH68" s="30" t="str">
        <f>=IF(DATEVALUE(CH4)&lt;=$C$2-WEEKDAY($C$2,1)+1,IF(SUM(CG119:CG128)&lt;=0,0,(SUM(CG119:CG128)-CG128)-(SUM(CH119:CH128)-CH119)),"")</f>
        <v/>
      </c>
      <c r="CI68" s="30" t="str">
        <f>=IF(DATEVALUE(CI4)&lt;=$C$2-WEEKDAY($C$2,1)+1,IF(SUM(CH119:CH128)&lt;=0,0,(SUM(CH119:CH128)-CH128)-(SUM(CI119:CI128)-CI119)),"")</f>
        <v/>
      </c>
      <c r="CJ68" s="30" t="str">
        <f>=IF(DATEVALUE(CJ4)&lt;=$C$2-WEEKDAY($C$2,1)+1,IF(SUM(CI119:CI128)&lt;=0,0,(SUM(CI119:CI128)-CI128)-(SUM(CJ119:CJ128)-CJ119)),"")</f>
        <v/>
      </c>
      <c r="CK68" s="30" t="str">
        <f>=IF(DATEVALUE(CK4)&lt;=$C$2-WEEKDAY($C$2,1)+1,IF(SUM(CJ119:CJ128)&lt;=0,0,(SUM(CJ119:CJ128)-CJ128)-(SUM(CK119:CK128)-CK119)),"")</f>
        <v/>
      </c>
      <c r="CL68" s="30" t="str">
        <f>=IF(DATEVALUE(CL4)&lt;=$C$2-WEEKDAY($C$2,1)+1,IF(SUM(CK119:CK128)&lt;=0,0,(SUM(CK119:CK128)-CK128)-(SUM(CL119:CL128)-CL119)),"")</f>
        <v/>
      </c>
      <c r="CM68" s="30" t="str">
        <f>=IF(DATEVALUE(CM4)&lt;=$C$2-WEEKDAY($C$2,1)+1,IF(SUM(CL119:CL128)&lt;=0,0,(SUM(CL119:CL128)-CL128)-(SUM(CM119:CM128)-CM119)),"")</f>
        <v/>
      </c>
      <c r="CN68" s="30" t="str">
        <f>=IF(DATEVALUE(CN4)&lt;=$C$2-WEEKDAY($C$2,1)+1,IF(SUM(CM119:CM128)&lt;=0,0,(SUM(CM119:CM128)-CM128)-(SUM(CN119:CN128)-CN119)),"")</f>
        <v/>
      </c>
      <c r="CO68" s="30" t="str">
        <f>=IF(DATEVALUE(CO4)&lt;=$C$2-WEEKDAY($C$2,1)+1,IF(SUM(CN119:CN128)&lt;=0,0,(SUM(CN119:CN128)-CN128)-(SUM(CO119:CO128)-CO119)),"")</f>
        <v/>
      </c>
      <c r="CP68" s="30" t="str">
        <f>=IF(DATEVALUE(CP4)&lt;=$C$2-WEEKDAY($C$2,1)+1,IF(SUM(CO119:CO128)&lt;=0,0,(SUM(CO119:CO128)-CO128)-(SUM(CP119:CP128)-CP119)),"")</f>
        <v/>
      </c>
      <c r="CQ68" s="30" t="str">
        <f>=IF(DATEVALUE(CQ4)&lt;=$C$2-WEEKDAY($C$2,1)+1,IF(SUM(CP119:CP128)&lt;=0,0,(SUM(CP119:CP128)-CP128)-(SUM(CQ119:CQ128)-CQ119)),"")</f>
        <v/>
      </c>
      <c r="CR68" s="30" t="str">
        <f>=IF(DATEVALUE(CR4)&lt;=$C$2-WEEKDAY($C$2,1)+1,IF(SUM(CQ119:CQ128)&lt;=0,0,(SUM(CQ119:CQ128)-CQ128)-(SUM(CR119:CR128)-CR119)),"")</f>
        <v/>
      </c>
      <c r="CS68" s="30" t="str">
        <f>=IF(DATEVALUE(CS4)&lt;=$C$2-WEEKDAY($C$2,1)+1,IF(SUM(CR119:CR128)&lt;=0,0,(SUM(CR119:CR128)-CR128)-(SUM(CS119:CS128)-CS119)),"")</f>
        <v/>
      </c>
      <c r="CT68" s="30" t="str">
        <f>=IF(DATEVALUE(CT4)&lt;=$C$2-WEEKDAY($C$2,1)+1,IF(SUM(CS119:CS128)&lt;=0,0,(SUM(CS119:CS128)-CS128)-(SUM(CT119:CT128)-CT119)),"")</f>
        <v/>
      </c>
      <c r="CU68" s="30" t="str">
        <f>=IF(DATEVALUE(CU4)&lt;=$C$2-WEEKDAY($C$2,1)+1,IF(SUM(CT119:CT128)&lt;=0,0,(SUM(CT119:CT128)-CT128)-(SUM(CU119:CU128)-CU119)),"")</f>
        <v/>
      </c>
      <c r="CV68" s="30" t="str">
        <f>=IF(DATEVALUE(CV4)&lt;=$C$2-WEEKDAY($C$2,1)+1,IF(SUM(CU119:CU128)&lt;=0,0,(SUM(CU119:CU128)-CU128)-(SUM(CV119:CV128)-CV119)),"")</f>
        <v/>
      </c>
      <c r="CW68" s="30" t="str">
        <f>=IF(DATEVALUE(CW4)&lt;=$C$2-WEEKDAY($C$2,1)+1,IF(SUM(CV119:CV128)&lt;=0,0,(SUM(CV119:CV128)-CV128)-(SUM(CW119:CW128)-CW119)),"")</f>
        <v/>
      </c>
      <c r="CX68" s="30" t="str">
        <f>=IF(DATEVALUE(CX4)&lt;=$C$2-WEEKDAY($C$2,1)+1,IF(SUM(CW119:CW128)&lt;=0,0,(SUM(CW119:CW128)-CW128)-(SUM(CX119:CX128)-CX119)),"")</f>
        <v/>
      </c>
      <c r="CY68" s="30" t="str">
        <f>=IF(DATEVALUE(CY4)&lt;=$C$2-WEEKDAY($C$2,1)+1,IF(SUM(CX119:CX128)&lt;=0,0,(SUM(CX119:CX128)-CX128)-(SUM(CY119:CY128)-CY119)),"")</f>
        <v/>
      </c>
      <c r="CZ68" s="30" t="str">
        <f>=IF(DATEVALUE(CZ4)&lt;=$C$2-WEEKDAY($C$2,1)+1,IF(SUM(CY119:CY128)&lt;=0,0,(SUM(CY119:CY128)-CY128)-(SUM(CZ119:CZ128)-CZ119)),"")</f>
        <v/>
      </c>
      <c r="DA68" s="30" t="str">
        <f>=IF(DATEVALUE(DA4)&lt;=$C$2-WEEKDAY($C$2,1)+1,IF(SUM(CZ119:CZ128)&lt;=0,0,(SUM(CZ119:CZ128)-CZ128)-(SUM(DA119:DA128)-DA119)),"")</f>
        <v/>
      </c>
      <c r="DB68" s="30" t="str">
        <f>=IF(DATEVALUE(DB4)&lt;=$C$2-WEEKDAY($C$2,1)+1,IF(SUM(DA119:DA128)&lt;=0,0,(SUM(DA119:DA128)-DA128)-(SUM(DB119:DB128)-DB119)),"")</f>
        <v/>
      </c>
    </row>
    <row r="69" spans="1:106" x14ac:dyDescent="0.25">
      <c r="A69" s="16" t="s">
        <v>294</v>
      </c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  <c r="BP69" s="30"/>
      <c r="BQ69" s="30"/>
      <c r="BR69" s="30"/>
      <c r="BS69" s="30"/>
      <c r="BT69" s="30"/>
      <c r="BU69" s="30"/>
      <c r="BV69" s="30"/>
      <c r="BW69" s="30"/>
      <c r="BX69" s="30"/>
      <c r="BY69" s="30"/>
      <c r="BZ69" s="30"/>
      <c r="CA69" s="30"/>
      <c r="CB69" s="30"/>
      <c r="CC69" s="30"/>
      <c r="CD69" s="30"/>
      <c r="CE69" s="30"/>
      <c r="CF69" s="30"/>
      <c r="CG69" s="30"/>
      <c r="CH69" s="30"/>
      <c r="CI69" s="30"/>
      <c r="CJ69" s="30"/>
      <c r="CK69" s="30"/>
      <c r="CL69" s="30"/>
      <c r="CM69" s="30"/>
      <c r="CN69" s="30"/>
      <c r="CO69" s="30"/>
      <c r="CP69" s="30"/>
      <c r="CQ69" s="30"/>
      <c r="CR69" s="30"/>
      <c r="CS69" s="30"/>
      <c r="CT69" s="30"/>
      <c r="CU69" s="30"/>
      <c r="CV69" s="30"/>
      <c r="CW69" s="30"/>
      <c r="CX69" s="30"/>
      <c r="CY69" s="30"/>
      <c r="CZ69" s="30"/>
      <c r="DA69" s="30"/>
      <c r="DB69" s="30"/>
    </row>
    <row r="70" spans="1:106" x14ac:dyDescent="0.25">
      <c r="A70" s="16" t="s">
        <v>282</v>
      </c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/>
      <c r="BO70" s="30"/>
      <c r="BP70" s="30"/>
      <c r="BQ70" s="30"/>
      <c r="BR70" s="30"/>
      <c r="BS70" s="30"/>
      <c r="BT70" s="30"/>
      <c r="BU70" s="30"/>
      <c r="BV70" s="30"/>
      <c r="BW70" s="30"/>
      <c r="BX70" s="30"/>
      <c r="BY70" s="30"/>
      <c r="BZ70" s="30"/>
      <c r="CA70" s="30"/>
      <c r="CB70" s="30"/>
      <c r="CC70" s="30"/>
      <c r="CD70" s="30"/>
      <c r="CE70" s="30"/>
      <c r="CF70" s="30"/>
      <c r="CG70" s="30"/>
      <c r="CH70" s="30"/>
      <c r="CI70" s="30"/>
      <c r="CJ70" s="30"/>
      <c r="CK70" s="30"/>
      <c r="CL70" s="30"/>
      <c r="CM70" s="30"/>
      <c r="CN70" s="30"/>
      <c r="CO70" s="30"/>
      <c r="CP70" s="30"/>
      <c r="CQ70" s="30"/>
      <c r="CR70" s="30"/>
      <c r="CS70" s="30"/>
      <c r="CT70" s="30"/>
      <c r="CU70" s="30"/>
      <c r="CV70" s="30"/>
      <c r="CW70" s="30"/>
      <c r="CX70" s="30"/>
      <c r="CY70" s="30"/>
      <c r="CZ70" s="30"/>
      <c r="DA70" s="30"/>
      <c r="DB70" s="30"/>
    </row>
    <row r="71" spans="3:106" x14ac:dyDescent="0.25"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30"/>
      <c r="BN71" s="30"/>
      <c r="BO71" s="30"/>
      <c r="BP71" s="30"/>
      <c r="BQ71" s="30"/>
      <c r="BR71" s="30"/>
      <c r="BS71" s="30"/>
      <c r="BT71" s="30"/>
      <c r="BU71" s="30"/>
      <c r="BV71" s="30"/>
      <c r="BW71" s="30"/>
      <c r="BX71" s="30"/>
      <c r="BY71" s="30"/>
      <c r="BZ71" s="30"/>
      <c r="CA71" s="30"/>
      <c r="CB71" s="30"/>
      <c r="CC71" s="30"/>
      <c r="CD71" s="30"/>
      <c r="CE71" s="30"/>
      <c r="CF71" s="30"/>
      <c r="CG71" s="30"/>
      <c r="CH71" s="30"/>
      <c r="CI71" s="30"/>
      <c r="CJ71" s="30"/>
      <c r="CK71" s="30"/>
      <c r="CL71" s="30"/>
      <c r="CM71" s="30"/>
      <c r="CN71" s="30"/>
      <c r="CO71" s="30"/>
      <c r="CP71" s="30"/>
      <c r="CQ71" s="30"/>
      <c r="CR71" s="30"/>
      <c r="CS71" s="30"/>
      <c r="CT71" s="30"/>
      <c r="CU71" s="30"/>
      <c r="CV71" s="30"/>
      <c r="CW71" s="30"/>
      <c r="CX71" s="30"/>
      <c r="CY71" s="30"/>
      <c r="CZ71" s="30"/>
      <c r="DA71" s="30"/>
      <c r="DB71" s="30"/>
    </row>
    <row r="72" spans="1:106" x14ac:dyDescent="0.25">
      <c r="A72" s="49" t="s">
        <v>295</v>
      </c>
      <c r="B72" s="17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2"/>
      <c r="CH72" s="32"/>
      <c r="CI72" s="32"/>
      <c r="CJ72" s="32"/>
      <c r="CK72" s="32"/>
      <c r="CL72" s="32"/>
      <c r="CM72" s="32"/>
      <c r="CN72" s="32"/>
      <c r="CO72" s="32"/>
      <c r="CP72" s="32"/>
      <c r="CQ72" s="32"/>
      <c r="CR72" s="32"/>
      <c r="CS72" s="32"/>
      <c r="CT72" s="32"/>
      <c r="CU72" s="32"/>
      <c r="CV72" s="32"/>
      <c r="CW72" s="32"/>
      <c r="CX72" s="32"/>
      <c r="CY72" s="32"/>
      <c r="CZ72" s="32"/>
      <c r="DA72" s="32"/>
      <c r="DB72" s="32"/>
    </row>
    <row r="73" ht="15" customHeight="1" spans="1:106" x14ac:dyDescent="0.25">
      <c r="A73" s="16" t="s">
        <v>296</v>
      </c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</row>
    <row r="74" ht="15" customHeight="1" spans="1:106" x14ac:dyDescent="0.25">
      <c r="A74" s="16" t="s">
        <v>297</v>
      </c>
      <c r="B74" s="17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  <c r="BC74" s="50"/>
      <c r="BD74" s="50"/>
      <c r="BE74" s="50"/>
      <c r="BF74" s="50"/>
      <c r="BG74" s="50"/>
      <c r="BH74" s="50"/>
      <c r="BI74" s="50"/>
      <c r="BJ74" s="50"/>
      <c r="BK74" s="50"/>
      <c r="BL74" s="50"/>
      <c r="BM74" s="50"/>
      <c r="BN74" s="50"/>
      <c r="BO74" s="50"/>
      <c r="BP74" s="50"/>
      <c r="BQ74" s="50"/>
      <c r="BR74" s="50"/>
      <c r="BS74" s="50"/>
      <c r="BT74" s="50"/>
      <c r="BU74" s="50"/>
      <c r="BV74" s="50"/>
      <c r="BW74" s="50"/>
      <c r="BX74" s="50"/>
      <c r="BY74" s="50"/>
      <c r="BZ74" s="50"/>
      <c r="CA74" s="50"/>
      <c r="CB74" s="50"/>
      <c r="CC74" s="50"/>
      <c r="CD74" s="50"/>
      <c r="CE74" s="50"/>
      <c r="CF74" s="50"/>
      <c r="CG74" s="50"/>
      <c r="CH74" s="50"/>
      <c r="CI74" s="50"/>
      <c r="CJ74" s="50"/>
      <c r="CK74" s="50"/>
      <c r="CL74" s="50"/>
      <c r="CM74" s="50"/>
      <c r="CN74" s="50"/>
      <c r="CO74" s="50"/>
      <c r="CP74" s="50"/>
      <c r="CQ74" s="50"/>
      <c r="CR74" s="50"/>
      <c r="CS74" s="50"/>
      <c r="CT74" s="50"/>
      <c r="CU74" s="50"/>
      <c r="CV74" s="50"/>
      <c r="CW74" s="50"/>
      <c r="CX74" s="50"/>
      <c r="CY74" s="50"/>
      <c r="CZ74" s="50"/>
      <c r="DA74" s="50"/>
      <c r="DB74" s="50"/>
    </row>
    <row r="75" ht="15" customHeight="1" spans="1:106" x14ac:dyDescent="0.25">
      <c r="A75" s="51" t="s">
        <v>298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</row>
    <row r="76" ht="15" customHeight="1" spans="1:106" x14ac:dyDescent="0.25">
      <c r="A76" s="16" t="s">
        <v>299</v>
      </c>
      <c r="B76" s="17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50"/>
      <c r="AR76" s="50"/>
      <c r="AS76" s="50"/>
      <c r="AT76" s="50"/>
      <c r="AU76" s="50"/>
      <c r="AV76" s="50"/>
      <c r="AW76" s="50"/>
      <c r="AX76" s="50"/>
      <c r="AY76" s="50"/>
      <c r="AZ76" s="50"/>
      <c r="BA76" s="50"/>
      <c r="BB76" s="50"/>
      <c r="BC76" s="50"/>
      <c r="BD76" s="50"/>
      <c r="BE76" s="50"/>
      <c r="BF76" s="50"/>
      <c r="BG76" s="50"/>
      <c r="BH76" s="50"/>
      <c r="BI76" s="50"/>
      <c r="BJ76" s="50"/>
      <c r="BK76" s="50"/>
      <c r="BL76" s="50"/>
      <c r="BM76" s="50"/>
      <c r="BN76" s="50"/>
      <c r="BO76" s="50"/>
      <c r="BP76" s="50"/>
      <c r="BQ76" s="50"/>
      <c r="BR76" s="50"/>
      <c r="BS76" s="50"/>
      <c r="BT76" s="50"/>
      <c r="BU76" s="50"/>
      <c r="BV76" s="50"/>
      <c r="BW76" s="50"/>
      <c r="BX76" s="50"/>
      <c r="BY76" s="50"/>
      <c r="BZ76" s="50"/>
      <c r="CA76" s="50"/>
      <c r="CB76" s="50"/>
      <c r="CC76" s="50"/>
      <c r="CD76" s="50"/>
      <c r="CE76" s="50"/>
      <c r="CF76" s="50"/>
      <c r="CG76" s="50"/>
      <c r="CH76" s="50"/>
      <c r="CI76" s="50"/>
      <c r="CJ76" s="50"/>
      <c r="CK76" s="50"/>
      <c r="CL76" s="50"/>
      <c r="CM76" s="50"/>
      <c r="CN76" s="50"/>
      <c r="CO76" s="50"/>
      <c r="CP76" s="50"/>
      <c r="CQ76" s="50"/>
      <c r="CR76" s="50"/>
      <c r="CS76" s="50"/>
      <c r="CT76" s="50"/>
      <c r="CU76" s="50"/>
      <c r="CV76" s="50"/>
      <c r="CW76" s="50"/>
      <c r="CX76" s="50"/>
      <c r="CY76" s="50"/>
      <c r="CZ76" s="50"/>
      <c r="DA76" s="50"/>
      <c r="DB76" s="50"/>
    </row>
    <row r="77" ht="15" customHeight="1" spans="1:106" x14ac:dyDescent="0.25">
      <c r="A77" s="16" t="s">
        <v>300</v>
      </c>
      <c r="B77" s="17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50"/>
      <c r="BC77" s="50"/>
      <c r="BD77" s="50"/>
      <c r="BE77" s="50"/>
      <c r="BF77" s="50"/>
      <c r="BG77" s="50"/>
      <c r="BH77" s="50"/>
      <c r="BI77" s="50"/>
      <c r="BJ77" s="50"/>
      <c r="BK77" s="50"/>
      <c r="BL77" s="50"/>
      <c r="BM77" s="50"/>
      <c r="BN77" s="50"/>
      <c r="BO77" s="50"/>
      <c r="BP77" s="50"/>
      <c r="BQ77" s="50"/>
      <c r="BR77" s="50"/>
      <c r="BS77" s="50"/>
      <c r="BT77" s="50"/>
      <c r="BU77" s="50"/>
      <c r="BV77" s="50"/>
      <c r="BW77" s="50"/>
      <c r="BX77" s="50"/>
      <c r="BY77" s="50"/>
      <c r="BZ77" s="50"/>
      <c r="CA77" s="50"/>
      <c r="CB77" s="50"/>
      <c r="CC77" s="50"/>
      <c r="CD77" s="50"/>
      <c r="CE77" s="50"/>
      <c r="CF77" s="50"/>
      <c r="CG77" s="50"/>
      <c r="CH77" s="50"/>
      <c r="CI77" s="50"/>
      <c r="CJ77" s="50"/>
      <c r="CK77" s="50"/>
      <c r="CL77" s="50"/>
      <c r="CM77" s="50"/>
      <c r="CN77" s="50"/>
      <c r="CO77" s="50"/>
      <c r="CP77" s="50"/>
      <c r="CQ77" s="50"/>
      <c r="CR77" s="50"/>
      <c r="CS77" s="50"/>
      <c r="CT77" s="50"/>
      <c r="CU77" s="50"/>
      <c r="CV77" s="50"/>
      <c r="CW77" s="50"/>
      <c r="CX77" s="50"/>
      <c r="CY77" s="50"/>
      <c r="CZ77" s="50"/>
      <c r="DA77" s="50"/>
      <c r="DB77" s="50"/>
    </row>
    <row r="78" ht="15" customHeight="1" spans="1:106" x14ac:dyDescent="0.25">
      <c r="A78" s="16" t="s">
        <v>301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</row>
    <row r="79" spans="3:106" x14ac:dyDescent="0.25"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  <c r="BK79" s="30"/>
      <c r="BL79" s="30"/>
      <c r="BM79" s="30"/>
      <c r="BN79" s="30"/>
      <c r="BO79" s="30"/>
      <c r="BP79" s="30"/>
      <c r="BQ79" s="30"/>
      <c r="BR79" s="30"/>
      <c r="BS79" s="30"/>
      <c r="BT79" s="30"/>
      <c r="BU79" s="30"/>
      <c r="BV79" s="30"/>
      <c r="BW79" s="30"/>
      <c r="BX79" s="30"/>
      <c r="BY79" s="30"/>
      <c r="BZ79" s="30"/>
      <c r="CA79" s="30"/>
      <c r="CB79" s="30"/>
      <c r="CC79" s="30"/>
      <c r="CD79" s="30"/>
      <c r="CE79" s="30"/>
      <c r="CF79" s="30"/>
      <c r="CG79" s="30"/>
      <c r="CH79" s="30"/>
      <c r="CI79" s="30"/>
      <c r="CJ79" s="30"/>
      <c r="CK79" s="30"/>
      <c r="CL79" s="30"/>
      <c r="CM79" s="30"/>
      <c r="CN79" s="30"/>
      <c r="CO79" s="30"/>
      <c r="CP79" s="30"/>
      <c r="CQ79" s="30"/>
      <c r="CR79" s="30"/>
      <c r="CS79" s="30"/>
      <c r="CT79" s="30"/>
      <c r="CU79" s="30"/>
      <c r="CV79" s="30"/>
      <c r="CW79" s="30"/>
      <c r="CX79" s="30"/>
      <c r="CY79" s="30"/>
      <c r="CZ79" s="30"/>
      <c r="DA79" s="30"/>
      <c r="DB79" s="30"/>
    </row>
    <row r="80" spans="1:106" x14ac:dyDescent="0.25">
      <c r="A80" s="9" t="s">
        <v>302</v>
      </c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30"/>
      <c r="BN80" s="30"/>
      <c r="BO80" s="30"/>
      <c r="BP80" s="30"/>
      <c r="BQ80" s="30"/>
      <c r="BR80" s="30"/>
      <c r="BS80" s="30"/>
      <c r="BT80" s="30"/>
      <c r="BU80" s="30"/>
      <c r="BV80" s="30"/>
      <c r="BW80" s="30"/>
      <c r="BX80" s="30"/>
      <c r="BY80" s="30"/>
      <c r="BZ80" s="30"/>
      <c r="CA80" s="30"/>
      <c r="CB80" s="30"/>
      <c r="CC80" s="30"/>
      <c r="CD80" s="30"/>
      <c r="CE80" s="30"/>
      <c r="CF80" s="30"/>
      <c r="CG80" s="30"/>
      <c r="CH80" s="30"/>
      <c r="CI80" s="30"/>
      <c r="CJ80" s="30"/>
      <c r="CK80" s="30"/>
      <c r="CL80" s="30"/>
      <c r="CM80" s="30"/>
      <c r="CN80" s="30"/>
      <c r="CO80" s="30"/>
      <c r="CP80" s="30"/>
      <c r="CQ80" s="30"/>
      <c r="CR80" s="30"/>
      <c r="CS80" s="30"/>
      <c r="CT80" s="30"/>
      <c r="CU80" s="30"/>
      <c r="CV80" s="30"/>
      <c r="CW80" s="30"/>
      <c r="CX80" s="30"/>
      <c r="CY80" s="30"/>
      <c r="CZ80" s="30"/>
      <c r="DA80" s="30"/>
      <c r="DB80" s="30"/>
    </row>
    <row r="81" spans="1:106" x14ac:dyDescent="0.25">
      <c r="A81" s="33" t="s">
        <v>303</v>
      </c>
      <c r="B81" s="24"/>
      <c r="C81" s="52">
        <v>0</v>
      </c>
      <c r="D81" s="52">
        <v>1</v>
      </c>
      <c r="E81" s="52">
        <v>2</v>
      </c>
      <c r="F81" s="52">
        <v>0</v>
      </c>
      <c r="G81" s="52">
        <v>0</v>
      </c>
      <c r="H81" s="52">
        <v>0</v>
      </c>
      <c r="I81" s="52">
        <v>1</v>
      </c>
      <c r="J81" s="52">
        <v>0</v>
      </c>
      <c r="K81" s="52">
        <v>0</v>
      </c>
      <c r="L81" s="52">
        <v>0</v>
      </c>
      <c r="M81" s="52">
        <v>0</v>
      </c>
      <c r="N81" s="52">
        <v>2</v>
      </c>
      <c r="O81" s="52">
        <v>0</v>
      </c>
      <c r="P81" s="52">
        <v>1</v>
      </c>
      <c r="Q81" s="52">
        <v>1</v>
      </c>
      <c r="R81" s="52">
        <v>1</v>
      </c>
      <c r="S81" s="52">
        <v>0</v>
      </c>
      <c r="T81" s="52">
        <v>1</v>
      </c>
      <c r="U81" s="52">
        <v>0</v>
      </c>
      <c r="V81" s="52">
        <v>0</v>
      </c>
      <c r="W81" s="52">
        <v>0</v>
      </c>
      <c r="X81" s="52">
        <v>0</v>
      </c>
      <c r="Y81" s="52">
        <v>0</v>
      </c>
      <c r="Z81" s="52">
        <v>1</v>
      </c>
      <c r="AA81" s="52">
        <v>0</v>
      </c>
      <c r="AB81" s="52">
        <v>0</v>
      </c>
      <c r="AC81" s="52">
        <v>0</v>
      </c>
      <c r="AD81" s="52">
        <v>0</v>
      </c>
      <c r="AE81" s="52">
        <v>0</v>
      </c>
      <c r="AF81" s="52">
        <v>0</v>
      </c>
      <c r="AG81" s="52">
        <v>2</v>
      </c>
      <c r="AH81" s="52">
        <v>0</v>
      </c>
      <c r="AI81" s="52">
        <v>1</v>
      </c>
      <c r="AJ81" s="52">
        <v>0</v>
      </c>
      <c r="AK81" s="52">
        <v>0</v>
      </c>
      <c r="AL81" s="52">
        <v>0</v>
      </c>
      <c r="AM81" s="52">
        <v>0</v>
      </c>
      <c r="AN81" s="52">
        <v>0</v>
      </c>
      <c r="AO81" s="52">
        <v>0</v>
      </c>
      <c r="AP81" s="52">
        <v>0</v>
      </c>
      <c r="AQ81" s="52">
        <v>0</v>
      </c>
      <c r="AR81" s="52">
        <v>0</v>
      </c>
      <c r="AS81" s="52">
        <v>0</v>
      </c>
      <c r="AT81" s="52">
        <v>1</v>
      </c>
      <c r="AU81" s="52">
        <v>1</v>
      </c>
      <c r="AV81" s="52">
        <v>0</v>
      </c>
      <c r="AW81" s="52">
        <v>1</v>
      </c>
      <c r="AX81" s="52">
        <v>0</v>
      </c>
      <c r="AY81" s="52">
        <v>1</v>
      </c>
      <c r="AZ81" s="52">
        <v>1</v>
      </c>
      <c r="BA81" s="52">
        <v>0</v>
      </c>
      <c r="BB81" s="52">
        <v>0</v>
      </c>
      <c r="BC81" s="52">
        <v>1</v>
      </c>
      <c r="BD81" s="52">
        <v>0</v>
      </c>
      <c r="BE81" s="52">
        <v>0</v>
      </c>
      <c r="BF81" s="52">
        <v>0</v>
      </c>
      <c r="BG81" s="52">
        <v>1</v>
      </c>
      <c r="BH81" s="52">
        <v>1</v>
      </c>
      <c r="BI81" s="52">
        <v>0</v>
      </c>
      <c r="BJ81" s="52">
        <v>0</v>
      </c>
      <c r="BK81" s="52">
        <v>0</v>
      </c>
      <c r="BL81" s="52">
        <v>0</v>
      </c>
      <c r="BM81" s="52">
        <v>0</v>
      </c>
      <c r="BN81" s="53">
        <f>=SUM(BN82:BN98)</f>
        <v>0</v>
      </c>
      <c r="BO81" s="53">
        <f>=SUM(BO82:BO98)</f>
        <v>1</v>
      </c>
      <c r="BP81" s="53">
        <f>=SUM(BP82:BP98)</f>
        <v>2</v>
      </c>
      <c r="BQ81" s="53">
        <f>=SUM(BQ82:BQ98)</f>
        <v>1</v>
      </c>
      <c r="BR81" s="53">
        <f>=SUM(BR82:BR98)</f>
        <v>0</v>
      </c>
      <c r="BS81" s="53">
        <f>=SUM(BS82:BS98)</f>
        <v>0</v>
      </c>
      <c r="BT81" s="53">
        <f>=SUM(BT82:BT98)</f>
        <v>0</v>
      </c>
      <c r="BU81" s="53">
        <f>=SUM(BU82:BU98)</f>
        <v>1</v>
      </c>
      <c r="BV81" s="53">
        <f>=SUM(BV82:BV98)</f>
        <v>0</v>
      </c>
      <c r="BW81" s="53">
        <f>=SUM(BW82:BW98)</f>
        <v>0</v>
      </c>
      <c r="BX81" s="53">
        <f>=SUM(BX82:BX98)</f>
        <v>1</v>
      </c>
      <c r="BY81" s="53">
        <f>=SUM(BY82:BY98)</f>
        <v>0</v>
      </c>
      <c r="BZ81" s="53">
        <f>=SUM(BZ82:BZ98)</f>
        <v>0</v>
      </c>
      <c r="CA81" s="53">
        <f>=SUM(CA82:CA98)</f>
        <v>0</v>
      </c>
      <c r="CB81" s="54">
        <f>=SUM(CB82:CB98)</f>
        <v>0</v>
      </c>
      <c r="CC81" s="54">
        <f>=SUM(CC82:CC98)</f>
        <v>0</v>
      </c>
      <c r="CD81" s="54">
        <f>=SUM(CD82:CD98)</f>
        <v>0</v>
      </c>
      <c r="CE81" s="54">
        <f>=SUM(CE82:CE98)</f>
        <v>0</v>
      </c>
      <c r="CF81" s="54">
        <f>=SUM(CF82:CF98)</f>
        <v>0</v>
      </c>
      <c r="CG81" s="54">
        <f>=SUM(CG82:CG98)</f>
        <v>0</v>
      </c>
      <c r="CH81" s="54">
        <f>=SUM(CH82:CH98)</f>
        <v>0</v>
      </c>
      <c r="CI81" s="54">
        <f>=SUM(CI82:CI98)</f>
        <v>0</v>
      </c>
      <c r="CJ81" s="54">
        <f>=SUM(CJ82:CJ98)</f>
        <v>0</v>
      </c>
      <c r="CK81" s="54">
        <f>=SUM(CK82:CK98)</f>
        <v>0</v>
      </c>
      <c r="CL81" s="54">
        <f>=SUM(CL82:CL98)</f>
        <v>0</v>
      </c>
      <c r="CM81" s="54">
        <f>=SUM(CM82:CM98)</f>
        <v>0</v>
      </c>
      <c r="CN81" s="54">
        <f>=SUM(CN82:CN98)</f>
        <v>0</v>
      </c>
      <c r="CO81" s="54">
        <f>=SUM(CO82:CO98)</f>
        <v>0</v>
      </c>
      <c r="CP81" s="54">
        <f>=SUM(CP82:CP98)</f>
        <v>0</v>
      </c>
      <c r="CQ81" s="54">
        <f>=SUM(CQ82:CQ98)</f>
        <v>0</v>
      </c>
      <c r="CR81" s="54">
        <f>=SUM(CR82:CR98)</f>
        <v>0</v>
      </c>
      <c r="CS81" s="54">
        <f>=SUM(CS82:CS98)</f>
        <v>0</v>
      </c>
      <c r="CT81" s="54">
        <f>=SUM(CT82:CT98)</f>
        <v>0</v>
      </c>
      <c r="CU81" s="54">
        <f>=SUM(CU82:CU98)</f>
        <v>0</v>
      </c>
      <c r="CV81" s="54">
        <f>=SUM(CV82:CV98)</f>
        <v>0</v>
      </c>
      <c r="CW81" s="54">
        <f>=SUM(CW82:CW98)</f>
        <v>0</v>
      </c>
      <c r="CX81" s="54">
        <f>=SUM(CX82:CX98)</f>
        <v>0</v>
      </c>
      <c r="CY81" s="54">
        <f>=SUM(CY82:CY98)</f>
        <v>0</v>
      </c>
      <c r="CZ81" s="54">
        <f>=SUM(CZ82:CZ98)</f>
        <v>0</v>
      </c>
      <c r="DA81" s="54">
        <f>=SUM(DA82:DA98)</f>
        <v>0</v>
      </c>
      <c r="DB81" s="54">
        <f>=SUM(DB82:DB98)</f>
        <v>0</v>
      </c>
    </row>
    <row r="82" ht="16" customHeight="1" spans="1:106" x14ac:dyDescent="0.25">
      <c r="A82" s="50" t="s">
        <v>304</v>
      </c>
      <c r="C82" s="17">
        <v>0</v>
      </c>
      <c r="D82" s="17">
        <v>0</v>
      </c>
      <c r="E82" s="17">
        <v>1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1</v>
      </c>
      <c r="O82" s="17">
        <v>0</v>
      </c>
      <c r="P82" s="17">
        <v>1</v>
      </c>
      <c r="Q82" s="17">
        <v>1</v>
      </c>
      <c r="R82" s="17">
        <v>1</v>
      </c>
      <c r="S82" s="17">
        <v>0</v>
      </c>
      <c r="T82" s="17">
        <v>1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v>1</v>
      </c>
      <c r="AA82" s="17">
        <v>0</v>
      </c>
      <c r="AB82" s="17">
        <v>0</v>
      </c>
      <c r="AC82" s="17">
        <v>0</v>
      </c>
      <c r="AD82" s="17">
        <v>0</v>
      </c>
      <c r="AE82" s="17">
        <v>0</v>
      </c>
      <c r="AF82" s="17">
        <v>0</v>
      </c>
      <c r="AG82" s="17">
        <v>2</v>
      </c>
      <c r="AH82" s="17">
        <v>0</v>
      </c>
      <c r="AI82" s="17">
        <v>1</v>
      </c>
      <c r="AJ82" s="17">
        <v>0</v>
      </c>
      <c r="AK82" s="17">
        <v>0</v>
      </c>
      <c r="AL82" s="17">
        <v>0</v>
      </c>
      <c r="AM82" s="17">
        <v>0</v>
      </c>
      <c r="AN82" s="17">
        <v>0</v>
      </c>
      <c r="AO82" s="17">
        <v>0</v>
      </c>
      <c r="AP82" s="17">
        <v>0</v>
      </c>
      <c r="AQ82" s="17">
        <v>0</v>
      </c>
      <c r="AR82" s="17">
        <v>0</v>
      </c>
      <c r="AS82" s="17">
        <v>0</v>
      </c>
      <c r="AT82" s="17">
        <v>0</v>
      </c>
      <c r="AU82" s="17">
        <v>0</v>
      </c>
      <c r="AV82" s="17">
        <v>0</v>
      </c>
      <c r="AW82" s="17">
        <v>1</v>
      </c>
      <c r="AX82" s="17">
        <v>0</v>
      </c>
      <c r="AY82" s="17">
        <v>1</v>
      </c>
      <c r="AZ82" s="17">
        <v>0</v>
      </c>
      <c r="BA82" s="17">
        <v>0</v>
      </c>
      <c r="BB82" s="17">
        <v>0</v>
      </c>
      <c r="BC82" s="17">
        <v>1</v>
      </c>
      <c r="BD82" s="17">
        <v>0</v>
      </c>
      <c r="BE82" s="17">
        <v>0</v>
      </c>
      <c r="BF82" s="17">
        <v>0</v>
      </c>
      <c r="BG82" s="17">
        <v>1</v>
      </c>
      <c r="BH82" s="17">
        <v>0</v>
      </c>
      <c r="BI82" s="17">
        <v>0</v>
      </c>
      <c r="BJ82" s="17">
        <v>0</v>
      </c>
      <c r="BK82" s="17">
        <v>0</v>
      </c>
      <c r="BL82" s="17">
        <v>0</v>
      </c>
      <c r="BM82" s="17">
        <v>0</v>
      </c>
      <c r="BN82" s="55">
        <v>0</v>
      </c>
      <c r="BO82" s="55">
        <v>0</v>
      </c>
      <c r="BP82" s="55">
        <v>0</v>
      </c>
      <c r="BQ82" s="55">
        <v>0</v>
      </c>
      <c r="BR82" s="55">
        <v>0</v>
      </c>
      <c r="BS82" s="55">
        <v>0</v>
      </c>
      <c r="BT82" s="55">
        <v>0</v>
      </c>
      <c r="BU82" s="55">
        <v>0</v>
      </c>
      <c r="BV82" s="17">
        <v>0</v>
      </c>
      <c r="BW82" s="17">
        <v>0</v>
      </c>
      <c r="BX82" s="17">
        <v>0</v>
      </c>
      <c r="BY82" s="17">
        <v>0</v>
      </c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</row>
    <row r="83" ht="16" customHeight="1" spans="1:106" x14ac:dyDescent="0.25">
      <c r="A83" s="50" t="s">
        <v>305</v>
      </c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55"/>
      <c r="BO83" s="55"/>
      <c r="BP83" s="55">
        <v>2</v>
      </c>
      <c r="BQ83" s="57"/>
      <c r="BR83" s="55"/>
      <c r="BS83" s="55"/>
      <c r="BT83" s="55"/>
      <c r="BU83" s="55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</row>
    <row r="84" ht="16" customHeight="1" spans="1:106" x14ac:dyDescent="0.25">
      <c r="A84" s="50" t="s">
        <v>306</v>
      </c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>
        <v>0</v>
      </c>
      <c r="AD84" s="17">
        <v>0</v>
      </c>
      <c r="AE84" s="17"/>
      <c r="AF84" s="17"/>
      <c r="AG84" s="17"/>
      <c r="AH84" s="17"/>
      <c r="AI84" s="17">
        <v>0</v>
      </c>
      <c r="AJ84" s="17">
        <v>0</v>
      </c>
      <c r="AK84" s="17">
        <v>0</v>
      </c>
      <c r="AL84" s="17"/>
      <c r="AM84" s="17"/>
      <c r="AN84" s="17"/>
      <c r="AO84" s="17"/>
      <c r="AP84" s="17"/>
      <c r="AQ84" s="17"/>
      <c r="AR84" s="17"/>
      <c r="AS84" s="17"/>
      <c r="AT84" s="17">
        <v>1</v>
      </c>
      <c r="AU84" s="17">
        <v>1</v>
      </c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55"/>
      <c r="BO84" s="55"/>
      <c r="BP84" s="55"/>
      <c r="BQ84" s="55">
        <v>1</v>
      </c>
      <c r="BR84" s="55"/>
      <c r="BS84" s="55"/>
      <c r="BT84" s="55"/>
      <c r="BU84" s="55">
        <v>1</v>
      </c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</row>
    <row r="85" ht="16" customHeight="1" spans="1:106" x14ac:dyDescent="0.25">
      <c r="A85" s="50" t="s">
        <v>307</v>
      </c>
      <c r="C85" s="17"/>
      <c r="D85" s="17">
        <v>1</v>
      </c>
      <c r="E85" s="17">
        <v>1</v>
      </c>
      <c r="F85" s="17"/>
      <c r="G85" s="17"/>
      <c r="H85" s="17"/>
      <c r="I85" s="17">
        <v>1</v>
      </c>
      <c r="J85" s="17"/>
      <c r="K85" s="17"/>
      <c r="L85" s="17"/>
      <c r="M85" s="17"/>
      <c r="N85" s="17">
        <v>1</v>
      </c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>
        <v>1</v>
      </c>
      <c r="BA85" s="17"/>
      <c r="BB85" s="17"/>
      <c r="BC85" s="17"/>
      <c r="BD85" s="17"/>
      <c r="BE85" s="17"/>
      <c r="BF85" s="17"/>
      <c r="BG85" s="17"/>
      <c r="BH85" s="17">
        <v>1</v>
      </c>
      <c r="BI85" s="17"/>
      <c r="BJ85" s="17"/>
      <c r="BK85" s="17"/>
      <c r="BL85" s="17"/>
      <c r="BM85" s="17"/>
      <c r="BN85" s="55"/>
      <c r="BO85" s="55">
        <v>1</v>
      </c>
      <c r="BP85" s="55"/>
      <c r="BQ85" s="55"/>
      <c r="BR85" s="55"/>
      <c r="BS85" s="55"/>
      <c r="BT85" s="55"/>
      <c r="BU85" s="55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</row>
    <row r="86" ht="16" customHeight="1" spans="1:106" x14ac:dyDescent="0.25">
      <c r="A86" s="50" t="s">
        <v>308</v>
      </c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</row>
    <row r="87" ht="16" customHeight="1" spans="1:106" x14ac:dyDescent="0.25">
      <c r="A87" s="50" t="s">
        <v>309</v>
      </c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</row>
    <row r="88" ht="16" customHeight="1" spans="1:106" x14ac:dyDescent="0.25">
      <c r="A88" s="59" t="s">
        <v>311</v>
      </c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</row>
    <row r="89" ht="16" customHeight="1" spans="1:106" x14ac:dyDescent="0.25">
      <c r="A89" s="59" t="s">
        <v>312</v>
      </c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</row>
    <row r="90" ht="16" customHeight="1" spans="1:106" x14ac:dyDescent="0.25">
      <c r="A90" s="59" t="s">
        <v>313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</row>
    <row r="91" ht="16" customHeight="1" spans="1:106" x14ac:dyDescent="0.25">
      <c r="A91" s="59" t="s">
        <v>0</v>
      </c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</row>
    <row r="92" ht="16" customHeight="1" spans="1:106" x14ac:dyDescent="0.25">
      <c r="A92" s="59" t="s">
        <v>314</v>
      </c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</row>
    <row r="93" ht="16" customHeight="1" spans="1:106" x14ac:dyDescent="0.25">
      <c r="A93" s="59" t="s">
        <v>315</v>
      </c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</row>
    <row r="94" ht="16" customHeight="1" spans="1:106" x14ac:dyDescent="0.25">
      <c r="A94" s="59" t="s">
        <v>310</v>
      </c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</row>
    <row r="95" ht="16" customHeight="1" spans="1:106" x14ac:dyDescent="0.25">
      <c r="A95" s="59" t="s">
        <v>317</v>
      </c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>
        <v>1</v>
      </c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</row>
    <row r="96" ht="16" customHeight="1" spans="1:106" x14ac:dyDescent="0.25">
      <c r="A96" s="59" t="s">
        <v>266</v>
      </c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</row>
    <row r="97" ht="16" customHeight="1" spans="1:106" x14ac:dyDescent="0.25">
      <c r="A97" s="59" t="s">
        <v>266</v>
      </c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</row>
    <row r="98" ht="16" customHeight="1" spans="1:106" x14ac:dyDescent="0.25">
      <c r="A98" s="50" t="s">
        <v>320</v>
      </c>
      <c r="C98" s="17">
        <v>0</v>
      </c>
      <c r="D98" s="17">
        <v>0</v>
      </c>
      <c r="E98" s="17">
        <v>0</v>
      </c>
      <c r="F98" s="17">
        <v>0</v>
      </c>
      <c r="G98" s="17">
        <v>0</v>
      </c>
      <c r="H98" s="17">
        <v>0</v>
      </c>
      <c r="I98" s="17">
        <v>0</v>
      </c>
      <c r="J98" s="17">
        <v>0</v>
      </c>
      <c r="K98" s="17">
        <v>0</v>
      </c>
      <c r="L98" s="17">
        <v>0</v>
      </c>
      <c r="M98" s="17">
        <v>0</v>
      </c>
      <c r="N98" s="17">
        <v>0</v>
      </c>
      <c r="O98" s="17">
        <v>0</v>
      </c>
      <c r="P98" s="17">
        <v>0</v>
      </c>
      <c r="Q98" s="17">
        <v>0</v>
      </c>
      <c r="R98" s="17">
        <v>0</v>
      </c>
      <c r="S98" s="17">
        <v>0</v>
      </c>
      <c r="T98" s="17">
        <v>0</v>
      </c>
      <c r="U98" s="17">
        <v>0</v>
      </c>
      <c r="V98" s="17">
        <v>0</v>
      </c>
      <c r="W98" s="17">
        <v>0</v>
      </c>
      <c r="X98" s="17">
        <v>0</v>
      </c>
      <c r="Y98" s="17">
        <v>0</v>
      </c>
      <c r="Z98" s="17">
        <v>0</v>
      </c>
      <c r="AA98" s="17">
        <v>0</v>
      </c>
      <c r="AB98" s="17">
        <v>0</v>
      </c>
      <c r="AC98" s="17">
        <v>0</v>
      </c>
      <c r="AD98" s="17">
        <v>0</v>
      </c>
      <c r="AE98" s="17">
        <v>0</v>
      </c>
      <c r="AF98" s="17">
        <v>0</v>
      </c>
      <c r="AG98" s="17">
        <v>0</v>
      </c>
      <c r="AH98" s="17">
        <v>0</v>
      </c>
      <c r="AI98" s="17">
        <v>0</v>
      </c>
      <c r="AJ98" s="17">
        <v>0</v>
      </c>
      <c r="AK98" s="17">
        <v>0</v>
      </c>
      <c r="AL98" s="17">
        <v>0</v>
      </c>
      <c r="AM98" s="17">
        <v>0</v>
      </c>
      <c r="AN98" s="17">
        <v>0</v>
      </c>
      <c r="AO98" s="17">
        <v>0</v>
      </c>
      <c r="AP98" s="17">
        <v>0</v>
      </c>
      <c r="AQ98" s="17">
        <v>0</v>
      </c>
      <c r="AR98" s="17">
        <v>0</v>
      </c>
      <c r="AS98" s="17">
        <v>0</v>
      </c>
      <c r="AT98" s="17">
        <v>0</v>
      </c>
      <c r="AU98" s="17">
        <v>0</v>
      </c>
      <c r="AV98" s="17">
        <v>0</v>
      </c>
      <c r="AW98" s="17">
        <v>0</v>
      </c>
      <c r="AX98" s="17">
        <v>0</v>
      </c>
      <c r="AY98" s="17">
        <v>0</v>
      </c>
      <c r="AZ98" s="17">
        <v>0</v>
      </c>
      <c r="BA98" s="17">
        <v>0</v>
      </c>
      <c r="BB98" s="17">
        <v>0</v>
      </c>
      <c r="BC98" s="17">
        <v>0</v>
      </c>
      <c r="BD98" s="17">
        <v>0</v>
      </c>
      <c r="BE98" s="17">
        <v>0</v>
      </c>
      <c r="BF98" s="17">
        <v>0</v>
      </c>
      <c r="BG98" s="17">
        <v>0</v>
      </c>
      <c r="BH98" s="17">
        <v>0</v>
      </c>
      <c r="BI98" s="17">
        <v>0</v>
      </c>
      <c r="BJ98" s="17">
        <v>0</v>
      </c>
      <c r="BK98" s="17">
        <v>0</v>
      </c>
      <c r="BL98" s="17">
        <v>0</v>
      </c>
      <c r="BM98" s="17"/>
      <c r="BN98" s="30"/>
      <c r="BO98" s="30"/>
      <c r="BP98" s="30"/>
      <c r="BQ98" s="30"/>
      <c r="BR98" s="30"/>
      <c r="BS98" s="30"/>
      <c r="BT98" s="30"/>
      <c r="BU98" s="30"/>
      <c r="BV98" s="30"/>
      <c r="BW98" s="30"/>
      <c r="BX98" s="30"/>
      <c r="BY98" s="30"/>
      <c r="BZ98" s="30"/>
      <c r="CA98" s="30"/>
      <c r="CB98" s="30"/>
      <c r="CC98" s="30"/>
      <c r="CD98" s="30"/>
      <c r="CE98" s="30"/>
      <c r="CF98" s="30"/>
      <c r="CG98" s="30"/>
      <c r="CH98" s="30"/>
      <c r="CI98" s="30"/>
      <c r="CJ98" s="30"/>
      <c r="CK98" s="30"/>
      <c r="CL98" s="30"/>
      <c r="CM98" s="30"/>
      <c r="CN98" s="30"/>
      <c r="CO98" s="30"/>
      <c r="CP98" s="30"/>
      <c r="CQ98" s="30"/>
      <c r="CR98" s="30"/>
      <c r="CS98" s="30"/>
      <c r="CT98" s="30"/>
      <c r="CU98" s="30"/>
      <c r="CV98" s="30"/>
      <c r="CW98" s="30"/>
      <c r="CX98" s="30"/>
      <c r="CY98" s="30"/>
      <c r="CZ98" s="30"/>
      <c r="DA98" s="30"/>
      <c r="DB98" s="30"/>
    </row>
    <row r="99" spans="1:106" x14ac:dyDescent="0.25">
      <c r="A99" s="33" t="s">
        <v>321</v>
      </c>
      <c r="B99" s="60"/>
      <c r="C99" s="52">
        <v>0</v>
      </c>
      <c r="D99" s="52">
        <v>0</v>
      </c>
      <c r="E99" s="52">
        <v>0</v>
      </c>
      <c r="F99" s="52">
        <v>0</v>
      </c>
      <c r="G99" s="52">
        <v>0</v>
      </c>
      <c r="H99" s="52">
        <v>0</v>
      </c>
      <c r="I99" s="52">
        <v>0</v>
      </c>
      <c r="J99" s="52">
        <v>0</v>
      </c>
      <c r="K99" s="52">
        <v>1</v>
      </c>
      <c r="L99" s="52">
        <v>0</v>
      </c>
      <c r="M99" s="52">
        <v>0</v>
      </c>
      <c r="N99" s="52">
        <v>0</v>
      </c>
      <c r="O99" s="52">
        <v>0</v>
      </c>
      <c r="P99" s="52">
        <v>1</v>
      </c>
      <c r="Q99" s="52">
        <v>0</v>
      </c>
      <c r="R99" s="52">
        <v>0</v>
      </c>
      <c r="S99" s="52">
        <v>0</v>
      </c>
      <c r="T99" s="52">
        <v>0</v>
      </c>
      <c r="U99" s="52">
        <v>0</v>
      </c>
      <c r="V99" s="52">
        <v>0</v>
      </c>
      <c r="W99" s="52">
        <v>0</v>
      </c>
      <c r="X99" s="52">
        <v>0</v>
      </c>
      <c r="Y99" s="52">
        <v>0</v>
      </c>
      <c r="Z99" s="52">
        <v>0</v>
      </c>
      <c r="AA99" s="52">
        <v>0</v>
      </c>
      <c r="AB99" s="52">
        <v>0</v>
      </c>
      <c r="AC99" s="52">
        <v>0</v>
      </c>
      <c r="AD99" s="52">
        <v>0</v>
      </c>
      <c r="AE99" s="52">
        <v>0</v>
      </c>
      <c r="AF99" s="52">
        <v>0</v>
      </c>
      <c r="AG99" s="52">
        <v>0</v>
      </c>
      <c r="AH99" s="52">
        <v>0</v>
      </c>
      <c r="AI99" s="52">
        <v>0</v>
      </c>
      <c r="AJ99" s="52">
        <v>0</v>
      </c>
      <c r="AK99" s="52">
        <v>0</v>
      </c>
      <c r="AL99" s="52">
        <v>0</v>
      </c>
      <c r="AM99" s="52">
        <v>0</v>
      </c>
      <c r="AN99" s="52">
        <v>0</v>
      </c>
      <c r="AO99" s="52">
        <v>0</v>
      </c>
      <c r="AP99" s="52">
        <v>0</v>
      </c>
      <c r="AQ99" s="52">
        <v>0</v>
      </c>
      <c r="AR99" s="52">
        <v>0</v>
      </c>
      <c r="AS99" s="52">
        <v>0</v>
      </c>
      <c r="AT99" s="52">
        <v>0</v>
      </c>
      <c r="AU99" s="52">
        <v>0</v>
      </c>
      <c r="AV99" s="52">
        <v>0</v>
      </c>
      <c r="AW99" s="52">
        <v>1</v>
      </c>
      <c r="AX99" s="52">
        <v>0</v>
      </c>
      <c r="AY99" s="52">
        <v>1</v>
      </c>
      <c r="AZ99" s="52">
        <v>0</v>
      </c>
      <c r="BA99" s="52">
        <v>0</v>
      </c>
      <c r="BB99" s="52">
        <v>0</v>
      </c>
      <c r="BC99" s="52">
        <v>0</v>
      </c>
      <c r="BD99" s="52">
        <v>0</v>
      </c>
      <c r="BE99" s="52">
        <v>0</v>
      </c>
      <c r="BF99" s="52">
        <v>0</v>
      </c>
      <c r="BG99" s="52">
        <v>0</v>
      </c>
      <c r="BH99" s="52">
        <v>0</v>
      </c>
      <c r="BI99" s="52">
        <v>1</v>
      </c>
      <c r="BJ99" s="52">
        <v>0</v>
      </c>
      <c r="BK99" s="52">
        <v>0</v>
      </c>
      <c r="BL99" s="52">
        <v>0</v>
      </c>
      <c r="BM99" s="52">
        <v>0</v>
      </c>
      <c r="BN99" s="53">
        <f>=SUM(BN100:BN106)</f>
        <v>0</v>
      </c>
      <c r="BO99" s="53">
        <f>=SUM(BO100:BO106)</f>
        <v>0</v>
      </c>
      <c r="BP99" s="53">
        <f>=SUM(BP100:BP106)</f>
        <v>0</v>
      </c>
      <c r="BQ99" s="53">
        <f>=SUM(BQ100:BQ106)</f>
        <v>0</v>
      </c>
      <c r="BR99" s="53">
        <f>=SUM(BR100:BR106)</f>
        <v>0</v>
      </c>
      <c r="BS99" s="53">
        <f>=SUM(BS100:BS106)</f>
        <v>0</v>
      </c>
      <c r="BT99" s="53">
        <f>=SUM(BT100:BT106)</f>
        <v>0</v>
      </c>
      <c r="BU99" s="53">
        <f>=SUM(BU100:BU106)</f>
        <v>1</v>
      </c>
      <c r="BV99" s="53">
        <f>=SUM(BV100:BV106)</f>
        <v>1</v>
      </c>
      <c r="BW99" s="53">
        <f>=SUM(BW100:BW106)</f>
        <v>0</v>
      </c>
      <c r="BX99" s="53">
        <f>=SUM(BX100:BX106)</f>
        <v>0</v>
      </c>
      <c r="BY99" s="53">
        <f>=SUM(BY100:BY106)</f>
        <v>0</v>
      </c>
      <c r="BZ99" s="53">
        <f>=SUM(BZ100:BZ106)</f>
        <v>0</v>
      </c>
      <c r="CA99" s="53">
        <f>=SUM(CA100:CA106)</f>
        <v>0</v>
      </c>
      <c r="CB99" s="53">
        <f>=SUM(CB100:CB106)</f>
        <v>0</v>
      </c>
      <c r="CC99" s="53">
        <f>=SUM(CC100:CC106)</f>
        <v>0</v>
      </c>
      <c r="CD99" s="53">
        <f>=SUM(CD100:CD106)</f>
        <v>0</v>
      </c>
      <c r="CE99" s="53">
        <f>=SUM(CE100:CE106)</f>
        <v>0</v>
      </c>
      <c r="CF99" s="53">
        <f>=SUM(CF100:CF106)</f>
        <v>0</v>
      </c>
      <c r="CG99" s="53">
        <f>=SUM(CG100:CG106)</f>
        <v>0</v>
      </c>
      <c r="CH99" s="53">
        <f>=SUM(CH100:CH106)</f>
        <v>0</v>
      </c>
      <c r="CI99" s="53">
        <f>=SUM(CI100:CI106)</f>
        <v>0</v>
      </c>
      <c r="CJ99" s="53">
        <f>=SUM(CJ100:CJ106)</f>
        <v>0</v>
      </c>
      <c r="CK99" s="53">
        <f>=SUM(CK100:CK106)</f>
        <v>0</v>
      </c>
      <c r="CL99" s="53">
        <f>=SUM(CL100:CL106)</f>
        <v>0</v>
      </c>
      <c r="CM99" s="53">
        <f>=SUM(CM100:CM106)</f>
        <v>0</v>
      </c>
      <c r="CN99" s="53">
        <f>=SUM(CN100:CN106)</f>
        <v>0</v>
      </c>
      <c r="CO99" s="53">
        <f>=SUM(CO100:CO106)</f>
        <v>0</v>
      </c>
      <c r="CP99" s="53">
        <f>=SUM(CP100:CP106)</f>
        <v>0</v>
      </c>
      <c r="CQ99" s="53">
        <f>=SUM(CQ100:CQ106)</f>
        <v>0</v>
      </c>
      <c r="CR99" s="53">
        <f>=SUM(CR100:CR106)</f>
        <v>0</v>
      </c>
      <c r="CS99" s="53">
        <f>=SUM(CS100:CS106)</f>
        <v>0</v>
      </c>
      <c r="CT99" s="53">
        <f>=SUM(CT100:CT106)</f>
        <v>0</v>
      </c>
      <c r="CU99" s="53">
        <f>=SUM(CU100:CU106)</f>
        <v>0</v>
      </c>
      <c r="CV99" s="53">
        <f>=SUM(CV100:CV106)</f>
        <v>0</v>
      </c>
      <c r="CW99" s="53">
        <f>=SUM(CW100:CW106)</f>
        <v>0</v>
      </c>
      <c r="CX99" s="53">
        <f>=SUM(CX100:CX106)</f>
        <v>0</v>
      </c>
      <c r="CY99" s="53">
        <f>=SUM(CY100:CY106)</f>
        <v>0</v>
      </c>
      <c r="CZ99" s="53">
        <f>=SUM(CZ100:CZ106)</f>
        <v>0</v>
      </c>
      <c r="DA99" s="53">
        <f>=SUM(DA100:DA106)</f>
        <v>0</v>
      </c>
      <c r="DB99" s="53">
        <f>=SUM(DB100:DB106)</f>
        <v>0</v>
      </c>
    </row>
    <row r="100" spans="1:106" x14ac:dyDescent="0.25">
      <c r="A100" s="57" t="s">
        <v>322</v>
      </c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>
        <v>1</v>
      </c>
      <c r="AX100" s="17"/>
      <c r="AY100" s="17">
        <v>1</v>
      </c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>
        <v>1</v>
      </c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</row>
    <row r="101" spans="1:106" x14ac:dyDescent="0.25">
      <c r="A101" s="57" t="s">
        <v>323</v>
      </c>
      <c r="C101" s="17"/>
      <c r="D101" s="17"/>
      <c r="E101" s="17"/>
      <c r="F101" s="17"/>
      <c r="G101" s="17"/>
      <c r="H101" s="17"/>
      <c r="I101" s="17"/>
      <c r="J101" s="17"/>
      <c r="K101" s="17">
        <v>1</v>
      </c>
      <c r="L101" s="17"/>
      <c r="M101" s="17"/>
      <c r="N101" s="17"/>
      <c r="O101" s="17"/>
      <c r="P101" s="17">
        <v>1</v>
      </c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>
        <v>1</v>
      </c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</row>
    <row r="102" spans="1:106" x14ac:dyDescent="0.25">
      <c r="A102" s="57" t="s">
        <v>324</v>
      </c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</row>
    <row r="103" spans="1:106" x14ac:dyDescent="0.25">
      <c r="A103" s="57" t="s">
        <v>325</v>
      </c>
      <c r="C103" s="17">
        <v>0</v>
      </c>
      <c r="D103" s="17">
        <v>0</v>
      </c>
      <c r="E103" s="17">
        <v>0</v>
      </c>
      <c r="F103" s="17">
        <v>0</v>
      </c>
      <c r="G103" s="17">
        <v>0</v>
      </c>
      <c r="H103" s="17">
        <v>2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7">
        <v>0</v>
      </c>
      <c r="AH103" s="17">
        <v>0</v>
      </c>
      <c r="AI103" s="17">
        <v>0</v>
      </c>
      <c r="AJ103" s="17">
        <v>0</v>
      </c>
      <c r="AK103" s="17">
        <v>0</v>
      </c>
      <c r="AL103" s="17">
        <v>0</v>
      </c>
      <c r="AM103" s="17">
        <v>0</v>
      </c>
      <c r="AN103" s="17">
        <v>0</v>
      </c>
      <c r="AO103" s="17">
        <v>0</v>
      </c>
      <c r="AP103" s="17">
        <v>0</v>
      </c>
      <c r="AQ103" s="17">
        <v>0</v>
      </c>
      <c r="AR103" s="17">
        <v>0</v>
      </c>
      <c r="AS103" s="17">
        <v>0</v>
      </c>
      <c r="AT103" s="17">
        <v>5</v>
      </c>
      <c r="AU103" s="17">
        <v>0</v>
      </c>
      <c r="AV103" s="17">
        <v>0</v>
      </c>
      <c r="AW103" s="17">
        <v>2</v>
      </c>
      <c r="AX103" s="17">
        <v>0</v>
      </c>
      <c r="AY103" s="17">
        <v>0</v>
      </c>
      <c r="AZ103" s="17">
        <v>0</v>
      </c>
      <c r="BA103" s="17">
        <v>0</v>
      </c>
      <c r="BB103" s="17">
        <v>0</v>
      </c>
      <c r="BC103" s="17">
        <v>0</v>
      </c>
      <c r="BD103" s="17">
        <v>0</v>
      </c>
      <c r="BE103" s="17">
        <v>0</v>
      </c>
      <c r="BF103" s="17">
        <v>0</v>
      </c>
      <c r="BG103" s="17">
        <v>0</v>
      </c>
      <c r="BH103" s="17">
        <v>0</v>
      </c>
      <c r="BI103" s="17">
        <v>4</v>
      </c>
      <c r="BJ103" s="17">
        <v>0</v>
      </c>
      <c r="BK103" s="17">
        <v>0</v>
      </c>
      <c r="BL103" s="17">
        <v>0</v>
      </c>
      <c r="BM103" s="17">
        <v>0</v>
      </c>
      <c r="BN103" s="17">
        <v>0</v>
      </c>
      <c r="BO103" s="17">
        <v>0</v>
      </c>
      <c r="BP103" s="17">
        <v>0</v>
      </c>
      <c r="BQ103" s="17">
        <v>0</v>
      </c>
      <c r="BR103" s="17">
        <v>0</v>
      </c>
      <c r="BS103" s="17">
        <v>0</v>
      </c>
      <c r="BT103" s="17">
        <v>0</v>
      </c>
      <c r="BU103" s="17">
        <v>1</v>
      </c>
      <c r="BV103" s="17">
        <v>0</v>
      </c>
      <c r="BW103" s="17">
        <v>0</v>
      </c>
      <c r="BX103" s="17">
        <v>0</v>
      </c>
      <c r="BY103" s="17">
        <v>0</v>
      </c>
      <c r="BZ103" s="17">
        <v>0</v>
      </c>
      <c r="CA103" s="17">
        <v>0</v>
      </c>
      <c r="CB103" s="17">
        <v>0</v>
      </c>
      <c r="CC103" s="17">
        <v>0</v>
      </c>
      <c r="CD103" s="17">
        <v>0</v>
      </c>
      <c r="CE103" s="17">
        <v>0</v>
      </c>
      <c r="CF103" s="17">
        <v>0</v>
      </c>
      <c r="CG103" s="17">
        <v>0</v>
      </c>
      <c r="CH103" s="17">
        <v>0</v>
      </c>
      <c r="CI103" s="17">
        <v>0</v>
      </c>
      <c r="CJ103" s="17">
        <v>0</v>
      </c>
      <c r="CK103" s="17">
        <v>0</v>
      </c>
      <c r="CL103" s="17">
        <v>0</v>
      </c>
      <c r="CM103" s="17">
        <v>0</v>
      </c>
      <c r="CN103" s="17">
        <v>0</v>
      </c>
      <c r="CO103" s="17">
        <v>0</v>
      </c>
      <c r="CP103" s="17">
        <v>0</v>
      </c>
      <c r="CQ103" s="17">
        <v>0</v>
      </c>
      <c r="CR103" s="17">
        <v>0</v>
      </c>
      <c r="CS103" s="17">
        <v>0</v>
      </c>
      <c r="CT103" s="17">
        <v>0</v>
      </c>
      <c r="CU103" s="17">
        <v>0</v>
      </c>
      <c r="CV103" s="17">
        <v>0</v>
      </c>
      <c r="CW103" s="17">
        <v>0</v>
      </c>
      <c r="CX103" s="17">
        <v>0</v>
      </c>
      <c r="CY103" s="17">
        <v>0</v>
      </c>
      <c r="CZ103" s="17">
        <v>0</v>
      </c>
      <c r="DA103" s="17">
        <v>0</v>
      </c>
      <c r="DB103" s="17">
        <v>0</v>
      </c>
    </row>
    <row r="104" spans="1:106" x14ac:dyDescent="0.25">
      <c r="A104" s="57" t="s">
        <v>326</v>
      </c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</row>
    <row r="105" spans="1:106" x14ac:dyDescent="0.25">
      <c r="A105" s="57" t="s">
        <v>266</v>
      </c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  <c r="AV105" s="30"/>
      <c r="AW105" s="30"/>
      <c r="AX105" s="30"/>
      <c r="AY105" s="30"/>
      <c r="AZ105" s="30"/>
      <c r="BA105" s="30"/>
      <c r="BB105" s="30"/>
      <c r="BC105" s="30"/>
      <c r="BD105" s="30"/>
      <c r="BE105" s="30"/>
      <c r="BF105" s="30"/>
      <c r="BG105" s="30"/>
      <c r="BH105" s="30"/>
      <c r="BI105" s="30"/>
      <c r="BJ105" s="30"/>
      <c r="BK105" s="30"/>
      <c r="BL105" s="30"/>
      <c r="BM105" s="30"/>
      <c r="BN105" s="30"/>
      <c r="BO105" s="30"/>
      <c r="BP105" s="30"/>
      <c r="BQ105" s="30"/>
      <c r="BR105" s="30"/>
      <c r="BS105" s="30"/>
      <c r="BT105" s="30"/>
      <c r="BU105" s="30"/>
      <c r="BV105" s="30"/>
      <c r="BW105" s="30"/>
      <c r="BX105" s="30"/>
      <c r="BY105" s="30"/>
      <c r="BZ105" s="30"/>
      <c r="CA105" s="30"/>
      <c r="CB105" s="30"/>
      <c r="CC105" s="30"/>
      <c r="CD105" s="30"/>
      <c r="CE105" s="30"/>
      <c r="CF105" s="30"/>
      <c r="CG105" s="30"/>
      <c r="CH105" s="30"/>
      <c r="CI105" s="30"/>
      <c r="CJ105" s="30"/>
      <c r="CK105" s="30"/>
      <c r="CL105" s="30"/>
      <c r="CM105" s="30"/>
      <c r="CN105" s="30"/>
      <c r="CO105" s="30"/>
      <c r="CP105" s="30"/>
      <c r="CQ105" s="30"/>
      <c r="CR105" s="30"/>
      <c r="CS105" s="30"/>
      <c r="CT105" s="30"/>
      <c r="CU105" s="30"/>
      <c r="CV105" s="30"/>
      <c r="CW105" s="30"/>
      <c r="CX105" s="30"/>
      <c r="CY105" s="30"/>
      <c r="CZ105" s="30"/>
      <c r="DA105" s="30"/>
      <c r="DB105" s="30"/>
    </row>
    <row r="106" spans="1:106" x14ac:dyDescent="0.25">
      <c r="A106" s="57" t="s">
        <v>266</v>
      </c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0"/>
      <c r="AY106" s="30"/>
      <c r="AZ106" s="30"/>
      <c r="BA106" s="30"/>
      <c r="BB106" s="30"/>
      <c r="BC106" s="30"/>
      <c r="BD106" s="30"/>
      <c r="BE106" s="30"/>
      <c r="BF106" s="30"/>
      <c r="BG106" s="30"/>
      <c r="BH106" s="30"/>
      <c r="BI106" s="30"/>
      <c r="BJ106" s="30"/>
      <c r="BK106" s="30"/>
      <c r="BL106" s="30"/>
      <c r="BM106" s="30"/>
      <c r="BN106" s="30"/>
      <c r="BO106" s="30"/>
      <c r="BP106" s="30"/>
      <c r="BQ106" s="30"/>
      <c r="BR106" s="30"/>
      <c r="BS106" s="30"/>
      <c r="BT106" s="30"/>
      <c r="BU106" s="30"/>
      <c r="BV106" s="30"/>
      <c r="BW106" s="30"/>
      <c r="BX106" s="30"/>
      <c r="BY106" s="30"/>
      <c r="BZ106" s="30"/>
      <c r="CA106" s="30"/>
      <c r="CB106" s="30"/>
      <c r="CC106" s="30"/>
      <c r="CD106" s="30"/>
      <c r="CE106" s="30"/>
      <c r="CF106" s="30"/>
      <c r="CG106" s="30"/>
      <c r="CH106" s="30"/>
      <c r="CI106" s="30"/>
      <c r="CJ106" s="30"/>
      <c r="CK106" s="30"/>
      <c r="CL106" s="30"/>
      <c r="CM106" s="30"/>
      <c r="CN106" s="30"/>
      <c r="CO106" s="30"/>
      <c r="CP106" s="30"/>
      <c r="CQ106" s="30"/>
      <c r="CR106" s="30"/>
      <c r="CS106" s="30"/>
      <c r="CT106" s="30"/>
      <c r="CU106" s="30"/>
      <c r="CV106" s="30"/>
      <c r="CW106" s="30"/>
      <c r="CX106" s="30"/>
      <c r="CY106" s="30"/>
      <c r="CZ106" s="30"/>
      <c r="DA106" s="30"/>
      <c r="DB106" s="30"/>
    </row>
    <row r="107" spans="3:106" x14ac:dyDescent="0.25"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  <c r="AX107" s="30"/>
      <c r="AY107" s="30"/>
      <c r="AZ107" s="30"/>
      <c r="BA107" s="30"/>
      <c r="BB107" s="30"/>
      <c r="BC107" s="30"/>
      <c r="BD107" s="30"/>
      <c r="BE107" s="30"/>
      <c r="BF107" s="30"/>
      <c r="BG107" s="30"/>
      <c r="BH107" s="30"/>
      <c r="BI107" s="30"/>
      <c r="BJ107" s="30"/>
      <c r="BK107" s="30"/>
      <c r="BL107" s="30"/>
      <c r="BM107" s="30"/>
      <c r="BN107" s="30"/>
      <c r="BO107" s="30"/>
      <c r="BP107" s="30"/>
      <c r="BQ107" s="30"/>
      <c r="BR107" s="30"/>
      <c r="BS107" s="30"/>
      <c r="BT107" s="30"/>
      <c r="BU107" s="30"/>
      <c r="BV107" s="30"/>
      <c r="BW107" s="30"/>
      <c r="BX107" s="30"/>
      <c r="BY107" s="30"/>
      <c r="BZ107" s="30"/>
      <c r="CA107" s="30"/>
      <c r="CB107" s="30"/>
      <c r="CC107" s="30"/>
      <c r="CD107" s="30"/>
      <c r="CE107" s="30"/>
      <c r="CF107" s="30"/>
      <c r="CG107" s="30"/>
      <c r="CH107" s="30"/>
      <c r="CI107" s="30"/>
      <c r="CJ107" s="30"/>
      <c r="CK107" s="30"/>
      <c r="CL107" s="30"/>
      <c r="CM107" s="30"/>
      <c r="CN107" s="30"/>
      <c r="CO107" s="30"/>
      <c r="CP107" s="30"/>
      <c r="CQ107" s="30"/>
      <c r="CR107" s="30"/>
      <c r="CS107" s="30"/>
      <c r="CT107" s="30"/>
      <c r="CU107" s="30"/>
      <c r="CV107" s="30"/>
      <c r="CW107" s="30"/>
      <c r="CX107" s="30"/>
      <c r="CY107" s="30"/>
      <c r="CZ107" s="30"/>
      <c r="DA107" s="30"/>
      <c r="DB107" s="30"/>
    </row>
    <row r="108" ht="15" customHeight="1" spans="1:106" x14ac:dyDescent="0.25">
      <c r="A108" s="9" t="s">
        <v>327</v>
      </c>
      <c r="B108" s="17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2"/>
      <c r="BF108" s="32"/>
      <c r="BG108" s="32"/>
      <c r="BH108" s="32"/>
      <c r="BI108" s="32"/>
      <c r="BJ108" s="32"/>
      <c r="BK108" s="32"/>
      <c r="BL108" s="32"/>
      <c r="BM108" s="32"/>
      <c r="BN108" s="32"/>
      <c r="BO108" s="32"/>
      <c r="BP108" s="32"/>
      <c r="BQ108" s="32"/>
      <c r="BR108" s="32"/>
      <c r="BS108" s="32"/>
      <c r="BT108" s="32"/>
      <c r="BU108" s="32"/>
      <c r="BV108" s="32"/>
      <c r="BW108" s="32"/>
      <c r="BX108" s="32"/>
      <c r="BY108" s="32"/>
      <c r="BZ108" s="32"/>
      <c r="CA108" s="32"/>
      <c r="CB108" s="32"/>
      <c r="CC108" s="32"/>
      <c r="CD108" s="32"/>
      <c r="CE108" s="32"/>
      <c r="CF108" s="32"/>
      <c r="CG108" s="32"/>
      <c r="CH108" s="32"/>
      <c r="CI108" s="32"/>
      <c r="CJ108" s="32"/>
      <c r="CK108" s="32"/>
      <c r="CL108" s="32"/>
      <c r="CM108" s="32"/>
      <c r="CN108" s="32"/>
      <c r="CO108" s="32"/>
      <c r="CP108" s="32"/>
      <c r="CQ108" s="32"/>
      <c r="CR108" s="32"/>
      <c r="CS108" s="32"/>
      <c r="CT108" s="32"/>
      <c r="CU108" s="32"/>
      <c r="CV108" s="32"/>
      <c r="CW108" s="32"/>
      <c r="CX108" s="32"/>
      <c r="CY108" s="32"/>
      <c r="CZ108" s="32"/>
      <c r="DA108" s="32"/>
      <c r="DB108" s="32"/>
    </row>
    <row r="109" ht="15" customHeight="1" spans="1:106" x14ac:dyDescent="0.25">
      <c r="A109" s="61" t="s">
        <v>328</v>
      </c>
      <c r="B109" s="13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</row>
    <row r="110" spans="1:106" x14ac:dyDescent="0.25">
      <c r="A110" s="62" t="s">
        <v>329</v>
      </c>
      <c r="B110" s="24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  <c r="AD110" s="63"/>
      <c r="AE110" s="63"/>
      <c r="AF110" s="63"/>
      <c r="AG110" s="63"/>
      <c r="AH110" s="63"/>
      <c r="AI110" s="63"/>
      <c r="AJ110" s="63"/>
      <c r="AK110" s="63"/>
      <c r="AL110" s="63"/>
      <c r="AM110" s="63"/>
      <c r="AN110" s="63"/>
      <c r="AO110" s="63"/>
      <c r="AP110" s="63"/>
      <c r="AQ110" s="63"/>
      <c r="AR110" s="63"/>
      <c r="AS110" s="63"/>
      <c r="AT110" s="63"/>
      <c r="AU110" s="63"/>
      <c r="AV110" s="63"/>
      <c r="AW110" s="63"/>
      <c r="AX110" s="63"/>
      <c r="AY110" s="63"/>
      <c r="AZ110" s="63"/>
      <c r="BA110" s="63"/>
      <c r="BB110" s="63"/>
      <c r="BC110" s="63"/>
      <c r="BD110" s="63"/>
      <c r="BE110" s="63"/>
      <c r="BF110" s="63"/>
      <c r="BG110" s="63"/>
      <c r="BH110" s="63"/>
      <c r="BI110" s="63"/>
      <c r="BJ110" s="63"/>
      <c r="BK110" s="63"/>
      <c r="BL110" s="63"/>
      <c r="BM110" s="63"/>
      <c r="BN110" s="63"/>
      <c r="BO110" s="63"/>
      <c r="BP110" s="63"/>
      <c r="BQ110" s="63"/>
      <c r="BR110" s="63"/>
      <c r="BS110" s="63"/>
      <c r="BT110" s="63"/>
      <c r="BU110" s="63"/>
      <c r="BV110" s="63"/>
      <c r="BW110" s="63"/>
      <c r="BX110" s="63"/>
      <c r="BY110" s="63"/>
      <c r="BZ110" s="63"/>
      <c r="CA110" s="63"/>
      <c r="CB110" s="63"/>
      <c r="CC110" s="63"/>
      <c r="CD110" s="63"/>
      <c r="CE110" s="63"/>
      <c r="CF110" s="63"/>
      <c r="CG110" s="63"/>
      <c r="CH110" s="63"/>
      <c r="CI110" s="63"/>
      <c r="CJ110" s="63"/>
      <c r="CK110" s="63"/>
      <c r="CL110" s="63"/>
      <c r="CM110" s="63"/>
      <c r="CN110" s="63"/>
      <c r="CO110" s="63"/>
      <c r="CP110" s="63"/>
      <c r="CQ110" s="63"/>
      <c r="CR110" s="63"/>
      <c r="CS110" s="63"/>
      <c r="CT110" s="63"/>
      <c r="CU110" s="63"/>
      <c r="CV110" s="63"/>
      <c r="CW110" s="63"/>
      <c r="CX110" s="63"/>
      <c r="CY110" s="63"/>
      <c r="CZ110" s="63"/>
      <c r="DA110" s="63"/>
      <c r="DB110" s="63"/>
    </row>
    <row r="111" ht="15" customHeight="1" spans="1:106" x14ac:dyDescent="0.25">
      <c r="A111" s="16" t="s">
        <v>330</v>
      </c>
      <c r="B111" s="17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/>
      <c r="AI111" s="50"/>
      <c r="AJ111" s="50"/>
      <c r="AK111" s="50"/>
      <c r="AL111" s="50"/>
      <c r="AM111" s="50"/>
      <c r="AN111" s="50"/>
      <c r="AO111" s="50"/>
      <c r="AP111" s="50"/>
      <c r="AQ111" s="50"/>
      <c r="AR111" s="50"/>
      <c r="AS111" s="50"/>
      <c r="AT111" s="50"/>
      <c r="AU111" s="50"/>
      <c r="AV111" s="50"/>
      <c r="AW111" s="50"/>
      <c r="AX111" s="50"/>
      <c r="AY111" s="50"/>
      <c r="AZ111" s="50"/>
      <c r="BA111" s="50"/>
      <c r="BB111" s="50"/>
      <c r="BC111" s="50"/>
      <c r="BD111" s="50"/>
      <c r="BE111" s="50"/>
      <c r="BF111" s="50"/>
      <c r="BG111" s="50"/>
      <c r="BH111" s="50"/>
      <c r="BI111" s="50"/>
      <c r="BJ111" s="50"/>
      <c r="BK111" s="50"/>
      <c r="BL111" s="50"/>
      <c r="BM111" s="50"/>
      <c r="BN111" s="50"/>
      <c r="BO111" s="50"/>
      <c r="BP111" s="50"/>
      <c r="BQ111" s="50"/>
      <c r="BR111" s="50"/>
      <c r="BS111" s="50"/>
      <c r="BT111" s="50"/>
      <c r="BU111" s="50"/>
      <c r="BV111" s="50"/>
      <c r="BW111" s="50"/>
      <c r="BX111" s="50"/>
      <c r="BY111" s="50"/>
      <c r="BZ111" s="50"/>
      <c r="CA111" s="50"/>
      <c r="CB111" s="50"/>
      <c r="CC111" s="50"/>
      <c r="CD111" s="50"/>
      <c r="CE111" s="50"/>
      <c r="CF111" s="50"/>
      <c r="CG111" s="50"/>
      <c r="CH111" s="50"/>
      <c r="CI111" s="50"/>
      <c r="CJ111" s="50"/>
      <c r="CK111" s="50"/>
      <c r="CL111" s="50"/>
      <c r="CM111" s="50"/>
      <c r="CN111" s="50"/>
      <c r="CO111" s="50"/>
      <c r="CP111" s="50"/>
      <c r="CQ111" s="50"/>
      <c r="CR111" s="50"/>
      <c r="CS111" s="50"/>
      <c r="CT111" s="50"/>
      <c r="CU111" s="50"/>
      <c r="CV111" s="50"/>
      <c r="CW111" s="50"/>
      <c r="CX111" s="50"/>
      <c r="CY111" s="50"/>
      <c r="CZ111" s="50"/>
      <c r="DA111" s="50"/>
      <c r="DB111" s="50"/>
    </row>
    <row r="112" ht="15" customHeight="1" spans="1:106" x14ac:dyDescent="0.25">
      <c r="A112" s="16" t="s">
        <v>331</v>
      </c>
      <c r="B112" s="17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  <c r="AK112" s="50"/>
      <c r="AL112" s="50"/>
      <c r="AM112" s="50"/>
      <c r="AN112" s="50"/>
      <c r="AO112" s="50"/>
      <c r="AP112" s="50"/>
      <c r="AQ112" s="50"/>
      <c r="AR112" s="50"/>
      <c r="AS112" s="50"/>
      <c r="AT112" s="50"/>
      <c r="AU112" s="50"/>
      <c r="AV112" s="50"/>
      <c r="AW112" s="50"/>
      <c r="AX112" s="50"/>
      <c r="AY112" s="50"/>
      <c r="AZ112" s="50"/>
      <c r="BA112" s="50"/>
      <c r="BB112" s="50"/>
      <c r="BC112" s="50"/>
      <c r="BD112" s="50"/>
      <c r="BE112" s="50"/>
      <c r="BF112" s="50"/>
      <c r="BG112" s="50"/>
      <c r="BH112" s="50"/>
      <c r="BI112" s="50"/>
      <c r="BJ112" s="50"/>
      <c r="BK112" s="50"/>
      <c r="BL112" s="50"/>
      <c r="BM112" s="50"/>
      <c r="BN112" s="50"/>
      <c r="BO112" s="50"/>
      <c r="BP112" s="50"/>
      <c r="BQ112" s="50"/>
      <c r="BR112" s="50"/>
      <c r="BS112" s="50"/>
      <c r="BT112" s="50"/>
      <c r="BU112" s="50"/>
      <c r="BV112" s="50"/>
      <c r="BW112" s="50"/>
      <c r="BX112" s="50"/>
      <c r="BY112" s="50"/>
      <c r="BZ112" s="50"/>
      <c r="CA112" s="50"/>
      <c r="CB112" s="50"/>
      <c r="CC112" s="50"/>
      <c r="CD112" s="50"/>
      <c r="CE112" s="50"/>
      <c r="CF112" s="50"/>
      <c r="CG112" s="50"/>
      <c r="CH112" s="50"/>
      <c r="CI112" s="50"/>
      <c r="CJ112" s="50"/>
      <c r="CK112" s="50"/>
      <c r="CL112" s="50"/>
      <c r="CM112" s="50"/>
      <c r="CN112" s="50"/>
      <c r="CO112" s="50"/>
      <c r="CP112" s="50"/>
      <c r="CQ112" s="50"/>
      <c r="CR112" s="50"/>
      <c r="CS112" s="50"/>
      <c r="CT112" s="50"/>
      <c r="CU112" s="50"/>
      <c r="CV112" s="50"/>
      <c r="CW112" s="50"/>
      <c r="CX112" s="50"/>
      <c r="CY112" s="50"/>
      <c r="CZ112" s="50"/>
      <c r="DA112" s="50"/>
      <c r="DB112" s="50"/>
    </row>
    <row r="113" ht="15" customHeight="1" spans="1:106" x14ac:dyDescent="0.25">
      <c r="A113" s="20" t="s">
        <v>332</v>
      </c>
      <c r="B113" s="13"/>
      <c r="C113" s="64">
        <f>=IFERROR(C112/C111,0)</f>
        <v>0</v>
      </c>
      <c r="D113" s="64">
        <f>=IFERROR(D112/D111,0)</f>
        <v>0</v>
      </c>
      <c r="E113" s="64">
        <f>=IFERROR(E112/E111,0)</f>
        <v>0</v>
      </c>
      <c r="F113" s="64">
        <f>=IFERROR(F112/F111,0)</f>
        <v>0</v>
      </c>
      <c r="G113" s="64">
        <f>=IFERROR(G112/G111,0)</f>
        <v>0</v>
      </c>
      <c r="H113" s="64">
        <f>=IFERROR(H112/H111,0)</f>
        <v>0</v>
      </c>
      <c r="I113" s="64">
        <f>=IFERROR(I112/I111,0)</f>
        <v>0</v>
      </c>
      <c r="J113" s="64">
        <f>=IFERROR(J112/J111,0)</f>
        <v>0</v>
      </c>
      <c r="K113" s="64">
        <f>=IFERROR(K112/K111,0)</f>
        <v>0</v>
      </c>
      <c r="L113" s="64">
        <f>=IFERROR(L112/L111,0)</f>
        <v>0</v>
      </c>
      <c r="M113" s="64">
        <f>=IFERROR(M112/M111,0)</f>
        <v>0</v>
      </c>
      <c r="N113" s="64">
        <f>=IFERROR(N112/N111,0)</f>
        <v>0</v>
      </c>
      <c r="O113" s="64">
        <f>=IFERROR(O112/O111,0)</f>
        <v>0</v>
      </c>
      <c r="P113" s="64">
        <f>=IFERROR(P112/P111,0)</f>
        <v>0</v>
      </c>
      <c r="Q113" s="64">
        <f>=IFERROR(Q112/Q111,0)</f>
        <v>0</v>
      </c>
      <c r="R113" s="64">
        <f>=IFERROR(R112/R111,0)</f>
        <v>0</v>
      </c>
      <c r="S113" s="64">
        <f>=IFERROR(S112/S111,0)</f>
        <v>0</v>
      </c>
      <c r="T113" s="64">
        <f>=IFERROR(T112/T111,0)</f>
        <v>0</v>
      </c>
      <c r="U113" s="64">
        <f>=IFERROR(U112/U111,0)</f>
        <v>0</v>
      </c>
      <c r="V113" s="64">
        <f>=IFERROR(V112/V111,0)</f>
        <v>0</v>
      </c>
      <c r="W113" s="64">
        <f>=IFERROR(W112/W111,0)</f>
        <v>0</v>
      </c>
      <c r="X113" s="64">
        <f>=IFERROR(X112/X111,0)</f>
        <v>0</v>
      </c>
      <c r="Y113" s="64">
        <f>=IFERROR(Y112/Y111,0)</f>
        <v>0</v>
      </c>
      <c r="Z113" s="64">
        <f>=IFERROR(Z112/Z111,0)</f>
        <v>0</v>
      </c>
      <c r="AA113" s="64">
        <f>=IFERROR(AA112/AA111,0)</f>
        <v>0</v>
      </c>
      <c r="AB113" s="64">
        <f>=IFERROR(AB112/AB111,0)</f>
        <v>0</v>
      </c>
      <c r="AC113" s="64">
        <f>=IFERROR(AC112/AC111,0)</f>
        <v>0</v>
      </c>
      <c r="AD113" s="64">
        <f>=IFERROR(AD112/AD111,0)</f>
        <v>0</v>
      </c>
      <c r="AE113" s="64">
        <f>=IFERROR(AE112/AE111,0)</f>
        <v>0</v>
      </c>
      <c r="AF113" s="64">
        <f>=IFERROR(AF112/AF111,0)</f>
        <v>0</v>
      </c>
      <c r="AG113" s="64">
        <f>=IFERROR(AG112/AG111,0)</f>
        <v>0</v>
      </c>
      <c r="AH113" s="64">
        <f>=IFERROR(AH112/AH111,0)</f>
        <v>0</v>
      </c>
      <c r="AI113" s="64">
        <f>=IFERROR(AI112/AI111,0)</f>
        <v>0</v>
      </c>
      <c r="AJ113" s="64">
        <f>=IFERROR(AJ112/AJ111,0)</f>
        <v>0</v>
      </c>
      <c r="AK113" s="64">
        <f>=IFERROR(AK112/AK111,0)</f>
        <v>0</v>
      </c>
      <c r="AL113" s="64">
        <f>=IFERROR(AL112/AL111,0)</f>
        <v>0</v>
      </c>
      <c r="AM113" s="64">
        <f>=IFERROR(AM112/AM111,0)</f>
        <v>0</v>
      </c>
      <c r="AN113" s="64">
        <f>=IFERROR(AN112/AN111,0)</f>
        <v>0</v>
      </c>
      <c r="AO113" s="64">
        <f>=IFERROR(AO112/AO111,0)</f>
        <v>0</v>
      </c>
      <c r="AP113" s="64">
        <f>=IFERROR(AP112/AP111,0)</f>
        <v>0</v>
      </c>
      <c r="AQ113" s="64">
        <f>=IFERROR(AQ112/AQ111,0)</f>
        <v>0</v>
      </c>
      <c r="AR113" s="64">
        <f>=IFERROR(AR112/AR111,0)</f>
        <v>0</v>
      </c>
      <c r="AS113" s="64">
        <f>=IFERROR(AS112/AS111,0)</f>
        <v>0</v>
      </c>
      <c r="AT113" s="64">
        <f>=IFERROR(AT112/AT111,0)</f>
        <v>0</v>
      </c>
      <c r="AU113" s="64">
        <f>=IFERROR(AU112/AU111,0)</f>
        <v>0</v>
      </c>
      <c r="AV113" s="64">
        <f>=IFERROR(AV112/AV111,0)</f>
        <v>0</v>
      </c>
      <c r="AW113" s="64">
        <f>=IFERROR(AW112/AW111,0)</f>
        <v>0</v>
      </c>
      <c r="AX113" s="64">
        <f>=IFERROR(AX112/AX111,0)</f>
        <v>0</v>
      </c>
      <c r="AY113" s="64">
        <f>=IFERROR(AY112/AY111,0)</f>
        <v>0</v>
      </c>
      <c r="AZ113" s="64">
        <f>=IFERROR(AZ112/AZ111,0)</f>
        <v>0</v>
      </c>
      <c r="BA113" s="64">
        <f>=IFERROR(BA112/BA111,0)</f>
        <v>0</v>
      </c>
      <c r="BB113" s="64">
        <f>=IFERROR(BB112/BB111,0)</f>
        <v>0</v>
      </c>
      <c r="BC113" s="64">
        <f>=IFERROR(BC112/BC111,0)</f>
        <v>0</v>
      </c>
      <c r="BD113" s="64">
        <f>=IFERROR(BD112/BD111,0)</f>
        <v>0</v>
      </c>
      <c r="BE113" s="64">
        <f>=IFERROR(BE112/BE111,0)</f>
        <v>0</v>
      </c>
      <c r="BF113" s="64">
        <f>=IFERROR(BF112/BF111,0)</f>
        <v>0</v>
      </c>
      <c r="BG113" s="64">
        <f>=IFERROR(BG112/BG111,0)</f>
        <v>0</v>
      </c>
      <c r="BH113" s="64">
        <f>=IFERROR(BH112/BH111,0)</f>
        <v>0</v>
      </c>
      <c r="BI113" s="64">
        <f>=IFERROR(BI112/BI111,0)</f>
        <v>0</v>
      </c>
      <c r="BJ113" s="64">
        <f>=IFERROR(BJ112/BJ111,0)</f>
        <v>0</v>
      </c>
      <c r="BK113" s="64">
        <f>=IFERROR(BK112/BK111,0)</f>
        <v>0</v>
      </c>
      <c r="BL113" s="64">
        <f>=IFERROR(BL112/BL111,0)</f>
        <v>0</v>
      </c>
      <c r="BM113" s="64">
        <f>=IFERROR(BM112/BM111,0)</f>
        <v>0</v>
      </c>
      <c r="BN113" s="64">
        <f>=IFERROR(BN112/BN111,0)</f>
        <v>0</v>
      </c>
      <c r="BO113" s="64">
        <f>=IFERROR(BO112/BO111,0)</f>
        <v>0</v>
      </c>
      <c r="BP113" s="64">
        <f>=IFERROR(BP112/BP111,0)</f>
        <v>0</v>
      </c>
      <c r="BQ113" s="64">
        <f>=IFERROR(BQ112/BQ111,0)</f>
        <v>0</v>
      </c>
      <c r="BR113" s="64">
        <f>=IFERROR(BR112/BR111,0)</f>
        <v>0</v>
      </c>
      <c r="BS113" s="64">
        <f>=IFERROR(BS112/BS111,0)</f>
        <v>0</v>
      </c>
      <c r="BT113" s="64">
        <f>=IFERROR(BT112/BT111,0)</f>
        <v>0</v>
      </c>
      <c r="BU113" s="64">
        <f>=IFERROR(BU112/BU111,0)</f>
        <v>0</v>
      </c>
      <c r="BV113" s="64">
        <f>=IFERROR(BV112/BV111,0)</f>
        <v>0</v>
      </c>
      <c r="BW113" s="64">
        <f>=IFERROR(BW112/BW111,0)</f>
        <v>0</v>
      </c>
      <c r="BX113" s="64">
        <f>=IFERROR(BX112/BX111,0)</f>
        <v>0</v>
      </c>
      <c r="BY113" s="64">
        <f>=IFERROR(BY112/BY111,0)</f>
        <v>0</v>
      </c>
      <c r="BZ113" s="64">
        <f>=IFERROR(BZ112/BZ111,0)</f>
        <v>0</v>
      </c>
      <c r="CA113" s="64">
        <f>=IFERROR(CA112/CA111,0)</f>
        <v>0</v>
      </c>
      <c r="CB113" s="64">
        <f>=IFERROR(CB112/CB111,0)</f>
        <v>0</v>
      </c>
      <c r="CC113" s="64">
        <f>=IFERROR(CC112/CC111,0)</f>
        <v>0</v>
      </c>
      <c r="CD113" s="64">
        <f>=IFERROR(CD112/CD111,0)</f>
        <v>0</v>
      </c>
      <c r="CE113" s="64">
        <f>=IFERROR(CE112/CE111,0)</f>
        <v>0</v>
      </c>
      <c r="CF113" s="64">
        <f>=IFERROR(CF112/CF111,0)</f>
        <v>0</v>
      </c>
      <c r="CG113" s="64">
        <f>=IFERROR(CG112/CG111,0)</f>
        <v>0</v>
      </c>
      <c r="CH113" s="64">
        <f>=IFERROR(CH112/CH111,0)</f>
        <v>0</v>
      </c>
      <c r="CI113" s="64">
        <f>=IFERROR(CI112/CI111,0)</f>
        <v>0</v>
      </c>
      <c r="CJ113" s="64">
        <f>=IFERROR(CJ112/CJ111,0)</f>
        <v>0</v>
      </c>
      <c r="CK113" s="64">
        <f>=IFERROR(CK112/CK111,0)</f>
        <v>0</v>
      </c>
      <c r="CL113" s="64">
        <f>=IFERROR(CL112/CL111,0)</f>
        <v>0</v>
      </c>
      <c r="CM113" s="64">
        <f>=IFERROR(CM112/CM111,0)</f>
        <v>0</v>
      </c>
      <c r="CN113" s="64">
        <f>=IFERROR(CN112/CN111,0)</f>
        <v>0</v>
      </c>
      <c r="CO113" s="64">
        <f>=IFERROR(CO112/CO111,0)</f>
        <v>0</v>
      </c>
      <c r="CP113" s="64">
        <f>=IFERROR(CP112/CP111,0)</f>
        <v>0</v>
      </c>
      <c r="CQ113" s="64">
        <f>=IFERROR(CQ112/CQ111,0)</f>
        <v>0</v>
      </c>
      <c r="CR113" s="64">
        <f>=IFERROR(CR112/CR111,0)</f>
        <v>0</v>
      </c>
      <c r="CS113" s="64">
        <f>=IFERROR(CS112/CS111,0)</f>
        <v>0</v>
      </c>
      <c r="CT113" s="64">
        <f>=IFERROR(CT112/CT111,0)</f>
        <v>0</v>
      </c>
      <c r="CU113" s="64">
        <f>=IFERROR(CU112/CU111,0)</f>
        <v>0</v>
      </c>
      <c r="CV113" s="64">
        <f>=IFERROR(CV112/CV111,0)</f>
        <v>0</v>
      </c>
      <c r="CW113" s="64">
        <f>=IFERROR(CW112/CW111,0)</f>
        <v>0</v>
      </c>
      <c r="CX113" s="64">
        <f>=IFERROR(CX112/CX111,0)</f>
        <v>0</v>
      </c>
      <c r="CY113" s="64">
        <f>=IFERROR(CY112/CY111,0)</f>
        <v>0</v>
      </c>
      <c r="CZ113" s="64">
        <f>=IFERROR(CZ112/CZ111,0)</f>
        <v>0</v>
      </c>
      <c r="DA113" s="64">
        <f>=IFERROR(DA112/DA111,0)</f>
        <v>0</v>
      </c>
      <c r="DB113" s="64">
        <f>=IFERROR(DB112/DB111,0)</f>
        <v>0</v>
      </c>
    </row>
    <row r="114" spans="1:106" x14ac:dyDescent="0.25">
      <c r="A114" s="17" t="s">
        <v>333</v>
      </c>
      <c r="B114" s="65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6"/>
      <c r="AR114" s="66"/>
      <c r="AS114" s="66"/>
      <c r="AT114" s="66"/>
      <c r="AU114" s="66"/>
      <c r="AV114" s="66"/>
      <c r="AW114" s="66"/>
      <c r="AX114" s="66"/>
      <c r="AY114" s="66"/>
      <c r="AZ114" s="66"/>
      <c r="BA114" s="66"/>
      <c r="BB114" s="66"/>
      <c r="BC114" s="66"/>
      <c r="BD114" s="66"/>
      <c r="BE114" s="66"/>
      <c r="BF114" s="66"/>
      <c r="BG114" s="66"/>
      <c r="BH114" s="66"/>
      <c r="BI114" s="66"/>
      <c r="BJ114" s="66"/>
      <c r="BK114" s="66"/>
      <c r="BL114" s="66"/>
      <c r="BM114" s="66"/>
      <c r="BN114" s="66"/>
      <c r="BO114" s="66"/>
      <c r="BP114" s="66"/>
      <c r="BQ114" s="66"/>
      <c r="BR114" s="66"/>
      <c r="BS114" s="66"/>
      <c r="BT114" s="66"/>
      <c r="BU114" s="66"/>
      <c r="BV114" s="66"/>
      <c r="BW114" s="66"/>
      <c r="BX114" s="66"/>
      <c r="BY114" s="66"/>
      <c r="BZ114" s="66"/>
      <c r="CA114" s="66"/>
      <c r="CB114" s="66"/>
      <c r="CC114" s="66"/>
      <c r="CD114" s="66"/>
      <c r="CE114" s="66"/>
      <c r="CF114" s="66"/>
      <c r="CG114" s="66"/>
      <c r="CH114" s="66"/>
      <c r="CI114" s="66"/>
      <c r="CJ114" s="66"/>
      <c r="CK114" s="66"/>
      <c r="CL114" s="66"/>
      <c r="CM114" s="66"/>
      <c r="CN114" s="66"/>
      <c r="CO114" s="66"/>
      <c r="CP114" s="66"/>
      <c r="CQ114" s="66"/>
      <c r="CR114" s="66"/>
      <c r="CS114" s="66"/>
      <c r="CT114" s="66"/>
      <c r="CU114" s="66"/>
      <c r="CV114" s="66"/>
      <c r="CW114" s="66"/>
      <c r="CX114" s="66"/>
      <c r="CY114" s="66"/>
      <c r="CZ114" s="66"/>
      <c r="DA114" s="66"/>
      <c r="DB114" s="66"/>
    </row>
    <row r="115" spans="1:106" x14ac:dyDescent="0.25">
      <c r="A115" s="17" t="s">
        <v>334</v>
      </c>
      <c r="B115" s="65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6"/>
      <c r="AT115" s="66"/>
      <c r="AU115" s="66"/>
      <c r="AV115" s="66"/>
      <c r="AW115" s="66"/>
      <c r="AX115" s="66"/>
      <c r="AY115" s="66"/>
      <c r="AZ115" s="66"/>
      <c r="BA115" s="66"/>
      <c r="BB115" s="66"/>
      <c r="BC115" s="66"/>
      <c r="BD115" s="66"/>
      <c r="BE115" s="66"/>
      <c r="BF115" s="66"/>
      <c r="BG115" s="66"/>
      <c r="BH115" s="66"/>
      <c r="BI115" s="66"/>
      <c r="BJ115" s="66"/>
      <c r="BK115" s="66"/>
      <c r="BL115" s="66"/>
      <c r="BM115" s="66"/>
      <c r="BN115" s="66"/>
      <c r="BO115" s="66"/>
      <c r="BP115" s="66"/>
      <c r="BQ115" s="66"/>
      <c r="BR115" s="66"/>
      <c r="BS115" s="66"/>
      <c r="BT115" s="66"/>
      <c r="BU115" s="66"/>
      <c r="BV115" s="66"/>
      <c r="BW115" s="66"/>
      <c r="BX115" s="66"/>
      <c r="BY115" s="66"/>
      <c r="BZ115" s="66"/>
      <c r="CA115" s="66"/>
      <c r="CB115" s="66"/>
      <c r="CC115" s="66"/>
      <c r="CD115" s="66"/>
      <c r="CE115" s="66"/>
      <c r="CF115" s="66"/>
      <c r="CG115" s="66"/>
      <c r="CH115" s="66"/>
      <c r="CI115" s="66"/>
      <c r="CJ115" s="66"/>
      <c r="CK115" s="66"/>
      <c r="CL115" s="66"/>
      <c r="CM115" s="66"/>
      <c r="CN115" s="66"/>
      <c r="CO115" s="66"/>
      <c r="CP115" s="66"/>
      <c r="CQ115" s="66"/>
      <c r="CR115" s="66"/>
      <c r="CS115" s="66"/>
      <c r="CT115" s="66"/>
      <c r="CU115" s="66"/>
      <c r="CV115" s="66"/>
      <c r="CW115" s="66"/>
      <c r="CX115" s="66"/>
      <c r="CY115" s="66"/>
      <c r="CZ115" s="66"/>
      <c r="DA115" s="66"/>
      <c r="DB115" s="66"/>
    </row>
    <row r="116" spans="1:106" x14ac:dyDescent="0.25">
      <c r="A116" s="17" t="s">
        <v>335</v>
      </c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  <c r="AV116" s="30"/>
      <c r="AW116" s="30"/>
      <c r="AX116" s="30"/>
      <c r="AY116" s="30"/>
      <c r="AZ116" s="30"/>
      <c r="BA116" s="30"/>
      <c r="BB116" s="30"/>
      <c r="BC116" s="30"/>
      <c r="BD116" s="30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  <c r="BT116" s="30"/>
      <c r="BU116" s="30"/>
      <c r="BV116" s="30"/>
      <c r="BW116" s="30"/>
      <c r="BX116" s="30"/>
      <c r="BY116" s="30"/>
      <c r="BZ116" s="30"/>
      <c r="CA116" s="30"/>
      <c r="CB116" s="30"/>
      <c r="CC116" s="30"/>
      <c r="CD116" s="30"/>
      <c r="CE116" s="30"/>
      <c r="CF116" s="30"/>
      <c r="CG116" s="30"/>
      <c r="CH116" s="30"/>
      <c r="CI116" s="30"/>
      <c r="CJ116" s="30"/>
      <c r="CK116" s="30"/>
      <c r="CL116" s="30"/>
      <c r="CM116" s="30"/>
      <c r="CN116" s="30"/>
      <c r="CO116" s="30"/>
      <c r="CP116" s="30"/>
      <c r="CQ116" s="30"/>
      <c r="CR116" s="30"/>
      <c r="CS116" s="30"/>
      <c r="CT116" s="30"/>
      <c r="CU116" s="30"/>
      <c r="CV116" s="30"/>
      <c r="CW116" s="30"/>
      <c r="CX116" s="30"/>
      <c r="CY116" s="30"/>
      <c r="CZ116" s="30"/>
      <c r="DA116" s="30"/>
      <c r="DB116" s="30"/>
    </row>
    <row r="117" spans="1:106" x14ac:dyDescent="0.25">
      <c r="A117" s="17" t="s">
        <v>369</v>
      </c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30"/>
      <c r="CD117" s="30"/>
      <c r="CE117" s="30"/>
      <c r="CF117" s="30"/>
      <c r="CG117" s="30"/>
      <c r="CH117" s="30"/>
      <c r="CI117" s="30"/>
      <c r="CJ117" s="30"/>
      <c r="CK117" s="30"/>
      <c r="CL117" s="30"/>
      <c r="CM117" s="30"/>
      <c r="CN117" s="30"/>
      <c r="CO117" s="30"/>
      <c r="CP117" s="30"/>
      <c r="CQ117" s="30"/>
      <c r="CR117" s="30"/>
      <c r="CS117" s="30"/>
      <c r="CT117" s="30"/>
      <c r="CU117" s="30"/>
      <c r="CV117" s="30"/>
      <c r="CW117" s="30"/>
      <c r="CX117" s="30"/>
      <c r="CY117" s="30"/>
      <c r="CZ117" s="30"/>
      <c r="DA117" s="30"/>
      <c r="DB117" s="30"/>
    </row>
    <row r="118" spans="1:106" x14ac:dyDescent="0.25">
      <c r="A118" s="17" t="s">
        <v>370</v>
      </c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30"/>
      <c r="CD118" s="30"/>
      <c r="CE118" s="30"/>
      <c r="CF118" s="30"/>
      <c r="CG118" s="30"/>
      <c r="CH118" s="30"/>
      <c r="CI118" s="30"/>
      <c r="CJ118" s="30"/>
      <c r="CK118" s="30"/>
      <c r="CL118" s="30"/>
      <c r="CM118" s="30"/>
      <c r="CN118" s="30"/>
      <c r="CO118" s="30"/>
      <c r="CP118" s="30"/>
      <c r="CQ118" s="30"/>
      <c r="CR118" s="30"/>
      <c r="CS118" s="30"/>
      <c r="CT118" s="30"/>
      <c r="CU118" s="30"/>
      <c r="CV118" s="30"/>
      <c r="CW118" s="30"/>
      <c r="CX118" s="30"/>
      <c r="CY118" s="30"/>
      <c r="CZ118" s="30"/>
      <c r="DA118" s="30"/>
      <c r="DB118" s="30"/>
    </row>
    <row r="119" spans="1:106" x14ac:dyDescent="0.25">
      <c r="A119" s="17" t="s">
        <v>336</v>
      </c>
      <c r="C119" s="17">
        <v>0</v>
      </c>
      <c r="D119" s="17">
        <v>0</v>
      </c>
      <c r="E119" s="17">
        <v>0</v>
      </c>
      <c r="F119" s="17">
        <v>0</v>
      </c>
      <c r="G119" s="17">
        <v>0</v>
      </c>
      <c r="H119" s="17">
        <v>2</v>
      </c>
      <c r="I119" s="17">
        <v>0</v>
      </c>
      <c r="J119" s="17"/>
      <c r="K119" s="17"/>
      <c r="L119" s="17"/>
      <c r="M119" s="17"/>
      <c r="N119" s="17"/>
      <c r="O119" s="17"/>
      <c r="P119" s="17"/>
      <c r="Q119" s="17"/>
      <c r="R119" s="17"/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7">
        <v>0</v>
      </c>
      <c r="AI119" s="17">
        <v>0</v>
      </c>
      <c r="AJ119" s="17">
        <v>0</v>
      </c>
      <c r="AK119" s="17">
        <v>0</v>
      </c>
      <c r="AL119" s="17">
        <v>0</v>
      </c>
      <c r="AM119" s="17">
        <v>0</v>
      </c>
      <c r="AN119" s="17">
        <v>0</v>
      </c>
      <c r="AO119" s="17">
        <v>0</v>
      </c>
      <c r="AP119" s="17">
        <v>0</v>
      </c>
      <c r="AQ119" s="17">
        <v>0</v>
      </c>
      <c r="AR119" s="17">
        <v>0</v>
      </c>
      <c r="AS119" s="17">
        <v>0</v>
      </c>
      <c r="AT119" s="17">
        <v>5</v>
      </c>
      <c r="AU119" s="17">
        <v>0</v>
      </c>
      <c r="AV119" s="17">
        <v>0</v>
      </c>
      <c r="AW119" s="17">
        <v>2</v>
      </c>
      <c r="AX119" s="17">
        <v>0</v>
      </c>
      <c r="AY119" s="17">
        <v>0</v>
      </c>
      <c r="AZ119" s="17">
        <v>0</v>
      </c>
      <c r="BA119" s="17">
        <v>0</v>
      </c>
      <c r="BB119" s="17">
        <v>0</v>
      </c>
      <c r="BC119" s="17">
        <v>0</v>
      </c>
      <c r="BD119" s="17">
        <v>0</v>
      </c>
      <c r="BE119" s="17">
        <v>0</v>
      </c>
      <c r="BF119" s="17">
        <v>0</v>
      </c>
      <c r="BG119" s="17">
        <v>0</v>
      </c>
      <c r="BH119" s="17">
        <v>0</v>
      </c>
      <c r="BI119" s="17">
        <v>4</v>
      </c>
      <c r="BJ119" s="17"/>
      <c r="BK119" s="17"/>
      <c r="BL119" s="17"/>
      <c r="BM119" s="17"/>
      <c r="BN119" s="17"/>
      <c r="BO119" s="17"/>
      <c r="BP119" s="17"/>
      <c r="BQ119" s="17"/>
      <c r="BR119" s="17"/>
      <c r="BS119" s="67">
        <f>=SUM(BS114:BS115)</f>
        <v>0</v>
      </c>
      <c r="BT119" s="67">
        <f>=SUM(BT114:BT115)</f>
        <v>0</v>
      </c>
      <c r="BU119" s="67">
        <f>=SUM(BU114:BU115)</f>
        <v>0</v>
      </c>
      <c r="BV119" s="67">
        <f>=SUM(BV114:BV115)</f>
        <v>0</v>
      </c>
      <c r="BW119" s="67">
        <f>=SUM(BW114:BW115)</f>
        <v>0</v>
      </c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</row>
    <row r="120" spans="1:106" x14ac:dyDescent="0.25">
      <c r="A120" s="17" t="s">
        <v>337</v>
      </c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67">
        <f>=BR119*(1-BS$43)</f>
        <v>0</v>
      </c>
      <c r="BT120" s="67">
        <f>=BS119*(1-BT$43)</f>
        <v>0</v>
      </c>
      <c r="BU120" s="67">
        <f>=BT119*(1-BU$43)</f>
        <v>0</v>
      </c>
      <c r="BV120" s="67">
        <f>=BU119*(1-BV$43)</f>
        <v>0</v>
      </c>
      <c r="BW120" s="67">
        <f>=BV119*(1-BW$43)</f>
        <v>0</v>
      </c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</row>
    <row r="121" spans="1:106" x14ac:dyDescent="0.25">
      <c r="A121" s="17" t="s">
        <v>338</v>
      </c>
      <c r="C121" s="17">
        <v>0</v>
      </c>
      <c r="D121" s="17">
        <v>0</v>
      </c>
      <c r="E121" s="17">
        <v>0</v>
      </c>
      <c r="F121" s="17"/>
      <c r="G121" s="17">
        <v>0</v>
      </c>
      <c r="H121" s="17">
        <v>0</v>
      </c>
      <c r="I121" s="17">
        <v>0</v>
      </c>
      <c r="J121" s="17">
        <v>0</v>
      </c>
      <c r="K121" s="17">
        <v>0</v>
      </c>
      <c r="L121" s="17">
        <v>0</v>
      </c>
      <c r="M121" s="17">
        <v>0</v>
      </c>
      <c r="N121" s="17">
        <v>0</v>
      </c>
      <c r="O121" s="17">
        <v>0</v>
      </c>
      <c r="P121" s="17">
        <v>0</v>
      </c>
      <c r="Q121" s="17">
        <v>0</v>
      </c>
      <c r="R121" s="17">
        <v>0</v>
      </c>
      <c r="S121" s="17">
        <v>0</v>
      </c>
      <c r="T121" s="17">
        <v>0</v>
      </c>
      <c r="U121" s="17"/>
      <c r="V121" s="17">
        <v>0</v>
      </c>
      <c r="W121" s="17">
        <v>0</v>
      </c>
      <c r="X121" s="17">
        <v>0</v>
      </c>
      <c r="Y121" s="17">
        <v>0</v>
      </c>
      <c r="Z121" s="17">
        <v>0</v>
      </c>
      <c r="AA121" s="17">
        <v>0</v>
      </c>
      <c r="AB121" s="17">
        <v>0</v>
      </c>
      <c r="AC121" s="17">
        <v>0</v>
      </c>
      <c r="AD121" s="17">
        <v>0</v>
      </c>
      <c r="AE121" s="17">
        <v>0</v>
      </c>
      <c r="AF121" s="17">
        <v>0</v>
      </c>
      <c r="AG121" s="17">
        <v>0</v>
      </c>
      <c r="AH121" s="17">
        <v>0</v>
      </c>
      <c r="AI121" s="17">
        <v>0</v>
      </c>
      <c r="AJ121" s="17">
        <v>0</v>
      </c>
      <c r="AK121" s="17">
        <v>0</v>
      </c>
      <c r="AL121" s="17">
        <v>0</v>
      </c>
      <c r="AM121" s="17">
        <v>0</v>
      </c>
      <c r="AN121" s="17">
        <v>0</v>
      </c>
      <c r="AO121" s="17">
        <v>0</v>
      </c>
      <c r="AP121" s="17">
        <v>0</v>
      </c>
      <c r="AQ121" s="17">
        <v>0</v>
      </c>
      <c r="AR121" s="17">
        <v>0</v>
      </c>
      <c r="AS121" s="17">
        <v>0</v>
      </c>
      <c r="AT121" s="17">
        <v>0</v>
      </c>
      <c r="AU121" s="17">
        <v>0</v>
      </c>
      <c r="AV121" s="17">
        <v>0</v>
      </c>
      <c r="AW121" s="17">
        <v>0</v>
      </c>
      <c r="AX121" s="17">
        <v>0</v>
      </c>
      <c r="AY121" s="17">
        <v>0</v>
      </c>
      <c r="AZ121" s="17">
        <v>0</v>
      </c>
      <c r="BA121" s="17">
        <v>0</v>
      </c>
      <c r="BB121" s="17">
        <v>0</v>
      </c>
      <c r="BC121" s="17">
        <v>0</v>
      </c>
      <c r="BD121" s="17">
        <v>0</v>
      </c>
      <c r="BE121" s="17">
        <v>0</v>
      </c>
      <c r="BF121" s="17">
        <v>0</v>
      </c>
      <c r="BG121" s="17">
        <v>0</v>
      </c>
      <c r="BH121" s="17">
        <v>0</v>
      </c>
      <c r="BI121" s="17">
        <v>0</v>
      </c>
      <c r="BJ121" s="17">
        <v>0</v>
      </c>
      <c r="BK121" s="17">
        <v>0</v>
      </c>
      <c r="BL121" s="17">
        <v>0</v>
      </c>
      <c r="BM121" s="17">
        <v>0</v>
      </c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</row>
    <row r="122" spans="1:106" x14ac:dyDescent="0.25">
      <c r="A122" s="17" t="s">
        <v>339</v>
      </c>
      <c r="C122" s="17">
        <v>0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7">
        <v>0</v>
      </c>
      <c r="AI122" s="17">
        <v>0</v>
      </c>
      <c r="AJ122" s="17">
        <v>0</v>
      </c>
      <c r="AK122" s="17">
        <v>0</v>
      </c>
      <c r="AL122" s="17">
        <v>0</v>
      </c>
      <c r="AM122" s="17">
        <v>0</v>
      </c>
      <c r="AN122" s="17">
        <v>0</v>
      </c>
      <c r="AO122" s="17">
        <v>0</v>
      </c>
      <c r="AP122" s="17">
        <v>0</v>
      </c>
      <c r="AQ122" s="17">
        <v>0</v>
      </c>
      <c r="AR122" s="17">
        <v>0</v>
      </c>
      <c r="AS122" s="17">
        <v>0</v>
      </c>
      <c r="AT122" s="17">
        <v>0</v>
      </c>
      <c r="AU122" s="17">
        <v>0</v>
      </c>
      <c r="AV122" s="17">
        <v>0</v>
      </c>
      <c r="AW122" s="17">
        <v>0</v>
      </c>
      <c r="AX122" s="17">
        <v>0</v>
      </c>
      <c r="AY122" s="17">
        <v>0</v>
      </c>
      <c r="AZ122" s="17">
        <v>0</v>
      </c>
      <c r="BA122" s="17">
        <v>0</v>
      </c>
      <c r="BB122" s="17">
        <v>0</v>
      </c>
      <c r="BC122" s="17">
        <v>0</v>
      </c>
      <c r="BD122" s="17">
        <v>0</v>
      </c>
      <c r="BE122" s="17">
        <v>0</v>
      </c>
      <c r="BF122" s="17">
        <v>0</v>
      </c>
      <c r="BG122" s="17">
        <v>0</v>
      </c>
      <c r="BH122" s="17">
        <v>0</v>
      </c>
      <c r="BI122" s="17">
        <v>0</v>
      </c>
      <c r="BJ122" s="17">
        <v>0</v>
      </c>
      <c r="BK122" s="17">
        <v>0</v>
      </c>
      <c r="BL122" s="17">
        <v>0</v>
      </c>
      <c r="BM122" s="17">
        <v>0</v>
      </c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</row>
    <row r="123" spans="1:106" x14ac:dyDescent="0.25">
      <c r="A123" s="17" t="s">
        <v>266</v>
      </c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</row>
    <row r="124" spans="1:106" x14ac:dyDescent="0.25">
      <c r="A124" s="17" t="s">
        <v>340</v>
      </c>
      <c r="C124" s="17">
        <v>0</v>
      </c>
      <c r="D124" s="17">
        <v>0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  <c r="AE124" s="17">
        <v>0</v>
      </c>
      <c r="AF124" s="17">
        <v>0</v>
      </c>
      <c r="AG124" s="17">
        <v>0</v>
      </c>
      <c r="AH124" s="17">
        <v>0</v>
      </c>
      <c r="AI124" s="17">
        <v>0</v>
      </c>
      <c r="AJ124" s="17">
        <v>0</v>
      </c>
      <c r="AK124" s="17">
        <v>0</v>
      </c>
      <c r="AL124" s="17">
        <v>0</v>
      </c>
      <c r="AM124" s="17">
        <v>0</v>
      </c>
      <c r="AN124" s="17">
        <v>0</v>
      </c>
      <c r="AO124" s="17">
        <v>0</v>
      </c>
      <c r="AP124" s="17">
        <v>0</v>
      </c>
      <c r="AQ124" s="17">
        <v>0</v>
      </c>
      <c r="AR124" s="17">
        <v>0</v>
      </c>
      <c r="AS124" s="17">
        <v>0</v>
      </c>
      <c r="AT124" s="17">
        <v>0</v>
      </c>
      <c r="AU124" s="17">
        <v>0</v>
      </c>
      <c r="AV124" s="17">
        <v>0</v>
      </c>
      <c r="AW124" s="17">
        <v>0</v>
      </c>
      <c r="AX124" s="17">
        <v>0</v>
      </c>
      <c r="AY124" s="17">
        <v>0</v>
      </c>
      <c r="AZ124" s="17">
        <v>0</v>
      </c>
      <c r="BA124" s="17">
        <v>0</v>
      </c>
      <c r="BB124" s="17">
        <v>0</v>
      </c>
      <c r="BC124" s="17">
        <v>0</v>
      </c>
      <c r="BD124" s="17">
        <v>0</v>
      </c>
      <c r="BE124" s="17">
        <v>0</v>
      </c>
      <c r="BF124" s="17">
        <v>0</v>
      </c>
      <c r="BG124" s="17">
        <v>0</v>
      </c>
      <c r="BH124" s="17">
        <v>0</v>
      </c>
      <c r="BI124" s="17">
        <v>0</v>
      </c>
      <c r="BJ124" s="17">
        <v>0</v>
      </c>
      <c r="BK124" s="17">
        <v>0</v>
      </c>
      <c r="BL124" s="17">
        <v>0</v>
      </c>
      <c r="BM124" s="17">
        <v>0</v>
      </c>
      <c r="BN124" s="17"/>
      <c r="BO124" s="17"/>
      <c r="BP124" s="17"/>
      <c r="BQ124" s="17"/>
      <c r="BR124" s="17"/>
      <c r="BS124" s="67">
        <f>=BR120*(1-BS$43)</f>
        <v>0</v>
      </c>
      <c r="BT124" s="67">
        <f>=BS120*(1-BT$43)</f>
        <v>0</v>
      </c>
      <c r="BU124" s="67">
        <f>=BT120*(1-BU$43)</f>
        <v>0</v>
      </c>
      <c r="BV124" s="67">
        <f>=BU120*(1-BV$43)</f>
        <v>0</v>
      </c>
      <c r="BW124" s="67">
        <f>=BV120*(1-BW$43)</f>
        <v>0</v>
      </c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</row>
    <row r="125" spans="1:106" x14ac:dyDescent="0.25">
      <c r="A125" s="17" t="s">
        <v>341</v>
      </c>
      <c r="C125" s="17">
        <v>0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7">
        <v>0</v>
      </c>
      <c r="AI125" s="17">
        <v>0</v>
      </c>
      <c r="AJ125" s="17">
        <v>0</v>
      </c>
      <c r="AK125" s="17">
        <v>0</v>
      </c>
      <c r="AL125" s="17">
        <v>0</v>
      </c>
      <c r="AM125" s="17">
        <v>0</v>
      </c>
      <c r="AN125" s="17">
        <v>0</v>
      </c>
      <c r="AO125" s="17">
        <v>0</v>
      </c>
      <c r="AP125" s="17">
        <v>0</v>
      </c>
      <c r="AQ125" s="17">
        <v>0</v>
      </c>
      <c r="AR125" s="17">
        <v>0</v>
      </c>
      <c r="AS125" s="17">
        <v>0</v>
      </c>
      <c r="AT125" s="17">
        <v>0</v>
      </c>
      <c r="AU125" s="17">
        <v>0</v>
      </c>
      <c r="AV125" s="17">
        <v>0</v>
      </c>
      <c r="AW125" s="17">
        <v>0</v>
      </c>
      <c r="AX125" s="17">
        <v>0</v>
      </c>
      <c r="AY125" s="17">
        <v>0</v>
      </c>
      <c r="AZ125" s="17">
        <v>0</v>
      </c>
      <c r="BA125" s="17">
        <v>0</v>
      </c>
      <c r="BB125" s="17">
        <v>0</v>
      </c>
      <c r="BC125" s="17">
        <v>0</v>
      </c>
      <c r="BD125" s="17">
        <v>0</v>
      </c>
      <c r="BE125" s="17">
        <v>0</v>
      </c>
      <c r="BF125" s="17">
        <v>0</v>
      </c>
      <c r="BG125" s="17">
        <v>0</v>
      </c>
      <c r="BH125" s="17">
        <v>0</v>
      </c>
      <c r="BI125" s="17">
        <v>0</v>
      </c>
      <c r="BJ125" s="17">
        <v>0</v>
      </c>
      <c r="BK125" s="17">
        <v>0</v>
      </c>
      <c r="BL125" s="17">
        <v>0</v>
      </c>
      <c r="BM125" s="17">
        <v>0</v>
      </c>
      <c r="BN125" s="17"/>
      <c r="BO125" s="17"/>
      <c r="BP125" s="17"/>
      <c r="BQ125" s="17"/>
      <c r="BR125" s="17"/>
      <c r="BS125" s="67">
        <f>=BR124*(1-BS$43)</f>
        <v>0</v>
      </c>
      <c r="BT125" s="67">
        <f>=BS124*(1-BT$43)</f>
        <v>0</v>
      </c>
      <c r="BU125" s="67">
        <f>=BT124*(1-BU$43)</f>
        <v>0</v>
      </c>
      <c r="BV125" s="67">
        <f>=BU124*(1-BV$43)</f>
        <v>0</v>
      </c>
      <c r="BW125" s="67">
        <f>=BV124*(1-BW$43)</f>
        <v>0</v>
      </c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</row>
    <row r="126" spans="1:106" x14ac:dyDescent="0.25">
      <c r="A126" s="17" t="s">
        <v>342</v>
      </c>
      <c r="C126" s="17">
        <v>0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7">
        <v>0</v>
      </c>
      <c r="AH126" s="17">
        <v>0</v>
      </c>
      <c r="AI126" s="17">
        <v>0</v>
      </c>
      <c r="AJ126" s="17">
        <v>0</v>
      </c>
      <c r="AK126" s="17">
        <v>0</v>
      </c>
      <c r="AL126" s="17">
        <v>0</v>
      </c>
      <c r="AM126" s="17">
        <v>0</v>
      </c>
      <c r="AN126" s="17">
        <v>0</v>
      </c>
      <c r="AO126" s="17">
        <v>0</v>
      </c>
      <c r="AP126" s="17">
        <v>0</v>
      </c>
      <c r="AQ126" s="17">
        <v>0</v>
      </c>
      <c r="AR126" s="17">
        <v>0</v>
      </c>
      <c r="AS126" s="17">
        <v>0</v>
      </c>
      <c r="AT126" s="17">
        <v>0</v>
      </c>
      <c r="AU126" s="17">
        <v>0</v>
      </c>
      <c r="AV126" s="17">
        <v>0</v>
      </c>
      <c r="AW126" s="17">
        <v>0</v>
      </c>
      <c r="AX126" s="17">
        <v>0</v>
      </c>
      <c r="AY126" s="17">
        <v>0</v>
      </c>
      <c r="AZ126" s="17">
        <v>0</v>
      </c>
      <c r="BA126" s="17">
        <v>0</v>
      </c>
      <c r="BB126" s="17">
        <v>0</v>
      </c>
      <c r="BC126" s="17">
        <v>0</v>
      </c>
      <c r="BD126" s="17">
        <v>0</v>
      </c>
      <c r="BE126" s="17">
        <v>0</v>
      </c>
      <c r="BF126" s="17">
        <v>0</v>
      </c>
      <c r="BG126" s="17">
        <v>0</v>
      </c>
      <c r="BH126" s="17">
        <v>0</v>
      </c>
      <c r="BI126" s="17">
        <v>0</v>
      </c>
      <c r="BJ126" s="17">
        <v>0</v>
      </c>
      <c r="BK126" s="17">
        <v>0</v>
      </c>
      <c r="BL126" s="17">
        <v>0</v>
      </c>
      <c r="BM126" s="17">
        <v>0</v>
      </c>
      <c r="BN126" s="17"/>
      <c r="BO126" s="17"/>
      <c r="BP126" s="17"/>
      <c r="BQ126" s="17"/>
      <c r="BR126" s="17"/>
      <c r="BS126" s="67">
        <f>=BR125*(1-BS$43)</f>
        <v>0</v>
      </c>
      <c r="BT126" s="67">
        <f>=BS125*(1-BT$43)</f>
        <v>0</v>
      </c>
      <c r="BU126" s="67">
        <f>=BT125*(1-BU$43)</f>
        <v>0</v>
      </c>
      <c r="BV126" s="67">
        <f>=BU125*(1-BV$43)</f>
        <v>0</v>
      </c>
      <c r="BW126" s="67">
        <f>=BV125*(1-BW$43)</f>
        <v>0</v>
      </c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</row>
    <row r="127" spans="1:106" x14ac:dyDescent="0.25">
      <c r="A127" s="17" t="s">
        <v>343</v>
      </c>
      <c r="C127" s="17">
        <v>0</v>
      </c>
      <c r="D127" s="17">
        <v>0</v>
      </c>
      <c r="E127" s="17">
        <v>0</v>
      </c>
      <c r="F127" s="17">
        <v>0</v>
      </c>
      <c r="G127" s="17">
        <v>0</v>
      </c>
      <c r="H127" s="17">
        <v>0</v>
      </c>
      <c r="I127" s="17">
        <v>0</v>
      </c>
      <c r="J127" s="17">
        <v>0</v>
      </c>
      <c r="K127" s="17">
        <v>0</v>
      </c>
      <c r="L127" s="17">
        <v>0</v>
      </c>
      <c r="M127" s="17">
        <v>0</v>
      </c>
      <c r="N127" s="17">
        <v>0</v>
      </c>
      <c r="O127" s="17">
        <v>0</v>
      </c>
      <c r="P127" s="17">
        <v>0</v>
      </c>
      <c r="Q127" s="17">
        <v>0</v>
      </c>
      <c r="R127" s="17">
        <v>0</v>
      </c>
      <c r="S127" s="17">
        <v>0</v>
      </c>
      <c r="T127" s="17">
        <v>0</v>
      </c>
      <c r="U127" s="17">
        <v>0</v>
      </c>
      <c r="V127" s="17">
        <v>0</v>
      </c>
      <c r="W127" s="17">
        <v>0</v>
      </c>
      <c r="X127" s="17">
        <v>0</v>
      </c>
      <c r="Y127" s="17">
        <v>0</v>
      </c>
      <c r="Z127" s="17">
        <v>0</v>
      </c>
      <c r="AA127" s="17">
        <v>0</v>
      </c>
      <c r="AB127" s="17">
        <v>0</v>
      </c>
      <c r="AC127" s="17">
        <v>0</v>
      </c>
      <c r="AD127" s="17">
        <v>0</v>
      </c>
      <c r="AE127" s="17">
        <v>0</v>
      </c>
      <c r="AF127" s="17">
        <v>0</v>
      </c>
      <c r="AG127" s="17">
        <v>0</v>
      </c>
      <c r="AH127" s="17">
        <v>0</v>
      </c>
      <c r="AI127" s="17">
        <v>0</v>
      </c>
      <c r="AJ127" s="17">
        <v>0</v>
      </c>
      <c r="AK127" s="17">
        <v>0</v>
      </c>
      <c r="AL127" s="17">
        <v>0</v>
      </c>
      <c r="AM127" s="17">
        <v>0</v>
      </c>
      <c r="AN127" s="17">
        <v>0</v>
      </c>
      <c r="AO127" s="17">
        <v>0</v>
      </c>
      <c r="AP127" s="17">
        <v>0</v>
      </c>
      <c r="AQ127" s="17">
        <v>0</v>
      </c>
      <c r="AR127" s="17">
        <v>0</v>
      </c>
      <c r="AS127" s="17">
        <v>0</v>
      </c>
      <c r="AT127" s="17">
        <v>0</v>
      </c>
      <c r="AU127" s="17">
        <v>0</v>
      </c>
      <c r="AV127" s="17">
        <v>0</v>
      </c>
      <c r="AW127" s="17">
        <v>0</v>
      </c>
      <c r="AX127" s="17">
        <v>0</v>
      </c>
      <c r="AY127" s="17">
        <v>0</v>
      </c>
      <c r="AZ127" s="17">
        <v>0</v>
      </c>
      <c r="BA127" s="17">
        <v>0</v>
      </c>
      <c r="BB127" s="17">
        <v>0</v>
      </c>
      <c r="BC127" s="17">
        <v>0</v>
      </c>
      <c r="BD127" s="17">
        <v>0</v>
      </c>
      <c r="BE127" s="17">
        <v>0</v>
      </c>
      <c r="BF127" s="17">
        <v>0</v>
      </c>
      <c r="BG127" s="17">
        <v>0</v>
      </c>
      <c r="BH127" s="17">
        <v>0</v>
      </c>
      <c r="BI127" s="17">
        <v>0</v>
      </c>
      <c r="BJ127" s="17">
        <v>0</v>
      </c>
      <c r="BK127" s="17">
        <v>0</v>
      </c>
      <c r="BL127" s="17">
        <v>0</v>
      </c>
      <c r="BM127" s="17">
        <v>0</v>
      </c>
      <c r="BN127" s="17"/>
      <c r="BO127" s="17"/>
      <c r="BP127" s="17"/>
      <c r="BQ127" s="17"/>
      <c r="BR127" s="17"/>
      <c r="BS127" s="67">
        <f>=BR126*(1-BS$43)</f>
        <v>0</v>
      </c>
      <c r="BT127" s="67">
        <f>=BS126*(1-BT$43)</f>
        <v>0</v>
      </c>
      <c r="BU127" s="67">
        <f>=BT126*(1-BU$43)</f>
        <v>0</v>
      </c>
      <c r="BV127" s="67">
        <f>=BU126*(1-BV$43)</f>
        <v>0</v>
      </c>
      <c r="BW127" s="67">
        <f>=BV126*(1-BW$43)</f>
        <v>0</v>
      </c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</row>
    <row r="128" ht="18" customHeight="1" spans="1:106" x14ac:dyDescent="0.25">
      <c r="A128" s="17" t="s">
        <v>344</v>
      </c>
      <c r="C128" s="17">
        <v>0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2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7">
        <v>0</v>
      </c>
      <c r="AI128" s="17">
        <v>0</v>
      </c>
      <c r="AJ128" s="17">
        <v>0</v>
      </c>
      <c r="AK128" s="17">
        <v>0</v>
      </c>
      <c r="AL128" s="17">
        <v>0</v>
      </c>
      <c r="AM128" s="17">
        <v>0</v>
      </c>
      <c r="AN128" s="17">
        <v>0</v>
      </c>
      <c r="AO128" s="17">
        <v>0</v>
      </c>
      <c r="AP128" s="17">
        <v>0</v>
      </c>
      <c r="AQ128" s="17">
        <v>0</v>
      </c>
      <c r="AR128" s="17">
        <v>0</v>
      </c>
      <c r="AS128" s="17">
        <v>0</v>
      </c>
      <c r="AT128" s="17">
        <v>0</v>
      </c>
      <c r="AU128" s="17">
        <v>5</v>
      </c>
      <c r="AV128" s="17">
        <v>0</v>
      </c>
      <c r="AW128" s="17">
        <v>0</v>
      </c>
      <c r="AX128" s="17">
        <v>2</v>
      </c>
      <c r="AY128" s="17">
        <v>0</v>
      </c>
      <c r="AZ128" s="17">
        <v>0</v>
      </c>
      <c r="BA128" s="17">
        <v>0</v>
      </c>
      <c r="BB128" s="17">
        <v>0</v>
      </c>
      <c r="BC128" s="17">
        <v>0</v>
      </c>
      <c r="BD128" s="17">
        <v>0</v>
      </c>
      <c r="BE128" s="17">
        <v>0</v>
      </c>
      <c r="BF128" s="17">
        <v>0</v>
      </c>
      <c r="BG128" s="17">
        <v>0</v>
      </c>
      <c r="BH128" s="17">
        <v>0</v>
      </c>
      <c r="BI128" s="17">
        <v>0</v>
      </c>
      <c r="BJ128" s="17">
        <v>4</v>
      </c>
      <c r="BK128" s="17">
        <v>0</v>
      </c>
      <c r="BL128" s="17">
        <v>0</v>
      </c>
      <c r="BM128" s="17">
        <v>0</v>
      </c>
      <c r="BN128" s="17"/>
      <c r="BO128" s="17"/>
      <c r="BP128" s="17"/>
      <c r="BQ128" s="17"/>
      <c r="BR128" s="17"/>
      <c r="BS128" s="67">
        <f>=BR127*(1-BS$43)</f>
        <v>0</v>
      </c>
      <c r="BT128" s="67">
        <f>=BS127*(1-BT$43)</f>
        <v>0</v>
      </c>
      <c r="BU128" s="67">
        <f>=BT127*(1-BU$43)</f>
        <v>0</v>
      </c>
      <c r="BV128" s="67">
        <f>=BU127*(1-BV$43)</f>
        <v>0</v>
      </c>
      <c r="BW128" s="67">
        <f>=BV127*(1-BW$43)</f>
        <v>0</v>
      </c>
      <c r="BX128" s="67">
        <f>=BW119*(1-BX$43)</f>
        <v>0</v>
      </c>
      <c r="BY128" s="67">
        <f>=BX119*(1-BY$43)</f>
        <v>0</v>
      </c>
      <c r="BZ128" s="67">
        <f>=BY119*(1-BZ$43)</f>
        <v>0</v>
      </c>
      <c r="CA128" s="67">
        <f>=BZ119*(1-CA$43)</f>
        <v>0</v>
      </c>
      <c r="CB128" s="67">
        <f>=CA119*(1-CB$43)</f>
        <v>0</v>
      </c>
      <c r="CC128" s="67">
        <f>=CB119*(1-CC$43)</f>
        <v>0</v>
      </c>
      <c r="CD128" s="67">
        <f>=CC119*(1-CD$43)</f>
        <v>0</v>
      </c>
      <c r="CE128" s="67">
        <f>=CD119*(1-CE$43)</f>
        <v>0</v>
      </c>
      <c r="CF128" s="67">
        <f>=CE119*(1-CF$43)</f>
        <v>0</v>
      </c>
      <c r="CG128" s="67">
        <f>=CF119*(1-CG$43)</f>
        <v>0</v>
      </c>
      <c r="CH128" s="67">
        <f>=CG119*(1-CH$43)</f>
        <v>0</v>
      </c>
      <c r="CI128" s="67">
        <f>=CH119*(1-CI$43)</f>
        <v>0</v>
      </c>
      <c r="CJ128" s="67">
        <f>=CI119*(1-CJ$43)</f>
        <v>0</v>
      </c>
      <c r="CK128" s="67">
        <f>=CJ119*(1-CK$43)</f>
        <v>0</v>
      </c>
      <c r="CL128" s="67">
        <f>=CK119*(1-CL$43)</f>
        <v>0</v>
      </c>
      <c r="CM128" s="67">
        <f>=CL119*(1-CM$43)</f>
        <v>0</v>
      </c>
      <c r="CN128" s="67">
        <f>=CM119*(1-CN$43)</f>
        <v>0</v>
      </c>
      <c r="CO128" s="67">
        <f>=CN119*(1-CO$43)</f>
        <v>0</v>
      </c>
      <c r="CP128" s="67">
        <f>=CO119*(1-CP$43)</f>
        <v>0</v>
      </c>
      <c r="CQ128" s="67">
        <f>=CP119*(1-CQ$43)</f>
        <v>0</v>
      </c>
      <c r="CR128" s="67">
        <f>=CQ119*(1-CR$43)</f>
        <v>0</v>
      </c>
      <c r="CS128" s="67">
        <f>=CR119*(1-CS$43)</f>
        <v>0</v>
      </c>
      <c r="CT128" s="67">
        <f>=CS119*(1-CT$43)</f>
        <v>0</v>
      </c>
      <c r="CU128" s="67">
        <f>=CT119*(1-CU$43)</f>
        <v>0</v>
      </c>
      <c r="CV128" s="67">
        <f>=CU119*(1-CV$43)</f>
        <v>0</v>
      </c>
      <c r="CW128" s="67">
        <f>=CV119*(1-CW$43)</f>
        <v>0</v>
      </c>
      <c r="CX128" s="67">
        <f>=CW119*(1-CX$43)</f>
        <v>0</v>
      </c>
      <c r="CY128" s="67">
        <f>=CX119*(1-CY$43)</f>
        <v>0</v>
      </c>
      <c r="CZ128" s="67">
        <f>=CY119*(1-CZ$43)</f>
        <v>0</v>
      </c>
      <c r="DA128" s="67">
        <f>=CZ119*(1-DA$43)</f>
        <v>0</v>
      </c>
      <c r="DB128" s="67">
        <f>=DA119*(1-DB$43)</f>
        <v>0</v>
      </c>
    </row>
    <row r="129" spans="3:106" x14ac:dyDescent="0.25"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  <c r="BA129" s="30"/>
      <c r="BB129" s="30"/>
      <c r="BC129" s="30"/>
      <c r="BD129" s="30"/>
      <c r="BE129" s="30"/>
      <c r="BF129" s="30"/>
      <c r="BG129" s="30"/>
      <c r="BH129" s="30"/>
      <c r="BI129" s="30"/>
      <c r="BJ129" s="30"/>
      <c r="BK129" s="30"/>
      <c r="BL129" s="30"/>
      <c r="BM129" s="30"/>
      <c r="BN129" s="30"/>
      <c r="BO129" s="30"/>
      <c r="BP129" s="30"/>
      <c r="BQ129" s="30"/>
      <c r="BR129" s="30"/>
      <c r="BS129" s="30"/>
      <c r="BT129" s="30"/>
      <c r="BU129" s="30"/>
      <c r="BV129" s="30"/>
      <c r="BW129" s="30"/>
      <c r="BX129" s="30"/>
      <c r="BY129" s="30"/>
      <c r="BZ129" s="30"/>
      <c r="CA129" s="30"/>
      <c r="CB129" s="30"/>
      <c r="CC129" s="30"/>
      <c r="CD129" s="30"/>
      <c r="CE129" s="30"/>
      <c r="CF129" s="30"/>
      <c r="CG129" s="30"/>
      <c r="CH129" s="30"/>
      <c r="CI129" s="30"/>
      <c r="CJ129" s="30"/>
      <c r="CK129" s="30"/>
      <c r="CL129" s="30"/>
      <c r="CM129" s="30"/>
      <c r="CN129" s="30"/>
      <c r="CO129" s="30"/>
      <c r="CP129" s="30"/>
      <c r="CQ129" s="30"/>
      <c r="CR129" s="30"/>
      <c r="CS129" s="30"/>
      <c r="CT129" s="30"/>
      <c r="CU129" s="30"/>
      <c r="CV129" s="30"/>
      <c r="CW129" s="30"/>
      <c r="CX129" s="30"/>
      <c r="CY129" s="30"/>
      <c r="CZ129" s="30"/>
      <c r="DA129" s="30"/>
      <c r="DB129" s="30"/>
    </row>
    <row r="130" spans="1:106" x14ac:dyDescent="0.25">
      <c r="A130" s="9" t="s">
        <v>345</v>
      </c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  <c r="AV130" s="30"/>
      <c r="AW130" s="30"/>
      <c r="AX130" s="30"/>
      <c r="AY130" s="30"/>
      <c r="AZ130" s="30"/>
      <c r="BA130" s="30"/>
      <c r="BB130" s="30"/>
      <c r="BC130" s="30"/>
      <c r="BD130" s="30"/>
      <c r="BE130" s="30"/>
      <c r="BF130" s="30"/>
      <c r="BG130" s="30"/>
      <c r="BH130" s="30"/>
      <c r="BI130" s="30"/>
      <c r="BJ130" s="30"/>
      <c r="BK130" s="30"/>
      <c r="BL130" s="30"/>
      <c r="BM130" s="30"/>
      <c r="BN130" s="30"/>
      <c r="BO130" s="30"/>
      <c r="BP130" s="30"/>
      <c r="BQ130" s="30"/>
      <c r="BR130" s="30"/>
      <c r="BS130" s="30"/>
      <c r="BT130" s="30"/>
      <c r="BU130" s="30"/>
      <c r="BV130" s="30"/>
      <c r="BW130" s="30"/>
      <c r="BX130" s="30"/>
      <c r="BY130" s="30"/>
      <c r="BZ130" s="30"/>
      <c r="CA130" s="30"/>
      <c r="CB130" s="30"/>
      <c r="CC130" s="30"/>
      <c r="CD130" s="30"/>
      <c r="CE130" s="30"/>
      <c r="CF130" s="30"/>
      <c r="CG130" s="30"/>
      <c r="CH130" s="30"/>
      <c r="CI130" s="30"/>
      <c r="CJ130" s="30"/>
      <c r="CK130" s="30"/>
      <c r="CL130" s="30"/>
      <c r="CM130" s="30"/>
      <c r="CN130" s="30"/>
      <c r="CO130" s="30"/>
      <c r="CP130" s="30"/>
      <c r="CQ130" s="30"/>
      <c r="CR130" s="30"/>
      <c r="CS130" s="30"/>
      <c r="CT130" s="30"/>
      <c r="CU130" s="30"/>
      <c r="CV130" s="30"/>
      <c r="CW130" s="30"/>
      <c r="CX130" s="30"/>
      <c r="CY130" s="30"/>
      <c r="CZ130" s="30"/>
      <c r="DA130" s="30"/>
      <c r="DB130" s="30"/>
    </row>
    <row r="131" ht="16" customHeight="1" spans="1:106" x14ac:dyDescent="0.25">
      <c r="A131" s="68" t="s">
        <v>346</v>
      </c>
      <c r="C131" s="30">
        <f>=C8</f>
        <v>1368</v>
      </c>
      <c r="D131" s="30">
        <f>=D8</f>
        <v>1367</v>
      </c>
      <c r="E131" s="30">
        <f>=E8</f>
        <v>1366</v>
      </c>
      <c r="F131" s="30">
        <f>=F8</f>
        <v>1367</v>
      </c>
      <c r="G131" s="30">
        <f>=G8</f>
        <v>1367</v>
      </c>
      <c r="H131" s="30">
        <f>=H8</f>
        <v>1367</v>
      </c>
      <c r="I131" s="30">
        <f>=I8</f>
        <v>1367</v>
      </c>
      <c r="J131" s="30">
        <f>=J8</f>
        <v>1370</v>
      </c>
      <c r="K131" s="30">
        <f>=K8</f>
        <v>1368</v>
      </c>
      <c r="L131" s="30">
        <f>=L8</f>
        <v>1233</v>
      </c>
      <c r="M131" s="30">
        <f>=M8</f>
        <v>1235</v>
      </c>
      <c r="N131" s="30">
        <f>=N8</f>
        <v>1134</v>
      </c>
      <c r="O131" s="30">
        <f>=O8</f>
        <v>1135</v>
      </c>
      <c r="P131" s="30">
        <f>=P8</f>
        <v>1135</v>
      </c>
      <c r="Q131" s="30">
        <f>=Q8</f>
        <v>1134</v>
      </c>
      <c r="R131" s="30">
        <f>=R8</f>
        <v>1134</v>
      </c>
      <c r="S131" s="30">
        <f>=S8</f>
        <v>1133</v>
      </c>
      <c r="T131" s="30">
        <f>=T8</f>
        <v>1135</v>
      </c>
      <c r="U131" s="30">
        <f>=U8</f>
        <v>1132</v>
      </c>
      <c r="V131" s="30">
        <f>=V8</f>
        <v>1132</v>
      </c>
      <c r="W131" s="30">
        <f>=W8</f>
        <v>1132</v>
      </c>
      <c r="X131" s="30">
        <f>=X8</f>
        <v>1132</v>
      </c>
      <c r="Y131" s="30">
        <f>=Y8</f>
        <v>1132</v>
      </c>
      <c r="Z131" s="30">
        <f>=Z8</f>
        <v>1132</v>
      </c>
      <c r="AA131" s="30">
        <f>=AA8</f>
        <v>1132</v>
      </c>
      <c r="AB131" s="30">
        <f>=AB8</f>
        <v>1132</v>
      </c>
      <c r="AC131" s="30">
        <f>=AC8</f>
        <v>1133</v>
      </c>
      <c r="AD131" s="30">
        <f>=AD8</f>
        <v>1135</v>
      </c>
      <c r="AE131" s="30">
        <f>=AE8</f>
        <v>1135</v>
      </c>
      <c r="AF131" s="30">
        <f>=AF8</f>
        <v>1135</v>
      </c>
      <c r="AG131" s="30">
        <f>=AG8</f>
        <v>1135</v>
      </c>
      <c r="AH131" s="30">
        <f>=AH8</f>
        <v>1134</v>
      </c>
      <c r="AI131" s="30">
        <f>=AI8</f>
        <v>1134</v>
      </c>
      <c r="AJ131" s="30">
        <f>=AJ8</f>
        <v>1134</v>
      </c>
      <c r="AK131" s="30">
        <f>=AK8</f>
        <v>1134</v>
      </c>
      <c r="AL131" s="30">
        <f>=AL8</f>
        <v>1142</v>
      </c>
      <c r="AM131" s="30">
        <f>=AM8</f>
        <v>1142</v>
      </c>
      <c r="AN131" s="30">
        <f>=AN8</f>
        <v>1142</v>
      </c>
      <c r="AO131" s="30">
        <f>=AO8</f>
        <v>1142</v>
      </c>
      <c r="AP131" s="30">
        <f>=AP8</f>
        <v>1142</v>
      </c>
      <c r="AQ131" s="30">
        <f>=AQ8</f>
        <v>1142</v>
      </c>
      <c r="AR131" s="30">
        <f>=AR8</f>
        <v>1142</v>
      </c>
      <c r="AS131" s="30">
        <f>=AS8</f>
        <v>1142</v>
      </c>
      <c r="AT131" s="30">
        <f>=AT8</f>
        <v>1215</v>
      </c>
      <c r="AU131" s="30">
        <f>=AU8</f>
        <v>1216</v>
      </c>
      <c r="AV131" s="30">
        <f>=AV8</f>
        <v>1216</v>
      </c>
      <c r="AW131" s="30">
        <f>=AW8</f>
        <v>1216</v>
      </c>
      <c r="AX131" s="30">
        <f>=AX8</f>
        <v>1216</v>
      </c>
      <c r="AY131" s="30">
        <f>=AY8</f>
        <v>1144</v>
      </c>
      <c r="AZ131" s="30">
        <f>=AZ8</f>
        <v>1144</v>
      </c>
      <c r="BA131" s="30">
        <f>=BA8</f>
        <v>1144</v>
      </c>
      <c r="BB131" s="30">
        <f>=BB8</f>
        <v>1144</v>
      </c>
      <c r="BC131" s="30">
        <f>=BC8</f>
        <v>1144</v>
      </c>
      <c r="BD131" s="30">
        <f>=BD8</f>
        <v>1141</v>
      </c>
      <c r="BE131" s="30">
        <f>=BE8</f>
        <v>1141</v>
      </c>
      <c r="BF131" s="30">
        <f>=BF8</f>
        <v>1141</v>
      </c>
      <c r="BG131" s="30">
        <f>=BG8</f>
        <v>1140</v>
      </c>
      <c r="BH131" s="30">
        <f>=BH8</f>
        <v>1141</v>
      </c>
      <c r="BI131" s="30">
        <f>=BI8</f>
        <v>1141</v>
      </c>
      <c r="BJ131" s="30">
        <f>=BJ8</f>
        <v>1141</v>
      </c>
      <c r="BK131" s="30">
        <f>=BK8</f>
        <v>1141</v>
      </c>
      <c r="BL131" s="30">
        <f>=BL8</f>
        <v>1158</v>
      </c>
      <c r="BM131" s="30">
        <f>=BM8</f>
        <v>1157</v>
      </c>
      <c r="BN131" s="30">
        <f>=BN8</f>
        <v>1157</v>
      </c>
      <c r="BO131" s="30">
        <f>=BO8</f>
        <v>1157</v>
      </c>
      <c r="BP131" s="30">
        <f>=BP8</f>
        <v>1022</v>
      </c>
      <c r="BQ131" s="30">
        <f>=BQ8</f>
        <v>1022</v>
      </c>
      <c r="BR131" s="30">
        <f>=BR8</f>
        <v>1022</v>
      </c>
      <c r="BS131" s="30">
        <f>=BS8</f>
        <v>1022</v>
      </c>
      <c r="BT131" s="30">
        <f>=BT8</f>
        <v>1024</v>
      </c>
      <c r="BU131" s="30">
        <f>=BU8</f>
        <v>1023</v>
      </c>
      <c r="BV131" s="30">
        <f>=BV8</f>
        <v>1023</v>
      </c>
      <c r="BW131" s="30">
        <f>=BW8</f>
        <v>1023</v>
      </c>
      <c r="BX131" s="30">
        <f>=BX8</f>
        <v>1023</v>
      </c>
      <c r="BY131" s="30">
        <f>=BY8</f>
        <v>1021</v>
      </c>
      <c r="BZ131" s="30">
        <f>=BZ8</f>
        <v>1021</v>
      </c>
      <c r="CA131" s="30">
        <f>=CA8</f>
        <v>1021</v>
      </c>
      <c r="CB131" s="30">
        <f>=CB8</f>
        <v>1021</v>
      </c>
      <c r="CC131" s="30">
        <f>=CC8</f>
        <v>1022</v>
      </c>
      <c r="CD131" s="30">
        <f>=CD8</f>
        <v>984</v>
      </c>
      <c r="CE131" s="30">
        <f>=CE8</f>
        <v>985</v>
      </c>
      <c r="CF131" s="30">
        <f>=CF8</f>
        <v>984</v>
      </c>
      <c r="CG131" s="30">
        <f>=CG8</f>
        <v>985</v>
      </c>
      <c r="CH131" s="30">
        <f>=CH8</f>
        <v>988</v>
      </c>
      <c r="CI131" s="30">
        <f>=CI8</f>
        <v>989</v>
      </c>
      <c r="CJ131" s="30">
        <f>=CJ8</f>
        <v>989</v>
      </c>
      <c r="CK131" s="30">
        <f>=CK8</f>
        <v>989</v>
      </c>
      <c r="CL131" s="30">
        <f>=CL8</f>
        <v>990</v>
      </c>
      <c r="CM131" s="30">
        <f>=CM8</f>
        <v>991</v>
      </c>
      <c r="CN131" s="30">
        <f>=CN8</f>
        <v>990</v>
      </c>
      <c r="CO131" s="30">
        <f>=CO8</f>
        <v>990</v>
      </c>
      <c r="CP131" s="30">
        <f>=CP8</f>
        <v>990</v>
      </c>
      <c r="CQ131" s="30">
        <f>=CQ8</f>
        <v>989</v>
      </c>
      <c r="CR131" s="30">
        <f>=CR8</f>
        <v>990</v>
      </c>
      <c r="CS131" s="30">
        <f>=CS8</f>
        <v>990</v>
      </c>
      <c r="CT131" s="30">
        <f>=CT8</f>
        <v>989</v>
      </c>
      <c r="CU131" s="30">
        <f>=CU8</f>
        <v>990</v>
      </c>
      <c r="CV131" s="30">
        <f>=CV8</f>
        <v>990</v>
      </c>
      <c r="CW131" s="30">
        <f>=CW8</f>
        <v>990</v>
      </c>
      <c r="CX131" s="30">
        <f>=CX8</f>
        <v>990</v>
      </c>
      <c r="CY131" s="30">
        <f>=CY8</f>
        <v>987</v>
      </c>
      <c r="CZ131" s="30">
        <f>=CZ8</f>
        <v>993</v>
      </c>
      <c r="DA131" s="30">
        <f>=DA8</f>
        <v>993</v>
      </c>
      <c r="DB131" s="30">
        <f>=DB8</f>
        <v>993</v>
      </c>
    </row>
    <row r="132" ht="18" customHeight="1" spans="1:106" x14ac:dyDescent="0.25">
      <c r="A132" s="68" t="s">
        <v>347</v>
      </c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50">
        <v>2742</v>
      </c>
      <c r="AD132" s="50">
        <v>2552</v>
      </c>
      <c r="AE132" s="50">
        <v>2243</v>
      </c>
      <c r="AF132" s="50">
        <v>2387</v>
      </c>
      <c r="AG132" s="50">
        <v>1785</v>
      </c>
      <c r="AH132" s="50">
        <v>1577</v>
      </c>
      <c r="AI132" s="50">
        <v>1592</v>
      </c>
      <c r="AJ132" s="50">
        <v>1618</v>
      </c>
      <c r="AK132" s="50">
        <v>1539</v>
      </c>
      <c r="AL132" s="50">
        <v>1654</v>
      </c>
      <c r="AM132" s="50">
        <v>1719</v>
      </c>
      <c r="AN132" s="50">
        <v>1771</v>
      </c>
      <c r="AO132" s="50">
        <v>1783</v>
      </c>
      <c r="AP132" s="50">
        <v>1589</v>
      </c>
      <c r="AQ132" s="50">
        <v>1682</v>
      </c>
      <c r="AR132" s="50">
        <v>1720</v>
      </c>
      <c r="AS132" s="50">
        <v>1626</v>
      </c>
      <c r="AT132" s="50">
        <v>1768</v>
      </c>
      <c r="AU132" s="50">
        <v>1589</v>
      </c>
      <c r="AV132" s="50">
        <v>1570</v>
      </c>
      <c r="AW132" s="50">
        <v>1643</v>
      </c>
      <c r="AX132" s="50">
        <v>1741</v>
      </c>
      <c r="AY132" s="50">
        <v>1586</v>
      </c>
      <c r="AZ132" s="50">
        <v>1581</v>
      </c>
      <c r="BA132" s="50">
        <v>1577</v>
      </c>
      <c r="BB132" s="50">
        <v>1575</v>
      </c>
      <c r="BC132" s="50">
        <v>1540</v>
      </c>
      <c r="BD132" s="50">
        <v>1540</v>
      </c>
      <c r="BE132" s="50">
        <v>1537</v>
      </c>
      <c r="BF132" s="50">
        <v>1555</v>
      </c>
      <c r="BG132" s="50">
        <v>1553</v>
      </c>
      <c r="BH132" s="50">
        <v>1465</v>
      </c>
      <c r="BI132" s="50">
        <v>1693</v>
      </c>
      <c r="BJ132" s="50">
        <v>1678</v>
      </c>
      <c r="BK132" s="50">
        <v>1675</v>
      </c>
      <c r="BL132" s="50">
        <v>1667</v>
      </c>
      <c r="BM132" s="50">
        <v>1650</v>
      </c>
      <c r="BN132" s="69">
        <v>1578</v>
      </c>
      <c r="BO132" s="69">
        <v>1584</v>
      </c>
      <c r="BP132" s="69">
        <v>1532</v>
      </c>
      <c r="BQ132" s="69">
        <v>1499</v>
      </c>
      <c r="BR132" s="69">
        <v>1474</v>
      </c>
      <c r="BS132" s="69">
        <v>1471</v>
      </c>
      <c r="BT132" s="69">
        <v>1486</v>
      </c>
      <c r="BU132" s="69">
        <v>1536</v>
      </c>
      <c r="BV132" s="50">
        <v>1534</v>
      </c>
      <c r="BW132" s="69">
        <v>1526</v>
      </c>
      <c r="BX132" s="30"/>
      <c r="BY132" s="30"/>
      <c r="BZ132" s="30"/>
      <c r="CA132" s="30"/>
      <c r="CB132" s="30"/>
      <c r="CC132" s="30"/>
      <c r="CD132" s="30"/>
      <c r="CE132" s="30"/>
      <c r="CF132" s="30"/>
      <c r="CG132" s="30"/>
      <c r="CH132" s="30"/>
      <c r="CI132" s="30"/>
      <c r="CJ132" s="30"/>
      <c r="CK132" s="30"/>
      <c r="CL132" s="30"/>
      <c r="CM132" s="30"/>
      <c r="CN132" s="30"/>
      <c r="CO132" s="30"/>
      <c r="CP132" s="30"/>
      <c r="CQ132" s="30"/>
      <c r="CR132" s="30"/>
      <c r="CS132" s="30"/>
      <c r="CT132" s="30"/>
      <c r="CU132" s="30"/>
      <c r="CV132" s="30"/>
      <c r="CW132" s="30"/>
      <c r="CX132" s="30"/>
      <c r="CY132" s="30"/>
      <c r="CZ132" s="30"/>
      <c r="DA132" s="30"/>
      <c r="DB132" s="30"/>
    </row>
    <row r="133" ht="18" customHeight="1" spans="1:106" x14ac:dyDescent="0.25">
      <c r="A133" s="68" t="s">
        <v>348</v>
      </c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50">
        <v>1953</v>
      </c>
      <c r="AD133" s="50">
        <v>1983</v>
      </c>
      <c r="AE133" s="50">
        <v>1751</v>
      </c>
      <c r="AF133" s="50">
        <v>1895</v>
      </c>
      <c r="AG133" s="50">
        <v>1477</v>
      </c>
      <c r="AH133" s="50">
        <v>1303</v>
      </c>
      <c r="AI133" s="50">
        <v>1275</v>
      </c>
      <c r="AJ133" s="50">
        <v>1259</v>
      </c>
      <c r="AK133" s="50">
        <v>1181</v>
      </c>
      <c r="AL133" s="50">
        <v>1252</v>
      </c>
      <c r="AM133" s="50">
        <v>1204</v>
      </c>
      <c r="AN133" s="50">
        <v>1238</v>
      </c>
      <c r="AO133" s="50">
        <v>1204</v>
      </c>
      <c r="AP133" s="50">
        <v>1176</v>
      </c>
      <c r="AQ133" s="50">
        <v>1186</v>
      </c>
      <c r="AR133" s="50">
        <v>1200</v>
      </c>
      <c r="AS133" s="50">
        <v>1169</v>
      </c>
      <c r="AT133" s="50">
        <v>1290</v>
      </c>
      <c r="AU133" s="50">
        <v>1260</v>
      </c>
      <c r="AV133" s="50">
        <v>1258</v>
      </c>
      <c r="AW133" s="50">
        <v>1367</v>
      </c>
      <c r="AX133" s="50">
        <v>1355</v>
      </c>
      <c r="AY133" s="50">
        <v>1285</v>
      </c>
      <c r="AZ133" s="50">
        <v>1237</v>
      </c>
      <c r="BA133" s="50">
        <v>1301</v>
      </c>
      <c r="BB133" s="50">
        <v>1223</v>
      </c>
      <c r="BC133" s="50">
        <v>1190</v>
      </c>
      <c r="BD133" s="50">
        <v>1293</v>
      </c>
      <c r="BE133" s="50">
        <v>1189</v>
      </c>
      <c r="BF133" s="50">
        <v>1282</v>
      </c>
      <c r="BG133" s="50">
        <v>1173</v>
      </c>
      <c r="BH133" s="50">
        <v>1142</v>
      </c>
      <c r="BI133" s="50">
        <v>1353</v>
      </c>
      <c r="BJ133" s="50">
        <v>1230</v>
      </c>
      <c r="BK133" s="50">
        <v>1375</v>
      </c>
      <c r="BL133" s="50">
        <v>1319</v>
      </c>
      <c r="BM133" s="50">
        <v>1320</v>
      </c>
      <c r="BN133" s="69">
        <v>1260</v>
      </c>
      <c r="BO133" s="69">
        <v>1215</v>
      </c>
      <c r="BP133" s="69">
        <v>1165</v>
      </c>
      <c r="BQ133" s="69">
        <v>1150</v>
      </c>
      <c r="BR133" s="69">
        <v>1196</v>
      </c>
      <c r="BS133" s="69">
        <v>1187</v>
      </c>
      <c r="BT133" s="69">
        <v>971</v>
      </c>
      <c r="BU133" s="69">
        <v>1196</v>
      </c>
      <c r="BV133" s="50">
        <v>1191</v>
      </c>
      <c r="BW133" s="69">
        <v>1109</v>
      </c>
      <c r="BX133" s="30"/>
      <c r="BY133" s="30"/>
      <c r="BZ133" s="30"/>
      <c r="CA133" s="30"/>
      <c r="CB133" s="30"/>
      <c r="CC133" s="30"/>
      <c r="CD133" s="30"/>
      <c r="CE133" s="30"/>
      <c r="CF133" s="30"/>
      <c r="CG133" s="30"/>
      <c r="CH133" s="30"/>
      <c r="CI133" s="30"/>
      <c r="CJ133" s="30"/>
      <c r="CK133" s="30"/>
      <c r="CL133" s="30"/>
      <c r="CM133" s="30"/>
      <c r="CN133" s="30"/>
      <c r="CO133" s="30"/>
      <c r="CP133" s="30"/>
      <c r="CQ133" s="30"/>
      <c r="CR133" s="30"/>
      <c r="CS133" s="30"/>
      <c r="CT133" s="30"/>
      <c r="CU133" s="30"/>
      <c r="CV133" s="30"/>
      <c r="CW133" s="30"/>
      <c r="CX133" s="30"/>
      <c r="CY133" s="30"/>
      <c r="CZ133" s="30"/>
      <c r="DA133" s="30"/>
      <c r="DB133" s="30"/>
    </row>
    <row r="134" ht="18" customHeight="1" spans="1:106" x14ac:dyDescent="0.25">
      <c r="A134" s="70" t="s">
        <v>349</v>
      </c>
      <c r="C134" s="31">
        <f>=IFERROR(C133/C131,0)</f>
        <v>0</v>
      </c>
      <c r="D134" s="31">
        <f>=IFERROR(D133/D131,0)</f>
        <v>0</v>
      </c>
      <c r="E134" s="31">
        <f>=IFERROR(E133/E131,0)</f>
        <v>0</v>
      </c>
      <c r="F134" s="31">
        <f>=IFERROR(F133/F131,0)</f>
        <v>0</v>
      </c>
      <c r="G134" s="31">
        <f>=IFERROR(G133/G131,0)</f>
        <v>0</v>
      </c>
      <c r="H134" s="31">
        <f>=IFERROR(H133/H131,0)</f>
        <v>0</v>
      </c>
      <c r="I134" s="31">
        <f>=IFERROR(I133/I131,0)</f>
        <v>0</v>
      </c>
      <c r="J134" s="31">
        <f>=IFERROR(J133/J131,0)</f>
        <v>0</v>
      </c>
      <c r="K134" s="31">
        <f>=IFERROR(K133/K131,0)</f>
        <v>0</v>
      </c>
      <c r="L134" s="31">
        <f>=IFERROR(L133/L131,0)</f>
        <v>0</v>
      </c>
      <c r="M134" s="31">
        <f>=IFERROR(M133/M131,0)</f>
        <v>0</v>
      </c>
      <c r="N134" s="31">
        <f>=IFERROR(N133/N131,0)</f>
        <v>0</v>
      </c>
      <c r="O134" s="31">
        <f>=IFERROR(O133/O131,0)</f>
        <v>0</v>
      </c>
      <c r="P134" s="31">
        <f>=IFERROR(P133/P131,0)</f>
        <v>0</v>
      </c>
      <c r="Q134" s="31">
        <f>=IFERROR(Q133/Q131,0)</f>
        <v>0</v>
      </c>
      <c r="R134" s="31">
        <f>=IFERROR(R133/R131,0)</f>
        <v>0</v>
      </c>
      <c r="S134" s="31">
        <f>=IFERROR(S133/S131,0)</f>
        <v>0</v>
      </c>
      <c r="T134" s="31">
        <f>=IFERROR(T133/T131,0)</f>
        <v>0</v>
      </c>
      <c r="U134" s="31">
        <f>=IFERROR(U133/U131,0)</f>
        <v>0</v>
      </c>
      <c r="V134" s="31">
        <f>=IFERROR(V133/V131,0)</f>
        <v>0</v>
      </c>
      <c r="W134" s="31">
        <f>=IFERROR(W133/W131,0)</f>
        <v>0</v>
      </c>
      <c r="X134" s="31">
        <f>=IFERROR(X133/X131,0)</f>
        <v>0</v>
      </c>
      <c r="Y134" s="31">
        <f>=IFERROR(Y133/Y131,0)</f>
        <v>0</v>
      </c>
      <c r="Z134" s="31">
        <f>=IFERROR(Z133/Z131,0)</f>
        <v>0</v>
      </c>
      <c r="AA134" s="31">
        <f>=IFERROR(AA133/AA131,0)</f>
        <v>0</v>
      </c>
      <c r="AB134" s="31">
        <f>=IFERROR(AB133/AB131,0)</f>
        <v>0</v>
      </c>
      <c r="AC134" s="31">
        <f>=IFERROR(AC133/AC131,0)</f>
        <v>1.7237422771403355</v>
      </c>
      <c r="AD134" s="31">
        <f>=IFERROR(AD133/AD131,0)</f>
        <v>1.747136563876652</v>
      </c>
      <c r="AE134" s="31">
        <f>=IFERROR(AE133/AE131,0)</f>
        <v>1.5427312775330397</v>
      </c>
      <c r="AF134" s="31">
        <f>=IFERROR(AF133/AF131,0)</f>
        <v>1.669603524229075</v>
      </c>
      <c r="AG134" s="31">
        <f>=IFERROR(AG133/AG131,0)</f>
        <v>1.3013215859030838</v>
      </c>
      <c r="AH134" s="31">
        <f>=IFERROR(AH133/AH131,0)</f>
        <v>1.1490299823633157</v>
      </c>
      <c r="AI134" s="31">
        <f>=IFERROR(AI133/AI131,0)</f>
        <v>1.1243386243386244</v>
      </c>
      <c r="AJ134" s="31">
        <f>=IFERROR(AJ133/AJ131,0)</f>
        <v>1.1102292768959436</v>
      </c>
      <c r="AK134" s="31">
        <f>=IFERROR(AK133/AK131,0)</f>
        <v>1.0414462081128748</v>
      </c>
      <c r="AL134" s="31">
        <f>=IFERROR(AL133/AL131,0)</f>
        <v>1.096322241681261</v>
      </c>
      <c r="AM134" s="31">
        <f>=IFERROR(AM133/AM131,0)</f>
        <v>1.0542907180385288</v>
      </c>
      <c r="AN134" s="31">
        <f>=IFERROR(AN133/AN131,0)</f>
        <v>1.084063047285464</v>
      </c>
      <c r="AO134" s="31">
        <f>=IFERROR(AO133/AO131,0)</f>
        <v>1.0542907180385288</v>
      </c>
      <c r="AP134" s="31">
        <f>=IFERROR(AP133/AP131,0)</f>
        <v>1.0297723292469352</v>
      </c>
      <c r="AQ134" s="31">
        <f>=IFERROR(AQ133/AQ131,0)</f>
        <v>1.0385288966725044</v>
      </c>
      <c r="AR134" s="31">
        <f>=IFERROR(AR133/AR131,0)</f>
        <v>1.0507880910683012</v>
      </c>
      <c r="AS134" s="31">
        <f>=IFERROR(AS133/AS131,0)</f>
        <v>1.0236427320490369</v>
      </c>
      <c r="AT134" s="31">
        <f>=IFERROR(AT133/AT131,0)</f>
        <v>1.0617283950617284</v>
      </c>
      <c r="AU134" s="31">
        <f>=IFERROR(AU133/AU131,0)</f>
        <v>1.0361842105263157</v>
      </c>
      <c r="AV134" s="31">
        <f>=IFERROR(AV133/AV131,0)</f>
        <v>1.0345394736842106</v>
      </c>
      <c r="AW134" s="31">
        <f>=IFERROR(AW133/AW131,0)</f>
        <v>1.1241776315789473</v>
      </c>
      <c r="AX134" s="31">
        <f>=IFERROR(AX133/AX131,0)</f>
        <v>1.1143092105263157</v>
      </c>
      <c r="AY134" s="31">
        <f>=IFERROR(AY133/AY131,0)</f>
        <v>1.1232517482517483</v>
      </c>
      <c r="AZ134" s="31">
        <f>=IFERROR(AZ133/AZ131,0)</f>
        <v>1.0812937062937062</v>
      </c>
      <c r="BA134" s="31">
        <f>=IFERROR(BA133/BA131,0)</f>
        <v>1.1372377622377623</v>
      </c>
      <c r="BB134" s="31">
        <f>=IFERROR(BB133/BB131,0)</f>
        <v>1.069055944055944</v>
      </c>
      <c r="BC134" s="31">
        <f>=IFERROR(BC133/BC131,0)</f>
        <v>1.0402097902097902</v>
      </c>
      <c r="BD134" s="31">
        <f>=IFERROR(BD133/BD131,0)</f>
        <v>1.133216476774759</v>
      </c>
      <c r="BE134" s="31">
        <f>=IFERROR(BE133/BE131,0)</f>
        <v>1.042068361086766</v>
      </c>
      <c r="BF134" s="31">
        <f>=IFERROR(BF133/BF131,0)</f>
        <v>1.123575810692375</v>
      </c>
      <c r="BG134" s="31">
        <f>=IFERROR(BG133/BG131,0)</f>
        <v>1.0289473684210526</v>
      </c>
      <c r="BH134" s="31">
        <f>=IFERROR(BH133/BH131,0)</f>
        <v>1.0008764241893076</v>
      </c>
      <c r="BI134" s="31">
        <f>=IFERROR(BI133/BI131,0)</f>
        <v>1.1858019281332164</v>
      </c>
      <c r="BJ134" s="31">
        <f>=IFERROR(BJ133/BJ131,0)</f>
        <v>1.0780017528483785</v>
      </c>
      <c r="BK134" s="31">
        <f>=IFERROR(BK133/BK131,0)</f>
        <v>1.2050832602979842</v>
      </c>
      <c r="BL134" s="31">
        <f>=IFERROR(BL133/BL131,0)</f>
        <v>1.1390328151986182</v>
      </c>
      <c r="BM134" s="31">
        <f>=IFERROR(BM133/BM131,0)</f>
        <v>1.1408815903197926</v>
      </c>
      <c r="BN134" s="31">
        <f>=IFERROR(BN133/BN131,0)</f>
        <v>1.0890233362143475</v>
      </c>
      <c r="BO134" s="31">
        <f>=IFERROR(BO133/BO131,0)</f>
        <v>1.0501296456352636</v>
      </c>
      <c r="BP134" s="31">
        <f>=IFERROR(BP133/BP131,0)</f>
        <v>1.139921722113503</v>
      </c>
      <c r="BQ134" s="31">
        <f>=IFERROR(BQ133/BQ131,0)</f>
        <v>1.1252446183953033</v>
      </c>
      <c r="BR134" s="31">
        <f>=IFERROR(BR133/BR131,0)</f>
        <v>1.1702544031311155</v>
      </c>
      <c r="BS134" s="31">
        <f>=IFERROR(BS133/BS131,0)</f>
        <v>1.1614481409001958</v>
      </c>
      <c r="BT134" s="31">
        <f>=IFERROR(BT133/BT131,0)</f>
        <v>0.9482421875</v>
      </c>
      <c r="BU134" s="31">
        <f>=IFERROR(BU133/BU131,0)</f>
        <v>1.1691104594330402</v>
      </c>
      <c r="BV134" s="31">
        <f>=IFERROR(BV133/BV131,0)</f>
        <v>1.1642228739002933</v>
      </c>
      <c r="BW134" s="31">
        <f>=IFERROR(BW133/BW131,0)</f>
        <v>1.0840664711632453</v>
      </c>
      <c r="BX134" s="31">
        <f>=IFERROR(BX133/BX131,0)</f>
        <v>0</v>
      </c>
      <c r="BY134" s="31">
        <f>=IFERROR(BY133/BY131,0)</f>
        <v>0</v>
      </c>
      <c r="BZ134" s="31">
        <f>=IFERROR(BZ133/BZ131,0)</f>
        <v>0</v>
      </c>
      <c r="CA134" s="31">
        <f>=IFERROR(CA133/CA131,0)</f>
        <v>0</v>
      </c>
      <c r="CB134" s="31">
        <f>=IFERROR(CB133/CB131,0)</f>
        <v>0</v>
      </c>
      <c r="CC134" s="31">
        <f>=IFERROR(CC133/CC131,0)</f>
        <v>0</v>
      </c>
      <c r="CD134" s="31">
        <f>=IFERROR(CD133/CD131,0)</f>
        <v>0</v>
      </c>
      <c r="CE134" s="31">
        <f>=IFERROR(CE133/CE131,0)</f>
        <v>0</v>
      </c>
      <c r="CF134" s="31">
        <f>=IFERROR(CF133/CF131,0)</f>
        <v>0</v>
      </c>
      <c r="CG134" s="31">
        <f>=IFERROR(CG133/CG131,0)</f>
        <v>0</v>
      </c>
      <c r="CH134" s="31">
        <f>=IFERROR(CH133/CH131,0)</f>
        <v>0</v>
      </c>
      <c r="CI134" s="31">
        <f>=IFERROR(CI133/CI131,0)</f>
        <v>0</v>
      </c>
      <c r="CJ134" s="31">
        <f>=IFERROR(CJ133/CJ131,0)</f>
        <v>0</v>
      </c>
      <c r="CK134" s="31">
        <f>=IFERROR(CK133/CK131,0)</f>
        <v>0</v>
      </c>
      <c r="CL134" s="31">
        <f>=IFERROR(CL133/CL131,0)</f>
        <v>0</v>
      </c>
      <c r="CM134" s="31">
        <f>=IFERROR(CM133/CM131,0)</f>
        <v>0</v>
      </c>
      <c r="CN134" s="31">
        <f>=IFERROR(CN133/CN131,0)</f>
        <v>0</v>
      </c>
      <c r="CO134" s="31">
        <f>=IFERROR(CO133/CO131,0)</f>
        <v>0</v>
      </c>
      <c r="CP134" s="31">
        <f>=IFERROR(CP133/CP131,0)</f>
        <v>0</v>
      </c>
      <c r="CQ134" s="31">
        <f>=IFERROR(CQ133/CQ131,0)</f>
        <v>0</v>
      </c>
      <c r="CR134" s="31">
        <f>=IFERROR(CR133/CR131,0)</f>
        <v>0</v>
      </c>
      <c r="CS134" s="31">
        <f>=IFERROR(CS133/CS131,0)</f>
        <v>0</v>
      </c>
      <c r="CT134" s="31">
        <f>=IFERROR(CT133/CT131,0)</f>
        <v>0</v>
      </c>
      <c r="CU134" s="31">
        <f>=IFERROR(CU133/CU131,0)</f>
        <v>0</v>
      </c>
      <c r="CV134" s="31">
        <f>=IFERROR(CV133/CV131,0)</f>
        <v>0</v>
      </c>
      <c r="CW134" s="31">
        <f>=IFERROR(CW133/CW131,0)</f>
        <v>0</v>
      </c>
      <c r="CX134" s="31">
        <f>=IFERROR(CX133/CX131,0)</f>
        <v>0</v>
      </c>
      <c r="CY134" s="31">
        <f>=IFERROR(CY133/CY131,0)</f>
        <v>0</v>
      </c>
      <c r="CZ134" s="31">
        <f>=IFERROR(CZ133/CZ131,0)</f>
        <v>0</v>
      </c>
      <c r="DA134" s="31">
        <f>=IFERROR(DA133/DA131,0)</f>
        <v>0</v>
      </c>
      <c r="DB134" s="31">
        <f>=IFERROR(DB133/DB131,0)</f>
        <v>0</v>
      </c>
    </row>
    <row r="135" ht="18" customHeight="1" spans="1:106" x14ac:dyDescent="0.25">
      <c r="A135" s="68" t="s">
        <v>350</v>
      </c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50">
        <v>1754</v>
      </c>
      <c r="AD135" s="50">
        <v>1775</v>
      </c>
      <c r="AE135" s="50">
        <v>1562</v>
      </c>
      <c r="AF135" s="50">
        <v>1693</v>
      </c>
      <c r="AG135" s="50">
        <v>1330</v>
      </c>
      <c r="AH135" s="50">
        <v>1173</v>
      </c>
      <c r="AI135" s="50">
        <v>965</v>
      </c>
      <c r="AJ135" s="50">
        <v>935</v>
      </c>
      <c r="AK135" s="50">
        <v>979</v>
      </c>
      <c r="AL135" s="50">
        <v>1126</v>
      </c>
      <c r="AM135" s="50">
        <v>1085</v>
      </c>
      <c r="AN135" s="50">
        <v>1061</v>
      </c>
      <c r="AO135" s="50">
        <v>1069</v>
      </c>
      <c r="AP135" s="50">
        <v>1045</v>
      </c>
      <c r="AQ135" s="50">
        <v>1064</v>
      </c>
      <c r="AR135" s="50">
        <v>1078</v>
      </c>
      <c r="AS135" s="50">
        <v>1036</v>
      </c>
      <c r="AT135" s="50">
        <v>1020</v>
      </c>
      <c r="AU135" s="50">
        <v>1123</v>
      </c>
      <c r="AV135" s="50">
        <v>1116</v>
      </c>
      <c r="AW135" s="50">
        <v>1134</v>
      </c>
      <c r="AX135" s="50">
        <v>1185</v>
      </c>
      <c r="AY135" s="50">
        <v>1140</v>
      </c>
      <c r="AZ135" s="50">
        <v>1100</v>
      </c>
      <c r="BA135" s="50">
        <v>1154</v>
      </c>
      <c r="BB135" s="50">
        <v>1086</v>
      </c>
      <c r="BC135" s="50">
        <v>1053</v>
      </c>
      <c r="BD135" s="50">
        <v>1148</v>
      </c>
      <c r="BE135" s="50">
        <v>1055</v>
      </c>
      <c r="BF135" s="50">
        <v>1138</v>
      </c>
      <c r="BG135" s="50">
        <v>1050</v>
      </c>
      <c r="BH135" s="50">
        <v>1023</v>
      </c>
      <c r="BI135" s="50">
        <v>1124</v>
      </c>
      <c r="BJ135" s="50">
        <v>1092</v>
      </c>
      <c r="BK135" s="50">
        <v>1227</v>
      </c>
      <c r="BL135" s="50">
        <v>1174</v>
      </c>
      <c r="BM135" s="50">
        <v>1178</v>
      </c>
      <c r="BN135" s="69">
        <v>1095</v>
      </c>
      <c r="BO135" s="69">
        <v>1069</v>
      </c>
      <c r="BP135" s="69">
        <v>1028</v>
      </c>
      <c r="BQ135" s="69">
        <v>1031</v>
      </c>
      <c r="BR135" s="69">
        <v>1067</v>
      </c>
      <c r="BS135" s="69">
        <v>1050</v>
      </c>
      <c r="BT135" s="69">
        <v>847</v>
      </c>
      <c r="BU135" s="69">
        <v>1048</v>
      </c>
      <c r="BV135" s="50">
        <v>1062</v>
      </c>
      <c r="BW135" s="69">
        <v>986</v>
      </c>
      <c r="BX135" s="30"/>
      <c r="BY135" s="30"/>
      <c r="BZ135" s="30"/>
      <c r="CA135" s="30"/>
      <c r="CB135" s="30"/>
      <c r="CC135" s="30"/>
      <c r="CD135" s="30"/>
      <c r="CE135" s="30"/>
      <c r="CF135" s="30"/>
      <c r="CG135" s="30"/>
      <c r="CH135" s="30"/>
      <c r="CI135" s="30"/>
      <c r="CJ135" s="30"/>
      <c r="CK135" s="30"/>
      <c r="CL135" s="30"/>
      <c r="CM135" s="30"/>
      <c r="CN135" s="30"/>
      <c r="CO135" s="30"/>
      <c r="CP135" s="30"/>
      <c r="CQ135" s="30"/>
      <c r="CR135" s="30"/>
      <c r="CS135" s="30"/>
      <c r="CT135" s="30"/>
      <c r="CU135" s="30"/>
      <c r="CV135" s="30"/>
      <c r="CW135" s="30"/>
      <c r="CX135" s="30"/>
      <c r="CY135" s="30"/>
      <c r="CZ135" s="30"/>
      <c r="DA135" s="30"/>
      <c r="DB135" s="30"/>
    </row>
    <row r="136" ht="18" customHeight="1" spans="1:75" x14ac:dyDescent="0.25">
      <c r="A136" s="68" t="s">
        <v>351</v>
      </c>
      <c r="BT136" s="71"/>
      <c r="BU136" s="71"/>
      <c r="BV136" s="71"/>
      <c r="BW136" s="71"/>
    </row>
    <row r="137" ht="18" customHeight="1" spans="1:75" x14ac:dyDescent="0.25">
      <c r="A137" s="72" t="s">
        <v>263</v>
      </c>
      <c r="AC137" s="50">
        <v>351</v>
      </c>
      <c r="AD137" s="50">
        <v>180</v>
      </c>
      <c r="AE137" s="50">
        <v>178</v>
      </c>
      <c r="AF137" s="50">
        <v>64</v>
      </c>
      <c r="AG137" s="50">
        <v>9</v>
      </c>
      <c r="AH137" s="50">
        <v>0</v>
      </c>
      <c r="AI137" s="50">
        <v>13</v>
      </c>
      <c r="AJ137" s="50">
        <v>21</v>
      </c>
      <c r="AK137" s="50">
        <v>88</v>
      </c>
      <c r="AL137" s="50">
        <v>78</v>
      </c>
      <c r="AM137" s="50">
        <v>113</v>
      </c>
      <c r="AN137" s="50">
        <v>93</v>
      </c>
      <c r="AO137" s="50">
        <v>90</v>
      </c>
      <c r="AP137" s="50">
        <v>98</v>
      </c>
      <c r="AQ137" s="50">
        <v>82</v>
      </c>
      <c r="AR137" s="50">
        <v>80</v>
      </c>
      <c r="AS137" s="50">
        <v>69</v>
      </c>
      <c r="AT137" s="50">
        <v>56</v>
      </c>
      <c r="AU137" s="50">
        <v>61</v>
      </c>
      <c r="AV137" s="50">
        <v>61</v>
      </c>
      <c r="AW137" s="50">
        <v>24</v>
      </c>
      <c r="AX137" s="50">
        <v>82</v>
      </c>
      <c r="AY137" s="50">
        <v>53</v>
      </c>
      <c r="AZ137" s="50">
        <v>96</v>
      </c>
      <c r="BA137" s="50">
        <v>61</v>
      </c>
      <c r="BB137" s="50">
        <v>126</v>
      </c>
      <c r="BC137" s="50">
        <v>96</v>
      </c>
      <c r="BD137" s="50">
        <v>61</v>
      </c>
      <c r="BE137" s="50">
        <v>74</v>
      </c>
      <c r="BF137" s="50">
        <v>40</v>
      </c>
      <c r="BG137" s="50">
        <v>65</v>
      </c>
      <c r="BH137" s="50">
        <v>64</v>
      </c>
      <c r="BI137" s="50">
        <v>45</v>
      </c>
      <c r="BJ137" s="50">
        <v>144</v>
      </c>
      <c r="BK137" s="50">
        <v>56</v>
      </c>
      <c r="BL137" s="50">
        <v>89</v>
      </c>
      <c r="BM137" s="50">
        <v>64</v>
      </c>
      <c r="BN137" s="69">
        <v>69</v>
      </c>
      <c r="BO137" s="69">
        <v>128</v>
      </c>
      <c r="BP137" s="69">
        <v>125</v>
      </c>
      <c r="BQ137" s="69">
        <v>121</v>
      </c>
      <c r="BR137" s="69">
        <v>53</v>
      </c>
      <c r="BS137" s="69">
        <v>64</v>
      </c>
      <c r="BT137" s="69">
        <v>133</v>
      </c>
      <c r="BU137" s="69">
        <v>112</v>
      </c>
      <c r="BV137" s="50">
        <v>141</v>
      </c>
      <c r="BW137" s="69">
        <v>216</v>
      </c>
    </row>
    <row r="138" ht="18" customHeight="1" spans="1:106" x14ac:dyDescent="0.25">
      <c r="A138" s="72" t="s">
        <v>264</v>
      </c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50">
        <v>39</v>
      </c>
      <c r="AD138" s="50">
        <v>39</v>
      </c>
      <c r="AE138" s="50">
        <v>38</v>
      </c>
      <c r="AF138" s="50">
        <v>56</v>
      </c>
      <c r="AG138" s="50">
        <v>39</v>
      </c>
      <c r="AH138" s="50">
        <v>32</v>
      </c>
      <c r="AI138" s="50">
        <v>15</v>
      </c>
      <c r="AJ138" s="50">
        <v>56</v>
      </c>
      <c r="AK138" s="50">
        <v>61</v>
      </c>
      <c r="AL138" s="50">
        <v>30</v>
      </c>
      <c r="AM138" s="50">
        <v>37</v>
      </c>
      <c r="AN138" s="50">
        <v>44</v>
      </c>
      <c r="AO138" s="50">
        <v>103</v>
      </c>
      <c r="AP138" s="50">
        <v>17</v>
      </c>
      <c r="AQ138" s="50">
        <v>79</v>
      </c>
      <c r="AR138" s="50">
        <v>75</v>
      </c>
      <c r="AS138" s="50">
        <v>83</v>
      </c>
      <c r="AT138" s="50">
        <v>104</v>
      </c>
      <c r="AU138" s="50">
        <v>57</v>
      </c>
      <c r="AV138" s="50">
        <v>71</v>
      </c>
      <c r="AW138" s="50">
        <v>33</v>
      </c>
      <c r="AX138" s="50">
        <v>24</v>
      </c>
      <c r="AY138" s="50">
        <v>69</v>
      </c>
      <c r="AZ138" s="50">
        <v>70</v>
      </c>
      <c r="BA138" s="50">
        <v>30</v>
      </c>
      <c r="BB138" s="50">
        <v>0</v>
      </c>
      <c r="BC138" s="50">
        <v>79</v>
      </c>
      <c r="BD138" s="50">
        <v>13</v>
      </c>
      <c r="BE138" s="50">
        <v>105</v>
      </c>
      <c r="BF138" s="50">
        <v>67</v>
      </c>
      <c r="BG138" s="50">
        <v>140</v>
      </c>
      <c r="BH138" s="50">
        <v>105</v>
      </c>
      <c r="BI138" s="50">
        <v>96</v>
      </c>
      <c r="BJ138" s="50">
        <v>119</v>
      </c>
      <c r="BK138" s="50">
        <v>51</v>
      </c>
      <c r="BL138" s="50">
        <v>82</v>
      </c>
      <c r="BM138" s="50">
        <v>65</v>
      </c>
      <c r="BN138" s="69">
        <v>88</v>
      </c>
      <c r="BO138" s="69">
        <v>59</v>
      </c>
      <c r="BP138" s="69">
        <v>69</v>
      </c>
      <c r="BQ138" s="69">
        <v>60</v>
      </c>
      <c r="BR138" s="69">
        <v>61</v>
      </c>
      <c r="BS138" s="69">
        <v>47</v>
      </c>
      <c r="BT138" s="69">
        <v>97</v>
      </c>
      <c r="BU138" s="69">
        <v>52</v>
      </c>
      <c r="BV138" s="50">
        <v>52</v>
      </c>
      <c r="BW138" s="69">
        <v>27</v>
      </c>
      <c r="BX138" s="30"/>
      <c r="BY138" s="30"/>
      <c r="BZ138" s="30"/>
      <c r="CA138" s="30"/>
      <c r="CB138" s="30"/>
      <c r="CC138" s="30"/>
      <c r="CD138" s="30"/>
      <c r="CE138" s="30"/>
      <c r="CF138" s="30"/>
      <c r="CG138" s="30"/>
      <c r="CH138" s="30"/>
      <c r="CI138" s="30"/>
      <c r="CJ138" s="30"/>
      <c r="CK138" s="30"/>
      <c r="CL138" s="30"/>
      <c r="CM138" s="30"/>
      <c r="CN138" s="30"/>
      <c r="CO138" s="30"/>
      <c r="CP138" s="30"/>
      <c r="CQ138" s="30"/>
      <c r="CR138" s="30"/>
      <c r="CS138" s="30"/>
      <c r="CT138" s="30"/>
      <c r="CU138" s="30"/>
      <c r="CV138" s="30"/>
      <c r="CW138" s="30"/>
      <c r="CX138" s="30"/>
      <c r="CY138" s="30"/>
      <c r="CZ138" s="30"/>
      <c r="DA138" s="30"/>
      <c r="DB138" s="30"/>
    </row>
    <row r="139" ht="16" customHeight="1" spans="1:106" x14ac:dyDescent="0.25">
      <c r="A139" s="72" t="s">
        <v>265</v>
      </c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  <c r="BA139" s="30"/>
      <c r="BB139" s="30"/>
      <c r="BC139" s="30"/>
      <c r="BD139" s="30"/>
      <c r="BE139" s="30"/>
      <c r="BF139" s="30"/>
      <c r="BG139" s="30"/>
      <c r="BH139" s="30"/>
      <c r="BI139" s="30"/>
      <c r="BJ139" s="30"/>
      <c r="BK139" s="30"/>
      <c r="BL139" s="30"/>
      <c r="BM139" s="30"/>
      <c r="BN139" s="30"/>
      <c r="BO139" s="30"/>
      <c r="BP139" s="30"/>
      <c r="BQ139" s="30"/>
      <c r="BR139" s="30"/>
      <c r="BS139" s="30"/>
      <c r="BT139" s="30"/>
      <c r="BU139" s="30"/>
      <c r="BV139" s="30"/>
      <c r="BW139" s="30"/>
      <c r="BX139" s="30"/>
      <c r="BY139" s="30"/>
      <c r="BZ139" s="30"/>
      <c r="CA139" s="30"/>
      <c r="CB139" s="30"/>
      <c r="CC139" s="30"/>
      <c r="CD139" s="30"/>
      <c r="CE139" s="30"/>
      <c r="CF139" s="30"/>
      <c r="CG139" s="30"/>
      <c r="CH139" s="30"/>
      <c r="CI139" s="30"/>
      <c r="CJ139" s="30"/>
      <c r="CK139" s="30"/>
      <c r="CL139" s="30"/>
      <c r="CM139" s="30"/>
      <c r="CN139" s="30"/>
      <c r="CO139" s="30"/>
      <c r="CP139" s="30"/>
      <c r="CQ139" s="30"/>
      <c r="CR139" s="30"/>
      <c r="CS139" s="30"/>
      <c r="CT139" s="30"/>
      <c r="CU139" s="30"/>
      <c r="CV139" s="30"/>
      <c r="CW139" s="30"/>
      <c r="CX139" s="30"/>
      <c r="CY139" s="30"/>
      <c r="CZ139" s="30"/>
      <c r="DA139" s="30"/>
      <c r="DB139" s="30"/>
    </row>
    <row r="140" ht="16" customHeight="1" spans="1:106" x14ac:dyDescent="0.25">
      <c r="A140" s="72" t="s">
        <v>266</v>
      </c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  <c r="BA140" s="30"/>
      <c r="BB140" s="30"/>
      <c r="BC140" s="30"/>
      <c r="BD140" s="30"/>
      <c r="BE140" s="30"/>
      <c r="BF140" s="30"/>
      <c r="BG140" s="30"/>
      <c r="BH140" s="30"/>
      <c r="BI140" s="30"/>
      <c r="BJ140" s="30"/>
      <c r="BK140" s="30"/>
      <c r="BL140" s="30"/>
      <c r="BM140" s="30"/>
      <c r="BN140" s="30"/>
      <c r="BO140" s="30"/>
      <c r="BP140" s="30"/>
      <c r="BQ140" s="30"/>
      <c r="BR140" s="30"/>
      <c r="BS140" s="30"/>
      <c r="BT140" s="30"/>
      <c r="BU140" s="30"/>
      <c r="BV140" s="30"/>
      <c r="BW140" s="30"/>
      <c r="BX140" s="30"/>
      <c r="BY140" s="30"/>
      <c r="BZ140" s="30"/>
      <c r="CA140" s="30"/>
      <c r="CB140" s="30"/>
      <c r="CC140" s="30"/>
      <c r="CD140" s="30"/>
      <c r="CE140" s="30"/>
      <c r="CF140" s="30"/>
      <c r="CG140" s="30"/>
      <c r="CH140" s="30"/>
      <c r="CI140" s="30"/>
      <c r="CJ140" s="30"/>
      <c r="CK140" s="30"/>
      <c r="CL140" s="30"/>
      <c r="CM140" s="30"/>
      <c r="CN140" s="30"/>
      <c r="CO140" s="30"/>
      <c r="CP140" s="30"/>
      <c r="CQ140" s="30"/>
      <c r="CR140" s="30"/>
      <c r="CS140" s="30"/>
      <c r="CT140" s="30"/>
      <c r="CU140" s="30"/>
      <c r="CV140" s="30"/>
      <c r="CW140" s="30"/>
      <c r="CX140" s="30"/>
      <c r="CY140" s="30"/>
      <c r="CZ140" s="30"/>
      <c r="DA140" s="30"/>
      <c r="DB140" s="30"/>
    </row>
    <row r="141" ht="16" customHeight="1" spans="1:106" x14ac:dyDescent="0.25">
      <c r="A141" s="68" t="s">
        <v>352</v>
      </c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  <c r="BA141" s="30"/>
      <c r="BB141" s="30"/>
      <c r="BC141" s="30"/>
      <c r="BD141" s="30"/>
      <c r="BE141" s="30"/>
      <c r="BF141" s="30"/>
      <c r="BG141" s="30"/>
      <c r="BH141" s="30"/>
      <c r="BI141" s="30"/>
      <c r="BJ141" s="30"/>
      <c r="BK141" s="30"/>
      <c r="BL141" s="30"/>
      <c r="BM141" s="30"/>
      <c r="BN141" s="30"/>
      <c r="BO141" s="30"/>
      <c r="BP141" s="30"/>
      <c r="BQ141" s="30"/>
      <c r="BR141" s="30"/>
      <c r="BS141" s="30"/>
      <c r="BT141" s="30"/>
      <c r="BU141" s="30"/>
      <c r="BV141" s="30"/>
      <c r="BW141" s="30"/>
      <c r="BX141" s="30"/>
      <c r="BY141" s="30"/>
      <c r="BZ141" s="30"/>
      <c r="CA141" s="30"/>
      <c r="CB141" s="30"/>
      <c r="CC141" s="30"/>
      <c r="CD141" s="30"/>
      <c r="CE141" s="30"/>
      <c r="CF141" s="30"/>
      <c r="CG141" s="30"/>
      <c r="CH141" s="30"/>
      <c r="CI141" s="30"/>
      <c r="CJ141" s="30"/>
      <c r="CK141" s="30"/>
      <c r="CL141" s="30"/>
      <c r="CM141" s="30"/>
      <c r="CN141" s="30"/>
      <c r="CO141" s="30"/>
      <c r="CP141" s="30"/>
      <c r="CQ141" s="30"/>
      <c r="CR141" s="30"/>
      <c r="CS141" s="30"/>
      <c r="CT141" s="30"/>
      <c r="CU141" s="30"/>
      <c r="CV141" s="30"/>
      <c r="CW141" s="30"/>
      <c r="CX141" s="30"/>
      <c r="CY141" s="30"/>
      <c r="CZ141" s="30"/>
      <c r="DA141" s="30"/>
      <c r="DB141" s="30"/>
    </row>
    <row r="142" ht="18" customHeight="1" spans="1:106" x14ac:dyDescent="0.25">
      <c r="A142" s="36" t="s">
        <v>268</v>
      </c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  <c r="BA142" s="30"/>
      <c r="BB142" s="30"/>
      <c r="BC142" s="30"/>
      <c r="BD142" s="30"/>
      <c r="BE142" s="30"/>
      <c r="BF142" s="30"/>
      <c r="BG142" s="30"/>
      <c r="BH142" s="30"/>
      <c r="BI142" s="30"/>
      <c r="BJ142" s="30"/>
      <c r="BK142" s="30"/>
      <c r="BL142" s="30"/>
      <c r="BM142" s="30"/>
      <c r="BN142" s="30"/>
      <c r="BO142" s="30"/>
      <c r="BP142" s="30"/>
      <c r="BQ142" s="30"/>
      <c r="BR142" s="30"/>
      <c r="BS142" s="30"/>
      <c r="BT142" s="30"/>
      <c r="BU142" s="30"/>
      <c r="BV142" s="30"/>
      <c r="BW142" s="30"/>
      <c r="BX142" s="30"/>
      <c r="BY142" s="30"/>
      <c r="BZ142" s="30"/>
      <c r="CA142" s="30"/>
      <c r="CB142" s="30"/>
      <c r="CC142" s="30"/>
      <c r="CD142" s="30"/>
      <c r="CE142" s="30"/>
      <c r="CF142" s="30"/>
      <c r="CG142" s="30"/>
      <c r="CH142" s="30"/>
      <c r="CI142" s="30"/>
      <c r="CJ142" s="30"/>
      <c r="CK142" s="30"/>
      <c r="CL142" s="30"/>
      <c r="CM142" s="30"/>
      <c r="CN142" s="30"/>
      <c r="CO142" s="30"/>
      <c r="CP142" s="30"/>
      <c r="CQ142" s="30"/>
      <c r="CR142" s="30"/>
      <c r="CS142" s="30"/>
      <c r="CT142" s="30"/>
      <c r="CU142" s="30"/>
      <c r="CV142" s="30"/>
      <c r="CW142" s="30"/>
      <c r="CX142" s="30"/>
      <c r="CY142" s="30"/>
      <c r="CZ142" s="30"/>
      <c r="DA142" s="30"/>
      <c r="DB142" s="30"/>
    </row>
    <row r="143" ht="18" customHeight="1" spans="1:1" x14ac:dyDescent="0.25">
      <c r="A143" s="36" t="s">
        <v>269</v>
      </c>
    </row>
    <row r="144" ht="18" customHeight="1" spans="1:1" x14ac:dyDescent="0.25">
      <c r="A144" s="36" t="s">
        <v>288</v>
      </c>
    </row>
    <row r="145" ht="18" customHeight="1" spans="1:106" x14ac:dyDescent="0.25">
      <c r="A145" s="36" t="s">
        <v>272</v>
      </c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30"/>
      <c r="BI145" s="30"/>
      <c r="BJ145" s="30"/>
      <c r="BK145" s="30"/>
      <c r="BL145" s="30"/>
      <c r="BM145" s="30"/>
      <c r="BN145" s="30"/>
      <c r="BO145" s="30"/>
      <c r="BP145" s="30"/>
      <c r="BQ145" s="30"/>
      <c r="BR145" s="30"/>
      <c r="BS145" s="30"/>
      <c r="BT145" s="30"/>
      <c r="BU145" s="30"/>
      <c r="BV145" s="30"/>
      <c r="BW145" s="30"/>
      <c r="BX145" s="30"/>
      <c r="BY145" s="30"/>
      <c r="BZ145" s="30"/>
      <c r="CA145" s="30"/>
      <c r="CB145" s="30"/>
      <c r="CC145" s="30"/>
      <c r="CD145" s="30"/>
      <c r="CE145" s="30"/>
      <c r="CF145" s="30"/>
      <c r="CG145" s="30"/>
      <c r="CH145" s="30"/>
      <c r="CI145" s="30"/>
      <c r="CJ145" s="30"/>
      <c r="CK145" s="30"/>
      <c r="CL145" s="30"/>
      <c r="CM145" s="30"/>
      <c r="CN145" s="30"/>
      <c r="CO145" s="30"/>
      <c r="CP145" s="30"/>
      <c r="CQ145" s="30"/>
      <c r="CR145" s="30"/>
      <c r="CS145" s="30"/>
      <c r="CT145" s="30"/>
      <c r="CU145" s="30"/>
      <c r="CV145" s="30"/>
      <c r="CW145" s="30"/>
      <c r="CX145" s="30"/>
      <c r="CY145" s="30"/>
      <c r="CZ145" s="30"/>
      <c r="DA145" s="30"/>
      <c r="DB145" s="30"/>
    </row>
    <row r="146" ht="18" customHeight="1" spans="1:106" x14ac:dyDescent="0.25">
      <c r="A146" s="36" t="s">
        <v>289</v>
      </c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  <c r="BD146" s="30"/>
      <c r="BE146" s="30"/>
      <c r="BF146" s="30"/>
      <c r="BG146" s="30"/>
      <c r="BH146" s="30"/>
      <c r="BI146" s="30"/>
      <c r="BJ146" s="30"/>
      <c r="BK146" s="30"/>
      <c r="BL146" s="30"/>
      <c r="BM146" s="30"/>
      <c r="BN146" s="30"/>
      <c r="BO146" s="30"/>
      <c r="BP146" s="30"/>
      <c r="BQ146" s="30"/>
      <c r="BR146" s="30"/>
      <c r="BS146" s="30"/>
      <c r="BT146" s="30"/>
      <c r="BU146" s="30"/>
      <c r="BV146" s="30"/>
      <c r="BW146" s="30"/>
      <c r="BX146" s="30"/>
      <c r="BY146" s="30"/>
      <c r="BZ146" s="30"/>
      <c r="CA146" s="30"/>
      <c r="CB146" s="30"/>
      <c r="CC146" s="30"/>
      <c r="CD146" s="30"/>
      <c r="CE146" s="30"/>
      <c r="CF146" s="30"/>
      <c r="CG146" s="30"/>
      <c r="CH146" s="30"/>
      <c r="CI146" s="30"/>
      <c r="CJ146" s="30"/>
      <c r="CK146" s="30"/>
      <c r="CL146" s="30"/>
      <c r="CM146" s="30"/>
      <c r="CN146" s="30"/>
      <c r="CO146" s="30"/>
      <c r="CP146" s="30"/>
      <c r="CQ146" s="30"/>
      <c r="CR146" s="30"/>
      <c r="CS146" s="30"/>
      <c r="CT146" s="30"/>
      <c r="CU146" s="30"/>
      <c r="CV146" s="30"/>
      <c r="CW146" s="30"/>
      <c r="CX146" s="30"/>
      <c r="CY146" s="30"/>
      <c r="CZ146" s="30"/>
      <c r="DA146" s="30"/>
      <c r="DB146" s="30"/>
    </row>
    <row r="147" ht="18" customHeight="1" spans="1:106" x14ac:dyDescent="0.25">
      <c r="A147" s="36" t="s">
        <v>271</v>
      </c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30"/>
      <c r="BI147" s="30"/>
      <c r="BJ147" s="30"/>
      <c r="BK147" s="30"/>
      <c r="BL147" s="30"/>
      <c r="BM147" s="30"/>
      <c r="BN147" s="30"/>
      <c r="BO147" s="30"/>
      <c r="BP147" s="30"/>
      <c r="BQ147" s="30"/>
      <c r="BR147" s="30"/>
      <c r="BS147" s="30"/>
      <c r="BT147" s="30"/>
      <c r="BU147" s="30"/>
      <c r="BV147" s="30"/>
      <c r="BW147" s="30"/>
      <c r="BX147" s="30"/>
      <c r="BY147" s="30"/>
      <c r="BZ147" s="30"/>
      <c r="CA147" s="30"/>
      <c r="CB147" s="30"/>
      <c r="CC147" s="30"/>
      <c r="CD147" s="30"/>
      <c r="CE147" s="30"/>
      <c r="CF147" s="30"/>
      <c r="CG147" s="30"/>
      <c r="CH147" s="30"/>
      <c r="CI147" s="30"/>
      <c r="CJ147" s="30"/>
      <c r="CK147" s="30"/>
      <c r="CL147" s="30"/>
      <c r="CM147" s="30"/>
      <c r="CN147" s="30"/>
      <c r="CO147" s="30"/>
      <c r="CP147" s="30"/>
      <c r="CQ147" s="30"/>
      <c r="CR147" s="30"/>
      <c r="CS147" s="30"/>
      <c r="CT147" s="30"/>
      <c r="CU147" s="30"/>
      <c r="CV147" s="30"/>
      <c r="CW147" s="30"/>
      <c r="CX147" s="30"/>
      <c r="CY147" s="30"/>
      <c r="CZ147" s="30"/>
      <c r="DA147" s="30"/>
      <c r="DB147" s="30"/>
    </row>
    <row r="148" spans="3:106" x14ac:dyDescent="0.25"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  <c r="AU148" s="30"/>
      <c r="AV148" s="30"/>
      <c r="AW148" s="30"/>
      <c r="AX148" s="30"/>
      <c r="AY148" s="30"/>
      <c r="AZ148" s="30"/>
      <c r="BA148" s="30"/>
      <c r="BB148" s="30"/>
      <c r="BC148" s="30"/>
      <c r="BD148" s="30"/>
      <c r="BE148" s="30"/>
      <c r="BF148" s="30"/>
      <c r="BG148" s="30"/>
      <c r="BH148" s="30"/>
      <c r="BI148" s="30"/>
      <c r="BJ148" s="30"/>
      <c r="BK148" s="30"/>
      <c r="BL148" s="30"/>
      <c r="BM148" s="30"/>
      <c r="BN148" s="30"/>
      <c r="BO148" s="30"/>
      <c r="BP148" s="30"/>
      <c r="BQ148" s="30"/>
      <c r="BR148" s="30"/>
      <c r="BS148" s="30"/>
      <c r="BT148" s="30"/>
      <c r="BU148" s="30"/>
      <c r="BV148" s="30"/>
      <c r="BW148" s="30"/>
      <c r="BX148" s="30"/>
      <c r="BY148" s="30"/>
      <c r="BZ148" s="30"/>
      <c r="CA148" s="30"/>
      <c r="CB148" s="30"/>
      <c r="CC148" s="30"/>
      <c r="CD148" s="30"/>
      <c r="CE148" s="30"/>
      <c r="CF148" s="30"/>
      <c r="CG148" s="30"/>
      <c r="CH148" s="30"/>
      <c r="CI148" s="30"/>
      <c r="CJ148" s="30"/>
      <c r="CK148" s="30"/>
      <c r="CL148" s="30"/>
      <c r="CM148" s="30"/>
      <c r="CN148" s="30"/>
      <c r="CO148" s="30"/>
      <c r="CP148" s="30"/>
      <c r="CQ148" s="30"/>
      <c r="CR148" s="30"/>
      <c r="CS148" s="30"/>
      <c r="CT148" s="30"/>
      <c r="CU148" s="30"/>
      <c r="CV148" s="30"/>
      <c r="CW148" s="30"/>
      <c r="CX148" s="30"/>
      <c r="CY148" s="30"/>
      <c r="CZ148" s="30"/>
      <c r="DA148" s="30"/>
      <c r="DB148" s="30"/>
    </row>
    <row r="149" spans="1:106" x14ac:dyDescent="0.25">
      <c r="A149" s="9" t="s">
        <v>353</v>
      </c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0"/>
      <c r="AV149" s="30"/>
      <c r="AW149" s="30"/>
      <c r="AX149" s="30"/>
      <c r="AY149" s="30"/>
      <c r="AZ149" s="30"/>
      <c r="BA149" s="30"/>
      <c r="BB149" s="30"/>
      <c r="BC149" s="30"/>
      <c r="BD149" s="30"/>
      <c r="BE149" s="30"/>
      <c r="BF149" s="30"/>
      <c r="BG149" s="30"/>
      <c r="BH149" s="30"/>
      <c r="BI149" s="30"/>
      <c r="BJ149" s="30"/>
      <c r="BK149" s="30"/>
      <c r="BL149" s="30"/>
      <c r="BM149" s="30"/>
      <c r="BN149" s="30"/>
      <c r="BO149" s="30"/>
      <c r="BP149" s="30"/>
      <c r="BQ149" s="30"/>
      <c r="BR149" s="30"/>
      <c r="BS149" s="30"/>
      <c r="BT149" s="30"/>
      <c r="BU149" s="30"/>
      <c r="BV149" s="30"/>
      <c r="BW149" s="30"/>
      <c r="BX149" s="30"/>
      <c r="BY149" s="30"/>
      <c r="BZ149" s="30"/>
      <c r="CA149" s="30"/>
      <c r="CB149" s="30"/>
      <c r="CC149" s="30"/>
      <c r="CD149" s="30"/>
      <c r="CE149" s="30"/>
      <c r="CF149" s="30"/>
      <c r="CG149" s="30"/>
      <c r="CH149" s="30"/>
      <c r="CI149" s="30"/>
      <c r="CJ149" s="30"/>
      <c r="CK149" s="30"/>
      <c r="CL149" s="30"/>
      <c r="CM149" s="30"/>
      <c r="CN149" s="30"/>
      <c r="CO149" s="30"/>
      <c r="CP149" s="30"/>
      <c r="CQ149" s="30"/>
      <c r="CR149" s="30"/>
      <c r="CS149" s="30"/>
      <c r="CT149" s="30"/>
      <c r="CU149" s="30"/>
      <c r="CV149" s="30"/>
      <c r="CW149" s="30"/>
      <c r="CX149" s="30"/>
      <c r="CY149" s="30"/>
      <c r="CZ149" s="30"/>
      <c r="DA149" s="30"/>
      <c r="DB149" s="30"/>
    </row>
    <row r="150" ht="14" customHeight="1" spans="1:106" x14ac:dyDescent="0.25">
      <c r="A150" s="33" t="s">
        <v>354</v>
      </c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  <c r="AX150" s="30"/>
      <c r="AY150" s="30"/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  <c r="BN150" s="30"/>
      <c r="BO150" s="30"/>
      <c r="BP150" s="30"/>
      <c r="BQ150" s="30"/>
      <c r="BR150" s="30"/>
      <c r="BS150" s="30"/>
      <c r="BT150" s="30"/>
      <c r="BU150" s="30"/>
      <c r="BV150" s="30"/>
      <c r="BW150" s="30"/>
      <c r="BX150" s="30"/>
      <c r="BY150" s="30"/>
      <c r="BZ150" s="30"/>
      <c r="CA150" s="30"/>
      <c r="CB150" s="30"/>
      <c r="CC150" s="30"/>
      <c r="CD150" s="30"/>
      <c r="CE150" s="30"/>
      <c r="CF150" s="30"/>
      <c r="CG150" s="30"/>
      <c r="CH150" s="30"/>
      <c r="CI150" s="30"/>
      <c r="CJ150" s="30"/>
      <c r="CK150" s="30"/>
      <c r="CL150" s="30"/>
      <c r="CM150" s="30"/>
      <c r="CN150" s="30"/>
      <c r="CO150" s="30"/>
      <c r="CP150" s="30"/>
      <c r="CQ150" s="30"/>
      <c r="CR150" s="30"/>
      <c r="CS150" s="30"/>
      <c r="CT150" s="30"/>
      <c r="CU150" s="30"/>
      <c r="CV150" s="30"/>
      <c r="CW150" s="30"/>
      <c r="CX150" s="30"/>
      <c r="CY150" s="30"/>
      <c r="CZ150" s="30"/>
      <c r="DA150" s="30"/>
      <c r="DB150" s="30"/>
    </row>
    <row r="151" spans="1:106" x14ac:dyDescent="0.25">
      <c r="A151" s="17" t="s">
        <v>355</v>
      </c>
      <c r="B151" s="17">
        <v>15</v>
      </c>
      <c r="C151" s="46">
        <f>=IFERROR(ROUND((C19+C23)/$B151,0),0)</f>
        <v>3</v>
      </c>
      <c r="D151" s="46">
        <f>=IFERROR(ROUND((D19+D23)/$B151,0),0)</f>
        <v>3</v>
      </c>
      <c r="E151" s="46">
        <f>=IFERROR(ROUND((E19+E23)/$B151,0),0)</f>
        <v>3</v>
      </c>
      <c r="F151" s="46">
        <f>=IFERROR(ROUND((F19+F23)/$B151,0),0)</f>
        <v>3</v>
      </c>
      <c r="G151" s="46">
        <f>=IFERROR(ROUND((G19+G23)/$B151,0),0)</f>
        <v>3</v>
      </c>
      <c r="H151" s="46">
        <f>=IFERROR(ROUND((H19+H23)/$B151,0),0)</f>
        <v>3</v>
      </c>
      <c r="I151" s="46">
        <f>=IFERROR(ROUND((I19+I23)/$B151,0),0)</f>
        <v>3</v>
      </c>
      <c r="J151" s="46">
        <f>=IFERROR(ROUND((J19+J23)/$B151,0),0)</f>
        <v>3</v>
      </c>
      <c r="K151" s="46">
        <f>=IFERROR(ROUND((K19+K23)/$B151,0),0)</f>
        <v>3</v>
      </c>
      <c r="L151" s="46">
        <f>=IFERROR(ROUND((L19+L23)/$B151,0),0)</f>
        <v>3</v>
      </c>
      <c r="M151" s="46">
        <f>=IFERROR(ROUND((M19+M23)/$B151,0),0)</f>
        <v>3</v>
      </c>
      <c r="N151" s="46">
        <f>=IFERROR(ROUND((N19+N23)/$B151,0),0)</f>
        <v>3</v>
      </c>
      <c r="O151" s="46">
        <f>=IFERROR(ROUND((O19+O23)/$B151,0),0)</f>
        <v>3</v>
      </c>
      <c r="P151" s="46">
        <f>=IFERROR(ROUND((P19+P23)/$B151,0),0)</f>
        <v>3</v>
      </c>
      <c r="Q151" s="46">
        <f>=IFERROR(ROUND((Q19+Q23)/$B151,0),0)</f>
        <v>2</v>
      </c>
      <c r="R151" s="46">
        <f>=IFERROR(ROUND((R19+R23)/$B151,0),0)</f>
        <v>2</v>
      </c>
      <c r="S151" s="46">
        <f>=IFERROR(ROUND((S19+S23)/$B151,0),0)</f>
        <v>2</v>
      </c>
      <c r="T151" s="46">
        <f>=IFERROR(ROUND((T19+T23)/$B151,0),0)</f>
        <v>2</v>
      </c>
      <c r="U151" s="46">
        <f>=IFERROR(ROUND((U19+U23)/$B151,0),0)</f>
        <v>2</v>
      </c>
      <c r="V151" s="46">
        <f>=IFERROR(ROUND((V19+V23)/$B151,0),0)</f>
        <v>2</v>
      </c>
      <c r="W151" s="46">
        <f>=IFERROR(ROUND((W19+W23)/$B151,0),0)</f>
        <v>2</v>
      </c>
      <c r="X151" s="46">
        <f>=IFERROR(ROUND((X19+X23)/$B151,0),0)</f>
        <v>2</v>
      </c>
      <c r="Y151" s="46">
        <f>=IFERROR(ROUND((Y19+Y23)/$B151,0),0)</f>
        <v>2</v>
      </c>
      <c r="Z151" s="46">
        <f>=IFERROR(ROUND((Z19+Z23)/$B151,0),0)</f>
        <v>2</v>
      </c>
      <c r="AA151" s="46">
        <f>=IFERROR(ROUND((AA19+AA23)/$B151,0),0)</f>
        <v>2</v>
      </c>
      <c r="AB151" s="46">
        <f>=IFERROR(ROUND((AB19+AB23)/$B151,0),0)</f>
        <v>2</v>
      </c>
      <c r="AC151" s="46">
        <f>=IFERROR(ROUND((AC19+AC23)/$B151,0),0)</f>
        <v>2</v>
      </c>
      <c r="AD151" s="46">
        <f>=IFERROR(ROUND((AD19+AD23)/$B151,0),0)</f>
        <v>2</v>
      </c>
      <c r="AE151" s="46">
        <f>=IFERROR(ROUND((AE19+AE23)/$B151,0),0)</f>
        <v>2</v>
      </c>
      <c r="AF151" s="46">
        <f>=IFERROR(ROUND((AF19+AF23)/$B151,0),0)</f>
        <v>2</v>
      </c>
      <c r="AG151" s="46">
        <f>=IFERROR(ROUND((AG19+AG23)/$B151,0),0)</f>
        <v>2</v>
      </c>
      <c r="AH151" s="46">
        <f>=IFERROR(ROUND((AH19+AH23)/$B151,0),0)</f>
        <v>2</v>
      </c>
      <c r="AI151" s="46">
        <f>=IFERROR(ROUND((AI19+AI23)/$B151,0),0)</f>
        <v>2</v>
      </c>
      <c r="AJ151" s="46">
        <f>=IFERROR(ROUND((AJ19+AJ23)/$B151,0),0)</f>
        <v>2</v>
      </c>
      <c r="AK151" s="46">
        <f>=IFERROR(ROUND((AK19+AK23)/$B151,0),0)</f>
        <v>2</v>
      </c>
      <c r="AL151" s="46">
        <f>=IFERROR(ROUND((AL19+AL23)/$B151,0),0)</f>
        <v>2</v>
      </c>
      <c r="AM151" s="46">
        <f>=IFERROR(ROUND((AM19+AM23)/$B151,0),0)</f>
        <v>2</v>
      </c>
      <c r="AN151" s="46">
        <f>=IFERROR(ROUND((AN19+AN23)/$B151,0),0)</f>
        <v>2</v>
      </c>
      <c r="AO151" s="46">
        <f>=IFERROR(ROUND((AO19+AO23)/$B151,0),0)</f>
        <v>2</v>
      </c>
      <c r="AP151" s="46">
        <f>=IFERROR(ROUND((AP19+AP23)/$B151,0),0)</f>
        <v>2</v>
      </c>
      <c r="AQ151" s="46">
        <f>=IFERROR(ROUND((AQ19+AQ23)/$B151,0),0)</f>
        <v>2</v>
      </c>
      <c r="AR151" s="46">
        <f>=IFERROR(ROUND((AR19+AR23)/$B151,0),0)</f>
        <v>2</v>
      </c>
      <c r="AS151" s="46">
        <f>=IFERROR(ROUND((AS19+AS23)/$B151,0),0)</f>
        <v>2</v>
      </c>
      <c r="AT151" s="46">
        <f>=IFERROR(ROUND((AT19+AT23)/$B151,0),0)</f>
        <v>2</v>
      </c>
      <c r="AU151" s="46">
        <f>=IFERROR(ROUND((AU19+AU23)/$B151,0),0)</f>
        <v>2</v>
      </c>
      <c r="AV151" s="46">
        <f>=IFERROR(ROUND((AV19+AV23)/$B151,0),0)</f>
        <v>2</v>
      </c>
      <c r="AW151" s="46">
        <f>=IFERROR(ROUND((AW19+AW23)/$B151,0),0)</f>
        <v>2</v>
      </c>
      <c r="AX151" s="46">
        <f>=IFERROR(ROUND((AX19+AX23)/$B151,0),0)</f>
        <v>2</v>
      </c>
      <c r="AY151" s="46">
        <f>=IFERROR(ROUND((AY19+AY23)/$B151,0),0)</f>
        <v>2</v>
      </c>
      <c r="AZ151" s="46">
        <f>=IFERROR(ROUND((AZ19+AZ23)/$B151,0),0)</f>
        <v>2</v>
      </c>
      <c r="BA151" s="46">
        <f>=IFERROR(ROUND((BA19+BA23)/$B151,0),0)</f>
        <v>2</v>
      </c>
      <c r="BB151" s="46">
        <f>=IFERROR(ROUND((BB19+BB23)/$B151,0),0)</f>
        <v>2</v>
      </c>
      <c r="BC151" s="46">
        <f>=IFERROR(ROUND((BC19+BC23)/$B151,0),0)</f>
        <v>2</v>
      </c>
      <c r="BD151" s="73">
        <f>=IFERROR(ROUND((BD19+BD23)/$B151,0),0)</f>
        <v>2</v>
      </c>
      <c r="BE151" s="46">
        <f>=IFERROR(ROUND((BE19+BE23)/$B151,0),0)</f>
        <v>2</v>
      </c>
      <c r="BF151" s="46">
        <f>=IFERROR(ROUND((BF19+BF23)/$B151,0),0)</f>
        <v>2</v>
      </c>
      <c r="BG151" s="46">
        <f>=IFERROR(ROUND((BG19+BG23)/$B151,0),0)</f>
        <v>2</v>
      </c>
      <c r="BH151" s="46">
        <f>=IFERROR(ROUND((BH19+BH23)/$B151,0),0)</f>
        <v>2</v>
      </c>
      <c r="BI151" s="46">
        <f>=IFERROR(ROUND((BI19+BI23)/$B151,0),0)</f>
        <v>2</v>
      </c>
      <c r="BJ151" s="46">
        <f>=IFERROR(ROUND((BJ19+BJ23)/$B151,0),0)</f>
        <v>2</v>
      </c>
      <c r="BK151" s="46">
        <f>=IFERROR(ROUND((BK19+BK23)/$B151,0),0)</f>
        <v>2</v>
      </c>
      <c r="BL151" s="73">
        <f>=IFERROR(ROUND((BL19+BL23)/$B151,0),0)</f>
        <v>2</v>
      </c>
      <c r="BM151" s="46">
        <f>=IFERROR(ROUND((BM19+BM23)/$B151,0),0)</f>
        <v>2</v>
      </c>
      <c r="BN151" s="46">
        <f>=IFERROR(ROUND((BN19+BN23)/$B151,0),0)</f>
        <v>2</v>
      </c>
      <c r="BO151" s="46">
        <f>=IFERROR(ROUND((BO19+BO23)/$B151,0),0)</f>
        <v>2</v>
      </c>
      <c r="BP151" s="46">
        <f>=IFERROR(ROUND((BP19+BP23)/$B151,0),0)</f>
        <v>2</v>
      </c>
      <c r="BQ151" s="46">
        <f>=IFERROR(ROUND((BQ19+BQ23)/$B151,0),0)</f>
        <v>2</v>
      </c>
      <c r="BR151" s="46">
        <f>=IFERROR(ROUND((BR19+BR23)/$B151,0),0)</f>
        <v>2</v>
      </c>
      <c r="BS151" s="46">
        <f>=IFERROR(ROUND((BS19+BS23)/$B151,0),0)</f>
        <v>2</v>
      </c>
      <c r="BT151" s="46">
        <f>=IFERROR(ROUND((BT19+BT23)/$B151,0),0)</f>
        <v>2</v>
      </c>
      <c r="BU151" s="46">
        <f>=IFERROR(ROUND((BU19+BU23)/$B151,0),0)</f>
        <v>2</v>
      </c>
      <c r="BV151" s="46">
        <f>=IFERROR(ROUND((BV19+BV23)/$B151,0),0)</f>
        <v>2</v>
      </c>
      <c r="BW151" s="46">
        <f>=IFERROR(ROUND((BW19+BW23)/$B151,0),0)</f>
        <v>2</v>
      </c>
      <c r="BX151" s="46">
        <f>=IFERROR(ROUND((BX19+BX23)/$B151,0),0)</f>
        <v>2</v>
      </c>
      <c r="BY151" s="73">
        <f>=IFERROR(ROUND((BY19+BY23)/$B151,0),0)</f>
        <v>2</v>
      </c>
      <c r="BZ151" s="46">
        <f>=IFERROR(ROUND((BZ19+BZ23)/$B151,0),0)</f>
        <v>2</v>
      </c>
      <c r="CA151" s="46">
        <f>=IFERROR(ROUND((CA19+CA23)/$B151,0),0)</f>
        <v>2</v>
      </c>
      <c r="CB151" s="46">
        <f>=IFERROR(ROUND((CB19+CB23)/$B151,0),0)</f>
        <v>2</v>
      </c>
      <c r="CC151" s="46">
        <f>=IFERROR(ROUND((CC19+CC23)/$B151,0),0)</f>
        <v>2</v>
      </c>
      <c r="CD151" s="46">
        <f>=IFERROR(ROUND((CD19+CD23)/$B151,0),0)</f>
        <v>2</v>
      </c>
      <c r="CE151" s="46">
        <f>=IFERROR(ROUND((CE19+CE23)/$B151,0),0)</f>
        <v>2</v>
      </c>
      <c r="CF151" s="46">
        <f>=IFERROR(ROUND((CF19+CF23)/$B151,0),0)</f>
        <v>2</v>
      </c>
      <c r="CG151" s="46">
        <f>=IFERROR(ROUND((CG19+CG23)/$B151,0),0)</f>
        <v>2</v>
      </c>
      <c r="CH151" s="46">
        <f>=IFERROR(ROUND((CH19+CH23)/$B151,0),0)</f>
        <v>2</v>
      </c>
      <c r="CI151" s="46">
        <f>=IFERROR(ROUND((CI19+CI23)/$B151,0),0)</f>
        <v>2</v>
      </c>
      <c r="CJ151" s="46">
        <f>=IFERROR(ROUND((CJ19+CJ23)/$B151,0),0)</f>
        <v>2</v>
      </c>
      <c r="CK151" s="46">
        <f>=IFERROR(ROUND((CK19+CK23)/$B151,0),0)</f>
        <v>2</v>
      </c>
      <c r="CL151" s="46">
        <f>=IFERROR(ROUND((CL19+CL23)/$B151,0),0)</f>
        <v>2</v>
      </c>
      <c r="CM151" s="46">
        <f>=IFERROR(ROUND((CM19+CM23)/$B151,0),0)</f>
        <v>2</v>
      </c>
      <c r="CN151" s="46">
        <f>=IFERROR(ROUND((CN19+CN23)/$B151,0),0)</f>
        <v>2</v>
      </c>
      <c r="CO151" s="46">
        <f>=IFERROR(ROUND((CO19+CO23)/$B151,0),0)</f>
        <v>2</v>
      </c>
      <c r="CP151" s="46">
        <f>=IFERROR(ROUND((CP19+CP23)/$B151,0),0)</f>
        <v>2</v>
      </c>
      <c r="CQ151" s="46">
        <f>=IFERROR(ROUND((CQ19+CQ23)/$B151,0),0)</f>
        <v>2</v>
      </c>
      <c r="CR151" s="46">
        <f>=IFERROR(ROUND((CR19+CR23)/$B151,0),0)</f>
        <v>2</v>
      </c>
      <c r="CS151" s="46">
        <f>=IFERROR(ROUND((CS19+CS23)/$B151,0),0)</f>
        <v>2</v>
      </c>
      <c r="CT151" s="73">
        <f>=IFERROR(ROUND((CT19+CT23)/$B151,0),0)</f>
        <v>2</v>
      </c>
      <c r="CU151" s="46">
        <f>=IFERROR(ROUND((CU19+CU23)/$B151,0),0)</f>
        <v>2</v>
      </c>
      <c r="CV151" s="46">
        <f>=IFERROR(ROUND((CV19+CV23)/$B151,0),0)</f>
        <v>2</v>
      </c>
      <c r="CW151" s="73">
        <f>=IFERROR(ROUND((CW19+CW23)/$B151,0),0)</f>
        <v>2</v>
      </c>
      <c r="CX151" s="73">
        <f>=IFERROR(ROUND((CX19+CX23)/$B151,0),0)</f>
        <v>2</v>
      </c>
      <c r="CY151" s="46">
        <f>=IFERROR(ROUND((CY19+CY23)/$B151,0),0)</f>
        <v>2</v>
      </c>
      <c r="CZ151" s="46">
        <f>=IFERROR(ROUND((CZ19+CZ23)/$B151,0),0)</f>
        <v>2</v>
      </c>
      <c r="DA151" s="46">
        <f>=IFERROR(ROUND((DA19+DA23)/$B151,0),0)</f>
        <v>2</v>
      </c>
      <c r="DB151" s="46">
        <f>=IFERROR(ROUND((DB19+DB23)/$B151,0),0)</f>
        <v>2</v>
      </c>
    </row>
    <row r="152" spans="1:106" x14ac:dyDescent="0.25">
      <c r="A152" s="17" t="s">
        <v>356</v>
      </c>
      <c r="B152" s="17">
        <v>15</v>
      </c>
      <c r="C152" s="46">
        <f>=IFERROR(ROUND((C21+C22)/$B152,0),0)</f>
        <v>0</v>
      </c>
      <c r="D152" s="46">
        <f>=IFERROR(ROUND((D21+D22)/$B152,0),0)</f>
        <v>0</v>
      </c>
      <c r="E152" s="46">
        <f>=IFERROR(ROUND((E21+E22)/$B152,0),0)</f>
        <v>0</v>
      </c>
      <c r="F152" s="46">
        <f>=IFERROR(ROUND((F21+F22)/$B152,0),0)</f>
        <v>0</v>
      </c>
      <c r="G152" s="46">
        <f>=IFERROR(ROUND((G21+G22)/$B152,0),0)</f>
        <v>0</v>
      </c>
      <c r="H152" s="46">
        <f>=IFERROR(ROUND((H21+H22)/$B152,0),0)</f>
        <v>0</v>
      </c>
      <c r="I152" s="46">
        <f>=IFERROR(ROUND((I21+I22)/$B152,0),0)</f>
        <v>0</v>
      </c>
      <c r="J152" s="46">
        <f>=IFERROR(ROUND((J21+J22)/$B152,0),0)</f>
        <v>0</v>
      </c>
      <c r="K152" s="46">
        <f>=IFERROR(ROUND((K21+K22)/$B152,0),0)</f>
        <v>0</v>
      </c>
      <c r="L152" s="46">
        <f>=IFERROR(ROUND((L21+L22)/$B152,0),0)</f>
        <v>0</v>
      </c>
      <c r="M152" s="46">
        <f>=IFERROR(ROUND((M21+M22)/$B152,0),0)</f>
        <v>0</v>
      </c>
      <c r="N152" s="46">
        <f>=IFERROR(ROUND((N21+N22)/$B152,0),0)</f>
        <v>0</v>
      </c>
      <c r="O152" s="46">
        <f>=IFERROR(ROUND((O21+O22)/$B152,0),0)</f>
        <v>0</v>
      </c>
      <c r="P152" s="46">
        <f>=IFERROR(ROUND((P21+P22)/$B152,0),0)</f>
        <v>0</v>
      </c>
      <c r="Q152" s="46">
        <f>=IFERROR(ROUND((Q21+Q22)/$B152,0),0)</f>
        <v>0</v>
      </c>
      <c r="R152" s="46">
        <f>=IFERROR(ROUND((R21+R22)/$B152,0),0)</f>
        <v>0</v>
      </c>
      <c r="S152" s="46">
        <f>=IFERROR(ROUND((S21+S22)/$B152,0),0)</f>
        <v>0</v>
      </c>
      <c r="T152" s="46">
        <f>=IFERROR(ROUND((T21+T22)/$B152,0),0)</f>
        <v>0</v>
      </c>
      <c r="U152" s="46">
        <f>=IFERROR(ROUND((U21+U22)/$B152,0),0)</f>
        <v>0</v>
      </c>
      <c r="V152" s="46">
        <f>=IFERROR(ROUND((V21+V22)/$B152,0),0)</f>
        <v>0</v>
      </c>
      <c r="W152" s="46">
        <f>=IFERROR(ROUND((W21+W22)/$B152,0),0)</f>
        <v>0</v>
      </c>
      <c r="X152" s="46">
        <f>=IFERROR(ROUND((X21+X22)/$B152,0),0)</f>
        <v>0</v>
      </c>
      <c r="Y152" s="46">
        <f>=IFERROR(ROUND((Y21+Y22)/$B152,0),0)</f>
        <v>0</v>
      </c>
      <c r="Z152" s="46">
        <f>=IFERROR(ROUND((Z21+Z22)/$B152,0),0)</f>
        <v>0</v>
      </c>
      <c r="AA152" s="46">
        <f>=IFERROR(ROUND((AA21+AA22)/$B152,0),0)</f>
        <v>0</v>
      </c>
      <c r="AB152" s="46">
        <f>=IFERROR(ROUND((AB21+AB22)/$B152,0),0)</f>
        <v>0</v>
      </c>
      <c r="AC152" s="46">
        <f>=IFERROR(ROUND((AC21+AC22)/$B152,0),0)</f>
        <v>0</v>
      </c>
      <c r="AD152" s="46">
        <f>=IFERROR(ROUND((AD21+AD22)/$B152,0),0)</f>
        <v>0</v>
      </c>
      <c r="AE152" s="46">
        <f>=IFERROR(ROUND((AE21+AE22)/$B152,0),0)</f>
        <v>0</v>
      </c>
      <c r="AF152" s="46">
        <f>=IFERROR(ROUND((AF21+AF22)/$B152,0),0)</f>
        <v>0</v>
      </c>
      <c r="AG152" s="46">
        <f>=IFERROR(ROUND((AG21+AG22)/$B152,0),0)</f>
        <v>0</v>
      </c>
      <c r="AH152" s="46">
        <f>=IFERROR(ROUND((AH21+AH22)/$B152,0),0)</f>
        <v>0</v>
      </c>
      <c r="AI152" s="46">
        <f>=IFERROR(ROUND((AI21+AI22)/$B152,0),0)</f>
        <v>0</v>
      </c>
      <c r="AJ152" s="46">
        <f>=IFERROR(ROUND((AJ21+AJ22)/$B152,0),0)</f>
        <v>0</v>
      </c>
      <c r="AK152" s="46">
        <f>=IFERROR(ROUND((AK21+AK22)/$B152,0),0)</f>
        <v>0</v>
      </c>
      <c r="AL152" s="46">
        <f>=IFERROR(ROUND((AL21+AL22)/$B152,0),0)</f>
        <v>0</v>
      </c>
      <c r="AM152" s="46">
        <f>=IFERROR(ROUND((AM21+AM22)/$B152,0),0)</f>
        <v>0</v>
      </c>
      <c r="AN152" s="46">
        <f>=IFERROR(ROUND((AN21+AN22)/$B152,0),0)</f>
        <v>0</v>
      </c>
      <c r="AO152" s="46">
        <f>=IFERROR(ROUND((AO21+AO22)/$B152,0),0)</f>
        <v>0</v>
      </c>
      <c r="AP152" s="46">
        <f>=IFERROR(ROUND((AP21+AP22)/$B152,0),0)</f>
        <v>0</v>
      </c>
      <c r="AQ152" s="46">
        <f>=IFERROR(ROUND((AQ21+AQ22)/$B152,0),0)</f>
        <v>0</v>
      </c>
      <c r="AR152" s="46">
        <f>=IFERROR(ROUND((AR21+AR22)/$B152,0),0)</f>
        <v>0</v>
      </c>
      <c r="AS152" s="46">
        <f>=IFERROR(ROUND((AS21+AS22)/$B152,0),0)</f>
        <v>0</v>
      </c>
      <c r="AT152" s="46">
        <f>=IFERROR(ROUND((AT21+AT22)/$B152,0),0)</f>
        <v>0</v>
      </c>
      <c r="AU152" s="46">
        <f>=IFERROR(ROUND((AU21+AU22)/$B152,0),0)</f>
        <v>0</v>
      </c>
      <c r="AV152" s="46">
        <f>=IFERROR(ROUND((AV21+AV22)/$B152,0),0)</f>
        <v>0</v>
      </c>
      <c r="AW152" s="46">
        <f>=IFERROR(ROUND((AW21+AW22)/$B152,0),0)</f>
        <v>0</v>
      </c>
      <c r="AX152" s="46">
        <f>=IFERROR(ROUND((AX21+AX22)/$B152,0),0)</f>
        <v>0</v>
      </c>
      <c r="AY152" s="46">
        <f>=IFERROR(ROUND((AY21+AY22)/$B152,0),0)</f>
        <v>0</v>
      </c>
      <c r="AZ152" s="46">
        <f>=IFERROR(ROUND((AZ21+AZ22)/$B152,0),0)</f>
        <v>0</v>
      </c>
      <c r="BA152" s="46">
        <f>=IFERROR(ROUND((BA21+BA22)/$B152,0),0)</f>
        <v>0</v>
      </c>
      <c r="BB152" s="46">
        <f>=IFERROR(ROUND((BB21+BB22)/$B152,0),0)</f>
        <v>0</v>
      </c>
      <c r="BC152" s="46">
        <f>=IFERROR(ROUND((BC21+BC22)/$B152,0),0)</f>
        <v>0</v>
      </c>
      <c r="BD152" s="46">
        <f>=IFERROR(ROUND((BD21+BD22)/$B152,0),0)</f>
        <v>0</v>
      </c>
      <c r="BE152" s="46">
        <f>=IFERROR(ROUND((BE21+BE22)/$B152,0),0)</f>
        <v>0</v>
      </c>
      <c r="BF152" s="46">
        <f>=IFERROR(ROUND((BF21+BF22)/$B152,0),0)</f>
        <v>0</v>
      </c>
      <c r="BG152" s="46">
        <f>=IFERROR(ROUND((BG21+BG22)/$B152,0),0)</f>
        <v>0</v>
      </c>
      <c r="BH152" s="46">
        <f>=IFERROR(ROUND((BH21+BH22)/$B152,0),0)</f>
        <v>0</v>
      </c>
      <c r="BI152" s="46">
        <f>=IFERROR(ROUND((BI21+BI22)/$B152,0),0)</f>
        <v>0</v>
      </c>
      <c r="BJ152" s="46">
        <f>=IFERROR(ROUND((BJ21+BJ22)/$B152,0),0)</f>
        <v>0</v>
      </c>
      <c r="BK152" s="46">
        <f>=IFERROR(ROUND((BK21+BK22)/$B152,0),0)</f>
        <v>0</v>
      </c>
      <c r="BL152" s="46">
        <f>=IFERROR(ROUND((BL21+BL22)/$B152,0),0)</f>
        <v>0</v>
      </c>
      <c r="BM152" s="46">
        <f>=IFERROR(ROUND((BM21+BM22)/$B152,0),0)</f>
        <v>0</v>
      </c>
      <c r="BN152" s="46">
        <f>=IFERROR(ROUND((BN21+BN22)/$B152,0),0)</f>
        <v>0</v>
      </c>
      <c r="BO152" s="46">
        <f>=IFERROR(ROUND((BO21+BO22)/$B152,0),0)</f>
        <v>0</v>
      </c>
      <c r="BP152" s="46">
        <f>=IFERROR(ROUND((BP21+BP22)/$B152,0),0)</f>
        <v>0</v>
      </c>
      <c r="BQ152" s="46">
        <f>=IFERROR(ROUND((BQ21+BQ22)/$B152,0),0)</f>
        <v>0</v>
      </c>
      <c r="BR152" s="46">
        <f>=IFERROR(ROUND((BR21+BR22)/$B152,0),0)</f>
        <v>0</v>
      </c>
      <c r="BS152" s="46">
        <f>=IFERROR(ROUND((BS21+BS22)/$B152,0),0)</f>
        <v>0</v>
      </c>
      <c r="BT152" s="46">
        <f>=IFERROR(ROUND((BT21+BT22)/$B152,0),0)</f>
        <v>0</v>
      </c>
      <c r="BU152" s="46">
        <f>=IFERROR(ROUND((BU21+BU22)/$B152,0),0)</f>
        <v>0</v>
      </c>
      <c r="BV152" s="46">
        <f>=IFERROR(ROUND((BV21+BV22)/$B152,0),0)</f>
        <v>0</v>
      </c>
      <c r="BW152" s="46">
        <f>=IFERROR(ROUND((BW21+BW22)/$B152,0),0)</f>
        <v>0</v>
      </c>
      <c r="BX152" s="46">
        <f>=IFERROR(ROUND((BX21+BX22)/$B152,0),0)</f>
        <v>0</v>
      </c>
      <c r="BY152" s="46">
        <f>=IFERROR(ROUND((BY21+BY22)/$B152,0),0)</f>
        <v>0</v>
      </c>
      <c r="BZ152" s="46">
        <f>=IFERROR(ROUND((BZ21+BZ22)/$B152,0),0)</f>
        <v>0</v>
      </c>
      <c r="CA152" s="46">
        <f>=IFERROR(ROUND((CA21+CA22)/$B152,0),0)</f>
        <v>0</v>
      </c>
      <c r="CB152" s="46">
        <f>=IFERROR(ROUND((CB21+CB22)/$B152,0),0)</f>
        <v>0</v>
      </c>
      <c r="CC152" s="46">
        <f>=IFERROR(ROUND((CC21+CC22)/$B152,0),0)</f>
        <v>0</v>
      </c>
      <c r="CD152" s="46">
        <f>=IFERROR(ROUND((CD21+CD22)/$B152,0),0)</f>
        <v>0</v>
      </c>
      <c r="CE152" s="46">
        <f>=IFERROR(ROUND((CE21+CE22)/$B152,0),0)</f>
        <v>0</v>
      </c>
      <c r="CF152" s="46">
        <f>=IFERROR(ROUND((CF21+CF22)/$B152,0),0)</f>
        <v>0</v>
      </c>
      <c r="CG152" s="46">
        <f>=IFERROR(ROUND((CG21+CG22)/$B152,0),0)</f>
        <v>0</v>
      </c>
      <c r="CH152" s="46">
        <f>=IFERROR(ROUND((CH21+CH22)/$B152,0),0)</f>
        <v>0</v>
      </c>
      <c r="CI152" s="46">
        <f>=IFERROR(ROUND((CI21+CI22)/$B152,0),0)</f>
        <v>0</v>
      </c>
      <c r="CJ152" s="46">
        <f>=IFERROR(ROUND((CJ21+CJ22)/$B152,0),0)</f>
        <v>0</v>
      </c>
      <c r="CK152" s="46">
        <f>=IFERROR(ROUND((CK21+CK22)/$B152,0),0)</f>
        <v>0</v>
      </c>
      <c r="CL152" s="46">
        <f>=IFERROR(ROUND((CL21+CL22)/$B152,0),0)</f>
        <v>0</v>
      </c>
      <c r="CM152" s="46">
        <f>=IFERROR(ROUND((CM21+CM22)/$B152,0),0)</f>
        <v>0</v>
      </c>
      <c r="CN152" s="46">
        <f>=IFERROR(ROUND((CN21+CN22)/$B152,0),0)</f>
        <v>0</v>
      </c>
      <c r="CO152" s="46">
        <f>=IFERROR(ROUND((CO21+CO22)/$B152,0),0)</f>
        <v>0</v>
      </c>
      <c r="CP152" s="46">
        <f>=IFERROR(ROUND((CP21+CP22)/$B152,0),0)</f>
        <v>0</v>
      </c>
      <c r="CQ152" s="46">
        <f>=IFERROR(ROUND((CQ21+CQ22)/$B152,0),0)</f>
        <v>0</v>
      </c>
      <c r="CR152" s="46">
        <f>=IFERROR(ROUND((CR21+CR22)/$B152,0),0)</f>
        <v>0</v>
      </c>
      <c r="CS152" s="46">
        <f>=IFERROR(ROUND((CS21+CS22)/$B152,0),0)</f>
        <v>0</v>
      </c>
      <c r="CT152" s="46">
        <f>=IFERROR(ROUND((CT21+CT22)/$B152,0),0)</f>
        <v>0</v>
      </c>
      <c r="CU152" s="46">
        <f>=IFERROR(ROUND((CU21+CU22)/$B152,0),0)</f>
        <v>0</v>
      </c>
      <c r="CV152" s="46">
        <f>=IFERROR(ROUND((CV21+CV22)/$B152,0),0)</f>
        <v>0</v>
      </c>
      <c r="CW152" s="46">
        <f>=IFERROR(ROUND((CW21+CW22)/$B152,0),0)</f>
        <v>0</v>
      </c>
      <c r="CX152" s="46">
        <f>=IFERROR(ROUND((CX21+CX22)/$B152,0),0)</f>
        <v>0</v>
      </c>
      <c r="CY152" s="46">
        <f>=IFERROR(ROUND((CY21+CY22)/$B152,0),0)</f>
        <v>0</v>
      </c>
      <c r="CZ152" s="46">
        <f>=IFERROR(ROUND((CZ21+CZ22)/$B152,0),0)</f>
        <v>0</v>
      </c>
      <c r="DA152" s="46">
        <f>=IFERROR(ROUND((DA21+DA22)/$B152,0),0)</f>
        <v>0</v>
      </c>
      <c r="DB152" s="46">
        <f>=IFERROR(ROUND((DB21+DB22)/$B152,0),0)</f>
        <v>0</v>
      </c>
    </row>
    <row r="153" spans="1:106" x14ac:dyDescent="0.25">
      <c r="A153" s="17" t="s">
        <v>357</v>
      </c>
      <c r="B153" s="17">
        <v>15</v>
      </c>
      <c r="C153" s="46">
        <f>=IFERROR(ROUND((C19+C23)/$B153,0),0)</f>
        <v>3</v>
      </c>
      <c r="D153" s="46">
        <f>=IFERROR(ROUND((D19+D23)/$B153,0),0)</f>
        <v>3</v>
      </c>
      <c r="E153" s="46">
        <f>=IFERROR(ROUND((E19+E23)/$B153,0),0)</f>
        <v>3</v>
      </c>
      <c r="F153" s="46">
        <f>=IFERROR(ROUND((F19+F23)/$B153,0),0)</f>
        <v>3</v>
      </c>
      <c r="G153" s="46">
        <f>=IFERROR(ROUND((G19+G23)/$B153,0),0)</f>
        <v>3</v>
      </c>
      <c r="H153" s="46">
        <f>=IFERROR(ROUND((H19+H23)/$B153,0),0)</f>
        <v>3</v>
      </c>
      <c r="I153" s="46">
        <f>=IFERROR(ROUND((I19+I23)/$B153,0),0)</f>
        <v>3</v>
      </c>
      <c r="J153" s="46">
        <f>=IFERROR(ROUND((J19+J23)/$B153,0),0)</f>
        <v>3</v>
      </c>
      <c r="K153" s="46">
        <f>=IFERROR(ROUND((K19+K23)/$B153,0),0)</f>
        <v>3</v>
      </c>
      <c r="L153" s="46">
        <f>=IFERROR(ROUND((L19+L23)/$B153,0),0)</f>
        <v>3</v>
      </c>
      <c r="M153" s="46">
        <f>=IFERROR(ROUND((M19+M23)/$B153,0),0)</f>
        <v>3</v>
      </c>
      <c r="N153" s="46">
        <f>=IFERROR(ROUND((N19+N23)/$B153,0),0)</f>
        <v>3</v>
      </c>
      <c r="O153" s="46">
        <f>=IFERROR(ROUND((O19+O23)/$B153,0),0)</f>
        <v>3</v>
      </c>
      <c r="P153" s="46">
        <f>=IFERROR(ROUND((P19+P23)/$B153,0),0)</f>
        <v>3</v>
      </c>
      <c r="Q153" s="46">
        <f>=IFERROR(ROUND((Q19+Q23)/$B153,0),0)</f>
        <v>2</v>
      </c>
      <c r="R153" s="46">
        <f>=IFERROR(ROUND((R19+R23)/$B153,0),0)</f>
        <v>2</v>
      </c>
      <c r="S153" s="46">
        <f>=IFERROR(ROUND((S19+S23)/$B153,0),0)</f>
        <v>2</v>
      </c>
      <c r="T153" s="46">
        <f>=IFERROR(ROUND((T19+T23)/$B153,0),0)</f>
        <v>2</v>
      </c>
      <c r="U153" s="46">
        <f>=IFERROR(ROUND((U19+U23)/$B153,0),0)</f>
        <v>2</v>
      </c>
      <c r="V153" s="46">
        <f>=IFERROR(ROUND((V19+V23)/$B153,0),0)</f>
        <v>2</v>
      </c>
      <c r="W153" s="46">
        <f>=IFERROR(ROUND((W19+W23)/$B153,0),0)</f>
        <v>2</v>
      </c>
      <c r="X153" s="46">
        <f>=IFERROR(ROUND((X19+X23)/$B153,0),0)</f>
        <v>2</v>
      </c>
      <c r="Y153" s="46">
        <f>=IFERROR(ROUND((Y19+Y23)/$B153,0),0)</f>
        <v>2</v>
      </c>
      <c r="Z153" s="46">
        <f>=IFERROR(ROUND((Z19+Z23)/$B153,0),0)</f>
        <v>2</v>
      </c>
      <c r="AA153" s="46">
        <f>=IFERROR(ROUND((AA19+AA23)/$B153,0),0)</f>
        <v>2</v>
      </c>
      <c r="AB153" s="46">
        <f>=IFERROR(ROUND((AB19+AB23)/$B153,0),0)</f>
        <v>2</v>
      </c>
      <c r="AC153" s="46">
        <f>=IFERROR(ROUND((AC19+AC23)/$B153,0),0)</f>
        <v>2</v>
      </c>
      <c r="AD153" s="46">
        <f>=IFERROR(ROUND((AD19+AD23)/$B153,0),0)</f>
        <v>2</v>
      </c>
      <c r="AE153" s="46">
        <f>=IFERROR(ROUND((AE19+AE23)/$B153,0),0)</f>
        <v>2</v>
      </c>
      <c r="AF153" s="46">
        <f>=IFERROR(ROUND((AF19+AF23)/$B153,0),0)</f>
        <v>2</v>
      </c>
      <c r="AG153" s="46">
        <f>=IFERROR(ROUND((AG19+AG23)/$B153,0),0)</f>
        <v>2</v>
      </c>
      <c r="AH153" s="46">
        <f>=IFERROR(ROUND((AH19+AH23)/$B153,0),0)</f>
        <v>2</v>
      </c>
      <c r="AI153" s="46">
        <f>=IFERROR(ROUND((AI19+AI23)/$B153,0),0)</f>
        <v>2</v>
      </c>
      <c r="AJ153" s="46">
        <f>=IFERROR(ROUND((AJ19+AJ23)/$B153,0),0)</f>
        <v>2</v>
      </c>
      <c r="AK153" s="46">
        <f>=IFERROR(ROUND((AK19+AK23)/$B153,0),0)</f>
        <v>2</v>
      </c>
      <c r="AL153" s="46">
        <f>=IFERROR(ROUND((AL19+AL23)/$B153,0),0)</f>
        <v>2</v>
      </c>
      <c r="AM153" s="46">
        <f>=IFERROR(ROUND((AM19+AM23)/$B153,0),0)</f>
        <v>2</v>
      </c>
      <c r="AN153" s="46">
        <f>=IFERROR(ROUND((AN19+AN23)/$B153,0),0)</f>
        <v>2</v>
      </c>
      <c r="AO153" s="46">
        <f>=IFERROR(ROUND((AO19+AO23)/$B153,0),0)</f>
        <v>2</v>
      </c>
      <c r="AP153" s="46">
        <f>=IFERROR(ROUND((AP19+AP23)/$B153,0),0)</f>
        <v>2</v>
      </c>
      <c r="AQ153" s="46">
        <f>=IFERROR(ROUND((AQ19+AQ23)/$B153,0),0)</f>
        <v>2</v>
      </c>
      <c r="AR153" s="46">
        <f>=IFERROR(ROUND((AR19+AR23)/$B153,0),0)</f>
        <v>2</v>
      </c>
      <c r="AS153" s="46">
        <f>=IFERROR(ROUND((AS19+AS23)/$B153,0),0)</f>
        <v>2</v>
      </c>
      <c r="AT153" s="46">
        <f>=IFERROR(ROUND((AT19+AT23)/$B153,0),0)</f>
        <v>2</v>
      </c>
      <c r="AU153" s="46">
        <f>=IFERROR(ROUND((AU19+AU23)/$B153,0),0)</f>
        <v>2</v>
      </c>
      <c r="AV153" s="46">
        <f>=IFERROR(ROUND((AV19+AV23)/$B153,0),0)</f>
        <v>2</v>
      </c>
      <c r="AW153" s="46">
        <f>=IFERROR(ROUND((AW19+AW23)/$B153,0),0)</f>
        <v>2</v>
      </c>
      <c r="AX153" s="46">
        <f>=IFERROR(ROUND((AX19+AX23)/$B153,0),0)</f>
        <v>2</v>
      </c>
      <c r="AY153" s="46">
        <f>=IFERROR(ROUND((AY19+AY23)/$B153,0),0)</f>
        <v>2</v>
      </c>
      <c r="AZ153" s="46">
        <f>=IFERROR(ROUND((AZ19+AZ23)/$B153,0),0)</f>
        <v>2</v>
      </c>
      <c r="BA153" s="46">
        <f>=IFERROR(ROUND((BA19+BA23)/$B153,0),0)</f>
        <v>2</v>
      </c>
      <c r="BB153" s="46">
        <f>=IFERROR(ROUND((BB19+BB23)/$B153,0),0)</f>
        <v>2</v>
      </c>
      <c r="BC153" s="46">
        <f>=IFERROR(ROUND((BC19+BC23)/$B153,0),0)</f>
        <v>2</v>
      </c>
      <c r="BD153" s="73">
        <f>=IFERROR(ROUND((BD19+BD23)/$B153,0),0)</f>
        <v>2</v>
      </c>
      <c r="BE153" s="46">
        <f>=IFERROR(ROUND((BE19+BE23)/$B153,0),0)</f>
        <v>2</v>
      </c>
      <c r="BF153" s="46">
        <f>=IFERROR(ROUND((BF19+BF23)/$B153,0),0)</f>
        <v>2</v>
      </c>
      <c r="BG153" s="46">
        <f>=IFERROR(ROUND((BG19+BG23)/$B153,0),0)</f>
        <v>2</v>
      </c>
      <c r="BH153" s="46">
        <f>=IFERROR(ROUND((BH19+BH23)/$B153,0),0)</f>
        <v>2</v>
      </c>
      <c r="BI153" s="46">
        <f>=IFERROR(ROUND((BI19+BI23)/$B153,0),0)</f>
        <v>2</v>
      </c>
      <c r="BJ153" s="46">
        <f>=IFERROR(ROUND((BJ19+BJ23)/$B153,0),0)</f>
        <v>2</v>
      </c>
      <c r="BK153" s="46">
        <f>=IFERROR(ROUND((BK19+BK23)/$B153,0),0)</f>
        <v>2</v>
      </c>
      <c r="BL153" s="73">
        <f>=IFERROR(ROUND((BL19+BL23)/$B153,0),0)</f>
        <v>2</v>
      </c>
      <c r="BM153" s="46">
        <f>=IFERROR(ROUND((BM19+BM23)/$B153,0),0)</f>
        <v>2</v>
      </c>
      <c r="BN153" s="46">
        <f>=IFERROR(ROUND((BN19+BN23)/$B153,0),0)</f>
        <v>2</v>
      </c>
      <c r="BO153" s="46">
        <f>=IFERROR(ROUND((BO19+BO23)/$B153,0),0)</f>
        <v>2</v>
      </c>
      <c r="BP153" s="46">
        <f>=IFERROR(ROUND((BP19+BP23)/$B153,0),0)</f>
        <v>2</v>
      </c>
      <c r="BQ153" s="46">
        <f>=IFERROR(ROUND((BQ19+BQ23)/$B153,0),0)</f>
        <v>2</v>
      </c>
      <c r="BR153" s="46">
        <f>=IFERROR(ROUND((BR19+BR23)/$B153,0),0)</f>
        <v>2</v>
      </c>
      <c r="BS153" s="46">
        <f>=IFERROR(ROUND((BS19+BS23)/$B153,0),0)</f>
        <v>2</v>
      </c>
      <c r="BT153" s="46">
        <f>=IFERROR(ROUND((BT19+BT23)/$B153,0),0)</f>
        <v>2</v>
      </c>
      <c r="BU153" s="46">
        <f>=IFERROR(ROUND((BU19+BU23)/$B153,0),0)</f>
        <v>2</v>
      </c>
      <c r="BV153" s="46">
        <f>=IFERROR(ROUND((BV19+BV23)/$B153,0),0)</f>
        <v>2</v>
      </c>
      <c r="BW153" s="46">
        <f>=IFERROR(ROUND((BW19+BW23)/$B153,0),0)</f>
        <v>2</v>
      </c>
      <c r="BX153" s="46">
        <f>=IFERROR(ROUND((BX19+BX23)/$B153,0),0)</f>
        <v>2</v>
      </c>
      <c r="BY153" s="73">
        <f>=IFERROR(ROUND((BY19+BY23)/$B153,0),0)</f>
        <v>2</v>
      </c>
      <c r="BZ153" s="46">
        <f>=IFERROR(ROUND((BZ19+BZ23)/$B153,0),0)</f>
        <v>2</v>
      </c>
      <c r="CA153" s="46">
        <f>=IFERROR(ROUND((CA19+CA23)/$B153,0),0)</f>
        <v>2</v>
      </c>
      <c r="CB153" s="46">
        <f>=IFERROR(ROUND((CB19+CB23)/$B153,0),0)</f>
        <v>2</v>
      </c>
      <c r="CC153" s="46">
        <f>=IFERROR(ROUND((CC19+CC23)/$B153,0),0)</f>
        <v>2</v>
      </c>
      <c r="CD153" s="46">
        <f>=IFERROR(ROUND((CD19+CD23)/$B153,0),0)</f>
        <v>2</v>
      </c>
      <c r="CE153" s="46">
        <f>=IFERROR(ROUND((CE19+CE23)/$B153,0),0)</f>
        <v>2</v>
      </c>
      <c r="CF153" s="46">
        <f>=IFERROR(ROUND((CF19+CF23)/$B153,0),0)</f>
        <v>2</v>
      </c>
      <c r="CG153" s="46">
        <f>=IFERROR(ROUND((CG19+CG23)/$B153,0),0)</f>
        <v>2</v>
      </c>
      <c r="CH153" s="46">
        <f>=IFERROR(ROUND((CH19+CH23)/$B153,0),0)</f>
        <v>2</v>
      </c>
      <c r="CI153" s="46">
        <f>=IFERROR(ROUND((CI19+CI23)/$B153,0),0)</f>
        <v>2</v>
      </c>
      <c r="CJ153" s="46">
        <f>=IFERROR(ROUND((CJ19+CJ23)/$B153,0),0)</f>
        <v>2</v>
      </c>
      <c r="CK153" s="46">
        <f>=IFERROR(ROUND((CK19+CK23)/$B153,0),0)</f>
        <v>2</v>
      </c>
      <c r="CL153" s="46">
        <f>=IFERROR(ROUND((CL19+CL23)/$B153,0),0)</f>
        <v>2</v>
      </c>
      <c r="CM153" s="46">
        <f>=IFERROR(ROUND((CM19+CM23)/$B153,0),0)</f>
        <v>2</v>
      </c>
      <c r="CN153" s="46">
        <f>=IFERROR(ROUND((CN19+CN23)/$B153,0),0)</f>
        <v>2</v>
      </c>
      <c r="CO153" s="46">
        <f>=IFERROR(ROUND((CO19+CO23)/$B153,0),0)</f>
        <v>2</v>
      </c>
      <c r="CP153" s="46">
        <f>=IFERROR(ROUND((CP19+CP23)/$B153,0),0)</f>
        <v>2</v>
      </c>
      <c r="CQ153" s="46">
        <f>=IFERROR(ROUND((CQ19+CQ23)/$B153,0),0)</f>
        <v>2</v>
      </c>
      <c r="CR153" s="46">
        <f>=IFERROR(ROUND((CR19+CR23)/$B153,0),0)</f>
        <v>2</v>
      </c>
      <c r="CS153" s="46">
        <f>=IFERROR(ROUND((CS19+CS23)/$B153,0),0)</f>
        <v>2</v>
      </c>
      <c r="CT153" s="73">
        <f>=IFERROR(ROUND((CT19+CT23)/$B153,0),0)</f>
        <v>2</v>
      </c>
      <c r="CU153" s="46">
        <f>=IFERROR(ROUND((CU19+CU23)/$B153,0),0)</f>
        <v>2</v>
      </c>
      <c r="CV153" s="46">
        <f>=IFERROR(ROUND((CV19+CV23)/$B153,0),0)</f>
        <v>2</v>
      </c>
      <c r="CW153" s="73">
        <f>=IFERROR(ROUND((CW19+CW23)/$B153,0),0)</f>
        <v>2</v>
      </c>
      <c r="CX153" s="73">
        <f>=IFERROR(ROUND((CX19+CX23)/$B153,0),0)</f>
        <v>2</v>
      </c>
      <c r="CY153" s="46">
        <f>=IFERROR(ROUND((CY19+CY23)/$B153,0),0)</f>
        <v>2</v>
      </c>
      <c r="CZ153" s="46">
        <f>=IFERROR(ROUND((CZ19+CZ23)/$B153,0),0)</f>
        <v>2</v>
      </c>
      <c r="DA153" s="46">
        <f>=IFERROR(ROUND((DA19+DA23)/$B153,0),0)</f>
        <v>2</v>
      </c>
      <c r="DB153" s="46">
        <f>=IFERROR(ROUND((DB19+DB23)/$B153,0),0)</f>
        <v>2</v>
      </c>
    </row>
    <row r="154" spans="1:106" x14ac:dyDescent="0.25">
      <c r="A154" s="17" t="s">
        <v>358</v>
      </c>
      <c r="B154" s="17">
        <v>40</v>
      </c>
      <c r="C154" s="46">
        <f>=IFERROR(ROUND((C19+C23)/$B154,0),0)</f>
        <v>1</v>
      </c>
      <c r="D154" s="46">
        <f>=IFERROR(ROUND((D19+D23)/$B154,0),0)</f>
        <v>1</v>
      </c>
      <c r="E154" s="46">
        <f>=IFERROR(ROUND((E19+E23)/$B154,0),0)</f>
        <v>1</v>
      </c>
      <c r="F154" s="46">
        <f>=IFERROR(ROUND((F19+F23)/$B154,0),0)</f>
        <v>1</v>
      </c>
      <c r="G154" s="46">
        <f>=IFERROR(ROUND((G19+G23)/$B154,0),0)</f>
        <v>1</v>
      </c>
      <c r="H154" s="46">
        <f>=IFERROR(ROUND((H19+H23)/$B154,0),0)</f>
        <v>1</v>
      </c>
      <c r="I154" s="46">
        <f>=IFERROR(ROUND((I19+I23)/$B154,0),0)</f>
        <v>1</v>
      </c>
      <c r="J154" s="46">
        <f>=IFERROR(ROUND((J19+J23)/$B154,0),0)</f>
        <v>1</v>
      </c>
      <c r="K154" s="46">
        <f>=IFERROR(ROUND((K19+K23)/$B154,0),0)</f>
        <v>1</v>
      </c>
      <c r="L154" s="46">
        <f>=IFERROR(ROUND((L19+L23)/$B154,0),0)</f>
        <v>1</v>
      </c>
      <c r="M154" s="46">
        <f>=IFERROR(ROUND((M19+M23)/$B154,0),0)</f>
        <v>1</v>
      </c>
      <c r="N154" s="46">
        <f>=IFERROR(ROUND((N19+N23)/$B154,0),0)</f>
        <v>1</v>
      </c>
      <c r="O154" s="46">
        <f>=IFERROR(ROUND((O19+O23)/$B154,0),0)</f>
        <v>1</v>
      </c>
      <c r="P154" s="46">
        <f>=IFERROR(ROUND((P19+P23)/$B154,0),0)</f>
        <v>1</v>
      </c>
      <c r="Q154" s="46">
        <f>=IFERROR(ROUND((Q19+Q23)/$B154,0),0)</f>
        <v>1</v>
      </c>
      <c r="R154" s="46">
        <f>=IFERROR(ROUND((R19+R23)/$B154,0),0)</f>
        <v>1</v>
      </c>
      <c r="S154" s="46">
        <f>=IFERROR(ROUND((S19+S23)/$B154,0),0)</f>
        <v>1</v>
      </c>
      <c r="T154" s="46">
        <f>=IFERROR(ROUND((T19+T23)/$B154,0),0)</f>
        <v>1</v>
      </c>
      <c r="U154" s="46">
        <f>=IFERROR(ROUND((U19+U23)/$B154,0),0)</f>
        <v>1</v>
      </c>
      <c r="V154" s="46">
        <f>=IFERROR(ROUND((V19+V23)/$B154,0),0)</f>
        <v>1</v>
      </c>
      <c r="W154" s="46">
        <f>=IFERROR(ROUND((W19+W23)/$B154,0),0)</f>
        <v>1</v>
      </c>
      <c r="X154" s="46">
        <f>=IFERROR(ROUND((X19+X23)/$B154,0),0)</f>
        <v>1</v>
      </c>
      <c r="Y154" s="46">
        <f>=IFERROR(ROUND((Y19+Y23)/$B154,0),0)</f>
        <v>1</v>
      </c>
      <c r="Z154" s="46">
        <f>=IFERROR(ROUND((Z19+Z23)/$B154,0),0)</f>
        <v>1</v>
      </c>
      <c r="AA154" s="46">
        <f>=IFERROR(ROUND((AA19+AA23)/$B154,0),0)</f>
        <v>1</v>
      </c>
      <c r="AB154" s="46">
        <f>=IFERROR(ROUND((AB19+AB23)/$B154,0),0)</f>
        <v>1</v>
      </c>
      <c r="AC154" s="46">
        <f>=IFERROR(ROUND((AC19+AC23)/$B154,0),0)</f>
        <v>1</v>
      </c>
      <c r="AD154" s="46">
        <f>=IFERROR(ROUND((AD19+AD23)/$B154,0),0)</f>
        <v>1</v>
      </c>
      <c r="AE154" s="46">
        <f>=IFERROR(ROUND((AE19+AE23)/$B154,0),0)</f>
        <v>1</v>
      </c>
      <c r="AF154" s="46">
        <f>=IFERROR(ROUND((AF19+AF23)/$B154,0),0)</f>
        <v>1</v>
      </c>
      <c r="AG154" s="46">
        <f>=IFERROR(ROUND((AG19+AG23)/$B154,0),0)</f>
        <v>1</v>
      </c>
      <c r="AH154" s="46">
        <f>=IFERROR(ROUND((AH19+AH23)/$B154,0),0)</f>
        <v>1</v>
      </c>
      <c r="AI154" s="46">
        <f>=IFERROR(ROUND((AI19+AI23)/$B154,0),0)</f>
        <v>1</v>
      </c>
      <c r="AJ154" s="46">
        <f>=IFERROR(ROUND((AJ19+AJ23)/$B154,0),0)</f>
        <v>1</v>
      </c>
      <c r="AK154" s="46">
        <f>=IFERROR(ROUND((AK19+AK23)/$B154,0),0)</f>
        <v>1</v>
      </c>
      <c r="AL154" s="46">
        <f>=IFERROR(ROUND((AL19+AL23)/$B154,0),0)</f>
        <v>1</v>
      </c>
      <c r="AM154" s="46">
        <f>=IFERROR(ROUND((AM19+AM23)/$B154,0),0)</f>
        <v>1</v>
      </c>
      <c r="AN154" s="46">
        <f>=IFERROR(ROUND((AN19+AN23)/$B154,0),0)</f>
        <v>1</v>
      </c>
      <c r="AO154" s="46">
        <f>=IFERROR(ROUND((AO19+AO23)/$B154,0),0)</f>
        <v>1</v>
      </c>
      <c r="AP154" s="46">
        <f>=IFERROR(ROUND((AP19+AP23)/$B154,0),0)</f>
        <v>1</v>
      </c>
      <c r="AQ154" s="46">
        <f>=IFERROR(ROUND((AQ19+AQ23)/$B154,0),0)</f>
        <v>1</v>
      </c>
      <c r="AR154" s="46">
        <f>=IFERROR(ROUND((AR19+AR23)/$B154,0),0)</f>
        <v>1</v>
      </c>
      <c r="AS154" s="46">
        <f>=IFERROR(ROUND((AS19+AS23)/$B154,0),0)</f>
        <v>1</v>
      </c>
      <c r="AT154" s="46">
        <f>=IFERROR(ROUND((AT19+AT23)/$B154,0),0)</f>
        <v>1</v>
      </c>
      <c r="AU154" s="46">
        <f>=IFERROR(ROUND((AU19+AU23)/$B154,0),0)</f>
        <v>1</v>
      </c>
      <c r="AV154" s="46">
        <f>=IFERROR(ROUND((AV19+AV23)/$B154,0),0)</f>
        <v>1</v>
      </c>
      <c r="AW154" s="46">
        <f>=IFERROR(ROUND((AW19+AW23)/$B154,0),0)</f>
        <v>1</v>
      </c>
      <c r="AX154" s="46">
        <f>=IFERROR(ROUND((AX19+AX23)/$B154,0),0)</f>
        <v>1</v>
      </c>
      <c r="AY154" s="46">
        <f>=IFERROR(ROUND((AY19+AY23)/$B154,0),0)</f>
        <v>1</v>
      </c>
      <c r="AZ154" s="46">
        <f>=IFERROR(ROUND((AZ19+AZ23)/$B154,0),0)</f>
        <v>1</v>
      </c>
      <c r="BA154" s="46">
        <f>=IFERROR(ROUND((BA19+BA23)/$B154,0),0)</f>
        <v>1</v>
      </c>
      <c r="BB154" s="46">
        <f>=IFERROR(ROUND((BB19+BB23)/$B154,0),0)</f>
        <v>1</v>
      </c>
      <c r="BC154" s="73">
        <f>=IFERROR(ROUND((BC19+BC23)/$B154,0),0)</f>
        <v>1</v>
      </c>
      <c r="BD154" s="46">
        <f>=IFERROR(ROUND((BD19+BD23)/$B154,0),0)</f>
        <v>1</v>
      </c>
      <c r="BE154" s="46">
        <f>=IFERROR(ROUND((BE19+BE23)/$B154,0),0)</f>
        <v>1</v>
      </c>
      <c r="BF154" s="46">
        <f>=IFERROR(ROUND((BF19+BF23)/$B154,0),0)</f>
        <v>1</v>
      </c>
      <c r="BG154" s="46">
        <f>=IFERROR(ROUND((BG19+BG23)/$B154,0),0)</f>
        <v>1</v>
      </c>
      <c r="BH154" s="46">
        <f>=IFERROR(ROUND((BH19+BH23)/$B154,0),0)</f>
        <v>1</v>
      </c>
      <c r="BI154" s="46">
        <f>=IFERROR(ROUND((BI19+BI23)/$B154,0),0)</f>
        <v>1</v>
      </c>
      <c r="BJ154" s="46">
        <f>=IFERROR(ROUND((BJ19+BJ23)/$B154,0),0)</f>
        <v>1</v>
      </c>
      <c r="BK154" s="46">
        <f>=IFERROR(ROUND((BK19+BK23)/$B154,0),0)</f>
        <v>1</v>
      </c>
      <c r="BL154" s="46">
        <f>=IFERROR(ROUND((BL19+BL23)/$B154,0),0)</f>
        <v>1</v>
      </c>
      <c r="BM154" s="46">
        <f>=IFERROR(ROUND((BM19+BM23)/$B154,0),0)</f>
        <v>1</v>
      </c>
      <c r="BN154" s="46">
        <f>=IFERROR(ROUND((BN19+BN23)/$B154,0),0)</f>
        <v>1</v>
      </c>
      <c r="BO154" s="46">
        <f>=IFERROR(ROUND((BO19+BO23)/$B154,0),0)</f>
        <v>1</v>
      </c>
      <c r="BP154" s="46">
        <f>=IFERROR(ROUND((BP19+BP23)/$B154,0),0)</f>
        <v>1</v>
      </c>
      <c r="BQ154" s="46">
        <f>=IFERROR(ROUND((BQ19+BQ23)/$B154,0),0)</f>
        <v>1</v>
      </c>
      <c r="BR154" s="46">
        <f>=IFERROR(ROUND((BR19+BR23)/$B154,0),0)</f>
        <v>1</v>
      </c>
      <c r="BS154" s="46">
        <f>=IFERROR(ROUND((BS19+BS23)/$B154,0),0)</f>
        <v>1</v>
      </c>
      <c r="BT154" s="46">
        <f>=IFERROR(ROUND((BT19+BT23)/$B154,0),0)</f>
        <v>1</v>
      </c>
      <c r="BU154" s="46">
        <f>=IFERROR(ROUND((BU19+BU23)/$B154,0),0)</f>
        <v>1</v>
      </c>
      <c r="BV154" s="46">
        <f>=IFERROR(ROUND((BV19+BV23)/$B154,0),0)</f>
        <v>1</v>
      </c>
      <c r="BW154" s="46">
        <f>=IFERROR(ROUND((BW19+BW23)/$B154,0),0)</f>
        <v>1</v>
      </c>
      <c r="BX154" s="46">
        <f>=IFERROR(ROUND((BX19+BX23)/$B154,0),0)</f>
        <v>1</v>
      </c>
      <c r="BY154" s="46">
        <f>=IFERROR(ROUND((BY19+BY23)/$B154,0),0)</f>
        <v>1</v>
      </c>
      <c r="BZ154" s="46">
        <f>=IFERROR(ROUND((BZ19+BZ23)/$B154,0),0)</f>
        <v>1</v>
      </c>
      <c r="CA154" s="46">
        <f>=IFERROR(ROUND((CA19+CA23)/$B154,0),0)</f>
        <v>1</v>
      </c>
      <c r="CB154" s="46">
        <f>=IFERROR(ROUND((CB19+CB23)/$B154,0),0)</f>
        <v>1</v>
      </c>
      <c r="CC154" s="46">
        <f>=IFERROR(ROUND((CC19+CC23)/$B154,0),0)</f>
        <v>1</v>
      </c>
      <c r="CD154" s="46">
        <f>=IFERROR(ROUND((CD19+CD23)/$B154,0),0)</f>
        <v>1</v>
      </c>
      <c r="CE154" s="46">
        <f>=IFERROR(ROUND((CE19+CE23)/$B154,0),0)</f>
        <v>1</v>
      </c>
      <c r="CF154" s="46">
        <f>=IFERROR(ROUND((CF19+CF23)/$B154,0),0)</f>
        <v>1</v>
      </c>
      <c r="CG154" s="46">
        <f>=IFERROR(ROUND((CG19+CG23)/$B154,0),0)</f>
        <v>1</v>
      </c>
      <c r="CH154" s="46">
        <f>=IFERROR(ROUND((CH19+CH23)/$B154,0),0)</f>
        <v>1</v>
      </c>
      <c r="CI154" s="46">
        <f>=IFERROR(ROUND((CI19+CI23)/$B154,0),0)</f>
        <v>1</v>
      </c>
      <c r="CJ154" s="73">
        <f>=IFERROR(ROUND((CJ19+CJ23)/$B154,0),0)</f>
        <v>1</v>
      </c>
      <c r="CK154" s="46">
        <f>=IFERROR(ROUND((CK19+CK23)/$B154,0),0)</f>
        <v>1</v>
      </c>
      <c r="CL154" s="73">
        <f>=IFERROR(ROUND((CL19+CL23)/$B154,0),0)</f>
        <v>1</v>
      </c>
      <c r="CM154" s="46">
        <f>=IFERROR(ROUND((CM19+CM23)/$B154,0),0)</f>
        <v>1</v>
      </c>
      <c r="CN154" s="46">
        <f>=IFERROR(ROUND((CN19+CN23)/$B154,0),0)</f>
        <v>1</v>
      </c>
      <c r="CO154" s="46">
        <f>=IFERROR(ROUND((CO19+CO23)/$B154,0),0)</f>
        <v>1</v>
      </c>
      <c r="CP154" s="46">
        <f>=IFERROR(ROUND((CP19+CP23)/$B154,0),0)</f>
        <v>1</v>
      </c>
      <c r="CQ154" s="46">
        <f>=IFERROR(ROUND((CQ19+CQ23)/$B154,0),0)</f>
        <v>1</v>
      </c>
      <c r="CR154" s="46">
        <f>=IFERROR(ROUND((CR19+CR23)/$B154,0),0)</f>
        <v>1</v>
      </c>
      <c r="CS154" s="46">
        <f>=IFERROR(ROUND((CS19+CS23)/$B154,0),0)</f>
        <v>1</v>
      </c>
      <c r="CT154" s="46">
        <f>=IFERROR(ROUND((CT19+CT23)/$B154,0),0)</f>
        <v>1</v>
      </c>
      <c r="CU154" s="46">
        <f>=IFERROR(ROUND((CU19+CU23)/$B154,0),0)</f>
        <v>1</v>
      </c>
      <c r="CV154" s="46">
        <f>=IFERROR(ROUND((CV19+CV23)/$B154,0),0)</f>
        <v>1</v>
      </c>
      <c r="CW154" s="46">
        <f>=IFERROR(ROUND((CW19+CW23)/$B154,0),0)</f>
        <v>1</v>
      </c>
      <c r="CX154" s="46">
        <f>=IFERROR(ROUND((CX19+CX23)/$B154,0),0)</f>
        <v>1</v>
      </c>
      <c r="CY154" s="46">
        <f>=IFERROR(ROUND((CY19+CY23)/$B154,0),0)</f>
        <v>1</v>
      </c>
      <c r="CZ154" s="46">
        <f>=IFERROR(ROUND((CZ19+CZ23)/$B154,0),0)</f>
        <v>1</v>
      </c>
      <c r="DA154" s="46">
        <f>=IFERROR(ROUND((DA19+DA23)/$B154,0),0)</f>
        <v>1</v>
      </c>
      <c r="DB154" s="46">
        <f>=IFERROR(ROUND((DB19+DB23)/$B154,0),0)</f>
        <v>1</v>
      </c>
    </row>
    <row r="155" spans="1:106" x14ac:dyDescent="0.25">
      <c r="A155" s="17" t="s">
        <v>359</v>
      </c>
      <c r="B155" s="17">
        <v>30</v>
      </c>
      <c r="C155" s="46">
        <f>=IFERROR(ROUND(C19/$B155,0),0)</f>
        <v>1</v>
      </c>
      <c r="D155" s="46">
        <f>=IFERROR(ROUND(D19/$B155,0),0)</f>
        <v>1</v>
      </c>
      <c r="E155" s="46">
        <f>=IFERROR(ROUND(E19/$B155,0),0)</f>
        <v>1</v>
      </c>
      <c r="F155" s="46">
        <f>=IFERROR(ROUND(F19/$B155,0),0)</f>
        <v>1</v>
      </c>
      <c r="G155" s="46">
        <f>=IFERROR(ROUND(G19/$B155,0),0)</f>
        <v>1</v>
      </c>
      <c r="H155" s="46">
        <f>=IFERROR(ROUND(H19/$B155,0),0)</f>
        <v>1</v>
      </c>
      <c r="I155" s="46">
        <f>=IFERROR(ROUND(I19/$B155,0),0)</f>
        <v>1</v>
      </c>
      <c r="J155" s="46">
        <f>=IFERROR(ROUND(J19/$B155,0),0)</f>
        <v>1</v>
      </c>
      <c r="K155" s="46">
        <f>=IFERROR(ROUND(K19/$B155,0),0)</f>
        <v>1</v>
      </c>
      <c r="L155" s="46">
        <f>=IFERROR(ROUND(L19/$B155,0),0)</f>
        <v>1</v>
      </c>
      <c r="M155" s="46">
        <f>=IFERROR(ROUND(M19/$B155,0),0)</f>
        <v>1</v>
      </c>
      <c r="N155" s="46">
        <f>=IFERROR(ROUND(N19/$B155,0),0)</f>
        <v>1</v>
      </c>
      <c r="O155" s="46">
        <f>=IFERROR(ROUND(O19/$B155,0),0)</f>
        <v>1</v>
      </c>
      <c r="P155" s="46">
        <f>=IFERROR(ROUND(P19/$B155,0),0)</f>
        <v>1</v>
      </c>
      <c r="Q155" s="46">
        <f>=IFERROR(ROUND(Q19/$B155,0),0)</f>
        <v>1</v>
      </c>
      <c r="R155" s="46">
        <f>=IFERROR(ROUND(R19/$B155,0),0)</f>
        <v>1</v>
      </c>
      <c r="S155" s="46">
        <f>=IFERROR(ROUND(S19/$B155,0),0)</f>
        <v>1</v>
      </c>
      <c r="T155" s="46">
        <f>=IFERROR(ROUND(T19/$B155,0),0)</f>
        <v>1</v>
      </c>
      <c r="U155" s="46">
        <f>=IFERROR(ROUND(U19/$B155,0),0)</f>
        <v>1</v>
      </c>
      <c r="V155" s="46">
        <f>=IFERROR(ROUND(V19/$B155,0),0)</f>
        <v>1</v>
      </c>
      <c r="W155" s="46">
        <f>=IFERROR(ROUND(W19/$B155,0),0)</f>
        <v>1</v>
      </c>
      <c r="X155" s="46">
        <f>=IFERROR(ROUND(X19/$B155,0),0)</f>
        <v>1</v>
      </c>
      <c r="Y155" s="46">
        <f>=IFERROR(ROUND(Y19/$B155,0),0)</f>
        <v>1</v>
      </c>
      <c r="Z155" s="46">
        <f>=IFERROR(ROUND(Z19/$B155,0),0)</f>
        <v>1</v>
      </c>
      <c r="AA155" s="46">
        <f>=IFERROR(ROUND(AA19/$B155,0),0)</f>
        <v>1</v>
      </c>
      <c r="AB155" s="46">
        <f>=IFERROR(ROUND(AB19/$B155,0),0)</f>
        <v>1</v>
      </c>
      <c r="AC155" s="46">
        <f>=IFERROR(ROUND(AC19/$B155,0),0)</f>
        <v>1</v>
      </c>
      <c r="AD155" s="46">
        <f>=IFERROR(ROUND(AD19/$B155,0),0)</f>
        <v>1</v>
      </c>
      <c r="AE155" s="46">
        <f>=IFERROR(ROUND(AE19/$B155,0),0)</f>
        <v>1</v>
      </c>
      <c r="AF155" s="46">
        <f>=IFERROR(ROUND(AF19/$B155,0),0)</f>
        <v>1</v>
      </c>
      <c r="AG155" s="46">
        <f>=IFERROR(ROUND(AG19/$B155,0),0)</f>
        <v>1</v>
      </c>
      <c r="AH155" s="46">
        <f>=IFERROR(ROUND(AH19/$B155,0),0)</f>
        <v>1</v>
      </c>
      <c r="AI155" s="46">
        <f>=IFERROR(ROUND(AI19/$B155,0),0)</f>
        <v>1</v>
      </c>
      <c r="AJ155" s="46">
        <f>=IFERROR(ROUND(AJ19/$B155,0),0)</f>
        <v>1</v>
      </c>
      <c r="AK155" s="46">
        <f>=IFERROR(ROUND(AK19/$B155,0),0)</f>
        <v>1</v>
      </c>
      <c r="AL155" s="46">
        <f>=IFERROR(ROUND(AL19/$B155,0),0)</f>
        <v>1</v>
      </c>
      <c r="AM155" s="46">
        <f>=IFERROR(ROUND(AM19/$B155,0),0)</f>
        <v>1</v>
      </c>
      <c r="AN155" s="46">
        <f>=IFERROR(ROUND(AN19/$B155,0),0)</f>
        <v>1</v>
      </c>
      <c r="AO155" s="46">
        <f>=IFERROR(ROUND(AO19/$B155,0),0)</f>
        <v>1</v>
      </c>
      <c r="AP155" s="46">
        <f>=IFERROR(ROUND(AP19/$B155,0),0)</f>
        <v>1</v>
      </c>
      <c r="AQ155" s="46">
        <f>=IFERROR(ROUND(AQ19/$B155,0),0)</f>
        <v>1</v>
      </c>
      <c r="AR155" s="46">
        <f>=IFERROR(ROUND(AR19/$B155,0),0)</f>
        <v>1</v>
      </c>
      <c r="AS155" s="46">
        <f>=IFERROR(ROUND(AS19/$B155,0),0)</f>
        <v>1</v>
      </c>
      <c r="AT155" s="46">
        <f>=IFERROR(ROUND(AT19/$B155,0),0)</f>
        <v>1</v>
      </c>
      <c r="AU155" s="46">
        <f>=IFERROR(ROUND(AU19/$B155,0),0)</f>
        <v>1</v>
      </c>
      <c r="AV155" s="46">
        <f>=IFERROR(ROUND(AV19/$B155,0),0)</f>
        <v>1</v>
      </c>
      <c r="AW155" s="46">
        <f>=IFERROR(ROUND(AW19/$B155,0),0)</f>
        <v>1</v>
      </c>
      <c r="AX155" s="46">
        <f>=IFERROR(ROUND(AX19/$B155,0),0)</f>
        <v>1</v>
      </c>
      <c r="AY155" s="46">
        <f>=IFERROR(ROUND(AY19/$B155,0),0)</f>
        <v>1</v>
      </c>
      <c r="AZ155" s="46">
        <f>=IFERROR(ROUND(AZ19/$B155,0),0)</f>
        <v>1</v>
      </c>
      <c r="BA155" s="46">
        <f>=IFERROR(ROUND(BA19/$B155,0),0)</f>
        <v>1</v>
      </c>
      <c r="BB155" s="46">
        <f>=IFERROR(ROUND(BB19/$B155,0),0)</f>
        <v>1</v>
      </c>
      <c r="BC155" s="46">
        <f>=IFERROR(ROUND(BC19/$B155,0),0)</f>
        <v>1</v>
      </c>
      <c r="BD155" s="46">
        <f>=IFERROR(ROUND(BD19/$B155,0),0)</f>
        <v>1</v>
      </c>
      <c r="BE155" s="46">
        <f>=IFERROR(ROUND(BE19/$B155,0),0)</f>
        <v>1</v>
      </c>
      <c r="BF155" s="46">
        <f>=IFERROR(ROUND(BF19/$B155,0),0)</f>
        <v>1</v>
      </c>
      <c r="BG155" s="46">
        <f>=IFERROR(ROUND(BG19/$B155,0),0)</f>
        <v>1</v>
      </c>
      <c r="BH155" s="46">
        <f>=IFERROR(ROUND(BH19/$B155,0),0)</f>
        <v>1</v>
      </c>
      <c r="BI155" s="46">
        <f>=IFERROR(ROUND(BI19/$B155,0),0)</f>
        <v>1</v>
      </c>
      <c r="BJ155" s="46">
        <f>=IFERROR(ROUND(BJ19/$B155,0),0)</f>
        <v>1</v>
      </c>
      <c r="BK155" s="46">
        <f>=IFERROR(ROUND(BK19/$B155,0),0)</f>
        <v>1</v>
      </c>
      <c r="BL155" s="73">
        <f>=IFERROR(ROUND(BL19/$B155,0),0)</f>
        <v>1</v>
      </c>
      <c r="BM155" s="46">
        <f>=IFERROR(ROUND(BM19/$B155,0),0)</f>
        <v>1</v>
      </c>
      <c r="BN155" s="46">
        <f>=IFERROR(ROUND(BN19/$B155,0),0)</f>
        <v>1</v>
      </c>
      <c r="BO155" s="46">
        <f>=IFERROR(ROUND(BO19/$B155,0),0)</f>
        <v>1</v>
      </c>
      <c r="BP155" s="46">
        <f>=IFERROR(ROUND(BP19/$B155,0),0)</f>
        <v>1</v>
      </c>
      <c r="BQ155" s="46">
        <f>=IFERROR(ROUND(BQ19/$B155,0),0)</f>
        <v>1</v>
      </c>
      <c r="BR155" s="46">
        <f>=IFERROR(ROUND(BR19/$B155,0),0)</f>
        <v>1</v>
      </c>
      <c r="BS155" s="46">
        <f>=IFERROR(ROUND(BS19/$B155,0),0)</f>
        <v>1</v>
      </c>
      <c r="BT155" s="46">
        <f>=IFERROR(ROUND(BT19/$B155,0),0)</f>
        <v>1</v>
      </c>
      <c r="BU155" s="46">
        <f>=IFERROR(ROUND(BU19/$B155,0),0)</f>
        <v>1</v>
      </c>
      <c r="BV155" s="46">
        <f>=IFERROR(ROUND(BV19/$B155,0),0)</f>
        <v>1</v>
      </c>
      <c r="BW155" s="46">
        <f>=IFERROR(ROUND(BW19/$B155,0),0)</f>
        <v>1</v>
      </c>
      <c r="BX155" s="46">
        <f>=IFERROR(ROUND(BX19/$B155,0),0)</f>
        <v>1</v>
      </c>
      <c r="BY155" s="73">
        <f>=IFERROR(ROUND(BY19/$B155,0),0)</f>
        <v>1</v>
      </c>
      <c r="BZ155" s="46">
        <f>=IFERROR(ROUND(BZ19/$B155,0),0)</f>
        <v>1</v>
      </c>
      <c r="CA155" s="46">
        <f>=IFERROR(ROUND(CA19/$B155,0),0)</f>
        <v>1</v>
      </c>
      <c r="CB155" s="46">
        <f>=IFERROR(ROUND(CB19/$B155,0),0)</f>
        <v>1</v>
      </c>
      <c r="CC155" s="46">
        <f>=IFERROR(ROUND(CC19/$B155,0),0)</f>
        <v>1</v>
      </c>
      <c r="CD155" s="46">
        <f>=IFERROR(ROUND(CD19/$B155,0),0)</f>
        <v>1</v>
      </c>
      <c r="CE155" s="46">
        <f>=IFERROR(ROUND(CE19/$B155,0),0)</f>
        <v>1</v>
      </c>
      <c r="CF155" s="46">
        <f>=IFERROR(ROUND(CF19/$B155,0),0)</f>
        <v>1</v>
      </c>
      <c r="CG155" s="46">
        <f>=IFERROR(ROUND(CG19/$B155,0),0)</f>
        <v>1</v>
      </c>
      <c r="CH155" s="46">
        <f>=IFERROR(ROUND(CH19/$B155,0),0)</f>
        <v>1</v>
      </c>
      <c r="CI155" s="46">
        <f>=IFERROR(ROUND(CI19/$B155,0),0)</f>
        <v>1</v>
      </c>
      <c r="CJ155" s="46">
        <f>=IFERROR(ROUND(CJ19/$B155,0),0)</f>
        <v>1</v>
      </c>
      <c r="CK155" s="46">
        <f>=IFERROR(ROUND(CK19/$B155,0),0)</f>
        <v>1</v>
      </c>
      <c r="CL155" s="46">
        <f>=IFERROR(ROUND(CL19/$B155,0),0)</f>
        <v>1</v>
      </c>
      <c r="CM155" s="46">
        <f>=IFERROR(ROUND(CM19/$B155,0),0)</f>
        <v>1</v>
      </c>
      <c r="CN155" s="46">
        <f>=IFERROR(ROUND(CN19/$B155,0),0)</f>
        <v>1</v>
      </c>
      <c r="CO155" s="46">
        <f>=IFERROR(ROUND(CO19/$B155,0),0)</f>
        <v>1</v>
      </c>
      <c r="CP155" s="46">
        <f>=IFERROR(ROUND(CP19/$B155,0),0)</f>
        <v>1</v>
      </c>
      <c r="CQ155" s="46">
        <f>=IFERROR(ROUND(CQ19/$B155,0),0)</f>
        <v>1</v>
      </c>
      <c r="CR155" s="46">
        <f>=IFERROR(ROUND(CR19/$B155,0),0)</f>
        <v>1</v>
      </c>
      <c r="CS155" s="46">
        <f>=IFERROR(ROUND(CS19/$B155,0),0)</f>
        <v>1</v>
      </c>
      <c r="CT155" s="73">
        <f>=IFERROR(ROUND(CT19/$B155,0),0)</f>
        <v>1</v>
      </c>
      <c r="CU155" s="46">
        <f>=IFERROR(ROUND(CU19/$B155,0),0)</f>
        <v>1</v>
      </c>
      <c r="CV155" s="46">
        <f>=IFERROR(ROUND(CV19/$B155,0),0)</f>
        <v>1</v>
      </c>
      <c r="CW155" s="73">
        <f>=IFERROR(ROUND(CW19/$B155,0),0)</f>
        <v>1</v>
      </c>
      <c r="CX155" s="73">
        <f>=IFERROR(ROUND(CX19/$B155,0),0)</f>
        <v>1</v>
      </c>
      <c r="CY155" s="46">
        <f>=IFERROR(ROUND(CY19/$B155,0),0)</f>
        <v>1</v>
      </c>
      <c r="CZ155" s="46">
        <f>=IFERROR(ROUND(CZ19/$B155,0),0)</f>
        <v>1</v>
      </c>
      <c r="DA155" s="46">
        <f>=IFERROR(ROUND(DA19/$B155,0),0)</f>
        <v>1</v>
      </c>
      <c r="DB155" s="46">
        <f>=IFERROR(ROUND(DB19/$B155,0),0)</f>
        <v>1</v>
      </c>
    </row>
    <row r="156" spans="1:106" x14ac:dyDescent="0.25">
      <c r="A156" s="17" t="s">
        <v>360</v>
      </c>
      <c r="B156" s="17">
        <v>100</v>
      </c>
      <c r="C156" s="46">
        <f>=IFERROR(ROUND(C10/$B156,0),0)</f>
        <v>0</v>
      </c>
      <c r="D156" s="46">
        <f>=IFERROR(ROUND(D10/$B156,0),0)</f>
        <v>0</v>
      </c>
      <c r="E156" s="46">
        <f>=IFERROR(ROUND(E10/$B156,0),0)</f>
        <v>0</v>
      </c>
      <c r="F156" s="46">
        <f>=IFERROR(ROUND(F10/$B156,0),0)</f>
        <v>0</v>
      </c>
      <c r="G156" s="46">
        <f>=IFERROR(ROUND(G10/$B156,0),0)</f>
        <v>0</v>
      </c>
      <c r="H156" s="46">
        <f>=IFERROR(ROUND(H10/$B156,0),0)</f>
        <v>0</v>
      </c>
      <c r="I156" s="46">
        <f>=IFERROR(ROUND(I10/$B156,0),0)</f>
        <v>0</v>
      </c>
      <c r="J156" s="46">
        <f>=IFERROR(ROUND(J10/$B156,0),0)</f>
        <v>0</v>
      </c>
      <c r="K156" s="46">
        <f>=IFERROR(ROUND(K10/$B156,0),0)</f>
        <v>0</v>
      </c>
      <c r="L156" s="46">
        <f>=IFERROR(ROUND(L10/$B156,0),0)</f>
        <v>0</v>
      </c>
      <c r="M156" s="46">
        <f>=IFERROR(ROUND(M10/$B156,0),0)</f>
        <v>0</v>
      </c>
      <c r="N156" s="46">
        <f>=IFERROR(ROUND(N10/$B156,0),0)</f>
        <v>0</v>
      </c>
      <c r="O156" s="46">
        <f>=IFERROR(ROUND(O10/$B156,0),0)</f>
        <v>0</v>
      </c>
      <c r="P156" s="46">
        <f>=IFERROR(ROUND(P10/$B156,0),0)</f>
        <v>0</v>
      </c>
      <c r="Q156" s="46">
        <f>=IFERROR(ROUND(Q10/$B156,0),0)</f>
        <v>0</v>
      </c>
      <c r="R156" s="46">
        <f>=IFERROR(ROUND(R10/$B156,0),0)</f>
        <v>0</v>
      </c>
      <c r="S156" s="46">
        <f>=IFERROR(ROUND(S10/$B156,0),0)</f>
        <v>0</v>
      </c>
      <c r="T156" s="46">
        <f>=IFERROR(ROUND(T10/$B156,0),0)</f>
        <v>0</v>
      </c>
      <c r="U156" s="46">
        <f>=IFERROR(ROUND(U10/$B156,0),0)</f>
        <v>0</v>
      </c>
      <c r="V156" s="46">
        <f>=IFERROR(ROUND(V10/$B156,0),0)</f>
        <v>0</v>
      </c>
      <c r="W156" s="46">
        <f>=IFERROR(ROUND(W10/$B156,0),0)</f>
        <v>0</v>
      </c>
      <c r="X156" s="46">
        <f>=IFERROR(ROUND(X10/$B156,0),0)</f>
        <v>0</v>
      </c>
      <c r="Y156" s="46">
        <f>=IFERROR(ROUND(Y10/$B156,0),0)</f>
        <v>0</v>
      </c>
      <c r="Z156" s="46">
        <f>=IFERROR(ROUND(Z10/$B156,0),0)</f>
        <v>0</v>
      </c>
      <c r="AA156" s="46">
        <f>=IFERROR(ROUND(AA10/$B156,0),0)</f>
        <v>0</v>
      </c>
      <c r="AB156" s="46">
        <f>=IFERROR(ROUND(AB10/$B156,0),0)</f>
        <v>0</v>
      </c>
      <c r="AC156" s="46">
        <f>=IFERROR(ROUND(AC10/$B156,0),0)</f>
        <v>0</v>
      </c>
      <c r="AD156" s="46">
        <f>=IFERROR(ROUND(AD10/$B156,0),0)</f>
        <v>0</v>
      </c>
      <c r="AE156" s="46">
        <f>=IFERROR(ROUND(AE10/$B156,0),0)</f>
        <v>0</v>
      </c>
      <c r="AF156" s="46">
        <f>=IFERROR(ROUND(AF10/$B156,0),0)</f>
        <v>0</v>
      </c>
      <c r="AG156" s="46">
        <f>=IFERROR(ROUND(AG10/$B156,0),0)</f>
        <v>0</v>
      </c>
      <c r="AH156" s="46">
        <f>=IFERROR(ROUND(AH10/$B156,0),0)</f>
        <v>0</v>
      </c>
      <c r="AI156" s="46">
        <f>=IFERROR(ROUND(AI10/$B156,0),0)</f>
        <v>0</v>
      </c>
      <c r="AJ156" s="46">
        <f>=IFERROR(ROUND(AJ10/$B156,0),0)</f>
        <v>0</v>
      </c>
      <c r="AK156" s="46">
        <f>=IFERROR(ROUND(AK10/$B156,0),0)</f>
        <v>0</v>
      </c>
      <c r="AL156" s="46">
        <f>=IFERROR(ROUND(AL10/$B156,0),0)</f>
        <v>0</v>
      </c>
      <c r="AM156" s="46">
        <f>=IFERROR(ROUND(AM10/$B156,0),0)</f>
        <v>0</v>
      </c>
      <c r="AN156" s="46">
        <f>=IFERROR(ROUND(AN10/$B156,0),0)</f>
        <v>0</v>
      </c>
      <c r="AO156" s="46">
        <f>=IFERROR(ROUND(AO10/$B156,0),0)</f>
        <v>0</v>
      </c>
      <c r="AP156" s="46">
        <f>=IFERROR(ROUND(AP10/$B156,0),0)</f>
        <v>0</v>
      </c>
      <c r="AQ156" s="46">
        <f>=IFERROR(ROUND(AQ10/$B156,0),0)</f>
        <v>0</v>
      </c>
      <c r="AR156" s="46">
        <f>=IFERROR(ROUND(AR10/$B156,0),0)</f>
        <v>0</v>
      </c>
      <c r="AS156" s="46">
        <f>=IFERROR(ROUND(AS10/$B156,0),0)</f>
        <v>0</v>
      </c>
      <c r="AT156" s="46">
        <f>=IFERROR(ROUND(AT10/$B156,0),0)</f>
        <v>0</v>
      </c>
      <c r="AU156" s="46">
        <f>=IFERROR(ROUND(AU10/$B156,0),0)</f>
        <v>0</v>
      </c>
      <c r="AV156" s="46">
        <f>=IFERROR(ROUND(AV10/$B156,0),0)</f>
        <v>0</v>
      </c>
      <c r="AW156" s="46">
        <f>=IFERROR(ROUND(AW10/$B156,0),0)</f>
        <v>0</v>
      </c>
      <c r="AX156" s="46">
        <f>=IFERROR(ROUND(AX10/$B156,0),0)</f>
        <v>0</v>
      </c>
      <c r="AY156" s="46">
        <f>=IFERROR(ROUND(AY10/$B156,0),0)</f>
        <v>0</v>
      </c>
      <c r="AZ156" s="46">
        <f>=IFERROR(ROUND(AZ10/$B156,0),0)</f>
        <v>0</v>
      </c>
      <c r="BA156" s="46">
        <f>=IFERROR(ROUND(BA10/$B156,0),0)</f>
        <v>0</v>
      </c>
      <c r="BB156" s="46">
        <f>=IFERROR(ROUND(BB10/$B156,0),0)</f>
        <v>0</v>
      </c>
      <c r="BC156" s="46">
        <f>=IFERROR(ROUND(BC10/$B156,0),0)</f>
        <v>0</v>
      </c>
      <c r="BD156" s="46">
        <f>=IFERROR(ROUND(BD10/$B156,0),0)</f>
        <v>0</v>
      </c>
      <c r="BE156" s="46">
        <f>=IFERROR(ROUND(BE10/$B156,0),0)</f>
        <v>0</v>
      </c>
      <c r="BF156" s="46">
        <f>=IFERROR(ROUND(BF10/$B156,0),0)</f>
        <v>0</v>
      </c>
      <c r="BG156" s="46">
        <f>=IFERROR(ROUND(BG10/$B156,0),0)</f>
        <v>0</v>
      </c>
      <c r="BH156" s="73">
        <f>=IFERROR(ROUND(BH10/$B156,0),0)</f>
        <v>0</v>
      </c>
      <c r="BI156" s="46">
        <f>=IFERROR(ROUND(BI10/$B156,0),0)</f>
        <v>0</v>
      </c>
      <c r="BJ156" s="46">
        <f>=IFERROR(ROUND(BJ10/$B156,0),0)</f>
        <v>0</v>
      </c>
      <c r="BK156" s="46">
        <f>=IFERROR(ROUND(BK10/$B156,0),0)</f>
        <v>0</v>
      </c>
      <c r="BL156" s="73">
        <f>=IFERROR(ROUND(BL10/$B156,0),0)</f>
        <v>0</v>
      </c>
      <c r="BM156" s="46">
        <f>=IFERROR(ROUND(BM10/$B156,0),0)</f>
        <v>0</v>
      </c>
      <c r="BN156" s="46">
        <f>=IFERROR(ROUND(BN10/$B156,0),0)</f>
        <v>0</v>
      </c>
      <c r="BO156" s="73">
        <f>=IFERROR(ROUND(BO10/$B156,0),0)</f>
        <v>0</v>
      </c>
      <c r="BP156" s="46">
        <f>=IFERROR(ROUND(BP10/$B156,0),0)</f>
        <v>0</v>
      </c>
      <c r="BQ156" s="46">
        <f>=IFERROR(ROUND(BQ10/$B156,0),0)</f>
        <v>0</v>
      </c>
      <c r="BR156" s="46">
        <f>=IFERROR(ROUND(BR10/$B156,0),0)</f>
        <v>0</v>
      </c>
      <c r="BS156" s="46">
        <f>=IFERROR(ROUND(BS10/$B156,0),0)</f>
        <v>0</v>
      </c>
      <c r="BT156" s="46">
        <f>=IFERROR(ROUND(BT10/$B156,0),0)</f>
        <v>0</v>
      </c>
      <c r="BU156" s="46">
        <f>=IFERROR(ROUND(BU10/$B156,0),0)</f>
        <v>0</v>
      </c>
      <c r="BV156" s="46">
        <f>=IFERROR(ROUND(BV10/$B156,0),0)</f>
        <v>0</v>
      </c>
      <c r="BW156" s="46">
        <f>=IFERROR(ROUND(BW10/$B156,0),0)</f>
        <v>0</v>
      </c>
      <c r="BX156" s="46">
        <f>=IFERROR(ROUND(BX10/$B156,0),0)</f>
        <v>0</v>
      </c>
      <c r="BY156" s="46">
        <f>=IFERROR(ROUND(BY10/$B156,0),0)</f>
        <v>0</v>
      </c>
      <c r="BZ156" s="46">
        <f>=IFERROR(ROUND(BZ10/$B156,0),0)</f>
        <v>0</v>
      </c>
      <c r="CA156" s="46">
        <f>=IFERROR(ROUND(CA10/$B156,0),0)</f>
        <v>0</v>
      </c>
      <c r="CB156" s="46">
        <f>=IFERROR(ROUND(CB10/$B156,0),0)</f>
        <v>0</v>
      </c>
      <c r="CC156" s="46">
        <f>=IFERROR(ROUND(CC10/$B156,0),0)</f>
        <v>0</v>
      </c>
      <c r="CD156" s="73">
        <f>=IFERROR(ROUND(CD10/$B156,0),0)</f>
        <v>0</v>
      </c>
      <c r="CE156" s="73">
        <f>=IFERROR(ROUND(CE10/$B156,0),0)</f>
        <v>0</v>
      </c>
      <c r="CF156" s="46">
        <f>=IFERROR(ROUND(CF10/$B156,0),0)</f>
        <v>0</v>
      </c>
      <c r="CG156" s="46">
        <f>=IFERROR(ROUND(CG10/$B156,0),0)</f>
        <v>0</v>
      </c>
      <c r="CH156" s="46">
        <f>=IFERROR(ROUND(CH10/$B156,0),0)</f>
        <v>0</v>
      </c>
      <c r="CI156" s="46">
        <f>=IFERROR(ROUND(CI10/$B156,0),0)</f>
        <v>0</v>
      </c>
      <c r="CJ156" s="46">
        <f>=IFERROR(ROUND(CJ10/$B156,0),0)</f>
        <v>0</v>
      </c>
      <c r="CK156" s="46">
        <f>=IFERROR(ROUND(CK10/$B156,0),0)</f>
        <v>0</v>
      </c>
      <c r="CL156" s="46">
        <f>=IFERROR(ROUND(CL10/$B156,0),0)</f>
        <v>0</v>
      </c>
      <c r="CM156" s="46">
        <f>=IFERROR(ROUND(CM10/$B156,0),0)</f>
        <v>0</v>
      </c>
      <c r="CN156" s="46">
        <f>=IFERROR(ROUND(CN10/$B156,0),0)</f>
        <v>0</v>
      </c>
      <c r="CO156" s="46">
        <f>=IFERROR(ROUND(CO10/$B156,0),0)</f>
        <v>0</v>
      </c>
      <c r="CP156" s="46">
        <f>=IFERROR(ROUND(CP10/$B156,0),0)</f>
        <v>0</v>
      </c>
      <c r="CQ156" s="46">
        <f>=IFERROR(ROUND(CQ10/$B156,0),0)</f>
        <v>0</v>
      </c>
      <c r="CR156" s="46">
        <f>=IFERROR(ROUND(CR10/$B156,0),0)</f>
        <v>0</v>
      </c>
      <c r="CS156" s="46">
        <f>=IFERROR(ROUND(CS10/$B156,0),0)</f>
        <v>0</v>
      </c>
      <c r="CT156" s="46">
        <f>=IFERROR(ROUND(CT10/$B156,0),0)</f>
        <v>0</v>
      </c>
      <c r="CU156" s="46">
        <f>=IFERROR(ROUND(CU10/$B156,0),0)</f>
        <v>0</v>
      </c>
      <c r="CV156" s="46">
        <f>=IFERROR(ROUND(CV10/$B156,0),0)</f>
        <v>0</v>
      </c>
      <c r="CW156" s="73">
        <f>=IFERROR(ROUND(CW10/$B156,0),0)</f>
        <v>0</v>
      </c>
      <c r="CX156" s="46">
        <f>=IFERROR(ROUND(CX10/$B156,0),0)</f>
        <v>0</v>
      </c>
      <c r="CY156" s="46">
        <f>=IFERROR(ROUND(CY10/$B156,0),0)</f>
        <v>0</v>
      </c>
      <c r="CZ156" s="46">
        <f>=IFERROR(ROUND(CZ10/$B156,0),0)</f>
        <v>0</v>
      </c>
      <c r="DA156" s="46">
        <f>=IFERROR(ROUND(DA10/$B156,0),0)</f>
        <v>0</v>
      </c>
      <c r="DB156" s="46">
        <f>=IFERROR(ROUND(DB10/$B156,0),0)</f>
        <v>0</v>
      </c>
    </row>
    <row r="157" spans="1:106" x14ac:dyDescent="0.25">
      <c r="A157" s="17" t="s">
        <v>361</v>
      </c>
      <c r="B157" s="17">
        <v>5</v>
      </c>
      <c r="C157" s="46">
        <f>=IFERROR(ROUND((C21+C22)/$B157,0),0)</f>
        <v>0</v>
      </c>
      <c r="D157" s="46">
        <f>=IFERROR(ROUND((D21+D22)/$B157,0),0)</f>
        <v>0</v>
      </c>
      <c r="E157" s="46">
        <f>=IFERROR(ROUND((E21+E22)/$B157,0),0)</f>
        <v>0</v>
      </c>
      <c r="F157" s="46">
        <f>=IFERROR(ROUND((F21+F22)/$B157,0),0)</f>
        <v>0</v>
      </c>
      <c r="G157" s="46">
        <f>=IFERROR(ROUND((G21+G22)/$B157,0),0)</f>
        <v>0</v>
      </c>
      <c r="H157" s="46">
        <f>=IFERROR(ROUND((H21+H22)/$B157,0),0)</f>
        <v>0</v>
      </c>
      <c r="I157" s="46">
        <f>=IFERROR(ROUND((I21+I22)/$B157,0),0)</f>
        <v>0</v>
      </c>
      <c r="J157" s="46">
        <f>=IFERROR(ROUND((J21+J22)/$B157,0),0)</f>
        <v>0</v>
      </c>
      <c r="K157" s="46">
        <f>=IFERROR(ROUND((K21+K22)/$B157,0),0)</f>
        <v>0</v>
      </c>
      <c r="L157" s="46">
        <f>=IFERROR(ROUND((L21+L22)/$B157,0),0)</f>
        <v>0</v>
      </c>
      <c r="M157" s="46">
        <f>=IFERROR(ROUND((M21+M22)/$B157,0),0)</f>
        <v>0</v>
      </c>
      <c r="N157" s="46">
        <f>=IFERROR(ROUND((N21+N22)/$B157,0),0)</f>
        <v>0</v>
      </c>
      <c r="O157" s="46">
        <f>=IFERROR(ROUND((O21+O22)/$B157,0),0)</f>
        <v>0</v>
      </c>
      <c r="P157" s="46">
        <f>=IFERROR(ROUND((P21+P22)/$B157,0),0)</f>
        <v>0</v>
      </c>
      <c r="Q157" s="46">
        <f>=IFERROR(ROUND((Q21+Q22)/$B157,0),0)</f>
        <v>0</v>
      </c>
      <c r="R157" s="46">
        <f>=IFERROR(ROUND((R21+R22)/$B157,0),0)</f>
        <v>0</v>
      </c>
      <c r="S157" s="46">
        <f>=IFERROR(ROUND((S21+S22)/$B157,0),0)</f>
        <v>0</v>
      </c>
      <c r="T157" s="46">
        <f>=IFERROR(ROUND((T21+T22)/$B157,0),0)</f>
        <v>0</v>
      </c>
      <c r="U157" s="46">
        <f>=IFERROR(ROUND((U21+U22)/$B157,0),0)</f>
        <v>0</v>
      </c>
      <c r="V157" s="46">
        <f>=IFERROR(ROUND((V21+V22)/$B157,0),0)</f>
        <v>0</v>
      </c>
      <c r="W157" s="46">
        <f>=IFERROR(ROUND((W21+W22)/$B157,0),0)</f>
        <v>0</v>
      </c>
      <c r="X157" s="46">
        <f>=IFERROR(ROUND((X21+X22)/$B157,0),0)</f>
        <v>0</v>
      </c>
      <c r="Y157" s="46">
        <f>=IFERROR(ROUND((Y21+Y22)/$B157,0),0)</f>
        <v>0</v>
      </c>
      <c r="Z157" s="46">
        <f>=IFERROR(ROUND((Z21+Z22)/$B157,0),0)</f>
        <v>0</v>
      </c>
      <c r="AA157" s="46">
        <f>=IFERROR(ROUND((AA21+AA22)/$B157,0),0)</f>
        <v>0</v>
      </c>
      <c r="AB157" s="46">
        <f>=IFERROR(ROUND((AB21+AB22)/$B157,0),0)</f>
        <v>0</v>
      </c>
      <c r="AC157" s="46">
        <f>=IFERROR(ROUND((AC21+AC22)/$B157,0),0)</f>
        <v>0</v>
      </c>
      <c r="AD157" s="46">
        <f>=IFERROR(ROUND((AD21+AD22)/$B157,0),0)</f>
        <v>0</v>
      </c>
      <c r="AE157" s="46">
        <f>=IFERROR(ROUND((AE21+AE22)/$B157,0),0)</f>
        <v>0</v>
      </c>
      <c r="AF157" s="46">
        <f>=IFERROR(ROUND((AF21+AF22)/$B157,0),0)</f>
        <v>0</v>
      </c>
      <c r="AG157" s="46">
        <f>=IFERROR(ROUND((AG21+AG22)/$B157,0),0)</f>
        <v>0</v>
      </c>
      <c r="AH157" s="46">
        <f>=IFERROR(ROUND((AH21+AH22)/$B157,0),0)</f>
        <v>0</v>
      </c>
      <c r="AI157" s="46">
        <f>=IFERROR(ROUND((AI21+AI22)/$B157,0),0)</f>
        <v>0</v>
      </c>
      <c r="AJ157" s="46">
        <f>=IFERROR(ROUND((AJ21+AJ22)/$B157,0),0)</f>
        <v>0</v>
      </c>
      <c r="AK157" s="46">
        <f>=IFERROR(ROUND((AK21+AK22)/$B157,0),0)</f>
        <v>0</v>
      </c>
      <c r="AL157" s="46">
        <f>=IFERROR(ROUND((AL21+AL22)/$B157,0),0)</f>
        <v>0</v>
      </c>
      <c r="AM157" s="46">
        <f>=IFERROR(ROUND((AM21+AM22)/$B157,0),0)</f>
        <v>0</v>
      </c>
      <c r="AN157" s="46">
        <f>=IFERROR(ROUND((AN21+AN22)/$B157,0),0)</f>
        <v>0</v>
      </c>
      <c r="AO157" s="46">
        <f>=IFERROR(ROUND((AO21+AO22)/$B157,0),0)</f>
        <v>0</v>
      </c>
      <c r="AP157" s="46">
        <f>=IFERROR(ROUND((AP21+AP22)/$B157,0),0)</f>
        <v>0</v>
      </c>
      <c r="AQ157" s="46">
        <f>=IFERROR(ROUND((AQ21+AQ22)/$B157,0),0)</f>
        <v>0</v>
      </c>
      <c r="AR157" s="46">
        <f>=IFERROR(ROUND((AR21+AR22)/$B157,0),0)</f>
        <v>0</v>
      </c>
      <c r="AS157" s="46">
        <f>=IFERROR(ROUND((AS21+AS22)/$B157,0),0)</f>
        <v>0</v>
      </c>
      <c r="AT157" s="46">
        <f>=IFERROR(ROUND((AT21+AT22)/$B157,0),0)</f>
        <v>0</v>
      </c>
      <c r="AU157" s="46">
        <f>=IFERROR(ROUND((AU21+AU22)/$B157,0),0)</f>
        <v>0</v>
      </c>
      <c r="AV157" s="46">
        <f>=IFERROR(ROUND((AV21+AV22)/$B157,0),0)</f>
        <v>0</v>
      </c>
      <c r="AW157" s="46">
        <f>=IFERROR(ROUND((AW21+AW22)/$B157,0),0)</f>
        <v>0</v>
      </c>
      <c r="AX157" s="46">
        <f>=IFERROR(ROUND((AX21+AX22)/$B157,0),0)</f>
        <v>0</v>
      </c>
      <c r="AY157" s="46">
        <f>=IFERROR(ROUND((AY21+AY22)/$B157,0),0)</f>
        <v>0</v>
      </c>
      <c r="AZ157" s="46">
        <f>=IFERROR(ROUND((AZ21+AZ22)/$B157,0),0)</f>
        <v>0</v>
      </c>
      <c r="BA157" s="46">
        <f>=IFERROR(ROUND((BA21+BA22)/$B157,0),0)</f>
        <v>0</v>
      </c>
      <c r="BB157" s="46">
        <f>=IFERROR(ROUND((BB21+BB22)/$B157,0),0)</f>
        <v>0</v>
      </c>
      <c r="BC157" s="46">
        <f>=IFERROR(ROUND((BC21+BC22)/$B157,0),0)</f>
        <v>0</v>
      </c>
      <c r="BD157" s="46">
        <f>=IFERROR(ROUND((BD21+BD22)/$B157,0),0)</f>
        <v>0</v>
      </c>
      <c r="BE157" s="46">
        <f>=IFERROR(ROUND((BE21+BE22)/$B157,0),0)</f>
        <v>0</v>
      </c>
      <c r="BF157" s="46">
        <f>=IFERROR(ROUND((BF21+BF22)/$B157,0),0)</f>
        <v>0</v>
      </c>
      <c r="BG157" s="46">
        <f>=IFERROR(ROUND((BG21+BG22)/$B157,0),0)</f>
        <v>0</v>
      </c>
      <c r="BH157" s="46">
        <f>=IFERROR(ROUND((BH21+BH22)/$B157,0),0)</f>
        <v>0</v>
      </c>
      <c r="BI157" s="46">
        <f>=IFERROR(ROUND((BI21+BI22)/$B157,0),0)</f>
        <v>0</v>
      </c>
      <c r="BJ157" s="46">
        <f>=IFERROR(ROUND((BJ21+BJ22)/$B157,0),0)</f>
        <v>0</v>
      </c>
      <c r="BK157" s="46">
        <f>=IFERROR(ROUND((BK21+BK22)/$B157,0),0)</f>
        <v>0</v>
      </c>
      <c r="BL157" s="46">
        <f>=IFERROR(ROUND((BL21+BL22)/$B157,0),0)</f>
        <v>0</v>
      </c>
      <c r="BM157" s="46">
        <f>=IFERROR(ROUND((BM21+BM22)/$B157,0),0)</f>
        <v>0</v>
      </c>
      <c r="BN157" s="46">
        <f>=IFERROR(ROUND((BN21+BN22)/$B157,0),0)</f>
        <v>0</v>
      </c>
      <c r="BO157" s="46">
        <f>=IFERROR(ROUND((BO21+BO22)/$B157,0),0)</f>
        <v>0</v>
      </c>
      <c r="BP157" s="46">
        <f>=IFERROR(ROUND((BP21+BP22)/$B157,0),0)</f>
        <v>0</v>
      </c>
      <c r="BQ157" s="46">
        <f>=IFERROR(ROUND((BQ21+BQ22)/$B157,0),0)</f>
        <v>0</v>
      </c>
      <c r="BR157" s="46">
        <f>=IFERROR(ROUND((BR21+BR22)/$B157,0),0)</f>
        <v>0</v>
      </c>
      <c r="BS157" s="46">
        <f>=IFERROR(ROUND((BS21+BS22)/$B157,0),0)</f>
        <v>0</v>
      </c>
      <c r="BT157" s="46">
        <f>=IFERROR(ROUND((BT21+BT22)/$B157,0),0)</f>
        <v>0</v>
      </c>
      <c r="BU157" s="46">
        <f>=IFERROR(ROUND((BU21+BU22)/$B157,0),0)</f>
        <v>0</v>
      </c>
      <c r="BV157" s="46">
        <f>=IFERROR(ROUND((BV21+BV22)/$B157,0),0)</f>
        <v>0</v>
      </c>
      <c r="BW157" s="46">
        <f>=IFERROR(ROUND((BW21+BW22)/$B157,0),0)</f>
        <v>0</v>
      </c>
      <c r="BX157" s="46">
        <f>=IFERROR(ROUND((BX21+BX22)/$B157,0),0)</f>
        <v>0</v>
      </c>
      <c r="BY157" s="46">
        <f>=IFERROR(ROUND((BY21+BY22)/$B157,0),0)</f>
        <v>0</v>
      </c>
      <c r="BZ157" s="46">
        <f>=IFERROR(ROUND((BZ21+BZ22)/$B157,0),0)</f>
        <v>0</v>
      </c>
      <c r="CA157" s="46">
        <f>=IFERROR(ROUND((CA21+CA22)/$B157,0),0)</f>
        <v>0</v>
      </c>
      <c r="CB157" s="46">
        <f>=IFERROR(ROUND((CB21+CB22)/$B157,0),0)</f>
        <v>0</v>
      </c>
      <c r="CC157" s="46">
        <f>=IFERROR(ROUND((CC21+CC22)/$B157,0),0)</f>
        <v>0</v>
      </c>
      <c r="CD157" s="46">
        <f>=IFERROR(ROUND((CD21+CD22)/$B157,0),0)</f>
        <v>0</v>
      </c>
      <c r="CE157" s="46">
        <f>=IFERROR(ROUND((CE21+CE22)/$B157,0),0)</f>
        <v>0</v>
      </c>
      <c r="CF157" s="46">
        <f>=IFERROR(ROUND((CF21+CF22)/$B157,0),0)</f>
        <v>0</v>
      </c>
      <c r="CG157" s="46">
        <f>=IFERROR(ROUND((CG21+CG22)/$B157,0),0)</f>
        <v>0</v>
      </c>
      <c r="CH157" s="46">
        <f>=IFERROR(ROUND((CH21+CH22)/$B157,0),0)</f>
        <v>0</v>
      </c>
      <c r="CI157" s="46">
        <f>=IFERROR(ROUND((CI21+CI22)/$B157,0),0)</f>
        <v>0</v>
      </c>
      <c r="CJ157" s="46">
        <f>=IFERROR(ROUND((CJ21+CJ22)/$B157,0),0)</f>
        <v>0</v>
      </c>
      <c r="CK157" s="46">
        <f>=IFERROR(ROUND((CK21+CK22)/$B157,0),0)</f>
        <v>0</v>
      </c>
      <c r="CL157" s="46">
        <f>=IFERROR(ROUND((CL21+CL22)/$B157,0),0)</f>
        <v>0</v>
      </c>
      <c r="CM157" s="46">
        <f>=IFERROR(ROUND((CM21+CM22)/$B157,0),0)</f>
        <v>0</v>
      </c>
      <c r="CN157" s="46">
        <f>=IFERROR(ROUND((CN21+CN22)/$B157,0),0)</f>
        <v>0</v>
      </c>
      <c r="CO157" s="46">
        <f>=IFERROR(ROUND((CO21+CO22)/$B157,0),0)</f>
        <v>0</v>
      </c>
      <c r="CP157" s="46">
        <f>=IFERROR(ROUND((CP21+CP22)/$B157,0),0)</f>
        <v>0</v>
      </c>
      <c r="CQ157" s="46">
        <f>=IFERROR(ROUND((CQ21+CQ22)/$B157,0),0)</f>
        <v>0</v>
      </c>
      <c r="CR157" s="46">
        <f>=IFERROR(ROUND((CR21+CR22)/$B157,0),0)</f>
        <v>0</v>
      </c>
      <c r="CS157" s="46">
        <f>=IFERROR(ROUND((CS21+CS22)/$B157,0),0)</f>
        <v>0</v>
      </c>
      <c r="CT157" s="46">
        <f>=IFERROR(ROUND((CT21+CT22)/$B157,0),0)</f>
        <v>0</v>
      </c>
      <c r="CU157" s="46">
        <f>=IFERROR(ROUND((CU21+CU22)/$B157,0),0)</f>
        <v>0</v>
      </c>
      <c r="CV157" s="46">
        <f>=IFERROR(ROUND((CV21+CV22)/$B157,0),0)</f>
        <v>0</v>
      </c>
      <c r="CW157" s="46">
        <f>=IFERROR(ROUND((CW21+CW22)/$B157,0),0)</f>
        <v>0</v>
      </c>
      <c r="CX157" s="46">
        <f>=IFERROR(ROUND((CX21+CX22)/$B157,0),0)</f>
        <v>0</v>
      </c>
      <c r="CY157" s="46">
        <f>=IFERROR(ROUND((CY21+CY22)/$B157,0),0)</f>
        <v>0</v>
      </c>
      <c r="CZ157" s="46">
        <f>=IFERROR(ROUND((CZ21+CZ22)/$B157,0),0)</f>
        <v>0</v>
      </c>
      <c r="DA157" s="46">
        <f>=IFERROR(ROUND((DA21+DA22)/$B157,0),0)</f>
        <v>0</v>
      </c>
      <c r="DB157" s="46">
        <f>=IFERROR(ROUND((DB21+DB22)/$B157,0),0)</f>
        <v>0</v>
      </c>
    </row>
    <row r="158" spans="1:106" x14ac:dyDescent="0.25">
      <c r="A158" s="17" t="s">
        <v>362</v>
      </c>
      <c r="B158" s="17">
        <v>15</v>
      </c>
      <c r="C158" s="46">
        <f>=IFERROR(ROUND(C23/$B158,0),0)</f>
        <v>0</v>
      </c>
      <c r="D158" s="46">
        <f>=IFERROR(ROUND(D23/$B158,0),0)</f>
        <v>0</v>
      </c>
      <c r="E158" s="46">
        <f>=IFERROR(ROUND(E23/$B158,0),0)</f>
        <v>0</v>
      </c>
      <c r="F158" s="46">
        <f>=IFERROR(ROUND(F23/$B158,0),0)</f>
        <v>0</v>
      </c>
      <c r="G158" s="46">
        <f>=IFERROR(ROUND(G23/$B158,0),0)</f>
        <v>0</v>
      </c>
      <c r="H158" s="46">
        <f>=IFERROR(ROUND(H23/$B158,0),0)</f>
        <v>0</v>
      </c>
      <c r="I158" s="46">
        <f>=IFERROR(ROUND(I23/$B158,0),0)</f>
        <v>0</v>
      </c>
      <c r="J158" s="46">
        <f>=IFERROR(ROUND(J23/$B158,0),0)</f>
        <v>0</v>
      </c>
      <c r="K158" s="46">
        <f>=IFERROR(ROUND(K23/$B158,0),0)</f>
        <v>0</v>
      </c>
      <c r="L158" s="46">
        <f>=IFERROR(ROUND(L23/$B158,0),0)</f>
        <v>0</v>
      </c>
      <c r="M158" s="46">
        <f>=IFERROR(ROUND(M23/$B158,0),0)</f>
        <v>0</v>
      </c>
      <c r="N158" s="46">
        <f>=IFERROR(ROUND(N23/$B158,0),0)</f>
        <v>0</v>
      </c>
      <c r="O158" s="46">
        <f>=IFERROR(ROUND(O23/$B158,0),0)</f>
        <v>0</v>
      </c>
      <c r="P158" s="46">
        <f>=IFERROR(ROUND(P23/$B158,0),0)</f>
        <v>0</v>
      </c>
      <c r="Q158" s="46">
        <f>=IFERROR(ROUND(Q23/$B158,0),0)</f>
        <v>0</v>
      </c>
      <c r="R158" s="46">
        <f>=IFERROR(ROUND(R23/$B158,0),0)</f>
        <v>0</v>
      </c>
      <c r="S158" s="46">
        <f>=IFERROR(ROUND(S23/$B158,0),0)</f>
        <v>0</v>
      </c>
      <c r="T158" s="46">
        <f>=IFERROR(ROUND(T23/$B158,0),0)</f>
        <v>0</v>
      </c>
      <c r="U158" s="46">
        <f>=IFERROR(ROUND(U23/$B158,0),0)</f>
        <v>0</v>
      </c>
      <c r="V158" s="46">
        <f>=IFERROR(ROUND(V23/$B158,0),0)</f>
        <v>0</v>
      </c>
      <c r="W158" s="46">
        <f>=IFERROR(ROUND(W23/$B158,0),0)</f>
        <v>0</v>
      </c>
      <c r="X158" s="46">
        <f>=IFERROR(ROUND(X23/$B158,0),0)</f>
        <v>0</v>
      </c>
      <c r="Y158" s="46">
        <f>=IFERROR(ROUND(Y23/$B158,0),0)</f>
        <v>0</v>
      </c>
      <c r="Z158" s="46">
        <f>=IFERROR(ROUND(Z23/$B158,0),0)</f>
        <v>0</v>
      </c>
      <c r="AA158" s="46">
        <f>=IFERROR(ROUND(AA23/$B158,0),0)</f>
        <v>0</v>
      </c>
      <c r="AB158" s="46">
        <f>=IFERROR(ROUND(AB23/$B158,0),0)</f>
        <v>0</v>
      </c>
      <c r="AC158" s="46">
        <f>=IFERROR(ROUND(AC23/$B158,0),0)</f>
        <v>0</v>
      </c>
      <c r="AD158" s="46">
        <f>=IFERROR(ROUND(AD23/$B158,0),0)</f>
        <v>0</v>
      </c>
      <c r="AE158" s="46">
        <f>=IFERROR(ROUND(AE23/$B158,0),0)</f>
        <v>0</v>
      </c>
      <c r="AF158" s="46">
        <f>=IFERROR(ROUND(AF23/$B158,0),0)</f>
        <v>0</v>
      </c>
      <c r="AG158" s="46">
        <f>=IFERROR(ROUND(AG23/$B158,0),0)</f>
        <v>0</v>
      </c>
      <c r="AH158" s="46">
        <f>=IFERROR(ROUND(AH23/$B158,0),0)</f>
        <v>0</v>
      </c>
      <c r="AI158" s="46">
        <f>=IFERROR(ROUND(AI23/$B158,0),0)</f>
        <v>0</v>
      </c>
      <c r="AJ158" s="46">
        <f>=IFERROR(ROUND(AJ23/$B158,0),0)</f>
        <v>0</v>
      </c>
      <c r="AK158" s="46">
        <f>=IFERROR(ROUND(AK23/$B158,0),0)</f>
        <v>0</v>
      </c>
      <c r="AL158" s="46">
        <f>=IFERROR(ROUND(AL23/$B158,0),0)</f>
        <v>0</v>
      </c>
      <c r="AM158" s="46">
        <f>=IFERROR(ROUND(AM23/$B158,0),0)</f>
        <v>0</v>
      </c>
      <c r="AN158" s="46">
        <f>=IFERROR(ROUND(AN23/$B158,0),0)</f>
        <v>0</v>
      </c>
      <c r="AO158" s="46">
        <f>=IFERROR(ROUND(AO23/$B158,0),0)</f>
        <v>0</v>
      </c>
      <c r="AP158" s="46">
        <f>=IFERROR(ROUND(AP23/$B158,0),0)</f>
        <v>0</v>
      </c>
      <c r="AQ158" s="46">
        <f>=IFERROR(ROUND(AQ23/$B158,0),0)</f>
        <v>0</v>
      </c>
      <c r="AR158" s="46">
        <f>=IFERROR(ROUND(AR23/$B158,0),0)</f>
        <v>0</v>
      </c>
      <c r="AS158" s="46">
        <f>=IFERROR(ROUND(AS23/$B158,0),0)</f>
        <v>0</v>
      </c>
      <c r="AT158" s="46">
        <f>=IFERROR(ROUND(AT23/$B158,0),0)</f>
        <v>0</v>
      </c>
      <c r="AU158" s="46">
        <f>=IFERROR(ROUND(AU23/$B158,0),0)</f>
        <v>0</v>
      </c>
      <c r="AV158" s="46">
        <f>=IFERROR(ROUND(AV23/$B158,0),0)</f>
        <v>0</v>
      </c>
      <c r="AW158" s="46">
        <f>=IFERROR(ROUND(AW23/$B158,0),0)</f>
        <v>0</v>
      </c>
      <c r="AX158" s="46">
        <f>=IFERROR(ROUND(AX23/$B158,0),0)</f>
        <v>0</v>
      </c>
      <c r="AY158" s="46">
        <f>=IFERROR(ROUND(AY23/$B158,0),0)</f>
        <v>0</v>
      </c>
      <c r="AZ158" s="46">
        <f>=IFERROR(ROUND(AZ23/$B158,0),0)</f>
        <v>0</v>
      </c>
      <c r="BA158" s="46">
        <f>=IFERROR(ROUND(BA23/$B158,0),0)</f>
        <v>0</v>
      </c>
      <c r="BB158" s="46">
        <f>=IFERROR(ROUND(BB23/$B158,0),0)</f>
        <v>0</v>
      </c>
      <c r="BC158" s="46">
        <f>=IFERROR(ROUND(BC23/$B158,0),0)</f>
        <v>0</v>
      </c>
      <c r="BD158" s="46">
        <f>=IFERROR(ROUND(BD23/$B158,0),0)</f>
        <v>0</v>
      </c>
      <c r="BE158" s="46">
        <f>=IFERROR(ROUND(BE23/$B158,0),0)</f>
        <v>0</v>
      </c>
      <c r="BF158" s="46">
        <f>=IFERROR(ROUND(BF23/$B158,0),0)</f>
        <v>0</v>
      </c>
      <c r="BG158" s="46">
        <f>=IFERROR(ROUND(BG23/$B158,0),0)</f>
        <v>0</v>
      </c>
      <c r="BH158" s="46">
        <f>=IFERROR(ROUND(BH23/$B158,0),0)</f>
        <v>0</v>
      </c>
      <c r="BI158" s="46">
        <f>=IFERROR(ROUND(BI23/$B158,0),0)</f>
        <v>0</v>
      </c>
      <c r="BJ158" s="46">
        <f>=IFERROR(ROUND(BJ23/$B158,0),0)</f>
        <v>0</v>
      </c>
      <c r="BK158" s="46">
        <f>=IFERROR(ROUND(BK23/$B158,0),0)</f>
        <v>0</v>
      </c>
      <c r="BL158" s="46">
        <f>=IFERROR(ROUND(BL23/$B158,0),0)</f>
        <v>0</v>
      </c>
      <c r="BM158" s="46">
        <f>=IFERROR(ROUND(BM23/$B158,0),0)</f>
        <v>0</v>
      </c>
      <c r="BN158" s="46">
        <f>=IFERROR(ROUND(BN23/$B158,0),0)</f>
        <v>0</v>
      </c>
      <c r="BO158" s="46">
        <f>=IFERROR(ROUND(BO23/$B158,0),0)</f>
        <v>0</v>
      </c>
      <c r="BP158" s="46">
        <f>=IFERROR(ROUND(BP23/$B158,0),0)</f>
        <v>0</v>
      </c>
      <c r="BQ158" s="46">
        <f>=IFERROR(ROUND(BQ23/$B158,0),0)</f>
        <v>0</v>
      </c>
      <c r="BR158" s="46">
        <f>=IFERROR(ROUND(BR23/$B158,0),0)</f>
        <v>0</v>
      </c>
      <c r="BS158" s="46">
        <f>=IFERROR(ROUND(BS23/$B158,0),0)</f>
        <v>0</v>
      </c>
      <c r="BT158" s="46">
        <f>=IFERROR(ROUND(BT23/$B158,0),0)</f>
        <v>0</v>
      </c>
      <c r="BU158" s="46">
        <f>=IFERROR(ROUND(BU23/$B158,0),0)</f>
        <v>0</v>
      </c>
      <c r="BV158" s="46">
        <f>=IFERROR(ROUND(BV23/$B158,0),0)</f>
        <v>0</v>
      </c>
      <c r="BW158" s="46">
        <f>=IFERROR(ROUND(BW23/$B158,0),0)</f>
        <v>0</v>
      </c>
      <c r="BX158" s="46">
        <f>=IFERROR(ROUND(BX23/$B158,0),0)</f>
        <v>0</v>
      </c>
      <c r="BY158" s="46">
        <f>=IFERROR(ROUND(BY23/$B158,0),0)</f>
        <v>0</v>
      </c>
      <c r="BZ158" s="46">
        <f>=IFERROR(ROUND(BZ23/$B158,0),0)</f>
        <v>0</v>
      </c>
      <c r="CA158" s="46">
        <f>=IFERROR(ROUND(CA23/$B158,0),0)</f>
        <v>0</v>
      </c>
      <c r="CB158" s="46">
        <f>=IFERROR(ROUND(CB23/$B158,0),0)</f>
        <v>0</v>
      </c>
      <c r="CC158" s="46">
        <f>=IFERROR(ROUND(CC23/$B158,0),0)</f>
        <v>0</v>
      </c>
      <c r="CD158" s="46">
        <f>=IFERROR(ROUND(CD23/$B158,0),0)</f>
        <v>0</v>
      </c>
      <c r="CE158" s="46">
        <f>=IFERROR(ROUND(CE23/$B158,0),0)</f>
        <v>0</v>
      </c>
      <c r="CF158" s="46">
        <f>=IFERROR(ROUND(CF23/$B158,0),0)</f>
        <v>0</v>
      </c>
      <c r="CG158" s="46">
        <f>=IFERROR(ROUND(CG23/$B158,0),0)</f>
        <v>0</v>
      </c>
      <c r="CH158" s="46">
        <f>=IFERROR(ROUND(CH23/$B158,0),0)</f>
        <v>0</v>
      </c>
      <c r="CI158" s="46">
        <f>=IFERROR(ROUND(CI23/$B158,0),0)</f>
        <v>0</v>
      </c>
      <c r="CJ158" s="46">
        <f>=IFERROR(ROUND(CJ23/$B158,0),0)</f>
        <v>0</v>
      </c>
      <c r="CK158" s="46">
        <f>=IFERROR(ROUND(CK23/$B158,0),0)</f>
        <v>0</v>
      </c>
      <c r="CL158" s="46">
        <f>=IFERROR(ROUND(CL23/$B158,0),0)</f>
        <v>0</v>
      </c>
      <c r="CM158" s="46">
        <f>=IFERROR(ROUND(CM23/$B158,0),0)</f>
        <v>0</v>
      </c>
      <c r="CN158" s="46">
        <f>=IFERROR(ROUND(CN23/$B158,0),0)</f>
        <v>0</v>
      </c>
      <c r="CO158" s="46">
        <f>=IFERROR(ROUND(CO23/$B158,0),0)</f>
        <v>0</v>
      </c>
      <c r="CP158" s="46">
        <f>=IFERROR(ROUND(CP23/$B158,0),0)</f>
        <v>0</v>
      </c>
      <c r="CQ158" s="46">
        <f>=IFERROR(ROUND(CQ23/$B158,0),0)</f>
        <v>0</v>
      </c>
      <c r="CR158" s="46">
        <f>=IFERROR(ROUND(CR23/$B158,0),0)</f>
        <v>0</v>
      </c>
      <c r="CS158" s="46">
        <f>=IFERROR(ROUND(CS23/$B158,0),0)</f>
        <v>0</v>
      </c>
      <c r="CT158" s="46">
        <f>=IFERROR(ROUND(CT23/$B158,0),0)</f>
        <v>0</v>
      </c>
      <c r="CU158" s="46">
        <f>=IFERROR(ROUND(CU23/$B158,0),0)</f>
        <v>0</v>
      </c>
      <c r="CV158" s="46">
        <f>=IFERROR(ROUND(CV23/$B158,0),0)</f>
        <v>0</v>
      </c>
      <c r="CW158" s="46">
        <f>=IFERROR(ROUND(CW23/$B158,0),0)</f>
        <v>0</v>
      </c>
      <c r="CX158" s="46">
        <f>=IFERROR(ROUND(CX23/$B158,0),0)</f>
        <v>0</v>
      </c>
      <c r="CY158" s="46">
        <f>=IFERROR(ROUND(CY23/$B158,0),0)</f>
        <v>0</v>
      </c>
      <c r="CZ158" s="46">
        <f>=IFERROR(ROUND(CZ23/$B158,0),0)</f>
        <v>0</v>
      </c>
      <c r="DA158" s="46">
        <f>=IFERROR(ROUND(DA23/$B158,0),0)</f>
        <v>0</v>
      </c>
      <c r="DB158" s="46">
        <f>=IFERROR(ROUND(DB23/$B158,0),0)</f>
        <v>0</v>
      </c>
    </row>
    <row r="159" spans="1:106" x14ac:dyDescent="0.25">
      <c r="A159" s="17" t="s">
        <v>363</v>
      </c>
      <c r="B159" s="17">
        <v>15</v>
      </c>
      <c r="C159" s="46">
        <f>=IFERROR(ROUND(C24/$B159,0),0)</f>
        <v>0</v>
      </c>
      <c r="D159" s="46">
        <f>=IFERROR(ROUND(D24/$B159,0),0)</f>
        <v>0</v>
      </c>
      <c r="E159" s="46">
        <f>=IFERROR(ROUND(E24/$B159,0),0)</f>
        <v>0</v>
      </c>
      <c r="F159" s="46">
        <f>=IFERROR(ROUND(F24/$B159,0),0)</f>
        <v>0</v>
      </c>
      <c r="G159" s="46">
        <f>=IFERROR(ROUND(G24/$B159,0),0)</f>
        <v>0</v>
      </c>
      <c r="H159" s="46">
        <f>=IFERROR(ROUND(H24/$B159,0),0)</f>
        <v>0</v>
      </c>
      <c r="I159" s="46">
        <f>=IFERROR(ROUND(I24/$B159,0),0)</f>
        <v>0</v>
      </c>
      <c r="J159" s="46">
        <f>=IFERROR(ROUND(J24/$B159,0),0)</f>
        <v>0</v>
      </c>
      <c r="K159" s="46">
        <f>=IFERROR(ROUND(K24/$B159,0),0)</f>
        <v>0</v>
      </c>
      <c r="L159" s="46">
        <f>=IFERROR(ROUND(L24/$B159,0),0)</f>
        <v>0</v>
      </c>
      <c r="M159" s="46">
        <f>=IFERROR(ROUND(M24/$B159,0),0)</f>
        <v>0</v>
      </c>
      <c r="N159" s="46">
        <f>=IFERROR(ROUND(N24/$B159,0),0)</f>
        <v>0</v>
      </c>
      <c r="O159" s="46">
        <f>=IFERROR(ROUND(O24/$B159,0),0)</f>
        <v>0</v>
      </c>
      <c r="P159" s="46">
        <f>=IFERROR(ROUND(P24/$B159,0),0)</f>
        <v>0</v>
      </c>
      <c r="Q159" s="46">
        <f>=IFERROR(ROUND(Q24/$B159,0),0)</f>
        <v>0</v>
      </c>
      <c r="R159" s="46">
        <f>=IFERROR(ROUND(R24/$B159,0),0)</f>
        <v>0</v>
      </c>
      <c r="S159" s="46">
        <f>=IFERROR(ROUND(S24/$B159,0),0)</f>
        <v>0</v>
      </c>
      <c r="T159" s="46">
        <f>=IFERROR(ROUND(T24/$B159,0),0)</f>
        <v>0</v>
      </c>
      <c r="U159" s="46">
        <f>=IFERROR(ROUND(U24/$B159,0),0)</f>
        <v>0</v>
      </c>
      <c r="V159" s="46">
        <f>=IFERROR(ROUND(V24/$B159,0),0)</f>
        <v>0</v>
      </c>
      <c r="W159" s="46">
        <f>=IFERROR(ROUND(W24/$B159,0),0)</f>
        <v>0</v>
      </c>
      <c r="X159" s="46">
        <f>=IFERROR(ROUND(X24/$B159,0),0)</f>
        <v>0</v>
      </c>
      <c r="Y159" s="46">
        <f>=IFERROR(ROUND(Y24/$B159,0),0)</f>
        <v>0</v>
      </c>
      <c r="Z159" s="46">
        <f>=IFERROR(ROUND(Z24/$B159,0),0)</f>
        <v>0</v>
      </c>
      <c r="AA159" s="46">
        <f>=IFERROR(ROUND(AA24/$B159,0),0)</f>
        <v>0</v>
      </c>
      <c r="AB159" s="46">
        <f>=IFERROR(ROUND(AB24/$B159,0),0)</f>
        <v>0</v>
      </c>
      <c r="AC159" s="46">
        <f>=IFERROR(ROUND(AC24/$B159,0),0)</f>
        <v>0</v>
      </c>
      <c r="AD159" s="46">
        <f>=IFERROR(ROUND(AD24/$B159,0),0)</f>
        <v>0</v>
      </c>
      <c r="AE159" s="46">
        <f>=IFERROR(ROUND(AE24/$B159,0),0)</f>
        <v>0</v>
      </c>
      <c r="AF159" s="46">
        <f>=IFERROR(ROUND(AF24/$B159,0),0)</f>
        <v>0</v>
      </c>
      <c r="AG159" s="46">
        <f>=IFERROR(ROUND(AG24/$B159,0),0)</f>
        <v>0</v>
      </c>
      <c r="AH159" s="46">
        <f>=IFERROR(ROUND(AH24/$B159,0),0)</f>
        <v>0</v>
      </c>
      <c r="AI159" s="46">
        <f>=IFERROR(ROUND(AI24/$B159,0),0)</f>
        <v>0</v>
      </c>
      <c r="AJ159" s="46">
        <f>=IFERROR(ROUND(AJ24/$B159,0),0)</f>
        <v>0</v>
      </c>
      <c r="AK159" s="46">
        <f>=IFERROR(ROUND(AK24/$B159,0),0)</f>
        <v>0</v>
      </c>
      <c r="AL159" s="46">
        <f>=IFERROR(ROUND(AL24/$B159,0),0)</f>
        <v>0</v>
      </c>
      <c r="AM159" s="46">
        <f>=IFERROR(ROUND(AM24/$B159,0),0)</f>
        <v>0</v>
      </c>
      <c r="AN159" s="46">
        <f>=IFERROR(ROUND(AN24/$B159,0),0)</f>
        <v>0</v>
      </c>
      <c r="AO159" s="46">
        <f>=IFERROR(ROUND(AO24/$B159,0),0)</f>
        <v>0</v>
      </c>
      <c r="AP159" s="46">
        <f>=IFERROR(ROUND(AP24/$B159,0),0)</f>
        <v>0</v>
      </c>
      <c r="AQ159" s="46">
        <f>=IFERROR(ROUND(AQ24/$B159,0),0)</f>
        <v>0</v>
      </c>
      <c r="AR159" s="46">
        <f>=IFERROR(ROUND(AR24/$B159,0),0)</f>
        <v>0</v>
      </c>
      <c r="AS159" s="46">
        <f>=IFERROR(ROUND(AS24/$B159,0),0)</f>
        <v>0</v>
      </c>
      <c r="AT159" s="46">
        <f>=IFERROR(ROUND(AT24/$B159,0),0)</f>
        <v>0</v>
      </c>
      <c r="AU159" s="46">
        <f>=IFERROR(ROUND(AU24/$B159,0),0)</f>
        <v>0</v>
      </c>
      <c r="AV159" s="46">
        <f>=IFERROR(ROUND(AV24/$B159,0),0)</f>
        <v>0</v>
      </c>
      <c r="AW159" s="46">
        <f>=IFERROR(ROUND(AW24/$B159,0),0)</f>
        <v>0</v>
      </c>
      <c r="AX159" s="46">
        <f>=IFERROR(ROUND(AX24/$B159,0),0)</f>
        <v>0</v>
      </c>
      <c r="AY159" s="46">
        <f>=IFERROR(ROUND(AY24/$B159,0),0)</f>
        <v>0</v>
      </c>
      <c r="AZ159" s="46">
        <f>=IFERROR(ROUND(AZ24/$B159,0),0)</f>
        <v>0</v>
      </c>
      <c r="BA159" s="46">
        <f>=IFERROR(ROUND(BA24/$B159,0),0)</f>
        <v>0</v>
      </c>
      <c r="BB159" s="46">
        <f>=IFERROR(ROUND(BB24/$B159,0),0)</f>
        <v>0</v>
      </c>
      <c r="BC159" s="46">
        <f>=IFERROR(ROUND(BC24/$B159,0),0)</f>
        <v>0</v>
      </c>
      <c r="BD159" s="46">
        <f>=IFERROR(ROUND(BD24/$B159,0),0)</f>
        <v>0</v>
      </c>
      <c r="BE159" s="46">
        <f>=IFERROR(ROUND(BE24/$B159,0),0)</f>
        <v>0</v>
      </c>
      <c r="BF159" s="46">
        <f>=IFERROR(ROUND(BF24/$B159,0),0)</f>
        <v>0</v>
      </c>
      <c r="BG159" s="46">
        <f>=IFERROR(ROUND(BG24/$B159,0),0)</f>
        <v>0</v>
      </c>
      <c r="BH159" s="46">
        <f>=IFERROR(ROUND(BH24/$B159,0),0)</f>
        <v>0</v>
      </c>
      <c r="BI159" s="46">
        <f>=IFERROR(ROUND(BI24/$B159,0),0)</f>
        <v>0</v>
      </c>
      <c r="BJ159" s="46">
        <f>=IFERROR(ROUND(BJ24/$B159,0),0)</f>
        <v>0</v>
      </c>
      <c r="BK159" s="46">
        <f>=IFERROR(ROUND(BK24/$B159,0),0)</f>
        <v>0</v>
      </c>
      <c r="BL159" s="46">
        <f>=IFERROR(ROUND(BL24/$B159,0),0)</f>
        <v>0</v>
      </c>
      <c r="BM159" s="46">
        <f>=IFERROR(ROUND(BM24/$B159,0),0)</f>
        <v>0</v>
      </c>
      <c r="BN159" s="46">
        <f>=IFERROR(ROUND(BN24/$B159,0),0)</f>
        <v>0</v>
      </c>
      <c r="BO159" s="46">
        <f>=IFERROR(ROUND(BO24/$B159,0),0)</f>
        <v>0</v>
      </c>
      <c r="BP159" s="46">
        <f>=IFERROR(ROUND(BP24/$B159,0),0)</f>
        <v>0</v>
      </c>
      <c r="BQ159" s="46">
        <f>=IFERROR(ROUND(BQ24/$B159,0),0)</f>
        <v>0</v>
      </c>
      <c r="BR159" s="46">
        <f>=IFERROR(ROUND(BR24/$B159,0),0)</f>
        <v>0</v>
      </c>
      <c r="BS159" s="46">
        <f>=IFERROR(ROUND(BS24/$B159,0),0)</f>
        <v>0</v>
      </c>
      <c r="BT159" s="46">
        <f>=IFERROR(ROUND(BT24/$B159,0),0)</f>
        <v>0</v>
      </c>
      <c r="BU159" s="46">
        <f>=IFERROR(ROUND(BU24/$B159,0),0)</f>
        <v>0</v>
      </c>
      <c r="BV159" s="46">
        <f>=IFERROR(ROUND(BV24/$B159,0),0)</f>
        <v>0</v>
      </c>
      <c r="BW159" s="46">
        <f>=IFERROR(ROUND(BW24/$B159,0),0)</f>
        <v>0</v>
      </c>
      <c r="BX159" s="46">
        <f>=IFERROR(ROUND(BX24/$B159,0),0)</f>
        <v>0</v>
      </c>
      <c r="BY159" s="46">
        <f>=IFERROR(ROUND(BY24/$B159,0),0)</f>
        <v>0</v>
      </c>
      <c r="BZ159" s="46">
        <f>=IFERROR(ROUND(BZ24/$B159,0),0)</f>
        <v>0</v>
      </c>
      <c r="CA159" s="46">
        <f>=IFERROR(ROUND(CA24/$B159,0),0)</f>
        <v>0</v>
      </c>
      <c r="CB159" s="46">
        <f>=IFERROR(ROUND(CB24/$B159,0),0)</f>
        <v>0</v>
      </c>
      <c r="CC159" s="46">
        <f>=IFERROR(ROUND(CC24/$B159,0),0)</f>
        <v>0</v>
      </c>
      <c r="CD159" s="46">
        <f>=IFERROR(ROUND(CD24/$B159,0),0)</f>
        <v>0</v>
      </c>
      <c r="CE159" s="46">
        <f>=IFERROR(ROUND(CE24/$B159,0),0)</f>
        <v>0</v>
      </c>
      <c r="CF159" s="46">
        <f>=IFERROR(ROUND(CF24/$B159,0),0)</f>
        <v>0</v>
      </c>
      <c r="CG159" s="46">
        <f>=IFERROR(ROUND(CG24/$B159,0),0)</f>
        <v>0</v>
      </c>
      <c r="CH159" s="46">
        <f>=IFERROR(ROUND(CH24/$B159,0),0)</f>
        <v>0</v>
      </c>
      <c r="CI159" s="46">
        <f>=IFERROR(ROUND(CI24/$B159,0),0)</f>
        <v>0</v>
      </c>
      <c r="CJ159" s="46">
        <f>=IFERROR(ROUND(CJ24/$B159,0),0)</f>
        <v>0</v>
      </c>
      <c r="CK159" s="46">
        <f>=IFERROR(ROUND(CK24/$B159,0),0)</f>
        <v>0</v>
      </c>
      <c r="CL159" s="46">
        <f>=IFERROR(ROUND(CL24/$B159,0),0)</f>
        <v>0</v>
      </c>
      <c r="CM159" s="46">
        <f>=IFERROR(ROUND(CM24/$B159,0),0)</f>
        <v>0</v>
      </c>
      <c r="CN159" s="46">
        <f>=IFERROR(ROUND(CN24/$B159,0),0)</f>
        <v>0</v>
      </c>
      <c r="CO159" s="46">
        <f>=IFERROR(ROUND(CO24/$B159,0),0)</f>
        <v>0</v>
      </c>
      <c r="CP159" s="46">
        <f>=IFERROR(ROUND(CP24/$B159,0),0)</f>
        <v>0</v>
      </c>
      <c r="CQ159" s="46">
        <f>=IFERROR(ROUND(CQ24/$B159,0),0)</f>
        <v>0</v>
      </c>
      <c r="CR159" s="46">
        <f>=IFERROR(ROUND(CR24/$B159,0),0)</f>
        <v>0</v>
      </c>
      <c r="CS159" s="46">
        <f>=IFERROR(ROUND(CS24/$B159,0),0)</f>
        <v>0</v>
      </c>
      <c r="CT159" s="46">
        <f>=IFERROR(ROUND(CT24/$B159,0),0)</f>
        <v>0</v>
      </c>
      <c r="CU159" s="46">
        <f>=IFERROR(ROUND(CU24/$B159,0),0)</f>
        <v>0</v>
      </c>
      <c r="CV159" s="46">
        <f>=IFERROR(ROUND(CV24/$B159,0),0)</f>
        <v>0</v>
      </c>
      <c r="CW159" s="46">
        <f>=IFERROR(ROUND(CW24/$B159,0),0)</f>
        <v>0</v>
      </c>
      <c r="CX159" s="46">
        <f>=IFERROR(ROUND(CX24/$B159,0),0)</f>
        <v>0</v>
      </c>
      <c r="CY159" s="46">
        <f>=IFERROR(ROUND(CY24/$B159,0),0)</f>
        <v>0</v>
      </c>
      <c r="CZ159" s="46">
        <f>=IFERROR(ROUND(CZ24/$B159,0),0)</f>
        <v>0</v>
      </c>
      <c r="DA159" s="46">
        <f>=IFERROR(ROUND(DA24/$B159,0),0)</f>
        <v>0</v>
      </c>
      <c r="DB159" s="46">
        <f>=IFERROR(ROUND(DB24/$B159,0),0)</f>
        <v>0</v>
      </c>
    </row>
    <row r="160" spans="1:106" x14ac:dyDescent="0.25">
      <c r="A160" s="17" t="s">
        <v>364</v>
      </c>
      <c r="B160" s="17">
        <v>30</v>
      </c>
      <c r="C160" s="46">
        <f>=IFERROR(ROUND(C23/$B160,0),0)</f>
        <v>0</v>
      </c>
      <c r="D160" s="46">
        <f>=IFERROR(ROUND(D23/$B160,0),0)</f>
        <v>0</v>
      </c>
      <c r="E160" s="46">
        <f>=IFERROR(ROUND(E23/$B160,0),0)</f>
        <v>0</v>
      </c>
      <c r="F160" s="46">
        <f>=IFERROR(ROUND(F23/$B160,0),0)</f>
        <v>0</v>
      </c>
      <c r="G160" s="46">
        <f>=IFERROR(ROUND(G23/$B160,0),0)</f>
        <v>0</v>
      </c>
      <c r="H160" s="46">
        <f>=IFERROR(ROUND(H23/$B160,0),0)</f>
        <v>0</v>
      </c>
      <c r="I160" s="46">
        <f>=IFERROR(ROUND(I23/$B160,0),0)</f>
        <v>0</v>
      </c>
      <c r="J160" s="46">
        <f>=IFERROR(ROUND(J23/$B160,0),0)</f>
        <v>0</v>
      </c>
      <c r="K160" s="46">
        <f>=IFERROR(ROUND(K23/$B160,0),0)</f>
        <v>0</v>
      </c>
      <c r="L160" s="46">
        <f>=IFERROR(ROUND(L23/$B160,0),0)</f>
        <v>0</v>
      </c>
      <c r="M160" s="46">
        <f>=IFERROR(ROUND(M23/$B160,0),0)</f>
        <v>0</v>
      </c>
      <c r="N160" s="46">
        <f>=IFERROR(ROUND(N23/$B160,0),0)</f>
        <v>0</v>
      </c>
      <c r="O160" s="46">
        <f>=IFERROR(ROUND(O23/$B160,0),0)</f>
        <v>0</v>
      </c>
      <c r="P160" s="46">
        <f>=IFERROR(ROUND(P23/$B160,0),0)</f>
        <v>0</v>
      </c>
      <c r="Q160" s="46">
        <f>=IFERROR(ROUND(Q23/$B160,0),0)</f>
        <v>0</v>
      </c>
      <c r="R160" s="46">
        <f>=IFERROR(ROUND(R23/$B160,0),0)</f>
        <v>0</v>
      </c>
      <c r="S160" s="46">
        <f>=IFERROR(ROUND(S23/$B160,0),0)</f>
        <v>0</v>
      </c>
      <c r="T160" s="46">
        <f>=IFERROR(ROUND(T23/$B160,0),0)</f>
        <v>0</v>
      </c>
      <c r="U160" s="46">
        <f>=IFERROR(ROUND(U23/$B160,0),0)</f>
        <v>0</v>
      </c>
      <c r="V160" s="46">
        <f>=IFERROR(ROUND(V23/$B160,0),0)</f>
        <v>0</v>
      </c>
      <c r="W160" s="46">
        <f>=IFERROR(ROUND(W23/$B160,0),0)</f>
        <v>0</v>
      </c>
      <c r="X160" s="46">
        <f>=IFERROR(ROUND(X23/$B160,0),0)</f>
        <v>0</v>
      </c>
      <c r="Y160" s="46">
        <f>=IFERROR(ROUND(Y23/$B160,0),0)</f>
        <v>0</v>
      </c>
      <c r="Z160" s="46">
        <f>=IFERROR(ROUND(Z23/$B160,0),0)</f>
        <v>0</v>
      </c>
      <c r="AA160" s="46">
        <f>=IFERROR(ROUND(AA23/$B160,0),0)</f>
        <v>0</v>
      </c>
      <c r="AB160" s="46">
        <f>=IFERROR(ROUND(AB23/$B160,0),0)</f>
        <v>0</v>
      </c>
      <c r="AC160" s="46">
        <f>=IFERROR(ROUND(AC23/$B160,0),0)</f>
        <v>0</v>
      </c>
      <c r="AD160" s="46">
        <f>=IFERROR(ROUND(AD23/$B160,0),0)</f>
        <v>0</v>
      </c>
      <c r="AE160" s="46">
        <f>=IFERROR(ROUND(AE23/$B160,0),0)</f>
        <v>0</v>
      </c>
      <c r="AF160" s="46">
        <f>=IFERROR(ROUND(AF23/$B160,0),0)</f>
        <v>0</v>
      </c>
      <c r="AG160" s="46">
        <f>=IFERROR(ROUND(AG23/$B160,0),0)</f>
        <v>0</v>
      </c>
      <c r="AH160" s="46">
        <f>=IFERROR(ROUND(AH23/$B160,0),0)</f>
        <v>0</v>
      </c>
      <c r="AI160" s="46">
        <f>=IFERROR(ROUND(AI23/$B160,0),0)</f>
        <v>0</v>
      </c>
      <c r="AJ160" s="46">
        <f>=IFERROR(ROUND(AJ23/$B160,0),0)</f>
        <v>0</v>
      </c>
      <c r="AK160" s="46">
        <f>=IFERROR(ROUND(AK23/$B160,0),0)</f>
        <v>0</v>
      </c>
      <c r="AL160" s="46">
        <f>=IFERROR(ROUND(AL23/$B160,0),0)</f>
        <v>0</v>
      </c>
      <c r="AM160" s="46">
        <f>=IFERROR(ROUND(AM23/$B160,0),0)</f>
        <v>0</v>
      </c>
      <c r="AN160" s="46">
        <f>=IFERROR(ROUND(AN23/$B160,0),0)</f>
        <v>0</v>
      </c>
      <c r="AO160" s="46">
        <f>=IFERROR(ROUND(AO23/$B160,0),0)</f>
        <v>0</v>
      </c>
      <c r="AP160" s="46">
        <f>=IFERROR(ROUND(AP23/$B160,0),0)</f>
        <v>0</v>
      </c>
      <c r="AQ160" s="46">
        <f>=IFERROR(ROUND(AQ23/$B160,0),0)</f>
        <v>0</v>
      </c>
      <c r="AR160" s="46">
        <f>=IFERROR(ROUND(AR23/$B160,0),0)</f>
        <v>0</v>
      </c>
      <c r="AS160" s="46">
        <f>=IFERROR(ROUND(AS23/$B160,0),0)</f>
        <v>0</v>
      </c>
      <c r="AT160" s="46">
        <f>=IFERROR(ROUND(AT23/$B160,0),0)</f>
        <v>0</v>
      </c>
      <c r="AU160" s="46">
        <f>=IFERROR(ROUND(AU23/$B160,0),0)</f>
        <v>0</v>
      </c>
      <c r="AV160" s="46">
        <f>=IFERROR(ROUND(AV23/$B160,0),0)</f>
        <v>0</v>
      </c>
      <c r="AW160" s="46">
        <f>=IFERROR(ROUND(AW23/$B160,0),0)</f>
        <v>0</v>
      </c>
      <c r="AX160" s="46">
        <f>=IFERROR(ROUND(AX23/$B160,0),0)</f>
        <v>0</v>
      </c>
      <c r="AY160" s="46">
        <f>=IFERROR(ROUND(AY23/$B160,0),0)</f>
        <v>0</v>
      </c>
      <c r="AZ160" s="46">
        <f>=IFERROR(ROUND(AZ23/$B160,0),0)</f>
        <v>0</v>
      </c>
      <c r="BA160" s="46">
        <f>=IFERROR(ROUND(BA23/$B160,0),0)</f>
        <v>0</v>
      </c>
      <c r="BB160" s="46">
        <f>=IFERROR(ROUND(BB23/$B160,0),0)</f>
        <v>0</v>
      </c>
      <c r="BC160" s="46">
        <f>=IFERROR(ROUND(BC23/$B160,0),0)</f>
        <v>0</v>
      </c>
      <c r="BD160" s="46">
        <f>=IFERROR(ROUND(BD23/$B160,0),0)</f>
        <v>0</v>
      </c>
      <c r="BE160" s="46">
        <f>=IFERROR(ROUND(BE23/$B160,0),0)</f>
        <v>0</v>
      </c>
      <c r="BF160" s="46">
        <f>=IFERROR(ROUND(BF23/$B160,0),0)</f>
        <v>0</v>
      </c>
      <c r="BG160" s="46">
        <f>=IFERROR(ROUND(BG23/$B160,0),0)</f>
        <v>0</v>
      </c>
      <c r="BH160" s="46">
        <f>=IFERROR(ROUND(BH23/$B160,0),0)</f>
        <v>0</v>
      </c>
      <c r="BI160" s="46">
        <f>=IFERROR(ROUND(BI23/$B160,0),0)</f>
        <v>0</v>
      </c>
      <c r="BJ160" s="46">
        <f>=IFERROR(ROUND(BJ23/$B160,0),0)</f>
        <v>0</v>
      </c>
      <c r="BK160" s="46">
        <f>=IFERROR(ROUND(BK23/$B160,0),0)</f>
        <v>0</v>
      </c>
      <c r="BL160" s="46">
        <f>=IFERROR(ROUND(BL23/$B160,0),0)</f>
        <v>0</v>
      </c>
      <c r="BM160" s="46">
        <f>=IFERROR(ROUND(BM23/$B160,0),0)</f>
        <v>0</v>
      </c>
      <c r="BN160" s="46">
        <f>=IFERROR(ROUND(BN23/$B160,0),0)</f>
        <v>0</v>
      </c>
      <c r="BO160" s="46">
        <f>=IFERROR(ROUND(BO23/$B160,0),0)</f>
        <v>0</v>
      </c>
      <c r="BP160" s="46">
        <f>=IFERROR(ROUND(BP23/$B160,0),0)</f>
        <v>0</v>
      </c>
      <c r="BQ160" s="46">
        <f>=IFERROR(ROUND(BQ23/$B160,0),0)</f>
        <v>0</v>
      </c>
      <c r="BR160" s="46">
        <f>=IFERROR(ROUND(BR23/$B160,0),0)</f>
        <v>0</v>
      </c>
      <c r="BS160" s="46">
        <f>=IFERROR(ROUND(BS23/$B160,0),0)</f>
        <v>0</v>
      </c>
      <c r="BT160" s="46">
        <f>=IFERROR(ROUND(BT23/$B160,0),0)</f>
        <v>0</v>
      </c>
      <c r="BU160" s="46">
        <f>=IFERROR(ROUND(BU23/$B160,0),0)</f>
        <v>0</v>
      </c>
      <c r="BV160" s="46">
        <f>=IFERROR(ROUND(BV23/$B160,0),0)</f>
        <v>0</v>
      </c>
      <c r="BW160" s="46">
        <f>=IFERROR(ROUND(BW23/$B160,0),0)</f>
        <v>0</v>
      </c>
      <c r="BX160" s="46">
        <f>=IFERROR(ROUND(BX23/$B160,0),0)</f>
        <v>0</v>
      </c>
      <c r="BY160" s="46">
        <f>=IFERROR(ROUND(BY23/$B160,0),0)</f>
        <v>0</v>
      </c>
      <c r="BZ160" s="46">
        <f>=IFERROR(ROUND(BZ23/$B160,0),0)</f>
        <v>0</v>
      </c>
      <c r="CA160" s="46">
        <f>=IFERROR(ROUND(CA23/$B160,0),0)</f>
        <v>0</v>
      </c>
      <c r="CB160" s="46">
        <f>=IFERROR(ROUND(CB23/$B160,0),0)</f>
        <v>0</v>
      </c>
      <c r="CC160" s="46">
        <f>=IFERROR(ROUND(CC23/$B160,0),0)</f>
        <v>0</v>
      </c>
      <c r="CD160" s="46">
        <f>=IFERROR(ROUND(CD23/$B160,0),0)</f>
        <v>0</v>
      </c>
      <c r="CE160" s="46">
        <f>=IFERROR(ROUND(CE23/$B160,0),0)</f>
        <v>0</v>
      </c>
      <c r="CF160" s="46">
        <f>=IFERROR(ROUND(CF23/$B160,0),0)</f>
        <v>0</v>
      </c>
      <c r="CG160" s="46">
        <f>=IFERROR(ROUND(CG23/$B160,0),0)</f>
        <v>0</v>
      </c>
      <c r="CH160" s="46">
        <f>=IFERROR(ROUND(CH23/$B160,0),0)</f>
        <v>0</v>
      </c>
      <c r="CI160" s="46">
        <f>=IFERROR(ROUND(CI23/$B160,0),0)</f>
        <v>0</v>
      </c>
      <c r="CJ160" s="46">
        <f>=IFERROR(ROUND(CJ23/$B160,0),0)</f>
        <v>0</v>
      </c>
      <c r="CK160" s="46">
        <f>=IFERROR(ROUND(CK23/$B160,0),0)</f>
        <v>0</v>
      </c>
      <c r="CL160" s="46">
        <f>=IFERROR(ROUND(CL23/$B160,0),0)</f>
        <v>0</v>
      </c>
      <c r="CM160" s="46">
        <f>=IFERROR(ROUND(CM23/$B160,0),0)</f>
        <v>0</v>
      </c>
      <c r="CN160" s="46">
        <f>=IFERROR(ROUND(CN23/$B160,0),0)</f>
        <v>0</v>
      </c>
      <c r="CO160" s="46">
        <f>=IFERROR(ROUND(CO23/$B160,0),0)</f>
        <v>0</v>
      </c>
      <c r="CP160" s="46">
        <f>=IFERROR(ROUND(CP23/$B160,0),0)</f>
        <v>0</v>
      </c>
      <c r="CQ160" s="46">
        <f>=IFERROR(ROUND(CQ23/$B160,0),0)</f>
        <v>0</v>
      </c>
      <c r="CR160" s="46">
        <f>=IFERROR(ROUND(CR23/$B160,0),0)</f>
        <v>0</v>
      </c>
      <c r="CS160" s="46">
        <f>=IFERROR(ROUND(CS23/$B160,0),0)</f>
        <v>0</v>
      </c>
      <c r="CT160" s="46">
        <f>=IFERROR(ROUND(CT23/$B160,0),0)</f>
        <v>0</v>
      </c>
      <c r="CU160" s="46">
        <f>=IFERROR(ROUND(CU23/$B160,0),0)</f>
        <v>0</v>
      </c>
      <c r="CV160" s="46">
        <f>=IFERROR(ROUND(CV23/$B160,0),0)</f>
        <v>0</v>
      </c>
      <c r="CW160" s="46">
        <f>=IFERROR(ROUND(CW23/$B160,0),0)</f>
        <v>0</v>
      </c>
      <c r="CX160" s="46">
        <f>=IFERROR(ROUND(CX23/$B160,0),0)</f>
        <v>0</v>
      </c>
      <c r="CY160" s="46">
        <f>=IFERROR(ROUND(CY23/$B160,0),0)</f>
        <v>0</v>
      </c>
      <c r="CZ160" s="46">
        <f>=IFERROR(ROUND(CZ23/$B160,0),0)</f>
        <v>0</v>
      </c>
      <c r="DA160" s="46">
        <f>=IFERROR(ROUND(DA23/$B160,0),0)</f>
        <v>0</v>
      </c>
      <c r="DB160" s="46">
        <f>=IFERROR(ROUND(DB23/$B160,0),0)</f>
        <v>0</v>
      </c>
    </row>
    <row r="161" spans="1:106" x14ac:dyDescent="0.25">
      <c r="A161" s="17" t="s">
        <v>365</v>
      </c>
      <c r="B161" s="17">
        <v>15</v>
      </c>
      <c r="C161" s="46">
        <f>=IFERROR(ROUND(C22/$B161,0),0)</f>
        <v>0</v>
      </c>
      <c r="D161" s="46">
        <f>=IFERROR(ROUND(D22/$B161,0),0)</f>
        <v>0</v>
      </c>
      <c r="E161" s="46">
        <f>=IFERROR(ROUND(E22/$B161,0),0)</f>
        <v>0</v>
      </c>
      <c r="F161" s="46">
        <f>=IFERROR(ROUND(F22/$B161,0),0)</f>
        <v>0</v>
      </c>
      <c r="G161" s="46">
        <f>=IFERROR(ROUND(G22/$B161,0),0)</f>
        <v>0</v>
      </c>
      <c r="H161" s="46">
        <f>=IFERROR(ROUND(H22/$B161,0),0)</f>
        <v>0</v>
      </c>
      <c r="I161" s="46">
        <f>=IFERROR(ROUND(I22/$B161,0),0)</f>
        <v>0</v>
      </c>
      <c r="J161" s="46">
        <f>=IFERROR(ROUND(J22/$B161,0),0)</f>
        <v>0</v>
      </c>
      <c r="K161" s="46">
        <f>=IFERROR(ROUND(K22/$B161,0),0)</f>
        <v>0</v>
      </c>
      <c r="L161" s="46">
        <f>=IFERROR(ROUND(L22/$B161,0),0)</f>
        <v>0</v>
      </c>
      <c r="M161" s="46">
        <f>=IFERROR(ROUND(M22/$B161,0),0)</f>
        <v>0</v>
      </c>
      <c r="N161" s="46">
        <f>=IFERROR(ROUND(N22/$B161,0),0)</f>
        <v>0</v>
      </c>
      <c r="O161" s="46">
        <f>=IFERROR(ROUND(O22/$B161,0),0)</f>
        <v>0</v>
      </c>
      <c r="P161" s="46">
        <f>=IFERROR(ROUND(P22/$B161,0),0)</f>
        <v>0</v>
      </c>
      <c r="Q161" s="46">
        <f>=IFERROR(ROUND(Q22/$B161,0),0)</f>
        <v>0</v>
      </c>
      <c r="R161" s="46">
        <f>=IFERROR(ROUND(R22/$B161,0),0)</f>
        <v>0</v>
      </c>
      <c r="S161" s="46">
        <f>=IFERROR(ROUND(S22/$B161,0),0)</f>
        <v>0</v>
      </c>
      <c r="T161" s="46">
        <f>=IFERROR(ROUND(T22/$B161,0),0)</f>
        <v>0</v>
      </c>
      <c r="U161" s="46">
        <f>=IFERROR(ROUND(U22/$B161,0),0)</f>
        <v>0</v>
      </c>
      <c r="V161" s="46">
        <f>=IFERROR(ROUND(V22/$B161,0),0)</f>
        <v>0</v>
      </c>
      <c r="W161" s="46">
        <f>=IFERROR(ROUND(W22/$B161,0),0)</f>
        <v>0</v>
      </c>
      <c r="X161" s="46">
        <f>=IFERROR(ROUND(X22/$B161,0),0)</f>
        <v>0</v>
      </c>
      <c r="Y161" s="46">
        <f>=IFERROR(ROUND(Y22/$B161,0),0)</f>
        <v>0</v>
      </c>
      <c r="Z161" s="46">
        <f>=IFERROR(ROUND(Z22/$B161,0),0)</f>
        <v>0</v>
      </c>
      <c r="AA161" s="46">
        <f>=IFERROR(ROUND(AA22/$B161,0),0)</f>
        <v>0</v>
      </c>
      <c r="AB161" s="46">
        <f>=IFERROR(ROUND(AB22/$B161,0),0)</f>
        <v>0</v>
      </c>
      <c r="AC161" s="46">
        <f>=IFERROR(ROUND(AC22/$B161,0),0)</f>
        <v>0</v>
      </c>
      <c r="AD161" s="46">
        <f>=IFERROR(ROUND(AD22/$B161,0),0)</f>
        <v>0</v>
      </c>
      <c r="AE161" s="46">
        <f>=IFERROR(ROUND(AE22/$B161,0),0)</f>
        <v>0</v>
      </c>
      <c r="AF161" s="46">
        <f>=IFERROR(ROUND(AF22/$B161,0),0)</f>
        <v>0</v>
      </c>
      <c r="AG161" s="46">
        <f>=IFERROR(ROUND(AG22/$B161,0),0)</f>
        <v>0</v>
      </c>
      <c r="AH161" s="46">
        <f>=IFERROR(ROUND(AH22/$B161,0),0)</f>
        <v>0</v>
      </c>
      <c r="AI161" s="46">
        <f>=IFERROR(ROUND(AI22/$B161,0),0)</f>
        <v>0</v>
      </c>
      <c r="AJ161" s="46">
        <f>=IFERROR(ROUND(AJ22/$B161,0),0)</f>
        <v>0</v>
      </c>
      <c r="AK161" s="46">
        <f>=IFERROR(ROUND(AK22/$B161,0),0)</f>
        <v>0</v>
      </c>
      <c r="AL161" s="46">
        <f>=IFERROR(ROUND(AL22/$B161,0),0)</f>
        <v>0</v>
      </c>
      <c r="AM161" s="46">
        <f>=IFERROR(ROUND(AM22/$B161,0),0)</f>
        <v>0</v>
      </c>
      <c r="AN161" s="46">
        <f>=IFERROR(ROUND(AN22/$B161,0),0)</f>
        <v>0</v>
      </c>
      <c r="AO161" s="46">
        <f>=IFERROR(ROUND(AO22/$B161,0),0)</f>
        <v>0</v>
      </c>
      <c r="AP161" s="46">
        <f>=IFERROR(ROUND(AP22/$B161,0),0)</f>
        <v>0</v>
      </c>
      <c r="AQ161" s="46">
        <f>=IFERROR(ROUND(AQ22/$B161,0),0)</f>
        <v>0</v>
      </c>
      <c r="AR161" s="46">
        <f>=IFERROR(ROUND(AR22/$B161,0),0)</f>
        <v>0</v>
      </c>
      <c r="AS161" s="46">
        <f>=IFERROR(ROUND(AS22/$B161,0),0)</f>
        <v>0</v>
      </c>
      <c r="AT161" s="46">
        <f>=IFERROR(ROUND(AT22/$B161,0),0)</f>
        <v>0</v>
      </c>
      <c r="AU161" s="46">
        <f>=IFERROR(ROUND(AU22/$B161,0),0)</f>
        <v>0</v>
      </c>
      <c r="AV161" s="46">
        <f>=IFERROR(ROUND(AV22/$B161,0),0)</f>
        <v>0</v>
      </c>
      <c r="AW161" s="46">
        <f>=IFERROR(ROUND(AW22/$B161,0),0)</f>
        <v>0</v>
      </c>
      <c r="AX161" s="46">
        <f>=IFERROR(ROUND(AX22/$B161,0),0)</f>
        <v>0</v>
      </c>
      <c r="AY161" s="46">
        <f>=IFERROR(ROUND(AY22/$B161,0),0)</f>
        <v>0</v>
      </c>
      <c r="AZ161" s="46">
        <f>=IFERROR(ROUND(AZ22/$B161,0),0)</f>
        <v>0</v>
      </c>
      <c r="BA161" s="46">
        <f>=IFERROR(ROUND(BA22/$B161,0),0)</f>
        <v>0</v>
      </c>
      <c r="BB161" s="46">
        <f>=IFERROR(ROUND(BB22/$B161,0),0)</f>
        <v>0</v>
      </c>
      <c r="BC161" s="46">
        <f>=IFERROR(ROUND(BC22/$B161,0),0)</f>
        <v>0</v>
      </c>
      <c r="BD161" s="46">
        <f>=IFERROR(ROUND(BD22/$B161,0),0)</f>
        <v>0</v>
      </c>
      <c r="BE161" s="46">
        <f>=IFERROR(ROUND(BE22/$B161,0),0)</f>
        <v>0</v>
      </c>
      <c r="BF161" s="46">
        <f>=IFERROR(ROUND(BF22/$B161,0),0)</f>
        <v>0</v>
      </c>
      <c r="BG161" s="46">
        <f>=IFERROR(ROUND(BG22/$B161,0),0)</f>
        <v>0</v>
      </c>
      <c r="BH161" s="46">
        <f>=IFERROR(ROUND(BH22/$B161,0),0)</f>
        <v>0</v>
      </c>
      <c r="BI161" s="46">
        <f>=IFERROR(ROUND(BI22/$B161,0),0)</f>
        <v>0</v>
      </c>
      <c r="BJ161" s="46">
        <f>=IFERROR(ROUND(BJ22/$B161,0),0)</f>
        <v>0</v>
      </c>
      <c r="BK161" s="46">
        <f>=IFERROR(ROUND(BK22/$B161,0),0)</f>
        <v>0</v>
      </c>
      <c r="BL161" s="46">
        <f>=IFERROR(ROUND(BL22/$B161,0),0)</f>
        <v>0</v>
      </c>
      <c r="BM161" s="46">
        <f>=IFERROR(ROUND(BM22/$B161,0),0)</f>
        <v>0</v>
      </c>
      <c r="BN161" s="46">
        <f>=IFERROR(ROUND(BN22/$B161,0),0)</f>
        <v>0</v>
      </c>
      <c r="BO161" s="46">
        <f>=IFERROR(ROUND(BO22/$B161,0),0)</f>
        <v>0</v>
      </c>
      <c r="BP161" s="46">
        <f>=IFERROR(ROUND(BP22/$B161,0),0)</f>
        <v>0</v>
      </c>
      <c r="BQ161" s="46">
        <f>=IFERROR(ROUND(BQ22/$B161,0),0)</f>
        <v>0</v>
      </c>
      <c r="BR161" s="46">
        <f>=IFERROR(ROUND(BR22/$B161,0),0)</f>
        <v>0</v>
      </c>
      <c r="BS161" s="46">
        <f>=IFERROR(ROUND(BS22/$B161,0),0)</f>
        <v>0</v>
      </c>
      <c r="BT161" s="46">
        <f>=IFERROR(ROUND(BT22/$B161,0),0)</f>
        <v>0</v>
      </c>
      <c r="BU161" s="46">
        <f>=IFERROR(ROUND(BU22/$B161,0),0)</f>
        <v>0</v>
      </c>
      <c r="BV161" s="46">
        <f>=IFERROR(ROUND(BV22/$B161,0),0)</f>
        <v>0</v>
      </c>
      <c r="BW161" s="46">
        <f>=IFERROR(ROUND(BW22/$B161,0),0)</f>
        <v>0</v>
      </c>
      <c r="BX161" s="46">
        <f>=IFERROR(ROUND(BX22/$B161,0),0)</f>
        <v>0</v>
      </c>
      <c r="BY161" s="46">
        <f>=IFERROR(ROUND(BY22/$B161,0),0)</f>
        <v>0</v>
      </c>
      <c r="BZ161" s="46">
        <f>=IFERROR(ROUND(BZ22/$B161,0),0)</f>
        <v>0</v>
      </c>
      <c r="CA161" s="46">
        <f>=IFERROR(ROUND(CA22/$B161,0),0)</f>
        <v>0</v>
      </c>
      <c r="CB161" s="46">
        <f>=IFERROR(ROUND(CB22/$B161,0),0)</f>
        <v>0</v>
      </c>
      <c r="CC161" s="46">
        <f>=IFERROR(ROUND(CC22/$B161,0),0)</f>
        <v>0</v>
      </c>
      <c r="CD161" s="46">
        <f>=IFERROR(ROUND(CD22/$B161,0),0)</f>
        <v>0</v>
      </c>
      <c r="CE161" s="46">
        <f>=IFERROR(ROUND(CE22/$B161,0),0)</f>
        <v>0</v>
      </c>
      <c r="CF161" s="46">
        <f>=IFERROR(ROUND(CF22/$B161,0),0)</f>
        <v>0</v>
      </c>
      <c r="CG161" s="46">
        <f>=IFERROR(ROUND(CG22/$B161,0),0)</f>
        <v>0</v>
      </c>
      <c r="CH161" s="46">
        <f>=IFERROR(ROUND(CH22/$B161,0),0)</f>
        <v>0</v>
      </c>
      <c r="CI161" s="46">
        <f>=IFERROR(ROUND(CI22/$B161,0),0)</f>
        <v>0</v>
      </c>
      <c r="CJ161" s="46">
        <f>=IFERROR(ROUND(CJ22/$B161,0),0)</f>
        <v>0</v>
      </c>
      <c r="CK161" s="46">
        <f>=IFERROR(ROUND(CK22/$B161,0),0)</f>
        <v>0</v>
      </c>
      <c r="CL161" s="46">
        <f>=IFERROR(ROUND(CL22/$B161,0),0)</f>
        <v>0</v>
      </c>
      <c r="CM161" s="46">
        <f>=IFERROR(ROUND(CM22/$B161,0),0)</f>
        <v>0</v>
      </c>
      <c r="CN161" s="46">
        <f>=IFERROR(ROUND(CN22/$B161,0),0)</f>
        <v>0</v>
      </c>
      <c r="CO161" s="46">
        <f>=IFERROR(ROUND(CO22/$B161,0),0)</f>
        <v>0</v>
      </c>
      <c r="CP161" s="46">
        <f>=IFERROR(ROUND(CP22/$B161,0),0)</f>
        <v>0</v>
      </c>
      <c r="CQ161" s="46">
        <f>=IFERROR(ROUND(CQ22/$B161,0),0)</f>
        <v>0</v>
      </c>
      <c r="CR161" s="46">
        <f>=IFERROR(ROUND(CR22/$B161,0),0)</f>
        <v>0</v>
      </c>
      <c r="CS161" s="46">
        <f>=IFERROR(ROUND(CS22/$B161,0),0)</f>
        <v>0</v>
      </c>
      <c r="CT161" s="46">
        <f>=IFERROR(ROUND(CT22/$B161,0),0)</f>
        <v>0</v>
      </c>
      <c r="CU161" s="46">
        <f>=IFERROR(ROUND(CU22/$B161,0),0)</f>
        <v>0</v>
      </c>
      <c r="CV161" s="46">
        <f>=IFERROR(ROUND(CV22/$B161,0),0)</f>
        <v>0</v>
      </c>
      <c r="CW161" s="46">
        <f>=IFERROR(ROUND(CW22/$B161,0),0)</f>
        <v>0</v>
      </c>
      <c r="CX161" s="46">
        <f>=IFERROR(ROUND(CX22/$B161,0),0)</f>
        <v>0</v>
      </c>
      <c r="CY161" s="46">
        <f>=IFERROR(ROUND(CY22/$B161,0),0)</f>
        <v>0</v>
      </c>
      <c r="CZ161" s="46">
        <f>=IFERROR(ROUND(CZ22/$B161,0),0)</f>
        <v>0</v>
      </c>
      <c r="DA161" s="46">
        <f>=IFERROR(ROUND(DA22/$B161,0),0)</f>
        <v>0</v>
      </c>
      <c r="DB161" s="46">
        <f>=IFERROR(ROUND(DB22/$B161,0),0)</f>
        <v>0</v>
      </c>
    </row>
    <row r="162" spans="3:106" x14ac:dyDescent="0.25"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30"/>
      <c r="BP162" s="30"/>
      <c r="BQ162" s="30"/>
      <c r="BR162" s="30"/>
      <c r="BS162" s="30"/>
      <c r="BT162" s="30"/>
      <c r="BU162" s="30"/>
      <c r="BV162" s="30"/>
      <c r="BW162" s="30"/>
      <c r="BX162" s="30"/>
      <c r="BY162" s="30"/>
      <c r="BZ162" s="30"/>
      <c r="CA162" s="30"/>
      <c r="CB162" s="30"/>
      <c r="CC162" s="30"/>
      <c r="CD162" s="30"/>
      <c r="CE162" s="30"/>
      <c r="CF162" s="30"/>
      <c r="CG162" s="30"/>
      <c r="CH162" s="30"/>
      <c r="CI162" s="30"/>
      <c r="CJ162" s="30"/>
      <c r="CK162" s="30"/>
      <c r="CL162" s="30"/>
      <c r="CM162" s="30"/>
      <c r="CN162" s="30"/>
      <c r="CO162" s="30"/>
      <c r="CP162" s="30"/>
      <c r="CQ162" s="30"/>
      <c r="CR162" s="30"/>
      <c r="CS162" s="30"/>
      <c r="CT162" s="30"/>
      <c r="CU162" s="30"/>
      <c r="CV162" s="30"/>
      <c r="CW162" s="30"/>
      <c r="CX162" s="30"/>
      <c r="CY162" s="30"/>
      <c r="CZ162" s="30"/>
      <c r="DA162" s="30"/>
      <c r="DB162" s="30"/>
    </row>
    <row r="163" spans="1:106" x14ac:dyDescent="0.25">
      <c r="A163" s="33" t="s">
        <v>366</v>
      </c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/>
      <c r="BE163" s="30"/>
      <c r="BF163" s="30"/>
      <c r="BG163" s="30"/>
      <c r="BH163" s="30"/>
      <c r="BI163" s="30"/>
      <c r="BJ163" s="30"/>
      <c r="BK163" s="30"/>
      <c r="BL163" s="30"/>
      <c r="BM163" s="30"/>
      <c r="BN163" s="30"/>
      <c r="BO163" s="30"/>
      <c r="BP163" s="30"/>
      <c r="BQ163" s="30"/>
      <c r="BR163" s="30"/>
      <c r="BS163" s="30"/>
      <c r="BT163" s="30"/>
      <c r="BU163" s="30"/>
      <c r="BV163" s="30"/>
      <c r="BW163" s="30"/>
      <c r="BX163" s="30"/>
      <c r="BY163" s="30"/>
      <c r="BZ163" s="30"/>
      <c r="CA163" s="30"/>
      <c r="CB163" s="30"/>
      <c r="CC163" s="30"/>
      <c r="CD163" s="30"/>
      <c r="CE163" s="30"/>
      <c r="CF163" s="30"/>
      <c r="CG163" s="30"/>
      <c r="CH163" s="30"/>
      <c r="CI163" s="30"/>
      <c r="CJ163" s="30"/>
      <c r="CK163" s="30"/>
      <c r="CL163" s="30"/>
      <c r="CM163" s="30"/>
      <c r="CN163" s="30"/>
      <c r="CO163" s="30"/>
      <c r="CP163" s="30"/>
      <c r="CQ163" s="30"/>
      <c r="CR163" s="30"/>
      <c r="CS163" s="30"/>
      <c r="CT163" s="30"/>
      <c r="CU163" s="30"/>
      <c r="CV163" s="30"/>
      <c r="CW163" s="30"/>
      <c r="CX163" s="30"/>
      <c r="CY163" s="30"/>
      <c r="CZ163" s="30"/>
      <c r="DA163" s="30"/>
      <c r="DB163" s="30"/>
    </row>
    <row r="164" spans="1:106" x14ac:dyDescent="0.25">
      <c r="A164" s="17" t="s">
        <v>367</v>
      </c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30"/>
      <c r="BD164" s="30"/>
      <c r="BE164" s="30"/>
      <c r="BF164" s="30"/>
      <c r="BG164" s="30"/>
      <c r="BH164" s="30"/>
      <c r="BI164" s="30"/>
      <c r="BJ164" s="30"/>
      <c r="BK164" s="30"/>
      <c r="BL164" s="30"/>
      <c r="BM164" s="30"/>
      <c r="BN164" s="30"/>
      <c r="BO164" s="30"/>
      <c r="BP164" s="30"/>
      <c r="BQ164" s="30"/>
      <c r="BR164" s="30"/>
      <c r="BS164" s="30"/>
      <c r="BT164" s="30"/>
      <c r="BU164" s="30"/>
      <c r="BV164" s="30"/>
      <c r="BW164" s="30"/>
      <c r="BX164" s="30"/>
      <c r="BY164" s="30"/>
      <c r="BZ164" s="30"/>
      <c r="CA164" s="30"/>
      <c r="CB164" s="30"/>
      <c r="CC164" s="30"/>
      <c r="CD164" s="30"/>
      <c r="CE164" s="30"/>
      <c r="CF164" s="30"/>
      <c r="CG164" s="30"/>
      <c r="CH164" s="30"/>
      <c r="CI164" s="30"/>
      <c r="CJ164" s="30"/>
      <c r="CK164" s="30"/>
      <c r="CL164" s="30"/>
      <c r="CM164" s="30"/>
      <c r="CN164" s="30"/>
      <c r="CO164" s="30"/>
      <c r="CP164" s="30"/>
      <c r="CQ164" s="30"/>
      <c r="CR164" s="30"/>
      <c r="CS164" s="30"/>
      <c r="CT164" s="30"/>
      <c r="CU164" s="30"/>
      <c r="CV164" s="30"/>
      <c r="CW164" s="30"/>
      <c r="CX164" s="30"/>
      <c r="CY164" s="30"/>
      <c r="CZ164" s="30"/>
      <c r="DA164" s="30"/>
      <c r="DB164" s="30"/>
    </row>
    <row r="165" spans="1:106" x14ac:dyDescent="0.25">
      <c r="A165" s="17" t="s">
        <v>357</v>
      </c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30"/>
      <c r="BD165" s="30"/>
      <c r="BE165" s="30"/>
      <c r="BF165" s="30"/>
      <c r="BG165" s="30"/>
      <c r="BH165" s="30"/>
      <c r="BI165" s="30"/>
      <c r="BJ165" s="30"/>
      <c r="BK165" s="30"/>
      <c r="BL165" s="30"/>
      <c r="BM165" s="30"/>
      <c r="BN165" s="30"/>
      <c r="BO165" s="30"/>
      <c r="BP165" s="30"/>
      <c r="BQ165" s="30"/>
      <c r="BR165" s="30"/>
      <c r="BS165" s="30"/>
      <c r="BT165" s="30"/>
      <c r="BU165" s="30"/>
      <c r="BV165" s="30"/>
      <c r="BW165" s="30"/>
      <c r="BX165" s="30"/>
      <c r="BY165" s="30"/>
      <c r="BZ165" s="30"/>
      <c r="CA165" s="30"/>
      <c r="CB165" s="30"/>
      <c r="CC165" s="30"/>
      <c r="CD165" s="30"/>
      <c r="CE165" s="30"/>
      <c r="CF165" s="30"/>
      <c r="CG165" s="30"/>
      <c r="CH165" s="30"/>
      <c r="CI165" s="30"/>
      <c r="CJ165" s="30"/>
      <c r="CK165" s="30"/>
      <c r="CL165" s="30"/>
      <c r="CM165" s="30"/>
      <c r="CN165" s="30"/>
      <c r="CO165" s="30"/>
      <c r="CP165" s="30"/>
      <c r="CQ165" s="30"/>
      <c r="CR165" s="30"/>
      <c r="CS165" s="30"/>
      <c r="CT165" s="30"/>
      <c r="CU165" s="30"/>
      <c r="CV165" s="30"/>
      <c r="CW165" s="30"/>
      <c r="CX165" s="30"/>
      <c r="CY165" s="30"/>
      <c r="CZ165" s="30"/>
      <c r="DA165" s="30"/>
      <c r="DB165" s="30"/>
    </row>
    <row r="166" spans="1:106" x14ac:dyDescent="0.25">
      <c r="A166" s="17" t="s">
        <v>358</v>
      </c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  <c r="BA166" s="30"/>
      <c r="BB166" s="30"/>
      <c r="BC166" s="30"/>
      <c r="BD166" s="30"/>
      <c r="BE166" s="30"/>
      <c r="BF166" s="30"/>
      <c r="BG166" s="30"/>
      <c r="BH166" s="30"/>
      <c r="BI166" s="30"/>
      <c r="BJ166" s="30"/>
      <c r="BK166" s="30"/>
      <c r="BL166" s="30"/>
      <c r="BM166" s="30"/>
      <c r="BN166" s="30"/>
      <c r="BO166" s="30"/>
      <c r="BP166" s="30"/>
      <c r="BQ166" s="30"/>
      <c r="BR166" s="30"/>
      <c r="BS166" s="30"/>
      <c r="BT166" s="30"/>
      <c r="BU166" s="30"/>
      <c r="BV166" s="30"/>
      <c r="BW166" s="30"/>
      <c r="BX166" s="30"/>
      <c r="BY166" s="30"/>
      <c r="BZ166" s="30"/>
      <c r="CA166" s="30"/>
      <c r="CB166" s="30"/>
      <c r="CC166" s="30"/>
      <c r="CD166" s="30"/>
      <c r="CE166" s="30"/>
      <c r="CF166" s="30"/>
      <c r="CG166" s="30"/>
      <c r="CH166" s="30"/>
      <c r="CI166" s="30"/>
      <c r="CJ166" s="30"/>
      <c r="CK166" s="30"/>
      <c r="CL166" s="30"/>
      <c r="CM166" s="30"/>
      <c r="CN166" s="30"/>
      <c r="CO166" s="30"/>
      <c r="CP166" s="30"/>
      <c r="CQ166" s="30"/>
      <c r="CR166" s="30"/>
      <c r="CS166" s="30"/>
      <c r="CT166" s="30"/>
      <c r="CU166" s="30"/>
      <c r="CV166" s="30"/>
      <c r="CW166" s="30"/>
      <c r="CX166" s="30"/>
      <c r="CY166" s="30"/>
      <c r="CZ166" s="30"/>
      <c r="DA166" s="30"/>
      <c r="DB166" s="30"/>
    </row>
    <row r="167" spans="1:106" x14ac:dyDescent="0.25">
      <c r="A167" s="17" t="s">
        <v>359</v>
      </c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  <c r="BC167" s="30"/>
      <c r="BD167" s="30"/>
      <c r="BE167" s="30"/>
      <c r="BF167" s="30"/>
      <c r="BG167" s="30"/>
      <c r="BH167" s="30"/>
      <c r="BI167" s="30"/>
      <c r="BJ167" s="30"/>
      <c r="BK167" s="30"/>
      <c r="BL167" s="30"/>
      <c r="BM167" s="30"/>
      <c r="BN167" s="30"/>
      <c r="BO167" s="30"/>
      <c r="BP167" s="30"/>
      <c r="BQ167" s="30"/>
      <c r="BR167" s="30"/>
      <c r="BS167" s="30"/>
      <c r="BT167" s="30"/>
      <c r="BU167" s="30"/>
      <c r="BV167" s="30"/>
      <c r="BW167" s="30"/>
      <c r="BX167" s="30"/>
      <c r="BY167" s="30"/>
      <c r="BZ167" s="30"/>
      <c r="CA167" s="30"/>
      <c r="CB167" s="30"/>
      <c r="CC167" s="30"/>
      <c r="CD167" s="30"/>
      <c r="CE167" s="30"/>
      <c r="CF167" s="30"/>
      <c r="CG167" s="30"/>
      <c r="CH167" s="30"/>
      <c r="CI167" s="30"/>
      <c r="CJ167" s="30"/>
      <c r="CK167" s="30"/>
      <c r="CL167" s="30"/>
      <c r="CM167" s="30"/>
      <c r="CN167" s="30"/>
      <c r="CO167" s="30"/>
      <c r="CP167" s="30"/>
      <c r="CQ167" s="30"/>
      <c r="CR167" s="30"/>
      <c r="CS167" s="30"/>
      <c r="CT167" s="30"/>
      <c r="CU167" s="30"/>
      <c r="CV167" s="30"/>
      <c r="CW167" s="30"/>
      <c r="CX167" s="30"/>
      <c r="CY167" s="30"/>
      <c r="CZ167" s="30"/>
      <c r="DA167" s="30"/>
      <c r="DB167" s="30"/>
    </row>
    <row r="168" spans="1:106" x14ac:dyDescent="0.25">
      <c r="A168" s="17" t="s">
        <v>360</v>
      </c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  <c r="BA168" s="30"/>
      <c r="BB168" s="30"/>
      <c r="BC168" s="30"/>
      <c r="BD168" s="30"/>
      <c r="BE168" s="30"/>
      <c r="BF168" s="30"/>
      <c r="BG168" s="30"/>
      <c r="BH168" s="30"/>
      <c r="BI168" s="30"/>
      <c r="BJ168" s="30"/>
      <c r="BK168" s="30"/>
      <c r="BL168" s="30"/>
      <c r="BM168" s="30"/>
      <c r="BN168" s="30"/>
      <c r="BO168" s="30"/>
      <c r="BP168" s="30"/>
      <c r="BQ168" s="30"/>
      <c r="BR168" s="30"/>
      <c r="BS168" s="30"/>
      <c r="BT168" s="30"/>
      <c r="BU168" s="30"/>
      <c r="BV168" s="30"/>
      <c r="BW168" s="30"/>
      <c r="BX168" s="30"/>
      <c r="BY168" s="30"/>
      <c r="BZ168" s="30"/>
      <c r="CA168" s="30"/>
      <c r="CB168" s="30"/>
      <c r="CC168" s="30"/>
      <c r="CD168" s="30"/>
      <c r="CE168" s="30"/>
      <c r="CF168" s="30"/>
      <c r="CG168" s="30"/>
      <c r="CH168" s="30"/>
      <c r="CI168" s="30"/>
      <c r="CJ168" s="30"/>
      <c r="CK168" s="30"/>
      <c r="CL168" s="30"/>
      <c r="CM168" s="30"/>
      <c r="CN168" s="30"/>
      <c r="CO168" s="30"/>
      <c r="CP168" s="30"/>
      <c r="CQ168" s="30"/>
      <c r="CR168" s="30"/>
      <c r="CS168" s="30"/>
      <c r="CT168" s="30"/>
      <c r="CU168" s="30"/>
      <c r="CV168" s="30"/>
      <c r="CW168" s="30"/>
      <c r="CX168" s="30"/>
      <c r="CY168" s="30"/>
      <c r="CZ168" s="30"/>
      <c r="DA168" s="30"/>
      <c r="DB168" s="30"/>
    </row>
    <row r="169" spans="1:106" x14ac:dyDescent="0.25">
      <c r="A169" s="17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  <c r="BA169" s="30"/>
      <c r="BB169" s="30"/>
      <c r="BC169" s="30"/>
      <c r="BD169" s="30"/>
      <c r="BE169" s="30"/>
      <c r="BF169" s="30"/>
      <c r="BG169" s="30"/>
      <c r="BH169" s="30"/>
      <c r="BI169" s="30"/>
      <c r="BJ169" s="30"/>
      <c r="BK169" s="30"/>
      <c r="BL169" s="30"/>
      <c r="BM169" s="30"/>
      <c r="BN169" s="30"/>
      <c r="BO169" s="30"/>
      <c r="BP169" s="30"/>
      <c r="BQ169" s="30"/>
      <c r="BR169" s="30"/>
      <c r="BS169" s="30"/>
      <c r="BT169" s="30"/>
      <c r="BU169" s="30"/>
      <c r="BV169" s="30"/>
      <c r="BW169" s="30"/>
      <c r="BX169" s="30"/>
      <c r="BY169" s="30"/>
      <c r="BZ169" s="30"/>
      <c r="CA169" s="30"/>
      <c r="CB169" s="30"/>
      <c r="CC169" s="30"/>
      <c r="CD169" s="30"/>
      <c r="CE169" s="30"/>
      <c r="CF169" s="30"/>
      <c r="CG169" s="30"/>
      <c r="CH169" s="30"/>
      <c r="CI169" s="30"/>
      <c r="CJ169" s="30"/>
      <c r="CK169" s="30"/>
      <c r="CL169" s="30"/>
      <c r="CM169" s="30"/>
      <c r="CN169" s="30"/>
      <c r="CO169" s="30"/>
      <c r="CP169" s="30"/>
      <c r="CQ169" s="30"/>
      <c r="CR169" s="30"/>
      <c r="CS169" s="30"/>
      <c r="CT169" s="30"/>
      <c r="CU169" s="30"/>
      <c r="CV169" s="30"/>
      <c r="CW169" s="30"/>
      <c r="CX169" s="30"/>
      <c r="CY169" s="30"/>
      <c r="CZ169" s="30"/>
      <c r="DA169" s="30"/>
      <c r="DB169" s="30"/>
    </row>
    <row r="170" spans="1:106" x14ac:dyDescent="0.25">
      <c r="A170" s="33" t="s">
        <v>368</v>
      </c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  <c r="BF170" s="30"/>
      <c r="BG170" s="30"/>
      <c r="BH170" s="30"/>
      <c r="BI170" s="30"/>
      <c r="BJ170" s="30"/>
      <c r="BK170" s="30"/>
      <c r="BL170" s="30"/>
      <c r="BM170" s="30"/>
      <c r="BN170" s="30"/>
      <c r="BO170" s="30"/>
      <c r="BP170" s="30"/>
      <c r="BQ170" s="30"/>
      <c r="BR170" s="30"/>
      <c r="BS170" s="30"/>
      <c r="BT170" s="30"/>
      <c r="BU170" s="30"/>
      <c r="BV170" s="30"/>
      <c r="BW170" s="30"/>
      <c r="BX170" s="30"/>
      <c r="BY170" s="30"/>
      <c r="BZ170" s="30"/>
      <c r="CA170" s="30"/>
      <c r="CB170" s="30"/>
      <c r="CC170" s="30"/>
      <c r="CD170" s="30"/>
      <c r="CE170" s="30"/>
      <c r="CF170" s="30"/>
      <c r="CG170" s="30"/>
      <c r="CH170" s="30"/>
      <c r="CI170" s="30"/>
      <c r="CJ170" s="30"/>
      <c r="CK170" s="30"/>
      <c r="CL170" s="30"/>
      <c r="CM170" s="30"/>
      <c r="CN170" s="30"/>
      <c r="CO170" s="30"/>
      <c r="CP170" s="30"/>
      <c r="CQ170" s="30"/>
      <c r="CR170" s="30"/>
      <c r="CS170" s="30"/>
      <c r="CT170" s="30"/>
      <c r="CU170" s="30"/>
      <c r="CV170" s="30"/>
      <c r="CW170" s="30"/>
      <c r="CX170" s="30"/>
      <c r="CY170" s="30"/>
      <c r="CZ170" s="30"/>
      <c r="DA170" s="30"/>
      <c r="DB170" s="30"/>
    </row>
    <row r="171" spans="1:106" x14ac:dyDescent="0.25">
      <c r="A171" s="17" t="s">
        <v>367</v>
      </c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  <c r="BA171" s="30"/>
      <c r="BB171" s="30"/>
      <c r="BC171" s="30"/>
      <c r="BD171" s="30"/>
      <c r="BE171" s="30"/>
      <c r="BF171" s="30"/>
      <c r="BG171" s="30"/>
      <c r="BH171" s="30"/>
      <c r="BI171" s="30"/>
      <c r="BJ171" s="30"/>
      <c r="BK171" s="30"/>
      <c r="BL171" s="30"/>
      <c r="BM171" s="30"/>
      <c r="BN171" s="30"/>
      <c r="BO171" s="30"/>
      <c r="BP171" s="30"/>
      <c r="BQ171" s="30"/>
      <c r="BR171" s="30"/>
      <c r="BS171" s="30"/>
      <c r="BT171" s="30"/>
      <c r="BU171" s="30"/>
      <c r="BV171" s="30"/>
      <c r="BW171" s="30"/>
      <c r="BX171" s="30"/>
      <c r="BY171" s="30"/>
      <c r="BZ171" s="30"/>
      <c r="CA171" s="30"/>
      <c r="CB171" s="30"/>
      <c r="CC171" s="30"/>
      <c r="CD171" s="30"/>
      <c r="CE171" s="30"/>
      <c r="CF171" s="30"/>
      <c r="CG171" s="30"/>
      <c r="CH171" s="30"/>
      <c r="CI171" s="30"/>
      <c r="CJ171" s="30"/>
      <c r="CK171" s="30"/>
      <c r="CL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</row>
    <row r="172" spans="1:106" x14ac:dyDescent="0.25">
      <c r="A172" s="17" t="s">
        <v>357</v>
      </c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  <c r="BA172" s="30"/>
      <c r="BB172" s="30"/>
      <c r="BC172" s="30"/>
      <c r="BD172" s="30"/>
      <c r="BE172" s="30"/>
      <c r="BF172" s="30"/>
      <c r="BG172" s="30"/>
      <c r="BH172" s="30"/>
      <c r="BI172" s="30"/>
      <c r="BJ172" s="30"/>
      <c r="BK172" s="30"/>
      <c r="BL172" s="30"/>
      <c r="BM172" s="30"/>
      <c r="BN172" s="30"/>
      <c r="BO172" s="30"/>
      <c r="BP172" s="30"/>
      <c r="BQ172" s="30"/>
      <c r="BR172" s="30"/>
      <c r="BS172" s="30"/>
      <c r="BT172" s="30"/>
      <c r="BU172" s="30"/>
      <c r="BV172" s="30"/>
      <c r="BW172" s="30"/>
      <c r="BX172" s="30"/>
      <c r="BY172" s="30"/>
      <c r="BZ172" s="30"/>
      <c r="CA172" s="30"/>
      <c r="CB172" s="30"/>
      <c r="CC172" s="30"/>
      <c r="CD172" s="30"/>
      <c r="CE172" s="30"/>
      <c r="CF172" s="30"/>
      <c r="CG172" s="30"/>
      <c r="CH172" s="30"/>
      <c r="CI172" s="30"/>
      <c r="CJ172" s="30"/>
      <c r="CK172" s="30"/>
      <c r="CL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</row>
    <row r="173" spans="1:106" x14ac:dyDescent="0.25">
      <c r="A173" s="17" t="s">
        <v>358</v>
      </c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  <c r="BA173" s="30"/>
      <c r="BB173" s="30"/>
      <c r="BC173" s="30"/>
      <c r="BD173" s="30"/>
      <c r="BE173" s="30"/>
      <c r="BF173" s="30"/>
      <c r="BG173" s="30"/>
      <c r="BH173" s="30"/>
      <c r="BI173" s="30"/>
      <c r="BJ173" s="30"/>
      <c r="BK173" s="30"/>
      <c r="BL173" s="30"/>
      <c r="BM173" s="30"/>
      <c r="BN173" s="30"/>
      <c r="BO173" s="30"/>
      <c r="BP173" s="30"/>
      <c r="BQ173" s="30"/>
      <c r="BR173" s="30"/>
      <c r="BS173" s="30"/>
      <c r="BT173" s="30"/>
      <c r="BU173" s="30"/>
      <c r="BV173" s="30"/>
      <c r="BW173" s="30"/>
      <c r="BX173" s="30"/>
      <c r="BY173" s="30"/>
      <c r="BZ173" s="30"/>
      <c r="CA173" s="30"/>
      <c r="CB173" s="30"/>
      <c r="CC173" s="30"/>
      <c r="CD173" s="30"/>
      <c r="CE173" s="30"/>
      <c r="CF173" s="30"/>
      <c r="CG173" s="30"/>
      <c r="CH173" s="30"/>
      <c r="CI173" s="30"/>
      <c r="CJ173" s="30"/>
      <c r="CK173" s="30"/>
      <c r="CL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</row>
    <row r="174" spans="1:106" x14ac:dyDescent="0.25">
      <c r="A174" s="17" t="s">
        <v>359</v>
      </c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  <c r="BA174" s="30"/>
      <c r="BB174" s="30"/>
      <c r="BC174" s="30"/>
      <c r="BD174" s="30"/>
      <c r="BE174" s="30"/>
      <c r="BF174" s="30"/>
      <c r="BG174" s="30"/>
      <c r="BH174" s="30"/>
      <c r="BI174" s="30"/>
      <c r="BJ174" s="30"/>
      <c r="BK174" s="30"/>
      <c r="BL174" s="30"/>
      <c r="BM174" s="30"/>
      <c r="BN174" s="30"/>
      <c r="BO174" s="30"/>
      <c r="BP174" s="30"/>
      <c r="BQ174" s="30"/>
      <c r="BR174" s="30"/>
      <c r="BS174" s="30"/>
      <c r="BT174" s="30"/>
      <c r="BU174" s="30"/>
      <c r="BV174" s="30"/>
      <c r="BW174" s="30"/>
      <c r="BX174" s="30"/>
      <c r="BY174" s="30"/>
      <c r="BZ174" s="30"/>
      <c r="CA174" s="30"/>
      <c r="CB174" s="30"/>
      <c r="CC174" s="30"/>
      <c r="CD174" s="30"/>
      <c r="CE174" s="30"/>
      <c r="CF174" s="30"/>
      <c r="CG174" s="30"/>
      <c r="CH174" s="30"/>
      <c r="CI174" s="30"/>
      <c r="CJ174" s="30"/>
      <c r="CK174" s="30"/>
      <c r="CL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</row>
    <row r="175" spans="1:106" x14ac:dyDescent="0.25">
      <c r="A175" s="17" t="s">
        <v>360</v>
      </c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  <c r="BA175" s="30"/>
      <c r="BB175" s="30"/>
      <c r="BC175" s="30"/>
      <c r="BD175" s="30"/>
      <c r="BE175" s="30"/>
      <c r="BF175" s="30"/>
      <c r="BG175" s="30"/>
      <c r="BH175" s="30"/>
      <c r="BI175" s="30"/>
      <c r="BJ175" s="30"/>
      <c r="BK175" s="30"/>
      <c r="BL175" s="30"/>
      <c r="BM175" s="30"/>
      <c r="BN175" s="30"/>
      <c r="BO175" s="30"/>
      <c r="BP175" s="30"/>
      <c r="BQ175" s="30"/>
      <c r="BR175" s="30"/>
      <c r="BS175" s="30"/>
      <c r="BT175" s="30"/>
      <c r="BU175" s="30"/>
      <c r="BV175" s="30"/>
      <c r="BW175" s="30"/>
      <c r="BX175" s="30"/>
      <c r="BY175" s="30"/>
      <c r="BZ175" s="30"/>
      <c r="CA175" s="30"/>
      <c r="CB175" s="30"/>
      <c r="CC175" s="30"/>
      <c r="CD175" s="30"/>
      <c r="CE175" s="30"/>
      <c r="CF175" s="30"/>
      <c r="CG175" s="30"/>
      <c r="CH175" s="30"/>
      <c r="CI175" s="30"/>
      <c r="CJ175" s="30"/>
      <c r="CK175" s="30"/>
      <c r="CL175" s="30"/>
      <c r="CM175" s="30"/>
      <c r="CN175" s="30"/>
      <c r="CO175" s="30"/>
      <c r="CP175" s="30"/>
      <c r="CQ175" s="30"/>
      <c r="CR175" s="30"/>
      <c r="CS175" s="30"/>
      <c r="CT175" s="30"/>
      <c r="CU175" s="30"/>
      <c r="CV175" s="30"/>
      <c r="CW175" s="30"/>
      <c r="CX175" s="30"/>
      <c r="CY175" s="30"/>
      <c r="CZ175" s="30"/>
      <c r="DA175" s="30"/>
      <c r="DB175" s="30"/>
    </row>
    <row r="176" spans="3:106" x14ac:dyDescent="0.25"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  <c r="BA176" s="30"/>
      <c r="BB176" s="30"/>
      <c r="BC176" s="30"/>
      <c r="BD176" s="30"/>
      <c r="BE176" s="30"/>
      <c r="BF176" s="30"/>
      <c r="BG176" s="30"/>
      <c r="BH176" s="30"/>
      <c r="BI176" s="30"/>
      <c r="BJ176" s="30"/>
      <c r="BK176" s="30"/>
      <c r="BL176" s="30"/>
      <c r="BM176" s="30"/>
      <c r="BN176" s="30"/>
      <c r="BO176" s="30"/>
      <c r="BP176" s="30"/>
      <c r="BQ176" s="30"/>
      <c r="BR176" s="30"/>
      <c r="BS176" s="30"/>
      <c r="BT176" s="30"/>
      <c r="BU176" s="30"/>
      <c r="BV176" s="30"/>
      <c r="BW176" s="30"/>
      <c r="BX176" s="30"/>
      <c r="BY176" s="30"/>
      <c r="BZ176" s="30"/>
      <c r="CA176" s="30"/>
      <c r="CB176" s="30"/>
      <c r="CC176" s="30"/>
      <c r="CD176" s="30"/>
      <c r="CE176" s="30"/>
      <c r="CF176" s="30"/>
      <c r="CG176" s="30"/>
      <c r="CH176" s="30"/>
      <c r="CI176" s="30"/>
      <c r="CJ176" s="30"/>
      <c r="CK176" s="30"/>
      <c r="CL176" s="30"/>
      <c r="CM176" s="30"/>
      <c r="CN176" s="30"/>
      <c r="CO176" s="30"/>
      <c r="CP176" s="30"/>
      <c r="CQ176" s="30"/>
      <c r="CR176" s="30"/>
      <c r="CS176" s="30"/>
      <c r="CT176" s="30"/>
      <c r="CU176" s="30"/>
      <c r="CV176" s="30"/>
      <c r="CW176" s="30"/>
      <c r="CX176" s="30"/>
      <c r="CY176" s="30"/>
      <c r="CZ176" s="30"/>
      <c r="DA176" s="30"/>
      <c r="DB176" s="30"/>
    </row>
    <row r="177" spans="3:106" x14ac:dyDescent="0.25"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  <c r="AW177" s="30"/>
      <c r="AX177" s="30"/>
      <c r="AY177" s="30"/>
      <c r="AZ177" s="30"/>
      <c r="BA177" s="30"/>
      <c r="BB177" s="30"/>
      <c r="BC177" s="30"/>
      <c r="BD177" s="30"/>
      <c r="BE177" s="30"/>
      <c r="BF177" s="30"/>
      <c r="BG177" s="30"/>
      <c r="BH177" s="30"/>
      <c r="BI177" s="30"/>
      <c r="BJ177" s="30"/>
      <c r="BK177" s="30"/>
      <c r="BL177" s="30"/>
      <c r="BM177" s="30"/>
      <c r="BN177" s="30"/>
      <c r="BO177" s="30"/>
      <c r="BP177" s="30"/>
      <c r="BQ177" s="30"/>
      <c r="BR177" s="30"/>
      <c r="BS177" s="30"/>
      <c r="BT177" s="30"/>
      <c r="BU177" s="30"/>
      <c r="BV177" s="30"/>
      <c r="BW177" s="30"/>
      <c r="BX177" s="30"/>
      <c r="BY177" s="30"/>
      <c r="BZ177" s="30"/>
      <c r="CA177" s="30"/>
      <c r="CB177" s="30"/>
      <c r="CC177" s="30"/>
      <c r="CD177" s="30"/>
      <c r="CE177" s="30"/>
      <c r="CF177" s="30"/>
      <c r="CG177" s="30"/>
      <c r="CH177" s="30"/>
      <c r="CI177" s="30"/>
      <c r="CJ177" s="30"/>
      <c r="CK177" s="30"/>
      <c r="CL177" s="30"/>
      <c r="CM177" s="30"/>
      <c r="CN177" s="30"/>
      <c r="CO177" s="30"/>
      <c r="CP177" s="30"/>
      <c r="CQ177" s="30"/>
      <c r="CR177" s="30"/>
      <c r="CS177" s="30"/>
      <c r="CT177" s="30"/>
      <c r="CU177" s="30"/>
      <c r="CV177" s="30"/>
      <c r="CW177" s="30"/>
      <c r="CX177" s="30"/>
      <c r="CY177" s="30"/>
      <c r="CZ177" s="30"/>
      <c r="DA177" s="30"/>
      <c r="DB177" s="30"/>
    </row>
    <row r="178" spans="3:106" x14ac:dyDescent="0.25"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/>
      <c r="AZ178" s="30"/>
      <c r="BA178" s="30"/>
      <c r="BB178" s="30"/>
      <c r="BC178" s="30"/>
      <c r="BD178" s="30"/>
      <c r="BE178" s="30"/>
      <c r="BF178" s="30"/>
      <c r="BG178" s="30"/>
      <c r="BH178" s="30"/>
      <c r="BI178" s="30"/>
      <c r="BJ178" s="30"/>
      <c r="BK178" s="30"/>
      <c r="BL178" s="30"/>
      <c r="BM178" s="30"/>
      <c r="BN178" s="30"/>
      <c r="BO178" s="30"/>
      <c r="BP178" s="30"/>
      <c r="BQ178" s="30"/>
      <c r="BR178" s="30"/>
      <c r="BS178" s="30"/>
      <c r="BT178" s="30"/>
      <c r="BU178" s="30"/>
      <c r="BV178" s="30"/>
      <c r="BW178" s="30"/>
      <c r="BX178" s="30"/>
      <c r="BY178" s="30"/>
      <c r="BZ178" s="30"/>
      <c r="CA178" s="30"/>
      <c r="CB178" s="30"/>
      <c r="CC178" s="30"/>
      <c r="CD178" s="30"/>
      <c r="CE178" s="30"/>
      <c r="CF178" s="30"/>
      <c r="CG178" s="30"/>
      <c r="CH178" s="30"/>
      <c r="CI178" s="30"/>
      <c r="CJ178" s="30"/>
      <c r="CK178" s="30"/>
      <c r="CL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</row>
    <row r="179" spans="1:106" x14ac:dyDescent="0.25">
      <c r="A179" s="17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  <c r="AP179" s="30"/>
      <c r="AQ179" s="30"/>
      <c r="AR179" s="30"/>
      <c r="AS179" s="30"/>
      <c r="AT179" s="30"/>
      <c r="AU179" s="30"/>
      <c r="AV179" s="30"/>
      <c r="AW179" s="30"/>
      <c r="AX179" s="30"/>
      <c r="AY179" s="30"/>
      <c r="AZ179" s="30"/>
      <c r="BA179" s="30"/>
      <c r="BB179" s="30"/>
      <c r="BC179" s="30"/>
      <c r="BD179" s="30"/>
      <c r="BE179" s="30"/>
      <c r="BF179" s="30"/>
      <c r="BG179" s="30"/>
      <c r="BH179" s="30"/>
      <c r="BI179" s="30"/>
      <c r="BJ179" s="30"/>
      <c r="BK179" s="30"/>
      <c r="BL179" s="30"/>
      <c r="BM179" s="30"/>
      <c r="BN179" s="30"/>
      <c r="BO179" s="30"/>
      <c r="BP179" s="30"/>
      <c r="BQ179" s="30"/>
      <c r="BR179" s="30"/>
      <c r="BS179" s="30"/>
      <c r="BT179" s="30"/>
      <c r="BU179" s="30"/>
      <c r="BV179" s="30"/>
      <c r="BW179" s="30"/>
      <c r="BX179" s="30"/>
      <c r="BY179" s="30"/>
      <c r="BZ179" s="30"/>
      <c r="CA179" s="30"/>
      <c r="CB179" s="30"/>
      <c r="CC179" s="30"/>
      <c r="CD179" s="30"/>
      <c r="CE179" s="30"/>
      <c r="CF179" s="30"/>
      <c r="CG179" s="30"/>
      <c r="CH179" s="30"/>
      <c r="CI179" s="30"/>
      <c r="CJ179" s="30"/>
      <c r="CK179" s="30"/>
      <c r="CL179" s="30"/>
      <c r="CM179" s="30"/>
      <c r="CN179" s="30"/>
      <c r="CO179" s="30"/>
      <c r="CP179" s="30"/>
      <c r="CQ179" s="30"/>
      <c r="CR179" s="30"/>
      <c r="CS179" s="30"/>
      <c r="CT179" s="30"/>
      <c r="CU179" s="30"/>
      <c r="CV179" s="30"/>
      <c r="CW179" s="30"/>
      <c r="CX179" s="30"/>
      <c r="CY179" s="30"/>
      <c r="CZ179" s="30"/>
      <c r="DA179" s="30"/>
      <c r="DB179" s="30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179"/>
  <sheetFormatPr defaultRowHeight="15" outlineLevelRow="0" outlineLevelCol="0" x14ac:dyDescent="55"/>
  <cols>
    <col min="1" max="1" width="33" customWidth="1"/>
    <col min="2" max="2" width="17" customWidth="1"/>
    <col min="3" max="3" width="11" customWidth="1"/>
  </cols>
  <sheetData>
    <row r="1" ht="17" customHeight="1" spans="1:106" x14ac:dyDescent="0.25">
      <c r="A1" s="1" t="s">
        <v>371</v>
      </c>
      <c r="B1" t="s">
        <v>1</v>
      </c>
      <c r="C1" t="s">
        <v>2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2</v>
      </c>
      <c r="X1" t="s">
        <v>2</v>
      </c>
      <c r="Y1" t="s">
        <v>2</v>
      </c>
      <c r="Z1" t="s">
        <v>2</v>
      </c>
      <c r="AA1" t="s">
        <v>2</v>
      </c>
      <c r="AB1" t="s">
        <v>2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 t="s">
        <v>2</v>
      </c>
      <c r="AI1" t="s">
        <v>2</v>
      </c>
      <c r="AJ1" t="s">
        <v>2</v>
      </c>
      <c r="AK1" t="s">
        <v>2</v>
      </c>
      <c r="AL1" t="s">
        <v>2</v>
      </c>
      <c r="AM1" t="s">
        <v>2</v>
      </c>
      <c r="AN1" t="s">
        <v>2</v>
      </c>
      <c r="AO1" t="s">
        <v>2</v>
      </c>
      <c r="AP1" t="s">
        <v>2</v>
      </c>
      <c r="AQ1" t="s">
        <v>2</v>
      </c>
      <c r="AR1" t="s">
        <v>2</v>
      </c>
      <c r="AS1" t="s">
        <v>2</v>
      </c>
      <c r="AT1" t="s">
        <v>2</v>
      </c>
      <c r="AU1" t="s">
        <v>2</v>
      </c>
      <c r="AV1" t="s">
        <v>2</v>
      </c>
      <c r="AW1" t="s">
        <v>2</v>
      </c>
      <c r="AX1" t="s">
        <v>2</v>
      </c>
      <c r="AY1" t="s">
        <v>2</v>
      </c>
      <c r="AZ1" t="s">
        <v>2</v>
      </c>
      <c r="BA1" t="s">
        <v>2</v>
      </c>
      <c r="BB1" t="s">
        <v>2</v>
      </c>
      <c r="BC1" t="s">
        <v>2</v>
      </c>
      <c r="BD1" t="s">
        <v>2</v>
      </c>
      <c r="BE1" t="s">
        <v>2</v>
      </c>
      <c r="BF1" t="s">
        <v>2</v>
      </c>
      <c r="BG1" t="s">
        <v>2</v>
      </c>
      <c r="BH1" t="s">
        <v>2</v>
      </c>
      <c r="BI1" t="s">
        <v>2</v>
      </c>
      <c r="BJ1" t="s">
        <v>2</v>
      </c>
      <c r="BK1" t="s">
        <v>2</v>
      </c>
      <c r="BL1" t="s">
        <v>2</v>
      </c>
      <c r="BM1" t="s">
        <v>2</v>
      </c>
      <c r="BN1" t="s">
        <v>2</v>
      </c>
      <c r="BO1" t="s">
        <v>2</v>
      </c>
      <c r="BP1" t="s">
        <v>2</v>
      </c>
      <c r="BQ1" t="s">
        <v>2</v>
      </c>
      <c r="BR1" t="s">
        <v>2</v>
      </c>
      <c r="BS1" t="s">
        <v>2</v>
      </c>
      <c r="BT1" t="s">
        <v>2</v>
      </c>
      <c r="BU1" t="s">
        <v>2</v>
      </c>
      <c r="BV1" t="s">
        <v>2</v>
      </c>
      <c r="BW1" t="s">
        <v>2</v>
      </c>
      <c r="BX1" t="s">
        <v>2</v>
      </c>
      <c r="BY1" t="s">
        <v>2</v>
      </c>
      <c r="BZ1" t="s">
        <v>2</v>
      </c>
      <c r="CA1" t="s">
        <v>2</v>
      </c>
      <c r="CB1" t="s">
        <v>2</v>
      </c>
      <c r="CC1" t="s">
        <v>2</v>
      </c>
      <c r="CD1" t="s">
        <v>2</v>
      </c>
      <c r="CE1" t="s">
        <v>2</v>
      </c>
      <c r="CF1" t="s">
        <v>2</v>
      </c>
      <c r="CG1" t="s">
        <v>2</v>
      </c>
      <c r="CH1" t="s">
        <v>2</v>
      </c>
      <c r="CI1" t="s">
        <v>2</v>
      </c>
      <c r="CJ1" t="s">
        <v>2</v>
      </c>
      <c r="CK1" t="s">
        <v>2</v>
      </c>
      <c r="CL1" t="s">
        <v>2</v>
      </c>
      <c r="CM1" t="s">
        <v>2</v>
      </c>
      <c r="CN1" t="s">
        <v>2</v>
      </c>
      <c r="CO1" t="s">
        <v>2</v>
      </c>
      <c r="CP1" t="s">
        <v>2</v>
      </c>
      <c r="CQ1" t="s">
        <v>2</v>
      </c>
      <c r="CR1" t="s">
        <v>2</v>
      </c>
      <c r="CS1" t="s">
        <v>2</v>
      </c>
      <c r="CT1" t="s">
        <v>2</v>
      </c>
      <c r="CU1" t="s">
        <v>2</v>
      </c>
      <c r="CV1" t="s">
        <v>2</v>
      </c>
      <c r="CW1" t="s">
        <v>2</v>
      </c>
      <c r="CX1" t="s">
        <v>2</v>
      </c>
      <c r="CY1" t="s">
        <v>2</v>
      </c>
      <c r="CZ1" t="s">
        <v>2</v>
      </c>
      <c r="DA1" t="s">
        <v>2</v>
      </c>
      <c r="DB1" t="s">
        <v>2</v>
      </c>
    </row>
    <row r="2" ht="14" customHeight="1" spans="1:106" x14ac:dyDescent="0.25">
      <c r="B2" t="s">
        <v>3</v>
      </c>
      <c r="C2" s="2">
        <f>=TODAY()</f>
        <v>45972</v>
      </c>
      <c r="D2" t="str">
        <f>=IF(C2="Current WK","Next Week",IF(DATEVALUE(D4)=$C$2-WEEKDAY($C$2,1)+1,"Current WK",""))</f>
        <v/>
      </c>
      <c r="E2" t="str">
        <f>=IF(D2="Current WK","Next Week",IF(DATEVALUE(E4)=$C$2-WEEKDAY($C$2,1)+1,"Current WK",""))</f>
        <v/>
      </c>
      <c r="F2" t="str">
        <f>=IF(E2="Current WK","Next Week",IF(DATEVALUE(F4)=$C$2-WEEKDAY($C$2,1)+1,"Current WK",""))</f>
        <v/>
      </c>
      <c r="G2" t="str">
        <f>=IF(F2="Current WK","Next Week",IF(DATEVALUE(G4)=$C$2-WEEKDAY($C$2,1)+1,"Current WK",""))</f>
        <v/>
      </c>
      <c r="H2" t="str">
        <f>=IF(G2="Current WK","Next Week",IF(DATEVALUE(H4)=$C$2-WEEKDAY($C$2,1)+1,"Current WK",""))</f>
        <v/>
      </c>
      <c r="I2" t="str">
        <f>=IF(H2="Current WK","Next Week",IF(DATEVALUE(I4)=$C$2-WEEKDAY($C$2,1)+1,"Current WK",""))</f>
        <v/>
      </c>
      <c r="J2" t="str">
        <f>=IF(I2="Current WK","Next Week",IF(DATEVALUE(J4)=$C$2-WEEKDAY($C$2,1)+1,"Current WK",""))</f>
        <v/>
      </c>
      <c r="K2" t="str">
        <f>=IF(J2="Current WK","Next Week",IF(DATEVALUE(K4)=$C$2-WEEKDAY($C$2,1)+1,"Current WK",""))</f>
        <v/>
      </c>
      <c r="L2" t="str">
        <f>=IF(K2="Current WK","Next Week",IF(DATEVALUE(L4)=$C$2-WEEKDAY($C$2,1)+1,"Current WK",""))</f>
        <v/>
      </c>
      <c r="M2" t="str">
        <f>=IF(L2="Current WK","Next Week",IF(DATEVALUE(M4)=$C$2-WEEKDAY($C$2,1)+1,"Current WK",""))</f>
        <v/>
      </c>
      <c r="N2" t="str">
        <f>=IF(M2="Current WK","Next Week",IF(DATEVALUE(N4)=$C$2-WEEKDAY($C$2,1)+1,"Current WK",""))</f>
        <v/>
      </c>
      <c r="O2" t="str">
        <f>=IF(N2="Current WK","Next Week",IF(DATEVALUE(O4)=$C$2-WEEKDAY($C$2,1)+1,"Current WK",""))</f>
        <v/>
      </c>
      <c r="P2" t="str">
        <f>=IF(O2="Current WK","Next Week",IF(DATEVALUE(P4)=$C$2-WEEKDAY($C$2,1)+1,"Current WK",""))</f>
        <v/>
      </c>
      <c r="Q2" t="str">
        <f>=IF(P2="Current WK","Next Week",IF(DATEVALUE(Q4)=$C$2-WEEKDAY($C$2,1)+1,"Current WK",""))</f>
        <v/>
      </c>
      <c r="R2" t="str">
        <f>=IF(Q2="Current WK","Next Week",IF(DATEVALUE(R4)=$C$2-WEEKDAY($C$2,1)+1,"Current WK",""))</f>
        <v/>
      </c>
      <c r="S2" t="str">
        <f>=IF(R2="Current WK","Next Week",IF(DATEVALUE(S4)=$C$2-WEEKDAY($C$2,1)+1,"Current WK",""))</f>
        <v/>
      </c>
      <c r="T2" t="str">
        <f>=IF(S2="Current WK","Next Week",IF(DATEVALUE(T4)=$C$2-WEEKDAY($C$2,1)+1,"Current WK",""))</f>
        <v/>
      </c>
      <c r="U2" t="str">
        <f>=IF(T2="Current WK","Next Week",IF(DATEVALUE(U4)=$C$2-WEEKDAY($C$2,1)+1,"Current WK",""))</f>
        <v/>
      </c>
      <c r="V2" t="str">
        <f>=IF(U2="Current WK","Next Week",IF(DATEVALUE(V4)=$C$2-WEEKDAY($C$2,1)+1,"Current WK",""))</f>
        <v/>
      </c>
      <c r="W2" t="str">
        <f>=IF(V2="Current WK","Next Week",IF(DATEVALUE(W4)=$C$2-WEEKDAY($C$2,1)+1,"Current WK",""))</f>
        <v/>
      </c>
      <c r="X2" t="str">
        <f>=IF(W2="Current WK","Next Week",IF(DATEVALUE(X4)=$C$2-WEEKDAY($C$2,1)+1,"Current WK",""))</f>
        <v/>
      </c>
      <c r="Y2" t="str">
        <f>=IF(X2="Current WK","Next Week",IF(DATEVALUE(Y4)=$C$2-WEEKDAY($C$2,1)+1,"Current WK",""))</f>
        <v/>
      </c>
      <c r="Z2" t="str">
        <f>=IF(Y2="Current WK","Next Week",IF(DATEVALUE(Z4)=$C$2-WEEKDAY($C$2,1)+1,"Current WK",""))</f>
        <v/>
      </c>
      <c r="AA2" t="str">
        <f>=IF(Z2="Current WK","Next Week",IF(DATEVALUE(AA4)=$C$2-WEEKDAY($C$2,1)+1,"Current WK",""))</f>
        <v/>
      </c>
      <c r="AB2" t="str">
        <f>=IF(AA2="Current WK","Next Week",IF(DATEVALUE(AB4)=$C$2-WEEKDAY($C$2,1)+1,"Current WK",""))</f>
        <v/>
      </c>
      <c r="AC2" t="str">
        <f>=IF(AB2="Current WK","Next Week",IF(DATEVALUE(AC4)=$C$2-WEEKDAY($C$2,1)+1,"Current WK",""))</f>
        <v/>
      </c>
      <c r="AD2" t="str">
        <f>=IF(AC2="Current WK","Next Week",IF(DATEVALUE(AD4)=$C$2-WEEKDAY($C$2,1)+1,"Current WK",""))</f>
        <v/>
      </c>
      <c r="AE2" t="str">
        <f>=IF(AD2="Current WK","Next Week",IF(DATEVALUE(AE4)=$C$2-WEEKDAY($C$2,1)+1,"Current WK",""))</f>
        <v/>
      </c>
      <c r="AF2" t="str">
        <f>=IF(AE2="Current WK","Next Week",IF(DATEVALUE(AF4)=$C$2-WEEKDAY($C$2,1)+1,"Current WK",""))</f>
        <v/>
      </c>
      <c r="AG2" t="str">
        <f>=IF(AF2="Current WK","Next Week",IF(DATEVALUE(AG4)=$C$2-WEEKDAY($C$2,1)+1,"Current WK",""))</f>
        <v/>
      </c>
      <c r="AH2" t="str">
        <f>=IF(AG2="Current WK","Next Week",IF(DATEVALUE(AH4)=$C$2-WEEKDAY($C$2,1)+1,"Current WK",""))</f>
        <v/>
      </c>
      <c r="AI2" t="str">
        <f>=IF(AH2="Current WK","Next Week",IF(DATEVALUE(AI4)=$C$2-WEEKDAY($C$2,1)+1,"Current WK",""))</f>
        <v/>
      </c>
      <c r="AJ2" t="str">
        <f>=IF(AI2="Current WK","Next Week",IF(DATEVALUE(AJ4)=$C$2-WEEKDAY($C$2,1)+1,"Current WK",""))</f>
        <v/>
      </c>
      <c r="AK2" t="str">
        <f>=IF(AJ2="Current WK","Next Week",IF(DATEVALUE(AK4)=$C$2-WEEKDAY($C$2,1)+1,"Current WK",""))</f>
        <v/>
      </c>
      <c r="AL2" t="str">
        <f>=IF(AK2="Current WK","Next Week",IF(DATEVALUE(AL4)=$C$2-WEEKDAY($C$2,1)+1,"Current WK",""))</f>
        <v/>
      </c>
      <c r="AM2" t="str">
        <f>=IF(AL2="Current WK","Next Week",IF(DATEVALUE(AM4)=$C$2-WEEKDAY($C$2,1)+1,"Current WK",""))</f>
        <v/>
      </c>
      <c r="AN2" t="str">
        <f>=IF(AM2="Current WK","Next Week",IF(DATEVALUE(AN4)=$C$2-WEEKDAY($C$2,1)+1,"Current WK",""))</f>
        <v/>
      </c>
      <c r="AO2" t="str">
        <f>=IF(AN2="Current WK","Next Week",IF(DATEVALUE(AO4)=$C$2-WEEKDAY($C$2,1)+1,"Current WK",""))</f>
        <v/>
      </c>
      <c r="AP2" t="str">
        <f>=IF(AO2="Current WK","Next Week",IF(DATEVALUE(AP4)=$C$2-WEEKDAY($C$2,1)+1,"Current WK",""))</f>
        <v/>
      </c>
      <c r="AQ2" t="str">
        <f>=IF(AP2="Current WK","Next Week",IF(DATEVALUE(AQ4)=$C$2-WEEKDAY($C$2,1)+1,"Current WK",""))</f>
        <v/>
      </c>
      <c r="AR2" t="str">
        <f>=IF(AQ2="Current WK","Next Week",IF(DATEVALUE(AR4)=$C$2-WEEKDAY($C$2,1)+1,"Current WK",""))</f>
        <v/>
      </c>
      <c r="AS2" t="str">
        <f>=IF(AR2="Current WK","Next Week",IF(DATEVALUE(AS4)=$C$2-WEEKDAY($C$2,1)+1,"Current WK",""))</f>
        <v/>
      </c>
      <c r="AT2" t="str">
        <f>=IF(AS2="Current WK","Next Week",IF(DATEVALUE(AT4)=$C$2-WEEKDAY($C$2,1)+1,"Current WK",""))</f>
        <v/>
      </c>
      <c r="AU2" t="str">
        <f>=IF(AT2="Current WK","Next Week",IF(DATEVALUE(AU4)=$C$2-WEEKDAY($C$2,1)+1,"Current WK",""))</f>
        <v/>
      </c>
      <c r="AV2" t="str">
        <f>=IF(AU2="Current WK","Next Week",IF(DATEVALUE(AV4)=$C$2-WEEKDAY($C$2,1)+1,"Current WK",""))</f>
        <v/>
      </c>
      <c r="AW2" t="str">
        <f>=IF(AV2="Current WK","Next Week",IF(DATEVALUE(AW4)=$C$2-WEEKDAY($C$2,1)+1,"Current WK",""))</f>
        <v/>
      </c>
      <c r="AX2" t="str">
        <f>=IF(AW2="Current WK","Next Week",IF(DATEVALUE(AX4)=$C$2-WEEKDAY($C$2,1)+1,"Current WK",""))</f>
        <v/>
      </c>
      <c r="AY2" t="str">
        <f>=IF(AX2="Current WK","Next Week",IF(DATEVALUE(AY4)=$C$2-WEEKDAY($C$2,1)+1,"Current WK",""))</f>
        <v/>
      </c>
      <c r="AZ2" t="str">
        <f>=IF(AY2="Current WK","Next Week",IF(DATEVALUE(AZ4)=$C$2-WEEKDAY($C$2,1)+1,"Current WK",""))</f>
        <v/>
      </c>
      <c r="BA2" t="str">
        <f>=IF(AZ2="Current WK","Next Week",IF(DATEVALUE(BA4)=$C$2-WEEKDAY($C$2,1)+1,"Current WK",""))</f>
        <v/>
      </c>
      <c r="BB2" t="str">
        <f>=IF(BA2="Current WK","Next Week",IF(DATEVALUE(BB4)=$C$2-WEEKDAY($C$2,1)+1,"Current WK",""))</f>
        <v/>
      </c>
      <c r="BC2" t="str">
        <f>=IF(BB2="Current WK","Next Week",IF(DATEVALUE(BC4)=$C$2-WEEKDAY($C$2,1)+1,"Current WK",""))</f>
        <v/>
      </c>
      <c r="BD2" t="str">
        <f>=IF(BC2="Current WK","Next Week",IF(DATEVALUE(BD4)=$C$2-WEEKDAY($C$2,1)+1,"Current WK",""))</f>
        <v/>
      </c>
      <c r="BE2" t="str">
        <f>=IF(BD2="Current WK","Next Week",IF(DATEVALUE(BE4)=$C$2-WEEKDAY($C$2,1)+1,"Current WK",""))</f>
        <v/>
      </c>
      <c r="BF2" t="str">
        <f>=IF(BE2="Current WK","Next Week",IF(DATEVALUE(BF4)=$C$2-WEEKDAY($C$2,1)+1,"Current WK",""))</f>
        <v/>
      </c>
      <c r="BG2" t="str">
        <f>=IF(BF2="Current WK","Next Week",IF(DATEVALUE(BG4)=$C$2-WEEKDAY($C$2,1)+1,"Current WK",""))</f>
        <v/>
      </c>
      <c r="BH2" t="str">
        <f>=IF(BG2="Current WK","Next Week",IF(DATEVALUE(BH4)=$C$2-WEEKDAY($C$2,1)+1,"Current WK",""))</f>
        <v/>
      </c>
      <c r="BI2" t="str">
        <f>=IF(BH2="Current WK","Next Week",IF(DATEVALUE(BI4)=$C$2-WEEKDAY($C$2,1)+1,"Current WK",""))</f>
        <v/>
      </c>
      <c r="BJ2" t="str">
        <f>=IF(BI2="Current WK","Next Week",IF(DATEVALUE(BJ4)=$C$2-WEEKDAY($C$2,1)+1,"Current WK",""))</f>
        <v/>
      </c>
      <c r="BK2" t="str">
        <f>=IF(BJ2="Current WK","Next Week",IF(DATEVALUE(BK4)=$C$2-WEEKDAY($C$2,1)+1,"Current WK",""))</f>
        <v/>
      </c>
      <c r="BL2" t="str">
        <f>=IF(BK2="Current WK","Next Week",IF(DATEVALUE(BL4)=$C$2-WEEKDAY($C$2,1)+1,"Current WK",""))</f>
        <v/>
      </c>
      <c r="BM2" t="str">
        <f>=IF(BL2="Current WK","Next Week",IF(DATEVALUE(BM4)=$C$2-WEEKDAY($C$2,1)+1,"Current WK",""))</f>
        <v/>
      </c>
      <c r="BN2" t="str">
        <f>=IF(BM2="Current WK","Next Week",IF(DATEVALUE(BN4)=$C$2-WEEKDAY($C$2,1)+1,"Current WK",""))</f>
        <v/>
      </c>
      <c r="BO2" t="str">
        <f>=IF(BN2="Current WK","Next Week",IF(DATEVALUE(BO4)=$C$2-WEEKDAY($C$2,1)+1,"Current WK",""))</f>
        <v/>
      </c>
      <c r="BP2" t="str">
        <f>=IF(BO2="Current WK","Next Week",IF(DATEVALUE(BP4)=$C$2-WEEKDAY($C$2,1)+1,"Current WK",""))</f>
        <v/>
      </c>
      <c r="BQ2" t="str">
        <f>=IF(BP2="Current WK","Next Week",IF(DATEVALUE(BQ4)=$C$2-WEEKDAY($C$2,1)+1,"Current WK",""))</f>
        <v/>
      </c>
      <c r="BR2" t="str">
        <f>=IF(BQ2="Current WK","Next Week",IF(DATEVALUE(BR4)=$C$2-WEEKDAY($C$2,1)+1,"Current WK",""))</f>
        <v/>
      </c>
      <c r="BS2" t="str">
        <f>=IF(BR2="Current WK","Next Week",IF(DATEVALUE(BS4)=$C$2-WEEKDAY($C$2,1)+1,"Current WK",""))</f>
        <v/>
      </c>
      <c r="BT2" t="str">
        <f>=IF(BS2="Current WK","Next Week",IF(DATEVALUE(BT4)=$C$2-WEEKDAY($C$2,1)+1,"Current WK",""))</f>
        <v/>
      </c>
      <c r="BU2" s="3" t="str">
        <f>=IF(BT2="Current WK","Next Week",IF(DATEVALUE(BU4)=$C$2-WEEKDAY($C$2,1)+1,"Current WK",""))</f>
        <v/>
      </c>
      <c r="BV2" s="4" t="str">
        <f>=IF(BU2="Current WK","Next Week",IF(DATEVALUE(BV4)=$C$2-WEEKDAY($C$2,1)+1,"Current WK",""))</f>
        <v>Current WK</v>
      </c>
      <c r="BW2" s="4" t="str">
        <f>=IF(BV2="Current WK","Next Week",IF(DATEVALUE(BW4)=$C$2-WEEKDAY($C$2,1)+1,"Current WK",""))</f>
        <v>Next Week</v>
      </c>
      <c r="BX2" t="str">
        <f>=IF(BW2="Current WK","Next Week",IF(DATEVALUE(BX4)=$C$2-WEEKDAY($C$2,1)+1,"Current WK",""))</f>
        <v/>
      </c>
      <c r="BY2" t="str">
        <f>=IF(BX2="Current WK","Next Week",IF(DATEVALUE(BY4)=$C$2-WEEKDAY($C$2,1)+1,"Current WK",""))</f>
        <v/>
      </c>
      <c r="BZ2" t="str">
        <f>=IF(BY2="Current WK","Next Week",IF(DATEVALUE(BZ4)=$C$2-WEEKDAY($C$2,1)+1,"Current WK",""))</f>
        <v/>
      </c>
      <c r="CA2" t="str">
        <f>=IF(BZ2="Current WK","Next Week",IF(DATEVALUE(CA4)=$C$2-WEEKDAY($C$2,1)+1,"Current WK",""))</f>
        <v/>
      </c>
      <c r="CB2" t="str">
        <f>=IF(CA2="Current WK","Next Week",IF(DATEVALUE(CB4)=$C$2-WEEKDAY($C$2,1)+1,"Current WK",""))</f>
        <v/>
      </c>
      <c r="CC2" t="str">
        <f>=IF(CB2="Current WK","Next Week",IF(DATEVALUE(CC4)=$C$2-WEEKDAY($C$2,1)+1,"Current WK",""))</f>
        <v/>
      </c>
      <c r="CD2" t="str">
        <f>=IF(CC2="Current WK","Next Week",IF(DATEVALUE(CD4)=$C$2-WEEKDAY($C$2,1)+1,"Current WK",""))</f>
        <v/>
      </c>
      <c r="CE2" t="str">
        <f>=IF(CD2="Current WK","Next Week",IF(DATEVALUE(CE4)=$C$2-WEEKDAY($C$2,1)+1,"Current WK",""))</f>
        <v/>
      </c>
      <c r="CF2" t="str">
        <f>=IF(CE2="Current WK","Next Week",IF(DATEVALUE(CF4)=$C$2-WEEKDAY($C$2,1)+1,"Current WK",""))</f>
        <v/>
      </c>
      <c r="CG2" t="str">
        <f>=IF(CF2="Current WK","Next Week",IF(DATEVALUE(CG4)=$C$2-WEEKDAY($C$2,1)+1,"Current WK",""))</f>
        <v/>
      </c>
      <c r="CH2" t="str">
        <f>=IF(CG2="Current WK","Next Week",IF(DATEVALUE(CH4)=$C$2-WEEKDAY($C$2,1)+1,"Current WK",""))</f>
        <v/>
      </c>
      <c r="CI2" t="str">
        <f>=IF(CH2="Current WK","Next Week",IF(DATEVALUE(CI4)=$C$2-WEEKDAY($C$2,1)+1,"Current WK",""))</f>
        <v/>
      </c>
      <c r="CJ2" t="str">
        <f>=IF(CI2="Current WK","Next Week",IF(DATEVALUE(CJ4)=$C$2-WEEKDAY($C$2,1)+1,"Current WK",""))</f>
        <v/>
      </c>
      <c r="CK2" t="str">
        <f>=IF(CJ2="Current WK","Next Week",IF(DATEVALUE(CK4)=$C$2-WEEKDAY($C$2,1)+1,"Current WK",""))</f>
        <v/>
      </c>
      <c r="CL2" t="str">
        <f>=IF(CK2="Current WK","Next Week",IF(DATEVALUE(CL4)=$C$2-WEEKDAY($C$2,1)+1,"Current WK",""))</f>
        <v/>
      </c>
      <c r="CM2" t="str">
        <f>=IF(CL2="Current WK","Next Week",IF(DATEVALUE(CM4)=$C$2-WEEKDAY($C$2,1)+1,"Current WK",""))</f>
        <v/>
      </c>
      <c r="CN2" t="str">
        <f>=IF(CM2="Current WK","Next Week",IF(DATEVALUE(CN4)=$C$2-WEEKDAY($C$2,1)+1,"Current WK",""))</f>
        <v/>
      </c>
      <c r="CO2" t="str">
        <f>=IF(CN2="Current WK","Next Week",IF(DATEVALUE(CO4)=$C$2-WEEKDAY($C$2,1)+1,"Current WK",""))</f>
        <v/>
      </c>
      <c r="CP2" t="str">
        <f>=IF(CO2="Current WK","Next Week",IF(DATEVALUE(CP4)=$C$2-WEEKDAY($C$2,1)+1,"Current WK",""))</f>
        <v/>
      </c>
      <c r="CQ2" t="str">
        <f>=IF(CP2="Current WK","Next Week",IF(DATEVALUE(CQ4)=$C$2-WEEKDAY($C$2,1)+1,"Current WK",""))</f>
        <v/>
      </c>
      <c r="CR2" t="str">
        <f>=IF(CQ2="Current WK","Next Week",IF(DATEVALUE(CR4)=$C$2-WEEKDAY($C$2,1)+1,"Current WK",""))</f>
        <v/>
      </c>
      <c r="CS2" t="str">
        <f>=IF(CR2="Current WK","Next Week",IF(DATEVALUE(CS4)=$C$2-WEEKDAY($C$2,1)+1,"Current WK",""))</f>
        <v/>
      </c>
      <c r="CT2" t="str">
        <f>=IF(CS2="Current WK","Next Week",IF(DATEVALUE(CT4)=$C$2-WEEKDAY($C$2,1)+1,"Current WK",""))</f>
        <v/>
      </c>
      <c r="CU2" t="str">
        <f>=IF(CT2="Current WK","Next Week",IF(DATEVALUE(CU4)=$C$2-WEEKDAY($C$2,1)+1,"Current WK",""))</f>
        <v/>
      </c>
      <c r="CV2" t="str">
        <f>=IF(CU2="Current WK","Next Week",IF(DATEVALUE(CV4)=$C$2-WEEKDAY($C$2,1)+1,"Current WK",""))</f>
        <v/>
      </c>
      <c r="CW2" t="str">
        <f>=IF(CV2="Current WK","Next Week",IF(DATEVALUE(CW4)=$C$2-WEEKDAY($C$2,1)+1,"Current WK",""))</f>
        <v/>
      </c>
      <c r="CX2" t="str">
        <f>=IF(CW2="Current WK","Next Week",IF(DATEVALUE(CX4)=$C$2-WEEKDAY($C$2,1)+1,"Current WK",""))</f>
        <v/>
      </c>
      <c r="CY2" t="str">
        <f>=IF(CX2="Current WK","Next Week",IF(DATEVALUE(CY4)=$C$2-WEEKDAY($C$2,1)+1,"Current WK",""))</f>
        <v/>
      </c>
      <c r="CZ2" t="str">
        <f>=IF(CY2="Current WK","Next Week",IF(DATEVALUE(CZ4)=$C$2-WEEKDAY($C$2,1)+1,"Current WK",""))</f>
        <v/>
      </c>
      <c r="DA2" t="str">
        <f>=IF(CZ2="Current WK","Next Week",IF(DATEVALUE(DA4)=$C$2-WEEKDAY($C$2,1)+1,"Current WK",""))</f>
        <v/>
      </c>
      <c r="DB2" t="str">
        <f>=IF(DA2="Current WK","Next Week",IF(DATEVALUE(DB4)=$C$2-WEEKDAY($C$2,1)+1,"Current WK",""))</f>
        <v/>
      </c>
    </row>
    <row r="3" spans="1:106" x14ac:dyDescent="0.25">
      <c r="A3" s="1"/>
      <c r="B3" s="5" t="s">
        <v>4</v>
      </c>
      <c r="C3" t="s">
        <v>5</v>
      </c>
      <c r="D3" t="s">
        <v>6</v>
      </c>
      <c r="E3" t="s">
        <v>6</v>
      </c>
      <c r="F3" s="6" t="s">
        <v>6</v>
      </c>
      <c r="G3" t="s">
        <v>6</v>
      </c>
      <c r="H3" t="s">
        <v>7</v>
      </c>
      <c r="I3" t="s">
        <v>7</v>
      </c>
      <c r="J3" t="s">
        <v>7</v>
      </c>
      <c r="K3" t="s">
        <v>7</v>
      </c>
      <c r="L3" t="s">
        <v>8</v>
      </c>
      <c r="M3" t="s">
        <v>8</v>
      </c>
      <c r="N3" t="s">
        <v>8</v>
      </c>
      <c r="O3" t="s">
        <v>8</v>
      </c>
      <c r="P3" t="s">
        <v>8</v>
      </c>
      <c r="Q3" t="s">
        <v>9</v>
      </c>
      <c r="R3" t="s">
        <v>9</v>
      </c>
      <c r="S3" t="s">
        <v>9</v>
      </c>
      <c r="T3" t="s">
        <v>9</v>
      </c>
      <c r="U3" t="s">
        <v>10</v>
      </c>
      <c r="V3" t="s">
        <v>10</v>
      </c>
      <c r="W3" t="s">
        <v>10</v>
      </c>
      <c r="X3" t="s">
        <v>10</v>
      </c>
      <c r="Y3" t="s">
        <v>11</v>
      </c>
      <c r="Z3" t="s">
        <v>11</v>
      </c>
      <c r="AA3" t="s">
        <v>11</v>
      </c>
      <c r="AB3" t="s">
        <v>11</v>
      </c>
      <c r="AC3" t="s">
        <v>11</v>
      </c>
      <c r="AD3" t="s">
        <v>12</v>
      </c>
      <c r="AE3" t="s">
        <v>12</v>
      </c>
      <c r="AF3" t="s">
        <v>12</v>
      </c>
      <c r="AG3" t="s">
        <v>12</v>
      </c>
      <c r="AH3" t="s">
        <v>13</v>
      </c>
      <c r="AI3" t="s">
        <v>13</v>
      </c>
      <c r="AJ3" t="s">
        <v>13</v>
      </c>
      <c r="AK3" t="s">
        <v>13</v>
      </c>
      <c r="AL3" t="s">
        <v>14</v>
      </c>
      <c r="AM3" t="s">
        <v>14</v>
      </c>
      <c r="AN3" t="s">
        <v>14</v>
      </c>
      <c r="AO3" t="s">
        <v>14</v>
      </c>
      <c r="AP3" t="s">
        <v>14</v>
      </c>
      <c r="AQ3" t="s">
        <v>15</v>
      </c>
      <c r="AR3" t="s">
        <v>15</v>
      </c>
      <c r="AS3" t="s">
        <v>15</v>
      </c>
      <c r="AT3" t="s">
        <v>15</v>
      </c>
      <c r="AU3" t="s">
        <v>16</v>
      </c>
      <c r="AV3" t="s">
        <v>16</v>
      </c>
      <c r="AW3" t="s">
        <v>16</v>
      </c>
      <c r="AX3" t="s">
        <v>16</v>
      </c>
      <c r="AY3" t="s">
        <v>17</v>
      </c>
      <c r="AZ3" t="s">
        <v>17</v>
      </c>
      <c r="BA3" t="s">
        <v>17</v>
      </c>
      <c r="BB3" t="s">
        <v>17</v>
      </c>
      <c r="BC3" t="s">
        <v>17</v>
      </c>
      <c r="BD3" t="s">
        <v>18</v>
      </c>
      <c r="BE3" t="s">
        <v>18</v>
      </c>
      <c r="BF3" t="s">
        <v>18</v>
      </c>
      <c r="BG3" t="s">
        <v>18</v>
      </c>
      <c r="BH3" t="s">
        <v>19</v>
      </c>
      <c r="BI3" t="s">
        <v>19</v>
      </c>
      <c r="BJ3" t="s">
        <v>19</v>
      </c>
      <c r="BK3" t="s">
        <v>19</v>
      </c>
      <c r="BL3" t="s">
        <v>19</v>
      </c>
      <c r="BM3" t="s">
        <v>20</v>
      </c>
      <c r="BN3" t="s">
        <v>20</v>
      </c>
      <c r="BO3" t="s">
        <v>20</v>
      </c>
      <c r="BP3" t="s">
        <v>20</v>
      </c>
      <c r="BQ3" t="s">
        <v>21</v>
      </c>
      <c r="BR3" t="s">
        <v>21</v>
      </c>
      <c r="BS3" t="s">
        <v>21</v>
      </c>
      <c r="BT3" t="s">
        <v>21</v>
      </c>
      <c r="BU3" t="s">
        <v>22</v>
      </c>
      <c r="BV3" t="s">
        <v>22</v>
      </c>
      <c r="BW3" t="s">
        <v>22</v>
      </c>
      <c r="BX3" t="s">
        <v>22</v>
      </c>
      <c r="BY3" t="s">
        <v>22</v>
      </c>
      <c r="BZ3" t="s">
        <v>23</v>
      </c>
      <c r="CA3" t="s">
        <v>23</v>
      </c>
      <c r="CB3" t="s">
        <v>23</v>
      </c>
      <c r="CC3" t="s">
        <v>23</v>
      </c>
      <c r="CD3" t="s">
        <v>24</v>
      </c>
      <c r="CE3" t="s">
        <v>24</v>
      </c>
      <c r="CF3" t="s">
        <v>24</v>
      </c>
      <c r="CG3" t="s">
        <v>24</v>
      </c>
      <c r="CH3" t="s">
        <v>25</v>
      </c>
      <c r="CI3" t="s">
        <v>25</v>
      </c>
      <c r="CJ3" t="s">
        <v>25</v>
      </c>
      <c r="CK3" t="s">
        <v>25</v>
      </c>
      <c r="CL3" t="s">
        <v>26</v>
      </c>
      <c r="CM3" t="s">
        <v>26</v>
      </c>
      <c r="CN3" t="s">
        <v>26</v>
      </c>
      <c r="CO3" t="s">
        <v>26</v>
      </c>
      <c r="CP3" t="s">
        <v>26</v>
      </c>
      <c r="CQ3" t="s">
        <v>27</v>
      </c>
      <c r="CR3" t="s">
        <v>27</v>
      </c>
      <c r="CS3" t="s">
        <v>27</v>
      </c>
      <c r="CT3" t="s">
        <v>27</v>
      </c>
      <c r="CU3" t="s">
        <v>28</v>
      </c>
      <c r="CV3" t="s">
        <v>28</v>
      </c>
      <c r="CW3" t="s">
        <v>28</v>
      </c>
      <c r="CX3" t="s">
        <v>28</v>
      </c>
      <c r="CY3" t="s">
        <v>28</v>
      </c>
      <c r="CZ3" t="s">
        <v>29</v>
      </c>
      <c r="DA3" t="s">
        <v>29</v>
      </c>
      <c r="DB3" t="s">
        <v>29</v>
      </c>
    </row>
    <row r="4" spans="1:106" x14ac:dyDescent="0.25">
      <c r="A4" s="1"/>
      <c r="B4" s="5" t="s">
        <v>30</v>
      </c>
      <c r="C4" s="7" t="s">
        <v>31</v>
      </c>
      <c r="D4" s="7" t="s">
        <v>32</v>
      </c>
      <c r="E4" s="7" t="s">
        <v>33</v>
      </c>
      <c r="F4" s="7" t="s">
        <v>34</v>
      </c>
      <c r="G4" s="7" t="s">
        <v>35</v>
      </c>
      <c r="H4" s="7" t="s">
        <v>36</v>
      </c>
      <c r="I4" s="7" t="s">
        <v>37</v>
      </c>
      <c r="J4" s="7" t="s">
        <v>38</v>
      </c>
      <c r="K4" s="7" t="s">
        <v>39</v>
      </c>
      <c r="L4" s="7" t="s">
        <v>40</v>
      </c>
      <c r="M4" s="7" t="s">
        <v>41</v>
      </c>
      <c r="N4" s="7" t="s">
        <v>42</v>
      </c>
      <c r="O4" s="7" t="s">
        <v>43</v>
      </c>
      <c r="P4" s="7" t="s">
        <v>44</v>
      </c>
      <c r="Q4" s="7" t="s">
        <v>45</v>
      </c>
      <c r="R4" s="7" t="s">
        <v>46</v>
      </c>
      <c r="S4" s="7" t="s">
        <v>47</v>
      </c>
      <c r="T4" s="7" t="s">
        <v>48</v>
      </c>
      <c r="U4" s="7" t="s">
        <v>49</v>
      </c>
      <c r="V4" s="7" t="s">
        <v>50</v>
      </c>
      <c r="W4" s="7" t="s">
        <v>51</v>
      </c>
      <c r="X4" s="7" t="s">
        <v>52</v>
      </c>
      <c r="Y4" s="7" t="s">
        <v>53</v>
      </c>
      <c r="Z4" s="7" t="s">
        <v>54</v>
      </c>
      <c r="AA4" s="7" t="s">
        <v>55</v>
      </c>
      <c r="AB4" s="7" t="s">
        <v>56</v>
      </c>
      <c r="AC4" s="7" t="s">
        <v>57</v>
      </c>
      <c r="AD4" s="7" t="s">
        <v>58</v>
      </c>
      <c r="AE4" s="7" t="s">
        <v>59</v>
      </c>
      <c r="AF4" s="7" t="s">
        <v>60</v>
      </c>
      <c r="AG4" s="7" t="s">
        <v>61</v>
      </c>
      <c r="AH4" s="7" t="s">
        <v>62</v>
      </c>
      <c r="AI4" s="7" t="s">
        <v>63</v>
      </c>
      <c r="AJ4" s="7" t="s">
        <v>64</v>
      </c>
      <c r="AK4" s="7" t="s">
        <v>65</v>
      </c>
      <c r="AL4" s="7" t="s">
        <v>66</v>
      </c>
      <c r="AM4" s="7" t="s">
        <v>67</v>
      </c>
      <c r="AN4" s="7" t="s">
        <v>68</v>
      </c>
      <c r="AO4" s="7" t="s">
        <v>69</v>
      </c>
      <c r="AP4" s="7" t="s">
        <v>70</v>
      </c>
      <c r="AQ4" s="7" t="s">
        <v>71</v>
      </c>
      <c r="AR4" s="7" t="s">
        <v>72</v>
      </c>
      <c r="AS4" s="7" t="s">
        <v>73</v>
      </c>
      <c r="AT4" s="7" t="s">
        <v>74</v>
      </c>
      <c r="AU4" s="7" t="s">
        <v>75</v>
      </c>
      <c r="AV4" s="7" t="s">
        <v>76</v>
      </c>
      <c r="AW4" s="7" t="s">
        <v>77</v>
      </c>
      <c r="AX4" s="7" t="s">
        <v>78</v>
      </c>
      <c r="AY4" s="7" t="s">
        <v>79</v>
      </c>
      <c r="AZ4" s="7" t="s">
        <v>80</v>
      </c>
      <c r="BA4" s="7" t="s">
        <v>81</v>
      </c>
      <c r="BB4" s="7" t="s">
        <v>82</v>
      </c>
      <c r="BC4" s="7" t="s">
        <v>83</v>
      </c>
      <c r="BD4" s="7" t="s">
        <v>84</v>
      </c>
      <c r="BE4" s="7" t="s">
        <v>85</v>
      </c>
      <c r="BF4" s="7" t="s">
        <v>86</v>
      </c>
      <c r="BG4" s="7" t="s">
        <v>87</v>
      </c>
      <c r="BH4" s="7" t="s">
        <v>88</v>
      </c>
      <c r="BI4" s="7" t="s">
        <v>89</v>
      </c>
      <c r="BJ4" s="7" t="s">
        <v>90</v>
      </c>
      <c r="BK4" s="7" t="s">
        <v>91</v>
      </c>
      <c r="BL4" s="7" t="s">
        <v>92</v>
      </c>
      <c r="BM4" s="7" t="s">
        <v>93</v>
      </c>
      <c r="BN4" s="7" t="s">
        <v>94</v>
      </c>
      <c r="BO4" s="7" t="s">
        <v>95</v>
      </c>
      <c r="BP4" s="7" t="s">
        <v>96</v>
      </c>
      <c r="BQ4" s="7" t="s">
        <v>97</v>
      </c>
      <c r="BR4" s="7" t="s">
        <v>98</v>
      </c>
      <c r="BS4" s="7" t="s">
        <v>99</v>
      </c>
      <c r="BT4" s="7" t="s">
        <v>100</v>
      </c>
      <c r="BU4" s="7" t="s">
        <v>101</v>
      </c>
      <c r="BV4" s="7" t="s">
        <v>102</v>
      </c>
      <c r="BW4" s="7" t="s">
        <v>103</v>
      </c>
      <c r="BX4" s="7" t="s">
        <v>104</v>
      </c>
      <c r="BY4" s="7" t="s">
        <v>105</v>
      </c>
      <c r="BZ4" s="7" t="s">
        <v>106</v>
      </c>
      <c r="CA4" s="7" t="s">
        <v>107</v>
      </c>
      <c r="CB4" s="7" t="s">
        <v>108</v>
      </c>
      <c r="CC4" s="7" t="s">
        <v>109</v>
      </c>
      <c r="CD4" s="7" t="s">
        <v>110</v>
      </c>
      <c r="CE4" s="7" t="s">
        <v>111</v>
      </c>
      <c r="CF4" s="7" t="s">
        <v>112</v>
      </c>
      <c r="CG4" s="7" t="s">
        <v>113</v>
      </c>
      <c r="CH4" s="7" t="s">
        <v>114</v>
      </c>
      <c r="CI4" s="7" t="s">
        <v>115</v>
      </c>
      <c r="CJ4" s="7" t="s">
        <v>116</v>
      </c>
      <c r="CK4" s="7" t="s">
        <v>117</v>
      </c>
      <c r="CL4" s="7" t="s">
        <v>118</v>
      </c>
      <c r="CM4" s="7" t="s">
        <v>119</v>
      </c>
      <c r="CN4" s="7" t="s">
        <v>120</v>
      </c>
      <c r="CO4" s="7" t="s">
        <v>121</v>
      </c>
      <c r="CP4" s="7" t="s">
        <v>122</v>
      </c>
      <c r="CQ4" s="7" t="s">
        <v>123</v>
      </c>
      <c r="CR4" s="7" t="s">
        <v>124</v>
      </c>
      <c r="CS4" s="7" t="s">
        <v>125</v>
      </c>
      <c r="CT4" s="7" t="s">
        <v>126</v>
      </c>
      <c r="CU4" s="7" t="s">
        <v>127</v>
      </c>
      <c r="CV4" s="7" t="s">
        <v>128</v>
      </c>
      <c r="CW4" s="7" t="s">
        <v>129</v>
      </c>
      <c r="CX4" s="7" t="s">
        <v>130</v>
      </c>
      <c r="CY4" s="7" t="s">
        <v>131</v>
      </c>
      <c r="CZ4" s="7" t="s">
        <v>132</v>
      </c>
      <c r="DA4" s="7" t="s">
        <v>133</v>
      </c>
      <c r="DB4" s="7" t="s">
        <v>134</v>
      </c>
    </row>
    <row r="5" spans="1:106" x14ac:dyDescent="0.25">
      <c r="A5" s="1"/>
      <c r="B5" s="5" t="s">
        <v>135</v>
      </c>
      <c r="C5" s="8" t="s">
        <v>136</v>
      </c>
      <c r="D5" s="8" t="s">
        <v>137</v>
      </c>
      <c r="E5" s="8" t="s">
        <v>138</v>
      </c>
      <c r="F5" s="8" t="s">
        <v>139</v>
      </c>
      <c r="G5" s="8" t="s">
        <v>140</v>
      </c>
      <c r="H5" s="8" t="s">
        <v>141</v>
      </c>
      <c r="I5" s="8" t="s">
        <v>142</v>
      </c>
      <c r="J5" s="8" t="s">
        <v>143</v>
      </c>
      <c r="K5" s="8" t="s">
        <v>144</v>
      </c>
      <c r="L5" s="8" t="s">
        <v>145</v>
      </c>
      <c r="M5" s="8" t="s">
        <v>146</v>
      </c>
      <c r="N5" s="8" t="s">
        <v>147</v>
      </c>
      <c r="O5" s="8" t="s">
        <v>148</v>
      </c>
      <c r="P5" s="8" t="s">
        <v>149</v>
      </c>
      <c r="Q5" s="8" t="s">
        <v>150</v>
      </c>
      <c r="R5" s="8" t="s">
        <v>151</v>
      </c>
      <c r="S5" s="8" t="s">
        <v>152</v>
      </c>
      <c r="T5" s="8" t="s">
        <v>153</v>
      </c>
      <c r="U5" s="8" t="s">
        <v>154</v>
      </c>
      <c r="V5" s="8" t="s">
        <v>155</v>
      </c>
      <c r="W5" s="8" t="s">
        <v>156</v>
      </c>
      <c r="X5" s="8" t="s">
        <v>157</v>
      </c>
      <c r="Y5" s="8" t="s">
        <v>158</v>
      </c>
      <c r="Z5" s="8" t="s">
        <v>159</v>
      </c>
      <c r="AA5" s="8" t="s">
        <v>160</v>
      </c>
      <c r="AB5" s="8" t="s">
        <v>161</v>
      </c>
      <c r="AC5" s="8" t="s">
        <v>162</v>
      </c>
      <c r="AD5" s="8" t="s">
        <v>163</v>
      </c>
      <c r="AE5" s="8" t="s">
        <v>164</v>
      </c>
      <c r="AF5" s="8" t="s">
        <v>165</v>
      </c>
      <c r="AG5" s="8" t="s">
        <v>166</v>
      </c>
      <c r="AH5" s="8" t="s">
        <v>167</v>
      </c>
      <c r="AI5" s="8" t="s">
        <v>168</v>
      </c>
      <c r="AJ5" s="8" t="s">
        <v>169</v>
      </c>
      <c r="AK5" s="8" t="s">
        <v>170</v>
      </c>
      <c r="AL5" s="8" t="s">
        <v>171</v>
      </c>
      <c r="AM5" s="8" t="s">
        <v>172</v>
      </c>
      <c r="AN5" s="8" t="s">
        <v>173</v>
      </c>
      <c r="AO5" s="8" t="s">
        <v>174</v>
      </c>
      <c r="AP5" s="8" t="s">
        <v>175</v>
      </c>
      <c r="AQ5" s="8" t="s">
        <v>176</v>
      </c>
      <c r="AR5" s="8" t="s">
        <v>177</v>
      </c>
      <c r="AS5" s="8" t="s">
        <v>178</v>
      </c>
      <c r="AT5" s="8" t="s">
        <v>179</v>
      </c>
      <c r="AU5" s="8" t="s">
        <v>180</v>
      </c>
      <c r="AV5" s="8" t="s">
        <v>181</v>
      </c>
      <c r="AW5" s="8" t="s">
        <v>182</v>
      </c>
      <c r="AX5" s="8" t="s">
        <v>183</v>
      </c>
      <c r="AY5" s="8" t="s">
        <v>184</v>
      </c>
      <c r="AZ5" s="8" t="s">
        <v>185</v>
      </c>
      <c r="BA5" s="8" t="s">
        <v>186</v>
      </c>
      <c r="BB5" s="8" t="s">
        <v>187</v>
      </c>
      <c r="BC5" s="8" t="s">
        <v>188</v>
      </c>
      <c r="BD5" s="8" t="s">
        <v>189</v>
      </c>
      <c r="BE5" s="8" t="s">
        <v>190</v>
      </c>
      <c r="BF5" s="8" t="s">
        <v>191</v>
      </c>
      <c r="BG5" s="8" t="s">
        <v>192</v>
      </c>
      <c r="BH5" s="8" t="s">
        <v>193</v>
      </c>
      <c r="BI5" s="8" t="s">
        <v>194</v>
      </c>
      <c r="BJ5" s="8" t="s">
        <v>195</v>
      </c>
      <c r="BK5" s="8" t="s">
        <v>196</v>
      </c>
      <c r="BL5" s="8" t="s">
        <v>197</v>
      </c>
      <c r="BM5" s="8" t="s">
        <v>198</v>
      </c>
      <c r="BN5" s="8" t="s">
        <v>199</v>
      </c>
      <c r="BO5" s="8" t="s">
        <v>200</v>
      </c>
      <c r="BP5" s="8" t="s">
        <v>201</v>
      </c>
      <c r="BQ5" s="8" t="s">
        <v>202</v>
      </c>
      <c r="BR5" s="8" t="s">
        <v>203</v>
      </c>
      <c r="BS5" s="8" t="s">
        <v>204</v>
      </c>
      <c r="BT5" s="8" t="s">
        <v>205</v>
      </c>
      <c r="BU5" s="8" t="s">
        <v>206</v>
      </c>
      <c r="BV5" s="8" t="s">
        <v>207</v>
      </c>
      <c r="BW5" s="8" t="s">
        <v>208</v>
      </c>
      <c r="BX5" s="8" t="s">
        <v>209</v>
      </c>
      <c r="BY5" s="8" t="s">
        <v>210</v>
      </c>
      <c r="BZ5" s="8" t="s">
        <v>211</v>
      </c>
      <c r="CA5" s="8" t="s">
        <v>212</v>
      </c>
      <c r="CB5" s="8" t="s">
        <v>213</v>
      </c>
      <c r="CC5" s="8" t="s">
        <v>214</v>
      </c>
      <c r="CD5" s="8" t="s">
        <v>215</v>
      </c>
      <c r="CE5" s="8" t="s">
        <v>216</v>
      </c>
      <c r="CF5" s="8" t="s">
        <v>217</v>
      </c>
      <c r="CG5" s="8" t="s">
        <v>218</v>
      </c>
      <c r="CH5" s="8" t="s">
        <v>219</v>
      </c>
      <c r="CI5" s="8" t="s">
        <v>220</v>
      </c>
      <c r="CJ5" s="8" t="s">
        <v>221</v>
      </c>
      <c r="CK5" s="8" t="s">
        <v>222</v>
      </c>
      <c r="CL5" s="8" t="s">
        <v>223</v>
      </c>
      <c r="CM5" s="8" t="s">
        <v>224</v>
      </c>
      <c r="CN5" s="8" t="s">
        <v>225</v>
      </c>
      <c r="CO5" s="8" t="s">
        <v>226</v>
      </c>
      <c r="CP5" s="8" t="s">
        <v>227</v>
      </c>
      <c r="CQ5" s="8" t="s">
        <v>228</v>
      </c>
      <c r="CR5" s="8" t="s">
        <v>229</v>
      </c>
      <c r="CS5" s="8" t="s">
        <v>230</v>
      </c>
      <c r="CT5" s="8" t="s">
        <v>231</v>
      </c>
      <c r="CU5" s="8" t="s">
        <v>232</v>
      </c>
      <c r="CV5" s="8" t="s">
        <v>233</v>
      </c>
      <c r="CW5" s="8" t="s">
        <v>234</v>
      </c>
      <c r="CX5" s="8" t="s">
        <v>235</v>
      </c>
      <c r="CY5" s="8" t="s">
        <v>236</v>
      </c>
      <c r="CZ5" s="8" t="s">
        <v>237</v>
      </c>
      <c r="DA5" s="8" t="s">
        <v>238</v>
      </c>
      <c r="DB5" s="8" t="s">
        <v>239</v>
      </c>
    </row>
    <row r="6" spans="1:106" x14ac:dyDescent="0.25">
      <c r="A6" s="9" t="s">
        <v>240</v>
      </c>
      <c r="B6" s="10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</row>
    <row r="7" ht="18" customHeight="1" spans="1:106" x14ac:dyDescent="0.25">
      <c r="A7" s="12" t="s">
        <v>241</v>
      </c>
      <c r="B7" s="13"/>
      <c r="C7" s="74">
        <v>22</v>
      </c>
      <c r="D7" s="74">
        <v>22</v>
      </c>
      <c r="E7" s="74">
        <v>22</v>
      </c>
      <c r="F7" s="74">
        <v>22</v>
      </c>
      <c r="G7" s="74">
        <v>22</v>
      </c>
      <c r="H7" s="74">
        <v>22</v>
      </c>
      <c r="I7" s="74">
        <v>22</v>
      </c>
      <c r="J7" s="74">
        <v>22</v>
      </c>
      <c r="K7" s="74">
        <v>22</v>
      </c>
      <c r="L7" s="74">
        <v>22</v>
      </c>
      <c r="M7" s="74">
        <v>22</v>
      </c>
      <c r="N7" s="74">
        <v>22</v>
      </c>
      <c r="O7" s="74">
        <v>22</v>
      </c>
      <c r="P7" s="74">
        <v>18</v>
      </c>
      <c r="Q7" s="74">
        <v>18</v>
      </c>
      <c r="R7" s="74">
        <v>18</v>
      </c>
      <c r="S7" s="74">
        <v>18</v>
      </c>
      <c r="T7" s="74">
        <v>18</v>
      </c>
      <c r="U7" s="74">
        <v>18</v>
      </c>
      <c r="V7" s="74">
        <v>18</v>
      </c>
      <c r="W7" s="74">
        <v>18</v>
      </c>
      <c r="X7" s="74">
        <v>18</v>
      </c>
      <c r="Y7" s="74">
        <v>18</v>
      </c>
      <c r="Z7" s="74">
        <v>18</v>
      </c>
      <c r="AA7" s="74">
        <v>18</v>
      </c>
      <c r="AB7" s="74">
        <v>18</v>
      </c>
      <c r="AC7" s="74">
        <v>18</v>
      </c>
      <c r="AD7" s="74">
        <v>18</v>
      </c>
      <c r="AE7" s="74">
        <v>18</v>
      </c>
      <c r="AF7" s="74">
        <v>18</v>
      </c>
      <c r="AG7" s="74">
        <v>18</v>
      </c>
      <c r="AH7" s="74">
        <v>18</v>
      </c>
      <c r="AI7" s="74">
        <v>18</v>
      </c>
      <c r="AJ7" s="74">
        <v>18</v>
      </c>
      <c r="AK7" s="74">
        <v>18</v>
      </c>
      <c r="AL7" s="74">
        <v>18</v>
      </c>
      <c r="AM7" s="74">
        <v>18</v>
      </c>
      <c r="AN7" s="74">
        <v>18</v>
      </c>
      <c r="AO7" s="74">
        <v>18</v>
      </c>
      <c r="AP7" s="74">
        <v>18</v>
      </c>
      <c r="AQ7" s="74">
        <v>18</v>
      </c>
      <c r="AR7" s="74">
        <v>18</v>
      </c>
      <c r="AS7" s="74">
        <v>18</v>
      </c>
      <c r="AT7" s="74">
        <v>18</v>
      </c>
      <c r="AU7" s="74">
        <v>18</v>
      </c>
      <c r="AV7" s="74">
        <v>18</v>
      </c>
      <c r="AW7" s="74">
        <v>18</v>
      </c>
      <c r="AX7" s="74">
        <v>18</v>
      </c>
      <c r="AY7" s="74">
        <v>18</v>
      </c>
      <c r="AZ7" s="74">
        <v>18</v>
      </c>
      <c r="BA7" s="74">
        <v>18</v>
      </c>
      <c r="BB7" s="74">
        <v>18</v>
      </c>
      <c r="BC7" s="74">
        <v>18</v>
      </c>
      <c r="BD7" s="74">
        <v>18</v>
      </c>
      <c r="BE7" s="74">
        <v>18</v>
      </c>
      <c r="BF7" s="74">
        <v>18</v>
      </c>
      <c r="BG7" s="74">
        <v>18</v>
      </c>
      <c r="BH7" s="74">
        <v>18</v>
      </c>
      <c r="BI7" s="74">
        <v>18</v>
      </c>
      <c r="BJ7" s="74">
        <v>18</v>
      </c>
      <c r="BK7" s="74">
        <v>18</v>
      </c>
      <c r="BL7" s="74">
        <v>18</v>
      </c>
      <c r="BM7" s="74">
        <v>18</v>
      </c>
      <c r="BN7" s="74">
        <v>18</v>
      </c>
      <c r="BO7" s="14">
        <v>18</v>
      </c>
      <c r="BP7" s="14">
        <v>18</v>
      </c>
      <c r="BQ7" s="14">
        <v>18</v>
      </c>
      <c r="BR7" s="14">
        <v>18</v>
      </c>
      <c r="BS7" s="14">
        <v>18</v>
      </c>
      <c r="BT7" s="14">
        <v>18</v>
      </c>
      <c r="BU7" s="14">
        <v>15</v>
      </c>
      <c r="BV7" s="14">
        <v>15</v>
      </c>
      <c r="BW7" s="14">
        <v>15</v>
      </c>
      <c r="BX7" s="14">
        <v>15</v>
      </c>
      <c r="BY7" s="14">
        <v>15</v>
      </c>
      <c r="BZ7" s="14">
        <v>15</v>
      </c>
      <c r="CA7" s="14">
        <v>15</v>
      </c>
      <c r="CB7" s="14">
        <v>15</v>
      </c>
      <c r="CC7" s="14">
        <v>15</v>
      </c>
      <c r="CD7" s="14">
        <v>15</v>
      </c>
      <c r="CE7" s="14">
        <v>15</v>
      </c>
      <c r="CF7" s="14">
        <v>15</v>
      </c>
      <c r="CG7" s="14">
        <v>15</v>
      </c>
      <c r="CH7" s="14">
        <v>15</v>
      </c>
      <c r="CI7" s="14">
        <v>15</v>
      </c>
      <c r="CJ7" s="14">
        <v>15</v>
      </c>
      <c r="CK7" s="14">
        <v>15</v>
      </c>
      <c r="CL7" s="14">
        <v>15</v>
      </c>
      <c r="CM7" s="14">
        <v>15</v>
      </c>
      <c r="CN7" s="14">
        <v>15</v>
      </c>
      <c r="CO7" s="14">
        <v>15</v>
      </c>
      <c r="CP7" s="14">
        <v>15</v>
      </c>
      <c r="CQ7" s="14">
        <v>15</v>
      </c>
      <c r="CR7" s="14">
        <v>15</v>
      </c>
      <c r="CS7" s="14">
        <v>15</v>
      </c>
      <c r="CT7" s="14">
        <v>15</v>
      </c>
      <c r="CU7" s="14">
        <v>15</v>
      </c>
      <c r="CV7" s="14">
        <v>15</v>
      </c>
      <c r="CW7" s="14">
        <v>15</v>
      </c>
      <c r="CX7" s="14">
        <v>15</v>
      </c>
      <c r="CY7" s="14">
        <v>15</v>
      </c>
      <c r="CZ7" s="14">
        <v>15</v>
      </c>
      <c r="DA7" s="14">
        <v>15</v>
      </c>
      <c r="DB7" s="14">
        <v>15</v>
      </c>
    </row>
    <row r="8" ht="18" customHeight="1" spans="1:106" x14ac:dyDescent="0.25">
      <c r="A8" s="12" t="s">
        <v>242</v>
      </c>
      <c r="B8" s="13"/>
      <c r="C8" s="74">
        <v>754</v>
      </c>
      <c r="D8" s="74">
        <v>753</v>
      </c>
      <c r="E8" s="74">
        <v>753</v>
      </c>
      <c r="F8" s="74">
        <v>753</v>
      </c>
      <c r="G8" s="74">
        <v>754</v>
      </c>
      <c r="H8" s="74">
        <v>762</v>
      </c>
      <c r="I8" s="74">
        <v>761</v>
      </c>
      <c r="J8" s="74">
        <v>761</v>
      </c>
      <c r="K8" s="74">
        <v>760</v>
      </c>
      <c r="L8" s="74">
        <v>759</v>
      </c>
      <c r="M8" s="74">
        <v>758</v>
      </c>
      <c r="N8" s="74">
        <v>757</v>
      </c>
      <c r="O8" s="74">
        <v>758</v>
      </c>
      <c r="P8" s="74">
        <v>620</v>
      </c>
      <c r="Q8" s="74">
        <v>620</v>
      </c>
      <c r="R8" s="74">
        <v>620</v>
      </c>
      <c r="S8" s="74">
        <v>623</v>
      </c>
      <c r="T8" s="74">
        <v>621</v>
      </c>
      <c r="U8" s="74">
        <v>621</v>
      </c>
      <c r="V8" s="74">
        <v>621</v>
      </c>
      <c r="W8" s="74">
        <v>621</v>
      </c>
      <c r="X8" s="74">
        <v>621</v>
      </c>
      <c r="Y8" s="74">
        <v>622</v>
      </c>
      <c r="Z8" s="74">
        <v>622</v>
      </c>
      <c r="AA8" s="74">
        <v>622</v>
      </c>
      <c r="AB8" s="74">
        <v>622</v>
      </c>
      <c r="AC8" s="74">
        <v>621</v>
      </c>
      <c r="AD8" s="74">
        <v>621</v>
      </c>
      <c r="AE8" s="74">
        <v>621</v>
      </c>
      <c r="AF8" s="74">
        <v>621</v>
      </c>
      <c r="AG8" s="74">
        <v>621</v>
      </c>
      <c r="AH8" s="74">
        <v>621</v>
      </c>
      <c r="AI8" s="74">
        <v>621</v>
      </c>
      <c r="AJ8" s="74">
        <v>621</v>
      </c>
      <c r="AK8" s="74">
        <v>620</v>
      </c>
      <c r="AL8" s="74">
        <v>620</v>
      </c>
      <c r="AM8" s="74">
        <v>620</v>
      </c>
      <c r="AN8" s="74">
        <v>620</v>
      </c>
      <c r="AO8" s="74">
        <v>620</v>
      </c>
      <c r="AP8" s="74">
        <v>620</v>
      </c>
      <c r="AQ8" s="74">
        <v>620</v>
      </c>
      <c r="AR8" s="74">
        <v>620</v>
      </c>
      <c r="AS8" s="74">
        <v>620</v>
      </c>
      <c r="AT8" s="74">
        <v>620</v>
      </c>
      <c r="AU8" s="74">
        <v>620</v>
      </c>
      <c r="AV8" s="74">
        <v>620</v>
      </c>
      <c r="AW8" s="74">
        <v>620</v>
      </c>
      <c r="AX8" s="74">
        <v>620</v>
      </c>
      <c r="AY8" s="74">
        <v>643</v>
      </c>
      <c r="AZ8" s="74">
        <v>643</v>
      </c>
      <c r="BA8" s="74">
        <v>643</v>
      </c>
      <c r="BB8" s="74">
        <v>643</v>
      </c>
      <c r="BC8" s="74">
        <v>646</v>
      </c>
      <c r="BD8" s="74">
        <v>647</v>
      </c>
      <c r="BE8" s="74">
        <v>647</v>
      </c>
      <c r="BF8" s="74">
        <v>647</v>
      </c>
      <c r="BG8" s="74">
        <v>646</v>
      </c>
      <c r="BH8" s="74">
        <v>644</v>
      </c>
      <c r="BI8" s="74">
        <v>644</v>
      </c>
      <c r="BJ8" s="74">
        <v>644</v>
      </c>
      <c r="BK8" s="74">
        <v>644</v>
      </c>
      <c r="BL8" s="74">
        <v>644</v>
      </c>
      <c r="BM8" s="74">
        <v>644</v>
      </c>
      <c r="BN8" s="74">
        <v>644</v>
      </c>
      <c r="BO8" s="14">
        <v>644</v>
      </c>
      <c r="BP8" s="14">
        <v>641</v>
      </c>
      <c r="BQ8" s="14">
        <v>638</v>
      </c>
      <c r="BR8" s="14">
        <v>638</v>
      </c>
      <c r="BS8" s="14">
        <v>638</v>
      </c>
      <c r="BT8" s="14">
        <v>638</v>
      </c>
      <c r="BU8" s="14">
        <v>532</v>
      </c>
      <c r="BV8" s="14">
        <v>532</v>
      </c>
      <c r="BW8" s="14">
        <v>532</v>
      </c>
      <c r="BX8" s="14">
        <v>532</v>
      </c>
      <c r="BY8" s="14">
        <v>534</v>
      </c>
      <c r="BZ8" s="14">
        <v>535</v>
      </c>
      <c r="CA8" s="14">
        <v>533</v>
      </c>
      <c r="CB8" s="14">
        <v>533</v>
      </c>
      <c r="CC8" s="14">
        <v>533</v>
      </c>
      <c r="CD8" s="14">
        <v>534</v>
      </c>
      <c r="CE8" s="14">
        <v>534</v>
      </c>
      <c r="CF8" s="14">
        <v>534</v>
      </c>
      <c r="CG8" s="14">
        <v>534</v>
      </c>
      <c r="CH8" s="14">
        <v>536</v>
      </c>
      <c r="CI8" s="14">
        <v>536</v>
      </c>
      <c r="CJ8" s="14">
        <v>536</v>
      </c>
      <c r="CK8" s="14">
        <v>536</v>
      </c>
      <c r="CL8" s="14">
        <v>537</v>
      </c>
      <c r="CM8" s="14">
        <v>538</v>
      </c>
      <c r="CN8" s="14">
        <v>538</v>
      </c>
      <c r="CO8" s="14">
        <v>538</v>
      </c>
      <c r="CP8" s="14">
        <v>540</v>
      </c>
      <c r="CQ8" s="14">
        <v>541</v>
      </c>
      <c r="CR8" s="14">
        <v>541</v>
      </c>
      <c r="CS8" s="14">
        <v>541</v>
      </c>
      <c r="CT8" s="14">
        <v>542</v>
      </c>
      <c r="CU8" s="14">
        <v>545</v>
      </c>
      <c r="CV8" s="14">
        <v>545</v>
      </c>
      <c r="CW8" s="14">
        <v>545</v>
      </c>
      <c r="CX8" s="14">
        <v>545</v>
      </c>
      <c r="CY8" s="14">
        <v>549</v>
      </c>
      <c r="CZ8" s="14">
        <v>549</v>
      </c>
      <c r="DA8" s="14">
        <v>549</v>
      </c>
      <c r="DB8" s="14">
        <v>549</v>
      </c>
    </row>
    <row r="9" ht="18" customHeight="1" spans="1:106" x14ac:dyDescent="0.25">
      <c r="A9" s="12" t="s">
        <v>243</v>
      </c>
      <c r="B9" s="13"/>
      <c r="C9" s="15">
        <f>=IFERROR(ROUND((C8/(C47*C48))/(1-C29)/C45,0),"")</f>
        <v>22</v>
      </c>
      <c r="D9" s="15">
        <f>=IFERROR(ROUND((D8/(D47*D48))/(1-D29)/D45,0),"")</f>
        <v>22</v>
      </c>
      <c r="E9" s="15">
        <f>=IFERROR(ROUND((E8/(E47*E48))/(1-E29)/E45,0),"")</f>
        <v>22</v>
      </c>
      <c r="F9" s="15">
        <f>=IFERROR(ROUND((F8/(F47*F48))/(1-F29)/F45,0),"")</f>
        <v>22</v>
      </c>
      <c r="G9" s="15">
        <f>=IFERROR(ROUND((G8/(G47*G48))/(1-G29)/G45,0),"")</f>
        <v>22</v>
      </c>
      <c r="H9" s="15">
        <f>=IFERROR(ROUND((H8/(H47*H48))/(1-H29)/H45,0),"")</f>
        <v>23</v>
      </c>
      <c r="I9" s="15">
        <f>=IFERROR(ROUND((I8/(I47*I48))/(1-I29)/I45,0),"")</f>
        <v>23</v>
      </c>
      <c r="J9" s="15">
        <f>=IFERROR(ROUND((J8/(J47*J48))/(1-J29)/J45,0),"")</f>
        <v>23</v>
      </c>
      <c r="K9" s="15">
        <f>=IFERROR(ROUND((K8/(K47*K48))/(1-K29)/K45,0),"")</f>
        <v>23</v>
      </c>
      <c r="L9" s="15">
        <f>=IFERROR(ROUND((L8/(L47*L48))/(1-L29)/L45,0),"")</f>
        <v>23</v>
      </c>
      <c r="M9" s="15">
        <f>=IFERROR(ROUND((M8/(M47*M48))/(1-M29)/M45,0),"")</f>
        <v>23</v>
      </c>
      <c r="N9" s="15">
        <f>=IFERROR(ROUND((N8/(N47*N48))/(1-N29)/N45,0),"")</f>
        <v>23</v>
      </c>
      <c r="O9" s="15">
        <f>=IFERROR(ROUND((O8/(O47*O48))/(1-O29)/O45,0),"")</f>
        <v>23</v>
      </c>
      <c r="P9" s="15">
        <f>=IFERROR(ROUND((P8/(P47*P48))/(1-P29)/P45,0),"")</f>
        <v>18</v>
      </c>
      <c r="Q9" s="15">
        <f>=IFERROR(ROUND((Q8/(Q47*Q48))/(1-Q29)/Q45,0),"")</f>
        <v>18</v>
      </c>
      <c r="R9" s="15">
        <f>=IFERROR(ROUND((R8/(R47*R48))/(1-R29)/R45,0),"")</f>
        <v>18</v>
      </c>
      <c r="S9" s="15">
        <f>=IFERROR(ROUND((S8/(S47*S48))/(1-S29)/S45,0),"")</f>
        <v>19</v>
      </c>
      <c r="T9" s="15">
        <f>=IFERROR(ROUND((T8/(T47*T48))/(1-T29)/T45,0),"")</f>
        <v>18</v>
      </c>
      <c r="U9" s="15">
        <f>=IFERROR(ROUND((U8/(U47*U48))/(1-U29)/U45,0),"")</f>
        <v>18</v>
      </c>
      <c r="V9" s="15">
        <f>=IFERROR(ROUND((V8/(V47*V48))/(1-V29)/V45,0),"")</f>
        <v>18</v>
      </c>
      <c r="W9" s="15">
        <f>=IFERROR(ROUND((W8/(W47*W48))/(1-W29)/W45,0),"")</f>
        <v>18</v>
      </c>
      <c r="X9" s="15">
        <f>=IFERROR(ROUND((X8/(X47*X48))/(1-X29)/X45,0),"")</f>
        <v>18</v>
      </c>
      <c r="Y9" s="15">
        <f>=IFERROR(ROUND((Y8/(Y47*Y48))/(1-Y29)/Y45,0),"")</f>
        <v>19</v>
      </c>
      <c r="Z9" s="15">
        <f>=IFERROR(ROUND((Z8/(Z47*Z48))/(1-Z29)/Z45,0),"")</f>
        <v>19</v>
      </c>
      <c r="AA9" s="15">
        <f>=IFERROR(ROUND((AA8/(AA47*AA48))/(1-AA29)/AA45,0),"")</f>
        <v>19</v>
      </c>
      <c r="AB9" s="15">
        <f>=IFERROR(ROUND((AB8/(AB47*AB48))/(1-AB29)/AB45,0),"")</f>
        <v>19</v>
      </c>
      <c r="AC9" s="15">
        <f>=IFERROR(ROUND((AC8/(AC47*AC48))/(1-AC29)/AC45,0),"")</f>
        <v>18</v>
      </c>
      <c r="AD9" s="15">
        <f>=IFERROR(ROUND((AD8/(AD47*AD48))/(1-AD29)/AD45,0),"")</f>
        <v>18</v>
      </c>
      <c r="AE9" s="15">
        <f>=IFERROR(ROUND((AE8/(AE47*AE48))/(1-AE29)/AE45,0),"")</f>
        <v>18</v>
      </c>
      <c r="AF9" s="15">
        <f>=IFERROR(ROUND((AF8/(AF47*AF48))/(1-AF29)/AF45,0),"")</f>
        <v>18</v>
      </c>
      <c r="AG9" s="15">
        <f>=IFERROR(ROUND((AG8/(AG47*AG48))/(1-AG29)/AG45,0),"")</f>
        <v>18</v>
      </c>
      <c r="AH9" s="15">
        <f>=IFERROR(ROUND((AH8/(AH47*AH48))/(1-AH29)/AH45,0),"")</f>
        <v>18</v>
      </c>
      <c r="AI9" s="15">
        <f>=IFERROR(ROUND((AI8/(AI47*AI48))/(1-AI29)/AI45,0),"")</f>
        <v>18</v>
      </c>
      <c r="AJ9" s="15">
        <f>=IFERROR(ROUND((AJ8/(AJ47*AJ48))/(1-AJ29)/AJ45,0),"")</f>
        <v>18</v>
      </c>
      <c r="AK9" s="15">
        <f>=IFERROR(ROUND((AK8/(AK47*AK48))/(1-AK29)/AK45,0),"")</f>
        <v>18</v>
      </c>
      <c r="AL9" s="15">
        <f>=IFERROR(ROUND((AL8/(AL47*AL48))/(1-AL29)/AL45,0),"")</f>
        <v>18</v>
      </c>
      <c r="AM9" s="15">
        <f>=IFERROR(ROUND((AM8/(AM47*AM48))/(1-AM29)/AM45,0),"")</f>
        <v>18</v>
      </c>
      <c r="AN9" s="15">
        <f>=IFERROR(ROUND((AN8/(AN47*AN48))/(1-AN29)/AN45,0),"")</f>
        <v>18</v>
      </c>
      <c r="AO9" s="15">
        <f>=IFERROR(ROUND((AO8/(AO47*AO48))/(1-AO29)/AO45,0),"")</f>
        <v>18</v>
      </c>
      <c r="AP9" s="15">
        <f>=IFERROR(ROUND((AP8/(AP47*AP48))/(1-AP29)/AP45,0),"")</f>
        <v>18</v>
      </c>
      <c r="AQ9" s="15">
        <f>=IFERROR(ROUND((AQ8/(AQ47*AQ48))/(1-AQ29)/AQ45,0),"")</f>
        <v>18</v>
      </c>
      <c r="AR9" s="15">
        <f>=IFERROR(ROUND((AR8/(AR47*AR48))/(1-AR29)/AR45,0),"")</f>
        <v>18</v>
      </c>
      <c r="AS9" s="15">
        <f>=IFERROR(ROUND((AS8/(AS47*AS48))/(1-AS29)/AS45,0),"")</f>
        <v>18</v>
      </c>
      <c r="AT9" s="15">
        <f>=IFERROR(ROUND((AT8/(AT47*AT48))/(1-AT29)/AT45,0),"")</f>
        <v>18</v>
      </c>
      <c r="AU9" s="15">
        <f>=IFERROR(ROUND((AU8/(AU47*AU48))/(1-AU29)/AU45,0),"")</f>
        <v>18</v>
      </c>
      <c r="AV9" s="15">
        <f>=IFERROR(ROUND((AV8/(AV47*AV48))/(1-AV29)/AV45,0),"")</f>
        <v>18</v>
      </c>
      <c r="AW9" s="15">
        <f>=IFERROR(ROUND((AW8/(AW47*AW48))/(1-AW29)/AW45,0),"")</f>
        <v>18</v>
      </c>
      <c r="AX9" s="15">
        <f>=IFERROR(ROUND((AX8/(AX47*AX48))/(1-AX29)/AX45,0),"")</f>
        <v>18</v>
      </c>
      <c r="AY9" s="15">
        <f>=IFERROR(ROUND((AY8/(AY47*AY48))/(1-AY29)/AY45,0),"")</f>
        <v>18</v>
      </c>
      <c r="AZ9" s="15">
        <f>=IFERROR(ROUND((AZ8/(AZ47*AZ48))/(1-AZ29)/AZ45,0),"")</f>
        <v>18</v>
      </c>
      <c r="BA9" s="15">
        <f>=IFERROR(ROUND((BA8/(BA47*BA48))/(1-BA29)/BA45,0),"")</f>
        <v>18</v>
      </c>
      <c r="BB9" s="15">
        <f>=IFERROR(ROUND((BB8/(BB47*BB48))/(1-BB29)/BB45,0),"")</f>
        <v>18</v>
      </c>
      <c r="BC9" s="15">
        <f>=IFERROR(ROUND((BC8/(BC47*BC48))/(1-BC29)/BC45,0),"")</f>
        <v>19</v>
      </c>
      <c r="BD9" s="15">
        <f>=IFERROR(ROUND((BD8/(BD47*BD48))/(1-BD29)/BD45,0),"")</f>
        <v>19</v>
      </c>
      <c r="BE9" s="15">
        <f>=IFERROR(ROUND((BE8/(BE47*BE48))/(1-BE29)/BE45,0),"")</f>
        <v>19</v>
      </c>
      <c r="BF9" s="15">
        <f>=IFERROR(ROUND((BF8/(BF47*BF48))/(1-BF29)/BF45,0),"")</f>
        <v>19</v>
      </c>
      <c r="BG9" s="15">
        <f>=IFERROR(ROUND((BG8/(BG47*BG48))/(1-BG29)/BG45,0),"")</f>
        <v>19</v>
      </c>
      <c r="BH9" s="15">
        <f>=IFERROR(ROUND((BH8/(BH47*BH48))/(1-BH29)/BH45,0),"")</f>
        <v>19</v>
      </c>
      <c r="BI9" s="15">
        <f>=IFERROR(ROUND((BI8/(BI47*BI48))/(1-BI29)/BI45,0),"")</f>
        <v>19</v>
      </c>
      <c r="BJ9" s="15">
        <f>=IFERROR(ROUND((BJ8/(BJ47*BJ48))/(1-BJ29)/BJ45,0),"")</f>
        <v>19</v>
      </c>
      <c r="BK9" s="15">
        <f>=IFERROR(ROUND((BK8/(BK47*BK48))/(1-BK29)/BK45,0),"")</f>
        <v>19</v>
      </c>
      <c r="BL9" s="15">
        <f>=IFERROR(ROUND((BL8/(BL47*BL48))/(1-BL29)/BL45,0),"")</f>
        <v>19</v>
      </c>
      <c r="BM9" s="15">
        <f>=IFERROR(ROUND((BM8/(BM47*BM48))/(1-BM29)/BM45,0),"")</f>
        <v>19</v>
      </c>
      <c r="BN9" s="15">
        <f>=IFERROR(ROUND((BN8/(BN47*BN48))/(1-BN29)/BN45,0),"")</f>
        <v>19</v>
      </c>
      <c r="BO9" s="15">
        <f>=IFERROR(ROUND((BO8/(BO47*BO48))/(1-BO29)/BO45,0),"")</f>
        <v>19</v>
      </c>
      <c r="BP9" s="15">
        <f>=IFERROR(ROUND((BP8/(BP47*BP48))/(1-BP29)/BP45,0),"")</f>
        <v>19</v>
      </c>
      <c r="BQ9" s="15">
        <f>=IFERROR(ROUND((BQ8/(BQ47*BQ48))/(1-BQ29)/BQ45,0),"")</f>
        <v>19</v>
      </c>
      <c r="BR9" s="15">
        <f>=IFERROR(ROUND((BR8/(BR47*BR48))/(1-BR29)/BR45,0),"")</f>
        <v>19</v>
      </c>
      <c r="BS9" s="15">
        <f>=IFERROR(ROUND((BS8/(BS47*BS48))/(1-BS29)/BS45,0),"")</f>
        <v>19</v>
      </c>
      <c r="BT9" s="15">
        <f>=IFERROR(ROUND((BT8/(BT47*BT48))/(1-BT29)/BT45,0),"")</f>
        <v>19</v>
      </c>
      <c r="BU9" s="15">
        <f>=IFERROR(ROUND((BU8/(BU47*BU48))/(1-BU29)/BU45,0),"")</f>
        <v>15</v>
      </c>
      <c r="BV9" s="15">
        <f>=IFERROR(ROUND((BV8/(BV47*BV48))/(1-BV29)/BV45,0),"")</f>
        <v>15</v>
      </c>
      <c r="BW9" s="15">
        <f>=IFERROR(ROUND((BW8/(BW47*BW48))/(1-BW29)/BW45,0),"")</f>
        <v>15</v>
      </c>
      <c r="BX9" s="15">
        <f>=IFERROR(ROUND((BX8/(BX47*BX48))/(1-BX29)/BX45,0),"")</f>
        <v>15</v>
      </c>
      <c r="BY9" s="15">
        <f>=IFERROR(ROUND((BY8/(BY47*BY48))/(1-BY29)/BY45,0),"")</f>
        <v>16</v>
      </c>
      <c r="BZ9" s="15">
        <f>=IFERROR(ROUND((BZ8/(BZ47*BZ48))/(1-BZ29)/BZ45,0),"")</f>
        <v>16</v>
      </c>
      <c r="CA9" s="15">
        <f>=IFERROR(ROUND((CA8/(CA47*CA48))/(1-CA29)/CA45,0),"")</f>
        <v>15</v>
      </c>
      <c r="CB9" s="15">
        <f>=IFERROR(ROUND((CB8/(CB47*CB48))/(1-CB29)/CB45,0),"")</f>
        <v>15</v>
      </c>
      <c r="CC9" s="15">
        <f>=IFERROR(ROUND((CC8/(CC47*CC48))/(1-CC29)/CC45,0),"")</f>
        <v>15</v>
      </c>
      <c r="CD9" s="15">
        <f>=IFERROR(ROUND((CD8/(CD47*CD48))/(1-CD29)/CD45,0),"")</f>
        <v>16</v>
      </c>
      <c r="CE9" s="15">
        <f>=IFERROR(ROUND((CE8/(CE47*CE48))/(1-CE29)/CE45,0),"")</f>
        <v>16</v>
      </c>
      <c r="CF9" s="15">
        <f>=IFERROR(ROUND((CF8/(CF47*CF48))/(1-CF29)/CF45,0),"")</f>
        <v>16</v>
      </c>
      <c r="CG9" s="15">
        <f>=IFERROR(ROUND((CG8/(CG47*CG48))/(1-CG29)/CG45,0),"")</f>
        <v>16</v>
      </c>
      <c r="CH9" s="15">
        <f>=IFERROR(ROUND((CH8/(CH47*CH48))/(1-CH29)/CH45,0),"")</f>
        <v>16</v>
      </c>
      <c r="CI9" s="15">
        <f>=IFERROR(ROUND((CI8/(CI47*CI48))/(1-CI29)/CI45,0),"")</f>
        <v>16</v>
      </c>
      <c r="CJ9" s="15">
        <f>=IFERROR(ROUND((CJ8/(CJ47*CJ48))/(1-CJ29)/CJ45,0),"")</f>
        <v>16</v>
      </c>
      <c r="CK9" s="15">
        <f>=IFERROR(ROUND((CK8/(CK47*CK48))/(1-CK29)/CK45,0),"")</f>
        <v>16</v>
      </c>
      <c r="CL9" s="15">
        <f>=IFERROR(ROUND((CL8/(CL47*CL48))/(1-CL29)/CL45,0),"")</f>
        <v>16</v>
      </c>
      <c r="CM9" s="15">
        <f>=IFERROR(ROUND((CM8/(CM47*CM48))/(1-CM29)/CM45,0),"")</f>
        <v>16</v>
      </c>
      <c r="CN9" s="15">
        <f>=IFERROR(ROUND((CN8/(CN47*CN48))/(1-CN29)/CN45,0),"")</f>
        <v>16</v>
      </c>
      <c r="CO9" s="15">
        <f>=IFERROR(ROUND((CO8/(CO47*CO48))/(1-CO29)/CO45,0),"")</f>
        <v>16</v>
      </c>
      <c r="CP9" s="15">
        <f>=IFERROR(ROUND((CP8/(CP47*CP48))/(1-CP29)/CP45,0),"")</f>
        <v>16</v>
      </c>
      <c r="CQ9" s="15">
        <f>=IFERROR(ROUND((CQ8/(CQ47*CQ48))/(1-CQ29)/CQ45,0),"")</f>
        <v>16</v>
      </c>
      <c r="CR9" s="15">
        <f>=IFERROR(ROUND((CR8/(CR47*CR48))/(1-CR29)/CR45,0),"")</f>
        <v>16</v>
      </c>
      <c r="CS9" s="15">
        <f>=IFERROR(ROUND((CS8/(CS47*CS48))/(1-CS29)/CS45,0),"")</f>
        <v>16</v>
      </c>
      <c r="CT9" s="15">
        <f>=IFERROR(ROUND((CT8/(CT47*CT48))/(1-CT29)/CT45,0),"")</f>
        <v>16</v>
      </c>
      <c r="CU9" s="15">
        <f>=IFERROR(ROUND((CU8/(CU47*CU48))/(1-CU29)/CU45,0),"")</f>
        <v>16</v>
      </c>
      <c r="CV9" s="15">
        <f>=IFERROR(ROUND((CV8/(CV47*CV48))/(1-CV29)/CV45,0),"")</f>
        <v>16</v>
      </c>
      <c r="CW9" s="15">
        <f>=IFERROR(ROUND((CW8/(CW47*CW48))/(1-CW29)/CW45,0),"")</f>
        <v>16</v>
      </c>
      <c r="CX9" s="15">
        <f>=IFERROR(ROUND((CX8/(CX47*CX48))/(1-CX29)/CX45,0),"")</f>
        <v>16</v>
      </c>
      <c r="CY9" s="15">
        <f>=IFERROR(ROUND((CY8/(CY47*CY48))/(1-CY29)/CY45,0),"")</f>
        <v>16</v>
      </c>
      <c r="CZ9" s="15">
        <f>=IFERROR(ROUND((CZ8/(CZ47*CZ48))/(1-CZ29)/CZ45,0),"")</f>
        <v>16</v>
      </c>
      <c r="DA9" s="15">
        <f>=IFERROR(ROUND((DA8/(DA47*DA48))/(1-DA29)/DA45,0),"")</f>
        <v>16</v>
      </c>
      <c r="DB9" s="15">
        <f>=IFERROR(ROUND((DB8/(DB47*DB48))/(1-DB29)/DB45,0),"")</f>
        <v>16</v>
      </c>
    </row>
    <row r="10" ht="15" customHeight="1" spans="1:106" x14ac:dyDescent="0.25">
      <c r="A10" s="16" t="s">
        <v>244</v>
      </c>
      <c r="B10" s="17"/>
      <c r="C10" s="18">
        <f>=IFERROR(C19+C22+C23,0)</f>
        <v>21</v>
      </c>
      <c r="D10" s="18">
        <f>=IFERROR(D19+D22+D23,0)</f>
        <v>20</v>
      </c>
      <c r="E10" s="18">
        <f>=IFERROR(E19+E22+E23,0)</f>
        <v>19</v>
      </c>
      <c r="F10" s="18">
        <f>=IFERROR(F19+F22+F23,0)</f>
        <v>19</v>
      </c>
      <c r="G10" s="18">
        <f>=IFERROR(G19+G22+G23,0)</f>
        <v>18</v>
      </c>
      <c r="H10" s="18">
        <f>=IFERROR(H19+H22+H23,0)</f>
        <v>22</v>
      </c>
      <c r="I10" s="18">
        <f>=IFERROR(I19+I22+I23,0)</f>
        <v>22</v>
      </c>
      <c r="J10" s="18">
        <f>=IFERROR(J19+J22+J23,0)</f>
        <v>22</v>
      </c>
      <c r="K10" s="18">
        <f>=IFERROR(K19+K22+K23,0)</f>
        <v>23</v>
      </c>
      <c r="L10" s="18">
        <f>=IFERROR(L19+L22+L23,0)</f>
        <v>23</v>
      </c>
      <c r="M10" s="18">
        <f>=IFERROR(M19+M22+M23,0)</f>
        <v>23</v>
      </c>
      <c r="N10" s="18">
        <f>=IFERROR(N19+N22+N23,0)</f>
        <v>23</v>
      </c>
      <c r="O10" s="18">
        <f>=IFERROR(O19+O22+O23,0)</f>
        <v>23</v>
      </c>
      <c r="P10" s="18">
        <f>=IFERROR(P19+P22+P23,0)</f>
        <v>23</v>
      </c>
      <c r="Q10" s="18">
        <f>=IFERROR(Q19+Q22+Q23,0)</f>
        <v>23</v>
      </c>
      <c r="R10" s="18">
        <f>=IFERROR(R19+R22+R23,0)</f>
        <v>22</v>
      </c>
      <c r="S10" s="18">
        <f>=IFERROR(S19+S22+S23,0)</f>
        <v>22</v>
      </c>
      <c r="T10" s="18">
        <f>=IFERROR(T19+T22+T23,0)</f>
        <v>22</v>
      </c>
      <c r="U10" s="18">
        <f>=IFERROR(U19+U22+U23,0)</f>
        <v>22</v>
      </c>
      <c r="V10" s="18">
        <f>=IFERROR(V19+V22+V23,0)</f>
        <v>21</v>
      </c>
      <c r="W10" s="18">
        <f>=IFERROR(W19+W22+W23,0)</f>
        <v>22</v>
      </c>
      <c r="X10" s="18">
        <f>=IFERROR(X19+X22+X23,0)</f>
        <v>22</v>
      </c>
      <c r="Y10" s="18">
        <f>=IFERROR(Y19+Y22+Y23,0)</f>
        <v>22</v>
      </c>
      <c r="Z10" s="18">
        <f>=IFERROR(Z19+Z22+Z23,0)</f>
        <v>22</v>
      </c>
      <c r="AA10" s="18">
        <f>=IFERROR(AA19+AA22+AA23,0)</f>
        <v>22</v>
      </c>
      <c r="AB10" s="18">
        <f>=IFERROR(AB19+AB22+AB23,0)</f>
        <v>22</v>
      </c>
      <c r="AC10" s="18">
        <f>=IFERROR(AC19+AC22+AC23,0)</f>
        <v>22</v>
      </c>
      <c r="AD10" s="18">
        <f>=IFERROR(AD19+AD22+AD23,0)</f>
        <v>19</v>
      </c>
      <c r="AE10" s="18">
        <f>=IFERROR(AE19+AE22+AE23,0)</f>
        <v>19</v>
      </c>
      <c r="AF10" s="18">
        <f>=IFERROR(AF19+AF22+AF23,0)</f>
        <v>19</v>
      </c>
      <c r="AG10" s="18">
        <f>=IFERROR(AG19+AG22+AG23,0)</f>
        <v>19</v>
      </c>
      <c r="AH10" s="18">
        <f>=IFERROR(AH19+AH22+AH23,0)</f>
        <v>19</v>
      </c>
      <c r="AI10" s="18">
        <f>=IFERROR(AI19+AI22+AI23,0)</f>
        <v>19</v>
      </c>
      <c r="AJ10" s="18">
        <f>=IFERROR(AJ19+AJ22+AJ23,0)</f>
        <v>19</v>
      </c>
      <c r="AK10" s="18">
        <f>=IFERROR(AK19+AK22+AK23,0)</f>
        <v>18</v>
      </c>
      <c r="AL10" s="18">
        <f>=IFERROR(AL19+AL22+AL23,0)</f>
        <v>19</v>
      </c>
      <c r="AM10" s="18">
        <f>=IFERROR(AM19+AM22+AM23,0)</f>
        <v>18</v>
      </c>
      <c r="AN10" s="18">
        <f>=IFERROR(AN19+AN22+AN23,0)</f>
        <v>20</v>
      </c>
      <c r="AO10" s="18">
        <f>=IFERROR(AO19+AO22+AO23,0)</f>
        <v>20</v>
      </c>
      <c r="AP10" s="18">
        <f>=IFERROR(AP19+AP22+AP23,0)</f>
        <v>19</v>
      </c>
      <c r="AQ10" s="18">
        <f>=IFERROR(AQ19+AQ22+AQ23,0)</f>
        <v>19</v>
      </c>
      <c r="AR10" s="18">
        <f>=IFERROR(AR19+AR22+AR23,0)</f>
        <v>20</v>
      </c>
      <c r="AS10" s="18">
        <f>=IFERROR(AS19+AS22+AS23,0)</f>
        <v>20</v>
      </c>
      <c r="AT10" s="18">
        <f>=IFERROR(AT19+AT22+AT23,0)</f>
        <v>20</v>
      </c>
      <c r="AU10" s="18">
        <f>=IFERROR(AU19+AU22+AU23,0)</f>
        <v>20</v>
      </c>
      <c r="AV10" s="18">
        <f>=IFERROR(AV19+AV22+AV23,0)</f>
        <v>20</v>
      </c>
      <c r="AW10" s="18">
        <f>=IFERROR(AW19+AW22+AW23,0)</f>
        <v>20</v>
      </c>
      <c r="AX10" s="18">
        <f>=IFERROR(AX19+AX22+AX23,0)</f>
        <v>20</v>
      </c>
      <c r="AY10" s="18">
        <f>=IFERROR(AY19+AY22+AY23,0)</f>
        <v>20</v>
      </c>
      <c r="AZ10" s="18">
        <f>=IFERROR(AZ19+AZ22+AZ23,0)</f>
        <v>20</v>
      </c>
      <c r="BA10" s="18">
        <f>=IFERROR(BA19+BA22+BA23,0)</f>
        <v>19</v>
      </c>
      <c r="BB10" s="18">
        <f>=IFERROR(BB19+BB22+BB23,0)</f>
        <v>18</v>
      </c>
      <c r="BC10" s="18">
        <f>=IFERROR(BC19+BC22+BC23,0)</f>
        <v>20</v>
      </c>
      <c r="BD10" s="18">
        <f>=IFERROR(BD19+BD22+BD23,0)</f>
        <v>20</v>
      </c>
      <c r="BE10" s="18">
        <f>=IFERROR(BE19+BE22+BE23,0)</f>
        <v>20</v>
      </c>
      <c r="BF10" s="18">
        <f>=IFERROR(BF19+BF22+BF23,0)</f>
        <v>20</v>
      </c>
      <c r="BG10" s="18">
        <f>=IFERROR(BG19+BG22+BG23,0)</f>
        <v>20</v>
      </c>
      <c r="BH10" s="18">
        <f>=IFERROR(BH19+BH22+BH23,0)</f>
        <v>20</v>
      </c>
      <c r="BI10" s="18">
        <f>=IFERROR(BI19+BI22+BI23,0)</f>
        <v>20</v>
      </c>
      <c r="BJ10" s="18">
        <f>=IFERROR(BJ19+BJ22+BJ23,0)</f>
        <v>20</v>
      </c>
      <c r="BK10" s="18">
        <f>=IFERROR(BK19+BK22+BK23,0)</f>
        <v>20</v>
      </c>
      <c r="BL10" s="18">
        <f>=IFERROR(BL19+BL22+BL23,0)</f>
        <v>20</v>
      </c>
      <c r="BM10" s="18">
        <f>=IFERROR(BM19+BM22+BM23,0)</f>
        <v>19</v>
      </c>
      <c r="BN10" s="18">
        <f>=IFERROR(BN19+BN22+BN23,0)</f>
        <v>19</v>
      </c>
      <c r="BO10" s="18">
        <f>=IFERROR(BO19+BO22+BO23,0)</f>
        <v>19</v>
      </c>
      <c r="BP10" s="18">
        <f>=IFERROR(BP19+BP22+BP23,0)</f>
        <v>19</v>
      </c>
      <c r="BQ10" s="18">
        <f>=IFERROR(BQ19+BQ22+BQ23,0)</f>
        <v>19</v>
      </c>
      <c r="BR10" s="18">
        <f>=IFERROR(BR19+BR22+BR23,0)</f>
        <v>19</v>
      </c>
      <c r="BS10" s="18">
        <f>=IFERROR(BS19+BS22+BS23,0)</f>
        <v>19</v>
      </c>
      <c r="BT10" s="18">
        <f>=IFERROR(BT19+BT22+BT23,0)</f>
        <v>19</v>
      </c>
      <c r="BU10" s="18">
        <f>=IFERROR(BU19+BU22+BU23,0)</f>
        <v>16</v>
      </c>
      <c r="BV10" s="18">
        <f>=IFERROR(BV19+BV22+BV23,0)</f>
        <v>16</v>
      </c>
      <c r="BW10" s="18">
        <f>=IFERROR(BW19+BW22+BW23,0)</f>
        <v>16</v>
      </c>
      <c r="BX10" s="18">
        <f>=IFERROR(BX19+BX22+BX23,0)</f>
        <v>16</v>
      </c>
      <c r="BY10" s="18">
        <f>=IFERROR(BY19+BY22+BY23,0)</f>
        <v>16</v>
      </c>
      <c r="BZ10" s="18">
        <f>=IFERROR(BZ19+BZ22+BZ23,0)</f>
        <v>16</v>
      </c>
      <c r="CA10" s="18">
        <f>=IFERROR(CA19+CA22+CA23,0)</f>
        <v>16</v>
      </c>
      <c r="CB10" s="18">
        <f>=IFERROR(CB19+CB22+CB23,0)</f>
        <v>15.8</v>
      </c>
      <c r="CC10" s="18">
        <f>=IFERROR(CC19+CC22+CC23,0)</f>
        <v>15.6025</v>
      </c>
      <c r="CD10" s="18">
        <f>=IFERROR(CD19+CD22+CD23,0)</f>
        <v>15.446475</v>
      </c>
      <c r="CE10" s="18">
        <f>=IFERROR(CE19+CE22+CE23,0)</f>
        <v>15.29201025</v>
      </c>
      <c r="CF10" s="18">
        <f>=IFERROR(CF19+CF22+CF23,0)</f>
        <v>17.1390901475</v>
      </c>
      <c r="CG10" s="18">
        <f>=IFERROR(CG19+CG22+CG23,0)</f>
        <v>16.967699246025</v>
      </c>
      <c r="CH10" s="18">
        <f>=IFERROR(CH19+CH22+CH23,0)</f>
        <v>16.79802225356475</v>
      </c>
      <c r="CI10" s="18">
        <f>=IFERROR(CI19+CI22+CI23,0)</f>
        <v>16.588046975395194</v>
      </c>
      <c r="CJ10" s="18">
        <f>=IFERROR(CJ19+CJ22+CJ23,0)</f>
        <v>16.380696388202754</v>
      </c>
      <c r="CK10" s="18">
        <f>=IFERROR(CK19+CK22+CK23,0)</f>
        <v>16.175937683350217</v>
      </c>
      <c r="CL10" s="18">
        <f>=IFERROR(CL19+CL22+CL23,0)</f>
        <v>15.973738462308338</v>
      </c>
      <c r="CM10" s="18">
        <f>=IFERROR(CM19+CM22+CM23,0)</f>
        <v>15.774066731529484</v>
      </c>
      <c r="CN10" s="18">
        <f>=IFERROR(CN19+CN22+CN23,0)</f>
        <v>15.576890897385367</v>
      </c>
      <c r="CO10" s="18">
        <f>=IFERROR(CO19+CO22+CO23,0)</f>
        <v>15.382179761168048</v>
      </c>
      <c r="CP10" s="18">
        <f>=IFERROR(CP19+CP22+CP23,0)</f>
        <v>15.189902514153445</v>
      </c>
      <c r="CQ10" s="18">
        <f>=IFERROR(CQ19+CQ22+CQ23,0)</f>
        <v>15.038003489011912</v>
      </c>
      <c r="CR10" s="18">
        <f>=IFERROR(CR19+CR22+CR23,0)</f>
        <v>14.887623454121792</v>
      </c>
      <c r="CS10" s="18">
        <f>=IFERROR(CS19+CS22+CS23,0)</f>
        <v>14.738747219580572</v>
      </c>
      <c r="CT10" s="18">
        <f>=IFERROR(CT19+CT22+CT23,0)</f>
        <v>14.591359747384766</v>
      </c>
      <c r="CU10" s="18">
        <f>=IFERROR(CU19+CU22+CU23,0)</f>
        <v>14.445446149910918</v>
      </c>
      <c r="CV10" s="18">
        <f>=IFERROR(CV19+CV22+CV23,0)</f>
        <v>14.26487807303703</v>
      </c>
      <c r="CW10" s="18">
        <f>=IFERROR(CW19+CW22+CW23,0)</f>
        <v>14.086567097124068</v>
      </c>
      <c r="CX10" s="18">
        <f>=IFERROR(CX19+CX22+CX23,0)</f>
        <v>13.910485008410017</v>
      </c>
      <c r="CY10" s="18">
        <f>=IFERROR(CY19+CY22+CY23,0)</f>
        <v>13.736603945804893</v>
      </c>
      <c r="CZ10" s="18">
        <f>=IFERROR(CZ19+CZ22+CZ23,0)</f>
        <v>13.56489639648233</v>
      </c>
      <c r="DA10" s="18">
        <f>=IFERROR(DA19+DA22+DA23,0)</f>
        <v>13.395335191526302</v>
      </c>
      <c r="DB10" s="18">
        <f>=IFERROR(DB19+DB22+DB23,0)</f>
        <v>13.227893501632224</v>
      </c>
    </row>
    <row r="11" ht="15" customHeight="1" spans="1:106" x14ac:dyDescent="0.25">
      <c r="A11" s="16" t="s">
        <v>245</v>
      </c>
      <c r="B11" s="17"/>
      <c r="C11" s="18">
        <f>=C10*(C47*C48*(1-C29)*(1-C46))</f>
        <v>705.6</v>
      </c>
      <c r="D11" s="18">
        <f>=D10*(D47*D48*(1-D29)*(1-D46))</f>
        <v>672</v>
      </c>
      <c r="E11" s="18">
        <f>=E10*(E47*E48*(1-E29)*(1-E46))</f>
        <v>638.4</v>
      </c>
      <c r="F11" s="18">
        <f>=F10*(F47*F48*(1-F29)*(1-F46))</f>
        <v>638.4</v>
      </c>
      <c r="G11" s="18">
        <f>=G10*(G47*G48*(1-G29)*(1-G46))</f>
        <v>604.8</v>
      </c>
      <c r="H11" s="18">
        <f>=H10*(H47*H48*(1-H29)*(1-H46))</f>
        <v>739.2</v>
      </c>
      <c r="I11" s="18">
        <f>=I10*(I47*I48*(1-I29)*(1-I46))</f>
        <v>739.2</v>
      </c>
      <c r="J11" s="18">
        <f>=J10*(J47*J48*(1-J29)*(1-J46))</f>
        <v>739.2</v>
      </c>
      <c r="K11" s="18">
        <f>=K10*(K47*K48*(1-K29)*(1-K46))</f>
        <v>772.8</v>
      </c>
      <c r="L11" s="18">
        <f>=L10*(L47*L48*(1-L29)*(1-L46))</f>
        <v>772.8</v>
      </c>
      <c r="M11" s="18">
        <f>=M10*(M47*M48*(1-M29)*(1-M46))</f>
        <v>772.8</v>
      </c>
      <c r="N11" s="18">
        <f>=N10*(N47*N48*(1-N29)*(1-N46))</f>
        <v>772.8</v>
      </c>
      <c r="O11" s="18">
        <f>=O10*(O47*O48*(1-O29)*(1-O46))</f>
        <v>772.8</v>
      </c>
      <c r="P11" s="18">
        <f>=P10*(P47*P48*(1-P29)*(1-P46))</f>
        <v>772.8</v>
      </c>
      <c r="Q11" s="18">
        <f>=Q10*(Q47*Q48*(1-Q29)*(1-Q46))</f>
        <v>772.8</v>
      </c>
      <c r="R11" s="18">
        <f>=R10*(R47*R48*(1-R29)*(1-R46))</f>
        <v>739.2</v>
      </c>
      <c r="S11" s="18">
        <f>=S10*(S47*S48*(1-S29)*(1-S46))</f>
        <v>739.2</v>
      </c>
      <c r="T11" s="18">
        <f>=T10*(T47*T48*(1-T29)*(1-T46))</f>
        <v>739.2</v>
      </c>
      <c r="U11" s="18">
        <f>=U10*(U47*U48*(1-U29)*(1-U46))</f>
        <v>739.2</v>
      </c>
      <c r="V11" s="18">
        <f>=V10*(V47*V48*(1-V29)*(1-V46))</f>
        <v>705.6</v>
      </c>
      <c r="W11" s="18">
        <f>=W10*(W47*W48*(1-W29)*(1-W46))</f>
        <v>739.2</v>
      </c>
      <c r="X11" s="18">
        <f>=X10*(X47*X48*(1-X29)*(1-X46))</f>
        <v>739.2</v>
      </c>
      <c r="Y11" s="18">
        <f>=Y10*(Y47*Y48*(1-Y29)*(1-Y46))</f>
        <v>739.2</v>
      </c>
      <c r="Z11" s="18">
        <f>=Z10*(Z47*Z48*(1-Z29)*(1-Z46))</f>
        <v>739.2</v>
      </c>
      <c r="AA11" s="18">
        <f>=AA10*(AA47*AA48*(1-AA29)*(1-AA46))</f>
        <v>739.2</v>
      </c>
      <c r="AB11" s="18">
        <f>=AB10*(AB47*AB48*(1-AB29)*(1-AB46))</f>
        <v>739.2</v>
      </c>
      <c r="AC11" s="18">
        <f>=AC10*(AC47*AC48*(1-AC29)*(1-AC46))</f>
        <v>739.2</v>
      </c>
      <c r="AD11" s="18">
        <f>=AD10*(AD47*AD48*(1-AD29)*(1-AD46))</f>
        <v>638.4</v>
      </c>
      <c r="AE11" s="18">
        <f>=AE10*(AE47*AE48*(1-AE29)*(1-AE46))</f>
        <v>638.4</v>
      </c>
      <c r="AF11" s="18">
        <f>=AF10*(AF47*AF48*(1-AF29)*(1-AF46))</f>
        <v>638.4</v>
      </c>
      <c r="AG11" s="18">
        <f>=AG10*(AG47*AG48*(1-AG29)*(1-AG46))</f>
        <v>638.4</v>
      </c>
      <c r="AH11" s="18">
        <f>=AH10*(AH47*AH48*(1-AH29)*(1-AH46))</f>
        <v>638.4</v>
      </c>
      <c r="AI11" s="18">
        <f>=AI10*(AI47*AI48*(1-AI29)*(1-AI46))</f>
        <v>638.4</v>
      </c>
      <c r="AJ11" s="18">
        <f>=AJ10*(AJ47*AJ48*(1-AJ29)*(1-AJ46))</f>
        <v>638.4</v>
      </c>
      <c r="AK11" s="18">
        <f>=AK10*(AK47*AK48*(1-AK29)*(1-AK46))</f>
        <v>604.8</v>
      </c>
      <c r="AL11" s="18">
        <f>=AL10*(AL47*AL48*(1-AL29)*(1-AL46))</f>
        <v>638.4</v>
      </c>
      <c r="AM11" s="18">
        <f>=AM10*(AM47*AM48*(1-AM29)*(1-AM46))</f>
        <v>604.8</v>
      </c>
      <c r="AN11" s="18">
        <f>=AN10*(AN47*AN48*(1-AN29)*(1-AN46))</f>
        <v>672</v>
      </c>
      <c r="AO11" s="18">
        <f>=AO10*(AO47*AO48*(1-AO29)*(1-AO46))</f>
        <v>672</v>
      </c>
      <c r="AP11" s="18">
        <f>=AP10*(AP47*AP48*(1-AP29)*(1-AP46))</f>
        <v>661.2</v>
      </c>
      <c r="AQ11" s="18">
        <f>=AQ10*(AQ47*AQ48*(1-AQ29)*(1-AQ46))</f>
        <v>661.2</v>
      </c>
      <c r="AR11" s="18">
        <f>=AR10*(AR47*AR48*(1-AR29)*(1-AR46))</f>
        <v>696</v>
      </c>
      <c r="AS11" s="18">
        <f>=AS10*(AS47*AS48*(1-AS29)*(1-AS46))</f>
        <v>696</v>
      </c>
      <c r="AT11" s="18">
        <f>=AT10*(AT47*AT48*(1-AT29)*(1-AT46))</f>
        <v>696</v>
      </c>
      <c r="AU11" s="18">
        <f>=AU10*(AU47*AU48*(1-AU29)*(1-AU46))</f>
        <v>696</v>
      </c>
      <c r="AV11" s="18">
        <f>=AV10*(AV47*AV48*(1-AV29)*(1-AV46))</f>
        <v>696</v>
      </c>
      <c r="AW11" s="18">
        <f>=AW10*(AW47*AW48*(1-AW29)*(1-AW46))</f>
        <v>696</v>
      </c>
      <c r="AX11" s="18">
        <f>=AX10*(AX47*AX48*(1-AX29)*(1-AX46))</f>
        <v>696</v>
      </c>
      <c r="AY11" s="18">
        <f>=AY10*(AY47*AY48*(1-AY29)*(1-AY46))</f>
        <v>696</v>
      </c>
      <c r="AZ11" s="18">
        <f>=AZ10*(AZ47*AZ48*(1-AZ29)*(1-AZ46))</f>
        <v>696</v>
      </c>
      <c r="BA11" s="18">
        <f>=BA10*(BA47*BA48*(1-BA29)*(1-BA46))</f>
        <v>661.2</v>
      </c>
      <c r="BB11" s="18">
        <f>=BB10*(BB47*BB48*(1-BB29)*(1-BB46))</f>
        <v>626.4</v>
      </c>
      <c r="BC11" s="18">
        <f>=BC10*(BC47*BC48*(1-BC29)*(1-BC46))</f>
        <v>688</v>
      </c>
      <c r="BD11" s="18">
        <f>=BD10*(BD47*BD48*(1-BD29)*(1-BD46))</f>
        <v>688</v>
      </c>
      <c r="BE11" s="18">
        <f>=BE10*(BE47*BE48*(1-BE29)*(1-BE46))</f>
        <v>688</v>
      </c>
      <c r="BF11" s="18">
        <f>=BF10*(BF47*BF48*(1-BF29)*(1-BF46))</f>
        <v>688</v>
      </c>
      <c r="BG11" s="18">
        <f>=BG10*(BG47*BG48*(1-BG29)*(1-BG46))</f>
        <v>688</v>
      </c>
      <c r="BH11" s="18">
        <f>=BH10*(BH47*BH48*(1-BH29)*(1-BH46))</f>
        <v>688</v>
      </c>
      <c r="BI11" s="18">
        <f>=BI10*(BI47*BI48*(1-BI29)*(1-BI46))</f>
        <v>688</v>
      </c>
      <c r="BJ11" s="18">
        <f>=BJ10*(BJ47*BJ48*(1-BJ29)*(1-BJ46))</f>
        <v>688</v>
      </c>
      <c r="BK11" s="18">
        <f>=BK10*(BK47*BK48*(1-BK29)*(1-BK46))</f>
        <v>688</v>
      </c>
      <c r="BL11" s="18">
        <f>=BL10*(BL47*BL48*(1-BL29)*(1-BL46))</f>
        <v>688</v>
      </c>
      <c r="BM11" s="18">
        <f>=BM10*(BM47*BM48*(1-BM29)*(1-BM46))</f>
        <v>653.6</v>
      </c>
      <c r="BN11" s="18">
        <f>=BN10*(BN47*BN48*(1-BN29)*(1-BN46))</f>
        <v>653.6</v>
      </c>
      <c r="BO11" s="18">
        <f>=BO10*(BO47*BO48*(1-BO29)*(1-BO46))</f>
        <v>653.6</v>
      </c>
      <c r="BP11" s="18">
        <f>=BP10*(BP47*BP48*(1-BP29)*(1-BP46))</f>
        <v>653.6</v>
      </c>
      <c r="BQ11" s="18">
        <f>=BQ10*(BQ47*BQ48*(1-BQ29)*(1-BQ46))</f>
        <v>653.6</v>
      </c>
      <c r="BR11" s="18">
        <f>=BR10*(BR47*BR48*(1-BR29)*(1-BR46))</f>
        <v>653.6</v>
      </c>
      <c r="BS11" s="18">
        <f>=BS10*(BS47*BS48*(1-BS29)*(1-BS46))</f>
        <v>653.6</v>
      </c>
      <c r="BT11" s="18">
        <f>=BT10*(BT47*BT48*(1-BT29)*(1-BT46))</f>
        <v>653.6</v>
      </c>
      <c r="BU11" s="18">
        <f>=BU10*(BU47*BU48*(1-BU29)*(1-BU46))</f>
        <v>550.4</v>
      </c>
      <c r="BV11" s="18">
        <f>=BV10*(BV47*BV48*(1-BV29)*(1-BV46))</f>
        <v>550.4</v>
      </c>
      <c r="BW11" s="18">
        <f>=BW10*(BW47*BW48*(1-BW29)*(1-BW46))</f>
        <v>550.4</v>
      </c>
      <c r="BX11" s="18">
        <f>=BX10*(BX47*BX48*(1-BX29)*(1-BX46))</f>
        <v>550.4</v>
      </c>
      <c r="BY11" s="18">
        <f>=BY10*(BY47*BY48*(1-BY29)*(1-BY46))</f>
        <v>550.4</v>
      </c>
      <c r="BZ11" s="18">
        <f>=BZ10*(BZ47*BZ48*(1-BZ29)*(1-BZ46))</f>
        <v>550.4</v>
      </c>
      <c r="CA11" s="18">
        <f>=CA10*(CA47*CA48*(1-CA29)*(1-CA46))</f>
        <v>550.4</v>
      </c>
      <c r="CB11" s="18">
        <f>=CB10*(CB47*CB48*(1-CB29)*(1-CB46))</f>
        <v>543.52</v>
      </c>
      <c r="CC11" s="18">
        <f>=CC10*(CC47*CC48*(1-CC29)*(1-CC46))</f>
        <v>536.726</v>
      </c>
      <c r="CD11" s="18">
        <f>=CD10*(CD47*CD48*(1-CD29)*(1-CD46))</f>
        <v>531.35874</v>
      </c>
      <c r="CE11" s="18">
        <f>=CE10*(CE47*CE48*(1-CE29)*(1-CE46))</f>
        <v>526.0451526</v>
      </c>
      <c r="CF11" s="18">
        <f>=CF10*(CF47*CF48*(1-CF29)*(1-CF46))</f>
        <v>589.584701074</v>
      </c>
      <c r="CG11" s="18">
        <f>=CG10*(CG47*CG48*(1-CG29)*(1-CG46))</f>
        <v>583.68885406326</v>
      </c>
      <c r="CH11" s="18">
        <f>=CH10*(CH47*CH48*(1-CH29)*(1-CH46))</f>
        <v>577.8519655226274</v>
      </c>
      <c r="CI11" s="18">
        <f>=CI10*(CI47*CI48*(1-CI29)*(1-CI46))</f>
        <v>570.6288159535947</v>
      </c>
      <c r="CJ11" s="18">
        <f>=CJ10*(CJ47*CJ48*(1-CJ29)*(1-CJ46))</f>
        <v>563.4959557541747</v>
      </c>
      <c r="CK11" s="18">
        <f>=CK10*(CK47*CK48*(1-CK29)*(1-CK46))</f>
        <v>556.4522563072475</v>
      </c>
      <c r="CL11" s="18">
        <f>=CL10*(CL47*CL48*(1-CL29)*(1-CL46))</f>
        <v>549.4966031034069</v>
      </c>
      <c r="CM11" s="18">
        <f>=CM10*(CM47*CM48*(1-CM29)*(1-CM46))</f>
        <v>542.6278955646143</v>
      </c>
      <c r="CN11" s="18">
        <f>=CN10*(CN47*CN48*(1-CN29)*(1-CN46))</f>
        <v>535.8450468700565</v>
      </c>
      <c r="CO11" s="18">
        <f>=CO10*(CO47*CO48*(1-CO29)*(1-CO46))</f>
        <v>529.1469837841807</v>
      </c>
      <c r="CP11" s="18">
        <f>=CP10*(CP47*CP48*(1-CP29)*(1-CP46))</f>
        <v>522.5326464868785</v>
      </c>
      <c r="CQ11" s="18">
        <f>=CQ10*(CQ47*CQ48*(1-CQ29)*(1-CQ46))</f>
        <v>517.3073200220098</v>
      </c>
      <c r="CR11" s="18">
        <f>=CR10*(CR47*CR48*(1-CR29)*(1-CR46))</f>
        <v>512.1342468217896</v>
      </c>
      <c r="CS11" s="18">
        <f>=CS10*(CS47*CS48*(1-CS29)*(1-CS46))</f>
        <v>507.0129043535716</v>
      </c>
      <c r="CT11" s="18">
        <f>=CT10*(CT47*CT48*(1-CT29)*(1-CT46))</f>
        <v>501.9427753100359</v>
      </c>
      <c r="CU11" s="18">
        <f>=CU10*(CU47*CU48*(1-CU29)*(1-CU46))</f>
        <v>496.92334755693554</v>
      </c>
      <c r="CV11" s="18">
        <f>=CV10*(CV47*CV48*(1-CV29)*(1-CV46))</f>
        <v>490.71180571247385</v>
      </c>
      <c r="CW11" s="18">
        <f>=CW10*(CW47*CW48*(1-CW29)*(1-CW46))</f>
        <v>484.57790814106806</v>
      </c>
      <c r="CX11" s="18">
        <f>=CX10*(CX47*CX48*(1-CX29)*(1-CX46))</f>
        <v>478.52068428930465</v>
      </c>
      <c r="CY11" s="18">
        <f>=CY10*(CY47*CY48*(1-CY29)*(1-CY46))</f>
        <v>472.5391757356883</v>
      </c>
      <c r="CZ11" s="18">
        <f>=CZ10*(CZ47*CZ48*(1-CZ29)*(1-CZ46))</f>
        <v>466.6324360389922</v>
      </c>
      <c r="DA11" s="18">
        <f>=DA10*(DA47*DA48*(1-DA29)*(1-DA46))</f>
        <v>460.7995305885048</v>
      </c>
      <c r="DB11" s="18">
        <f>=DB10*(DB47*DB48*(1-DB29)*(1-DB46))</f>
        <v>455.03953645614854</v>
      </c>
    </row>
    <row r="12" spans="1:106" x14ac:dyDescent="0.25">
      <c r="A12" s="16" t="s">
        <v>246</v>
      </c>
      <c r="C12" s="19">
        <f>=IFERROR(C10-C7,0)</f>
        <v>-1</v>
      </c>
      <c r="D12" s="19">
        <f>=IFERROR(D10-D7,0)</f>
        <v>-2</v>
      </c>
      <c r="E12" s="19">
        <f>=IFERROR(E10-E7,0)</f>
        <v>-3</v>
      </c>
      <c r="F12" s="19">
        <f>=IFERROR(F10-F7,0)</f>
        <v>-3</v>
      </c>
      <c r="G12" s="19">
        <f>=IFERROR(G10-G7,0)</f>
        <v>-4</v>
      </c>
      <c r="H12" s="19">
        <f>=IFERROR(H10-H7,0)</f>
        <v>0</v>
      </c>
      <c r="I12" s="19">
        <f>=IFERROR(I10-I7,0)</f>
        <v>0</v>
      </c>
      <c r="J12" s="19">
        <f>=IFERROR(J10-J7,0)</f>
        <v>0</v>
      </c>
      <c r="K12" s="19">
        <f>=IFERROR(K10-K7,0)</f>
        <v>1</v>
      </c>
      <c r="L12" s="19">
        <f>=IFERROR(L10-L7,0)</f>
        <v>1</v>
      </c>
      <c r="M12" s="19">
        <f>=IFERROR(M10-M7,0)</f>
        <v>1</v>
      </c>
      <c r="N12" s="19">
        <f>=IFERROR(N10-N7,0)</f>
        <v>1</v>
      </c>
      <c r="O12" s="19">
        <f>=IFERROR(O10-O7,0)</f>
        <v>1</v>
      </c>
      <c r="P12" s="19">
        <f>=IFERROR(P10-P7,0)</f>
        <v>5</v>
      </c>
      <c r="Q12" s="19">
        <f>=IFERROR(Q10-Q7,0)</f>
        <v>5</v>
      </c>
      <c r="R12" s="19">
        <f>=IFERROR(R10-R7,0)</f>
        <v>4</v>
      </c>
      <c r="S12" s="19">
        <f>=IFERROR(S10-S7,0)</f>
        <v>4</v>
      </c>
      <c r="T12" s="19">
        <f>=IFERROR(T10-T7,0)</f>
        <v>4</v>
      </c>
      <c r="U12" s="19">
        <f>=IFERROR(U10-U7,0)</f>
        <v>4</v>
      </c>
      <c r="V12" s="19">
        <f>=IFERROR(V10-V7,0)</f>
        <v>3</v>
      </c>
      <c r="W12" s="19">
        <f>=IFERROR(W10-W7,0)</f>
        <v>4</v>
      </c>
      <c r="X12" s="19">
        <f>=IFERROR(X10-X7,0)</f>
        <v>4</v>
      </c>
      <c r="Y12" s="19">
        <f>=IFERROR(Y10-Y7,0)</f>
        <v>4</v>
      </c>
      <c r="Z12" s="19">
        <f>=IFERROR(Z10-Z7,0)</f>
        <v>4</v>
      </c>
      <c r="AA12" s="19">
        <f>=IFERROR(AA10-AA7,0)</f>
        <v>4</v>
      </c>
      <c r="AB12" s="19">
        <f>=IFERROR(AB10-AB7,0)</f>
        <v>4</v>
      </c>
      <c r="AC12" s="19">
        <f>=IFERROR(AC10-AC7,0)</f>
        <v>4</v>
      </c>
      <c r="AD12" s="19">
        <f>=IFERROR(AD10-AD7,0)</f>
        <v>1</v>
      </c>
      <c r="AE12" s="19">
        <f>=IFERROR(AE10-AE7,0)</f>
        <v>1</v>
      </c>
      <c r="AF12" s="19">
        <f>=IFERROR(AF10-AF7,0)</f>
        <v>1</v>
      </c>
      <c r="AG12" s="19">
        <f>=IFERROR(AG10-AG7,0)</f>
        <v>1</v>
      </c>
      <c r="AH12" s="19">
        <f>=IFERROR(AH10-AH7,0)</f>
        <v>1</v>
      </c>
      <c r="AI12" s="19">
        <f>=IFERROR(AI10-AI7,0)</f>
        <v>1</v>
      </c>
      <c r="AJ12" s="19">
        <f>=IFERROR(AJ10-AJ7,0)</f>
        <v>1</v>
      </c>
      <c r="AK12" s="19">
        <f>=IFERROR(AK10-AK7,0)</f>
        <v>0</v>
      </c>
      <c r="AL12" s="19">
        <f>=IFERROR(AL10-AL7,0)</f>
        <v>1</v>
      </c>
      <c r="AM12" s="19">
        <f>=IFERROR(AM10-AM7,0)</f>
        <v>0</v>
      </c>
      <c r="AN12" s="19">
        <f>=IFERROR(AN10-AN7,0)</f>
        <v>2</v>
      </c>
      <c r="AO12" s="19">
        <f>=IFERROR(AO10-AO7,0)</f>
        <v>2</v>
      </c>
      <c r="AP12" s="19">
        <f>=IFERROR(AP10-AP7,0)</f>
        <v>1</v>
      </c>
      <c r="AQ12" s="19">
        <f>=IFERROR(AQ10-AQ7,0)</f>
        <v>1</v>
      </c>
      <c r="AR12" s="19">
        <f>=IFERROR(AR10-AR7,0)</f>
        <v>2</v>
      </c>
      <c r="AS12" s="19">
        <f>=IFERROR(AS10-AS7,0)</f>
        <v>2</v>
      </c>
      <c r="AT12" s="19">
        <f>=IFERROR(AT10-AT7,0)</f>
        <v>2</v>
      </c>
      <c r="AU12" s="19">
        <f>=IFERROR(AU10-AU7,0)</f>
        <v>2</v>
      </c>
      <c r="AV12" s="19">
        <f>=IFERROR(AV10-AV7,0)</f>
        <v>2</v>
      </c>
      <c r="AW12" s="19">
        <f>=IFERROR(AW10-AW7,0)</f>
        <v>2</v>
      </c>
      <c r="AX12" s="19">
        <f>=IFERROR(AX10-AX7,0)</f>
        <v>2</v>
      </c>
      <c r="AY12" s="19">
        <f>=IFERROR(AY10-AY7,0)</f>
        <v>2</v>
      </c>
      <c r="AZ12" s="19">
        <f>=IFERROR(AZ10-AZ7,0)</f>
        <v>2</v>
      </c>
      <c r="BA12" s="19">
        <f>=IFERROR(BA10-BA7,0)</f>
        <v>1</v>
      </c>
      <c r="BB12" s="19">
        <f>=IFERROR(BB10-BB7,0)</f>
        <v>0</v>
      </c>
      <c r="BC12" s="19">
        <f>=IFERROR(BC10-BC7,0)</f>
        <v>2</v>
      </c>
      <c r="BD12" s="19">
        <f>=IFERROR(BD10-BD7,0)</f>
        <v>2</v>
      </c>
      <c r="BE12" s="19">
        <f>=IFERROR(BE10-BE7,0)</f>
        <v>2</v>
      </c>
      <c r="BF12" s="19">
        <f>=IFERROR(BF10-BF7,0)</f>
        <v>2</v>
      </c>
      <c r="BG12" s="19">
        <f>=IFERROR(BG10-BG7,0)</f>
        <v>2</v>
      </c>
      <c r="BH12" s="19">
        <f>=IFERROR(BH10-BH7,0)</f>
        <v>2</v>
      </c>
      <c r="BI12" s="19">
        <f>=IFERROR(BI10-BI7,0)</f>
        <v>2</v>
      </c>
      <c r="BJ12" s="19">
        <f>=IFERROR(BJ10-BJ7,0)</f>
        <v>2</v>
      </c>
      <c r="BK12" s="19">
        <f>=IFERROR(BK10-BK7,0)</f>
        <v>2</v>
      </c>
      <c r="BL12" s="19">
        <f>=IFERROR(BL10-BL7,0)</f>
        <v>2</v>
      </c>
      <c r="BM12" s="19">
        <f>=IFERROR(BM10-BM7,0)</f>
        <v>1</v>
      </c>
      <c r="BN12" s="19">
        <f>=IFERROR(BN10-BN7,0)</f>
        <v>1</v>
      </c>
      <c r="BO12" s="19">
        <f>=IFERROR(BO10-BO7,0)</f>
        <v>1</v>
      </c>
      <c r="BP12" s="19">
        <f>=IFERROR(BP10-BP7,0)</f>
        <v>1</v>
      </c>
      <c r="BQ12" s="19">
        <f>=IFERROR(BQ10-BQ7,0)</f>
        <v>1</v>
      </c>
      <c r="BR12" s="19">
        <f>=IFERROR(BR10-BR7,0)</f>
        <v>1</v>
      </c>
      <c r="BS12" s="19">
        <f>=IFERROR(BS10-BS7,0)</f>
        <v>1</v>
      </c>
      <c r="BT12" s="19">
        <f>=IFERROR(BT10-BT7,0)</f>
        <v>1</v>
      </c>
      <c r="BU12" s="19">
        <f>=IFERROR(BU10-BU7,0)</f>
        <v>1</v>
      </c>
      <c r="BV12" s="19">
        <f>=IFERROR(BV10-BV7,0)</f>
        <v>1</v>
      </c>
      <c r="BW12" s="19">
        <f>=IFERROR(BW10-BW7,0)</f>
        <v>1</v>
      </c>
      <c r="BX12" s="19">
        <f>=IFERROR(BX10-BX7,0)</f>
        <v>1</v>
      </c>
      <c r="BY12" s="19">
        <f>=IFERROR(BY10-BY7,0)</f>
        <v>1</v>
      </c>
      <c r="BZ12" s="19">
        <f>=IFERROR(BZ10-BZ7,0)</f>
        <v>1</v>
      </c>
      <c r="CA12" s="19">
        <f>=IFERROR(CA10-CA7,0)</f>
        <v>1</v>
      </c>
      <c r="CB12" s="19">
        <f>=IFERROR(CB10-CB7,0)</f>
        <v>0.8</v>
      </c>
      <c r="CC12" s="19">
        <f>=IFERROR(CC10-CC7,0)</f>
        <v>0.6025</v>
      </c>
      <c r="CD12" s="19">
        <f>=IFERROR(CD10-CD7,0)</f>
        <v>0.446475</v>
      </c>
      <c r="CE12" s="19">
        <f>=IFERROR(CE10-CE7,0)</f>
        <v>0.29201025</v>
      </c>
      <c r="CF12" s="19">
        <f>=IFERROR(CF10-CF7,0)</f>
        <v>2.1390901475</v>
      </c>
      <c r="CG12" s="19">
        <f>=IFERROR(CG10-CG7,0)</f>
        <v>1.967699246025</v>
      </c>
      <c r="CH12" s="19">
        <f>=IFERROR(CH10-CH7,0)</f>
        <v>1.79802225356475</v>
      </c>
      <c r="CI12" s="19">
        <f>=IFERROR(CI10-CI7,0)</f>
        <v>1.588046975395194</v>
      </c>
      <c r="CJ12" s="19">
        <f>=IFERROR(CJ10-CJ7,0)</f>
        <v>1.380696388202754</v>
      </c>
      <c r="CK12" s="19">
        <f>=IFERROR(CK10-CK7,0)</f>
        <v>1.175937683350216</v>
      </c>
      <c r="CL12" s="19">
        <f>=IFERROR(CL10-CL7,0)</f>
        <v>0.973738462308338</v>
      </c>
      <c r="CM12" s="19">
        <f>=IFERROR(CM10-CM7,0)</f>
        <v>0.774066731529484</v>
      </c>
      <c r="CN12" s="19">
        <f>=IFERROR(CN10-CN7,0)</f>
        <v>0.576890897385366</v>
      </c>
      <c r="CO12" s="19">
        <f>=IFERROR(CO10-CO7,0)</f>
        <v>0.382179761168048</v>
      </c>
      <c r="CP12" s="19">
        <f>=IFERROR(CP10-CP7,0)</f>
        <v>0.189902514153446</v>
      </c>
      <c r="CQ12" s="19">
        <f>=IFERROR(CQ10-CQ7,0)</f>
        <v>0.038003489011912</v>
      </c>
      <c r="CR12" s="19">
        <f>=IFERROR(CR10-CR7,0)</f>
        <v>-0.112376545878208</v>
      </c>
      <c r="CS12" s="19">
        <f>=IFERROR(CS10-CS7,0)</f>
        <v>-0.261252780419428</v>
      </c>
      <c r="CT12" s="19">
        <f>=IFERROR(CT10-CT7,0)</f>
        <v>-0.408640252615234</v>
      </c>
      <c r="CU12" s="19">
        <f>=IFERROR(CU10-CU7,0)</f>
        <v>-0.554553850089082</v>
      </c>
      <c r="CV12" s="19">
        <f>=IFERROR(CV10-CV7,0)</f>
        <v>-0.73512192696297</v>
      </c>
      <c r="CW12" s="19">
        <f>=IFERROR(CW10-CW7,0)</f>
        <v>-0.913432902875932</v>
      </c>
      <c r="CX12" s="19">
        <f>=IFERROR(CX10-CX7,0)</f>
        <v>-1.089514991589982</v>
      </c>
      <c r="CY12" s="19">
        <f>=IFERROR(CY10-CY7,0)</f>
        <v>-1.263396054195108</v>
      </c>
      <c r="CZ12" s="19">
        <f>=IFERROR(CZ10-CZ7,0)</f>
        <v>-1.43510360351767</v>
      </c>
      <c r="DA12" s="19">
        <f>=IFERROR(DA10-DA7,0)</f>
        <v>-1.604664808473698</v>
      </c>
      <c r="DB12" s="19">
        <f>=IFERROR(DB10-DB7,0)</f>
        <v>-1.772106498367776</v>
      </c>
    </row>
    <row r="13" ht="15" customHeight="1" spans="1:106" x14ac:dyDescent="0.25">
      <c r="A13" s="20" t="s">
        <v>247</v>
      </c>
      <c r="B13" s="17"/>
      <c r="C13" s="21">
        <f>=IFERROR(C10-C9,0)</f>
        <v>-1</v>
      </c>
      <c r="D13" s="21">
        <f>=IFERROR(D10-D9,0)</f>
        <v>-2</v>
      </c>
      <c r="E13" s="21">
        <f>=IFERROR(E10-E9,0)</f>
        <v>-3</v>
      </c>
      <c r="F13" s="21">
        <f>=IFERROR(F10-F9,0)</f>
        <v>-3</v>
      </c>
      <c r="G13" s="21">
        <f>=IFERROR(G10-G9,0)</f>
        <v>-4</v>
      </c>
      <c r="H13" s="21">
        <f>=IFERROR(H10-H9,0)</f>
        <v>-1</v>
      </c>
      <c r="I13" s="21">
        <f>=IFERROR(I10-I9,0)</f>
        <v>-1</v>
      </c>
      <c r="J13" s="21">
        <f>=IFERROR(J10-J9,0)</f>
        <v>-1</v>
      </c>
      <c r="K13" s="21">
        <f>=IFERROR(K10-K9,0)</f>
        <v>0</v>
      </c>
      <c r="L13" s="21">
        <f>=IFERROR(L10-L9,0)</f>
        <v>0</v>
      </c>
      <c r="M13" s="21">
        <f>=IFERROR(M10-M9,0)</f>
        <v>0</v>
      </c>
      <c r="N13" s="21">
        <f>=IFERROR(N10-N9,0)</f>
        <v>0</v>
      </c>
      <c r="O13" s="21">
        <f>=IFERROR(O10-O9,0)</f>
        <v>0</v>
      </c>
      <c r="P13" s="21">
        <f>=IFERROR(P10-P9,0)</f>
        <v>5</v>
      </c>
      <c r="Q13" s="21">
        <f>=IFERROR(Q10-Q9,0)</f>
        <v>5</v>
      </c>
      <c r="R13" s="21">
        <f>=IFERROR(R10-R9,0)</f>
        <v>4</v>
      </c>
      <c r="S13" s="21">
        <f>=IFERROR(S10-S9,0)</f>
        <v>3</v>
      </c>
      <c r="T13" s="21">
        <f>=IFERROR(T10-T9,0)</f>
        <v>4</v>
      </c>
      <c r="U13" s="21">
        <f>=IFERROR(U10-U9,0)</f>
        <v>4</v>
      </c>
      <c r="V13" s="21">
        <f>=IFERROR(V10-V9,0)</f>
        <v>3</v>
      </c>
      <c r="W13" s="21">
        <f>=IFERROR(W10-W9,0)</f>
        <v>4</v>
      </c>
      <c r="X13" s="21">
        <f>=IFERROR(X10-X9,0)</f>
        <v>4</v>
      </c>
      <c r="Y13" s="21">
        <f>=IFERROR(Y10-Y9,0)</f>
        <v>3</v>
      </c>
      <c r="Z13" s="21">
        <f>=IFERROR(Z10-Z9,0)</f>
        <v>3</v>
      </c>
      <c r="AA13" s="21">
        <f>=IFERROR(AA10-AA9,0)</f>
        <v>3</v>
      </c>
      <c r="AB13" s="21">
        <f>=IFERROR(AB10-AB9,0)</f>
        <v>3</v>
      </c>
      <c r="AC13" s="21">
        <f>=IFERROR(AC10-AC9,0)</f>
        <v>4</v>
      </c>
      <c r="AD13" s="21">
        <f>=IFERROR(AD10-AD9,0)</f>
        <v>1</v>
      </c>
      <c r="AE13" s="21">
        <f>=IFERROR(AE10-AE9,0)</f>
        <v>1</v>
      </c>
      <c r="AF13" s="21">
        <f>=IFERROR(AF10-AF9,0)</f>
        <v>1</v>
      </c>
      <c r="AG13" s="21">
        <f>=IFERROR(AG10-AG9,0)</f>
        <v>1</v>
      </c>
      <c r="AH13" s="21">
        <f>=IFERROR(AH10-AH9,0)</f>
        <v>1</v>
      </c>
      <c r="AI13" s="21">
        <f>=IFERROR(AI10-AI9,0)</f>
        <v>1</v>
      </c>
      <c r="AJ13" s="21">
        <f>=IFERROR(AJ10-AJ9,0)</f>
        <v>1</v>
      </c>
      <c r="AK13" s="21">
        <f>=IFERROR(AK10-AK9,0)</f>
        <v>0</v>
      </c>
      <c r="AL13" s="21">
        <f>=IFERROR(AL10-AL9,0)</f>
        <v>1</v>
      </c>
      <c r="AM13" s="21">
        <f>=IFERROR(AM10-AM9,0)</f>
        <v>0</v>
      </c>
      <c r="AN13" s="21">
        <f>=IFERROR(AN10-AN9,0)</f>
        <v>2</v>
      </c>
      <c r="AO13" s="21">
        <f>=IFERROR(AO10-AO9,0)</f>
        <v>2</v>
      </c>
      <c r="AP13" s="21">
        <f>=IFERROR(AP10-AP9,0)</f>
        <v>1</v>
      </c>
      <c r="AQ13" s="21">
        <f>=IFERROR(AQ10-AQ9,0)</f>
        <v>1</v>
      </c>
      <c r="AR13" s="21">
        <f>=IFERROR(AR10-AR9,0)</f>
        <v>2</v>
      </c>
      <c r="AS13" s="21">
        <f>=IFERROR(AS10-AS9,0)</f>
        <v>2</v>
      </c>
      <c r="AT13" s="21">
        <f>=IFERROR(AT10-AT9,0)</f>
        <v>2</v>
      </c>
      <c r="AU13" s="21">
        <f>=IFERROR(AU10-AU9,0)</f>
        <v>2</v>
      </c>
      <c r="AV13" s="21">
        <f>=IFERROR(AV10-AV9,0)</f>
        <v>2</v>
      </c>
      <c r="AW13" s="21">
        <f>=IFERROR(AW10-AW9,0)</f>
        <v>2</v>
      </c>
      <c r="AX13" s="21">
        <f>=IFERROR(AX10-AX9,0)</f>
        <v>2</v>
      </c>
      <c r="AY13" s="21">
        <f>=IFERROR(AY10-AY9,0)</f>
        <v>2</v>
      </c>
      <c r="AZ13" s="21">
        <f>=IFERROR(AZ10-AZ9,0)</f>
        <v>2</v>
      </c>
      <c r="BA13" s="21">
        <f>=IFERROR(BA10-BA9,0)</f>
        <v>1</v>
      </c>
      <c r="BB13" s="21">
        <f>=IFERROR(BB10-BB9,0)</f>
        <v>0</v>
      </c>
      <c r="BC13" s="21">
        <f>=IFERROR(BC10-BC9,0)</f>
        <v>1</v>
      </c>
      <c r="BD13" s="21">
        <f>=IFERROR(BD10-BD9,0)</f>
        <v>1</v>
      </c>
      <c r="BE13" s="21">
        <f>=IFERROR(BE10-BE9,0)</f>
        <v>1</v>
      </c>
      <c r="BF13" s="21">
        <f>=IFERROR(BF10-BF9,0)</f>
        <v>1</v>
      </c>
      <c r="BG13" s="21">
        <f>=IFERROR(BG10-BG9,0)</f>
        <v>1</v>
      </c>
      <c r="BH13" s="21">
        <f>=IFERROR(BH10-BH9,0)</f>
        <v>1</v>
      </c>
      <c r="BI13" s="21">
        <f>=IFERROR(BI10-BI9,0)</f>
        <v>1</v>
      </c>
      <c r="BJ13" s="21">
        <f>=IFERROR(BJ10-BJ9,0)</f>
        <v>1</v>
      </c>
      <c r="BK13" s="21">
        <f>=IFERROR(BK10-BK9,0)</f>
        <v>1</v>
      </c>
      <c r="BL13" s="21">
        <f>=IFERROR(BL10-BL9,0)</f>
        <v>1</v>
      </c>
      <c r="BM13" s="21">
        <f>=IFERROR(BM10-BM9,0)</f>
        <v>0</v>
      </c>
      <c r="BN13" s="21">
        <f>=IFERROR(BN10-BN9,0)</f>
        <v>0</v>
      </c>
      <c r="BO13" s="21">
        <f>=IFERROR(BO10-BO9,0)</f>
        <v>0</v>
      </c>
      <c r="BP13" s="21">
        <f>=IFERROR(BP10-BP9,0)</f>
        <v>0</v>
      </c>
      <c r="BQ13" s="21">
        <f>=IFERROR(BQ10-BQ9,0)</f>
        <v>0</v>
      </c>
      <c r="BR13" s="21">
        <f>=IFERROR(BR10-BR9,0)</f>
        <v>0</v>
      </c>
      <c r="BS13" s="21">
        <f>=IFERROR(BS10-BS9,0)</f>
        <v>0</v>
      </c>
      <c r="BT13" s="21">
        <f>=IFERROR(BT10-BT9,0)</f>
        <v>0</v>
      </c>
      <c r="BU13" s="21">
        <f>=IFERROR(BU10-BU9,0)</f>
        <v>1</v>
      </c>
      <c r="BV13" s="21">
        <f>=IFERROR(BV10-BV9,0)</f>
        <v>1</v>
      </c>
      <c r="BW13" s="21">
        <f>=IFERROR(BW10-BW9,0)</f>
        <v>1</v>
      </c>
      <c r="BX13" s="21">
        <f>=IFERROR(BX10-BX9,0)</f>
        <v>1</v>
      </c>
      <c r="BY13" s="21">
        <f>=IFERROR(BY10-BY9,0)</f>
        <v>0</v>
      </c>
      <c r="BZ13" s="21">
        <f>=IFERROR(BZ10-BZ9,0)</f>
        <v>0</v>
      </c>
      <c r="CA13" s="21">
        <f>=IFERROR(CA10-CA9,0)</f>
        <v>1</v>
      </c>
      <c r="CB13" s="21">
        <f>=IFERROR(CB10-CB9,0)</f>
        <v>0.8</v>
      </c>
      <c r="CC13" s="21">
        <f>=IFERROR(CC10-CC9,0)</f>
        <v>0.6025</v>
      </c>
      <c r="CD13" s="21">
        <f>=IFERROR(CD10-CD9,0)</f>
        <v>-0.553525</v>
      </c>
      <c r="CE13" s="21">
        <f>=IFERROR(CE10-CE9,0)</f>
        <v>-0.70798975</v>
      </c>
      <c r="CF13" s="21">
        <f>=IFERROR(CF10-CF9,0)</f>
        <v>1.1390901475</v>
      </c>
      <c r="CG13" s="21">
        <f>=IFERROR(CG10-CG9,0)</f>
        <v>0.967699246025</v>
      </c>
      <c r="CH13" s="21">
        <f>=IFERROR(CH10-CH9,0)</f>
        <v>0.79802225356475</v>
      </c>
      <c r="CI13" s="21">
        <f>=IFERROR(CI10-CI9,0)</f>
        <v>0.588046975395194</v>
      </c>
      <c r="CJ13" s="21">
        <f>=IFERROR(CJ10-CJ9,0)</f>
        <v>0.380696388202754</v>
      </c>
      <c r="CK13" s="21">
        <f>=IFERROR(CK10-CK9,0)</f>
        <v>0.175937683350216</v>
      </c>
      <c r="CL13" s="21">
        <f>=IFERROR(CL10-CL9,0)</f>
        <v>-0.026261537691662</v>
      </c>
      <c r="CM13" s="21">
        <f>=IFERROR(CM10-CM9,0)</f>
        <v>-0.225933268470516</v>
      </c>
      <c r="CN13" s="21">
        <f>=IFERROR(CN10-CN9,0)</f>
        <v>-0.423109102614634</v>
      </c>
      <c r="CO13" s="21">
        <f>=IFERROR(CO10-CO9,0)</f>
        <v>-0.617820238831952</v>
      </c>
      <c r="CP13" s="21">
        <f>=IFERROR(CP10-CP9,0)</f>
        <v>-0.810097485846554</v>
      </c>
      <c r="CQ13" s="21">
        <f>=IFERROR(CQ10-CQ9,0)</f>
        <v>-0.961996510988088</v>
      </c>
      <c r="CR13" s="21">
        <f>=IFERROR(CR10-CR9,0)</f>
        <v>-1.112376545878208</v>
      </c>
      <c r="CS13" s="21">
        <f>=IFERROR(CS10-CS9,0)</f>
        <v>-1.261252780419428</v>
      </c>
      <c r="CT13" s="21">
        <f>=IFERROR(CT10-CT9,0)</f>
        <v>-1.408640252615234</v>
      </c>
      <c r="CU13" s="21">
        <f>=IFERROR(CU10-CU9,0)</f>
        <v>-1.554553850089082</v>
      </c>
      <c r="CV13" s="21">
        <f>=IFERROR(CV10-CV9,0)</f>
        <v>-1.73512192696297</v>
      </c>
      <c r="CW13" s="21">
        <f>=IFERROR(CW10-CW9,0)</f>
        <v>-1.913432902875932</v>
      </c>
      <c r="CX13" s="21">
        <f>=IFERROR(CX10-CX9,0)</f>
        <v>-2.089514991589982</v>
      </c>
      <c r="CY13" s="21">
        <f>=IFERROR(CY10-CY9,0)</f>
        <v>-2.263396054195108</v>
      </c>
      <c r="CZ13" s="21">
        <f>=IFERROR(CZ10-CZ9,0)</f>
        <v>-2.43510360351767</v>
      </c>
      <c r="DA13" s="21">
        <f>=IFERROR(DA10-DA9,0)</f>
        <v>-2.604664808473698</v>
      </c>
      <c r="DB13" s="21">
        <f>=IFERROR(DB10-DB9,0)</f>
        <v>-2.772106498367776</v>
      </c>
    </row>
    <row r="14" ht="15" customHeight="1" spans="1:106" x14ac:dyDescent="0.25">
      <c r="A14" s="22" t="s">
        <v>248</v>
      </c>
      <c r="B14" s="17"/>
      <c r="C14" s="18">
        <f>=Round(C11-C8,0)</f>
        <v>-48</v>
      </c>
      <c r="D14" s="18">
        <f>=Round(D11-D8,0)</f>
        <v>-81</v>
      </c>
      <c r="E14" s="18">
        <f>=Round(E11-E8,0)</f>
        <v>-115</v>
      </c>
      <c r="F14" s="18">
        <f>=Round(F11-F8,0)</f>
        <v>-115</v>
      </c>
      <c r="G14" s="18">
        <f>=Round(G11-G8,0)</f>
        <v>-149</v>
      </c>
      <c r="H14" s="18">
        <f>=Round(H11-H8,0)</f>
        <v>-23</v>
      </c>
      <c r="I14" s="18">
        <f>=Round(I11-I8,0)</f>
        <v>-22</v>
      </c>
      <c r="J14" s="18">
        <f>=Round(J11-J8,0)</f>
        <v>-22</v>
      </c>
      <c r="K14" s="18">
        <f>=Round(K11-K8,0)</f>
        <v>13</v>
      </c>
      <c r="L14" s="18">
        <f>=Round(L11-L8,0)</f>
        <v>14</v>
      </c>
      <c r="M14" s="18">
        <f>=Round(M11-M8,0)</f>
        <v>15</v>
      </c>
      <c r="N14" s="18">
        <f>=Round(N11-N8,0)</f>
        <v>16</v>
      </c>
      <c r="O14" s="18">
        <f>=Round(O11-O8,0)</f>
        <v>15</v>
      </c>
      <c r="P14" s="18">
        <f>=Round(P11-P8,0)</f>
        <v>153</v>
      </c>
      <c r="Q14" s="18">
        <f>=Round(Q11-Q8,0)</f>
        <v>153</v>
      </c>
      <c r="R14" s="18">
        <f>=Round(R11-R8,0)</f>
        <v>119</v>
      </c>
      <c r="S14" s="18">
        <f>=Round(S11-S8,0)</f>
        <v>116</v>
      </c>
      <c r="T14" s="18">
        <f>=Round(T11-T8,0)</f>
        <v>118</v>
      </c>
      <c r="U14" s="18">
        <f>=Round(U11-U8,0)</f>
        <v>118</v>
      </c>
      <c r="V14" s="18">
        <f>=Round(V11-V8,0)</f>
        <v>85</v>
      </c>
      <c r="W14" s="18">
        <f>=Round(W11-W8,0)</f>
        <v>118</v>
      </c>
      <c r="X14" s="18">
        <f>=Round(X11-X8,0)</f>
        <v>118</v>
      </c>
      <c r="Y14" s="18">
        <f>=Round(Y11-Y8,0)</f>
        <v>117</v>
      </c>
      <c r="Z14" s="18">
        <f>=Round(Z11-Z8,0)</f>
        <v>117</v>
      </c>
      <c r="AA14" s="18">
        <f>=Round(AA11-AA8,0)</f>
        <v>117</v>
      </c>
      <c r="AB14" s="18">
        <f>=Round(AB11-AB8,0)</f>
        <v>117</v>
      </c>
      <c r="AC14" s="18">
        <f>=Round(AC11-AC8,0)</f>
        <v>118</v>
      </c>
      <c r="AD14" s="18">
        <f>=Round(AD11-AD8,0)</f>
        <v>17</v>
      </c>
      <c r="AE14" s="18">
        <f>=Round(AE11-AE8,0)</f>
        <v>17</v>
      </c>
      <c r="AF14" s="18">
        <f>=Round(AF11-AF8,0)</f>
        <v>17</v>
      </c>
      <c r="AG14" s="18">
        <f>=Round(AG11-AG8,0)</f>
        <v>17</v>
      </c>
      <c r="AH14" s="18">
        <f>=Round(AH11-AH8,0)</f>
        <v>17</v>
      </c>
      <c r="AI14" s="18">
        <f>=Round(AI11-AI8,0)</f>
        <v>17</v>
      </c>
      <c r="AJ14" s="18">
        <f>=Round(AJ11-AJ8,0)</f>
        <v>17</v>
      </c>
      <c r="AK14" s="18">
        <f>=Round(AK11-AK8,0)</f>
        <v>-15</v>
      </c>
      <c r="AL14" s="18">
        <f>=Round(AL11-AL8,0)</f>
        <v>18</v>
      </c>
      <c r="AM14" s="18">
        <f>=Round(AM11-AM8,0)</f>
        <v>-15</v>
      </c>
      <c r="AN14" s="18">
        <f>=Round(AN11-AN8,0)</f>
        <v>52</v>
      </c>
      <c r="AO14" s="18">
        <f>=Round(AO11-AO8,0)</f>
        <v>52</v>
      </c>
      <c r="AP14" s="18">
        <f>=Round(AP11-AP8,0)</f>
        <v>41</v>
      </c>
      <c r="AQ14" s="18">
        <f>=Round(AQ11-AQ8,0)</f>
        <v>41</v>
      </c>
      <c r="AR14" s="18">
        <f>=Round(AR11-AR8,0)</f>
        <v>76</v>
      </c>
      <c r="AS14" s="18">
        <f>=Round(AS11-AS8,0)</f>
        <v>76</v>
      </c>
      <c r="AT14" s="18">
        <f>=Round(AT11-AT8,0)</f>
        <v>76</v>
      </c>
      <c r="AU14" s="18">
        <f>=Round(AU11-AU8,0)</f>
        <v>76</v>
      </c>
      <c r="AV14" s="18">
        <f>=Round(AV11-AV8,0)</f>
        <v>76</v>
      </c>
      <c r="AW14" s="18">
        <f>=Round(AW11-AW8,0)</f>
        <v>76</v>
      </c>
      <c r="AX14" s="18">
        <f>=Round(AX11-AX8,0)</f>
        <v>76</v>
      </c>
      <c r="AY14" s="18">
        <f>=Round(AY11-AY8,0)</f>
        <v>53</v>
      </c>
      <c r="AZ14" s="18">
        <f>=Round(AZ11-AZ8,0)</f>
        <v>53</v>
      </c>
      <c r="BA14" s="18">
        <f>=Round(BA11-BA8,0)</f>
        <v>18</v>
      </c>
      <c r="BB14" s="18">
        <f>=Round(BB11-BB8,0)</f>
        <v>-17</v>
      </c>
      <c r="BC14" s="18">
        <f>=Round(BC11-BC8,0)</f>
        <v>42</v>
      </c>
      <c r="BD14" s="18">
        <f>=Round(BD11-BD8,0)</f>
        <v>41</v>
      </c>
      <c r="BE14" s="18">
        <f>=Round(BE11-BE8,0)</f>
        <v>41</v>
      </c>
      <c r="BF14" s="18">
        <f>=Round(BF11-BF8,0)</f>
        <v>41</v>
      </c>
      <c r="BG14" s="18">
        <f>=Round(BG11-BG8,0)</f>
        <v>42</v>
      </c>
      <c r="BH14" s="18">
        <f>=Round(BH11-BH8,0)</f>
        <v>44</v>
      </c>
      <c r="BI14" s="18">
        <f>=Round(BI11-BI8,0)</f>
        <v>44</v>
      </c>
      <c r="BJ14" s="18">
        <f>=Round(BJ11-BJ8,0)</f>
        <v>44</v>
      </c>
      <c r="BK14" s="18">
        <f>=Round(BK11-BK8,0)</f>
        <v>44</v>
      </c>
      <c r="BL14" s="18">
        <f>=Round(BL11-BL8,0)</f>
        <v>44</v>
      </c>
      <c r="BM14" s="18">
        <f>=Round(BM11-BM8,0)</f>
        <v>10</v>
      </c>
      <c r="BN14" s="18">
        <f>=Round(BN11-BN8,0)</f>
        <v>10</v>
      </c>
      <c r="BO14" s="18">
        <f>=Round(BO11-BO8,0)</f>
        <v>10</v>
      </c>
      <c r="BP14" s="18">
        <f>=Round(BP11-BP8,0)</f>
        <v>13</v>
      </c>
      <c r="BQ14" s="18">
        <f>=Round(BQ11-BQ8,0)</f>
        <v>16</v>
      </c>
      <c r="BR14" s="18">
        <f>=Round(BR11-BR8,0)</f>
        <v>16</v>
      </c>
      <c r="BS14" s="18">
        <f>=Round(BS11-BS8,0)</f>
        <v>16</v>
      </c>
      <c r="BT14" s="18">
        <f>=Round(BT11-BT8,0)</f>
        <v>16</v>
      </c>
      <c r="BU14" s="18">
        <f>=Round(BU11-BU8,0)</f>
        <v>18</v>
      </c>
      <c r="BV14" s="18">
        <f>=Round(BV11-BV8,0)</f>
        <v>18</v>
      </c>
      <c r="BW14" s="18">
        <f>=Round(BW11-BW8,0)</f>
        <v>18</v>
      </c>
      <c r="BX14" s="18">
        <f>=Round(BX11-BX8,0)</f>
        <v>18</v>
      </c>
      <c r="BY14" s="18">
        <f>=Round(BY11-BY8,0)</f>
        <v>16</v>
      </c>
      <c r="BZ14" s="18">
        <f>=Round(BZ11-BZ8,0)</f>
        <v>15</v>
      </c>
      <c r="CA14" s="18">
        <f>=Round(CA11-CA8,0)</f>
        <v>17</v>
      </c>
      <c r="CB14" s="18">
        <f>=Round(CB11-CB8,0)</f>
        <v>11</v>
      </c>
      <c r="CC14" s="18">
        <f>=Round(CC11-CC8,0)</f>
        <v>4</v>
      </c>
      <c r="CD14" s="18">
        <f>=Round(CD11-CD8,0)</f>
        <v>-3</v>
      </c>
      <c r="CE14" s="18">
        <f>=Round(CE11-CE8,0)</f>
        <v>-8</v>
      </c>
      <c r="CF14" s="18">
        <f>=Round(CF11-CF8,0)</f>
        <v>56</v>
      </c>
      <c r="CG14" s="18">
        <f>=Round(CG11-CG8,0)</f>
        <v>50</v>
      </c>
      <c r="CH14" s="18">
        <f>=Round(CH11-CH8,0)</f>
        <v>42</v>
      </c>
      <c r="CI14" s="18">
        <f>=Round(CI11-CI8,0)</f>
        <v>35</v>
      </c>
      <c r="CJ14" s="18">
        <f>=Round(CJ11-CJ8,0)</f>
        <v>27</v>
      </c>
      <c r="CK14" s="18">
        <f>=Round(CK11-CK8,0)</f>
        <v>20</v>
      </c>
      <c r="CL14" s="18">
        <f>=Round(CL11-CL8,0)</f>
        <v>12</v>
      </c>
      <c r="CM14" s="18">
        <f>=Round(CM11-CM8,0)</f>
        <v>5</v>
      </c>
      <c r="CN14" s="18">
        <f>=Round(CN11-CN8,0)</f>
        <v>-2</v>
      </c>
      <c r="CO14" s="18">
        <f>=Round(CO11-CO8,0)</f>
        <v>-9</v>
      </c>
      <c r="CP14" s="18">
        <f>=Round(CP11-CP8,0)</f>
        <v>-17</v>
      </c>
      <c r="CQ14" s="18">
        <f>=Round(CQ11-CQ8,0)</f>
        <v>-24</v>
      </c>
      <c r="CR14" s="18">
        <f>=Round(CR11-CR8,0)</f>
        <v>-29</v>
      </c>
      <c r="CS14" s="18">
        <f>=Round(CS11-CS8,0)</f>
        <v>-34</v>
      </c>
      <c r="CT14" s="18">
        <f>=Round(CT11-CT8,0)</f>
        <v>-40</v>
      </c>
      <c r="CU14" s="18">
        <f>=Round(CU11-CU8,0)</f>
        <v>-48</v>
      </c>
      <c r="CV14" s="18">
        <f>=Round(CV11-CV8,0)</f>
        <v>-54</v>
      </c>
      <c r="CW14" s="18">
        <f>=Round(CW11-CW8,0)</f>
        <v>-60</v>
      </c>
      <c r="CX14" s="18">
        <f>=Round(CX11-CX8,0)</f>
        <v>-66</v>
      </c>
      <c r="CY14" s="18">
        <f>=Round(CY11-CY8,0)</f>
        <v>-76</v>
      </c>
      <c r="CZ14" s="18">
        <f>=Round(CZ11-CZ8,0)</f>
        <v>-82</v>
      </c>
      <c r="DA14" s="18">
        <f>=Round(DA11-DA8,0)</f>
        <v>-88</v>
      </c>
      <c r="DB14" s="18">
        <f>=Round(DB11-DB8,0)</f>
        <v>-94</v>
      </c>
    </row>
    <row r="15" ht="14" customHeight="1" spans="1:106" x14ac:dyDescent="0.25">
      <c r="A15" s="23" t="s">
        <v>249</v>
      </c>
      <c r="B15" s="24"/>
      <c r="C15" s="25">
        <f>=Round(IFERROR(C10/C7,0),2)</f>
        <v>0.95</v>
      </c>
      <c r="D15" s="25">
        <f>=Round(IFERROR(D10/D7,0),2)</f>
        <v>0.91</v>
      </c>
      <c r="E15" s="25">
        <f>=Round(IFERROR(E10/E7,0),2)</f>
        <v>0.86</v>
      </c>
      <c r="F15" s="25">
        <f>=Round(IFERROR(F10/F7,0),2)</f>
        <v>0.86</v>
      </c>
      <c r="G15" s="25">
        <f>=Round(IFERROR(G10/G7,0),2)</f>
        <v>0.82</v>
      </c>
      <c r="H15" s="25">
        <f>=Round(IFERROR(H10/H7,0),2)</f>
        <v>1</v>
      </c>
      <c r="I15" s="25">
        <f>=Round(IFERROR(I10/I7,0),2)</f>
        <v>1</v>
      </c>
      <c r="J15" s="25">
        <f>=Round(IFERROR(J10/J7,0),2)</f>
        <v>1</v>
      </c>
      <c r="K15" s="25">
        <f>=Round(IFERROR(K10/K7,0),2)</f>
        <v>1.05</v>
      </c>
      <c r="L15" s="25">
        <f>=Round(IFERROR(L10/L7,0),2)</f>
        <v>1.05</v>
      </c>
      <c r="M15" s="25">
        <f>=Round(IFERROR(M10/M7,0),2)</f>
        <v>1.05</v>
      </c>
      <c r="N15" s="25">
        <f>=Round(IFERROR(N10/N7,0),2)</f>
        <v>1.05</v>
      </c>
      <c r="O15" s="25">
        <f>=Round(IFERROR(O10/O7,0),2)</f>
        <v>1.05</v>
      </c>
      <c r="P15" s="25">
        <f>=Round(IFERROR(P10/P7,0),2)</f>
        <v>1.28</v>
      </c>
      <c r="Q15" s="25">
        <f>=Round(IFERROR(Q10/Q7,0),2)</f>
        <v>1.28</v>
      </c>
      <c r="R15" s="25">
        <f>=Round(IFERROR(R10/R7,0),2)</f>
        <v>1.22</v>
      </c>
      <c r="S15" s="25">
        <f>=Round(IFERROR(S10/S7,0),2)</f>
        <v>1.22</v>
      </c>
      <c r="T15" s="25">
        <f>=Round(IFERROR(T10/T7,0),2)</f>
        <v>1.22</v>
      </c>
      <c r="U15" s="25">
        <f>=Round(IFERROR(U10/U7,0),2)</f>
        <v>1.22</v>
      </c>
      <c r="V15" s="25">
        <f>=Round(IFERROR(V10/V7,0),2)</f>
        <v>1.17</v>
      </c>
      <c r="W15" s="25">
        <f>=Round(IFERROR(W10/W7,0),2)</f>
        <v>1.22</v>
      </c>
      <c r="X15" s="25">
        <f>=Round(IFERROR(X10/X7,0),2)</f>
        <v>1.22</v>
      </c>
      <c r="Y15" s="25">
        <f>=Round(IFERROR(Y10/Y7,0),2)</f>
        <v>1.22</v>
      </c>
      <c r="Z15" s="25">
        <f>=Round(IFERROR(Z10/Z7,0),2)</f>
        <v>1.22</v>
      </c>
      <c r="AA15" s="25">
        <f>=Round(IFERROR(AA10/AA7,0),2)</f>
        <v>1.22</v>
      </c>
      <c r="AB15" s="25">
        <f>=Round(IFERROR(AB10/AB7,0),2)</f>
        <v>1.22</v>
      </c>
      <c r="AC15" s="25">
        <f>=Round(IFERROR(AC10/AC7,0),2)</f>
        <v>1.22</v>
      </c>
      <c r="AD15" s="25">
        <f>=Round(IFERROR(AD10/AD7,0),2)</f>
        <v>1.06</v>
      </c>
      <c r="AE15" s="25">
        <f>=Round(IFERROR(AE10/AE7,0),2)</f>
        <v>1.06</v>
      </c>
      <c r="AF15" s="25">
        <f>=Round(IFERROR(AF10/AF7,0),2)</f>
        <v>1.06</v>
      </c>
      <c r="AG15" s="25">
        <f>=Round(IFERROR(AG10/AG7,0),2)</f>
        <v>1.06</v>
      </c>
      <c r="AH15" s="25">
        <f>=Round(IFERROR(AH10/AH7,0),2)</f>
        <v>1.06</v>
      </c>
      <c r="AI15" s="25">
        <f>=Round(IFERROR(AI10/AI7,0),2)</f>
        <v>1.06</v>
      </c>
      <c r="AJ15" s="25">
        <f>=Round(IFERROR(AJ10/AJ7,0),2)</f>
        <v>1.06</v>
      </c>
      <c r="AK15" s="25">
        <f>=Round(IFERROR(AK10/AK7,0),2)</f>
        <v>1</v>
      </c>
      <c r="AL15" s="25">
        <f>=Round(IFERROR(AL10/AL7,0),2)</f>
        <v>1.06</v>
      </c>
      <c r="AM15" s="25">
        <f>=Round(IFERROR(AM10/AM7,0),2)</f>
        <v>1</v>
      </c>
      <c r="AN15" s="25">
        <f>=Round(IFERROR(AN10/AN7,0),2)</f>
        <v>1.11</v>
      </c>
      <c r="AO15" s="25">
        <f>=Round(IFERROR(AO10/AO7,0),2)</f>
        <v>1.11</v>
      </c>
      <c r="AP15" s="25">
        <f>=Round(IFERROR(AP10/AP7,0),2)</f>
        <v>1.06</v>
      </c>
      <c r="AQ15" s="25">
        <f>=Round(IFERROR(AQ10/AQ7,0),2)</f>
        <v>1.06</v>
      </c>
      <c r="AR15" s="25">
        <f>=Round(IFERROR(AR10/AR7,0),2)</f>
        <v>1.11</v>
      </c>
      <c r="AS15" s="25">
        <f>=Round(IFERROR(AS10/AS7,0),2)</f>
        <v>1.11</v>
      </c>
      <c r="AT15" s="25">
        <f>=Round(IFERROR(AT10/AT7,0),2)</f>
        <v>1.11</v>
      </c>
      <c r="AU15" s="25">
        <f>=Round(IFERROR(AU10/AU7,0),2)</f>
        <v>1.11</v>
      </c>
      <c r="AV15" s="25">
        <f>=Round(IFERROR(AV10/AV7,0),2)</f>
        <v>1.11</v>
      </c>
      <c r="AW15" s="25">
        <f>=Round(IFERROR(AW10/AW7,0),2)</f>
        <v>1.11</v>
      </c>
      <c r="AX15" s="25">
        <f>=Round(IFERROR(AX10/AX7,0),2)</f>
        <v>1.11</v>
      </c>
      <c r="AY15" s="25">
        <f>=Round(IFERROR(AY10/AY7,0),2)</f>
        <v>1.11</v>
      </c>
      <c r="AZ15" s="25">
        <f>=Round(IFERROR(AZ10/AZ7,0),2)</f>
        <v>1.11</v>
      </c>
      <c r="BA15" s="25">
        <f>=Round(IFERROR(BA10/BA7,0),2)</f>
        <v>1.06</v>
      </c>
      <c r="BB15" s="25">
        <f>=Round(IFERROR(BB10/BB7,0),2)</f>
        <v>1</v>
      </c>
      <c r="BC15" s="25">
        <f>=Round(IFERROR(BC10/BC7,0),2)</f>
        <v>1.11</v>
      </c>
      <c r="BD15" s="25">
        <f>=Round(IFERROR(BD10/BD7,0),2)</f>
        <v>1.11</v>
      </c>
      <c r="BE15" s="25">
        <f>=Round(IFERROR(BE10/BE7,0),2)</f>
        <v>1.11</v>
      </c>
      <c r="BF15" s="25">
        <f>=Round(IFERROR(BF10/BF7,0),2)</f>
        <v>1.11</v>
      </c>
      <c r="BG15" s="25">
        <f>=Round(IFERROR(BG10/BG7,0),2)</f>
        <v>1.11</v>
      </c>
      <c r="BH15" s="25">
        <f>=Round(IFERROR(BH10/BH7,0),2)</f>
        <v>1.11</v>
      </c>
      <c r="BI15" s="25">
        <f>=Round(IFERROR(BI10/BI7,0),2)</f>
        <v>1.11</v>
      </c>
      <c r="BJ15" s="25">
        <f>=Round(IFERROR(BJ10/BJ7,0),2)</f>
        <v>1.11</v>
      </c>
      <c r="BK15" s="25">
        <f>=Round(IFERROR(BK10/BK7,0),2)</f>
        <v>1.11</v>
      </c>
      <c r="BL15" s="25">
        <f>=Round(IFERROR(BL10/BL7,0),2)</f>
        <v>1.11</v>
      </c>
      <c r="BM15" s="25">
        <f>=Round(IFERROR(BM10/BM7,0),2)</f>
        <v>1.06</v>
      </c>
      <c r="BN15" s="25">
        <f>=Round(IFERROR(BN10/BN7,0),2)</f>
        <v>1.06</v>
      </c>
      <c r="BO15" s="25">
        <f>=Round(IFERROR(BO10/BO7,0),2)</f>
        <v>1.06</v>
      </c>
      <c r="BP15" s="25">
        <f>=Round(IFERROR(BP10/BP7,0),2)</f>
        <v>1.06</v>
      </c>
      <c r="BQ15" s="25">
        <f>=Round(IFERROR(BQ10/BQ7,0),2)</f>
        <v>1.06</v>
      </c>
      <c r="BR15" s="25">
        <f>=Round(IFERROR(BR10/BR7,0),2)</f>
        <v>1.06</v>
      </c>
      <c r="BS15" s="25">
        <f>=Round(IFERROR(BS10/BS7,0),2)</f>
        <v>1.06</v>
      </c>
      <c r="BT15" s="25">
        <f>=Round(IFERROR(BT10/BT7,0),2)</f>
        <v>1.06</v>
      </c>
      <c r="BU15" s="25">
        <f>=Round(IFERROR(BU10/BU7,0),2)</f>
        <v>1.07</v>
      </c>
      <c r="BV15" s="25">
        <f>=Round(IFERROR(BV10/BV7,0),2)</f>
        <v>1.07</v>
      </c>
      <c r="BW15" s="25">
        <f>=Round(IFERROR(BW10/BW7,0),2)</f>
        <v>1.07</v>
      </c>
      <c r="BX15" s="25">
        <f>=Round(IFERROR(BX10/BX7,0),2)</f>
        <v>1.07</v>
      </c>
      <c r="BY15" s="25">
        <f>=Round(IFERROR(BY10/BY7,0),2)</f>
        <v>1.07</v>
      </c>
      <c r="BZ15" s="25">
        <f>=Round(IFERROR(BZ10/BZ7,0),2)</f>
        <v>1.07</v>
      </c>
      <c r="CA15" s="25">
        <f>=Round(IFERROR(CA10/CA7,0),2)</f>
        <v>1.07</v>
      </c>
      <c r="CB15" s="25">
        <f>=Round(IFERROR(CB10/CB7,0),2)</f>
        <v>1.05</v>
      </c>
      <c r="CC15" s="25">
        <f>=Round(IFERROR(CC10/CC7,0),2)</f>
        <v>1.04</v>
      </c>
      <c r="CD15" s="25">
        <f>=Round(IFERROR(CD10/CD7,0),2)</f>
        <v>1.03</v>
      </c>
      <c r="CE15" s="25">
        <f>=Round(IFERROR(CE10/CE7,0),2)</f>
        <v>1.02</v>
      </c>
      <c r="CF15" s="25">
        <f>=Round(IFERROR(CF10/CF7,0),2)</f>
        <v>1.14</v>
      </c>
      <c r="CG15" s="25">
        <f>=Round(IFERROR(CG10/CG7,0),2)</f>
        <v>1.13</v>
      </c>
      <c r="CH15" s="25">
        <f>=Round(IFERROR(CH10/CH7,0),2)</f>
        <v>1.12</v>
      </c>
      <c r="CI15" s="25">
        <f>=Round(IFERROR(CI10/CI7,0),2)</f>
        <v>1.11</v>
      </c>
      <c r="CJ15" s="25">
        <f>=Round(IFERROR(CJ10/CJ7,0),2)</f>
        <v>1.09</v>
      </c>
      <c r="CK15" s="25">
        <f>=Round(IFERROR(CK10/CK7,0),2)</f>
        <v>1.08</v>
      </c>
      <c r="CL15" s="25">
        <f>=Round(IFERROR(CL10/CL7,0),2)</f>
        <v>1.06</v>
      </c>
      <c r="CM15" s="25">
        <f>=Round(IFERROR(CM10/CM7,0),2)</f>
        <v>1.05</v>
      </c>
      <c r="CN15" s="25">
        <f>=Round(IFERROR(CN10/CN7,0),2)</f>
        <v>1.04</v>
      </c>
      <c r="CO15" s="25">
        <f>=Round(IFERROR(CO10/CO7,0),2)</f>
        <v>1.03</v>
      </c>
      <c r="CP15" s="25">
        <f>=Round(IFERROR(CP10/CP7,0),2)</f>
        <v>1.01</v>
      </c>
      <c r="CQ15" s="25">
        <f>=Round(IFERROR(CQ10/CQ7,0),2)</f>
        <v>1</v>
      </c>
      <c r="CR15" s="25">
        <f>=Round(IFERROR(CR10/CR7,0),2)</f>
        <v>0.99</v>
      </c>
      <c r="CS15" s="25">
        <f>=Round(IFERROR(CS10/CS7,0),2)</f>
        <v>0.98</v>
      </c>
      <c r="CT15" s="25">
        <f>=Round(IFERROR(CT10/CT7,0),2)</f>
        <v>0.97</v>
      </c>
      <c r="CU15" s="25">
        <f>=Round(IFERROR(CU10/CU7,0),2)</f>
        <v>0.96</v>
      </c>
      <c r="CV15" s="25">
        <f>=Round(IFERROR(CV10/CV7,0),2)</f>
        <v>0.95</v>
      </c>
      <c r="CW15" s="25">
        <f>=Round(IFERROR(CW10/CW7,0),2)</f>
        <v>0.94</v>
      </c>
      <c r="CX15" s="25">
        <f>=Round(IFERROR(CX10/CX7,0),2)</f>
        <v>0.93</v>
      </c>
      <c r="CY15" s="25">
        <f>=Round(IFERROR(CY10/CY7,0),2)</f>
        <v>0.92</v>
      </c>
      <c r="CZ15" s="25">
        <f>=Round(IFERROR(CZ10/CZ7,0),2)</f>
        <v>0.9</v>
      </c>
      <c r="DA15" s="25">
        <f>=Round(IFERROR(DA10/DA7,0),2)</f>
        <v>0.89</v>
      </c>
      <c r="DB15" s="25">
        <f>=Round(IFERROR(DB10/DB7,0),2)</f>
        <v>0.88</v>
      </c>
    </row>
    <row r="16" spans="1:106" x14ac:dyDescent="0.25">
      <c r="A16" s="23" t="s">
        <v>250</v>
      </c>
      <c r="B16" s="24"/>
      <c r="C16" s="25">
        <f>=Round(IFERROR(C10/C9,0),2)</f>
        <v>0.95</v>
      </c>
      <c r="D16" s="25">
        <f>=Round(IFERROR(D10/D9,0),2)</f>
        <v>0.91</v>
      </c>
      <c r="E16" s="25">
        <f>=Round(IFERROR(E10/E9,0),2)</f>
        <v>0.86</v>
      </c>
      <c r="F16" s="25">
        <f>=Round(IFERROR(F10/F9,0),2)</f>
        <v>0.86</v>
      </c>
      <c r="G16" s="25">
        <f>=Round(IFERROR(G10/G9,0),2)</f>
        <v>0.82</v>
      </c>
      <c r="H16" s="25">
        <f>=Round(IFERROR(H10/H9,0),2)</f>
        <v>0.96</v>
      </c>
      <c r="I16" s="25">
        <f>=Round(IFERROR(I10/I9,0),2)</f>
        <v>0.96</v>
      </c>
      <c r="J16" s="25">
        <f>=Round(IFERROR(J10/J9,0),2)</f>
        <v>0.96</v>
      </c>
      <c r="K16" s="25">
        <f>=Round(IFERROR(K10/K9,0),2)</f>
        <v>1</v>
      </c>
      <c r="L16" s="25">
        <f>=Round(IFERROR(L10/L9,0),2)</f>
        <v>1</v>
      </c>
      <c r="M16" s="25">
        <f>=Round(IFERROR(M10/M9,0),2)</f>
        <v>1</v>
      </c>
      <c r="N16" s="25">
        <f>=Round(IFERROR(N10/N9,0),2)</f>
        <v>1</v>
      </c>
      <c r="O16" s="25">
        <f>=Round(IFERROR(O10/O9,0),2)</f>
        <v>1</v>
      </c>
      <c r="P16" s="25">
        <f>=Round(IFERROR(P10/P9,0),2)</f>
        <v>1.28</v>
      </c>
      <c r="Q16" s="25">
        <f>=Round(IFERROR(Q10/Q9,0),2)</f>
        <v>1.28</v>
      </c>
      <c r="R16" s="25">
        <f>=Round(IFERROR(R10/R9,0),2)</f>
        <v>1.22</v>
      </c>
      <c r="S16" s="25">
        <f>=Round(IFERROR(S10/S9,0),2)</f>
        <v>1.16</v>
      </c>
      <c r="T16" s="25">
        <f>=Round(IFERROR(T10/T9,0),2)</f>
        <v>1.22</v>
      </c>
      <c r="U16" s="25">
        <f>=Round(IFERROR(U10/U9,0),2)</f>
        <v>1.22</v>
      </c>
      <c r="V16" s="25">
        <f>=Round(IFERROR(V10/V9,0),2)</f>
        <v>1.17</v>
      </c>
      <c r="W16" s="25">
        <f>=Round(IFERROR(W10/W9,0),2)</f>
        <v>1.22</v>
      </c>
      <c r="X16" s="25">
        <f>=Round(IFERROR(X10/X9,0),2)</f>
        <v>1.22</v>
      </c>
      <c r="Y16" s="25">
        <f>=Round(IFERROR(Y10/Y9,0),2)</f>
        <v>1.16</v>
      </c>
      <c r="Z16" s="25">
        <f>=Round(IFERROR(Z10/Z9,0),2)</f>
        <v>1.16</v>
      </c>
      <c r="AA16" s="25">
        <f>=Round(IFERROR(AA10/AA9,0),2)</f>
        <v>1.16</v>
      </c>
      <c r="AB16" s="25">
        <f>=Round(IFERROR(AB10/AB9,0),2)</f>
        <v>1.16</v>
      </c>
      <c r="AC16" s="25">
        <f>=Round(IFERROR(AC10/AC9,0),2)</f>
        <v>1.22</v>
      </c>
      <c r="AD16" s="25">
        <f>=Round(IFERROR(AD10/AD9,0),2)</f>
        <v>1.06</v>
      </c>
      <c r="AE16" s="25">
        <f>=Round(IFERROR(AE10/AE9,0),2)</f>
        <v>1.06</v>
      </c>
      <c r="AF16" s="25">
        <f>=Round(IFERROR(AF10/AF9,0),2)</f>
        <v>1.06</v>
      </c>
      <c r="AG16" s="25">
        <f>=Round(IFERROR(AG10/AG9,0),2)</f>
        <v>1.06</v>
      </c>
      <c r="AH16" s="25">
        <f>=Round(IFERROR(AH10/AH9,0),2)</f>
        <v>1.06</v>
      </c>
      <c r="AI16" s="25">
        <f>=Round(IFERROR(AI10/AI9,0),2)</f>
        <v>1.06</v>
      </c>
      <c r="AJ16" s="25">
        <f>=Round(IFERROR(AJ10/AJ9,0),2)</f>
        <v>1.06</v>
      </c>
      <c r="AK16" s="25">
        <f>=Round(IFERROR(AK10/AK9,0),2)</f>
        <v>1</v>
      </c>
      <c r="AL16" s="25">
        <f>=Round(IFERROR(AL10/AL9,0),2)</f>
        <v>1.06</v>
      </c>
      <c r="AM16" s="25">
        <f>=Round(IFERROR(AM10/AM9,0),2)</f>
        <v>1</v>
      </c>
      <c r="AN16" s="25">
        <f>=Round(IFERROR(AN10/AN9,0),2)</f>
        <v>1.11</v>
      </c>
      <c r="AO16" s="25">
        <f>=Round(IFERROR(AO10/AO9,0),2)</f>
        <v>1.11</v>
      </c>
      <c r="AP16" s="25">
        <f>=Round(IFERROR(AP10/AP9,0),2)</f>
        <v>1.06</v>
      </c>
      <c r="AQ16" s="25">
        <f>=Round(IFERROR(AQ10/AQ9,0),2)</f>
        <v>1.06</v>
      </c>
      <c r="AR16" s="25">
        <f>=Round(IFERROR(AR10/AR9,0),2)</f>
        <v>1.11</v>
      </c>
      <c r="AS16" s="25">
        <f>=Round(IFERROR(AS10/AS9,0),2)</f>
        <v>1.11</v>
      </c>
      <c r="AT16" s="25">
        <f>=Round(IFERROR(AT10/AT9,0),2)</f>
        <v>1.11</v>
      </c>
      <c r="AU16" s="25">
        <f>=Round(IFERROR(AU10/AU9,0),2)</f>
        <v>1.11</v>
      </c>
      <c r="AV16" s="25">
        <f>=Round(IFERROR(AV10/AV9,0),2)</f>
        <v>1.11</v>
      </c>
      <c r="AW16" s="25">
        <f>=Round(IFERROR(AW10/AW9,0),2)</f>
        <v>1.11</v>
      </c>
      <c r="AX16" s="25">
        <f>=Round(IFERROR(AX10/AX9,0),2)</f>
        <v>1.11</v>
      </c>
      <c r="AY16" s="25">
        <f>=Round(IFERROR(AY10/AY9,0),2)</f>
        <v>1.11</v>
      </c>
      <c r="AZ16" s="25">
        <f>=Round(IFERROR(AZ10/AZ9,0),2)</f>
        <v>1.11</v>
      </c>
      <c r="BA16" s="25">
        <f>=Round(IFERROR(BA10/BA9,0),2)</f>
        <v>1.06</v>
      </c>
      <c r="BB16" s="25">
        <f>=Round(IFERROR(BB10/BB9,0),2)</f>
        <v>1</v>
      </c>
      <c r="BC16" s="25">
        <f>=Round(IFERROR(BC10/BC9,0),2)</f>
        <v>1.05</v>
      </c>
      <c r="BD16" s="25">
        <f>=Round(IFERROR(BD10/BD9,0),2)</f>
        <v>1.05</v>
      </c>
      <c r="BE16" s="25">
        <f>=Round(IFERROR(BE10/BE9,0),2)</f>
        <v>1.05</v>
      </c>
      <c r="BF16" s="25">
        <f>=Round(IFERROR(BF10/BF9,0),2)</f>
        <v>1.05</v>
      </c>
      <c r="BG16" s="25">
        <f>=Round(IFERROR(BG10/BG9,0),2)</f>
        <v>1.05</v>
      </c>
      <c r="BH16" s="25">
        <f>=Round(IFERROR(BH10/BH9,0),2)</f>
        <v>1.05</v>
      </c>
      <c r="BI16" s="25">
        <f>=Round(IFERROR(BI10/BI9,0),2)</f>
        <v>1.05</v>
      </c>
      <c r="BJ16" s="25">
        <f>=Round(IFERROR(BJ10/BJ9,0),2)</f>
        <v>1.05</v>
      </c>
      <c r="BK16" s="25">
        <f>=Round(IFERROR(BK10/BK9,0),2)</f>
        <v>1.05</v>
      </c>
      <c r="BL16" s="25">
        <f>=Round(IFERROR(BL10/BL9,0),2)</f>
        <v>1.05</v>
      </c>
      <c r="BM16" s="25">
        <f>=Round(IFERROR(BM10/BM9,0),2)</f>
        <v>1</v>
      </c>
      <c r="BN16" s="25">
        <f>=Round(IFERROR(BN10/BN9,0),2)</f>
        <v>1</v>
      </c>
      <c r="BO16" s="25">
        <f>=Round(IFERROR(BO10/BO9,0),2)</f>
        <v>1</v>
      </c>
      <c r="BP16" s="25">
        <f>=Round(IFERROR(BP10/BP9,0),2)</f>
        <v>1</v>
      </c>
      <c r="BQ16" s="25">
        <f>=Round(IFERROR(BQ10/BQ9,0),2)</f>
        <v>1</v>
      </c>
      <c r="BR16" s="25">
        <f>=Round(IFERROR(BR10/BR9,0),2)</f>
        <v>1</v>
      </c>
      <c r="BS16" s="25">
        <f>=Round(IFERROR(BS10/BS9,0),2)</f>
        <v>1</v>
      </c>
      <c r="BT16" s="25">
        <f>=Round(IFERROR(BT10/BT9,0),2)</f>
        <v>1</v>
      </c>
      <c r="BU16" s="25">
        <f>=Round(IFERROR(BU10/BU9,0),2)</f>
        <v>1.07</v>
      </c>
      <c r="BV16" s="25">
        <f>=Round(IFERROR(BV10/BV9,0),2)</f>
        <v>1.07</v>
      </c>
      <c r="BW16" s="25">
        <f>=Round(IFERROR(BW10/BW9,0),2)</f>
        <v>1.07</v>
      </c>
      <c r="BX16" s="25">
        <f>=Round(IFERROR(BX10/BX9,0),2)</f>
        <v>1.07</v>
      </c>
      <c r="BY16" s="25">
        <f>=Round(IFERROR(BY10/BY9,0),2)</f>
        <v>1</v>
      </c>
      <c r="BZ16" s="25">
        <f>=Round(IFERROR(BZ10/BZ9,0),2)</f>
        <v>1</v>
      </c>
      <c r="CA16" s="25">
        <f>=Round(IFERROR(CA10/CA9,0),2)</f>
        <v>1.07</v>
      </c>
      <c r="CB16" s="25">
        <f>=Round(IFERROR(CB10/CB9,0),2)</f>
        <v>1.05</v>
      </c>
      <c r="CC16" s="25">
        <f>=Round(IFERROR(CC10/CC9,0),2)</f>
        <v>1.04</v>
      </c>
      <c r="CD16" s="25">
        <f>=Round(IFERROR(CD10/CD9,0),2)</f>
        <v>0.97</v>
      </c>
      <c r="CE16" s="25">
        <f>=Round(IFERROR(CE10/CE9,0),2)</f>
        <v>0.96</v>
      </c>
      <c r="CF16" s="25">
        <f>=Round(IFERROR(CF10/CF9,0),2)</f>
        <v>1.07</v>
      </c>
      <c r="CG16" s="25">
        <f>=Round(IFERROR(CG10/CG9,0),2)</f>
        <v>1.06</v>
      </c>
      <c r="CH16" s="25">
        <f>=Round(IFERROR(CH10/CH9,0),2)</f>
        <v>1.05</v>
      </c>
      <c r="CI16" s="25">
        <f>=Round(IFERROR(CI10/CI9,0),2)</f>
        <v>1.04</v>
      </c>
      <c r="CJ16" s="25">
        <f>=Round(IFERROR(CJ10/CJ9,0),2)</f>
        <v>1.02</v>
      </c>
      <c r="CK16" s="25">
        <f>=Round(IFERROR(CK10/CK9,0),2)</f>
        <v>1.01</v>
      </c>
      <c r="CL16" s="25">
        <f>=Round(IFERROR(CL10/CL9,0),2)</f>
        <v>1</v>
      </c>
      <c r="CM16" s="25">
        <f>=Round(IFERROR(CM10/CM9,0),2)</f>
        <v>0.99</v>
      </c>
      <c r="CN16" s="25">
        <f>=Round(IFERROR(CN10/CN9,0),2)</f>
        <v>0.97</v>
      </c>
      <c r="CO16" s="25">
        <f>=Round(IFERROR(CO10/CO9,0),2)</f>
        <v>0.96</v>
      </c>
      <c r="CP16" s="25">
        <f>=Round(IFERROR(CP10/CP9,0),2)</f>
        <v>0.95</v>
      </c>
      <c r="CQ16" s="25">
        <f>=Round(IFERROR(CQ10/CQ9,0),2)</f>
        <v>0.94</v>
      </c>
      <c r="CR16" s="25">
        <f>=Round(IFERROR(CR10/CR9,0),2)</f>
        <v>0.93</v>
      </c>
      <c r="CS16" s="25">
        <f>=Round(IFERROR(CS10/CS9,0),2)</f>
        <v>0.92</v>
      </c>
      <c r="CT16" s="25">
        <f>=Round(IFERROR(CT10/CT9,0),2)</f>
        <v>0.91</v>
      </c>
      <c r="CU16" s="25">
        <f>=Round(IFERROR(CU10/CU9,0),2)</f>
        <v>0.9</v>
      </c>
      <c r="CV16" s="25">
        <f>=Round(IFERROR(CV10/CV9,0),2)</f>
        <v>0.89</v>
      </c>
      <c r="CW16" s="25">
        <f>=Round(IFERROR(CW10/CW9,0),2)</f>
        <v>0.88</v>
      </c>
      <c r="CX16" s="25">
        <f>=Round(IFERROR(CX10/CX9,0),2)</f>
        <v>0.87</v>
      </c>
      <c r="CY16" s="25">
        <f>=Round(IFERROR(CY10/CY9,0),2)</f>
        <v>0.86</v>
      </c>
      <c r="CZ16" s="25">
        <f>=Round(IFERROR(CZ10/CZ9,0),2)</f>
        <v>0.85</v>
      </c>
      <c r="DA16" s="25">
        <f>=Round(IFERROR(DA10/DA9,0),2)</f>
        <v>0.84</v>
      </c>
      <c r="DB16" s="25">
        <f>=Round(IFERROR(DB10/DB9,0),2)</f>
        <v>0.83</v>
      </c>
    </row>
    <row r="17" ht="14" customHeight="1" spans="1:106" x14ac:dyDescent="0.25">
      <c r="A17" s="23" t="s">
        <v>251</v>
      </c>
      <c r="B17" s="24"/>
      <c r="C17" s="26">
        <f>=IFERROR(C11/C8,0)</f>
        <v>0.9358090185676392</v>
      </c>
      <c r="D17" s="26">
        <f>=IFERROR(D11/D8,0)</f>
        <v>0.8924302788844621</v>
      </c>
      <c r="E17" s="25">
        <f>=IFERROR(E11/E8,0)</f>
        <v>0.847808764940239</v>
      </c>
      <c r="F17" s="25">
        <f>=IFERROR(F11/F8,0)</f>
        <v>0.847808764940239</v>
      </c>
      <c r="G17" s="25">
        <f>=IFERROR(G11/G8,0)</f>
        <v>0.8021220159151193</v>
      </c>
      <c r="H17" s="25">
        <f>=IFERROR(H11/H8,0)</f>
        <v>0.9700787401574803</v>
      </c>
      <c r="I17" s="25">
        <f>=IFERROR(I11/I8,0)</f>
        <v>0.9713534822601839</v>
      </c>
      <c r="J17" s="25">
        <f>=IFERROR(J11/J8,0)</f>
        <v>0.9713534822601839</v>
      </c>
      <c r="K17" s="25">
        <f>=IFERROR(K11/K8,0)</f>
        <v>1.016842105263158</v>
      </c>
      <c r="L17" s="25">
        <f>=IFERROR(L11/L8,0)</f>
        <v>1.018181818181818</v>
      </c>
      <c r="M17" s="25">
        <f>=IFERROR(M11/M8,0)</f>
        <v>1.0195250659630606</v>
      </c>
      <c r="N17" s="25">
        <f>=IFERROR(N11/N8,0)</f>
        <v>1.020871862615588</v>
      </c>
      <c r="O17" s="25">
        <f>=IFERROR(O11/O8,0)</f>
        <v>1.0195250659630606</v>
      </c>
      <c r="P17" s="25">
        <f>=IFERROR(P11/P8,0)</f>
        <v>1.2464516129032257</v>
      </c>
      <c r="Q17" s="25">
        <f>=IFERROR(Q11/Q8,0)</f>
        <v>1.2464516129032257</v>
      </c>
      <c r="R17" s="25">
        <f>=IFERROR(R11/R8,0)</f>
        <v>1.192258064516129</v>
      </c>
      <c r="S17" s="25">
        <f>=IFERROR(S11/S8,0)</f>
        <v>1.1865168539325843</v>
      </c>
      <c r="T17" s="25">
        <f>=IFERROR(T11/T8,0)</f>
        <v>1.1903381642512076</v>
      </c>
      <c r="U17" s="25">
        <f>=IFERROR(U11/U8,0)</f>
        <v>1.1903381642512076</v>
      </c>
      <c r="V17" s="25">
        <f>=IFERROR(V11/V8,0)</f>
        <v>1.136231884057971</v>
      </c>
      <c r="W17" s="25">
        <f>=IFERROR(W11/W8,0)</f>
        <v>1.1903381642512076</v>
      </c>
      <c r="X17" s="25">
        <f>=IFERROR(X11/X8,0)</f>
        <v>1.1903381642512076</v>
      </c>
      <c r="Y17" s="25">
        <f>=IFERROR(Y11/Y8,0)</f>
        <v>1.1884244372990354</v>
      </c>
      <c r="Z17" s="25">
        <f>=IFERROR(Z11/Z8,0)</f>
        <v>1.1884244372990354</v>
      </c>
      <c r="AA17" s="25">
        <f>=IFERROR(AA11/AA8,0)</f>
        <v>1.1884244372990354</v>
      </c>
      <c r="AB17" s="25">
        <f>=IFERROR(AB11/AB8,0)</f>
        <v>1.1884244372990354</v>
      </c>
      <c r="AC17" s="25">
        <f>=IFERROR(AC11/AC8,0)</f>
        <v>1.1903381642512076</v>
      </c>
      <c r="AD17" s="25">
        <f>=IFERROR(AD11/AD8,0)</f>
        <v>1.0280193236714976</v>
      </c>
      <c r="AE17" s="25">
        <f>=IFERROR(AE11/AE8,0)</f>
        <v>1.0280193236714976</v>
      </c>
      <c r="AF17" s="25">
        <f>=IFERROR(AF11/AF8,0)</f>
        <v>1.0280193236714976</v>
      </c>
      <c r="AG17" s="25">
        <f>=IFERROR(AG11/AG8,0)</f>
        <v>1.0280193236714976</v>
      </c>
      <c r="AH17" s="25">
        <f>=IFERROR(AH11/AH8,0)</f>
        <v>1.0280193236714976</v>
      </c>
      <c r="AI17" s="25">
        <f>=IFERROR(AI11/AI8,0)</f>
        <v>1.0280193236714976</v>
      </c>
      <c r="AJ17" s="25">
        <f>=IFERROR(AJ11/AJ8,0)</f>
        <v>1.0280193236714976</v>
      </c>
      <c r="AK17" s="25">
        <f>=IFERROR(AK11/AK8,0)</f>
        <v>0.9754838709677419</v>
      </c>
      <c r="AL17" s="25">
        <f>=IFERROR(AL11/AL8,0)</f>
        <v>1.0296774193548388</v>
      </c>
      <c r="AM17" s="25">
        <f>=IFERROR(AM11/AM8,0)</f>
        <v>0.9754838709677419</v>
      </c>
      <c r="AN17" s="25">
        <f>=IFERROR(AN11/AN8,0)</f>
        <v>1.0838709677419356</v>
      </c>
      <c r="AO17" s="25">
        <f>=IFERROR(AO11/AO8,0)</f>
        <v>1.0838709677419356</v>
      </c>
      <c r="AP17" s="25">
        <f>=IFERROR(AP11/AP8,0)</f>
        <v>1.0664516129032258</v>
      </c>
      <c r="AQ17" s="25">
        <f>=IFERROR(AQ11/AQ8,0)</f>
        <v>1.0664516129032258</v>
      </c>
      <c r="AR17" s="25">
        <f>=IFERROR(AR11/AR8,0)</f>
        <v>1.1225806451612903</v>
      </c>
      <c r="AS17" s="25">
        <f>=IFERROR(AS11/AS8,0)</f>
        <v>1.1225806451612903</v>
      </c>
      <c r="AT17" s="25">
        <f>=IFERROR(AT11/AT8,0)</f>
        <v>1.1225806451612903</v>
      </c>
      <c r="AU17" s="25">
        <f>=IFERROR(AU11/AU8,0)</f>
        <v>1.1225806451612903</v>
      </c>
      <c r="AV17" s="25">
        <f>=IFERROR(AV11/AV8,0)</f>
        <v>1.1225806451612903</v>
      </c>
      <c r="AW17" s="25">
        <f>=IFERROR(AW11/AW8,0)</f>
        <v>1.1225806451612903</v>
      </c>
      <c r="AX17" s="25">
        <f>=IFERROR(AX11/AX8,0)</f>
        <v>1.1225806451612903</v>
      </c>
      <c r="AY17" s="25">
        <f>=IFERROR(AY11/AY8,0)</f>
        <v>1.0824261275272162</v>
      </c>
      <c r="AZ17" s="25">
        <f>=IFERROR(AZ11/AZ8,0)</f>
        <v>1.0824261275272162</v>
      </c>
      <c r="BA17" s="25">
        <f>=IFERROR(BA11/BA8,0)</f>
        <v>1.0283048211508554</v>
      </c>
      <c r="BB17" s="25">
        <f>=IFERROR(BB11/BB8,0)</f>
        <v>0.9741835147744946</v>
      </c>
      <c r="BC17" s="25">
        <f>=IFERROR(BC11/BC8,0)</f>
        <v>1.065015479876161</v>
      </c>
      <c r="BD17" s="25">
        <f>=IFERROR(BD11/BD8,0)</f>
        <v>1.063369397217929</v>
      </c>
      <c r="BE17" s="25">
        <f>=IFERROR(BE11/BE8,0)</f>
        <v>1.063369397217929</v>
      </c>
      <c r="BF17" s="25">
        <f>=IFERROR(BF11/BF8,0)</f>
        <v>1.063369397217929</v>
      </c>
      <c r="BG17" s="25">
        <f>=IFERROR(BG11/BG8,0)</f>
        <v>1.065015479876161</v>
      </c>
      <c r="BH17" s="25">
        <f>=IFERROR(BH11/BH8,0)</f>
        <v>1.0683229813664596</v>
      </c>
      <c r="BI17" s="25">
        <f>=IFERROR(BI11/BI8,0)</f>
        <v>1.0683229813664596</v>
      </c>
      <c r="BJ17" s="25">
        <f>=IFERROR(BJ11/BJ8,0)</f>
        <v>1.0683229813664596</v>
      </c>
      <c r="BK17" s="25">
        <f>=IFERROR(BK11/BK8,0)</f>
        <v>1.0683229813664596</v>
      </c>
      <c r="BL17" s="25">
        <f>=IFERROR(BL11/BL8,0)</f>
        <v>1.0683229813664596</v>
      </c>
      <c r="BM17" s="25">
        <f>=IFERROR(BM11/BM8,0)</f>
        <v>1.0149068322981367</v>
      </c>
      <c r="BN17" s="25">
        <f>=IFERROR(BN11/BN8,0)</f>
        <v>1.0149068322981367</v>
      </c>
      <c r="BO17" s="25">
        <f>=IFERROR(BO11/BO8,0)</f>
        <v>1.0149068322981367</v>
      </c>
      <c r="BP17" s="25">
        <f>=IFERROR(BP11/BP8,0)</f>
        <v>1.019656786271451</v>
      </c>
      <c r="BQ17" s="25">
        <f>=IFERROR(BQ11/BQ8,0)</f>
        <v>1.0244514106583071</v>
      </c>
      <c r="BR17" s="25">
        <f>=IFERROR(BR11/BR8,0)</f>
        <v>1.0244514106583071</v>
      </c>
      <c r="BS17" s="25">
        <f>=IFERROR(BS11/BS8,0)</f>
        <v>1.0244514106583071</v>
      </c>
      <c r="BT17" s="25">
        <f>=IFERROR(BT11/BT8,0)</f>
        <v>1.0244514106583071</v>
      </c>
      <c r="BU17" s="25">
        <f>=IFERROR(BU11/BU8,0)</f>
        <v>1.0345864661654136</v>
      </c>
      <c r="BV17" s="25">
        <f>=IFERROR(BV11/BV8,0)</f>
        <v>1.0345864661654136</v>
      </c>
      <c r="BW17" s="25">
        <f>=IFERROR(BW11/BW8,0)</f>
        <v>1.0345864661654136</v>
      </c>
      <c r="BX17" s="25">
        <f>=IFERROR(BX11/BX8,0)</f>
        <v>1.0345864661654136</v>
      </c>
      <c r="BY17" s="25">
        <f>=IFERROR(BY11/BY8,0)</f>
        <v>1.0307116104868914</v>
      </c>
      <c r="BZ17" s="25">
        <f>=IFERROR(BZ11/BZ8,0)</f>
        <v>1.0287850467289719</v>
      </c>
      <c r="CA17" s="25">
        <f>=IFERROR(CA11/CA8,0)</f>
        <v>1.0326454033771106</v>
      </c>
      <c r="CB17" s="25">
        <f>=IFERROR(CB11/CB8,0)</f>
        <v>1.019737335834897</v>
      </c>
      <c r="CC17" s="25">
        <f>=IFERROR(CC11/CC8,0)</f>
        <v>1.0069906191369606</v>
      </c>
      <c r="CD17" s="25">
        <f>=IFERROR(CD11/CD8,0)</f>
        <v>0.9950538202247191</v>
      </c>
      <c r="CE17" s="25">
        <f>=IFERROR(CE11/CE8,0)</f>
        <v>0.9851032820224719</v>
      </c>
      <c r="CF17" s="25">
        <f>=IFERROR(CF11/CF8,0)</f>
        <v>1.1040912005131087</v>
      </c>
      <c r="CG17" s="25">
        <f>=IFERROR(CG11/CG8,0)</f>
        <v>1.0930502885079776</v>
      </c>
      <c r="CH17" s="25">
        <f>=IFERROR(CH11/CH8,0)</f>
        <v>1.0780820252287824</v>
      </c>
      <c r="CI17" s="25">
        <f>=IFERROR(CI11/CI8,0)</f>
        <v>1.064605999913423</v>
      </c>
      <c r="CJ17" s="25">
        <f>=IFERROR(CJ11/CJ8,0)</f>
        <v>1.051298424914505</v>
      </c>
      <c r="CK17" s="25">
        <f>=IFERROR(CK11/CK8,0)</f>
        <v>1.0381571946030737</v>
      </c>
      <c r="CL17" s="25">
        <f>=IFERROR(CL11/CL8,0)</f>
        <v>1.023271141719566</v>
      </c>
      <c r="CM17" s="25">
        <f>=IFERROR(CM11/CM8,0)</f>
        <v>1.008602036365454</v>
      </c>
      <c r="CN17" s="25">
        <f>=IFERROR(CN11/CN8,0)</f>
        <v>0.9959945109108856</v>
      </c>
      <c r="CO17" s="25">
        <f>=IFERROR(CO11/CO8,0)</f>
        <v>0.9835445795244995</v>
      </c>
      <c r="CP17" s="25">
        <f>=IFERROR(CP11/CP8,0)</f>
        <v>0.967653049049775</v>
      </c>
      <c r="CQ17" s="25">
        <f>=IFERROR(CQ11/CQ8,0)</f>
        <v>0.9562057671386502</v>
      </c>
      <c r="CR17" s="25">
        <f>=IFERROR(CR11/CR8,0)</f>
        <v>0.9466437094672636</v>
      </c>
      <c r="CS17" s="25">
        <f>=IFERROR(CS11/CS8,0)</f>
        <v>0.9371772723725907</v>
      </c>
      <c r="CT17" s="25">
        <f>=IFERROR(CT11/CT8,0)</f>
        <v>0.9260936813838301</v>
      </c>
      <c r="CU17" s="25">
        <f>=IFERROR(CU11/CU8,0)</f>
        <v>0.9117859588200652</v>
      </c>
      <c r="CV17" s="25">
        <f>=IFERROR(CV11/CV8,0)</f>
        <v>0.9003886343348144</v>
      </c>
      <c r="CW17" s="25">
        <f>=IFERROR(CW11/CW8,0)</f>
        <v>0.8891337764056295</v>
      </c>
      <c r="CX17" s="25">
        <f>=IFERROR(CX11/CX8,0)</f>
        <v>0.878019604200559</v>
      </c>
      <c r="CY17" s="25">
        <f>=IFERROR(CY11/CY8,0)</f>
        <v>0.86072709605772</v>
      </c>
      <c r="CZ17" s="25">
        <f>=IFERROR(CZ11/CZ8,0)</f>
        <v>0.8499680073569985</v>
      </c>
      <c r="DA17" s="25">
        <f>=IFERROR(DA11/DA8,0)</f>
        <v>0.8393434072650361</v>
      </c>
      <c r="DB17" s="25">
        <f>=IFERROR(DB11/DB8,0)</f>
        <v>0.8288516146742232</v>
      </c>
    </row>
    <row r="18" spans="1:106" x14ac:dyDescent="0.25">
      <c r="A18" s="27" t="s">
        <v>252</v>
      </c>
      <c r="C18" s="28">
        <f>=SUM(C19:C23)</f>
        <v>21</v>
      </c>
      <c r="D18" s="28">
        <f>=SUM(D19:D23)</f>
        <v>20</v>
      </c>
      <c r="E18" s="28">
        <f>=SUM(E19:E23)</f>
        <v>19</v>
      </c>
      <c r="F18" s="28">
        <f>=SUM(F19:F23)</f>
        <v>19</v>
      </c>
      <c r="G18" s="28">
        <f>=SUM(G19:G23)</f>
        <v>18</v>
      </c>
      <c r="H18" s="28">
        <f>=SUM(H19:H23)</f>
        <v>22</v>
      </c>
      <c r="I18" s="28">
        <f>=SUM(I19:I23)</f>
        <v>22</v>
      </c>
      <c r="J18" s="28">
        <f>=SUM(J19:J23)</f>
        <v>22</v>
      </c>
      <c r="K18" s="28">
        <f>=SUM(K19:K23)</f>
        <v>23</v>
      </c>
      <c r="L18" s="28">
        <f>=SUM(L19:L23)</f>
        <v>23</v>
      </c>
      <c r="M18" s="28">
        <f>=SUM(M19:M23)</f>
        <v>23</v>
      </c>
      <c r="N18" s="28">
        <f>=SUM(N19:N23)</f>
        <v>23</v>
      </c>
      <c r="O18" s="28">
        <f>=SUM(O19:O23)</f>
        <v>23</v>
      </c>
      <c r="P18" s="28">
        <f>=SUM(P19:P23)</f>
        <v>23</v>
      </c>
      <c r="Q18" s="28">
        <f>=SUM(Q19:Q23)</f>
        <v>23</v>
      </c>
      <c r="R18" s="28">
        <f>=SUM(R19:R23)</f>
        <v>22</v>
      </c>
      <c r="S18" s="28">
        <f>=SUM(S19:S23)</f>
        <v>22</v>
      </c>
      <c r="T18" s="28">
        <f>=SUM(T19:T23)</f>
        <v>22</v>
      </c>
      <c r="U18" s="28">
        <f>=SUM(U19:U23)</f>
        <v>22</v>
      </c>
      <c r="V18" s="28">
        <f>=SUM(V19:V23)</f>
        <v>21</v>
      </c>
      <c r="W18" s="28">
        <f>=SUM(W19:W23)</f>
        <v>22</v>
      </c>
      <c r="X18" s="28">
        <f>=SUM(X19:X23)</f>
        <v>22</v>
      </c>
      <c r="Y18" s="28">
        <f>=SUM(Y19:Y23)</f>
        <v>22</v>
      </c>
      <c r="Z18" s="28">
        <f>=SUM(Z19:Z23)</f>
        <v>22</v>
      </c>
      <c r="AA18" s="28">
        <f>=SUM(AA19:AA23)</f>
        <v>22</v>
      </c>
      <c r="AB18" s="28">
        <f>=SUM(AB19:AB23)</f>
        <v>22</v>
      </c>
      <c r="AC18" s="28">
        <f>=SUM(AC19:AC23)</f>
        <v>22</v>
      </c>
      <c r="AD18" s="28">
        <f>=SUM(AD19:AD23)</f>
        <v>19</v>
      </c>
      <c r="AE18" s="28">
        <f>=SUM(AE19:AE23)</f>
        <v>19</v>
      </c>
      <c r="AF18" s="28">
        <f>=SUM(AF19:AF23)</f>
        <v>19</v>
      </c>
      <c r="AG18" s="29">
        <f>=SUM(AG19:AG23)</f>
        <v>19</v>
      </c>
      <c r="AH18" s="28">
        <f>=SUM(AH19:AH23)</f>
        <v>19</v>
      </c>
      <c r="AI18" s="28">
        <f>=SUM(AI19:AI23)</f>
        <v>19</v>
      </c>
      <c r="AJ18" s="28">
        <f>=SUM(AJ19:AJ23)</f>
        <v>19</v>
      </c>
      <c r="AK18" s="28">
        <f>=SUM(AK19:AK23)</f>
        <v>18</v>
      </c>
      <c r="AL18" s="28">
        <f>=SUM(AL19:AL23)</f>
        <v>19</v>
      </c>
      <c r="AM18" s="28">
        <f>=SUM(AM19:AM23)</f>
        <v>18</v>
      </c>
      <c r="AN18" s="28">
        <f>=SUM(AN19:AN23)</f>
        <v>20</v>
      </c>
      <c r="AO18" s="28">
        <f>=SUM(AO19:AO23)</f>
        <v>20</v>
      </c>
      <c r="AP18" s="28">
        <f>=SUM(AP19:AP23)</f>
        <v>19</v>
      </c>
      <c r="AQ18" s="28">
        <f>=SUM(AQ19:AQ23)</f>
        <v>19</v>
      </c>
      <c r="AR18" s="28">
        <f>=SUM(AR19:AR23)</f>
        <v>20</v>
      </c>
      <c r="AS18" s="28">
        <f>=SUM(AS19:AS23)</f>
        <v>20</v>
      </c>
      <c r="AT18" s="28">
        <f>=SUM(AT19:AT23)</f>
        <v>20</v>
      </c>
      <c r="AU18" s="28">
        <f>=SUM(AU19:AU23)</f>
        <v>20</v>
      </c>
      <c r="AV18" s="28">
        <f>=SUM(AV19:AV23)</f>
        <v>20</v>
      </c>
      <c r="AW18" s="28">
        <f>=SUM(AW19:AW23)</f>
        <v>20</v>
      </c>
      <c r="AX18" s="28">
        <f>=SUM(AX19:AX23)</f>
        <v>20</v>
      </c>
      <c r="AY18" s="28">
        <f>=SUM(AY19:AY23)</f>
        <v>20</v>
      </c>
      <c r="AZ18" s="28">
        <f>=SUM(AZ19:AZ23)</f>
        <v>20</v>
      </c>
      <c r="BA18" s="28">
        <f>=SUM(BA19:BA23)</f>
        <v>19</v>
      </c>
      <c r="BB18" s="28">
        <f>=SUM(BB19:BB23)</f>
        <v>18</v>
      </c>
      <c r="BC18" s="28">
        <f>=SUM(BC19:BC23)</f>
        <v>20</v>
      </c>
      <c r="BD18" s="28">
        <f>=SUM(BD19:BD23)</f>
        <v>20</v>
      </c>
      <c r="BE18" s="28">
        <f>=SUM(BE19:BE23)</f>
        <v>20</v>
      </c>
      <c r="BF18" s="28">
        <f>=SUM(BF19:BF23)</f>
        <v>20</v>
      </c>
      <c r="BG18" s="28">
        <f>=SUM(BG19:BG23)</f>
        <v>20</v>
      </c>
      <c r="BH18" s="28">
        <f>=SUM(BH19:BH23)</f>
        <v>20</v>
      </c>
      <c r="BI18" s="28">
        <f>=SUM(BI19:BI23)</f>
        <v>20</v>
      </c>
      <c r="BJ18" s="28">
        <f>=SUM(BJ19:BJ23)</f>
        <v>20</v>
      </c>
      <c r="BK18" s="28">
        <f>=SUM(BK19:BK23)</f>
        <v>20</v>
      </c>
      <c r="BL18" s="28">
        <f>=SUM(BL19:BL23)</f>
        <v>20</v>
      </c>
      <c r="BM18" s="28">
        <f>=SUM(BM19:BM23)</f>
        <v>19</v>
      </c>
      <c r="BN18" s="28">
        <f>=SUM(BN19:BN23)</f>
        <v>19</v>
      </c>
      <c r="BO18" s="28">
        <f>=SUM(BO19:BO23)</f>
        <v>19</v>
      </c>
      <c r="BP18" s="28">
        <f>=SUM(BP19:BP23)</f>
        <v>19</v>
      </c>
      <c r="BQ18" s="28">
        <f>=SUM(BQ19:BQ23)</f>
        <v>19</v>
      </c>
      <c r="BR18" s="28">
        <f>=SUM(BR19:BR23)</f>
        <v>19</v>
      </c>
      <c r="BS18" s="28">
        <f>=SUM(BS19:BS23)</f>
        <v>19</v>
      </c>
      <c r="BT18" s="28">
        <f>=SUM(BT19:BT23)</f>
        <v>19</v>
      </c>
      <c r="BU18" s="28">
        <f>=SUM(BU19:BU23)</f>
        <v>16</v>
      </c>
      <c r="BV18" s="28">
        <f>=SUM(BV19:BV23)</f>
        <v>16</v>
      </c>
      <c r="BW18" s="28">
        <f>=SUM(BW19:BW23)</f>
        <v>16</v>
      </c>
      <c r="BX18" s="28">
        <f>=SUM(BX19:BX23)</f>
        <v>16</v>
      </c>
      <c r="BY18" s="28">
        <f>=SUM(BY19:BY23)</f>
        <v>16</v>
      </c>
      <c r="BZ18" s="28">
        <f>=SUM(BZ19:BZ23)</f>
        <v>16</v>
      </c>
      <c r="CA18" s="28">
        <f>=SUM(CA19:CA23)</f>
        <v>16</v>
      </c>
      <c r="CB18" s="28">
        <f>=SUM(CB19:CB23)</f>
        <v>15.8</v>
      </c>
      <c r="CC18" s="28">
        <f>=SUM(CC19:CC23)</f>
        <v>15.6025</v>
      </c>
      <c r="CD18" s="28">
        <f>=SUM(CD19:CD23)</f>
        <v>15.446475</v>
      </c>
      <c r="CE18" s="28">
        <f>=SUM(CE19:CE23)</f>
        <v>15.29201025</v>
      </c>
      <c r="CF18" s="28">
        <f>=SUM(CF19:CF23)</f>
        <v>17.1390901475</v>
      </c>
      <c r="CG18" s="28">
        <f>=SUM(CG19:CG23)</f>
        <v>16.967699246025</v>
      </c>
      <c r="CH18" s="28">
        <f>=SUM(CH19:CH23)</f>
        <v>16.79802225356475</v>
      </c>
      <c r="CI18" s="28">
        <f>=SUM(CI19:CI23)</f>
        <v>16.588046975395194</v>
      </c>
      <c r="CJ18" s="28">
        <f>=SUM(CJ19:CJ23)</f>
        <v>16.380696388202754</v>
      </c>
      <c r="CK18" s="28">
        <f>=SUM(CK19:CK23)</f>
        <v>16.175937683350217</v>
      </c>
      <c r="CL18" s="28">
        <f>=SUM(CL19:CL23)</f>
        <v>15.973738462308338</v>
      </c>
      <c r="CM18" s="28">
        <f>=SUM(CM19:CM23)</f>
        <v>15.774066731529484</v>
      </c>
      <c r="CN18" s="28">
        <f>=SUM(CN19:CN23)</f>
        <v>15.576890897385367</v>
      </c>
      <c r="CO18" s="28">
        <f>=SUM(CO19:CO23)</f>
        <v>15.382179761168048</v>
      </c>
      <c r="CP18" s="28">
        <f>=SUM(CP19:CP23)</f>
        <v>15.189902514153445</v>
      </c>
      <c r="CQ18" s="28">
        <f>=SUM(CQ19:CQ23)</f>
        <v>15.038003489011912</v>
      </c>
      <c r="CR18" s="28">
        <f>=SUM(CR19:CR23)</f>
        <v>14.887623454121792</v>
      </c>
      <c r="CS18" s="28">
        <f>=SUM(CS19:CS23)</f>
        <v>14.738747219580572</v>
      </c>
      <c r="CT18" s="28">
        <f>=SUM(CT19:CT23)</f>
        <v>14.591359747384766</v>
      </c>
      <c r="CU18" s="28">
        <f>=SUM(CU19:CU23)</f>
        <v>14.445446149910918</v>
      </c>
      <c r="CV18" s="28">
        <f>=SUM(CV19:CV23)</f>
        <v>14.26487807303703</v>
      </c>
      <c r="CW18" s="28">
        <f>=SUM(CW19:CW23)</f>
        <v>14.086567097124068</v>
      </c>
      <c r="CX18" s="28">
        <f>=SUM(CX19:CX23)</f>
        <v>13.910485008410017</v>
      </c>
      <c r="CY18" s="28">
        <f>=SUM(CY19:CY23)</f>
        <v>13.736603945804893</v>
      </c>
      <c r="CZ18" s="28">
        <f>=SUM(CZ19:CZ23)</f>
        <v>13.56489639648233</v>
      </c>
      <c r="DA18" s="28">
        <f>=SUM(DA19:DA23)</f>
        <v>13.395335191526302</v>
      </c>
      <c r="DB18" s="28">
        <f>=SUM(DB19:DB23)</f>
        <v>13.227893501632224</v>
      </c>
    </row>
    <row r="19" spans="1:106" x14ac:dyDescent="0.25">
      <c r="A19" s="27" t="s">
        <v>253</v>
      </c>
      <c r="C19" s="28">
        <f>=IF(LEN(C82)=0,(21*(1-B41))-C81+C99+C128,(21-C81+C99+C128))</f>
        <v>21</v>
      </c>
      <c r="D19" s="28">
        <f>=IF(LEN(D82)=0,(C19*(1-C41))-D81+D99+D128,(C19-D81+D99+D128))</f>
        <v>20</v>
      </c>
      <c r="E19" s="28">
        <f>=IF(LEN(E82)=0,(D19*(1-D41))-E81+E99+E128,(D19-E81+E99+E128))</f>
        <v>19</v>
      </c>
      <c r="F19" s="28">
        <f>=IF(LEN(F82)=0,(E19*(1-E41))-F81+F99+F128,(E19-F81+F99+F128))</f>
        <v>19</v>
      </c>
      <c r="G19" s="28">
        <f>=IF(LEN(G82)=0,(F19*(1-F41))-G81+G99+G128,(F19-G81+G99+G128))</f>
        <v>18</v>
      </c>
      <c r="H19" s="28">
        <f>=IF(LEN(H82)=0,(G19*(1-G41))-H81+H99+H128,(G19-H81+H99+H128))</f>
        <v>22</v>
      </c>
      <c r="I19" s="28">
        <f>=IF(LEN(I82)=0,(H19*(1-H41))-I81+I99+I128,(H19-I81+I99+I128))</f>
        <v>22</v>
      </c>
      <c r="J19" s="28">
        <f>=IF(LEN(J82)=0,(I19*(1-I41))-J81+J99+J128,(I19-J81+J99+J128))</f>
        <v>22</v>
      </c>
      <c r="K19" s="28">
        <f>=IF(LEN(K82)=0,(J19*(1-J41))-K81+K99+K128,(J19-K81+K99+K128))</f>
        <v>23</v>
      </c>
      <c r="L19" s="28">
        <f>=IF(LEN(L82)=0,(K19*(1-K41))-L81+L99+L128,(K19-L81+L99+L128))</f>
        <v>23</v>
      </c>
      <c r="M19" s="28">
        <f>=IF(LEN(M82)=0,(L19*(1-L41))-M81+M99+M128,(L19-M81+M99+M128))</f>
        <v>23</v>
      </c>
      <c r="N19" s="28">
        <f>=IF(LEN(N82)=0,(M19*(1-M41))-N81+N99+N128,(M19-N81+N99+N128))</f>
        <v>23</v>
      </c>
      <c r="O19" s="28">
        <f>=IF(LEN(O82)=0,(N19*(1-N41))-O81+O99+O128,(N19-O81+O99+O128))</f>
        <v>23</v>
      </c>
      <c r="P19" s="28">
        <f>=IF(LEN(P82)=0,(O19*(1-O41))-P81+P99+P128,(O19-P81+P99+P128))</f>
        <v>23</v>
      </c>
      <c r="Q19" s="28">
        <f>=IF(LEN(Q82)=0,(P19*(1-P41))-Q81+Q99+Q128,(P19-Q81+Q99+Q128))</f>
        <v>23</v>
      </c>
      <c r="R19" s="28">
        <f>=IF(LEN(R82)=0,(Q19*(1-Q41))-R81+R99+R128,(Q19-R81+R99+R128))</f>
        <v>22</v>
      </c>
      <c r="S19" s="28">
        <f>=IF(LEN(S82)=0,(R19*(1-R41))-S81+S99+S128,(R19-S81+S99+S128))</f>
        <v>22</v>
      </c>
      <c r="T19" s="28">
        <f>=IF(LEN(T82)=0,(S19*(1-S41))-T81+T99+T128,(S19-T81+T99+T128))</f>
        <v>22</v>
      </c>
      <c r="U19" s="28">
        <f>=IF(LEN(U82)=0,(T19*(1-T41))-U81+U99+U128,(T19-U81+U99+U128))</f>
        <v>22</v>
      </c>
      <c r="V19" s="28">
        <f>=IF(LEN(V82)=0,(U19*(1-U41))-V81+V99+V128,(U19-V81+V99+V128))</f>
        <v>21</v>
      </c>
      <c r="W19" s="28">
        <f>=IF(LEN(W82)=0,(V19*(1-V41))-W81+W99+W128,(V19-W81+W99+W128))</f>
        <v>22</v>
      </c>
      <c r="X19" s="28">
        <f>=IF(LEN(X82)=0,(W19*(1-W41))-X81+X99+X128,(W19-X81+X99+X128))</f>
        <v>22</v>
      </c>
      <c r="Y19" s="28">
        <f>=IF(LEN(Y82)=0,(X19*(1-X41))-Y81+Y99+Y128,(X19-Y81+Y99+Y128))</f>
        <v>22</v>
      </c>
      <c r="Z19" s="28">
        <f>=IF(LEN(Z82)=0,(Y19*(1-Y41))-Z81+Z99+Z128,(Y19-Z81+Z99+Z128))</f>
        <v>22</v>
      </c>
      <c r="AA19" s="28">
        <f>=IF(LEN(AA82)=0,(Z19*(1-Z41))-AA81+AA99+AA128,(Z19-AA81+AA99+AA128))</f>
        <v>22</v>
      </c>
      <c r="AB19" s="28">
        <f>=IF(LEN(AB82)=0,(AA19*(1-AA41))-AB81+AB99+AB128,(AA19-AB81+AB99+AB128))</f>
        <v>22</v>
      </c>
      <c r="AC19" s="28">
        <f>=IF(LEN(AC82)=0,(AB19*(1-AB41))-AC81+AC99+AC128,(AB19-AC81+AC99+AC128))</f>
        <v>22</v>
      </c>
      <c r="AD19" s="28">
        <f>=IF(LEN(AD82)=0,(AC19*(1-AC41))-AD81+AD99+AD128,(AC19-AD81+AD99+AD128))</f>
        <v>19</v>
      </c>
      <c r="AE19" s="28">
        <f>=IF(LEN(AE82)=0,(AD19*(1-AD41))-AE81+AE99+AE128,(AD19-AE81+AE99+AE128))</f>
        <v>19</v>
      </c>
      <c r="AF19" s="28">
        <f>=IF(LEN(AF82)=0,(AE19*(1-AE41))-AF81+AF99+AF128,(AE19-AF81+AF99+AF128))</f>
        <v>19</v>
      </c>
      <c r="AG19" s="28">
        <f>=IF(LEN(AG82)=0,(AF19*(1-AF41))-AG81+AG99+AG128,(AF19-AG81+AG99+AG128))</f>
        <v>19</v>
      </c>
      <c r="AH19" s="28">
        <f>=IF(LEN(AH82)=0,(AG19*(1-AG41))-AH81+AH99+AH128,(AG19-AH81+AH99+AH128))</f>
        <v>19</v>
      </c>
      <c r="AI19" s="28">
        <f>=IF(LEN(AI82)=0,(AH19*(1-AH41))-AI81+AI99+AI128,(AH19-AI81+AI99+AI128))</f>
        <v>19</v>
      </c>
      <c r="AJ19" s="28">
        <f>=IF(LEN(AJ82)=0,(AI19*(1-AI41))-AJ81+AJ99+AJ128,(AI19-AJ81+AJ99+AJ128))</f>
        <v>19</v>
      </c>
      <c r="AK19" s="28">
        <f>=IF(LEN(AK82)=0,(AJ19*(1-AJ41))-AK81+AK99+AK128,(AJ19-AK81+AK99+AK128))</f>
        <v>18</v>
      </c>
      <c r="AL19" s="28">
        <f>=IF(LEN(AL82)=0,(AK19*(1-AK41))-AL81+AL99+AL128,(AK19-AL81+AL99+AL128))</f>
        <v>19</v>
      </c>
      <c r="AM19" s="28">
        <f>=IF(LEN(AM82)=0,(AL19*(1-AL41))-AM81+AM99+AM128,(AL19-AM81+AM99+AM128))</f>
        <v>18</v>
      </c>
      <c r="AN19" s="28">
        <f>=IF(LEN(AN82)=0,(AM19*(1-AM41))-AN81+AN99+AN128,(AM19-AN81+AN99+AN128))</f>
        <v>20</v>
      </c>
      <c r="AO19" s="28">
        <f>=IF(LEN(AO82)=0,(AN19*(1-AN41))-AO81+AO99+AO128,(AN19-AO81+AO99+AO128))</f>
        <v>20</v>
      </c>
      <c r="AP19" s="28">
        <f>=IF(LEN(AP82)=0,(AO19*(1-AO41))-AP81+AP99+AP128,(AO19-AP81+AP99+AP128))</f>
        <v>19</v>
      </c>
      <c r="AQ19" s="28">
        <f>=IF(LEN(AQ82)=0,(AP19*(1-AP41))-AQ81+AQ99+AQ128,(AP19-AQ81+AQ99+AQ128))</f>
        <v>19</v>
      </c>
      <c r="AR19" s="28">
        <f>=IF(LEN(AR82)=0,(AQ19*(1-AQ41))-AR81+AR99+AR128,(AQ19-AR81+AR99+AR128))</f>
        <v>20</v>
      </c>
      <c r="AS19" s="28">
        <f>=IF(LEN(AS82)=0,(AR19*(1-AR41))-AS81+AS99+AS128,(AR19-AS81+AS99+AS128))</f>
        <v>20</v>
      </c>
      <c r="AT19" s="28">
        <f>=IF(LEN(AT82)=0,(AS19*(1-AS41))-AT81+AT99+AT128,(AS19-AT81+AT99+AT128))</f>
        <v>20</v>
      </c>
      <c r="AU19" s="28">
        <f>=IF(LEN(AU82)=0,(AT19*(1-AT41))-AU81+AU99+AU128,(AT19-AU81+AU99+AU128))</f>
        <v>20</v>
      </c>
      <c r="AV19" s="28">
        <f>=IF(LEN(AV82)=0,(AU19*(1-AU41))-AV81+AV99+AV128,(AU19-AV81+AV99+AV128))</f>
        <v>20</v>
      </c>
      <c r="AW19" s="28">
        <f>=IF(LEN(AW82)=0,(AV19*(1-AV41))-AW81+AW99+AW128,(AV19-AW81+AW99+AW128))</f>
        <v>20</v>
      </c>
      <c r="AX19" s="28">
        <f>=IF(LEN(AX82)=0,(AW19*(1-AW41))-AX81+AX99+AX128,(AW19-AX81+AX99+AX128))</f>
        <v>20</v>
      </c>
      <c r="AY19" s="28">
        <f>=IF(LEN(AY82)=0,(AX19*(1-AX41))-AY81+AY99+AY128,(AX19-AY81+AY99+AY128))</f>
        <v>20</v>
      </c>
      <c r="AZ19" s="28">
        <f>=IF(LEN(AZ82)=0,(AY19*(1-AY41))-AZ81+AZ99+AZ128,(AY19-AZ81+AZ99+AZ128))</f>
        <v>20</v>
      </c>
      <c r="BA19" s="28">
        <f>=IF(LEN(BA82)=0,(AZ19*(1-AZ41))-BA81+BA99+BA128,(AZ19-BA81+BA99+BA128))</f>
        <v>19</v>
      </c>
      <c r="BB19" s="28">
        <f>=IF(LEN(BB82)=0,(BA19*(1-BA41))-BB81+BB99+BB128,(BA19-BB81+BB99+BB128))</f>
        <v>18</v>
      </c>
      <c r="BC19" s="28">
        <f>=IF(LEN(BC82)=0,(BB19*(1-BB41))-BC81+BC99+BC128,(BB19-BC81+BC99+BC128))</f>
        <v>20</v>
      </c>
      <c r="BD19" s="28">
        <f>=IF(LEN(BD82)=0,(BC19*(1-BC41))-BD81+BD99+BD128,(BC19-BD81+BD99+BD128))</f>
        <v>20</v>
      </c>
      <c r="BE19" s="28">
        <f>=IF(LEN(BE82)=0,(BD19*(1-BD41))-BE81+BE99+BE128,(BD19-BE81+BE99+BE128))</f>
        <v>20</v>
      </c>
      <c r="BF19" s="28">
        <f>=IF(LEN(BF82)=0,(BE19*(1-BE41))-BF81+BF99+BF128,(BE19-BF81+BF99+BF128))</f>
        <v>20</v>
      </c>
      <c r="BG19" s="28">
        <f>=IF(LEN(BG82)=0,(BF19*(1-BF41))-BG81+BG99+BG128,(BF19-BG81+BG99+BG128))</f>
        <v>20</v>
      </c>
      <c r="BH19" s="28">
        <f>=IF(LEN(BH82)=0,(BG19*(1-BG41))-BH81+BH99+BH128,(BG19-BH81+BH99+BH128))</f>
        <v>20</v>
      </c>
      <c r="BI19" s="28">
        <f>=IF(LEN(BI82)=0,(BH19*(1-BH41))-BI81+BI99+BI128,(BH19-BI81+BI99+BI128))</f>
        <v>20</v>
      </c>
      <c r="BJ19" s="28">
        <f>=IF(LEN(BJ82)=0,(BI19*(1-BI41))-BJ81+BJ99+BJ128,(BI19-BJ81+BJ99+BJ128))</f>
        <v>20</v>
      </c>
      <c r="BK19" s="28">
        <f>=IF(LEN(BK82)=0,(BJ19*(1-BJ41))-BK81+BK99+BK128,(BJ19-BK81+BK99+BK128))</f>
        <v>20</v>
      </c>
      <c r="BL19" s="28">
        <f>=IF(LEN(BL82)=0,(BK19*(1-BK41))-BL81+BL99+BL128,(BK19-BL81+BL99+BL128))</f>
        <v>20</v>
      </c>
      <c r="BM19" s="28">
        <f>=IF(LEN(BM82)=0,(BL19*(1-BL41))-BM81+BM99+BM128,(BL19-BM81+BM99+BM128))</f>
        <v>19</v>
      </c>
      <c r="BN19" s="28">
        <f>=IF(LEN(BN82)=0,(BM19*(1-BM41))-BN81+BN99+BN128,(BM19-BN81+BN99+BN128))</f>
        <v>19</v>
      </c>
      <c r="BO19" s="28">
        <f>=IF(LEN(BO82)=0,(BN19*(1-BN41))-BO81+BO99+BO128,(BN19-BO81+BO99+BO128))</f>
        <v>19</v>
      </c>
      <c r="BP19" s="28">
        <f>=IF(LEN(BP82)=0,(BO19*(1-BO41))-BP81+BP99+BP128,(BO19-BP81+BP99+BP128))</f>
        <v>19</v>
      </c>
      <c r="BQ19" s="28">
        <f>=IF(LEN(BQ82)=0,(BP19*(1-BP41))-BQ81+BQ99+BQ128,(BP19-BQ81+BQ99+BQ128))</f>
        <v>19</v>
      </c>
      <c r="BR19" s="28">
        <f>=IF(LEN(BR82)=0,(BQ19*(1-BQ41))-BR81+BR99+BR128,(BQ19-BR81+BR99+BR128))</f>
        <v>19</v>
      </c>
      <c r="BS19" s="28">
        <f>=IF(LEN(BS82)=0,(BR19*(1-BR41))-BS81+BS99+BS128,(BR19-BS81+BS99+BS128))</f>
        <v>19</v>
      </c>
      <c r="BT19" s="28">
        <f>=IF(LEN(BT82)=0,(BS19*(1-BS41))-BT81+BT99+BT128,(BS19-BT81+BT99+BT128))</f>
        <v>19</v>
      </c>
      <c r="BU19" s="28">
        <f>=IF(LEN(BU82)=0,(BT19*(1-BT41))-BU81+BU99+BU128,(BT19-BU81+BU99+BU128))</f>
        <v>16</v>
      </c>
      <c r="BV19" s="28">
        <f>=IF(LEN(BV82)=0,(BU19*(1-BU41))-BV81+BV99+BV128,(BU19-BV81+BV99+BV128))</f>
        <v>16</v>
      </c>
      <c r="BW19" s="28">
        <f>=IF(LEN(BW82)=0,(BV19*(1-BV41))-BW81+BW99+BW128,(BV19-BW81+BW99+BW128))</f>
        <v>16</v>
      </c>
      <c r="BX19" s="28">
        <f>=IF(LEN(BX82)=0,(BW19*(1-BW41))-BX81+BX99+BX128,(BW19-BX81+BX99+BX128))</f>
        <v>16</v>
      </c>
      <c r="BY19" s="28">
        <f>=IF(LEN(BY82)=0,(BX19*(1-BX41))-BY81+BY99+BY128,(BX19-BY81+BY99+BY128))</f>
        <v>16</v>
      </c>
      <c r="BZ19" s="28">
        <f>=IF(LEN(BZ82)=0,(BY19*(1-BY41))-BZ81+BZ99+BZ128,(BY19-BZ81+BZ99+BZ128))</f>
        <v>16</v>
      </c>
      <c r="CA19" s="28">
        <f>=IF(LEN(CA82)=0,(BZ19*(1-BZ41))-CA81+CA99+CA128,(BZ19-CA81+CA99+CA128))</f>
        <v>16</v>
      </c>
      <c r="CB19" s="28">
        <f>=IF(LEN(CB82)=0,(CA19*(1-CA41))-CB81+CB99+CB128,(CA19-CB81+CB99+CB128))</f>
        <v>15.8</v>
      </c>
      <c r="CC19" s="28">
        <f>=IF(LEN(CC82)=0,(CB19*(1-CB41))-CC81+CC99+CC128,(CB19-CC81+CC99+CC128))</f>
        <v>15.6025</v>
      </c>
      <c r="CD19" s="28">
        <f>=IF(LEN(CD82)=0,(CC19*(1-CC41))-CD81+CD99+CD128,(CC19-CD81+CD99+CD128))</f>
        <v>15.446475</v>
      </c>
      <c r="CE19" s="28">
        <f>=IF(LEN(CE82)=0,(CD19*(1-CD41))-CE81+CE99+CE128,(CD19-CE81+CE99+CE128))</f>
        <v>15.29201025</v>
      </c>
      <c r="CF19" s="28">
        <f>=IF(LEN(CF82)=0,(CE19*(1-CE41))-CF81+CF99+CF128,(CE19-CF81+CF99+CF128))</f>
        <v>17.1390901475</v>
      </c>
      <c r="CG19" s="28">
        <f>=IF(LEN(CG82)=0,(CF19*(1-CF41))-CG81+CG99+CG128,(CF19-CG81+CG99+CG128))</f>
        <v>16.967699246025</v>
      </c>
      <c r="CH19" s="28">
        <f>=IF(LEN(CH82)=0,(CG19*(1-CG41))-CH81+CH99+CH128,(CG19-CH81+CH99+CH128))</f>
        <v>16.79802225356475</v>
      </c>
      <c r="CI19" s="28">
        <f>=IF(LEN(CI82)=0,(CH19*(1-CH41))-CI81+CI99+CI128,(CH19-CI81+CI99+CI128))</f>
        <v>16.588046975395194</v>
      </c>
      <c r="CJ19" s="28">
        <f>=IF(LEN(CJ82)=0,(CI19*(1-CI41))-CJ81+CJ99+CJ128,(CI19-CJ81+CJ99+CJ128))</f>
        <v>16.380696388202754</v>
      </c>
      <c r="CK19" s="28">
        <f>=IF(LEN(CK82)=0,(CJ19*(1-CJ41))-CK81+CK99+CK128,(CJ19-CK81+CK99+CK128))</f>
        <v>16.175937683350217</v>
      </c>
      <c r="CL19" s="28">
        <f>=IF(LEN(CL82)=0,(CK19*(1-CK41))-CL81+CL99+CL128,(CK19-CL81+CL99+CL128))</f>
        <v>15.973738462308338</v>
      </c>
      <c r="CM19" s="28">
        <f>=IF(LEN(CM82)=0,(CL19*(1-CL41))-CM81+CM99+CM128,(CL19-CM81+CM99+CM128))</f>
        <v>15.774066731529484</v>
      </c>
      <c r="CN19" s="28">
        <f>=IF(LEN(CN82)=0,(CM19*(1-CM41))-CN81+CN99+CN128,(CM19-CN81+CN99+CN128))</f>
        <v>15.576890897385367</v>
      </c>
      <c r="CO19" s="28">
        <f>=IF(LEN(CO82)=0,(CN19*(1-CN41))-CO81+CO99+CO128,(CN19-CO81+CO99+CO128))</f>
        <v>15.382179761168048</v>
      </c>
      <c r="CP19" s="28">
        <f>=IF(LEN(CP82)=0,(CO19*(1-CO41))-CP81+CP99+CP128,(CO19-CP81+CP99+CP128))</f>
        <v>15.189902514153445</v>
      </c>
      <c r="CQ19" s="28">
        <f>=IF(LEN(CQ82)=0,(CP19*(1-CP41))-CQ81+CQ99+CQ128,(CP19-CQ81+CQ99+CQ128))</f>
        <v>15.038003489011912</v>
      </c>
      <c r="CR19" s="28">
        <f>=IF(LEN(CR82)=0,(CQ19*(1-CQ41))-CR81+CR99+CR128,(CQ19-CR81+CR99+CR128))</f>
        <v>14.887623454121792</v>
      </c>
      <c r="CS19" s="28">
        <f>=IF(LEN(CS82)=0,(CR19*(1-CR41))-CS81+CS99+CS128,(CR19-CS81+CS99+CS128))</f>
        <v>14.738747219580572</v>
      </c>
      <c r="CT19" s="28">
        <f>=IF(LEN(CT82)=0,(CS19*(1-CS41))-CT81+CT99+CT128,(CS19-CT81+CT99+CT128))</f>
        <v>14.591359747384766</v>
      </c>
      <c r="CU19" s="28">
        <f>=IF(LEN(CU82)=0,(CT19*(1-CT41))-CU81+CU99+CU128,(CT19-CU81+CU99+CU128))</f>
        <v>14.445446149910918</v>
      </c>
      <c r="CV19" s="28">
        <f>=IF(LEN(CV82)=0,(CU19*(1-CU41))-CV81+CV99+CV128,(CU19-CV81+CV99+CV128))</f>
        <v>14.26487807303703</v>
      </c>
      <c r="CW19" s="28">
        <f>=IF(LEN(CW82)=0,(CV19*(1-CV41))-CW81+CW99+CW128,(CV19-CW81+CW99+CW128))</f>
        <v>14.086567097124068</v>
      </c>
      <c r="CX19" s="28">
        <f>=IF(LEN(CX82)=0,(CW19*(1-CW41))-CX81+CX99+CX128,(CW19-CX81+CX99+CX128))</f>
        <v>13.910485008410017</v>
      </c>
      <c r="CY19" s="28">
        <f>=IF(LEN(CY82)=0,(CX19*(1-CX41))-CY81+CY99+CY128,(CX19-CY81+CY99+CY128))</f>
        <v>13.736603945804893</v>
      </c>
      <c r="CZ19" s="28">
        <f>=IF(LEN(CZ82)=0,(CY19*(1-CY41))-CZ81+CZ99+CZ128,(CY19-CZ81+CZ99+CZ128))</f>
        <v>13.56489639648233</v>
      </c>
      <c r="DA19" s="28">
        <f>=IF(LEN(DA82)=0,(CZ19*(1-CZ41))-DA81+DA99+DA128,(CZ19-DA81+DA99+DA128))</f>
        <v>13.395335191526302</v>
      </c>
      <c r="DB19" s="28">
        <f>=IF(LEN(DB82)=0,(DA19*(1-DA41))-DB81+DB99+DB128,(DA19-DB81+DB99+DB128))</f>
        <v>13.227893501632224</v>
      </c>
    </row>
    <row r="20" spans="1:106" x14ac:dyDescent="0.25">
      <c r="A20" s="27" t="s">
        <v>254</v>
      </c>
      <c r="C20" s="28">
        <f>=SUM(C119:C121)</f>
        <v>0</v>
      </c>
      <c r="D20" s="28">
        <f>=SUM(D119:D121)</f>
        <v>0</v>
      </c>
      <c r="E20" s="28">
        <f>=SUM(E119:E121)</f>
        <v>0</v>
      </c>
      <c r="F20" s="28">
        <f>=SUM(F119:F121)</f>
        <v>0</v>
      </c>
      <c r="G20" s="28">
        <f>=SUM(G119:G121)</f>
        <v>0</v>
      </c>
      <c r="H20" s="28">
        <f>=SUM(H119:H121)</f>
        <v>0</v>
      </c>
      <c r="I20" s="28">
        <f>=SUM(I119:I121)</f>
        <v>0</v>
      </c>
      <c r="J20" s="28">
        <f>=SUM(J119:J121)</f>
        <v>0</v>
      </c>
      <c r="K20" s="28">
        <f>=SUM(K119:K121)</f>
        <v>0</v>
      </c>
      <c r="L20" s="28">
        <f>=SUM(L119:L121)</f>
        <v>0</v>
      </c>
      <c r="M20" s="28">
        <f>=SUM(M119:M121)</f>
        <v>0</v>
      </c>
      <c r="N20" s="28">
        <f>=SUM(N119:N121)</f>
        <v>0</v>
      </c>
      <c r="O20" s="28">
        <f>=SUM(O119:O121)</f>
        <v>0</v>
      </c>
      <c r="P20" s="28">
        <f>=SUM(P119:P121)</f>
        <v>0</v>
      </c>
      <c r="Q20" s="28">
        <f>=SUM(Q119:Q121)</f>
        <v>0</v>
      </c>
      <c r="R20" s="28">
        <f>=SUM(R119:R121)</f>
        <v>0</v>
      </c>
      <c r="S20" s="28">
        <f>=SUM(S119:S121)</f>
        <v>0</v>
      </c>
      <c r="T20" s="28">
        <f>=SUM(T119:T121)</f>
        <v>0</v>
      </c>
      <c r="U20" s="28">
        <f>=SUM(U119:U121)</f>
        <v>0</v>
      </c>
      <c r="V20" s="28">
        <f>=SUM(V119:V121)</f>
        <v>0</v>
      </c>
      <c r="W20" s="28">
        <f>=SUM(W119:W121)</f>
        <v>0</v>
      </c>
      <c r="X20" s="28">
        <f>=SUM(X119:X121)</f>
        <v>0</v>
      </c>
      <c r="Y20" s="28">
        <f>=SUM(Y119:Y121)</f>
        <v>0</v>
      </c>
      <c r="Z20" s="28">
        <f>=SUM(Z119:Z121)</f>
        <v>0</v>
      </c>
      <c r="AA20" s="28">
        <f>=SUM(AA119:AA121)</f>
        <v>0</v>
      </c>
      <c r="AB20" s="28">
        <f>=SUM(AB119:AB121)</f>
        <v>0</v>
      </c>
      <c r="AC20" s="28">
        <f>=SUM(AC119:AC121)</f>
        <v>0</v>
      </c>
      <c r="AD20" s="28">
        <f>=SUM(AD119:AD121)</f>
        <v>0</v>
      </c>
      <c r="AE20" s="28">
        <f>=SUM(AE119:AE121)</f>
        <v>0</v>
      </c>
      <c r="AF20" s="28">
        <f>=SUM(AF119:AF121)</f>
        <v>0</v>
      </c>
      <c r="AG20" s="28">
        <f>=SUM(AG119:AG121)</f>
        <v>0</v>
      </c>
      <c r="AH20" s="28">
        <f>=SUM(AH119:AH121)</f>
        <v>0</v>
      </c>
      <c r="AI20" s="28">
        <f>=SUM(AI119:AI121)</f>
        <v>0</v>
      </c>
      <c r="AJ20" s="28">
        <f>=SUM(AJ119:AJ121)</f>
        <v>0</v>
      </c>
      <c r="AK20" s="28">
        <f>=SUM(AK119:AK121)</f>
        <v>0</v>
      </c>
      <c r="AL20" s="28">
        <f>=SUM(AL119:AL121)</f>
        <v>0</v>
      </c>
      <c r="AM20" s="28">
        <f>=SUM(AM119:AM121)</f>
        <v>0</v>
      </c>
      <c r="AN20" s="28">
        <f>=SUM(AN119:AN121)</f>
        <v>0</v>
      </c>
      <c r="AO20" s="28">
        <f>=SUM(AO119:AO121)</f>
        <v>0</v>
      </c>
      <c r="AP20" s="28">
        <f>=SUM(AP119:AP121)</f>
        <v>0</v>
      </c>
      <c r="AQ20" s="28">
        <f>=SUM(AQ119:AQ121)</f>
        <v>0</v>
      </c>
      <c r="AR20" s="28">
        <f>=SUM(AR119:AR121)</f>
        <v>0</v>
      </c>
      <c r="AS20" s="28">
        <f>=SUM(AS119:AS121)</f>
        <v>0</v>
      </c>
      <c r="AT20" s="28">
        <f>=SUM(AT119:AT121)</f>
        <v>0</v>
      </c>
      <c r="AU20" s="28">
        <f>=SUM(AU119:AU121)</f>
        <v>0</v>
      </c>
      <c r="AV20" s="28">
        <f>=SUM(AV119:AV121)</f>
        <v>0</v>
      </c>
      <c r="AW20" s="28">
        <f>=SUM(AW119:AW121)</f>
        <v>0</v>
      </c>
      <c r="AX20" s="28">
        <f>=SUM(AX119:AX121)</f>
        <v>0</v>
      </c>
      <c r="AY20" s="28">
        <f>=SUM(AY119:AY121)</f>
        <v>0</v>
      </c>
      <c r="AZ20" s="28">
        <f>=SUM(AZ119:AZ121)</f>
        <v>0</v>
      </c>
      <c r="BA20" s="28">
        <f>=SUM(BA119:BA121)</f>
        <v>0</v>
      </c>
      <c r="BB20" s="28">
        <f>=SUM(BB119:BB121)</f>
        <v>0</v>
      </c>
      <c r="BC20" s="28">
        <f>=SUM(BC119:BC121)</f>
        <v>0</v>
      </c>
      <c r="BD20" s="28">
        <f>=SUM(BD119:BD121)</f>
        <v>0</v>
      </c>
      <c r="BE20" s="28">
        <f>=SUM(BE119:BE121)</f>
        <v>0</v>
      </c>
      <c r="BF20" s="28">
        <f>=SUM(BF119:BF121)</f>
        <v>0</v>
      </c>
      <c r="BG20" s="28">
        <f>=SUM(BG119:BG121)</f>
        <v>0</v>
      </c>
      <c r="BH20" s="28">
        <f>=SUM(BH119:BH121)</f>
        <v>0</v>
      </c>
      <c r="BI20" s="28">
        <f>=SUM(BI119:BI121)</f>
        <v>0</v>
      </c>
      <c r="BJ20" s="28">
        <f>=SUM(BJ119:BJ121)</f>
        <v>0</v>
      </c>
      <c r="BK20" s="28">
        <f>=SUM(BK119:BK121)</f>
        <v>0</v>
      </c>
      <c r="BL20" s="28">
        <f>=SUM(BL119:BL121)</f>
        <v>0</v>
      </c>
      <c r="BM20" s="28">
        <f>=SUM(BM119:BM121)</f>
        <v>0</v>
      </c>
      <c r="BN20" s="28">
        <f>=SUM(BN119:BN121)</f>
        <v>0</v>
      </c>
      <c r="BO20" s="28">
        <f>=SUM(BO119:BO121)</f>
        <v>0</v>
      </c>
      <c r="BP20" s="28">
        <f>=SUM(BP119:BP121)</f>
        <v>0</v>
      </c>
      <c r="BQ20" s="28">
        <f>=SUM(BQ119:BQ121)</f>
        <v>0</v>
      </c>
      <c r="BR20" s="28">
        <f>=SUM(BR119:BR121)</f>
        <v>0</v>
      </c>
      <c r="BS20" s="28">
        <f>=SUM(BS119:BS121)</f>
        <v>0</v>
      </c>
      <c r="BT20" s="28">
        <f>=SUM(BT119:BT121)</f>
        <v>0</v>
      </c>
      <c r="BU20" s="28">
        <f>=SUM(BU119:BU121)</f>
        <v>0</v>
      </c>
      <c r="BV20" s="28">
        <f>=SUM(BV119:BV121)</f>
        <v>0</v>
      </c>
      <c r="BW20" s="28">
        <f>=SUM(BW119:BW121)</f>
        <v>0</v>
      </c>
      <c r="BX20" s="28">
        <f>=SUM(BX119:BX121)</f>
        <v>0</v>
      </c>
      <c r="BY20" s="28">
        <f>=SUM(BY119:BY121)</f>
        <v>0</v>
      </c>
      <c r="BZ20" s="28">
        <f>=SUM(BZ119:BZ121)</f>
        <v>0</v>
      </c>
      <c r="CA20" s="28">
        <f>=SUM(CA119:CA121)</f>
        <v>0</v>
      </c>
      <c r="CB20" s="28">
        <f>=SUM(CB119:CB121)</f>
        <v>0</v>
      </c>
      <c r="CC20" s="28">
        <f>=SUM(CC119:CC121)</f>
        <v>0</v>
      </c>
      <c r="CD20" s="28">
        <f>=SUM(CD119:CD121)</f>
        <v>0</v>
      </c>
      <c r="CE20" s="28">
        <f>=SUM(CE119:CE121)</f>
        <v>0</v>
      </c>
      <c r="CF20" s="28">
        <f>=SUM(CF119:CF121)</f>
        <v>0</v>
      </c>
      <c r="CG20" s="28">
        <f>=SUM(CG119:CG121)</f>
        <v>0</v>
      </c>
      <c r="CH20" s="28">
        <f>=SUM(CH119:CH121)</f>
        <v>0</v>
      </c>
      <c r="CI20" s="28">
        <f>=SUM(CI119:CI121)</f>
        <v>0</v>
      </c>
      <c r="CJ20" s="28">
        <f>=SUM(CJ119:CJ121)</f>
        <v>0</v>
      </c>
      <c r="CK20" s="28">
        <f>=SUM(CK119:CK121)</f>
        <v>0</v>
      </c>
      <c r="CL20" s="28">
        <f>=SUM(CL119:CL121)</f>
        <v>0</v>
      </c>
      <c r="CM20" s="28">
        <f>=SUM(CM119:CM121)</f>
        <v>0</v>
      </c>
      <c r="CN20" s="28">
        <f>=SUM(CN119:CN121)</f>
        <v>0</v>
      </c>
      <c r="CO20" s="28">
        <f>=SUM(CO119:CO121)</f>
        <v>0</v>
      </c>
      <c r="CP20" s="28">
        <f>=SUM(CP119:CP121)</f>
        <v>0</v>
      </c>
      <c r="CQ20" s="28">
        <f>=SUM(CQ119:CQ121)</f>
        <v>0</v>
      </c>
      <c r="CR20" s="28">
        <f>=SUM(CR119:CR121)</f>
        <v>0</v>
      </c>
      <c r="CS20" s="28">
        <f>=SUM(CS119:CS121)</f>
        <v>0</v>
      </c>
      <c r="CT20" s="28">
        <f>=SUM(CT119:CT121)</f>
        <v>0</v>
      </c>
      <c r="CU20" s="28">
        <f>=SUM(CU119:CU121)</f>
        <v>0</v>
      </c>
      <c r="CV20" s="28">
        <f>=SUM(CV119:CV121)</f>
        <v>0</v>
      </c>
      <c r="CW20" s="28">
        <f>=SUM(CW119:CW121)</f>
        <v>0</v>
      </c>
      <c r="CX20" s="28">
        <f>=SUM(CX119:CX121)</f>
        <v>0</v>
      </c>
      <c r="CY20" s="28">
        <f>=SUM(CY119:CY121)</f>
        <v>0</v>
      </c>
      <c r="CZ20" s="28">
        <f>=SUM(CZ119:CZ121)</f>
        <v>0</v>
      </c>
      <c r="DA20" s="28">
        <f>=SUM(DA119:DA121)</f>
        <v>0</v>
      </c>
      <c r="DB20" s="28">
        <f>=SUM(DB119:DB121)</f>
        <v>0</v>
      </c>
    </row>
    <row r="21" spans="1:106" x14ac:dyDescent="0.25">
      <c r="A21" s="27" t="s">
        <v>255</v>
      </c>
      <c r="C21" s="28">
        <f>=SUM(C122:C123)</f>
        <v>0</v>
      </c>
      <c r="D21" s="28">
        <f>=SUM(D122:D123)</f>
        <v>0</v>
      </c>
      <c r="E21" s="28">
        <f>=SUM(E122:E123)</f>
        <v>0</v>
      </c>
      <c r="F21" s="28">
        <f>=SUM(F122:F123)</f>
        <v>0</v>
      </c>
      <c r="G21" s="28">
        <f>=SUM(G122:G123)</f>
        <v>0</v>
      </c>
      <c r="H21" s="28">
        <f>=SUM(H122:H123)</f>
        <v>0</v>
      </c>
      <c r="I21" s="28">
        <f>=SUM(I122:I123)</f>
        <v>0</v>
      </c>
      <c r="J21" s="28">
        <f>=SUM(J122:J123)</f>
        <v>0</v>
      </c>
      <c r="K21" s="28">
        <f>=SUM(K122:K123)</f>
        <v>0</v>
      </c>
      <c r="L21" s="28">
        <f>=SUM(L122:L123)</f>
        <v>0</v>
      </c>
      <c r="M21" s="28">
        <f>=SUM(M122:M123)</f>
        <v>0</v>
      </c>
      <c r="N21" s="28">
        <f>=SUM(N122:N123)</f>
        <v>0</v>
      </c>
      <c r="O21" s="28">
        <f>=SUM(O122:O123)</f>
        <v>0</v>
      </c>
      <c r="P21" s="28">
        <f>=SUM(P122:P123)</f>
        <v>0</v>
      </c>
      <c r="Q21" s="28">
        <f>=SUM(Q122:Q123)</f>
        <v>0</v>
      </c>
      <c r="R21" s="28">
        <f>=SUM(R122:R123)</f>
        <v>0</v>
      </c>
      <c r="S21" s="28">
        <f>=SUM(S122:S123)</f>
        <v>0</v>
      </c>
      <c r="T21" s="28">
        <f>=SUM(T122:T123)</f>
        <v>0</v>
      </c>
      <c r="U21" s="28">
        <f>=SUM(U122:U123)</f>
        <v>0</v>
      </c>
      <c r="V21" s="28">
        <f>=SUM(V122:V123)</f>
        <v>0</v>
      </c>
      <c r="W21" s="28">
        <f>=SUM(W122:W123)</f>
        <v>0</v>
      </c>
      <c r="X21" s="28">
        <f>=SUM(X122:X123)</f>
        <v>0</v>
      </c>
      <c r="Y21" s="28">
        <f>=SUM(Y122:Y123)</f>
        <v>0</v>
      </c>
      <c r="Z21" s="28">
        <f>=SUM(Z122:Z123)</f>
        <v>0</v>
      </c>
      <c r="AA21" s="28">
        <f>=SUM(AA122:AA123)</f>
        <v>0</v>
      </c>
      <c r="AB21" s="28">
        <f>=SUM(AB122:AB123)</f>
        <v>0</v>
      </c>
      <c r="AC21" s="28">
        <f>=SUM(AC122:AC123)</f>
        <v>0</v>
      </c>
      <c r="AD21" s="28">
        <f>=SUM(AD122:AD123)</f>
        <v>0</v>
      </c>
      <c r="AE21" s="28">
        <f>=SUM(AE122:AE123)</f>
        <v>0</v>
      </c>
      <c r="AF21" s="28">
        <f>=SUM(AF122:AF123)</f>
        <v>0</v>
      </c>
      <c r="AG21" s="28">
        <f>=SUM(AG122:AG123)</f>
        <v>0</v>
      </c>
      <c r="AH21" s="28">
        <f>=SUM(AH122:AH123)</f>
        <v>0</v>
      </c>
      <c r="AI21" s="28">
        <f>=SUM(AI122:AI123)</f>
        <v>0</v>
      </c>
      <c r="AJ21" s="28">
        <f>=SUM(AJ122:AJ123)</f>
        <v>0</v>
      </c>
      <c r="AK21" s="28">
        <f>=SUM(AK122:AK123)</f>
        <v>0</v>
      </c>
      <c r="AL21" s="28">
        <f>=SUM(AL122:AL123)</f>
        <v>0</v>
      </c>
      <c r="AM21" s="28">
        <f>=SUM(AM122:AM123)</f>
        <v>0</v>
      </c>
      <c r="AN21" s="28">
        <f>=SUM(AN122:AN123)</f>
        <v>0</v>
      </c>
      <c r="AO21" s="28">
        <f>=SUM(AO122:AO123)</f>
        <v>0</v>
      </c>
      <c r="AP21" s="28">
        <f>=SUM(AP122:AP123)</f>
        <v>0</v>
      </c>
      <c r="AQ21" s="28">
        <f>=SUM(AQ122:AQ123)</f>
        <v>0</v>
      </c>
      <c r="AR21" s="28">
        <f>=SUM(AR122:AR123)</f>
        <v>0</v>
      </c>
      <c r="AS21" s="28">
        <f>=SUM(AS122:AS123)</f>
        <v>0</v>
      </c>
      <c r="AT21" s="28">
        <f>=SUM(AT122:AT123)</f>
        <v>0</v>
      </c>
      <c r="AU21" s="28">
        <f>=SUM(AU122:AU123)</f>
        <v>0</v>
      </c>
      <c r="AV21" s="28">
        <f>=SUM(AV122:AV123)</f>
        <v>0</v>
      </c>
      <c r="AW21" s="28">
        <f>=SUM(AW122:AW123)</f>
        <v>0</v>
      </c>
      <c r="AX21" s="28">
        <f>=SUM(AX122:AX123)</f>
        <v>0</v>
      </c>
      <c r="AY21" s="28">
        <f>=SUM(AY122:AY123)</f>
        <v>0</v>
      </c>
      <c r="AZ21" s="28">
        <f>=SUM(AZ122:AZ123)</f>
        <v>0</v>
      </c>
      <c r="BA21" s="28">
        <f>=SUM(BA122:BA123)</f>
        <v>0</v>
      </c>
      <c r="BB21" s="28">
        <f>=SUM(BB122:BB123)</f>
        <v>0</v>
      </c>
      <c r="BC21" s="28">
        <f>=SUM(BC122:BC123)</f>
        <v>0</v>
      </c>
      <c r="BD21" s="28">
        <f>=SUM(BD122:BD123)</f>
        <v>0</v>
      </c>
      <c r="BE21" s="28">
        <f>=SUM(BE122:BE123)</f>
        <v>0</v>
      </c>
      <c r="BF21" s="28">
        <f>=SUM(BF122:BF123)</f>
        <v>0</v>
      </c>
      <c r="BG21" s="28">
        <f>=SUM(BG122:BG123)</f>
        <v>0</v>
      </c>
      <c r="BH21" s="28">
        <f>=SUM(BH122:BH123)</f>
        <v>0</v>
      </c>
      <c r="BI21" s="28">
        <f>=SUM(BI122:BI123)</f>
        <v>0</v>
      </c>
      <c r="BJ21" s="28">
        <f>=SUM(BJ122:BJ123)</f>
        <v>0</v>
      </c>
      <c r="BK21" s="28">
        <f>=SUM(BK122:BK123)</f>
        <v>0</v>
      </c>
      <c r="BL21" s="28">
        <f>=SUM(BL122:BL123)</f>
        <v>0</v>
      </c>
      <c r="BM21" s="28">
        <f>=SUM(BM122:BM123)</f>
        <v>0</v>
      </c>
      <c r="BN21" s="28">
        <f>=SUM(BN122:BN123)</f>
        <v>0</v>
      </c>
      <c r="BO21" s="28">
        <f>=SUM(BO122:BO123)</f>
        <v>0</v>
      </c>
      <c r="BP21" s="28">
        <f>=SUM(BP122:BP123)</f>
        <v>0</v>
      </c>
      <c r="BQ21" s="28">
        <f>=SUM(BQ122:BQ123)</f>
        <v>0</v>
      </c>
      <c r="BR21" s="28">
        <f>=SUM(BR122:BR123)</f>
        <v>0</v>
      </c>
      <c r="BS21" s="28">
        <f>=SUM(BS122:BS123)</f>
        <v>0</v>
      </c>
      <c r="BT21" s="28">
        <f>=SUM(BT122:BT123)</f>
        <v>0</v>
      </c>
      <c r="BU21" s="28">
        <f>=SUM(BU122:BU123)</f>
        <v>0</v>
      </c>
      <c r="BV21" s="28">
        <f>=SUM(BV122:BV123)</f>
        <v>0</v>
      </c>
      <c r="BW21" s="28">
        <f>=SUM(BW122:BW123)</f>
        <v>0</v>
      </c>
      <c r="BX21" s="28">
        <f>=SUM(BX122:BX123)</f>
        <v>0</v>
      </c>
      <c r="BY21" s="28">
        <f>=SUM(BY122:BY123)</f>
        <v>0</v>
      </c>
      <c r="BZ21" s="28">
        <f>=SUM(BZ122:BZ123)</f>
        <v>0</v>
      </c>
      <c r="CA21" s="28">
        <f>=SUM(CA122:CA123)</f>
        <v>0</v>
      </c>
      <c r="CB21" s="28">
        <f>=SUM(CB122:CB123)</f>
        <v>0</v>
      </c>
      <c r="CC21" s="28">
        <f>=SUM(CC122:CC123)</f>
        <v>0</v>
      </c>
      <c r="CD21" s="28">
        <f>=SUM(CD122:CD123)</f>
        <v>0</v>
      </c>
      <c r="CE21" s="28">
        <f>=SUM(CE122:CE123)</f>
        <v>0</v>
      </c>
      <c r="CF21" s="28">
        <f>=SUM(CF122:CF123)</f>
        <v>0</v>
      </c>
      <c r="CG21" s="28">
        <f>=SUM(CG122:CG123)</f>
        <v>0</v>
      </c>
      <c r="CH21" s="28">
        <f>=SUM(CH122:CH123)</f>
        <v>0</v>
      </c>
      <c r="CI21" s="28">
        <f>=SUM(CI122:CI123)</f>
        <v>0</v>
      </c>
      <c r="CJ21" s="28">
        <f>=SUM(CJ122:CJ123)</f>
        <v>0</v>
      </c>
      <c r="CK21" s="28">
        <f>=SUM(CK122:CK123)</f>
        <v>0</v>
      </c>
      <c r="CL21" s="28">
        <f>=SUM(CL122:CL123)</f>
        <v>0</v>
      </c>
      <c r="CM21" s="28">
        <f>=SUM(CM122:CM123)</f>
        <v>0</v>
      </c>
      <c r="CN21" s="28">
        <f>=SUM(CN122:CN123)</f>
        <v>0</v>
      </c>
      <c r="CO21" s="28">
        <f>=SUM(CO122:CO123)</f>
        <v>0</v>
      </c>
      <c r="CP21" s="28">
        <f>=SUM(CP122:CP123)</f>
        <v>0</v>
      </c>
      <c r="CQ21" s="28">
        <f>=SUM(CQ122:CQ123)</f>
        <v>0</v>
      </c>
      <c r="CR21" s="28">
        <f>=SUM(CR122:CR123)</f>
        <v>0</v>
      </c>
      <c r="CS21" s="28">
        <f>=SUM(CS122:CS123)</f>
        <v>0</v>
      </c>
      <c r="CT21" s="28">
        <f>=SUM(CT122:CT123)</f>
        <v>0</v>
      </c>
      <c r="CU21" s="28">
        <f>=SUM(CU122:CU123)</f>
        <v>0</v>
      </c>
      <c r="CV21" s="28">
        <f>=SUM(CV122:CV123)</f>
        <v>0</v>
      </c>
      <c r="CW21" s="28">
        <f>=SUM(CW122:CW123)</f>
        <v>0</v>
      </c>
      <c r="CX21" s="28">
        <f>=SUM(CX122:CX123)</f>
        <v>0</v>
      </c>
      <c r="CY21" s="28">
        <f>=SUM(CY122:CY123)</f>
        <v>0</v>
      </c>
      <c r="CZ21" s="28">
        <f>=SUM(CZ122:CZ123)</f>
        <v>0</v>
      </c>
      <c r="DA21" s="28">
        <f>=SUM(DA122:DA123)</f>
        <v>0</v>
      </c>
      <c r="DB21" s="28">
        <f>=SUM(DB122:DB123)</f>
        <v>0</v>
      </c>
    </row>
    <row r="22" spans="1:106" x14ac:dyDescent="0.25">
      <c r="A22" s="27" t="s">
        <v>256</v>
      </c>
      <c r="C22" s="28">
        <f>=SUM(C124:C125)</f>
        <v>0</v>
      </c>
      <c r="D22" s="28">
        <f>=SUM(D124:D125)</f>
        <v>0</v>
      </c>
      <c r="E22" s="28">
        <f>=SUM(E124:E125)</f>
        <v>0</v>
      </c>
      <c r="F22" s="28">
        <f>=SUM(F124:F125)</f>
        <v>0</v>
      </c>
      <c r="G22" s="28">
        <f>=SUM(G124:G125)</f>
        <v>0</v>
      </c>
      <c r="H22" s="28">
        <f>=SUM(H124:H125)</f>
        <v>0</v>
      </c>
      <c r="I22" s="28">
        <v>0</v>
      </c>
      <c r="J22" s="28">
        <f>=SUM(J124:J125)</f>
        <v>0</v>
      </c>
      <c r="K22" s="28">
        <f>=SUM(K124:K125)</f>
        <v>0</v>
      </c>
      <c r="L22" s="28">
        <f>=SUM(L124:L125)</f>
        <v>0</v>
      </c>
      <c r="M22" s="28">
        <f>=SUM(M124:M125)</f>
        <v>0</v>
      </c>
      <c r="N22" s="28">
        <f>=SUM(N124:N125)</f>
        <v>0</v>
      </c>
      <c r="O22" s="28">
        <f>=SUM(O124:O125)</f>
        <v>0</v>
      </c>
      <c r="P22" s="28">
        <f>=SUM(P124:P125)</f>
        <v>0</v>
      </c>
      <c r="Q22" s="28">
        <f>=SUM(Q124:Q125)</f>
        <v>0</v>
      </c>
      <c r="R22" s="28">
        <f>=SUM(R124:R125)</f>
        <v>0</v>
      </c>
      <c r="S22" s="28">
        <f>=SUM(S124:S125)</f>
        <v>0</v>
      </c>
      <c r="T22" s="28">
        <f>=SUM(T124:T125)</f>
        <v>0</v>
      </c>
      <c r="U22" s="28">
        <f>=SUM(U124:U125)</f>
        <v>0</v>
      </c>
      <c r="V22" s="28">
        <f>=SUM(V124:V125)</f>
        <v>0</v>
      </c>
      <c r="W22" s="28">
        <f>=SUM(W124:W125)</f>
        <v>0</v>
      </c>
      <c r="X22" s="28">
        <f>=SUM(X124:X125)</f>
        <v>0</v>
      </c>
      <c r="Y22" s="28">
        <f>=SUM(Y124:Y125)</f>
        <v>0</v>
      </c>
      <c r="Z22" s="28">
        <f>=SUM(Z124:Z125)</f>
        <v>0</v>
      </c>
      <c r="AA22" s="28">
        <f>=SUM(AA124:AA125)</f>
        <v>0</v>
      </c>
      <c r="AB22" s="28">
        <f>=SUM(AB124:AB125)</f>
        <v>0</v>
      </c>
      <c r="AC22" s="28">
        <f>=SUM(AC124:AC125)</f>
        <v>0</v>
      </c>
      <c r="AD22" s="28">
        <f>=SUM(AD124:AD125)</f>
        <v>0</v>
      </c>
      <c r="AE22" s="28">
        <f>=SUM(AE124:AE125)</f>
        <v>0</v>
      </c>
      <c r="AF22" s="28">
        <f>=SUM(AF124:AF125)</f>
        <v>0</v>
      </c>
      <c r="AG22" s="28">
        <f>=SUM(AG124:AG125)</f>
        <v>0</v>
      </c>
      <c r="AH22" s="28">
        <f>=SUM(AH124:AH125)</f>
        <v>0</v>
      </c>
      <c r="AI22" s="28">
        <f>=SUM(AI124:AI125)</f>
        <v>0</v>
      </c>
      <c r="AJ22" s="28">
        <f>=SUM(AJ124:AJ125)</f>
        <v>0</v>
      </c>
      <c r="AK22" s="28">
        <f>=SUM(AK124:AK125)</f>
        <v>0</v>
      </c>
      <c r="AL22" s="28">
        <f>=SUM(AL124:AL125)</f>
        <v>0</v>
      </c>
      <c r="AM22" s="28">
        <f>=SUM(AM124:AM125)</f>
        <v>0</v>
      </c>
      <c r="AN22" s="28">
        <f>=SUM(AN124:AN125)</f>
        <v>0</v>
      </c>
      <c r="AO22" s="28">
        <f>=SUM(AO124:AO125)</f>
        <v>0</v>
      </c>
      <c r="AP22" s="28">
        <f>=SUM(AP124:AP125)</f>
        <v>0</v>
      </c>
      <c r="AQ22" s="28">
        <f>=SUM(AQ124:AQ125)</f>
        <v>0</v>
      </c>
      <c r="AR22" s="28">
        <f>=SUM(AR124:AR125)</f>
        <v>0</v>
      </c>
      <c r="AS22" s="28">
        <f>=SUM(AS124:AS125)</f>
        <v>0</v>
      </c>
      <c r="AT22" s="28">
        <f>=SUM(AT124:AT125)</f>
        <v>0</v>
      </c>
      <c r="AU22" s="28">
        <f>=SUM(AU124:AU125)</f>
        <v>0</v>
      </c>
      <c r="AV22" s="28">
        <f>=SUM(AV124:AV125)</f>
        <v>0</v>
      </c>
      <c r="AW22" s="28">
        <f>=SUM(AW124:AW125)</f>
        <v>0</v>
      </c>
      <c r="AX22" s="28">
        <f>=SUM(AX124:AX125)</f>
        <v>0</v>
      </c>
      <c r="AY22" s="28">
        <f>=SUM(AY124:AY125)</f>
        <v>0</v>
      </c>
      <c r="AZ22" s="28">
        <f>=SUM(AZ124:AZ125)</f>
        <v>0</v>
      </c>
      <c r="BA22" s="28">
        <f>=SUM(BA124:BA125)</f>
        <v>0</v>
      </c>
      <c r="BB22" s="28">
        <f>=SUM(BB124:BB125)</f>
        <v>0</v>
      </c>
      <c r="BC22" s="28">
        <f>=SUM(BC124:BC125)</f>
        <v>0</v>
      </c>
      <c r="BD22" s="28">
        <f>=SUM(BD124:BD125)</f>
        <v>0</v>
      </c>
      <c r="BE22" s="28">
        <f>=SUM(BE124:BE125)</f>
        <v>0</v>
      </c>
      <c r="BF22" s="28">
        <f>=SUM(BF124:BF125)</f>
        <v>0</v>
      </c>
      <c r="BG22" s="28">
        <f>=SUM(BG124:BG125)</f>
        <v>0</v>
      </c>
      <c r="BH22" s="28">
        <f>=SUM(BH124:BH125)</f>
        <v>0</v>
      </c>
      <c r="BI22" s="28">
        <f>=SUM(BI124:BI125)</f>
        <v>0</v>
      </c>
      <c r="BJ22" s="28">
        <f>=SUM(BJ124:BJ125)</f>
        <v>0</v>
      </c>
      <c r="BK22" s="28">
        <f>=SUM(BK124:BK125)</f>
        <v>0</v>
      </c>
      <c r="BL22" s="28">
        <f>=SUM(BL124:BL125)</f>
        <v>0</v>
      </c>
      <c r="BM22" s="28">
        <f>=SUM(BM124:BM125)</f>
        <v>0</v>
      </c>
      <c r="BN22" s="28">
        <f>=SUM(BN124:BN125)</f>
        <v>0</v>
      </c>
      <c r="BO22" s="28">
        <f>=SUM(BO124:BO125)</f>
        <v>0</v>
      </c>
      <c r="BP22" s="28">
        <f>=SUM(BP124:BP125)</f>
        <v>0</v>
      </c>
      <c r="BQ22" s="28">
        <f>=SUM(BQ124:BQ125)</f>
        <v>0</v>
      </c>
      <c r="BR22" s="28">
        <f>=SUM(BR124:BR125)</f>
        <v>0</v>
      </c>
      <c r="BS22" s="28">
        <f>=SUM(BS124:BS125)</f>
        <v>0</v>
      </c>
      <c r="BT22" s="28">
        <f>=SUM(BT124:BT125)</f>
        <v>0</v>
      </c>
      <c r="BU22" s="28">
        <f>=SUM(BU124:BU125)</f>
        <v>0</v>
      </c>
      <c r="BV22" s="28">
        <f>=SUM(BV124:BV125)</f>
        <v>0</v>
      </c>
      <c r="BW22" s="28">
        <f>=SUM(BW124:BW125)</f>
        <v>0</v>
      </c>
      <c r="BX22" s="28">
        <f>=SUM(BX124:BX125)</f>
        <v>0</v>
      </c>
      <c r="BY22" s="28">
        <f>=SUM(BY124:BY125)</f>
        <v>0</v>
      </c>
      <c r="BZ22" s="28">
        <f>=SUM(BZ124:BZ125)</f>
        <v>0</v>
      </c>
      <c r="CA22" s="28">
        <f>=SUM(CA124:CA125)</f>
        <v>0</v>
      </c>
      <c r="CB22" s="28">
        <f>=SUM(CB124:CB125)</f>
        <v>0</v>
      </c>
      <c r="CC22" s="28">
        <f>=SUM(CC124:CC125)</f>
        <v>0</v>
      </c>
      <c r="CD22" s="28">
        <f>=SUM(CD124:CD125)</f>
        <v>0</v>
      </c>
      <c r="CE22" s="28">
        <f>=SUM(CE124:CE125)</f>
        <v>0</v>
      </c>
      <c r="CF22" s="28">
        <f>=SUM(CF124:CF125)</f>
        <v>0</v>
      </c>
      <c r="CG22" s="28">
        <f>=SUM(CG124:CG125)</f>
        <v>0</v>
      </c>
      <c r="CH22" s="28">
        <f>=SUM(CH124:CH125)</f>
        <v>0</v>
      </c>
      <c r="CI22" s="28">
        <f>=SUM(CI124:CI125)</f>
        <v>0</v>
      </c>
      <c r="CJ22" s="28">
        <f>=SUM(CJ124:CJ125)</f>
        <v>0</v>
      </c>
      <c r="CK22" s="28">
        <f>=SUM(CK124:CK125)</f>
        <v>0</v>
      </c>
      <c r="CL22" s="28">
        <f>=SUM(CL124:CL125)</f>
        <v>0</v>
      </c>
      <c r="CM22" s="28">
        <f>=SUM(CM124:CM125)</f>
        <v>0</v>
      </c>
      <c r="CN22" s="28">
        <f>=SUM(CN124:CN125)</f>
        <v>0</v>
      </c>
      <c r="CO22" s="28">
        <f>=SUM(CO124:CO125)</f>
        <v>0</v>
      </c>
      <c r="CP22" s="28">
        <f>=SUM(CP124:CP125)</f>
        <v>0</v>
      </c>
      <c r="CQ22" s="28">
        <f>=SUM(CQ124:CQ125)</f>
        <v>0</v>
      </c>
      <c r="CR22" s="28">
        <f>=SUM(CR124:CR125)</f>
        <v>0</v>
      </c>
      <c r="CS22" s="28">
        <f>=SUM(CS124:CS125)</f>
        <v>0</v>
      </c>
      <c r="CT22" s="28">
        <f>=SUM(CT124:CT125)</f>
        <v>0</v>
      </c>
      <c r="CU22" s="28">
        <f>=SUM(CU124:CU125)</f>
        <v>0</v>
      </c>
      <c r="CV22" s="28">
        <f>=SUM(CV124:CV125)</f>
        <v>0</v>
      </c>
      <c r="CW22" s="28">
        <f>=SUM(CW124:CW125)</f>
        <v>0</v>
      </c>
      <c r="CX22" s="28">
        <f>=SUM(CX124:CX125)</f>
        <v>0</v>
      </c>
      <c r="CY22" s="28">
        <f>=SUM(CY124:CY125)</f>
        <v>0</v>
      </c>
      <c r="CZ22" s="28">
        <f>=SUM(CZ124:CZ125)</f>
        <v>0</v>
      </c>
      <c r="DA22" s="28">
        <f>=SUM(DA124:DA125)</f>
        <v>0</v>
      </c>
      <c r="DB22" s="28">
        <f>=SUM(DB124:DB125)</f>
        <v>0</v>
      </c>
    </row>
    <row r="23" spans="1:106" x14ac:dyDescent="0.25">
      <c r="A23" s="27" t="s">
        <v>257</v>
      </c>
      <c r="C23" s="28">
        <f>=SUM(C126:C127)</f>
        <v>0</v>
      </c>
      <c r="D23" s="28">
        <f>=SUM(D126:D127)</f>
        <v>0</v>
      </c>
      <c r="E23" s="28">
        <f>=SUM(E126:E127)</f>
        <v>0</v>
      </c>
      <c r="F23" s="28">
        <f>=SUM(F126:F127)</f>
        <v>0</v>
      </c>
      <c r="G23" s="28">
        <f>=SUM(G126:G127)</f>
        <v>0</v>
      </c>
      <c r="H23" s="28">
        <f>=SUM(H126:H127)</f>
        <v>0</v>
      </c>
      <c r="I23" s="28">
        <f>=SUM(I126:I127)</f>
        <v>0</v>
      </c>
      <c r="J23" s="28">
        <f>=SUM(J126:J127)</f>
        <v>0</v>
      </c>
      <c r="K23" s="28">
        <f>=SUM(K126:K127)</f>
        <v>0</v>
      </c>
      <c r="L23" s="28">
        <f>=SUM(L126:L127)</f>
        <v>0</v>
      </c>
      <c r="M23" s="28">
        <f>=SUM(M126:M127)</f>
        <v>0</v>
      </c>
      <c r="N23" s="28">
        <f>=SUM(N126:N127)</f>
        <v>0</v>
      </c>
      <c r="O23" s="28">
        <f>=SUM(O126:O127)</f>
        <v>0</v>
      </c>
      <c r="P23" s="28">
        <f>=SUM(P126:P127)</f>
        <v>0</v>
      </c>
      <c r="Q23" s="28">
        <f>=SUM(Q126:Q127)</f>
        <v>0</v>
      </c>
      <c r="R23" s="28">
        <f>=SUM(R126:R127)</f>
        <v>0</v>
      </c>
      <c r="S23" s="28">
        <f>=SUM(S126:S127)</f>
        <v>0</v>
      </c>
      <c r="T23" s="28">
        <f>=SUM(T126:T127)</f>
        <v>0</v>
      </c>
      <c r="U23" s="28">
        <f>=SUM(U126:U127)</f>
        <v>0</v>
      </c>
      <c r="V23" s="28">
        <f>=SUM(V126:V127)</f>
        <v>0</v>
      </c>
      <c r="W23" s="28">
        <f>=SUM(W126:W127)</f>
        <v>0</v>
      </c>
      <c r="X23" s="28">
        <f>=SUM(X126:X127)</f>
        <v>0</v>
      </c>
      <c r="Y23" s="28">
        <f>=SUM(Y126:Y127)</f>
        <v>0</v>
      </c>
      <c r="Z23" s="28">
        <f>=SUM(Z126:Z127)</f>
        <v>0</v>
      </c>
      <c r="AA23" s="28">
        <f>=SUM(AA126:AA127)</f>
        <v>0</v>
      </c>
      <c r="AB23" s="28">
        <f>=SUM(AB126:AB127)</f>
        <v>0</v>
      </c>
      <c r="AC23" s="28">
        <f>=SUM(AC126:AC127)</f>
        <v>0</v>
      </c>
      <c r="AD23" s="28">
        <f>=SUM(AD126:AD127)</f>
        <v>0</v>
      </c>
      <c r="AE23" s="28">
        <f>=SUM(AE126:AE127)</f>
        <v>0</v>
      </c>
      <c r="AF23" s="28">
        <f>=SUM(AF126:AF127)</f>
        <v>0</v>
      </c>
      <c r="AG23" s="28">
        <f>=SUM(AG126:AG127)</f>
        <v>0</v>
      </c>
      <c r="AH23" s="28">
        <f>=SUM(AH126:AH127)</f>
        <v>0</v>
      </c>
      <c r="AI23" s="28">
        <f>=SUM(AI126:AI127)</f>
        <v>0</v>
      </c>
      <c r="AJ23" s="28">
        <f>=SUM(AJ126:AJ127)</f>
        <v>0</v>
      </c>
      <c r="AK23" s="28">
        <f>=SUM(AK126:AK127)</f>
        <v>0</v>
      </c>
      <c r="AL23" s="28">
        <f>=SUM(AL126:AL127)</f>
        <v>0</v>
      </c>
      <c r="AM23" s="28">
        <f>=SUM(AM126:AM127)</f>
        <v>0</v>
      </c>
      <c r="AN23" s="28">
        <f>=SUM(AN126:AN127)</f>
        <v>0</v>
      </c>
      <c r="AO23" s="28">
        <f>=SUM(AO126:AO127)</f>
        <v>0</v>
      </c>
      <c r="AP23" s="28">
        <f>=SUM(AP126:AP127)</f>
        <v>0</v>
      </c>
      <c r="AQ23" s="28">
        <f>=SUM(AQ126:AQ127)</f>
        <v>0</v>
      </c>
      <c r="AR23" s="28">
        <f>=SUM(AR126:AR127)</f>
        <v>0</v>
      </c>
      <c r="AS23" s="28">
        <f>=SUM(AS126:AS127)</f>
        <v>0</v>
      </c>
      <c r="AT23" s="28">
        <f>=SUM(AT126:AT127)</f>
        <v>0</v>
      </c>
      <c r="AU23" s="28">
        <f>=SUM(AU126:AU127)</f>
        <v>0</v>
      </c>
      <c r="AV23" s="28">
        <f>=SUM(AV126:AV127)</f>
        <v>0</v>
      </c>
      <c r="AW23" s="28">
        <f>=SUM(AW126:AW127)</f>
        <v>0</v>
      </c>
      <c r="AX23" s="28">
        <f>=SUM(AX126:AX127)</f>
        <v>0</v>
      </c>
      <c r="AY23" s="28">
        <f>=SUM(AY126:AY127)</f>
        <v>0</v>
      </c>
      <c r="AZ23" s="28">
        <f>=SUM(AZ126:AZ127)</f>
        <v>0</v>
      </c>
      <c r="BA23" s="28">
        <f>=SUM(BA126:BA127)</f>
        <v>0</v>
      </c>
      <c r="BB23" s="28">
        <f>=SUM(BB126:BB127)</f>
        <v>0</v>
      </c>
      <c r="BC23" s="28">
        <f>=SUM(BC126:BC127)</f>
        <v>0</v>
      </c>
      <c r="BD23" s="28">
        <f>=SUM(BD126:BD127)</f>
        <v>0</v>
      </c>
      <c r="BE23" s="28">
        <f>=SUM(BE126:BE127)</f>
        <v>0</v>
      </c>
      <c r="BF23" s="28">
        <f>=SUM(BF126:BF127)</f>
        <v>0</v>
      </c>
      <c r="BG23" s="28">
        <f>=SUM(BG126:BG127)</f>
        <v>0</v>
      </c>
      <c r="BH23" s="28">
        <f>=SUM(BH126:BH127)</f>
        <v>0</v>
      </c>
      <c r="BI23" s="28">
        <f>=SUM(BI126:BI127)</f>
        <v>0</v>
      </c>
      <c r="BJ23" s="28">
        <f>=SUM(BJ126:BJ127)</f>
        <v>0</v>
      </c>
      <c r="BK23" s="28">
        <f>=SUM(BK126:BK127)</f>
        <v>0</v>
      </c>
      <c r="BL23" s="28">
        <f>=SUM(BL126:BL127)</f>
        <v>0</v>
      </c>
      <c r="BM23" s="28">
        <f>=SUM(BM126:BM127)</f>
        <v>0</v>
      </c>
      <c r="BN23" s="28">
        <f>=SUM(BN126:BN127)</f>
        <v>0</v>
      </c>
      <c r="BO23" s="28">
        <f>=SUM(BO126:BO127)</f>
        <v>0</v>
      </c>
      <c r="BP23" s="28">
        <f>=SUM(BP126:BP127)</f>
        <v>0</v>
      </c>
      <c r="BQ23" s="28">
        <f>=SUM(BQ126:BQ127)</f>
        <v>0</v>
      </c>
      <c r="BR23" s="28">
        <f>=SUM(BR126:BR127)</f>
        <v>0</v>
      </c>
      <c r="BS23" s="28">
        <f>=SUM(BS126:BS127)</f>
        <v>0</v>
      </c>
      <c r="BT23" s="28">
        <f>=SUM(BT126:BT127)</f>
        <v>0</v>
      </c>
      <c r="BU23" s="28">
        <f>=SUM(BU126:BU127)</f>
        <v>0</v>
      </c>
      <c r="BV23" s="28">
        <f>=SUM(BV126:BV127)</f>
        <v>0</v>
      </c>
      <c r="BW23" s="28">
        <f>=SUM(BW126:BW127)</f>
        <v>0</v>
      </c>
      <c r="BX23" s="28">
        <f>=SUM(BX126:BX127)</f>
        <v>0</v>
      </c>
      <c r="BY23" s="28">
        <f>=SUM(BY126:BY127)</f>
        <v>0</v>
      </c>
      <c r="BZ23" s="28">
        <f>=SUM(BZ126:BZ127)</f>
        <v>0</v>
      </c>
      <c r="CA23" s="28">
        <f>=SUM(CA126:CA127)</f>
        <v>0</v>
      </c>
      <c r="CB23" s="28">
        <f>=SUM(CB126:CB127)</f>
        <v>0</v>
      </c>
      <c r="CC23" s="28">
        <f>=SUM(CC126:CC127)</f>
        <v>0</v>
      </c>
      <c r="CD23" s="28">
        <f>=SUM(CD126:CD127)</f>
        <v>0</v>
      </c>
      <c r="CE23" s="28">
        <f>=SUM(CE126:CE127)</f>
        <v>0</v>
      </c>
      <c r="CF23" s="28">
        <f>=SUM(CF126:CF127)</f>
        <v>0</v>
      </c>
      <c r="CG23" s="28">
        <f>=SUM(CG126:CG127)</f>
        <v>0</v>
      </c>
      <c r="CH23" s="28">
        <f>=SUM(CH126:CH127)</f>
        <v>0</v>
      </c>
      <c r="CI23" s="28">
        <f>=SUM(CI126:CI127)</f>
        <v>0</v>
      </c>
      <c r="CJ23" s="28">
        <f>=SUM(CJ126:CJ127)</f>
        <v>0</v>
      </c>
      <c r="CK23" s="28">
        <f>=SUM(CK126:CK127)</f>
        <v>0</v>
      </c>
      <c r="CL23" s="28">
        <f>=SUM(CL126:CL127)</f>
        <v>0</v>
      </c>
      <c r="CM23" s="28">
        <f>=SUM(CM126:CM127)</f>
        <v>0</v>
      </c>
      <c r="CN23" s="28">
        <f>=SUM(CN126:CN127)</f>
        <v>0</v>
      </c>
      <c r="CO23" s="28">
        <f>=SUM(CO126:CO127)</f>
        <v>0</v>
      </c>
      <c r="CP23" s="28">
        <f>=SUM(CP126:CP127)</f>
        <v>0</v>
      </c>
      <c r="CQ23" s="28">
        <f>=SUM(CQ126:CQ127)</f>
        <v>0</v>
      </c>
      <c r="CR23" s="28">
        <f>=SUM(CR126:CR127)</f>
        <v>0</v>
      </c>
      <c r="CS23" s="28">
        <f>=SUM(CS126:CS127)</f>
        <v>0</v>
      </c>
      <c r="CT23" s="28">
        <f>=SUM(CT126:CT127)</f>
        <v>0</v>
      </c>
      <c r="CU23" s="28">
        <f>=SUM(CU126:CU127)</f>
        <v>0</v>
      </c>
      <c r="CV23" s="28">
        <f>=SUM(CV126:CV127)</f>
        <v>0</v>
      </c>
      <c r="CW23" s="28">
        <f>=SUM(CW126:CW127)</f>
        <v>0</v>
      </c>
      <c r="CX23" s="28">
        <f>=SUM(CX126:CX127)</f>
        <v>0</v>
      </c>
      <c r="CY23" s="28">
        <f>=SUM(CY126:CY127)</f>
        <v>0</v>
      </c>
      <c r="CZ23" s="28">
        <f>=SUM(CZ126:CZ127)</f>
        <v>0</v>
      </c>
      <c r="DA23" s="28">
        <f>=SUM(DA126:DA127)</f>
        <v>0</v>
      </c>
      <c r="DB23" s="28">
        <f>=SUM(DB126:DB127)</f>
        <v>0</v>
      </c>
    </row>
    <row r="24" spans="1:106" x14ac:dyDescent="0.25">
      <c r="A24" s="27" t="s">
        <v>258</v>
      </c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0"/>
      <c r="CI24" s="30"/>
      <c r="CJ24" s="30"/>
      <c r="CK24" s="30"/>
      <c r="CL24" s="30"/>
      <c r="CM24" s="30"/>
      <c r="CN24" s="30"/>
      <c r="CO24" s="30"/>
      <c r="CP24" s="30"/>
      <c r="CQ24" s="30"/>
      <c r="CR24" s="30"/>
      <c r="CS24" s="30"/>
      <c r="CT24" s="30"/>
      <c r="CU24" s="30"/>
      <c r="CV24" s="30"/>
      <c r="CW24" s="30"/>
      <c r="CX24" s="30"/>
      <c r="CY24" s="30"/>
      <c r="CZ24" s="30"/>
      <c r="DA24" s="30"/>
      <c r="DB24" s="30"/>
    </row>
    <row r="25" spans="1:106" x14ac:dyDescent="0.25">
      <c r="A25" s="22" t="s">
        <v>259</v>
      </c>
      <c r="C25" s="31">
        <f>=IFERROR(C19/C10,0)</f>
        <v>1</v>
      </c>
      <c r="D25" s="31">
        <f>=IFERROR(D19/D10,0)</f>
        <v>1</v>
      </c>
      <c r="E25" s="31">
        <f>=IFERROR(E19/E10,0)</f>
        <v>1</v>
      </c>
      <c r="F25" s="31">
        <f>=IFERROR(F19/F10,0)</f>
        <v>1</v>
      </c>
      <c r="G25" s="31">
        <f>=IFERROR(G19/G10,0)</f>
        <v>1</v>
      </c>
      <c r="H25" s="31">
        <f>=IFERROR(H19/H10,0)</f>
        <v>1</v>
      </c>
      <c r="I25" s="31">
        <f>=IFERROR(I19/I10,0)</f>
        <v>1</v>
      </c>
      <c r="J25" s="31">
        <f>=IFERROR(J19/J10,0)</f>
        <v>1</v>
      </c>
      <c r="K25" s="31">
        <f>=IFERROR(K19/K10,0)</f>
        <v>1</v>
      </c>
      <c r="L25" s="31">
        <f>=IFERROR(L19/L10,0)</f>
        <v>1</v>
      </c>
      <c r="M25" s="31">
        <f>=IFERROR(M19/M10,0)</f>
        <v>1</v>
      </c>
      <c r="N25" s="31">
        <f>=IFERROR(N19/N10,0)</f>
        <v>1</v>
      </c>
      <c r="O25" s="31">
        <f>=IFERROR(O19/O10,0)</f>
        <v>1</v>
      </c>
      <c r="P25" s="31">
        <f>=IFERROR(P19/P10,0)</f>
        <v>1</v>
      </c>
      <c r="Q25" s="31">
        <f>=IFERROR(Q19/Q10,0)</f>
        <v>1</v>
      </c>
      <c r="R25" s="31">
        <f>=IFERROR(R19/R10,0)</f>
        <v>1</v>
      </c>
      <c r="S25" s="31">
        <f>=IFERROR(S19/S10,0)</f>
        <v>1</v>
      </c>
      <c r="T25" s="31">
        <f>=IFERROR(T19/T10,0)</f>
        <v>1</v>
      </c>
      <c r="U25" s="31">
        <f>=IFERROR(U19/U10,0)</f>
        <v>1</v>
      </c>
      <c r="V25" s="31">
        <f>=IFERROR(V19/V10,0)</f>
        <v>1</v>
      </c>
      <c r="W25" s="31">
        <f>=IFERROR(W19/W10,0)</f>
        <v>1</v>
      </c>
      <c r="X25" s="31">
        <f>=IFERROR(X19/X10,0)</f>
        <v>1</v>
      </c>
      <c r="Y25" s="31">
        <f>=IFERROR(Y19/Y10,0)</f>
        <v>1</v>
      </c>
      <c r="Z25" s="31">
        <f>=IFERROR(Z19/Z10,0)</f>
        <v>1</v>
      </c>
      <c r="AA25" s="31">
        <f>=IFERROR(AA19/AA10,0)</f>
        <v>1</v>
      </c>
      <c r="AB25" s="31">
        <f>=IFERROR(AB19/AB10,0)</f>
        <v>1</v>
      </c>
      <c r="AC25" s="31">
        <f>=IFERROR(AC19/AC10,0)</f>
        <v>1</v>
      </c>
      <c r="AD25" s="31">
        <f>=IFERROR(AD19/AD10,0)</f>
        <v>1</v>
      </c>
      <c r="AE25" s="31">
        <f>=IFERROR(AE19/AE10,0)</f>
        <v>1</v>
      </c>
      <c r="AF25" s="31">
        <f>=IFERROR(AF19/AF10,0)</f>
        <v>1</v>
      </c>
      <c r="AG25" s="31">
        <f>=IFERROR(AG19/AG10,0)</f>
        <v>1</v>
      </c>
      <c r="AH25" s="31">
        <f>=IFERROR(AH19/AH10,0)</f>
        <v>1</v>
      </c>
      <c r="AI25" s="31">
        <f>=IFERROR(AI19/AI10,0)</f>
        <v>1</v>
      </c>
      <c r="AJ25" s="31">
        <f>=IFERROR(AJ19/AJ10,0)</f>
        <v>1</v>
      </c>
      <c r="AK25" s="31">
        <f>=IFERROR(AK19/AK10,0)</f>
        <v>1</v>
      </c>
      <c r="AL25" s="31">
        <f>=IFERROR(AL19/AL10,0)</f>
        <v>1</v>
      </c>
      <c r="AM25" s="31">
        <f>=IFERROR(AM19/AM10,0)</f>
        <v>1</v>
      </c>
      <c r="AN25" s="31">
        <f>=IFERROR(AN19/AN10,0)</f>
        <v>1</v>
      </c>
      <c r="AO25" s="31">
        <f>=IFERROR(AO19/AO10,0)</f>
        <v>1</v>
      </c>
      <c r="AP25" s="31">
        <f>=IFERROR(AP19/AP10,0)</f>
        <v>1</v>
      </c>
      <c r="AQ25" s="31">
        <f>=IFERROR(AQ19/AQ10,0)</f>
        <v>1</v>
      </c>
      <c r="AR25" s="31">
        <f>=IFERROR(AR19/AR10,0)</f>
        <v>1</v>
      </c>
      <c r="AS25" s="31">
        <f>=IFERROR(AS19/AS10,0)</f>
        <v>1</v>
      </c>
      <c r="AT25" s="31">
        <f>=IFERROR(AT19/AT10,0)</f>
        <v>1</v>
      </c>
      <c r="AU25" s="31">
        <f>=IFERROR(AU19/AU10,0)</f>
        <v>1</v>
      </c>
      <c r="AV25" s="31">
        <f>=IFERROR(AV19/AV10,0)</f>
        <v>1</v>
      </c>
      <c r="AW25" s="31">
        <f>=IFERROR(AW19/AW10,0)</f>
        <v>1</v>
      </c>
      <c r="AX25" s="31">
        <f>=IFERROR(AX19/AX10,0)</f>
        <v>1</v>
      </c>
      <c r="AY25" s="31">
        <f>=IFERROR(AY19/AY10,0)</f>
        <v>1</v>
      </c>
      <c r="AZ25" s="31">
        <f>=IFERROR(AZ19/AZ10,0)</f>
        <v>1</v>
      </c>
      <c r="BA25" s="31">
        <f>=IFERROR(BA19/BA10,0)</f>
        <v>1</v>
      </c>
      <c r="BB25" s="31">
        <f>=IFERROR(BB19/BB10,0)</f>
        <v>1</v>
      </c>
      <c r="BC25" s="31">
        <f>=IFERROR(BC19/BC10,0)</f>
        <v>1</v>
      </c>
      <c r="BD25" s="31">
        <f>=IFERROR(BD19/BD10,0)</f>
        <v>1</v>
      </c>
      <c r="BE25" s="31">
        <f>=IFERROR(BE19/BE10,0)</f>
        <v>1</v>
      </c>
      <c r="BF25" s="31">
        <f>=IFERROR(BF19/BF10,0)</f>
        <v>1</v>
      </c>
      <c r="BG25" s="31">
        <f>=IFERROR(BG19/BG10,0)</f>
        <v>1</v>
      </c>
      <c r="BH25" s="31">
        <f>=IFERROR(BH19/BH10,0)</f>
        <v>1</v>
      </c>
      <c r="BI25" s="31">
        <f>=IFERROR(BI19/BI10,0)</f>
        <v>1</v>
      </c>
      <c r="BJ25" s="31">
        <f>=IFERROR(BJ19/BJ10,0)</f>
        <v>1</v>
      </c>
      <c r="BK25" s="31">
        <f>=IFERROR(BK19/BK10,0)</f>
        <v>1</v>
      </c>
      <c r="BL25" s="31">
        <f>=IFERROR(BL19/BL10,0)</f>
        <v>1</v>
      </c>
      <c r="BM25" s="31">
        <f>=IFERROR(BM19/BM10,0)</f>
        <v>1</v>
      </c>
      <c r="BN25" s="31">
        <f>=IFERROR(BN19/BN10,0)</f>
        <v>1</v>
      </c>
      <c r="BO25" s="31">
        <f>=IFERROR(BO19/BO10,0)</f>
        <v>1</v>
      </c>
      <c r="BP25" s="31">
        <f>=IFERROR(BP19/BP10,0)</f>
        <v>1</v>
      </c>
      <c r="BQ25" s="31">
        <f>=IFERROR(BQ19/BQ10,0)</f>
        <v>1</v>
      </c>
      <c r="BR25" s="31">
        <f>=IFERROR(BR19/BR10,0)</f>
        <v>1</v>
      </c>
      <c r="BS25" s="31">
        <f>=IFERROR(BS19/BS10,0)</f>
        <v>1</v>
      </c>
      <c r="BT25" s="31">
        <f>=IFERROR(BT19/BT10,0)</f>
        <v>1</v>
      </c>
      <c r="BU25" s="31">
        <f>=IFERROR(BU19/BU10,0)</f>
        <v>1</v>
      </c>
      <c r="BV25" s="31">
        <f>=IFERROR(BV19/BV10,0)</f>
        <v>1</v>
      </c>
      <c r="BW25" s="31">
        <f>=IFERROR(BW19/BW10,0)</f>
        <v>1</v>
      </c>
      <c r="BX25" s="31">
        <f>=IFERROR(BX19/BX10,0)</f>
        <v>1</v>
      </c>
      <c r="BY25" s="31">
        <f>=IFERROR(BY19/BY10,0)</f>
        <v>1</v>
      </c>
      <c r="BZ25" s="31">
        <f>=IFERROR(BZ19/BZ10,0)</f>
        <v>1</v>
      </c>
      <c r="CA25" s="31">
        <f>=IFERROR(CA19/CA10,0)</f>
        <v>1</v>
      </c>
      <c r="CB25" s="31">
        <f>=IFERROR(CB19/CB10,0)</f>
        <v>1</v>
      </c>
      <c r="CC25" s="31">
        <f>=IFERROR(CC19/CC10,0)</f>
        <v>1</v>
      </c>
      <c r="CD25" s="31">
        <f>=IFERROR(CD19/CD10,0)</f>
        <v>1</v>
      </c>
      <c r="CE25" s="31">
        <f>=IFERROR(CE19/CE10,0)</f>
        <v>1</v>
      </c>
      <c r="CF25" s="31">
        <f>=IFERROR(CF19/CF10,0)</f>
        <v>1</v>
      </c>
      <c r="CG25" s="31">
        <f>=IFERROR(CG19/CG10,0)</f>
        <v>1</v>
      </c>
      <c r="CH25" s="31">
        <f>=IFERROR(CH19/CH10,0)</f>
        <v>1</v>
      </c>
      <c r="CI25" s="31">
        <f>=IFERROR(CI19/CI10,0)</f>
        <v>1</v>
      </c>
      <c r="CJ25" s="31">
        <f>=IFERROR(CJ19/CJ10,0)</f>
        <v>1</v>
      </c>
      <c r="CK25" s="31">
        <f>=IFERROR(CK19/CK10,0)</f>
        <v>1</v>
      </c>
      <c r="CL25" s="31">
        <f>=IFERROR(CL19/CL10,0)</f>
        <v>1</v>
      </c>
      <c r="CM25" s="31">
        <f>=IFERROR(CM19/CM10,0)</f>
        <v>1</v>
      </c>
      <c r="CN25" s="31">
        <f>=IFERROR(CN19/CN10,0)</f>
        <v>1</v>
      </c>
      <c r="CO25" s="31">
        <f>=IFERROR(CO19/CO10,0)</f>
        <v>1</v>
      </c>
      <c r="CP25" s="31">
        <f>=IFERROR(CP19/CP10,0)</f>
        <v>1</v>
      </c>
      <c r="CQ25" s="31">
        <f>=IFERROR(CQ19/CQ10,0)</f>
        <v>1</v>
      </c>
      <c r="CR25" s="31">
        <f>=IFERROR(CR19/CR10,0)</f>
        <v>1</v>
      </c>
      <c r="CS25" s="31">
        <f>=IFERROR(CS19/CS10,0)</f>
        <v>1</v>
      </c>
      <c r="CT25" s="31">
        <f>=IFERROR(CT19/CT10,0)</f>
        <v>1</v>
      </c>
      <c r="CU25" s="31">
        <f>=IFERROR(CU19/CU10,0)</f>
        <v>1</v>
      </c>
      <c r="CV25" s="31">
        <f>=IFERROR(CV19/CV10,0)</f>
        <v>1</v>
      </c>
      <c r="CW25" s="31">
        <f>=IFERROR(CW19/CW10,0)</f>
        <v>1</v>
      </c>
      <c r="CX25" s="31">
        <f>=IFERROR(CX19/CX10,0)</f>
        <v>1</v>
      </c>
      <c r="CY25" s="31">
        <f>=IFERROR(CY19/CY10,0)</f>
        <v>1</v>
      </c>
      <c r="CZ25" s="31">
        <f>=IFERROR(CZ19/CZ10,0)</f>
        <v>1</v>
      </c>
      <c r="DA25" s="31">
        <f>=IFERROR(DA19/DA10,0)</f>
        <v>1</v>
      </c>
      <c r="DB25" s="31">
        <f>=IFERROR(DB19/DB10,0)</f>
        <v>1</v>
      </c>
    </row>
    <row r="26" spans="3:106" x14ac:dyDescent="0.25"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0"/>
      <c r="CG26" s="30"/>
      <c r="CH26" s="30"/>
      <c r="CI26" s="30"/>
      <c r="CJ26" s="30"/>
      <c r="CK26" s="30"/>
      <c r="CL26" s="30"/>
      <c r="CM26" s="30"/>
      <c r="CN26" s="30"/>
      <c r="CO26" s="30"/>
      <c r="CP26" s="30"/>
      <c r="CQ26" s="30"/>
      <c r="CR26" s="30"/>
      <c r="CS26" s="30"/>
      <c r="CT26" s="30"/>
      <c r="CU26" s="30"/>
      <c r="CV26" s="30"/>
      <c r="CW26" s="30"/>
      <c r="CX26" s="30"/>
      <c r="CY26" s="30"/>
      <c r="CZ26" s="30"/>
      <c r="DA26" s="30"/>
      <c r="DB26" s="30"/>
    </row>
    <row r="27" ht="14" customHeight="1" spans="1:106" x14ac:dyDescent="0.25">
      <c r="A27" s="9" t="s">
        <v>260</v>
      </c>
      <c r="B27" s="17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</row>
    <row r="28" ht="15" customHeight="1" spans="1:106" x14ac:dyDescent="0.25">
      <c r="A28" s="33" t="s">
        <v>261</v>
      </c>
      <c r="B28" s="13"/>
      <c r="C28" s="34">
        <f>=IFERROR(1-((1-C29)*(1-C34)),0)</f>
        <v>0.286</v>
      </c>
      <c r="D28" s="34">
        <f>=IFERROR(1-((1-D29)*(1-D34)),0)</f>
        <v>0.286</v>
      </c>
      <c r="E28" s="34">
        <f>=IFERROR(1-((1-E29)*(1-E34)),0)</f>
        <v>0.286</v>
      </c>
      <c r="F28" s="34">
        <f>=IFERROR(1-((1-F29)*(1-F34)),0)</f>
        <v>0.286</v>
      </c>
      <c r="G28" s="34">
        <f>=IFERROR(1-((1-G29)*(1-G34)),0)</f>
        <v>0.286</v>
      </c>
      <c r="H28" s="34">
        <f>=IFERROR(1-((1-H29)*(1-H34)),0)</f>
        <v>0.286</v>
      </c>
      <c r="I28" s="34">
        <f>=IFERROR(1-((1-I29)*(1-I34)),0)</f>
        <v>0.286</v>
      </c>
      <c r="J28" s="34">
        <f>=IFERROR(1-((1-J29)*(1-J34)),0)</f>
        <v>0.286</v>
      </c>
      <c r="K28" s="34">
        <f>=IFERROR(1-((1-K29)*(1-K34)),0)</f>
        <v>0.286</v>
      </c>
      <c r="L28" s="34">
        <f>=IFERROR(1-((1-L29)*(1-L34)),0)</f>
        <v>0.286</v>
      </c>
      <c r="M28" s="34">
        <f>=IFERROR(1-((1-M29)*(1-M34)),0)</f>
        <v>0.286</v>
      </c>
      <c r="N28" s="34">
        <f>=IFERROR(1-((1-N29)*(1-N34)),0)</f>
        <v>0.286</v>
      </c>
      <c r="O28" s="34">
        <f>=IFERROR(1-((1-O29)*(1-O34)),0)</f>
        <v>0.286</v>
      </c>
      <c r="P28" s="34">
        <f>=IFERROR(1-((1-P29)*(1-P34)),0)</f>
        <v>0.286</v>
      </c>
      <c r="Q28" s="34">
        <f>=IFERROR(1-((1-Q29)*(1-Q34)),0)</f>
        <v>0.286</v>
      </c>
      <c r="R28" s="34">
        <f>=IFERROR(1-((1-R29)*(1-R34)),0)</f>
        <v>0.286</v>
      </c>
      <c r="S28" s="34">
        <f>=IFERROR(1-((1-S29)*(1-S34)),0)</f>
        <v>0.286</v>
      </c>
      <c r="T28" s="34">
        <f>=IFERROR(1-((1-T29)*(1-T34)),0)</f>
        <v>0.286</v>
      </c>
      <c r="U28" s="34">
        <f>=IFERROR(1-((1-U29)*(1-U34)),0)</f>
        <v>0.286</v>
      </c>
      <c r="V28" s="34">
        <f>=IFERROR(1-((1-V29)*(1-V34)),0)</f>
        <v>0.286</v>
      </c>
      <c r="W28" s="34">
        <f>=IFERROR(1-((1-W29)*(1-W34)),0)</f>
        <v>0.286</v>
      </c>
      <c r="X28" s="34">
        <f>=IFERROR(1-((1-X29)*(1-X34)),0)</f>
        <v>0.286</v>
      </c>
      <c r="Y28" s="34">
        <f>=IFERROR(1-((1-Y29)*(1-Y34)),0)</f>
        <v>0.286</v>
      </c>
      <c r="Z28" s="34">
        <f>=IFERROR(1-((1-Z29)*(1-Z34)),0)</f>
        <v>0.286</v>
      </c>
      <c r="AA28" s="34">
        <f>=IFERROR(1-((1-AA29)*(1-AA34)),0)</f>
        <v>0.286</v>
      </c>
      <c r="AB28" s="34">
        <f>=IFERROR(1-((1-AB29)*(1-AB34)),0)</f>
        <v>0.286</v>
      </c>
      <c r="AC28" s="34">
        <f>=IFERROR(1-((1-AC29)*(1-AC34)),0)</f>
        <v>0.286</v>
      </c>
      <c r="AD28" s="34">
        <f>=IFERROR(1-((1-AD29)*(1-AD34)),0)</f>
        <v>0.286</v>
      </c>
      <c r="AE28" s="34">
        <f>=IFERROR(1-((1-AE29)*(1-AE34)),0)</f>
        <v>0.286</v>
      </c>
      <c r="AF28" s="34">
        <f>=IFERROR(1-((1-AF29)*(1-AF34)),0)</f>
        <v>0.286</v>
      </c>
      <c r="AG28" s="34">
        <f>=IFERROR(1-((1-AG29)*(1-AG34)),0)</f>
        <v>0.286</v>
      </c>
      <c r="AH28" s="34">
        <f>=IFERROR(1-((1-AH29)*(1-AH34)),0)</f>
        <v>0.286</v>
      </c>
      <c r="AI28" s="34">
        <f>=IFERROR(1-((1-AI29)*(1-AI34)),0)</f>
        <v>0.286</v>
      </c>
      <c r="AJ28" s="34">
        <f>=IFERROR(1-((1-AJ29)*(1-AJ34)),0)</f>
        <v>0.286</v>
      </c>
      <c r="AK28" s="34">
        <f>=IFERROR(1-((1-AK29)*(1-AK34)),0)</f>
        <v>0.286</v>
      </c>
      <c r="AL28" s="34">
        <f>=IFERROR(1-((1-AL29)*(1-AL34)),0)</f>
        <v>0.286</v>
      </c>
      <c r="AM28" s="34">
        <f>=IFERROR(1-((1-AM29)*(1-AM34)),0)</f>
        <v>0.286</v>
      </c>
      <c r="AN28" s="34">
        <f>=IFERROR(1-((1-AN29)*(1-AN34)),0)</f>
        <v>0.286</v>
      </c>
      <c r="AO28" s="34">
        <f>=IFERROR(1-((1-AO29)*(1-AO34)),0)</f>
        <v>0.286</v>
      </c>
      <c r="AP28" s="34">
        <f>=IFERROR(1-((1-AP29)*(1-AP34)),0)</f>
        <v>0.2605</v>
      </c>
      <c r="AQ28" s="34">
        <f>=IFERROR(1-((1-AQ29)*(1-AQ34)),0)</f>
        <v>0.2605</v>
      </c>
      <c r="AR28" s="34">
        <f>=IFERROR(1-((1-AR29)*(1-AR34)),0)</f>
        <v>0.2605</v>
      </c>
      <c r="AS28" s="34">
        <f>=IFERROR(1-((1-AS29)*(1-AS34)),0)</f>
        <v>0.2605</v>
      </c>
      <c r="AT28" s="34">
        <f>=IFERROR(1-((1-AT29)*(1-AT34)),0)</f>
        <v>0.2605</v>
      </c>
      <c r="AU28" s="34">
        <f>=IFERROR(1-((1-AU29)*(1-AU34)),0)</f>
        <v>0.2605</v>
      </c>
      <c r="AV28" s="34">
        <f>=IFERROR(1-((1-AV29)*(1-AV34)),0)</f>
        <v>0.2605</v>
      </c>
      <c r="AW28" s="34">
        <f>=IFERROR(1-((1-AW29)*(1-AW34)),0)</f>
        <v>0.2605</v>
      </c>
      <c r="AX28" s="34">
        <f>=IFERROR(1-((1-AX29)*(1-AX34)),0)</f>
        <v>0.2605</v>
      </c>
      <c r="AY28" s="34">
        <f>=IFERROR(1-((1-AY29)*(1-AY34)),0)</f>
        <v>0.2605</v>
      </c>
      <c r="AZ28" s="34">
        <f>=IFERROR(1-((1-AZ29)*(1-AZ34)),0)</f>
        <v>0.2605</v>
      </c>
      <c r="BA28" s="34">
        <f>=IFERROR(1-((1-BA29)*(1-BA34)),0)</f>
        <v>0.2605</v>
      </c>
      <c r="BB28" s="34">
        <f>=IFERROR(1-((1-BB29)*(1-BB34)),0)</f>
        <v>0.2605</v>
      </c>
      <c r="BC28" s="34">
        <f>=IFERROR(1-((1-BC29)*(1-BC34)),0)</f>
        <v>0.269</v>
      </c>
      <c r="BD28" s="34">
        <f>=IFERROR(1-((1-BD29)*(1-BD34)),0)</f>
        <v>0.269</v>
      </c>
      <c r="BE28" s="34">
        <f>=IFERROR(1-((1-BE29)*(1-BE34)),0)</f>
        <v>0.269</v>
      </c>
      <c r="BF28" s="34">
        <f>=IFERROR(1-((1-BF29)*(1-BF34)),0)</f>
        <v>0.269</v>
      </c>
      <c r="BG28" s="34">
        <f>=IFERROR(1-((1-BG29)*(1-BG34)),0)</f>
        <v>0.269</v>
      </c>
      <c r="BH28" s="34">
        <f>=IFERROR(1-((1-BH29)*(1-BH34)),0)</f>
        <v>0.269</v>
      </c>
      <c r="BI28" s="34">
        <f>=IFERROR(1-((1-BI29)*(1-BI34)),0)</f>
        <v>0.269</v>
      </c>
      <c r="BJ28" s="34">
        <f>=IFERROR(1-((1-BJ29)*(1-BJ34)),0)</f>
        <v>0.269</v>
      </c>
      <c r="BK28" s="34">
        <f>=IFERROR(1-((1-BK29)*(1-BK34)),0)</f>
        <v>0.269</v>
      </c>
      <c r="BL28" s="34">
        <f>=IFERROR(1-((1-BL29)*(1-BL34)),0)</f>
        <v>0.269</v>
      </c>
      <c r="BM28" s="34">
        <f>=IFERROR(1-((1-BM29)*(1-BM34)),0)</f>
        <v>0.269</v>
      </c>
      <c r="BN28" s="34">
        <f>=IFERROR(1-((1-BN29)*(1-BN34)),0)</f>
        <v>0.269</v>
      </c>
      <c r="BO28" s="34">
        <f>=IFERROR(1-((1-BO29)*(1-BO34)),0)</f>
        <v>0.269</v>
      </c>
      <c r="BP28" s="34">
        <f>=IFERROR(1-((1-BP29)*(1-BP34)),0)</f>
        <v>0.269</v>
      </c>
      <c r="BQ28" s="34">
        <f>=IFERROR(1-((1-BQ29)*(1-BQ34)),0)</f>
        <v>0.269</v>
      </c>
      <c r="BR28" s="34">
        <f>=IFERROR(1-((1-BR29)*(1-BR34)),0)</f>
        <v>0.269</v>
      </c>
      <c r="BS28" s="34">
        <f>=IFERROR(1-((1-BS29)*(1-BS34)),0)</f>
        <v>0.269</v>
      </c>
      <c r="BT28" s="34">
        <f>=IFERROR(1-((1-BT29)*(1-BT34)),0)</f>
        <v>0.269</v>
      </c>
      <c r="BU28" s="34">
        <f>=IFERROR(1-((1-BU29)*(1-BU34)),0)</f>
        <v>0.269</v>
      </c>
      <c r="BV28" s="34">
        <f>=IFERROR(1-((1-BV29)*(1-BV34)),0)</f>
        <v>0.269</v>
      </c>
      <c r="BW28" s="34">
        <f>=IFERROR(1-((1-BW29)*(1-BW34)),0)</f>
        <v>0.269</v>
      </c>
      <c r="BX28" s="34">
        <f>=IFERROR(1-((1-BX29)*(1-BX34)),0)</f>
        <v>0.269</v>
      </c>
      <c r="BY28" s="34">
        <f>=IFERROR(1-((1-BY29)*(1-BY34)),0)</f>
        <v>0.269</v>
      </c>
      <c r="BZ28" s="34">
        <f>=IFERROR(1-((1-BZ29)*(1-BZ34)),0)</f>
        <v>0.269</v>
      </c>
      <c r="CA28" s="34">
        <f>=IFERROR(1-((1-CA29)*(1-CA34)),0)</f>
        <v>0.269</v>
      </c>
      <c r="CB28" s="34">
        <f>=IFERROR(1-((1-CB29)*(1-CB34)),0)</f>
        <v>0.269</v>
      </c>
      <c r="CC28" s="34">
        <f>=IFERROR(1-((1-CC29)*(1-CC34)),0)</f>
        <v>0.269</v>
      </c>
      <c r="CD28" s="34">
        <f>=IFERROR(1-((1-CD29)*(1-CD34)),0)</f>
        <v>0.269</v>
      </c>
      <c r="CE28" s="34">
        <f>=IFERROR(1-((1-CE29)*(1-CE34)),0)</f>
        <v>0.269</v>
      </c>
      <c r="CF28" s="34">
        <f>=IFERROR(1-((1-CF29)*(1-CF34)),0)</f>
        <v>0.269</v>
      </c>
      <c r="CG28" s="34">
        <f>=IFERROR(1-((1-CG29)*(1-CG34)),0)</f>
        <v>0.269</v>
      </c>
      <c r="CH28" s="34">
        <f>=IFERROR(1-((1-CH29)*(1-CH34)),0)</f>
        <v>0.269</v>
      </c>
      <c r="CI28" s="34">
        <f>=IFERROR(1-((1-CI29)*(1-CI34)),0)</f>
        <v>0.269</v>
      </c>
      <c r="CJ28" s="34">
        <f>=IFERROR(1-((1-CJ29)*(1-CJ34)),0)</f>
        <v>0.269</v>
      </c>
      <c r="CK28" s="34">
        <f>=IFERROR(1-((1-CK29)*(1-CK34)),0)</f>
        <v>0.269</v>
      </c>
      <c r="CL28" s="34">
        <f>=IFERROR(1-((1-CL29)*(1-CL34)),0)</f>
        <v>0.269</v>
      </c>
      <c r="CM28" s="34">
        <f>=IFERROR(1-((1-CM29)*(1-CM34)),0)</f>
        <v>0.269</v>
      </c>
      <c r="CN28" s="34">
        <f>=IFERROR(1-((1-CN29)*(1-CN34)),0)</f>
        <v>0.269</v>
      </c>
      <c r="CO28" s="34">
        <f>=IFERROR(1-((1-CO29)*(1-CO34)),0)</f>
        <v>0.269</v>
      </c>
      <c r="CP28" s="34">
        <f>=IFERROR(1-((1-CP29)*(1-CP34)),0)</f>
        <v>0.269</v>
      </c>
      <c r="CQ28" s="34">
        <f>=IFERROR(1-((1-CQ29)*(1-CQ34)),0)</f>
        <v>0.269</v>
      </c>
      <c r="CR28" s="34">
        <f>=IFERROR(1-((1-CR29)*(1-CR34)),0)</f>
        <v>0.269</v>
      </c>
      <c r="CS28" s="34">
        <f>=IFERROR(1-((1-CS29)*(1-CS34)),0)</f>
        <v>0.269</v>
      </c>
      <c r="CT28" s="34">
        <f>=IFERROR(1-((1-CT29)*(1-CT34)),0)</f>
        <v>0.269</v>
      </c>
      <c r="CU28" s="34">
        <f>=IFERROR(1-((1-CU29)*(1-CU34)),0)</f>
        <v>0.269</v>
      </c>
      <c r="CV28" s="34">
        <f>=IFERROR(1-((1-CV29)*(1-CV34)),0)</f>
        <v>0.269</v>
      </c>
      <c r="CW28" s="34">
        <f>=IFERROR(1-((1-CW29)*(1-CW34)),0)</f>
        <v>0.269</v>
      </c>
      <c r="CX28" s="34">
        <f>=IFERROR(1-((1-CX29)*(1-CX34)),0)</f>
        <v>0.269</v>
      </c>
      <c r="CY28" s="34">
        <f>=IFERROR(1-((1-CY29)*(1-CY34)),0)</f>
        <v>0.269</v>
      </c>
      <c r="CZ28" s="34">
        <f>=IFERROR(1-((1-CZ29)*(1-CZ34)),0)</f>
        <v>0.269</v>
      </c>
      <c r="DA28" s="34">
        <f>=IFERROR(1-((1-DA29)*(1-DA34)),0)</f>
        <v>0.269</v>
      </c>
      <c r="DB28" s="34">
        <f>=IFERROR(1-((1-DB29)*(1-DB34)),0)</f>
        <v>0.269</v>
      </c>
    </row>
    <row r="29" ht="15" customHeight="1" spans="1:106" x14ac:dyDescent="0.25">
      <c r="A29" s="16" t="s">
        <v>262</v>
      </c>
      <c r="B29" s="17"/>
      <c r="C29" s="35">
        <f>=SUM(C30:C33)</f>
        <v>0.16</v>
      </c>
      <c r="D29" s="35">
        <f>=SUM(D30:D33)</f>
        <v>0.16</v>
      </c>
      <c r="E29" s="35">
        <f>=SUM(E30:E33)</f>
        <v>0.16</v>
      </c>
      <c r="F29" s="35">
        <f>=SUM(F30:F33)</f>
        <v>0.16</v>
      </c>
      <c r="G29" s="35">
        <f>=SUM(G30:G33)</f>
        <v>0.16</v>
      </c>
      <c r="H29" s="35">
        <f>=SUM(H30:H33)</f>
        <v>0.16</v>
      </c>
      <c r="I29" s="35">
        <f>=SUM(I30:I33)</f>
        <v>0.16</v>
      </c>
      <c r="J29" s="35">
        <f>=SUM(J30:J33)</f>
        <v>0.16</v>
      </c>
      <c r="K29" s="35">
        <f>=SUM(K30:K33)</f>
        <v>0.16</v>
      </c>
      <c r="L29" s="35">
        <f>=SUM(L30:L33)</f>
        <v>0.16</v>
      </c>
      <c r="M29" s="35">
        <f>=SUM(M30:M33)</f>
        <v>0.16</v>
      </c>
      <c r="N29" s="35">
        <f>=SUM(N30:N33)</f>
        <v>0.16</v>
      </c>
      <c r="O29" s="35">
        <f>=SUM(O30:O33)</f>
        <v>0.16</v>
      </c>
      <c r="P29" s="35">
        <f>=SUM(P30:P33)</f>
        <v>0.16</v>
      </c>
      <c r="Q29" s="35">
        <f>=SUM(Q30:Q33)</f>
        <v>0.16</v>
      </c>
      <c r="R29" s="35">
        <f>=SUM(R30:R33)</f>
        <v>0.16</v>
      </c>
      <c r="S29" s="35">
        <f>=SUM(S30:S33)</f>
        <v>0.16</v>
      </c>
      <c r="T29" s="35">
        <f>=SUM(T30:T33)</f>
        <v>0.16</v>
      </c>
      <c r="U29" s="35">
        <f>=SUM(U30:U33)</f>
        <v>0.16</v>
      </c>
      <c r="V29" s="35">
        <f>=SUM(V30:V33)</f>
        <v>0.16</v>
      </c>
      <c r="W29" s="35">
        <f>=SUM(W30:W33)</f>
        <v>0.16</v>
      </c>
      <c r="X29" s="35">
        <f>=SUM(X30:X33)</f>
        <v>0.16</v>
      </c>
      <c r="Y29" s="35">
        <f>=SUM(Y30:Y33)</f>
        <v>0.16</v>
      </c>
      <c r="Z29" s="35">
        <f>=SUM(Z30:Z33)</f>
        <v>0.16</v>
      </c>
      <c r="AA29" s="35">
        <f>=SUM(AA30:AA33)</f>
        <v>0.16</v>
      </c>
      <c r="AB29" s="35">
        <f>=SUM(AB30:AB33)</f>
        <v>0.16</v>
      </c>
      <c r="AC29" s="35">
        <f>=SUM(AC30:AC33)</f>
        <v>0.16</v>
      </c>
      <c r="AD29" s="35">
        <f>=SUM(AD30:AD33)</f>
        <v>0.16</v>
      </c>
      <c r="AE29" s="35">
        <f>=SUM(AE30:AE33)</f>
        <v>0.16</v>
      </c>
      <c r="AF29" s="35">
        <f>=SUM(AF30:AF33)</f>
        <v>0.16</v>
      </c>
      <c r="AG29" s="35">
        <f>=SUM(AG30:AG33)</f>
        <v>0.16</v>
      </c>
      <c r="AH29" s="35">
        <f>=SUM(AH30:AH33)</f>
        <v>0.16</v>
      </c>
      <c r="AI29" s="35">
        <f>=SUM(AI30:AI33)</f>
        <v>0.16</v>
      </c>
      <c r="AJ29" s="35">
        <f>=SUM(AJ30:AJ33)</f>
        <v>0.16</v>
      </c>
      <c r="AK29" s="35">
        <f>=SUM(AK30:AK33)</f>
        <v>0.16</v>
      </c>
      <c r="AL29" s="35">
        <f>=SUM(AL30:AL33)</f>
        <v>0.16</v>
      </c>
      <c r="AM29" s="35">
        <f>=SUM(AM30:AM33)</f>
        <v>0.16</v>
      </c>
      <c r="AN29" s="35">
        <f>=SUM(AN30:AN33)</f>
        <v>0.16</v>
      </c>
      <c r="AO29" s="35">
        <f>=SUM(AO30:AO33)</f>
        <v>0.16</v>
      </c>
      <c r="AP29" s="35">
        <f>=SUM(AP30:AP33)</f>
        <v>0.13</v>
      </c>
      <c r="AQ29" s="35">
        <f>=SUM(AQ30:AQ33)</f>
        <v>0.13</v>
      </c>
      <c r="AR29" s="35">
        <f>=SUM(AR30:AR33)</f>
        <v>0.13</v>
      </c>
      <c r="AS29" s="35">
        <f>=SUM(AS30:AS33)</f>
        <v>0.13</v>
      </c>
      <c r="AT29" s="35">
        <f>=SUM(AT30:AT33)</f>
        <v>0.13</v>
      </c>
      <c r="AU29" s="35">
        <f>=SUM(AU30:AU33)</f>
        <v>0.13</v>
      </c>
      <c r="AV29" s="35">
        <f>=SUM(AV30:AV33)</f>
        <v>0.13</v>
      </c>
      <c r="AW29" s="35">
        <f>=SUM(AW30:AW33)</f>
        <v>0.13</v>
      </c>
      <c r="AX29" s="35">
        <f>=SUM(AX30:AX33)</f>
        <v>0.13</v>
      </c>
      <c r="AY29" s="35">
        <f>=SUM(AY30:AY33)</f>
        <v>0.13</v>
      </c>
      <c r="AZ29" s="35">
        <f>=SUM(AZ30:AZ33)</f>
        <v>0.13</v>
      </c>
      <c r="BA29" s="35">
        <f>=SUM(BA30:BA33)</f>
        <v>0.13</v>
      </c>
      <c r="BB29" s="35">
        <f>=SUM(BB30:BB33)</f>
        <v>0.13</v>
      </c>
      <c r="BC29" s="35">
        <f>=SUM(BC30:BC33)</f>
        <v>0.14</v>
      </c>
      <c r="BD29" s="35">
        <f>=SUM(BD30:BD33)</f>
        <v>0.14</v>
      </c>
      <c r="BE29" s="35">
        <f>=SUM(BE30:BE33)</f>
        <v>0.14</v>
      </c>
      <c r="BF29" s="35">
        <f>=SUM(BF30:BF33)</f>
        <v>0.14</v>
      </c>
      <c r="BG29" s="35">
        <f>=SUM(BG30:BG33)</f>
        <v>0.14</v>
      </c>
      <c r="BH29" s="35">
        <f>=SUM(BH30:BH33)</f>
        <v>0.14</v>
      </c>
      <c r="BI29" s="35">
        <f>=SUM(BI30:BI33)</f>
        <v>0.14</v>
      </c>
      <c r="BJ29" s="35">
        <f>=SUM(BJ30:BJ33)</f>
        <v>0.14</v>
      </c>
      <c r="BK29" s="35">
        <f>=SUM(BK30:BK33)</f>
        <v>0.14</v>
      </c>
      <c r="BL29" s="35">
        <f>=SUM(BL30:BL33)</f>
        <v>0.14</v>
      </c>
      <c r="BM29" s="35">
        <f>=SUM(BM30:BM33)</f>
        <v>0.14</v>
      </c>
      <c r="BN29" s="35">
        <f>=SUM(BN30:BN33)</f>
        <v>0.14</v>
      </c>
      <c r="BO29" s="35">
        <f>=SUM(BO30:BO33)</f>
        <v>0.14</v>
      </c>
      <c r="BP29" s="35">
        <f>=SUM(BP30:BP33)</f>
        <v>0.14</v>
      </c>
      <c r="BQ29" s="35">
        <f>=SUM(BQ30:BQ33)</f>
        <v>0.14</v>
      </c>
      <c r="BR29" s="35">
        <f>=SUM(BR30:BR33)</f>
        <v>0.14</v>
      </c>
      <c r="BS29" s="35">
        <f>=SUM(BS30:BS33)</f>
        <v>0.14</v>
      </c>
      <c r="BT29" s="35">
        <f>=SUM(BT30:BT33)</f>
        <v>0.14</v>
      </c>
      <c r="BU29" s="35">
        <f>=SUM(BU30:BU33)</f>
        <v>0.14</v>
      </c>
      <c r="BV29" s="35">
        <f>=SUM(BV30:BV33)</f>
        <v>0.14</v>
      </c>
      <c r="BW29" s="35">
        <f>=SUM(BW30:BW33)</f>
        <v>0.14</v>
      </c>
      <c r="BX29" s="35">
        <f>=SUM(BX30:BX33)</f>
        <v>0.14</v>
      </c>
      <c r="BY29" s="35">
        <f>=SUM(BY30:BY33)</f>
        <v>0.14</v>
      </c>
      <c r="BZ29" s="35">
        <f>=SUM(BZ30:BZ33)</f>
        <v>0.14</v>
      </c>
      <c r="CA29" s="35">
        <f>=SUM(CA30:CA33)</f>
        <v>0.14</v>
      </c>
      <c r="CB29" s="35">
        <f>=SUM(CB30:CB33)</f>
        <v>0.14</v>
      </c>
      <c r="CC29" s="35">
        <f>=SUM(CC30:CC33)</f>
        <v>0.14</v>
      </c>
      <c r="CD29" s="35">
        <f>=SUM(CD30:CD33)</f>
        <v>0.14</v>
      </c>
      <c r="CE29" s="35">
        <f>=SUM(CE30:CE33)</f>
        <v>0.14</v>
      </c>
      <c r="CF29" s="35">
        <f>=SUM(CF30:CF33)</f>
        <v>0.14</v>
      </c>
      <c r="CG29" s="35">
        <f>=SUM(CG30:CG33)</f>
        <v>0.14</v>
      </c>
      <c r="CH29" s="35">
        <f>=SUM(CH30:CH33)</f>
        <v>0.14</v>
      </c>
      <c r="CI29" s="35">
        <f>=SUM(CI30:CI33)</f>
        <v>0.14</v>
      </c>
      <c r="CJ29" s="35">
        <f>=SUM(CJ30:CJ33)</f>
        <v>0.14</v>
      </c>
      <c r="CK29" s="35">
        <f>=SUM(CK30:CK33)</f>
        <v>0.14</v>
      </c>
      <c r="CL29" s="35">
        <f>=SUM(CL30:CL33)</f>
        <v>0.14</v>
      </c>
      <c r="CM29" s="35">
        <f>=SUM(CM30:CM33)</f>
        <v>0.14</v>
      </c>
      <c r="CN29" s="35">
        <f>=SUM(CN30:CN33)</f>
        <v>0.14</v>
      </c>
      <c r="CO29" s="35">
        <f>=SUM(CO30:CO33)</f>
        <v>0.14</v>
      </c>
      <c r="CP29" s="35">
        <f>=SUM(CP30:CP33)</f>
        <v>0.14</v>
      </c>
      <c r="CQ29" s="35">
        <f>=SUM(CQ30:CQ33)</f>
        <v>0.14</v>
      </c>
      <c r="CR29" s="35">
        <f>=SUM(CR30:CR33)</f>
        <v>0.14</v>
      </c>
      <c r="CS29" s="35">
        <f>=SUM(CS30:CS33)</f>
        <v>0.14</v>
      </c>
      <c r="CT29" s="35">
        <f>=SUM(CT30:CT33)</f>
        <v>0.14</v>
      </c>
      <c r="CU29" s="35">
        <f>=SUM(CU30:CU33)</f>
        <v>0.14</v>
      </c>
      <c r="CV29" s="35">
        <f>=SUM(CV30:CV33)</f>
        <v>0.14</v>
      </c>
      <c r="CW29" s="35">
        <f>=SUM(CW30:CW33)</f>
        <v>0.14</v>
      </c>
      <c r="CX29" s="35">
        <f>=SUM(CX30:CX33)</f>
        <v>0.14</v>
      </c>
      <c r="CY29" s="35">
        <f>=SUM(CY30:CY33)</f>
        <v>0.14</v>
      </c>
      <c r="CZ29" s="35">
        <f>=SUM(CZ30:CZ33)</f>
        <v>0.14</v>
      </c>
      <c r="DA29" s="35">
        <f>=SUM(DA30:DA33)</f>
        <v>0.14</v>
      </c>
      <c r="DB29" s="35">
        <f>=SUM(DB30:DB33)</f>
        <v>0.14</v>
      </c>
    </row>
    <row r="30" ht="16" customHeight="1" spans="1:106" x14ac:dyDescent="0.25">
      <c r="A30" s="36" t="s">
        <v>263</v>
      </c>
      <c r="C30" s="37">
        <v>0.08</v>
      </c>
      <c r="D30" s="37">
        <v>0.08</v>
      </c>
      <c r="E30" s="37">
        <v>0.08</v>
      </c>
      <c r="F30" s="37">
        <v>0.08</v>
      </c>
      <c r="G30" s="37">
        <v>0.08</v>
      </c>
      <c r="H30" s="37">
        <v>0.08</v>
      </c>
      <c r="I30" s="37">
        <v>0.08</v>
      </c>
      <c r="J30" s="37">
        <v>0.08</v>
      </c>
      <c r="K30" s="37">
        <v>0.08</v>
      </c>
      <c r="L30" s="37">
        <v>0.08</v>
      </c>
      <c r="M30" s="37">
        <v>0.08</v>
      </c>
      <c r="N30" s="37">
        <v>0.08</v>
      </c>
      <c r="O30" s="37">
        <v>0.08</v>
      </c>
      <c r="P30" s="37">
        <v>0.08</v>
      </c>
      <c r="Q30" s="37">
        <v>0.08</v>
      </c>
      <c r="R30" s="37">
        <v>0.08</v>
      </c>
      <c r="S30" s="37">
        <v>0.08</v>
      </c>
      <c r="T30" s="37">
        <v>0.08</v>
      </c>
      <c r="U30" s="37">
        <v>0.08</v>
      </c>
      <c r="V30" s="37">
        <v>0.08</v>
      </c>
      <c r="W30" s="37">
        <v>0.08</v>
      </c>
      <c r="X30" s="37">
        <v>0.08</v>
      </c>
      <c r="Y30" s="37">
        <v>0.08</v>
      </c>
      <c r="Z30" s="37">
        <v>0.08</v>
      </c>
      <c r="AA30" s="37">
        <v>0.08</v>
      </c>
      <c r="AB30" s="37">
        <v>0.08</v>
      </c>
      <c r="AC30" s="37">
        <v>0.08</v>
      </c>
      <c r="AD30" s="37">
        <v>0.08</v>
      </c>
      <c r="AE30" s="37">
        <v>0.08</v>
      </c>
      <c r="AF30" s="37">
        <v>0.08</v>
      </c>
      <c r="AG30" s="37">
        <v>0.08</v>
      </c>
      <c r="AH30" s="37">
        <v>0.08</v>
      </c>
      <c r="AI30" s="37">
        <v>0.08</v>
      </c>
      <c r="AJ30" s="37">
        <v>0.08</v>
      </c>
      <c r="AK30" s="37">
        <v>0.08</v>
      </c>
      <c r="AL30" s="37">
        <v>0.08</v>
      </c>
      <c r="AM30" s="37">
        <v>0.08</v>
      </c>
      <c r="AN30" s="37">
        <v>0.08</v>
      </c>
      <c r="AO30" s="37">
        <v>0.08</v>
      </c>
      <c r="AP30" s="37">
        <v>0.065</v>
      </c>
      <c r="AQ30" s="37">
        <v>0.065</v>
      </c>
      <c r="AR30" s="37">
        <v>0.065</v>
      </c>
      <c r="AS30" s="37">
        <v>0.065</v>
      </c>
      <c r="AT30" s="37">
        <v>0.065</v>
      </c>
      <c r="AU30" s="37">
        <v>0.065</v>
      </c>
      <c r="AV30" s="37">
        <v>0.065</v>
      </c>
      <c r="AW30" s="37">
        <v>0.065</v>
      </c>
      <c r="AX30" s="37">
        <v>0.065</v>
      </c>
      <c r="AY30" s="37">
        <v>0.065</v>
      </c>
      <c r="AZ30" s="37">
        <v>0.065</v>
      </c>
      <c r="BA30" s="37">
        <v>0.065</v>
      </c>
      <c r="BB30" s="37">
        <v>0.065</v>
      </c>
      <c r="BC30" s="37">
        <v>0.07</v>
      </c>
      <c r="BD30" s="37">
        <v>0.07</v>
      </c>
      <c r="BE30" s="37">
        <v>0.07</v>
      </c>
      <c r="BF30" s="37">
        <v>0.07</v>
      </c>
      <c r="BG30" s="37">
        <v>0.07</v>
      </c>
      <c r="BH30" s="37">
        <v>0.07</v>
      </c>
      <c r="BI30" s="37">
        <v>0.07</v>
      </c>
      <c r="BJ30" s="37">
        <v>0.07</v>
      </c>
      <c r="BK30" s="37">
        <v>0.07</v>
      </c>
      <c r="BL30" s="37">
        <v>0.07</v>
      </c>
      <c r="BM30" s="37">
        <v>0.07</v>
      </c>
      <c r="BN30" s="37">
        <v>0.07</v>
      </c>
      <c r="BO30" s="37">
        <v>0.07</v>
      </c>
      <c r="BP30" s="37">
        <v>0.07</v>
      </c>
      <c r="BQ30" s="37">
        <v>0.07</v>
      </c>
      <c r="BR30" s="37">
        <v>0.07</v>
      </c>
      <c r="BS30" s="37">
        <v>0.07</v>
      </c>
      <c r="BT30" s="37">
        <v>0.07</v>
      </c>
      <c r="BU30" s="37">
        <v>0.07</v>
      </c>
      <c r="BV30" s="37">
        <v>0.07</v>
      </c>
      <c r="BW30" s="37">
        <v>0.07</v>
      </c>
      <c r="BX30" s="37">
        <v>0.07</v>
      </c>
      <c r="BY30" s="37">
        <v>0.07</v>
      </c>
      <c r="BZ30" s="37">
        <v>0.07</v>
      </c>
      <c r="CA30" s="37">
        <v>0.07</v>
      </c>
      <c r="CB30" s="37">
        <v>0.07</v>
      </c>
      <c r="CC30" s="37">
        <v>0.07</v>
      </c>
      <c r="CD30" s="37">
        <v>0.07</v>
      </c>
      <c r="CE30" s="37">
        <v>0.07</v>
      </c>
      <c r="CF30" s="37">
        <v>0.07</v>
      </c>
      <c r="CG30" s="37">
        <v>0.07</v>
      </c>
      <c r="CH30" s="37">
        <v>0.07</v>
      </c>
      <c r="CI30" s="37">
        <v>0.07</v>
      </c>
      <c r="CJ30" s="37">
        <v>0.07</v>
      </c>
      <c r="CK30" s="37">
        <v>0.07</v>
      </c>
      <c r="CL30" s="37">
        <v>0.07</v>
      </c>
      <c r="CM30" s="37">
        <v>0.07</v>
      </c>
      <c r="CN30" s="37">
        <v>0.07</v>
      </c>
      <c r="CO30" s="37">
        <v>0.07</v>
      </c>
      <c r="CP30" s="37">
        <v>0.07</v>
      </c>
      <c r="CQ30" s="37">
        <v>0.07</v>
      </c>
      <c r="CR30" s="37">
        <v>0.07</v>
      </c>
      <c r="CS30" s="37">
        <v>0.07</v>
      </c>
      <c r="CT30" s="37">
        <v>0.07</v>
      </c>
      <c r="CU30" s="37">
        <v>0.07</v>
      </c>
      <c r="CV30" s="37">
        <v>0.07</v>
      </c>
      <c r="CW30" s="37">
        <v>0.07</v>
      </c>
      <c r="CX30" s="37">
        <v>0.07</v>
      </c>
      <c r="CY30" s="37">
        <v>0.07</v>
      </c>
      <c r="CZ30" s="37">
        <v>0.07</v>
      </c>
      <c r="DA30" s="37">
        <v>0.07</v>
      </c>
      <c r="DB30" s="37">
        <v>0.07</v>
      </c>
    </row>
    <row r="31" ht="16" customHeight="1" spans="1:106" x14ac:dyDescent="0.25">
      <c r="A31" s="36" t="s">
        <v>264</v>
      </c>
      <c r="C31" s="37">
        <v>0.08</v>
      </c>
      <c r="D31" s="37">
        <v>0.08</v>
      </c>
      <c r="E31" s="37">
        <v>0.08</v>
      </c>
      <c r="F31" s="37">
        <v>0.08</v>
      </c>
      <c r="G31" s="37">
        <v>0.08</v>
      </c>
      <c r="H31" s="37">
        <v>0.08</v>
      </c>
      <c r="I31" s="37">
        <v>0.08</v>
      </c>
      <c r="J31" s="37">
        <v>0.08</v>
      </c>
      <c r="K31" s="37">
        <v>0.08</v>
      </c>
      <c r="L31" s="37">
        <v>0.08</v>
      </c>
      <c r="M31" s="37">
        <v>0.08</v>
      </c>
      <c r="N31" s="37">
        <v>0.08</v>
      </c>
      <c r="O31" s="37">
        <v>0.08</v>
      </c>
      <c r="P31" s="37">
        <v>0.08</v>
      </c>
      <c r="Q31" s="37">
        <v>0.08</v>
      </c>
      <c r="R31" s="37">
        <v>0.08</v>
      </c>
      <c r="S31" s="37">
        <v>0.08</v>
      </c>
      <c r="T31" s="37">
        <v>0.08</v>
      </c>
      <c r="U31" s="37">
        <v>0.08</v>
      </c>
      <c r="V31" s="37">
        <v>0.08</v>
      </c>
      <c r="W31" s="37">
        <v>0.08</v>
      </c>
      <c r="X31" s="37">
        <v>0.08</v>
      </c>
      <c r="Y31" s="37">
        <v>0.08</v>
      </c>
      <c r="Z31" s="37">
        <v>0.08</v>
      </c>
      <c r="AA31" s="37">
        <v>0.08</v>
      </c>
      <c r="AB31" s="37">
        <v>0.08</v>
      </c>
      <c r="AC31" s="37">
        <v>0.08</v>
      </c>
      <c r="AD31" s="37">
        <v>0.08</v>
      </c>
      <c r="AE31" s="37">
        <v>0.08</v>
      </c>
      <c r="AF31" s="37">
        <v>0.08</v>
      </c>
      <c r="AG31" s="37">
        <v>0.08</v>
      </c>
      <c r="AH31" s="37">
        <v>0.08</v>
      </c>
      <c r="AI31" s="37">
        <v>0.08</v>
      </c>
      <c r="AJ31" s="37">
        <v>0.08</v>
      </c>
      <c r="AK31" s="37">
        <v>0.08</v>
      </c>
      <c r="AL31" s="37">
        <v>0.08</v>
      </c>
      <c r="AM31" s="37">
        <v>0.08</v>
      </c>
      <c r="AN31" s="37">
        <v>0.08</v>
      </c>
      <c r="AO31" s="37">
        <v>0.08</v>
      </c>
      <c r="AP31" s="37">
        <v>0.065</v>
      </c>
      <c r="AQ31" s="37">
        <v>0.065</v>
      </c>
      <c r="AR31" s="37">
        <v>0.065</v>
      </c>
      <c r="AS31" s="37">
        <v>0.065</v>
      </c>
      <c r="AT31" s="37">
        <v>0.065</v>
      </c>
      <c r="AU31" s="37">
        <v>0.065</v>
      </c>
      <c r="AV31" s="37">
        <v>0.065</v>
      </c>
      <c r="AW31" s="37">
        <v>0.065</v>
      </c>
      <c r="AX31" s="37">
        <v>0.065</v>
      </c>
      <c r="AY31" s="37">
        <v>0.065</v>
      </c>
      <c r="AZ31" s="37">
        <v>0.065</v>
      </c>
      <c r="BA31" s="37">
        <v>0.065</v>
      </c>
      <c r="BB31" s="37">
        <v>0.065</v>
      </c>
      <c r="BC31" s="37">
        <v>0.07</v>
      </c>
      <c r="BD31" s="37">
        <v>0.07</v>
      </c>
      <c r="BE31" s="37">
        <v>0.07</v>
      </c>
      <c r="BF31" s="37">
        <v>0.07</v>
      </c>
      <c r="BG31" s="37">
        <v>0.07</v>
      </c>
      <c r="BH31" s="37">
        <v>0.07</v>
      </c>
      <c r="BI31" s="37">
        <v>0.07</v>
      </c>
      <c r="BJ31" s="37">
        <v>0.07</v>
      </c>
      <c r="BK31" s="37">
        <v>0.07</v>
      </c>
      <c r="BL31" s="37">
        <v>0.07</v>
      </c>
      <c r="BM31" s="37">
        <v>0.07</v>
      </c>
      <c r="BN31" s="37">
        <v>0.07</v>
      </c>
      <c r="BO31" s="37">
        <v>0.07</v>
      </c>
      <c r="BP31" s="37">
        <v>0.07</v>
      </c>
      <c r="BQ31" s="37">
        <v>0.07</v>
      </c>
      <c r="BR31" s="37">
        <v>0.07</v>
      </c>
      <c r="BS31" s="37">
        <v>0.07</v>
      </c>
      <c r="BT31" s="37">
        <v>0.07</v>
      </c>
      <c r="BU31" s="37">
        <v>0.07</v>
      </c>
      <c r="BV31" s="37">
        <v>0.07</v>
      </c>
      <c r="BW31" s="37">
        <v>0.07</v>
      </c>
      <c r="BX31" s="37">
        <v>0.07</v>
      </c>
      <c r="BY31" s="37">
        <v>0.07</v>
      </c>
      <c r="BZ31" s="37">
        <v>0.07</v>
      </c>
      <c r="CA31" s="37">
        <v>0.07</v>
      </c>
      <c r="CB31" s="37">
        <v>0.07</v>
      </c>
      <c r="CC31" s="37">
        <v>0.07</v>
      </c>
      <c r="CD31" s="37">
        <v>0.07</v>
      </c>
      <c r="CE31" s="37">
        <v>0.07</v>
      </c>
      <c r="CF31" s="37">
        <v>0.07</v>
      </c>
      <c r="CG31" s="37">
        <v>0.07</v>
      </c>
      <c r="CH31" s="37">
        <v>0.07</v>
      </c>
      <c r="CI31" s="37">
        <v>0.07</v>
      </c>
      <c r="CJ31" s="37">
        <v>0.07</v>
      </c>
      <c r="CK31" s="37">
        <v>0.07</v>
      </c>
      <c r="CL31" s="37">
        <v>0.07</v>
      </c>
      <c r="CM31" s="37">
        <v>0.07</v>
      </c>
      <c r="CN31" s="37">
        <v>0.07</v>
      </c>
      <c r="CO31" s="37">
        <v>0.07</v>
      </c>
      <c r="CP31" s="37">
        <v>0.07</v>
      </c>
      <c r="CQ31" s="37">
        <v>0.07</v>
      </c>
      <c r="CR31" s="37">
        <v>0.07</v>
      </c>
      <c r="CS31" s="37">
        <v>0.07</v>
      </c>
      <c r="CT31" s="37">
        <v>0.07</v>
      </c>
      <c r="CU31" s="37">
        <v>0.07</v>
      </c>
      <c r="CV31" s="37">
        <v>0.07</v>
      </c>
      <c r="CW31" s="37">
        <v>0.07</v>
      </c>
      <c r="CX31" s="37">
        <v>0.07</v>
      </c>
      <c r="CY31" s="37">
        <v>0.07</v>
      </c>
      <c r="CZ31" s="37">
        <v>0.07</v>
      </c>
      <c r="DA31" s="37">
        <v>0.07</v>
      </c>
      <c r="DB31" s="37">
        <v>0.07</v>
      </c>
    </row>
    <row r="32" spans="1:106" x14ac:dyDescent="0.25">
      <c r="A32" s="36" t="s">
        <v>265</v>
      </c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38"/>
      <c r="BM32" s="38"/>
      <c r="BN32" s="38"/>
      <c r="BO32" s="38"/>
      <c r="BP32" s="38"/>
      <c r="BQ32" s="38"/>
      <c r="BR32" s="38"/>
      <c r="BS32" s="38"/>
      <c r="BT32" s="38"/>
      <c r="BU32" s="38"/>
      <c r="BV32" s="38"/>
      <c r="BW32" s="38"/>
      <c r="BX32" s="38"/>
      <c r="BY32" s="38"/>
      <c r="BZ32" s="38"/>
      <c r="CA32" s="38"/>
      <c r="CB32" s="38"/>
      <c r="CC32" s="38"/>
      <c r="CD32" s="38"/>
      <c r="CE32" s="38"/>
      <c r="CF32" s="38"/>
      <c r="CG32" s="38"/>
      <c r="CH32" s="38"/>
      <c r="CI32" s="38"/>
      <c r="CJ32" s="38"/>
      <c r="CK32" s="38"/>
      <c r="CL32" s="38"/>
      <c r="CM32" s="38"/>
      <c r="CN32" s="38"/>
      <c r="CO32" s="38"/>
      <c r="CP32" s="38"/>
      <c r="CQ32" s="38"/>
      <c r="CR32" s="38"/>
      <c r="CS32" s="38"/>
      <c r="CT32" s="38"/>
      <c r="CU32" s="38"/>
      <c r="CV32" s="38"/>
      <c r="CW32" s="38"/>
      <c r="CX32" s="38"/>
      <c r="CY32" s="38"/>
      <c r="CZ32" s="38"/>
      <c r="DA32" s="38"/>
      <c r="DB32" s="38"/>
    </row>
    <row r="33" spans="1:106" x14ac:dyDescent="0.25">
      <c r="A33" s="36" t="s">
        <v>266</v>
      </c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/>
      <c r="BK33" s="38"/>
      <c r="BL33" s="38"/>
      <c r="BM33" s="38"/>
      <c r="BN33" s="38"/>
      <c r="BO33" s="38"/>
      <c r="BP33" s="38"/>
      <c r="BQ33" s="38"/>
      <c r="BR33" s="38"/>
      <c r="BS33" s="38"/>
      <c r="BT33" s="38"/>
      <c r="BU33" s="38"/>
      <c r="BV33" s="38"/>
      <c r="BW33" s="38"/>
      <c r="BX33" s="38"/>
      <c r="BY33" s="38"/>
      <c r="BZ33" s="38"/>
      <c r="CA33" s="38"/>
      <c r="CB33" s="38"/>
      <c r="CC33" s="38"/>
      <c r="CD33" s="38"/>
      <c r="CE33" s="38"/>
      <c r="CF33" s="38"/>
      <c r="CG33" s="38"/>
      <c r="CH33" s="38"/>
      <c r="CI33" s="38"/>
      <c r="CJ33" s="38"/>
      <c r="CK33" s="38"/>
      <c r="CL33" s="38"/>
      <c r="CM33" s="38"/>
      <c r="CN33" s="38"/>
      <c r="CO33" s="38"/>
      <c r="CP33" s="38"/>
      <c r="CQ33" s="38"/>
      <c r="CR33" s="38"/>
      <c r="CS33" s="38"/>
      <c r="CT33" s="38"/>
      <c r="CU33" s="38"/>
      <c r="CV33" s="38"/>
      <c r="CW33" s="38"/>
      <c r="CX33" s="38"/>
      <c r="CY33" s="38"/>
      <c r="CZ33" s="38"/>
      <c r="DA33" s="38"/>
      <c r="DB33" s="38"/>
    </row>
    <row r="34" ht="15" customHeight="1" spans="1:106" x14ac:dyDescent="0.25">
      <c r="A34" s="16" t="s">
        <v>267</v>
      </c>
      <c r="B34" s="17"/>
      <c r="C34" s="35">
        <f>=SUM(C35:C40)</f>
        <v>0.15</v>
      </c>
      <c r="D34" s="35">
        <f>=SUM(D35:D40)</f>
        <v>0.15</v>
      </c>
      <c r="E34" s="35">
        <f>=SUM(E35:E40)</f>
        <v>0.15</v>
      </c>
      <c r="F34" s="35">
        <f>=SUM(F35:F40)</f>
        <v>0.15</v>
      </c>
      <c r="G34" s="35">
        <f>=SUM(G35:G40)</f>
        <v>0.15</v>
      </c>
      <c r="H34" s="35">
        <f>=SUM(H35:H40)</f>
        <v>0.15</v>
      </c>
      <c r="I34" s="35">
        <f>=SUM(I35:I40)</f>
        <v>0.15</v>
      </c>
      <c r="J34" s="35">
        <f>=SUM(J35:J40)</f>
        <v>0.15</v>
      </c>
      <c r="K34" s="35">
        <f>=SUM(K35:K40)</f>
        <v>0.15</v>
      </c>
      <c r="L34" s="35">
        <f>=SUM(L35:L40)</f>
        <v>0.15</v>
      </c>
      <c r="M34" s="35">
        <f>=SUM(M35:M40)</f>
        <v>0.15</v>
      </c>
      <c r="N34" s="35">
        <f>=SUM(N35:N40)</f>
        <v>0.15</v>
      </c>
      <c r="O34" s="35">
        <f>=SUM(O35:O40)</f>
        <v>0.15</v>
      </c>
      <c r="P34" s="35">
        <f>=SUM(P35:P40)</f>
        <v>0.15</v>
      </c>
      <c r="Q34" s="35">
        <f>=SUM(Q35:Q40)</f>
        <v>0.15</v>
      </c>
      <c r="R34" s="35">
        <f>=SUM(R35:R40)</f>
        <v>0.15</v>
      </c>
      <c r="S34" s="35">
        <f>=SUM(S35:S40)</f>
        <v>0.15</v>
      </c>
      <c r="T34" s="35">
        <f>=SUM(T35:T40)</f>
        <v>0.15</v>
      </c>
      <c r="U34" s="35">
        <f>=SUM(U35:U40)</f>
        <v>0.15</v>
      </c>
      <c r="V34" s="35">
        <f>=SUM(V35:V40)</f>
        <v>0.15</v>
      </c>
      <c r="W34" s="35">
        <f>=SUM(W35:W40)</f>
        <v>0.15</v>
      </c>
      <c r="X34" s="35">
        <f>=SUM(X35:X40)</f>
        <v>0.15</v>
      </c>
      <c r="Y34" s="35">
        <f>=SUM(Y35:Y40)</f>
        <v>0.15</v>
      </c>
      <c r="Z34" s="35">
        <f>=SUM(Z35:Z40)</f>
        <v>0.15</v>
      </c>
      <c r="AA34" s="35">
        <f>=SUM(AA35:AA40)</f>
        <v>0.15</v>
      </c>
      <c r="AB34" s="35">
        <f>=SUM(AB35:AB40)</f>
        <v>0.15</v>
      </c>
      <c r="AC34" s="35">
        <f>=SUM(AC35:AC40)</f>
        <v>0.15</v>
      </c>
      <c r="AD34" s="35">
        <f>=SUM(AD35:AD40)</f>
        <v>0.15</v>
      </c>
      <c r="AE34" s="35">
        <f>=SUM(AE35:AE40)</f>
        <v>0.15</v>
      </c>
      <c r="AF34" s="35">
        <f>=SUM(AF35:AF40)</f>
        <v>0.15</v>
      </c>
      <c r="AG34" s="35">
        <f>=SUM(AG35:AG40)</f>
        <v>0.15</v>
      </c>
      <c r="AH34" s="35">
        <f>=SUM(AH35:AH40)</f>
        <v>0.15</v>
      </c>
      <c r="AI34" s="35">
        <f>=SUM(AI35:AI40)</f>
        <v>0.15</v>
      </c>
      <c r="AJ34" s="35">
        <f>=SUM(AJ35:AJ40)</f>
        <v>0.15</v>
      </c>
      <c r="AK34" s="35">
        <f>=SUM(AK35:AK40)</f>
        <v>0.15</v>
      </c>
      <c r="AL34" s="35">
        <f>=SUM(AL35:AL40)</f>
        <v>0.15</v>
      </c>
      <c r="AM34" s="35">
        <f>=SUM(AM35:AM40)</f>
        <v>0.15</v>
      </c>
      <c r="AN34" s="35">
        <f>=SUM(AN35:AN40)</f>
        <v>0.15</v>
      </c>
      <c r="AO34" s="35">
        <f>=SUM(AO35:AO40)</f>
        <v>0.15</v>
      </c>
      <c r="AP34" s="35">
        <f>=SUM(AP35:AP40)</f>
        <v>0.15</v>
      </c>
      <c r="AQ34" s="35">
        <f>=SUM(AQ35:AQ40)</f>
        <v>0.15</v>
      </c>
      <c r="AR34" s="35">
        <f>=SUM(AR35:AR40)</f>
        <v>0.15</v>
      </c>
      <c r="AS34" s="35">
        <f>=SUM(AS35:AS40)</f>
        <v>0.15</v>
      </c>
      <c r="AT34" s="35">
        <f>=SUM(AT35:AT40)</f>
        <v>0.15</v>
      </c>
      <c r="AU34" s="35">
        <f>=SUM(AU35:AU40)</f>
        <v>0.15</v>
      </c>
      <c r="AV34" s="35">
        <f>=SUM(AV35:AV40)</f>
        <v>0.15</v>
      </c>
      <c r="AW34" s="35">
        <f>=SUM(AW35:AW40)</f>
        <v>0.15</v>
      </c>
      <c r="AX34" s="35">
        <f>=SUM(AX35:AX40)</f>
        <v>0.15</v>
      </c>
      <c r="AY34" s="35">
        <f>=SUM(AY35:AY40)</f>
        <v>0.15</v>
      </c>
      <c r="AZ34" s="35">
        <f>=SUM(AZ35:AZ40)</f>
        <v>0.15</v>
      </c>
      <c r="BA34" s="35">
        <f>=SUM(BA35:BA40)</f>
        <v>0.15</v>
      </c>
      <c r="BB34" s="35">
        <f>=SUM(BB35:BB40)</f>
        <v>0.15</v>
      </c>
      <c r="BC34" s="35">
        <f>=SUM(BC35:BC40)</f>
        <v>0.15</v>
      </c>
      <c r="BD34" s="35">
        <f>=SUM(BD35:BD40)</f>
        <v>0.15</v>
      </c>
      <c r="BE34" s="35">
        <f>=SUM(BE35:BE40)</f>
        <v>0.15</v>
      </c>
      <c r="BF34" s="35">
        <f>=SUM(BF35:BF40)</f>
        <v>0.15</v>
      </c>
      <c r="BG34" s="35">
        <f>=SUM(BG35:BG40)</f>
        <v>0.15</v>
      </c>
      <c r="BH34" s="35">
        <f>=SUM(BH35:BH40)</f>
        <v>0.15</v>
      </c>
      <c r="BI34" s="35">
        <f>=SUM(BI35:BI40)</f>
        <v>0.15</v>
      </c>
      <c r="BJ34" s="35">
        <f>=SUM(BJ35:BJ40)</f>
        <v>0.15</v>
      </c>
      <c r="BK34" s="35">
        <f>=SUM(BK35:BK40)</f>
        <v>0.15</v>
      </c>
      <c r="BL34" s="35">
        <f>=SUM(BL35:BL40)</f>
        <v>0.15</v>
      </c>
      <c r="BM34" s="35">
        <f>=SUM(BM35:BM40)</f>
        <v>0.15</v>
      </c>
      <c r="BN34" s="35">
        <f>=SUM(BN35:BN40)</f>
        <v>0.15</v>
      </c>
      <c r="BO34" s="35">
        <f>=SUM(BO35:BO40)</f>
        <v>0.15</v>
      </c>
      <c r="BP34" s="35">
        <f>=SUM(BP35:BP40)</f>
        <v>0.15</v>
      </c>
      <c r="BQ34" s="35">
        <f>=SUM(BQ35:BQ40)</f>
        <v>0.15</v>
      </c>
      <c r="BR34" s="35">
        <f>=SUM(BR35:BR40)</f>
        <v>0.15</v>
      </c>
      <c r="BS34" s="35">
        <f>=SUM(BS35:BS40)</f>
        <v>0.15</v>
      </c>
      <c r="BT34" s="35">
        <f>=SUM(BT35:BT40)</f>
        <v>0.15</v>
      </c>
      <c r="BU34" s="35">
        <f>=SUM(BU35:BU40)</f>
        <v>0.15</v>
      </c>
      <c r="BV34" s="35">
        <f>=SUM(BV35:BV40)</f>
        <v>0.15</v>
      </c>
      <c r="BW34" s="35">
        <f>=SUM(BW35:BW40)</f>
        <v>0.15</v>
      </c>
      <c r="BX34" s="35">
        <f>=SUM(BX35:BX40)</f>
        <v>0.15</v>
      </c>
      <c r="BY34" s="35">
        <f>=SUM(BY35:BY40)</f>
        <v>0.15</v>
      </c>
      <c r="BZ34" s="35">
        <f>=SUM(BZ35:BZ40)</f>
        <v>0.15</v>
      </c>
      <c r="CA34" s="35">
        <f>=SUM(CA35:CA40)</f>
        <v>0.15</v>
      </c>
      <c r="CB34" s="35">
        <f>=SUM(CB35:CB40)</f>
        <v>0.15</v>
      </c>
      <c r="CC34" s="35">
        <f>=SUM(CC35:CC40)</f>
        <v>0.15</v>
      </c>
      <c r="CD34" s="35">
        <f>=SUM(CD35:CD40)</f>
        <v>0.15</v>
      </c>
      <c r="CE34" s="35">
        <f>=SUM(CE35:CE40)</f>
        <v>0.15</v>
      </c>
      <c r="CF34" s="35">
        <f>=SUM(CF35:CF40)</f>
        <v>0.15</v>
      </c>
      <c r="CG34" s="35">
        <f>=SUM(CG35:CG40)</f>
        <v>0.15</v>
      </c>
      <c r="CH34" s="35">
        <f>=SUM(CH35:CH40)</f>
        <v>0.15</v>
      </c>
      <c r="CI34" s="35">
        <f>=SUM(CI35:CI40)</f>
        <v>0.15</v>
      </c>
      <c r="CJ34" s="35">
        <f>=SUM(CJ35:CJ40)</f>
        <v>0.15</v>
      </c>
      <c r="CK34" s="35">
        <f>=SUM(CK35:CK40)</f>
        <v>0.15</v>
      </c>
      <c r="CL34" s="35">
        <f>=SUM(CL35:CL40)</f>
        <v>0.15</v>
      </c>
      <c r="CM34" s="35">
        <f>=SUM(CM35:CM40)</f>
        <v>0.15</v>
      </c>
      <c r="CN34" s="35">
        <f>=SUM(CN35:CN40)</f>
        <v>0.15</v>
      </c>
      <c r="CO34" s="35">
        <f>=SUM(CO35:CO40)</f>
        <v>0.15</v>
      </c>
      <c r="CP34" s="35">
        <f>=SUM(CP35:CP40)</f>
        <v>0.15</v>
      </c>
      <c r="CQ34" s="35">
        <f>=SUM(CQ35:CQ40)</f>
        <v>0.15</v>
      </c>
      <c r="CR34" s="35">
        <f>=SUM(CR35:CR40)</f>
        <v>0.15</v>
      </c>
      <c r="CS34" s="35">
        <f>=SUM(CS35:CS40)</f>
        <v>0.15</v>
      </c>
      <c r="CT34" s="35">
        <f>=SUM(CT35:CT40)</f>
        <v>0.15</v>
      </c>
      <c r="CU34" s="35">
        <f>=SUM(CU35:CU40)</f>
        <v>0.15</v>
      </c>
      <c r="CV34" s="35">
        <f>=SUM(CV35:CV40)</f>
        <v>0.15</v>
      </c>
      <c r="CW34" s="35">
        <f>=SUM(CW35:CW40)</f>
        <v>0.15</v>
      </c>
      <c r="CX34" s="35">
        <f>=SUM(CX35:CX40)</f>
        <v>0.15</v>
      </c>
      <c r="CY34" s="35">
        <f>=SUM(CY35:CY40)</f>
        <v>0.15</v>
      </c>
      <c r="CZ34" s="35">
        <f>=SUM(CZ35:CZ40)</f>
        <v>0.15</v>
      </c>
      <c r="DA34" s="35">
        <f>=SUM(DA35:DA40)</f>
        <v>0.15</v>
      </c>
      <c r="DB34" s="35">
        <f>=SUM(DB35:DB40)</f>
        <v>0.15</v>
      </c>
    </row>
    <row r="35" ht="18" customHeight="1" spans="1:106" x14ac:dyDescent="0.25">
      <c r="A35" s="36" t="s">
        <v>268</v>
      </c>
      <c r="B35" s="17"/>
      <c r="C35" s="37">
        <v>0.06</v>
      </c>
      <c r="D35" s="37">
        <v>0.06</v>
      </c>
      <c r="E35" s="37">
        <v>0.06</v>
      </c>
      <c r="F35" s="37">
        <v>0.06</v>
      </c>
      <c r="G35" s="37">
        <v>0.06</v>
      </c>
      <c r="H35" s="37">
        <v>0.06</v>
      </c>
      <c r="I35" s="37">
        <v>0.06</v>
      </c>
      <c r="J35" s="37">
        <v>0.06</v>
      </c>
      <c r="K35" s="37">
        <v>0.06</v>
      </c>
      <c r="L35" s="37">
        <v>0.06</v>
      </c>
      <c r="M35" s="37">
        <v>0.06</v>
      </c>
      <c r="N35" s="37">
        <v>0.06</v>
      </c>
      <c r="O35" s="37">
        <v>0.06</v>
      </c>
      <c r="P35" s="37">
        <v>0.06</v>
      </c>
      <c r="Q35" s="37">
        <v>0.06</v>
      </c>
      <c r="R35" s="37">
        <v>0.06</v>
      </c>
      <c r="S35" s="37">
        <v>0.06</v>
      </c>
      <c r="T35" s="37">
        <v>0.06</v>
      </c>
      <c r="U35" s="37">
        <v>0.06</v>
      </c>
      <c r="V35" s="37">
        <v>0.06</v>
      </c>
      <c r="W35" s="37">
        <v>0.06</v>
      </c>
      <c r="X35" s="37">
        <v>0.06</v>
      </c>
      <c r="Y35" s="37">
        <v>0.06</v>
      </c>
      <c r="Z35" s="37">
        <v>0.06</v>
      </c>
      <c r="AA35" s="37">
        <v>0.06</v>
      </c>
      <c r="AB35" s="37">
        <v>0.06</v>
      </c>
      <c r="AC35" s="37">
        <v>0.06</v>
      </c>
      <c r="AD35" s="37">
        <v>0.06</v>
      </c>
      <c r="AE35" s="37">
        <v>0.06</v>
      </c>
      <c r="AF35" s="37">
        <v>0.06</v>
      </c>
      <c r="AG35" s="37">
        <v>0.06</v>
      </c>
      <c r="AH35" s="37">
        <v>0.06</v>
      </c>
      <c r="AI35" s="37">
        <v>0.06</v>
      </c>
      <c r="AJ35" s="37">
        <v>0.06</v>
      </c>
      <c r="AK35" s="37">
        <v>0.06</v>
      </c>
      <c r="AL35" s="37">
        <v>0.06</v>
      </c>
      <c r="AM35" s="37">
        <v>0.06</v>
      </c>
      <c r="AN35" s="37">
        <v>0.06</v>
      </c>
      <c r="AO35" s="37">
        <v>0.06</v>
      </c>
      <c r="AP35" s="37">
        <v>0.06</v>
      </c>
      <c r="AQ35" s="37">
        <v>0.06</v>
      </c>
      <c r="AR35" s="37">
        <v>0.06</v>
      </c>
      <c r="AS35" s="37">
        <v>0.06</v>
      </c>
      <c r="AT35" s="37">
        <v>0.06</v>
      </c>
      <c r="AU35" s="37">
        <v>0.06</v>
      </c>
      <c r="AV35" s="37">
        <v>0.06</v>
      </c>
      <c r="AW35" s="37">
        <v>0.06</v>
      </c>
      <c r="AX35" s="37">
        <v>0.06</v>
      </c>
      <c r="AY35" s="37">
        <v>0.06</v>
      </c>
      <c r="AZ35" s="37">
        <v>0.06</v>
      </c>
      <c r="BA35" s="37">
        <v>0.06</v>
      </c>
      <c r="BB35" s="37">
        <v>0.06</v>
      </c>
      <c r="BC35" s="37">
        <v>0.06</v>
      </c>
      <c r="BD35" s="37">
        <v>0.06</v>
      </c>
      <c r="BE35" s="37">
        <v>0.06</v>
      </c>
      <c r="BF35" s="37">
        <v>0.06</v>
      </c>
      <c r="BG35" s="37">
        <v>0.06</v>
      </c>
      <c r="BH35" s="37">
        <v>0.06</v>
      </c>
      <c r="BI35" s="37">
        <v>0.06</v>
      </c>
      <c r="BJ35" s="37">
        <v>0.06</v>
      </c>
      <c r="BK35" s="37">
        <v>0.06</v>
      </c>
      <c r="BL35" s="37">
        <v>0.06</v>
      </c>
      <c r="BM35" s="37">
        <v>0.06</v>
      </c>
      <c r="BN35" s="37">
        <v>0.06</v>
      </c>
      <c r="BO35" s="37">
        <v>0.06</v>
      </c>
      <c r="BP35" s="37">
        <v>0.06</v>
      </c>
      <c r="BQ35" s="37">
        <v>0.06</v>
      </c>
      <c r="BR35" s="37">
        <v>0.06</v>
      </c>
      <c r="BS35" s="37">
        <v>0.06</v>
      </c>
      <c r="BT35" s="37">
        <v>0.06</v>
      </c>
      <c r="BU35" s="37">
        <v>0.06</v>
      </c>
      <c r="BV35" s="37">
        <v>0.06</v>
      </c>
      <c r="BW35" s="37">
        <v>0.06</v>
      </c>
      <c r="BX35" s="37">
        <v>0.06</v>
      </c>
      <c r="BY35" s="37">
        <v>0.06</v>
      </c>
      <c r="BZ35" s="37">
        <v>0.06</v>
      </c>
      <c r="CA35" s="37">
        <v>0.06</v>
      </c>
      <c r="CB35" s="37">
        <v>0.06</v>
      </c>
      <c r="CC35" s="37">
        <v>0.06</v>
      </c>
      <c r="CD35" s="37">
        <v>0.06</v>
      </c>
      <c r="CE35" s="37">
        <v>0.06</v>
      </c>
      <c r="CF35" s="37">
        <v>0.06</v>
      </c>
      <c r="CG35" s="37">
        <v>0.06</v>
      </c>
      <c r="CH35" s="37">
        <v>0.06</v>
      </c>
      <c r="CI35" s="37">
        <v>0.06</v>
      </c>
      <c r="CJ35" s="37">
        <v>0.06</v>
      </c>
      <c r="CK35" s="37">
        <v>0.06</v>
      </c>
      <c r="CL35" s="37">
        <v>0.06</v>
      </c>
      <c r="CM35" s="37">
        <v>0.06</v>
      </c>
      <c r="CN35" s="37">
        <v>0.06</v>
      </c>
      <c r="CO35" s="37">
        <v>0.06</v>
      </c>
      <c r="CP35" s="37">
        <v>0.06</v>
      </c>
      <c r="CQ35" s="37">
        <v>0.06</v>
      </c>
      <c r="CR35" s="37">
        <v>0.06</v>
      </c>
      <c r="CS35" s="37">
        <v>0.06</v>
      </c>
      <c r="CT35" s="37">
        <v>0.06</v>
      </c>
      <c r="CU35" s="37">
        <v>0.06</v>
      </c>
      <c r="CV35" s="37">
        <v>0.06</v>
      </c>
      <c r="CW35" s="37">
        <v>0.06</v>
      </c>
      <c r="CX35" s="37">
        <v>0.06</v>
      </c>
      <c r="CY35" s="37">
        <v>0.06</v>
      </c>
      <c r="CZ35" s="37">
        <v>0.06</v>
      </c>
      <c r="DA35" s="37">
        <v>0.06</v>
      </c>
      <c r="DB35" s="37">
        <v>0.06</v>
      </c>
    </row>
    <row r="36" ht="18" customHeight="1" spans="1:106" x14ac:dyDescent="0.25">
      <c r="A36" s="36" t="s">
        <v>269</v>
      </c>
      <c r="B36" s="17"/>
      <c r="C36" s="37">
        <v>0.03</v>
      </c>
      <c r="D36" s="37">
        <v>0.03</v>
      </c>
      <c r="E36" s="37">
        <v>0.03</v>
      </c>
      <c r="F36" s="37">
        <v>0.03</v>
      </c>
      <c r="G36" s="37">
        <v>0.03</v>
      </c>
      <c r="H36" s="37">
        <v>0.03</v>
      </c>
      <c r="I36" s="37">
        <v>0.03</v>
      </c>
      <c r="J36" s="37">
        <v>0.03</v>
      </c>
      <c r="K36" s="37">
        <v>0.03</v>
      </c>
      <c r="L36" s="37">
        <v>0.03</v>
      </c>
      <c r="M36" s="37">
        <v>0.03</v>
      </c>
      <c r="N36" s="37">
        <v>0.03</v>
      </c>
      <c r="O36" s="37">
        <v>0.03</v>
      </c>
      <c r="P36" s="37">
        <v>0.03</v>
      </c>
      <c r="Q36" s="37">
        <v>0.03</v>
      </c>
      <c r="R36" s="37">
        <v>0.03</v>
      </c>
      <c r="S36" s="37">
        <v>0.03</v>
      </c>
      <c r="T36" s="37">
        <v>0.03</v>
      </c>
      <c r="U36" s="37">
        <v>0.03</v>
      </c>
      <c r="V36" s="37">
        <v>0.03</v>
      </c>
      <c r="W36" s="37">
        <v>0.03</v>
      </c>
      <c r="X36" s="37">
        <v>0.03</v>
      </c>
      <c r="Y36" s="37">
        <v>0.03</v>
      </c>
      <c r="Z36" s="37">
        <v>0.03</v>
      </c>
      <c r="AA36" s="37">
        <v>0.03</v>
      </c>
      <c r="AB36" s="37">
        <v>0.03</v>
      </c>
      <c r="AC36" s="37">
        <v>0.03</v>
      </c>
      <c r="AD36" s="37">
        <v>0.03</v>
      </c>
      <c r="AE36" s="37">
        <v>0.03</v>
      </c>
      <c r="AF36" s="37">
        <v>0.03</v>
      </c>
      <c r="AG36" s="37">
        <v>0.03</v>
      </c>
      <c r="AH36" s="37">
        <v>0.03</v>
      </c>
      <c r="AI36" s="37">
        <v>0.03</v>
      </c>
      <c r="AJ36" s="37">
        <v>0.03</v>
      </c>
      <c r="AK36" s="37">
        <v>0.03</v>
      </c>
      <c r="AL36" s="37">
        <v>0.03</v>
      </c>
      <c r="AM36" s="37">
        <v>0.03</v>
      </c>
      <c r="AN36" s="37">
        <v>0.03</v>
      </c>
      <c r="AO36" s="37">
        <v>0.03</v>
      </c>
      <c r="AP36" s="37">
        <v>0.03</v>
      </c>
      <c r="AQ36" s="37">
        <v>0.03</v>
      </c>
      <c r="AR36" s="37">
        <v>0.03</v>
      </c>
      <c r="AS36" s="37">
        <v>0.03</v>
      </c>
      <c r="AT36" s="37">
        <v>0.03</v>
      </c>
      <c r="AU36" s="37">
        <v>0.03</v>
      </c>
      <c r="AV36" s="37">
        <v>0.03</v>
      </c>
      <c r="AW36" s="37">
        <v>0.03</v>
      </c>
      <c r="AX36" s="37">
        <v>0.03</v>
      </c>
      <c r="AY36" s="37">
        <v>0.03</v>
      </c>
      <c r="AZ36" s="37">
        <v>0.03</v>
      </c>
      <c r="BA36" s="37">
        <v>0.03</v>
      </c>
      <c r="BB36" s="37">
        <v>0.03</v>
      </c>
      <c r="BC36" s="37">
        <v>0.03</v>
      </c>
      <c r="BD36" s="37">
        <v>0.03</v>
      </c>
      <c r="BE36" s="37">
        <v>0.03</v>
      </c>
      <c r="BF36" s="37">
        <v>0.03</v>
      </c>
      <c r="BG36" s="37">
        <v>0.03</v>
      </c>
      <c r="BH36" s="37">
        <v>0.03</v>
      </c>
      <c r="BI36" s="37">
        <v>0.03</v>
      </c>
      <c r="BJ36" s="37">
        <v>0.03</v>
      </c>
      <c r="BK36" s="37">
        <v>0.03</v>
      </c>
      <c r="BL36" s="37">
        <v>0.03</v>
      </c>
      <c r="BM36" s="37">
        <v>0.03</v>
      </c>
      <c r="BN36" s="37">
        <v>0.03</v>
      </c>
      <c r="BO36" s="37">
        <v>0.03</v>
      </c>
      <c r="BP36" s="37">
        <v>0.03</v>
      </c>
      <c r="BQ36" s="37">
        <v>0.03</v>
      </c>
      <c r="BR36" s="37">
        <v>0.03</v>
      </c>
      <c r="BS36" s="37">
        <v>0.03</v>
      </c>
      <c r="BT36" s="37">
        <v>0.03</v>
      </c>
      <c r="BU36" s="37">
        <v>0.03</v>
      </c>
      <c r="BV36" s="37">
        <v>0.03</v>
      </c>
      <c r="BW36" s="37">
        <v>0.03</v>
      </c>
      <c r="BX36" s="37">
        <v>0.03</v>
      </c>
      <c r="BY36" s="37">
        <v>0.03</v>
      </c>
      <c r="BZ36" s="37">
        <v>0.03</v>
      </c>
      <c r="CA36" s="37">
        <v>0.03</v>
      </c>
      <c r="CB36" s="37">
        <v>0.03</v>
      </c>
      <c r="CC36" s="37">
        <v>0.03</v>
      </c>
      <c r="CD36" s="37">
        <v>0.03</v>
      </c>
      <c r="CE36" s="37">
        <v>0.03</v>
      </c>
      <c r="CF36" s="37">
        <v>0.03</v>
      </c>
      <c r="CG36" s="37">
        <v>0.03</v>
      </c>
      <c r="CH36" s="37">
        <v>0.03</v>
      </c>
      <c r="CI36" s="37">
        <v>0.03</v>
      </c>
      <c r="CJ36" s="37">
        <v>0.03</v>
      </c>
      <c r="CK36" s="37">
        <v>0.03</v>
      </c>
      <c r="CL36" s="37">
        <v>0.03</v>
      </c>
      <c r="CM36" s="37">
        <v>0.03</v>
      </c>
      <c r="CN36" s="37">
        <v>0.03</v>
      </c>
      <c r="CO36" s="37">
        <v>0.03</v>
      </c>
      <c r="CP36" s="37">
        <v>0.03</v>
      </c>
      <c r="CQ36" s="37">
        <v>0.03</v>
      </c>
      <c r="CR36" s="37">
        <v>0.03</v>
      </c>
      <c r="CS36" s="37">
        <v>0.03</v>
      </c>
      <c r="CT36" s="37">
        <v>0.03</v>
      </c>
      <c r="CU36" s="37">
        <v>0.03</v>
      </c>
      <c r="CV36" s="37">
        <v>0.03</v>
      </c>
      <c r="CW36" s="37">
        <v>0.03</v>
      </c>
      <c r="CX36" s="37">
        <v>0.03</v>
      </c>
      <c r="CY36" s="37">
        <v>0.03</v>
      </c>
      <c r="CZ36" s="37">
        <v>0.03</v>
      </c>
      <c r="DA36" s="37">
        <v>0.03</v>
      </c>
      <c r="DB36" s="37">
        <v>0.03</v>
      </c>
    </row>
    <row r="37" ht="18" customHeight="1" spans="1:106" x14ac:dyDescent="0.25">
      <c r="A37" s="36" t="s">
        <v>270</v>
      </c>
      <c r="C37" s="37">
        <v>0.03</v>
      </c>
      <c r="D37" s="37">
        <v>0.03</v>
      </c>
      <c r="E37" s="37">
        <v>0.03</v>
      </c>
      <c r="F37" s="37">
        <v>0.03</v>
      </c>
      <c r="G37" s="37">
        <v>0.03</v>
      </c>
      <c r="H37" s="37">
        <v>0.03</v>
      </c>
      <c r="I37" s="37">
        <v>0.03</v>
      </c>
      <c r="J37" s="37">
        <v>0.03</v>
      </c>
      <c r="K37" s="37">
        <v>0.03</v>
      </c>
      <c r="L37" s="37">
        <v>0.03</v>
      </c>
      <c r="M37" s="37">
        <v>0.03</v>
      </c>
      <c r="N37" s="37">
        <v>0.03</v>
      </c>
      <c r="O37" s="37">
        <v>0.03</v>
      </c>
      <c r="P37" s="37">
        <v>0.03</v>
      </c>
      <c r="Q37" s="37">
        <v>0.03</v>
      </c>
      <c r="R37" s="37">
        <v>0.03</v>
      </c>
      <c r="S37" s="37">
        <v>0.03</v>
      </c>
      <c r="T37" s="37">
        <v>0.03</v>
      </c>
      <c r="U37" s="37">
        <v>0.03</v>
      </c>
      <c r="V37" s="37">
        <v>0.03</v>
      </c>
      <c r="W37" s="37">
        <v>0.03</v>
      </c>
      <c r="X37" s="37">
        <v>0.03</v>
      </c>
      <c r="Y37" s="37">
        <v>0.03</v>
      </c>
      <c r="Z37" s="37">
        <v>0.03</v>
      </c>
      <c r="AA37" s="37">
        <v>0.03</v>
      </c>
      <c r="AB37" s="37">
        <v>0.03</v>
      </c>
      <c r="AC37" s="37">
        <v>0.03</v>
      </c>
      <c r="AD37" s="37">
        <v>0.03</v>
      </c>
      <c r="AE37" s="37">
        <v>0.03</v>
      </c>
      <c r="AF37" s="37">
        <v>0.03</v>
      </c>
      <c r="AG37" s="37">
        <v>0.03</v>
      </c>
      <c r="AH37" s="37">
        <v>0.03</v>
      </c>
      <c r="AI37" s="37">
        <v>0.03</v>
      </c>
      <c r="AJ37" s="37">
        <v>0.03</v>
      </c>
      <c r="AK37" s="37">
        <v>0.03</v>
      </c>
      <c r="AL37" s="37">
        <v>0.03</v>
      </c>
      <c r="AM37" s="37">
        <v>0.03</v>
      </c>
      <c r="AN37" s="37">
        <v>0.03</v>
      </c>
      <c r="AO37" s="37">
        <v>0.03</v>
      </c>
      <c r="AP37" s="37">
        <v>0.03</v>
      </c>
      <c r="AQ37" s="37">
        <v>0.03</v>
      </c>
      <c r="AR37" s="37">
        <v>0.03</v>
      </c>
      <c r="AS37" s="37">
        <v>0.03</v>
      </c>
      <c r="AT37" s="37">
        <v>0.03</v>
      </c>
      <c r="AU37" s="37">
        <v>0.03</v>
      </c>
      <c r="AV37" s="37">
        <v>0.03</v>
      </c>
      <c r="AW37" s="37">
        <v>0.03</v>
      </c>
      <c r="AX37" s="37">
        <v>0.03</v>
      </c>
      <c r="AY37" s="37">
        <v>0.03</v>
      </c>
      <c r="AZ37" s="37">
        <v>0.03</v>
      </c>
      <c r="BA37" s="37">
        <v>0.03</v>
      </c>
      <c r="BB37" s="37">
        <v>0.03</v>
      </c>
      <c r="BC37" s="37">
        <v>0.03</v>
      </c>
      <c r="BD37" s="37">
        <v>0.03</v>
      </c>
      <c r="BE37" s="37">
        <v>0.03</v>
      </c>
      <c r="BF37" s="37">
        <v>0.03</v>
      </c>
      <c r="BG37" s="37">
        <v>0.03</v>
      </c>
      <c r="BH37" s="37">
        <v>0.03</v>
      </c>
      <c r="BI37" s="37">
        <v>0.03</v>
      </c>
      <c r="BJ37" s="37">
        <v>0.03</v>
      </c>
      <c r="BK37" s="37">
        <v>0.03</v>
      </c>
      <c r="BL37" s="37">
        <v>0.03</v>
      </c>
      <c r="BM37" s="37">
        <v>0.03</v>
      </c>
      <c r="BN37" s="37">
        <v>0.03</v>
      </c>
      <c r="BO37" s="37">
        <v>0.03</v>
      </c>
      <c r="BP37" s="37">
        <v>0.03</v>
      </c>
      <c r="BQ37" s="37">
        <v>0.03</v>
      </c>
      <c r="BR37" s="37">
        <v>0.03</v>
      </c>
      <c r="BS37" s="37">
        <v>0.03</v>
      </c>
      <c r="BT37" s="37">
        <v>0.03</v>
      </c>
      <c r="BU37" s="37">
        <v>0.03</v>
      </c>
      <c r="BV37" s="37">
        <v>0.03</v>
      </c>
      <c r="BW37" s="37">
        <v>0.03</v>
      </c>
      <c r="BX37" s="37">
        <v>0.03</v>
      </c>
      <c r="BY37" s="37">
        <v>0.03</v>
      </c>
      <c r="BZ37" s="37">
        <v>0.03</v>
      </c>
      <c r="CA37" s="37">
        <v>0.03</v>
      </c>
      <c r="CB37" s="37">
        <v>0.03</v>
      </c>
      <c r="CC37" s="37">
        <v>0.03</v>
      </c>
      <c r="CD37" s="37">
        <v>0.03</v>
      </c>
      <c r="CE37" s="37">
        <v>0.03</v>
      </c>
      <c r="CF37" s="37">
        <v>0.03</v>
      </c>
      <c r="CG37" s="37">
        <v>0.03</v>
      </c>
      <c r="CH37" s="37">
        <v>0.03</v>
      </c>
      <c r="CI37" s="37">
        <v>0.03</v>
      </c>
      <c r="CJ37" s="37">
        <v>0.03</v>
      </c>
      <c r="CK37" s="37">
        <v>0.03</v>
      </c>
      <c r="CL37" s="37">
        <v>0.03</v>
      </c>
      <c r="CM37" s="37">
        <v>0.03</v>
      </c>
      <c r="CN37" s="37">
        <v>0.03</v>
      </c>
      <c r="CO37" s="37">
        <v>0.03</v>
      </c>
      <c r="CP37" s="37">
        <v>0.03</v>
      </c>
      <c r="CQ37" s="37">
        <v>0.03</v>
      </c>
      <c r="CR37" s="37">
        <v>0.03</v>
      </c>
      <c r="CS37" s="37">
        <v>0.03</v>
      </c>
      <c r="CT37" s="37">
        <v>0.03</v>
      </c>
      <c r="CU37" s="37">
        <v>0.03</v>
      </c>
      <c r="CV37" s="37">
        <v>0.03</v>
      </c>
      <c r="CW37" s="37">
        <v>0.03</v>
      </c>
      <c r="CX37" s="37">
        <v>0.03</v>
      </c>
      <c r="CY37" s="37">
        <v>0.03</v>
      </c>
      <c r="CZ37" s="37">
        <v>0.03</v>
      </c>
      <c r="DA37" s="37">
        <v>0.03</v>
      </c>
      <c r="DB37" s="37">
        <v>0.03</v>
      </c>
    </row>
    <row r="38" ht="18" customHeight="1" spans="1:106" x14ac:dyDescent="0.25">
      <c r="A38" s="36" t="s">
        <v>271</v>
      </c>
      <c r="C38" s="37">
        <v>0.01</v>
      </c>
      <c r="D38" s="37">
        <v>0.01</v>
      </c>
      <c r="E38" s="37">
        <v>0.01</v>
      </c>
      <c r="F38" s="37">
        <v>0.01</v>
      </c>
      <c r="G38" s="37">
        <v>0.01</v>
      </c>
      <c r="H38" s="37">
        <v>0.01</v>
      </c>
      <c r="I38" s="37">
        <v>0.01</v>
      </c>
      <c r="J38" s="37">
        <v>0.01</v>
      </c>
      <c r="K38" s="37">
        <v>0.01</v>
      </c>
      <c r="L38" s="37">
        <v>0.01</v>
      </c>
      <c r="M38" s="37">
        <v>0.01</v>
      </c>
      <c r="N38" s="37">
        <v>0.01</v>
      </c>
      <c r="O38" s="37">
        <v>0.01</v>
      </c>
      <c r="P38" s="37">
        <v>0.01</v>
      </c>
      <c r="Q38" s="37">
        <v>0.01</v>
      </c>
      <c r="R38" s="37">
        <v>0.01</v>
      </c>
      <c r="S38" s="37">
        <v>0.01</v>
      </c>
      <c r="T38" s="37">
        <v>0.01</v>
      </c>
      <c r="U38" s="37">
        <v>0.01</v>
      </c>
      <c r="V38" s="37">
        <v>0.01</v>
      </c>
      <c r="W38" s="37">
        <v>0.01</v>
      </c>
      <c r="X38" s="37">
        <v>0.01</v>
      </c>
      <c r="Y38" s="37">
        <v>0.01</v>
      </c>
      <c r="Z38" s="37">
        <v>0.01</v>
      </c>
      <c r="AA38" s="37">
        <v>0.01</v>
      </c>
      <c r="AB38" s="37">
        <v>0.01</v>
      </c>
      <c r="AC38" s="37">
        <v>0.01</v>
      </c>
      <c r="AD38" s="37">
        <v>0.01</v>
      </c>
      <c r="AE38" s="37">
        <v>0.01</v>
      </c>
      <c r="AF38" s="37">
        <v>0.01</v>
      </c>
      <c r="AG38" s="37">
        <v>0.01</v>
      </c>
      <c r="AH38" s="37">
        <v>0.01</v>
      </c>
      <c r="AI38" s="37">
        <v>0.01</v>
      </c>
      <c r="AJ38" s="37">
        <v>0.01</v>
      </c>
      <c r="AK38" s="37">
        <v>0.01</v>
      </c>
      <c r="AL38" s="37">
        <v>0.01</v>
      </c>
      <c r="AM38" s="37">
        <v>0.01</v>
      </c>
      <c r="AN38" s="37">
        <v>0.01</v>
      </c>
      <c r="AO38" s="37">
        <v>0.01</v>
      </c>
      <c r="AP38" s="37">
        <v>0.01</v>
      </c>
      <c r="AQ38" s="37">
        <v>0.01</v>
      </c>
      <c r="AR38" s="37">
        <v>0.01</v>
      </c>
      <c r="AS38" s="37">
        <v>0.01</v>
      </c>
      <c r="AT38" s="37">
        <v>0.01</v>
      </c>
      <c r="AU38" s="37">
        <v>0.01</v>
      </c>
      <c r="AV38" s="37">
        <v>0.01</v>
      </c>
      <c r="AW38" s="37">
        <v>0.01</v>
      </c>
      <c r="AX38" s="37">
        <v>0.01</v>
      </c>
      <c r="AY38" s="37">
        <v>0.01</v>
      </c>
      <c r="AZ38" s="37">
        <v>0.01</v>
      </c>
      <c r="BA38" s="37">
        <v>0.01</v>
      </c>
      <c r="BB38" s="37">
        <v>0.01</v>
      </c>
      <c r="BC38" s="37">
        <v>0.01</v>
      </c>
      <c r="BD38" s="37">
        <v>0.01</v>
      </c>
      <c r="BE38" s="37">
        <v>0.01</v>
      </c>
      <c r="BF38" s="37">
        <v>0.01</v>
      </c>
      <c r="BG38" s="37">
        <v>0.01</v>
      </c>
      <c r="BH38" s="37">
        <v>0.01</v>
      </c>
      <c r="BI38" s="37">
        <v>0.01</v>
      </c>
      <c r="BJ38" s="37">
        <v>0.01</v>
      </c>
      <c r="BK38" s="37">
        <v>0.01</v>
      </c>
      <c r="BL38" s="37">
        <v>0.01</v>
      </c>
      <c r="BM38" s="37">
        <v>0.01</v>
      </c>
      <c r="BN38" s="37">
        <v>0.01</v>
      </c>
      <c r="BO38" s="37">
        <v>0.01</v>
      </c>
      <c r="BP38" s="37">
        <v>0.01</v>
      </c>
      <c r="BQ38" s="37">
        <v>0.01</v>
      </c>
      <c r="BR38" s="37">
        <v>0.01</v>
      </c>
      <c r="BS38" s="37">
        <v>0.01</v>
      </c>
      <c r="BT38" s="37">
        <v>0.01</v>
      </c>
      <c r="BU38" s="37">
        <v>0.01</v>
      </c>
      <c r="BV38" s="37">
        <v>0.01</v>
      </c>
      <c r="BW38" s="37">
        <v>0.01</v>
      </c>
      <c r="BX38" s="37">
        <v>0.01</v>
      </c>
      <c r="BY38" s="37">
        <v>0.01</v>
      </c>
      <c r="BZ38" s="37">
        <v>0.01</v>
      </c>
      <c r="CA38" s="37">
        <v>0.01</v>
      </c>
      <c r="CB38" s="37">
        <v>0.01</v>
      </c>
      <c r="CC38" s="37">
        <v>0.01</v>
      </c>
      <c r="CD38" s="37">
        <v>0.01</v>
      </c>
      <c r="CE38" s="37">
        <v>0.01</v>
      </c>
      <c r="CF38" s="37">
        <v>0.01</v>
      </c>
      <c r="CG38" s="37">
        <v>0.01</v>
      </c>
      <c r="CH38" s="37">
        <v>0.01</v>
      </c>
      <c r="CI38" s="37">
        <v>0.01</v>
      </c>
      <c r="CJ38" s="37">
        <v>0.01</v>
      </c>
      <c r="CK38" s="37">
        <v>0.01</v>
      </c>
      <c r="CL38" s="37">
        <v>0.01</v>
      </c>
      <c r="CM38" s="37">
        <v>0.01</v>
      </c>
      <c r="CN38" s="37">
        <v>0.01</v>
      </c>
      <c r="CO38" s="37">
        <v>0.01</v>
      </c>
      <c r="CP38" s="37">
        <v>0.01</v>
      </c>
      <c r="CQ38" s="37">
        <v>0.01</v>
      </c>
      <c r="CR38" s="37">
        <v>0.01</v>
      </c>
      <c r="CS38" s="37">
        <v>0.01</v>
      </c>
      <c r="CT38" s="37">
        <v>0.01</v>
      </c>
      <c r="CU38" s="37">
        <v>0.01</v>
      </c>
      <c r="CV38" s="37">
        <v>0.01</v>
      </c>
      <c r="CW38" s="37">
        <v>0.01</v>
      </c>
      <c r="CX38" s="37">
        <v>0.01</v>
      </c>
      <c r="CY38" s="37">
        <v>0.01</v>
      </c>
      <c r="CZ38" s="37">
        <v>0.01</v>
      </c>
      <c r="DA38" s="37">
        <v>0.01</v>
      </c>
      <c r="DB38" s="37">
        <v>0.01</v>
      </c>
    </row>
    <row r="39" ht="18" customHeight="1" spans="1:106" x14ac:dyDescent="0.25">
      <c r="A39" s="36" t="s">
        <v>272</v>
      </c>
      <c r="C39" s="39">
        <v>0.02</v>
      </c>
      <c r="D39" s="39">
        <v>0.02</v>
      </c>
      <c r="E39" s="39">
        <v>0.02</v>
      </c>
      <c r="F39" s="39">
        <v>0.02</v>
      </c>
      <c r="G39" s="39">
        <v>0.02</v>
      </c>
      <c r="H39" s="39">
        <v>0.02</v>
      </c>
      <c r="I39" s="39">
        <v>0.02</v>
      </c>
      <c r="J39" s="39">
        <v>0.02</v>
      </c>
      <c r="K39" s="39">
        <v>0.02</v>
      </c>
      <c r="L39" s="39">
        <v>0.02</v>
      </c>
      <c r="M39" s="39">
        <v>0.02</v>
      </c>
      <c r="N39" s="39">
        <v>0.02</v>
      </c>
      <c r="O39" s="39">
        <v>0.02</v>
      </c>
      <c r="P39" s="39">
        <v>0.02</v>
      </c>
      <c r="Q39" s="39">
        <v>0.02</v>
      </c>
      <c r="R39" s="39">
        <v>0.02</v>
      </c>
      <c r="S39" s="39">
        <v>0.02</v>
      </c>
      <c r="T39" s="39">
        <v>0.02</v>
      </c>
      <c r="U39" s="39">
        <v>0.02</v>
      </c>
      <c r="V39" s="39">
        <v>0.02</v>
      </c>
      <c r="W39" s="39">
        <v>0.02</v>
      </c>
      <c r="X39" s="39">
        <v>0.02</v>
      </c>
      <c r="Y39" s="39">
        <v>0.02</v>
      </c>
      <c r="Z39" s="39">
        <v>0.02</v>
      </c>
      <c r="AA39" s="39">
        <v>0.02</v>
      </c>
      <c r="AB39" s="39">
        <v>0.02</v>
      </c>
      <c r="AC39" s="39">
        <v>0.02</v>
      </c>
      <c r="AD39" s="39">
        <v>0.02</v>
      </c>
      <c r="AE39" s="39">
        <v>0.02</v>
      </c>
      <c r="AF39" s="39">
        <v>0.02</v>
      </c>
      <c r="AG39" s="39">
        <v>0.02</v>
      </c>
      <c r="AH39" s="39">
        <v>0.02</v>
      </c>
      <c r="AI39" s="39">
        <v>0.02</v>
      </c>
      <c r="AJ39" s="39">
        <v>0.02</v>
      </c>
      <c r="AK39" s="39">
        <v>0.02</v>
      </c>
      <c r="AL39" s="39">
        <v>0.02</v>
      </c>
      <c r="AM39" s="39">
        <v>0.02</v>
      </c>
      <c r="AN39" s="39">
        <v>0.02</v>
      </c>
      <c r="AO39" s="39">
        <v>0.02</v>
      </c>
      <c r="AP39" s="39">
        <v>0.02</v>
      </c>
      <c r="AQ39" s="39">
        <v>0.02</v>
      </c>
      <c r="AR39" s="39">
        <v>0.02</v>
      </c>
      <c r="AS39" s="39">
        <v>0.02</v>
      </c>
      <c r="AT39" s="39">
        <v>0.02</v>
      </c>
      <c r="AU39" s="39">
        <v>0.02</v>
      </c>
      <c r="AV39" s="39">
        <v>0.02</v>
      </c>
      <c r="AW39" s="39">
        <v>0.02</v>
      </c>
      <c r="AX39" s="39">
        <v>0.02</v>
      </c>
      <c r="AY39" s="39">
        <v>0.02</v>
      </c>
      <c r="AZ39" s="39">
        <v>0.02</v>
      </c>
      <c r="BA39" s="39">
        <v>0.02</v>
      </c>
      <c r="BB39" s="39">
        <v>0.02</v>
      </c>
      <c r="BC39" s="39">
        <v>0.02</v>
      </c>
      <c r="BD39" s="39">
        <v>0.02</v>
      </c>
      <c r="BE39" s="39">
        <v>0.02</v>
      </c>
      <c r="BF39" s="39">
        <v>0.02</v>
      </c>
      <c r="BG39" s="39">
        <v>0.02</v>
      </c>
      <c r="BH39" s="39">
        <v>0.02</v>
      </c>
      <c r="BI39" s="39">
        <v>0.02</v>
      </c>
      <c r="BJ39" s="39">
        <v>0.02</v>
      </c>
      <c r="BK39" s="39">
        <v>0.02</v>
      </c>
      <c r="BL39" s="39">
        <v>0.02</v>
      </c>
      <c r="BM39" s="39">
        <v>0.02</v>
      </c>
      <c r="BN39" s="39">
        <v>0.02</v>
      </c>
      <c r="BO39" s="39">
        <v>0.02</v>
      </c>
      <c r="BP39" s="39">
        <v>0.02</v>
      </c>
      <c r="BQ39" s="39">
        <v>0.02</v>
      </c>
      <c r="BR39" s="39">
        <v>0.02</v>
      </c>
      <c r="BS39" s="39">
        <v>0.02</v>
      </c>
      <c r="BT39" s="39">
        <v>0.02</v>
      </c>
      <c r="BU39" s="39">
        <v>0.02</v>
      </c>
      <c r="BV39" s="39">
        <v>0.02</v>
      </c>
      <c r="BW39" s="39">
        <v>0.02</v>
      </c>
      <c r="BX39" s="39">
        <v>0.02</v>
      </c>
      <c r="BY39" s="39">
        <v>0.02</v>
      </c>
      <c r="BZ39" s="39">
        <v>0.02</v>
      </c>
      <c r="CA39" s="39">
        <v>0.02</v>
      </c>
      <c r="CB39" s="39">
        <v>0.02</v>
      </c>
      <c r="CC39" s="39">
        <v>0.02</v>
      </c>
      <c r="CD39" s="39">
        <v>0.02</v>
      </c>
      <c r="CE39" s="39">
        <v>0.02</v>
      </c>
      <c r="CF39" s="39">
        <v>0.02</v>
      </c>
      <c r="CG39" s="39">
        <v>0.02</v>
      </c>
      <c r="CH39" s="39">
        <v>0.02</v>
      </c>
      <c r="CI39" s="39">
        <v>0.02</v>
      </c>
      <c r="CJ39" s="39">
        <v>0.02</v>
      </c>
      <c r="CK39" s="39">
        <v>0.02</v>
      </c>
      <c r="CL39" s="39">
        <v>0.02</v>
      </c>
      <c r="CM39" s="39">
        <v>0.02</v>
      </c>
      <c r="CN39" s="39">
        <v>0.02</v>
      </c>
      <c r="CO39" s="39">
        <v>0.02</v>
      </c>
      <c r="CP39" s="39">
        <v>0.02</v>
      </c>
      <c r="CQ39" s="39">
        <v>0.02</v>
      </c>
      <c r="CR39" s="39">
        <v>0.02</v>
      </c>
      <c r="CS39" s="39">
        <v>0.02</v>
      </c>
      <c r="CT39" s="39">
        <v>0.02</v>
      </c>
      <c r="CU39" s="39">
        <v>0.02</v>
      </c>
      <c r="CV39" s="39">
        <v>0.02</v>
      </c>
      <c r="CW39" s="39">
        <v>0.02</v>
      </c>
      <c r="CX39" s="39">
        <v>0.02</v>
      </c>
      <c r="CY39" s="39">
        <v>0.02</v>
      </c>
      <c r="CZ39" s="39">
        <v>0.02</v>
      </c>
      <c r="DA39" s="39">
        <v>0.02</v>
      </c>
      <c r="DB39" s="39">
        <v>0.02</v>
      </c>
    </row>
    <row r="40" ht="18" customHeight="1" spans="1:106" x14ac:dyDescent="0.25">
      <c r="A40" s="36" t="s">
        <v>273</v>
      </c>
      <c r="C40" s="39">
        <v>0</v>
      </c>
      <c r="D40" s="39">
        <v>0</v>
      </c>
      <c r="E40" s="39">
        <v>0</v>
      </c>
      <c r="F40" s="39">
        <v>0</v>
      </c>
      <c r="G40" s="39">
        <v>0</v>
      </c>
      <c r="H40" s="39">
        <v>0</v>
      </c>
      <c r="I40" s="39">
        <v>0</v>
      </c>
      <c r="J40" s="39">
        <v>0</v>
      </c>
      <c r="K40" s="39">
        <v>0</v>
      </c>
      <c r="L40" s="39">
        <v>0</v>
      </c>
      <c r="M40" s="39">
        <v>0</v>
      </c>
      <c r="N40" s="39">
        <v>0</v>
      </c>
      <c r="O40" s="39">
        <v>0</v>
      </c>
      <c r="P40" s="39">
        <v>0</v>
      </c>
      <c r="Q40" s="39">
        <v>0</v>
      </c>
      <c r="R40" s="39">
        <v>0</v>
      </c>
      <c r="S40" s="39">
        <v>0</v>
      </c>
      <c r="T40" s="39">
        <v>0</v>
      </c>
      <c r="U40" s="39">
        <v>0</v>
      </c>
      <c r="V40" s="39">
        <v>0</v>
      </c>
      <c r="W40" s="39">
        <v>0</v>
      </c>
      <c r="X40" s="39">
        <v>0</v>
      </c>
      <c r="Y40" s="39">
        <v>0</v>
      </c>
      <c r="Z40" s="39">
        <v>0</v>
      </c>
      <c r="AA40" s="39">
        <v>0</v>
      </c>
      <c r="AB40" s="39">
        <v>0</v>
      </c>
      <c r="AC40" s="39">
        <v>0</v>
      </c>
      <c r="AD40" s="39">
        <v>0</v>
      </c>
      <c r="AE40" s="39">
        <v>0</v>
      </c>
      <c r="AF40" s="39">
        <v>0</v>
      </c>
      <c r="AG40" s="39">
        <v>0</v>
      </c>
      <c r="AH40" s="39">
        <v>0</v>
      </c>
      <c r="AI40" s="39">
        <v>0</v>
      </c>
      <c r="AJ40" s="39">
        <v>0</v>
      </c>
      <c r="AK40" s="39">
        <v>0</v>
      </c>
      <c r="AL40" s="39">
        <v>0</v>
      </c>
      <c r="AM40" s="39">
        <v>0</v>
      </c>
      <c r="AN40" s="39">
        <v>0</v>
      </c>
      <c r="AO40" s="39">
        <v>0</v>
      </c>
      <c r="AP40" s="39">
        <v>0</v>
      </c>
      <c r="AQ40" s="39">
        <v>0</v>
      </c>
      <c r="AR40" s="39">
        <v>0</v>
      </c>
      <c r="AS40" s="39">
        <v>0</v>
      </c>
      <c r="AT40" s="39">
        <v>0</v>
      </c>
      <c r="AU40" s="39">
        <v>0</v>
      </c>
      <c r="AV40" s="39">
        <v>0</v>
      </c>
      <c r="AW40" s="39">
        <v>0</v>
      </c>
      <c r="AX40" s="39">
        <v>0</v>
      </c>
      <c r="AY40" s="39">
        <v>0</v>
      </c>
      <c r="AZ40" s="39">
        <v>0</v>
      </c>
      <c r="BA40" s="39">
        <v>0</v>
      </c>
      <c r="BB40" s="39">
        <v>0</v>
      </c>
      <c r="BC40" s="39">
        <v>0</v>
      </c>
      <c r="BD40" s="39">
        <v>0</v>
      </c>
      <c r="BE40" s="39">
        <v>0</v>
      </c>
      <c r="BF40" s="39">
        <v>0</v>
      </c>
      <c r="BG40" s="39">
        <v>0</v>
      </c>
      <c r="BH40" s="39">
        <v>0</v>
      </c>
      <c r="BI40" s="39">
        <v>0</v>
      </c>
      <c r="BJ40" s="39">
        <v>0</v>
      </c>
      <c r="BK40" s="39">
        <v>0</v>
      </c>
      <c r="BL40" s="39">
        <v>0</v>
      </c>
      <c r="BM40" s="39">
        <v>0</v>
      </c>
      <c r="BN40" s="39">
        <v>0</v>
      </c>
      <c r="BO40" s="39">
        <v>0</v>
      </c>
      <c r="BP40" s="39">
        <v>0</v>
      </c>
      <c r="BQ40" s="39">
        <v>0</v>
      </c>
      <c r="BR40" s="39">
        <v>0</v>
      </c>
      <c r="BS40" s="39">
        <v>0</v>
      </c>
      <c r="BT40" s="39">
        <v>0</v>
      </c>
      <c r="BU40" s="39">
        <v>0</v>
      </c>
      <c r="BV40" s="39">
        <v>0</v>
      </c>
      <c r="BW40" s="39">
        <v>0</v>
      </c>
      <c r="BX40" s="39">
        <v>0</v>
      </c>
      <c r="BY40" s="39">
        <v>0</v>
      </c>
      <c r="BZ40" s="39">
        <v>0</v>
      </c>
      <c r="CA40" s="39">
        <v>0</v>
      </c>
      <c r="CB40" s="39">
        <v>0</v>
      </c>
      <c r="CC40" s="39">
        <v>0</v>
      </c>
      <c r="CD40" s="39">
        <v>0</v>
      </c>
      <c r="CE40" s="39">
        <v>0</v>
      </c>
      <c r="CF40" s="39">
        <v>0</v>
      </c>
      <c r="CG40" s="39">
        <v>0</v>
      </c>
      <c r="CH40" s="39">
        <v>0</v>
      </c>
      <c r="CI40" s="39">
        <v>0</v>
      </c>
      <c r="CJ40" s="39">
        <v>0</v>
      </c>
      <c r="CK40" s="39">
        <v>0</v>
      </c>
      <c r="CL40" s="39">
        <v>0</v>
      </c>
      <c r="CM40" s="39">
        <v>0</v>
      </c>
      <c r="CN40" s="39">
        <v>0</v>
      </c>
      <c r="CO40" s="39">
        <v>0</v>
      </c>
      <c r="CP40" s="39">
        <v>0</v>
      </c>
      <c r="CQ40" s="39">
        <v>0</v>
      </c>
      <c r="CR40" s="39">
        <v>0</v>
      </c>
      <c r="CS40" s="39">
        <v>0</v>
      </c>
      <c r="CT40" s="39">
        <v>0</v>
      </c>
      <c r="CU40" s="39">
        <v>0</v>
      </c>
      <c r="CV40" s="39">
        <v>0</v>
      </c>
      <c r="CW40" s="39">
        <v>0</v>
      </c>
      <c r="CX40" s="39">
        <v>0</v>
      </c>
      <c r="CY40" s="39">
        <v>0</v>
      </c>
      <c r="CZ40" s="39">
        <v>0</v>
      </c>
      <c r="DA40" s="39">
        <v>0</v>
      </c>
      <c r="DB40" s="39">
        <v>0</v>
      </c>
    </row>
    <row r="41" ht="18" customHeight="1" spans="1:106" x14ac:dyDescent="0.25">
      <c r="A41" s="20" t="s">
        <v>274</v>
      </c>
      <c r="B41" s="17"/>
      <c r="C41" s="75">
        <v>0.005</v>
      </c>
      <c r="D41" s="75">
        <v>0.005</v>
      </c>
      <c r="E41" s="75">
        <v>0.005</v>
      </c>
      <c r="F41" s="75">
        <v>0.005</v>
      </c>
      <c r="G41" s="75">
        <v>0.005</v>
      </c>
      <c r="H41" s="75">
        <v>0.005</v>
      </c>
      <c r="I41" s="75">
        <v>0.005</v>
      </c>
      <c r="J41" s="75">
        <v>0.005</v>
      </c>
      <c r="K41" s="75">
        <v>0.005</v>
      </c>
      <c r="L41" s="75">
        <v>0.005</v>
      </c>
      <c r="M41" s="75">
        <v>0.005</v>
      </c>
      <c r="N41" s="75">
        <v>0.005</v>
      </c>
      <c r="O41" s="75">
        <v>0.005</v>
      </c>
      <c r="P41" s="75">
        <v>0.005</v>
      </c>
      <c r="Q41" s="75">
        <v>0.005</v>
      </c>
      <c r="R41" s="75">
        <v>0.005</v>
      </c>
      <c r="S41" s="75">
        <v>0.005</v>
      </c>
      <c r="T41" s="75">
        <v>0.005</v>
      </c>
      <c r="U41" s="75">
        <v>0.005</v>
      </c>
      <c r="V41" s="75">
        <v>0.005</v>
      </c>
      <c r="W41" s="75">
        <v>0.005</v>
      </c>
      <c r="X41" s="75">
        <v>0.005</v>
      </c>
      <c r="Y41" s="75">
        <v>0.005</v>
      </c>
      <c r="Z41" s="75">
        <v>0.005</v>
      </c>
      <c r="AA41" s="75">
        <v>0.005</v>
      </c>
      <c r="AB41" s="75">
        <v>0.005</v>
      </c>
      <c r="AC41" s="75">
        <v>0.005</v>
      </c>
      <c r="AD41" s="75">
        <v>0.005</v>
      </c>
      <c r="AE41" s="75">
        <v>0.005</v>
      </c>
      <c r="AF41" s="75">
        <v>0.005</v>
      </c>
      <c r="AG41" s="75">
        <v>0.005</v>
      </c>
      <c r="AH41" s="75">
        <v>0.005</v>
      </c>
      <c r="AI41" s="75">
        <v>0.005</v>
      </c>
      <c r="AJ41" s="75">
        <v>0.005</v>
      </c>
      <c r="AK41" s="75">
        <v>0.005</v>
      </c>
      <c r="AL41" s="75">
        <v>0.005</v>
      </c>
      <c r="AM41" s="75">
        <v>0.005</v>
      </c>
      <c r="AN41" s="75">
        <v>0.005</v>
      </c>
      <c r="AO41" s="75">
        <v>0.005</v>
      </c>
      <c r="AP41" s="75">
        <v>0.005</v>
      </c>
      <c r="AQ41" s="75">
        <v>0.005</v>
      </c>
      <c r="AR41" s="75">
        <v>0.005</v>
      </c>
      <c r="AS41" s="75">
        <v>0.005</v>
      </c>
      <c r="AT41" s="75">
        <v>0.005</v>
      </c>
      <c r="AU41" s="75">
        <v>0.005</v>
      </c>
      <c r="AV41" s="75">
        <v>0.005</v>
      </c>
      <c r="AW41" s="75">
        <v>0.005</v>
      </c>
      <c r="AX41" s="75">
        <v>0.005</v>
      </c>
      <c r="AY41" s="75">
        <v>0.005</v>
      </c>
      <c r="AZ41" s="75">
        <v>0.005</v>
      </c>
      <c r="BA41" s="75">
        <v>0.005</v>
      </c>
      <c r="BB41" s="75">
        <v>0.005</v>
      </c>
      <c r="BC41" s="75">
        <v>0.01</v>
      </c>
      <c r="BD41" s="75">
        <v>0.01</v>
      </c>
      <c r="BE41" s="75">
        <v>0.01</v>
      </c>
      <c r="BF41" s="75">
        <v>0.01</v>
      </c>
      <c r="BG41" s="75">
        <v>0.01</v>
      </c>
      <c r="BH41" s="75">
        <v>0.0125</v>
      </c>
      <c r="BI41" s="75">
        <v>0.0125</v>
      </c>
      <c r="BJ41" s="75">
        <v>0.0125</v>
      </c>
      <c r="BK41" s="75">
        <v>0.0125</v>
      </c>
      <c r="BL41" s="75">
        <v>0.0125</v>
      </c>
      <c r="BM41" s="75">
        <v>0.0125</v>
      </c>
      <c r="BN41" s="75">
        <v>0.0125</v>
      </c>
      <c r="BO41" s="75">
        <v>0.0125</v>
      </c>
      <c r="BP41" s="75">
        <v>0.01</v>
      </c>
      <c r="BQ41" s="75">
        <v>0.01</v>
      </c>
      <c r="BR41" s="75">
        <v>0.01</v>
      </c>
      <c r="BS41" s="75">
        <v>0.01</v>
      </c>
      <c r="BT41" s="75">
        <v>0.01</v>
      </c>
      <c r="BU41" s="75">
        <v>0.0125</v>
      </c>
      <c r="BV41" s="75">
        <v>0.0125</v>
      </c>
      <c r="BW41" s="75">
        <v>0.0125</v>
      </c>
      <c r="BX41" s="76">
        <v>0.0125</v>
      </c>
      <c r="BY41" s="76">
        <v>0.0125</v>
      </c>
      <c r="BZ41" s="76">
        <v>0.0125</v>
      </c>
      <c r="CA41" s="76">
        <v>0.0125</v>
      </c>
      <c r="CB41" s="76">
        <v>0.0125</v>
      </c>
      <c r="CC41" s="75">
        <v>0.01</v>
      </c>
      <c r="CD41" s="75">
        <v>0.01</v>
      </c>
      <c r="CE41" s="75">
        <v>0.01</v>
      </c>
      <c r="CF41" s="75">
        <v>0.01</v>
      </c>
      <c r="CG41" s="75">
        <v>0.01</v>
      </c>
      <c r="CH41" s="75">
        <v>0.0125</v>
      </c>
      <c r="CI41" s="75">
        <v>0.0125</v>
      </c>
      <c r="CJ41" s="75">
        <v>0.0125</v>
      </c>
      <c r="CK41" s="75">
        <v>0.0125</v>
      </c>
      <c r="CL41" s="75">
        <v>0.0125</v>
      </c>
      <c r="CM41" s="75">
        <v>0.0125</v>
      </c>
      <c r="CN41" s="75">
        <v>0.0125</v>
      </c>
      <c r="CO41" s="75">
        <v>0.0125</v>
      </c>
      <c r="CP41" s="75">
        <v>0.01</v>
      </c>
      <c r="CQ41" s="75">
        <v>0.01</v>
      </c>
      <c r="CR41" s="75">
        <v>0.01</v>
      </c>
      <c r="CS41" s="75">
        <v>0.01</v>
      </c>
      <c r="CT41" s="75">
        <v>0.01</v>
      </c>
      <c r="CU41" s="75">
        <v>0.0125</v>
      </c>
      <c r="CV41" s="75">
        <v>0.0125</v>
      </c>
      <c r="CW41" s="75">
        <v>0.0125</v>
      </c>
      <c r="CX41" s="75">
        <v>0.0125</v>
      </c>
      <c r="CY41" s="75">
        <v>0.0125</v>
      </c>
      <c r="CZ41" s="75">
        <v>0.0125</v>
      </c>
      <c r="DA41" s="75">
        <v>0.0125</v>
      </c>
      <c r="DB41" s="75">
        <v>0.0125</v>
      </c>
    </row>
    <row r="42" spans="1:106" x14ac:dyDescent="0.25">
      <c r="A42" s="36" t="s">
        <v>275</v>
      </c>
      <c r="C42" s="46"/>
      <c r="D42" s="41">
        <f>=IFERROR(C19*C41,0)</f>
        <v>0.105</v>
      </c>
      <c r="E42" s="41">
        <f>=IFERROR(D19*D41,0)</f>
        <v>0.1</v>
      </c>
      <c r="F42" s="41">
        <f>=IFERROR(E19*E41,0)</f>
        <v>0.095</v>
      </c>
      <c r="G42" s="41">
        <f>=IFERROR(F19*F41,0)</f>
        <v>0.095</v>
      </c>
      <c r="H42" s="41">
        <f>=IFERROR(G19*G41,0)</f>
        <v>0.09</v>
      </c>
      <c r="I42" s="41">
        <f>=IFERROR(H19*H41,0)</f>
        <v>0.11</v>
      </c>
      <c r="J42" s="41">
        <f>=IFERROR(I19*I41,0)</f>
        <v>0.11</v>
      </c>
      <c r="K42" s="41">
        <f>=IFERROR(J19*J41,0)</f>
        <v>0.11</v>
      </c>
      <c r="L42" s="41">
        <f>=IFERROR(K19*K41,0)</f>
        <v>0.115</v>
      </c>
      <c r="M42" s="41">
        <f>=IFERROR(L19*L41,0)</f>
        <v>0.115</v>
      </c>
      <c r="N42" s="41">
        <f>=IFERROR(M19*M41,0)</f>
        <v>0.115</v>
      </c>
      <c r="O42" s="41">
        <f>=IFERROR(N19*N41,0)</f>
        <v>0.115</v>
      </c>
      <c r="P42" s="41">
        <f>=IFERROR(O19*O41,0)</f>
        <v>0.115</v>
      </c>
      <c r="Q42" s="41">
        <f>=IFERROR(P19*P41,0)</f>
        <v>0.115</v>
      </c>
      <c r="R42" s="41">
        <f>=IFERROR(Q19*Q41,0)</f>
        <v>0.115</v>
      </c>
      <c r="S42" s="41">
        <f>=IFERROR(R19*R41,0)</f>
        <v>0.11</v>
      </c>
      <c r="T42" s="41">
        <f>=IFERROR(S19*S41,0)</f>
        <v>0.11</v>
      </c>
      <c r="U42" s="41">
        <f>=IFERROR(T19*T41,0)</f>
        <v>0.11</v>
      </c>
      <c r="V42" s="41">
        <f>=IFERROR(U19*U41,0)</f>
        <v>0.11</v>
      </c>
      <c r="W42" s="41">
        <f>=IFERROR(V19*V41,0)</f>
        <v>0.105</v>
      </c>
      <c r="X42" s="41">
        <f>=IFERROR(W19*W41,0)</f>
        <v>0.11</v>
      </c>
      <c r="Y42" s="41">
        <f>=IFERROR(X19*X41,0)</f>
        <v>0.11</v>
      </c>
      <c r="Z42" s="41">
        <f>=IFERROR(Y19*Y41,0)</f>
        <v>0.11</v>
      </c>
      <c r="AA42" s="41">
        <f>=IFERROR(Z19*Z41,0)</f>
        <v>0.11</v>
      </c>
      <c r="AB42" s="41">
        <f>=IFERROR(AA19*AA41,0)</f>
        <v>0.11</v>
      </c>
      <c r="AC42" s="41">
        <f>=IFERROR(AB19*AB41,0)</f>
        <v>0.11</v>
      </c>
      <c r="AD42" s="41">
        <f>=IFERROR(AC19*AC41,0)</f>
        <v>0.11</v>
      </c>
      <c r="AE42" s="41">
        <f>=IFERROR(AD19*AD41,0)</f>
        <v>0.095</v>
      </c>
      <c r="AF42" s="41">
        <f>=IFERROR(AE19*AE41,0)</f>
        <v>0.095</v>
      </c>
      <c r="AG42" s="41">
        <f>=IFERROR(AF19*AF41,0)</f>
        <v>0.095</v>
      </c>
      <c r="AH42" s="41">
        <f>=IFERROR(AG19*AG41,0)</f>
        <v>0.095</v>
      </c>
      <c r="AI42" s="41">
        <f>=IFERROR(AH19*AH41,0)</f>
        <v>0.095</v>
      </c>
      <c r="AJ42" s="41">
        <f>=IFERROR(AI19*AI41,0)</f>
        <v>0.095</v>
      </c>
      <c r="AK42" s="41">
        <f>=IFERROR(AJ19*AJ41,0)</f>
        <v>0.095</v>
      </c>
      <c r="AL42" s="41">
        <f>=IFERROR(AK19*AK41,0)</f>
        <v>0.09</v>
      </c>
      <c r="AM42" s="41">
        <f>=IFERROR(AL19*AL41,0)</f>
        <v>0.095</v>
      </c>
      <c r="AN42" s="41">
        <f>=IFERROR(AM19*AM41,0)</f>
        <v>0.09</v>
      </c>
      <c r="AO42" s="41">
        <f>=IFERROR(AN19*AN41,0)</f>
        <v>0.1</v>
      </c>
      <c r="AP42" s="41">
        <f>=IFERROR(AO19*AO41,0)</f>
        <v>0.1</v>
      </c>
      <c r="AQ42" s="41">
        <f>=IFERROR(AP19*AP41,0)</f>
        <v>0.095</v>
      </c>
      <c r="AR42" s="41">
        <f>=IFERROR(AQ19*AQ41,0)</f>
        <v>0.095</v>
      </c>
      <c r="AS42" s="41">
        <f>=IFERROR(AR19*AR41,0)</f>
        <v>0.1</v>
      </c>
      <c r="AT42" s="41">
        <f>=IFERROR(AS19*AS41,0)</f>
        <v>0.1</v>
      </c>
      <c r="AU42" s="41">
        <f>=IFERROR(AT19*AT41,0)</f>
        <v>0.1</v>
      </c>
      <c r="AV42" s="41">
        <f>=IFERROR(AU19*AU41,0)</f>
        <v>0.1</v>
      </c>
      <c r="AW42" s="41">
        <f>=IFERROR(AV19*AV41,0)</f>
        <v>0.1</v>
      </c>
      <c r="AX42" s="41">
        <f>=IFERROR(AW19*AW41,0)</f>
        <v>0.1</v>
      </c>
      <c r="AY42" s="41">
        <f>=IFERROR(AX19*AX41,0)</f>
        <v>0.1</v>
      </c>
      <c r="AZ42" s="41">
        <f>=IFERROR(AY19*AY41,0)</f>
        <v>0.1</v>
      </c>
      <c r="BA42" s="41">
        <f>=IFERROR(AZ19*AZ41,0)</f>
        <v>0.1</v>
      </c>
      <c r="BB42" s="41">
        <f>=IFERROR(BA19*BA41,0)</f>
        <v>0.095</v>
      </c>
      <c r="BC42" s="41">
        <f>=IFERROR(BB19*BB41,0)</f>
        <v>0.09</v>
      </c>
      <c r="BD42" s="41">
        <f>=IFERROR(BC19*BC41,0)</f>
        <v>0.2</v>
      </c>
      <c r="BE42" s="41">
        <f>=IFERROR(BD19*BD41,0)</f>
        <v>0.2</v>
      </c>
      <c r="BF42" s="41">
        <f>=IFERROR(BE19*BE41,0)</f>
        <v>0.2</v>
      </c>
      <c r="BG42" s="41">
        <f>=IFERROR(BF19*BF41,0)</f>
        <v>0.2</v>
      </c>
      <c r="BH42" s="41">
        <f>=IFERROR(BG19*BG41,0)</f>
        <v>0.2</v>
      </c>
      <c r="BI42" s="41">
        <f>=IFERROR(BH19*BH41,0)</f>
        <v>0.25</v>
      </c>
      <c r="BJ42" s="41">
        <f>=IFERROR(BI19*BI41,0)</f>
        <v>0.25</v>
      </c>
      <c r="BK42" s="41">
        <f>=IFERROR(BJ19*BJ41,0)</f>
        <v>0.25</v>
      </c>
      <c r="BL42" s="41">
        <f>=IFERROR(BK19*BK41,0)</f>
        <v>0.25</v>
      </c>
      <c r="BM42" s="41">
        <f>=IFERROR(BL19*BL41,0)</f>
        <v>0.25</v>
      </c>
      <c r="BN42" s="41">
        <f>=IFERROR(BM19*BM41,0)</f>
        <v>0.2375</v>
      </c>
      <c r="BO42" s="41">
        <f>=IFERROR(BN19*BN41,0)</f>
        <v>0.2375</v>
      </c>
      <c r="BP42" s="41">
        <f>=IFERROR(BO19*BO41,0)</f>
        <v>0.2375</v>
      </c>
      <c r="BQ42" s="41">
        <f>=IFERROR(BP19*BP41,0)</f>
        <v>0.19</v>
      </c>
      <c r="BR42" s="41">
        <f>=IFERROR(BQ19*BQ41,0)</f>
        <v>0.19</v>
      </c>
      <c r="BS42" s="41">
        <f>=IFERROR(BR19*BR41,0)</f>
        <v>0.19</v>
      </c>
      <c r="BT42" s="41">
        <f>=IFERROR(BS19*BS41,0)</f>
        <v>0.19</v>
      </c>
      <c r="BU42" s="41">
        <f>=IFERROR(BT19*BT41,0)</f>
        <v>0.19</v>
      </c>
      <c r="BV42" s="41">
        <f>=IFERROR(BU19*BU41,0)</f>
        <v>0.2</v>
      </c>
      <c r="BW42" s="41">
        <f>=IFERROR(BV19*BV41,0)</f>
        <v>0.2</v>
      </c>
      <c r="BX42" s="41">
        <f>=IFERROR(BW19*BW41,0)</f>
        <v>0.2</v>
      </c>
      <c r="BY42" s="41">
        <f>=IFERROR(BX19*BX41,0)</f>
        <v>0.2</v>
      </c>
      <c r="BZ42" s="41">
        <f>=IFERROR(BY19*BY41,0)</f>
        <v>0.2</v>
      </c>
      <c r="CA42" s="41">
        <f>=IFERROR(BZ19*BZ41,0)</f>
        <v>0.2</v>
      </c>
      <c r="CB42" s="41">
        <f>=IFERROR(CA19*CA41,0)</f>
        <v>0.2</v>
      </c>
      <c r="CC42" s="41">
        <f>=IFERROR(CB19*CB41,0)</f>
        <v>0.1975</v>
      </c>
      <c r="CD42" s="41">
        <f>=IFERROR(CC19*CC41,0)</f>
        <v>0.156025</v>
      </c>
      <c r="CE42" s="41">
        <f>=IFERROR(CD19*CD41,0)</f>
        <v>0.15446475</v>
      </c>
      <c r="CF42" s="41">
        <f>=IFERROR(CE19*CE41,0)</f>
        <v>0.1529201025</v>
      </c>
      <c r="CG42" s="41">
        <f>=IFERROR(CF19*CF41,0)</f>
        <v>0.171390901475</v>
      </c>
      <c r="CH42" s="41">
        <f>=IFERROR(CG19*CG41,0)</f>
        <v>0.16967699246025</v>
      </c>
      <c r="CI42" s="41">
        <f>=IFERROR(CH19*CH41,0)</f>
        <v>0.20997527816955938</v>
      </c>
      <c r="CJ42" s="41">
        <f>=IFERROR(CI19*CI41,0)</f>
        <v>0.2073505871924399</v>
      </c>
      <c r="CK42" s="41">
        <f>=IFERROR(CJ19*CJ41,0)</f>
        <v>0.20475870485253442</v>
      </c>
      <c r="CL42" s="41">
        <f>=IFERROR(CK19*CK41,0)</f>
        <v>0.2021992210418777</v>
      </c>
      <c r="CM42" s="41">
        <f>=IFERROR(CL19*CL41,0)</f>
        <v>0.19967173077885422</v>
      </c>
      <c r="CN42" s="41">
        <f>=IFERROR(CM19*CM41,0)</f>
        <v>0.19717583414411854</v>
      </c>
      <c r="CO42" s="41">
        <f>=IFERROR(CN19*CN41,0)</f>
        <v>0.19471113621731706</v>
      </c>
      <c r="CP42" s="41">
        <f>=IFERROR(CO19*CO41,0)</f>
        <v>0.19227724701460058</v>
      </c>
      <c r="CQ42" s="41">
        <f>=IFERROR(CP19*CP41,0)</f>
        <v>0.15189902514153447</v>
      </c>
      <c r="CR42" s="41">
        <f>=IFERROR(CQ19*CQ41,0)</f>
        <v>0.1503800348901191</v>
      </c>
      <c r="CS42" s="41">
        <f>=IFERROR(CR19*CR41,0)</f>
        <v>0.1488762345412179</v>
      </c>
      <c r="CT42" s="41">
        <f>=IFERROR(CS19*CS41,0)</f>
        <v>0.14738747219580572</v>
      </c>
      <c r="CU42" s="41">
        <f>=IFERROR(CT19*CT41,0)</f>
        <v>0.14591359747384766</v>
      </c>
      <c r="CV42" s="41">
        <f>=IFERROR(CU19*CU41,0)</f>
        <v>0.18056807687388648</v>
      </c>
      <c r="CW42" s="41">
        <f>=IFERROR(CV19*CV41,0)</f>
        <v>0.17831097591296288</v>
      </c>
      <c r="CX42" s="41">
        <f>=IFERROR(CW19*CW41,0)</f>
        <v>0.1760820887140509</v>
      </c>
      <c r="CY42" s="41">
        <f>=IFERROR(CX19*CX41,0)</f>
        <v>0.1738810626051252</v>
      </c>
      <c r="CZ42" s="41">
        <f>=IFERROR(CY19*CY41,0)</f>
        <v>0.17170754932256113</v>
      </c>
      <c r="DA42" s="41">
        <f>=IFERROR(CZ19*CZ41,0)</f>
        <v>0.16956120495602914</v>
      </c>
      <c r="DB42" s="41">
        <f>=IFERROR(DA19*DA41,0)</f>
        <v>0.16744168989407876</v>
      </c>
    </row>
    <row r="43" ht="16" customHeight="1" spans="1:106" x14ac:dyDescent="0.25">
      <c r="A43" s="20" t="s">
        <v>276</v>
      </c>
      <c r="B43" s="17"/>
      <c r="C43" s="75">
        <v>0.03</v>
      </c>
      <c r="D43" s="75">
        <v>0.03</v>
      </c>
      <c r="E43" s="75">
        <v>0.03</v>
      </c>
      <c r="F43" s="75">
        <v>0.03</v>
      </c>
      <c r="G43" s="75">
        <v>0.03</v>
      </c>
      <c r="H43" s="75">
        <v>0.03</v>
      </c>
      <c r="I43" s="75">
        <v>0.03</v>
      </c>
      <c r="J43" s="75">
        <v>0.03</v>
      </c>
      <c r="K43" s="75">
        <v>0.03</v>
      </c>
      <c r="L43" s="75">
        <v>0.03</v>
      </c>
      <c r="M43" s="75">
        <v>0.03</v>
      </c>
      <c r="N43" s="75">
        <v>0.03</v>
      </c>
      <c r="O43" s="75">
        <v>0.03</v>
      </c>
      <c r="P43" s="75">
        <v>0.03</v>
      </c>
      <c r="Q43" s="75">
        <v>0.03</v>
      </c>
      <c r="R43" s="75">
        <v>0.03</v>
      </c>
      <c r="S43" s="75">
        <v>0.03</v>
      </c>
      <c r="T43" s="75">
        <v>0.03</v>
      </c>
      <c r="U43" s="75">
        <v>0.03</v>
      </c>
      <c r="V43" s="75">
        <v>0.03</v>
      </c>
      <c r="W43" s="75">
        <v>0.03</v>
      </c>
      <c r="X43" s="75">
        <v>0.03</v>
      </c>
      <c r="Y43" s="75">
        <v>0.03</v>
      </c>
      <c r="Z43" s="75">
        <v>0.03</v>
      </c>
      <c r="AA43" s="75">
        <v>0.03</v>
      </c>
      <c r="AB43" s="75">
        <v>0.03</v>
      </c>
      <c r="AC43" s="75">
        <v>0.03</v>
      </c>
      <c r="AD43" s="75">
        <v>0.03</v>
      </c>
      <c r="AE43" s="75">
        <v>0.03</v>
      </c>
      <c r="AF43" s="75">
        <v>0.03</v>
      </c>
      <c r="AG43" s="75">
        <v>0.03</v>
      </c>
      <c r="AH43" s="75">
        <v>0.03</v>
      </c>
      <c r="AI43" s="75">
        <v>0.03</v>
      </c>
      <c r="AJ43" s="75">
        <v>0.03</v>
      </c>
      <c r="AK43" s="75">
        <v>0.03</v>
      </c>
      <c r="AL43" s="75">
        <v>0.03</v>
      </c>
      <c r="AM43" s="75">
        <v>0.03</v>
      </c>
      <c r="AN43" s="75">
        <v>0.03</v>
      </c>
      <c r="AO43" s="75">
        <v>0.03</v>
      </c>
      <c r="AP43" s="75">
        <v>0.03</v>
      </c>
      <c r="AQ43" s="75">
        <v>0.03</v>
      </c>
      <c r="AR43" s="75">
        <v>0.03</v>
      </c>
      <c r="AS43" s="75">
        <v>0.03</v>
      </c>
      <c r="AT43" s="75">
        <v>0.03</v>
      </c>
      <c r="AU43" s="75">
        <v>0.03</v>
      </c>
      <c r="AV43" s="75">
        <v>0.03</v>
      </c>
      <c r="AW43" s="75">
        <v>0.03</v>
      </c>
      <c r="AX43" s="75">
        <v>0.03</v>
      </c>
      <c r="AY43" s="75">
        <v>0.03</v>
      </c>
      <c r="AZ43" s="75">
        <v>0.03</v>
      </c>
      <c r="BA43" s="75">
        <v>0.03</v>
      </c>
      <c r="BB43" s="75">
        <v>0.03</v>
      </c>
      <c r="BC43" s="75">
        <v>0.03</v>
      </c>
      <c r="BD43" s="75">
        <v>0.03</v>
      </c>
      <c r="BE43" s="75">
        <v>0.03</v>
      </c>
      <c r="BF43" s="75">
        <v>0.03</v>
      </c>
      <c r="BG43" s="75">
        <v>0.03</v>
      </c>
      <c r="BH43" s="75">
        <v>0.03</v>
      </c>
      <c r="BI43" s="75">
        <v>0.03</v>
      </c>
      <c r="BJ43" s="75">
        <v>0.03</v>
      </c>
      <c r="BK43" s="75">
        <v>0.03</v>
      </c>
      <c r="BL43" s="75">
        <v>0.03</v>
      </c>
      <c r="BM43" s="75">
        <v>0.03</v>
      </c>
      <c r="BN43" s="75">
        <v>0.03</v>
      </c>
      <c r="BO43" s="75">
        <v>0.03</v>
      </c>
      <c r="BP43" s="75">
        <v>0.03</v>
      </c>
      <c r="BQ43" s="75">
        <v>0.03</v>
      </c>
      <c r="BR43" s="75">
        <v>0.03</v>
      </c>
      <c r="BS43" s="75">
        <v>0.03</v>
      </c>
      <c r="BT43" s="75">
        <v>0.03</v>
      </c>
      <c r="BU43" s="75">
        <v>0.03</v>
      </c>
      <c r="BV43" s="75">
        <v>0.03</v>
      </c>
      <c r="BW43" s="75">
        <v>0.03</v>
      </c>
      <c r="BX43" s="75">
        <v>0.03</v>
      </c>
      <c r="BY43" s="75">
        <v>0.03</v>
      </c>
      <c r="BZ43" s="75">
        <v>0.03</v>
      </c>
      <c r="CA43" s="75">
        <v>0.03</v>
      </c>
      <c r="CB43" s="75">
        <v>0.03</v>
      </c>
      <c r="CC43" s="75">
        <v>0.03</v>
      </c>
      <c r="CD43" s="75">
        <v>0.03</v>
      </c>
      <c r="CE43" s="75">
        <v>0.03</v>
      </c>
      <c r="CF43" s="75">
        <v>0.03</v>
      </c>
      <c r="CG43" s="75">
        <v>0.03</v>
      </c>
      <c r="CH43" s="75">
        <v>0.03</v>
      </c>
      <c r="CI43" s="75">
        <v>0.03</v>
      </c>
      <c r="CJ43" s="75">
        <v>0.03</v>
      </c>
      <c r="CK43" s="75">
        <v>0.03</v>
      </c>
      <c r="CL43" s="75">
        <v>0.03</v>
      </c>
      <c r="CM43" s="75">
        <v>0.03</v>
      </c>
      <c r="CN43" s="75">
        <v>0.03</v>
      </c>
      <c r="CO43" s="75">
        <v>0.03</v>
      </c>
      <c r="CP43" s="75">
        <v>0.03</v>
      </c>
      <c r="CQ43" s="75">
        <v>0.03</v>
      </c>
      <c r="CR43" s="75">
        <v>0.03</v>
      </c>
      <c r="CS43" s="75">
        <v>0.03</v>
      </c>
      <c r="CT43" s="75">
        <v>0.03</v>
      </c>
      <c r="CU43" s="75">
        <v>0.03</v>
      </c>
      <c r="CV43" s="75">
        <v>0.03</v>
      </c>
      <c r="CW43" s="75">
        <v>0.03</v>
      </c>
      <c r="CX43" s="75">
        <v>0.03</v>
      </c>
      <c r="CY43" s="75">
        <v>0.03</v>
      </c>
      <c r="CZ43" s="75">
        <v>0.03</v>
      </c>
      <c r="DA43" s="75">
        <v>0.03</v>
      </c>
      <c r="DB43" s="75">
        <v>0.03</v>
      </c>
    </row>
    <row r="44" spans="1:106" x14ac:dyDescent="0.25">
      <c r="A44" s="36" t="s">
        <v>277</v>
      </c>
      <c r="C44" s="38"/>
      <c r="D44" s="43">
        <f>=IFERROR(SUM(C117:C128)*C43,0)</f>
        <v>0</v>
      </c>
      <c r="E44" s="43">
        <f>=IFERROR(SUM(D117:D128)*D43,0)</f>
        <v>0</v>
      </c>
      <c r="F44" s="43">
        <f>=IFERROR(SUM(E117:E128)*E43,0)</f>
        <v>0</v>
      </c>
      <c r="G44" s="43">
        <f>=IFERROR(SUM(F117:F128)*F43,0)</f>
        <v>0</v>
      </c>
      <c r="H44" s="43">
        <f>=IFERROR(SUM(G117:G128)*G43,0)</f>
        <v>0</v>
      </c>
      <c r="I44" s="43">
        <f>=IFERROR(SUM(H117:H128)*H43,0)</f>
        <v>0</v>
      </c>
      <c r="J44" s="43">
        <f>=IFERROR(SUM(I117:I128)*I43,0)</f>
        <v>0</v>
      </c>
      <c r="K44" s="43">
        <f>=IFERROR(SUM(J117:J128)*J43,0)</f>
        <v>0</v>
      </c>
      <c r="L44" s="43">
        <f>=IFERROR(SUM(K117:K128)*K43,0)</f>
        <v>0</v>
      </c>
      <c r="M44" s="43">
        <f>=IFERROR(SUM(L117:L128)*L43,0)</f>
        <v>0</v>
      </c>
      <c r="N44" s="43">
        <f>=IFERROR(SUM(M117:M128)*M43,0)</f>
        <v>0</v>
      </c>
      <c r="O44" s="43">
        <f>=IFERROR(SUM(N117:N128)*N43,0)</f>
        <v>0</v>
      </c>
      <c r="P44" s="43">
        <f>=IFERROR(SUM(O117:O128)*O43,0)</f>
        <v>0</v>
      </c>
      <c r="Q44" s="43">
        <f>=IFERROR(SUM(P117:P128)*P43,0)</f>
        <v>0</v>
      </c>
      <c r="R44" s="43">
        <f>=IFERROR(SUM(Q117:Q128)*Q43,0)</f>
        <v>0</v>
      </c>
      <c r="S44" s="43">
        <f>=IFERROR(SUM(R117:R128)*R43,0)</f>
        <v>0</v>
      </c>
      <c r="T44" s="43">
        <f>=IFERROR(SUM(S117:S128)*S43,0)</f>
        <v>0</v>
      </c>
      <c r="U44" s="43">
        <f>=IFERROR(SUM(T117:T128)*T43,0)</f>
        <v>0</v>
      </c>
      <c r="V44" s="43">
        <f>=IFERROR(SUM(U117:U128)*U43,0)</f>
        <v>0</v>
      </c>
      <c r="W44" s="43">
        <f>=IFERROR(SUM(V117:V128)*V43,0)</f>
        <v>0</v>
      </c>
      <c r="X44" s="43">
        <f>=IFERROR(SUM(W117:W128)*W43,0)</f>
        <v>0</v>
      </c>
      <c r="Y44" s="43">
        <f>=IFERROR(SUM(X117:X128)*X43,0)</f>
        <v>0</v>
      </c>
      <c r="Z44" s="43">
        <f>=IFERROR(SUM(Y117:Y128)*Y43,0)</f>
        <v>0</v>
      </c>
      <c r="AA44" s="43">
        <f>=IFERROR(SUM(Z117:Z128)*Z43,0)</f>
        <v>0</v>
      </c>
      <c r="AB44" s="43">
        <f>=IFERROR(SUM(AA117:AA128)*AA43,0)</f>
        <v>0</v>
      </c>
      <c r="AC44" s="43">
        <f>=IFERROR(SUM(AB117:AB128)*AB43,0)</f>
        <v>0</v>
      </c>
      <c r="AD44" s="43">
        <f>=IFERROR(SUM(AC117:AC128)*AC43,0)</f>
        <v>0</v>
      </c>
      <c r="AE44" s="43">
        <f>=IFERROR(SUM(AD117:AD128)*AD43,0)</f>
        <v>0</v>
      </c>
      <c r="AF44" s="43">
        <f>=IFERROR(SUM(AE117:AE128)*AE43,0)</f>
        <v>0</v>
      </c>
      <c r="AG44" s="43">
        <f>=IFERROR(SUM(AF117:AF128)*AF43,0)</f>
        <v>0</v>
      </c>
      <c r="AH44" s="43">
        <f>=IFERROR(SUM(AG117:AG128)*AG43,0)</f>
        <v>0</v>
      </c>
      <c r="AI44" s="43">
        <f>=IFERROR(SUM(AH117:AH128)*AH43,0)</f>
        <v>0</v>
      </c>
      <c r="AJ44" s="43">
        <f>=IFERROR(SUM(AI117:AI128)*AI43,0)</f>
        <v>0</v>
      </c>
      <c r="AK44" s="43">
        <f>=IFERROR(SUM(AJ117:AJ128)*AJ43,0)</f>
        <v>0</v>
      </c>
      <c r="AL44" s="43">
        <f>=IFERROR(SUM(AK117:AK128)*AK43,0)</f>
        <v>0</v>
      </c>
      <c r="AM44" s="43">
        <f>=IFERROR(SUM(AL117:AL128)*AL43,0)</f>
        <v>0</v>
      </c>
      <c r="AN44" s="43">
        <f>=IFERROR(SUM(AM117:AM128)*AM43,0)</f>
        <v>0</v>
      </c>
      <c r="AO44" s="43">
        <f>=IFERROR(SUM(AN117:AN128)*AN43,0)</f>
        <v>0</v>
      </c>
      <c r="AP44" s="43">
        <f>=IFERROR(SUM(AO117:AO128)*AO43,0)</f>
        <v>0</v>
      </c>
      <c r="AQ44" s="43">
        <f>=IFERROR(SUM(AP117:AP128)*AP43,0)</f>
        <v>0</v>
      </c>
      <c r="AR44" s="43">
        <f>=IFERROR(SUM(AQ117:AQ128)*AQ43,0)</f>
        <v>0</v>
      </c>
      <c r="AS44" s="43">
        <f>=IFERROR(SUM(AR117:AR128)*AR43,0)</f>
        <v>0</v>
      </c>
      <c r="AT44" s="43">
        <f>=IFERROR(SUM(AS117:AS128)*AS43,0)</f>
        <v>0</v>
      </c>
      <c r="AU44" s="43">
        <f>=IFERROR(SUM(AT117:AT128)*AT43,0)</f>
        <v>0</v>
      </c>
      <c r="AV44" s="43">
        <f>=IFERROR(SUM(AU117:AU128)*AU43,0)</f>
        <v>0</v>
      </c>
      <c r="AW44" s="43">
        <f>=IFERROR(SUM(AV117:AV128)*AV43,0)</f>
        <v>0</v>
      </c>
      <c r="AX44" s="43">
        <f>=IFERROR(SUM(AW117:AW128)*AW43,0)</f>
        <v>0</v>
      </c>
      <c r="AY44" s="43">
        <f>=IFERROR(SUM(AX117:AX128)*AX43,0)</f>
        <v>0</v>
      </c>
      <c r="AZ44" s="43">
        <f>=IFERROR(SUM(AY117:AY128)*AY43,0)</f>
        <v>0</v>
      </c>
      <c r="BA44" s="43">
        <f>=IFERROR(SUM(AZ117:AZ128)*AZ43,0)</f>
        <v>0</v>
      </c>
      <c r="BB44" s="43">
        <f>=IFERROR(SUM(BA117:BA128)*BA43,0)</f>
        <v>0</v>
      </c>
      <c r="BC44" s="43">
        <f>=IFERROR(SUM(BB117:BB128)*BB43,0)</f>
        <v>0</v>
      </c>
      <c r="BD44" s="43">
        <f>=IFERROR(SUM(BC117:BC128)*BC43,0)</f>
        <v>0</v>
      </c>
      <c r="BE44" s="43">
        <f>=IFERROR(SUM(BD117:BD128)*BD43,0)</f>
        <v>0</v>
      </c>
      <c r="BF44" s="43">
        <f>=IFERROR(SUM(BE117:BE128)*BE43,0)</f>
        <v>0</v>
      </c>
      <c r="BG44" s="43">
        <f>=IFERROR(SUM(BF117:BF128)*BF43,0)</f>
        <v>0</v>
      </c>
      <c r="BH44" s="43">
        <f>=IFERROR(SUM(BG117:BG128)*BG43,0)</f>
        <v>0</v>
      </c>
      <c r="BI44" s="43">
        <f>=IFERROR(SUM(BH117:BH128)*BH43,0)</f>
        <v>0</v>
      </c>
      <c r="BJ44" s="43">
        <f>=IFERROR(SUM(BI117:BI128)*BI43,0)</f>
        <v>0</v>
      </c>
      <c r="BK44" s="43">
        <f>=IFERROR(SUM(BJ117:BJ128)*BJ43,0)</f>
        <v>0</v>
      </c>
      <c r="BL44" s="43">
        <f>=IFERROR(SUM(BK117:BK128)*BK43,0)</f>
        <v>0</v>
      </c>
      <c r="BM44" s="43">
        <f>=IFERROR(SUM(BL117:BL128)*BL43,0)</f>
        <v>0</v>
      </c>
      <c r="BN44" s="43">
        <f>=IFERROR(SUM(BM117:BM128)*BM43,0)</f>
        <v>0</v>
      </c>
      <c r="BO44" s="43">
        <f>=IFERROR(SUM(BN117:BN128)*BN43,0)</f>
        <v>0</v>
      </c>
      <c r="BP44" s="43">
        <f>=IFERROR(SUM(BO117:BO128)*BO43,0)</f>
        <v>0</v>
      </c>
      <c r="BQ44" s="43">
        <f>=IFERROR(SUM(BP117:BP128)*BP43,0)</f>
        <v>0</v>
      </c>
      <c r="BR44" s="43">
        <f>=IFERROR(SUM(BQ117:BQ128)*BQ43,0)</f>
        <v>0</v>
      </c>
      <c r="BS44" s="43">
        <f>=IFERROR(SUM(BR117:BR128)*BR43,0)</f>
        <v>0</v>
      </c>
      <c r="BT44" s="43">
        <f>=IFERROR(SUM(BS117:BS128)*BS43,0)</f>
        <v>0</v>
      </c>
      <c r="BU44" s="43">
        <f>=IFERROR(SUM(BT117:BT128)*BT43,0)</f>
        <v>0</v>
      </c>
      <c r="BV44" s="43">
        <f>=IFERROR(SUM(BU117:BU128)*BU43,0)</f>
        <v>0</v>
      </c>
      <c r="BW44" s="43">
        <f>=IFERROR(SUM(BV117:BV128)*BV43,0)</f>
        <v>0</v>
      </c>
      <c r="BX44" s="43">
        <f>=IFERROR(SUM(BW117:BW128)*BW43,0)</f>
        <v>0</v>
      </c>
      <c r="BY44" s="43">
        <f>=IFERROR(SUM(BX117:BX128)*BX43,0)</f>
        <v>0</v>
      </c>
      <c r="BZ44" s="43">
        <f>=IFERROR(SUM(BY117:BY128)*BY43,0)</f>
        <v>0</v>
      </c>
      <c r="CA44" s="43">
        <f>=IFERROR(SUM(BZ117:BZ128)*BZ43,0)</f>
        <v>0</v>
      </c>
      <c r="CB44" s="43">
        <f>=IFERROR(SUM(CA117:CA128)*CA43,0)</f>
        <v>0</v>
      </c>
      <c r="CC44" s="43">
        <f>=IFERROR(SUM(CB117:CB128)*CB43,0)</f>
        <v>0</v>
      </c>
      <c r="CD44" s="43">
        <f>=IFERROR(SUM(CC117:CC128)*CC43,0)</f>
        <v>0</v>
      </c>
      <c r="CE44" s="43">
        <f>=IFERROR(SUM(CD117:CD128)*CD43,0)</f>
        <v>0</v>
      </c>
      <c r="CF44" s="43">
        <f>=IFERROR(SUM(CE117:CE128)*CE43,0)</f>
        <v>0</v>
      </c>
      <c r="CG44" s="43">
        <f>=IFERROR(SUM(CF117:CF128)*CF43,0)</f>
        <v>0</v>
      </c>
      <c r="CH44" s="43">
        <f>=IFERROR(SUM(CG117:CG128)*CG43,0)</f>
        <v>0</v>
      </c>
      <c r="CI44" s="43">
        <f>=IFERROR(SUM(CH117:CH128)*CH43,0)</f>
        <v>0</v>
      </c>
      <c r="CJ44" s="43">
        <f>=IFERROR(SUM(CI117:CI128)*CI43,0)</f>
        <v>0</v>
      </c>
      <c r="CK44" s="43">
        <f>=IFERROR(SUM(CJ117:CJ128)*CJ43,0)</f>
        <v>0</v>
      </c>
      <c r="CL44" s="43">
        <f>=IFERROR(SUM(CK117:CK128)*CK43,0)</f>
        <v>0</v>
      </c>
      <c r="CM44" s="43">
        <f>=IFERROR(SUM(CL117:CL128)*CL43,0)</f>
        <v>0</v>
      </c>
      <c r="CN44" s="43">
        <f>=IFERROR(SUM(CM117:CM128)*CM43,0)</f>
        <v>0</v>
      </c>
      <c r="CO44" s="43">
        <f>=IFERROR(SUM(CN117:CN128)*CN43,0)</f>
        <v>0</v>
      </c>
      <c r="CP44" s="43">
        <f>=IFERROR(SUM(CO117:CO128)*CO43,0)</f>
        <v>0</v>
      </c>
      <c r="CQ44" s="43">
        <f>=IFERROR(SUM(CP117:CP128)*CP43,0)</f>
        <v>0</v>
      </c>
      <c r="CR44" s="43">
        <f>=IFERROR(SUM(CQ117:CQ128)*CQ43,0)</f>
        <v>0</v>
      </c>
      <c r="CS44" s="43">
        <f>=IFERROR(SUM(CR117:CR128)*CR43,0)</f>
        <v>0</v>
      </c>
      <c r="CT44" s="43">
        <f>=IFERROR(SUM(CS117:CS128)*CS43,0)</f>
        <v>0</v>
      </c>
      <c r="CU44" s="43">
        <f>=IFERROR(SUM(CT117:CT128)*CT43,0)</f>
        <v>0</v>
      </c>
      <c r="CV44" s="43">
        <f>=IFERROR(SUM(CU117:CU128)*CU43,0)</f>
        <v>0</v>
      </c>
      <c r="CW44" s="43">
        <f>=IFERROR(SUM(CV117:CV128)*CV43,0)</f>
        <v>0</v>
      </c>
      <c r="CX44" s="43">
        <f>=IFERROR(SUM(CW117:CW128)*CW43,0)</f>
        <v>0</v>
      </c>
      <c r="CY44" s="43">
        <f>=IFERROR(SUM(CX117:CX128)*CX43,0)</f>
        <v>0</v>
      </c>
      <c r="CZ44" s="43">
        <f>=IFERROR(SUM(CY117:CY128)*CY43,0)</f>
        <v>0</v>
      </c>
      <c r="DA44" s="43">
        <f>=IFERROR(SUM(CZ117:CZ128)*CZ43,0)</f>
        <v>0</v>
      </c>
      <c r="DB44" s="43">
        <f>=IFERROR(SUM(DA117:DA128)*DA43,0)</f>
        <v>0</v>
      </c>
    </row>
    <row r="45" spans="1:106" x14ac:dyDescent="0.25">
      <c r="A45" s="16" t="s">
        <v>278</v>
      </c>
      <c r="C45" s="44">
        <v>1</v>
      </c>
      <c r="D45" s="44">
        <v>1</v>
      </c>
      <c r="E45" s="44">
        <v>1</v>
      </c>
      <c r="F45" s="44">
        <v>1</v>
      </c>
      <c r="G45" s="44">
        <v>1</v>
      </c>
      <c r="H45" s="44">
        <v>1</v>
      </c>
      <c r="I45" s="44">
        <v>1</v>
      </c>
      <c r="J45" s="44">
        <v>1</v>
      </c>
      <c r="K45" s="44">
        <v>1</v>
      </c>
      <c r="L45" s="44">
        <v>1</v>
      </c>
      <c r="M45" s="44">
        <v>1</v>
      </c>
      <c r="N45" s="44">
        <v>1</v>
      </c>
      <c r="O45" s="44">
        <v>1</v>
      </c>
      <c r="P45" s="44">
        <v>1</v>
      </c>
      <c r="Q45" s="44">
        <v>1</v>
      </c>
      <c r="R45" s="44">
        <v>1</v>
      </c>
      <c r="S45" s="44">
        <v>1</v>
      </c>
      <c r="T45" s="44">
        <v>1</v>
      </c>
      <c r="U45" s="44">
        <v>1</v>
      </c>
      <c r="V45" s="44">
        <v>1</v>
      </c>
      <c r="W45" s="44">
        <v>1</v>
      </c>
      <c r="X45" s="44">
        <v>1</v>
      </c>
      <c r="Y45" s="44">
        <v>1</v>
      </c>
      <c r="Z45" s="44">
        <v>1</v>
      </c>
      <c r="AA45" s="44">
        <v>1</v>
      </c>
      <c r="AB45" s="44">
        <v>1</v>
      </c>
      <c r="AC45" s="44">
        <v>1</v>
      </c>
      <c r="AD45" s="44">
        <v>1</v>
      </c>
      <c r="AE45" s="44">
        <v>1</v>
      </c>
      <c r="AF45" s="44">
        <v>1</v>
      </c>
      <c r="AG45" s="44">
        <v>1</v>
      </c>
      <c r="AH45" s="44">
        <v>1</v>
      </c>
      <c r="AI45" s="44">
        <v>1</v>
      </c>
      <c r="AJ45" s="44">
        <v>1</v>
      </c>
      <c r="AK45" s="44">
        <v>1</v>
      </c>
      <c r="AL45" s="44">
        <v>1</v>
      </c>
      <c r="AM45" s="44">
        <v>1</v>
      </c>
      <c r="AN45" s="44">
        <v>1</v>
      </c>
      <c r="AO45" s="44">
        <v>1</v>
      </c>
      <c r="AP45" s="44">
        <v>1</v>
      </c>
      <c r="AQ45" s="44">
        <v>1</v>
      </c>
      <c r="AR45" s="44">
        <v>1</v>
      </c>
      <c r="AS45" s="44">
        <v>1</v>
      </c>
      <c r="AT45" s="44">
        <v>1</v>
      </c>
      <c r="AU45" s="44">
        <v>1</v>
      </c>
      <c r="AV45" s="44">
        <v>1</v>
      </c>
      <c r="AW45" s="44">
        <v>1</v>
      </c>
      <c r="AX45" s="44">
        <v>1</v>
      </c>
      <c r="AY45" s="44">
        <v>1</v>
      </c>
      <c r="AZ45" s="44">
        <v>1</v>
      </c>
      <c r="BA45" s="44">
        <v>1</v>
      </c>
      <c r="BB45" s="44">
        <v>1</v>
      </c>
      <c r="BC45" s="44">
        <v>1</v>
      </c>
      <c r="BD45" s="44">
        <v>1</v>
      </c>
      <c r="BE45" s="44">
        <v>1</v>
      </c>
      <c r="BF45" s="44">
        <v>1</v>
      </c>
      <c r="BG45" s="44">
        <v>1</v>
      </c>
      <c r="BH45" s="44">
        <v>1</v>
      </c>
      <c r="BI45" s="44">
        <v>1</v>
      </c>
      <c r="BJ45" s="44">
        <v>1</v>
      </c>
      <c r="BK45" s="44">
        <v>1</v>
      </c>
      <c r="BL45" s="44">
        <v>1</v>
      </c>
      <c r="BM45" s="44">
        <v>1</v>
      </c>
      <c r="BN45" s="44">
        <v>1</v>
      </c>
      <c r="BO45" s="44">
        <v>1</v>
      </c>
      <c r="BP45" s="44">
        <v>1</v>
      </c>
      <c r="BQ45" s="44">
        <v>1</v>
      </c>
      <c r="BR45" s="44">
        <v>1</v>
      </c>
      <c r="BS45" s="44">
        <v>1</v>
      </c>
      <c r="BT45" s="44">
        <v>1</v>
      </c>
      <c r="BU45" s="44">
        <v>1</v>
      </c>
      <c r="BV45" s="44">
        <v>1</v>
      </c>
      <c r="BW45" s="44">
        <v>1</v>
      </c>
      <c r="BX45" s="44">
        <v>1</v>
      </c>
      <c r="BY45" s="44">
        <v>1</v>
      </c>
      <c r="BZ45" s="44">
        <v>1</v>
      </c>
      <c r="CA45" s="44">
        <v>1</v>
      </c>
      <c r="CB45" s="44">
        <v>1</v>
      </c>
      <c r="CC45" s="44">
        <v>1</v>
      </c>
      <c r="CD45" s="44">
        <v>1</v>
      </c>
      <c r="CE45" s="44">
        <v>1</v>
      </c>
      <c r="CF45" s="44">
        <v>1</v>
      </c>
      <c r="CG45" s="44">
        <v>1</v>
      </c>
      <c r="CH45" s="44">
        <v>1</v>
      </c>
      <c r="CI45" s="44">
        <v>1</v>
      </c>
      <c r="CJ45" s="44">
        <v>1</v>
      </c>
      <c r="CK45" s="44">
        <v>1</v>
      </c>
      <c r="CL45" s="44">
        <v>1</v>
      </c>
      <c r="CM45" s="44">
        <v>1</v>
      </c>
      <c r="CN45" s="44">
        <v>1</v>
      </c>
      <c r="CO45" s="44">
        <v>1</v>
      </c>
      <c r="CP45" s="44">
        <v>1</v>
      </c>
      <c r="CQ45" s="44">
        <v>1</v>
      </c>
      <c r="CR45" s="44">
        <v>1</v>
      </c>
      <c r="CS45" s="44">
        <v>1</v>
      </c>
      <c r="CT45" s="44">
        <v>1</v>
      </c>
      <c r="CU45" s="44">
        <v>1</v>
      </c>
      <c r="CV45" s="44">
        <v>1</v>
      </c>
      <c r="CW45" s="44">
        <v>1</v>
      </c>
      <c r="CX45" s="44">
        <v>1</v>
      </c>
      <c r="CY45" s="44">
        <v>1</v>
      </c>
      <c r="CZ45" s="44">
        <v>1</v>
      </c>
      <c r="DA45" s="44">
        <v>1</v>
      </c>
      <c r="DB45" s="44">
        <v>1</v>
      </c>
    </row>
    <row r="46" ht="17" customHeight="1" spans="1:106" x14ac:dyDescent="0.25">
      <c r="A46" s="16" t="s">
        <v>279</v>
      </c>
      <c r="B46" s="17"/>
      <c r="C46" s="45">
        <v>0</v>
      </c>
      <c r="D46" s="45">
        <v>0</v>
      </c>
      <c r="E46" s="45">
        <v>0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v>0</v>
      </c>
      <c r="O46" s="45">
        <v>0</v>
      </c>
      <c r="P46" s="45">
        <v>0</v>
      </c>
      <c r="Q46" s="45">
        <v>0</v>
      </c>
      <c r="R46" s="45">
        <v>0</v>
      </c>
      <c r="S46" s="45">
        <v>0</v>
      </c>
      <c r="T46" s="45">
        <v>0</v>
      </c>
      <c r="U46" s="45">
        <v>0</v>
      </c>
      <c r="V46" s="45">
        <v>0</v>
      </c>
      <c r="W46" s="45">
        <v>0</v>
      </c>
      <c r="X46" s="45">
        <v>0</v>
      </c>
      <c r="Y46" s="45">
        <v>0</v>
      </c>
      <c r="Z46" s="45">
        <v>0</v>
      </c>
      <c r="AA46" s="45">
        <v>0</v>
      </c>
      <c r="AB46" s="45">
        <v>0</v>
      </c>
      <c r="AC46" s="45">
        <v>0</v>
      </c>
      <c r="AD46" s="45">
        <v>0</v>
      </c>
      <c r="AE46" s="45">
        <v>0</v>
      </c>
      <c r="AF46" s="45">
        <v>0</v>
      </c>
      <c r="AG46" s="45">
        <v>0</v>
      </c>
      <c r="AH46" s="45">
        <v>0</v>
      </c>
      <c r="AI46" s="45">
        <v>0</v>
      </c>
      <c r="AJ46" s="45">
        <v>0</v>
      </c>
      <c r="AK46" s="45">
        <v>0</v>
      </c>
      <c r="AL46" s="45">
        <v>0</v>
      </c>
      <c r="AM46" s="45">
        <v>0</v>
      </c>
      <c r="AN46" s="45">
        <v>0</v>
      </c>
      <c r="AO46" s="45">
        <v>0</v>
      </c>
      <c r="AP46" s="45">
        <v>0</v>
      </c>
      <c r="AQ46" s="45">
        <v>0</v>
      </c>
      <c r="AR46" s="45">
        <v>0</v>
      </c>
      <c r="AS46" s="45">
        <v>0</v>
      </c>
      <c r="AT46" s="45">
        <v>0</v>
      </c>
      <c r="AU46" s="45">
        <v>0</v>
      </c>
      <c r="AV46" s="45">
        <v>0</v>
      </c>
      <c r="AW46" s="45">
        <v>0</v>
      </c>
      <c r="AX46" s="45">
        <v>0</v>
      </c>
      <c r="AY46" s="45">
        <v>0</v>
      </c>
      <c r="AZ46" s="45">
        <v>0</v>
      </c>
      <c r="BA46" s="45">
        <v>0</v>
      </c>
      <c r="BB46" s="45">
        <v>0</v>
      </c>
      <c r="BC46" s="45">
        <v>0</v>
      </c>
      <c r="BD46" s="45">
        <v>0</v>
      </c>
      <c r="BE46" s="45">
        <v>0</v>
      </c>
      <c r="BF46" s="45">
        <v>0</v>
      </c>
      <c r="BG46" s="45">
        <v>0</v>
      </c>
      <c r="BH46" s="45">
        <v>0</v>
      </c>
      <c r="BI46" s="45">
        <v>0</v>
      </c>
      <c r="BJ46" s="45">
        <v>0</v>
      </c>
      <c r="BK46" s="45">
        <v>0</v>
      </c>
      <c r="BL46" s="45">
        <v>0</v>
      </c>
      <c r="BM46" s="45">
        <v>0</v>
      </c>
      <c r="BN46" s="45">
        <v>0</v>
      </c>
      <c r="BO46" s="45">
        <v>0</v>
      </c>
      <c r="BP46" s="45">
        <v>0</v>
      </c>
      <c r="BQ46" s="45">
        <v>0</v>
      </c>
      <c r="BR46" s="45">
        <v>0</v>
      </c>
      <c r="BS46" s="45">
        <v>0</v>
      </c>
      <c r="BT46" s="45">
        <v>0</v>
      </c>
      <c r="BU46" s="45">
        <v>0</v>
      </c>
      <c r="BV46" s="45">
        <v>0</v>
      </c>
      <c r="BW46" s="45">
        <v>0</v>
      </c>
      <c r="BX46" s="45">
        <v>0</v>
      </c>
      <c r="BY46" s="45">
        <v>0</v>
      </c>
      <c r="BZ46" s="45">
        <v>0</v>
      </c>
      <c r="CA46" s="45">
        <v>0</v>
      </c>
      <c r="CB46" s="45">
        <v>0</v>
      </c>
      <c r="CC46" s="45">
        <v>0</v>
      </c>
      <c r="CD46" s="45">
        <v>0</v>
      </c>
      <c r="CE46" s="45">
        <v>0</v>
      </c>
      <c r="CF46" s="45">
        <v>0</v>
      </c>
      <c r="CG46" s="45">
        <v>0</v>
      </c>
      <c r="CH46" s="45">
        <v>0</v>
      </c>
      <c r="CI46" s="45">
        <v>0</v>
      </c>
      <c r="CJ46" s="45">
        <v>0</v>
      </c>
      <c r="CK46" s="45">
        <v>0</v>
      </c>
      <c r="CL46" s="45">
        <v>0</v>
      </c>
      <c r="CM46" s="45">
        <v>0</v>
      </c>
      <c r="CN46" s="45">
        <v>0</v>
      </c>
      <c r="CO46" s="45">
        <v>0</v>
      </c>
      <c r="CP46" s="45">
        <v>0</v>
      </c>
      <c r="CQ46" s="45">
        <v>0</v>
      </c>
      <c r="CR46" s="45">
        <v>0</v>
      </c>
      <c r="CS46" s="45">
        <v>0</v>
      </c>
      <c r="CT46" s="45">
        <v>0</v>
      </c>
      <c r="CU46" s="45">
        <v>0</v>
      </c>
      <c r="CV46" s="45">
        <v>0</v>
      </c>
      <c r="CW46" s="45">
        <v>0</v>
      </c>
      <c r="CX46" s="45">
        <v>0</v>
      </c>
      <c r="CY46" s="45">
        <v>0</v>
      </c>
      <c r="CZ46" s="45">
        <v>0</v>
      </c>
      <c r="DA46" s="45">
        <v>0</v>
      </c>
      <c r="DB46" s="45">
        <v>0</v>
      </c>
    </row>
    <row r="47" ht="15" customHeight="1" spans="1:106" x14ac:dyDescent="0.25">
      <c r="A47" s="16" t="s">
        <v>280</v>
      </c>
      <c r="B47" s="17"/>
      <c r="C47" s="46">
        <v>5</v>
      </c>
      <c r="D47" s="46">
        <v>5</v>
      </c>
      <c r="E47" s="46">
        <v>5</v>
      </c>
      <c r="F47" s="46">
        <v>5</v>
      </c>
      <c r="G47" s="46">
        <v>5</v>
      </c>
      <c r="H47" s="46">
        <v>5</v>
      </c>
      <c r="I47" s="46">
        <v>5</v>
      </c>
      <c r="J47" s="46">
        <v>5</v>
      </c>
      <c r="K47" s="46">
        <v>5</v>
      </c>
      <c r="L47" s="46">
        <v>5</v>
      </c>
      <c r="M47" s="46">
        <v>5</v>
      </c>
      <c r="N47" s="46">
        <v>5</v>
      </c>
      <c r="O47" s="46">
        <v>5</v>
      </c>
      <c r="P47" s="46">
        <v>5</v>
      </c>
      <c r="Q47" s="46">
        <v>5</v>
      </c>
      <c r="R47" s="46">
        <v>5</v>
      </c>
      <c r="S47" s="46">
        <v>5</v>
      </c>
      <c r="T47" s="46">
        <v>5</v>
      </c>
      <c r="U47" s="46">
        <v>5</v>
      </c>
      <c r="V47" s="46">
        <v>5</v>
      </c>
      <c r="W47" s="46">
        <v>5</v>
      </c>
      <c r="X47" s="46">
        <v>5</v>
      </c>
      <c r="Y47" s="46">
        <v>5</v>
      </c>
      <c r="Z47" s="46">
        <v>5</v>
      </c>
      <c r="AA47" s="46">
        <v>5</v>
      </c>
      <c r="AB47" s="46">
        <v>5</v>
      </c>
      <c r="AC47" s="46">
        <v>5</v>
      </c>
      <c r="AD47" s="46">
        <v>5</v>
      </c>
      <c r="AE47" s="46">
        <v>5</v>
      </c>
      <c r="AF47" s="46">
        <v>5</v>
      </c>
      <c r="AG47" s="46">
        <v>5</v>
      </c>
      <c r="AH47" s="46">
        <v>5</v>
      </c>
      <c r="AI47" s="46">
        <v>5</v>
      </c>
      <c r="AJ47" s="46">
        <v>5</v>
      </c>
      <c r="AK47" s="46">
        <v>5</v>
      </c>
      <c r="AL47" s="46">
        <v>5</v>
      </c>
      <c r="AM47" s="46">
        <v>5</v>
      </c>
      <c r="AN47" s="46">
        <v>5</v>
      </c>
      <c r="AO47" s="46">
        <v>5</v>
      </c>
      <c r="AP47" s="46">
        <v>5</v>
      </c>
      <c r="AQ47" s="46">
        <v>5</v>
      </c>
      <c r="AR47" s="46">
        <v>5</v>
      </c>
      <c r="AS47" s="46">
        <v>5</v>
      </c>
      <c r="AT47" s="46">
        <v>5</v>
      </c>
      <c r="AU47" s="46">
        <v>5</v>
      </c>
      <c r="AV47" s="46">
        <v>5</v>
      </c>
      <c r="AW47" s="46">
        <v>5</v>
      </c>
      <c r="AX47" s="46">
        <v>5</v>
      </c>
      <c r="AY47" s="46">
        <v>5</v>
      </c>
      <c r="AZ47" s="46">
        <v>5</v>
      </c>
      <c r="BA47" s="46">
        <v>5</v>
      </c>
      <c r="BB47" s="46">
        <v>5</v>
      </c>
      <c r="BC47" s="46">
        <v>5</v>
      </c>
      <c r="BD47" s="46">
        <v>5</v>
      </c>
      <c r="BE47" s="46">
        <v>5</v>
      </c>
      <c r="BF47" s="46">
        <v>5</v>
      </c>
      <c r="BG47" s="46">
        <v>5</v>
      </c>
      <c r="BH47" s="46">
        <v>5</v>
      </c>
      <c r="BI47" s="46">
        <v>5</v>
      </c>
      <c r="BJ47" s="46">
        <v>5</v>
      </c>
      <c r="BK47" s="46">
        <v>5</v>
      </c>
      <c r="BL47" s="46">
        <v>5</v>
      </c>
      <c r="BM47" s="46">
        <v>5</v>
      </c>
      <c r="BN47" s="46">
        <v>5</v>
      </c>
      <c r="BO47" s="46">
        <v>5</v>
      </c>
      <c r="BP47" s="46">
        <v>5</v>
      </c>
      <c r="BQ47" s="46">
        <v>5</v>
      </c>
      <c r="BR47" s="46">
        <v>5</v>
      </c>
      <c r="BS47" s="46">
        <v>5</v>
      </c>
      <c r="BT47" s="46">
        <v>5</v>
      </c>
      <c r="BU47" s="46">
        <v>5</v>
      </c>
      <c r="BV47" s="46">
        <v>5</v>
      </c>
      <c r="BW47" s="46">
        <v>5</v>
      </c>
      <c r="BX47" s="46">
        <v>5</v>
      </c>
      <c r="BY47" s="46">
        <v>5</v>
      </c>
      <c r="BZ47" s="46">
        <v>5</v>
      </c>
      <c r="CA47" s="46">
        <v>5</v>
      </c>
      <c r="CB47" s="46">
        <v>5</v>
      </c>
      <c r="CC47" s="46">
        <v>5</v>
      </c>
      <c r="CD47" s="46">
        <v>5</v>
      </c>
      <c r="CE47" s="46">
        <v>5</v>
      </c>
      <c r="CF47" s="46">
        <v>5</v>
      </c>
      <c r="CG47" s="46">
        <v>5</v>
      </c>
      <c r="CH47" s="46">
        <v>5</v>
      </c>
      <c r="CI47" s="46">
        <v>5</v>
      </c>
      <c r="CJ47" s="46">
        <v>5</v>
      </c>
      <c r="CK47" s="46">
        <v>5</v>
      </c>
      <c r="CL47" s="46">
        <v>5</v>
      </c>
      <c r="CM47" s="46">
        <v>5</v>
      </c>
      <c r="CN47" s="46">
        <v>5</v>
      </c>
      <c r="CO47" s="46">
        <v>5</v>
      </c>
      <c r="CP47" s="46">
        <v>5</v>
      </c>
      <c r="CQ47" s="46">
        <v>5</v>
      </c>
      <c r="CR47" s="46">
        <v>5</v>
      </c>
      <c r="CS47" s="46">
        <v>5</v>
      </c>
      <c r="CT47" s="46">
        <v>5</v>
      </c>
      <c r="CU47" s="46">
        <v>5</v>
      </c>
      <c r="CV47" s="46">
        <v>5</v>
      </c>
      <c r="CW47" s="46">
        <v>5</v>
      </c>
      <c r="CX47" s="46">
        <v>5</v>
      </c>
      <c r="CY47" s="46">
        <v>5</v>
      </c>
      <c r="CZ47" s="46">
        <v>5</v>
      </c>
      <c r="DA47" s="46">
        <v>5</v>
      </c>
      <c r="DB47" s="46">
        <v>5</v>
      </c>
    </row>
    <row r="48" ht="16" customHeight="1" spans="1:106" x14ac:dyDescent="0.25">
      <c r="A48" s="16" t="s">
        <v>281</v>
      </c>
      <c r="B48" s="17"/>
      <c r="C48" s="46">
        <v>8</v>
      </c>
      <c r="D48" s="46">
        <v>8</v>
      </c>
      <c r="E48" s="46">
        <v>8</v>
      </c>
      <c r="F48" s="46">
        <v>8</v>
      </c>
      <c r="G48" s="46">
        <v>8</v>
      </c>
      <c r="H48" s="46">
        <v>8</v>
      </c>
      <c r="I48" s="46">
        <v>8</v>
      </c>
      <c r="J48" s="46">
        <v>8</v>
      </c>
      <c r="K48" s="46">
        <v>8</v>
      </c>
      <c r="L48" s="46">
        <v>8</v>
      </c>
      <c r="M48" s="46">
        <v>8</v>
      </c>
      <c r="N48" s="46">
        <v>8</v>
      </c>
      <c r="O48" s="46">
        <v>8</v>
      </c>
      <c r="P48" s="46">
        <v>8</v>
      </c>
      <c r="Q48" s="46">
        <v>8</v>
      </c>
      <c r="R48" s="46">
        <v>8</v>
      </c>
      <c r="S48" s="46">
        <v>8</v>
      </c>
      <c r="T48" s="46">
        <v>8</v>
      </c>
      <c r="U48" s="46">
        <v>8</v>
      </c>
      <c r="V48" s="46">
        <v>8</v>
      </c>
      <c r="W48" s="46">
        <v>8</v>
      </c>
      <c r="X48" s="46">
        <v>8</v>
      </c>
      <c r="Y48" s="46">
        <v>8</v>
      </c>
      <c r="Z48" s="46">
        <v>8</v>
      </c>
      <c r="AA48" s="46">
        <v>8</v>
      </c>
      <c r="AB48" s="46">
        <v>8</v>
      </c>
      <c r="AC48" s="46">
        <v>8</v>
      </c>
      <c r="AD48" s="46">
        <v>8</v>
      </c>
      <c r="AE48" s="46">
        <v>8</v>
      </c>
      <c r="AF48" s="46">
        <v>8</v>
      </c>
      <c r="AG48" s="46">
        <v>8</v>
      </c>
      <c r="AH48" s="46">
        <v>8</v>
      </c>
      <c r="AI48" s="46">
        <v>8</v>
      </c>
      <c r="AJ48" s="46">
        <v>8</v>
      </c>
      <c r="AK48" s="46">
        <v>8</v>
      </c>
      <c r="AL48" s="46">
        <v>8</v>
      </c>
      <c r="AM48" s="46">
        <v>8</v>
      </c>
      <c r="AN48" s="46">
        <v>8</v>
      </c>
      <c r="AO48" s="46">
        <v>8</v>
      </c>
      <c r="AP48" s="46">
        <v>8</v>
      </c>
      <c r="AQ48" s="46">
        <v>8</v>
      </c>
      <c r="AR48" s="46">
        <v>8</v>
      </c>
      <c r="AS48" s="46">
        <v>8</v>
      </c>
      <c r="AT48" s="46">
        <v>8</v>
      </c>
      <c r="AU48" s="46">
        <v>8</v>
      </c>
      <c r="AV48" s="46">
        <v>8</v>
      </c>
      <c r="AW48" s="46">
        <v>8</v>
      </c>
      <c r="AX48" s="46">
        <v>8</v>
      </c>
      <c r="AY48" s="46">
        <v>8</v>
      </c>
      <c r="AZ48" s="46">
        <v>8</v>
      </c>
      <c r="BA48" s="46">
        <v>8</v>
      </c>
      <c r="BB48" s="46">
        <v>8</v>
      </c>
      <c r="BC48" s="46">
        <v>8</v>
      </c>
      <c r="BD48" s="46">
        <v>8</v>
      </c>
      <c r="BE48" s="46">
        <v>8</v>
      </c>
      <c r="BF48" s="46">
        <v>8</v>
      </c>
      <c r="BG48" s="46">
        <v>8</v>
      </c>
      <c r="BH48" s="46">
        <v>8</v>
      </c>
      <c r="BI48" s="46">
        <v>8</v>
      </c>
      <c r="BJ48" s="46">
        <v>8</v>
      </c>
      <c r="BK48" s="46">
        <v>8</v>
      </c>
      <c r="BL48" s="46">
        <v>8</v>
      </c>
      <c r="BM48" s="46">
        <v>8</v>
      </c>
      <c r="BN48" s="46">
        <v>8</v>
      </c>
      <c r="BO48" s="46">
        <v>8</v>
      </c>
      <c r="BP48" s="46">
        <v>8</v>
      </c>
      <c r="BQ48" s="46">
        <v>8</v>
      </c>
      <c r="BR48" s="46">
        <v>8</v>
      </c>
      <c r="BS48" s="46">
        <v>8</v>
      </c>
      <c r="BT48" s="46">
        <v>8</v>
      </c>
      <c r="BU48" s="46">
        <v>8</v>
      </c>
      <c r="BV48" s="46">
        <v>8</v>
      </c>
      <c r="BW48" s="46">
        <v>8</v>
      </c>
      <c r="BX48" s="46">
        <v>8</v>
      </c>
      <c r="BY48" s="46">
        <v>8</v>
      </c>
      <c r="BZ48" s="46">
        <v>8</v>
      </c>
      <c r="CA48" s="46">
        <v>8</v>
      </c>
      <c r="CB48" s="46">
        <v>8</v>
      </c>
      <c r="CC48" s="46">
        <v>8</v>
      </c>
      <c r="CD48" s="46">
        <v>8</v>
      </c>
      <c r="CE48" s="46">
        <v>8</v>
      </c>
      <c r="CF48" s="46">
        <v>8</v>
      </c>
      <c r="CG48" s="46">
        <v>8</v>
      </c>
      <c r="CH48" s="46">
        <v>8</v>
      </c>
      <c r="CI48" s="46">
        <v>8</v>
      </c>
      <c r="CJ48" s="46">
        <v>8</v>
      </c>
      <c r="CK48" s="46">
        <v>8</v>
      </c>
      <c r="CL48" s="46">
        <v>8</v>
      </c>
      <c r="CM48" s="46">
        <v>8</v>
      </c>
      <c r="CN48" s="46">
        <v>8</v>
      </c>
      <c r="CO48" s="46">
        <v>8</v>
      </c>
      <c r="CP48" s="46">
        <v>8</v>
      </c>
      <c r="CQ48" s="46">
        <v>8</v>
      </c>
      <c r="CR48" s="46">
        <v>8</v>
      </c>
      <c r="CS48" s="46">
        <v>8</v>
      </c>
      <c r="CT48" s="46">
        <v>8</v>
      </c>
      <c r="CU48" s="46">
        <v>8</v>
      </c>
      <c r="CV48" s="46">
        <v>8</v>
      </c>
      <c r="CW48" s="46">
        <v>8</v>
      </c>
      <c r="CX48" s="46">
        <v>8</v>
      </c>
      <c r="CY48" s="46">
        <v>8</v>
      </c>
      <c r="CZ48" s="46">
        <v>8</v>
      </c>
      <c r="DA48" s="46">
        <v>8</v>
      </c>
      <c r="DB48" s="46">
        <v>8</v>
      </c>
    </row>
    <row r="49" ht="15" customHeight="1" spans="1:106" x14ac:dyDescent="0.25">
      <c r="A49" s="16" t="s">
        <v>282</v>
      </c>
      <c r="B49" s="17"/>
      <c r="C49" s="46">
        <v>0</v>
      </c>
      <c r="D49" s="46">
        <v>0</v>
      </c>
      <c r="E49" s="46">
        <v>0</v>
      </c>
      <c r="F49" s="46">
        <v>0</v>
      </c>
      <c r="G49" s="46">
        <v>0</v>
      </c>
      <c r="H49" s="46">
        <v>0</v>
      </c>
      <c r="I49" s="46">
        <v>0</v>
      </c>
      <c r="J49" s="46">
        <v>0</v>
      </c>
      <c r="K49" s="46">
        <v>0</v>
      </c>
      <c r="L49" s="46">
        <v>0</v>
      </c>
      <c r="M49" s="46">
        <v>0</v>
      </c>
      <c r="N49" s="46">
        <v>0</v>
      </c>
      <c r="O49" s="46">
        <v>0</v>
      </c>
      <c r="P49" s="46">
        <v>0</v>
      </c>
      <c r="Q49" s="46">
        <v>0</v>
      </c>
      <c r="R49" s="46">
        <v>0</v>
      </c>
      <c r="S49" s="46">
        <v>0</v>
      </c>
      <c r="T49" s="46">
        <v>0</v>
      </c>
      <c r="U49" s="46">
        <v>0</v>
      </c>
      <c r="V49" s="46">
        <v>0</v>
      </c>
      <c r="W49" s="46">
        <v>0</v>
      </c>
      <c r="X49" s="46">
        <v>0</v>
      </c>
      <c r="Y49" s="46">
        <v>0</v>
      </c>
      <c r="Z49" s="46">
        <v>0</v>
      </c>
      <c r="AA49" s="46">
        <v>0</v>
      </c>
      <c r="AB49" s="46">
        <v>0</v>
      </c>
      <c r="AC49" s="46">
        <v>0</v>
      </c>
      <c r="AD49" s="46">
        <v>0</v>
      </c>
      <c r="AE49" s="46">
        <v>0</v>
      </c>
      <c r="AF49" s="46">
        <v>0</v>
      </c>
      <c r="AG49" s="46">
        <v>0</v>
      </c>
      <c r="AH49" s="46">
        <v>0</v>
      </c>
      <c r="AI49" s="46">
        <v>0</v>
      </c>
      <c r="AJ49" s="46">
        <v>0</v>
      </c>
      <c r="AK49" s="46">
        <v>0</v>
      </c>
      <c r="AL49" s="46">
        <v>0</v>
      </c>
      <c r="AM49" s="46">
        <v>0</v>
      </c>
      <c r="AN49" s="46">
        <v>0</v>
      </c>
      <c r="AO49" s="46">
        <v>0</v>
      </c>
      <c r="AP49" s="46">
        <v>0</v>
      </c>
      <c r="AQ49" s="46">
        <v>0</v>
      </c>
      <c r="AR49" s="46">
        <v>0</v>
      </c>
      <c r="AS49" s="46">
        <v>0</v>
      </c>
      <c r="AT49" s="46">
        <v>0</v>
      </c>
      <c r="AU49" s="46">
        <v>0</v>
      </c>
      <c r="AV49" s="46">
        <v>0</v>
      </c>
      <c r="AW49" s="46">
        <v>0</v>
      </c>
      <c r="AX49" s="46">
        <v>0</v>
      </c>
      <c r="AY49" s="46">
        <v>0</v>
      </c>
      <c r="AZ49" s="46">
        <v>0</v>
      </c>
      <c r="BA49" s="46">
        <v>0</v>
      </c>
      <c r="BB49" s="46">
        <v>0</v>
      </c>
      <c r="BC49" s="46">
        <v>0</v>
      </c>
      <c r="BD49" s="46">
        <v>0</v>
      </c>
      <c r="BE49" s="46">
        <v>0</v>
      </c>
      <c r="BF49" s="46">
        <v>0</v>
      </c>
      <c r="BG49" s="46">
        <v>0</v>
      </c>
      <c r="BH49" s="46">
        <v>0</v>
      </c>
      <c r="BI49" s="46">
        <v>0</v>
      </c>
      <c r="BJ49" s="46">
        <v>0</v>
      </c>
      <c r="BK49" s="46">
        <v>0</v>
      </c>
      <c r="BL49" s="46">
        <v>0</v>
      </c>
      <c r="BM49" s="46">
        <v>0</v>
      </c>
      <c r="BN49" s="46">
        <v>0</v>
      </c>
      <c r="BO49" s="46">
        <v>0</v>
      </c>
      <c r="BP49" s="46">
        <v>0</v>
      </c>
      <c r="BQ49" s="46">
        <v>0</v>
      </c>
      <c r="BR49" s="46">
        <v>0</v>
      </c>
      <c r="BS49" s="46">
        <v>0</v>
      </c>
      <c r="BT49" s="46">
        <v>0</v>
      </c>
      <c r="BU49" s="46">
        <v>0</v>
      </c>
      <c r="BV49" s="46">
        <v>0</v>
      </c>
      <c r="BW49" s="46">
        <v>0</v>
      </c>
      <c r="BX49" s="46">
        <v>0</v>
      </c>
      <c r="BY49" s="46">
        <v>0</v>
      </c>
      <c r="BZ49" s="46">
        <v>0</v>
      </c>
      <c r="CA49" s="46">
        <v>0</v>
      </c>
      <c r="CB49" s="46">
        <v>0</v>
      </c>
      <c r="CC49" s="46">
        <v>0</v>
      </c>
      <c r="CD49" s="46">
        <v>0</v>
      </c>
      <c r="CE49" s="46">
        <v>0</v>
      </c>
      <c r="CF49" s="46">
        <v>0</v>
      </c>
      <c r="CG49" s="46">
        <v>0</v>
      </c>
      <c r="CH49" s="46">
        <v>0</v>
      </c>
      <c r="CI49" s="46">
        <v>0</v>
      </c>
      <c r="CJ49" s="46">
        <v>0</v>
      </c>
      <c r="CK49" s="46">
        <v>0</v>
      </c>
      <c r="CL49" s="46">
        <v>0</v>
      </c>
      <c r="CM49" s="46">
        <v>0</v>
      </c>
      <c r="CN49" s="46">
        <v>0</v>
      </c>
      <c r="CO49" s="46">
        <v>0</v>
      </c>
      <c r="CP49" s="46">
        <v>0</v>
      </c>
      <c r="CQ49" s="46">
        <v>0</v>
      </c>
      <c r="CR49" s="46">
        <v>0</v>
      </c>
      <c r="CS49" s="46">
        <v>0</v>
      </c>
      <c r="CT49" s="46">
        <v>0</v>
      </c>
      <c r="CU49" s="46">
        <v>0</v>
      </c>
      <c r="CV49" s="46">
        <v>0</v>
      </c>
      <c r="CW49" s="46">
        <v>0</v>
      </c>
      <c r="CX49" s="46">
        <v>0</v>
      </c>
      <c r="CY49" s="46">
        <v>0</v>
      </c>
      <c r="CZ49" s="46">
        <v>0</v>
      </c>
      <c r="DA49" s="46">
        <v>0</v>
      </c>
      <c r="DB49" s="46">
        <v>0</v>
      </c>
    </row>
    <row r="50" spans="3:106" x14ac:dyDescent="0.25"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0"/>
      <c r="CI50" s="30"/>
      <c r="CJ50" s="30"/>
      <c r="CK50" s="30"/>
      <c r="CL50" s="30"/>
      <c r="CM50" s="30"/>
      <c r="CN50" s="30"/>
      <c r="CO50" s="30"/>
      <c r="CP50" s="30"/>
      <c r="CQ50" s="30"/>
      <c r="CR50" s="30"/>
      <c r="CS50" s="30"/>
      <c r="CT50" s="30"/>
      <c r="CU50" s="30"/>
      <c r="CV50" s="30"/>
      <c r="CW50" s="30"/>
      <c r="CX50" s="30"/>
      <c r="CY50" s="30"/>
      <c r="CZ50" s="30"/>
      <c r="DA50" s="30"/>
      <c r="DB50" s="30"/>
    </row>
    <row r="51" spans="1:106" x14ac:dyDescent="0.25">
      <c r="A51" s="9" t="s">
        <v>283</v>
      </c>
      <c r="B51" s="17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  <c r="CQ51" s="32"/>
      <c r="CR51" s="32"/>
      <c r="CS51" s="32"/>
      <c r="CT51" s="32"/>
      <c r="CU51" s="32"/>
      <c r="CV51" s="32"/>
      <c r="CW51" s="32"/>
      <c r="CX51" s="32"/>
      <c r="CY51" s="32"/>
      <c r="CZ51" s="32"/>
      <c r="DA51" s="32"/>
      <c r="DB51" s="32"/>
    </row>
    <row r="52" ht="15" customHeight="1" spans="1:106" x14ac:dyDescent="0.25">
      <c r="A52" s="33" t="s">
        <v>284</v>
      </c>
      <c r="B52" s="17"/>
      <c r="C52" s="34">
        <f>=IFERROR(1-((1-C53)*(1-C58)),0)</f>
        <v>0</v>
      </c>
      <c r="D52" s="34">
        <f>=IFERROR(1-((1-D53)*(1-D58)),0)</f>
        <v>0</v>
      </c>
      <c r="E52" s="34">
        <f>=IFERROR(1-((1-E53)*(1-E58)),0)</f>
        <v>0</v>
      </c>
      <c r="F52" s="34">
        <f>=IFERROR(1-((1-F53)*(1-F58)),0)</f>
        <v>0</v>
      </c>
      <c r="G52" s="34">
        <f>=IFERROR(1-((1-G53)*(1-G58)),0)</f>
        <v>0</v>
      </c>
      <c r="H52" s="34">
        <f>=IFERROR(1-((1-H53)*(1-H58)),0)</f>
        <v>0</v>
      </c>
      <c r="I52" s="34">
        <f>=IFERROR(1-((1-I53)*(1-I58)),0)</f>
        <v>0</v>
      </c>
      <c r="J52" s="34">
        <f>=IFERROR(1-((1-J53)*(1-J58)),0)</f>
        <v>0</v>
      </c>
      <c r="K52" s="34">
        <f>=IFERROR(1-((1-K53)*(1-K58)),0)</f>
        <v>0</v>
      </c>
      <c r="L52" s="34">
        <f>=IFERROR(1-((1-L53)*(1-L58)),0)</f>
        <v>0</v>
      </c>
      <c r="M52" s="34">
        <f>=IFERROR(1-((1-M53)*(1-M58)),0)</f>
        <v>0</v>
      </c>
      <c r="N52" s="34">
        <f>=IFERROR(1-((1-N53)*(1-N58)),0)</f>
        <v>0</v>
      </c>
      <c r="O52" s="34">
        <f>=IFERROR(1-((1-O53)*(1-O58)),0)</f>
        <v>0</v>
      </c>
      <c r="P52" s="34">
        <f>=IFERROR(1-((1-P53)*(1-P58)),0)</f>
        <v>0</v>
      </c>
      <c r="Q52" s="34">
        <f>=IFERROR(1-((1-Q53)*(1-Q58)),0)</f>
        <v>0</v>
      </c>
      <c r="R52" s="34">
        <f>=IFERROR(1-((1-R53)*(1-R58)),0)</f>
        <v>0</v>
      </c>
      <c r="S52" s="34">
        <f>=IFERROR(1-((1-S53)*(1-S58)),0)</f>
        <v>0</v>
      </c>
      <c r="T52" s="34">
        <f>=IFERROR(1-((1-T53)*(1-T58)),0)</f>
        <v>0</v>
      </c>
      <c r="U52" s="34">
        <f>=IFERROR(1-((1-U53)*(1-U58)),0)</f>
        <v>0</v>
      </c>
      <c r="V52" s="34">
        <f>=IFERROR(1-((1-V53)*(1-V58)),0)</f>
        <v>0</v>
      </c>
      <c r="W52" s="34">
        <f>=IFERROR(1-((1-W53)*(1-W58)),0)</f>
        <v>0</v>
      </c>
      <c r="X52" s="34">
        <f>=IFERROR(1-((1-X53)*(1-X58)),0)</f>
        <v>0</v>
      </c>
      <c r="Y52" s="34">
        <f>=IFERROR(1-((1-Y53)*(1-Y58)),0)</f>
        <v>0</v>
      </c>
      <c r="Z52" s="34">
        <f>=IFERROR(1-((1-Z53)*(1-Z58)),0)</f>
        <v>0</v>
      </c>
      <c r="AA52" s="34">
        <f>=IFERROR(1-((1-AA53)*(1-AA58)),0)</f>
        <v>0</v>
      </c>
      <c r="AB52" s="34">
        <f>=IFERROR(1-((1-AB53)*(1-AB58)),0)</f>
        <v>0</v>
      </c>
      <c r="AC52" s="34">
        <f>=IFERROR(1-((1-AC53)*(1-AC58)),0)</f>
        <v>0</v>
      </c>
      <c r="AD52" s="34">
        <f>=IFERROR(1-((1-AD53)*(1-AD58)),0)</f>
        <v>0</v>
      </c>
      <c r="AE52" s="34">
        <f>=IFERROR(1-((1-AE53)*(1-AE58)),0)</f>
        <v>0.0128205128205128</v>
      </c>
      <c r="AF52" s="34">
        <f>=IFERROR(1-((1-AF53)*(1-AF58)),0)</f>
        <v>0</v>
      </c>
      <c r="AG52" s="34">
        <f>=IFERROR(1-((1-AG53)*(1-AG58)),0)</f>
        <v>0.0063897763578276</v>
      </c>
      <c r="AH52" s="34">
        <f>=IFERROR(1-((1-AH53)*(1-AH58)),0)</f>
        <v>0.0418719211822662</v>
      </c>
      <c r="AI52" s="34">
        <f>=IFERROR(1-((1-AI53)*(1-AI58)),0)</f>
        <v>0.0701754385964912</v>
      </c>
      <c r="AJ52" s="34">
        <f>=IFERROR(1-((1-AJ53)*(1-AJ58)),0)</f>
        <v>0.0956826137689614</v>
      </c>
      <c r="AK52" s="34">
        <f>=IFERROR(1-((1-AK53)*(1-AK58)),0)</f>
        <v>0.048723897911833</v>
      </c>
      <c r="AL52" s="34">
        <f>=IFERROR(1-((1-AL53)*(1-AL58)),0)</f>
        <v>0.079734219269103</v>
      </c>
      <c r="AM52" s="34">
        <f>=IFERROR(1-((1-AM53)*(1-AM58)),0)</f>
        <v>0.0922222222222226</v>
      </c>
      <c r="AN52" s="34">
        <f>=IFERROR(1-((1-AN53)*(1-AN58)),0)</f>
        <v>0.1487068965517243</v>
      </c>
      <c r="AO52" s="34">
        <f>=IFERROR(1-((1-AO53)*(1-AO58)),0)</f>
        <v>0.1374722838137472</v>
      </c>
      <c r="AP52" s="34">
        <f>=IFERROR(1-((1-AP53)*(1-AP58)),0)</f>
        <v>0.072429906542056</v>
      </c>
      <c r="AQ52" s="34">
        <f>=IFERROR(1-((1-AQ53)*(1-AQ58)),0)</f>
        <v>0.0254924681344148</v>
      </c>
      <c r="AR52" s="34">
        <f>=IFERROR(1-((1-AR53)*(1-AR58)),0)</f>
        <v>0</v>
      </c>
      <c r="AS52" s="34">
        <f>=IFERROR(1-((1-AS53)*(1-AS58)),0)</f>
        <v>0.0386803185437998</v>
      </c>
      <c r="AT52" s="34">
        <f>=IFERROR(1-((1-AT53)*(1-AT58)),0)</f>
        <v>0.0011098779134298</v>
      </c>
      <c r="AU52" s="34">
        <f>=IFERROR(1-((1-AU53)*(1-AU58)),0)</f>
        <v>0.0044052863436122</v>
      </c>
      <c r="AV52" s="34">
        <f>=IFERROR(1-((1-AV53)*(1-AV58)),0)</f>
        <v>0.0507726269315674</v>
      </c>
      <c r="AW52" s="34">
        <f>=IFERROR(1-((1-AW53)*(1-AW58)),0)</f>
        <v>0.009922822491731</v>
      </c>
      <c r="AX52" s="34">
        <f>=IFERROR(1-((1-AX53)*(1-AX58)),0)</f>
        <v>0.0530973451327434</v>
      </c>
      <c r="AY52" s="34">
        <f>=IFERROR(1-((1-AY53)*(1-AY58)),0)</f>
        <v>0.0631120783460282</v>
      </c>
      <c r="AZ52" s="34">
        <f>=IFERROR(1-((1-AZ53)*(1-AZ58)),0)</f>
        <v>0.067403314917127</v>
      </c>
      <c r="BA52" s="34">
        <f>=IFERROR(1-((1-BA53)*(1-BA58)),0)</f>
        <v>0.0035335689045936</v>
      </c>
      <c r="BB52" s="34">
        <f>=IFERROR(1-((1-BB53)*(1-BB58)),0)</f>
        <v>0.0359355638166046</v>
      </c>
      <c r="BC52" s="34">
        <f>=IFERROR(1-((1-BC53)*(1-BC58)),0)</f>
        <v>0.0330760749724366</v>
      </c>
      <c r="BD52" s="34">
        <f>=IFERROR(1-((1-BD53)*(1-BD58)),0)</f>
        <v>0.0221238938053096</v>
      </c>
      <c r="BE52" s="34">
        <f>=IFERROR(1-((1-BE53)*(1-BE58)),0)</f>
        <v>0.063947078280044</v>
      </c>
      <c r="BF52" s="34">
        <f>=IFERROR(1-((1-BF53)*(1-BF58)),0)</f>
        <v>0.0673289183222958</v>
      </c>
      <c r="BG52" s="34">
        <f>=IFERROR(1-((1-BG53)*(1-BG58)),0)</f>
        <v>0.0077951002227172</v>
      </c>
      <c r="BH52" s="34">
        <f>=IFERROR(1-((1-BH53)*(1-BH58)),0)</f>
        <v>0.0537280701754386</v>
      </c>
      <c r="BI52" s="34">
        <f>=IFERROR(1-((1-BI53)*(1-BI58)),0)</f>
        <v>0.0161662817551962</v>
      </c>
      <c r="BJ52" s="34">
        <f>=IFERROR(1-((1-BJ53)*(1-BJ58)),0)</f>
        <v>0.0550660792951542</v>
      </c>
      <c r="BK52" s="34">
        <f>=IFERROR(1-((1-BK53)*(1-BK58)),0)</f>
        <v>0.0581140350877192</v>
      </c>
      <c r="BL52" s="34">
        <f>=IFERROR(1-((1-BL53)*(1-BL58)),0)</f>
        <v>0.0502283105022832</v>
      </c>
      <c r="BM52" s="34">
        <f>=IFERROR(1-((1-BM53)*(1-BM58)),0)</f>
        <v>0.0420560747663552</v>
      </c>
      <c r="BN52" s="34">
        <f>=IFERROR(1-((1-BN53)*(1-BN58)),0)</f>
        <v>0.050233644859813</v>
      </c>
      <c r="BO52" s="34">
        <f>=IFERROR(1-((1-BO53)*(1-BO58)),0)</f>
        <v>0.1145833333333333</v>
      </c>
      <c r="BP52" s="34">
        <f>=IFERROR(1-((1-BP53)*(1-BP58)),0)</f>
        <v>0.0619883040935672</v>
      </c>
      <c r="BQ52" s="34">
        <f>=IFERROR(1-((1-BQ53)*(1-BQ58)),0)</f>
        <v>0.0572429906542056</v>
      </c>
      <c r="BR52" s="34">
        <f>=IFERROR(1-((1-BR53)*(1-BR58)),0)</f>
        <v>0</v>
      </c>
      <c r="BS52" s="34">
        <f>=IFERROR(1-((1-BS53)*(1-BS58)),0)</f>
        <v>0.0968494749124854</v>
      </c>
      <c r="BT52" s="34">
        <f>=IFERROR(1-((1-BT53)*(1-BT58)),0)</f>
        <v>0.1831971995332554</v>
      </c>
      <c r="BU52" s="34">
        <f>=IFERROR(1-((1-BU53)*(1-BU58)),0)</f>
        <v>0.1918767507002803</v>
      </c>
      <c r="BV52" s="34">
        <f>=IFERROR(1-((1-BV53)*(1-BV58)),0)</f>
        <v>0.0987482614742698</v>
      </c>
      <c r="BW52" s="34">
        <f>=IFERROR(1-((1-BW53)*(1-BW58)),0)</f>
        <v>0.1021897810218978</v>
      </c>
      <c r="BX52" s="34">
        <f>=IFERROR(1-((1-BX53)*(1-BX58)),0)</f>
        <v>0</v>
      </c>
      <c r="BY52" s="34">
        <f>=IFERROR(1-((1-BY53)*(1-BY58)),0)</f>
        <v>0</v>
      </c>
      <c r="BZ52" s="34">
        <f>=IFERROR(1-((1-BZ53)*(1-BZ58)),0)</f>
        <v>0</v>
      </c>
      <c r="CA52" s="34">
        <f>=IFERROR(1-((1-CA53)*(1-CA58)),0)</f>
        <v>0</v>
      </c>
      <c r="CB52" s="34">
        <f>=IFERROR(1-((1-CB53)*(1-CB58)),0)</f>
        <v>0</v>
      </c>
      <c r="CC52" s="34">
        <f>=IFERROR(1-((1-CC53)*(1-CC58)),0)</f>
        <v>0</v>
      </c>
      <c r="CD52" s="34">
        <f>=IFERROR(1-((1-CD53)*(1-CD58)),0)</f>
        <v>0</v>
      </c>
      <c r="CE52" s="34">
        <f>=IFERROR(1-((1-CE53)*(1-CE58)),0)</f>
        <v>0</v>
      </c>
      <c r="CF52" s="34">
        <f>=IFERROR(1-((1-CF53)*(1-CF58)),0)</f>
        <v>0</v>
      </c>
      <c r="CG52" s="34">
        <f>=IFERROR(1-((1-CG53)*(1-CG58)),0)</f>
        <v>0</v>
      </c>
      <c r="CH52" s="34">
        <f>=IFERROR(1-((1-CH53)*(1-CH58)),0)</f>
        <v>0</v>
      </c>
      <c r="CI52" s="34">
        <f>=IFERROR(1-((1-CI53)*(1-CI58)),0)</f>
        <v>0</v>
      </c>
      <c r="CJ52" s="34">
        <f>=IFERROR(1-((1-CJ53)*(1-CJ58)),0)</f>
        <v>0</v>
      </c>
      <c r="CK52" s="34">
        <f>=IFERROR(1-((1-CK53)*(1-CK58)),0)</f>
        <v>0</v>
      </c>
      <c r="CL52" s="34">
        <f>=IFERROR(1-((1-CL53)*(1-CL58)),0)</f>
        <v>0</v>
      </c>
      <c r="CM52" s="34">
        <f>=IFERROR(1-((1-CM53)*(1-CM58)),0)</f>
        <v>0</v>
      </c>
      <c r="CN52" s="34">
        <f>=IFERROR(1-((1-CN53)*(1-CN58)),0)</f>
        <v>0</v>
      </c>
      <c r="CO52" s="34">
        <f>=IFERROR(1-((1-CO53)*(1-CO58)),0)</f>
        <v>0</v>
      </c>
      <c r="CP52" s="34">
        <f>=IFERROR(1-((1-CP53)*(1-CP58)),0)</f>
        <v>0</v>
      </c>
      <c r="CQ52" s="34">
        <f>=IFERROR(1-((1-CQ53)*(1-CQ58)),0)</f>
        <v>0</v>
      </c>
      <c r="CR52" s="34">
        <f>=IFERROR(1-((1-CR53)*(1-CR58)),0)</f>
        <v>0</v>
      </c>
      <c r="CS52" s="34">
        <f>=IFERROR(1-((1-CS53)*(1-CS58)),0)</f>
        <v>0</v>
      </c>
      <c r="CT52" s="34">
        <f>=IFERROR(1-((1-CT53)*(1-CT58)),0)</f>
        <v>0</v>
      </c>
      <c r="CU52" s="34">
        <f>=IFERROR(1-((1-CU53)*(1-CU58)),0)</f>
        <v>0</v>
      </c>
      <c r="CV52" s="34">
        <f>=IFERROR(1-((1-CV53)*(1-CV58)),0)</f>
        <v>0</v>
      </c>
      <c r="CW52" s="34">
        <f>=IFERROR(1-((1-CW53)*(1-CW58)),0)</f>
        <v>0</v>
      </c>
      <c r="CX52" s="34">
        <f>=IFERROR(1-((1-CX53)*(1-CX58)),0)</f>
        <v>0</v>
      </c>
      <c r="CY52" s="34">
        <f>=IFERROR(1-((1-CY53)*(1-CY58)),0)</f>
        <v>0</v>
      </c>
      <c r="CZ52" s="34">
        <f>=IFERROR(1-((1-CZ53)*(1-CZ58)),0)</f>
        <v>0</v>
      </c>
      <c r="DA52" s="34">
        <f>=IFERROR(1-((1-DA53)*(1-DA58)),0)</f>
        <v>0</v>
      </c>
      <c r="DB52" s="34">
        <f>=IFERROR(1-((1-DB53)*(1-DB58)),0)</f>
        <v>0</v>
      </c>
    </row>
    <row r="53" ht="15" customHeight="1" spans="1:106" x14ac:dyDescent="0.25">
      <c r="A53" s="16" t="s">
        <v>285</v>
      </c>
      <c r="B53" s="17"/>
      <c r="C53" s="35">
        <f>=SUM(C54:C57)</f>
        <v>0</v>
      </c>
      <c r="D53" s="35">
        <f>=SUM(D54:D57)</f>
        <v>0</v>
      </c>
      <c r="E53" s="35">
        <f>=SUM(E54:E57)</f>
        <v>0</v>
      </c>
      <c r="F53" s="35">
        <f>=SUM(F54:F57)</f>
        <v>0</v>
      </c>
      <c r="G53" s="35">
        <f>=SUM(G54:G57)</f>
        <v>0</v>
      </c>
      <c r="H53" s="35">
        <f>=SUM(H54:H57)</f>
        <v>0</v>
      </c>
      <c r="I53" s="35">
        <f>=SUM(I54:I57)</f>
        <v>0</v>
      </c>
      <c r="J53" s="35">
        <f>=SUM(J54:J57)</f>
        <v>0</v>
      </c>
      <c r="K53" s="35">
        <f>=SUM(K54:K57)</f>
        <v>0</v>
      </c>
      <c r="L53" s="35">
        <f>=SUM(L54:L57)</f>
        <v>0</v>
      </c>
      <c r="M53" s="35">
        <f>=SUM(M54:M57)</f>
        <v>0</v>
      </c>
      <c r="N53" s="35">
        <f>=SUM(N54:N57)</f>
        <v>0</v>
      </c>
      <c r="O53" s="35">
        <f>=SUM(O54:O57)</f>
        <v>0</v>
      </c>
      <c r="P53" s="35">
        <f>=SUM(P54:P57)</f>
        <v>0</v>
      </c>
      <c r="Q53" s="35">
        <f>=SUM(Q54:Q57)</f>
        <v>0</v>
      </c>
      <c r="R53" s="35">
        <f>=SUM(R54:R57)</f>
        <v>0</v>
      </c>
      <c r="S53" s="35">
        <f>=SUM(S54:S57)</f>
        <v>0</v>
      </c>
      <c r="T53" s="35">
        <f>=SUM(T54:T57)</f>
        <v>0</v>
      </c>
      <c r="U53" s="35">
        <f>=SUM(U54:U57)</f>
        <v>0</v>
      </c>
      <c r="V53" s="35">
        <f>=SUM(V54:V57)</f>
        <v>0</v>
      </c>
      <c r="W53" s="35">
        <f>=SUM(W54:W57)</f>
        <v>0</v>
      </c>
      <c r="X53" s="35">
        <f>=SUM(X54:X57)</f>
        <v>0</v>
      </c>
      <c r="Y53" s="35">
        <f>=SUM(Y54:Y57)</f>
        <v>0</v>
      </c>
      <c r="Z53" s="35">
        <f>=SUM(Z54:Z57)</f>
        <v>0</v>
      </c>
      <c r="AA53" s="35">
        <f>=SUM(AA54:AA57)</f>
        <v>0</v>
      </c>
      <c r="AB53" s="35">
        <f>=SUM(AB54:AB57)</f>
        <v>0</v>
      </c>
      <c r="AC53" s="35">
        <f>=SUM(AC54:AC57)</f>
        <v>0</v>
      </c>
      <c r="AD53" s="35">
        <f>=SUM(AD54:AD57)</f>
        <v>0</v>
      </c>
      <c r="AE53" s="35">
        <f>=SUM(AE54:AE57)</f>
        <v>0.01282051282051282</v>
      </c>
      <c r="AF53" s="35">
        <f>=SUM(AF54:AF57)</f>
        <v>0</v>
      </c>
      <c r="AG53" s="35">
        <f>=SUM(AG54:AG57)</f>
        <v>0.006389776357827476</v>
      </c>
      <c r="AH53" s="35">
        <f>=SUM(AH54:AH57)</f>
        <v>0.04187192118226601</v>
      </c>
      <c r="AI53" s="35">
        <f>=SUM(AI54:AI57)</f>
        <v>0.07017543859649122</v>
      </c>
      <c r="AJ53" s="35">
        <f>=SUM(AJ54:AJ57)</f>
        <v>0.09568261376896149</v>
      </c>
      <c r="AK53" s="35">
        <f>=SUM(AK54:AK57)</f>
        <v>0.048723897911832945</v>
      </c>
      <c r="AL53" s="35">
        <f>=SUM(AL54:AL57)</f>
        <v>0.07973421926910298</v>
      </c>
      <c r="AM53" s="35">
        <f>=SUM(AM54:AM57)</f>
        <v>0.09222222222222223</v>
      </c>
      <c r="AN53" s="35">
        <f>=SUM(AN54:AN57)</f>
        <v>0.14870689655172414</v>
      </c>
      <c r="AO53" s="35">
        <f>=SUM(AO54:AO57)</f>
        <v>0.1374722838137472</v>
      </c>
      <c r="AP53" s="35">
        <f>=SUM(AP54:AP57)</f>
        <v>0.07242990654205607</v>
      </c>
      <c r="AQ53" s="35">
        <f>=SUM(AQ54:AQ57)</f>
        <v>0.02549246813441483</v>
      </c>
      <c r="AR53" s="35">
        <f>=SUM(AR54:AR57)</f>
        <v>0</v>
      </c>
      <c r="AS53" s="35">
        <f>=SUM(AS54:AS57)</f>
        <v>0.038680318543799774</v>
      </c>
      <c r="AT53" s="35">
        <f>=SUM(AT54:AT57)</f>
        <v>0.0011098779134295228</v>
      </c>
      <c r="AU53" s="35">
        <f>=SUM(AU54:AU57)</f>
        <v>0.004405286343612335</v>
      </c>
      <c r="AV53" s="35">
        <f>=SUM(AV54:AV57)</f>
        <v>0.05077262693156734</v>
      </c>
      <c r="AW53" s="35">
        <f>=SUM(AW54:AW57)</f>
        <v>0.00992282249173098</v>
      </c>
      <c r="AX53" s="35">
        <f>=SUM(AX54:AX57)</f>
        <v>0.05309734513274336</v>
      </c>
      <c r="AY53" s="35">
        <f>=SUM(AY54:AY57)</f>
        <v>0.06311207834602829</v>
      </c>
      <c r="AZ53" s="35">
        <f>=SUM(AZ54:AZ57)</f>
        <v>0.06740331491712707</v>
      </c>
      <c r="BA53" s="35">
        <f>=SUM(BA54:BA57)</f>
        <v>0.0035335689045936395</v>
      </c>
      <c r="BB53" s="35">
        <f>=SUM(BB54:BB57)</f>
        <v>0.03593556381660471</v>
      </c>
      <c r="BC53" s="35">
        <f>=SUM(BC54:BC57)</f>
        <v>0.03307607497243661</v>
      </c>
      <c r="BD53" s="35">
        <f>=SUM(BD54:BD57)</f>
        <v>0.022123893805309738</v>
      </c>
      <c r="BE53" s="35">
        <f>=SUM(BE54:BE57)</f>
        <v>0.0639470782800441</v>
      </c>
      <c r="BF53" s="35">
        <f>=SUM(BF54:BF57)</f>
        <v>0.0673289183222958</v>
      </c>
      <c r="BG53" s="35">
        <f>=SUM(BG54:BG57)</f>
        <v>0.007795100222717149</v>
      </c>
      <c r="BH53" s="35">
        <f>=SUM(BH54:BH57)</f>
        <v>0.05372807017543859</v>
      </c>
      <c r="BI53" s="35">
        <f>=SUM(BI54:BI57)</f>
        <v>0.016166281755196302</v>
      </c>
      <c r="BJ53" s="35">
        <f>=SUM(BJ54:BJ57)</f>
        <v>0.05506607929515419</v>
      </c>
      <c r="BK53" s="35">
        <f>=SUM(BK54:BK57)</f>
        <v>0.0581140350877193</v>
      </c>
      <c r="BL53" s="35">
        <f>=SUM(BL54:BL57)</f>
        <v>0.0502283105022831</v>
      </c>
      <c r="BM53" s="35">
        <f>=SUM(BM54:BM57)</f>
        <v>0.04205607476635514</v>
      </c>
      <c r="BN53" s="35">
        <f>=SUM(BN54:BN57)</f>
        <v>0.05023364485981308</v>
      </c>
      <c r="BO53" s="35">
        <f>=SUM(BO54:BO57)</f>
        <v>0.11458333333333331</v>
      </c>
      <c r="BP53" s="35">
        <f>=SUM(BP54:BP57)</f>
        <v>0.06198830409356725</v>
      </c>
      <c r="BQ53" s="35">
        <f>=SUM(BQ54:BQ57)</f>
        <v>0.05724299065420561</v>
      </c>
      <c r="BR53" s="35">
        <f>=SUM(BR54:BR57)</f>
        <v>0</v>
      </c>
      <c r="BS53" s="35">
        <f>=SUM(BS54:BS57)</f>
        <v>0.09684947491248541</v>
      </c>
      <c r="BT53" s="35">
        <f>=SUM(BT54:BT57)</f>
        <v>0.18319719953325556</v>
      </c>
      <c r="BU53" s="35">
        <f>=SUM(BU54:BU57)</f>
        <v>0.1918767507002801</v>
      </c>
      <c r="BV53" s="35">
        <f>=SUM(BV54:BV57)</f>
        <v>0.09874826147426981</v>
      </c>
      <c r="BW53" s="35">
        <f>=SUM(BW54:BW57)</f>
        <v>0.10218978102189782</v>
      </c>
      <c r="BX53" s="35">
        <f>=SUM(BX54:BX57)</f>
        <v>0</v>
      </c>
      <c r="BY53" s="35">
        <f>=SUM(BY54:BY57)</f>
        <v>0</v>
      </c>
      <c r="BZ53" s="35">
        <f>=SUM(BZ54:BZ57)</f>
        <v>0</v>
      </c>
      <c r="CA53" s="35">
        <f>=SUM(CA54:CA57)</f>
        <v>0</v>
      </c>
      <c r="CB53" s="35">
        <f>=SUM(CB54:CB57)</f>
        <v>0</v>
      </c>
      <c r="CC53" s="35">
        <f>=SUM(CC54:CC57)</f>
        <v>0</v>
      </c>
      <c r="CD53" s="35">
        <f>=SUM(CD54:CD57)</f>
        <v>0</v>
      </c>
      <c r="CE53" s="35">
        <f>=SUM(CE54:CE57)</f>
        <v>0</v>
      </c>
      <c r="CF53" s="35">
        <f>=SUM(CF54:CF57)</f>
        <v>0</v>
      </c>
      <c r="CG53" s="35">
        <f>=SUM(CG54:CG57)</f>
        <v>0</v>
      </c>
      <c r="CH53" s="35">
        <f>=SUM(CH54:CH57)</f>
        <v>0</v>
      </c>
      <c r="CI53" s="35">
        <f>=SUM(CI54:CI57)</f>
        <v>0</v>
      </c>
      <c r="CJ53" s="35">
        <f>=SUM(CJ54:CJ57)</f>
        <v>0</v>
      </c>
      <c r="CK53" s="35">
        <f>=SUM(CK54:CK57)</f>
        <v>0</v>
      </c>
      <c r="CL53" s="35">
        <f>=SUM(CL54:CL57)</f>
        <v>0</v>
      </c>
      <c r="CM53" s="35">
        <f>=SUM(CM54:CM57)</f>
        <v>0</v>
      </c>
      <c r="CN53" s="35">
        <f>=SUM(CN54:CN57)</f>
        <v>0</v>
      </c>
      <c r="CO53" s="35">
        <f>=SUM(CO54:CO57)</f>
        <v>0</v>
      </c>
      <c r="CP53" s="35">
        <f>=SUM(CP54:CP57)</f>
        <v>0</v>
      </c>
      <c r="CQ53" s="35">
        <f>=SUM(CQ54:CQ57)</f>
        <v>0</v>
      </c>
      <c r="CR53" s="35">
        <f>=SUM(CR54:CR57)</f>
        <v>0</v>
      </c>
      <c r="CS53" s="35">
        <f>=SUM(CS54:CS57)</f>
        <v>0</v>
      </c>
      <c r="CT53" s="35">
        <f>=SUM(CT54:CT57)</f>
        <v>0</v>
      </c>
      <c r="CU53" s="35">
        <f>=SUM(CU54:CU57)</f>
        <v>0</v>
      </c>
      <c r="CV53" s="35">
        <f>=SUM(CV54:CV57)</f>
        <v>0</v>
      </c>
      <c r="CW53" s="35">
        <f>=SUM(CW54:CW57)</f>
        <v>0</v>
      </c>
      <c r="CX53" s="35">
        <f>=SUM(CX54:CX57)</f>
        <v>0</v>
      </c>
      <c r="CY53" s="35">
        <f>=SUM(CY54:CY57)</f>
        <v>0</v>
      </c>
      <c r="CZ53" s="35">
        <f>=SUM(CZ54:CZ57)</f>
        <v>0</v>
      </c>
      <c r="DA53" s="35">
        <f>=SUM(DA54:DA57)</f>
        <v>0</v>
      </c>
      <c r="DB53" s="35">
        <f>=SUM(DB54:DB57)</f>
        <v>0</v>
      </c>
    </row>
    <row r="54" ht="18" customHeight="1" spans="1:106" x14ac:dyDescent="0.25">
      <c r="A54" s="36" t="s">
        <v>263</v>
      </c>
      <c r="B54" s="17"/>
      <c r="C54" s="37">
        <f>=IFERROR(C137/C132,0)</f>
        <v>0</v>
      </c>
      <c r="D54" s="37">
        <f>=IFERROR(D137/D132,0)</f>
        <v>0</v>
      </c>
      <c r="E54" s="37">
        <f>=IFERROR(E137/E132,0)</f>
        <v>0</v>
      </c>
      <c r="F54" s="37">
        <f>=IFERROR(F137/F132,0)</f>
        <v>0</v>
      </c>
      <c r="G54" s="37">
        <f>=IFERROR(G137/G132,0)</f>
        <v>0</v>
      </c>
      <c r="H54" s="37">
        <f>=IFERROR(H137/H132,0)</f>
        <v>0</v>
      </c>
      <c r="I54" s="37">
        <f>=IFERROR(I137/I132,0)</f>
        <v>0</v>
      </c>
      <c r="J54" s="37">
        <f>=IFERROR(J137/J132,0)</f>
        <v>0</v>
      </c>
      <c r="K54" s="37">
        <f>=IFERROR(K137/K132,0)</f>
        <v>0</v>
      </c>
      <c r="L54" s="37">
        <f>=IFERROR(L137/L132,0)</f>
        <v>0</v>
      </c>
      <c r="M54" s="37">
        <f>=IFERROR(M137/M132,0)</f>
        <v>0</v>
      </c>
      <c r="N54" s="37">
        <f>=IFERROR(N137/N132,0)</f>
        <v>0</v>
      </c>
      <c r="O54" s="37">
        <f>=IFERROR(O137/O132,0)</f>
        <v>0</v>
      </c>
      <c r="P54" s="37">
        <f>=IFERROR(P137/P132,0)</f>
        <v>0</v>
      </c>
      <c r="Q54" s="37">
        <f>=IFERROR(Q137/Q132,0)</f>
        <v>0</v>
      </c>
      <c r="R54" s="37">
        <f>=IFERROR(R137/R132,0)</f>
        <v>0</v>
      </c>
      <c r="S54" s="37">
        <f>=IFERROR(S137/S132,0)</f>
        <v>0</v>
      </c>
      <c r="T54" s="37">
        <f>=IFERROR(T137/T132,0)</f>
        <v>0</v>
      </c>
      <c r="U54" s="37">
        <f>=IFERROR(U137/U132,0)</f>
        <v>0</v>
      </c>
      <c r="V54" s="37">
        <f>=IFERROR(V137/V132,0)</f>
        <v>0</v>
      </c>
      <c r="W54" s="37">
        <f>=IFERROR(W137/W132,0)</f>
        <v>0</v>
      </c>
      <c r="X54" s="37">
        <f>=IFERROR(X137/X132,0)</f>
        <v>0</v>
      </c>
      <c r="Y54" s="37">
        <f>=IFERROR(Y137/Y132,0)</f>
        <v>0</v>
      </c>
      <c r="Z54" s="37">
        <f>=IFERROR(Z137/Z132,0)</f>
        <v>0</v>
      </c>
      <c r="AA54" s="37">
        <f>=IFERROR(AA137/AA132,0)</f>
        <v>0</v>
      </c>
      <c r="AB54" s="37">
        <f>=IFERROR(AB137/AB132,0)</f>
        <v>0</v>
      </c>
      <c r="AC54" s="37">
        <f>=IFERROR(AC137/AC132,0)</f>
        <v>0</v>
      </c>
      <c r="AD54" s="37">
        <f>=IFERROR(AD137/AD132,0)</f>
        <v>0</v>
      </c>
      <c r="AE54" s="37">
        <f>=IFERROR(AE137/AE132,0)</f>
        <v>0</v>
      </c>
      <c r="AF54" s="37">
        <f>=IFERROR(AF137/AF132,0)</f>
        <v>0</v>
      </c>
      <c r="AG54" s="37">
        <f>=IFERROR(AG137/AG132,0)</f>
        <v>0</v>
      </c>
      <c r="AH54" s="37">
        <f>=IFERROR(AH137/AH132,0)</f>
        <v>0.03940886699507389</v>
      </c>
      <c r="AI54" s="37">
        <f>=IFERROR(AI137/AI132,0)</f>
        <v>0.07017543859649122</v>
      </c>
      <c r="AJ54" s="37">
        <f>=IFERROR(AJ137/AJ132,0)</f>
        <v>0.09451575262543757</v>
      </c>
      <c r="AK54" s="37">
        <f>=IFERROR(AK137/AK132,0)</f>
        <v>0.04060324825986079</v>
      </c>
      <c r="AL54" s="37">
        <f>=IFERROR(AL137/AL132,0)</f>
        <v>0.07641196013289037</v>
      </c>
      <c r="AM54" s="37">
        <f>=IFERROR(AM137/AM132,0)</f>
        <v>0.08888888888888889</v>
      </c>
      <c r="AN54" s="37">
        <f>=IFERROR(AN137/AN132,0)</f>
        <v>0.14870689655172414</v>
      </c>
      <c r="AO54" s="37">
        <f>=IFERROR(AO137/AO132,0)</f>
        <v>0.13303769401330376</v>
      </c>
      <c r="AP54" s="37">
        <f>=IFERROR(AP137/AP132,0)</f>
        <v>0.07126168224299065</v>
      </c>
      <c r="AQ54" s="37">
        <f>=IFERROR(AQ137/AQ132,0)</f>
        <v>0.009269988412514484</v>
      </c>
      <c r="AR54" s="37">
        <f>=IFERROR(AR137/AR132,0)</f>
        <v>0</v>
      </c>
      <c r="AS54" s="37">
        <f>=IFERROR(AS137/AS132,0)</f>
        <v>0.023890784982935155</v>
      </c>
      <c r="AT54" s="37">
        <f>=IFERROR(AT137/AT132,0)</f>
        <v>0</v>
      </c>
      <c r="AU54" s="37">
        <f>=IFERROR(AU137/AU132,0)</f>
        <v>0</v>
      </c>
      <c r="AV54" s="37">
        <f>=IFERROR(AV137/AV132,0)</f>
        <v>0.04415011037527594</v>
      </c>
      <c r="AW54" s="37">
        <f>=IFERROR(AW137/AW132,0)</f>
        <v>0.005512679162072767</v>
      </c>
      <c r="AX54" s="37">
        <f>=IFERROR(AX137/AX132,0)</f>
        <v>0.05309734513274336</v>
      </c>
      <c r="AY54" s="37">
        <f>=IFERROR(AY137/AY132,0)</f>
        <v>0.04352557127312296</v>
      </c>
      <c r="AZ54" s="37">
        <f>=IFERROR(AZ137/AZ132,0)</f>
        <v>0.04419889502762431</v>
      </c>
      <c r="BA54" s="37">
        <f>=IFERROR(BA137/BA132,0)</f>
        <v>0</v>
      </c>
      <c r="BB54" s="37">
        <f>=IFERROR(BB137/BB132,0)</f>
        <v>0.03593556381660471</v>
      </c>
      <c r="BC54" s="37">
        <f>=IFERROR(BC137/BC132,0)</f>
        <v>0.017640573318632856</v>
      </c>
      <c r="BD54" s="37">
        <f>=IFERROR(BD137/BD132,0)</f>
        <v>0.017699115044247787</v>
      </c>
      <c r="BE54" s="37">
        <f>=IFERROR(BE137/BE132,0)</f>
        <v>0.023153252480705624</v>
      </c>
      <c r="BF54" s="37">
        <f>=IFERROR(BF137/BF132,0)</f>
        <v>0.04746136865342163</v>
      </c>
      <c r="BG54" s="37">
        <f>=IFERROR(BG137/BG132,0)</f>
        <v>0</v>
      </c>
      <c r="BH54" s="37">
        <f>=IFERROR(BH137/BH132,0)</f>
        <v>0.02631578947368421</v>
      </c>
      <c r="BI54" s="37">
        <f>=IFERROR(BI137/BI132,0)</f>
        <v>0.005773672055427252</v>
      </c>
      <c r="BJ54" s="37">
        <f>=IFERROR(BJ137/BJ132,0)</f>
        <v>0.037444933920704845</v>
      </c>
      <c r="BK54" s="37">
        <f>=IFERROR(BK137/BK132,0)</f>
        <v>0.043859649122807015</v>
      </c>
      <c r="BL54" s="37">
        <f>=IFERROR(BL137/BL132,0)</f>
        <v>0.04794520547945205</v>
      </c>
      <c r="BM54" s="37">
        <f>=IFERROR(BM137/BM132,0)</f>
        <v>0.0397196261682243</v>
      </c>
      <c r="BN54" s="37">
        <f>=IFERROR(BN137/BN132,0)</f>
        <v>0.05023364485981308</v>
      </c>
      <c r="BO54" s="37">
        <f>=IFERROR(BO137/BO132,0)</f>
        <v>0.09259259259259259</v>
      </c>
      <c r="BP54" s="37">
        <f>=IFERROR(BP137/BP132,0)</f>
        <v>0.06198830409356725</v>
      </c>
      <c r="BQ54" s="37">
        <f>=IFERROR(BQ137/BQ132,0)</f>
        <v>0.05724299065420561</v>
      </c>
      <c r="BR54" s="37">
        <f>=IFERROR(BR137/BR132,0)</f>
        <v>0</v>
      </c>
      <c r="BS54" s="37">
        <f>=IFERROR(BS137/BS132,0)</f>
        <v>0.08984830805134189</v>
      </c>
      <c r="BT54" s="37">
        <f>=IFERROR(BT137/BT132,0)</f>
        <v>0.16102683780630106</v>
      </c>
      <c r="BU54" s="37">
        <f>=IFERROR(BU137/BU132,0)</f>
        <v>0.18347338935574228</v>
      </c>
      <c r="BV54" s="37">
        <f>=IFERROR(BV137/BV132,0)</f>
        <v>0.08484005563282336</v>
      </c>
      <c r="BW54" s="37">
        <f>=IFERROR(BW137/BW132,0)</f>
        <v>0.08759124087591241</v>
      </c>
      <c r="BX54" s="37">
        <f>=IFERROR(BX137/BX132,0)</f>
        <v>0</v>
      </c>
      <c r="BY54" s="37">
        <f>=IFERROR(BY137/BY132,0)</f>
        <v>0</v>
      </c>
      <c r="BZ54" s="37">
        <f>=IFERROR(BZ137/BZ132,0)</f>
        <v>0</v>
      </c>
      <c r="CA54" s="37">
        <f>=IFERROR(CA137/CA132,0)</f>
        <v>0</v>
      </c>
      <c r="CB54" s="37">
        <f>=IFERROR(CB137/CB132,0)</f>
        <v>0</v>
      </c>
      <c r="CC54" s="37">
        <f>=IFERROR(CC137/CC132,0)</f>
        <v>0</v>
      </c>
      <c r="CD54" s="37">
        <f>=IFERROR(CD137/CD132,0)</f>
        <v>0</v>
      </c>
      <c r="CE54" s="37">
        <f>=IFERROR(CE137/CE132,0)</f>
        <v>0</v>
      </c>
      <c r="CF54" s="37">
        <f>=IFERROR(CF137/CF132,0)</f>
        <v>0</v>
      </c>
      <c r="CG54" s="37">
        <f>=IFERROR(CG137/CG132,0)</f>
        <v>0</v>
      </c>
      <c r="CH54" s="37">
        <f>=IFERROR(CH137/CH132,0)</f>
        <v>0</v>
      </c>
      <c r="CI54" s="37">
        <f>=IFERROR(CI137/CI132,0)</f>
        <v>0</v>
      </c>
      <c r="CJ54" s="37">
        <f>=IFERROR(CJ137/CJ132,0)</f>
        <v>0</v>
      </c>
      <c r="CK54" s="37">
        <f>=IFERROR(CK137/CK132,0)</f>
        <v>0</v>
      </c>
      <c r="CL54" s="37">
        <f>=IFERROR(CL137/CL132,0)</f>
        <v>0</v>
      </c>
      <c r="CM54" s="37">
        <f>=IFERROR(CM137/CM132,0)</f>
        <v>0</v>
      </c>
      <c r="CN54" s="37">
        <f>=IFERROR(CN137/CN132,0)</f>
        <v>0</v>
      </c>
      <c r="CO54" s="37">
        <f>=IFERROR(CO137/CO132,0)</f>
        <v>0</v>
      </c>
      <c r="CP54" s="37">
        <f>=IFERROR(CP137/CP132,0)</f>
        <v>0</v>
      </c>
      <c r="CQ54" s="37">
        <f>=IFERROR(CQ137/CQ132,0)</f>
        <v>0</v>
      </c>
      <c r="CR54" s="37">
        <f>=IFERROR(CR137/CR132,0)</f>
        <v>0</v>
      </c>
      <c r="CS54" s="37">
        <f>=IFERROR(CS137/CS132,0)</f>
        <v>0</v>
      </c>
      <c r="CT54" s="37">
        <f>=IFERROR(CT137/CT132,0)</f>
        <v>0</v>
      </c>
      <c r="CU54" s="37">
        <f>=IFERROR(CU137/CU132,0)</f>
        <v>0</v>
      </c>
      <c r="CV54" s="37">
        <f>=IFERROR(CV137/CV132,0)</f>
        <v>0</v>
      </c>
      <c r="CW54" s="37">
        <f>=IFERROR(CW137/CW132,0)</f>
        <v>0</v>
      </c>
      <c r="CX54" s="37">
        <f>=IFERROR(CX137/CX132,0)</f>
        <v>0</v>
      </c>
      <c r="CY54" s="37">
        <f>=IFERROR(CY137/CY132,0)</f>
        <v>0</v>
      </c>
      <c r="CZ54" s="37">
        <f>=IFERROR(CZ137/CZ132,0)</f>
        <v>0</v>
      </c>
      <c r="DA54" s="37">
        <f>=IFERROR(DA137/DA132,0)</f>
        <v>0</v>
      </c>
      <c r="DB54" s="37">
        <f>=IFERROR(DB137/DB132,0)</f>
        <v>0</v>
      </c>
    </row>
    <row r="55" ht="18" customHeight="1" spans="1:106" x14ac:dyDescent="0.25">
      <c r="A55" s="36" t="s">
        <v>264</v>
      </c>
      <c r="B55" s="17"/>
      <c r="C55" s="37">
        <f>=IFERROR(C138/C132,0)</f>
        <v>0</v>
      </c>
      <c r="D55" s="37">
        <f>=IFERROR(D138/D132,0)</f>
        <v>0</v>
      </c>
      <c r="E55" s="37">
        <f>=IFERROR(E138/E132,0)</f>
        <v>0</v>
      </c>
      <c r="F55" s="37">
        <f>=IFERROR(F138/F132,0)</f>
        <v>0</v>
      </c>
      <c r="G55" s="37">
        <f>=IFERROR(G138/G132,0)</f>
        <v>0</v>
      </c>
      <c r="H55" s="37">
        <f>=IFERROR(H138/H132,0)</f>
        <v>0</v>
      </c>
      <c r="I55" s="37">
        <f>=IFERROR(I138/I132,0)</f>
        <v>0</v>
      </c>
      <c r="J55" s="37">
        <f>=IFERROR(J138/J132,0)</f>
        <v>0</v>
      </c>
      <c r="K55" s="37">
        <f>=IFERROR(K138/K132,0)</f>
        <v>0</v>
      </c>
      <c r="L55" s="37">
        <f>=IFERROR(L138/L132,0)</f>
        <v>0</v>
      </c>
      <c r="M55" s="37">
        <f>=IFERROR(M138/M132,0)</f>
        <v>0</v>
      </c>
      <c r="N55" s="37">
        <f>=IFERROR(N138/N132,0)</f>
        <v>0</v>
      </c>
      <c r="O55" s="37">
        <f>=IFERROR(O138/O132,0)</f>
        <v>0</v>
      </c>
      <c r="P55" s="37">
        <f>=IFERROR(P138/P132,0)</f>
        <v>0</v>
      </c>
      <c r="Q55" s="37">
        <f>=IFERROR(Q138/Q132,0)</f>
        <v>0</v>
      </c>
      <c r="R55" s="37">
        <f>=IFERROR(R138/R132,0)</f>
        <v>0</v>
      </c>
      <c r="S55" s="37">
        <f>=IFERROR(S138/S132,0)</f>
        <v>0</v>
      </c>
      <c r="T55" s="37">
        <f>=IFERROR(T138/T132,0)</f>
        <v>0</v>
      </c>
      <c r="U55" s="37">
        <f>=IFERROR(U138/U132,0)</f>
        <v>0</v>
      </c>
      <c r="V55" s="37">
        <f>=IFERROR(V138/V132,0)</f>
        <v>0</v>
      </c>
      <c r="W55" s="37">
        <f>=IFERROR(W138/W132,0)</f>
        <v>0</v>
      </c>
      <c r="X55" s="37">
        <f>=IFERROR(X138/X132,0)</f>
        <v>0</v>
      </c>
      <c r="Y55" s="37">
        <f>=IFERROR(Y138/Y132,0)</f>
        <v>0</v>
      </c>
      <c r="Z55" s="37">
        <f>=IFERROR(Z138/Z132,0)</f>
        <v>0</v>
      </c>
      <c r="AA55" s="37">
        <f>=IFERROR(AA138/AA132,0)</f>
        <v>0</v>
      </c>
      <c r="AB55" s="37">
        <f>=IFERROR(AB138/AB132,0)</f>
        <v>0</v>
      </c>
      <c r="AC55" s="37">
        <f>=IFERROR(AC138/AC132,0)</f>
        <v>0</v>
      </c>
      <c r="AD55" s="37">
        <f>=IFERROR(AD138/AD132,0)</f>
        <v>0</v>
      </c>
      <c r="AE55" s="37">
        <f>=IFERROR(AE138/AE132,0)</f>
        <v>0.01282051282051282</v>
      </c>
      <c r="AF55" s="37">
        <f>=IFERROR(AF138/AF132,0)</f>
        <v>0</v>
      </c>
      <c r="AG55" s="37">
        <f>=IFERROR(AG138/AG132,0)</f>
        <v>0.006389776357827476</v>
      </c>
      <c r="AH55" s="37">
        <f>=IFERROR(AH138/AH132,0)</f>
        <v>0.0024630541871921183</v>
      </c>
      <c r="AI55" s="37">
        <f>=IFERROR(AI138/AI132,0)</f>
        <v>0</v>
      </c>
      <c r="AJ55" s="37">
        <f>=IFERROR(AJ138/AJ132,0)</f>
        <v>0.0011668611435239206</v>
      </c>
      <c r="AK55" s="37">
        <f>=IFERROR(AK138/AK132,0)</f>
        <v>0.008120649651972157</v>
      </c>
      <c r="AL55" s="37">
        <f>=IFERROR(AL138/AL132,0)</f>
        <v>0.0033222591362126247</v>
      </c>
      <c r="AM55" s="37">
        <f>=IFERROR(AM138/AM132,0)</f>
        <v>0.0033333333333333335</v>
      </c>
      <c r="AN55" s="37">
        <f>=IFERROR(AN138/AN132,0)</f>
        <v>0</v>
      </c>
      <c r="AO55" s="37">
        <f>=IFERROR(AO138/AO132,0)</f>
        <v>0.004434589800443459</v>
      </c>
      <c r="AP55" s="37">
        <f>=IFERROR(AP138/AP132,0)</f>
        <v>0.0011682242990654205</v>
      </c>
      <c r="AQ55" s="37">
        <f>=IFERROR(AQ138/AQ132,0)</f>
        <v>0.016222479721900347</v>
      </c>
      <c r="AR55" s="37">
        <f>=IFERROR(AR138/AR132,0)</f>
        <v>0</v>
      </c>
      <c r="AS55" s="37">
        <f>=IFERROR(AS138/AS132,0)</f>
        <v>0.01478953356086462</v>
      </c>
      <c r="AT55" s="37">
        <f>=IFERROR(AT138/AT132,0)</f>
        <v>0.0011098779134295228</v>
      </c>
      <c r="AU55" s="37">
        <f>=IFERROR(AU138/AU132,0)</f>
        <v>0.004405286343612335</v>
      </c>
      <c r="AV55" s="37">
        <f>=IFERROR(AV138/AV132,0)</f>
        <v>0.006622516556291391</v>
      </c>
      <c r="AW55" s="37">
        <f>=IFERROR(AW138/AW132,0)</f>
        <v>0.004410143329658214</v>
      </c>
      <c r="AX55" s="37">
        <f>=IFERROR(AX138/AX132,0)</f>
        <v>0</v>
      </c>
      <c r="AY55" s="37">
        <f>=IFERROR(AY138/AY132,0)</f>
        <v>0.01958650707290533</v>
      </c>
      <c r="AZ55" s="37">
        <f>=IFERROR(AZ138/AZ132,0)</f>
        <v>0.023204419889502764</v>
      </c>
      <c r="BA55" s="37">
        <f>=IFERROR(BA138/BA132,0)</f>
        <v>0.0035335689045936395</v>
      </c>
      <c r="BB55" s="37">
        <f>=IFERROR(BB138/BB132,0)</f>
        <v>0</v>
      </c>
      <c r="BC55" s="37">
        <f>=IFERROR(BC138/BC132,0)</f>
        <v>0.015435501653803748</v>
      </c>
      <c r="BD55" s="37">
        <f>=IFERROR(BD138/BD132,0)</f>
        <v>0.004424778761061947</v>
      </c>
      <c r="BE55" s="37">
        <f>=IFERROR(BE138/BE132,0)</f>
        <v>0.040793825799338476</v>
      </c>
      <c r="BF55" s="37">
        <f>=IFERROR(BF138/BF132,0)</f>
        <v>0.019867549668874173</v>
      </c>
      <c r="BG55" s="37">
        <f>=IFERROR(BG138/BG132,0)</f>
        <v>0.0077951002227171495</v>
      </c>
      <c r="BH55" s="37">
        <f>=IFERROR(BH138/BH132,0)</f>
        <v>0.027412280701754384</v>
      </c>
      <c r="BI55" s="37">
        <f>=IFERROR(BI138/BI132,0)</f>
        <v>0.010392609699769052</v>
      </c>
      <c r="BJ55" s="37">
        <f>=IFERROR(BJ138/BJ132,0)</f>
        <v>0.01762114537444934</v>
      </c>
      <c r="BK55" s="37">
        <f>=IFERROR(BK138/BK132,0)</f>
        <v>0.01425438596491228</v>
      </c>
      <c r="BL55" s="37">
        <f>=IFERROR(BL138/BL132,0)</f>
        <v>0.00228310502283105</v>
      </c>
      <c r="BM55" s="37">
        <f>=IFERROR(BM138/BM132,0)</f>
        <v>0.002336448598130841</v>
      </c>
      <c r="BN55" s="37">
        <f>=IFERROR(BN138/BN132,0)</f>
        <v>0</v>
      </c>
      <c r="BO55" s="37">
        <f>=IFERROR(BO138/BO132,0)</f>
        <v>0.02199074074074074</v>
      </c>
      <c r="BP55" s="37">
        <f>=IFERROR(BP138/BP132,0)</f>
        <v>0</v>
      </c>
      <c r="BQ55" s="37">
        <f>=IFERROR(BQ138/BQ132,0)</f>
        <v>0</v>
      </c>
      <c r="BR55" s="37">
        <f>=IFERROR(BR138/BR132,0)</f>
        <v>0</v>
      </c>
      <c r="BS55" s="37">
        <f>=IFERROR(BS138/BS132,0)</f>
        <v>0.007001166861143524</v>
      </c>
      <c r="BT55" s="37">
        <f>=IFERROR(BT138/BT132,0)</f>
        <v>0.022170361726954493</v>
      </c>
      <c r="BU55" s="37">
        <f>=IFERROR(BU138/BU132,0)</f>
        <v>0.008403361344537815</v>
      </c>
      <c r="BV55" s="37">
        <f>=IFERROR(BV138/BV132,0)</f>
        <v>0.013908205841446454</v>
      </c>
      <c r="BW55" s="37">
        <f>=IFERROR(BW138/BW132,0)</f>
        <v>0.014598540145985401</v>
      </c>
      <c r="BX55" s="37">
        <f>=IFERROR(BX138/BX132,0)</f>
        <v>0</v>
      </c>
      <c r="BY55" s="37">
        <f>=IFERROR(BY138/BY132,0)</f>
        <v>0</v>
      </c>
      <c r="BZ55" s="37">
        <f>=IFERROR(BZ138/BZ132,0)</f>
        <v>0</v>
      </c>
      <c r="CA55" s="37">
        <f>=IFERROR(CA138/CA132,0)</f>
        <v>0</v>
      </c>
      <c r="CB55" s="37">
        <f>=IFERROR(CB138/CB132,0)</f>
        <v>0</v>
      </c>
      <c r="CC55" s="37">
        <f>=IFERROR(CC138/CC132,0)</f>
        <v>0</v>
      </c>
      <c r="CD55" s="37">
        <f>=IFERROR(CD138/CD132,0)</f>
        <v>0</v>
      </c>
      <c r="CE55" s="37">
        <f>=IFERROR(CE138/CE132,0)</f>
        <v>0</v>
      </c>
      <c r="CF55" s="37">
        <f>=IFERROR(CF138/CF132,0)</f>
        <v>0</v>
      </c>
      <c r="CG55" s="37">
        <f>=IFERROR(CG138/CG132,0)</f>
        <v>0</v>
      </c>
      <c r="CH55" s="37">
        <f>=IFERROR(CH138/CH132,0)</f>
        <v>0</v>
      </c>
      <c r="CI55" s="37">
        <f>=IFERROR(CI138/CI132,0)</f>
        <v>0</v>
      </c>
      <c r="CJ55" s="37">
        <f>=IFERROR(CJ138/CJ132,0)</f>
        <v>0</v>
      </c>
      <c r="CK55" s="37">
        <f>=IFERROR(CK138/CK132,0)</f>
        <v>0</v>
      </c>
      <c r="CL55" s="37">
        <f>=IFERROR(CL138/CL132,0)</f>
        <v>0</v>
      </c>
      <c r="CM55" s="37">
        <f>=IFERROR(CM138/CM132,0)</f>
        <v>0</v>
      </c>
      <c r="CN55" s="37">
        <f>=IFERROR(CN138/CN132,0)</f>
        <v>0</v>
      </c>
      <c r="CO55" s="37">
        <f>=IFERROR(CO138/CO132,0)</f>
        <v>0</v>
      </c>
      <c r="CP55" s="37">
        <f>=IFERROR(CP138/CP132,0)</f>
        <v>0</v>
      </c>
      <c r="CQ55" s="37">
        <f>=IFERROR(CQ138/CQ132,0)</f>
        <v>0</v>
      </c>
      <c r="CR55" s="37">
        <f>=IFERROR(CR138/CR132,0)</f>
        <v>0</v>
      </c>
      <c r="CS55" s="37">
        <f>=IFERROR(CS138/CS132,0)</f>
        <v>0</v>
      </c>
      <c r="CT55" s="37">
        <f>=IFERROR(CT138/CT132,0)</f>
        <v>0</v>
      </c>
      <c r="CU55" s="37">
        <f>=IFERROR(CU138/CU132,0)</f>
        <v>0</v>
      </c>
      <c r="CV55" s="37">
        <f>=IFERROR(CV138/CV132,0)</f>
        <v>0</v>
      </c>
      <c r="CW55" s="37">
        <f>=IFERROR(CW138/CW132,0)</f>
        <v>0</v>
      </c>
      <c r="CX55" s="37">
        <f>=IFERROR(CX138/CX132,0)</f>
        <v>0</v>
      </c>
      <c r="CY55" s="37">
        <f>=IFERROR(CY138/CY132,0)</f>
        <v>0</v>
      </c>
      <c r="CZ55" s="37">
        <f>=IFERROR(CZ138/CZ132,0)</f>
        <v>0</v>
      </c>
      <c r="DA55" s="37">
        <f>=IFERROR(DA138/DA132,0)</f>
        <v>0</v>
      </c>
      <c r="DB55" s="37">
        <f>=IFERROR(DB138/DB132,0)</f>
        <v>0</v>
      </c>
    </row>
    <row r="56" ht="15" customHeight="1" spans="1:106" x14ac:dyDescent="0.25">
      <c r="A56" s="36" t="s">
        <v>265</v>
      </c>
      <c r="B56" s="17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8"/>
      <c r="BG56" s="38"/>
      <c r="BH56" s="38"/>
      <c r="BI56" s="38"/>
      <c r="BJ56" s="38"/>
      <c r="BK56" s="38"/>
      <c r="BL56" s="38"/>
      <c r="BM56" s="38"/>
      <c r="BN56" s="38"/>
      <c r="BO56" s="38"/>
      <c r="BP56" s="38"/>
      <c r="BQ56" s="38"/>
      <c r="BR56" s="38"/>
      <c r="BS56" s="38"/>
      <c r="BT56" s="38"/>
      <c r="BU56" s="38"/>
      <c r="BV56" s="38"/>
      <c r="BW56" s="38"/>
      <c r="BX56" s="38"/>
      <c r="BY56" s="38"/>
      <c r="BZ56" s="38"/>
      <c r="CA56" s="38"/>
      <c r="CB56" s="38"/>
      <c r="CC56" s="38"/>
      <c r="CD56" s="38"/>
      <c r="CE56" s="38"/>
      <c r="CF56" s="38"/>
      <c r="CG56" s="38"/>
      <c r="CH56" s="38"/>
      <c r="CI56" s="38"/>
      <c r="CJ56" s="38"/>
      <c r="CK56" s="38"/>
      <c r="CL56" s="38"/>
      <c r="CM56" s="38"/>
      <c r="CN56" s="38"/>
      <c r="CO56" s="38"/>
      <c r="CP56" s="38"/>
      <c r="CQ56" s="38"/>
      <c r="CR56" s="38"/>
      <c r="CS56" s="38"/>
      <c r="CT56" s="38"/>
      <c r="CU56" s="38"/>
      <c r="CV56" s="38"/>
      <c r="CW56" s="38"/>
      <c r="CX56" s="38"/>
      <c r="CY56" s="38"/>
      <c r="CZ56" s="38"/>
      <c r="DA56" s="38"/>
      <c r="DB56" s="38"/>
    </row>
    <row r="57" ht="15" customHeight="1" spans="1:106" x14ac:dyDescent="0.25">
      <c r="A57" s="36" t="s">
        <v>286</v>
      </c>
      <c r="B57" s="17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  <c r="CG57" s="38"/>
      <c r="CH57" s="38"/>
      <c r="CI57" s="38"/>
      <c r="CJ57" s="38"/>
      <c r="CK57" s="38"/>
      <c r="CL57" s="38"/>
      <c r="CM57" s="38"/>
      <c r="CN57" s="38"/>
      <c r="CO57" s="38"/>
      <c r="CP57" s="38"/>
      <c r="CQ57" s="38"/>
      <c r="CR57" s="38"/>
      <c r="CS57" s="38"/>
      <c r="CT57" s="38"/>
      <c r="CU57" s="38"/>
      <c r="CV57" s="38"/>
      <c r="CW57" s="38"/>
      <c r="CX57" s="38"/>
      <c r="CY57" s="38"/>
      <c r="CZ57" s="38"/>
      <c r="DA57" s="38"/>
      <c r="DB57" s="38"/>
    </row>
    <row r="58" ht="15" customHeight="1" spans="1:106" x14ac:dyDescent="0.25">
      <c r="A58" s="16" t="s">
        <v>287</v>
      </c>
      <c r="B58" s="17"/>
      <c r="C58" s="35">
        <f>=SUM(C59:C64)</f>
        <v>0</v>
      </c>
      <c r="D58" s="35">
        <f>=SUM(D59:D61)</f>
        <v>0</v>
      </c>
      <c r="E58" s="35">
        <f>=SUM(E59:E61)</f>
        <v>0</v>
      </c>
      <c r="F58" s="35">
        <f>=SUM(F59:F61)</f>
        <v>0</v>
      </c>
      <c r="G58" s="35">
        <f>=SUM(G59:G61)</f>
        <v>0</v>
      </c>
      <c r="H58" s="35">
        <f>=SUM(H59:H61)</f>
        <v>0</v>
      </c>
      <c r="I58" s="35">
        <f>=SUM(I59:I61)</f>
        <v>0</v>
      </c>
      <c r="J58" s="35">
        <f>=SUM(J59:J61)</f>
        <v>0</v>
      </c>
      <c r="K58" s="35">
        <f>=SUM(K59:K61)</f>
        <v>0</v>
      </c>
      <c r="L58" s="35">
        <f>=SUM(L59:L61)</f>
        <v>0</v>
      </c>
      <c r="M58" s="35">
        <f>=SUM(M59:M61)</f>
        <v>0</v>
      </c>
      <c r="N58" s="35">
        <f>=SUM(N59:N61)</f>
        <v>0</v>
      </c>
      <c r="O58" s="35">
        <f>=SUM(O59:O61)</f>
        <v>0</v>
      </c>
      <c r="P58" s="35">
        <f>=SUM(P59:P61)</f>
        <v>0</v>
      </c>
      <c r="Q58" s="35">
        <f>=SUM(Q59:Q61)</f>
        <v>0</v>
      </c>
      <c r="R58" s="35">
        <f>=SUM(R59:R61)</f>
        <v>0</v>
      </c>
      <c r="S58" s="35">
        <f>=SUM(S59:S61)</f>
        <v>0</v>
      </c>
      <c r="T58" s="35">
        <f>=SUM(T59:T61)</f>
        <v>0</v>
      </c>
      <c r="U58" s="35">
        <f>=SUM(U59:U61)</f>
        <v>0</v>
      </c>
      <c r="V58" s="35">
        <f>=SUM(V59:V61)</f>
        <v>0</v>
      </c>
      <c r="W58" s="35">
        <f>=SUM(W59:W61)</f>
        <v>0</v>
      </c>
      <c r="X58" s="35">
        <f>=SUM(X59:X61)</f>
        <v>0</v>
      </c>
      <c r="Y58" s="35">
        <f>=SUM(Y59:Y61)</f>
        <v>0</v>
      </c>
      <c r="Z58" s="35">
        <f>=SUM(Z59:Z61)</f>
        <v>0</v>
      </c>
      <c r="AA58" s="35">
        <f>=SUM(AA59:AA61)</f>
        <v>0</v>
      </c>
      <c r="AB58" s="35">
        <f>=SUM(AB59:AB61)</f>
        <v>0</v>
      </c>
      <c r="AC58" s="35">
        <f>=SUM(AC59:AC61)</f>
        <v>0</v>
      </c>
      <c r="AD58" s="35">
        <f>=SUM(AD59:AD61)</f>
        <v>0</v>
      </c>
      <c r="AE58" s="35">
        <f>=SUM(AE59:AE61)</f>
        <v>0</v>
      </c>
      <c r="AF58" s="35">
        <f>=SUM(AF59:AF61)</f>
        <v>0</v>
      </c>
      <c r="AG58" s="35">
        <f>=SUM(AG59:AG61)</f>
        <v>0</v>
      </c>
      <c r="AH58" s="35">
        <f>=SUM(AH59:AH61)</f>
        <v>0</v>
      </c>
      <c r="AI58" s="35">
        <f>=SUM(AI59:AI61)</f>
        <v>0</v>
      </c>
      <c r="AJ58" s="35">
        <f>=SUM(AJ59:AJ61)</f>
        <v>0</v>
      </c>
      <c r="AK58" s="35">
        <f>=SUM(AK59:AK61)</f>
        <v>0</v>
      </c>
      <c r="AL58" s="35">
        <f>=SUM(AL59:AL61)</f>
        <v>0</v>
      </c>
      <c r="AM58" s="35">
        <f>=SUM(AM59:AM61)</f>
        <v>0</v>
      </c>
      <c r="AN58" s="35">
        <f>=SUM(AN59:AN61)</f>
        <v>0</v>
      </c>
      <c r="AO58" s="35">
        <f>=SUM(AO59:AO61)</f>
        <v>0</v>
      </c>
      <c r="AP58" s="35">
        <f>=SUM(AP59:AP61)</f>
        <v>0</v>
      </c>
      <c r="AQ58" s="35">
        <f>=SUM(AQ59:AQ61)</f>
        <v>0</v>
      </c>
      <c r="AR58" s="35">
        <f>=SUM(AR59:AR61)</f>
        <v>0</v>
      </c>
      <c r="AS58" s="35">
        <f>=SUM(AS59:AS61)</f>
        <v>0</v>
      </c>
      <c r="AT58" s="35">
        <f>=SUM(AT59:AT61)</f>
        <v>0</v>
      </c>
      <c r="AU58" s="35">
        <f>=SUM(AU59:AU61)</f>
        <v>0</v>
      </c>
      <c r="AV58" s="35">
        <f>=SUM(AV59:AV61)</f>
        <v>0</v>
      </c>
      <c r="AW58" s="35">
        <f>=SUM(AW59:AW61)</f>
        <v>0</v>
      </c>
      <c r="AX58" s="35">
        <f>=SUM(AX59:AX61)</f>
        <v>0</v>
      </c>
      <c r="AY58" s="35">
        <f>=SUM(AY59:AY61)</f>
        <v>0</v>
      </c>
      <c r="AZ58" s="35">
        <f>=SUM(AZ59:AZ61)</f>
        <v>0</v>
      </c>
      <c r="BA58" s="35">
        <f>=SUM(BA59:BA61)</f>
        <v>0</v>
      </c>
      <c r="BB58" s="35">
        <f>=SUM(BB59:BB61)</f>
        <v>0</v>
      </c>
      <c r="BC58" s="35">
        <f>=SUM(BC59:BC61)</f>
        <v>0</v>
      </c>
      <c r="BD58" s="35">
        <f>=SUM(BD59:BD61)</f>
        <v>0</v>
      </c>
      <c r="BE58" s="35">
        <f>=SUM(BE59:BE61)</f>
        <v>0</v>
      </c>
      <c r="BF58" s="35">
        <f>=SUM(BF59:BF61)</f>
        <v>0</v>
      </c>
      <c r="BG58" s="35">
        <f>=SUM(BG59:BG61)</f>
        <v>0</v>
      </c>
      <c r="BH58" s="35">
        <f>=SUM(BH59:BH61)</f>
        <v>0</v>
      </c>
      <c r="BI58" s="35">
        <f>=SUM(BI59:BI61)</f>
        <v>0</v>
      </c>
      <c r="BJ58" s="35">
        <f>=SUM(BJ59:BJ61)</f>
        <v>0</v>
      </c>
      <c r="BK58" s="35">
        <f>=SUM(BK59:BK61)</f>
        <v>0</v>
      </c>
      <c r="BL58" s="35">
        <f>=SUM(BL59:BL61)</f>
        <v>0</v>
      </c>
      <c r="BM58" s="35">
        <f>=SUM(BM59:BM61)</f>
        <v>0</v>
      </c>
      <c r="BN58" s="35">
        <f>=SUM(BN59:BN61)</f>
        <v>0</v>
      </c>
      <c r="BO58" s="35">
        <f>=SUM(BO59:BO61)</f>
        <v>0</v>
      </c>
      <c r="BP58" s="35">
        <f>=SUM(BP59:BP61)</f>
        <v>0</v>
      </c>
      <c r="BQ58" s="35">
        <f>=SUM(BQ59:BQ61)</f>
        <v>0</v>
      </c>
      <c r="BR58" s="35">
        <f>=SUM(BR59:BR61)</f>
        <v>0</v>
      </c>
      <c r="BS58" s="35">
        <f>=SUM(BS59:BS61)</f>
        <v>0</v>
      </c>
      <c r="BT58" s="35">
        <f>=SUM(BT59:BT61)</f>
        <v>0</v>
      </c>
      <c r="BU58" s="35">
        <f>=SUM(BU59:BU61)</f>
        <v>0</v>
      </c>
      <c r="BV58" s="35">
        <f>=SUM(BV59:BV61)</f>
        <v>0</v>
      </c>
      <c r="BW58" s="35">
        <f>=SUM(BW59:BW61)</f>
        <v>0</v>
      </c>
      <c r="BX58" s="35">
        <f>=SUM(BX59:BX61)</f>
        <v>0</v>
      </c>
      <c r="BY58" s="35">
        <f>=SUM(BY59:BY61)</f>
        <v>0</v>
      </c>
      <c r="BZ58" s="35">
        <f>=SUM(BZ59:BZ61)</f>
        <v>0</v>
      </c>
      <c r="CA58" s="35">
        <f>=SUM(CA59:CA61)</f>
        <v>0</v>
      </c>
      <c r="CB58" s="35">
        <f>=SUM(CB59:CB61)</f>
        <v>0</v>
      </c>
      <c r="CC58" s="35">
        <f>=SUM(CC59:CC61)</f>
        <v>0</v>
      </c>
      <c r="CD58" s="35">
        <f>=SUM(CD59:CD61)</f>
        <v>0</v>
      </c>
      <c r="CE58" s="35">
        <f>=SUM(CE59:CE61)</f>
        <v>0</v>
      </c>
      <c r="CF58" s="35">
        <f>=SUM(CF59:CF61)</f>
        <v>0</v>
      </c>
      <c r="CG58" s="35">
        <f>=SUM(CG59:CG61)</f>
        <v>0</v>
      </c>
      <c r="CH58" s="35">
        <f>=SUM(CH59:CH61)</f>
        <v>0</v>
      </c>
      <c r="CI58" s="35">
        <f>=SUM(CI59:CI61)</f>
        <v>0</v>
      </c>
      <c r="CJ58" s="35">
        <f>=SUM(CJ59:CJ61)</f>
        <v>0</v>
      </c>
      <c r="CK58" s="35">
        <f>=SUM(CK59:CK61)</f>
        <v>0</v>
      </c>
      <c r="CL58" s="35">
        <f>=SUM(CL59:CL61)</f>
        <v>0</v>
      </c>
      <c r="CM58" s="35">
        <f>=SUM(CM59:CM61)</f>
        <v>0</v>
      </c>
      <c r="CN58" s="35">
        <f>=SUM(CN59:CN61)</f>
        <v>0</v>
      </c>
      <c r="CO58" s="35">
        <f>=SUM(CO59:CO61)</f>
        <v>0</v>
      </c>
      <c r="CP58" s="35">
        <f>=SUM(CP59:CP61)</f>
        <v>0</v>
      </c>
      <c r="CQ58" s="35">
        <f>=SUM(CQ59:CQ61)</f>
        <v>0</v>
      </c>
      <c r="CR58" s="35">
        <f>=SUM(CR59:CR61)</f>
        <v>0</v>
      </c>
      <c r="CS58" s="35">
        <f>=SUM(CS59:CS61)</f>
        <v>0</v>
      </c>
      <c r="CT58" s="35">
        <f>=SUM(CT59:CT61)</f>
        <v>0</v>
      </c>
      <c r="CU58" s="35">
        <f>=SUM(CU59:CU61)</f>
        <v>0</v>
      </c>
      <c r="CV58" s="35">
        <f>=SUM(CV59:CV61)</f>
        <v>0</v>
      </c>
      <c r="CW58" s="35">
        <f>=SUM(CW59:CW61)</f>
        <v>0</v>
      </c>
      <c r="CX58" s="35">
        <f>=SUM(CX59:CX61)</f>
        <v>0</v>
      </c>
      <c r="CY58" s="35">
        <f>=SUM(CY59:CY61)</f>
        <v>0</v>
      </c>
      <c r="CZ58" s="35">
        <f>=SUM(CZ59:CZ61)</f>
        <v>0</v>
      </c>
      <c r="DA58" s="35">
        <f>=SUM(DA59:DA61)</f>
        <v>0</v>
      </c>
      <c r="DB58" s="35">
        <f>=SUM(DB59:DB61)</f>
        <v>0</v>
      </c>
    </row>
    <row r="59" ht="18" customHeight="1" spans="1:106" x14ac:dyDescent="0.25">
      <c r="A59" s="36" t="s">
        <v>268</v>
      </c>
      <c r="B59" s="17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BH59" s="38"/>
      <c r="BI59" s="38"/>
      <c r="BJ59" s="38"/>
      <c r="BK59" s="38"/>
      <c r="BL59" s="38"/>
      <c r="BM59" s="38"/>
      <c r="BN59" s="38"/>
      <c r="BO59" s="38"/>
      <c r="BP59" s="38"/>
      <c r="BQ59" s="38"/>
      <c r="BR59" s="38"/>
      <c r="BS59" s="38"/>
      <c r="BT59" s="38"/>
      <c r="BU59" s="38"/>
      <c r="BV59" s="38"/>
      <c r="BW59" s="38"/>
      <c r="BX59" s="38"/>
      <c r="BY59" s="38"/>
      <c r="BZ59" s="38"/>
      <c r="CA59" s="38"/>
      <c r="CB59" s="38"/>
      <c r="CC59" s="38"/>
      <c r="CD59" s="38"/>
      <c r="CE59" s="38"/>
      <c r="CF59" s="38"/>
      <c r="CG59" s="38"/>
      <c r="CH59" s="38"/>
      <c r="CI59" s="38"/>
      <c r="CJ59" s="38"/>
      <c r="CK59" s="38"/>
      <c r="CL59" s="38"/>
      <c r="CM59" s="38"/>
      <c r="CN59" s="38"/>
      <c r="CO59" s="38"/>
      <c r="CP59" s="38"/>
      <c r="CQ59" s="38"/>
      <c r="CR59" s="38"/>
      <c r="CS59" s="38"/>
      <c r="CT59" s="38"/>
      <c r="CU59" s="38"/>
      <c r="CV59" s="38"/>
      <c r="CW59" s="38"/>
      <c r="CX59" s="38"/>
      <c r="CY59" s="38"/>
      <c r="CZ59" s="38"/>
      <c r="DA59" s="38"/>
      <c r="DB59" s="38"/>
    </row>
    <row r="60" ht="18" customHeight="1" spans="1:106" x14ac:dyDescent="0.25">
      <c r="A60" s="36" t="s">
        <v>269</v>
      </c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8"/>
      <c r="BH60" s="38"/>
      <c r="BI60" s="38"/>
      <c r="BJ60" s="38"/>
      <c r="BK60" s="38"/>
      <c r="BL60" s="38"/>
      <c r="BM60" s="38"/>
      <c r="BN60" s="38"/>
      <c r="BO60" s="38"/>
      <c r="BP60" s="38"/>
      <c r="BQ60" s="38"/>
      <c r="BR60" s="38"/>
      <c r="BS60" s="38"/>
      <c r="BT60" s="38"/>
      <c r="BU60" s="38"/>
      <c r="BV60" s="38"/>
      <c r="BW60" s="38"/>
      <c r="BX60" s="38"/>
      <c r="BY60" s="38"/>
      <c r="BZ60" s="38"/>
      <c r="CA60" s="38"/>
      <c r="CB60" s="38"/>
      <c r="CC60" s="38"/>
      <c r="CD60" s="38"/>
      <c r="CE60" s="38"/>
      <c r="CF60" s="38"/>
      <c r="CG60" s="38"/>
      <c r="CH60" s="38"/>
      <c r="CI60" s="38"/>
      <c r="CJ60" s="38"/>
      <c r="CK60" s="38"/>
      <c r="CL60" s="38"/>
      <c r="CM60" s="38"/>
      <c r="CN60" s="38"/>
      <c r="CO60" s="38"/>
      <c r="CP60" s="38"/>
      <c r="CQ60" s="38"/>
      <c r="CR60" s="38"/>
      <c r="CS60" s="38"/>
      <c r="CT60" s="38"/>
      <c r="CU60" s="38"/>
      <c r="CV60" s="38"/>
      <c r="CW60" s="38"/>
      <c r="CX60" s="38"/>
      <c r="CY60" s="38"/>
      <c r="CZ60" s="38"/>
      <c r="DA60" s="38"/>
      <c r="DB60" s="38"/>
    </row>
    <row r="61" ht="18" customHeight="1" spans="1:106" x14ac:dyDescent="0.25">
      <c r="A61" s="36" t="s">
        <v>288</v>
      </c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38"/>
      <c r="BM61" s="38"/>
      <c r="BN61" s="38"/>
      <c r="BO61" s="38"/>
      <c r="BP61" s="38"/>
      <c r="BQ61" s="38"/>
      <c r="BR61" s="38"/>
      <c r="BS61" s="38"/>
      <c r="BT61" s="38"/>
      <c r="BU61" s="38"/>
      <c r="BV61" s="38"/>
      <c r="BW61" s="38"/>
      <c r="BX61" s="38"/>
      <c r="BY61" s="38"/>
      <c r="BZ61" s="38"/>
      <c r="CA61" s="38"/>
      <c r="CB61" s="38"/>
      <c r="CC61" s="38"/>
      <c r="CD61" s="38"/>
      <c r="CE61" s="38"/>
      <c r="CF61" s="38"/>
      <c r="CG61" s="38"/>
      <c r="CH61" s="38"/>
      <c r="CI61" s="38"/>
      <c r="CJ61" s="38"/>
      <c r="CK61" s="38"/>
      <c r="CL61" s="38"/>
      <c r="CM61" s="38"/>
      <c r="CN61" s="38"/>
      <c r="CO61" s="38"/>
      <c r="CP61" s="38"/>
      <c r="CQ61" s="38"/>
      <c r="CR61" s="38"/>
      <c r="CS61" s="38"/>
      <c r="CT61" s="38"/>
      <c r="CU61" s="38"/>
      <c r="CV61" s="38"/>
      <c r="CW61" s="38"/>
      <c r="CX61" s="38"/>
      <c r="CY61" s="38"/>
      <c r="CZ61" s="38"/>
      <c r="DA61" s="38"/>
      <c r="DB61" s="38"/>
    </row>
    <row r="62" spans="1:1" x14ac:dyDescent="0.25">
      <c r="A62" s="36" t="s">
        <v>272</v>
      </c>
    </row>
    <row r="63" ht="18" customHeight="1" spans="1:1" x14ac:dyDescent="0.25">
      <c r="A63" s="36" t="s">
        <v>289</v>
      </c>
    </row>
    <row r="64" ht="18" customHeight="1" spans="1:106" x14ac:dyDescent="0.25">
      <c r="A64" s="36" t="s">
        <v>271</v>
      </c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</row>
    <row r="65" spans="1:106" x14ac:dyDescent="0.25">
      <c r="A65" s="20" t="s">
        <v>290</v>
      </c>
      <c r="C65" s="31">
        <f>=IF(LEN(C66)&gt;0,C66/C19,"")</f>
        <v>0</v>
      </c>
      <c r="D65" s="31">
        <f>=IF(LEN(D66)&gt;0,D66/D19,"")</f>
        <v>0</v>
      </c>
      <c r="E65" s="31">
        <f>=IF(LEN(E66)&gt;0,E66/E19,"")</f>
        <v>0.05263157894736842</v>
      </c>
      <c r="F65" s="31">
        <f>=IF(LEN(F66)&gt;0,F66/F19,"")</f>
        <v>0</v>
      </c>
      <c r="G65" s="31">
        <f>=IF(LEN(G66)&gt;0,G66/G19,"")</f>
        <v>0.05555555555555555</v>
      </c>
      <c r="H65" s="31">
        <f>=IF(LEN(H66)&gt;0,H66/H19,"")</f>
        <v>0</v>
      </c>
      <c r="I65" s="31">
        <f>=IF(LEN(I66)&gt;0,I66/I19,"")</f>
        <v>0</v>
      </c>
      <c r="J65" s="31">
        <f>=IF(LEN(J66)&gt;0,J66/J19,"")</f>
        <v>0</v>
      </c>
      <c r="K65" s="31">
        <f>=IF(LEN(K66)&gt;0,K66/K19,"")</f>
        <v>0</v>
      </c>
      <c r="L65" s="31">
        <f>=IF(LEN(L66)&gt;0,L66/L19,"")</f>
        <v>0</v>
      </c>
      <c r="M65" s="31">
        <f>=IF(LEN(M66)&gt;0,M66/M19,"")</f>
        <v>0</v>
      </c>
      <c r="N65" s="31">
        <f>=IF(LEN(N66)&gt;0,N66/N19,"")</f>
        <v>0</v>
      </c>
      <c r="O65" s="31">
        <f>=IF(LEN(O66)&gt;0,O66/O19,"")</f>
        <v>0</v>
      </c>
      <c r="P65" s="31">
        <f>=IF(LEN(P66)&gt;0,P66/P19,"")</f>
        <v>0</v>
      </c>
      <c r="Q65" s="31">
        <f>=IF(LEN(Q66)&gt;0,Q66/Q19,"")</f>
        <v>0</v>
      </c>
      <c r="R65" s="31">
        <f>=IF(LEN(R66)&gt;0,R66/R19,"")</f>
        <v>0.045454545454545456</v>
      </c>
      <c r="S65" s="31">
        <f>=IF(LEN(S66)&gt;0,S66/S19,"")</f>
        <v>0</v>
      </c>
      <c r="T65" s="31">
        <f>=IF(LEN(T66)&gt;0,T66/T19,"")</f>
        <v>0</v>
      </c>
      <c r="U65" s="31">
        <f>=IF(LEN(U66)&gt;0,U66/U19,"")</f>
        <v>0</v>
      </c>
      <c r="V65" s="31">
        <f>=IF(LEN(V66)&gt;0,V66/V19,"")</f>
        <v>0</v>
      </c>
      <c r="W65" s="31">
        <f>=IF(LEN(W66)&gt;0,W66/W19,"")</f>
        <v>0</v>
      </c>
      <c r="X65" s="31">
        <f>=IF(LEN(X66)&gt;0,X66/X19,"")</f>
        <v>0</v>
      </c>
      <c r="Y65" s="31">
        <f>=IF(LEN(Y66)&gt;0,Y66/Y19,"")</f>
        <v>0</v>
      </c>
      <c r="Z65" s="31">
        <f>=IF(LEN(Z66)&gt;0,Z66/Z19,"")</f>
        <v>0</v>
      </c>
      <c r="AA65" s="31">
        <f>=IF(LEN(AA66)&gt;0,AA66/AA19,"")</f>
        <v>0</v>
      </c>
      <c r="AB65" s="31">
        <f>=IF(LEN(AB66)&gt;0,AB66/AB19,"")</f>
        <v>0</v>
      </c>
      <c r="AC65" s="31">
        <f>=IF(LEN(AC66)&gt;0,AC66/AC19,"")</f>
        <v>0</v>
      </c>
      <c r="AD65" s="31">
        <f>=IF(LEN(AD66)&gt;0,AD66/AD19,"")</f>
        <v>0</v>
      </c>
      <c r="AE65" s="31">
        <f>=IF(LEN(AE66)&gt;0,AE66/AE19,"")</f>
        <v>0</v>
      </c>
      <c r="AF65" s="31">
        <f>=IF(LEN(AF66)&gt;0,AF66/AF19,"")</f>
        <v>0</v>
      </c>
      <c r="AG65" s="31">
        <f>=IF(LEN(AG66)&gt;0,AG66/AG19,"")</f>
        <v>0</v>
      </c>
      <c r="AH65" s="31">
        <f>=IF(LEN(AH66)&gt;0,AH66/AH19,"")</f>
        <v>0</v>
      </c>
      <c r="AI65" s="31">
        <f>=IF(LEN(AI66)&gt;0,AI66/AI19,"")</f>
        <v>0</v>
      </c>
      <c r="AJ65" s="31">
        <f>=IF(LEN(AJ66)&gt;0,AJ66/AJ19,"")</f>
        <v>0</v>
      </c>
      <c r="AK65" s="31">
        <f>=IF(LEN(AK66)&gt;0,AK66/AK19,"")</f>
        <v>0</v>
      </c>
      <c r="AL65" s="31">
        <f>=IF(LEN(AL66)&gt;0,AL66/AL19,"")</f>
        <v>0</v>
      </c>
      <c r="AM65" s="31">
        <f>=IF(LEN(AM66)&gt;0,AM66/AM19,"")</f>
        <v>0</v>
      </c>
      <c r="AN65" s="31">
        <f>=IF(LEN(AN66)&gt;0,AN66/AN19,"")</f>
        <v>0</v>
      </c>
      <c r="AO65" s="31">
        <f>=IF(LEN(AO66)&gt;0,AO66/AO19,"")</f>
        <v>0</v>
      </c>
      <c r="AP65" s="31">
        <f>=IF(LEN(AP66)&gt;0,AP66/AP19,"")</f>
        <v>0</v>
      </c>
      <c r="AQ65" s="31">
        <f>=IF(LEN(AQ66)&gt;0,AQ66/AQ19,"")</f>
        <v>0</v>
      </c>
      <c r="AR65" s="31">
        <f>=IF(LEN(AR66)&gt;0,AR66/AR19,"")</f>
        <v>0</v>
      </c>
      <c r="AS65" s="31">
        <f>=IF(LEN(AS66)&gt;0,AS66/AS19,"")</f>
        <v>0</v>
      </c>
      <c r="AT65" s="31">
        <f>=IF(LEN(AT66)&gt;0,AT66/AT19,"")</f>
        <v>0</v>
      </c>
      <c r="AU65" s="31">
        <f>=IF(LEN(AU66)&gt;0,AU66/AU19,"")</f>
        <v>0</v>
      </c>
      <c r="AV65" s="31">
        <f>=IF(LEN(AV66)&gt;0,AV66/AV19,"")</f>
        <v>0</v>
      </c>
      <c r="AW65" s="31">
        <f>=IF(LEN(AW66)&gt;0,AW66/AW19,"")</f>
        <v>0</v>
      </c>
      <c r="AX65" s="31">
        <f>=IF(LEN(AX66)&gt;0,AX66/AX19,"")</f>
        <v>0</v>
      </c>
      <c r="AY65" s="31">
        <f>=IF(LEN(AY66)&gt;0,AY66/AY19,"")</f>
        <v>0</v>
      </c>
      <c r="AZ65" s="31">
        <f>=IF(LEN(AZ66)&gt;0,AZ66/AZ19,"")</f>
        <v>0</v>
      </c>
      <c r="BA65" s="31">
        <f>=IF(LEN(BA66)&gt;0,BA66/BA19,"")</f>
        <v>0</v>
      </c>
      <c r="BB65" s="31">
        <f>=IF(LEN(BB66)&gt;0,BB66/BB19,"")</f>
        <v>0.05555555555555555</v>
      </c>
      <c r="BC65" s="31">
        <f>=IF(LEN(BC66)&gt;0,BC66/BC19,"")</f>
        <v>0</v>
      </c>
      <c r="BD65" s="31">
        <f>=IF(LEN(BD66)&gt;0,BD66/BD19,"")</f>
        <v>0</v>
      </c>
      <c r="BE65" s="31">
        <f>=IF(LEN(BE66)&gt;0,BE66/BE19,"")</f>
        <v>0</v>
      </c>
      <c r="BF65" s="31">
        <f>=IF(LEN(BF66)&gt;0,BF66/BF19,"")</f>
        <v>0</v>
      </c>
      <c r="BG65" s="31">
        <f>=IF(LEN(BG66)&gt;0,BG66/BG19,"")</f>
        <v>0</v>
      </c>
      <c r="BH65" s="31">
        <f>=IF(LEN(BH66)&gt;0,BH66/BH19,"")</f>
        <v>0</v>
      </c>
      <c r="BI65" s="31">
        <f>=IF(LEN(BI66)&gt;0,BI66/BI19,"")</f>
        <v>0</v>
      </c>
      <c r="BJ65" s="31">
        <f>=IF(LEN(BJ66)&gt;0,BJ66/BJ19,"")</f>
        <v>0</v>
      </c>
      <c r="BK65" s="31">
        <f>=IF(LEN(BK66)&gt;0,BK66/BK19,"")</f>
        <v>0</v>
      </c>
      <c r="BL65" s="31">
        <f>=IF(LEN(BL66)&gt;0,BL66/BL19,"")</f>
        <v>0</v>
      </c>
      <c r="BM65" s="31">
        <f>=IF(LEN(BM66)&gt;0,BM66/BM19,"")</f>
        <v>0.05263157894736842</v>
      </c>
      <c r="BN65" s="31">
        <f>=IF(LEN(BN66)&gt;0,BN66/BN19,"")</f>
        <v>0</v>
      </c>
      <c r="BO65" s="31">
        <f>=IF(LEN(BO66)&gt;0,BO66/BO19,"")</f>
        <v>0</v>
      </c>
      <c r="BP65" s="31">
        <f>=IF(LEN(BP66)&gt;0,BP66/BP19,"")</f>
        <v>0.21052631578947367</v>
      </c>
      <c r="BQ65" s="31">
        <f>=IF(LEN(BQ66)&gt;0,BQ66/BQ19,"")</f>
        <v>0</v>
      </c>
      <c r="BR65" s="31">
        <f>=IF(LEN(BR66)&gt;0,BR66/BR19,"")</f>
        <v>0</v>
      </c>
      <c r="BS65" s="31">
        <f>=IF(LEN(BS66)&gt;0,BS66/BS19,"")</f>
        <v>0</v>
      </c>
      <c r="BT65" s="31">
        <f>=IF(LEN(BT66)&gt;0,BT66/BT19,"")</f>
        <v>0</v>
      </c>
      <c r="BU65" s="31">
        <f>=IF(LEN(BU66)&gt;0,BU66/BU19,"")</f>
        <v>0</v>
      </c>
      <c r="BV65" s="31">
        <f>=IF(LEN(BV66)&gt;0,BV66/BV19,"")</f>
        <v>0</v>
      </c>
      <c r="BW65" s="31">
        <f>=IF(LEN(BW66)&gt;0,BW66/BW19,"")</f>
        <v>0</v>
      </c>
      <c r="BX65" s="30">
        <f>=IF(LEN(BX66)&gt;0,BX66/BX19,"")</f>
        <v>0.0625</v>
      </c>
      <c r="BY65" s="30">
        <f>=IF(LEN(BY66)&gt;0,BY66/BY19,"")</f>
        <v>0</v>
      </c>
      <c r="BZ65" s="30">
        <f>=IF(LEN(BZ66)&gt;0,BZ66/BZ19,"")</f>
        <v>0</v>
      </c>
      <c r="CA65" s="30">
        <f>=IF(LEN(CA66)&gt;0,CA66/CA19,"")</f>
        <v>0</v>
      </c>
      <c r="CB65" s="30" t="str">
        <f>=IF(LEN(CB66)&gt;0,CB66/CB19,"")</f>
        <v/>
      </c>
      <c r="CC65" s="30" t="str">
        <f>=IF(LEN(CC66)&gt;0,CC66/CC19,"")</f>
        <v/>
      </c>
      <c r="CD65" s="30" t="str">
        <f>=IF(LEN(CD66)&gt;0,CD66/CD19,"")</f>
        <v/>
      </c>
      <c r="CE65" s="30" t="str">
        <f>=IF(LEN(CE66)&gt;0,CE66/CE19,"")</f>
        <v/>
      </c>
      <c r="CF65" s="30" t="str">
        <f>=IF(LEN(CF66)&gt;0,CF66/CF19,"")</f>
        <v/>
      </c>
      <c r="CG65" s="30" t="str">
        <f>=IF(LEN(CG66)&gt;0,CG66/CG19,"")</f>
        <v/>
      </c>
      <c r="CH65" s="30" t="str">
        <f>=IF(LEN(CH66)&gt;0,CH66/CH19,"")</f>
        <v/>
      </c>
      <c r="CI65" s="30" t="str">
        <f>=IF(LEN(CI66)&gt;0,CI66/CI19,"")</f>
        <v/>
      </c>
      <c r="CJ65" s="30" t="str">
        <f>=IF(LEN(CJ66)&gt;0,CJ66/CJ19,"")</f>
        <v/>
      </c>
      <c r="CK65" s="30" t="str">
        <f>=IF(LEN(CK66)&gt;0,CK66/CK19,"")</f>
        <v/>
      </c>
      <c r="CL65" s="30" t="str">
        <f>=IF(LEN(CL66)&gt;0,CL66/CL19,"")</f>
        <v/>
      </c>
      <c r="CM65" s="30" t="str">
        <f>=IF(LEN(CM66)&gt;0,CM66/CM19,"")</f>
        <v/>
      </c>
      <c r="CN65" s="30" t="str">
        <f>=IF(LEN(CN66)&gt;0,CN66/CN19,"")</f>
        <v/>
      </c>
      <c r="CO65" s="30" t="str">
        <f>=IF(LEN(CO66)&gt;0,CO66/CO19,"")</f>
        <v/>
      </c>
      <c r="CP65" s="30" t="str">
        <f>=IF(LEN(CP66)&gt;0,CP66/CP19,"")</f>
        <v/>
      </c>
      <c r="CQ65" s="30" t="str">
        <f>=IF(LEN(CQ66)&gt;0,CQ66/CQ19,"")</f>
        <v/>
      </c>
      <c r="CR65" s="30" t="str">
        <f>=IF(LEN(CR66)&gt;0,CR66/CR19,"")</f>
        <v/>
      </c>
      <c r="CS65" s="30" t="str">
        <f>=IF(LEN(CS66)&gt;0,CS66/CS19,"")</f>
        <v/>
      </c>
      <c r="CT65" s="30" t="str">
        <f>=IF(LEN(CT66)&gt;0,CT66/CT19,"")</f>
        <v/>
      </c>
      <c r="CU65" s="30" t="str">
        <f>=IF(LEN(CU66)&gt;0,CU66/CU19,"")</f>
        <v/>
      </c>
      <c r="CV65" s="30" t="str">
        <f>=IF(LEN(CV66)&gt;0,CV66/CV19,"")</f>
        <v/>
      </c>
      <c r="CW65" s="30" t="str">
        <f>=IF(LEN(CW66)&gt;0,CW66/CW19,"")</f>
        <v/>
      </c>
      <c r="CX65" s="30" t="str">
        <f>=IF(LEN(CX66)&gt;0,CX66/CX19,"")</f>
        <v/>
      </c>
      <c r="CY65" s="30" t="str">
        <f>=IF(LEN(CY66)&gt;0,CY66/CY19,"")</f>
        <v/>
      </c>
      <c r="CZ65" s="30" t="str">
        <f>=IF(LEN(CZ66)&gt;0,CZ66/CZ19,"")</f>
        <v/>
      </c>
      <c r="DA65" s="30" t="str">
        <f>=IF(LEN(DA66)&gt;0,DA66/DA19,"")</f>
        <v/>
      </c>
      <c r="DB65" s="30" t="str">
        <f>=IF(LEN(DB66)&gt;0,DB66/DB19,"")</f>
        <v/>
      </c>
    </row>
    <row r="66" spans="1:106" x14ac:dyDescent="0.25">
      <c r="A66" s="36" t="s">
        <v>291</v>
      </c>
      <c r="C66" s="30">
        <f>=IF(Len(C82)&gt;0,C82,"")</f>
        <v>0</v>
      </c>
      <c r="D66" s="30">
        <f>=IF(Len(D82)&gt;0,D82,"")</f>
        <v>0</v>
      </c>
      <c r="E66" s="30">
        <f>=IF(Len(E82)&gt;0,E82,"")</f>
        <v>1</v>
      </c>
      <c r="F66" s="30">
        <f>=IF(Len(F82)&gt;0,F82,"")</f>
        <v>0</v>
      </c>
      <c r="G66" s="30">
        <f>=IF(Len(G82)&gt;0,G82,"")</f>
        <v>1</v>
      </c>
      <c r="H66" s="30">
        <f>=IF(Len(H82)&gt;0,H82,"")</f>
        <v>0</v>
      </c>
      <c r="I66" s="30">
        <f>=IF(Len(I82)&gt;0,I82,"")</f>
        <v>0</v>
      </c>
      <c r="J66" s="30">
        <f>=IF(Len(J82)&gt;0,J82,"")</f>
        <v>0</v>
      </c>
      <c r="K66" s="30">
        <f>=IF(Len(K82)&gt;0,K82,"")</f>
        <v>0</v>
      </c>
      <c r="L66" s="30">
        <f>=IF(Len(L82)&gt;0,L82,"")</f>
        <v>0</v>
      </c>
      <c r="M66" s="30">
        <f>=IF(Len(M82)&gt;0,M82,"")</f>
        <v>0</v>
      </c>
      <c r="N66" s="30">
        <f>=IF(Len(N82)&gt;0,N82,"")</f>
        <v>0</v>
      </c>
      <c r="O66" s="30">
        <f>=IF(Len(O82)&gt;0,O82,"")</f>
        <v>0</v>
      </c>
      <c r="P66" s="30">
        <f>=IF(Len(P82)&gt;0,P82,"")</f>
        <v>0</v>
      </c>
      <c r="Q66" s="30">
        <f>=IF(Len(Q82)&gt;0,Q82,"")</f>
        <v>0</v>
      </c>
      <c r="R66" s="30">
        <f>=IF(Len(R82)&gt;0,R82,"")</f>
        <v>1</v>
      </c>
      <c r="S66" s="30">
        <f>=IF(Len(S82)&gt;0,S82,"")</f>
        <v>0</v>
      </c>
      <c r="T66" s="30">
        <f>=IF(Len(T82)&gt;0,T82,"")</f>
        <v>0</v>
      </c>
      <c r="U66" s="30">
        <f>=IF(Len(U82)&gt;0,U82,"")</f>
        <v>0</v>
      </c>
      <c r="V66" s="30">
        <f>=IF(Len(V82)&gt;0,V82,"")</f>
        <v>0</v>
      </c>
      <c r="W66" s="30">
        <f>=IF(Len(W82)&gt;0,W82,"")</f>
        <v>0</v>
      </c>
      <c r="X66" s="30">
        <f>=IF(Len(X82)&gt;0,X82,"")</f>
        <v>0</v>
      </c>
      <c r="Y66" s="30">
        <f>=IF(Len(Y82)&gt;0,Y82,"")</f>
        <v>0</v>
      </c>
      <c r="Z66" s="30">
        <f>=IF(Len(Z82)&gt;0,Z82,"")</f>
        <v>0</v>
      </c>
      <c r="AA66" s="30">
        <f>=IF(Len(AA82)&gt;0,AA82,"")</f>
        <v>0</v>
      </c>
      <c r="AB66" s="30">
        <f>=IF(Len(AB82)&gt;0,AB82,"")</f>
        <v>0</v>
      </c>
      <c r="AC66" s="30">
        <f>=IF(Len(AC82)&gt;0,AC82,"")</f>
        <v>0</v>
      </c>
      <c r="AD66" s="30">
        <f>=IF(Len(AD82)&gt;0,AD82,"")</f>
        <v>0</v>
      </c>
      <c r="AE66" s="30">
        <f>=IF(Len(AE82)&gt;0,AE82,"")</f>
        <v>0</v>
      </c>
      <c r="AF66" s="30">
        <f>=IF(Len(AF82)&gt;0,AF82,"")</f>
        <v>0</v>
      </c>
      <c r="AG66" s="30">
        <f>=IF(Len(AG82)&gt;0,AG82,"")</f>
        <v>0</v>
      </c>
      <c r="AH66" s="30">
        <f>=IF(Len(AH82)&gt;0,AH82,"")</f>
        <v>0</v>
      </c>
      <c r="AI66" s="30">
        <f>=IF(Len(AI82)&gt;0,AI82,"")</f>
        <v>0</v>
      </c>
      <c r="AJ66" s="30">
        <f>=IF(Len(AJ82)&gt;0,AJ82,"")</f>
        <v>0</v>
      </c>
      <c r="AK66" s="30">
        <f>=IF(Len(AK82)&gt;0,AK82,"")</f>
        <v>0</v>
      </c>
      <c r="AL66" s="30">
        <f>=IF(Len(AL82)&gt;0,AL82,"")</f>
        <v>0</v>
      </c>
      <c r="AM66" s="30">
        <f>=IF(Len(AM82)&gt;0,AM82,"")</f>
        <v>0</v>
      </c>
      <c r="AN66" s="30">
        <f>=IF(Len(AN82)&gt;0,AN82,"")</f>
        <v>0</v>
      </c>
      <c r="AO66" s="30">
        <f>=IF(Len(AO82)&gt;0,AO82,"")</f>
        <v>0</v>
      </c>
      <c r="AP66" s="30">
        <f>=IF(Len(AP82)&gt;0,AP82,"")</f>
        <v>0</v>
      </c>
      <c r="AQ66" s="30">
        <f>=IF(Len(AQ82)&gt;0,AQ82,"")</f>
        <v>0</v>
      </c>
      <c r="AR66" s="30">
        <f>=IF(Len(AR82)&gt;0,AR82,"")</f>
        <v>0</v>
      </c>
      <c r="AS66" s="30">
        <f>=IF(Len(AS82)&gt;0,AS82,"")</f>
        <v>0</v>
      </c>
      <c r="AT66" s="30">
        <f>=IF(Len(AT82)&gt;0,AT82,"")</f>
        <v>0</v>
      </c>
      <c r="AU66" s="30">
        <f>=IF(Len(AU82)&gt;0,AU82,"")</f>
        <v>0</v>
      </c>
      <c r="AV66" s="30">
        <f>=IF(Len(AV82)&gt;0,AV82,"")</f>
        <v>0</v>
      </c>
      <c r="AW66" s="30">
        <f>=IF(Len(AW82)&gt;0,AW82,"")</f>
        <v>0</v>
      </c>
      <c r="AX66" s="30">
        <f>=IF(Len(AX82)&gt;0,AX82,"")</f>
        <v>0</v>
      </c>
      <c r="AY66" s="30">
        <f>=IF(Len(AY82)&gt;0,AY82,"")</f>
        <v>0</v>
      </c>
      <c r="AZ66" s="30">
        <f>=IF(Len(AZ82)&gt;0,AZ82,"")</f>
        <v>0</v>
      </c>
      <c r="BA66" s="30">
        <f>=IF(Len(BA82)&gt;0,BA82,"")</f>
        <v>0</v>
      </c>
      <c r="BB66" s="30">
        <f>=IF(Len(BB82)&gt;0,BB82,"")</f>
        <v>1</v>
      </c>
      <c r="BC66" s="30">
        <f>=IF(Len(BC82)&gt;0,BC82,"")</f>
        <v>0</v>
      </c>
      <c r="BD66" s="30">
        <f>=IF(Len(BD82)&gt;0,BD82,"")</f>
        <v>0</v>
      </c>
      <c r="BE66" s="30">
        <f>=IF(Len(BE82)&gt;0,BE82,"")</f>
        <v>0</v>
      </c>
      <c r="BF66" s="30">
        <f>=IF(Len(BF82)&gt;0,BF82,"")</f>
        <v>0</v>
      </c>
      <c r="BG66" s="30">
        <f>=IF(Len(BG82)&gt;0,BG82,"")</f>
        <v>0</v>
      </c>
      <c r="BH66" s="30">
        <f>=IF(Len(BH82)&gt;0,BH82,"")</f>
        <v>0</v>
      </c>
      <c r="BI66" s="30">
        <f>=IF(Len(BI82)&gt;0,BI82,"")</f>
        <v>0</v>
      </c>
      <c r="BJ66" s="30">
        <f>=IF(Len(BJ82)&gt;0,BJ82,"")</f>
        <v>0</v>
      </c>
      <c r="BK66" s="30">
        <f>=IF(Len(BK82)&gt;0,BK82,"")</f>
        <v>0</v>
      </c>
      <c r="BL66" s="30">
        <f>=IF(Len(BL82)&gt;0,BL82,"")</f>
        <v>0</v>
      </c>
      <c r="BM66" s="30">
        <f>=IF(Len(BM82)&gt;0,BM82,"")</f>
        <v>1</v>
      </c>
      <c r="BN66" s="30">
        <f>=IF(Len(BN82)&gt;0,BN82,"")</f>
        <v>0</v>
      </c>
      <c r="BO66" s="30">
        <f>=IF(Len(BO82)&gt;0,BO82,"")</f>
        <v>0</v>
      </c>
      <c r="BP66" s="30">
        <f>=IF(Len(BP82)&gt;0,BP82,"")</f>
        <v>4</v>
      </c>
      <c r="BQ66" s="30">
        <f>=IF(Len(BQ82)&gt;0,BQ82,"")</f>
        <v>0</v>
      </c>
      <c r="BR66" s="30">
        <f>=IF(Len(BR82)&gt;0,BR82,"")</f>
        <v>0</v>
      </c>
      <c r="BS66" s="30">
        <f>=IF(Len(BS82)&gt;0,BS82,"")</f>
        <v>0</v>
      </c>
      <c r="BT66" s="30">
        <f>=IF(Len(BT82)&gt;0,BT82,"")</f>
        <v>0</v>
      </c>
      <c r="BU66" s="30">
        <f>=IF(Len(BU82)&gt;0,BU82,"")</f>
        <v>0</v>
      </c>
      <c r="BV66" s="30">
        <f>=IF(Len(BV82)&gt;0,BV82,"")</f>
        <v>0</v>
      </c>
      <c r="BW66" s="30">
        <f>=IF(Len(BW82)&gt;0,BW82,"")</f>
        <v>0</v>
      </c>
      <c r="BX66" s="30">
        <f>=IF(Len(BX82)&gt;0,BX82,"")</f>
        <v>1</v>
      </c>
      <c r="BY66" s="30">
        <f>=IF(Len(BY82)&gt;0,BY82,"")</f>
        <v>0</v>
      </c>
      <c r="BZ66" s="30">
        <f>=IF(Len(BZ82)&gt;0,BZ82,"")</f>
        <v>0</v>
      </c>
      <c r="CA66" s="30">
        <f>=IF(Len(CA82)&gt;0,CA82,"")</f>
        <v>0</v>
      </c>
      <c r="CB66" s="30" t="str">
        <f>=IF(Len(CB82)&gt;0,CB82,"")</f>
        <v/>
      </c>
      <c r="CC66" s="30" t="str">
        <f>=IF(Len(CC82)&gt;0,CC82,"")</f>
        <v/>
      </c>
      <c r="CD66" s="30" t="str">
        <f>=IF(Len(CD82)&gt;0,CD82,"")</f>
        <v/>
      </c>
      <c r="CE66" s="30" t="str">
        <f>=IF(Len(CE82)&gt;0,CE82,"")</f>
        <v/>
      </c>
      <c r="CF66" s="30" t="str">
        <f>=IF(Len(CF82)&gt;0,CF82,"")</f>
        <v/>
      </c>
      <c r="CG66" s="30" t="str">
        <f>=IF(Len(CG82)&gt;0,CG82,"")</f>
        <v/>
      </c>
      <c r="CH66" s="30" t="str">
        <f>=IF(Len(CH82)&gt;0,CH82,"")</f>
        <v/>
      </c>
      <c r="CI66" s="30" t="str">
        <f>=IF(Len(CI82)&gt;0,CI82,"")</f>
        <v/>
      </c>
      <c r="CJ66" s="30" t="str">
        <f>=IF(Len(CJ82)&gt;0,CJ82,"")</f>
        <v/>
      </c>
      <c r="CK66" s="30" t="str">
        <f>=IF(Len(CK82)&gt;0,CK82,"")</f>
        <v/>
      </c>
      <c r="CL66" s="30" t="str">
        <f>=IF(Len(CL82)&gt;0,CL82,"")</f>
        <v/>
      </c>
      <c r="CM66" s="30" t="str">
        <f>=IF(Len(CM82)&gt;0,CM82,"")</f>
        <v/>
      </c>
      <c r="CN66" s="30" t="str">
        <f>=IF(Len(CN82)&gt;0,CN82,"")</f>
        <v/>
      </c>
      <c r="CO66" s="30" t="str">
        <f>=IF(Len(CO82)&gt;0,CO82,"")</f>
        <v/>
      </c>
      <c r="CP66" s="30" t="str">
        <f>=IF(Len(CP82)&gt;0,CP82,"")</f>
        <v/>
      </c>
      <c r="CQ66" s="30" t="str">
        <f>=IF(Len(CQ82)&gt;0,CQ82,"")</f>
        <v/>
      </c>
      <c r="CR66" s="30" t="str">
        <f>=IF(Len(CR82)&gt;0,CR82,"")</f>
        <v/>
      </c>
      <c r="CS66" s="30" t="str">
        <f>=IF(Len(CS82)&gt;0,CS82,"")</f>
        <v/>
      </c>
      <c r="CT66" s="30" t="str">
        <f>=IF(Len(CT82)&gt;0,CT82,"")</f>
        <v/>
      </c>
      <c r="CU66" s="30" t="str">
        <f>=IF(Len(CU82)&gt;0,CU82,"")</f>
        <v/>
      </c>
      <c r="CV66" s="30" t="str">
        <f>=IF(Len(CV82)&gt;0,CV82,"")</f>
        <v/>
      </c>
      <c r="CW66" s="30" t="str">
        <f>=IF(Len(CW82)&gt;0,CW82,"")</f>
        <v/>
      </c>
      <c r="CX66" s="30" t="str">
        <f>=IF(Len(CX82)&gt;0,CX82,"")</f>
        <v/>
      </c>
      <c r="CY66" s="30" t="str">
        <f>=IF(Len(CY82)&gt;0,CY82,"")</f>
        <v/>
      </c>
      <c r="CZ66" s="30" t="str">
        <f>=IF(Len(CZ82)&gt;0,CZ82,"")</f>
        <v/>
      </c>
      <c r="DA66" s="30" t="str">
        <f>=IF(Len(DA82)&gt;0,DA82,"")</f>
        <v/>
      </c>
      <c r="DB66" s="30" t="str">
        <f>=IF(Len(DB82)&gt;0,DB82,"")</f>
        <v/>
      </c>
    </row>
    <row r="67" spans="1:106" x14ac:dyDescent="0.25">
      <c r="A67" s="20" t="s">
        <v>292</v>
      </c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1">
        <f>=IF(LEN(BB68)&gt;0,IF(BB68&lt;=0,0,BB68/(((SUM(BA117:BA128)-BA128)+(SUM(BB117:BB128)-BB120)/2))),"")</f>
        <v>0</v>
      </c>
      <c r="BC67" s="31">
        <f>=IF(LEN(BC68)&gt;0,IF(BC68&lt;=0,0,BC68/(((SUM(BB117:BB128)-BB128)+(SUM(BC117:BC128)-BC120)/2))),"")</f>
        <v>0</v>
      </c>
      <c r="BD67" s="31">
        <f>=IF(LEN(BD68)&gt;0,IF(BD68&lt;=0,0,BD68/(((SUM(BC117:BC128)-BC128)+(SUM(BD117:BD128)-BD120)/2))),"")</f>
        <v>0</v>
      </c>
      <c r="BE67" s="31">
        <f>=IF(LEN(BE68)&gt;0,IF(BE68&lt;=0,0,BE68/(((SUM(BD117:BD128)-BD128)+(SUM(BE117:BE128)-BE120)/2))),"")</f>
        <v>0</v>
      </c>
      <c r="BF67" s="31">
        <f>=IF(LEN(BF68)&gt;0,IF(BF68&lt;=0,0,BF68/(((SUM(BE117:BE128)-BE128)+(SUM(BF117:BF128)-BF120)/2))),"")</f>
        <v>0</v>
      </c>
      <c r="BG67" s="31">
        <f>=IF(LEN(BG68)&gt;0,IF(BG68&lt;=0,0,BG68/(((SUM(BF117:BF128)-BF128)+(SUM(BG117:BG128)-BG120)/2))),"")</f>
        <v>0</v>
      </c>
      <c r="BH67" s="31">
        <f>=IF(LEN(BH68)&gt;0,IF(BH68&lt;=0,0,BH68/(((SUM(BG117:BG128)-BG128)+(SUM(BH117:BH128)-BH120)/2))),"")</f>
        <v>0</v>
      </c>
      <c r="BI67" s="31">
        <f>=IF(LEN(BI68)&gt;0,IF(BI68&lt;=0,0,BI68/(((SUM(BH117:BH128)-BH128)+(SUM(BI117:BI128)-BI120)/2))),"")</f>
        <v>0</v>
      </c>
      <c r="BJ67" s="31">
        <f>=IF(LEN(BJ68)&gt;0,IF(BJ68&lt;=0,0,BJ68/(((SUM(BI117:BI128)-BI128)+(SUM(BJ117:BJ128)-BJ120)/2))),"")</f>
        <v>0</v>
      </c>
      <c r="BK67" s="31">
        <f>=IF(LEN(BK68)&gt;0,IF(BK68&lt;=0,0,BK68/(((SUM(BJ117:BJ128)-BJ128)+(SUM(BK117:BK128)-BK120)/2))),"")</f>
        <v>0</v>
      </c>
      <c r="BL67" s="31">
        <f>=IF(LEN(BL68)&gt;0,IF(BL68&lt;=0,0,BL68/(((SUM(BK117:BK128)-BK128)+(SUM(BL117:BL128)-BL120)/2))),"")</f>
        <v>0</v>
      </c>
      <c r="BM67" s="31">
        <f>=IF(LEN(BM68)&gt;0,IF(BM68&lt;=0,0,BM68/(((SUM(BL117:BL128)-BL128)+(SUM(BM117:BM128)-BM120)/2))),"")</f>
        <v>0</v>
      </c>
      <c r="BN67" s="31">
        <f>=IF(LEN(BN68)&gt;0,IF(BN68&lt;=0,0,BN68/(((SUM(BM117:BM128)-BM128)+(SUM(BN117:BN128)-BN120)/2))),"")</f>
        <v>0</v>
      </c>
      <c r="BO67" s="31">
        <f>=IF(LEN(BO68)&gt;0,IF(BO68&lt;=0,0,BO68/(((SUM(BN117:BN128)-BN128)+(SUM(BO117:BO128)-BO120)/2))),"")</f>
        <v>0</v>
      </c>
      <c r="BP67" s="31">
        <f>=IF(LEN(BP68)&gt;0,IF(BP68&lt;=0,0,BP68/(((SUM(BO117:BO128)-BO128)+(SUM(BP117:BP128)-BP120)/2))),"")</f>
        <v>0</v>
      </c>
      <c r="BQ67" s="31">
        <f>=IF(LEN(BQ68)&gt;0,IF(BQ68&lt;=0,0,BQ68/(((SUM(BP117:BP128)-BP128)+(SUM(BQ117:BQ128)-BQ120)/2))),"")</f>
        <v>0</v>
      </c>
      <c r="BR67" s="31">
        <f>=IF(LEN(BR68)&gt;0,IF(BR68&lt;=0,0,BR68/(((SUM(BQ117:BQ128)-BQ128)+(SUM(BR117:BR128)-BR120)/2))),"")</f>
        <v>0</v>
      </c>
      <c r="BS67" s="31">
        <f>=IF(LEN(BS68)&gt;0,IF(BS68&lt;=0,0,BS68/(((SUM(BR117:BR128)-BR128)+(SUM(BS117:BS128)-BS120)/2))),"")</f>
        <v>0</v>
      </c>
      <c r="BT67" s="31">
        <f>=IF(LEN(BT68)&gt;0,IF(BT68&lt;=0,0,BT68/(((SUM(BS117:BS128)-BS128)+(SUM(BT117:BT128)-BT120)/2))),"")</f>
        <v>0</v>
      </c>
      <c r="BU67" s="31">
        <f>=IF(LEN(BU68)&gt;0,IF(BU68&lt;=0,0,BU68/(((SUM(BT117:BT128)-BT128)+(SUM(BU117:BU128)-BU120)/2))),"")</f>
        <v>0</v>
      </c>
      <c r="BV67" s="30">
        <f>=IF(LEN(BV68)&gt;0,IF(BV68&lt;=0,0,BV68/(((SUM(BU117:BU128)-BU128)+(SUM(BV117:BV128)-BV120)/2))),"")</f>
        <v>0</v>
      </c>
      <c r="BW67" s="30" t="str">
        <f>=IF(LEN(BW68)&gt;0,IF(BW68&lt;=0,0,BW68/(((SUM(BV117:BV128)-BV128)+(SUM(BW117:BW128)-BW120)/2))),"")</f>
        <v/>
      </c>
      <c r="BX67" s="30" t="str">
        <f>=IF(LEN(BX68)&gt;0,IF(BX68&lt;=0,0,BX68/(((SUM(BW117:BW128)-BW128)+(SUM(BX117:BX128)-BX120)/2))),"")</f>
        <v/>
      </c>
      <c r="BY67" s="30" t="str">
        <f>=IF(LEN(BY68)&gt;0,IF(BY68&lt;=0,0,BY68/(((SUM(BX117:BX128)-BX128)+(SUM(BY117:BY128)-BY120)/2))),"")</f>
        <v/>
      </c>
      <c r="BZ67" s="30" t="str">
        <f>=IF(LEN(BZ68)&gt;0,IF(BZ68&lt;=0,0,BZ68/(((SUM(BY117:BY128)-BY128)+(SUM(BZ117:BZ128)-BZ120)/2))),"")</f>
        <v/>
      </c>
      <c r="CA67" s="30" t="str">
        <f>=IF(LEN(CA68)&gt;0,IF(CA68&lt;=0,0,CA68/(((SUM(BZ117:BZ128)-BZ128)+(SUM(CA117:CA128)-CA120)/2))),"")</f>
        <v/>
      </c>
      <c r="CB67" s="30" t="str">
        <f>=IF(LEN(CB68)&gt;0,IF(CB68&lt;=0,0,CB68/(((SUM(CA117:CA128)-CA128)+(SUM(CB117:CB128)-CB120)/2))),"")</f>
        <v/>
      </c>
      <c r="CC67" s="30" t="str">
        <f>=IF(LEN(CC68)&gt;0,IF(CC68&lt;=0,0,CC68/(((SUM(CB117:CB128)-CB128)+(SUM(CC117:CC128)-CC120)/2))),"")</f>
        <v/>
      </c>
      <c r="CD67" s="30" t="str">
        <f>=IF(LEN(CD68)&gt;0,IF(CD68&lt;=0,0,CD68/(((SUM(CC117:CC128)-CC128)+(SUM(CD117:CD128)-CD120)/2))),"")</f>
        <v/>
      </c>
      <c r="CE67" s="30" t="str">
        <f>=IF(LEN(CE68)&gt;0,IF(CE68&lt;=0,0,CE68/(((SUM(CD117:CD128)-CD128)+(SUM(CE117:CE128)-CE120)/2))),"")</f>
        <v/>
      </c>
      <c r="CF67" s="30" t="str">
        <f>=IF(LEN(CF68)&gt;0,IF(CF68&lt;=0,0,CF68/(((SUM(CE117:CE128)-CE128)+(SUM(CF117:CF128)-CF120)/2))),"")</f>
        <v/>
      </c>
      <c r="CG67" s="30" t="str">
        <f>=IF(LEN(CG68)&gt;0,IF(CG68&lt;=0,0,CG68/(((SUM(CF117:CF128)-CF128)+(SUM(CG117:CG128)-CG120)/2))),"")</f>
        <v/>
      </c>
      <c r="CH67" s="30" t="str">
        <f>=IF(LEN(CH68)&gt;0,IF(CH68&lt;=0,0,CH68/(((SUM(CG117:CG128)-CG128)+(SUM(CH117:CH128)-CH120)/2))),"")</f>
        <v/>
      </c>
      <c r="CI67" s="30" t="str">
        <f>=IF(LEN(CI68)&gt;0,IF(CI68&lt;=0,0,CI68/(((SUM(CH117:CH128)-CH128)+(SUM(CI117:CI128)-CI120)/2))),"")</f>
        <v/>
      </c>
      <c r="CJ67" s="30" t="str">
        <f>=IF(LEN(CJ68)&gt;0,IF(CJ68&lt;=0,0,CJ68/(((SUM(CI117:CI128)-CI128)+(SUM(CJ117:CJ128)-CJ120)/2))),"")</f>
        <v/>
      </c>
      <c r="CK67" s="30" t="str">
        <f>=IF(LEN(CK68)&gt;0,IF(CK68&lt;=0,0,CK68/(((SUM(CJ117:CJ128)-CJ128)+(SUM(CK117:CK128)-CK120)/2))),"")</f>
        <v/>
      </c>
      <c r="CL67" s="30" t="str">
        <f>=IF(LEN(CL68)&gt;0,IF(CL68&lt;=0,0,CL68/(((SUM(CK117:CK128)-CK128)+(SUM(CL117:CL128)-CL120)/2))),"")</f>
        <v/>
      </c>
      <c r="CM67" s="30" t="str">
        <f>=IF(LEN(CM68)&gt;0,IF(CM68&lt;=0,0,CM68/(((SUM(CL117:CL128)-CL128)+(SUM(CM117:CM128)-CM120)/2))),"")</f>
        <v/>
      </c>
      <c r="CN67" s="30" t="str">
        <f>=IF(LEN(CN68)&gt;0,IF(CN68&lt;=0,0,CN68/(((SUM(CM117:CM128)-CM128)+(SUM(CN117:CN128)-CN120)/2))),"")</f>
        <v/>
      </c>
      <c r="CO67" s="30" t="str">
        <f>=IF(LEN(CO68)&gt;0,IF(CO68&lt;=0,0,CO68/(((SUM(CN117:CN128)-CN128)+(SUM(CO117:CO128)-CO120)/2))),"")</f>
        <v/>
      </c>
      <c r="CP67" s="30" t="str">
        <f>=IF(LEN(CP68)&gt;0,IF(CP68&lt;=0,0,CP68/(((SUM(CO117:CO128)-CO128)+(SUM(CP117:CP128)-CP120)/2))),"")</f>
        <v/>
      </c>
      <c r="CQ67" s="30" t="str">
        <f>=IF(LEN(CQ68)&gt;0,IF(CQ68&lt;=0,0,CQ68/(((SUM(CP117:CP128)-CP128)+(SUM(CQ117:CQ128)-CQ120)/2))),"")</f>
        <v/>
      </c>
      <c r="CR67" s="30" t="str">
        <f>=IF(LEN(CR68)&gt;0,IF(CR68&lt;=0,0,CR68/(((SUM(CQ117:CQ128)-CQ128)+(SUM(CR117:CR128)-CR120)/2))),"")</f>
        <v/>
      </c>
      <c r="CS67" s="30" t="str">
        <f>=IF(LEN(CS68)&gt;0,IF(CS68&lt;=0,0,CS68/(((SUM(CR117:CR128)-CR128)+(SUM(CS117:CS128)-CS120)/2))),"")</f>
        <v/>
      </c>
      <c r="CT67" s="30" t="str">
        <f>=IF(LEN(CT68)&gt;0,IF(CT68&lt;=0,0,CT68/(((SUM(CS117:CS128)-CS128)+(SUM(CT117:CT128)-CT120)/2))),"")</f>
        <v/>
      </c>
      <c r="CU67" s="30" t="str">
        <f>=IF(LEN(CU68)&gt;0,IF(CU68&lt;=0,0,CU68/(((SUM(CT117:CT128)-CT128)+(SUM(CU117:CU128)-CU120)/2))),"")</f>
        <v/>
      </c>
      <c r="CV67" s="30" t="str">
        <f>=IF(LEN(CV68)&gt;0,IF(CV68&lt;=0,0,CV68/(((SUM(CU117:CU128)-CU128)+(SUM(CV117:CV128)-CV120)/2))),"")</f>
        <v/>
      </c>
      <c r="CW67" s="30" t="str">
        <f>=IF(LEN(CW68)&gt;0,IF(CW68&lt;=0,0,CW68/(((SUM(CV117:CV128)-CV128)+(SUM(CW117:CW128)-CW120)/2))),"")</f>
        <v/>
      </c>
      <c r="CX67" s="30" t="str">
        <f>=IF(LEN(CX68)&gt;0,IF(CX68&lt;=0,0,CX68/(((SUM(CW117:CW128)-CW128)+(SUM(CX117:CX128)-CX120)/2))),"")</f>
        <v/>
      </c>
      <c r="CY67" s="30" t="str">
        <f>=IF(LEN(CY68)&gt;0,IF(CY68&lt;=0,0,CY68/(((SUM(CX117:CX128)-CX128)+(SUM(CY117:CY128)-CY120)/2))),"")</f>
        <v/>
      </c>
      <c r="CZ67" s="30" t="str">
        <f>=IF(LEN(CZ68)&gt;0,IF(CZ68&lt;=0,0,CZ68/(((SUM(CY117:CY128)-CY128)+(SUM(CZ117:CZ128)-CZ120)/2))),"")</f>
        <v/>
      </c>
      <c r="DA67" s="30" t="str">
        <f>=IF(LEN(DA68)&gt;0,IF(DA68&lt;=0,0,DA68/(((SUM(CZ117:CZ128)-CZ128)+(SUM(DA117:DA128)-DA120)/2))),"")</f>
        <v/>
      </c>
      <c r="DB67" s="30" t="str">
        <f>=IF(LEN(DB68)&gt;0,IF(DB68&lt;=0,0,DB68/(((SUM(DA117:DA128)-DA128)+(SUM(DB117:DB128)-DB120)/2))),"")</f>
        <v/>
      </c>
    </row>
    <row r="68" spans="1:106" x14ac:dyDescent="0.25">
      <c r="A68" s="36" t="s">
        <v>293</v>
      </c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>
        <f>=IF(DATEVALUE(BB4)&lt;=$C$2-WEEKDAY($C$2,1)+1,IF(SUM(BA117:BA128)&lt;=0,0,(SUM(BA117:BA128)-BA128)-(SUM(BB117:BB128)-BB120)),"")</f>
        <v>0</v>
      </c>
      <c r="BC68" s="30">
        <f>=IF(DATEVALUE(BC4)&lt;=$C$2-WEEKDAY($C$2,1)+1,IF(SUM(BB117:BB128)&lt;=0,0,(SUM(BB117:BB128)-BB128)-(SUM(BC117:BC128)-BC120)),"")</f>
        <v>0</v>
      </c>
      <c r="BD68" s="30">
        <f>=IF(DATEVALUE(BD4)&lt;=$C$2-WEEKDAY($C$2,1)+1,IF(SUM(BC117:BC128)&lt;=0,0,(SUM(BC117:BC128)-BC128)-(SUM(BD117:BD128)-BD120)),"")</f>
        <v>0</v>
      </c>
      <c r="BE68" s="30">
        <f>=IF(DATEVALUE(BE4)&lt;=$C$2-WEEKDAY($C$2,1)+1,IF(SUM(BD117:BD128)&lt;=0,0,(SUM(BD117:BD128)-BD128)-(SUM(BE117:BE128)-BE120)),"")</f>
        <v>0</v>
      </c>
      <c r="BF68" s="30">
        <f>=IF(DATEVALUE(BF4)&lt;=$C$2-WEEKDAY($C$2,1)+1,IF(SUM(BE117:BE128)&lt;=0,0,(SUM(BE117:BE128)-BE128)-(SUM(BF117:BF128)-BF120)),"")</f>
        <v>0</v>
      </c>
      <c r="BG68" s="30">
        <f>=IF(DATEVALUE(BG4)&lt;=$C$2-WEEKDAY($C$2,1)+1,IF(SUM(BF117:BF128)&lt;=0,0,(SUM(BF117:BF128)-BF128)-(SUM(BG117:BG128)-BG120)),"")</f>
        <v>0</v>
      </c>
      <c r="BH68" s="30">
        <f>=IF(DATEVALUE(BH4)&lt;=$C$2-WEEKDAY($C$2,1)+1,IF(SUM(BG117:BG128)&lt;=0,0,(SUM(BG117:BG128)-BG128)-(SUM(BH117:BH128)-BH120)),"")</f>
        <v>0</v>
      </c>
      <c r="BI68" s="30">
        <f>=IF(DATEVALUE(BI4)&lt;=$C$2-WEEKDAY($C$2,1)+1,IF(SUM(BH117:BH128)&lt;=0,0,(SUM(BH117:BH128)-BH128)-(SUM(BI117:BI128)-BI120)),"")</f>
        <v>0</v>
      </c>
      <c r="BJ68" s="30">
        <f>=IF(DATEVALUE(BJ4)&lt;=$C$2-WEEKDAY($C$2,1)+1,IF(SUM(BI117:BI128)&lt;=0,0,(SUM(BI117:BI128)-BI128)-(SUM(BJ117:BJ128)-BJ120)),"")</f>
        <v>0</v>
      </c>
      <c r="BK68" s="30">
        <f>=IF(DATEVALUE(BK4)&lt;=$C$2-WEEKDAY($C$2,1)+1,IF(SUM(BJ117:BJ128)&lt;=0,0,(SUM(BJ117:BJ128)-BJ128)-(SUM(BK117:BK128)-BK120)),"")</f>
        <v>0</v>
      </c>
      <c r="BL68" s="30">
        <f>=IF(DATEVALUE(BL4)&lt;=$C$2-WEEKDAY($C$2,1)+1,IF(SUM(BK117:BK128)&lt;=0,0,(SUM(BK117:BK128)-BK128)-(SUM(BL117:BL128)-BL120)),"")</f>
        <v>0</v>
      </c>
      <c r="BM68" s="30">
        <f>=IF(DATEVALUE(BM4)&lt;=$C$2-WEEKDAY($C$2,1)+1,IF(SUM(BL117:BL128)&lt;=0,0,(SUM(BL117:BL128)-BL128)-(SUM(BM117:BM128)-BM120)),"")</f>
        <v>0</v>
      </c>
      <c r="BN68" s="30">
        <f>=IF(DATEVALUE(BN4)&lt;=$C$2-WEEKDAY($C$2,1)+1,IF(SUM(BM117:BM128)&lt;=0,0,(SUM(BM117:BM128)-BM128)-(SUM(BN117:BN128)-BN120)),"")</f>
        <v>0</v>
      </c>
      <c r="BO68" s="30">
        <f>=IF(DATEVALUE(BO4)&lt;=$C$2-WEEKDAY($C$2,1)+1,IF(SUM(BN117:BN128)&lt;=0,0,(SUM(BN117:BN128)-BN128)-(SUM(BO117:BO128)-BO120)),"")</f>
        <v>0</v>
      </c>
      <c r="BP68" s="30">
        <f>=IF(DATEVALUE(BP4)&lt;=$C$2-WEEKDAY($C$2,1)+1,IF(SUM(BO117:BO128)&lt;=0,0,(SUM(BO117:BO128)-BO128)-(SUM(BP117:BP128)-BP120)),"")</f>
        <v>0</v>
      </c>
      <c r="BQ68" s="30">
        <f>=IF(DATEVALUE(BQ4)&lt;=$C$2-WEEKDAY($C$2,1)+1,IF(SUM(BP117:BP128)&lt;=0,0,(SUM(BP117:BP128)-BP128)-(SUM(BQ117:BQ128)-BQ120)),"")</f>
        <v>0</v>
      </c>
      <c r="BR68" s="30">
        <f>=IF(DATEVALUE(BR4)&lt;=$C$2-WEEKDAY($C$2,1)+1,IF(SUM(BQ117:BQ128)&lt;=0,0,(SUM(BQ117:BQ128)-BQ128)-(SUM(BR117:BR128)-BR120)),"")</f>
        <v>0</v>
      </c>
      <c r="BS68" s="30">
        <f>=IF(DATEVALUE(BS4)&lt;=$C$2-WEEKDAY($C$2,1)+1,IF(SUM(BR117:BR128)&lt;=0,0,(SUM(BR117:BR128)-BR128)-(SUM(BS117:BS128)-BS120)),"")</f>
        <v>0</v>
      </c>
      <c r="BT68" s="30">
        <f>=IF(DATEVALUE(BT4)&lt;=$C$2-WEEKDAY($C$2,1)+1,IF(SUM(BS117:BS128)&lt;=0,0,(SUM(BS117:BS128)-BS128)-(SUM(BT117:BT128)-BT120)),"")</f>
        <v>0</v>
      </c>
      <c r="BU68" s="30">
        <f>=IF(DATEVALUE(BU4)&lt;=$C$2-WEEKDAY($C$2,1)+1,IF(SUM(BT117:BT128)&lt;=0,0,(SUM(BT117:BT128)-BT128)-(SUM(BU117:BU128)-BU120)),"")</f>
        <v>0</v>
      </c>
      <c r="BV68" s="30">
        <f>=IF(DATEVALUE(BV4)&lt;=$C$2-WEEKDAY($C$2,1)+1,IF(SUM(BU117:BU128)&lt;=0,0,(SUM(BU117:BU128)-BU128)-(SUM(BV117:BV128)-BV120)),"")</f>
        <v>0</v>
      </c>
      <c r="BW68" s="30" t="str">
        <f>=IF(DATEVALUE(BW4)&lt;=$C$2-WEEKDAY($C$2,1)+1,IF(SUM(BV117:BV128)&lt;=0,0,(SUM(BV117:BV128)-BV128)-(SUM(BW117:BW128)-BW120)),"")</f>
        <v/>
      </c>
      <c r="BX68" s="30" t="str">
        <f>=IF(DATEVALUE(BX4)&lt;=$C$2-WEEKDAY($C$2,1)+1,IF(SUM(BW117:BW128)&lt;=0,0,(SUM(BW117:BW128)-BW128)-(SUM(BX117:BX128)-BX120)),"")</f>
        <v/>
      </c>
      <c r="BY68" s="30" t="str">
        <f>=IF(DATEVALUE(BY4)&lt;=$C$2-WEEKDAY($C$2,1)+1,IF(SUM(BX117:BX128)&lt;=0,0,(SUM(BX117:BX128)-BX128)-(SUM(BY117:BY128)-BY120)),"")</f>
        <v/>
      </c>
      <c r="BZ68" s="30" t="str">
        <f>=IF(DATEVALUE(BZ4)&lt;=$C$2-WEEKDAY($C$2,1)+1,IF(SUM(BY117:BY128)&lt;=0,0,(SUM(BY117:BY128)-BY128)-(SUM(BZ117:BZ128)-BZ120)),"")</f>
        <v/>
      </c>
      <c r="CA68" s="30" t="str">
        <f>=IF(DATEVALUE(CA4)&lt;=$C$2-WEEKDAY($C$2,1)+1,IF(SUM(BZ117:BZ128)&lt;=0,0,(SUM(BZ117:BZ128)-BZ128)-(SUM(CA117:CA128)-CA120)),"")</f>
        <v/>
      </c>
      <c r="CB68" s="30" t="str">
        <f>=IF(DATEVALUE(CB4)&lt;=$C$2-WEEKDAY($C$2,1)+1,IF(SUM(CA117:CA128)&lt;=0,0,(SUM(CA117:CA128)-CA128)-(SUM(CB117:CB128)-CB120)),"")</f>
        <v/>
      </c>
      <c r="CC68" s="30" t="str">
        <f>=IF(DATEVALUE(CC4)&lt;=$C$2-WEEKDAY($C$2,1)+1,IF(SUM(CB117:CB128)&lt;=0,0,(SUM(CB117:CB128)-CB128)-(SUM(CC117:CC128)-CC120)),"")</f>
        <v/>
      </c>
      <c r="CD68" s="30" t="str">
        <f>=IF(DATEVALUE(CD4)&lt;=$C$2-WEEKDAY($C$2,1)+1,IF(SUM(CC117:CC128)&lt;=0,0,(SUM(CC117:CC128)-CC128)-(SUM(CD117:CD128)-CD120)),"")</f>
        <v/>
      </c>
      <c r="CE68" s="30" t="str">
        <f>=IF(DATEVALUE(CE4)&lt;=$C$2-WEEKDAY($C$2,1)+1,IF(SUM(CD117:CD128)&lt;=0,0,(SUM(CD117:CD128)-CD128)-(SUM(CE117:CE128)-CE120)),"")</f>
        <v/>
      </c>
      <c r="CF68" s="30" t="str">
        <f>=IF(DATEVALUE(CF4)&lt;=$C$2-WEEKDAY($C$2,1)+1,IF(SUM(CE117:CE128)&lt;=0,0,(SUM(CE117:CE128)-CE128)-(SUM(CF117:CF128)-CF120)),"")</f>
        <v/>
      </c>
      <c r="CG68" s="30" t="str">
        <f>=IF(DATEVALUE(CG4)&lt;=$C$2-WEEKDAY($C$2,1)+1,IF(SUM(CF117:CF128)&lt;=0,0,(SUM(CF117:CF128)-CF128)-(SUM(CG117:CG128)-CG120)),"")</f>
        <v/>
      </c>
      <c r="CH68" s="30" t="str">
        <f>=IF(DATEVALUE(CH4)&lt;=$C$2-WEEKDAY($C$2,1)+1,IF(SUM(CG117:CG128)&lt;=0,0,(SUM(CG117:CG128)-CG128)-(SUM(CH117:CH128)-CH120)),"")</f>
        <v/>
      </c>
      <c r="CI68" s="30" t="str">
        <f>=IF(DATEVALUE(CI4)&lt;=$C$2-WEEKDAY($C$2,1)+1,IF(SUM(CH117:CH128)&lt;=0,0,(SUM(CH117:CH128)-CH128)-(SUM(CI117:CI128)-CI120)),"")</f>
        <v/>
      </c>
      <c r="CJ68" s="30" t="str">
        <f>=IF(DATEVALUE(CJ4)&lt;=$C$2-WEEKDAY($C$2,1)+1,IF(SUM(CI117:CI128)&lt;=0,0,(SUM(CI117:CI128)-CI128)-(SUM(CJ117:CJ128)-CJ120)),"")</f>
        <v/>
      </c>
      <c r="CK68" s="30" t="str">
        <f>=IF(DATEVALUE(CK4)&lt;=$C$2-WEEKDAY($C$2,1)+1,IF(SUM(CJ117:CJ128)&lt;=0,0,(SUM(CJ117:CJ128)-CJ128)-(SUM(CK117:CK128)-CK120)),"")</f>
        <v/>
      </c>
      <c r="CL68" s="30" t="str">
        <f>=IF(DATEVALUE(CL4)&lt;=$C$2-WEEKDAY($C$2,1)+1,IF(SUM(CK117:CK128)&lt;=0,0,(SUM(CK117:CK128)-CK128)-(SUM(CL117:CL128)-CL120)),"")</f>
        <v/>
      </c>
      <c r="CM68" s="30" t="str">
        <f>=IF(DATEVALUE(CM4)&lt;=$C$2-WEEKDAY($C$2,1)+1,IF(SUM(CL117:CL128)&lt;=0,0,(SUM(CL117:CL128)-CL128)-(SUM(CM117:CM128)-CM120)),"")</f>
        <v/>
      </c>
      <c r="CN68" s="30" t="str">
        <f>=IF(DATEVALUE(CN4)&lt;=$C$2-WEEKDAY($C$2,1)+1,IF(SUM(CM117:CM128)&lt;=0,0,(SUM(CM117:CM128)-CM128)-(SUM(CN117:CN128)-CN120)),"")</f>
        <v/>
      </c>
      <c r="CO68" s="30" t="str">
        <f>=IF(DATEVALUE(CO4)&lt;=$C$2-WEEKDAY($C$2,1)+1,IF(SUM(CN117:CN128)&lt;=0,0,(SUM(CN117:CN128)-CN128)-(SUM(CO117:CO128)-CO120)),"")</f>
        <v/>
      </c>
      <c r="CP68" s="30" t="str">
        <f>=IF(DATEVALUE(CP4)&lt;=$C$2-WEEKDAY($C$2,1)+1,IF(SUM(CO117:CO128)&lt;=0,0,(SUM(CO117:CO128)-CO128)-(SUM(CP117:CP128)-CP120)),"")</f>
        <v/>
      </c>
      <c r="CQ68" s="30" t="str">
        <f>=IF(DATEVALUE(CQ4)&lt;=$C$2-WEEKDAY($C$2,1)+1,IF(SUM(CP117:CP128)&lt;=0,0,(SUM(CP117:CP128)-CP128)-(SUM(CQ117:CQ128)-CQ120)),"")</f>
        <v/>
      </c>
      <c r="CR68" s="30" t="str">
        <f>=IF(DATEVALUE(CR4)&lt;=$C$2-WEEKDAY($C$2,1)+1,IF(SUM(CQ117:CQ128)&lt;=0,0,(SUM(CQ117:CQ128)-CQ128)-(SUM(CR117:CR128)-CR120)),"")</f>
        <v/>
      </c>
      <c r="CS68" s="30" t="str">
        <f>=IF(DATEVALUE(CS4)&lt;=$C$2-WEEKDAY($C$2,1)+1,IF(SUM(CR117:CR128)&lt;=0,0,(SUM(CR117:CR128)-CR128)-(SUM(CS117:CS128)-CS120)),"")</f>
        <v/>
      </c>
      <c r="CT68" s="30" t="str">
        <f>=IF(DATEVALUE(CT4)&lt;=$C$2-WEEKDAY($C$2,1)+1,IF(SUM(CS117:CS128)&lt;=0,0,(SUM(CS117:CS128)-CS128)-(SUM(CT117:CT128)-CT120)),"")</f>
        <v/>
      </c>
      <c r="CU68" s="30" t="str">
        <f>=IF(DATEVALUE(CU4)&lt;=$C$2-WEEKDAY($C$2,1)+1,IF(SUM(CT117:CT128)&lt;=0,0,(SUM(CT117:CT128)-CT128)-(SUM(CU117:CU128)-CU120)),"")</f>
        <v/>
      </c>
      <c r="CV68" s="30" t="str">
        <f>=IF(DATEVALUE(CV4)&lt;=$C$2-WEEKDAY($C$2,1)+1,IF(SUM(CU117:CU128)&lt;=0,0,(SUM(CU117:CU128)-CU128)-(SUM(CV117:CV128)-CV120)),"")</f>
        <v/>
      </c>
      <c r="CW68" s="30" t="str">
        <f>=IF(DATEVALUE(CW4)&lt;=$C$2-WEEKDAY($C$2,1)+1,IF(SUM(CV117:CV128)&lt;=0,0,(SUM(CV117:CV128)-CV128)-(SUM(CW117:CW128)-CW120)),"")</f>
        <v/>
      </c>
      <c r="CX68" s="30" t="str">
        <f>=IF(DATEVALUE(CX4)&lt;=$C$2-WEEKDAY($C$2,1)+1,IF(SUM(CW117:CW128)&lt;=0,0,(SUM(CW117:CW128)-CW128)-(SUM(CX117:CX128)-CX120)),"")</f>
        <v/>
      </c>
      <c r="CY68" s="30" t="str">
        <f>=IF(DATEVALUE(CY4)&lt;=$C$2-WEEKDAY($C$2,1)+1,IF(SUM(CX117:CX128)&lt;=0,0,(SUM(CX117:CX128)-CX128)-(SUM(CY117:CY128)-CY120)),"")</f>
        <v/>
      </c>
      <c r="CZ68" s="30" t="str">
        <f>=IF(DATEVALUE(CZ4)&lt;=$C$2-WEEKDAY($C$2,1)+1,IF(SUM(CY117:CY128)&lt;=0,0,(SUM(CY117:CY128)-CY128)-(SUM(CZ117:CZ128)-CZ120)),"")</f>
        <v/>
      </c>
      <c r="DA68" s="30" t="str">
        <f>=IF(DATEVALUE(DA4)&lt;=$C$2-WEEKDAY($C$2,1)+1,IF(SUM(CZ117:CZ128)&lt;=0,0,(SUM(CZ117:CZ128)-CZ128)-(SUM(DA117:DA128)-DA120)),"")</f>
        <v/>
      </c>
      <c r="DB68" s="30" t="str">
        <f>=IF(DATEVALUE(DB4)&lt;=$C$2-WEEKDAY($C$2,1)+1,IF(SUM(DA117:DA128)&lt;=0,0,(SUM(DA117:DA128)-DA128)-(SUM(DB117:DB128)-DB120)),"")</f>
        <v/>
      </c>
    </row>
    <row r="69" spans="1:106" x14ac:dyDescent="0.25">
      <c r="A69" s="16" t="s">
        <v>294</v>
      </c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  <c r="BP69" s="30"/>
      <c r="BQ69" s="30"/>
      <c r="BR69" s="30"/>
      <c r="BS69" s="30"/>
      <c r="BT69" s="30"/>
      <c r="BU69" s="30"/>
      <c r="BV69" s="30"/>
      <c r="BW69" s="30"/>
      <c r="BX69" s="30"/>
      <c r="BY69" s="30"/>
      <c r="BZ69" s="30"/>
      <c r="CA69" s="30"/>
      <c r="CB69" s="30"/>
      <c r="CC69" s="30"/>
      <c r="CD69" s="30"/>
      <c r="CE69" s="30"/>
      <c r="CF69" s="30"/>
      <c r="CG69" s="30"/>
      <c r="CH69" s="30"/>
      <c r="CI69" s="30"/>
      <c r="CJ69" s="30"/>
      <c r="CK69" s="30"/>
      <c r="CL69" s="30"/>
      <c r="CM69" s="30"/>
      <c r="CN69" s="30"/>
      <c r="CO69" s="30"/>
      <c r="CP69" s="30"/>
      <c r="CQ69" s="30"/>
      <c r="CR69" s="30"/>
      <c r="CS69" s="30"/>
      <c r="CT69" s="30"/>
      <c r="CU69" s="30"/>
      <c r="CV69" s="30"/>
      <c r="CW69" s="30"/>
      <c r="CX69" s="30"/>
      <c r="CY69" s="30"/>
      <c r="CZ69" s="30"/>
      <c r="DA69" s="30"/>
      <c r="DB69" s="30"/>
    </row>
    <row r="70" spans="1:106" x14ac:dyDescent="0.25">
      <c r="A70" s="16" t="s">
        <v>282</v>
      </c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/>
      <c r="BO70" s="30"/>
      <c r="BP70" s="30"/>
      <c r="BQ70" s="30"/>
      <c r="BR70" s="30"/>
      <c r="BS70" s="30"/>
      <c r="BT70" s="30"/>
      <c r="BU70" s="30"/>
      <c r="BV70" s="30"/>
      <c r="BW70" s="30"/>
      <c r="BX70" s="30"/>
      <c r="BY70" s="30"/>
      <c r="BZ70" s="30"/>
      <c r="CA70" s="30"/>
      <c r="CB70" s="30"/>
      <c r="CC70" s="30"/>
      <c r="CD70" s="30"/>
      <c r="CE70" s="30"/>
      <c r="CF70" s="30"/>
      <c r="CG70" s="30"/>
      <c r="CH70" s="30"/>
      <c r="CI70" s="30"/>
      <c r="CJ70" s="30"/>
      <c r="CK70" s="30"/>
      <c r="CL70" s="30"/>
      <c r="CM70" s="30"/>
      <c r="CN70" s="30"/>
      <c r="CO70" s="30"/>
      <c r="CP70" s="30"/>
      <c r="CQ70" s="30"/>
      <c r="CR70" s="30"/>
      <c r="CS70" s="30"/>
      <c r="CT70" s="30"/>
      <c r="CU70" s="30"/>
      <c r="CV70" s="30"/>
      <c r="CW70" s="30"/>
      <c r="CX70" s="30"/>
      <c r="CY70" s="30"/>
      <c r="CZ70" s="30"/>
      <c r="DA70" s="30"/>
      <c r="DB70" s="30"/>
    </row>
    <row r="71" spans="3:106" x14ac:dyDescent="0.25"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30"/>
      <c r="BN71" s="30"/>
      <c r="BO71" s="30"/>
      <c r="BP71" s="30"/>
      <c r="BQ71" s="30"/>
      <c r="BR71" s="30"/>
      <c r="BS71" s="30"/>
      <c r="BT71" s="30"/>
      <c r="BU71" s="30"/>
      <c r="BV71" s="30"/>
      <c r="BW71" s="30"/>
      <c r="BX71" s="30"/>
      <c r="BY71" s="30"/>
      <c r="BZ71" s="30"/>
      <c r="CA71" s="30"/>
      <c r="CB71" s="30"/>
      <c r="CC71" s="30"/>
      <c r="CD71" s="30"/>
      <c r="CE71" s="30"/>
      <c r="CF71" s="30"/>
      <c r="CG71" s="30"/>
      <c r="CH71" s="30"/>
      <c r="CI71" s="30"/>
      <c r="CJ71" s="30"/>
      <c r="CK71" s="30"/>
      <c r="CL71" s="30"/>
      <c r="CM71" s="30"/>
      <c r="CN71" s="30"/>
      <c r="CO71" s="30"/>
      <c r="CP71" s="30"/>
      <c r="CQ71" s="30"/>
      <c r="CR71" s="30"/>
      <c r="CS71" s="30"/>
      <c r="CT71" s="30"/>
      <c r="CU71" s="30"/>
      <c r="CV71" s="30"/>
      <c r="CW71" s="30"/>
      <c r="CX71" s="30"/>
      <c r="CY71" s="30"/>
      <c r="CZ71" s="30"/>
      <c r="DA71" s="30"/>
      <c r="DB71" s="30"/>
    </row>
    <row r="72" ht="18" customHeight="1" spans="1:106" x14ac:dyDescent="0.25">
      <c r="A72" s="49" t="s">
        <v>295</v>
      </c>
      <c r="B72" s="17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2"/>
      <c r="CH72" s="32"/>
      <c r="CI72" s="32"/>
      <c r="CJ72" s="32"/>
      <c r="CK72" s="32"/>
      <c r="CL72" s="32"/>
      <c r="CM72" s="32"/>
      <c r="CN72" s="32"/>
      <c r="CO72" s="32"/>
      <c r="CP72" s="32"/>
      <c r="CQ72" s="32"/>
      <c r="CR72" s="32"/>
      <c r="CS72" s="32"/>
      <c r="CT72" s="32"/>
      <c r="CU72" s="32"/>
      <c r="CV72" s="32"/>
      <c r="CW72" s="32"/>
      <c r="CX72" s="32"/>
      <c r="CY72" s="32"/>
      <c r="CZ72" s="32"/>
      <c r="DA72" s="32"/>
      <c r="DB72" s="32"/>
    </row>
    <row r="73" ht="15" customHeight="1" spans="1:106" x14ac:dyDescent="0.25">
      <c r="A73" s="16" t="s">
        <v>296</v>
      </c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</row>
    <row r="74" ht="15" customHeight="1" spans="1:106" x14ac:dyDescent="0.25">
      <c r="A74" s="16" t="s">
        <v>297</v>
      </c>
      <c r="B74" s="17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  <c r="BC74" s="50"/>
      <c r="BD74" s="50"/>
      <c r="BE74" s="50"/>
      <c r="BF74" s="50"/>
      <c r="BG74" s="50"/>
      <c r="BH74" s="50"/>
      <c r="BI74" s="50"/>
      <c r="BJ74" s="50"/>
      <c r="BK74" s="50"/>
      <c r="BL74" s="50"/>
      <c r="BM74" s="50"/>
      <c r="BN74" s="50"/>
      <c r="BO74" s="50"/>
      <c r="BP74" s="50"/>
      <c r="BQ74" s="50"/>
      <c r="BR74" s="50"/>
      <c r="BS74" s="50"/>
      <c r="BT74" s="50"/>
      <c r="BU74" s="50"/>
      <c r="BV74" s="50"/>
      <c r="BW74" s="50"/>
      <c r="BX74" s="50"/>
      <c r="BY74" s="50"/>
      <c r="BZ74" s="50"/>
      <c r="CA74" s="50"/>
      <c r="CB74" s="50"/>
      <c r="CC74" s="50"/>
      <c r="CD74" s="50"/>
      <c r="CE74" s="50"/>
      <c r="CF74" s="50"/>
      <c r="CG74" s="50"/>
      <c r="CH74" s="50"/>
      <c r="CI74" s="50"/>
      <c r="CJ74" s="50"/>
      <c r="CK74" s="50"/>
      <c r="CL74" s="50"/>
      <c r="CM74" s="50"/>
      <c r="CN74" s="50"/>
      <c r="CO74" s="50"/>
      <c r="CP74" s="50"/>
      <c r="CQ74" s="50"/>
      <c r="CR74" s="50"/>
      <c r="CS74" s="50"/>
      <c r="CT74" s="50"/>
      <c r="CU74" s="50"/>
      <c r="CV74" s="50"/>
      <c r="CW74" s="50"/>
      <c r="CX74" s="50"/>
      <c r="CY74" s="50"/>
      <c r="CZ74" s="50"/>
      <c r="DA74" s="50"/>
      <c r="DB74" s="50"/>
    </row>
    <row r="75" ht="15" customHeight="1" spans="1:106" x14ac:dyDescent="0.25">
      <c r="A75" s="51" t="s">
        <v>298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</row>
    <row r="76" ht="15" customHeight="1" spans="1:106" x14ac:dyDescent="0.25">
      <c r="A76" s="16" t="s">
        <v>299</v>
      </c>
      <c r="B76" s="17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50"/>
      <c r="AR76" s="50"/>
      <c r="AS76" s="50"/>
      <c r="AT76" s="50"/>
      <c r="AU76" s="50"/>
      <c r="AV76" s="50"/>
      <c r="AW76" s="50"/>
      <c r="AX76" s="50"/>
      <c r="AY76" s="50"/>
      <c r="AZ76" s="50"/>
      <c r="BA76" s="50"/>
      <c r="BB76" s="50"/>
      <c r="BC76" s="50"/>
      <c r="BD76" s="50"/>
      <c r="BE76" s="50"/>
      <c r="BF76" s="50"/>
      <c r="BG76" s="50"/>
      <c r="BH76" s="50"/>
      <c r="BI76" s="50"/>
      <c r="BJ76" s="50"/>
      <c r="BK76" s="50"/>
      <c r="BL76" s="50"/>
      <c r="BM76" s="50"/>
      <c r="BN76" s="50"/>
      <c r="BO76" s="50"/>
      <c r="BP76" s="50"/>
      <c r="BQ76" s="50"/>
      <c r="BR76" s="50"/>
      <c r="BS76" s="50"/>
      <c r="BT76" s="50"/>
      <c r="BU76" s="50"/>
      <c r="BV76" s="50"/>
      <c r="BW76" s="50"/>
      <c r="BX76" s="50"/>
      <c r="BY76" s="50"/>
      <c r="BZ76" s="50"/>
      <c r="CA76" s="50"/>
      <c r="CB76" s="50"/>
      <c r="CC76" s="50"/>
      <c r="CD76" s="50"/>
      <c r="CE76" s="50"/>
      <c r="CF76" s="50"/>
      <c r="CG76" s="50"/>
      <c r="CH76" s="50"/>
      <c r="CI76" s="50"/>
      <c r="CJ76" s="50"/>
      <c r="CK76" s="50"/>
      <c r="CL76" s="50"/>
      <c r="CM76" s="50"/>
      <c r="CN76" s="50"/>
      <c r="CO76" s="50"/>
      <c r="CP76" s="50"/>
      <c r="CQ76" s="50"/>
      <c r="CR76" s="50"/>
      <c r="CS76" s="50"/>
      <c r="CT76" s="50"/>
      <c r="CU76" s="50"/>
      <c r="CV76" s="50"/>
      <c r="CW76" s="50"/>
      <c r="CX76" s="50"/>
      <c r="CY76" s="50"/>
      <c r="CZ76" s="50"/>
      <c r="DA76" s="50"/>
      <c r="DB76" s="50"/>
    </row>
    <row r="77" ht="15" customHeight="1" spans="1:106" x14ac:dyDescent="0.25">
      <c r="A77" s="16" t="s">
        <v>300</v>
      </c>
      <c r="B77" s="17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50"/>
      <c r="BC77" s="50"/>
      <c r="BD77" s="50"/>
      <c r="BE77" s="50"/>
      <c r="BF77" s="50"/>
      <c r="BG77" s="50"/>
      <c r="BH77" s="50"/>
      <c r="BI77" s="50"/>
      <c r="BJ77" s="50"/>
      <c r="BK77" s="50"/>
      <c r="BL77" s="50"/>
      <c r="BM77" s="50"/>
      <c r="BN77" s="50"/>
      <c r="BO77" s="50"/>
      <c r="BP77" s="50"/>
      <c r="BQ77" s="50"/>
      <c r="BR77" s="50"/>
      <c r="BS77" s="50"/>
      <c r="BT77" s="50"/>
      <c r="BU77" s="50"/>
      <c r="BV77" s="50"/>
      <c r="BW77" s="50"/>
      <c r="BX77" s="50"/>
      <c r="BY77" s="50"/>
      <c r="BZ77" s="50"/>
      <c r="CA77" s="50"/>
      <c r="CB77" s="50"/>
      <c r="CC77" s="50"/>
      <c r="CD77" s="50"/>
      <c r="CE77" s="50"/>
      <c r="CF77" s="50"/>
      <c r="CG77" s="50"/>
      <c r="CH77" s="50"/>
      <c r="CI77" s="50"/>
      <c r="CJ77" s="50"/>
      <c r="CK77" s="50"/>
      <c r="CL77" s="50"/>
      <c r="CM77" s="50"/>
      <c r="CN77" s="50"/>
      <c r="CO77" s="50"/>
      <c r="CP77" s="50"/>
      <c r="CQ77" s="50"/>
      <c r="CR77" s="50"/>
      <c r="CS77" s="50"/>
      <c r="CT77" s="50"/>
      <c r="CU77" s="50"/>
      <c r="CV77" s="50"/>
      <c r="CW77" s="50"/>
      <c r="CX77" s="50"/>
      <c r="CY77" s="50"/>
      <c r="CZ77" s="50"/>
      <c r="DA77" s="50"/>
      <c r="DB77" s="50"/>
    </row>
    <row r="78" ht="15" customHeight="1" spans="1:106" x14ac:dyDescent="0.25">
      <c r="A78" s="16" t="s">
        <v>301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</row>
    <row r="79" spans="3:106" x14ac:dyDescent="0.25"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  <c r="BK79" s="30"/>
      <c r="BL79" s="30"/>
      <c r="BM79" s="30"/>
      <c r="BN79" s="30"/>
      <c r="BO79" s="30"/>
      <c r="BP79" s="30"/>
      <c r="BQ79" s="30"/>
      <c r="BR79" s="30"/>
      <c r="BS79" s="30"/>
      <c r="BT79" s="30"/>
      <c r="BU79" s="30"/>
      <c r="BV79" s="30"/>
      <c r="BW79" s="30"/>
      <c r="BX79" s="30"/>
      <c r="BY79" s="30"/>
      <c r="BZ79" s="30"/>
      <c r="CA79" s="30"/>
      <c r="CB79" s="30"/>
      <c r="CC79" s="30"/>
      <c r="CD79" s="30"/>
      <c r="CE79" s="30"/>
      <c r="CF79" s="30"/>
      <c r="CG79" s="30"/>
      <c r="CH79" s="30"/>
      <c r="CI79" s="30"/>
      <c r="CJ79" s="30"/>
      <c r="CK79" s="30"/>
      <c r="CL79" s="30"/>
      <c r="CM79" s="30"/>
      <c r="CN79" s="30"/>
      <c r="CO79" s="30"/>
      <c r="CP79" s="30"/>
      <c r="CQ79" s="30"/>
      <c r="CR79" s="30"/>
      <c r="CS79" s="30"/>
      <c r="CT79" s="30"/>
      <c r="CU79" s="30"/>
      <c r="CV79" s="30"/>
      <c r="CW79" s="30"/>
      <c r="CX79" s="30"/>
      <c r="CY79" s="30"/>
      <c r="CZ79" s="30"/>
      <c r="DA79" s="30"/>
      <c r="DB79" s="30"/>
    </row>
    <row r="80" spans="1:106" x14ac:dyDescent="0.25">
      <c r="A80" s="9" t="s">
        <v>302</v>
      </c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30"/>
      <c r="BN80" s="30"/>
      <c r="BO80" s="30"/>
      <c r="BP80" s="30"/>
      <c r="BQ80" s="30"/>
      <c r="BR80" s="30"/>
      <c r="BS80" s="30"/>
      <c r="BT80" s="30"/>
      <c r="BU80" s="30"/>
      <c r="BV80" s="30"/>
      <c r="BW80" s="30"/>
      <c r="BX80" s="30"/>
      <c r="BY80" s="30"/>
      <c r="BZ80" s="30"/>
      <c r="CA80" s="30"/>
      <c r="CB80" s="30"/>
      <c r="CC80" s="30"/>
      <c r="CD80" s="30"/>
      <c r="CE80" s="30"/>
      <c r="CF80" s="30"/>
      <c r="CG80" s="30"/>
      <c r="CH80" s="30"/>
      <c r="CI80" s="30"/>
      <c r="CJ80" s="30"/>
      <c r="CK80" s="30"/>
      <c r="CL80" s="30"/>
      <c r="CM80" s="30"/>
      <c r="CN80" s="30"/>
      <c r="CO80" s="30"/>
      <c r="CP80" s="30"/>
      <c r="CQ80" s="30"/>
      <c r="CR80" s="30"/>
      <c r="CS80" s="30"/>
      <c r="CT80" s="30"/>
      <c r="CU80" s="30"/>
      <c r="CV80" s="30"/>
      <c r="CW80" s="30"/>
      <c r="CX80" s="30"/>
      <c r="CY80" s="30"/>
      <c r="CZ80" s="30"/>
      <c r="DA80" s="30"/>
      <c r="DB80" s="30"/>
    </row>
    <row r="81" spans="1:106" x14ac:dyDescent="0.25">
      <c r="A81" s="33" t="s">
        <v>303</v>
      </c>
      <c r="B81" s="24"/>
      <c r="C81" s="52">
        <v>0</v>
      </c>
      <c r="D81" s="52">
        <v>1</v>
      </c>
      <c r="E81" s="52">
        <v>1</v>
      </c>
      <c r="F81" s="52">
        <v>0</v>
      </c>
      <c r="G81" s="52">
        <v>1</v>
      </c>
      <c r="H81" s="52">
        <v>0</v>
      </c>
      <c r="I81" s="52">
        <v>0</v>
      </c>
      <c r="J81" s="52">
        <v>0</v>
      </c>
      <c r="K81" s="52">
        <v>0</v>
      </c>
      <c r="L81" s="52">
        <v>0</v>
      </c>
      <c r="M81" s="52">
        <v>0</v>
      </c>
      <c r="N81" s="52">
        <v>0</v>
      </c>
      <c r="O81" s="52">
        <v>0</v>
      </c>
      <c r="P81" s="52">
        <v>0</v>
      </c>
      <c r="Q81" s="52">
        <v>0</v>
      </c>
      <c r="R81" s="52">
        <v>1</v>
      </c>
      <c r="S81" s="52">
        <v>0</v>
      </c>
      <c r="T81" s="52">
        <v>0</v>
      </c>
      <c r="U81" s="52">
        <v>0</v>
      </c>
      <c r="V81" s="52">
        <v>1</v>
      </c>
      <c r="W81" s="52">
        <v>0</v>
      </c>
      <c r="X81" s="52">
        <v>0</v>
      </c>
      <c r="Y81" s="52">
        <v>0</v>
      </c>
      <c r="Z81" s="52">
        <v>0</v>
      </c>
      <c r="AA81" s="52">
        <v>0</v>
      </c>
      <c r="AB81" s="52">
        <v>0</v>
      </c>
      <c r="AC81" s="52">
        <v>0</v>
      </c>
      <c r="AD81" s="52">
        <v>3</v>
      </c>
      <c r="AE81" s="52">
        <v>0</v>
      </c>
      <c r="AF81" s="52">
        <v>0</v>
      </c>
      <c r="AG81" s="52">
        <v>0</v>
      </c>
      <c r="AH81" s="52">
        <v>0</v>
      </c>
      <c r="AI81" s="52">
        <v>0</v>
      </c>
      <c r="AJ81" s="52">
        <v>0</v>
      </c>
      <c r="AK81" s="52">
        <v>1</v>
      </c>
      <c r="AL81" s="52">
        <v>0</v>
      </c>
      <c r="AM81" s="52">
        <v>1</v>
      </c>
      <c r="AN81" s="52">
        <v>0</v>
      </c>
      <c r="AO81" s="52">
        <v>0</v>
      </c>
      <c r="AP81" s="52">
        <v>1</v>
      </c>
      <c r="AQ81" s="52">
        <v>0</v>
      </c>
      <c r="AR81" s="52">
        <v>0</v>
      </c>
      <c r="AS81" s="52">
        <v>0</v>
      </c>
      <c r="AT81" s="52">
        <v>0</v>
      </c>
      <c r="AU81" s="52">
        <v>0</v>
      </c>
      <c r="AV81" s="52">
        <v>0</v>
      </c>
      <c r="AW81" s="52">
        <v>0</v>
      </c>
      <c r="AX81" s="52">
        <v>0</v>
      </c>
      <c r="AY81" s="52">
        <v>0</v>
      </c>
      <c r="AZ81" s="52">
        <v>0</v>
      </c>
      <c r="BA81" s="52">
        <v>1</v>
      </c>
      <c r="BB81" s="52">
        <v>1</v>
      </c>
      <c r="BC81" s="52">
        <v>0</v>
      </c>
      <c r="BD81" s="52">
        <v>0</v>
      </c>
      <c r="BE81" s="52">
        <v>0</v>
      </c>
      <c r="BF81" s="52">
        <v>0</v>
      </c>
      <c r="BG81" s="52">
        <v>0</v>
      </c>
      <c r="BH81" s="52">
        <v>0</v>
      </c>
      <c r="BI81" s="52">
        <v>0</v>
      </c>
      <c r="BJ81" s="52">
        <v>0</v>
      </c>
      <c r="BK81" s="52">
        <v>0</v>
      </c>
      <c r="BL81" s="52">
        <v>0</v>
      </c>
      <c r="BM81" s="52">
        <v>1</v>
      </c>
      <c r="BN81" s="53">
        <f>=SUM(BN82:BN97)</f>
        <v>0</v>
      </c>
      <c r="BO81" s="53">
        <f>=SUM(BO82:BO97)</f>
        <v>0</v>
      </c>
      <c r="BP81" s="53">
        <f>=SUM(BP82:BP97)</f>
        <v>4</v>
      </c>
      <c r="BQ81" s="53">
        <f>=SUM(BQ82:BQ97)</f>
        <v>0</v>
      </c>
      <c r="BR81" s="53">
        <f>=SUM(BR82:BR97)</f>
        <v>0</v>
      </c>
      <c r="BS81" s="53">
        <f>=SUM(BS82:BS97)</f>
        <v>0</v>
      </c>
      <c r="BT81" s="53">
        <f>=SUM(BT82:BT97)</f>
        <v>0</v>
      </c>
      <c r="BU81" s="53">
        <f>=SUM(BU82:BU97)</f>
        <v>3</v>
      </c>
      <c r="BV81" s="53">
        <f>=SUM(BV82:BV97)</f>
        <v>0</v>
      </c>
      <c r="BW81" s="53">
        <f>=SUM(BW82:BW97)</f>
        <v>0</v>
      </c>
      <c r="BX81" s="53">
        <f>=SUM(BX82:BX97)</f>
        <v>1</v>
      </c>
      <c r="BY81" s="53">
        <f>=SUM(BY82:BY97)</f>
        <v>0</v>
      </c>
      <c r="BZ81" s="53">
        <f>=SUM(BZ82:BZ97)</f>
        <v>0</v>
      </c>
      <c r="CA81" s="53">
        <f>=SUM(CA82:CA97)</f>
        <v>0</v>
      </c>
      <c r="CB81" s="53">
        <f>=SUM(CB82:CB97)</f>
        <v>0</v>
      </c>
      <c r="CC81" s="53">
        <f>=SUM(CC82:CC97)</f>
        <v>0</v>
      </c>
      <c r="CD81" s="53">
        <f>=SUM(CD82:CD97)</f>
        <v>0</v>
      </c>
      <c r="CE81" s="53">
        <f>=SUM(CE82:CE97)</f>
        <v>0</v>
      </c>
      <c r="CF81" s="53">
        <f>=SUM(CF82:CF97)</f>
        <v>0</v>
      </c>
      <c r="CG81" s="53">
        <f>=SUM(CG82:CG97)</f>
        <v>0</v>
      </c>
      <c r="CH81" s="53">
        <f>=SUM(CH82:CH97)</f>
        <v>0</v>
      </c>
      <c r="CI81" s="53">
        <f>=SUM(CI82:CI97)</f>
        <v>0</v>
      </c>
      <c r="CJ81" s="53">
        <f>=SUM(CJ82:CJ97)</f>
        <v>0</v>
      </c>
      <c r="CK81" s="53">
        <f>=SUM(CK82:CK97)</f>
        <v>0</v>
      </c>
      <c r="CL81" s="53">
        <f>=SUM(CL82:CL97)</f>
        <v>0</v>
      </c>
      <c r="CM81" s="53">
        <f>=SUM(CM82:CM97)</f>
        <v>0</v>
      </c>
      <c r="CN81" s="53">
        <f>=SUM(CN82:CN97)</f>
        <v>0</v>
      </c>
      <c r="CO81" s="53">
        <f>=SUM(CO82:CO97)</f>
        <v>0</v>
      </c>
      <c r="CP81" s="53">
        <f>=SUM(CP82:CP97)</f>
        <v>0</v>
      </c>
      <c r="CQ81" s="53">
        <f>=SUM(CQ82:CQ97)</f>
        <v>0</v>
      </c>
      <c r="CR81" s="53">
        <f>=SUM(CR82:CR97)</f>
        <v>0</v>
      </c>
      <c r="CS81" s="53">
        <f>=SUM(CS82:CS97)</f>
        <v>0</v>
      </c>
      <c r="CT81" s="53">
        <f>=SUM(CT82:CT97)</f>
        <v>0</v>
      </c>
      <c r="CU81" s="53">
        <f>=SUM(CU82:CU97)</f>
        <v>0</v>
      </c>
      <c r="CV81" s="53">
        <f>=SUM(CV82:CV97)</f>
        <v>0</v>
      </c>
      <c r="CW81" s="53">
        <f>=SUM(CW82:CW97)</f>
        <v>0</v>
      </c>
      <c r="CX81" s="53">
        <f>=SUM(CX82:CX97)</f>
        <v>0</v>
      </c>
      <c r="CY81" s="53">
        <f>=SUM(CY82:CY97)</f>
        <v>0</v>
      </c>
      <c r="CZ81" s="53">
        <f>=SUM(CZ82:CZ97)</f>
        <v>0</v>
      </c>
      <c r="DA81" s="53">
        <f>=SUM(DA82:DA97)</f>
        <v>0</v>
      </c>
      <c r="DB81" s="53">
        <f>=SUM(DB82:DB97)</f>
        <v>0</v>
      </c>
    </row>
    <row r="82" ht="16" customHeight="1" spans="1:106" x14ac:dyDescent="0.25">
      <c r="A82" s="50" t="s">
        <v>304</v>
      </c>
      <c r="C82" s="17">
        <v>0</v>
      </c>
      <c r="D82" s="17">
        <v>0</v>
      </c>
      <c r="E82" s="17">
        <v>1</v>
      </c>
      <c r="F82" s="17">
        <v>0</v>
      </c>
      <c r="G82" s="17">
        <v>1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1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  <c r="AE82" s="17">
        <v>0</v>
      </c>
      <c r="AF82" s="17">
        <v>0</v>
      </c>
      <c r="AG82" s="17">
        <v>0</v>
      </c>
      <c r="AH82" s="17">
        <v>0</v>
      </c>
      <c r="AI82" s="17">
        <v>0</v>
      </c>
      <c r="AJ82" s="17">
        <v>0</v>
      </c>
      <c r="AK82" s="17">
        <v>0</v>
      </c>
      <c r="AL82" s="17">
        <v>0</v>
      </c>
      <c r="AM82" s="17">
        <v>0</v>
      </c>
      <c r="AN82" s="17">
        <v>0</v>
      </c>
      <c r="AO82" s="17">
        <v>0</v>
      </c>
      <c r="AP82" s="17">
        <v>0</v>
      </c>
      <c r="AQ82" s="17">
        <v>0</v>
      </c>
      <c r="AR82" s="17">
        <v>0</v>
      </c>
      <c r="AS82" s="17">
        <v>0</v>
      </c>
      <c r="AT82" s="17">
        <v>0</v>
      </c>
      <c r="AU82" s="17">
        <v>0</v>
      </c>
      <c r="AV82" s="17">
        <v>0</v>
      </c>
      <c r="AW82" s="17">
        <v>0</v>
      </c>
      <c r="AX82" s="17">
        <v>0</v>
      </c>
      <c r="AY82" s="17">
        <v>0</v>
      </c>
      <c r="AZ82" s="17">
        <v>0</v>
      </c>
      <c r="BA82" s="17">
        <v>0</v>
      </c>
      <c r="BB82" s="17">
        <v>1</v>
      </c>
      <c r="BC82" s="17">
        <v>0</v>
      </c>
      <c r="BD82" s="17">
        <v>0</v>
      </c>
      <c r="BE82" s="17">
        <v>0</v>
      </c>
      <c r="BF82" s="17">
        <v>0</v>
      </c>
      <c r="BG82" s="17">
        <v>0</v>
      </c>
      <c r="BH82" s="17">
        <v>0</v>
      </c>
      <c r="BI82" s="17">
        <v>0</v>
      </c>
      <c r="BJ82" s="17">
        <v>0</v>
      </c>
      <c r="BK82" s="17">
        <v>0</v>
      </c>
      <c r="BL82" s="17">
        <v>0</v>
      </c>
      <c r="BM82" s="17">
        <v>1</v>
      </c>
      <c r="BN82" s="55">
        <v>0</v>
      </c>
      <c r="BO82" s="55">
        <v>0</v>
      </c>
      <c r="BP82" s="55">
        <v>4</v>
      </c>
      <c r="BQ82" s="55">
        <v>0</v>
      </c>
      <c r="BR82" s="55">
        <v>0</v>
      </c>
      <c r="BS82" s="55">
        <v>0</v>
      </c>
      <c r="BT82" s="55">
        <v>0</v>
      </c>
      <c r="BU82" s="55">
        <v>0</v>
      </c>
      <c r="BV82" s="55">
        <v>0</v>
      </c>
      <c r="BW82" s="55">
        <v>0</v>
      </c>
      <c r="BX82" s="17">
        <v>1</v>
      </c>
      <c r="BY82" s="17">
        <v>0</v>
      </c>
      <c r="BZ82" s="17">
        <v>0</v>
      </c>
      <c r="CA82" s="17">
        <v>0</v>
      </c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</row>
    <row r="83" ht="16" customHeight="1" spans="1:106" x14ac:dyDescent="0.25">
      <c r="A83" s="50" t="s">
        <v>305</v>
      </c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</row>
    <row r="84" ht="16" customHeight="1" spans="1:106" x14ac:dyDescent="0.25">
      <c r="A84" s="50" t="s">
        <v>306</v>
      </c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>
        <v>0</v>
      </c>
      <c r="AJ84" s="17">
        <v>0</v>
      </c>
      <c r="AK84" s="17">
        <v>1</v>
      </c>
      <c r="AL84" s="17"/>
      <c r="AM84" s="17">
        <v>1</v>
      </c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</row>
    <row r="85" ht="16" customHeight="1" spans="1:106" x14ac:dyDescent="0.25">
      <c r="A85" s="50" t="s">
        <v>307</v>
      </c>
      <c r="C85" s="17"/>
      <c r="D85" s="17">
        <v>1</v>
      </c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>
        <v>1</v>
      </c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>
        <v>1</v>
      </c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>
        <v>1</v>
      </c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</row>
    <row r="86" ht="16" customHeight="1" spans="1:106" x14ac:dyDescent="0.25">
      <c r="A86" s="50" t="s">
        <v>308</v>
      </c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</row>
    <row r="87" ht="16" customHeight="1" spans="1:106" x14ac:dyDescent="0.25">
      <c r="A87" s="50" t="s">
        <v>309</v>
      </c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</row>
    <row r="88" ht="16" customHeight="1" spans="1:106" x14ac:dyDescent="0.25">
      <c r="A88" s="59" t="s">
        <v>311</v>
      </c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</row>
    <row r="89" ht="16" customHeight="1" spans="1:106" x14ac:dyDescent="0.25">
      <c r="A89" s="59" t="s">
        <v>312</v>
      </c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</row>
    <row r="90" ht="16" customHeight="1" spans="1:106" x14ac:dyDescent="0.25">
      <c r="A90" s="59" t="s">
        <v>313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</row>
    <row r="91" ht="16" customHeight="1" spans="1:106" x14ac:dyDescent="0.25">
      <c r="A91" s="59" t="s">
        <v>0</v>
      </c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>
        <v>3</v>
      </c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>
        <v>2</v>
      </c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</row>
    <row r="92" ht="16" customHeight="1" spans="1:106" x14ac:dyDescent="0.25">
      <c r="A92" s="59" t="s">
        <v>314</v>
      </c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</row>
    <row r="93" ht="16" customHeight="1" spans="1:106" x14ac:dyDescent="0.25">
      <c r="A93" s="59" t="s">
        <v>315</v>
      </c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</row>
    <row r="94" ht="16" customHeight="1" spans="1:106" x14ac:dyDescent="0.25">
      <c r="A94" s="59" t="s">
        <v>316</v>
      </c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>
        <v>1</v>
      </c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</row>
    <row r="95" ht="16" customHeight="1" spans="1:106" x14ac:dyDescent="0.25">
      <c r="A95" s="59" t="s">
        <v>372</v>
      </c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</row>
    <row r="96" ht="16" customHeight="1" spans="1:106" x14ac:dyDescent="0.25">
      <c r="A96" s="59" t="s">
        <v>318</v>
      </c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</row>
    <row r="97" ht="16" customHeight="1" spans="1:106" x14ac:dyDescent="0.25">
      <c r="A97" s="59" t="s">
        <v>266</v>
      </c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</row>
    <row r="98" ht="16" customHeight="1" spans="1:106" x14ac:dyDescent="0.25">
      <c r="A98" s="50" t="s">
        <v>320</v>
      </c>
      <c r="C98" s="17">
        <v>0</v>
      </c>
      <c r="D98" s="17">
        <v>0</v>
      </c>
      <c r="E98" s="17">
        <v>0</v>
      </c>
      <c r="F98" s="17">
        <v>0</v>
      </c>
      <c r="G98" s="17">
        <v>0</v>
      </c>
      <c r="H98" s="17">
        <v>0</v>
      </c>
      <c r="I98" s="17">
        <v>0</v>
      </c>
      <c r="J98" s="17">
        <v>0</v>
      </c>
      <c r="K98" s="17">
        <v>0</v>
      </c>
      <c r="L98" s="17">
        <v>0</v>
      </c>
      <c r="M98" s="17">
        <v>0</v>
      </c>
      <c r="N98" s="17">
        <v>0</v>
      </c>
      <c r="O98" s="17">
        <v>0</v>
      </c>
      <c r="P98" s="17">
        <v>0</v>
      </c>
      <c r="Q98" s="17">
        <v>0</v>
      </c>
      <c r="R98" s="17">
        <v>0</v>
      </c>
      <c r="S98" s="17">
        <v>0</v>
      </c>
      <c r="T98" s="17">
        <v>0</v>
      </c>
      <c r="U98" s="17">
        <v>0</v>
      </c>
      <c r="V98" s="17">
        <v>0</v>
      </c>
      <c r="W98" s="17">
        <v>0</v>
      </c>
      <c r="X98" s="17">
        <v>0</v>
      </c>
      <c r="Y98" s="17">
        <v>0</v>
      </c>
      <c r="Z98" s="17">
        <v>0</v>
      </c>
      <c r="AA98" s="17">
        <v>0</v>
      </c>
      <c r="AB98" s="17">
        <v>0</v>
      </c>
      <c r="AC98" s="17">
        <v>0</v>
      </c>
      <c r="AD98" s="17">
        <v>3</v>
      </c>
      <c r="AE98" s="17">
        <v>0</v>
      </c>
      <c r="AF98" s="17">
        <v>0</v>
      </c>
      <c r="AG98" s="17">
        <v>0</v>
      </c>
      <c r="AH98" s="17">
        <v>0</v>
      </c>
      <c r="AI98" s="17">
        <v>0</v>
      </c>
      <c r="AJ98" s="17">
        <v>0</v>
      </c>
      <c r="AK98" s="17">
        <v>0</v>
      </c>
      <c r="AL98" s="17">
        <v>0</v>
      </c>
      <c r="AM98" s="17">
        <v>0</v>
      </c>
      <c r="AN98" s="17">
        <v>0</v>
      </c>
      <c r="AO98" s="17">
        <v>0</v>
      </c>
      <c r="AP98" s="17">
        <v>0</v>
      </c>
      <c r="AQ98" s="17">
        <v>0</v>
      </c>
      <c r="AR98" s="17">
        <v>0</v>
      </c>
      <c r="AS98" s="17">
        <v>0</v>
      </c>
      <c r="AT98" s="17">
        <v>0</v>
      </c>
      <c r="AU98" s="17">
        <v>0</v>
      </c>
      <c r="AV98" s="17">
        <v>0</v>
      </c>
      <c r="AW98" s="17">
        <v>0</v>
      </c>
      <c r="AX98" s="17">
        <v>0</v>
      </c>
      <c r="AY98" s="17">
        <v>0</v>
      </c>
      <c r="AZ98" s="17">
        <v>0</v>
      </c>
      <c r="BA98" s="17">
        <v>0</v>
      </c>
      <c r="BB98" s="17">
        <v>0</v>
      </c>
      <c r="BC98" s="17">
        <v>0</v>
      </c>
      <c r="BD98" s="17">
        <v>0</v>
      </c>
      <c r="BE98" s="17">
        <v>0</v>
      </c>
      <c r="BF98" s="17">
        <v>0</v>
      </c>
      <c r="BG98" s="17">
        <v>0</v>
      </c>
      <c r="BH98" s="17">
        <v>0</v>
      </c>
      <c r="BI98" s="17">
        <v>0</v>
      </c>
      <c r="BJ98" s="17">
        <v>0</v>
      </c>
      <c r="BK98" s="17">
        <v>0</v>
      </c>
      <c r="BL98" s="17">
        <v>0</v>
      </c>
      <c r="BM98" s="17">
        <v>0</v>
      </c>
      <c r="BN98" s="17">
        <f>=SUM(BN88:BN97)</f>
        <v>0</v>
      </c>
      <c r="BO98" s="17">
        <f>=SUM(BO88:BO97)</f>
        <v>0</v>
      </c>
      <c r="BP98" s="17">
        <f>=SUM(BP88:BP97)</f>
        <v>0</v>
      </c>
      <c r="BQ98" s="17">
        <f>=SUM(BQ88:BQ97)</f>
        <v>0</v>
      </c>
      <c r="BR98" s="17">
        <f>=SUM(BR88:BR97)</f>
        <v>0</v>
      </c>
      <c r="BS98" s="17">
        <f>=SUM(BS88:BS97)</f>
        <v>0</v>
      </c>
      <c r="BT98" s="17">
        <f>=SUM(BT88:BT97)</f>
        <v>0</v>
      </c>
      <c r="BU98" s="17">
        <f>=SUM(BU88:BU97)</f>
        <v>3</v>
      </c>
      <c r="BV98" s="17">
        <f>=SUM(BV88:BV97)</f>
        <v>0</v>
      </c>
      <c r="BW98" s="17">
        <f>=SUM(BW88:BW97)</f>
        <v>0</v>
      </c>
      <c r="BX98" s="17">
        <f>=SUM(BX88:BX97)</f>
        <v>0</v>
      </c>
      <c r="BY98" s="17">
        <f>=SUM(BY88:BY97)</f>
        <v>0</v>
      </c>
      <c r="BZ98" s="17">
        <f>=SUM(BZ88:BZ97)</f>
        <v>0</v>
      </c>
      <c r="CA98" s="17">
        <f>=SUM(CA88:CA97)</f>
        <v>0</v>
      </c>
      <c r="CB98" s="17">
        <f>=SUM(CB88:CB97)</f>
        <v>0</v>
      </c>
      <c r="CC98" s="17">
        <f>=SUM(CC88:CC97)</f>
        <v>0</v>
      </c>
      <c r="CD98" s="17">
        <f>=SUM(CD88:CD97)</f>
        <v>0</v>
      </c>
      <c r="CE98" s="17">
        <f>=SUM(CE88:CE97)</f>
        <v>0</v>
      </c>
      <c r="CF98" s="17">
        <f>=SUM(CF88:CF97)</f>
        <v>0</v>
      </c>
      <c r="CG98" s="17">
        <f>=SUM(CG88:CG97)</f>
        <v>0</v>
      </c>
      <c r="CH98" s="17">
        <f>=SUM(CH88:CH97)</f>
        <v>0</v>
      </c>
      <c r="CI98" s="17">
        <f>=SUM(CI88:CI97)</f>
        <v>0</v>
      </c>
      <c r="CJ98" s="17">
        <f>=SUM(CJ88:CJ97)</f>
        <v>0</v>
      </c>
      <c r="CK98" s="17">
        <f>=SUM(CK88:CK97)</f>
        <v>0</v>
      </c>
      <c r="CL98" s="17">
        <f>=SUM(CL88:CL97)</f>
        <v>0</v>
      </c>
      <c r="CM98" s="17">
        <f>=SUM(CM88:CM97)</f>
        <v>0</v>
      </c>
      <c r="CN98" s="17">
        <f>=SUM(CN88:CN97)</f>
        <v>0</v>
      </c>
      <c r="CO98" s="17">
        <f>=SUM(CO88:CO97)</f>
        <v>0</v>
      </c>
      <c r="CP98" s="17">
        <f>=SUM(CP88:CP97)</f>
        <v>0</v>
      </c>
      <c r="CQ98" s="17">
        <f>=SUM(CQ88:CQ97)</f>
        <v>0</v>
      </c>
      <c r="CR98" s="17">
        <f>=SUM(CR88:CR97)</f>
        <v>0</v>
      </c>
      <c r="CS98" s="17">
        <f>=SUM(CS88:CS97)</f>
        <v>0</v>
      </c>
      <c r="CT98" s="17">
        <f>=SUM(CT88:CT97)</f>
        <v>0</v>
      </c>
      <c r="CU98" s="17">
        <f>=SUM(CU88:CU97)</f>
        <v>0</v>
      </c>
      <c r="CV98" s="17">
        <f>=SUM(CV88:CV97)</f>
        <v>0</v>
      </c>
      <c r="CW98" s="17">
        <f>=SUM(CW88:CW97)</f>
        <v>0</v>
      </c>
      <c r="CX98" s="17">
        <f>=SUM(CX88:CX97)</f>
        <v>0</v>
      </c>
      <c r="CY98" s="17">
        <f>=SUM(CY88:CY97)</f>
        <v>0</v>
      </c>
      <c r="CZ98" s="17">
        <f>=SUM(CZ88:CZ97)</f>
        <v>0</v>
      </c>
      <c r="DA98" s="17">
        <f>=SUM(DA88:DA97)</f>
        <v>0</v>
      </c>
      <c r="DB98" s="17">
        <f>=SUM(DB88:DB97)</f>
        <v>0</v>
      </c>
    </row>
    <row r="99" spans="1:106" x14ac:dyDescent="0.25">
      <c r="A99" s="33" t="s">
        <v>321</v>
      </c>
      <c r="B99" s="60"/>
      <c r="C99" s="52">
        <v>0</v>
      </c>
      <c r="D99" s="52">
        <v>0</v>
      </c>
      <c r="E99" s="52">
        <v>0</v>
      </c>
      <c r="F99" s="52">
        <v>0</v>
      </c>
      <c r="G99" s="52">
        <v>0</v>
      </c>
      <c r="H99" s="52">
        <v>4</v>
      </c>
      <c r="I99" s="52">
        <v>0</v>
      </c>
      <c r="J99" s="52">
        <v>0</v>
      </c>
      <c r="K99" s="52">
        <v>1</v>
      </c>
      <c r="L99" s="52">
        <v>0</v>
      </c>
      <c r="M99" s="52">
        <v>0</v>
      </c>
      <c r="N99" s="52">
        <v>0</v>
      </c>
      <c r="O99" s="52">
        <v>0</v>
      </c>
      <c r="P99" s="52">
        <v>0</v>
      </c>
      <c r="Q99" s="52">
        <v>0</v>
      </c>
      <c r="R99" s="52">
        <v>0</v>
      </c>
      <c r="S99" s="52">
        <v>0</v>
      </c>
      <c r="T99" s="52">
        <v>0</v>
      </c>
      <c r="U99" s="52">
        <v>0</v>
      </c>
      <c r="V99" s="52">
        <v>0</v>
      </c>
      <c r="W99" s="52">
        <v>1</v>
      </c>
      <c r="X99" s="52">
        <v>0</v>
      </c>
      <c r="Y99" s="52">
        <v>0</v>
      </c>
      <c r="Z99" s="52">
        <v>0</v>
      </c>
      <c r="AA99" s="52">
        <v>0</v>
      </c>
      <c r="AB99" s="52">
        <v>0</v>
      </c>
      <c r="AC99" s="52">
        <v>0</v>
      </c>
      <c r="AD99" s="52">
        <v>0</v>
      </c>
      <c r="AE99" s="52">
        <v>0</v>
      </c>
      <c r="AF99" s="52">
        <v>0</v>
      </c>
      <c r="AG99" s="52">
        <v>0</v>
      </c>
      <c r="AH99" s="52">
        <v>0</v>
      </c>
      <c r="AI99" s="52">
        <v>0</v>
      </c>
      <c r="AJ99" s="52">
        <v>0</v>
      </c>
      <c r="AK99" s="52">
        <v>0</v>
      </c>
      <c r="AL99" s="52">
        <v>1</v>
      </c>
      <c r="AM99" s="52">
        <v>0</v>
      </c>
      <c r="AN99" s="52">
        <v>2</v>
      </c>
      <c r="AO99" s="52">
        <v>0</v>
      </c>
      <c r="AP99" s="52">
        <v>0</v>
      </c>
      <c r="AQ99" s="52">
        <v>0</v>
      </c>
      <c r="AR99" s="52">
        <v>1</v>
      </c>
      <c r="AS99" s="52">
        <v>0</v>
      </c>
      <c r="AT99" s="52">
        <v>0</v>
      </c>
      <c r="AU99" s="52">
        <v>0</v>
      </c>
      <c r="AV99" s="52">
        <v>0</v>
      </c>
      <c r="AW99" s="52">
        <v>0</v>
      </c>
      <c r="AX99" s="52">
        <v>0</v>
      </c>
      <c r="AY99" s="52">
        <v>0</v>
      </c>
      <c r="AZ99" s="52">
        <v>0</v>
      </c>
      <c r="BA99" s="52">
        <v>0</v>
      </c>
      <c r="BB99" s="52">
        <v>0</v>
      </c>
      <c r="BC99" s="52">
        <v>2</v>
      </c>
      <c r="BD99" s="52">
        <v>0</v>
      </c>
      <c r="BE99" s="52">
        <v>0</v>
      </c>
      <c r="BF99" s="52">
        <v>0</v>
      </c>
      <c r="BG99" s="52">
        <v>0</v>
      </c>
      <c r="BH99" s="52">
        <v>0</v>
      </c>
      <c r="BI99" s="52">
        <v>0</v>
      </c>
      <c r="BJ99" s="52">
        <v>0</v>
      </c>
      <c r="BK99" s="52">
        <v>0</v>
      </c>
      <c r="BL99" s="52">
        <v>0</v>
      </c>
      <c r="BM99" s="52">
        <v>0</v>
      </c>
      <c r="BN99" s="53">
        <f>=SUM(BN100:BN106)</f>
        <v>0</v>
      </c>
      <c r="BO99" s="53">
        <f>=SUM(BO100:BO106)</f>
        <v>0</v>
      </c>
      <c r="BP99" s="53">
        <f>=SUM(BP100:BP106)</f>
        <v>4</v>
      </c>
      <c r="BQ99" s="53">
        <f>=SUM(BQ100:BQ106)</f>
        <v>0</v>
      </c>
      <c r="BR99" s="53">
        <f>=SUM(BR100:BR106)</f>
        <v>0</v>
      </c>
      <c r="BS99" s="53">
        <f>=SUM(BS100:BS106)</f>
        <v>0</v>
      </c>
      <c r="BT99" s="53">
        <f>=SUM(BT100:BT106)</f>
        <v>0</v>
      </c>
      <c r="BU99" s="53">
        <f>=SUM(BU100:BU106)</f>
        <v>0</v>
      </c>
      <c r="BV99" s="53">
        <f>=SUM(BV100:BV106)</f>
        <v>0</v>
      </c>
      <c r="BW99" s="53">
        <f>=SUM(BW100:BW106)</f>
        <v>0</v>
      </c>
      <c r="BX99" s="53">
        <f>=SUM(BX100:BX106)</f>
        <v>1</v>
      </c>
      <c r="BY99" s="53">
        <f>=SUM(BY100:BY106)</f>
        <v>0</v>
      </c>
      <c r="BZ99" s="53">
        <f>=SUM(BZ100:BZ106)</f>
        <v>0</v>
      </c>
      <c r="CA99" s="53">
        <f>=SUM(CA100:CA106)</f>
        <v>0</v>
      </c>
      <c r="CB99" s="53">
        <f>=SUM(CB100:CB106)</f>
        <v>0</v>
      </c>
      <c r="CC99" s="53">
        <f>=SUM(CC100:CC106)</f>
        <v>0</v>
      </c>
      <c r="CD99" s="53">
        <f>=SUM(CD100:CD106)</f>
        <v>0</v>
      </c>
      <c r="CE99" s="53">
        <f>=SUM(CE100:CE106)</f>
        <v>0</v>
      </c>
      <c r="CF99" s="53">
        <f>=SUM(CF100:CF106)</f>
        <v>2</v>
      </c>
      <c r="CG99" s="53">
        <f>=SUM(CG100:CG106)</f>
        <v>0</v>
      </c>
      <c r="CH99" s="53">
        <f>=SUM(CH100:CH106)</f>
        <v>0</v>
      </c>
      <c r="CI99" s="53">
        <f>=SUM(CI100:CI106)</f>
        <v>0</v>
      </c>
      <c r="CJ99" s="53">
        <f>=SUM(CJ100:CJ106)</f>
        <v>0</v>
      </c>
      <c r="CK99" s="53">
        <f>=SUM(CK100:CK106)</f>
        <v>0</v>
      </c>
      <c r="CL99" s="53">
        <f>=SUM(CL100:CL106)</f>
        <v>0</v>
      </c>
      <c r="CM99" s="53">
        <f>=SUM(CM100:CM106)</f>
        <v>0</v>
      </c>
      <c r="CN99" s="53">
        <f>=SUM(CN100:CN106)</f>
        <v>0</v>
      </c>
      <c r="CO99" s="53">
        <f>=SUM(CO100:CO106)</f>
        <v>0</v>
      </c>
      <c r="CP99" s="53">
        <f>=SUM(CP100:CP106)</f>
        <v>0</v>
      </c>
      <c r="CQ99" s="53">
        <f>=SUM(CQ100:CQ106)</f>
        <v>0</v>
      </c>
      <c r="CR99" s="53">
        <f>=SUM(CR100:CR106)</f>
        <v>0</v>
      </c>
      <c r="CS99" s="53">
        <f>=SUM(CS100:CS106)</f>
        <v>0</v>
      </c>
      <c r="CT99" s="53">
        <f>=SUM(CT100:CT106)</f>
        <v>0</v>
      </c>
      <c r="CU99" s="53">
        <f>=SUM(CU100:CU106)</f>
        <v>0</v>
      </c>
      <c r="CV99" s="53">
        <f>=SUM(CV100:CV106)</f>
        <v>0</v>
      </c>
      <c r="CW99" s="53">
        <f>=SUM(CW100:CW106)</f>
        <v>0</v>
      </c>
      <c r="CX99" s="53">
        <f>=SUM(CX100:CX106)</f>
        <v>0</v>
      </c>
      <c r="CY99" s="53">
        <f>=SUM(CY100:CY106)</f>
        <v>0</v>
      </c>
      <c r="CZ99" s="53">
        <f>=SUM(CZ100:CZ106)</f>
        <v>0</v>
      </c>
      <c r="DA99" s="53">
        <f>=SUM(DA100:DA106)</f>
        <v>0</v>
      </c>
      <c r="DB99" s="53">
        <f>=SUM(DB100:DB106)</f>
        <v>0</v>
      </c>
    </row>
    <row r="100" spans="1:106" x14ac:dyDescent="0.25">
      <c r="A100" s="57" t="s">
        <v>322</v>
      </c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>
        <v>1</v>
      </c>
      <c r="AM100" s="17"/>
      <c r="AN100" s="17">
        <v>2</v>
      </c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</row>
    <row r="101" spans="1:106" x14ac:dyDescent="0.25">
      <c r="A101" s="57" t="s">
        <v>323</v>
      </c>
      <c r="C101" s="17"/>
      <c r="D101" s="17"/>
      <c r="E101" s="17"/>
      <c r="F101" s="17"/>
      <c r="G101" s="17"/>
      <c r="H101" s="17">
        <v>1</v>
      </c>
      <c r="I101" s="17"/>
      <c r="J101" s="17"/>
      <c r="K101" s="17">
        <v>1</v>
      </c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>
        <v>1</v>
      </c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>
        <v>1</v>
      </c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</row>
    <row r="102" spans="1:106" x14ac:dyDescent="0.25">
      <c r="A102" s="57" t="s">
        <v>324</v>
      </c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</row>
    <row r="103" spans="1:106" x14ac:dyDescent="0.25">
      <c r="A103" s="57" t="s">
        <v>325</v>
      </c>
      <c r="C103" s="17">
        <v>0</v>
      </c>
      <c r="D103" s="17">
        <v>0</v>
      </c>
      <c r="E103" s="17">
        <v>0</v>
      </c>
      <c r="F103" s="17">
        <v>0</v>
      </c>
      <c r="G103" s="17">
        <v>0</v>
      </c>
      <c r="H103" s="17">
        <v>3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7">
        <v>0</v>
      </c>
      <c r="AH103" s="17">
        <v>0</v>
      </c>
      <c r="AI103" s="17">
        <v>0</v>
      </c>
      <c r="AJ103" s="17">
        <v>0</v>
      </c>
      <c r="AK103" s="17">
        <v>0</v>
      </c>
      <c r="AL103" s="17">
        <v>0</v>
      </c>
      <c r="AM103" s="17">
        <v>0</v>
      </c>
      <c r="AN103" s="17">
        <v>0</v>
      </c>
      <c r="AO103" s="17">
        <v>0</v>
      </c>
      <c r="AP103" s="17">
        <v>0</v>
      </c>
      <c r="AQ103" s="17">
        <v>0</v>
      </c>
      <c r="AR103" s="17">
        <v>0</v>
      </c>
      <c r="AS103" s="17">
        <v>0</v>
      </c>
      <c r="AT103" s="17">
        <v>0</v>
      </c>
      <c r="AU103" s="17">
        <v>0</v>
      </c>
      <c r="AV103" s="17">
        <v>0</v>
      </c>
      <c r="AW103" s="17">
        <v>0</v>
      </c>
      <c r="AX103" s="17">
        <v>0</v>
      </c>
      <c r="AY103" s="17">
        <v>0</v>
      </c>
      <c r="AZ103" s="17">
        <v>0</v>
      </c>
      <c r="BA103" s="17">
        <v>0</v>
      </c>
      <c r="BB103" s="17">
        <v>0</v>
      </c>
      <c r="BC103" s="17">
        <v>2</v>
      </c>
      <c r="BD103" s="17">
        <v>0</v>
      </c>
      <c r="BE103" s="17">
        <v>0</v>
      </c>
      <c r="BF103" s="17">
        <v>0</v>
      </c>
      <c r="BG103" s="17">
        <v>0</v>
      </c>
      <c r="BH103" s="17">
        <v>0</v>
      </c>
      <c r="BI103" s="17">
        <v>0</v>
      </c>
      <c r="BJ103" s="17">
        <v>0</v>
      </c>
      <c r="BK103" s="17">
        <v>0</v>
      </c>
      <c r="BL103" s="17">
        <v>0</v>
      </c>
      <c r="BM103" s="17">
        <v>0</v>
      </c>
      <c r="BN103" s="17">
        <v>0</v>
      </c>
      <c r="BO103" s="17">
        <v>0</v>
      </c>
      <c r="BP103" s="17">
        <v>0</v>
      </c>
      <c r="BQ103" s="17">
        <v>0</v>
      </c>
      <c r="BR103" s="17">
        <v>0</v>
      </c>
      <c r="BS103" s="17">
        <v>0</v>
      </c>
      <c r="BT103" s="17">
        <v>0</v>
      </c>
      <c r="BU103" s="17">
        <v>0</v>
      </c>
      <c r="BV103" s="17">
        <v>0</v>
      </c>
      <c r="BW103" s="17">
        <v>0</v>
      </c>
      <c r="BX103" s="17">
        <v>1</v>
      </c>
      <c r="BY103" s="17">
        <v>0</v>
      </c>
      <c r="BZ103" s="17">
        <v>0</v>
      </c>
      <c r="CA103" s="17">
        <v>0</v>
      </c>
      <c r="CB103" s="17">
        <v>0</v>
      </c>
      <c r="CC103" s="17">
        <v>0</v>
      </c>
      <c r="CD103" s="17">
        <v>0</v>
      </c>
      <c r="CE103" s="17">
        <v>0</v>
      </c>
      <c r="CF103" s="17">
        <v>2</v>
      </c>
      <c r="CG103" s="17">
        <v>0</v>
      </c>
      <c r="CH103" s="17">
        <v>0</v>
      </c>
      <c r="CI103" s="17">
        <v>0</v>
      </c>
      <c r="CJ103" s="17">
        <v>0</v>
      </c>
      <c r="CK103" s="17">
        <v>0</v>
      </c>
      <c r="CL103" s="17">
        <v>0</v>
      </c>
      <c r="CM103" s="17">
        <v>0</v>
      </c>
      <c r="CN103" s="17">
        <v>0</v>
      </c>
      <c r="CO103" s="17">
        <v>0</v>
      </c>
      <c r="CP103" s="17">
        <v>0</v>
      </c>
      <c r="CQ103" s="17">
        <v>0</v>
      </c>
      <c r="CR103" s="17">
        <v>0</v>
      </c>
      <c r="CS103" s="17">
        <v>0</v>
      </c>
      <c r="CT103" s="17">
        <v>0</v>
      </c>
      <c r="CU103" s="17">
        <v>0</v>
      </c>
      <c r="CV103" s="17">
        <v>0</v>
      </c>
      <c r="CW103" s="17">
        <v>0</v>
      </c>
      <c r="CX103" s="17">
        <v>0</v>
      </c>
      <c r="CY103" s="17">
        <v>0</v>
      </c>
      <c r="CZ103" s="17">
        <v>0</v>
      </c>
      <c r="DA103" s="17">
        <v>0</v>
      </c>
      <c r="DB103" s="17">
        <v>0</v>
      </c>
    </row>
    <row r="104" spans="1:106" x14ac:dyDescent="0.25">
      <c r="A104" s="57" t="s">
        <v>326</v>
      </c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55"/>
      <c r="BO104" s="55"/>
      <c r="BP104" s="55">
        <v>4</v>
      </c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</row>
    <row r="105" spans="1:106" x14ac:dyDescent="0.25">
      <c r="A105" s="57" t="s">
        <v>266</v>
      </c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30"/>
      <c r="BO105" s="30"/>
      <c r="BP105" s="30"/>
      <c r="BQ105" s="30"/>
      <c r="BR105" s="30"/>
      <c r="BS105" s="30"/>
      <c r="BT105" s="30"/>
      <c r="BU105" s="30"/>
      <c r="BV105" s="30"/>
      <c r="BW105" s="30"/>
      <c r="BX105" s="30"/>
      <c r="BY105" s="30"/>
      <c r="BZ105" s="30"/>
      <c r="CA105" s="30"/>
      <c r="CB105" s="30"/>
      <c r="CC105" s="30"/>
      <c r="CD105" s="30"/>
      <c r="CE105" s="30"/>
      <c r="CF105" s="30"/>
      <c r="CG105" s="30"/>
      <c r="CH105" s="30"/>
      <c r="CI105" s="30"/>
      <c r="CJ105" s="30"/>
      <c r="CK105" s="30"/>
      <c r="CL105" s="30"/>
      <c r="CM105" s="30"/>
      <c r="CN105" s="30"/>
      <c r="CO105" s="30"/>
      <c r="CP105" s="30"/>
      <c r="CQ105" s="30"/>
      <c r="CR105" s="30"/>
      <c r="CS105" s="30"/>
      <c r="CT105" s="30"/>
      <c r="CU105" s="30"/>
      <c r="CV105" s="30"/>
      <c r="CW105" s="30"/>
      <c r="CX105" s="30"/>
      <c r="CY105" s="30"/>
      <c r="CZ105" s="30"/>
      <c r="DA105" s="30"/>
      <c r="DB105" s="30"/>
    </row>
    <row r="106" spans="1:106" x14ac:dyDescent="0.25">
      <c r="A106" s="57" t="s">
        <v>266</v>
      </c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30"/>
      <c r="BO106" s="30"/>
      <c r="BP106" s="30"/>
      <c r="BQ106" s="30"/>
      <c r="BR106" s="30"/>
      <c r="BS106" s="30"/>
      <c r="BT106" s="30"/>
      <c r="BU106" s="30"/>
      <c r="BV106" s="30"/>
      <c r="BW106" s="30"/>
      <c r="BX106" s="30"/>
      <c r="BY106" s="30"/>
      <c r="BZ106" s="30"/>
      <c r="CA106" s="30"/>
      <c r="CB106" s="30"/>
      <c r="CC106" s="30"/>
      <c r="CD106" s="30"/>
      <c r="CE106" s="30"/>
      <c r="CF106" s="30"/>
      <c r="CG106" s="30"/>
      <c r="CH106" s="30"/>
      <c r="CI106" s="30"/>
      <c r="CJ106" s="30"/>
      <c r="CK106" s="30"/>
      <c r="CL106" s="30"/>
      <c r="CM106" s="30"/>
      <c r="CN106" s="30"/>
      <c r="CO106" s="30"/>
      <c r="CP106" s="30"/>
      <c r="CQ106" s="30"/>
      <c r="CR106" s="30"/>
      <c r="CS106" s="30"/>
      <c r="CT106" s="30"/>
      <c r="CU106" s="30"/>
      <c r="CV106" s="30"/>
      <c r="CW106" s="30"/>
      <c r="CX106" s="30"/>
      <c r="CY106" s="30"/>
      <c r="CZ106" s="30"/>
      <c r="DA106" s="30"/>
      <c r="DB106" s="30"/>
    </row>
    <row r="107" spans="3:106" x14ac:dyDescent="0.25"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30"/>
      <c r="BO107" s="30"/>
      <c r="BP107" s="30"/>
      <c r="BQ107" s="30"/>
      <c r="BR107" s="30"/>
      <c r="BS107" s="30"/>
      <c r="BT107" s="30"/>
      <c r="BU107" s="30"/>
      <c r="BV107" s="30"/>
      <c r="BW107" s="30"/>
      <c r="BX107" s="30"/>
      <c r="BY107" s="30"/>
      <c r="BZ107" s="30"/>
      <c r="CA107" s="30"/>
      <c r="CB107" s="30"/>
      <c r="CC107" s="30"/>
      <c r="CD107" s="30"/>
      <c r="CE107" s="30"/>
      <c r="CF107" s="30"/>
      <c r="CG107" s="30"/>
      <c r="CH107" s="30"/>
      <c r="CI107" s="30"/>
      <c r="CJ107" s="30"/>
      <c r="CK107" s="30"/>
      <c r="CL107" s="30"/>
      <c r="CM107" s="30"/>
      <c r="CN107" s="30"/>
      <c r="CO107" s="30"/>
      <c r="CP107" s="30"/>
      <c r="CQ107" s="30"/>
      <c r="CR107" s="30"/>
      <c r="CS107" s="30"/>
      <c r="CT107" s="30"/>
      <c r="CU107" s="30"/>
      <c r="CV107" s="30"/>
      <c r="CW107" s="30"/>
      <c r="CX107" s="30"/>
      <c r="CY107" s="30"/>
      <c r="CZ107" s="30"/>
      <c r="DA107" s="30"/>
      <c r="DB107" s="30"/>
    </row>
    <row r="108" ht="15" customHeight="1" spans="1:106" x14ac:dyDescent="0.25">
      <c r="A108" s="9" t="s">
        <v>327</v>
      </c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32"/>
      <c r="BO108" s="32"/>
      <c r="BP108" s="32"/>
      <c r="BQ108" s="32"/>
      <c r="BR108" s="32"/>
      <c r="BS108" s="32"/>
      <c r="BT108" s="32"/>
      <c r="BU108" s="32"/>
      <c r="BV108" s="32"/>
      <c r="BW108" s="32"/>
      <c r="BX108" s="32"/>
      <c r="BY108" s="32"/>
      <c r="BZ108" s="32"/>
      <c r="CA108" s="32"/>
      <c r="CB108" s="32"/>
      <c r="CC108" s="32"/>
      <c r="CD108" s="32"/>
      <c r="CE108" s="32"/>
      <c r="CF108" s="32"/>
      <c r="CG108" s="32"/>
      <c r="CH108" s="32"/>
      <c r="CI108" s="32"/>
      <c r="CJ108" s="32"/>
      <c r="CK108" s="32"/>
      <c r="CL108" s="32"/>
      <c r="CM108" s="32"/>
      <c r="CN108" s="32"/>
      <c r="CO108" s="32"/>
      <c r="CP108" s="32"/>
      <c r="CQ108" s="32"/>
      <c r="CR108" s="32"/>
      <c r="CS108" s="32"/>
      <c r="CT108" s="32"/>
      <c r="CU108" s="32"/>
      <c r="CV108" s="32"/>
      <c r="CW108" s="32"/>
      <c r="CX108" s="32"/>
      <c r="CY108" s="32"/>
      <c r="CZ108" s="32"/>
      <c r="DA108" s="32"/>
      <c r="DB108" s="32"/>
    </row>
    <row r="109" ht="15" customHeight="1" spans="1:106" x14ac:dyDescent="0.25">
      <c r="A109" s="61" t="s">
        <v>328</v>
      </c>
      <c r="B109" s="13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>
        <v>3</v>
      </c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</row>
    <row r="110" spans="1:106" x14ac:dyDescent="0.25">
      <c r="A110" s="62" t="s">
        <v>329</v>
      </c>
      <c r="B110" s="24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63"/>
      <c r="BO110" s="63"/>
      <c r="BP110" s="63"/>
      <c r="BQ110" s="63"/>
      <c r="BR110" s="63"/>
      <c r="BS110" s="63"/>
      <c r="BT110" s="63"/>
      <c r="BU110" s="63"/>
      <c r="BV110" s="63"/>
      <c r="BW110" s="63"/>
      <c r="BX110" s="63"/>
      <c r="BY110" s="63"/>
      <c r="BZ110" s="63"/>
      <c r="CA110" s="63"/>
      <c r="CB110" s="63"/>
      <c r="CC110" s="63"/>
      <c r="CD110" s="63"/>
      <c r="CE110" s="63"/>
      <c r="CF110" s="63"/>
      <c r="CG110" s="63"/>
      <c r="CH110" s="63"/>
      <c r="CI110" s="63"/>
      <c r="CJ110" s="63"/>
      <c r="CK110" s="63"/>
      <c r="CL110" s="63"/>
      <c r="CM110" s="63"/>
      <c r="CN110" s="63"/>
      <c r="CO110" s="63"/>
      <c r="CP110" s="63"/>
      <c r="CQ110" s="63"/>
      <c r="CR110" s="63"/>
      <c r="CS110" s="63"/>
      <c r="CT110" s="63"/>
      <c r="CU110" s="63"/>
      <c r="CV110" s="63"/>
      <c r="CW110" s="63"/>
      <c r="CX110" s="63"/>
      <c r="CY110" s="63"/>
      <c r="CZ110" s="63"/>
      <c r="DA110" s="63"/>
      <c r="DB110" s="63"/>
    </row>
    <row r="111" ht="15" customHeight="1" spans="1:106" x14ac:dyDescent="0.25">
      <c r="A111" s="16" t="s">
        <v>330</v>
      </c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50"/>
      <c r="BO111" s="50"/>
      <c r="BP111" s="50"/>
      <c r="BQ111" s="50"/>
      <c r="BR111" s="50"/>
      <c r="BS111" s="50"/>
      <c r="BT111" s="50"/>
      <c r="BU111" s="50"/>
      <c r="BV111" s="50"/>
      <c r="BW111" s="50"/>
      <c r="BX111" s="50"/>
      <c r="BY111" s="50"/>
      <c r="BZ111" s="50"/>
      <c r="CA111" s="50"/>
      <c r="CB111" s="50"/>
      <c r="CC111" s="50"/>
      <c r="CD111" s="50"/>
      <c r="CE111" s="50"/>
      <c r="CF111" s="50"/>
      <c r="CG111" s="50"/>
      <c r="CH111" s="50"/>
      <c r="CI111" s="50"/>
      <c r="CJ111" s="50"/>
      <c r="CK111" s="50"/>
      <c r="CL111" s="50"/>
      <c r="CM111" s="50"/>
      <c r="CN111" s="50"/>
      <c r="CO111" s="50"/>
      <c r="CP111" s="50"/>
      <c r="CQ111" s="50"/>
      <c r="CR111" s="50"/>
      <c r="CS111" s="50"/>
      <c r="CT111" s="50"/>
      <c r="CU111" s="50"/>
      <c r="CV111" s="50"/>
      <c r="CW111" s="50"/>
      <c r="CX111" s="50"/>
      <c r="CY111" s="50"/>
      <c r="CZ111" s="50"/>
      <c r="DA111" s="50"/>
      <c r="DB111" s="50"/>
    </row>
    <row r="112" ht="15" customHeight="1" spans="1:106" x14ac:dyDescent="0.25">
      <c r="A112" s="16" t="s">
        <v>331</v>
      </c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50"/>
      <c r="BO112" s="50"/>
      <c r="BP112" s="50"/>
      <c r="BQ112" s="50"/>
      <c r="BR112" s="50"/>
      <c r="BS112" s="50"/>
      <c r="BT112" s="50"/>
      <c r="BU112" s="50"/>
      <c r="BV112" s="50"/>
      <c r="BW112" s="50"/>
      <c r="BX112" s="50"/>
      <c r="BY112" s="50"/>
      <c r="BZ112" s="50"/>
      <c r="CA112" s="50"/>
      <c r="CB112" s="50"/>
      <c r="CC112" s="50"/>
      <c r="CD112" s="50"/>
      <c r="CE112" s="50"/>
      <c r="CF112" s="50"/>
      <c r="CG112" s="50"/>
      <c r="CH112" s="50"/>
      <c r="CI112" s="50"/>
      <c r="CJ112" s="50"/>
      <c r="CK112" s="50"/>
      <c r="CL112" s="50"/>
      <c r="CM112" s="50"/>
      <c r="CN112" s="50"/>
      <c r="CO112" s="50"/>
      <c r="CP112" s="50"/>
      <c r="CQ112" s="50"/>
      <c r="CR112" s="50"/>
      <c r="CS112" s="50"/>
      <c r="CT112" s="50"/>
      <c r="CU112" s="50"/>
      <c r="CV112" s="50"/>
      <c r="CW112" s="50"/>
      <c r="CX112" s="50"/>
      <c r="CY112" s="50"/>
      <c r="CZ112" s="50"/>
      <c r="DA112" s="50"/>
      <c r="DB112" s="50"/>
    </row>
    <row r="113" ht="15" customHeight="1" spans="1:106" x14ac:dyDescent="0.25">
      <c r="A113" s="20" t="s">
        <v>332</v>
      </c>
      <c r="B113" s="13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64">
        <f>=IFERROR(BN112/BN111,0)</f>
        <v>0</v>
      </c>
      <c r="BO113" s="64">
        <f>=IFERROR(BO112/BO111,0)</f>
        <v>0</v>
      </c>
      <c r="BP113" s="64">
        <f>=IFERROR(BP112/BP111,0)</f>
        <v>0</v>
      </c>
      <c r="BQ113" s="64">
        <f>=IFERROR(BQ112/BQ111,0)</f>
        <v>0</v>
      </c>
      <c r="BR113" s="64">
        <f>=IFERROR(BR112/BR111,0)</f>
        <v>0</v>
      </c>
      <c r="BS113" s="64">
        <f>=IFERROR(BS112/BS111,0)</f>
        <v>0</v>
      </c>
      <c r="BT113" s="64">
        <f>=IFERROR(BT112/BT111,0)</f>
        <v>0</v>
      </c>
      <c r="BU113" s="64">
        <f>=IFERROR(BU112/BU111,0)</f>
        <v>0</v>
      </c>
      <c r="BV113" s="64">
        <f>=IFERROR(BV112/BV111,0)</f>
        <v>0</v>
      </c>
      <c r="BW113" s="64">
        <f>=IFERROR(BW112/BW111,0)</f>
        <v>0</v>
      </c>
      <c r="BX113" s="64">
        <f>=IFERROR(BX112/BX111,0)</f>
        <v>0</v>
      </c>
      <c r="BY113" s="64">
        <f>=IFERROR(BY112/BY111,0)</f>
        <v>0</v>
      </c>
      <c r="BZ113" s="64">
        <f>=IFERROR(BZ112/BZ111,0)</f>
        <v>0</v>
      </c>
      <c r="CA113" s="64">
        <f>=IFERROR(CA112/CA111,0)</f>
        <v>0</v>
      </c>
      <c r="CB113" s="64">
        <f>=IFERROR(CB112/CB111,0)</f>
        <v>0</v>
      </c>
      <c r="CC113" s="64">
        <f>=IFERROR(CC112/CC111,0)</f>
        <v>0</v>
      </c>
      <c r="CD113" s="64">
        <f>=IFERROR(CD112/CD111,0)</f>
        <v>0</v>
      </c>
      <c r="CE113" s="64">
        <f>=IFERROR(CE112/CE111,0)</f>
        <v>0</v>
      </c>
      <c r="CF113" s="64">
        <f>=IFERROR(CF112/CF111,0)</f>
        <v>0</v>
      </c>
      <c r="CG113" s="64">
        <f>=IFERROR(CG112/CG111,0)</f>
        <v>0</v>
      </c>
      <c r="CH113" s="64">
        <f>=IFERROR(CH112/CH111,0)</f>
        <v>0</v>
      </c>
      <c r="CI113" s="64">
        <f>=IFERROR(CI112/CI111,0)</f>
        <v>0</v>
      </c>
      <c r="CJ113" s="64">
        <f>=IFERROR(CJ112/CJ111,0)</f>
        <v>0</v>
      </c>
      <c r="CK113" s="64">
        <f>=IFERROR(CK112/CK111,0)</f>
        <v>0</v>
      </c>
      <c r="CL113" s="64">
        <f>=IFERROR(CL112/CL111,0)</f>
        <v>0</v>
      </c>
      <c r="CM113" s="64">
        <f>=IFERROR(CM112/CM111,0)</f>
        <v>0</v>
      </c>
      <c r="CN113" s="64">
        <f>=IFERROR(CN112/CN111,0)</f>
        <v>0</v>
      </c>
      <c r="CO113" s="64">
        <f>=IFERROR(CO112/CO111,0)</f>
        <v>0</v>
      </c>
      <c r="CP113" s="64">
        <f>=IFERROR(CP112/CP111,0)</f>
        <v>0</v>
      </c>
      <c r="CQ113" s="64">
        <f>=IFERROR(CQ112/CQ111,0)</f>
        <v>0</v>
      </c>
      <c r="CR113" s="64">
        <f>=IFERROR(CR112/CR111,0)</f>
        <v>0</v>
      </c>
      <c r="CS113" s="64">
        <f>=IFERROR(CS112/CS111,0)</f>
        <v>0</v>
      </c>
      <c r="CT113" s="64">
        <f>=IFERROR(CT112/CT111,0)</f>
        <v>0</v>
      </c>
      <c r="CU113" s="64">
        <f>=IFERROR(CU112/CU111,0)</f>
        <v>0</v>
      </c>
      <c r="CV113" s="64">
        <f>=IFERROR(CV112/CV111,0)</f>
        <v>0</v>
      </c>
      <c r="CW113" s="64">
        <f>=IFERROR(CW112/CW111,0)</f>
        <v>0</v>
      </c>
      <c r="CX113" s="64">
        <f>=IFERROR(CX112/CX111,0)</f>
        <v>0</v>
      </c>
      <c r="CY113" s="64">
        <f>=IFERROR(CY112/CY111,0)</f>
        <v>0</v>
      </c>
      <c r="CZ113" s="64">
        <f>=IFERROR(CZ112/CZ111,0)</f>
        <v>0</v>
      </c>
      <c r="DA113" s="64">
        <f>=IFERROR(DA112/DA111,0)</f>
        <v>0</v>
      </c>
      <c r="DB113" s="64">
        <f>=IFERROR(DB112/DB111,0)</f>
        <v>0</v>
      </c>
    </row>
    <row r="114" spans="1:106" x14ac:dyDescent="0.25">
      <c r="A114" s="17" t="s">
        <v>333</v>
      </c>
      <c r="B114" s="65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6"/>
      <c r="AR114" s="66"/>
      <c r="AS114" s="66"/>
      <c r="AT114" s="66"/>
      <c r="AU114" s="66"/>
      <c r="AV114" s="66"/>
      <c r="AW114" s="66"/>
      <c r="AX114" s="66"/>
      <c r="AY114" s="66"/>
      <c r="AZ114" s="66"/>
      <c r="BA114" s="66"/>
      <c r="BB114" s="66"/>
      <c r="BC114" s="66"/>
      <c r="BD114" s="66"/>
      <c r="BE114" s="66"/>
      <c r="BF114" s="66"/>
      <c r="BG114" s="66"/>
      <c r="BH114" s="66"/>
      <c r="BI114" s="66"/>
      <c r="BJ114" s="66"/>
      <c r="BK114" s="66"/>
      <c r="BL114" s="66"/>
      <c r="BM114" s="66"/>
      <c r="BN114" s="66"/>
      <c r="BO114" s="66"/>
      <c r="BP114" s="66"/>
      <c r="BQ114" s="66"/>
      <c r="BR114" s="66"/>
      <c r="BS114" s="66"/>
      <c r="BT114" s="66"/>
      <c r="BU114" s="66"/>
      <c r="BV114" s="66"/>
      <c r="BW114" s="66"/>
      <c r="BX114" s="66"/>
      <c r="BY114" s="66"/>
      <c r="BZ114" s="66"/>
      <c r="CA114" s="66"/>
      <c r="CB114" s="66"/>
      <c r="CC114" s="66"/>
      <c r="CD114" s="66"/>
      <c r="CE114" s="66"/>
      <c r="CF114" s="66"/>
      <c r="CG114" s="66"/>
      <c r="CH114" s="66"/>
      <c r="CI114" s="66"/>
      <c r="CJ114" s="66"/>
      <c r="CK114" s="66"/>
      <c r="CL114" s="66"/>
      <c r="CM114" s="66"/>
      <c r="CN114" s="66"/>
      <c r="CO114" s="66"/>
      <c r="CP114" s="66"/>
      <c r="CQ114" s="66"/>
      <c r="CR114" s="66"/>
      <c r="CS114" s="66"/>
      <c r="CT114" s="66"/>
      <c r="CU114" s="66"/>
      <c r="CV114" s="66"/>
      <c r="CW114" s="66"/>
      <c r="CX114" s="66"/>
      <c r="CY114" s="66"/>
      <c r="CZ114" s="66"/>
      <c r="DA114" s="66"/>
      <c r="DB114" s="66"/>
    </row>
    <row r="115" spans="1:106" x14ac:dyDescent="0.25">
      <c r="A115" s="17" t="s">
        <v>334</v>
      </c>
      <c r="B115" s="65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6"/>
      <c r="AT115" s="66"/>
      <c r="AU115" s="66"/>
      <c r="AV115" s="66"/>
      <c r="AW115" s="66"/>
      <c r="AX115" s="66"/>
      <c r="AY115" s="66"/>
      <c r="AZ115" s="66"/>
      <c r="BA115" s="66"/>
      <c r="BB115" s="66"/>
      <c r="BC115" s="66"/>
      <c r="BD115" s="66"/>
      <c r="BE115" s="66"/>
      <c r="BF115" s="66"/>
      <c r="BG115" s="66"/>
      <c r="BH115" s="66"/>
      <c r="BI115" s="66"/>
      <c r="BJ115" s="66"/>
      <c r="BK115" s="66"/>
      <c r="BL115" s="66"/>
      <c r="BM115" s="66"/>
      <c r="BN115" s="66"/>
      <c r="BO115" s="66"/>
      <c r="BP115" s="66"/>
      <c r="BQ115" s="66"/>
      <c r="BR115" s="66"/>
      <c r="BS115" s="66"/>
      <c r="BT115" s="66"/>
      <c r="BU115" s="66"/>
      <c r="BV115" s="66"/>
      <c r="BW115" s="66"/>
      <c r="BX115" s="66"/>
      <c r="BY115" s="66"/>
      <c r="BZ115" s="66"/>
      <c r="CA115" s="66"/>
      <c r="CB115" s="66"/>
      <c r="CC115" s="66"/>
      <c r="CD115" s="66"/>
      <c r="CE115" s="66"/>
      <c r="CF115" s="66"/>
      <c r="CG115" s="66"/>
      <c r="CH115" s="66"/>
      <c r="CI115" s="66"/>
      <c r="CJ115" s="66"/>
      <c r="CK115" s="66"/>
      <c r="CL115" s="66"/>
      <c r="CM115" s="66"/>
      <c r="CN115" s="66"/>
      <c r="CO115" s="66"/>
      <c r="CP115" s="66"/>
      <c r="CQ115" s="66"/>
      <c r="CR115" s="66"/>
      <c r="CS115" s="66"/>
      <c r="CT115" s="66"/>
      <c r="CU115" s="66"/>
      <c r="CV115" s="66"/>
      <c r="CW115" s="66"/>
      <c r="CX115" s="66"/>
      <c r="CY115" s="66"/>
      <c r="CZ115" s="66"/>
      <c r="DA115" s="66"/>
      <c r="DB115" s="66"/>
    </row>
    <row r="116" spans="1:106" x14ac:dyDescent="0.25">
      <c r="A116" s="17" t="s">
        <v>335</v>
      </c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30"/>
      <c r="BO116" s="30"/>
      <c r="BP116" s="30"/>
      <c r="BQ116" s="30"/>
      <c r="BR116" s="30"/>
      <c r="BS116" s="30"/>
      <c r="BT116" s="30"/>
      <c r="BU116" s="30"/>
      <c r="BV116" s="30"/>
      <c r="BW116" s="30"/>
      <c r="BX116" s="30"/>
      <c r="BY116" s="30"/>
      <c r="BZ116" s="30"/>
      <c r="CA116" s="30"/>
      <c r="CB116" s="30"/>
      <c r="CC116" s="30"/>
      <c r="CD116" s="30"/>
      <c r="CE116" s="30"/>
      <c r="CF116" s="30"/>
      <c r="CG116" s="30"/>
      <c r="CH116" s="30"/>
      <c r="CI116" s="30"/>
      <c r="CJ116" s="30"/>
      <c r="CK116" s="30"/>
      <c r="CL116" s="30"/>
      <c r="CM116" s="30"/>
      <c r="CN116" s="30"/>
      <c r="CO116" s="30"/>
      <c r="CP116" s="30"/>
      <c r="CQ116" s="30"/>
      <c r="CR116" s="30"/>
      <c r="CS116" s="30"/>
      <c r="CT116" s="30"/>
      <c r="CU116" s="30"/>
      <c r="CV116" s="30"/>
      <c r="CW116" s="30"/>
      <c r="CX116" s="30"/>
      <c r="CY116" s="30"/>
      <c r="CZ116" s="30"/>
      <c r="DA116" s="30"/>
      <c r="DB116" s="30"/>
    </row>
    <row r="117" spans="1:106" x14ac:dyDescent="0.25">
      <c r="A117" s="17" t="s">
        <v>369</v>
      </c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30"/>
      <c r="CD117" s="30"/>
      <c r="CE117" s="30"/>
      <c r="CF117" s="30"/>
      <c r="CG117" s="30"/>
      <c r="CH117" s="30"/>
      <c r="CI117" s="30"/>
      <c r="CJ117" s="30"/>
      <c r="CK117" s="30"/>
      <c r="CL117" s="30"/>
      <c r="CM117" s="30"/>
      <c r="CN117" s="30"/>
      <c r="CO117" s="30"/>
      <c r="CP117" s="30"/>
      <c r="CQ117" s="30"/>
      <c r="CR117" s="30"/>
      <c r="CS117" s="30"/>
      <c r="CT117" s="30"/>
      <c r="CU117" s="30"/>
      <c r="CV117" s="30"/>
      <c r="CW117" s="30"/>
      <c r="CX117" s="30"/>
      <c r="CY117" s="30"/>
      <c r="CZ117" s="30"/>
      <c r="DA117" s="30"/>
      <c r="DB117" s="30"/>
    </row>
    <row r="118" spans="1:106" x14ac:dyDescent="0.25">
      <c r="A118" s="17" t="s">
        <v>370</v>
      </c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30"/>
      <c r="CD118" s="30"/>
      <c r="CE118" s="30"/>
      <c r="CF118" s="30"/>
      <c r="CG118" s="30"/>
      <c r="CH118" s="30"/>
      <c r="CI118" s="30"/>
      <c r="CJ118" s="30"/>
      <c r="CK118" s="30"/>
      <c r="CL118" s="30"/>
      <c r="CM118" s="30"/>
      <c r="CN118" s="30"/>
      <c r="CO118" s="30"/>
      <c r="CP118" s="30"/>
      <c r="CQ118" s="30"/>
      <c r="CR118" s="30"/>
      <c r="CS118" s="30"/>
      <c r="CT118" s="30"/>
      <c r="CU118" s="30"/>
      <c r="CV118" s="30"/>
      <c r="CW118" s="30"/>
      <c r="CX118" s="30"/>
      <c r="CY118" s="30"/>
      <c r="CZ118" s="30"/>
      <c r="DA118" s="30"/>
      <c r="DB118" s="30"/>
    </row>
    <row r="119" spans="1:106" x14ac:dyDescent="0.25">
      <c r="A119" s="17" t="s">
        <v>336</v>
      </c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67">
        <f>=SUM(BO114:BO115)</f>
        <v>0</v>
      </c>
      <c r="BP119" s="67">
        <f>=SUM(BP114:BP115)</f>
        <v>0</v>
      </c>
      <c r="BQ119" s="67">
        <f>=SUM(BQ114:BQ115)</f>
        <v>0</v>
      </c>
      <c r="BR119" s="67">
        <f>=SUM(BR114:BR115)</f>
        <v>0</v>
      </c>
      <c r="BS119" s="67">
        <f>=SUM(BS114:BS115)</f>
        <v>0</v>
      </c>
      <c r="BT119" s="67">
        <f>=SUM(BT114:BT115)</f>
        <v>0</v>
      </c>
      <c r="BU119" s="67">
        <f>=SUM(BU114:BU115)</f>
        <v>0</v>
      </c>
      <c r="BV119" s="67">
        <f>=SUM(BV114:BV115)</f>
        <v>0</v>
      </c>
      <c r="BW119" s="67">
        <f>=SUM(BW114:BW115)</f>
        <v>0</v>
      </c>
      <c r="BX119" s="67">
        <f>=SUM(BX114:BX115)</f>
        <v>0</v>
      </c>
      <c r="BY119" s="67">
        <f>=SUM(BY114:BY115)</f>
        <v>0</v>
      </c>
      <c r="BZ119" s="67">
        <f>=SUM(BZ114:BZ115)</f>
        <v>0</v>
      </c>
      <c r="CA119" s="67">
        <f>=SUM(CA114:CA115)</f>
        <v>0</v>
      </c>
      <c r="CB119" s="67">
        <f>=SUM(CB114:CB115)</f>
        <v>0</v>
      </c>
      <c r="CC119" s="67">
        <f>=SUM(CC114:CC115)</f>
        <v>0</v>
      </c>
      <c r="CD119" s="67">
        <f>=SUM(CD114:CD115)</f>
        <v>0</v>
      </c>
      <c r="CE119" s="67">
        <f>=SUM(CE114:CE115)</f>
        <v>0</v>
      </c>
      <c r="CF119" s="67">
        <f>=SUM(CF114:CF115)</f>
        <v>0</v>
      </c>
      <c r="CG119" s="67">
        <f>=SUM(CG114:CG115)</f>
        <v>0</v>
      </c>
      <c r="CH119" s="67">
        <f>=SUM(CH114:CH115)</f>
        <v>0</v>
      </c>
      <c r="CI119" s="67">
        <f>=SUM(CI114:CI115)</f>
        <v>0</v>
      </c>
      <c r="CJ119" s="67">
        <f>=SUM(CJ114:CJ115)</f>
        <v>0</v>
      </c>
      <c r="CK119" s="67">
        <f>=SUM(CK114:CK115)</f>
        <v>0</v>
      </c>
      <c r="CL119" s="67">
        <f>=SUM(CL114:CL115)</f>
        <v>0</v>
      </c>
      <c r="CM119" s="67">
        <f>=SUM(CM114:CM115)</f>
        <v>0</v>
      </c>
      <c r="CN119" s="67">
        <f>=SUM(CN114:CN115)</f>
        <v>0</v>
      </c>
      <c r="CO119" s="67">
        <f>=SUM(CO114:CO115)</f>
        <v>0</v>
      </c>
      <c r="CP119" s="67">
        <f>=SUM(CP114:CP115)</f>
        <v>0</v>
      </c>
      <c r="CQ119" s="67">
        <f>=SUM(CQ114:CQ115)</f>
        <v>0</v>
      </c>
      <c r="CR119" s="67">
        <f>=SUM(CR114:CR115)</f>
        <v>0</v>
      </c>
      <c r="CS119" s="67">
        <f>=SUM(CS114:CS115)</f>
        <v>0</v>
      </c>
      <c r="CT119" s="67">
        <f>=SUM(CT114:CT115)</f>
        <v>0</v>
      </c>
      <c r="CU119" s="67">
        <f>=SUM(CU114:CU115)</f>
        <v>0</v>
      </c>
      <c r="CV119" s="67">
        <f>=SUM(CV114:CV115)</f>
        <v>0</v>
      </c>
      <c r="CW119" s="67">
        <f>=SUM(CW114:CW115)</f>
        <v>0</v>
      </c>
      <c r="CX119" s="67">
        <f>=SUM(CX114:CX115)</f>
        <v>0</v>
      </c>
      <c r="CY119" s="67">
        <f>=SUM(CY114:CY115)</f>
        <v>0</v>
      </c>
      <c r="CZ119" s="67">
        <f>=SUM(CZ114:CZ115)</f>
        <v>0</v>
      </c>
      <c r="DA119" s="67">
        <f>=SUM(DA114:DA115)</f>
        <v>0</v>
      </c>
      <c r="DB119" s="67">
        <f>=SUM(DB114:DB115)</f>
        <v>0</v>
      </c>
    </row>
    <row r="120" spans="1:106" x14ac:dyDescent="0.25">
      <c r="A120" s="17" t="s">
        <v>337</v>
      </c>
      <c r="C120" s="17">
        <v>0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7">
        <v>0</v>
      </c>
      <c r="AI120" s="17">
        <v>0</v>
      </c>
      <c r="AJ120" s="17">
        <v>0</v>
      </c>
      <c r="AK120" s="17">
        <v>0</v>
      </c>
      <c r="AL120" s="17">
        <v>0</v>
      </c>
      <c r="AM120" s="17">
        <v>0</v>
      </c>
      <c r="AN120" s="17">
        <v>0</v>
      </c>
      <c r="AO120" s="17">
        <v>0</v>
      </c>
      <c r="AP120" s="17">
        <v>0</v>
      </c>
      <c r="AQ120" s="17">
        <v>0</v>
      </c>
      <c r="AR120" s="17">
        <v>0</v>
      </c>
      <c r="AS120" s="17">
        <v>0</v>
      </c>
      <c r="AT120" s="17">
        <v>0</v>
      </c>
      <c r="AU120" s="17">
        <v>0</v>
      </c>
      <c r="AV120" s="17">
        <v>0</v>
      </c>
      <c r="AW120" s="17">
        <v>0</v>
      </c>
      <c r="AX120" s="17">
        <v>0</v>
      </c>
      <c r="AY120" s="17">
        <v>0</v>
      </c>
      <c r="AZ120" s="17">
        <v>0</v>
      </c>
      <c r="BA120" s="17">
        <v>0</v>
      </c>
      <c r="BB120" s="17">
        <v>0</v>
      </c>
      <c r="BC120" s="17">
        <v>0</v>
      </c>
      <c r="BD120" s="17">
        <v>0</v>
      </c>
      <c r="BE120" s="17">
        <v>0</v>
      </c>
      <c r="BF120" s="17">
        <v>0</v>
      </c>
      <c r="BG120" s="17">
        <v>0</v>
      </c>
      <c r="BH120" s="17">
        <v>0</v>
      </c>
      <c r="BI120" s="17">
        <v>0</v>
      </c>
      <c r="BJ120" s="17">
        <v>0</v>
      </c>
      <c r="BK120" s="17">
        <v>0</v>
      </c>
      <c r="BL120" s="17">
        <v>0</v>
      </c>
      <c r="BM120" s="17">
        <v>0</v>
      </c>
      <c r="BN120" s="17"/>
      <c r="BO120" s="67">
        <f>=BN119*(1-BO$43)</f>
        <v>0</v>
      </c>
      <c r="BP120" s="67">
        <f>=BO119*(1-BP$43)</f>
        <v>0</v>
      </c>
      <c r="BQ120" s="67">
        <f>=BP119*(1-BQ$43)</f>
        <v>0</v>
      </c>
      <c r="BR120" s="67">
        <f>=BQ119*(1-BR$43)</f>
        <v>0</v>
      </c>
      <c r="BS120" s="67">
        <f>=BR119*(1-BS$43)</f>
        <v>0</v>
      </c>
      <c r="BT120" s="67">
        <f>=BS119*(1-BT$43)</f>
        <v>0</v>
      </c>
      <c r="BU120" s="67">
        <f>=BT119*(1-BU$43)</f>
        <v>0</v>
      </c>
      <c r="BV120" s="67">
        <f>=BU119*(1-BV$43)</f>
        <v>0</v>
      </c>
      <c r="BW120" s="67">
        <f>=BV119*(1-BW$43)</f>
        <v>0</v>
      </c>
      <c r="BX120" s="67">
        <f>=BW119*(1-BX$43)</f>
        <v>0</v>
      </c>
      <c r="BY120" s="67">
        <f>=BX119*(1-BY$43)</f>
        <v>0</v>
      </c>
      <c r="BZ120" s="67">
        <f>=BY119*(1-BZ$43)</f>
        <v>0</v>
      </c>
      <c r="CA120" s="67">
        <f>=BZ119*(1-CA$43)</f>
        <v>0</v>
      </c>
      <c r="CB120" s="67">
        <f>=CA119*(1-CB$43)</f>
        <v>0</v>
      </c>
      <c r="CC120" s="67">
        <f>=CB119*(1-CC$43)</f>
        <v>0</v>
      </c>
      <c r="CD120" s="67">
        <f>=CC119*(1-CD$43)</f>
        <v>0</v>
      </c>
      <c r="CE120" s="67">
        <f>=CD119*(1-CE$43)</f>
        <v>0</v>
      </c>
      <c r="CF120" s="67">
        <f>=CE119*(1-CF$43)</f>
        <v>0</v>
      </c>
      <c r="CG120" s="67">
        <f>=CF119*(1-CG$43)</f>
        <v>0</v>
      </c>
      <c r="CH120" s="67">
        <f>=CG119*(1-CH$43)</f>
        <v>0</v>
      </c>
      <c r="CI120" s="67">
        <f>=CH119*(1-CI$43)</f>
        <v>0</v>
      </c>
      <c r="CJ120" s="67">
        <f>=CI119*(1-CJ$43)</f>
        <v>0</v>
      </c>
      <c r="CK120" s="67">
        <f>=CJ119*(1-CK$43)</f>
        <v>0</v>
      </c>
      <c r="CL120" s="67">
        <f>=CK119*(1-CL$43)</f>
        <v>0</v>
      </c>
      <c r="CM120" s="67">
        <f>=CL119*(1-CM$43)</f>
        <v>0</v>
      </c>
      <c r="CN120" s="67">
        <f>=CM119*(1-CN$43)</f>
        <v>0</v>
      </c>
      <c r="CO120" s="67">
        <f>=CN119*(1-CO$43)</f>
        <v>0</v>
      </c>
      <c r="CP120" s="67">
        <f>=CO119*(1-CP$43)</f>
        <v>0</v>
      </c>
      <c r="CQ120" s="67">
        <f>=CP119*(1-CQ$43)</f>
        <v>0</v>
      </c>
      <c r="CR120" s="67">
        <f>=CQ119*(1-CR$43)</f>
        <v>0</v>
      </c>
      <c r="CS120" s="67">
        <f>=CR119*(1-CS$43)</f>
        <v>0</v>
      </c>
      <c r="CT120" s="67">
        <f>=CS119*(1-CT$43)</f>
        <v>0</v>
      </c>
      <c r="CU120" s="67">
        <f>=CT119*(1-CU$43)</f>
        <v>0</v>
      </c>
      <c r="CV120" s="67">
        <f>=CU119*(1-CV$43)</f>
        <v>0</v>
      </c>
      <c r="CW120" s="67">
        <f>=CV119*(1-CW$43)</f>
        <v>0</v>
      </c>
      <c r="CX120" s="67">
        <f>=CW119*(1-CX$43)</f>
        <v>0</v>
      </c>
      <c r="CY120" s="67">
        <f>=CX119*(1-CY$43)</f>
        <v>0</v>
      </c>
      <c r="CZ120" s="67">
        <f>=CY119*(1-CZ$43)</f>
        <v>0</v>
      </c>
      <c r="DA120" s="67">
        <f>=CZ119*(1-DA$43)</f>
        <v>0</v>
      </c>
      <c r="DB120" s="67">
        <f>=DA119*(1-DB$43)</f>
        <v>0</v>
      </c>
    </row>
    <row r="121" spans="1:106" x14ac:dyDescent="0.25">
      <c r="A121" s="17" t="s">
        <v>338</v>
      </c>
      <c r="C121" s="17">
        <v>0</v>
      </c>
      <c r="D121" s="17">
        <v>0</v>
      </c>
      <c r="E121" s="17">
        <v>0</v>
      </c>
      <c r="F121" s="17">
        <v>0</v>
      </c>
      <c r="G121" s="17">
        <v>0</v>
      </c>
      <c r="H121" s="17">
        <v>0</v>
      </c>
      <c r="I121" s="17">
        <v>0</v>
      </c>
      <c r="J121" s="17">
        <v>0</v>
      </c>
      <c r="K121" s="17">
        <v>0</v>
      </c>
      <c r="L121" s="17">
        <v>0</v>
      </c>
      <c r="M121" s="17">
        <v>0</v>
      </c>
      <c r="N121" s="17">
        <v>0</v>
      </c>
      <c r="O121" s="17">
        <v>0</v>
      </c>
      <c r="P121" s="17">
        <v>0</v>
      </c>
      <c r="Q121" s="17">
        <v>0</v>
      </c>
      <c r="R121" s="17">
        <v>0</v>
      </c>
      <c r="S121" s="17">
        <v>0</v>
      </c>
      <c r="T121" s="17">
        <v>0</v>
      </c>
      <c r="U121" s="17">
        <v>0</v>
      </c>
      <c r="V121" s="17">
        <v>0</v>
      </c>
      <c r="W121" s="17">
        <v>0</v>
      </c>
      <c r="X121" s="17">
        <v>0</v>
      </c>
      <c r="Y121" s="17">
        <v>0</v>
      </c>
      <c r="Z121" s="17">
        <v>0</v>
      </c>
      <c r="AA121" s="17">
        <v>0</v>
      </c>
      <c r="AB121" s="17">
        <v>0</v>
      </c>
      <c r="AC121" s="17">
        <v>0</v>
      </c>
      <c r="AD121" s="17">
        <v>0</v>
      </c>
      <c r="AE121" s="17">
        <v>0</v>
      </c>
      <c r="AF121" s="17">
        <v>0</v>
      </c>
      <c r="AG121" s="17">
        <v>0</v>
      </c>
      <c r="AH121" s="17">
        <v>0</v>
      </c>
      <c r="AI121" s="17">
        <v>0</v>
      </c>
      <c r="AJ121" s="17">
        <v>0</v>
      </c>
      <c r="AK121" s="17">
        <v>0</v>
      </c>
      <c r="AL121" s="17">
        <v>0</v>
      </c>
      <c r="AM121" s="17">
        <v>0</v>
      </c>
      <c r="AN121" s="17">
        <v>0</v>
      </c>
      <c r="AO121" s="17">
        <v>0</v>
      </c>
      <c r="AP121" s="17">
        <v>0</v>
      </c>
      <c r="AQ121" s="17">
        <v>0</v>
      </c>
      <c r="AR121" s="17">
        <v>0</v>
      </c>
      <c r="AS121" s="17">
        <v>0</v>
      </c>
      <c r="AT121" s="17">
        <v>0</v>
      </c>
      <c r="AU121" s="17">
        <v>0</v>
      </c>
      <c r="AV121" s="17">
        <v>0</v>
      </c>
      <c r="AW121" s="17">
        <v>0</v>
      </c>
      <c r="AX121" s="17">
        <v>0</v>
      </c>
      <c r="AY121" s="17">
        <v>0</v>
      </c>
      <c r="AZ121" s="17">
        <v>0</v>
      </c>
      <c r="BA121" s="17">
        <v>0</v>
      </c>
      <c r="BB121" s="17">
        <v>0</v>
      </c>
      <c r="BC121" s="17">
        <v>0</v>
      </c>
      <c r="BD121" s="17">
        <v>0</v>
      </c>
      <c r="BE121" s="17">
        <v>0</v>
      </c>
      <c r="BF121" s="17">
        <v>0</v>
      </c>
      <c r="BG121" s="17">
        <v>0</v>
      </c>
      <c r="BH121" s="17">
        <v>0</v>
      </c>
      <c r="BI121" s="17">
        <v>0</v>
      </c>
      <c r="BJ121" s="17">
        <v>0</v>
      </c>
      <c r="BK121" s="17">
        <v>0</v>
      </c>
      <c r="BL121" s="17">
        <v>0</v>
      </c>
      <c r="BM121" s="17">
        <v>0</v>
      </c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</row>
    <row r="122" spans="1:106" x14ac:dyDescent="0.25">
      <c r="A122" s="17" t="s">
        <v>339</v>
      </c>
      <c r="C122" s="17">
        <v>0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7">
        <v>0</v>
      </c>
      <c r="AI122" s="17">
        <v>0</v>
      </c>
      <c r="AJ122" s="17">
        <v>0</v>
      </c>
      <c r="AK122" s="17">
        <v>0</v>
      </c>
      <c r="AL122" s="17">
        <v>0</v>
      </c>
      <c r="AM122" s="17">
        <v>0</v>
      </c>
      <c r="AN122" s="17">
        <v>0</v>
      </c>
      <c r="AO122" s="17">
        <v>0</v>
      </c>
      <c r="AP122" s="17">
        <v>0</v>
      </c>
      <c r="AQ122" s="17">
        <v>0</v>
      </c>
      <c r="AR122" s="17">
        <v>0</v>
      </c>
      <c r="AS122" s="17">
        <v>0</v>
      </c>
      <c r="AT122" s="17">
        <v>0</v>
      </c>
      <c r="AU122" s="17">
        <v>0</v>
      </c>
      <c r="AV122" s="17">
        <v>0</v>
      </c>
      <c r="AW122" s="17">
        <v>0</v>
      </c>
      <c r="AX122" s="17">
        <v>0</v>
      </c>
      <c r="AY122" s="17">
        <v>0</v>
      </c>
      <c r="AZ122" s="17">
        <v>0</v>
      </c>
      <c r="BA122" s="17">
        <v>0</v>
      </c>
      <c r="BB122" s="17">
        <v>0</v>
      </c>
      <c r="BC122" s="17">
        <v>0</v>
      </c>
      <c r="BD122" s="17">
        <v>0</v>
      </c>
      <c r="BE122" s="17">
        <v>0</v>
      </c>
      <c r="BF122" s="17">
        <v>0</v>
      </c>
      <c r="BG122" s="17">
        <v>0</v>
      </c>
      <c r="BH122" s="17">
        <v>0</v>
      </c>
      <c r="BI122" s="17">
        <v>0</v>
      </c>
      <c r="BJ122" s="17">
        <v>0</v>
      </c>
      <c r="BK122" s="17">
        <v>0</v>
      </c>
      <c r="BL122" s="17">
        <v>0</v>
      </c>
      <c r="BM122" s="17">
        <v>0</v>
      </c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</row>
    <row r="123" spans="1:106" x14ac:dyDescent="0.25">
      <c r="A123" s="17" t="s">
        <v>266</v>
      </c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</row>
    <row r="124" spans="1:106" x14ac:dyDescent="0.25">
      <c r="A124" s="17" t="s">
        <v>340</v>
      </c>
      <c r="C124" s="17">
        <v>0</v>
      </c>
      <c r="D124" s="17">
        <v>0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  <c r="AE124" s="17">
        <v>0</v>
      </c>
      <c r="AF124" s="17">
        <v>0</v>
      </c>
      <c r="AG124" s="17">
        <v>0</v>
      </c>
      <c r="AH124" s="17">
        <v>0</v>
      </c>
      <c r="AI124" s="17">
        <v>0</v>
      </c>
      <c r="AJ124" s="17">
        <v>0</v>
      </c>
      <c r="AK124" s="17">
        <v>0</v>
      </c>
      <c r="AL124" s="17">
        <v>0</v>
      </c>
      <c r="AM124" s="17">
        <v>0</v>
      </c>
      <c r="AN124" s="17">
        <v>0</v>
      </c>
      <c r="AO124" s="17">
        <v>0</v>
      </c>
      <c r="AP124" s="17">
        <v>0</v>
      </c>
      <c r="AQ124" s="17">
        <v>0</v>
      </c>
      <c r="AR124" s="17">
        <v>0</v>
      </c>
      <c r="AS124" s="17">
        <v>0</v>
      </c>
      <c r="AT124" s="17">
        <v>0</v>
      </c>
      <c r="AU124" s="17">
        <v>0</v>
      </c>
      <c r="AV124" s="17">
        <v>0</v>
      </c>
      <c r="AW124" s="17">
        <v>0</v>
      </c>
      <c r="AX124" s="17">
        <v>0</v>
      </c>
      <c r="AY124" s="17">
        <v>0</v>
      </c>
      <c r="AZ124" s="17">
        <v>0</v>
      </c>
      <c r="BA124" s="17">
        <v>0</v>
      </c>
      <c r="BB124" s="17">
        <v>0</v>
      </c>
      <c r="BC124" s="17">
        <v>0</v>
      </c>
      <c r="BD124" s="17">
        <v>0</v>
      </c>
      <c r="BE124" s="17">
        <v>0</v>
      </c>
      <c r="BF124" s="17">
        <v>0</v>
      </c>
      <c r="BG124" s="17">
        <v>0</v>
      </c>
      <c r="BH124" s="17">
        <v>0</v>
      </c>
      <c r="BI124" s="17">
        <v>0</v>
      </c>
      <c r="BJ124" s="17">
        <v>0</v>
      </c>
      <c r="BK124" s="17">
        <v>0</v>
      </c>
      <c r="BL124" s="17">
        <v>0</v>
      </c>
      <c r="BM124" s="17">
        <v>0</v>
      </c>
      <c r="BN124" s="17"/>
      <c r="BO124" s="67">
        <f>=BN120*(1-BO$43)</f>
        <v>0</v>
      </c>
      <c r="BP124" s="67">
        <f>=BO120*(1-BP$43)</f>
        <v>0</v>
      </c>
      <c r="BQ124" s="67">
        <f>=BP120*(1-BQ$43)</f>
        <v>0</v>
      </c>
      <c r="BR124" s="67">
        <f>=BQ120*(1-BR$43)</f>
        <v>0</v>
      </c>
      <c r="BS124" s="67">
        <f>=BR120*(1-BS$43)</f>
        <v>0</v>
      </c>
      <c r="BT124" s="67">
        <f>=BS120*(1-BT$43)</f>
        <v>0</v>
      </c>
      <c r="BU124" s="67">
        <f>=BT120*(1-BU$43)</f>
        <v>0</v>
      </c>
      <c r="BV124" s="67">
        <f>=BU120*(1-BV$43)</f>
        <v>0</v>
      </c>
      <c r="BW124" s="67">
        <f>=BV120*(1-BW$43)</f>
        <v>0</v>
      </c>
      <c r="BX124" s="67">
        <f>=BW120*(1-BX$43)</f>
        <v>0</v>
      </c>
      <c r="BY124" s="67">
        <f>=BX120*(1-BY$43)</f>
        <v>0</v>
      </c>
      <c r="BZ124" s="67">
        <f>=BY120*(1-BZ$43)</f>
        <v>0</v>
      </c>
      <c r="CA124" s="67">
        <f>=BZ120*(1-CA$43)</f>
        <v>0</v>
      </c>
      <c r="CB124" s="67">
        <f>=CA120*(1-CB$43)</f>
        <v>0</v>
      </c>
      <c r="CC124" s="67">
        <f>=CB120*(1-CC$43)</f>
        <v>0</v>
      </c>
      <c r="CD124" s="67">
        <f>=CC120*(1-CD$43)</f>
        <v>0</v>
      </c>
      <c r="CE124" s="67">
        <f>=CD120*(1-CE$43)</f>
        <v>0</v>
      </c>
      <c r="CF124" s="67">
        <f>=CE120*(1-CF$43)</f>
        <v>0</v>
      </c>
      <c r="CG124" s="67">
        <f>=CF120*(1-CG$43)</f>
        <v>0</v>
      </c>
      <c r="CH124" s="67">
        <f>=CG120*(1-CH$43)</f>
        <v>0</v>
      </c>
      <c r="CI124" s="67">
        <f>=CH120*(1-CI$43)</f>
        <v>0</v>
      </c>
      <c r="CJ124" s="67">
        <f>=CI120*(1-CJ$43)</f>
        <v>0</v>
      </c>
      <c r="CK124" s="67">
        <f>=CJ120*(1-CK$43)</f>
        <v>0</v>
      </c>
      <c r="CL124" s="67">
        <f>=CK120*(1-CL$43)</f>
        <v>0</v>
      </c>
      <c r="CM124" s="67">
        <f>=CL120*(1-CM$43)</f>
        <v>0</v>
      </c>
      <c r="CN124" s="67">
        <f>=CM120*(1-CN$43)</f>
        <v>0</v>
      </c>
      <c r="CO124" s="67">
        <f>=CN120*(1-CO$43)</f>
        <v>0</v>
      </c>
      <c r="CP124" s="67">
        <f>=CO120*(1-CP$43)</f>
        <v>0</v>
      </c>
      <c r="CQ124" s="67">
        <f>=CP120*(1-CQ$43)</f>
        <v>0</v>
      </c>
      <c r="CR124" s="67">
        <f>=CQ120*(1-CR$43)</f>
        <v>0</v>
      </c>
      <c r="CS124" s="67">
        <f>=CR120*(1-CS$43)</f>
        <v>0</v>
      </c>
      <c r="CT124" s="67">
        <f>=CS120*(1-CT$43)</f>
        <v>0</v>
      </c>
      <c r="CU124" s="67">
        <f>=CT120*(1-CU$43)</f>
        <v>0</v>
      </c>
      <c r="CV124" s="67">
        <f>=CU120*(1-CV$43)</f>
        <v>0</v>
      </c>
      <c r="CW124" s="67">
        <f>=CV120*(1-CW$43)</f>
        <v>0</v>
      </c>
      <c r="CX124" s="67">
        <f>=CW120*(1-CX$43)</f>
        <v>0</v>
      </c>
      <c r="CY124" s="67">
        <f>=CX120*(1-CY$43)</f>
        <v>0</v>
      </c>
      <c r="CZ124" s="67">
        <f>=CY120*(1-CZ$43)</f>
        <v>0</v>
      </c>
      <c r="DA124" s="67">
        <f>=CZ120*(1-DA$43)</f>
        <v>0</v>
      </c>
      <c r="DB124" s="67">
        <f>=DA120*(1-DB$43)</f>
        <v>0</v>
      </c>
    </row>
    <row r="125" spans="1:106" x14ac:dyDescent="0.25">
      <c r="A125" s="17" t="s">
        <v>341</v>
      </c>
      <c r="C125" s="17">
        <v>0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7">
        <v>0</v>
      </c>
      <c r="AI125" s="17">
        <v>0</v>
      </c>
      <c r="AJ125" s="17">
        <v>0</v>
      </c>
      <c r="AK125" s="17">
        <v>0</v>
      </c>
      <c r="AL125" s="17">
        <v>0</v>
      </c>
      <c r="AM125" s="17">
        <v>0</v>
      </c>
      <c r="AN125" s="17">
        <v>0</v>
      </c>
      <c r="AO125" s="17">
        <v>0</v>
      </c>
      <c r="AP125" s="17">
        <v>0</v>
      </c>
      <c r="AQ125" s="17">
        <v>0</v>
      </c>
      <c r="AR125" s="17">
        <v>0</v>
      </c>
      <c r="AS125" s="17">
        <v>0</v>
      </c>
      <c r="AT125" s="17">
        <v>0</v>
      </c>
      <c r="AU125" s="17">
        <v>0</v>
      </c>
      <c r="AV125" s="17">
        <v>0</v>
      </c>
      <c r="AW125" s="17">
        <v>0</v>
      </c>
      <c r="AX125" s="17">
        <v>0</v>
      </c>
      <c r="AY125" s="17">
        <v>0</v>
      </c>
      <c r="AZ125" s="17">
        <v>0</v>
      </c>
      <c r="BA125" s="17">
        <v>0</v>
      </c>
      <c r="BB125" s="17">
        <v>0</v>
      </c>
      <c r="BC125" s="17">
        <v>0</v>
      </c>
      <c r="BD125" s="17">
        <v>0</v>
      </c>
      <c r="BE125" s="17">
        <v>0</v>
      </c>
      <c r="BF125" s="17">
        <v>0</v>
      </c>
      <c r="BG125" s="17">
        <v>0</v>
      </c>
      <c r="BH125" s="17">
        <v>0</v>
      </c>
      <c r="BI125" s="17">
        <v>0</v>
      </c>
      <c r="BJ125" s="17">
        <v>0</v>
      </c>
      <c r="BK125" s="17">
        <v>0</v>
      </c>
      <c r="BL125" s="17">
        <v>0</v>
      </c>
      <c r="BM125" s="17">
        <v>0</v>
      </c>
      <c r="BN125" s="17"/>
      <c r="BO125" s="67">
        <f>=BN124*(1-BO$43)</f>
        <v>0</v>
      </c>
      <c r="BP125" s="67">
        <f>=BO124*(1-BP$43)</f>
        <v>0</v>
      </c>
      <c r="BQ125" s="67">
        <f>=BP124*(1-BQ$43)</f>
        <v>0</v>
      </c>
      <c r="BR125" s="67">
        <f>=BQ124*(1-BR$43)</f>
        <v>0</v>
      </c>
      <c r="BS125" s="67">
        <f>=BR124*(1-BS$43)</f>
        <v>0</v>
      </c>
      <c r="BT125" s="67">
        <f>=BS124*(1-BT$43)</f>
        <v>0</v>
      </c>
      <c r="BU125" s="67">
        <f>=BT124*(1-BU$43)</f>
        <v>0</v>
      </c>
      <c r="BV125" s="67">
        <f>=BU124*(1-BV$43)</f>
        <v>0</v>
      </c>
      <c r="BW125" s="67">
        <f>=BV124*(1-BW$43)</f>
        <v>0</v>
      </c>
      <c r="BX125" s="67">
        <f>=BW124*(1-BX$43)</f>
        <v>0</v>
      </c>
      <c r="BY125" s="67">
        <f>=BX124*(1-BY$43)</f>
        <v>0</v>
      </c>
      <c r="BZ125" s="67">
        <f>=BY124*(1-BZ$43)</f>
        <v>0</v>
      </c>
      <c r="CA125" s="67">
        <f>=BZ124*(1-CA$43)</f>
        <v>0</v>
      </c>
      <c r="CB125" s="67">
        <f>=CA124*(1-CB$43)</f>
        <v>0</v>
      </c>
      <c r="CC125" s="67">
        <f>=CB124*(1-CC$43)</f>
        <v>0</v>
      </c>
      <c r="CD125" s="67">
        <f>=CC124*(1-CD$43)</f>
        <v>0</v>
      </c>
      <c r="CE125" s="67">
        <f>=CD124*(1-CE$43)</f>
        <v>0</v>
      </c>
      <c r="CF125" s="67">
        <f>=CE124*(1-CF$43)</f>
        <v>0</v>
      </c>
      <c r="CG125" s="67">
        <f>=CF124*(1-CG$43)</f>
        <v>0</v>
      </c>
      <c r="CH125" s="67">
        <f>=CG124*(1-CH$43)</f>
        <v>0</v>
      </c>
      <c r="CI125" s="67">
        <f>=CH124*(1-CI$43)</f>
        <v>0</v>
      </c>
      <c r="CJ125" s="67">
        <f>=CI124*(1-CJ$43)</f>
        <v>0</v>
      </c>
      <c r="CK125" s="67">
        <f>=CJ124*(1-CK$43)</f>
        <v>0</v>
      </c>
      <c r="CL125" s="67">
        <f>=CK124*(1-CL$43)</f>
        <v>0</v>
      </c>
      <c r="CM125" s="67">
        <f>=CL124*(1-CM$43)</f>
        <v>0</v>
      </c>
      <c r="CN125" s="67">
        <f>=CM124*(1-CN$43)</f>
        <v>0</v>
      </c>
      <c r="CO125" s="67">
        <f>=CN124*(1-CO$43)</f>
        <v>0</v>
      </c>
      <c r="CP125" s="67">
        <f>=CO124*(1-CP$43)</f>
        <v>0</v>
      </c>
      <c r="CQ125" s="67">
        <f>=CP124*(1-CQ$43)</f>
        <v>0</v>
      </c>
      <c r="CR125" s="67">
        <f>=CQ124*(1-CR$43)</f>
        <v>0</v>
      </c>
      <c r="CS125" s="67">
        <f>=CR124*(1-CS$43)</f>
        <v>0</v>
      </c>
      <c r="CT125" s="67">
        <f>=CS124*(1-CT$43)</f>
        <v>0</v>
      </c>
      <c r="CU125" s="67">
        <f>=CT124*(1-CU$43)</f>
        <v>0</v>
      </c>
      <c r="CV125" s="67">
        <f>=CU124*(1-CV$43)</f>
        <v>0</v>
      </c>
      <c r="CW125" s="67">
        <f>=CV124*(1-CW$43)</f>
        <v>0</v>
      </c>
      <c r="CX125" s="67">
        <f>=CW124*(1-CX$43)</f>
        <v>0</v>
      </c>
      <c r="CY125" s="67">
        <f>=CX124*(1-CY$43)</f>
        <v>0</v>
      </c>
      <c r="CZ125" s="67">
        <f>=CY124*(1-CZ$43)</f>
        <v>0</v>
      </c>
      <c r="DA125" s="67">
        <f>=CZ124*(1-DA$43)</f>
        <v>0</v>
      </c>
      <c r="DB125" s="67">
        <f>=DA124*(1-DB$43)</f>
        <v>0</v>
      </c>
    </row>
    <row r="126" spans="1:106" x14ac:dyDescent="0.25">
      <c r="A126" s="17" t="s">
        <v>342</v>
      </c>
      <c r="C126" s="17">
        <v>0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7">
        <v>0</v>
      </c>
      <c r="AH126" s="17">
        <v>0</v>
      </c>
      <c r="AI126" s="17">
        <v>0</v>
      </c>
      <c r="AJ126" s="17">
        <v>0</v>
      </c>
      <c r="AK126" s="17">
        <v>0</v>
      </c>
      <c r="AL126" s="17">
        <v>0</v>
      </c>
      <c r="AM126" s="17">
        <v>0</v>
      </c>
      <c r="AN126" s="17">
        <v>0</v>
      </c>
      <c r="AO126" s="17">
        <v>0</v>
      </c>
      <c r="AP126" s="17">
        <v>0</v>
      </c>
      <c r="AQ126" s="17">
        <v>0</v>
      </c>
      <c r="AR126" s="17">
        <v>0</v>
      </c>
      <c r="AS126" s="17">
        <v>0</v>
      </c>
      <c r="AT126" s="17">
        <v>0</v>
      </c>
      <c r="AU126" s="17">
        <v>0</v>
      </c>
      <c r="AV126" s="17">
        <v>0</v>
      </c>
      <c r="AW126" s="17">
        <v>0</v>
      </c>
      <c r="AX126" s="17">
        <v>0</v>
      </c>
      <c r="AY126" s="17">
        <v>0</v>
      </c>
      <c r="AZ126" s="17">
        <v>0</v>
      </c>
      <c r="BA126" s="17">
        <v>0</v>
      </c>
      <c r="BB126" s="17">
        <v>0</v>
      </c>
      <c r="BC126" s="17">
        <v>0</v>
      </c>
      <c r="BD126" s="17">
        <v>0</v>
      </c>
      <c r="BE126" s="17">
        <v>0</v>
      </c>
      <c r="BF126" s="17">
        <v>0</v>
      </c>
      <c r="BG126" s="17">
        <v>0</v>
      </c>
      <c r="BH126" s="17">
        <v>0</v>
      </c>
      <c r="BI126" s="17">
        <v>0</v>
      </c>
      <c r="BJ126" s="17">
        <v>0</v>
      </c>
      <c r="BK126" s="17">
        <v>0</v>
      </c>
      <c r="BL126" s="17">
        <v>0</v>
      </c>
      <c r="BM126" s="17">
        <v>0</v>
      </c>
      <c r="BN126" s="17"/>
      <c r="BO126" s="67">
        <f>=BN125*(1-BO$43)</f>
        <v>0</v>
      </c>
      <c r="BP126" s="67">
        <f>=BO125*(1-BP$43)</f>
        <v>0</v>
      </c>
      <c r="BQ126" s="67">
        <f>=BP125*(1-BQ$43)</f>
        <v>0</v>
      </c>
      <c r="BR126" s="67">
        <f>=BQ125*(1-BR$43)</f>
        <v>0</v>
      </c>
      <c r="BS126" s="67">
        <f>=BR125*(1-BS$43)</f>
        <v>0</v>
      </c>
      <c r="BT126" s="67">
        <f>=BS125*(1-BT$43)</f>
        <v>0</v>
      </c>
      <c r="BU126" s="67">
        <f>=BT125*(1-BU$43)</f>
        <v>0</v>
      </c>
      <c r="BV126" s="67">
        <f>=BU125*(1-BV$43)</f>
        <v>0</v>
      </c>
      <c r="BW126" s="67">
        <f>=BV125*(1-BW$43)</f>
        <v>0</v>
      </c>
      <c r="BX126" s="67">
        <f>=BW125*(1-BX$43)</f>
        <v>0</v>
      </c>
      <c r="BY126" s="67">
        <f>=BX125*(1-BY$43)</f>
        <v>0</v>
      </c>
      <c r="BZ126" s="67">
        <f>=BY125*(1-BZ$43)</f>
        <v>0</v>
      </c>
      <c r="CA126" s="67">
        <f>=BZ125*(1-CA$43)</f>
        <v>0</v>
      </c>
      <c r="CB126" s="67">
        <f>=CA125*(1-CB$43)</f>
        <v>0</v>
      </c>
      <c r="CC126" s="67">
        <f>=CB125*(1-CC$43)</f>
        <v>0</v>
      </c>
      <c r="CD126" s="67">
        <f>=CC125*(1-CD$43)</f>
        <v>0</v>
      </c>
      <c r="CE126" s="67">
        <f>=CD125*(1-CE$43)</f>
        <v>0</v>
      </c>
      <c r="CF126" s="67">
        <f>=CE125*(1-CF$43)</f>
        <v>0</v>
      </c>
      <c r="CG126" s="67">
        <f>=CF125*(1-CG$43)</f>
        <v>0</v>
      </c>
      <c r="CH126" s="67">
        <f>=CG125*(1-CH$43)</f>
        <v>0</v>
      </c>
      <c r="CI126" s="67">
        <f>=CH125*(1-CI$43)</f>
        <v>0</v>
      </c>
      <c r="CJ126" s="67">
        <f>=CI125*(1-CJ$43)</f>
        <v>0</v>
      </c>
      <c r="CK126" s="67">
        <f>=CJ125*(1-CK$43)</f>
        <v>0</v>
      </c>
      <c r="CL126" s="67">
        <f>=CK125*(1-CL$43)</f>
        <v>0</v>
      </c>
      <c r="CM126" s="67">
        <f>=CL125*(1-CM$43)</f>
        <v>0</v>
      </c>
      <c r="CN126" s="67">
        <f>=CM125*(1-CN$43)</f>
        <v>0</v>
      </c>
      <c r="CO126" s="67">
        <f>=CN125*(1-CO$43)</f>
        <v>0</v>
      </c>
      <c r="CP126" s="67">
        <f>=CO125*(1-CP$43)</f>
        <v>0</v>
      </c>
      <c r="CQ126" s="67">
        <f>=CP125*(1-CQ$43)</f>
        <v>0</v>
      </c>
      <c r="CR126" s="67">
        <f>=CQ125*(1-CR$43)</f>
        <v>0</v>
      </c>
      <c r="CS126" s="67">
        <f>=CR125*(1-CS$43)</f>
        <v>0</v>
      </c>
      <c r="CT126" s="67">
        <f>=CS125*(1-CT$43)</f>
        <v>0</v>
      </c>
      <c r="CU126" s="67">
        <f>=CT125*(1-CU$43)</f>
        <v>0</v>
      </c>
      <c r="CV126" s="67">
        <f>=CU125*(1-CV$43)</f>
        <v>0</v>
      </c>
      <c r="CW126" s="67">
        <f>=CV125*(1-CW$43)</f>
        <v>0</v>
      </c>
      <c r="CX126" s="67">
        <f>=CW125*(1-CX$43)</f>
        <v>0</v>
      </c>
      <c r="CY126" s="67">
        <f>=CX125*(1-CY$43)</f>
        <v>0</v>
      </c>
      <c r="CZ126" s="67">
        <f>=CY125*(1-CZ$43)</f>
        <v>0</v>
      </c>
      <c r="DA126" s="67">
        <f>=CZ125*(1-DA$43)</f>
        <v>0</v>
      </c>
      <c r="DB126" s="67">
        <f>=DA125*(1-DB$43)</f>
        <v>0</v>
      </c>
    </row>
    <row r="127" spans="1:106" x14ac:dyDescent="0.25">
      <c r="A127" s="17" t="s">
        <v>343</v>
      </c>
      <c r="C127" s="17">
        <v>0</v>
      </c>
      <c r="D127" s="17">
        <v>0</v>
      </c>
      <c r="E127" s="17">
        <v>0</v>
      </c>
      <c r="F127" s="17">
        <v>0</v>
      </c>
      <c r="G127" s="17">
        <v>0</v>
      </c>
      <c r="H127" s="17">
        <v>0</v>
      </c>
      <c r="I127" s="17">
        <v>0</v>
      </c>
      <c r="J127" s="17">
        <v>0</v>
      </c>
      <c r="K127" s="17">
        <v>0</v>
      </c>
      <c r="L127" s="17">
        <v>0</v>
      </c>
      <c r="M127" s="17">
        <v>0</v>
      </c>
      <c r="N127" s="17">
        <v>0</v>
      </c>
      <c r="O127" s="17">
        <v>0</v>
      </c>
      <c r="P127" s="17">
        <v>0</v>
      </c>
      <c r="Q127" s="17">
        <v>0</v>
      </c>
      <c r="R127" s="17">
        <v>0</v>
      </c>
      <c r="S127" s="17">
        <v>0</v>
      </c>
      <c r="T127" s="17">
        <v>0</v>
      </c>
      <c r="U127" s="17">
        <v>0</v>
      </c>
      <c r="V127" s="17">
        <v>0</v>
      </c>
      <c r="W127" s="17">
        <v>0</v>
      </c>
      <c r="X127" s="17">
        <v>0</v>
      </c>
      <c r="Y127" s="17">
        <v>0</v>
      </c>
      <c r="Z127" s="17">
        <v>0</v>
      </c>
      <c r="AA127" s="17">
        <v>0</v>
      </c>
      <c r="AB127" s="17">
        <v>0</v>
      </c>
      <c r="AC127" s="17">
        <v>0</v>
      </c>
      <c r="AD127" s="17">
        <v>0</v>
      </c>
      <c r="AE127" s="17">
        <v>0</v>
      </c>
      <c r="AF127" s="17">
        <v>0</v>
      </c>
      <c r="AG127" s="17">
        <v>0</v>
      </c>
      <c r="AH127" s="17">
        <v>0</v>
      </c>
      <c r="AI127" s="17">
        <v>0</v>
      </c>
      <c r="AJ127" s="17">
        <v>0</v>
      </c>
      <c r="AK127" s="17">
        <v>0</v>
      </c>
      <c r="AL127" s="17">
        <v>0</v>
      </c>
      <c r="AM127" s="17">
        <v>0</v>
      </c>
      <c r="AN127" s="17">
        <v>0</v>
      </c>
      <c r="AO127" s="17">
        <v>0</v>
      </c>
      <c r="AP127" s="17">
        <v>0</v>
      </c>
      <c r="AQ127" s="17">
        <v>0</v>
      </c>
      <c r="AR127" s="17">
        <v>0</v>
      </c>
      <c r="AS127" s="17">
        <v>0</v>
      </c>
      <c r="AT127" s="17">
        <v>0</v>
      </c>
      <c r="AU127" s="17">
        <v>0</v>
      </c>
      <c r="AV127" s="17">
        <v>0</v>
      </c>
      <c r="AW127" s="17">
        <v>0</v>
      </c>
      <c r="AX127" s="17">
        <v>0</v>
      </c>
      <c r="AY127" s="17">
        <v>0</v>
      </c>
      <c r="AZ127" s="17">
        <v>0</v>
      </c>
      <c r="BA127" s="17">
        <v>0</v>
      </c>
      <c r="BB127" s="17">
        <v>0</v>
      </c>
      <c r="BC127" s="17">
        <v>0</v>
      </c>
      <c r="BD127" s="17">
        <v>0</v>
      </c>
      <c r="BE127" s="17">
        <v>0</v>
      </c>
      <c r="BF127" s="17">
        <v>0</v>
      </c>
      <c r="BG127" s="17">
        <v>0</v>
      </c>
      <c r="BH127" s="17">
        <v>0</v>
      </c>
      <c r="BI127" s="17">
        <v>0</v>
      </c>
      <c r="BJ127" s="17">
        <v>0</v>
      </c>
      <c r="BK127" s="17">
        <v>0</v>
      </c>
      <c r="BL127" s="17">
        <v>0</v>
      </c>
      <c r="BM127" s="17">
        <v>0</v>
      </c>
      <c r="BN127" s="17"/>
      <c r="BO127" s="67">
        <f>=BN126*(1-BO$43)</f>
        <v>0</v>
      </c>
      <c r="BP127" s="67">
        <f>=BO126*(1-BP$43)</f>
        <v>0</v>
      </c>
      <c r="BQ127" s="67">
        <f>=BP126*(1-BQ$43)</f>
        <v>0</v>
      </c>
      <c r="BR127" s="67">
        <f>=BQ126*(1-BR$43)</f>
        <v>0</v>
      </c>
      <c r="BS127" s="67">
        <f>=BR126*(1-BS$43)</f>
        <v>0</v>
      </c>
      <c r="BT127" s="67">
        <f>=BS126*(1-BT$43)</f>
        <v>0</v>
      </c>
      <c r="BU127" s="67">
        <f>=BT126*(1-BU$43)</f>
        <v>0</v>
      </c>
      <c r="BV127" s="67">
        <f>=BU126*(1-BV$43)</f>
        <v>0</v>
      </c>
      <c r="BW127" s="67">
        <f>=BV126*(1-BW$43)</f>
        <v>0</v>
      </c>
      <c r="BX127" s="67">
        <f>=BW126*(1-BX$43)</f>
        <v>0</v>
      </c>
      <c r="BY127" s="67">
        <f>=BX126*(1-BY$43)</f>
        <v>0</v>
      </c>
      <c r="BZ127" s="67">
        <f>=BY126*(1-BZ$43)</f>
        <v>0</v>
      </c>
      <c r="CA127" s="67">
        <f>=BZ126*(1-CA$43)</f>
        <v>0</v>
      </c>
      <c r="CB127" s="67">
        <f>=CA126*(1-CB$43)</f>
        <v>0</v>
      </c>
      <c r="CC127" s="67">
        <f>=CB126*(1-CC$43)</f>
        <v>0</v>
      </c>
      <c r="CD127" s="67">
        <f>=CC126*(1-CD$43)</f>
        <v>0</v>
      </c>
      <c r="CE127" s="67">
        <f>=CD126*(1-CE$43)</f>
        <v>0</v>
      </c>
      <c r="CF127" s="67">
        <f>=CE126*(1-CF$43)</f>
        <v>0</v>
      </c>
      <c r="CG127" s="67">
        <f>=CF126*(1-CG$43)</f>
        <v>0</v>
      </c>
      <c r="CH127" s="67">
        <f>=CG126*(1-CH$43)</f>
        <v>0</v>
      </c>
      <c r="CI127" s="67">
        <f>=CH126*(1-CI$43)</f>
        <v>0</v>
      </c>
      <c r="CJ127" s="67">
        <f>=CI126*(1-CJ$43)</f>
        <v>0</v>
      </c>
      <c r="CK127" s="67">
        <f>=CJ126*(1-CK$43)</f>
        <v>0</v>
      </c>
      <c r="CL127" s="67">
        <f>=CK126*(1-CL$43)</f>
        <v>0</v>
      </c>
      <c r="CM127" s="67">
        <f>=CL126*(1-CM$43)</f>
        <v>0</v>
      </c>
      <c r="CN127" s="67">
        <f>=CM126*(1-CN$43)</f>
        <v>0</v>
      </c>
      <c r="CO127" s="67">
        <f>=CN126*(1-CO$43)</f>
        <v>0</v>
      </c>
      <c r="CP127" s="67">
        <f>=CO126*(1-CP$43)</f>
        <v>0</v>
      </c>
      <c r="CQ127" s="67">
        <f>=CP126*(1-CQ$43)</f>
        <v>0</v>
      </c>
      <c r="CR127" s="67">
        <f>=CQ126*(1-CR$43)</f>
        <v>0</v>
      </c>
      <c r="CS127" s="67">
        <f>=CR126*(1-CS$43)</f>
        <v>0</v>
      </c>
      <c r="CT127" s="67">
        <f>=CS126*(1-CT$43)</f>
        <v>0</v>
      </c>
      <c r="CU127" s="67">
        <f>=CT126*(1-CU$43)</f>
        <v>0</v>
      </c>
      <c r="CV127" s="67">
        <f>=CU126*(1-CV$43)</f>
        <v>0</v>
      </c>
      <c r="CW127" s="67">
        <f>=CV126*(1-CW$43)</f>
        <v>0</v>
      </c>
      <c r="CX127" s="67">
        <f>=CW126*(1-CX$43)</f>
        <v>0</v>
      </c>
      <c r="CY127" s="67">
        <f>=CX126*(1-CY$43)</f>
        <v>0</v>
      </c>
      <c r="CZ127" s="67">
        <f>=CY126*(1-CZ$43)</f>
        <v>0</v>
      </c>
      <c r="DA127" s="67">
        <f>=CZ126*(1-DA$43)</f>
        <v>0</v>
      </c>
      <c r="DB127" s="67">
        <f>=DA126*(1-DB$43)</f>
        <v>0</v>
      </c>
    </row>
    <row r="128" spans="1:106" x14ac:dyDescent="0.25">
      <c r="A128" s="17" t="s">
        <v>344</v>
      </c>
      <c r="C128" s="17">
        <v>0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7">
        <v>0</v>
      </c>
      <c r="AI128" s="17">
        <v>0</v>
      </c>
      <c r="AJ128" s="17">
        <v>0</v>
      </c>
      <c r="AK128" s="17">
        <v>0</v>
      </c>
      <c r="AL128" s="17">
        <v>0</v>
      </c>
      <c r="AM128" s="17">
        <v>0</v>
      </c>
      <c r="AN128" s="17">
        <v>0</v>
      </c>
      <c r="AO128" s="17">
        <v>0</v>
      </c>
      <c r="AP128" s="17">
        <v>0</v>
      </c>
      <c r="AQ128" s="17">
        <v>0</v>
      </c>
      <c r="AR128" s="17">
        <v>0</v>
      </c>
      <c r="AS128" s="17">
        <v>0</v>
      </c>
      <c r="AT128" s="17">
        <v>0</v>
      </c>
      <c r="AU128" s="17">
        <v>0</v>
      </c>
      <c r="AV128" s="17">
        <v>0</v>
      </c>
      <c r="AW128" s="17">
        <v>0</v>
      </c>
      <c r="AX128" s="17">
        <v>0</v>
      </c>
      <c r="AY128" s="17">
        <v>0</v>
      </c>
      <c r="AZ128" s="17">
        <v>0</v>
      </c>
      <c r="BA128" s="17">
        <v>0</v>
      </c>
      <c r="BB128" s="17">
        <v>0</v>
      </c>
      <c r="BC128" s="17">
        <v>0</v>
      </c>
      <c r="BD128" s="17">
        <v>0</v>
      </c>
      <c r="BE128" s="17">
        <v>0</v>
      </c>
      <c r="BF128" s="17">
        <v>0</v>
      </c>
      <c r="BG128" s="17">
        <v>0</v>
      </c>
      <c r="BH128" s="17">
        <v>0</v>
      </c>
      <c r="BI128" s="17">
        <v>0</v>
      </c>
      <c r="BJ128" s="17">
        <v>0</v>
      </c>
      <c r="BK128" s="17">
        <v>0</v>
      </c>
      <c r="BL128" s="17">
        <v>0</v>
      </c>
      <c r="BM128" s="17">
        <v>0</v>
      </c>
      <c r="BN128" s="17"/>
      <c r="BO128" s="67">
        <f>=BN127*(1-BO$43)</f>
        <v>0</v>
      </c>
      <c r="BP128" s="67">
        <f>=BO127*(1-BP$43)</f>
        <v>0</v>
      </c>
      <c r="BQ128" s="67">
        <f>=BP127*(1-BQ$43)</f>
        <v>0</v>
      </c>
      <c r="BR128" s="67">
        <f>=BQ127*(1-BR$43)</f>
        <v>0</v>
      </c>
      <c r="BS128" s="67">
        <f>=BR127*(1-BS$43)</f>
        <v>0</v>
      </c>
      <c r="BT128" s="67">
        <f>=BS127*(1-BT$43)</f>
        <v>0</v>
      </c>
      <c r="BU128" s="67">
        <f>=BT127*(1-BU$43)</f>
        <v>0</v>
      </c>
      <c r="BV128" s="67">
        <f>=BU127*(1-BV$43)</f>
        <v>0</v>
      </c>
      <c r="BW128" s="67">
        <f>=BV127*(1-BW$43)</f>
        <v>0</v>
      </c>
      <c r="BX128" s="67">
        <f>=BW127*(1-BX$43)</f>
        <v>0</v>
      </c>
      <c r="BY128" s="67">
        <f>=BX127*(1-BY$43)</f>
        <v>0</v>
      </c>
      <c r="BZ128" s="67">
        <f>=BY127*(1-BZ$43)</f>
        <v>0</v>
      </c>
      <c r="CA128" s="67">
        <f>=BZ127*(1-CA$43)</f>
        <v>0</v>
      </c>
      <c r="CB128" s="67">
        <f>=CA127*(1-CB$43)</f>
        <v>0</v>
      </c>
      <c r="CC128" s="67">
        <f>=CB127*(1-CC$43)</f>
        <v>0</v>
      </c>
      <c r="CD128" s="67">
        <f>=CC127*(1-CD$43)</f>
        <v>0</v>
      </c>
      <c r="CE128" s="67">
        <f>=CD127*(1-CE$43)</f>
        <v>0</v>
      </c>
      <c r="CF128" s="67">
        <f>=CE127*(1-CF$43)</f>
        <v>0</v>
      </c>
      <c r="CG128" s="67">
        <f>=CF127*(1-CG$43)</f>
        <v>0</v>
      </c>
      <c r="CH128" s="67">
        <f>=CG127*(1-CH$43)</f>
        <v>0</v>
      </c>
      <c r="CI128" s="67">
        <f>=CH127*(1-CI$43)</f>
        <v>0</v>
      </c>
      <c r="CJ128" s="67">
        <f>=CI127*(1-CJ$43)</f>
        <v>0</v>
      </c>
      <c r="CK128" s="67">
        <f>=CJ127*(1-CK$43)</f>
        <v>0</v>
      </c>
      <c r="CL128" s="67">
        <f>=CK127*(1-CL$43)</f>
        <v>0</v>
      </c>
      <c r="CM128" s="67">
        <f>=CL127*(1-CM$43)</f>
        <v>0</v>
      </c>
      <c r="CN128" s="67">
        <f>=CM127*(1-CN$43)</f>
        <v>0</v>
      </c>
      <c r="CO128" s="67">
        <f>=CN127*(1-CO$43)</f>
        <v>0</v>
      </c>
      <c r="CP128" s="67">
        <f>=CO127*(1-CP$43)</f>
        <v>0</v>
      </c>
      <c r="CQ128" s="67">
        <f>=CP127*(1-CQ$43)</f>
        <v>0</v>
      </c>
      <c r="CR128" s="67">
        <f>=CQ127*(1-CR$43)</f>
        <v>0</v>
      </c>
      <c r="CS128" s="67">
        <f>=CR127*(1-CS$43)</f>
        <v>0</v>
      </c>
      <c r="CT128" s="67">
        <f>=CS127*(1-CT$43)</f>
        <v>0</v>
      </c>
      <c r="CU128" s="67">
        <f>=CT127*(1-CU$43)</f>
        <v>0</v>
      </c>
      <c r="CV128" s="67">
        <f>=CU127*(1-CV$43)</f>
        <v>0</v>
      </c>
      <c r="CW128" s="67">
        <f>=CV127*(1-CW$43)</f>
        <v>0</v>
      </c>
      <c r="CX128" s="67">
        <f>=CW127*(1-CX$43)</f>
        <v>0</v>
      </c>
      <c r="CY128" s="67">
        <f>=CX127*(1-CY$43)</f>
        <v>0</v>
      </c>
      <c r="CZ128" s="67">
        <f>=CY127*(1-CZ$43)</f>
        <v>0</v>
      </c>
      <c r="DA128" s="67">
        <f>=CZ127*(1-DA$43)</f>
        <v>0</v>
      </c>
      <c r="DB128" s="67">
        <f>=DA127*(1-DB$43)</f>
        <v>0</v>
      </c>
    </row>
    <row r="129" spans="3:106" x14ac:dyDescent="0.25"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  <c r="BA129" s="30"/>
      <c r="BB129" s="30"/>
      <c r="BC129" s="30"/>
      <c r="BD129" s="30"/>
      <c r="BE129" s="30"/>
      <c r="BF129" s="30"/>
      <c r="BG129" s="30"/>
      <c r="BH129" s="30"/>
      <c r="BI129" s="30"/>
      <c r="BJ129" s="30"/>
      <c r="BK129" s="30"/>
      <c r="BL129" s="30"/>
      <c r="BM129" s="30"/>
      <c r="BN129" s="30"/>
      <c r="BO129" s="30"/>
      <c r="BP129" s="30"/>
      <c r="BQ129" s="30"/>
      <c r="BR129" s="30"/>
      <c r="BS129" s="30"/>
      <c r="BT129" s="30"/>
      <c r="BU129" s="30"/>
      <c r="BV129" s="30"/>
      <c r="BW129" s="30"/>
      <c r="BX129" s="30"/>
      <c r="BY129" s="30"/>
      <c r="BZ129" s="30"/>
      <c r="CA129" s="30"/>
      <c r="CB129" s="30"/>
      <c r="CC129" s="30"/>
      <c r="CD129" s="30"/>
      <c r="CE129" s="30"/>
      <c r="CF129" s="30"/>
      <c r="CG129" s="30"/>
      <c r="CH129" s="30"/>
      <c r="CI129" s="30"/>
      <c r="CJ129" s="30"/>
      <c r="CK129" s="30"/>
      <c r="CL129" s="30"/>
      <c r="CM129" s="30"/>
      <c r="CN129" s="30"/>
      <c r="CO129" s="30"/>
      <c r="CP129" s="30"/>
      <c r="CQ129" s="30"/>
      <c r="CR129" s="30"/>
      <c r="CS129" s="30"/>
      <c r="CT129" s="30"/>
      <c r="CU129" s="30"/>
      <c r="CV129" s="30"/>
      <c r="CW129" s="30"/>
      <c r="CX129" s="30"/>
      <c r="CY129" s="30"/>
      <c r="CZ129" s="30"/>
      <c r="DA129" s="30"/>
      <c r="DB129" s="30"/>
    </row>
    <row r="130" spans="1:106" x14ac:dyDescent="0.25">
      <c r="A130" s="9" t="s">
        <v>345</v>
      </c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  <c r="AV130" s="30"/>
      <c r="AW130" s="30"/>
      <c r="AX130" s="30"/>
      <c r="AY130" s="30"/>
      <c r="AZ130" s="30"/>
      <c r="BA130" s="30"/>
      <c r="BB130" s="30"/>
      <c r="BC130" s="30"/>
      <c r="BD130" s="30"/>
      <c r="BE130" s="30"/>
      <c r="BF130" s="30"/>
      <c r="BG130" s="30"/>
      <c r="BH130" s="30"/>
      <c r="BI130" s="30"/>
      <c r="BJ130" s="30"/>
      <c r="BK130" s="30"/>
      <c r="BL130" s="30"/>
      <c r="BM130" s="30"/>
      <c r="BN130" s="30"/>
      <c r="BO130" s="30"/>
      <c r="BP130" s="30"/>
      <c r="BQ130" s="30"/>
      <c r="BR130" s="30"/>
      <c r="BS130" s="30"/>
      <c r="BT130" s="30"/>
      <c r="BU130" s="30"/>
      <c r="BV130" s="30"/>
      <c r="BW130" s="30"/>
      <c r="BX130" s="30"/>
      <c r="BY130" s="30"/>
      <c r="BZ130" s="30"/>
      <c r="CA130" s="30"/>
      <c r="CB130" s="30"/>
      <c r="CC130" s="30"/>
      <c r="CD130" s="30"/>
      <c r="CE130" s="30"/>
      <c r="CF130" s="30"/>
      <c r="CG130" s="30"/>
      <c r="CH130" s="30"/>
      <c r="CI130" s="30"/>
      <c r="CJ130" s="30"/>
      <c r="CK130" s="30"/>
      <c r="CL130" s="30"/>
      <c r="CM130" s="30"/>
      <c r="CN130" s="30"/>
      <c r="CO130" s="30"/>
      <c r="CP130" s="30"/>
      <c r="CQ130" s="30"/>
      <c r="CR130" s="30"/>
      <c r="CS130" s="30"/>
      <c r="CT130" s="30"/>
      <c r="CU130" s="30"/>
      <c r="CV130" s="30"/>
      <c r="CW130" s="30"/>
      <c r="CX130" s="30"/>
      <c r="CY130" s="30"/>
      <c r="CZ130" s="30"/>
      <c r="DA130" s="30"/>
      <c r="DB130" s="30"/>
    </row>
    <row r="131" ht="16" customHeight="1" spans="1:106" x14ac:dyDescent="0.25">
      <c r="A131" s="68" t="s">
        <v>346</v>
      </c>
      <c r="C131" s="30">
        <f>=C8</f>
        <v>754</v>
      </c>
      <c r="D131" s="30">
        <f>=D8</f>
        <v>753</v>
      </c>
      <c r="E131" s="30">
        <f>=E8</f>
        <v>753</v>
      </c>
      <c r="F131" s="30">
        <f>=F8</f>
        <v>753</v>
      </c>
      <c r="G131" s="30">
        <f>=G8</f>
        <v>754</v>
      </c>
      <c r="H131" s="30">
        <f>=H8</f>
        <v>762</v>
      </c>
      <c r="I131" s="30">
        <f>=I8</f>
        <v>761</v>
      </c>
      <c r="J131" s="30">
        <f>=J8</f>
        <v>761</v>
      </c>
      <c r="K131" s="30">
        <f>=K8</f>
        <v>760</v>
      </c>
      <c r="L131" s="30">
        <f>=L8</f>
        <v>759</v>
      </c>
      <c r="M131" s="30">
        <f>=M8</f>
        <v>758</v>
      </c>
      <c r="N131" s="30">
        <f>=N8</f>
        <v>757</v>
      </c>
      <c r="O131" s="30">
        <f>=O8</f>
        <v>758</v>
      </c>
      <c r="P131" s="30">
        <f>=P8</f>
        <v>620</v>
      </c>
      <c r="Q131" s="30">
        <f>=Q8</f>
        <v>620</v>
      </c>
      <c r="R131" s="30">
        <f>=R8</f>
        <v>620</v>
      </c>
      <c r="S131" s="30">
        <f>=S8</f>
        <v>623</v>
      </c>
      <c r="T131" s="30">
        <f>=T8</f>
        <v>621</v>
      </c>
      <c r="U131" s="30">
        <f>=U8</f>
        <v>621</v>
      </c>
      <c r="V131" s="30">
        <f>=V8</f>
        <v>621</v>
      </c>
      <c r="W131" s="30">
        <f>=W8</f>
        <v>621</v>
      </c>
      <c r="X131" s="30">
        <f>=X8</f>
        <v>621</v>
      </c>
      <c r="Y131" s="30">
        <f>=Y8</f>
        <v>622</v>
      </c>
      <c r="Z131" s="30">
        <f>=Z8</f>
        <v>622</v>
      </c>
      <c r="AA131" s="30">
        <f>=AA8</f>
        <v>622</v>
      </c>
      <c r="AB131" s="30">
        <f>=AB8</f>
        <v>622</v>
      </c>
      <c r="AC131" s="30">
        <f>=AC8</f>
        <v>621</v>
      </c>
      <c r="AD131" s="30">
        <f>=AD8</f>
        <v>621</v>
      </c>
      <c r="AE131" s="30">
        <f>=AE8</f>
        <v>621</v>
      </c>
      <c r="AF131" s="30">
        <f>=AF8</f>
        <v>621</v>
      </c>
      <c r="AG131" s="30">
        <f>=AG8</f>
        <v>621</v>
      </c>
      <c r="AH131" s="30">
        <f>=AH8</f>
        <v>621</v>
      </c>
      <c r="AI131" s="30">
        <f>=AI8</f>
        <v>621</v>
      </c>
      <c r="AJ131" s="30">
        <f>=AJ8</f>
        <v>621</v>
      </c>
      <c r="AK131" s="30">
        <f>=AK8</f>
        <v>620</v>
      </c>
      <c r="AL131" s="30">
        <f>=AL8</f>
        <v>620</v>
      </c>
      <c r="AM131" s="30">
        <f>=AM8</f>
        <v>620</v>
      </c>
      <c r="AN131" s="30">
        <f>=AN8</f>
        <v>620</v>
      </c>
      <c r="AO131" s="30">
        <f>=AO8</f>
        <v>620</v>
      </c>
      <c r="AP131" s="30">
        <f>=AP8</f>
        <v>620</v>
      </c>
      <c r="AQ131" s="30">
        <f>=AQ8</f>
        <v>620</v>
      </c>
      <c r="AR131" s="30">
        <f>=AR8</f>
        <v>620</v>
      </c>
      <c r="AS131" s="30">
        <f>=AS8</f>
        <v>620</v>
      </c>
      <c r="AT131" s="30">
        <f>=AT8</f>
        <v>620</v>
      </c>
      <c r="AU131" s="30">
        <f>=AU8</f>
        <v>620</v>
      </c>
      <c r="AV131" s="30">
        <f>=AV8</f>
        <v>620</v>
      </c>
      <c r="AW131" s="30">
        <f>=AW8</f>
        <v>620</v>
      </c>
      <c r="AX131" s="30">
        <f>=AX8</f>
        <v>620</v>
      </c>
      <c r="AY131" s="30">
        <f>=AY8</f>
        <v>643</v>
      </c>
      <c r="AZ131" s="30">
        <f>=AZ8</f>
        <v>643</v>
      </c>
      <c r="BA131" s="30">
        <f>=BA8</f>
        <v>643</v>
      </c>
      <c r="BB131" s="30">
        <f>=BB8</f>
        <v>643</v>
      </c>
      <c r="BC131" s="30">
        <f>=BC8</f>
        <v>646</v>
      </c>
      <c r="BD131" s="30">
        <f>=BD8</f>
        <v>647</v>
      </c>
      <c r="BE131" s="30">
        <f>=BE8</f>
        <v>647</v>
      </c>
      <c r="BF131" s="30">
        <f>=BF8</f>
        <v>647</v>
      </c>
      <c r="BG131" s="30">
        <f>=BG8</f>
        <v>646</v>
      </c>
      <c r="BH131" s="30">
        <f>=BH8</f>
        <v>644</v>
      </c>
      <c r="BI131" s="30">
        <f>=BI8</f>
        <v>644</v>
      </c>
      <c r="BJ131" s="30">
        <f>=BJ8</f>
        <v>644</v>
      </c>
      <c r="BK131" s="30">
        <f>=BK8</f>
        <v>644</v>
      </c>
      <c r="BL131" s="30">
        <f>=BL8</f>
        <v>644</v>
      </c>
      <c r="BM131" s="30">
        <f>=BM8</f>
        <v>644</v>
      </c>
      <c r="BN131" s="30">
        <f>=BN8</f>
        <v>644</v>
      </c>
      <c r="BO131" s="30">
        <f>=BO8</f>
        <v>644</v>
      </c>
      <c r="BP131" s="30">
        <f>=BP8</f>
        <v>641</v>
      </c>
      <c r="BQ131" s="30">
        <f>=BQ8</f>
        <v>638</v>
      </c>
      <c r="BR131" s="30">
        <f>=BR8</f>
        <v>638</v>
      </c>
      <c r="BS131" s="30">
        <f>=BS8</f>
        <v>638</v>
      </c>
      <c r="BT131" s="30">
        <f>=BT8</f>
        <v>638</v>
      </c>
      <c r="BU131" s="30">
        <f>=BU8</f>
        <v>532</v>
      </c>
      <c r="BV131" s="30">
        <f>=BV8</f>
        <v>532</v>
      </c>
      <c r="BW131" s="30">
        <f>=BW8</f>
        <v>532</v>
      </c>
      <c r="BX131" s="30">
        <f>=BX8</f>
        <v>532</v>
      </c>
      <c r="BY131" s="30">
        <f>=BY8</f>
        <v>534</v>
      </c>
      <c r="BZ131" s="30">
        <f>=BZ8</f>
        <v>535</v>
      </c>
      <c r="CA131" s="30">
        <f>=CA8</f>
        <v>533</v>
      </c>
      <c r="CB131" s="30">
        <f>=CB8</f>
        <v>533</v>
      </c>
      <c r="CC131" s="30">
        <f>=CC8</f>
        <v>533</v>
      </c>
      <c r="CD131" s="30">
        <f>=CD8</f>
        <v>534</v>
      </c>
      <c r="CE131" s="30">
        <f>=CE8</f>
        <v>534</v>
      </c>
      <c r="CF131" s="30">
        <f>=CF8</f>
        <v>534</v>
      </c>
      <c r="CG131" s="30">
        <f>=CG8</f>
        <v>534</v>
      </c>
      <c r="CH131" s="30">
        <f>=CH8</f>
        <v>536</v>
      </c>
      <c r="CI131" s="30">
        <f>=CI8</f>
        <v>536</v>
      </c>
      <c r="CJ131" s="30">
        <f>=CJ8</f>
        <v>536</v>
      </c>
      <c r="CK131" s="30">
        <f>=CK8</f>
        <v>536</v>
      </c>
      <c r="CL131" s="30">
        <f>=CL8</f>
        <v>537</v>
      </c>
      <c r="CM131" s="30">
        <f>=CM8</f>
        <v>538</v>
      </c>
      <c r="CN131" s="30">
        <f>=CN8</f>
        <v>538</v>
      </c>
      <c r="CO131" s="30">
        <f>=CO8</f>
        <v>538</v>
      </c>
      <c r="CP131" s="30">
        <f>=CP8</f>
        <v>540</v>
      </c>
      <c r="CQ131" s="30">
        <f>=CQ8</f>
        <v>541</v>
      </c>
      <c r="CR131" s="30">
        <f>=CR8</f>
        <v>541</v>
      </c>
      <c r="CS131" s="30">
        <f>=CS8</f>
        <v>541</v>
      </c>
      <c r="CT131" s="30">
        <f>=CT8</f>
        <v>542</v>
      </c>
      <c r="CU131" s="30">
        <f>=CU8</f>
        <v>545</v>
      </c>
      <c r="CV131" s="30">
        <f>=CV8</f>
        <v>545</v>
      </c>
      <c r="CW131" s="30">
        <f>=CW8</f>
        <v>545</v>
      </c>
      <c r="CX131" s="30">
        <f>=CX8</f>
        <v>545</v>
      </c>
      <c r="CY131" s="30">
        <f>=CY8</f>
        <v>549</v>
      </c>
      <c r="CZ131" s="30">
        <f>=CZ8</f>
        <v>549</v>
      </c>
      <c r="DA131" s="30">
        <f>=DA8</f>
        <v>549</v>
      </c>
      <c r="DB131" s="30">
        <f>=DB8</f>
        <v>549</v>
      </c>
    </row>
    <row r="132" ht="18" customHeight="1" spans="1:106" x14ac:dyDescent="0.25">
      <c r="A132" s="68" t="s">
        <v>347</v>
      </c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50">
        <v>156</v>
      </c>
      <c r="AF132" s="50">
        <v>180</v>
      </c>
      <c r="AG132" s="50">
        <v>626</v>
      </c>
      <c r="AH132" s="50">
        <v>812</v>
      </c>
      <c r="AI132" s="50">
        <v>855</v>
      </c>
      <c r="AJ132" s="50">
        <v>857</v>
      </c>
      <c r="AK132" s="50">
        <v>862</v>
      </c>
      <c r="AL132" s="50">
        <v>903</v>
      </c>
      <c r="AM132" s="50">
        <v>900</v>
      </c>
      <c r="AN132" s="50">
        <v>928</v>
      </c>
      <c r="AO132" s="50">
        <v>902</v>
      </c>
      <c r="AP132" s="50">
        <v>856</v>
      </c>
      <c r="AQ132" s="50">
        <v>863</v>
      </c>
      <c r="AR132" s="50">
        <v>903</v>
      </c>
      <c r="AS132" s="50">
        <v>879</v>
      </c>
      <c r="AT132" s="50">
        <v>901</v>
      </c>
      <c r="AU132" s="50">
        <v>908</v>
      </c>
      <c r="AV132" s="50">
        <v>906</v>
      </c>
      <c r="AW132" s="50">
        <v>907</v>
      </c>
      <c r="AX132" s="50">
        <v>904</v>
      </c>
      <c r="AY132" s="50">
        <v>919</v>
      </c>
      <c r="AZ132" s="50">
        <v>905</v>
      </c>
      <c r="BA132" s="50">
        <v>849</v>
      </c>
      <c r="BB132" s="50">
        <v>807</v>
      </c>
      <c r="BC132" s="50">
        <v>907</v>
      </c>
      <c r="BD132" s="50">
        <v>904</v>
      </c>
      <c r="BE132" s="50">
        <v>907</v>
      </c>
      <c r="BF132" s="50">
        <v>906</v>
      </c>
      <c r="BG132" s="50">
        <v>898</v>
      </c>
      <c r="BH132" s="50">
        <v>912</v>
      </c>
      <c r="BI132" s="50">
        <v>866</v>
      </c>
      <c r="BJ132" s="50">
        <v>908</v>
      </c>
      <c r="BK132" s="50">
        <v>912</v>
      </c>
      <c r="BL132" s="50">
        <v>876</v>
      </c>
      <c r="BM132" s="50">
        <v>856</v>
      </c>
      <c r="BN132" s="69">
        <v>856</v>
      </c>
      <c r="BO132" s="69">
        <v>864</v>
      </c>
      <c r="BP132" s="69">
        <v>855</v>
      </c>
      <c r="BQ132" s="69">
        <v>856</v>
      </c>
      <c r="BR132" s="69">
        <v>854</v>
      </c>
      <c r="BS132" s="69">
        <v>857</v>
      </c>
      <c r="BT132" s="69">
        <v>857</v>
      </c>
      <c r="BU132" s="69">
        <v>714</v>
      </c>
      <c r="BV132" s="69">
        <v>719</v>
      </c>
      <c r="BW132" s="69">
        <v>685</v>
      </c>
      <c r="BX132" s="30"/>
      <c r="BY132" s="30"/>
      <c r="BZ132" s="30"/>
      <c r="CA132" s="30"/>
      <c r="CB132" s="30"/>
      <c r="CC132" s="30"/>
      <c r="CD132" s="30"/>
      <c r="CE132" s="30"/>
      <c r="CF132" s="30"/>
      <c r="CG132" s="30"/>
      <c r="CH132" s="30"/>
      <c r="CI132" s="30"/>
      <c r="CJ132" s="30"/>
      <c r="CK132" s="30"/>
      <c r="CL132" s="30"/>
      <c r="CM132" s="30"/>
      <c r="CN132" s="30"/>
      <c r="CO132" s="30"/>
      <c r="CP132" s="30"/>
      <c r="CQ132" s="30"/>
      <c r="CR132" s="30"/>
      <c r="CS132" s="30"/>
      <c r="CT132" s="30"/>
      <c r="CU132" s="30"/>
      <c r="CV132" s="30"/>
      <c r="CW132" s="30"/>
      <c r="CX132" s="30"/>
      <c r="CY132" s="30"/>
      <c r="CZ132" s="30"/>
      <c r="DA132" s="30"/>
      <c r="DB132" s="30"/>
    </row>
    <row r="133" ht="18" customHeight="1" spans="1:106" x14ac:dyDescent="0.25">
      <c r="A133" s="68" t="s">
        <v>348</v>
      </c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50">
        <v>136</v>
      </c>
      <c r="AF133" s="50">
        <v>160</v>
      </c>
      <c r="AG133" s="50">
        <v>553</v>
      </c>
      <c r="AH133" s="50">
        <v>688</v>
      </c>
      <c r="AI133" s="50">
        <v>688</v>
      </c>
      <c r="AJ133" s="50">
        <v>673</v>
      </c>
      <c r="AK133" s="50">
        <v>722</v>
      </c>
      <c r="AL133" s="50">
        <v>731</v>
      </c>
      <c r="AM133" s="50">
        <v>715</v>
      </c>
      <c r="AN133" s="50">
        <v>670</v>
      </c>
      <c r="AO133" s="50">
        <v>674</v>
      </c>
      <c r="AP133" s="50">
        <v>697</v>
      </c>
      <c r="AQ133" s="50">
        <v>743</v>
      </c>
      <c r="AR133" s="50">
        <v>798</v>
      </c>
      <c r="AS133" s="50">
        <v>743</v>
      </c>
      <c r="AT133" s="50">
        <v>791</v>
      </c>
      <c r="AU133" s="50">
        <v>803</v>
      </c>
      <c r="AV133" s="50">
        <v>755</v>
      </c>
      <c r="AW133" s="50">
        <v>797</v>
      </c>
      <c r="AX133" s="50">
        <v>731</v>
      </c>
      <c r="AY133" s="50">
        <v>756</v>
      </c>
      <c r="AZ133" s="50">
        <v>739</v>
      </c>
      <c r="BA133" s="50">
        <v>733</v>
      </c>
      <c r="BB133" s="50">
        <v>676</v>
      </c>
      <c r="BC133" s="50">
        <v>774</v>
      </c>
      <c r="BD133" s="50">
        <v>783</v>
      </c>
      <c r="BE133" s="50">
        <v>748</v>
      </c>
      <c r="BF133" s="50">
        <v>726</v>
      </c>
      <c r="BG133" s="50">
        <v>789</v>
      </c>
      <c r="BH133" s="50">
        <v>755</v>
      </c>
      <c r="BI133" s="50">
        <v>758</v>
      </c>
      <c r="BJ133" s="50">
        <v>746</v>
      </c>
      <c r="BK133" s="50">
        <v>758</v>
      </c>
      <c r="BL133" s="50">
        <v>732</v>
      </c>
      <c r="BM133" s="50">
        <v>723</v>
      </c>
      <c r="BN133" s="69">
        <v>711</v>
      </c>
      <c r="BO133" s="69">
        <v>660</v>
      </c>
      <c r="BP133" s="69">
        <v>706</v>
      </c>
      <c r="BQ133" s="69">
        <v>710</v>
      </c>
      <c r="BR133" s="69">
        <v>751</v>
      </c>
      <c r="BS133" s="69">
        <v>675</v>
      </c>
      <c r="BT133" s="69">
        <v>536</v>
      </c>
      <c r="BU133" s="69">
        <v>494</v>
      </c>
      <c r="BV133" s="69">
        <v>568</v>
      </c>
      <c r="BW133" s="69">
        <v>542</v>
      </c>
      <c r="BX133" s="30"/>
      <c r="BY133" s="30"/>
      <c r="BZ133" s="30"/>
      <c r="CA133" s="30"/>
      <c r="CB133" s="30"/>
      <c r="CC133" s="30"/>
      <c r="CD133" s="30"/>
      <c r="CE133" s="30"/>
      <c r="CF133" s="30"/>
      <c r="CG133" s="30"/>
      <c r="CH133" s="30"/>
      <c r="CI133" s="30"/>
      <c r="CJ133" s="30"/>
      <c r="CK133" s="30"/>
      <c r="CL133" s="30"/>
      <c r="CM133" s="30"/>
      <c r="CN133" s="30"/>
      <c r="CO133" s="30"/>
      <c r="CP133" s="30"/>
      <c r="CQ133" s="30"/>
      <c r="CR133" s="30"/>
      <c r="CS133" s="30"/>
      <c r="CT133" s="30"/>
      <c r="CU133" s="30"/>
      <c r="CV133" s="30"/>
      <c r="CW133" s="30"/>
      <c r="CX133" s="30"/>
      <c r="CY133" s="30"/>
      <c r="CZ133" s="30"/>
      <c r="DA133" s="30"/>
      <c r="DB133" s="30"/>
    </row>
    <row r="134" ht="18" customHeight="1" spans="1:106" x14ac:dyDescent="0.25">
      <c r="A134" s="70" t="s">
        <v>349</v>
      </c>
      <c r="C134" s="31">
        <f>=IFERROR(C133/C131,0)</f>
        <v>0</v>
      </c>
      <c r="D134" s="31">
        <f>=IFERROR(D133/D131,0)</f>
        <v>0</v>
      </c>
      <c r="E134" s="31">
        <f>=IFERROR(E133/E131,0)</f>
        <v>0</v>
      </c>
      <c r="F134" s="31">
        <f>=IFERROR(F133/F131,0)</f>
        <v>0</v>
      </c>
      <c r="G134" s="31">
        <f>=IFERROR(G133/G131,0)</f>
        <v>0</v>
      </c>
      <c r="H134" s="31">
        <f>=IFERROR(H133/H131,0)</f>
        <v>0</v>
      </c>
      <c r="I134" s="31">
        <f>=IFERROR(I133/I131,0)</f>
        <v>0</v>
      </c>
      <c r="J134" s="31">
        <f>=IFERROR(J133/J131,0)</f>
        <v>0</v>
      </c>
      <c r="K134" s="31">
        <f>=IFERROR(K133/K131,0)</f>
        <v>0</v>
      </c>
      <c r="L134" s="31">
        <f>=IFERROR(L133/L131,0)</f>
        <v>0</v>
      </c>
      <c r="M134" s="31">
        <f>=IFERROR(M133/M131,0)</f>
        <v>0</v>
      </c>
      <c r="N134" s="31">
        <f>=IFERROR(N133/N131,0)</f>
        <v>0</v>
      </c>
      <c r="O134" s="31">
        <f>=IFERROR(O133/O131,0)</f>
        <v>0</v>
      </c>
      <c r="P134" s="31">
        <f>=IFERROR(P133/P131,0)</f>
        <v>0</v>
      </c>
      <c r="Q134" s="31">
        <f>=IFERROR(Q133/Q131,0)</f>
        <v>0</v>
      </c>
      <c r="R134" s="31">
        <f>=IFERROR(R133/R131,0)</f>
        <v>0</v>
      </c>
      <c r="S134" s="31">
        <f>=IFERROR(S133/S131,0)</f>
        <v>0</v>
      </c>
      <c r="T134" s="31">
        <f>=IFERROR(T133/T131,0)</f>
        <v>0</v>
      </c>
      <c r="U134" s="31">
        <f>=IFERROR(U133/U131,0)</f>
        <v>0</v>
      </c>
      <c r="V134" s="31">
        <f>=IFERROR(V133/V131,0)</f>
        <v>0</v>
      </c>
      <c r="W134" s="31">
        <f>=IFERROR(W133/W131,0)</f>
        <v>0</v>
      </c>
      <c r="X134" s="31">
        <f>=IFERROR(X133/X131,0)</f>
        <v>0</v>
      </c>
      <c r="Y134" s="31">
        <f>=IFERROR(Y133/Y131,0)</f>
        <v>0</v>
      </c>
      <c r="Z134" s="31">
        <f>=IFERROR(Z133/Z131,0)</f>
        <v>0</v>
      </c>
      <c r="AA134" s="31">
        <f>=IFERROR(AA133/AA131,0)</f>
        <v>0</v>
      </c>
      <c r="AB134" s="31">
        <f>=IFERROR(AB133/AB131,0)</f>
        <v>0</v>
      </c>
      <c r="AC134" s="31">
        <f>=IFERROR(AC133/AC131,0)</f>
        <v>0</v>
      </c>
      <c r="AD134" s="31">
        <f>=IFERROR(AD133/AD131,0)</f>
        <v>0</v>
      </c>
      <c r="AE134" s="31">
        <f>=IFERROR(AE133/AE131,0)</f>
        <v>0.21900161030595813</v>
      </c>
      <c r="AF134" s="31">
        <f>=IFERROR(AF133/AF131,0)</f>
        <v>0.2576489533011272</v>
      </c>
      <c r="AG134" s="31">
        <f>=IFERROR(AG133/AG131,0)</f>
        <v>0.8904991948470209</v>
      </c>
      <c r="AH134" s="31">
        <f>=IFERROR(AH133/AH131,0)</f>
        <v>1.107890499194847</v>
      </c>
      <c r="AI134" s="31">
        <f>=IFERROR(AI133/AI131,0)</f>
        <v>1.107890499194847</v>
      </c>
      <c r="AJ134" s="31">
        <f>=IFERROR(AJ133/AJ131,0)</f>
        <v>1.0837359098228663</v>
      </c>
      <c r="AK134" s="31">
        <f>=IFERROR(AK133/AK131,0)</f>
        <v>1.164516129032258</v>
      </c>
      <c r="AL134" s="31">
        <f>=IFERROR(AL133/AL131,0)</f>
        <v>1.179032258064516</v>
      </c>
      <c r="AM134" s="31">
        <f>=IFERROR(AM133/AM131,0)</f>
        <v>1.153225806451613</v>
      </c>
      <c r="AN134" s="31">
        <f>=IFERROR(AN133/AN131,0)</f>
        <v>1.0806451612903225</v>
      </c>
      <c r="AO134" s="31">
        <f>=IFERROR(AO133/AO131,0)</f>
        <v>1.0870967741935484</v>
      </c>
      <c r="AP134" s="31">
        <f>=IFERROR(AP133/AP131,0)</f>
        <v>1.1241935483870968</v>
      </c>
      <c r="AQ134" s="31">
        <f>=IFERROR(AQ133/AQ131,0)</f>
        <v>1.1983870967741936</v>
      </c>
      <c r="AR134" s="31">
        <f>=IFERROR(AR133/AR131,0)</f>
        <v>1.2870967741935484</v>
      </c>
      <c r="AS134" s="31">
        <f>=IFERROR(AS133/AS131,0)</f>
        <v>1.1983870967741936</v>
      </c>
      <c r="AT134" s="31">
        <f>=IFERROR(AT133/AT131,0)</f>
        <v>1.2758064516129033</v>
      </c>
      <c r="AU134" s="31">
        <f>=IFERROR(AU133/AU131,0)</f>
        <v>1.2951612903225806</v>
      </c>
      <c r="AV134" s="31">
        <f>=IFERROR(AV133/AV131,0)</f>
        <v>1.217741935483871</v>
      </c>
      <c r="AW134" s="31">
        <f>=IFERROR(AW133/AW131,0)</f>
        <v>1.2854838709677419</v>
      </c>
      <c r="AX134" s="31">
        <f>=IFERROR(AX133/AX131,0)</f>
        <v>1.179032258064516</v>
      </c>
      <c r="AY134" s="31">
        <f>=IFERROR(AY133/AY131,0)</f>
        <v>1.1757387247278384</v>
      </c>
      <c r="AZ134" s="31">
        <f>=IFERROR(AZ133/AZ131,0)</f>
        <v>1.1493001555209954</v>
      </c>
      <c r="BA134" s="31">
        <f>=IFERROR(BA133/BA131,0)</f>
        <v>1.139968895800933</v>
      </c>
      <c r="BB134" s="31">
        <f>=IFERROR(BB133/BB131,0)</f>
        <v>1.0513219284603421</v>
      </c>
      <c r="BC134" s="31">
        <f>=IFERROR(BC133/BC131,0)</f>
        <v>1.1981424148606812</v>
      </c>
      <c r="BD134" s="31">
        <f>=IFERROR(BD133/BD131,0)</f>
        <v>1.2102009273570324</v>
      </c>
      <c r="BE134" s="31">
        <f>=IFERROR(BE133/BE131,0)</f>
        <v>1.1561051004636784</v>
      </c>
      <c r="BF134" s="31">
        <f>=IFERROR(BF133/BF131,0)</f>
        <v>1.1221020092735703</v>
      </c>
      <c r="BG134" s="31">
        <f>=IFERROR(BG133/BG131,0)</f>
        <v>1.221362229102167</v>
      </c>
      <c r="BH134" s="31">
        <f>=IFERROR(BH133/BH131,0)</f>
        <v>1.1723602484472049</v>
      </c>
      <c r="BI134" s="31">
        <f>=IFERROR(BI133/BI131,0)</f>
        <v>1.1770186335403727</v>
      </c>
      <c r="BJ134" s="31">
        <f>=IFERROR(BJ133/BJ131,0)</f>
        <v>1.1583850931677018</v>
      </c>
      <c r="BK134" s="31">
        <f>=IFERROR(BK133/BK131,0)</f>
        <v>1.1770186335403727</v>
      </c>
      <c r="BL134" s="31">
        <f>=IFERROR(BL133/BL131,0)</f>
        <v>1.1366459627329193</v>
      </c>
      <c r="BM134" s="31">
        <f>=IFERROR(BM133/BM131,0)</f>
        <v>1.1226708074534162</v>
      </c>
      <c r="BN134" s="31">
        <f>=IFERROR(BN133/BN131,0)</f>
        <v>1.1040372670807452</v>
      </c>
      <c r="BO134" s="31">
        <f>=IFERROR(BO133/BO131,0)</f>
        <v>1.0248447204968945</v>
      </c>
      <c r="BP134" s="31">
        <f>=IFERROR(BP133/BP131,0)</f>
        <v>1.1014040561622465</v>
      </c>
      <c r="BQ134" s="31">
        <f>=IFERROR(BQ133/BQ131,0)</f>
        <v>1.1128526645768024</v>
      </c>
      <c r="BR134" s="31">
        <f>=IFERROR(BR133/BR131,0)</f>
        <v>1.177115987460815</v>
      </c>
      <c r="BS134" s="31">
        <f>=IFERROR(BS133/BS131,0)</f>
        <v>1.0579937304075235</v>
      </c>
      <c r="BT134" s="31">
        <f>=IFERROR(BT133/BT131,0)</f>
        <v>0.8401253918495298</v>
      </c>
      <c r="BU134" s="31">
        <f>=IFERROR(BU133/BU131,0)</f>
        <v>0.9285714285714286</v>
      </c>
      <c r="BV134" s="31">
        <f>=IFERROR(BV133/BV131,0)</f>
        <v>1.0676691729323309</v>
      </c>
      <c r="BW134" s="31">
        <f>=IFERROR(BW133/BW131,0)</f>
        <v>1.018796992481203</v>
      </c>
      <c r="BX134" s="31">
        <f>=IFERROR(BX133/BX131,0)</f>
        <v>0</v>
      </c>
      <c r="BY134" s="31">
        <f>=IFERROR(BY133/BY131,0)</f>
        <v>0</v>
      </c>
      <c r="BZ134" s="31">
        <f>=IFERROR(BZ133/BZ131,0)</f>
        <v>0</v>
      </c>
      <c r="CA134" s="31">
        <f>=IFERROR(CA133/CA131,0)</f>
        <v>0</v>
      </c>
      <c r="CB134" s="31">
        <f>=IFERROR(CB133/CB131,0)</f>
        <v>0</v>
      </c>
      <c r="CC134" s="31">
        <f>=IFERROR(CC133/CC131,0)</f>
        <v>0</v>
      </c>
      <c r="CD134" s="31">
        <f>=IFERROR(CD133/CD131,0)</f>
        <v>0</v>
      </c>
      <c r="CE134" s="31">
        <f>=IFERROR(CE133/CE131,0)</f>
        <v>0</v>
      </c>
      <c r="CF134" s="31">
        <f>=IFERROR(CF133/CF131,0)</f>
        <v>0</v>
      </c>
      <c r="CG134" s="31">
        <f>=IFERROR(CG133/CG131,0)</f>
        <v>0</v>
      </c>
      <c r="CH134" s="31">
        <f>=IFERROR(CH133/CH131,0)</f>
        <v>0</v>
      </c>
      <c r="CI134" s="31">
        <f>=IFERROR(CI133/CI131,0)</f>
        <v>0</v>
      </c>
      <c r="CJ134" s="31">
        <f>=IFERROR(CJ133/CJ131,0)</f>
        <v>0</v>
      </c>
      <c r="CK134" s="31">
        <f>=IFERROR(CK133/CK131,0)</f>
        <v>0</v>
      </c>
      <c r="CL134" s="31">
        <f>=IFERROR(CL133/CL131,0)</f>
        <v>0</v>
      </c>
      <c r="CM134" s="31">
        <f>=IFERROR(CM133/CM131,0)</f>
        <v>0</v>
      </c>
      <c r="CN134" s="31">
        <f>=IFERROR(CN133/CN131,0)</f>
        <v>0</v>
      </c>
      <c r="CO134" s="31">
        <f>=IFERROR(CO133/CO131,0)</f>
        <v>0</v>
      </c>
      <c r="CP134" s="31">
        <f>=IFERROR(CP133/CP131,0)</f>
        <v>0</v>
      </c>
      <c r="CQ134" s="31">
        <f>=IFERROR(CQ133/CQ131,0)</f>
        <v>0</v>
      </c>
      <c r="CR134" s="31">
        <f>=IFERROR(CR133/CR131,0)</f>
        <v>0</v>
      </c>
      <c r="CS134" s="31">
        <f>=IFERROR(CS133/CS131,0)</f>
        <v>0</v>
      </c>
      <c r="CT134" s="31">
        <f>=IFERROR(CT133/CT131,0)</f>
        <v>0</v>
      </c>
      <c r="CU134" s="31">
        <f>=IFERROR(CU133/CU131,0)</f>
        <v>0</v>
      </c>
      <c r="CV134" s="31">
        <f>=IFERROR(CV133/CV131,0)</f>
        <v>0</v>
      </c>
      <c r="CW134" s="31">
        <f>=IFERROR(CW133/CW131,0)</f>
        <v>0</v>
      </c>
      <c r="CX134" s="31">
        <f>=IFERROR(CX133/CX131,0)</f>
        <v>0</v>
      </c>
      <c r="CY134" s="31">
        <f>=IFERROR(CY133/CY131,0)</f>
        <v>0</v>
      </c>
      <c r="CZ134" s="31">
        <f>=IFERROR(CZ133/CZ131,0)</f>
        <v>0</v>
      </c>
      <c r="DA134" s="31">
        <f>=IFERROR(DA133/DA131,0)</f>
        <v>0</v>
      </c>
      <c r="DB134" s="31">
        <f>=IFERROR(DB133/DB131,0)</f>
        <v>0</v>
      </c>
    </row>
    <row r="135" ht="18" customHeight="1" spans="1:106" x14ac:dyDescent="0.25">
      <c r="A135" s="68" t="s">
        <v>350</v>
      </c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50">
        <v>120</v>
      </c>
      <c r="AF135" s="50">
        <v>142</v>
      </c>
      <c r="AG135" s="50">
        <v>488</v>
      </c>
      <c r="AH135" s="50">
        <v>612</v>
      </c>
      <c r="AI135" s="50">
        <v>613</v>
      </c>
      <c r="AJ135" s="50">
        <v>601</v>
      </c>
      <c r="AK135" s="50">
        <v>623</v>
      </c>
      <c r="AL135" s="50">
        <v>651</v>
      </c>
      <c r="AM135" s="50">
        <v>637</v>
      </c>
      <c r="AN135" s="50">
        <v>596</v>
      </c>
      <c r="AO135" s="50">
        <v>595</v>
      </c>
      <c r="AP135" s="50">
        <v>620</v>
      </c>
      <c r="AQ135" s="50">
        <v>666</v>
      </c>
      <c r="AR135" s="50">
        <v>715</v>
      </c>
      <c r="AS135" s="50">
        <v>656</v>
      </c>
      <c r="AT135" s="50">
        <v>679</v>
      </c>
      <c r="AU135" s="50">
        <v>715</v>
      </c>
      <c r="AV135" s="50">
        <v>675</v>
      </c>
      <c r="AW135" s="50">
        <v>712</v>
      </c>
      <c r="AX135" s="50">
        <v>641</v>
      </c>
      <c r="AY135" s="50">
        <v>678</v>
      </c>
      <c r="AZ135" s="50">
        <v>660</v>
      </c>
      <c r="BA135" s="50">
        <v>659</v>
      </c>
      <c r="BB135" s="50">
        <v>607</v>
      </c>
      <c r="BC135" s="50">
        <v>685</v>
      </c>
      <c r="BD135" s="50">
        <v>697</v>
      </c>
      <c r="BE135" s="50">
        <v>664</v>
      </c>
      <c r="BF135" s="50">
        <v>650</v>
      </c>
      <c r="BG135" s="50">
        <v>700</v>
      </c>
      <c r="BH135" s="50">
        <v>673</v>
      </c>
      <c r="BI135" s="50">
        <v>676</v>
      </c>
      <c r="BJ135" s="50">
        <v>666</v>
      </c>
      <c r="BK135" s="50">
        <v>679</v>
      </c>
      <c r="BL135" s="50">
        <v>653</v>
      </c>
      <c r="BM135" s="50">
        <v>645</v>
      </c>
      <c r="BN135" s="69">
        <v>616</v>
      </c>
      <c r="BO135" s="69">
        <v>581</v>
      </c>
      <c r="BP135" s="69">
        <v>605</v>
      </c>
      <c r="BQ135" s="69">
        <v>634</v>
      </c>
      <c r="BR135" s="69">
        <v>675</v>
      </c>
      <c r="BS135" s="69">
        <v>605</v>
      </c>
      <c r="BT135" s="69">
        <v>476</v>
      </c>
      <c r="BU135" s="69">
        <v>441</v>
      </c>
      <c r="BV135" s="69">
        <v>505</v>
      </c>
      <c r="BW135" s="69">
        <v>484</v>
      </c>
      <c r="BX135" s="30"/>
      <c r="BY135" s="30"/>
      <c r="BZ135" s="30"/>
      <c r="CA135" s="30"/>
      <c r="CB135" s="30"/>
      <c r="CC135" s="30"/>
      <c r="CD135" s="30"/>
      <c r="CE135" s="30"/>
      <c r="CF135" s="30"/>
      <c r="CG135" s="30"/>
      <c r="CH135" s="30"/>
      <c r="CI135" s="30"/>
      <c r="CJ135" s="30"/>
      <c r="CK135" s="30"/>
      <c r="CL135" s="30"/>
      <c r="CM135" s="30"/>
      <c r="CN135" s="30"/>
      <c r="CO135" s="30"/>
      <c r="CP135" s="30"/>
      <c r="CQ135" s="30"/>
      <c r="CR135" s="30"/>
      <c r="CS135" s="30"/>
      <c r="CT135" s="30"/>
      <c r="CU135" s="30"/>
      <c r="CV135" s="30"/>
      <c r="CW135" s="30"/>
      <c r="CX135" s="30"/>
      <c r="CY135" s="30"/>
      <c r="CZ135" s="30"/>
      <c r="DA135" s="30"/>
      <c r="DB135" s="30"/>
    </row>
    <row r="136" ht="18" customHeight="1" spans="1:75" x14ac:dyDescent="0.25">
      <c r="A136" s="68" t="s">
        <v>351</v>
      </c>
      <c r="BU136" s="71"/>
      <c r="BV136" s="71"/>
      <c r="BW136" s="71"/>
    </row>
    <row r="137" ht="18" customHeight="1" spans="1:75" x14ac:dyDescent="0.25">
      <c r="A137" s="72" t="s">
        <v>263</v>
      </c>
      <c r="AE137" s="50">
        <v>0</v>
      </c>
      <c r="AF137" s="50">
        <v>0</v>
      </c>
      <c r="AG137" s="50">
        <v>0</v>
      </c>
      <c r="AH137" s="50">
        <v>32</v>
      </c>
      <c r="AI137" s="50">
        <v>60</v>
      </c>
      <c r="AJ137" s="50">
        <v>81</v>
      </c>
      <c r="AK137" s="50">
        <v>35</v>
      </c>
      <c r="AL137" s="50">
        <v>69</v>
      </c>
      <c r="AM137" s="50">
        <v>80</v>
      </c>
      <c r="AN137" s="50">
        <v>138</v>
      </c>
      <c r="AO137" s="50">
        <v>120</v>
      </c>
      <c r="AP137" s="50">
        <v>61</v>
      </c>
      <c r="AQ137" s="50">
        <v>8</v>
      </c>
      <c r="AR137" s="50">
        <v>0</v>
      </c>
      <c r="AS137" s="50">
        <v>21</v>
      </c>
      <c r="AT137" s="50">
        <v>0</v>
      </c>
      <c r="AU137" s="50">
        <v>0</v>
      </c>
      <c r="AV137" s="50">
        <v>40</v>
      </c>
      <c r="AW137" s="50">
        <v>5</v>
      </c>
      <c r="AX137" s="50">
        <v>48</v>
      </c>
      <c r="AY137" s="50">
        <v>40</v>
      </c>
      <c r="AZ137" s="50">
        <v>40</v>
      </c>
      <c r="BA137" s="50">
        <v>0</v>
      </c>
      <c r="BB137" s="50">
        <v>29</v>
      </c>
      <c r="BC137" s="50">
        <v>16</v>
      </c>
      <c r="BD137" s="50">
        <v>16</v>
      </c>
      <c r="BE137" s="50">
        <v>21</v>
      </c>
      <c r="BF137" s="50">
        <v>43</v>
      </c>
      <c r="BG137" s="50">
        <v>0</v>
      </c>
      <c r="BH137" s="50">
        <v>24</v>
      </c>
      <c r="BI137" s="50">
        <v>5</v>
      </c>
      <c r="BJ137" s="50">
        <v>34</v>
      </c>
      <c r="BK137" s="50">
        <v>40</v>
      </c>
      <c r="BL137" s="50">
        <v>42</v>
      </c>
      <c r="BM137" s="50">
        <v>34</v>
      </c>
      <c r="BN137" s="69">
        <v>43</v>
      </c>
      <c r="BO137" s="69">
        <v>80</v>
      </c>
      <c r="BP137" s="69">
        <v>53</v>
      </c>
      <c r="BQ137" s="69">
        <v>49</v>
      </c>
      <c r="BR137" s="69">
        <v>0</v>
      </c>
      <c r="BS137" s="69">
        <v>77</v>
      </c>
      <c r="BT137" s="69">
        <v>138</v>
      </c>
      <c r="BU137" s="69">
        <v>131</v>
      </c>
      <c r="BV137" s="69">
        <v>61</v>
      </c>
      <c r="BW137" s="69">
        <v>60</v>
      </c>
    </row>
    <row r="138" ht="18" customHeight="1" spans="1:106" x14ac:dyDescent="0.25">
      <c r="A138" s="72" t="s">
        <v>264</v>
      </c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50">
        <v>2</v>
      </c>
      <c r="AF138" s="50">
        <v>0</v>
      </c>
      <c r="AG138" s="50">
        <v>4</v>
      </c>
      <c r="AH138" s="50">
        <v>2</v>
      </c>
      <c r="AI138" s="50">
        <v>0</v>
      </c>
      <c r="AJ138" s="50">
        <v>1</v>
      </c>
      <c r="AK138" s="50">
        <v>7</v>
      </c>
      <c r="AL138" s="50">
        <v>3</v>
      </c>
      <c r="AM138" s="50">
        <v>3</v>
      </c>
      <c r="AN138" s="50">
        <v>0</v>
      </c>
      <c r="AO138" s="50">
        <v>4</v>
      </c>
      <c r="AP138" s="50">
        <v>1</v>
      </c>
      <c r="AQ138" s="50">
        <v>14</v>
      </c>
      <c r="AR138" s="50">
        <v>0</v>
      </c>
      <c r="AS138" s="50">
        <v>13</v>
      </c>
      <c r="AT138" s="50">
        <v>1</v>
      </c>
      <c r="AU138" s="50">
        <v>4</v>
      </c>
      <c r="AV138" s="50">
        <v>6</v>
      </c>
      <c r="AW138" s="50">
        <v>4</v>
      </c>
      <c r="AX138" s="50">
        <v>0</v>
      </c>
      <c r="AY138" s="50">
        <v>18</v>
      </c>
      <c r="AZ138" s="50">
        <v>21</v>
      </c>
      <c r="BA138" s="50">
        <v>3</v>
      </c>
      <c r="BB138" s="50">
        <v>0</v>
      </c>
      <c r="BC138" s="50">
        <v>14</v>
      </c>
      <c r="BD138" s="50">
        <v>4</v>
      </c>
      <c r="BE138" s="50">
        <v>37</v>
      </c>
      <c r="BF138" s="50">
        <v>18</v>
      </c>
      <c r="BG138" s="50">
        <v>7</v>
      </c>
      <c r="BH138" s="50">
        <v>25</v>
      </c>
      <c r="BI138" s="50">
        <v>9</v>
      </c>
      <c r="BJ138" s="50">
        <v>16</v>
      </c>
      <c r="BK138" s="50">
        <v>13</v>
      </c>
      <c r="BL138" s="50">
        <v>2</v>
      </c>
      <c r="BM138" s="50">
        <v>2</v>
      </c>
      <c r="BN138" s="69">
        <v>0</v>
      </c>
      <c r="BO138" s="69">
        <v>19</v>
      </c>
      <c r="BP138" s="69">
        <v>0</v>
      </c>
      <c r="BQ138" s="69">
        <v>0</v>
      </c>
      <c r="BR138" s="69">
        <v>0</v>
      </c>
      <c r="BS138" s="69">
        <v>6</v>
      </c>
      <c r="BT138" s="69">
        <v>19</v>
      </c>
      <c r="BU138" s="69">
        <v>6</v>
      </c>
      <c r="BV138" s="69">
        <v>10</v>
      </c>
      <c r="BW138" s="69">
        <v>10</v>
      </c>
      <c r="BX138" s="30"/>
      <c r="BY138" s="30"/>
      <c r="BZ138" s="30"/>
      <c r="CA138" s="30"/>
      <c r="CB138" s="30"/>
      <c r="CC138" s="30"/>
      <c r="CD138" s="30"/>
      <c r="CE138" s="30"/>
      <c r="CF138" s="30"/>
      <c r="CG138" s="30"/>
      <c r="CH138" s="30"/>
      <c r="CI138" s="30"/>
      <c r="CJ138" s="30"/>
      <c r="CK138" s="30"/>
      <c r="CL138" s="30"/>
      <c r="CM138" s="30"/>
      <c r="CN138" s="30"/>
      <c r="CO138" s="30"/>
      <c r="CP138" s="30"/>
      <c r="CQ138" s="30"/>
      <c r="CR138" s="30"/>
      <c r="CS138" s="30"/>
      <c r="CT138" s="30"/>
      <c r="CU138" s="30"/>
      <c r="CV138" s="30"/>
      <c r="CW138" s="30"/>
      <c r="CX138" s="30"/>
      <c r="CY138" s="30"/>
      <c r="CZ138" s="30"/>
      <c r="DA138" s="30"/>
      <c r="DB138" s="30"/>
    </row>
    <row r="139" ht="16" customHeight="1" spans="1:106" x14ac:dyDescent="0.25">
      <c r="A139" s="72" t="s">
        <v>265</v>
      </c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  <c r="BA139" s="30"/>
      <c r="BB139" s="30"/>
      <c r="BC139" s="30"/>
      <c r="BD139" s="30"/>
      <c r="BE139" s="30"/>
      <c r="BF139" s="30"/>
      <c r="BG139" s="30"/>
      <c r="BH139" s="30"/>
      <c r="BI139" s="30"/>
      <c r="BJ139" s="30"/>
      <c r="BK139" s="30"/>
      <c r="BL139" s="30"/>
      <c r="BM139" s="30"/>
      <c r="BN139" s="30"/>
      <c r="BO139" s="30"/>
      <c r="BP139" s="30"/>
      <c r="BQ139" s="30"/>
      <c r="BR139" s="30"/>
      <c r="BS139" s="30"/>
      <c r="BT139" s="30"/>
      <c r="BU139" s="30"/>
      <c r="BV139" s="30"/>
      <c r="BW139" s="30"/>
      <c r="BX139" s="30"/>
      <c r="BY139" s="30"/>
      <c r="BZ139" s="30"/>
      <c r="CA139" s="30"/>
      <c r="CB139" s="30"/>
      <c r="CC139" s="30"/>
      <c r="CD139" s="30"/>
      <c r="CE139" s="30"/>
      <c r="CF139" s="30"/>
      <c r="CG139" s="30"/>
      <c r="CH139" s="30"/>
      <c r="CI139" s="30"/>
      <c r="CJ139" s="30"/>
      <c r="CK139" s="30"/>
      <c r="CL139" s="30"/>
      <c r="CM139" s="30"/>
      <c r="CN139" s="30"/>
      <c r="CO139" s="30"/>
      <c r="CP139" s="30"/>
      <c r="CQ139" s="30"/>
      <c r="CR139" s="30"/>
      <c r="CS139" s="30"/>
      <c r="CT139" s="30"/>
      <c r="CU139" s="30"/>
      <c r="CV139" s="30"/>
      <c r="CW139" s="30"/>
      <c r="CX139" s="30"/>
      <c r="CY139" s="30"/>
      <c r="CZ139" s="30"/>
      <c r="DA139" s="30"/>
      <c r="DB139" s="30"/>
    </row>
    <row r="140" ht="16" customHeight="1" spans="1:106" x14ac:dyDescent="0.25">
      <c r="A140" s="72" t="s">
        <v>266</v>
      </c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  <c r="BA140" s="30"/>
      <c r="BB140" s="30"/>
      <c r="BC140" s="30"/>
      <c r="BD140" s="30"/>
      <c r="BE140" s="30"/>
      <c r="BF140" s="30"/>
      <c r="BG140" s="30"/>
      <c r="BH140" s="30"/>
      <c r="BI140" s="30"/>
      <c r="BJ140" s="30"/>
      <c r="BK140" s="30"/>
      <c r="BL140" s="30"/>
      <c r="BM140" s="30"/>
      <c r="BN140" s="30"/>
      <c r="BO140" s="30"/>
      <c r="BP140" s="30"/>
      <c r="BQ140" s="30"/>
      <c r="BR140" s="30"/>
      <c r="BS140" s="30"/>
      <c r="BT140" s="30"/>
      <c r="BU140" s="30"/>
      <c r="BV140" s="30"/>
      <c r="BW140" s="30"/>
      <c r="BX140" s="30"/>
      <c r="BY140" s="30"/>
      <c r="BZ140" s="30"/>
      <c r="CA140" s="30"/>
      <c r="CB140" s="30"/>
      <c r="CC140" s="30"/>
      <c r="CD140" s="30"/>
      <c r="CE140" s="30"/>
      <c r="CF140" s="30"/>
      <c r="CG140" s="30"/>
      <c r="CH140" s="30"/>
      <c r="CI140" s="30"/>
      <c r="CJ140" s="30"/>
      <c r="CK140" s="30"/>
      <c r="CL140" s="30"/>
      <c r="CM140" s="30"/>
      <c r="CN140" s="30"/>
      <c r="CO140" s="30"/>
      <c r="CP140" s="30"/>
      <c r="CQ140" s="30"/>
      <c r="CR140" s="30"/>
      <c r="CS140" s="30"/>
      <c r="CT140" s="30"/>
      <c r="CU140" s="30"/>
      <c r="CV140" s="30"/>
      <c r="CW140" s="30"/>
      <c r="CX140" s="30"/>
      <c r="CY140" s="30"/>
      <c r="CZ140" s="30"/>
      <c r="DA140" s="30"/>
      <c r="DB140" s="30"/>
    </row>
    <row r="141" ht="16" customHeight="1" spans="1:106" x14ac:dyDescent="0.25">
      <c r="A141" s="68" t="s">
        <v>352</v>
      </c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  <c r="BA141" s="30"/>
      <c r="BB141" s="30"/>
      <c r="BC141" s="30"/>
      <c r="BD141" s="30"/>
      <c r="BE141" s="30"/>
      <c r="BF141" s="30"/>
      <c r="BG141" s="30"/>
      <c r="BH141" s="30"/>
      <c r="BI141" s="30"/>
      <c r="BJ141" s="30"/>
      <c r="BK141" s="30"/>
      <c r="BL141" s="30"/>
      <c r="BM141" s="30"/>
      <c r="BN141" s="30"/>
      <c r="BO141" s="30"/>
      <c r="BP141" s="30"/>
      <c r="BQ141" s="30"/>
      <c r="BR141" s="30"/>
      <c r="BS141" s="30"/>
      <c r="BT141" s="30"/>
      <c r="BU141" s="30"/>
      <c r="BV141" s="30"/>
      <c r="BW141" s="30"/>
      <c r="BX141" s="30"/>
      <c r="BY141" s="30"/>
      <c r="BZ141" s="30"/>
      <c r="CA141" s="30"/>
      <c r="CB141" s="30"/>
      <c r="CC141" s="30"/>
      <c r="CD141" s="30"/>
      <c r="CE141" s="30"/>
      <c r="CF141" s="30"/>
      <c r="CG141" s="30"/>
      <c r="CH141" s="30"/>
      <c r="CI141" s="30"/>
      <c r="CJ141" s="30"/>
      <c r="CK141" s="30"/>
      <c r="CL141" s="30"/>
      <c r="CM141" s="30"/>
      <c r="CN141" s="30"/>
      <c r="CO141" s="30"/>
      <c r="CP141" s="30"/>
      <c r="CQ141" s="30"/>
      <c r="CR141" s="30"/>
      <c r="CS141" s="30"/>
      <c r="CT141" s="30"/>
      <c r="CU141" s="30"/>
      <c r="CV141" s="30"/>
      <c r="CW141" s="30"/>
      <c r="CX141" s="30"/>
      <c r="CY141" s="30"/>
      <c r="CZ141" s="30"/>
      <c r="DA141" s="30"/>
      <c r="DB141" s="30"/>
    </row>
    <row r="142" ht="18" customHeight="1" spans="1:106" x14ac:dyDescent="0.25">
      <c r="A142" s="36" t="s">
        <v>268</v>
      </c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  <c r="BA142" s="30"/>
      <c r="BB142" s="30"/>
      <c r="BC142" s="30"/>
      <c r="BD142" s="30"/>
      <c r="BE142" s="30"/>
      <c r="BF142" s="30"/>
      <c r="BG142" s="30"/>
      <c r="BH142" s="30"/>
      <c r="BI142" s="30"/>
      <c r="BJ142" s="30"/>
      <c r="BK142" s="30"/>
      <c r="BL142" s="30"/>
      <c r="BM142" s="30"/>
      <c r="BN142" s="30"/>
      <c r="BO142" s="30"/>
      <c r="BP142" s="30"/>
      <c r="BQ142" s="30"/>
      <c r="BR142" s="30"/>
      <c r="BS142" s="30"/>
      <c r="BT142" s="30"/>
      <c r="BU142" s="30"/>
      <c r="BV142" s="30"/>
      <c r="BW142" s="30"/>
      <c r="BX142" s="30"/>
      <c r="BY142" s="30"/>
      <c r="BZ142" s="30"/>
      <c r="CA142" s="30"/>
      <c r="CB142" s="30"/>
      <c r="CC142" s="30"/>
      <c r="CD142" s="30"/>
      <c r="CE142" s="30"/>
      <c r="CF142" s="30"/>
      <c r="CG142" s="30"/>
      <c r="CH142" s="30"/>
      <c r="CI142" s="30"/>
      <c r="CJ142" s="30"/>
      <c r="CK142" s="30"/>
      <c r="CL142" s="30"/>
      <c r="CM142" s="30"/>
      <c r="CN142" s="30"/>
      <c r="CO142" s="30"/>
      <c r="CP142" s="30"/>
      <c r="CQ142" s="30"/>
      <c r="CR142" s="30"/>
      <c r="CS142" s="30"/>
      <c r="CT142" s="30"/>
      <c r="CU142" s="30"/>
      <c r="CV142" s="30"/>
      <c r="CW142" s="30"/>
      <c r="CX142" s="30"/>
      <c r="CY142" s="30"/>
      <c r="CZ142" s="30"/>
      <c r="DA142" s="30"/>
      <c r="DB142" s="30"/>
    </row>
    <row r="143" ht="18" customHeight="1" spans="1:106" x14ac:dyDescent="0.25">
      <c r="A143" s="36" t="s">
        <v>269</v>
      </c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  <c r="AX143" s="30"/>
      <c r="AY143" s="30"/>
      <c r="AZ143" s="30"/>
      <c r="BA143" s="30"/>
      <c r="BB143" s="30"/>
      <c r="BC143" s="30"/>
      <c r="BD143" s="30"/>
      <c r="BE143" s="30"/>
      <c r="BF143" s="30"/>
      <c r="BG143" s="30"/>
      <c r="BH143" s="30"/>
      <c r="BI143" s="30"/>
      <c r="BJ143" s="30"/>
      <c r="BK143" s="30"/>
      <c r="BL143" s="30"/>
      <c r="BM143" s="30"/>
      <c r="BN143" s="30"/>
      <c r="BO143" s="30"/>
      <c r="BP143" s="30"/>
      <c r="BQ143" s="30"/>
      <c r="BR143" s="30"/>
      <c r="BS143" s="30"/>
      <c r="BT143" s="30"/>
      <c r="BU143" s="30"/>
      <c r="BV143" s="30"/>
      <c r="BW143" s="30"/>
      <c r="BX143" s="30"/>
      <c r="BY143" s="30"/>
      <c r="BZ143" s="30"/>
      <c r="CA143" s="30"/>
      <c r="CB143" s="30"/>
      <c r="CC143" s="30"/>
      <c r="CD143" s="30"/>
      <c r="CE143" s="30"/>
      <c r="CF143" s="30"/>
      <c r="CG143" s="30"/>
      <c r="CH143" s="30"/>
      <c r="CI143" s="30"/>
      <c r="CJ143" s="30"/>
      <c r="CK143" s="30"/>
      <c r="CL143" s="30"/>
      <c r="CM143" s="30"/>
      <c r="CN143" s="30"/>
      <c r="CO143" s="30"/>
      <c r="CP143" s="30"/>
      <c r="CQ143" s="30"/>
      <c r="CR143" s="30"/>
      <c r="CS143" s="30"/>
      <c r="CT143" s="30"/>
      <c r="CU143" s="30"/>
      <c r="CV143" s="30"/>
      <c r="CW143" s="30"/>
      <c r="CX143" s="30"/>
      <c r="CY143" s="30"/>
      <c r="CZ143" s="30"/>
      <c r="DA143" s="30"/>
      <c r="DB143" s="30"/>
    </row>
    <row r="144" ht="18" customHeight="1" spans="1:1" x14ac:dyDescent="0.25">
      <c r="A144" s="36" t="s">
        <v>288</v>
      </c>
    </row>
    <row r="145" ht="18" customHeight="1" spans="1:1" x14ac:dyDescent="0.25">
      <c r="A145" s="36" t="s">
        <v>272</v>
      </c>
    </row>
    <row r="146" ht="18" customHeight="1" spans="1:106" x14ac:dyDescent="0.25">
      <c r="A146" s="36" t="s">
        <v>289</v>
      </c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  <c r="BD146" s="30"/>
      <c r="BE146" s="30"/>
      <c r="BF146" s="30"/>
      <c r="BG146" s="30"/>
      <c r="BH146" s="30"/>
      <c r="BI146" s="30"/>
      <c r="BJ146" s="30"/>
      <c r="BK146" s="30"/>
      <c r="BL146" s="30"/>
      <c r="BM146" s="30"/>
      <c r="BN146" s="30"/>
      <c r="BO146" s="30"/>
      <c r="BP146" s="30"/>
      <c r="BQ146" s="30"/>
      <c r="BR146" s="30"/>
      <c r="BS146" s="30"/>
      <c r="BT146" s="30"/>
      <c r="BU146" s="30"/>
      <c r="BV146" s="30"/>
      <c r="BW146" s="30"/>
      <c r="BX146" s="30"/>
      <c r="BY146" s="30"/>
      <c r="BZ146" s="30"/>
      <c r="CA146" s="30"/>
      <c r="CB146" s="30"/>
      <c r="CC146" s="30"/>
      <c r="CD146" s="30"/>
      <c r="CE146" s="30"/>
      <c r="CF146" s="30"/>
      <c r="CG146" s="30"/>
      <c r="CH146" s="30"/>
      <c r="CI146" s="30"/>
      <c r="CJ146" s="30"/>
      <c r="CK146" s="30"/>
      <c r="CL146" s="30"/>
      <c r="CM146" s="30"/>
      <c r="CN146" s="30"/>
      <c r="CO146" s="30"/>
      <c r="CP146" s="30"/>
      <c r="CQ146" s="30"/>
      <c r="CR146" s="30"/>
      <c r="CS146" s="30"/>
      <c r="CT146" s="30"/>
      <c r="CU146" s="30"/>
      <c r="CV146" s="30"/>
      <c r="CW146" s="30"/>
      <c r="CX146" s="30"/>
      <c r="CY146" s="30"/>
      <c r="CZ146" s="30"/>
      <c r="DA146" s="30"/>
      <c r="DB146" s="30"/>
    </row>
    <row r="147" ht="18" customHeight="1" spans="1:106" x14ac:dyDescent="0.25">
      <c r="A147" s="36" t="s">
        <v>271</v>
      </c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30"/>
      <c r="BI147" s="30"/>
      <c r="BJ147" s="30"/>
      <c r="BK147" s="30"/>
      <c r="BL147" s="30"/>
      <c r="BM147" s="30"/>
      <c r="BN147" s="30"/>
      <c r="BO147" s="30"/>
      <c r="BP147" s="30"/>
      <c r="BQ147" s="30"/>
      <c r="BR147" s="30"/>
      <c r="BS147" s="30"/>
      <c r="BT147" s="30"/>
      <c r="BU147" s="30"/>
      <c r="BV147" s="30"/>
      <c r="BW147" s="30"/>
      <c r="BX147" s="30"/>
      <c r="BY147" s="30"/>
      <c r="BZ147" s="30"/>
      <c r="CA147" s="30"/>
      <c r="CB147" s="30"/>
      <c r="CC147" s="30"/>
      <c r="CD147" s="30"/>
      <c r="CE147" s="30"/>
      <c r="CF147" s="30"/>
      <c r="CG147" s="30"/>
      <c r="CH147" s="30"/>
      <c r="CI147" s="30"/>
      <c r="CJ147" s="30"/>
      <c r="CK147" s="30"/>
      <c r="CL147" s="30"/>
      <c r="CM147" s="30"/>
      <c r="CN147" s="30"/>
      <c r="CO147" s="30"/>
      <c r="CP147" s="30"/>
      <c r="CQ147" s="30"/>
      <c r="CR147" s="30"/>
      <c r="CS147" s="30"/>
      <c r="CT147" s="30"/>
      <c r="CU147" s="30"/>
      <c r="CV147" s="30"/>
      <c r="CW147" s="30"/>
      <c r="CX147" s="30"/>
      <c r="CY147" s="30"/>
      <c r="CZ147" s="30"/>
      <c r="DA147" s="30"/>
      <c r="DB147" s="30"/>
    </row>
    <row r="148" spans="3:106" x14ac:dyDescent="0.25"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  <c r="AU148" s="30"/>
      <c r="AV148" s="30"/>
      <c r="AW148" s="30"/>
      <c r="AX148" s="30"/>
      <c r="AY148" s="30"/>
      <c r="AZ148" s="30"/>
      <c r="BA148" s="30"/>
      <c r="BB148" s="30"/>
      <c r="BC148" s="30"/>
      <c r="BD148" s="30"/>
      <c r="BE148" s="30"/>
      <c r="BF148" s="30"/>
      <c r="BG148" s="30"/>
      <c r="BH148" s="30"/>
      <c r="BI148" s="30"/>
      <c r="BJ148" s="30"/>
      <c r="BK148" s="30"/>
      <c r="BL148" s="30"/>
      <c r="BM148" s="30"/>
      <c r="BN148" s="30"/>
      <c r="BO148" s="30"/>
      <c r="BP148" s="30"/>
      <c r="BQ148" s="30"/>
      <c r="BR148" s="30"/>
      <c r="BS148" s="30"/>
      <c r="BT148" s="30"/>
      <c r="BU148" s="30"/>
      <c r="BV148" s="30"/>
      <c r="BW148" s="30"/>
      <c r="BX148" s="30"/>
      <c r="BY148" s="30"/>
      <c r="BZ148" s="30"/>
      <c r="CA148" s="30"/>
      <c r="CB148" s="30"/>
      <c r="CC148" s="30"/>
      <c r="CD148" s="30"/>
      <c r="CE148" s="30"/>
      <c r="CF148" s="30"/>
      <c r="CG148" s="30"/>
      <c r="CH148" s="30"/>
      <c r="CI148" s="30"/>
      <c r="CJ148" s="30"/>
      <c r="CK148" s="30"/>
      <c r="CL148" s="30"/>
      <c r="CM148" s="30"/>
      <c r="CN148" s="30"/>
      <c r="CO148" s="30"/>
      <c r="CP148" s="30"/>
      <c r="CQ148" s="30"/>
      <c r="CR148" s="30"/>
      <c r="CS148" s="30"/>
      <c r="CT148" s="30"/>
      <c r="CU148" s="30"/>
      <c r="CV148" s="30"/>
      <c r="CW148" s="30"/>
      <c r="CX148" s="30"/>
      <c r="CY148" s="30"/>
      <c r="CZ148" s="30"/>
      <c r="DA148" s="30"/>
      <c r="DB148" s="30"/>
    </row>
    <row r="149" spans="1:106" x14ac:dyDescent="0.25">
      <c r="A149" s="9" t="s">
        <v>353</v>
      </c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0"/>
      <c r="AV149" s="30"/>
      <c r="AW149" s="30"/>
      <c r="AX149" s="30"/>
      <c r="AY149" s="30"/>
      <c r="AZ149" s="30"/>
      <c r="BA149" s="30"/>
      <c r="BB149" s="30"/>
      <c r="BC149" s="30"/>
      <c r="BD149" s="30"/>
      <c r="BE149" s="30"/>
      <c r="BF149" s="30"/>
      <c r="BG149" s="30"/>
      <c r="BH149" s="30"/>
      <c r="BI149" s="30"/>
      <c r="BJ149" s="30"/>
      <c r="BK149" s="30"/>
      <c r="BL149" s="30"/>
      <c r="BM149" s="30"/>
      <c r="BN149" s="30"/>
      <c r="BO149" s="30"/>
      <c r="BP149" s="30"/>
      <c r="BQ149" s="30"/>
      <c r="BR149" s="30"/>
      <c r="BS149" s="30"/>
      <c r="BT149" s="30"/>
      <c r="BU149" s="30"/>
      <c r="BV149" s="30"/>
      <c r="BW149" s="30"/>
      <c r="BX149" s="30"/>
      <c r="BY149" s="30"/>
      <c r="BZ149" s="30"/>
      <c r="CA149" s="30"/>
      <c r="CB149" s="30"/>
      <c r="CC149" s="30"/>
      <c r="CD149" s="30"/>
      <c r="CE149" s="30"/>
      <c r="CF149" s="30"/>
      <c r="CG149" s="30"/>
      <c r="CH149" s="30"/>
      <c r="CI149" s="30"/>
      <c r="CJ149" s="30"/>
      <c r="CK149" s="30"/>
      <c r="CL149" s="30"/>
      <c r="CM149" s="30"/>
      <c r="CN149" s="30"/>
      <c r="CO149" s="30"/>
      <c r="CP149" s="30"/>
      <c r="CQ149" s="30"/>
      <c r="CR149" s="30"/>
      <c r="CS149" s="30"/>
      <c r="CT149" s="30"/>
      <c r="CU149" s="30"/>
      <c r="CV149" s="30"/>
      <c r="CW149" s="30"/>
      <c r="CX149" s="30"/>
      <c r="CY149" s="30"/>
      <c r="CZ149" s="30"/>
      <c r="DA149" s="30"/>
      <c r="DB149" s="30"/>
    </row>
    <row r="150" ht="14" customHeight="1" spans="1:106" x14ac:dyDescent="0.25">
      <c r="A150" s="33" t="s">
        <v>354</v>
      </c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  <c r="AX150" s="30"/>
      <c r="AY150" s="30"/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  <c r="BN150" s="30"/>
      <c r="BO150" s="30"/>
      <c r="BP150" s="30"/>
      <c r="BQ150" s="30"/>
      <c r="BR150" s="30"/>
      <c r="BS150" s="30"/>
      <c r="BT150" s="30"/>
      <c r="BU150" s="30"/>
      <c r="BV150" s="30"/>
      <c r="BW150" s="30"/>
      <c r="BX150" s="30"/>
      <c r="BY150" s="30"/>
      <c r="BZ150" s="30"/>
      <c r="CA150" s="30"/>
      <c r="CB150" s="30"/>
      <c r="CC150" s="30"/>
      <c r="CD150" s="30"/>
      <c r="CE150" s="30"/>
      <c r="CF150" s="30"/>
      <c r="CG150" s="30"/>
      <c r="CH150" s="30"/>
      <c r="CI150" s="30"/>
      <c r="CJ150" s="30"/>
      <c r="CK150" s="30"/>
      <c r="CL150" s="30"/>
      <c r="CM150" s="30"/>
      <c r="CN150" s="30"/>
      <c r="CO150" s="30"/>
      <c r="CP150" s="30"/>
      <c r="CQ150" s="30"/>
      <c r="CR150" s="30"/>
      <c r="CS150" s="30"/>
      <c r="CT150" s="30"/>
      <c r="CU150" s="30"/>
      <c r="CV150" s="30"/>
      <c r="CW150" s="30"/>
      <c r="CX150" s="30"/>
      <c r="CY150" s="30"/>
      <c r="CZ150" s="30"/>
      <c r="DA150" s="30"/>
      <c r="DB150" s="30"/>
    </row>
    <row r="151" spans="1:106" x14ac:dyDescent="0.25">
      <c r="A151" s="17" t="s">
        <v>355</v>
      </c>
      <c r="B151" s="17">
        <v>15</v>
      </c>
      <c r="C151" s="46">
        <f>=IFERROR(ROUND((C19+C23)/$B151,0),0)</f>
        <v>1</v>
      </c>
      <c r="D151" s="46">
        <f>=IFERROR(ROUND((D19+D23)/$B151,0),0)</f>
        <v>1</v>
      </c>
      <c r="E151" s="46">
        <f>=IFERROR(ROUND((E19+E23)/$B151,0),0)</f>
        <v>1</v>
      </c>
      <c r="F151" s="46">
        <f>=IFERROR(ROUND((F19+F23)/$B151,0),0)</f>
        <v>1</v>
      </c>
      <c r="G151" s="46">
        <f>=IFERROR(ROUND((G19+G23)/$B151,0),0)</f>
        <v>1</v>
      </c>
      <c r="H151" s="46">
        <f>=IFERROR(ROUND((H19+H23)/$B151,0),0)</f>
        <v>1</v>
      </c>
      <c r="I151" s="46">
        <f>=IFERROR(ROUND((I19+I23)/$B151,0),0)</f>
        <v>1</v>
      </c>
      <c r="J151" s="46">
        <f>=IFERROR(ROUND((J19+J23)/$B151,0),0)</f>
        <v>1</v>
      </c>
      <c r="K151" s="46">
        <f>=IFERROR(ROUND((K19+K23)/$B151,0),0)</f>
        <v>2</v>
      </c>
      <c r="L151" s="46">
        <f>=IFERROR(ROUND((L19+L23)/$B151,0),0)</f>
        <v>2</v>
      </c>
      <c r="M151" s="46">
        <f>=IFERROR(ROUND((M19+M23)/$B151,0),0)</f>
        <v>2</v>
      </c>
      <c r="N151" s="46">
        <f>=IFERROR(ROUND((N19+N23)/$B151,0),0)</f>
        <v>2</v>
      </c>
      <c r="O151" s="46">
        <f>=IFERROR(ROUND((O19+O23)/$B151,0),0)</f>
        <v>2</v>
      </c>
      <c r="P151" s="46">
        <f>=IFERROR(ROUND((P19+P23)/$B151,0),0)</f>
        <v>2</v>
      </c>
      <c r="Q151" s="46">
        <f>=IFERROR(ROUND((Q19+Q23)/$B151,0),0)</f>
        <v>2</v>
      </c>
      <c r="R151" s="46">
        <f>=IFERROR(ROUND((R19+R23)/$B151,0),0)</f>
        <v>1</v>
      </c>
      <c r="S151" s="46">
        <f>=IFERROR(ROUND((S19+S23)/$B151,0),0)</f>
        <v>1</v>
      </c>
      <c r="T151" s="46">
        <f>=IFERROR(ROUND((T19+T23)/$B151,0),0)</f>
        <v>1</v>
      </c>
      <c r="U151" s="46">
        <f>=IFERROR(ROUND((U19+U23)/$B151,0),0)</f>
        <v>1</v>
      </c>
      <c r="V151" s="46">
        <f>=IFERROR(ROUND((V19+V23)/$B151,0),0)</f>
        <v>1</v>
      </c>
      <c r="W151" s="46">
        <f>=IFERROR(ROUND((W19+W23)/$B151,0),0)</f>
        <v>1</v>
      </c>
      <c r="X151" s="46">
        <f>=IFERROR(ROUND((X19+X23)/$B151,0),0)</f>
        <v>1</v>
      </c>
      <c r="Y151" s="46">
        <f>=IFERROR(ROUND((Y19+Y23)/$B151,0),0)</f>
        <v>1</v>
      </c>
      <c r="Z151" s="46">
        <f>=IFERROR(ROUND((Z19+Z23)/$B151,0),0)</f>
        <v>1</v>
      </c>
      <c r="AA151" s="46">
        <f>=IFERROR(ROUND((AA19+AA23)/$B151,0),0)</f>
        <v>1</v>
      </c>
      <c r="AB151" s="46">
        <f>=IFERROR(ROUND((AB19+AB23)/$B151,0),0)</f>
        <v>1</v>
      </c>
      <c r="AC151" s="46">
        <f>=IFERROR(ROUND((AC19+AC23)/$B151,0),0)</f>
        <v>1</v>
      </c>
      <c r="AD151" s="46">
        <f>=IFERROR(ROUND((AD19+AD23)/$B151,0),0)</f>
        <v>1</v>
      </c>
      <c r="AE151" s="46">
        <f>=IFERROR(ROUND((AE19+AE23)/$B151,0),0)</f>
        <v>1</v>
      </c>
      <c r="AF151" s="46">
        <f>=IFERROR(ROUND((AF19+AF23)/$B151,0),0)</f>
        <v>1</v>
      </c>
      <c r="AG151" s="46">
        <f>=IFERROR(ROUND((AG19+AG23)/$B151,0),0)</f>
        <v>1</v>
      </c>
      <c r="AH151" s="46">
        <f>=IFERROR(ROUND((AH19+AH23)/$B151,0),0)</f>
        <v>1</v>
      </c>
      <c r="AI151" s="46">
        <f>=IFERROR(ROUND((AI19+AI23)/$B151,0),0)</f>
        <v>1</v>
      </c>
      <c r="AJ151" s="46">
        <f>=IFERROR(ROUND((AJ19+AJ23)/$B151,0),0)</f>
        <v>1</v>
      </c>
      <c r="AK151" s="46">
        <f>=IFERROR(ROUND((AK19+AK23)/$B151,0),0)</f>
        <v>1</v>
      </c>
      <c r="AL151" s="46">
        <f>=IFERROR(ROUND((AL19+AL23)/$B151,0),0)</f>
        <v>1</v>
      </c>
      <c r="AM151" s="46">
        <f>=IFERROR(ROUND((AM19+AM23)/$B151,0),0)</f>
        <v>1</v>
      </c>
      <c r="AN151" s="46">
        <f>=IFERROR(ROUND((AN19+AN23)/$B151,0),0)</f>
        <v>1</v>
      </c>
      <c r="AO151" s="46">
        <f>=IFERROR(ROUND((AO19+AO23)/$B151,0),0)</f>
        <v>1</v>
      </c>
      <c r="AP151" s="46">
        <f>=IFERROR(ROUND((AP19+AP23)/$B151,0),0)</f>
        <v>1</v>
      </c>
      <c r="AQ151" s="46">
        <f>=IFERROR(ROUND((AQ19+AQ23)/$B151,0),0)</f>
        <v>1</v>
      </c>
      <c r="AR151" s="46">
        <f>=IFERROR(ROUND((AR19+AR23)/$B151,0),0)</f>
        <v>1</v>
      </c>
      <c r="AS151" s="46">
        <f>=IFERROR(ROUND((AS19+AS23)/$B151,0),0)</f>
        <v>1</v>
      </c>
      <c r="AT151" s="46">
        <f>=IFERROR(ROUND((AT19+AT23)/$B151,0),0)</f>
        <v>1</v>
      </c>
      <c r="AU151" s="46">
        <f>=IFERROR(ROUND((AU19+AU23)/$B151,0),0)</f>
        <v>1</v>
      </c>
      <c r="AV151" s="46">
        <f>=IFERROR(ROUND((AV19+AV23)/$B151,0),0)</f>
        <v>1</v>
      </c>
      <c r="AW151" s="46">
        <f>=IFERROR(ROUND((AW19+AW23)/$B151,0),0)</f>
        <v>1</v>
      </c>
      <c r="AX151" s="46">
        <f>=IFERROR(ROUND((AX19+AX23)/$B151,0),0)</f>
        <v>1</v>
      </c>
      <c r="AY151" s="46">
        <f>=IFERROR(ROUND((AY19+AY23)/$B151,0),0)</f>
        <v>1</v>
      </c>
      <c r="AZ151" s="46">
        <f>=IFERROR(ROUND((AZ19+AZ23)/$B151,0),0)</f>
        <v>1</v>
      </c>
      <c r="BA151" s="46">
        <f>=IFERROR(ROUND((BA19+BA23)/$B151,0),0)</f>
        <v>1</v>
      </c>
      <c r="BB151" s="46">
        <f>=IFERROR(ROUND((BB19+BB23)/$B151,0),0)</f>
        <v>1</v>
      </c>
      <c r="BC151" s="46">
        <f>=IFERROR(ROUND((BC19+BC23)/$B151,0),0)</f>
        <v>1</v>
      </c>
      <c r="BD151" s="73">
        <f>=IFERROR(ROUND((BD19+BD23)/$B151,0),0)</f>
        <v>1</v>
      </c>
      <c r="BE151" s="46">
        <f>=IFERROR(ROUND((BE19+BE23)/$B151,0),0)</f>
        <v>1</v>
      </c>
      <c r="BF151" s="46">
        <f>=IFERROR(ROUND((BF19+BF23)/$B151,0),0)</f>
        <v>1</v>
      </c>
      <c r="BG151" s="46">
        <f>=IFERROR(ROUND((BG19+BG23)/$B151,0),0)</f>
        <v>1</v>
      </c>
      <c r="BH151" s="46">
        <f>=IFERROR(ROUND((BH19+BH23)/$B151,0),0)</f>
        <v>1</v>
      </c>
      <c r="BI151" s="46">
        <f>=IFERROR(ROUND((BI19+BI23)/$B151,0),0)</f>
        <v>1</v>
      </c>
      <c r="BJ151" s="46">
        <f>=IFERROR(ROUND((BJ19+BJ23)/$B151,0),0)</f>
        <v>1</v>
      </c>
      <c r="BK151" s="46">
        <f>=IFERROR(ROUND((BK19+BK23)/$B151,0),0)</f>
        <v>1</v>
      </c>
      <c r="BL151" s="73">
        <f>=IFERROR(ROUND((BL19+BL23)/$B151,0),0)</f>
        <v>1</v>
      </c>
      <c r="BM151" s="46">
        <f>=IFERROR(ROUND((BM19+BM23)/$B151,0),0)</f>
        <v>1</v>
      </c>
      <c r="BN151" s="46">
        <f>=IFERROR(ROUND((BN19+BN23)/$B151,0),0)</f>
        <v>1</v>
      </c>
      <c r="BO151" s="46">
        <f>=IFERROR(ROUND((BO19+BO23)/$B151,0),0)</f>
        <v>1</v>
      </c>
      <c r="BP151" s="46">
        <f>=IFERROR(ROUND((BP19+BP23)/$B151,0),0)</f>
        <v>1</v>
      </c>
      <c r="BQ151" s="46">
        <f>=IFERROR(ROUND((BQ19+BQ23)/$B151,0),0)</f>
        <v>1</v>
      </c>
      <c r="BR151" s="46">
        <f>=IFERROR(ROUND((BR19+BR23)/$B151,0),0)</f>
        <v>1</v>
      </c>
      <c r="BS151" s="46">
        <f>=IFERROR(ROUND((BS19+BS23)/$B151,0),0)</f>
        <v>1</v>
      </c>
      <c r="BT151" s="46">
        <f>=IFERROR(ROUND((BT19+BT23)/$B151,0),0)</f>
        <v>1</v>
      </c>
      <c r="BU151" s="46">
        <f>=IFERROR(ROUND((BU19+BU23)/$B151,0),0)</f>
        <v>1</v>
      </c>
      <c r="BV151" s="46">
        <f>=IFERROR(ROUND((BV19+BV23)/$B151,0),0)</f>
        <v>1</v>
      </c>
      <c r="BW151" s="46">
        <f>=IFERROR(ROUND((BW19+BW23)/$B151,0),0)</f>
        <v>1</v>
      </c>
      <c r="BX151" s="46">
        <f>=IFERROR(ROUND((BX19+BX23)/$B151,0),0)</f>
        <v>1</v>
      </c>
      <c r="BY151" s="73">
        <f>=IFERROR(ROUND((BY19+BY23)/$B151,0),0)</f>
        <v>1</v>
      </c>
      <c r="BZ151" s="46">
        <f>=IFERROR(ROUND((BZ19+BZ23)/$B151,0),0)</f>
        <v>1</v>
      </c>
      <c r="CA151" s="46">
        <f>=IFERROR(ROUND((CA19+CA23)/$B151,0),0)</f>
        <v>1</v>
      </c>
      <c r="CB151" s="46">
        <f>=IFERROR(ROUND((CB19+CB23)/$B151,0),0)</f>
        <v>1</v>
      </c>
      <c r="CC151" s="46">
        <f>=IFERROR(ROUND((CC19+CC23)/$B151,0),0)</f>
        <v>1</v>
      </c>
      <c r="CD151" s="46">
        <f>=IFERROR(ROUND((CD19+CD23)/$B151,0),0)</f>
        <v>1</v>
      </c>
      <c r="CE151" s="46">
        <f>=IFERROR(ROUND((CE19+CE23)/$B151,0),0)</f>
        <v>1</v>
      </c>
      <c r="CF151" s="46">
        <f>=IFERROR(ROUND((CF19+CF23)/$B151,0),0)</f>
        <v>1</v>
      </c>
      <c r="CG151" s="46">
        <f>=IFERROR(ROUND((CG19+CG23)/$B151,0),0)</f>
        <v>1</v>
      </c>
      <c r="CH151" s="46">
        <f>=IFERROR(ROUND((CH19+CH23)/$B151,0),0)</f>
        <v>1</v>
      </c>
      <c r="CI151" s="46">
        <f>=IFERROR(ROUND((CI19+CI23)/$B151,0),0)</f>
        <v>1</v>
      </c>
      <c r="CJ151" s="46">
        <f>=IFERROR(ROUND((CJ19+CJ23)/$B151,0),0)</f>
        <v>1</v>
      </c>
      <c r="CK151" s="46">
        <f>=IFERROR(ROUND((CK19+CK23)/$B151,0),0)</f>
        <v>1</v>
      </c>
      <c r="CL151" s="46">
        <f>=IFERROR(ROUND((CL19+CL23)/$B151,0),0)</f>
        <v>1</v>
      </c>
      <c r="CM151" s="46">
        <f>=IFERROR(ROUND((CM19+CM23)/$B151,0),0)</f>
        <v>1</v>
      </c>
      <c r="CN151" s="46">
        <f>=IFERROR(ROUND((CN19+CN23)/$B151,0),0)</f>
        <v>1</v>
      </c>
      <c r="CO151" s="46">
        <f>=IFERROR(ROUND((CO19+CO23)/$B151,0),0)</f>
        <v>1</v>
      </c>
      <c r="CP151" s="46">
        <f>=IFERROR(ROUND((CP19+CP23)/$B151,0),0)</f>
        <v>1</v>
      </c>
      <c r="CQ151" s="46">
        <f>=IFERROR(ROUND((CQ19+CQ23)/$B151,0),0)</f>
        <v>1</v>
      </c>
      <c r="CR151" s="46">
        <f>=IFERROR(ROUND((CR19+CR23)/$B151,0),0)</f>
        <v>1</v>
      </c>
      <c r="CS151" s="46">
        <f>=IFERROR(ROUND((CS19+CS23)/$B151,0),0)</f>
        <v>1</v>
      </c>
      <c r="CT151" s="73">
        <f>=IFERROR(ROUND((CT19+CT23)/$B151,0),0)</f>
        <v>1</v>
      </c>
      <c r="CU151" s="46">
        <f>=IFERROR(ROUND((CU19+CU23)/$B151,0),0)</f>
        <v>1</v>
      </c>
      <c r="CV151" s="46">
        <f>=IFERROR(ROUND((CV19+CV23)/$B151,0),0)</f>
        <v>1</v>
      </c>
      <c r="CW151" s="73">
        <f>=IFERROR(ROUND((CW19+CW23)/$B151,0),0)</f>
        <v>1</v>
      </c>
      <c r="CX151" s="73">
        <f>=IFERROR(ROUND((CX19+CX23)/$B151,0),0)</f>
        <v>1</v>
      </c>
      <c r="CY151" s="46">
        <f>=IFERROR(ROUND((CY19+CY23)/$B151,0),0)</f>
        <v>1</v>
      </c>
      <c r="CZ151" s="46">
        <f>=IFERROR(ROUND((CZ19+CZ23)/$B151,0),0)</f>
        <v>1</v>
      </c>
      <c r="DA151" s="46">
        <f>=IFERROR(ROUND((DA19+DA23)/$B151,0),0)</f>
        <v>1</v>
      </c>
      <c r="DB151" s="46">
        <f>=IFERROR(ROUND((DB19+DB23)/$B151,0),0)</f>
        <v>1</v>
      </c>
    </row>
    <row r="152" spans="1:106" x14ac:dyDescent="0.25">
      <c r="A152" s="17" t="s">
        <v>356</v>
      </c>
      <c r="B152" s="17">
        <v>15</v>
      </c>
      <c r="C152" s="46">
        <f>=IFERROR(ROUND((C21+C22)/$B152,0),0)</f>
        <v>0</v>
      </c>
      <c r="D152" s="46">
        <f>=IFERROR(ROUND((D21+D22)/$B152,0),0)</f>
        <v>0</v>
      </c>
      <c r="E152" s="46">
        <f>=IFERROR(ROUND((E21+E22)/$B152,0),0)</f>
        <v>0</v>
      </c>
      <c r="F152" s="46">
        <f>=IFERROR(ROUND((F21+F22)/$B152,0),0)</f>
        <v>0</v>
      </c>
      <c r="G152" s="46">
        <f>=IFERROR(ROUND((G21+G22)/$B152,0),0)</f>
        <v>0</v>
      </c>
      <c r="H152" s="46">
        <f>=IFERROR(ROUND((H21+H22)/$B152,0),0)</f>
        <v>0</v>
      </c>
      <c r="I152" s="46">
        <f>=IFERROR(ROUND((I21+I22)/$B152,0),0)</f>
        <v>0</v>
      </c>
      <c r="J152" s="46">
        <f>=IFERROR(ROUND((J21+J22)/$B152,0),0)</f>
        <v>0</v>
      </c>
      <c r="K152" s="46">
        <f>=IFERROR(ROUND((K21+K22)/$B152,0),0)</f>
        <v>0</v>
      </c>
      <c r="L152" s="46">
        <f>=IFERROR(ROUND((L21+L22)/$B152,0),0)</f>
        <v>0</v>
      </c>
      <c r="M152" s="46">
        <f>=IFERROR(ROUND((M21+M22)/$B152,0),0)</f>
        <v>0</v>
      </c>
      <c r="N152" s="46">
        <f>=IFERROR(ROUND((N21+N22)/$B152,0),0)</f>
        <v>0</v>
      </c>
      <c r="O152" s="46">
        <f>=IFERROR(ROUND((O21+O22)/$B152,0),0)</f>
        <v>0</v>
      </c>
      <c r="P152" s="46">
        <f>=IFERROR(ROUND((P21+P22)/$B152,0),0)</f>
        <v>0</v>
      </c>
      <c r="Q152" s="46">
        <f>=IFERROR(ROUND((Q21+Q22)/$B152,0),0)</f>
        <v>0</v>
      </c>
      <c r="R152" s="46">
        <f>=IFERROR(ROUND((R21+R22)/$B152,0),0)</f>
        <v>0</v>
      </c>
      <c r="S152" s="46">
        <f>=IFERROR(ROUND((S21+S22)/$B152,0),0)</f>
        <v>0</v>
      </c>
      <c r="T152" s="46">
        <f>=IFERROR(ROUND((T21+T22)/$B152,0),0)</f>
        <v>0</v>
      </c>
      <c r="U152" s="46">
        <f>=IFERROR(ROUND((U21+U22)/$B152,0),0)</f>
        <v>0</v>
      </c>
      <c r="V152" s="46">
        <f>=IFERROR(ROUND((V21+V22)/$B152,0),0)</f>
        <v>0</v>
      </c>
      <c r="W152" s="46">
        <f>=IFERROR(ROUND((W21+W22)/$B152,0),0)</f>
        <v>0</v>
      </c>
      <c r="X152" s="46">
        <f>=IFERROR(ROUND((X21+X22)/$B152,0),0)</f>
        <v>0</v>
      </c>
      <c r="Y152" s="46">
        <f>=IFERROR(ROUND((Y21+Y22)/$B152,0),0)</f>
        <v>0</v>
      </c>
      <c r="Z152" s="46">
        <f>=IFERROR(ROUND((Z21+Z22)/$B152,0),0)</f>
        <v>0</v>
      </c>
      <c r="AA152" s="46">
        <f>=IFERROR(ROUND((AA21+AA22)/$B152,0),0)</f>
        <v>0</v>
      </c>
      <c r="AB152" s="46">
        <f>=IFERROR(ROUND((AB21+AB22)/$B152,0),0)</f>
        <v>0</v>
      </c>
      <c r="AC152" s="46">
        <f>=IFERROR(ROUND((AC21+AC22)/$B152,0),0)</f>
        <v>0</v>
      </c>
      <c r="AD152" s="46">
        <f>=IFERROR(ROUND((AD21+AD22)/$B152,0),0)</f>
        <v>0</v>
      </c>
      <c r="AE152" s="46">
        <f>=IFERROR(ROUND((AE21+AE22)/$B152,0),0)</f>
        <v>0</v>
      </c>
      <c r="AF152" s="46">
        <f>=IFERROR(ROUND((AF21+AF22)/$B152,0),0)</f>
        <v>0</v>
      </c>
      <c r="AG152" s="46">
        <f>=IFERROR(ROUND((AG21+AG22)/$B152,0),0)</f>
        <v>0</v>
      </c>
      <c r="AH152" s="46">
        <f>=IFERROR(ROUND((AH21+AH22)/$B152,0),0)</f>
        <v>0</v>
      </c>
      <c r="AI152" s="46">
        <f>=IFERROR(ROUND((AI21+AI22)/$B152,0),0)</f>
        <v>0</v>
      </c>
      <c r="AJ152" s="46">
        <f>=IFERROR(ROUND((AJ21+AJ22)/$B152,0),0)</f>
        <v>0</v>
      </c>
      <c r="AK152" s="46">
        <f>=IFERROR(ROUND((AK21+AK22)/$B152,0),0)</f>
        <v>0</v>
      </c>
      <c r="AL152" s="46">
        <f>=IFERROR(ROUND((AL21+AL22)/$B152,0),0)</f>
        <v>0</v>
      </c>
      <c r="AM152" s="46">
        <f>=IFERROR(ROUND((AM21+AM22)/$B152,0),0)</f>
        <v>0</v>
      </c>
      <c r="AN152" s="46">
        <f>=IFERROR(ROUND((AN21+AN22)/$B152,0),0)</f>
        <v>0</v>
      </c>
      <c r="AO152" s="46">
        <f>=IFERROR(ROUND((AO21+AO22)/$B152,0),0)</f>
        <v>0</v>
      </c>
      <c r="AP152" s="46">
        <f>=IFERROR(ROUND((AP21+AP22)/$B152,0),0)</f>
        <v>0</v>
      </c>
      <c r="AQ152" s="46">
        <f>=IFERROR(ROUND((AQ21+AQ22)/$B152,0),0)</f>
        <v>0</v>
      </c>
      <c r="AR152" s="46">
        <f>=IFERROR(ROUND((AR21+AR22)/$B152,0),0)</f>
        <v>0</v>
      </c>
      <c r="AS152" s="46">
        <f>=IFERROR(ROUND((AS21+AS22)/$B152,0),0)</f>
        <v>0</v>
      </c>
      <c r="AT152" s="46">
        <f>=IFERROR(ROUND((AT21+AT22)/$B152,0),0)</f>
        <v>0</v>
      </c>
      <c r="AU152" s="46">
        <f>=IFERROR(ROUND((AU21+AU22)/$B152,0),0)</f>
        <v>0</v>
      </c>
      <c r="AV152" s="46">
        <f>=IFERROR(ROUND((AV21+AV22)/$B152,0),0)</f>
        <v>0</v>
      </c>
      <c r="AW152" s="46">
        <f>=IFERROR(ROUND((AW21+AW22)/$B152,0),0)</f>
        <v>0</v>
      </c>
      <c r="AX152" s="46">
        <f>=IFERROR(ROUND((AX21+AX22)/$B152,0),0)</f>
        <v>0</v>
      </c>
      <c r="AY152" s="46">
        <f>=IFERROR(ROUND((AY21+AY22)/$B152,0),0)</f>
        <v>0</v>
      </c>
      <c r="AZ152" s="46">
        <f>=IFERROR(ROUND((AZ21+AZ22)/$B152,0),0)</f>
        <v>0</v>
      </c>
      <c r="BA152" s="46">
        <f>=IFERROR(ROUND((BA21+BA22)/$B152,0),0)</f>
        <v>0</v>
      </c>
      <c r="BB152" s="46">
        <f>=IFERROR(ROUND((BB21+BB22)/$B152,0),0)</f>
        <v>0</v>
      </c>
      <c r="BC152" s="46">
        <f>=IFERROR(ROUND((BC21+BC22)/$B152,0),0)</f>
        <v>0</v>
      </c>
      <c r="BD152" s="46">
        <f>=IFERROR(ROUND((BD21+BD22)/$B152,0),0)</f>
        <v>0</v>
      </c>
      <c r="BE152" s="46">
        <f>=IFERROR(ROUND((BE21+BE22)/$B152,0),0)</f>
        <v>0</v>
      </c>
      <c r="BF152" s="46">
        <f>=IFERROR(ROUND((BF21+BF22)/$B152,0),0)</f>
        <v>0</v>
      </c>
      <c r="BG152" s="46">
        <f>=IFERROR(ROUND((BG21+BG22)/$B152,0),0)</f>
        <v>0</v>
      </c>
      <c r="BH152" s="46">
        <f>=IFERROR(ROUND((BH21+BH22)/$B152,0),0)</f>
        <v>0</v>
      </c>
      <c r="BI152" s="46">
        <f>=IFERROR(ROUND((BI21+BI22)/$B152,0),0)</f>
        <v>0</v>
      </c>
      <c r="BJ152" s="46">
        <f>=IFERROR(ROUND((BJ21+BJ22)/$B152,0),0)</f>
        <v>0</v>
      </c>
      <c r="BK152" s="46">
        <f>=IFERROR(ROUND((BK21+BK22)/$B152,0),0)</f>
        <v>0</v>
      </c>
      <c r="BL152" s="46">
        <f>=IFERROR(ROUND((BL21+BL22)/$B152,0),0)</f>
        <v>0</v>
      </c>
      <c r="BM152" s="46">
        <f>=IFERROR(ROUND((BM21+BM22)/$B152,0),0)</f>
        <v>0</v>
      </c>
      <c r="BN152" s="46">
        <f>=IFERROR(ROUND((BN21+BN22)/$B152,0),0)</f>
        <v>0</v>
      </c>
      <c r="BO152" s="46">
        <f>=IFERROR(ROUND((BO21+BO22)/$B152,0),0)</f>
        <v>0</v>
      </c>
      <c r="BP152" s="46">
        <f>=IFERROR(ROUND((BP21+BP22)/$B152,0),0)</f>
        <v>0</v>
      </c>
      <c r="BQ152" s="46">
        <f>=IFERROR(ROUND((BQ21+BQ22)/$B152,0),0)</f>
        <v>0</v>
      </c>
      <c r="BR152" s="46">
        <f>=IFERROR(ROUND((BR21+BR22)/$B152,0),0)</f>
        <v>0</v>
      </c>
      <c r="BS152" s="46">
        <f>=IFERROR(ROUND((BS21+BS22)/$B152,0),0)</f>
        <v>0</v>
      </c>
      <c r="BT152" s="46">
        <f>=IFERROR(ROUND((BT21+BT22)/$B152,0),0)</f>
        <v>0</v>
      </c>
      <c r="BU152" s="46">
        <f>=IFERROR(ROUND((BU21+BU22)/$B152,0),0)</f>
        <v>0</v>
      </c>
      <c r="BV152" s="46">
        <f>=IFERROR(ROUND((BV21+BV22)/$B152,0),0)</f>
        <v>0</v>
      </c>
      <c r="BW152" s="46">
        <f>=IFERROR(ROUND((BW21+BW22)/$B152,0),0)</f>
        <v>0</v>
      </c>
      <c r="BX152" s="46">
        <f>=IFERROR(ROUND((BX21+BX22)/$B152,0),0)</f>
        <v>0</v>
      </c>
      <c r="BY152" s="46">
        <f>=IFERROR(ROUND((BY21+BY22)/$B152,0),0)</f>
        <v>0</v>
      </c>
      <c r="BZ152" s="46">
        <f>=IFERROR(ROUND((BZ21+BZ22)/$B152,0),0)</f>
        <v>0</v>
      </c>
      <c r="CA152" s="46">
        <f>=IFERROR(ROUND((CA21+CA22)/$B152,0),0)</f>
        <v>0</v>
      </c>
      <c r="CB152" s="46">
        <f>=IFERROR(ROUND((CB21+CB22)/$B152,0),0)</f>
        <v>0</v>
      </c>
      <c r="CC152" s="46">
        <f>=IFERROR(ROUND((CC21+CC22)/$B152,0),0)</f>
        <v>0</v>
      </c>
      <c r="CD152" s="46">
        <f>=IFERROR(ROUND((CD21+CD22)/$B152,0),0)</f>
        <v>0</v>
      </c>
      <c r="CE152" s="46">
        <f>=IFERROR(ROUND((CE21+CE22)/$B152,0),0)</f>
        <v>0</v>
      </c>
      <c r="CF152" s="46">
        <f>=IFERROR(ROUND((CF21+CF22)/$B152,0),0)</f>
        <v>0</v>
      </c>
      <c r="CG152" s="46">
        <f>=IFERROR(ROUND((CG21+CG22)/$B152,0),0)</f>
        <v>0</v>
      </c>
      <c r="CH152" s="46">
        <f>=IFERROR(ROUND((CH21+CH22)/$B152,0),0)</f>
        <v>0</v>
      </c>
      <c r="CI152" s="46">
        <f>=IFERROR(ROUND((CI21+CI22)/$B152,0),0)</f>
        <v>0</v>
      </c>
      <c r="CJ152" s="46">
        <f>=IFERROR(ROUND((CJ21+CJ22)/$B152,0),0)</f>
        <v>0</v>
      </c>
      <c r="CK152" s="46">
        <f>=IFERROR(ROUND((CK21+CK22)/$B152,0),0)</f>
        <v>0</v>
      </c>
      <c r="CL152" s="46">
        <f>=IFERROR(ROUND((CL21+CL22)/$B152,0),0)</f>
        <v>0</v>
      </c>
      <c r="CM152" s="46">
        <f>=IFERROR(ROUND((CM21+CM22)/$B152,0),0)</f>
        <v>0</v>
      </c>
      <c r="CN152" s="46">
        <f>=IFERROR(ROUND((CN21+CN22)/$B152,0),0)</f>
        <v>0</v>
      </c>
      <c r="CO152" s="46">
        <f>=IFERROR(ROUND((CO21+CO22)/$B152,0),0)</f>
        <v>0</v>
      </c>
      <c r="CP152" s="46">
        <f>=IFERROR(ROUND((CP21+CP22)/$B152,0),0)</f>
        <v>0</v>
      </c>
      <c r="CQ152" s="46">
        <f>=IFERROR(ROUND((CQ21+CQ22)/$B152,0),0)</f>
        <v>0</v>
      </c>
      <c r="CR152" s="46">
        <f>=IFERROR(ROUND((CR21+CR22)/$B152,0),0)</f>
        <v>0</v>
      </c>
      <c r="CS152" s="46">
        <f>=IFERROR(ROUND((CS21+CS22)/$B152,0),0)</f>
        <v>0</v>
      </c>
      <c r="CT152" s="46">
        <f>=IFERROR(ROUND((CT21+CT22)/$B152,0),0)</f>
        <v>0</v>
      </c>
      <c r="CU152" s="46">
        <f>=IFERROR(ROUND((CU21+CU22)/$B152,0),0)</f>
        <v>0</v>
      </c>
      <c r="CV152" s="46">
        <f>=IFERROR(ROUND((CV21+CV22)/$B152,0),0)</f>
        <v>0</v>
      </c>
      <c r="CW152" s="46">
        <f>=IFERROR(ROUND((CW21+CW22)/$B152,0),0)</f>
        <v>0</v>
      </c>
      <c r="CX152" s="46">
        <f>=IFERROR(ROUND((CX21+CX22)/$B152,0),0)</f>
        <v>0</v>
      </c>
      <c r="CY152" s="46">
        <f>=IFERROR(ROUND((CY21+CY22)/$B152,0),0)</f>
        <v>0</v>
      </c>
      <c r="CZ152" s="46">
        <f>=IFERROR(ROUND((CZ21+CZ22)/$B152,0),0)</f>
        <v>0</v>
      </c>
      <c r="DA152" s="46">
        <f>=IFERROR(ROUND((DA21+DA22)/$B152,0),0)</f>
        <v>0</v>
      </c>
      <c r="DB152" s="46">
        <f>=IFERROR(ROUND((DB21+DB22)/$B152,0),0)</f>
        <v>0</v>
      </c>
    </row>
    <row r="153" spans="1:106" x14ac:dyDescent="0.25">
      <c r="A153" s="17" t="s">
        <v>357</v>
      </c>
      <c r="B153" s="17">
        <v>15</v>
      </c>
      <c r="C153" s="46">
        <f>=IFERROR(ROUND((C19+C23)/$B153,0),0)</f>
        <v>1</v>
      </c>
      <c r="D153" s="46">
        <f>=IFERROR(ROUND((D19+D23)/$B153,0),0)</f>
        <v>1</v>
      </c>
      <c r="E153" s="46">
        <f>=IFERROR(ROUND((E19+E23)/$B153,0),0)</f>
        <v>1</v>
      </c>
      <c r="F153" s="46">
        <f>=IFERROR(ROUND((F19+F23)/$B153,0),0)</f>
        <v>1</v>
      </c>
      <c r="G153" s="46">
        <f>=IFERROR(ROUND((G19+G23)/$B153,0),0)</f>
        <v>1</v>
      </c>
      <c r="H153" s="46">
        <f>=IFERROR(ROUND((H19+H23)/$B153,0),0)</f>
        <v>1</v>
      </c>
      <c r="I153" s="46">
        <f>=IFERROR(ROUND((I19+I23)/$B153,0),0)</f>
        <v>1</v>
      </c>
      <c r="J153" s="46">
        <f>=IFERROR(ROUND((J19+J23)/$B153,0),0)</f>
        <v>1</v>
      </c>
      <c r="K153" s="46">
        <f>=IFERROR(ROUND((K19+K23)/$B153,0),0)</f>
        <v>2</v>
      </c>
      <c r="L153" s="46">
        <f>=IFERROR(ROUND((L19+L23)/$B153,0),0)</f>
        <v>2</v>
      </c>
      <c r="M153" s="46">
        <f>=IFERROR(ROUND((M19+M23)/$B153,0),0)</f>
        <v>2</v>
      </c>
      <c r="N153" s="46">
        <f>=IFERROR(ROUND((N19+N23)/$B153,0),0)</f>
        <v>2</v>
      </c>
      <c r="O153" s="46">
        <f>=IFERROR(ROUND((O19+O23)/$B153,0),0)</f>
        <v>2</v>
      </c>
      <c r="P153" s="46">
        <f>=IFERROR(ROUND((P19+P23)/$B153,0),0)</f>
        <v>2</v>
      </c>
      <c r="Q153" s="46">
        <f>=IFERROR(ROUND((Q19+Q23)/$B153,0),0)</f>
        <v>2</v>
      </c>
      <c r="R153" s="46">
        <f>=IFERROR(ROUND((R19+R23)/$B153,0),0)</f>
        <v>1</v>
      </c>
      <c r="S153" s="46">
        <f>=IFERROR(ROUND((S19+S23)/$B153,0),0)</f>
        <v>1</v>
      </c>
      <c r="T153" s="46">
        <f>=IFERROR(ROUND((T19+T23)/$B153,0),0)</f>
        <v>1</v>
      </c>
      <c r="U153" s="46">
        <f>=IFERROR(ROUND((U19+U23)/$B153,0),0)</f>
        <v>1</v>
      </c>
      <c r="V153" s="46">
        <f>=IFERROR(ROUND((V19+V23)/$B153,0),0)</f>
        <v>1</v>
      </c>
      <c r="W153" s="46">
        <f>=IFERROR(ROUND((W19+W23)/$B153,0),0)</f>
        <v>1</v>
      </c>
      <c r="X153" s="46">
        <f>=IFERROR(ROUND((X19+X23)/$B153,0),0)</f>
        <v>1</v>
      </c>
      <c r="Y153" s="46">
        <f>=IFERROR(ROUND((Y19+Y23)/$B153,0),0)</f>
        <v>1</v>
      </c>
      <c r="Z153" s="46">
        <f>=IFERROR(ROUND((Z19+Z23)/$B153,0),0)</f>
        <v>1</v>
      </c>
      <c r="AA153" s="46">
        <f>=IFERROR(ROUND((AA19+AA23)/$B153,0),0)</f>
        <v>1</v>
      </c>
      <c r="AB153" s="46">
        <f>=IFERROR(ROUND((AB19+AB23)/$B153,0),0)</f>
        <v>1</v>
      </c>
      <c r="AC153" s="46">
        <f>=IFERROR(ROUND((AC19+AC23)/$B153,0),0)</f>
        <v>1</v>
      </c>
      <c r="AD153" s="46">
        <f>=IFERROR(ROUND((AD19+AD23)/$B153,0),0)</f>
        <v>1</v>
      </c>
      <c r="AE153" s="46">
        <f>=IFERROR(ROUND((AE19+AE23)/$B153,0),0)</f>
        <v>1</v>
      </c>
      <c r="AF153" s="46">
        <f>=IFERROR(ROUND((AF19+AF23)/$B153,0),0)</f>
        <v>1</v>
      </c>
      <c r="AG153" s="46">
        <f>=IFERROR(ROUND((AG19+AG23)/$B153,0),0)</f>
        <v>1</v>
      </c>
      <c r="AH153" s="46">
        <f>=IFERROR(ROUND((AH19+AH23)/$B153,0),0)</f>
        <v>1</v>
      </c>
      <c r="AI153" s="46">
        <f>=IFERROR(ROUND((AI19+AI23)/$B153,0),0)</f>
        <v>1</v>
      </c>
      <c r="AJ153" s="46">
        <f>=IFERROR(ROUND((AJ19+AJ23)/$B153,0),0)</f>
        <v>1</v>
      </c>
      <c r="AK153" s="46">
        <f>=IFERROR(ROUND((AK19+AK23)/$B153,0),0)</f>
        <v>1</v>
      </c>
      <c r="AL153" s="46">
        <f>=IFERROR(ROUND((AL19+AL23)/$B153,0),0)</f>
        <v>1</v>
      </c>
      <c r="AM153" s="46">
        <f>=IFERROR(ROUND((AM19+AM23)/$B153,0),0)</f>
        <v>1</v>
      </c>
      <c r="AN153" s="46">
        <f>=IFERROR(ROUND((AN19+AN23)/$B153,0),0)</f>
        <v>1</v>
      </c>
      <c r="AO153" s="46">
        <f>=IFERROR(ROUND((AO19+AO23)/$B153,0),0)</f>
        <v>1</v>
      </c>
      <c r="AP153" s="46">
        <f>=IFERROR(ROUND((AP19+AP23)/$B153,0),0)</f>
        <v>1</v>
      </c>
      <c r="AQ153" s="46">
        <f>=IFERROR(ROUND((AQ19+AQ23)/$B153,0),0)</f>
        <v>1</v>
      </c>
      <c r="AR153" s="46">
        <f>=IFERROR(ROUND((AR19+AR23)/$B153,0),0)</f>
        <v>1</v>
      </c>
      <c r="AS153" s="46">
        <f>=IFERROR(ROUND((AS19+AS23)/$B153,0),0)</f>
        <v>1</v>
      </c>
      <c r="AT153" s="46">
        <f>=IFERROR(ROUND((AT19+AT23)/$B153,0),0)</f>
        <v>1</v>
      </c>
      <c r="AU153" s="46">
        <f>=IFERROR(ROUND((AU19+AU23)/$B153,0),0)</f>
        <v>1</v>
      </c>
      <c r="AV153" s="46">
        <f>=IFERROR(ROUND((AV19+AV23)/$B153,0),0)</f>
        <v>1</v>
      </c>
      <c r="AW153" s="46">
        <f>=IFERROR(ROUND((AW19+AW23)/$B153,0),0)</f>
        <v>1</v>
      </c>
      <c r="AX153" s="46">
        <f>=IFERROR(ROUND((AX19+AX23)/$B153,0),0)</f>
        <v>1</v>
      </c>
      <c r="AY153" s="46">
        <f>=IFERROR(ROUND((AY19+AY23)/$B153,0),0)</f>
        <v>1</v>
      </c>
      <c r="AZ153" s="46">
        <f>=IFERROR(ROUND((AZ19+AZ23)/$B153,0),0)</f>
        <v>1</v>
      </c>
      <c r="BA153" s="46">
        <f>=IFERROR(ROUND((BA19+BA23)/$B153,0),0)</f>
        <v>1</v>
      </c>
      <c r="BB153" s="46">
        <f>=IFERROR(ROUND((BB19+BB23)/$B153,0),0)</f>
        <v>1</v>
      </c>
      <c r="BC153" s="46">
        <f>=IFERROR(ROUND((BC19+BC23)/$B153,0),0)</f>
        <v>1</v>
      </c>
      <c r="BD153" s="73">
        <f>=IFERROR(ROUND((BD19+BD23)/$B153,0),0)</f>
        <v>1</v>
      </c>
      <c r="BE153" s="46">
        <f>=IFERROR(ROUND((BE19+BE23)/$B153,0),0)</f>
        <v>1</v>
      </c>
      <c r="BF153" s="46">
        <f>=IFERROR(ROUND((BF19+BF23)/$B153,0),0)</f>
        <v>1</v>
      </c>
      <c r="BG153" s="46">
        <f>=IFERROR(ROUND((BG19+BG23)/$B153,0),0)</f>
        <v>1</v>
      </c>
      <c r="BH153" s="46">
        <f>=IFERROR(ROUND((BH19+BH23)/$B153,0),0)</f>
        <v>1</v>
      </c>
      <c r="BI153" s="46">
        <f>=IFERROR(ROUND((BI19+BI23)/$B153,0),0)</f>
        <v>1</v>
      </c>
      <c r="BJ153" s="46">
        <f>=IFERROR(ROUND((BJ19+BJ23)/$B153,0),0)</f>
        <v>1</v>
      </c>
      <c r="BK153" s="46">
        <f>=IFERROR(ROUND((BK19+BK23)/$B153,0),0)</f>
        <v>1</v>
      </c>
      <c r="BL153" s="73">
        <f>=IFERROR(ROUND((BL19+BL23)/$B153,0),0)</f>
        <v>1</v>
      </c>
      <c r="BM153" s="46">
        <f>=IFERROR(ROUND((BM19+BM23)/$B153,0),0)</f>
        <v>1</v>
      </c>
      <c r="BN153" s="46">
        <f>=IFERROR(ROUND((BN19+BN23)/$B153,0),0)</f>
        <v>1</v>
      </c>
      <c r="BO153" s="46">
        <f>=IFERROR(ROUND((BO19+BO23)/$B153,0),0)</f>
        <v>1</v>
      </c>
      <c r="BP153" s="46">
        <f>=IFERROR(ROUND((BP19+BP23)/$B153,0),0)</f>
        <v>1</v>
      </c>
      <c r="BQ153" s="46">
        <f>=IFERROR(ROUND((BQ19+BQ23)/$B153,0),0)</f>
        <v>1</v>
      </c>
      <c r="BR153" s="46">
        <f>=IFERROR(ROUND((BR19+BR23)/$B153,0),0)</f>
        <v>1</v>
      </c>
      <c r="BS153" s="46">
        <f>=IFERROR(ROUND((BS19+BS23)/$B153,0),0)</f>
        <v>1</v>
      </c>
      <c r="BT153" s="46">
        <f>=IFERROR(ROUND((BT19+BT23)/$B153,0),0)</f>
        <v>1</v>
      </c>
      <c r="BU153" s="46">
        <f>=IFERROR(ROUND((BU19+BU23)/$B153,0),0)</f>
        <v>1</v>
      </c>
      <c r="BV153" s="46">
        <f>=IFERROR(ROUND((BV19+BV23)/$B153,0),0)</f>
        <v>1</v>
      </c>
      <c r="BW153" s="46">
        <f>=IFERROR(ROUND((BW19+BW23)/$B153,0),0)</f>
        <v>1</v>
      </c>
      <c r="BX153" s="46">
        <f>=IFERROR(ROUND((BX19+BX23)/$B153,0),0)</f>
        <v>1</v>
      </c>
      <c r="BY153" s="73">
        <f>=IFERROR(ROUND((BY19+BY23)/$B153,0),0)</f>
        <v>1</v>
      </c>
      <c r="BZ153" s="46">
        <f>=IFERROR(ROUND((BZ19+BZ23)/$B153,0),0)</f>
        <v>1</v>
      </c>
      <c r="CA153" s="46">
        <f>=IFERROR(ROUND((CA19+CA23)/$B153,0),0)</f>
        <v>1</v>
      </c>
      <c r="CB153" s="46">
        <f>=IFERROR(ROUND((CB19+CB23)/$B153,0),0)</f>
        <v>1</v>
      </c>
      <c r="CC153" s="46">
        <f>=IFERROR(ROUND((CC19+CC23)/$B153,0),0)</f>
        <v>1</v>
      </c>
      <c r="CD153" s="46">
        <f>=IFERROR(ROUND((CD19+CD23)/$B153,0),0)</f>
        <v>1</v>
      </c>
      <c r="CE153" s="46">
        <f>=IFERROR(ROUND((CE19+CE23)/$B153,0),0)</f>
        <v>1</v>
      </c>
      <c r="CF153" s="46">
        <f>=IFERROR(ROUND((CF19+CF23)/$B153,0),0)</f>
        <v>1</v>
      </c>
      <c r="CG153" s="46">
        <f>=IFERROR(ROUND((CG19+CG23)/$B153,0),0)</f>
        <v>1</v>
      </c>
      <c r="CH153" s="46">
        <f>=IFERROR(ROUND((CH19+CH23)/$B153,0),0)</f>
        <v>1</v>
      </c>
      <c r="CI153" s="46">
        <f>=IFERROR(ROUND((CI19+CI23)/$B153,0),0)</f>
        <v>1</v>
      </c>
      <c r="CJ153" s="46">
        <f>=IFERROR(ROUND((CJ19+CJ23)/$B153,0),0)</f>
        <v>1</v>
      </c>
      <c r="CK153" s="46">
        <f>=IFERROR(ROUND((CK19+CK23)/$B153,0),0)</f>
        <v>1</v>
      </c>
      <c r="CL153" s="46">
        <f>=IFERROR(ROUND((CL19+CL23)/$B153,0),0)</f>
        <v>1</v>
      </c>
      <c r="CM153" s="46">
        <f>=IFERROR(ROUND((CM19+CM23)/$B153,0),0)</f>
        <v>1</v>
      </c>
      <c r="CN153" s="46">
        <f>=IFERROR(ROUND((CN19+CN23)/$B153,0),0)</f>
        <v>1</v>
      </c>
      <c r="CO153" s="46">
        <f>=IFERROR(ROUND((CO19+CO23)/$B153,0),0)</f>
        <v>1</v>
      </c>
      <c r="CP153" s="46">
        <f>=IFERROR(ROUND((CP19+CP23)/$B153,0),0)</f>
        <v>1</v>
      </c>
      <c r="CQ153" s="46">
        <f>=IFERROR(ROUND((CQ19+CQ23)/$B153,0),0)</f>
        <v>1</v>
      </c>
      <c r="CR153" s="46">
        <f>=IFERROR(ROUND((CR19+CR23)/$B153,0),0)</f>
        <v>1</v>
      </c>
      <c r="CS153" s="46">
        <f>=IFERROR(ROUND((CS19+CS23)/$B153,0),0)</f>
        <v>1</v>
      </c>
      <c r="CT153" s="73">
        <f>=IFERROR(ROUND((CT19+CT23)/$B153,0),0)</f>
        <v>1</v>
      </c>
      <c r="CU153" s="46">
        <f>=IFERROR(ROUND((CU19+CU23)/$B153,0),0)</f>
        <v>1</v>
      </c>
      <c r="CV153" s="46">
        <f>=IFERROR(ROUND((CV19+CV23)/$B153,0),0)</f>
        <v>1</v>
      </c>
      <c r="CW153" s="73">
        <f>=IFERROR(ROUND((CW19+CW23)/$B153,0),0)</f>
        <v>1</v>
      </c>
      <c r="CX153" s="73">
        <f>=IFERROR(ROUND((CX19+CX23)/$B153,0),0)</f>
        <v>1</v>
      </c>
      <c r="CY153" s="46">
        <f>=IFERROR(ROUND((CY19+CY23)/$B153,0),0)</f>
        <v>1</v>
      </c>
      <c r="CZ153" s="46">
        <f>=IFERROR(ROUND((CZ19+CZ23)/$B153,0),0)</f>
        <v>1</v>
      </c>
      <c r="DA153" s="46">
        <f>=IFERROR(ROUND((DA19+DA23)/$B153,0),0)</f>
        <v>1</v>
      </c>
      <c r="DB153" s="46">
        <f>=IFERROR(ROUND((DB19+DB23)/$B153,0),0)</f>
        <v>1</v>
      </c>
    </row>
    <row r="154" spans="1:106" x14ac:dyDescent="0.25">
      <c r="A154" s="17" t="s">
        <v>358</v>
      </c>
      <c r="B154" s="17">
        <v>40</v>
      </c>
      <c r="C154" s="46">
        <f>=IFERROR(ROUND((C19+C23)/$B154,0),0)</f>
        <v>1</v>
      </c>
      <c r="D154" s="46">
        <f>=IFERROR(ROUND((D19+D23)/$B154,0),0)</f>
        <v>1</v>
      </c>
      <c r="E154" s="46">
        <f>=IFERROR(ROUND((E19+E23)/$B154,0),0)</f>
        <v>0</v>
      </c>
      <c r="F154" s="46">
        <f>=IFERROR(ROUND((F19+F23)/$B154,0),0)</f>
        <v>0</v>
      </c>
      <c r="G154" s="46">
        <f>=IFERROR(ROUND((G19+G23)/$B154,0),0)</f>
        <v>0</v>
      </c>
      <c r="H154" s="46">
        <f>=IFERROR(ROUND((H19+H23)/$B154,0),0)</f>
        <v>1</v>
      </c>
      <c r="I154" s="46">
        <f>=IFERROR(ROUND((I19+I23)/$B154,0),0)</f>
        <v>1</v>
      </c>
      <c r="J154" s="46">
        <f>=IFERROR(ROUND((J19+J23)/$B154,0),0)</f>
        <v>1</v>
      </c>
      <c r="K154" s="46">
        <f>=IFERROR(ROUND((K19+K23)/$B154,0),0)</f>
        <v>1</v>
      </c>
      <c r="L154" s="46">
        <f>=IFERROR(ROUND((L19+L23)/$B154,0),0)</f>
        <v>1</v>
      </c>
      <c r="M154" s="46">
        <f>=IFERROR(ROUND((M19+M23)/$B154,0),0)</f>
        <v>1</v>
      </c>
      <c r="N154" s="46">
        <f>=IFERROR(ROUND((N19+N23)/$B154,0),0)</f>
        <v>1</v>
      </c>
      <c r="O154" s="46">
        <f>=IFERROR(ROUND((O19+O23)/$B154,0),0)</f>
        <v>1</v>
      </c>
      <c r="P154" s="46">
        <f>=IFERROR(ROUND((P19+P23)/$B154,0),0)</f>
        <v>1</v>
      </c>
      <c r="Q154" s="46">
        <f>=IFERROR(ROUND((Q19+Q23)/$B154,0),0)</f>
        <v>1</v>
      </c>
      <c r="R154" s="46">
        <f>=IFERROR(ROUND((R19+R23)/$B154,0),0)</f>
        <v>1</v>
      </c>
      <c r="S154" s="46">
        <f>=IFERROR(ROUND((S19+S23)/$B154,0),0)</f>
        <v>1</v>
      </c>
      <c r="T154" s="46">
        <f>=IFERROR(ROUND((T19+T23)/$B154,0),0)</f>
        <v>1</v>
      </c>
      <c r="U154" s="46">
        <f>=IFERROR(ROUND((U19+U23)/$B154,0),0)</f>
        <v>1</v>
      </c>
      <c r="V154" s="46">
        <f>=IFERROR(ROUND((V19+V23)/$B154,0),0)</f>
        <v>1</v>
      </c>
      <c r="W154" s="46">
        <f>=IFERROR(ROUND((W19+W23)/$B154,0),0)</f>
        <v>1</v>
      </c>
      <c r="X154" s="46">
        <f>=IFERROR(ROUND((X19+X23)/$B154,0),0)</f>
        <v>1</v>
      </c>
      <c r="Y154" s="46">
        <f>=IFERROR(ROUND((Y19+Y23)/$B154,0),0)</f>
        <v>1</v>
      </c>
      <c r="Z154" s="46">
        <f>=IFERROR(ROUND((Z19+Z23)/$B154,0),0)</f>
        <v>1</v>
      </c>
      <c r="AA154" s="46">
        <f>=IFERROR(ROUND((AA19+AA23)/$B154,0),0)</f>
        <v>1</v>
      </c>
      <c r="AB154" s="46">
        <f>=IFERROR(ROUND((AB19+AB23)/$B154,0),0)</f>
        <v>1</v>
      </c>
      <c r="AC154" s="46">
        <f>=IFERROR(ROUND((AC19+AC23)/$B154,0),0)</f>
        <v>1</v>
      </c>
      <c r="AD154" s="46">
        <f>=IFERROR(ROUND((AD19+AD23)/$B154,0),0)</f>
        <v>0</v>
      </c>
      <c r="AE154" s="46">
        <f>=IFERROR(ROUND((AE19+AE23)/$B154,0),0)</f>
        <v>0</v>
      </c>
      <c r="AF154" s="46">
        <f>=IFERROR(ROUND((AF19+AF23)/$B154,0),0)</f>
        <v>0</v>
      </c>
      <c r="AG154" s="46">
        <f>=IFERROR(ROUND((AG19+AG23)/$B154,0),0)</f>
        <v>0</v>
      </c>
      <c r="AH154" s="46">
        <f>=IFERROR(ROUND((AH19+AH23)/$B154,0),0)</f>
        <v>0</v>
      </c>
      <c r="AI154" s="46">
        <f>=IFERROR(ROUND((AI19+AI23)/$B154,0),0)</f>
        <v>0</v>
      </c>
      <c r="AJ154" s="46">
        <f>=IFERROR(ROUND((AJ19+AJ23)/$B154,0),0)</f>
        <v>0</v>
      </c>
      <c r="AK154" s="46">
        <f>=IFERROR(ROUND((AK19+AK23)/$B154,0),0)</f>
        <v>0</v>
      </c>
      <c r="AL154" s="46">
        <f>=IFERROR(ROUND((AL19+AL23)/$B154,0),0)</f>
        <v>0</v>
      </c>
      <c r="AM154" s="46">
        <f>=IFERROR(ROUND((AM19+AM23)/$B154,0),0)</f>
        <v>0</v>
      </c>
      <c r="AN154" s="46">
        <f>=IFERROR(ROUND((AN19+AN23)/$B154,0),0)</f>
        <v>1</v>
      </c>
      <c r="AO154" s="46">
        <f>=IFERROR(ROUND((AO19+AO23)/$B154,0),0)</f>
        <v>1</v>
      </c>
      <c r="AP154" s="46">
        <f>=IFERROR(ROUND((AP19+AP23)/$B154,0),0)</f>
        <v>0</v>
      </c>
      <c r="AQ154" s="46">
        <f>=IFERROR(ROUND((AQ19+AQ23)/$B154,0),0)</f>
        <v>0</v>
      </c>
      <c r="AR154" s="46">
        <f>=IFERROR(ROUND((AR19+AR23)/$B154,0),0)</f>
        <v>1</v>
      </c>
      <c r="AS154" s="46">
        <f>=IFERROR(ROUND((AS19+AS23)/$B154,0),0)</f>
        <v>1</v>
      </c>
      <c r="AT154" s="46">
        <f>=IFERROR(ROUND((AT19+AT23)/$B154,0),0)</f>
        <v>1</v>
      </c>
      <c r="AU154" s="46">
        <f>=IFERROR(ROUND((AU19+AU23)/$B154,0),0)</f>
        <v>1</v>
      </c>
      <c r="AV154" s="46">
        <f>=IFERROR(ROUND((AV19+AV23)/$B154,0),0)</f>
        <v>1</v>
      </c>
      <c r="AW154" s="46">
        <f>=IFERROR(ROUND((AW19+AW23)/$B154,0),0)</f>
        <v>1</v>
      </c>
      <c r="AX154" s="46">
        <f>=IFERROR(ROUND((AX19+AX23)/$B154,0),0)</f>
        <v>1</v>
      </c>
      <c r="AY154" s="46">
        <f>=IFERROR(ROUND((AY19+AY23)/$B154,0),0)</f>
        <v>1</v>
      </c>
      <c r="AZ154" s="46">
        <f>=IFERROR(ROUND((AZ19+AZ23)/$B154,0),0)</f>
        <v>1</v>
      </c>
      <c r="BA154" s="46">
        <f>=IFERROR(ROUND((BA19+BA23)/$B154,0),0)</f>
        <v>0</v>
      </c>
      <c r="BB154" s="46">
        <f>=IFERROR(ROUND((BB19+BB23)/$B154,0),0)</f>
        <v>0</v>
      </c>
      <c r="BC154" s="73">
        <f>=IFERROR(ROUND((BC19+BC23)/$B154,0),0)</f>
        <v>1</v>
      </c>
      <c r="BD154" s="46">
        <f>=IFERROR(ROUND((BD19+BD23)/$B154,0),0)</f>
        <v>1</v>
      </c>
      <c r="BE154" s="46">
        <f>=IFERROR(ROUND((BE19+BE23)/$B154,0),0)</f>
        <v>1</v>
      </c>
      <c r="BF154" s="46">
        <f>=IFERROR(ROUND((BF19+BF23)/$B154,0),0)</f>
        <v>1</v>
      </c>
      <c r="BG154" s="46">
        <f>=IFERROR(ROUND((BG19+BG23)/$B154,0),0)</f>
        <v>1</v>
      </c>
      <c r="BH154" s="46">
        <f>=IFERROR(ROUND((BH19+BH23)/$B154,0),0)</f>
        <v>1</v>
      </c>
      <c r="BI154" s="46">
        <f>=IFERROR(ROUND((BI19+BI23)/$B154,0),0)</f>
        <v>1</v>
      </c>
      <c r="BJ154" s="46">
        <f>=IFERROR(ROUND((BJ19+BJ23)/$B154,0),0)</f>
        <v>1</v>
      </c>
      <c r="BK154" s="46">
        <f>=IFERROR(ROUND((BK19+BK23)/$B154,0),0)</f>
        <v>1</v>
      </c>
      <c r="BL154" s="46">
        <f>=IFERROR(ROUND((BL19+BL23)/$B154,0),0)</f>
        <v>1</v>
      </c>
      <c r="BM154" s="46">
        <f>=IFERROR(ROUND((BM19+BM23)/$B154,0),0)</f>
        <v>0</v>
      </c>
      <c r="BN154" s="46">
        <f>=IFERROR(ROUND((BN19+BN23)/$B154,0),0)</f>
        <v>0</v>
      </c>
      <c r="BO154" s="46">
        <f>=IFERROR(ROUND((BO19+BO23)/$B154,0),0)</f>
        <v>0</v>
      </c>
      <c r="BP154" s="46">
        <f>=IFERROR(ROUND((BP19+BP23)/$B154,0),0)</f>
        <v>0</v>
      </c>
      <c r="BQ154" s="46">
        <f>=IFERROR(ROUND((BQ19+BQ23)/$B154,0),0)</f>
        <v>0</v>
      </c>
      <c r="BR154" s="46">
        <f>=IFERROR(ROUND((BR19+BR23)/$B154,0),0)</f>
        <v>0</v>
      </c>
      <c r="BS154" s="46">
        <f>=IFERROR(ROUND((BS19+BS23)/$B154,0),0)</f>
        <v>0</v>
      </c>
      <c r="BT154" s="46">
        <f>=IFERROR(ROUND((BT19+BT23)/$B154,0),0)</f>
        <v>0</v>
      </c>
      <c r="BU154" s="46">
        <f>=IFERROR(ROUND((BU19+BU23)/$B154,0),0)</f>
        <v>0</v>
      </c>
      <c r="BV154" s="46">
        <f>=IFERROR(ROUND((BV19+BV23)/$B154,0),0)</f>
        <v>0</v>
      </c>
      <c r="BW154" s="46">
        <f>=IFERROR(ROUND((BW19+BW23)/$B154,0),0)</f>
        <v>0</v>
      </c>
      <c r="BX154" s="46">
        <f>=IFERROR(ROUND((BX19+BX23)/$B154,0),0)</f>
        <v>0</v>
      </c>
      <c r="BY154" s="46">
        <f>=IFERROR(ROUND((BY19+BY23)/$B154,0),0)</f>
        <v>0</v>
      </c>
      <c r="BZ154" s="46">
        <f>=IFERROR(ROUND((BZ19+BZ23)/$B154,0),0)</f>
        <v>0</v>
      </c>
      <c r="CA154" s="46">
        <f>=IFERROR(ROUND((CA19+CA23)/$B154,0),0)</f>
        <v>0</v>
      </c>
      <c r="CB154" s="46">
        <f>=IFERROR(ROUND((CB19+CB23)/$B154,0),0)</f>
        <v>0</v>
      </c>
      <c r="CC154" s="46">
        <f>=IFERROR(ROUND((CC19+CC23)/$B154,0),0)</f>
        <v>0</v>
      </c>
      <c r="CD154" s="46">
        <f>=IFERROR(ROUND((CD19+CD23)/$B154,0),0)</f>
        <v>0</v>
      </c>
      <c r="CE154" s="46">
        <f>=IFERROR(ROUND((CE19+CE23)/$B154,0),0)</f>
        <v>0</v>
      </c>
      <c r="CF154" s="46">
        <f>=IFERROR(ROUND((CF19+CF23)/$B154,0),0)</f>
        <v>0</v>
      </c>
      <c r="CG154" s="46">
        <f>=IFERROR(ROUND((CG19+CG23)/$B154,0),0)</f>
        <v>0</v>
      </c>
      <c r="CH154" s="46">
        <f>=IFERROR(ROUND((CH19+CH23)/$B154,0),0)</f>
        <v>0</v>
      </c>
      <c r="CI154" s="46">
        <f>=IFERROR(ROUND((CI19+CI23)/$B154,0),0)</f>
        <v>0</v>
      </c>
      <c r="CJ154" s="73">
        <f>=IFERROR(ROUND((CJ19+CJ23)/$B154,0),0)</f>
        <v>0</v>
      </c>
      <c r="CK154" s="46">
        <f>=IFERROR(ROUND((CK19+CK23)/$B154,0),0)</f>
        <v>0</v>
      </c>
      <c r="CL154" s="73">
        <f>=IFERROR(ROUND((CL19+CL23)/$B154,0),0)</f>
        <v>0</v>
      </c>
      <c r="CM154" s="46">
        <f>=IFERROR(ROUND((CM19+CM23)/$B154,0),0)</f>
        <v>0</v>
      </c>
      <c r="CN154" s="46">
        <f>=IFERROR(ROUND((CN19+CN23)/$B154,0),0)</f>
        <v>0</v>
      </c>
      <c r="CO154" s="46">
        <f>=IFERROR(ROUND((CO19+CO23)/$B154,0),0)</f>
        <v>0</v>
      </c>
      <c r="CP154" s="46">
        <f>=IFERROR(ROUND((CP19+CP23)/$B154,0),0)</f>
        <v>0</v>
      </c>
      <c r="CQ154" s="46">
        <f>=IFERROR(ROUND((CQ19+CQ23)/$B154,0),0)</f>
        <v>0</v>
      </c>
      <c r="CR154" s="46">
        <f>=IFERROR(ROUND((CR19+CR23)/$B154,0),0)</f>
        <v>0</v>
      </c>
      <c r="CS154" s="46">
        <f>=IFERROR(ROUND((CS19+CS23)/$B154,0),0)</f>
        <v>0</v>
      </c>
      <c r="CT154" s="46">
        <f>=IFERROR(ROUND((CT19+CT23)/$B154,0),0)</f>
        <v>0</v>
      </c>
      <c r="CU154" s="46">
        <f>=IFERROR(ROUND((CU19+CU23)/$B154,0),0)</f>
        <v>0</v>
      </c>
      <c r="CV154" s="46">
        <f>=IFERROR(ROUND((CV19+CV23)/$B154,0),0)</f>
        <v>0</v>
      </c>
      <c r="CW154" s="46">
        <f>=IFERROR(ROUND((CW19+CW23)/$B154,0),0)</f>
        <v>0</v>
      </c>
      <c r="CX154" s="46">
        <f>=IFERROR(ROUND((CX19+CX23)/$B154,0),0)</f>
        <v>0</v>
      </c>
      <c r="CY154" s="46">
        <f>=IFERROR(ROUND((CY19+CY23)/$B154,0),0)</f>
        <v>0</v>
      </c>
      <c r="CZ154" s="46">
        <f>=IFERROR(ROUND((CZ19+CZ23)/$B154,0),0)</f>
        <v>0</v>
      </c>
      <c r="DA154" s="46">
        <f>=IFERROR(ROUND((DA19+DA23)/$B154,0),0)</f>
        <v>0</v>
      </c>
      <c r="DB154" s="46">
        <f>=IFERROR(ROUND((DB19+DB23)/$B154,0),0)</f>
        <v>0</v>
      </c>
    </row>
    <row r="155" spans="1:106" x14ac:dyDescent="0.25">
      <c r="A155" s="17" t="s">
        <v>359</v>
      </c>
      <c r="B155" s="17">
        <v>30</v>
      </c>
      <c r="C155" s="46">
        <f>=IFERROR(ROUND(C19/$B155,0),0)</f>
        <v>1</v>
      </c>
      <c r="D155" s="46">
        <f>=IFERROR(ROUND(D19/$B155,0),0)</f>
        <v>1</v>
      </c>
      <c r="E155" s="46">
        <f>=IFERROR(ROUND(E19/$B155,0),0)</f>
        <v>1</v>
      </c>
      <c r="F155" s="46">
        <f>=IFERROR(ROUND(F19/$B155,0),0)</f>
        <v>1</v>
      </c>
      <c r="G155" s="46">
        <f>=IFERROR(ROUND(G19/$B155,0),0)</f>
        <v>1</v>
      </c>
      <c r="H155" s="46">
        <f>=IFERROR(ROUND(H19/$B155,0),0)</f>
        <v>1</v>
      </c>
      <c r="I155" s="46">
        <f>=IFERROR(ROUND(I19/$B155,0),0)</f>
        <v>1</v>
      </c>
      <c r="J155" s="46">
        <f>=IFERROR(ROUND(J19/$B155,0),0)</f>
        <v>1</v>
      </c>
      <c r="K155" s="46">
        <f>=IFERROR(ROUND(K19/$B155,0),0)</f>
        <v>1</v>
      </c>
      <c r="L155" s="46">
        <f>=IFERROR(ROUND(L19/$B155,0),0)</f>
        <v>1</v>
      </c>
      <c r="M155" s="46">
        <f>=IFERROR(ROUND(M19/$B155,0),0)</f>
        <v>1</v>
      </c>
      <c r="N155" s="46">
        <f>=IFERROR(ROUND(N19/$B155,0),0)</f>
        <v>1</v>
      </c>
      <c r="O155" s="46">
        <f>=IFERROR(ROUND(O19/$B155,0),0)</f>
        <v>1</v>
      </c>
      <c r="P155" s="46">
        <f>=IFERROR(ROUND(P19/$B155,0),0)</f>
        <v>1</v>
      </c>
      <c r="Q155" s="46">
        <f>=IFERROR(ROUND(Q19/$B155,0),0)</f>
        <v>1</v>
      </c>
      <c r="R155" s="46">
        <f>=IFERROR(ROUND(R19/$B155,0),0)</f>
        <v>1</v>
      </c>
      <c r="S155" s="46">
        <f>=IFERROR(ROUND(S19/$B155,0),0)</f>
        <v>1</v>
      </c>
      <c r="T155" s="46">
        <f>=IFERROR(ROUND(T19/$B155,0),0)</f>
        <v>1</v>
      </c>
      <c r="U155" s="46">
        <f>=IFERROR(ROUND(U19/$B155,0),0)</f>
        <v>1</v>
      </c>
      <c r="V155" s="46">
        <f>=IFERROR(ROUND(V19/$B155,0),0)</f>
        <v>1</v>
      </c>
      <c r="W155" s="46">
        <f>=IFERROR(ROUND(W19/$B155,0),0)</f>
        <v>1</v>
      </c>
      <c r="X155" s="46">
        <f>=IFERROR(ROUND(X19/$B155,0),0)</f>
        <v>1</v>
      </c>
      <c r="Y155" s="46">
        <f>=IFERROR(ROUND(Y19/$B155,0),0)</f>
        <v>1</v>
      </c>
      <c r="Z155" s="46">
        <f>=IFERROR(ROUND(Z19/$B155,0),0)</f>
        <v>1</v>
      </c>
      <c r="AA155" s="46">
        <f>=IFERROR(ROUND(AA19/$B155,0),0)</f>
        <v>1</v>
      </c>
      <c r="AB155" s="46">
        <f>=IFERROR(ROUND(AB19/$B155,0),0)</f>
        <v>1</v>
      </c>
      <c r="AC155" s="46">
        <f>=IFERROR(ROUND(AC19/$B155,0),0)</f>
        <v>1</v>
      </c>
      <c r="AD155" s="46">
        <f>=IFERROR(ROUND(AD19/$B155,0),0)</f>
        <v>1</v>
      </c>
      <c r="AE155" s="46">
        <f>=IFERROR(ROUND(AE19/$B155,0),0)</f>
        <v>1</v>
      </c>
      <c r="AF155" s="46">
        <f>=IFERROR(ROUND(AF19/$B155,0),0)</f>
        <v>1</v>
      </c>
      <c r="AG155" s="46">
        <f>=IFERROR(ROUND(AG19/$B155,0),0)</f>
        <v>1</v>
      </c>
      <c r="AH155" s="46">
        <f>=IFERROR(ROUND(AH19/$B155,0),0)</f>
        <v>1</v>
      </c>
      <c r="AI155" s="46">
        <f>=IFERROR(ROUND(AI19/$B155,0),0)</f>
        <v>1</v>
      </c>
      <c r="AJ155" s="46">
        <f>=IFERROR(ROUND(AJ19/$B155,0),0)</f>
        <v>1</v>
      </c>
      <c r="AK155" s="46">
        <f>=IFERROR(ROUND(AK19/$B155,0),0)</f>
        <v>1</v>
      </c>
      <c r="AL155" s="46">
        <f>=IFERROR(ROUND(AL19/$B155,0),0)</f>
        <v>1</v>
      </c>
      <c r="AM155" s="46">
        <f>=IFERROR(ROUND(AM19/$B155,0),0)</f>
        <v>1</v>
      </c>
      <c r="AN155" s="46">
        <f>=IFERROR(ROUND(AN19/$B155,0),0)</f>
        <v>1</v>
      </c>
      <c r="AO155" s="46">
        <f>=IFERROR(ROUND(AO19/$B155,0),0)</f>
        <v>1</v>
      </c>
      <c r="AP155" s="46">
        <f>=IFERROR(ROUND(AP19/$B155,0),0)</f>
        <v>1</v>
      </c>
      <c r="AQ155" s="46">
        <f>=IFERROR(ROUND(AQ19/$B155,0),0)</f>
        <v>1</v>
      </c>
      <c r="AR155" s="46">
        <f>=IFERROR(ROUND(AR19/$B155,0),0)</f>
        <v>1</v>
      </c>
      <c r="AS155" s="46">
        <f>=IFERROR(ROUND(AS19/$B155,0),0)</f>
        <v>1</v>
      </c>
      <c r="AT155" s="46">
        <f>=IFERROR(ROUND(AT19/$B155,0),0)</f>
        <v>1</v>
      </c>
      <c r="AU155" s="46">
        <f>=IFERROR(ROUND(AU19/$B155,0),0)</f>
        <v>1</v>
      </c>
      <c r="AV155" s="46">
        <f>=IFERROR(ROUND(AV19/$B155,0),0)</f>
        <v>1</v>
      </c>
      <c r="AW155" s="46">
        <f>=IFERROR(ROUND(AW19/$B155,0),0)</f>
        <v>1</v>
      </c>
      <c r="AX155" s="46">
        <f>=IFERROR(ROUND(AX19/$B155,0),0)</f>
        <v>1</v>
      </c>
      <c r="AY155" s="46">
        <f>=IFERROR(ROUND(AY19/$B155,0),0)</f>
        <v>1</v>
      </c>
      <c r="AZ155" s="46">
        <f>=IFERROR(ROUND(AZ19/$B155,0),0)</f>
        <v>1</v>
      </c>
      <c r="BA155" s="46">
        <f>=IFERROR(ROUND(BA19/$B155,0),0)</f>
        <v>1</v>
      </c>
      <c r="BB155" s="46">
        <f>=IFERROR(ROUND(BB19/$B155,0),0)</f>
        <v>1</v>
      </c>
      <c r="BC155" s="46">
        <f>=IFERROR(ROUND(BC19/$B155,0),0)</f>
        <v>1</v>
      </c>
      <c r="BD155" s="46">
        <f>=IFERROR(ROUND(BD19/$B155,0),0)</f>
        <v>1</v>
      </c>
      <c r="BE155" s="46">
        <f>=IFERROR(ROUND(BE19/$B155,0),0)</f>
        <v>1</v>
      </c>
      <c r="BF155" s="46">
        <f>=IFERROR(ROUND(BF19/$B155,0),0)</f>
        <v>1</v>
      </c>
      <c r="BG155" s="46">
        <f>=IFERROR(ROUND(BG19/$B155,0),0)</f>
        <v>1</v>
      </c>
      <c r="BH155" s="46">
        <f>=IFERROR(ROUND(BH19/$B155,0),0)</f>
        <v>1</v>
      </c>
      <c r="BI155" s="46">
        <f>=IFERROR(ROUND(BI19/$B155,0),0)</f>
        <v>1</v>
      </c>
      <c r="BJ155" s="46">
        <f>=IFERROR(ROUND(BJ19/$B155,0),0)</f>
        <v>1</v>
      </c>
      <c r="BK155" s="46">
        <f>=IFERROR(ROUND(BK19/$B155,0),0)</f>
        <v>1</v>
      </c>
      <c r="BL155" s="73">
        <f>=IFERROR(ROUND(BL19/$B155,0),0)</f>
        <v>1</v>
      </c>
      <c r="BM155" s="46">
        <f>=IFERROR(ROUND(BM19/$B155,0),0)</f>
        <v>1</v>
      </c>
      <c r="BN155" s="46">
        <f>=IFERROR(ROUND(BN19/$B155,0),0)</f>
        <v>1</v>
      </c>
      <c r="BO155" s="46">
        <f>=IFERROR(ROUND(BO19/$B155,0),0)</f>
        <v>1</v>
      </c>
      <c r="BP155" s="46">
        <f>=IFERROR(ROUND(BP19/$B155,0),0)</f>
        <v>1</v>
      </c>
      <c r="BQ155" s="46">
        <f>=IFERROR(ROUND(BQ19/$B155,0),0)</f>
        <v>1</v>
      </c>
      <c r="BR155" s="46">
        <f>=IFERROR(ROUND(BR19/$B155,0),0)</f>
        <v>1</v>
      </c>
      <c r="BS155" s="46">
        <f>=IFERROR(ROUND(BS19/$B155,0),0)</f>
        <v>1</v>
      </c>
      <c r="BT155" s="46">
        <f>=IFERROR(ROUND(BT19/$B155,0),0)</f>
        <v>1</v>
      </c>
      <c r="BU155" s="46">
        <f>=IFERROR(ROUND(BU19/$B155,0),0)</f>
        <v>1</v>
      </c>
      <c r="BV155" s="46">
        <f>=IFERROR(ROUND(BV19/$B155,0),0)</f>
        <v>1</v>
      </c>
      <c r="BW155" s="46">
        <f>=IFERROR(ROUND(BW19/$B155,0),0)</f>
        <v>1</v>
      </c>
      <c r="BX155" s="46">
        <f>=IFERROR(ROUND(BX19/$B155,0),0)</f>
        <v>1</v>
      </c>
      <c r="BY155" s="73">
        <f>=IFERROR(ROUND(BY19/$B155,0),0)</f>
        <v>1</v>
      </c>
      <c r="BZ155" s="46">
        <f>=IFERROR(ROUND(BZ19/$B155,0),0)</f>
        <v>1</v>
      </c>
      <c r="CA155" s="46">
        <f>=IFERROR(ROUND(CA19/$B155,0),0)</f>
        <v>1</v>
      </c>
      <c r="CB155" s="46">
        <f>=IFERROR(ROUND(CB19/$B155,0),0)</f>
        <v>1</v>
      </c>
      <c r="CC155" s="46">
        <f>=IFERROR(ROUND(CC19/$B155,0),0)</f>
        <v>1</v>
      </c>
      <c r="CD155" s="46">
        <f>=IFERROR(ROUND(CD19/$B155,0),0)</f>
        <v>1</v>
      </c>
      <c r="CE155" s="46">
        <f>=IFERROR(ROUND(CE19/$B155,0),0)</f>
        <v>1</v>
      </c>
      <c r="CF155" s="46">
        <f>=IFERROR(ROUND(CF19/$B155,0),0)</f>
        <v>1</v>
      </c>
      <c r="CG155" s="46">
        <f>=IFERROR(ROUND(CG19/$B155,0),0)</f>
        <v>1</v>
      </c>
      <c r="CH155" s="46">
        <f>=IFERROR(ROUND(CH19/$B155,0),0)</f>
        <v>1</v>
      </c>
      <c r="CI155" s="46">
        <f>=IFERROR(ROUND(CI19/$B155,0),0)</f>
        <v>1</v>
      </c>
      <c r="CJ155" s="46">
        <f>=IFERROR(ROUND(CJ19/$B155,0),0)</f>
        <v>1</v>
      </c>
      <c r="CK155" s="46">
        <f>=IFERROR(ROUND(CK19/$B155,0),0)</f>
        <v>1</v>
      </c>
      <c r="CL155" s="46">
        <f>=IFERROR(ROUND(CL19/$B155,0),0)</f>
        <v>1</v>
      </c>
      <c r="CM155" s="46">
        <f>=IFERROR(ROUND(CM19/$B155,0),0)</f>
        <v>1</v>
      </c>
      <c r="CN155" s="46">
        <f>=IFERROR(ROUND(CN19/$B155,0),0)</f>
        <v>1</v>
      </c>
      <c r="CO155" s="46">
        <f>=IFERROR(ROUND(CO19/$B155,0),0)</f>
        <v>1</v>
      </c>
      <c r="CP155" s="46">
        <f>=IFERROR(ROUND(CP19/$B155,0),0)</f>
        <v>1</v>
      </c>
      <c r="CQ155" s="46">
        <f>=IFERROR(ROUND(CQ19/$B155,0),0)</f>
        <v>1</v>
      </c>
      <c r="CR155" s="46">
        <f>=IFERROR(ROUND(CR19/$B155,0),0)</f>
        <v>0</v>
      </c>
      <c r="CS155" s="46">
        <f>=IFERROR(ROUND(CS19/$B155,0),0)</f>
        <v>0</v>
      </c>
      <c r="CT155" s="73">
        <f>=IFERROR(ROUND(CT19/$B155,0),0)</f>
        <v>0</v>
      </c>
      <c r="CU155" s="46">
        <f>=IFERROR(ROUND(CU19/$B155,0),0)</f>
        <v>0</v>
      </c>
      <c r="CV155" s="46">
        <f>=IFERROR(ROUND(CV19/$B155,0),0)</f>
        <v>0</v>
      </c>
      <c r="CW155" s="73">
        <f>=IFERROR(ROUND(CW19/$B155,0),0)</f>
        <v>0</v>
      </c>
      <c r="CX155" s="73">
        <f>=IFERROR(ROUND(CX19/$B155,0),0)</f>
        <v>0</v>
      </c>
      <c r="CY155" s="46">
        <f>=IFERROR(ROUND(CY19/$B155,0),0)</f>
        <v>0</v>
      </c>
      <c r="CZ155" s="46">
        <f>=IFERROR(ROUND(CZ19/$B155,0),0)</f>
        <v>0</v>
      </c>
      <c r="DA155" s="46">
        <f>=IFERROR(ROUND(DA19/$B155,0),0)</f>
        <v>0</v>
      </c>
      <c r="DB155" s="46">
        <f>=IFERROR(ROUND(DB19/$B155,0),0)</f>
        <v>0</v>
      </c>
    </row>
    <row r="156" spans="1:106" x14ac:dyDescent="0.25">
      <c r="A156" s="17" t="s">
        <v>360</v>
      </c>
      <c r="B156" s="17">
        <v>100</v>
      </c>
      <c r="C156" s="46">
        <f>=IFERROR(ROUND(C10/$B156,0),0)</f>
        <v>0</v>
      </c>
      <c r="D156" s="46">
        <f>=IFERROR(ROUND(D10/$B156,0),0)</f>
        <v>0</v>
      </c>
      <c r="E156" s="46">
        <f>=IFERROR(ROUND(E10/$B156,0),0)</f>
        <v>0</v>
      </c>
      <c r="F156" s="46">
        <f>=IFERROR(ROUND(F10/$B156,0),0)</f>
        <v>0</v>
      </c>
      <c r="G156" s="46">
        <f>=IFERROR(ROUND(G10/$B156,0),0)</f>
        <v>0</v>
      </c>
      <c r="H156" s="46">
        <f>=IFERROR(ROUND(H10/$B156,0),0)</f>
        <v>0</v>
      </c>
      <c r="I156" s="46">
        <f>=IFERROR(ROUND(I10/$B156,0),0)</f>
        <v>0</v>
      </c>
      <c r="J156" s="46">
        <f>=IFERROR(ROUND(J10/$B156,0),0)</f>
        <v>0</v>
      </c>
      <c r="K156" s="46">
        <f>=IFERROR(ROUND(K10/$B156,0),0)</f>
        <v>0</v>
      </c>
      <c r="L156" s="46">
        <f>=IFERROR(ROUND(L10/$B156,0),0)</f>
        <v>0</v>
      </c>
      <c r="M156" s="46">
        <f>=IFERROR(ROUND(M10/$B156,0),0)</f>
        <v>0</v>
      </c>
      <c r="N156" s="46">
        <f>=IFERROR(ROUND(N10/$B156,0),0)</f>
        <v>0</v>
      </c>
      <c r="O156" s="46">
        <f>=IFERROR(ROUND(O10/$B156,0),0)</f>
        <v>0</v>
      </c>
      <c r="P156" s="46">
        <f>=IFERROR(ROUND(P10/$B156,0),0)</f>
        <v>0</v>
      </c>
      <c r="Q156" s="46">
        <f>=IFERROR(ROUND(Q10/$B156,0),0)</f>
        <v>0</v>
      </c>
      <c r="R156" s="46">
        <f>=IFERROR(ROUND(R10/$B156,0),0)</f>
        <v>0</v>
      </c>
      <c r="S156" s="46">
        <f>=IFERROR(ROUND(S10/$B156,0),0)</f>
        <v>0</v>
      </c>
      <c r="T156" s="46">
        <f>=IFERROR(ROUND(T10/$B156,0),0)</f>
        <v>0</v>
      </c>
      <c r="U156" s="46">
        <f>=IFERROR(ROUND(U10/$B156,0),0)</f>
        <v>0</v>
      </c>
      <c r="V156" s="46">
        <f>=IFERROR(ROUND(V10/$B156,0),0)</f>
        <v>0</v>
      </c>
      <c r="W156" s="46">
        <f>=IFERROR(ROUND(W10/$B156,0),0)</f>
        <v>0</v>
      </c>
      <c r="X156" s="46">
        <f>=IFERROR(ROUND(X10/$B156,0),0)</f>
        <v>0</v>
      </c>
      <c r="Y156" s="46">
        <f>=IFERROR(ROUND(Y10/$B156,0),0)</f>
        <v>0</v>
      </c>
      <c r="Z156" s="46">
        <f>=IFERROR(ROUND(Z10/$B156,0),0)</f>
        <v>0</v>
      </c>
      <c r="AA156" s="46">
        <f>=IFERROR(ROUND(AA10/$B156,0),0)</f>
        <v>0</v>
      </c>
      <c r="AB156" s="46">
        <f>=IFERROR(ROUND(AB10/$B156,0),0)</f>
        <v>0</v>
      </c>
      <c r="AC156" s="46">
        <f>=IFERROR(ROUND(AC10/$B156,0),0)</f>
        <v>0</v>
      </c>
      <c r="AD156" s="46">
        <f>=IFERROR(ROUND(AD10/$B156,0),0)</f>
        <v>0</v>
      </c>
      <c r="AE156" s="46">
        <f>=IFERROR(ROUND(AE10/$B156,0),0)</f>
        <v>0</v>
      </c>
      <c r="AF156" s="46">
        <f>=IFERROR(ROUND(AF10/$B156,0),0)</f>
        <v>0</v>
      </c>
      <c r="AG156" s="46">
        <f>=IFERROR(ROUND(AG10/$B156,0),0)</f>
        <v>0</v>
      </c>
      <c r="AH156" s="46">
        <f>=IFERROR(ROUND(AH10/$B156,0),0)</f>
        <v>0</v>
      </c>
      <c r="AI156" s="46">
        <f>=IFERROR(ROUND(AI10/$B156,0),0)</f>
        <v>0</v>
      </c>
      <c r="AJ156" s="46">
        <f>=IFERROR(ROUND(AJ10/$B156,0),0)</f>
        <v>0</v>
      </c>
      <c r="AK156" s="46">
        <f>=IFERROR(ROUND(AK10/$B156,0),0)</f>
        <v>0</v>
      </c>
      <c r="AL156" s="46">
        <f>=IFERROR(ROUND(AL10/$B156,0),0)</f>
        <v>0</v>
      </c>
      <c r="AM156" s="46">
        <f>=IFERROR(ROUND(AM10/$B156,0),0)</f>
        <v>0</v>
      </c>
      <c r="AN156" s="46">
        <f>=IFERROR(ROUND(AN10/$B156,0),0)</f>
        <v>0</v>
      </c>
      <c r="AO156" s="46">
        <f>=IFERROR(ROUND(AO10/$B156,0),0)</f>
        <v>0</v>
      </c>
      <c r="AP156" s="46">
        <f>=IFERROR(ROUND(AP10/$B156,0),0)</f>
        <v>0</v>
      </c>
      <c r="AQ156" s="46">
        <f>=IFERROR(ROUND(AQ10/$B156,0),0)</f>
        <v>0</v>
      </c>
      <c r="AR156" s="46">
        <f>=IFERROR(ROUND(AR10/$B156,0),0)</f>
        <v>0</v>
      </c>
      <c r="AS156" s="46">
        <f>=IFERROR(ROUND(AS10/$B156,0),0)</f>
        <v>0</v>
      </c>
      <c r="AT156" s="46">
        <f>=IFERROR(ROUND(AT10/$B156,0),0)</f>
        <v>0</v>
      </c>
      <c r="AU156" s="46">
        <f>=IFERROR(ROUND(AU10/$B156,0),0)</f>
        <v>0</v>
      </c>
      <c r="AV156" s="46">
        <f>=IFERROR(ROUND(AV10/$B156,0),0)</f>
        <v>0</v>
      </c>
      <c r="AW156" s="46">
        <f>=IFERROR(ROUND(AW10/$B156,0),0)</f>
        <v>0</v>
      </c>
      <c r="AX156" s="46">
        <f>=IFERROR(ROUND(AX10/$B156,0),0)</f>
        <v>0</v>
      </c>
      <c r="AY156" s="46">
        <f>=IFERROR(ROUND(AY10/$B156,0),0)</f>
        <v>0</v>
      </c>
      <c r="AZ156" s="46">
        <f>=IFERROR(ROUND(AZ10/$B156,0),0)</f>
        <v>0</v>
      </c>
      <c r="BA156" s="46">
        <f>=IFERROR(ROUND(BA10/$B156,0),0)</f>
        <v>0</v>
      </c>
      <c r="BB156" s="46">
        <f>=IFERROR(ROUND(BB10/$B156,0),0)</f>
        <v>0</v>
      </c>
      <c r="BC156" s="46">
        <f>=IFERROR(ROUND(BC10/$B156,0),0)</f>
        <v>0</v>
      </c>
      <c r="BD156" s="46">
        <f>=IFERROR(ROUND(BD10/$B156,0),0)</f>
        <v>0</v>
      </c>
      <c r="BE156" s="46">
        <f>=IFERROR(ROUND(BE10/$B156,0),0)</f>
        <v>0</v>
      </c>
      <c r="BF156" s="46">
        <f>=IFERROR(ROUND(BF10/$B156,0),0)</f>
        <v>0</v>
      </c>
      <c r="BG156" s="46">
        <f>=IFERROR(ROUND(BG10/$B156,0),0)</f>
        <v>0</v>
      </c>
      <c r="BH156" s="73">
        <f>=IFERROR(ROUND(BH10/$B156,0),0)</f>
        <v>0</v>
      </c>
      <c r="BI156" s="46">
        <f>=IFERROR(ROUND(BI10/$B156,0),0)</f>
        <v>0</v>
      </c>
      <c r="BJ156" s="46">
        <f>=IFERROR(ROUND(BJ10/$B156,0),0)</f>
        <v>0</v>
      </c>
      <c r="BK156" s="46">
        <f>=IFERROR(ROUND(BK10/$B156,0),0)</f>
        <v>0</v>
      </c>
      <c r="BL156" s="73">
        <f>=IFERROR(ROUND(BL10/$B156,0),0)</f>
        <v>0</v>
      </c>
      <c r="BM156" s="46">
        <f>=IFERROR(ROUND(BM10/$B156,0),0)</f>
        <v>0</v>
      </c>
      <c r="BN156" s="46">
        <f>=IFERROR(ROUND(BN10/$B156,0),0)</f>
        <v>0</v>
      </c>
      <c r="BO156" s="73">
        <f>=IFERROR(ROUND(BO10/$B156,0),0)</f>
        <v>0</v>
      </c>
      <c r="BP156" s="46">
        <f>=IFERROR(ROUND(BP10/$B156,0),0)</f>
        <v>0</v>
      </c>
      <c r="BQ156" s="46">
        <f>=IFERROR(ROUND(BQ10/$B156,0),0)</f>
        <v>0</v>
      </c>
      <c r="BR156" s="46">
        <f>=IFERROR(ROUND(BR10/$B156,0),0)</f>
        <v>0</v>
      </c>
      <c r="BS156" s="46">
        <f>=IFERROR(ROUND(BS10/$B156,0),0)</f>
        <v>0</v>
      </c>
      <c r="BT156" s="46">
        <f>=IFERROR(ROUND(BT10/$B156,0),0)</f>
        <v>0</v>
      </c>
      <c r="BU156" s="46">
        <f>=IFERROR(ROUND(BU10/$B156,0),0)</f>
        <v>0</v>
      </c>
      <c r="BV156" s="46">
        <f>=IFERROR(ROUND(BV10/$B156,0),0)</f>
        <v>0</v>
      </c>
      <c r="BW156" s="46">
        <f>=IFERROR(ROUND(BW10/$B156,0),0)</f>
        <v>0</v>
      </c>
      <c r="BX156" s="46">
        <f>=IFERROR(ROUND(BX10/$B156,0),0)</f>
        <v>0</v>
      </c>
      <c r="BY156" s="46">
        <f>=IFERROR(ROUND(BY10/$B156,0),0)</f>
        <v>0</v>
      </c>
      <c r="BZ156" s="46">
        <f>=IFERROR(ROUND(BZ10/$B156,0),0)</f>
        <v>0</v>
      </c>
      <c r="CA156" s="46">
        <f>=IFERROR(ROUND(CA10/$B156,0),0)</f>
        <v>0</v>
      </c>
      <c r="CB156" s="46">
        <f>=IFERROR(ROUND(CB10/$B156,0),0)</f>
        <v>0</v>
      </c>
      <c r="CC156" s="46">
        <f>=IFERROR(ROUND(CC10/$B156,0),0)</f>
        <v>0</v>
      </c>
      <c r="CD156" s="73">
        <f>=IFERROR(ROUND(CD10/$B156,0),0)</f>
        <v>0</v>
      </c>
      <c r="CE156" s="73">
        <f>=IFERROR(ROUND(CE10/$B156,0),0)</f>
        <v>0</v>
      </c>
      <c r="CF156" s="46">
        <f>=IFERROR(ROUND(CF10/$B156,0),0)</f>
        <v>0</v>
      </c>
      <c r="CG156" s="46">
        <f>=IFERROR(ROUND(CG10/$B156,0),0)</f>
        <v>0</v>
      </c>
      <c r="CH156" s="46">
        <f>=IFERROR(ROUND(CH10/$B156,0),0)</f>
        <v>0</v>
      </c>
      <c r="CI156" s="46">
        <f>=IFERROR(ROUND(CI10/$B156,0),0)</f>
        <v>0</v>
      </c>
      <c r="CJ156" s="46">
        <f>=IFERROR(ROUND(CJ10/$B156,0),0)</f>
        <v>0</v>
      </c>
      <c r="CK156" s="46">
        <f>=IFERROR(ROUND(CK10/$B156,0),0)</f>
        <v>0</v>
      </c>
      <c r="CL156" s="46">
        <f>=IFERROR(ROUND(CL10/$B156,0),0)</f>
        <v>0</v>
      </c>
      <c r="CM156" s="46">
        <f>=IFERROR(ROUND(CM10/$B156,0),0)</f>
        <v>0</v>
      </c>
      <c r="CN156" s="46">
        <f>=IFERROR(ROUND(CN10/$B156,0),0)</f>
        <v>0</v>
      </c>
      <c r="CO156" s="46">
        <f>=IFERROR(ROUND(CO10/$B156,0),0)</f>
        <v>0</v>
      </c>
      <c r="CP156" s="46">
        <f>=IFERROR(ROUND(CP10/$B156,0),0)</f>
        <v>0</v>
      </c>
      <c r="CQ156" s="46">
        <f>=IFERROR(ROUND(CQ10/$B156,0),0)</f>
        <v>0</v>
      </c>
      <c r="CR156" s="46">
        <f>=IFERROR(ROUND(CR10/$B156,0),0)</f>
        <v>0</v>
      </c>
      <c r="CS156" s="46">
        <f>=IFERROR(ROUND(CS10/$B156,0),0)</f>
        <v>0</v>
      </c>
      <c r="CT156" s="46">
        <f>=IFERROR(ROUND(CT10/$B156,0),0)</f>
        <v>0</v>
      </c>
      <c r="CU156" s="46">
        <f>=IFERROR(ROUND(CU10/$B156,0),0)</f>
        <v>0</v>
      </c>
      <c r="CV156" s="46">
        <f>=IFERROR(ROUND(CV10/$B156,0),0)</f>
        <v>0</v>
      </c>
      <c r="CW156" s="73">
        <f>=IFERROR(ROUND(CW10/$B156,0),0)</f>
        <v>0</v>
      </c>
      <c r="CX156" s="46">
        <f>=IFERROR(ROUND(CX10/$B156,0),0)</f>
        <v>0</v>
      </c>
      <c r="CY156" s="46">
        <f>=IFERROR(ROUND(CY10/$B156,0),0)</f>
        <v>0</v>
      </c>
      <c r="CZ156" s="46">
        <f>=IFERROR(ROUND(CZ10/$B156,0),0)</f>
        <v>0</v>
      </c>
      <c r="DA156" s="46">
        <f>=IFERROR(ROUND(DA10/$B156,0),0)</f>
        <v>0</v>
      </c>
      <c r="DB156" s="46">
        <f>=IFERROR(ROUND(DB10/$B156,0),0)</f>
        <v>0</v>
      </c>
    </row>
    <row r="157" spans="1:106" x14ac:dyDescent="0.25">
      <c r="A157" s="17" t="s">
        <v>361</v>
      </c>
      <c r="B157" s="17">
        <v>5</v>
      </c>
      <c r="C157" s="46">
        <f>=IFERROR(ROUND((C21+C22)/$B157,0),0)</f>
        <v>0</v>
      </c>
      <c r="D157" s="46">
        <f>=IFERROR(ROUND((D21+D22)/$B157,0),0)</f>
        <v>0</v>
      </c>
      <c r="E157" s="46">
        <f>=IFERROR(ROUND((E21+E22)/$B157,0),0)</f>
        <v>0</v>
      </c>
      <c r="F157" s="46">
        <f>=IFERROR(ROUND((F21+F22)/$B157,0),0)</f>
        <v>0</v>
      </c>
      <c r="G157" s="46">
        <f>=IFERROR(ROUND((G21+G22)/$B157,0),0)</f>
        <v>0</v>
      </c>
      <c r="H157" s="46">
        <f>=IFERROR(ROUND((H21+H22)/$B157,0),0)</f>
        <v>0</v>
      </c>
      <c r="I157" s="46">
        <f>=IFERROR(ROUND((I21+I22)/$B157,0),0)</f>
        <v>0</v>
      </c>
      <c r="J157" s="46">
        <f>=IFERROR(ROUND((J21+J22)/$B157,0),0)</f>
        <v>0</v>
      </c>
      <c r="K157" s="46">
        <f>=IFERROR(ROUND((K21+K22)/$B157,0),0)</f>
        <v>0</v>
      </c>
      <c r="L157" s="46">
        <f>=IFERROR(ROUND((L21+L22)/$B157,0),0)</f>
        <v>0</v>
      </c>
      <c r="M157" s="46">
        <f>=IFERROR(ROUND((M21+M22)/$B157,0),0)</f>
        <v>0</v>
      </c>
      <c r="N157" s="46">
        <f>=IFERROR(ROUND((N21+N22)/$B157,0),0)</f>
        <v>0</v>
      </c>
      <c r="O157" s="46">
        <f>=IFERROR(ROUND((O21+O22)/$B157,0),0)</f>
        <v>0</v>
      </c>
      <c r="P157" s="46">
        <f>=IFERROR(ROUND((P21+P22)/$B157,0),0)</f>
        <v>0</v>
      </c>
      <c r="Q157" s="46">
        <f>=IFERROR(ROUND((Q21+Q22)/$B157,0),0)</f>
        <v>0</v>
      </c>
      <c r="R157" s="46">
        <f>=IFERROR(ROUND((R21+R22)/$B157,0),0)</f>
        <v>0</v>
      </c>
      <c r="S157" s="46">
        <f>=IFERROR(ROUND((S21+S22)/$B157,0),0)</f>
        <v>0</v>
      </c>
      <c r="T157" s="46">
        <f>=IFERROR(ROUND((T21+T22)/$B157,0),0)</f>
        <v>0</v>
      </c>
      <c r="U157" s="46">
        <f>=IFERROR(ROUND((U21+U22)/$B157,0),0)</f>
        <v>0</v>
      </c>
      <c r="V157" s="46">
        <f>=IFERROR(ROUND((V21+V22)/$B157,0),0)</f>
        <v>0</v>
      </c>
      <c r="W157" s="46">
        <f>=IFERROR(ROUND((W21+W22)/$B157,0),0)</f>
        <v>0</v>
      </c>
      <c r="X157" s="46">
        <f>=IFERROR(ROUND((X21+X22)/$B157,0),0)</f>
        <v>0</v>
      </c>
      <c r="Y157" s="46">
        <f>=IFERROR(ROUND((Y21+Y22)/$B157,0),0)</f>
        <v>0</v>
      </c>
      <c r="Z157" s="46">
        <f>=IFERROR(ROUND((Z21+Z22)/$B157,0),0)</f>
        <v>0</v>
      </c>
      <c r="AA157" s="46">
        <f>=IFERROR(ROUND((AA21+AA22)/$B157,0),0)</f>
        <v>0</v>
      </c>
      <c r="AB157" s="46">
        <f>=IFERROR(ROUND((AB21+AB22)/$B157,0),0)</f>
        <v>0</v>
      </c>
      <c r="AC157" s="46">
        <f>=IFERROR(ROUND((AC21+AC22)/$B157,0),0)</f>
        <v>0</v>
      </c>
      <c r="AD157" s="46">
        <f>=IFERROR(ROUND((AD21+AD22)/$B157,0),0)</f>
        <v>0</v>
      </c>
      <c r="AE157" s="46">
        <f>=IFERROR(ROUND((AE21+AE22)/$B157,0),0)</f>
        <v>0</v>
      </c>
      <c r="AF157" s="46">
        <f>=IFERROR(ROUND((AF21+AF22)/$B157,0),0)</f>
        <v>0</v>
      </c>
      <c r="AG157" s="46">
        <f>=IFERROR(ROUND((AG21+AG22)/$B157,0),0)</f>
        <v>0</v>
      </c>
      <c r="AH157" s="46">
        <f>=IFERROR(ROUND((AH21+AH22)/$B157,0),0)</f>
        <v>0</v>
      </c>
      <c r="AI157" s="46">
        <f>=IFERROR(ROUND((AI21+AI22)/$B157,0),0)</f>
        <v>0</v>
      </c>
      <c r="AJ157" s="46">
        <f>=IFERROR(ROUND((AJ21+AJ22)/$B157,0),0)</f>
        <v>0</v>
      </c>
      <c r="AK157" s="46">
        <f>=IFERROR(ROUND((AK21+AK22)/$B157,0),0)</f>
        <v>0</v>
      </c>
      <c r="AL157" s="46">
        <f>=IFERROR(ROUND((AL21+AL22)/$B157,0),0)</f>
        <v>0</v>
      </c>
      <c r="AM157" s="46">
        <f>=IFERROR(ROUND((AM21+AM22)/$B157,0),0)</f>
        <v>0</v>
      </c>
      <c r="AN157" s="46">
        <f>=IFERROR(ROUND((AN21+AN22)/$B157,0),0)</f>
        <v>0</v>
      </c>
      <c r="AO157" s="46">
        <f>=IFERROR(ROUND((AO21+AO22)/$B157,0),0)</f>
        <v>0</v>
      </c>
      <c r="AP157" s="46">
        <f>=IFERROR(ROUND((AP21+AP22)/$B157,0),0)</f>
        <v>0</v>
      </c>
      <c r="AQ157" s="46">
        <f>=IFERROR(ROUND((AQ21+AQ22)/$B157,0),0)</f>
        <v>0</v>
      </c>
      <c r="AR157" s="46">
        <f>=IFERROR(ROUND((AR21+AR22)/$B157,0),0)</f>
        <v>0</v>
      </c>
      <c r="AS157" s="46">
        <f>=IFERROR(ROUND((AS21+AS22)/$B157,0),0)</f>
        <v>0</v>
      </c>
      <c r="AT157" s="46">
        <f>=IFERROR(ROUND((AT21+AT22)/$B157,0),0)</f>
        <v>0</v>
      </c>
      <c r="AU157" s="46">
        <f>=IFERROR(ROUND((AU21+AU22)/$B157,0),0)</f>
        <v>0</v>
      </c>
      <c r="AV157" s="46">
        <f>=IFERROR(ROUND((AV21+AV22)/$B157,0),0)</f>
        <v>0</v>
      </c>
      <c r="AW157" s="46">
        <f>=IFERROR(ROUND((AW21+AW22)/$B157,0),0)</f>
        <v>0</v>
      </c>
      <c r="AX157" s="46">
        <f>=IFERROR(ROUND((AX21+AX22)/$B157,0),0)</f>
        <v>0</v>
      </c>
      <c r="AY157" s="46">
        <f>=IFERROR(ROUND((AY21+AY22)/$B157,0),0)</f>
        <v>0</v>
      </c>
      <c r="AZ157" s="46">
        <f>=IFERROR(ROUND((AZ21+AZ22)/$B157,0),0)</f>
        <v>0</v>
      </c>
      <c r="BA157" s="46">
        <f>=IFERROR(ROUND((BA21+BA22)/$B157,0),0)</f>
        <v>0</v>
      </c>
      <c r="BB157" s="46">
        <f>=IFERROR(ROUND((BB21+BB22)/$B157,0),0)</f>
        <v>0</v>
      </c>
      <c r="BC157" s="46">
        <f>=IFERROR(ROUND((BC21+BC22)/$B157,0),0)</f>
        <v>0</v>
      </c>
      <c r="BD157" s="46">
        <f>=IFERROR(ROUND((BD21+BD22)/$B157,0),0)</f>
        <v>0</v>
      </c>
      <c r="BE157" s="46">
        <f>=IFERROR(ROUND((BE21+BE22)/$B157,0),0)</f>
        <v>0</v>
      </c>
      <c r="BF157" s="46">
        <f>=IFERROR(ROUND((BF21+BF22)/$B157,0),0)</f>
        <v>0</v>
      </c>
      <c r="BG157" s="46">
        <f>=IFERROR(ROUND((BG21+BG22)/$B157,0),0)</f>
        <v>0</v>
      </c>
      <c r="BH157" s="46">
        <f>=IFERROR(ROUND((BH21+BH22)/$B157,0),0)</f>
        <v>0</v>
      </c>
      <c r="BI157" s="46">
        <f>=IFERROR(ROUND((BI21+BI22)/$B157,0),0)</f>
        <v>0</v>
      </c>
      <c r="BJ157" s="46">
        <f>=IFERROR(ROUND((BJ21+BJ22)/$B157,0),0)</f>
        <v>0</v>
      </c>
      <c r="BK157" s="46">
        <f>=IFERROR(ROUND((BK21+BK22)/$B157,0),0)</f>
        <v>0</v>
      </c>
      <c r="BL157" s="46">
        <f>=IFERROR(ROUND((BL21+BL22)/$B157,0),0)</f>
        <v>0</v>
      </c>
      <c r="BM157" s="46">
        <f>=IFERROR(ROUND((BM21+BM22)/$B157,0),0)</f>
        <v>0</v>
      </c>
      <c r="BN157" s="46">
        <f>=IFERROR(ROUND((BN21+BN22)/$B157,0),0)</f>
        <v>0</v>
      </c>
      <c r="BO157" s="46">
        <f>=IFERROR(ROUND((BO21+BO22)/$B157,0),0)</f>
        <v>0</v>
      </c>
      <c r="BP157" s="46">
        <f>=IFERROR(ROUND((BP21+BP22)/$B157,0),0)</f>
        <v>0</v>
      </c>
      <c r="BQ157" s="46">
        <f>=IFERROR(ROUND((BQ21+BQ22)/$B157,0),0)</f>
        <v>0</v>
      </c>
      <c r="BR157" s="46">
        <f>=IFERROR(ROUND((BR21+BR22)/$B157,0),0)</f>
        <v>0</v>
      </c>
      <c r="BS157" s="46">
        <f>=IFERROR(ROUND((BS21+BS22)/$B157,0),0)</f>
        <v>0</v>
      </c>
      <c r="BT157" s="46">
        <f>=IFERROR(ROUND((BT21+BT22)/$B157,0),0)</f>
        <v>0</v>
      </c>
      <c r="BU157" s="46">
        <f>=IFERROR(ROUND((BU21+BU22)/$B157,0),0)</f>
        <v>0</v>
      </c>
      <c r="BV157" s="46">
        <f>=IFERROR(ROUND((BV21+BV22)/$B157,0),0)</f>
        <v>0</v>
      </c>
      <c r="BW157" s="46">
        <f>=IFERROR(ROUND((BW21+BW22)/$B157,0),0)</f>
        <v>0</v>
      </c>
      <c r="BX157" s="46">
        <f>=IFERROR(ROUND((BX21+BX22)/$B157,0),0)</f>
        <v>0</v>
      </c>
      <c r="BY157" s="46">
        <f>=IFERROR(ROUND((BY21+BY22)/$B157,0),0)</f>
        <v>0</v>
      </c>
      <c r="BZ157" s="46">
        <f>=IFERROR(ROUND((BZ21+BZ22)/$B157,0),0)</f>
        <v>0</v>
      </c>
      <c r="CA157" s="46">
        <f>=IFERROR(ROUND((CA21+CA22)/$B157,0),0)</f>
        <v>0</v>
      </c>
      <c r="CB157" s="46">
        <f>=IFERROR(ROUND((CB21+CB22)/$B157,0),0)</f>
        <v>0</v>
      </c>
      <c r="CC157" s="46">
        <f>=IFERROR(ROUND((CC21+CC22)/$B157,0),0)</f>
        <v>0</v>
      </c>
      <c r="CD157" s="46">
        <f>=IFERROR(ROUND((CD21+CD22)/$B157,0),0)</f>
        <v>0</v>
      </c>
      <c r="CE157" s="46">
        <f>=IFERROR(ROUND((CE21+CE22)/$B157,0),0)</f>
        <v>0</v>
      </c>
      <c r="CF157" s="46">
        <f>=IFERROR(ROUND((CF21+CF22)/$B157,0),0)</f>
        <v>0</v>
      </c>
      <c r="CG157" s="46">
        <f>=IFERROR(ROUND((CG21+CG22)/$B157,0),0)</f>
        <v>0</v>
      </c>
      <c r="CH157" s="46">
        <f>=IFERROR(ROUND((CH21+CH22)/$B157,0),0)</f>
        <v>0</v>
      </c>
      <c r="CI157" s="46">
        <f>=IFERROR(ROUND((CI21+CI22)/$B157,0),0)</f>
        <v>0</v>
      </c>
      <c r="CJ157" s="46">
        <f>=IFERROR(ROUND((CJ21+CJ22)/$B157,0),0)</f>
        <v>0</v>
      </c>
      <c r="CK157" s="46">
        <f>=IFERROR(ROUND((CK21+CK22)/$B157,0),0)</f>
        <v>0</v>
      </c>
      <c r="CL157" s="46">
        <f>=IFERROR(ROUND((CL21+CL22)/$B157,0),0)</f>
        <v>0</v>
      </c>
      <c r="CM157" s="46">
        <f>=IFERROR(ROUND((CM21+CM22)/$B157,0),0)</f>
        <v>0</v>
      </c>
      <c r="CN157" s="46">
        <f>=IFERROR(ROUND((CN21+CN22)/$B157,0),0)</f>
        <v>0</v>
      </c>
      <c r="CO157" s="46">
        <f>=IFERROR(ROUND((CO21+CO22)/$B157,0),0)</f>
        <v>0</v>
      </c>
      <c r="CP157" s="46">
        <f>=IFERROR(ROUND((CP21+CP22)/$B157,0),0)</f>
        <v>0</v>
      </c>
      <c r="CQ157" s="46">
        <f>=IFERROR(ROUND((CQ21+CQ22)/$B157,0),0)</f>
        <v>0</v>
      </c>
      <c r="CR157" s="46">
        <f>=IFERROR(ROUND((CR21+CR22)/$B157,0),0)</f>
        <v>0</v>
      </c>
      <c r="CS157" s="46">
        <f>=IFERROR(ROUND((CS21+CS22)/$B157,0),0)</f>
        <v>0</v>
      </c>
      <c r="CT157" s="46">
        <f>=IFERROR(ROUND((CT21+CT22)/$B157,0),0)</f>
        <v>0</v>
      </c>
      <c r="CU157" s="46">
        <f>=IFERROR(ROUND((CU21+CU22)/$B157,0),0)</f>
        <v>0</v>
      </c>
      <c r="CV157" s="46">
        <f>=IFERROR(ROUND((CV21+CV22)/$B157,0),0)</f>
        <v>0</v>
      </c>
      <c r="CW157" s="46">
        <f>=IFERROR(ROUND((CW21+CW22)/$B157,0),0)</f>
        <v>0</v>
      </c>
      <c r="CX157" s="46">
        <f>=IFERROR(ROUND((CX21+CX22)/$B157,0),0)</f>
        <v>0</v>
      </c>
      <c r="CY157" s="46">
        <f>=IFERROR(ROUND((CY21+CY22)/$B157,0),0)</f>
        <v>0</v>
      </c>
      <c r="CZ157" s="46">
        <f>=IFERROR(ROUND((CZ21+CZ22)/$B157,0),0)</f>
        <v>0</v>
      </c>
      <c r="DA157" s="46">
        <f>=IFERROR(ROUND((DA21+DA22)/$B157,0),0)</f>
        <v>0</v>
      </c>
      <c r="DB157" s="46">
        <f>=IFERROR(ROUND((DB21+DB22)/$B157,0),0)</f>
        <v>0</v>
      </c>
    </row>
    <row r="158" spans="1:106" x14ac:dyDescent="0.25">
      <c r="A158" s="17" t="s">
        <v>362</v>
      </c>
      <c r="B158" s="17">
        <v>15</v>
      </c>
      <c r="C158" s="46">
        <f>=IFERROR(ROUND(C23/$B158,0),0)</f>
        <v>0</v>
      </c>
      <c r="D158" s="46">
        <f>=IFERROR(ROUND(D23/$B158,0),0)</f>
        <v>0</v>
      </c>
      <c r="E158" s="46">
        <f>=IFERROR(ROUND(E23/$B158,0),0)</f>
        <v>0</v>
      </c>
      <c r="F158" s="46">
        <f>=IFERROR(ROUND(F23/$B158,0),0)</f>
        <v>0</v>
      </c>
      <c r="G158" s="46">
        <f>=IFERROR(ROUND(G23/$B158,0),0)</f>
        <v>0</v>
      </c>
      <c r="H158" s="46">
        <f>=IFERROR(ROUND(H23/$B158,0),0)</f>
        <v>0</v>
      </c>
      <c r="I158" s="46">
        <f>=IFERROR(ROUND(I23/$B158,0),0)</f>
        <v>0</v>
      </c>
      <c r="J158" s="46">
        <f>=IFERROR(ROUND(J23/$B158,0),0)</f>
        <v>0</v>
      </c>
      <c r="K158" s="46">
        <f>=IFERROR(ROUND(K23/$B158,0),0)</f>
        <v>0</v>
      </c>
      <c r="L158" s="46">
        <f>=IFERROR(ROUND(L23/$B158,0),0)</f>
        <v>0</v>
      </c>
      <c r="M158" s="46">
        <f>=IFERROR(ROUND(M23/$B158,0),0)</f>
        <v>0</v>
      </c>
      <c r="N158" s="46">
        <f>=IFERROR(ROUND(N23/$B158,0),0)</f>
        <v>0</v>
      </c>
      <c r="O158" s="46">
        <f>=IFERROR(ROUND(O23/$B158,0),0)</f>
        <v>0</v>
      </c>
      <c r="P158" s="46">
        <f>=IFERROR(ROUND(P23/$B158,0),0)</f>
        <v>0</v>
      </c>
      <c r="Q158" s="46">
        <f>=IFERROR(ROUND(Q23/$B158,0),0)</f>
        <v>0</v>
      </c>
      <c r="R158" s="46">
        <f>=IFERROR(ROUND(R23/$B158,0),0)</f>
        <v>0</v>
      </c>
      <c r="S158" s="46">
        <f>=IFERROR(ROUND(S23/$B158,0),0)</f>
        <v>0</v>
      </c>
      <c r="T158" s="46">
        <f>=IFERROR(ROUND(T23/$B158,0),0)</f>
        <v>0</v>
      </c>
      <c r="U158" s="46">
        <f>=IFERROR(ROUND(U23/$B158,0),0)</f>
        <v>0</v>
      </c>
      <c r="V158" s="46">
        <f>=IFERROR(ROUND(V23/$B158,0),0)</f>
        <v>0</v>
      </c>
      <c r="W158" s="46">
        <f>=IFERROR(ROUND(W23/$B158,0),0)</f>
        <v>0</v>
      </c>
      <c r="X158" s="46">
        <f>=IFERROR(ROUND(X23/$B158,0),0)</f>
        <v>0</v>
      </c>
      <c r="Y158" s="46">
        <f>=IFERROR(ROUND(Y23/$B158,0),0)</f>
        <v>0</v>
      </c>
      <c r="Z158" s="46">
        <f>=IFERROR(ROUND(Z23/$B158,0),0)</f>
        <v>0</v>
      </c>
      <c r="AA158" s="46">
        <f>=IFERROR(ROUND(AA23/$B158,0),0)</f>
        <v>0</v>
      </c>
      <c r="AB158" s="46">
        <f>=IFERROR(ROUND(AB23/$B158,0),0)</f>
        <v>0</v>
      </c>
      <c r="AC158" s="46">
        <f>=IFERROR(ROUND(AC23/$B158,0),0)</f>
        <v>0</v>
      </c>
      <c r="AD158" s="46">
        <f>=IFERROR(ROUND(AD23/$B158,0),0)</f>
        <v>0</v>
      </c>
      <c r="AE158" s="46">
        <f>=IFERROR(ROUND(AE23/$B158,0),0)</f>
        <v>0</v>
      </c>
      <c r="AF158" s="46">
        <f>=IFERROR(ROUND(AF23/$B158,0),0)</f>
        <v>0</v>
      </c>
      <c r="AG158" s="46">
        <f>=IFERROR(ROUND(AG23/$B158,0),0)</f>
        <v>0</v>
      </c>
      <c r="AH158" s="46">
        <f>=IFERROR(ROUND(AH23/$B158,0),0)</f>
        <v>0</v>
      </c>
      <c r="AI158" s="46">
        <f>=IFERROR(ROUND(AI23/$B158,0),0)</f>
        <v>0</v>
      </c>
      <c r="AJ158" s="46">
        <f>=IFERROR(ROUND(AJ23/$B158,0),0)</f>
        <v>0</v>
      </c>
      <c r="AK158" s="46">
        <f>=IFERROR(ROUND(AK23/$B158,0),0)</f>
        <v>0</v>
      </c>
      <c r="AL158" s="46">
        <f>=IFERROR(ROUND(AL23/$B158,0),0)</f>
        <v>0</v>
      </c>
      <c r="AM158" s="46">
        <f>=IFERROR(ROUND(AM23/$B158,0),0)</f>
        <v>0</v>
      </c>
      <c r="AN158" s="46">
        <f>=IFERROR(ROUND(AN23/$B158,0),0)</f>
        <v>0</v>
      </c>
      <c r="AO158" s="46">
        <f>=IFERROR(ROUND(AO23/$B158,0),0)</f>
        <v>0</v>
      </c>
      <c r="AP158" s="46">
        <f>=IFERROR(ROUND(AP23/$B158,0),0)</f>
        <v>0</v>
      </c>
      <c r="AQ158" s="46">
        <f>=IFERROR(ROUND(AQ23/$B158,0),0)</f>
        <v>0</v>
      </c>
      <c r="AR158" s="46">
        <f>=IFERROR(ROUND(AR23/$B158,0),0)</f>
        <v>0</v>
      </c>
      <c r="AS158" s="46">
        <f>=IFERROR(ROUND(AS23/$B158,0),0)</f>
        <v>0</v>
      </c>
      <c r="AT158" s="46">
        <f>=IFERROR(ROUND(AT23/$B158,0),0)</f>
        <v>0</v>
      </c>
      <c r="AU158" s="46">
        <f>=IFERROR(ROUND(AU23/$B158,0),0)</f>
        <v>0</v>
      </c>
      <c r="AV158" s="46">
        <f>=IFERROR(ROUND(AV23/$B158,0),0)</f>
        <v>0</v>
      </c>
      <c r="AW158" s="46">
        <f>=IFERROR(ROUND(AW23/$B158,0),0)</f>
        <v>0</v>
      </c>
      <c r="AX158" s="46">
        <f>=IFERROR(ROUND(AX23/$B158,0),0)</f>
        <v>0</v>
      </c>
      <c r="AY158" s="46">
        <f>=IFERROR(ROUND(AY23/$B158,0),0)</f>
        <v>0</v>
      </c>
      <c r="AZ158" s="46">
        <f>=IFERROR(ROUND(AZ23/$B158,0),0)</f>
        <v>0</v>
      </c>
      <c r="BA158" s="46">
        <f>=IFERROR(ROUND(BA23/$B158,0),0)</f>
        <v>0</v>
      </c>
      <c r="BB158" s="46">
        <f>=IFERROR(ROUND(BB23/$B158,0),0)</f>
        <v>0</v>
      </c>
      <c r="BC158" s="46">
        <f>=IFERROR(ROUND(BC23/$B158,0),0)</f>
        <v>0</v>
      </c>
      <c r="BD158" s="46">
        <f>=IFERROR(ROUND(BD23/$B158,0),0)</f>
        <v>0</v>
      </c>
      <c r="BE158" s="46">
        <f>=IFERROR(ROUND(BE23/$B158,0),0)</f>
        <v>0</v>
      </c>
      <c r="BF158" s="46">
        <f>=IFERROR(ROUND(BF23/$B158,0),0)</f>
        <v>0</v>
      </c>
      <c r="BG158" s="46">
        <f>=IFERROR(ROUND(BG23/$B158,0),0)</f>
        <v>0</v>
      </c>
      <c r="BH158" s="46">
        <f>=IFERROR(ROUND(BH23/$B158,0),0)</f>
        <v>0</v>
      </c>
      <c r="BI158" s="46">
        <f>=IFERROR(ROUND(BI23/$B158,0),0)</f>
        <v>0</v>
      </c>
      <c r="BJ158" s="46">
        <f>=IFERROR(ROUND(BJ23/$B158,0),0)</f>
        <v>0</v>
      </c>
      <c r="BK158" s="46">
        <f>=IFERROR(ROUND(BK23/$B158,0),0)</f>
        <v>0</v>
      </c>
      <c r="BL158" s="46">
        <f>=IFERROR(ROUND(BL23/$B158,0),0)</f>
        <v>0</v>
      </c>
      <c r="BM158" s="46">
        <f>=IFERROR(ROUND(BM23/$B158,0),0)</f>
        <v>0</v>
      </c>
      <c r="BN158" s="46">
        <f>=IFERROR(ROUND(BN23/$B158,0),0)</f>
        <v>0</v>
      </c>
      <c r="BO158" s="46">
        <f>=IFERROR(ROUND(BO23/$B158,0),0)</f>
        <v>0</v>
      </c>
      <c r="BP158" s="46">
        <f>=IFERROR(ROUND(BP23/$B158,0),0)</f>
        <v>0</v>
      </c>
      <c r="BQ158" s="46">
        <f>=IFERROR(ROUND(BQ23/$B158,0),0)</f>
        <v>0</v>
      </c>
      <c r="BR158" s="46">
        <f>=IFERROR(ROUND(BR23/$B158,0),0)</f>
        <v>0</v>
      </c>
      <c r="BS158" s="46">
        <f>=IFERROR(ROUND(BS23/$B158,0),0)</f>
        <v>0</v>
      </c>
      <c r="BT158" s="46">
        <f>=IFERROR(ROUND(BT23/$B158,0),0)</f>
        <v>0</v>
      </c>
      <c r="BU158" s="46">
        <f>=IFERROR(ROUND(BU23/$B158,0),0)</f>
        <v>0</v>
      </c>
      <c r="BV158" s="46">
        <f>=IFERROR(ROUND(BV23/$B158,0),0)</f>
        <v>0</v>
      </c>
      <c r="BW158" s="46">
        <f>=IFERROR(ROUND(BW23/$B158,0),0)</f>
        <v>0</v>
      </c>
      <c r="BX158" s="46">
        <f>=IFERROR(ROUND(BX23/$B158,0),0)</f>
        <v>0</v>
      </c>
      <c r="BY158" s="46">
        <f>=IFERROR(ROUND(BY23/$B158,0),0)</f>
        <v>0</v>
      </c>
      <c r="BZ158" s="46">
        <f>=IFERROR(ROUND(BZ23/$B158,0),0)</f>
        <v>0</v>
      </c>
      <c r="CA158" s="46">
        <f>=IFERROR(ROUND(CA23/$B158,0),0)</f>
        <v>0</v>
      </c>
      <c r="CB158" s="46">
        <f>=IFERROR(ROUND(CB23/$B158,0),0)</f>
        <v>0</v>
      </c>
      <c r="CC158" s="46">
        <f>=IFERROR(ROUND(CC23/$B158,0),0)</f>
        <v>0</v>
      </c>
      <c r="CD158" s="46">
        <f>=IFERROR(ROUND(CD23/$B158,0),0)</f>
        <v>0</v>
      </c>
      <c r="CE158" s="46">
        <f>=IFERROR(ROUND(CE23/$B158,0),0)</f>
        <v>0</v>
      </c>
      <c r="CF158" s="46">
        <f>=IFERROR(ROUND(CF23/$B158,0),0)</f>
        <v>0</v>
      </c>
      <c r="CG158" s="46">
        <f>=IFERROR(ROUND(CG23/$B158,0),0)</f>
        <v>0</v>
      </c>
      <c r="CH158" s="46">
        <f>=IFERROR(ROUND(CH23/$B158,0),0)</f>
        <v>0</v>
      </c>
      <c r="CI158" s="46">
        <f>=IFERROR(ROUND(CI23/$B158,0),0)</f>
        <v>0</v>
      </c>
      <c r="CJ158" s="46">
        <f>=IFERROR(ROUND(CJ23/$B158,0),0)</f>
        <v>0</v>
      </c>
      <c r="CK158" s="46">
        <f>=IFERROR(ROUND(CK23/$B158,0),0)</f>
        <v>0</v>
      </c>
      <c r="CL158" s="46">
        <f>=IFERROR(ROUND(CL23/$B158,0),0)</f>
        <v>0</v>
      </c>
      <c r="CM158" s="46">
        <f>=IFERROR(ROUND(CM23/$B158,0),0)</f>
        <v>0</v>
      </c>
      <c r="CN158" s="46">
        <f>=IFERROR(ROUND(CN23/$B158,0),0)</f>
        <v>0</v>
      </c>
      <c r="CO158" s="46">
        <f>=IFERROR(ROUND(CO23/$B158,0),0)</f>
        <v>0</v>
      </c>
      <c r="CP158" s="46">
        <f>=IFERROR(ROUND(CP23/$B158,0),0)</f>
        <v>0</v>
      </c>
      <c r="CQ158" s="46">
        <f>=IFERROR(ROUND(CQ23/$B158,0),0)</f>
        <v>0</v>
      </c>
      <c r="CR158" s="46">
        <f>=IFERROR(ROUND(CR23/$B158,0),0)</f>
        <v>0</v>
      </c>
      <c r="CS158" s="46">
        <f>=IFERROR(ROUND(CS23/$B158,0),0)</f>
        <v>0</v>
      </c>
      <c r="CT158" s="46">
        <f>=IFERROR(ROUND(CT23/$B158,0),0)</f>
        <v>0</v>
      </c>
      <c r="CU158" s="46">
        <f>=IFERROR(ROUND(CU23/$B158,0),0)</f>
        <v>0</v>
      </c>
      <c r="CV158" s="46">
        <f>=IFERROR(ROUND(CV23/$B158,0),0)</f>
        <v>0</v>
      </c>
      <c r="CW158" s="46">
        <f>=IFERROR(ROUND(CW23/$B158,0),0)</f>
        <v>0</v>
      </c>
      <c r="CX158" s="46">
        <f>=IFERROR(ROUND(CX23/$B158,0),0)</f>
        <v>0</v>
      </c>
      <c r="CY158" s="46">
        <f>=IFERROR(ROUND(CY23/$B158,0),0)</f>
        <v>0</v>
      </c>
      <c r="CZ158" s="46">
        <f>=IFERROR(ROUND(CZ23/$B158,0),0)</f>
        <v>0</v>
      </c>
      <c r="DA158" s="46">
        <f>=IFERROR(ROUND(DA23/$B158,0),0)</f>
        <v>0</v>
      </c>
      <c r="DB158" s="46">
        <f>=IFERROR(ROUND(DB23/$B158,0),0)</f>
        <v>0</v>
      </c>
    </row>
    <row r="159" spans="1:106" x14ac:dyDescent="0.25">
      <c r="A159" s="17" t="s">
        <v>363</v>
      </c>
      <c r="B159" s="17">
        <v>15</v>
      </c>
      <c r="C159" s="46">
        <f>=IFERROR(ROUND(C24/$B159,0),0)</f>
        <v>0</v>
      </c>
      <c r="D159" s="46">
        <f>=IFERROR(ROUND(D24/$B159,0),0)</f>
        <v>0</v>
      </c>
      <c r="E159" s="46">
        <f>=IFERROR(ROUND(E24/$B159,0),0)</f>
        <v>0</v>
      </c>
      <c r="F159" s="46">
        <f>=IFERROR(ROUND(F24/$B159,0),0)</f>
        <v>0</v>
      </c>
      <c r="G159" s="46">
        <f>=IFERROR(ROUND(G24/$B159,0),0)</f>
        <v>0</v>
      </c>
      <c r="H159" s="46">
        <f>=IFERROR(ROUND(H24/$B159,0),0)</f>
        <v>0</v>
      </c>
      <c r="I159" s="46">
        <f>=IFERROR(ROUND(I24/$B159,0),0)</f>
        <v>0</v>
      </c>
      <c r="J159" s="46">
        <f>=IFERROR(ROUND(J24/$B159,0),0)</f>
        <v>0</v>
      </c>
      <c r="K159" s="46">
        <f>=IFERROR(ROUND(K24/$B159,0),0)</f>
        <v>0</v>
      </c>
      <c r="L159" s="46">
        <f>=IFERROR(ROUND(L24/$B159,0),0)</f>
        <v>0</v>
      </c>
      <c r="M159" s="46">
        <f>=IFERROR(ROUND(M24/$B159,0),0)</f>
        <v>0</v>
      </c>
      <c r="N159" s="46">
        <f>=IFERROR(ROUND(N24/$B159,0),0)</f>
        <v>0</v>
      </c>
      <c r="O159" s="46">
        <f>=IFERROR(ROUND(O24/$B159,0),0)</f>
        <v>0</v>
      </c>
      <c r="P159" s="46">
        <f>=IFERROR(ROUND(P24/$B159,0),0)</f>
        <v>0</v>
      </c>
      <c r="Q159" s="46">
        <f>=IFERROR(ROUND(Q24/$B159,0),0)</f>
        <v>0</v>
      </c>
      <c r="R159" s="46">
        <f>=IFERROR(ROUND(R24/$B159,0),0)</f>
        <v>0</v>
      </c>
      <c r="S159" s="46">
        <f>=IFERROR(ROUND(S24/$B159,0),0)</f>
        <v>0</v>
      </c>
      <c r="T159" s="46">
        <f>=IFERROR(ROUND(T24/$B159,0),0)</f>
        <v>0</v>
      </c>
      <c r="U159" s="46">
        <f>=IFERROR(ROUND(U24/$B159,0),0)</f>
        <v>0</v>
      </c>
      <c r="V159" s="46">
        <f>=IFERROR(ROUND(V24/$B159,0),0)</f>
        <v>0</v>
      </c>
      <c r="W159" s="46">
        <f>=IFERROR(ROUND(W24/$B159,0),0)</f>
        <v>0</v>
      </c>
      <c r="X159" s="46">
        <f>=IFERROR(ROUND(X24/$B159,0),0)</f>
        <v>0</v>
      </c>
      <c r="Y159" s="46">
        <f>=IFERROR(ROUND(Y24/$B159,0),0)</f>
        <v>0</v>
      </c>
      <c r="Z159" s="46">
        <f>=IFERROR(ROUND(Z24/$B159,0),0)</f>
        <v>0</v>
      </c>
      <c r="AA159" s="46">
        <f>=IFERROR(ROUND(AA24/$B159,0),0)</f>
        <v>0</v>
      </c>
      <c r="AB159" s="46">
        <f>=IFERROR(ROUND(AB24/$B159,0),0)</f>
        <v>0</v>
      </c>
      <c r="AC159" s="46">
        <f>=IFERROR(ROUND(AC24/$B159,0),0)</f>
        <v>0</v>
      </c>
      <c r="AD159" s="46">
        <f>=IFERROR(ROUND(AD24/$B159,0),0)</f>
        <v>0</v>
      </c>
      <c r="AE159" s="46">
        <f>=IFERROR(ROUND(AE24/$B159,0),0)</f>
        <v>0</v>
      </c>
      <c r="AF159" s="46">
        <f>=IFERROR(ROUND(AF24/$B159,0),0)</f>
        <v>0</v>
      </c>
      <c r="AG159" s="46">
        <f>=IFERROR(ROUND(AG24/$B159,0),0)</f>
        <v>0</v>
      </c>
      <c r="AH159" s="46">
        <f>=IFERROR(ROUND(AH24/$B159,0),0)</f>
        <v>0</v>
      </c>
      <c r="AI159" s="46">
        <f>=IFERROR(ROUND(AI24/$B159,0),0)</f>
        <v>0</v>
      </c>
      <c r="AJ159" s="46">
        <f>=IFERROR(ROUND(AJ24/$B159,0),0)</f>
        <v>0</v>
      </c>
      <c r="AK159" s="46">
        <f>=IFERROR(ROUND(AK24/$B159,0),0)</f>
        <v>0</v>
      </c>
      <c r="AL159" s="46">
        <f>=IFERROR(ROUND(AL24/$B159,0),0)</f>
        <v>0</v>
      </c>
      <c r="AM159" s="46">
        <f>=IFERROR(ROUND(AM24/$B159,0),0)</f>
        <v>0</v>
      </c>
      <c r="AN159" s="46">
        <f>=IFERROR(ROUND(AN24/$B159,0),0)</f>
        <v>0</v>
      </c>
      <c r="AO159" s="46">
        <f>=IFERROR(ROUND(AO24/$B159,0),0)</f>
        <v>0</v>
      </c>
      <c r="AP159" s="46">
        <f>=IFERROR(ROUND(AP24/$B159,0),0)</f>
        <v>0</v>
      </c>
      <c r="AQ159" s="46">
        <f>=IFERROR(ROUND(AQ24/$B159,0),0)</f>
        <v>0</v>
      </c>
      <c r="AR159" s="46">
        <f>=IFERROR(ROUND(AR24/$B159,0),0)</f>
        <v>0</v>
      </c>
      <c r="AS159" s="46">
        <f>=IFERROR(ROUND(AS24/$B159,0),0)</f>
        <v>0</v>
      </c>
      <c r="AT159" s="46">
        <f>=IFERROR(ROUND(AT24/$B159,0),0)</f>
        <v>0</v>
      </c>
      <c r="AU159" s="46">
        <f>=IFERROR(ROUND(AU24/$B159,0),0)</f>
        <v>0</v>
      </c>
      <c r="AV159" s="46">
        <f>=IFERROR(ROUND(AV24/$B159,0),0)</f>
        <v>0</v>
      </c>
      <c r="AW159" s="46">
        <f>=IFERROR(ROUND(AW24/$B159,0),0)</f>
        <v>0</v>
      </c>
      <c r="AX159" s="46">
        <f>=IFERROR(ROUND(AX24/$B159,0),0)</f>
        <v>0</v>
      </c>
      <c r="AY159" s="46">
        <f>=IFERROR(ROUND(AY24/$B159,0),0)</f>
        <v>0</v>
      </c>
      <c r="AZ159" s="46">
        <f>=IFERROR(ROUND(AZ24/$B159,0),0)</f>
        <v>0</v>
      </c>
      <c r="BA159" s="46">
        <f>=IFERROR(ROUND(BA24/$B159,0),0)</f>
        <v>0</v>
      </c>
      <c r="BB159" s="46">
        <f>=IFERROR(ROUND(BB24/$B159,0),0)</f>
        <v>0</v>
      </c>
      <c r="BC159" s="46">
        <f>=IFERROR(ROUND(BC24/$B159,0),0)</f>
        <v>0</v>
      </c>
      <c r="BD159" s="46">
        <f>=IFERROR(ROUND(BD24/$B159,0),0)</f>
        <v>0</v>
      </c>
      <c r="BE159" s="46">
        <f>=IFERROR(ROUND(BE24/$B159,0),0)</f>
        <v>0</v>
      </c>
      <c r="BF159" s="46">
        <f>=IFERROR(ROUND(BF24/$B159,0),0)</f>
        <v>0</v>
      </c>
      <c r="BG159" s="46">
        <f>=IFERROR(ROUND(BG24/$B159,0),0)</f>
        <v>0</v>
      </c>
      <c r="BH159" s="46">
        <f>=IFERROR(ROUND(BH24/$B159,0),0)</f>
        <v>0</v>
      </c>
      <c r="BI159" s="46">
        <f>=IFERROR(ROUND(BI24/$B159,0),0)</f>
        <v>0</v>
      </c>
      <c r="BJ159" s="46">
        <f>=IFERROR(ROUND(BJ24/$B159,0),0)</f>
        <v>0</v>
      </c>
      <c r="BK159" s="46">
        <f>=IFERROR(ROUND(BK24/$B159,0),0)</f>
        <v>0</v>
      </c>
      <c r="BL159" s="46">
        <f>=IFERROR(ROUND(BL24/$B159,0),0)</f>
        <v>0</v>
      </c>
      <c r="BM159" s="46">
        <f>=IFERROR(ROUND(BM24/$B159,0),0)</f>
        <v>0</v>
      </c>
      <c r="BN159" s="46">
        <f>=IFERROR(ROUND(BN24/$B159,0),0)</f>
        <v>0</v>
      </c>
      <c r="BO159" s="46">
        <f>=IFERROR(ROUND(BO24/$B159,0),0)</f>
        <v>0</v>
      </c>
      <c r="BP159" s="46">
        <f>=IFERROR(ROUND(BP24/$B159,0),0)</f>
        <v>0</v>
      </c>
      <c r="BQ159" s="46">
        <f>=IFERROR(ROUND(BQ24/$B159,0),0)</f>
        <v>0</v>
      </c>
      <c r="BR159" s="46">
        <f>=IFERROR(ROUND(BR24/$B159,0),0)</f>
        <v>0</v>
      </c>
      <c r="BS159" s="46">
        <f>=IFERROR(ROUND(BS24/$B159,0),0)</f>
        <v>0</v>
      </c>
      <c r="BT159" s="46">
        <f>=IFERROR(ROUND(BT24/$B159,0),0)</f>
        <v>0</v>
      </c>
      <c r="BU159" s="46">
        <f>=IFERROR(ROUND(BU24/$B159,0),0)</f>
        <v>0</v>
      </c>
      <c r="BV159" s="46">
        <f>=IFERROR(ROUND(BV24/$B159,0),0)</f>
        <v>0</v>
      </c>
      <c r="BW159" s="46">
        <f>=IFERROR(ROUND(BW24/$B159,0),0)</f>
        <v>0</v>
      </c>
      <c r="BX159" s="46">
        <f>=IFERROR(ROUND(BX24/$B159,0),0)</f>
        <v>0</v>
      </c>
      <c r="BY159" s="46">
        <f>=IFERROR(ROUND(BY24/$B159,0),0)</f>
        <v>0</v>
      </c>
      <c r="BZ159" s="46">
        <f>=IFERROR(ROUND(BZ24/$B159,0),0)</f>
        <v>0</v>
      </c>
      <c r="CA159" s="46">
        <f>=IFERROR(ROUND(CA24/$B159,0),0)</f>
        <v>0</v>
      </c>
      <c r="CB159" s="46">
        <f>=IFERROR(ROUND(CB24/$B159,0),0)</f>
        <v>0</v>
      </c>
      <c r="CC159" s="46">
        <f>=IFERROR(ROUND(CC24/$B159,0),0)</f>
        <v>0</v>
      </c>
      <c r="CD159" s="46">
        <f>=IFERROR(ROUND(CD24/$B159,0),0)</f>
        <v>0</v>
      </c>
      <c r="CE159" s="46">
        <f>=IFERROR(ROUND(CE24/$B159,0),0)</f>
        <v>0</v>
      </c>
      <c r="CF159" s="46">
        <f>=IFERROR(ROUND(CF24/$B159,0),0)</f>
        <v>0</v>
      </c>
      <c r="CG159" s="46">
        <f>=IFERROR(ROUND(CG24/$B159,0),0)</f>
        <v>0</v>
      </c>
      <c r="CH159" s="46">
        <f>=IFERROR(ROUND(CH24/$B159,0),0)</f>
        <v>0</v>
      </c>
      <c r="CI159" s="46">
        <f>=IFERROR(ROUND(CI24/$B159,0),0)</f>
        <v>0</v>
      </c>
      <c r="CJ159" s="46">
        <f>=IFERROR(ROUND(CJ24/$B159,0),0)</f>
        <v>0</v>
      </c>
      <c r="CK159" s="46">
        <f>=IFERROR(ROUND(CK24/$B159,0),0)</f>
        <v>0</v>
      </c>
      <c r="CL159" s="46">
        <f>=IFERROR(ROUND(CL24/$B159,0),0)</f>
        <v>0</v>
      </c>
      <c r="CM159" s="46">
        <f>=IFERROR(ROUND(CM24/$B159,0),0)</f>
        <v>0</v>
      </c>
      <c r="CN159" s="46">
        <f>=IFERROR(ROUND(CN24/$B159,0),0)</f>
        <v>0</v>
      </c>
      <c r="CO159" s="46">
        <f>=IFERROR(ROUND(CO24/$B159,0),0)</f>
        <v>0</v>
      </c>
      <c r="CP159" s="46">
        <f>=IFERROR(ROUND(CP24/$B159,0),0)</f>
        <v>0</v>
      </c>
      <c r="CQ159" s="46">
        <f>=IFERROR(ROUND(CQ24/$B159,0),0)</f>
        <v>0</v>
      </c>
      <c r="CR159" s="46">
        <f>=IFERROR(ROUND(CR24/$B159,0),0)</f>
        <v>0</v>
      </c>
      <c r="CS159" s="46">
        <f>=IFERROR(ROUND(CS24/$B159,0),0)</f>
        <v>0</v>
      </c>
      <c r="CT159" s="46">
        <f>=IFERROR(ROUND(CT24/$B159,0),0)</f>
        <v>0</v>
      </c>
      <c r="CU159" s="46">
        <f>=IFERROR(ROUND(CU24/$B159,0),0)</f>
        <v>0</v>
      </c>
      <c r="CV159" s="46">
        <f>=IFERROR(ROUND(CV24/$B159,0),0)</f>
        <v>0</v>
      </c>
      <c r="CW159" s="46">
        <f>=IFERROR(ROUND(CW24/$B159,0),0)</f>
        <v>0</v>
      </c>
      <c r="CX159" s="46">
        <f>=IFERROR(ROUND(CX24/$B159,0),0)</f>
        <v>0</v>
      </c>
      <c r="CY159" s="46">
        <f>=IFERROR(ROUND(CY24/$B159,0),0)</f>
        <v>0</v>
      </c>
      <c r="CZ159" s="46">
        <f>=IFERROR(ROUND(CZ24/$B159,0),0)</f>
        <v>0</v>
      </c>
      <c r="DA159" s="46">
        <f>=IFERROR(ROUND(DA24/$B159,0),0)</f>
        <v>0</v>
      </c>
      <c r="DB159" s="46">
        <f>=IFERROR(ROUND(DB24/$B159,0),0)</f>
        <v>0</v>
      </c>
    </row>
    <row r="160" spans="1:106" x14ac:dyDescent="0.25">
      <c r="A160" s="17" t="s">
        <v>364</v>
      </c>
      <c r="B160" s="17">
        <v>30</v>
      </c>
      <c r="C160" s="46">
        <f>=IFERROR(ROUND(C23/$B160,0),0)</f>
        <v>0</v>
      </c>
      <c r="D160" s="46">
        <f>=IFERROR(ROUND(D23/$B160,0),0)</f>
        <v>0</v>
      </c>
      <c r="E160" s="46">
        <f>=IFERROR(ROUND(E23/$B160,0),0)</f>
        <v>0</v>
      </c>
      <c r="F160" s="46">
        <f>=IFERROR(ROUND(F23/$B160,0),0)</f>
        <v>0</v>
      </c>
      <c r="G160" s="46">
        <f>=IFERROR(ROUND(G23/$B160,0),0)</f>
        <v>0</v>
      </c>
      <c r="H160" s="46">
        <f>=IFERROR(ROUND(H23/$B160,0),0)</f>
        <v>0</v>
      </c>
      <c r="I160" s="46">
        <f>=IFERROR(ROUND(I23/$B160,0),0)</f>
        <v>0</v>
      </c>
      <c r="J160" s="46">
        <f>=IFERROR(ROUND(J23/$B160,0),0)</f>
        <v>0</v>
      </c>
      <c r="K160" s="46">
        <f>=IFERROR(ROUND(K23/$B160,0),0)</f>
        <v>0</v>
      </c>
      <c r="L160" s="46">
        <f>=IFERROR(ROUND(L23/$B160,0),0)</f>
        <v>0</v>
      </c>
      <c r="M160" s="46">
        <f>=IFERROR(ROUND(M23/$B160,0),0)</f>
        <v>0</v>
      </c>
      <c r="N160" s="46">
        <f>=IFERROR(ROUND(N23/$B160,0),0)</f>
        <v>0</v>
      </c>
      <c r="O160" s="46">
        <f>=IFERROR(ROUND(O23/$B160,0),0)</f>
        <v>0</v>
      </c>
      <c r="P160" s="46">
        <f>=IFERROR(ROUND(P23/$B160,0),0)</f>
        <v>0</v>
      </c>
      <c r="Q160" s="46">
        <f>=IFERROR(ROUND(Q23/$B160,0),0)</f>
        <v>0</v>
      </c>
      <c r="R160" s="46">
        <f>=IFERROR(ROUND(R23/$B160,0),0)</f>
        <v>0</v>
      </c>
      <c r="S160" s="46">
        <f>=IFERROR(ROUND(S23/$B160,0),0)</f>
        <v>0</v>
      </c>
      <c r="T160" s="46">
        <f>=IFERROR(ROUND(T23/$B160,0),0)</f>
        <v>0</v>
      </c>
      <c r="U160" s="46">
        <f>=IFERROR(ROUND(U23/$B160,0),0)</f>
        <v>0</v>
      </c>
      <c r="V160" s="46">
        <f>=IFERROR(ROUND(V23/$B160,0),0)</f>
        <v>0</v>
      </c>
      <c r="W160" s="46">
        <f>=IFERROR(ROUND(W23/$B160,0),0)</f>
        <v>0</v>
      </c>
      <c r="X160" s="46">
        <f>=IFERROR(ROUND(X23/$B160,0),0)</f>
        <v>0</v>
      </c>
      <c r="Y160" s="46">
        <f>=IFERROR(ROUND(Y23/$B160,0),0)</f>
        <v>0</v>
      </c>
      <c r="Z160" s="46">
        <f>=IFERROR(ROUND(Z23/$B160,0),0)</f>
        <v>0</v>
      </c>
      <c r="AA160" s="46">
        <f>=IFERROR(ROUND(AA23/$B160,0),0)</f>
        <v>0</v>
      </c>
      <c r="AB160" s="46">
        <f>=IFERROR(ROUND(AB23/$B160,0),0)</f>
        <v>0</v>
      </c>
      <c r="AC160" s="46">
        <f>=IFERROR(ROUND(AC23/$B160,0),0)</f>
        <v>0</v>
      </c>
      <c r="AD160" s="46">
        <f>=IFERROR(ROUND(AD23/$B160,0),0)</f>
        <v>0</v>
      </c>
      <c r="AE160" s="46">
        <f>=IFERROR(ROUND(AE23/$B160,0),0)</f>
        <v>0</v>
      </c>
      <c r="AF160" s="46">
        <f>=IFERROR(ROUND(AF23/$B160,0),0)</f>
        <v>0</v>
      </c>
      <c r="AG160" s="46">
        <f>=IFERROR(ROUND(AG23/$B160,0),0)</f>
        <v>0</v>
      </c>
      <c r="AH160" s="46">
        <f>=IFERROR(ROUND(AH23/$B160,0),0)</f>
        <v>0</v>
      </c>
      <c r="AI160" s="46">
        <f>=IFERROR(ROUND(AI23/$B160,0),0)</f>
        <v>0</v>
      </c>
      <c r="AJ160" s="46">
        <f>=IFERROR(ROUND(AJ23/$B160,0),0)</f>
        <v>0</v>
      </c>
      <c r="AK160" s="46">
        <f>=IFERROR(ROUND(AK23/$B160,0),0)</f>
        <v>0</v>
      </c>
      <c r="AL160" s="46">
        <f>=IFERROR(ROUND(AL23/$B160,0),0)</f>
        <v>0</v>
      </c>
      <c r="AM160" s="46">
        <f>=IFERROR(ROUND(AM23/$B160,0),0)</f>
        <v>0</v>
      </c>
      <c r="AN160" s="46">
        <f>=IFERROR(ROUND(AN23/$B160,0),0)</f>
        <v>0</v>
      </c>
      <c r="AO160" s="46">
        <f>=IFERROR(ROUND(AO23/$B160,0),0)</f>
        <v>0</v>
      </c>
      <c r="AP160" s="46">
        <f>=IFERROR(ROUND(AP23/$B160,0),0)</f>
        <v>0</v>
      </c>
      <c r="AQ160" s="46">
        <f>=IFERROR(ROUND(AQ23/$B160,0),0)</f>
        <v>0</v>
      </c>
      <c r="AR160" s="46">
        <f>=IFERROR(ROUND(AR23/$B160,0),0)</f>
        <v>0</v>
      </c>
      <c r="AS160" s="46">
        <f>=IFERROR(ROUND(AS23/$B160,0),0)</f>
        <v>0</v>
      </c>
      <c r="AT160" s="46">
        <f>=IFERROR(ROUND(AT23/$B160,0),0)</f>
        <v>0</v>
      </c>
      <c r="AU160" s="46">
        <f>=IFERROR(ROUND(AU23/$B160,0),0)</f>
        <v>0</v>
      </c>
      <c r="AV160" s="46">
        <f>=IFERROR(ROUND(AV23/$B160,0),0)</f>
        <v>0</v>
      </c>
      <c r="AW160" s="46">
        <f>=IFERROR(ROUND(AW23/$B160,0),0)</f>
        <v>0</v>
      </c>
      <c r="AX160" s="46">
        <f>=IFERROR(ROUND(AX23/$B160,0),0)</f>
        <v>0</v>
      </c>
      <c r="AY160" s="46">
        <f>=IFERROR(ROUND(AY23/$B160,0),0)</f>
        <v>0</v>
      </c>
      <c r="AZ160" s="46">
        <f>=IFERROR(ROUND(AZ23/$B160,0),0)</f>
        <v>0</v>
      </c>
      <c r="BA160" s="46">
        <f>=IFERROR(ROUND(BA23/$B160,0),0)</f>
        <v>0</v>
      </c>
      <c r="BB160" s="46">
        <f>=IFERROR(ROUND(BB23/$B160,0),0)</f>
        <v>0</v>
      </c>
      <c r="BC160" s="46">
        <f>=IFERROR(ROUND(BC23/$B160,0),0)</f>
        <v>0</v>
      </c>
      <c r="BD160" s="46">
        <f>=IFERROR(ROUND(BD23/$B160,0),0)</f>
        <v>0</v>
      </c>
      <c r="BE160" s="46">
        <f>=IFERROR(ROUND(BE23/$B160,0),0)</f>
        <v>0</v>
      </c>
      <c r="BF160" s="46">
        <f>=IFERROR(ROUND(BF23/$B160,0),0)</f>
        <v>0</v>
      </c>
      <c r="BG160" s="46">
        <f>=IFERROR(ROUND(BG23/$B160,0),0)</f>
        <v>0</v>
      </c>
      <c r="BH160" s="46">
        <f>=IFERROR(ROUND(BH23/$B160,0),0)</f>
        <v>0</v>
      </c>
      <c r="BI160" s="46">
        <f>=IFERROR(ROUND(BI23/$B160,0),0)</f>
        <v>0</v>
      </c>
      <c r="BJ160" s="46">
        <f>=IFERROR(ROUND(BJ23/$B160,0),0)</f>
        <v>0</v>
      </c>
      <c r="BK160" s="46">
        <f>=IFERROR(ROUND(BK23/$B160,0),0)</f>
        <v>0</v>
      </c>
      <c r="BL160" s="46">
        <f>=IFERROR(ROUND(BL23/$B160,0),0)</f>
        <v>0</v>
      </c>
      <c r="BM160" s="46">
        <f>=IFERROR(ROUND(BM23/$B160,0),0)</f>
        <v>0</v>
      </c>
      <c r="BN160" s="46">
        <f>=IFERROR(ROUND(BN23/$B160,0),0)</f>
        <v>0</v>
      </c>
      <c r="BO160" s="46">
        <f>=IFERROR(ROUND(BO23/$B160,0),0)</f>
        <v>0</v>
      </c>
      <c r="BP160" s="46">
        <f>=IFERROR(ROUND(BP23/$B160,0),0)</f>
        <v>0</v>
      </c>
      <c r="BQ160" s="46">
        <f>=IFERROR(ROUND(BQ23/$B160,0),0)</f>
        <v>0</v>
      </c>
      <c r="BR160" s="46">
        <f>=IFERROR(ROUND(BR23/$B160,0),0)</f>
        <v>0</v>
      </c>
      <c r="BS160" s="46">
        <f>=IFERROR(ROUND(BS23/$B160,0),0)</f>
        <v>0</v>
      </c>
      <c r="BT160" s="46">
        <f>=IFERROR(ROUND(BT23/$B160,0),0)</f>
        <v>0</v>
      </c>
      <c r="BU160" s="46">
        <f>=IFERROR(ROUND(BU23/$B160,0),0)</f>
        <v>0</v>
      </c>
      <c r="BV160" s="46">
        <f>=IFERROR(ROUND(BV23/$B160,0),0)</f>
        <v>0</v>
      </c>
      <c r="BW160" s="46">
        <f>=IFERROR(ROUND(BW23/$B160,0),0)</f>
        <v>0</v>
      </c>
      <c r="BX160" s="46">
        <f>=IFERROR(ROUND(BX23/$B160,0),0)</f>
        <v>0</v>
      </c>
      <c r="BY160" s="46">
        <f>=IFERROR(ROUND(BY23/$B160,0),0)</f>
        <v>0</v>
      </c>
      <c r="BZ160" s="46">
        <f>=IFERROR(ROUND(BZ23/$B160,0),0)</f>
        <v>0</v>
      </c>
      <c r="CA160" s="46">
        <f>=IFERROR(ROUND(CA23/$B160,0),0)</f>
        <v>0</v>
      </c>
      <c r="CB160" s="46">
        <f>=IFERROR(ROUND(CB23/$B160,0),0)</f>
        <v>0</v>
      </c>
      <c r="CC160" s="46">
        <f>=IFERROR(ROUND(CC23/$B160,0),0)</f>
        <v>0</v>
      </c>
      <c r="CD160" s="46">
        <f>=IFERROR(ROUND(CD23/$B160,0),0)</f>
        <v>0</v>
      </c>
      <c r="CE160" s="46">
        <f>=IFERROR(ROUND(CE23/$B160,0),0)</f>
        <v>0</v>
      </c>
      <c r="CF160" s="46">
        <f>=IFERROR(ROUND(CF23/$B160,0),0)</f>
        <v>0</v>
      </c>
      <c r="CG160" s="46">
        <f>=IFERROR(ROUND(CG23/$B160,0),0)</f>
        <v>0</v>
      </c>
      <c r="CH160" s="46">
        <f>=IFERROR(ROUND(CH23/$B160,0),0)</f>
        <v>0</v>
      </c>
      <c r="CI160" s="46">
        <f>=IFERROR(ROUND(CI23/$B160,0),0)</f>
        <v>0</v>
      </c>
      <c r="CJ160" s="46">
        <f>=IFERROR(ROUND(CJ23/$B160,0),0)</f>
        <v>0</v>
      </c>
      <c r="CK160" s="46">
        <f>=IFERROR(ROUND(CK23/$B160,0),0)</f>
        <v>0</v>
      </c>
      <c r="CL160" s="46">
        <f>=IFERROR(ROUND(CL23/$B160,0),0)</f>
        <v>0</v>
      </c>
      <c r="CM160" s="46">
        <f>=IFERROR(ROUND(CM23/$B160,0),0)</f>
        <v>0</v>
      </c>
      <c r="CN160" s="46">
        <f>=IFERROR(ROUND(CN23/$B160,0),0)</f>
        <v>0</v>
      </c>
      <c r="CO160" s="46">
        <f>=IFERROR(ROUND(CO23/$B160,0),0)</f>
        <v>0</v>
      </c>
      <c r="CP160" s="46">
        <f>=IFERROR(ROUND(CP23/$B160,0),0)</f>
        <v>0</v>
      </c>
      <c r="CQ160" s="46">
        <f>=IFERROR(ROUND(CQ23/$B160,0),0)</f>
        <v>0</v>
      </c>
      <c r="CR160" s="46">
        <f>=IFERROR(ROUND(CR23/$B160,0),0)</f>
        <v>0</v>
      </c>
      <c r="CS160" s="46">
        <f>=IFERROR(ROUND(CS23/$B160,0),0)</f>
        <v>0</v>
      </c>
      <c r="CT160" s="46">
        <f>=IFERROR(ROUND(CT23/$B160,0),0)</f>
        <v>0</v>
      </c>
      <c r="CU160" s="46">
        <f>=IFERROR(ROUND(CU23/$B160,0),0)</f>
        <v>0</v>
      </c>
      <c r="CV160" s="46">
        <f>=IFERROR(ROUND(CV23/$B160,0),0)</f>
        <v>0</v>
      </c>
      <c r="CW160" s="46">
        <f>=IFERROR(ROUND(CW23/$B160,0),0)</f>
        <v>0</v>
      </c>
      <c r="CX160" s="46">
        <f>=IFERROR(ROUND(CX23/$B160,0),0)</f>
        <v>0</v>
      </c>
      <c r="CY160" s="46">
        <f>=IFERROR(ROUND(CY23/$B160,0),0)</f>
        <v>0</v>
      </c>
      <c r="CZ160" s="46">
        <f>=IFERROR(ROUND(CZ23/$B160,0),0)</f>
        <v>0</v>
      </c>
      <c r="DA160" s="46">
        <f>=IFERROR(ROUND(DA23/$B160,0),0)</f>
        <v>0</v>
      </c>
      <c r="DB160" s="46">
        <f>=IFERROR(ROUND(DB23/$B160,0),0)</f>
        <v>0</v>
      </c>
    </row>
    <row r="161" spans="1:106" x14ac:dyDescent="0.25">
      <c r="A161" s="17" t="s">
        <v>365</v>
      </c>
      <c r="B161" s="17">
        <v>15</v>
      </c>
      <c r="C161" s="46">
        <f>=IFERROR(ROUND(C22/$B161,0),0)</f>
        <v>0</v>
      </c>
      <c r="D161" s="46">
        <f>=IFERROR(ROUND(D22/$B161,0),0)</f>
        <v>0</v>
      </c>
      <c r="E161" s="46">
        <f>=IFERROR(ROUND(E22/$B161,0),0)</f>
        <v>0</v>
      </c>
      <c r="F161" s="46">
        <f>=IFERROR(ROUND(F22/$B161,0),0)</f>
        <v>0</v>
      </c>
      <c r="G161" s="46">
        <f>=IFERROR(ROUND(G22/$B161,0),0)</f>
        <v>0</v>
      </c>
      <c r="H161" s="46">
        <f>=IFERROR(ROUND(H22/$B161,0),0)</f>
        <v>0</v>
      </c>
      <c r="I161" s="46">
        <f>=IFERROR(ROUND(I22/$B161,0),0)</f>
        <v>0</v>
      </c>
      <c r="J161" s="46">
        <f>=IFERROR(ROUND(J22/$B161,0),0)</f>
        <v>0</v>
      </c>
      <c r="K161" s="46">
        <f>=IFERROR(ROUND(K22/$B161,0),0)</f>
        <v>0</v>
      </c>
      <c r="L161" s="46">
        <f>=IFERROR(ROUND(L22/$B161,0),0)</f>
        <v>0</v>
      </c>
      <c r="M161" s="46">
        <f>=IFERROR(ROUND(M22/$B161,0),0)</f>
        <v>0</v>
      </c>
      <c r="N161" s="46">
        <f>=IFERROR(ROUND(N22/$B161,0),0)</f>
        <v>0</v>
      </c>
      <c r="O161" s="46">
        <f>=IFERROR(ROUND(O22/$B161,0),0)</f>
        <v>0</v>
      </c>
      <c r="P161" s="46">
        <f>=IFERROR(ROUND(P22/$B161,0),0)</f>
        <v>0</v>
      </c>
      <c r="Q161" s="46">
        <f>=IFERROR(ROUND(Q22/$B161,0),0)</f>
        <v>0</v>
      </c>
      <c r="R161" s="46">
        <f>=IFERROR(ROUND(R22/$B161,0),0)</f>
        <v>0</v>
      </c>
      <c r="S161" s="46">
        <f>=IFERROR(ROUND(S22/$B161,0),0)</f>
        <v>0</v>
      </c>
      <c r="T161" s="46">
        <f>=IFERROR(ROUND(T22/$B161,0),0)</f>
        <v>0</v>
      </c>
      <c r="U161" s="46">
        <f>=IFERROR(ROUND(U22/$B161,0),0)</f>
        <v>0</v>
      </c>
      <c r="V161" s="46">
        <f>=IFERROR(ROUND(V22/$B161,0),0)</f>
        <v>0</v>
      </c>
      <c r="W161" s="46">
        <f>=IFERROR(ROUND(W22/$B161,0),0)</f>
        <v>0</v>
      </c>
      <c r="X161" s="46">
        <f>=IFERROR(ROUND(X22/$B161,0),0)</f>
        <v>0</v>
      </c>
      <c r="Y161" s="46">
        <f>=IFERROR(ROUND(Y22/$B161,0),0)</f>
        <v>0</v>
      </c>
      <c r="Z161" s="46">
        <f>=IFERROR(ROUND(Z22/$B161,0),0)</f>
        <v>0</v>
      </c>
      <c r="AA161" s="46">
        <f>=IFERROR(ROUND(AA22/$B161,0),0)</f>
        <v>0</v>
      </c>
      <c r="AB161" s="46">
        <f>=IFERROR(ROUND(AB22/$B161,0),0)</f>
        <v>0</v>
      </c>
      <c r="AC161" s="46">
        <f>=IFERROR(ROUND(AC22/$B161,0),0)</f>
        <v>0</v>
      </c>
      <c r="AD161" s="46">
        <f>=IFERROR(ROUND(AD22/$B161,0),0)</f>
        <v>0</v>
      </c>
      <c r="AE161" s="46">
        <f>=IFERROR(ROUND(AE22/$B161,0),0)</f>
        <v>0</v>
      </c>
      <c r="AF161" s="46">
        <f>=IFERROR(ROUND(AF22/$B161,0),0)</f>
        <v>0</v>
      </c>
      <c r="AG161" s="46">
        <f>=IFERROR(ROUND(AG22/$B161,0),0)</f>
        <v>0</v>
      </c>
      <c r="AH161" s="46">
        <f>=IFERROR(ROUND(AH22/$B161,0),0)</f>
        <v>0</v>
      </c>
      <c r="AI161" s="46">
        <f>=IFERROR(ROUND(AI22/$B161,0),0)</f>
        <v>0</v>
      </c>
      <c r="AJ161" s="46">
        <f>=IFERROR(ROUND(AJ22/$B161,0),0)</f>
        <v>0</v>
      </c>
      <c r="AK161" s="46">
        <f>=IFERROR(ROUND(AK22/$B161,0),0)</f>
        <v>0</v>
      </c>
      <c r="AL161" s="46">
        <f>=IFERROR(ROUND(AL22/$B161,0),0)</f>
        <v>0</v>
      </c>
      <c r="AM161" s="46">
        <f>=IFERROR(ROUND(AM22/$B161,0),0)</f>
        <v>0</v>
      </c>
      <c r="AN161" s="46">
        <f>=IFERROR(ROUND(AN22/$B161,0),0)</f>
        <v>0</v>
      </c>
      <c r="AO161" s="46">
        <f>=IFERROR(ROUND(AO22/$B161,0),0)</f>
        <v>0</v>
      </c>
      <c r="AP161" s="46">
        <f>=IFERROR(ROUND(AP22/$B161,0),0)</f>
        <v>0</v>
      </c>
      <c r="AQ161" s="46">
        <f>=IFERROR(ROUND(AQ22/$B161,0),0)</f>
        <v>0</v>
      </c>
      <c r="AR161" s="46">
        <f>=IFERROR(ROUND(AR22/$B161,0),0)</f>
        <v>0</v>
      </c>
      <c r="AS161" s="46">
        <f>=IFERROR(ROUND(AS22/$B161,0),0)</f>
        <v>0</v>
      </c>
      <c r="AT161" s="46">
        <f>=IFERROR(ROUND(AT22/$B161,0),0)</f>
        <v>0</v>
      </c>
      <c r="AU161" s="46">
        <f>=IFERROR(ROUND(AU22/$B161,0),0)</f>
        <v>0</v>
      </c>
      <c r="AV161" s="46">
        <f>=IFERROR(ROUND(AV22/$B161,0),0)</f>
        <v>0</v>
      </c>
      <c r="AW161" s="46">
        <f>=IFERROR(ROUND(AW22/$B161,0),0)</f>
        <v>0</v>
      </c>
      <c r="AX161" s="46">
        <f>=IFERROR(ROUND(AX22/$B161,0),0)</f>
        <v>0</v>
      </c>
      <c r="AY161" s="46">
        <f>=IFERROR(ROUND(AY22/$B161,0),0)</f>
        <v>0</v>
      </c>
      <c r="AZ161" s="46">
        <f>=IFERROR(ROUND(AZ22/$B161,0),0)</f>
        <v>0</v>
      </c>
      <c r="BA161" s="46">
        <f>=IFERROR(ROUND(BA22/$B161,0),0)</f>
        <v>0</v>
      </c>
      <c r="BB161" s="46">
        <f>=IFERROR(ROUND(BB22/$B161,0),0)</f>
        <v>0</v>
      </c>
      <c r="BC161" s="46">
        <f>=IFERROR(ROUND(BC22/$B161,0),0)</f>
        <v>0</v>
      </c>
      <c r="BD161" s="46">
        <f>=IFERROR(ROUND(BD22/$B161,0),0)</f>
        <v>0</v>
      </c>
      <c r="BE161" s="46">
        <f>=IFERROR(ROUND(BE22/$B161,0),0)</f>
        <v>0</v>
      </c>
      <c r="BF161" s="46">
        <f>=IFERROR(ROUND(BF22/$B161,0),0)</f>
        <v>0</v>
      </c>
      <c r="BG161" s="46">
        <f>=IFERROR(ROUND(BG22/$B161,0),0)</f>
        <v>0</v>
      </c>
      <c r="BH161" s="46">
        <f>=IFERROR(ROUND(BH22/$B161,0),0)</f>
        <v>0</v>
      </c>
      <c r="BI161" s="46">
        <f>=IFERROR(ROUND(BI22/$B161,0),0)</f>
        <v>0</v>
      </c>
      <c r="BJ161" s="46">
        <f>=IFERROR(ROUND(BJ22/$B161,0),0)</f>
        <v>0</v>
      </c>
      <c r="BK161" s="46">
        <f>=IFERROR(ROUND(BK22/$B161,0),0)</f>
        <v>0</v>
      </c>
      <c r="BL161" s="46">
        <f>=IFERROR(ROUND(BL22/$B161,0),0)</f>
        <v>0</v>
      </c>
      <c r="BM161" s="46">
        <f>=IFERROR(ROUND(BM22/$B161,0),0)</f>
        <v>0</v>
      </c>
      <c r="BN161" s="46">
        <f>=IFERROR(ROUND(BN22/$B161,0),0)</f>
        <v>0</v>
      </c>
      <c r="BO161" s="46">
        <f>=IFERROR(ROUND(BO22/$B161,0),0)</f>
        <v>0</v>
      </c>
      <c r="BP161" s="46">
        <f>=IFERROR(ROUND(BP22/$B161,0),0)</f>
        <v>0</v>
      </c>
      <c r="BQ161" s="46">
        <f>=IFERROR(ROUND(BQ22/$B161,0),0)</f>
        <v>0</v>
      </c>
      <c r="BR161" s="46">
        <f>=IFERROR(ROUND(BR22/$B161,0),0)</f>
        <v>0</v>
      </c>
      <c r="BS161" s="46">
        <f>=IFERROR(ROUND(BS22/$B161,0),0)</f>
        <v>0</v>
      </c>
      <c r="BT161" s="46">
        <f>=IFERROR(ROUND(BT22/$B161,0),0)</f>
        <v>0</v>
      </c>
      <c r="BU161" s="46">
        <f>=IFERROR(ROUND(BU22/$B161,0),0)</f>
        <v>0</v>
      </c>
      <c r="BV161" s="46">
        <f>=IFERROR(ROUND(BV22/$B161,0),0)</f>
        <v>0</v>
      </c>
      <c r="BW161" s="46">
        <f>=IFERROR(ROUND(BW22/$B161,0),0)</f>
        <v>0</v>
      </c>
      <c r="BX161" s="46">
        <f>=IFERROR(ROUND(BX22/$B161,0),0)</f>
        <v>0</v>
      </c>
      <c r="BY161" s="46">
        <f>=IFERROR(ROUND(BY22/$B161,0),0)</f>
        <v>0</v>
      </c>
      <c r="BZ161" s="46">
        <f>=IFERROR(ROUND(BZ22/$B161,0),0)</f>
        <v>0</v>
      </c>
      <c r="CA161" s="46">
        <f>=IFERROR(ROUND(CA22/$B161,0),0)</f>
        <v>0</v>
      </c>
      <c r="CB161" s="46">
        <f>=IFERROR(ROUND(CB22/$B161,0),0)</f>
        <v>0</v>
      </c>
      <c r="CC161" s="46">
        <f>=IFERROR(ROUND(CC22/$B161,0),0)</f>
        <v>0</v>
      </c>
      <c r="CD161" s="46">
        <f>=IFERROR(ROUND(CD22/$B161,0),0)</f>
        <v>0</v>
      </c>
      <c r="CE161" s="46">
        <f>=IFERROR(ROUND(CE22/$B161,0),0)</f>
        <v>0</v>
      </c>
      <c r="CF161" s="46">
        <f>=IFERROR(ROUND(CF22/$B161,0),0)</f>
        <v>0</v>
      </c>
      <c r="CG161" s="46">
        <f>=IFERROR(ROUND(CG22/$B161,0),0)</f>
        <v>0</v>
      </c>
      <c r="CH161" s="46">
        <f>=IFERROR(ROUND(CH22/$B161,0),0)</f>
        <v>0</v>
      </c>
      <c r="CI161" s="46">
        <f>=IFERROR(ROUND(CI22/$B161,0),0)</f>
        <v>0</v>
      </c>
      <c r="CJ161" s="46">
        <f>=IFERROR(ROUND(CJ22/$B161,0),0)</f>
        <v>0</v>
      </c>
      <c r="CK161" s="46">
        <f>=IFERROR(ROUND(CK22/$B161,0),0)</f>
        <v>0</v>
      </c>
      <c r="CL161" s="46">
        <f>=IFERROR(ROUND(CL22/$B161,0),0)</f>
        <v>0</v>
      </c>
      <c r="CM161" s="46">
        <f>=IFERROR(ROUND(CM22/$B161,0),0)</f>
        <v>0</v>
      </c>
      <c r="CN161" s="46">
        <f>=IFERROR(ROUND(CN22/$B161,0),0)</f>
        <v>0</v>
      </c>
      <c r="CO161" s="46">
        <f>=IFERROR(ROUND(CO22/$B161,0),0)</f>
        <v>0</v>
      </c>
      <c r="CP161" s="46">
        <f>=IFERROR(ROUND(CP22/$B161,0),0)</f>
        <v>0</v>
      </c>
      <c r="CQ161" s="46">
        <f>=IFERROR(ROUND(CQ22/$B161,0),0)</f>
        <v>0</v>
      </c>
      <c r="CR161" s="46">
        <f>=IFERROR(ROUND(CR22/$B161,0),0)</f>
        <v>0</v>
      </c>
      <c r="CS161" s="46">
        <f>=IFERROR(ROUND(CS22/$B161,0),0)</f>
        <v>0</v>
      </c>
      <c r="CT161" s="46">
        <f>=IFERROR(ROUND(CT22/$B161,0),0)</f>
        <v>0</v>
      </c>
      <c r="CU161" s="46">
        <f>=IFERROR(ROUND(CU22/$B161,0),0)</f>
        <v>0</v>
      </c>
      <c r="CV161" s="46">
        <f>=IFERROR(ROUND(CV22/$B161,0),0)</f>
        <v>0</v>
      </c>
      <c r="CW161" s="46">
        <f>=IFERROR(ROUND(CW22/$B161,0),0)</f>
        <v>0</v>
      </c>
      <c r="CX161" s="46">
        <f>=IFERROR(ROUND(CX22/$B161,0),0)</f>
        <v>0</v>
      </c>
      <c r="CY161" s="46">
        <f>=IFERROR(ROUND(CY22/$B161,0),0)</f>
        <v>0</v>
      </c>
      <c r="CZ161" s="46">
        <f>=IFERROR(ROUND(CZ22/$B161,0),0)</f>
        <v>0</v>
      </c>
      <c r="DA161" s="46">
        <f>=IFERROR(ROUND(DA22/$B161,0),0)</f>
        <v>0</v>
      </c>
      <c r="DB161" s="46">
        <f>=IFERROR(ROUND(DB22/$B161,0),0)</f>
        <v>0</v>
      </c>
    </row>
    <row r="162" spans="3:106" x14ac:dyDescent="0.25"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30"/>
      <c r="BP162" s="30"/>
      <c r="BQ162" s="30"/>
      <c r="BR162" s="30"/>
      <c r="BS162" s="30"/>
      <c r="BT162" s="30"/>
      <c r="BU162" s="30"/>
      <c r="BV162" s="30"/>
      <c r="BW162" s="30"/>
      <c r="BX162" s="30"/>
      <c r="BY162" s="30"/>
      <c r="BZ162" s="30"/>
      <c r="CA162" s="30"/>
      <c r="CB162" s="30"/>
      <c r="CC162" s="30"/>
      <c r="CD162" s="30"/>
      <c r="CE162" s="30"/>
      <c r="CF162" s="30"/>
      <c r="CG162" s="30"/>
      <c r="CH162" s="30"/>
      <c r="CI162" s="30"/>
      <c r="CJ162" s="30"/>
      <c r="CK162" s="30"/>
      <c r="CL162" s="30"/>
      <c r="CM162" s="30"/>
      <c r="CN162" s="30"/>
      <c r="CO162" s="30"/>
      <c r="CP162" s="30"/>
      <c r="CQ162" s="30"/>
      <c r="CR162" s="30"/>
      <c r="CS162" s="30"/>
      <c r="CT162" s="30"/>
      <c r="CU162" s="30"/>
      <c r="CV162" s="30"/>
      <c r="CW162" s="30"/>
      <c r="CX162" s="30"/>
      <c r="CY162" s="30"/>
      <c r="CZ162" s="30"/>
      <c r="DA162" s="30"/>
      <c r="DB162" s="30"/>
    </row>
    <row r="163" spans="1:106" x14ac:dyDescent="0.25">
      <c r="A163" s="33" t="s">
        <v>366</v>
      </c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/>
      <c r="BE163" s="30"/>
      <c r="BF163" s="30"/>
      <c r="BG163" s="30"/>
      <c r="BH163" s="30"/>
      <c r="BI163" s="30"/>
      <c r="BJ163" s="30"/>
      <c r="BK163" s="30"/>
      <c r="BL163" s="30"/>
      <c r="BM163" s="30"/>
      <c r="BN163" s="30"/>
      <c r="BO163" s="30"/>
      <c r="BP163" s="30"/>
      <c r="BQ163" s="30"/>
      <c r="BR163" s="30"/>
      <c r="BS163" s="30"/>
      <c r="BT163" s="30"/>
      <c r="BU163" s="30"/>
      <c r="BV163" s="30"/>
      <c r="BW163" s="30"/>
      <c r="BX163" s="30"/>
      <c r="BY163" s="30"/>
      <c r="BZ163" s="30"/>
      <c r="CA163" s="30"/>
      <c r="CB163" s="30"/>
      <c r="CC163" s="30"/>
      <c r="CD163" s="30"/>
      <c r="CE163" s="30"/>
      <c r="CF163" s="30"/>
      <c r="CG163" s="30"/>
      <c r="CH163" s="30"/>
      <c r="CI163" s="30"/>
      <c r="CJ163" s="30"/>
      <c r="CK163" s="30"/>
      <c r="CL163" s="30"/>
      <c r="CM163" s="30"/>
      <c r="CN163" s="30"/>
      <c r="CO163" s="30"/>
      <c r="CP163" s="30"/>
      <c r="CQ163" s="30"/>
      <c r="CR163" s="30"/>
      <c r="CS163" s="30"/>
      <c r="CT163" s="30"/>
      <c r="CU163" s="30"/>
      <c r="CV163" s="30"/>
      <c r="CW163" s="30"/>
      <c r="CX163" s="30"/>
      <c r="CY163" s="30"/>
      <c r="CZ163" s="30"/>
      <c r="DA163" s="30"/>
      <c r="DB163" s="30"/>
    </row>
    <row r="164" spans="1:106" x14ac:dyDescent="0.25">
      <c r="A164" s="17" t="s">
        <v>367</v>
      </c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30"/>
      <c r="BD164" s="30"/>
      <c r="BE164" s="30"/>
      <c r="BF164" s="30"/>
      <c r="BG164" s="30"/>
      <c r="BH164" s="30"/>
      <c r="BI164" s="30"/>
      <c r="BJ164" s="30"/>
      <c r="BK164" s="30"/>
      <c r="BL164" s="30"/>
      <c r="BM164" s="30"/>
      <c r="BN164" s="30"/>
      <c r="BO164" s="30"/>
      <c r="BP164" s="30"/>
      <c r="BQ164" s="30"/>
      <c r="BR164" s="30"/>
      <c r="BS164" s="30"/>
      <c r="BT164" s="30"/>
      <c r="BU164" s="30"/>
      <c r="BV164" s="30"/>
      <c r="BW164" s="30"/>
      <c r="BX164" s="30"/>
      <c r="BY164" s="30"/>
      <c r="BZ164" s="30"/>
      <c r="CA164" s="30"/>
      <c r="CB164" s="30"/>
      <c r="CC164" s="30"/>
      <c r="CD164" s="30"/>
      <c r="CE164" s="30"/>
      <c r="CF164" s="30"/>
      <c r="CG164" s="30"/>
      <c r="CH164" s="30"/>
      <c r="CI164" s="30"/>
      <c r="CJ164" s="30"/>
      <c r="CK164" s="30"/>
      <c r="CL164" s="30"/>
      <c r="CM164" s="30"/>
      <c r="CN164" s="30"/>
      <c r="CO164" s="30"/>
      <c r="CP164" s="30"/>
      <c r="CQ164" s="30"/>
      <c r="CR164" s="30"/>
      <c r="CS164" s="30"/>
      <c r="CT164" s="30"/>
      <c r="CU164" s="30"/>
      <c r="CV164" s="30"/>
      <c r="CW164" s="30"/>
      <c r="CX164" s="30"/>
      <c r="CY164" s="30"/>
      <c r="CZ164" s="30"/>
      <c r="DA164" s="30"/>
      <c r="DB164" s="30"/>
    </row>
    <row r="165" spans="1:106" x14ac:dyDescent="0.25">
      <c r="A165" s="17" t="s">
        <v>357</v>
      </c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30"/>
      <c r="BD165" s="30"/>
      <c r="BE165" s="30"/>
      <c r="BF165" s="30"/>
      <c r="BG165" s="30"/>
      <c r="BH165" s="30"/>
      <c r="BI165" s="30"/>
      <c r="BJ165" s="30"/>
      <c r="BK165" s="30"/>
      <c r="BL165" s="30"/>
      <c r="BM165" s="30"/>
      <c r="BN165" s="30"/>
      <c r="BO165" s="30"/>
      <c r="BP165" s="30"/>
      <c r="BQ165" s="30"/>
      <c r="BR165" s="30"/>
      <c r="BS165" s="30"/>
      <c r="BT165" s="30"/>
      <c r="BU165" s="30"/>
      <c r="BV165" s="30"/>
      <c r="BW165" s="30"/>
      <c r="BX165" s="30"/>
      <c r="BY165" s="30"/>
      <c r="BZ165" s="30"/>
      <c r="CA165" s="30"/>
      <c r="CB165" s="30"/>
      <c r="CC165" s="30"/>
      <c r="CD165" s="30"/>
      <c r="CE165" s="30"/>
      <c r="CF165" s="30"/>
      <c r="CG165" s="30"/>
      <c r="CH165" s="30"/>
      <c r="CI165" s="30"/>
      <c r="CJ165" s="30"/>
      <c r="CK165" s="30"/>
      <c r="CL165" s="30"/>
      <c r="CM165" s="30"/>
      <c r="CN165" s="30"/>
      <c r="CO165" s="30"/>
      <c r="CP165" s="30"/>
      <c r="CQ165" s="30"/>
      <c r="CR165" s="30"/>
      <c r="CS165" s="30"/>
      <c r="CT165" s="30"/>
      <c r="CU165" s="30"/>
      <c r="CV165" s="30"/>
      <c r="CW165" s="30"/>
      <c r="CX165" s="30"/>
      <c r="CY165" s="30"/>
      <c r="CZ165" s="30"/>
      <c r="DA165" s="30"/>
      <c r="DB165" s="30"/>
    </row>
    <row r="166" spans="1:106" x14ac:dyDescent="0.25">
      <c r="A166" s="17" t="s">
        <v>358</v>
      </c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  <c r="BA166" s="30"/>
      <c r="BB166" s="30"/>
      <c r="BC166" s="30"/>
      <c r="BD166" s="30"/>
      <c r="BE166" s="30"/>
      <c r="BF166" s="30"/>
      <c r="BG166" s="30"/>
      <c r="BH166" s="30"/>
      <c r="BI166" s="30"/>
      <c r="BJ166" s="30"/>
      <c r="BK166" s="30"/>
      <c r="BL166" s="30"/>
      <c r="BM166" s="30"/>
      <c r="BN166" s="30"/>
      <c r="BO166" s="30"/>
      <c r="BP166" s="30"/>
      <c r="BQ166" s="30"/>
      <c r="BR166" s="30"/>
      <c r="BS166" s="30"/>
      <c r="BT166" s="30"/>
      <c r="BU166" s="30"/>
      <c r="BV166" s="30"/>
      <c r="BW166" s="30"/>
      <c r="BX166" s="30"/>
      <c r="BY166" s="30"/>
      <c r="BZ166" s="30"/>
      <c r="CA166" s="30"/>
      <c r="CB166" s="30"/>
      <c r="CC166" s="30"/>
      <c r="CD166" s="30"/>
      <c r="CE166" s="30"/>
      <c r="CF166" s="30"/>
      <c r="CG166" s="30"/>
      <c r="CH166" s="30"/>
      <c r="CI166" s="30"/>
      <c r="CJ166" s="30"/>
      <c r="CK166" s="30"/>
      <c r="CL166" s="30"/>
      <c r="CM166" s="30"/>
      <c r="CN166" s="30"/>
      <c r="CO166" s="30"/>
      <c r="CP166" s="30"/>
      <c r="CQ166" s="30"/>
      <c r="CR166" s="30"/>
      <c r="CS166" s="30"/>
      <c r="CT166" s="30"/>
      <c r="CU166" s="30"/>
      <c r="CV166" s="30"/>
      <c r="CW166" s="30"/>
      <c r="CX166" s="30"/>
      <c r="CY166" s="30"/>
      <c r="CZ166" s="30"/>
      <c r="DA166" s="30"/>
      <c r="DB166" s="30"/>
    </row>
    <row r="167" spans="1:106" x14ac:dyDescent="0.25">
      <c r="A167" s="17" t="s">
        <v>359</v>
      </c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  <c r="BC167" s="30"/>
      <c r="BD167" s="30"/>
      <c r="BE167" s="30"/>
      <c r="BF167" s="30"/>
      <c r="BG167" s="30"/>
      <c r="BH167" s="30"/>
      <c r="BI167" s="30"/>
      <c r="BJ167" s="30"/>
      <c r="BK167" s="30"/>
      <c r="BL167" s="30"/>
      <c r="BM167" s="30"/>
      <c r="BN167" s="30"/>
      <c r="BO167" s="30"/>
      <c r="BP167" s="30"/>
      <c r="BQ167" s="30"/>
      <c r="BR167" s="30"/>
      <c r="BS167" s="30"/>
      <c r="BT167" s="30"/>
      <c r="BU167" s="30"/>
      <c r="BV167" s="30"/>
      <c r="BW167" s="30"/>
      <c r="BX167" s="30"/>
      <c r="BY167" s="30"/>
      <c r="BZ167" s="30"/>
      <c r="CA167" s="30"/>
      <c r="CB167" s="30"/>
      <c r="CC167" s="30"/>
      <c r="CD167" s="30"/>
      <c r="CE167" s="30"/>
      <c r="CF167" s="30"/>
      <c r="CG167" s="30"/>
      <c r="CH167" s="30"/>
      <c r="CI167" s="30"/>
      <c r="CJ167" s="30"/>
      <c r="CK167" s="30"/>
      <c r="CL167" s="30"/>
      <c r="CM167" s="30"/>
      <c r="CN167" s="30"/>
      <c r="CO167" s="30"/>
      <c r="CP167" s="30"/>
      <c r="CQ167" s="30"/>
      <c r="CR167" s="30"/>
      <c r="CS167" s="30"/>
      <c r="CT167" s="30"/>
      <c r="CU167" s="30"/>
      <c r="CV167" s="30"/>
      <c r="CW167" s="30"/>
      <c r="CX167" s="30"/>
      <c r="CY167" s="30"/>
      <c r="CZ167" s="30"/>
      <c r="DA167" s="30"/>
      <c r="DB167" s="30"/>
    </row>
    <row r="168" spans="1:106" x14ac:dyDescent="0.25">
      <c r="A168" s="17" t="s">
        <v>360</v>
      </c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  <c r="BA168" s="30"/>
      <c r="BB168" s="30"/>
      <c r="BC168" s="30"/>
      <c r="BD168" s="30"/>
      <c r="BE168" s="30"/>
      <c r="BF168" s="30"/>
      <c r="BG168" s="30"/>
      <c r="BH168" s="30"/>
      <c r="BI168" s="30"/>
      <c r="BJ168" s="30"/>
      <c r="BK168" s="30"/>
      <c r="BL168" s="30"/>
      <c r="BM168" s="30"/>
      <c r="BN168" s="30"/>
      <c r="BO168" s="30"/>
      <c r="BP168" s="30"/>
      <c r="BQ168" s="30"/>
      <c r="BR168" s="30"/>
      <c r="BS168" s="30"/>
      <c r="BT168" s="30"/>
      <c r="BU168" s="30"/>
      <c r="BV168" s="30"/>
      <c r="BW168" s="30"/>
      <c r="BX168" s="30"/>
      <c r="BY168" s="30"/>
      <c r="BZ168" s="30"/>
      <c r="CA168" s="30"/>
      <c r="CB168" s="30"/>
      <c r="CC168" s="30"/>
      <c r="CD168" s="30"/>
      <c r="CE168" s="30"/>
      <c r="CF168" s="30"/>
      <c r="CG168" s="30"/>
      <c r="CH168" s="30"/>
      <c r="CI168" s="30"/>
      <c r="CJ168" s="30"/>
      <c r="CK168" s="30"/>
      <c r="CL168" s="30"/>
      <c r="CM168" s="30"/>
      <c r="CN168" s="30"/>
      <c r="CO168" s="30"/>
      <c r="CP168" s="30"/>
      <c r="CQ168" s="30"/>
      <c r="CR168" s="30"/>
      <c r="CS168" s="30"/>
      <c r="CT168" s="30"/>
      <c r="CU168" s="30"/>
      <c r="CV168" s="30"/>
      <c r="CW168" s="30"/>
      <c r="CX168" s="30"/>
      <c r="CY168" s="30"/>
      <c r="CZ168" s="30"/>
      <c r="DA168" s="30"/>
      <c r="DB168" s="30"/>
    </row>
    <row r="169" spans="1:106" x14ac:dyDescent="0.25">
      <c r="A169" s="17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  <c r="BA169" s="30"/>
      <c r="BB169" s="30"/>
      <c r="BC169" s="30"/>
      <c r="BD169" s="30"/>
      <c r="BE169" s="30"/>
      <c r="BF169" s="30"/>
      <c r="BG169" s="30"/>
      <c r="BH169" s="30"/>
      <c r="BI169" s="30"/>
      <c r="BJ169" s="30"/>
      <c r="BK169" s="30"/>
      <c r="BL169" s="30"/>
      <c r="BM169" s="30"/>
      <c r="BN169" s="30"/>
      <c r="BO169" s="30"/>
      <c r="BP169" s="30"/>
      <c r="BQ169" s="30"/>
      <c r="BR169" s="30"/>
      <c r="BS169" s="30"/>
      <c r="BT169" s="30"/>
      <c r="BU169" s="30"/>
      <c r="BV169" s="30"/>
      <c r="BW169" s="30"/>
      <c r="BX169" s="30"/>
      <c r="BY169" s="30"/>
      <c r="BZ169" s="30"/>
      <c r="CA169" s="30"/>
      <c r="CB169" s="30"/>
      <c r="CC169" s="30"/>
      <c r="CD169" s="30"/>
      <c r="CE169" s="30"/>
      <c r="CF169" s="30"/>
      <c r="CG169" s="30"/>
      <c r="CH169" s="30"/>
      <c r="CI169" s="30"/>
      <c r="CJ169" s="30"/>
      <c r="CK169" s="30"/>
      <c r="CL169" s="30"/>
      <c r="CM169" s="30"/>
      <c r="CN169" s="30"/>
      <c r="CO169" s="30"/>
      <c r="CP169" s="30"/>
      <c r="CQ169" s="30"/>
      <c r="CR169" s="30"/>
      <c r="CS169" s="30"/>
      <c r="CT169" s="30"/>
      <c r="CU169" s="30"/>
      <c r="CV169" s="30"/>
      <c r="CW169" s="30"/>
      <c r="CX169" s="30"/>
      <c r="CY169" s="30"/>
      <c r="CZ169" s="30"/>
      <c r="DA169" s="30"/>
      <c r="DB169" s="30"/>
    </row>
    <row r="170" spans="1:106" x14ac:dyDescent="0.25">
      <c r="A170" s="33" t="s">
        <v>368</v>
      </c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  <c r="BF170" s="30"/>
      <c r="BG170" s="30"/>
      <c r="BH170" s="30"/>
      <c r="BI170" s="30"/>
      <c r="BJ170" s="30"/>
      <c r="BK170" s="30"/>
      <c r="BL170" s="30"/>
      <c r="BM170" s="30"/>
      <c r="BN170" s="30"/>
      <c r="BO170" s="30"/>
      <c r="BP170" s="30"/>
      <c r="BQ170" s="30"/>
      <c r="BR170" s="30"/>
      <c r="BS170" s="30"/>
      <c r="BT170" s="30"/>
      <c r="BU170" s="30"/>
      <c r="BV170" s="30"/>
      <c r="BW170" s="30"/>
      <c r="BX170" s="30"/>
      <c r="BY170" s="30"/>
      <c r="BZ170" s="30"/>
      <c r="CA170" s="30"/>
      <c r="CB170" s="30"/>
      <c r="CC170" s="30"/>
      <c r="CD170" s="30"/>
      <c r="CE170" s="30"/>
      <c r="CF170" s="30"/>
      <c r="CG170" s="30"/>
      <c r="CH170" s="30"/>
      <c r="CI170" s="30"/>
      <c r="CJ170" s="30"/>
      <c r="CK170" s="30"/>
      <c r="CL170" s="30"/>
      <c r="CM170" s="30"/>
      <c r="CN170" s="30"/>
      <c r="CO170" s="30"/>
      <c r="CP170" s="30"/>
      <c r="CQ170" s="30"/>
      <c r="CR170" s="30"/>
      <c r="CS170" s="30"/>
      <c r="CT170" s="30"/>
      <c r="CU170" s="30"/>
      <c r="CV170" s="30"/>
      <c r="CW170" s="30"/>
      <c r="CX170" s="30"/>
      <c r="CY170" s="30"/>
      <c r="CZ170" s="30"/>
      <c r="DA170" s="30"/>
      <c r="DB170" s="30"/>
    </row>
    <row r="171" spans="1:106" x14ac:dyDescent="0.25">
      <c r="A171" s="17" t="s">
        <v>367</v>
      </c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  <c r="BA171" s="30"/>
      <c r="BB171" s="30"/>
      <c r="BC171" s="30"/>
      <c r="BD171" s="30"/>
      <c r="BE171" s="30"/>
      <c r="BF171" s="30"/>
      <c r="BG171" s="30"/>
      <c r="BH171" s="30"/>
      <c r="BI171" s="30"/>
      <c r="BJ171" s="30"/>
      <c r="BK171" s="30"/>
      <c r="BL171" s="30"/>
      <c r="BM171" s="30"/>
      <c r="BN171" s="30"/>
      <c r="BO171" s="30"/>
      <c r="BP171" s="30"/>
      <c r="BQ171" s="30"/>
      <c r="BR171" s="30"/>
      <c r="BS171" s="30"/>
      <c r="BT171" s="30"/>
      <c r="BU171" s="30"/>
      <c r="BV171" s="30"/>
      <c r="BW171" s="30"/>
      <c r="BX171" s="30"/>
      <c r="BY171" s="30"/>
      <c r="BZ171" s="30"/>
      <c r="CA171" s="30"/>
      <c r="CB171" s="30"/>
      <c r="CC171" s="30"/>
      <c r="CD171" s="30"/>
      <c r="CE171" s="30"/>
      <c r="CF171" s="30"/>
      <c r="CG171" s="30"/>
      <c r="CH171" s="30"/>
      <c r="CI171" s="30"/>
      <c r="CJ171" s="30"/>
      <c r="CK171" s="30"/>
      <c r="CL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</row>
    <row r="172" spans="1:106" x14ac:dyDescent="0.25">
      <c r="A172" s="17" t="s">
        <v>357</v>
      </c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  <c r="BA172" s="30"/>
      <c r="BB172" s="30"/>
      <c r="BC172" s="30"/>
      <c r="BD172" s="30"/>
      <c r="BE172" s="30"/>
      <c r="BF172" s="30"/>
      <c r="BG172" s="30"/>
      <c r="BH172" s="30"/>
      <c r="BI172" s="30"/>
      <c r="BJ172" s="30"/>
      <c r="BK172" s="30"/>
      <c r="BL172" s="30"/>
      <c r="BM172" s="30"/>
      <c r="BN172" s="30"/>
      <c r="BO172" s="30"/>
      <c r="BP172" s="30"/>
      <c r="BQ172" s="30"/>
      <c r="BR172" s="30"/>
      <c r="BS172" s="30"/>
      <c r="BT172" s="30"/>
      <c r="BU172" s="30"/>
      <c r="BV172" s="30"/>
      <c r="BW172" s="30"/>
      <c r="BX172" s="30"/>
      <c r="BY172" s="30"/>
      <c r="BZ172" s="30"/>
      <c r="CA172" s="30"/>
      <c r="CB172" s="30"/>
      <c r="CC172" s="30"/>
      <c r="CD172" s="30"/>
      <c r="CE172" s="30"/>
      <c r="CF172" s="30"/>
      <c r="CG172" s="30"/>
      <c r="CH172" s="30"/>
      <c r="CI172" s="30"/>
      <c r="CJ172" s="30"/>
      <c r="CK172" s="30"/>
      <c r="CL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</row>
    <row r="173" spans="1:106" x14ac:dyDescent="0.25">
      <c r="A173" s="17" t="s">
        <v>358</v>
      </c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  <c r="BA173" s="30"/>
      <c r="BB173" s="30"/>
      <c r="BC173" s="30"/>
      <c r="BD173" s="30"/>
      <c r="BE173" s="30"/>
      <c r="BF173" s="30"/>
      <c r="BG173" s="30"/>
      <c r="BH173" s="30"/>
      <c r="BI173" s="30"/>
      <c r="BJ173" s="30"/>
      <c r="BK173" s="30"/>
      <c r="BL173" s="30"/>
      <c r="BM173" s="30"/>
      <c r="BN173" s="30"/>
      <c r="BO173" s="30"/>
      <c r="BP173" s="30"/>
      <c r="BQ173" s="30"/>
      <c r="BR173" s="30"/>
      <c r="BS173" s="30"/>
      <c r="BT173" s="30"/>
      <c r="BU173" s="30"/>
      <c r="BV173" s="30"/>
      <c r="BW173" s="30"/>
      <c r="BX173" s="30"/>
      <c r="BY173" s="30"/>
      <c r="BZ173" s="30"/>
      <c r="CA173" s="30"/>
      <c r="CB173" s="30"/>
      <c r="CC173" s="30"/>
      <c r="CD173" s="30"/>
      <c r="CE173" s="30"/>
      <c r="CF173" s="30"/>
      <c r="CG173" s="30"/>
      <c r="CH173" s="30"/>
      <c r="CI173" s="30"/>
      <c r="CJ173" s="30"/>
      <c r="CK173" s="30"/>
      <c r="CL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</row>
    <row r="174" spans="1:106" x14ac:dyDescent="0.25">
      <c r="A174" s="17" t="s">
        <v>359</v>
      </c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  <c r="BA174" s="30"/>
      <c r="BB174" s="30"/>
      <c r="BC174" s="30"/>
      <c r="BD174" s="30"/>
      <c r="BE174" s="30"/>
      <c r="BF174" s="30"/>
      <c r="BG174" s="30"/>
      <c r="BH174" s="30"/>
      <c r="BI174" s="30"/>
      <c r="BJ174" s="30"/>
      <c r="BK174" s="30"/>
      <c r="BL174" s="30"/>
      <c r="BM174" s="30"/>
      <c r="BN174" s="30"/>
      <c r="BO174" s="30"/>
      <c r="BP174" s="30"/>
      <c r="BQ174" s="30"/>
      <c r="BR174" s="30"/>
      <c r="BS174" s="30"/>
      <c r="BT174" s="30"/>
      <c r="BU174" s="30"/>
      <c r="BV174" s="30"/>
      <c r="BW174" s="30"/>
      <c r="BX174" s="30"/>
      <c r="BY174" s="30"/>
      <c r="BZ174" s="30"/>
      <c r="CA174" s="30"/>
      <c r="CB174" s="30"/>
      <c r="CC174" s="30"/>
      <c r="CD174" s="30"/>
      <c r="CE174" s="30"/>
      <c r="CF174" s="30"/>
      <c r="CG174" s="30"/>
      <c r="CH174" s="30"/>
      <c r="CI174" s="30"/>
      <c r="CJ174" s="30"/>
      <c r="CK174" s="30"/>
      <c r="CL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</row>
    <row r="175" spans="1:106" x14ac:dyDescent="0.25">
      <c r="A175" s="17" t="s">
        <v>360</v>
      </c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  <c r="BA175" s="30"/>
      <c r="BB175" s="30"/>
      <c r="BC175" s="30"/>
      <c r="BD175" s="30"/>
      <c r="BE175" s="30"/>
      <c r="BF175" s="30"/>
      <c r="BG175" s="30"/>
      <c r="BH175" s="30"/>
      <c r="BI175" s="30"/>
      <c r="BJ175" s="30"/>
      <c r="BK175" s="30"/>
      <c r="BL175" s="30"/>
      <c r="BM175" s="30"/>
      <c r="BN175" s="30"/>
      <c r="BO175" s="30"/>
      <c r="BP175" s="30"/>
      <c r="BQ175" s="30"/>
      <c r="BR175" s="30"/>
      <c r="BS175" s="30"/>
      <c r="BT175" s="30"/>
      <c r="BU175" s="30"/>
      <c r="BV175" s="30"/>
      <c r="BW175" s="30"/>
      <c r="BX175" s="30"/>
      <c r="BY175" s="30"/>
      <c r="BZ175" s="30"/>
      <c r="CA175" s="30"/>
      <c r="CB175" s="30"/>
      <c r="CC175" s="30"/>
      <c r="CD175" s="30"/>
      <c r="CE175" s="30"/>
      <c r="CF175" s="30"/>
      <c r="CG175" s="30"/>
      <c r="CH175" s="30"/>
      <c r="CI175" s="30"/>
      <c r="CJ175" s="30"/>
      <c r="CK175" s="30"/>
      <c r="CL175" s="30"/>
      <c r="CM175" s="30"/>
      <c r="CN175" s="30"/>
      <c r="CO175" s="30"/>
      <c r="CP175" s="30"/>
      <c r="CQ175" s="30"/>
      <c r="CR175" s="30"/>
      <c r="CS175" s="30"/>
      <c r="CT175" s="30"/>
      <c r="CU175" s="30"/>
      <c r="CV175" s="30"/>
      <c r="CW175" s="30"/>
      <c r="CX175" s="30"/>
      <c r="CY175" s="30"/>
      <c r="CZ175" s="30"/>
      <c r="DA175" s="30"/>
      <c r="DB175" s="30"/>
    </row>
    <row r="176" spans="3:106" x14ac:dyDescent="0.25"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  <c r="BA176" s="30"/>
      <c r="BB176" s="30"/>
      <c r="BC176" s="30"/>
      <c r="BD176" s="30"/>
      <c r="BE176" s="30"/>
      <c r="BF176" s="30"/>
      <c r="BG176" s="30"/>
      <c r="BH176" s="30"/>
      <c r="BI176" s="30"/>
      <c r="BJ176" s="30"/>
      <c r="BK176" s="30"/>
      <c r="BL176" s="30"/>
      <c r="BM176" s="30"/>
      <c r="BN176" s="30"/>
      <c r="BO176" s="30"/>
      <c r="BP176" s="30"/>
      <c r="BQ176" s="30"/>
      <c r="BR176" s="30"/>
      <c r="BS176" s="30"/>
      <c r="BT176" s="30"/>
      <c r="BU176" s="30"/>
      <c r="BV176" s="30"/>
      <c r="BW176" s="30"/>
      <c r="BX176" s="30"/>
      <c r="BY176" s="30"/>
      <c r="BZ176" s="30"/>
      <c r="CA176" s="30"/>
      <c r="CB176" s="30"/>
      <c r="CC176" s="30"/>
      <c r="CD176" s="30"/>
      <c r="CE176" s="30"/>
      <c r="CF176" s="30"/>
      <c r="CG176" s="30"/>
      <c r="CH176" s="30"/>
      <c r="CI176" s="30"/>
      <c r="CJ176" s="30"/>
      <c r="CK176" s="30"/>
      <c r="CL176" s="30"/>
      <c r="CM176" s="30"/>
      <c r="CN176" s="30"/>
      <c r="CO176" s="30"/>
      <c r="CP176" s="30"/>
      <c r="CQ176" s="30"/>
      <c r="CR176" s="30"/>
      <c r="CS176" s="30"/>
      <c r="CT176" s="30"/>
      <c r="CU176" s="30"/>
      <c r="CV176" s="30"/>
      <c r="CW176" s="30"/>
      <c r="CX176" s="30"/>
      <c r="CY176" s="30"/>
      <c r="CZ176" s="30"/>
      <c r="DA176" s="30"/>
      <c r="DB176" s="30"/>
    </row>
    <row r="177" spans="3:106" x14ac:dyDescent="0.25"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  <c r="AW177" s="30"/>
      <c r="AX177" s="30"/>
      <c r="AY177" s="30"/>
      <c r="AZ177" s="30"/>
      <c r="BA177" s="30"/>
      <c r="BB177" s="30"/>
      <c r="BC177" s="30"/>
      <c r="BD177" s="30"/>
      <c r="BE177" s="30"/>
      <c r="BF177" s="30"/>
      <c r="BG177" s="30"/>
      <c r="BH177" s="30"/>
      <c r="BI177" s="30"/>
      <c r="BJ177" s="30"/>
      <c r="BK177" s="30"/>
      <c r="BL177" s="30"/>
      <c r="BM177" s="30"/>
      <c r="BN177" s="30"/>
      <c r="BO177" s="30"/>
      <c r="BP177" s="30"/>
      <c r="BQ177" s="30"/>
      <c r="BR177" s="30"/>
      <c r="BS177" s="30"/>
      <c r="BT177" s="30"/>
      <c r="BU177" s="30"/>
      <c r="BV177" s="30"/>
      <c r="BW177" s="30"/>
      <c r="BX177" s="30"/>
      <c r="BY177" s="30"/>
      <c r="BZ177" s="30"/>
      <c r="CA177" s="30"/>
      <c r="CB177" s="30"/>
      <c r="CC177" s="30"/>
      <c r="CD177" s="30"/>
      <c r="CE177" s="30"/>
      <c r="CF177" s="30"/>
      <c r="CG177" s="30"/>
      <c r="CH177" s="30"/>
      <c r="CI177" s="30"/>
      <c r="CJ177" s="30"/>
      <c r="CK177" s="30"/>
      <c r="CL177" s="30"/>
      <c r="CM177" s="30"/>
      <c r="CN177" s="30"/>
      <c r="CO177" s="30"/>
      <c r="CP177" s="30"/>
      <c r="CQ177" s="30"/>
      <c r="CR177" s="30"/>
      <c r="CS177" s="30"/>
      <c r="CT177" s="30"/>
      <c r="CU177" s="30"/>
      <c r="CV177" s="30"/>
      <c r="CW177" s="30"/>
      <c r="CX177" s="30"/>
      <c r="CY177" s="30"/>
      <c r="CZ177" s="30"/>
      <c r="DA177" s="30"/>
      <c r="DB177" s="30"/>
    </row>
    <row r="178" spans="3:106" x14ac:dyDescent="0.25"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/>
      <c r="AZ178" s="30"/>
      <c r="BA178" s="30"/>
      <c r="BB178" s="30"/>
      <c r="BC178" s="30"/>
      <c r="BD178" s="30"/>
      <c r="BE178" s="30"/>
      <c r="BF178" s="30"/>
      <c r="BG178" s="30"/>
      <c r="BH178" s="30"/>
      <c r="BI178" s="30"/>
      <c r="BJ178" s="30"/>
      <c r="BK178" s="30"/>
      <c r="BL178" s="30"/>
      <c r="BM178" s="30"/>
      <c r="BN178" s="30"/>
      <c r="BO178" s="30"/>
      <c r="BP178" s="30"/>
      <c r="BQ178" s="30"/>
      <c r="BR178" s="30"/>
      <c r="BS178" s="30"/>
      <c r="BT178" s="30"/>
      <c r="BU178" s="30"/>
      <c r="BV178" s="30"/>
      <c r="BW178" s="30"/>
      <c r="BX178" s="30"/>
      <c r="BY178" s="30"/>
      <c r="BZ178" s="30"/>
      <c r="CA178" s="30"/>
      <c r="CB178" s="30"/>
      <c r="CC178" s="30"/>
      <c r="CD178" s="30"/>
      <c r="CE178" s="30"/>
      <c r="CF178" s="30"/>
      <c r="CG178" s="30"/>
      <c r="CH178" s="30"/>
      <c r="CI178" s="30"/>
      <c r="CJ178" s="30"/>
      <c r="CK178" s="30"/>
      <c r="CL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</row>
    <row r="179" spans="1:106" x14ac:dyDescent="0.25">
      <c r="A179" s="17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  <c r="AP179" s="30"/>
      <c r="AQ179" s="30"/>
      <c r="AR179" s="30"/>
      <c r="AS179" s="30"/>
      <c r="AT179" s="30"/>
      <c r="AU179" s="30"/>
      <c r="AV179" s="30"/>
      <c r="AW179" s="30"/>
      <c r="AX179" s="30"/>
      <c r="AY179" s="30"/>
      <c r="AZ179" s="30"/>
      <c r="BA179" s="30"/>
      <c r="BB179" s="30"/>
      <c r="BC179" s="30"/>
      <c r="BD179" s="30"/>
      <c r="BE179" s="30"/>
      <c r="BF179" s="30"/>
      <c r="BG179" s="30"/>
      <c r="BH179" s="30"/>
      <c r="BI179" s="30"/>
      <c r="BJ179" s="30"/>
      <c r="BK179" s="30"/>
      <c r="BL179" s="30"/>
      <c r="BM179" s="30"/>
      <c r="BN179" s="30"/>
      <c r="BO179" s="30"/>
      <c r="BP179" s="30"/>
      <c r="BQ179" s="30"/>
      <c r="BR179" s="30"/>
      <c r="BS179" s="30"/>
      <c r="BT179" s="30"/>
      <c r="BU179" s="30"/>
      <c r="BV179" s="30"/>
      <c r="BW179" s="30"/>
      <c r="BX179" s="30"/>
      <c r="BY179" s="30"/>
      <c r="BZ179" s="30"/>
      <c r="CA179" s="30"/>
      <c r="CB179" s="30"/>
      <c r="CC179" s="30"/>
      <c r="CD179" s="30"/>
      <c r="CE179" s="30"/>
      <c r="CF179" s="30"/>
      <c r="CG179" s="30"/>
      <c r="CH179" s="30"/>
      <c r="CI179" s="30"/>
      <c r="CJ179" s="30"/>
      <c r="CK179" s="30"/>
      <c r="CL179" s="30"/>
      <c r="CM179" s="30"/>
      <c r="CN179" s="30"/>
      <c r="CO179" s="30"/>
      <c r="CP179" s="30"/>
      <c r="CQ179" s="30"/>
      <c r="CR179" s="30"/>
      <c r="CS179" s="30"/>
      <c r="CT179" s="30"/>
      <c r="CU179" s="30"/>
      <c r="CV179" s="30"/>
      <c r="CW179" s="30"/>
      <c r="CX179" s="30"/>
      <c r="CY179" s="30"/>
      <c r="CZ179" s="30"/>
      <c r="DA179" s="30"/>
      <c r="DB179" s="30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176"/>
  <sheetFormatPr defaultRowHeight="15" outlineLevelRow="0" outlineLevelCol="0" x14ac:dyDescent="55"/>
  <cols>
    <col min="1" max="1" width="33" customWidth="1"/>
    <col min="2" max="2" width="17" customWidth="1"/>
    <col min="3" max="3" width="11" customWidth="1"/>
  </cols>
  <sheetData>
    <row r="1" ht="17" customHeight="1" spans="1:106" x14ac:dyDescent="0.25">
      <c r="A1" s="1" t="s">
        <v>373</v>
      </c>
      <c r="B1" t="s">
        <v>1</v>
      </c>
      <c r="C1" t="s">
        <v>2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2</v>
      </c>
      <c r="X1" t="s">
        <v>2</v>
      </c>
      <c r="Y1" t="s">
        <v>2</v>
      </c>
      <c r="Z1" t="s">
        <v>2</v>
      </c>
      <c r="AA1" t="s">
        <v>2</v>
      </c>
      <c r="AB1" t="s">
        <v>2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 t="s">
        <v>2</v>
      </c>
      <c r="AI1" t="s">
        <v>2</v>
      </c>
      <c r="AJ1" t="s">
        <v>2</v>
      </c>
      <c r="AK1" t="s">
        <v>2</v>
      </c>
      <c r="AL1" t="s">
        <v>2</v>
      </c>
      <c r="AM1" t="s">
        <v>2</v>
      </c>
      <c r="AN1" t="s">
        <v>2</v>
      </c>
      <c r="AO1" t="s">
        <v>2</v>
      </c>
      <c r="AP1" t="s">
        <v>2</v>
      </c>
      <c r="AQ1" t="s">
        <v>2</v>
      </c>
      <c r="AR1" t="s">
        <v>2</v>
      </c>
      <c r="AS1" t="s">
        <v>2</v>
      </c>
      <c r="AT1" t="s">
        <v>2</v>
      </c>
      <c r="AU1" t="s">
        <v>2</v>
      </c>
      <c r="AV1" t="s">
        <v>2</v>
      </c>
      <c r="AW1" t="s">
        <v>2</v>
      </c>
      <c r="AX1" t="s">
        <v>2</v>
      </c>
      <c r="AY1" t="s">
        <v>2</v>
      </c>
      <c r="AZ1" t="s">
        <v>2</v>
      </c>
      <c r="BA1" t="s">
        <v>2</v>
      </c>
      <c r="BB1" t="s">
        <v>2</v>
      </c>
      <c r="BC1" t="s">
        <v>2</v>
      </c>
      <c r="BD1" t="s">
        <v>2</v>
      </c>
      <c r="BE1" t="s">
        <v>2</v>
      </c>
      <c r="BF1" t="s">
        <v>2</v>
      </c>
      <c r="BG1" t="s">
        <v>2</v>
      </c>
      <c r="BH1" t="s">
        <v>2</v>
      </c>
      <c r="BI1" t="s">
        <v>2</v>
      </c>
      <c r="BJ1" t="s">
        <v>2</v>
      </c>
      <c r="BK1" t="s">
        <v>2</v>
      </c>
      <c r="BL1" t="s">
        <v>2</v>
      </c>
      <c r="BM1" t="s">
        <v>2</v>
      </c>
      <c r="BN1" t="s">
        <v>2</v>
      </c>
      <c r="BO1" t="s">
        <v>2</v>
      </c>
      <c r="BP1" t="s">
        <v>2</v>
      </c>
      <c r="BQ1" t="s">
        <v>2</v>
      </c>
      <c r="BR1" t="s">
        <v>2</v>
      </c>
      <c r="BS1" t="s">
        <v>2</v>
      </c>
      <c r="BT1" t="s">
        <v>2</v>
      </c>
      <c r="BU1" t="s">
        <v>2</v>
      </c>
      <c r="BV1" t="s">
        <v>2</v>
      </c>
      <c r="BW1" t="s">
        <v>2</v>
      </c>
      <c r="BX1" t="s">
        <v>2</v>
      </c>
      <c r="BY1" t="s">
        <v>2</v>
      </c>
      <c r="BZ1" t="s">
        <v>2</v>
      </c>
      <c r="CA1" t="s">
        <v>2</v>
      </c>
      <c r="CB1" t="s">
        <v>2</v>
      </c>
      <c r="CC1" t="s">
        <v>2</v>
      </c>
      <c r="CD1" t="s">
        <v>2</v>
      </c>
      <c r="CE1" t="s">
        <v>2</v>
      </c>
      <c r="CF1" t="s">
        <v>2</v>
      </c>
      <c r="CG1" t="s">
        <v>2</v>
      </c>
      <c r="CH1" t="s">
        <v>2</v>
      </c>
      <c r="CI1" t="s">
        <v>2</v>
      </c>
      <c r="CJ1" t="s">
        <v>2</v>
      </c>
      <c r="CK1" t="s">
        <v>2</v>
      </c>
      <c r="CL1" t="s">
        <v>2</v>
      </c>
      <c r="CM1" t="s">
        <v>2</v>
      </c>
      <c r="CN1" t="s">
        <v>2</v>
      </c>
      <c r="CO1" t="s">
        <v>2</v>
      </c>
      <c r="CP1" t="s">
        <v>2</v>
      </c>
      <c r="CQ1" t="s">
        <v>2</v>
      </c>
      <c r="CR1" t="s">
        <v>2</v>
      </c>
      <c r="CS1" t="s">
        <v>2</v>
      </c>
      <c r="CT1" t="s">
        <v>2</v>
      </c>
      <c r="CU1" t="s">
        <v>2</v>
      </c>
      <c r="CV1" t="s">
        <v>2</v>
      </c>
      <c r="CW1" t="s">
        <v>2</v>
      </c>
      <c r="CX1" t="s">
        <v>2</v>
      </c>
      <c r="CY1" t="s">
        <v>2</v>
      </c>
      <c r="CZ1" t="s">
        <v>2</v>
      </c>
      <c r="DA1" t="s">
        <v>2</v>
      </c>
      <c r="DB1" t="s">
        <v>2</v>
      </c>
    </row>
    <row r="2" ht="14" customHeight="1" spans="1:106" x14ac:dyDescent="0.25">
      <c r="B2" t="s">
        <v>3</v>
      </c>
      <c r="C2" s="2">
        <f>=TODAY()</f>
        <v>45987</v>
      </c>
      <c r="D2" t="str">
        <f>=IF(C2="Current WK","Next Week",IF(DATEVALUE(D4)=$C$2-WEEKDAY($C$2,1)+1,"Current WK",""))</f>
        <v/>
      </c>
      <c r="E2" t="str">
        <f>=IF(D2="Current WK","Next Week",IF(DATEVALUE(E4)=$C$2-WEEKDAY($C$2,1)+1,"Current WK",""))</f>
        <v/>
      </c>
      <c r="F2" t="str">
        <f>=IF(E2="Current WK","Next Week",IF(DATEVALUE(F4)=$C$2-WEEKDAY($C$2,1)+1,"Current WK",""))</f>
        <v/>
      </c>
      <c r="G2" t="str">
        <f>=IF(F2="Current WK","Next Week",IF(DATEVALUE(G4)=$C$2-WEEKDAY($C$2,1)+1,"Current WK",""))</f>
        <v/>
      </c>
      <c r="H2" t="str">
        <f>=IF(G2="Current WK","Next Week",IF(DATEVALUE(H4)=$C$2-WEEKDAY($C$2,1)+1,"Current WK",""))</f>
        <v/>
      </c>
      <c r="I2" t="str">
        <f>=IF(H2="Current WK","Next Week",IF(DATEVALUE(I4)=$C$2-WEEKDAY($C$2,1)+1,"Current WK",""))</f>
        <v/>
      </c>
      <c r="J2" t="str">
        <f>=IF(I2="Current WK","Next Week",IF(DATEVALUE(J4)=$C$2-WEEKDAY($C$2,1)+1,"Current WK",""))</f>
        <v/>
      </c>
      <c r="K2" t="str">
        <f>=IF(J2="Current WK","Next Week",IF(DATEVALUE(K4)=$C$2-WEEKDAY($C$2,1)+1,"Current WK",""))</f>
        <v/>
      </c>
      <c r="L2" t="str">
        <f>=IF(K2="Current WK","Next Week",IF(DATEVALUE(L4)=$C$2-WEEKDAY($C$2,1)+1,"Current WK",""))</f>
        <v/>
      </c>
      <c r="M2" t="str">
        <f>=IF(L2="Current WK","Next Week",IF(DATEVALUE(M4)=$C$2-WEEKDAY($C$2,1)+1,"Current WK",""))</f>
        <v/>
      </c>
      <c r="N2" t="str">
        <f>=IF(M2="Current WK","Next Week",IF(DATEVALUE(N4)=$C$2-WEEKDAY($C$2,1)+1,"Current WK",""))</f>
        <v/>
      </c>
      <c r="O2" t="str">
        <f>=IF(N2="Current WK","Next Week",IF(DATEVALUE(O4)=$C$2-WEEKDAY($C$2,1)+1,"Current WK",""))</f>
        <v/>
      </c>
      <c r="P2" t="str">
        <f>=IF(O2="Current WK","Next Week",IF(DATEVALUE(P4)=$C$2-WEEKDAY($C$2,1)+1,"Current WK",""))</f>
        <v/>
      </c>
      <c r="Q2" t="str">
        <f>=IF(P2="Current WK","Next Week",IF(DATEVALUE(Q4)=$C$2-WEEKDAY($C$2,1)+1,"Current WK",""))</f>
        <v/>
      </c>
      <c r="R2" t="str">
        <f>=IF(Q2="Current WK","Next Week",IF(DATEVALUE(R4)=$C$2-WEEKDAY($C$2,1)+1,"Current WK",""))</f>
        <v/>
      </c>
      <c r="S2" t="str">
        <f>=IF(R2="Current WK","Next Week",IF(DATEVALUE(S4)=$C$2-WEEKDAY($C$2,1)+1,"Current WK",""))</f>
        <v/>
      </c>
      <c r="T2" t="str">
        <f>=IF(S2="Current WK","Next Week",IF(DATEVALUE(T4)=$C$2-WEEKDAY($C$2,1)+1,"Current WK",""))</f>
        <v/>
      </c>
      <c r="U2" t="str">
        <f>=IF(T2="Current WK","Next Week",IF(DATEVALUE(U4)=$C$2-WEEKDAY($C$2,1)+1,"Current WK",""))</f>
        <v/>
      </c>
      <c r="V2" t="str">
        <f>=IF(U2="Current WK","Next Week",IF(DATEVALUE(V4)=$C$2-WEEKDAY($C$2,1)+1,"Current WK",""))</f>
        <v/>
      </c>
      <c r="W2" t="str">
        <f>=IF(V2="Current WK","Next Week",IF(DATEVALUE(W4)=$C$2-WEEKDAY($C$2,1)+1,"Current WK",""))</f>
        <v/>
      </c>
      <c r="X2" t="str">
        <f>=IF(W2="Current WK","Next Week",IF(DATEVALUE(X4)=$C$2-WEEKDAY($C$2,1)+1,"Current WK",""))</f>
        <v/>
      </c>
      <c r="Y2" t="str">
        <f>=IF(X2="Current WK","Next Week",IF(DATEVALUE(Y4)=$C$2-WEEKDAY($C$2,1)+1,"Current WK",""))</f>
        <v/>
      </c>
      <c r="Z2" t="str">
        <f>=IF(Y2="Current WK","Next Week",IF(DATEVALUE(Z4)=$C$2-WEEKDAY($C$2,1)+1,"Current WK",""))</f>
        <v/>
      </c>
      <c r="AA2" t="str">
        <f>=IF(Z2="Current WK","Next Week",IF(DATEVALUE(AA4)=$C$2-WEEKDAY($C$2,1)+1,"Current WK",""))</f>
        <v/>
      </c>
      <c r="AB2" t="str">
        <f>=IF(AA2="Current WK","Next Week",IF(DATEVALUE(AB4)=$C$2-WEEKDAY($C$2,1)+1,"Current WK",""))</f>
        <v/>
      </c>
      <c r="AC2" t="str">
        <f>=IF(AB2="Current WK","Next Week",IF(DATEVALUE(AC4)=$C$2-WEEKDAY($C$2,1)+1,"Current WK",""))</f>
        <v/>
      </c>
      <c r="AD2" t="str">
        <f>=IF(AC2="Current WK","Next Week",IF(DATEVALUE(AD4)=$C$2-WEEKDAY($C$2,1)+1,"Current WK",""))</f>
        <v/>
      </c>
      <c r="AE2" t="str">
        <f>=IF(AD2="Current WK","Next Week",IF(DATEVALUE(AE4)=$C$2-WEEKDAY($C$2,1)+1,"Current WK",""))</f>
        <v/>
      </c>
      <c r="AF2" t="str">
        <f>=IF(AE2="Current WK","Next Week",IF(DATEVALUE(AF4)=$C$2-WEEKDAY($C$2,1)+1,"Current WK",""))</f>
        <v/>
      </c>
      <c r="AG2" t="str">
        <f>=IF(AF2="Current WK","Next Week",IF(DATEVALUE(AG4)=$C$2-WEEKDAY($C$2,1)+1,"Current WK",""))</f>
        <v/>
      </c>
      <c r="AH2" t="str">
        <f>=IF(AG2="Current WK","Next Week",IF(DATEVALUE(AH4)=$C$2-WEEKDAY($C$2,1)+1,"Current WK",""))</f>
        <v/>
      </c>
      <c r="AI2" t="str">
        <f>=IF(AH2="Current WK","Next Week",IF(DATEVALUE(AI4)=$C$2-WEEKDAY($C$2,1)+1,"Current WK",""))</f>
        <v/>
      </c>
      <c r="AJ2" t="str">
        <f>=IF(AI2="Current WK","Next Week",IF(DATEVALUE(AJ4)=$C$2-WEEKDAY($C$2,1)+1,"Current WK",""))</f>
        <v/>
      </c>
      <c r="AK2" t="str">
        <f>=IF(AJ2="Current WK","Next Week",IF(DATEVALUE(AK4)=$C$2-WEEKDAY($C$2,1)+1,"Current WK",""))</f>
        <v/>
      </c>
      <c r="AL2" t="str">
        <f>=IF(AK2="Current WK","Next Week",IF(DATEVALUE(AL4)=$C$2-WEEKDAY($C$2,1)+1,"Current WK",""))</f>
        <v/>
      </c>
      <c r="AM2" t="str">
        <f>=IF(AL2="Current WK","Next Week",IF(DATEVALUE(AM4)=$C$2-WEEKDAY($C$2,1)+1,"Current WK",""))</f>
        <v/>
      </c>
      <c r="AN2" t="str">
        <f>=IF(AM2="Current WK","Next Week",IF(DATEVALUE(AN4)=$C$2-WEEKDAY($C$2,1)+1,"Current WK",""))</f>
        <v/>
      </c>
      <c r="AO2" t="str">
        <f>=IF(AN2="Current WK","Next Week",IF(DATEVALUE(AO4)=$C$2-WEEKDAY($C$2,1)+1,"Current WK",""))</f>
        <v/>
      </c>
      <c r="AP2" t="str">
        <f>=IF(AO2="Current WK","Next Week",IF(DATEVALUE(AP4)=$C$2-WEEKDAY($C$2,1)+1,"Current WK",""))</f>
        <v/>
      </c>
      <c r="AQ2" t="str">
        <f>=IF(AP2="Current WK","Next Week",IF(DATEVALUE(AQ4)=$C$2-WEEKDAY($C$2,1)+1,"Current WK",""))</f>
        <v/>
      </c>
      <c r="AR2" t="str">
        <f>=IF(AQ2="Current WK","Next Week",IF(DATEVALUE(AR4)=$C$2-WEEKDAY($C$2,1)+1,"Current WK",""))</f>
        <v/>
      </c>
      <c r="AS2" t="str">
        <f>=IF(AR2="Current WK","Next Week",IF(DATEVALUE(AS4)=$C$2-WEEKDAY($C$2,1)+1,"Current WK",""))</f>
        <v/>
      </c>
      <c r="AT2" t="str">
        <f>=IF(AS2="Current WK","Next Week",IF(DATEVALUE(AT4)=$C$2-WEEKDAY($C$2,1)+1,"Current WK",""))</f>
        <v/>
      </c>
      <c r="AU2" t="str">
        <f>=IF(AT2="Current WK","Next Week",IF(DATEVALUE(AU4)=$C$2-WEEKDAY($C$2,1)+1,"Current WK",""))</f>
        <v/>
      </c>
      <c r="AV2" t="str">
        <f>=IF(AU2="Current WK","Next Week",IF(DATEVALUE(AV4)=$C$2-WEEKDAY($C$2,1)+1,"Current WK",""))</f>
        <v/>
      </c>
      <c r="AW2" t="str">
        <f>=IF(AV2="Current WK","Next Week",IF(DATEVALUE(AW4)=$C$2-WEEKDAY($C$2,1)+1,"Current WK",""))</f>
        <v/>
      </c>
      <c r="AX2" t="str">
        <f>=IF(AW2="Current WK","Next Week",IF(DATEVALUE(AX4)=$C$2-WEEKDAY($C$2,1)+1,"Current WK",""))</f>
        <v/>
      </c>
      <c r="AY2" t="str">
        <f>=IF(AX2="Current WK","Next Week",IF(DATEVALUE(AY4)=$C$2-WEEKDAY($C$2,1)+1,"Current WK",""))</f>
        <v/>
      </c>
      <c r="AZ2" t="str">
        <f>=IF(AY2="Current WK","Next Week",IF(DATEVALUE(AZ4)=$C$2-WEEKDAY($C$2,1)+1,"Current WK",""))</f>
        <v/>
      </c>
      <c r="BA2" t="str">
        <f>=IF(AZ2="Current WK","Next Week",IF(DATEVALUE(BA4)=$C$2-WEEKDAY($C$2,1)+1,"Current WK",""))</f>
        <v/>
      </c>
      <c r="BB2" t="str">
        <f>=IF(BA2="Current WK","Next Week",IF(DATEVALUE(BB4)=$C$2-WEEKDAY($C$2,1)+1,"Current WK",""))</f>
        <v/>
      </c>
      <c r="BC2" t="str">
        <f>=IF(BB2="Current WK","Next Week",IF(DATEVALUE(BC4)=$C$2-WEEKDAY($C$2,1)+1,"Current WK",""))</f>
        <v/>
      </c>
      <c r="BD2" t="str">
        <f>=IF(BC2="Current WK","Next Week",IF(DATEVALUE(BD4)=$C$2-WEEKDAY($C$2,1)+1,"Current WK",""))</f>
        <v/>
      </c>
      <c r="BE2" t="str">
        <f>=IF(BD2="Current WK","Next Week",IF(DATEVALUE(BE4)=$C$2-WEEKDAY($C$2,1)+1,"Current WK",""))</f>
        <v/>
      </c>
      <c r="BF2" t="str">
        <f>=IF(BE2="Current WK","Next Week",IF(DATEVALUE(BF4)=$C$2-WEEKDAY($C$2,1)+1,"Current WK",""))</f>
        <v/>
      </c>
      <c r="BG2" t="str">
        <f>=IF(BF2="Current WK","Next Week",IF(DATEVALUE(BG4)=$C$2-WEEKDAY($C$2,1)+1,"Current WK",""))</f>
        <v/>
      </c>
      <c r="BH2" t="str">
        <f>=IF(BG2="Current WK","Next Week",IF(DATEVALUE(BH4)=$C$2-WEEKDAY($C$2,1)+1,"Current WK",""))</f>
        <v/>
      </c>
      <c r="BI2" t="str">
        <f>=IF(BH2="Current WK","Next Week",IF(DATEVALUE(BI4)=$C$2-WEEKDAY($C$2,1)+1,"Current WK",""))</f>
        <v/>
      </c>
      <c r="BJ2" t="str">
        <f>=IF(BI2="Current WK","Next Week",IF(DATEVALUE(BJ4)=$C$2-WEEKDAY($C$2,1)+1,"Current WK",""))</f>
        <v/>
      </c>
      <c r="BK2" t="str">
        <f>=IF(BJ2="Current WK","Next Week",IF(DATEVALUE(BK4)=$C$2-WEEKDAY($C$2,1)+1,"Current WK",""))</f>
        <v/>
      </c>
      <c r="BL2" t="str">
        <f>=IF(BK2="Current WK","Next Week",IF(DATEVALUE(BL4)=$C$2-WEEKDAY($C$2,1)+1,"Current WK",""))</f>
        <v/>
      </c>
      <c r="BM2" t="str">
        <f>=IF(BL2="Current WK","Next Week",IF(DATEVALUE(BM4)=$C$2-WEEKDAY($C$2,1)+1,"Current WK",""))</f>
        <v/>
      </c>
      <c r="BN2" t="str">
        <f>=IF(BM2="Current WK","Next Week",IF(DATEVALUE(BN4)=$C$2-WEEKDAY($C$2,1)+1,"Current WK",""))</f>
        <v/>
      </c>
      <c r="BO2" t="str">
        <f>=IF(BN2="Current WK","Next Week",IF(DATEVALUE(BO4)=$C$2-WEEKDAY($C$2,1)+1,"Current WK",""))</f>
        <v/>
      </c>
      <c r="BP2" t="str">
        <f>=IF(BO2="Current WK","Next Week",IF(DATEVALUE(BP4)=$C$2-WEEKDAY($C$2,1)+1,"Current WK",""))</f>
        <v/>
      </c>
      <c r="BQ2" t="str">
        <f>=IF(BP2="Current WK","Next Week",IF(DATEVALUE(BQ4)=$C$2-WEEKDAY($C$2,1)+1,"Current WK",""))</f>
        <v/>
      </c>
      <c r="BR2" t="str">
        <f>=IF(BQ2="Current WK","Next Week",IF(DATEVALUE(BR4)=$C$2-WEEKDAY($C$2,1)+1,"Current WK",""))</f>
        <v/>
      </c>
      <c r="BS2" t="str">
        <f>=IF(BR2="Current WK","Next Week",IF(DATEVALUE(BS4)=$C$2-WEEKDAY($C$2,1)+1,"Current WK",""))</f>
        <v/>
      </c>
      <c r="BT2" t="str">
        <f>=IF(BS2="Current WK","Next Week",IF(DATEVALUE(BT4)=$C$2-WEEKDAY($C$2,1)+1,"Current WK",""))</f>
        <v/>
      </c>
      <c r="BU2" s="3" t="str">
        <f>=IF(BT2="Current WK","Next Week",IF(DATEVALUE(BU4)=$C$2-WEEKDAY($C$2,1)+1,"Current WK",""))</f>
        <v/>
      </c>
      <c r="BV2" s="4" t="str">
        <f>=IF(BU2="Current WK","Next Week",IF(DATEVALUE(BV4)=$C$2-WEEKDAY($C$2,1)+1,"Current WK",""))</f>
        <v/>
      </c>
      <c r="BW2" s="3" t="str">
        <f>=IF(BV2="Current WK","Next Week",IF(DATEVALUE(BW4)=$C$2-WEEKDAY($C$2,1)+1,"Current WK",""))</f>
        <v/>
      </c>
      <c r="BX2" s="4" t="str">
        <f>=IF(BW2="Current WK","Next Week",IF(DATEVALUE(BX4)=$C$2-WEEKDAY($C$2,1)+1,"Current WK",""))</f>
        <v>Current WK</v>
      </c>
      <c r="BY2" s="4" t="str">
        <f>=IF(BX2="Current WK","Next Week",IF(DATEVALUE(BY4)=$C$2-WEEKDAY($C$2,1)+1,"Current WK",""))</f>
        <v>Next Week</v>
      </c>
      <c r="BZ2" t="str">
        <f>=IF(BY2="Current WK","Next Week",IF(DATEVALUE(BZ4)=$C$2-WEEKDAY($C$2,1)+1,"Current WK",""))</f>
        <v/>
      </c>
      <c r="CA2" t="str">
        <f>=IF(BZ2="Current WK","Next Week",IF(DATEVALUE(CA4)=$C$2-WEEKDAY($C$2,1)+1,"Current WK",""))</f>
        <v/>
      </c>
      <c r="CB2" t="str">
        <f>=IF(CA2="Current WK","Next Week",IF(DATEVALUE(CB4)=$C$2-WEEKDAY($C$2,1)+1,"Current WK",""))</f>
        <v/>
      </c>
      <c r="CC2" t="str">
        <f>=IF(CB2="Current WK","Next Week",IF(DATEVALUE(CC4)=$C$2-WEEKDAY($C$2,1)+1,"Current WK",""))</f>
        <v/>
      </c>
      <c r="CD2" t="str">
        <f>=IF(CC2="Current WK","Next Week",IF(DATEVALUE(CD4)=$C$2-WEEKDAY($C$2,1)+1,"Current WK",""))</f>
        <v/>
      </c>
      <c r="CE2" t="str">
        <f>=IF(CD2="Current WK","Next Week",IF(DATEVALUE(CE4)=$C$2-WEEKDAY($C$2,1)+1,"Current WK",""))</f>
        <v/>
      </c>
      <c r="CF2" t="str">
        <f>=IF(CE2="Current WK","Next Week",IF(DATEVALUE(CF4)=$C$2-WEEKDAY($C$2,1)+1,"Current WK",""))</f>
        <v/>
      </c>
      <c r="CG2" t="str">
        <f>=IF(CF2="Current WK","Next Week",IF(DATEVALUE(CG4)=$C$2-WEEKDAY($C$2,1)+1,"Current WK",""))</f>
        <v/>
      </c>
      <c r="CH2" t="str">
        <f>=IF(CG2="Current WK","Next Week",IF(DATEVALUE(CH4)=$C$2-WEEKDAY($C$2,1)+1,"Current WK",""))</f>
        <v/>
      </c>
      <c r="CI2" t="str">
        <f>=IF(CH2="Current WK","Next Week",IF(DATEVALUE(CI4)=$C$2-WEEKDAY($C$2,1)+1,"Current WK",""))</f>
        <v/>
      </c>
      <c r="CJ2" t="str">
        <f>=IF(CI2="Current WK","Next Week",IF(DATEVALUE(CJ4)=$C$2-WEEKDAY($C$2,1)+1,"Current WK",""))</f>
        <v/>
      </c>
      <c r="CK2" t="str">
        <f>=IF(CJ2="Current WK","Next Week",IF(DATEVALUE(CK4)=$C$2-WEEKDAY($C$2,1)+1,"Current WK",""))</f>
        <v/>
      </c>
      <c r="CL2" t="str">
        <f>=IF(CK2="Current WK","Next Week",IF(DATEVALUE(CL4)=$C$2-WEEKDAY($C$2,1)+1,"Current WK",""))</f>
        <v/>
      </c>
      <c r="CM2" t="str">
        <f>=IF(CL2="Current WK","Next Week",IF(DATEVALUE(CM4)=$C$2-WEEKDAY($C$2,1)+1,"Current WK",""))</f>
        <v/>
      </c>
      <c r="CN2" t="str">
        <f>=IF(CM2="Current WK","Next Week",IF(DATEVALUE(CN4)=$C$2-WEEKDAY($C$2,1)+1,"Current WK",""))</f>
        <v/>
      </c>
      <c r="CO2" t="str">
        <f>=IF(CN2="Current WK","Next Week",IF(DATEVALUE(CO4)=$C$2-WEEKDAY($C$2,1)+1,"Current WK",""))</f>
        <v/>
      </c>
      <c r="CP2" t="str">
        <f>=IF(CO2="Current WK","Next Week",IF(DATEVALUE(CP4)=$C$2-WEEKDAY($C$2,1)+1,"Current WK",""))</f>
        <v/>
      </c>
      <c r="CQ2" t="str">
        <f>=IF(CP2="Current WK","Next Week",IF(DATEVALUE(CQ4)=$C$2-WEEKDAY($C$2,1)+1,"Current WK",""))</f>
        <v/>
      </c>
      <c r="CR2" t="str">
        <f>=IF(CQ2="Current WK","Next Week",IF(DATEVALUE(CR4)=$C$2-WEEKDAY($C$2,1)+1,"Current WK",""))</f>
        <v/>
      </c>
      <c r="CS2" t="str">
        <f>=IF(CR2="Current WK","Next Week",IF(DATEVALUE(CS4)=$C$2-WEEKDAY($C$2,1)+1,"Current WK",""))</f>
        <v/>
      </c>
      <c r="CT2" t="str">
        <f>=IF(CS2="Current WK","Next Week",IF(DATEVALUE(CT4)=$C$2-WEEKDAY($C$2,1)+1,"Current WK",""))</f>
        <v/>
      </c>
      <c r="CU2" t="str">
        <f>=IF(CT2="Current WK","Next Week",IF(DATEVALUE(CU4)=$C$2-WEEKDAY($C$2,1)+1,"Current WK",""))</f>
        <v/>
      </c>
      <c r="CV2" t="str">
        <f>=IF(CU2="Current WK","Next Week",IF(DATEVALUE(CV4)=$C$2-WEEKDAY($C$2,1)+1,"Current WK",""))</f>
        <v/>
      </c>
      <c r="CW2" t="str">
        <f>=IF(CV2="Current WK","Next Week",IF(DATEVALUE(CW4)=$C$2-WEEKDAY($C$2,1)+1,"Current WK",""))</f>
        <v/>
      </c>
      <c r="CX2" t="str">
        <f>=IF(CW2="Current WK","Next Week",IF(DATEVALUE(CX4)=$C$2-WEEKDAY($C$2,1)+1,"Current WK",""))</f>
        <v/>
      </c>
      <c r="CY2" t="str">
        <f>=IF(CX2="Current WK","Next Week",IF(DATEVALUE(CY4)=$C$2-WEEKDAY($C$2,1)+1,"Current WK",""))</f>
        <v/>
      </c>
      <c r="CZ2" t="str">
        <f>=IF(CY2="Current WK","Next Week",IF(DATEVALUE(CZ4)=$C$2-WEEKDAY($C$2,1)+1,"Current WK",""))</f>
        <v/>
      </c>
      <c r="DA2" t="str">
        <f>=IF(CZ2="Current WK","Next Week",IF(DATEVALUE(DA4)=$C$2-WEEKDAY($C$2,1)+1,"Current WK",""))</f>
        <v/>
      </c>
      <c r="DB2" t="str">
        <f>=IF(DA2="Current WK","Next Week",IF(DATEVALUE(DB4)=$C$2-WEEKDAY($C$2,1)+1,"Current WK",""))</f>
        <v/>
      </c>
    </row>
    <row r="3" spans="1:106" x14ac:dyDescent="0.25">
      <c r="A3" s="1"/>
      <c r="B3" s="5" t="s">
        <v>4</v>
      </c>
      <c r="C3" t="s">
        <v>5</v>
      </c>
      <c r="D3" t="s">
        <v>6</v>
      </c>
      <c r="E3" t="s">
        <v>6</v>
      </c>
      <c r="F3" s="6" t="s">
        <v>6</v>
      </c>
      <c r="G3" t="s">
        <v>6</v>
      </c>
      <c r="H3" t="s">
        <v>7</v>
      </c>
      <c r="I3" t="s">
        <v>7</v>
      </c>
      <c r="J3" t="s">
        <v>7</v>
      </c>
      <c r="K3" t="s">
        <v>7</v>
      </c>
      <c r="L3" t="s">
        <v>8</v>
      </c>
      <c r="M3" t="s">
        <v>8</v>
      </c>
      <c r="N3" t="s">
        <v>8</v>
      </c>
      <c r="O3" t="s">
        <v>8</v>
      </c>
      <c r="P3" t="s">
        <v>8</v>
      </c>
      <c r="Q3" t="s">
        <v>9</v>
      </c>
      <c r="R3" t="s">
        <v>9</v>
      </c>
      <c r="S3" t="s">
        <v>9</v>
      </c>
      <c r="T3" t="s">
        <v>9</v>
      </c>
      <c r="U3" t="s">
        <v>10</v>
      </c>
      <c r="V3" t="s">
        <v>10</v>
      </c>
      <c r="W3" t="s">
        <v>10</v>
      </c>
      <c r="X3" t="s">
        <v>10</v>
      </c>
      <c r="Y3" t="s">
        <v>11</v>
      </c>
      <c r="Z3" t="s">
        <v>11</v>
      </c>
      <c r="AA3" t="s">
        <v>11</v>
      </c>
      <c r="AB3" t="s">
        <v>11</v>
      </c>
      <c r="AC3" t="s">
        <v>11</v>
      </c>
      <c r="AD3" t="s">
        <v>12</v>
      </c>
      <c r="AE3" t="s">
        <v>12</v>
      </c>
      <c r="AF3" t="s">
        <v>12</v>
      </c>
      <c r="AG3" t="s">
        <v>12</v>
      </c>
      <c r="AH3" t="s">
        <v>13</v>
      </c>
      <c r="AI3" t="s">
        <v>13</v>
      </c>
      <c r="AJ3" t="s">
        <v>13</v>
      </c>
      <c r="AK3" t="s">
        <v>13</v>
      </c>
      <c r="AL3" t="s">
        <v>14</v>
      </c>
      <c r="AM3" t="s">
        <v>14</v>
      </c>
      <c r="AN3" t="s">
        <v>14</v>
      </c>
      <c r="AO3" t="s">
        <v>14</v>
      </c>
      <c r="AP3" t="s">
        <v>14</v>
      </c>
      <c r="AQ3" t="s">
        <v>15</v>
      </c>
      <c r="AR3" t="s">
        <v>15</v>
      </c>
      <c r="AS3" t="s">
        <v>15</v>
      </c>
      <c r="AT3" t="s">
        <v>15</v>
      </c>
      <c r="AU3" t="s">
        <v>16</v>
      </c>
      <c r="AV3" t="s">
        <v>16</v>
      </c>
      <c r="AW3" t="s">
        <v>16</v>
      </c>
      <c r="AX3" t="s">
        <v>16</v>
      </c>
      <c r="AY3" t="s">
        <v>17</v>
      </c>
      <c r="AZ3" t="s">
        <v>17</v>
      </c>
      <c r="BA3" t="s">
        <v>17</v>
      </c>
      <c r="BB3" t="s">
        <v>17</v>
      </c>
      <c r="BC3" t="s">
        <v>17</v>
      </c>
      <c r="BD3" t="s">
        <v>18</v>
      </c>
      <c r="BE3" t="s">
        <v>18</v>
      </c>
      <c r="BF3" t="s">
        <v>18</v>
      </c>
      <c r="BG3" t="s">
        <v>18</v>
      </c>
      <c r="BH3" t="s">
        <v>19</v>
      </c>
      <c r="BI3" t="s">
        <v>19</v>
      </c>
      <c r="BJ3" t="s">
        <v>19</v>
      </c>
      <c r="BK3" t="s">
        <v>19</v>
      </c>
      <c r="BL3" t="s">
        <v>19</v>
      </c>
      <c r="BM3" t="s">
        <v>20</v>
      </c>
      <c r="BN3" t="s">
        <v>20</v>
      </c>
      <c r="BO3" t="s">
        <v>20</v>
      </c>
      <c r="BP3" t="s">
        <v>20</v>
      </c>
      <c r="BQ3" t="s">
        <v>21</v>
      </c>
      <c r="BR3" t="s">
        <v>21</v>
      </c>
      <c r="BS3" t="s">
        <v>21</v>
      </c>
      <c r="BT3" t="s">
        <v>21</v>
      </c>
      <c r="BU3" t="s">
        <v>22</v>
      </c>
      <c r="BV3" t="s">
        <v>22</v>
      </c>
      <c r="BW3" t="s">
        <v>22</v>
      </c>
      <c r="BX3" t="s">
        <v>22</v>
      </c>
      <c r="BY3" t="s">
        <v>22</v>
      </c>
      <c r="BZ3" t="s">
        <v>23</v>
      </c>
      <c r="CA3" t="s">
        <v>23</v>
      </c>
      <c r="CB3" t="s">
        <v>23</v>
      </c>
      <c r="CC3" t="s">
        <v>23</v>
      </c>
      <c r="CD3" t="s">
        <v>24</v>
      </c>
      <c r="CE3" t="s">
        <v>24</v>
      </c>
      <c r="CF3" t="s">
        <v>24</v>
      </c>
      <c r="CG3" t="s">
        <v>24</v>
      </c>
      <c r="CH3" t="s">
        <v>25</v>
      </c>
      <c r="CI3" t="s">
        <v>25</v>
      </c>
      <c r="CJ3" t="s">
        <v>25</v>
      </c>
      <c r="CK3" t="s">
        <v>25</v>
      </c>
      <c r="CL3" t="s">
        <v>26</v>
      </c>
      <c r="CM3" t="s">
        <v>26</v>
      </c>
      <c r="CN3" t="s">
        <v>26</v>
      </c>
      <c r="CO3" t="s">
        <v>26</v>
      </c>
      <c r="CP3" t="s">
        <v>26</v>
      </c>
      <c r="CQ3" t="s">
        <v>27</v>
      </c>
      <c r="CR3" t="s">
        <v>27</v>
      </c>
      <c r="CS3" t="s">
        <v>27</v>
      </c>
      <c r="CT3" t="s">
        <v>27</v>
      </c>
      <c r="CU3" t="s">
        <v>28</v>
      </c>
      <c r="CV3" t="s">
        <v>28</v>
      </c>
      <c r="CW3" t="s">
        <v>28</v>
      </c>
      <c r="CX3" t="s">
        <v>28</v>
      </c>
      <c r="CY3" t="s">
        <v>28</v>
      </c>
      <c r="CZ3" t="s">
        <v>29</v>
      </c>
      <c r="DA3" t="s">
        <v>29</v>
      </c>
      <c r="DB3" t="s">
        <v>29</v>
      </c>
    </row>
    <row r="4" spans="1:106" x14ac:dyDescent="0.25">
      <c r="A4" s="1"/>
      <c r="B4" s="5" t="s">
        <v>30</v>
      </c>
      <c r="C4" s="7" t="s">
        <v>31</v>
      </c>
      <c r="D4" s="7" t="s">
        <v>32</v>
      </c>
      <c r="E4" s="7" t="s">
        <v>33</v>
      </c>
      <c r="F4" s="7" t="s">
        <v>34</v>
      </c>
      <c r="G4" s="7" t="s">
        <v>35</v>
      </c>
      <c r="H4" s="7" t="s">
        <v>36</v>
      </c>
      <c r="I4" s="7" t="s">
        <v>37</v>
      </c>
      <c r="J4" s="7" t="s">
        <v>38</v>
      </c>
      <c r="K4" s="7" t="s">
        <v>39</v>
      </c>
      <c r="L4" s="7" t="s">
        <v>40</v>
      </c>
      <c r="M4" s="7" t="s">
        <v>41</v>
      </c>
      <c r="N4" s="7" t="s">
        <v>42</v>
      </c>
      <c r="O4" s="7" t="s">
        <v>43</v>
      </c>
      <c r="P4" s="7" t="s">
        <v>44</v>
      </c>
      <c r="Q4" s="7" t="s">
        <v>45</v>
      </c>
      <c r="R4" s="7" t="s">
        <v>46</v>
      </c>
      <c r="S4" s="7" t="s">
        <v>47</v>
      </c>
      <c r="T4" s="7" t="s">
        <v>48</v>
      </c>
      <c r="U4" s="7" t="s">
        <v>49</v>
      </c>
      <c r="V4" s="7" t="s">
        <v>50</v>
      </c>
      <c r="W4" s="7" t="s">
        <v>51</v>
      </c>
      <c r="X4" s="7" t="s">
        <v>52</v>
      </c>
      <c r="Y4" s="7" t="s">
        <v>53</v>
      </c>
      <c r="Z4" s="7" t="s">
        <v>54</v>
      </c>
      <c r="AA4" s="7" t="s">
        <v>55</v>
      </c>
      <c r="AB4" s="7" t="s">
        <v>56</v>
      </c>
      <c r="AC4" s="7" t="s">
        <v>57</v>
      </c>
      <c r="AD4" s="7" t="s">
        <v>58</v>
      </c>
      <c r="AE4" s="7" t="s">
        <v>59</v>
      </c>
      <c r="AF4" s="7" t="s">
        <v>60</v>
      </c>
      <c r="AG4" s="7" t="s">
        <v>61</v>
      </c>
      <c r="AH4" s="7" t="s">
        <v>62</v>
      </c>
      <c r="AI4" s="7" t="s">
        <v>63</v>
      </c>
      <c r="AJ4" s="7" t="s">
        <v>64</v>
      </c>
      <c r="AK4" s="7" t="s">
        <v>65</v>
      </c>
      <c r="AL4" s="7" t="s">
        <v>66</v>
      </c>
      <c r="AM4" s="7" t="s">
        <v>67</v>
      </c>
      <c r="AN4" s="7" t="s">
        <v>68</v>
      </c>
      <c r="AO4" s="7" t="s">
        <v>69</v>
      </c>
      <c r="AP4" s="7" t="s">
        <v>70</v>
      </c>
      <c r="AQ4" s="7" t="s">
        <v>71</v>
      </c>
      <c r="AR4" s="7" t="s">
        <v>72</v>
      </c>
      <c r="AS4" s="7" t="s">
        <v>73</v>
      </c>
      <c r="AT4" s="7" t="s">
        <v>74</v>
      </c>
      <c r="AU4" s="7" t="s">
        <v>75</v>
      </c>
      <c r="AV4" s="7" t="s">
        <v>76</v>
      </c>
      <c r="AW4" s="7" t="s">
        <v>77</v>
      </c>
      <c r="AX4" s="7" t="s">
        <v>78</v>
      </c>
      <c r="AY4" s="7" t="s">
        <v>79</v>
      </c>
      <c r="AZ4" s="7" t="s">
        <v>80</v>
      </c>
      <c r="BA4" s="7" t="s">
        <v>81</v>
      </c>
      <c r="BB4" s="7" t="s">
        <v>82</v>
      </c>
      <c r="BC4" s="7" t="s">
        <v>83</v>
      </c>
      <c r="BD4" s="7" t="s">
        <v>84</v>
      </c>
      <c r="BE4" s="7" t="s">
        <v>85</v>
      </c>
      <c r="BF4" s="7" t="s">
        <v>86</v>
      </c>
      <c r="BG4" s="7" t="s">
        <v>87</v>
      </c>
      <c r="BH4" s="7" t="s">
        <v>88</v>
      </c>
      <c r="BI4" s="7" t="s">
        <v>89</v>
      </c>
      <c r="BJ4" s="7" t="s">
        <v>90</v>
      </c>
      <c r="BK4" s="7" t="s">
        <v>91</v>
      </c>
      <c r="BL4" s="7" t="s">
        <v>92</v>
      </c>
      <c r="BM4" s="7" t="s">
        <v>93</v>
      </c>
      <c r="BN4" s="7" t="s">
        <v>94</v>
      </c>
      <c r="BO4" s="7" t="s">
        <v>95</v>
      </c>
      <c r="BP4" s="7" t="s">
        <v>96</v>
      </c>
      <c r="BQ4" s="7" t="s">
        <v>97</v>
      </c>
      <c r="BR4" s="7" t="s">
        <v>98</v>
      </c>
      <c r="BS4" s="7" t="s">
        <v>99</v>
      </c>
      <c r="BT4" s="7" t="s">
        <v>100</v>
      </c>
      <c r="BU4" s="7" t="s">
        <v>101</v>
      </c>
      <c r="BV4" s="7" t="s">
        <v>102</v>
      </c>
      <c r="BW4" s="7" t="s">
        <v>103</v>
      </c>
      <c r="BX4" s="7" t="s">
        <v>104</v>
      </c>
      <c r="BY4" s="7" t="s">
        <v>105</v>
      </c>
      <c r="BZ4" s="7" t="s">
        <v>106</v>
      </c>
      <c r="CA4" s="7" t="s">
        <v>107</v>
      </c>
      <c r="CB4" s="7" t="s">
        <v>108</v>
      </c>
      <c r="CC4" s="7" t="s">
        <v>109</v>
      </c>
      <c r="CD4" s="7" t="s">
        <v>110</v>
      </c>
      <c r="CE4" s="7" t="s">
        <v>111</v>
      </c>
      <c r="CF4" s="7" t="s">
        <v>112</v>
      </c>
      <c r="CG4" s="7" t="s">
        <v>113</v>
      </c>
      <c r="CH4" s="7" t="s">
        <v>114</v>
      </c>
      <c r="CI4" s="7" t="s">
        <v>115</v>
      </c>
      <c r="CJ4" s="7" t="s">
        <v>116</v>
      </c>
      <c r="CK4" s="7" t="s">
        <v>117</v>
      </c>
      <c r="CL4" s="7" t="s">
        <v>118</v>
      </c>
      <c r="CM4" s="7" t="s">
        <v>119</v>
      </c>
      <c r="CN4" s="7" t="s">
        <v>120</v>
      </c>
      <c r="CO4" s="7" t="s">
        <v>121</v>
      </c>
      <c r="CP4" s="7" t="s">
        <v>122</v>
      </c>
      <c r="CQ4" s="7" t="s">
        <v>123</v>
      </c>
      <c r="CR4" s="7" t="s">
        <v>124</v>
      </c>
      <c r="CS4" s="7" t="s">
        <v>125</v>
      </c>
      <c r="CT4" s="7" t="s">
        <v>126</v>
      </c>
      <c r="CU4" s="7" t="s">
        <v>127</v>
      </c>
      <c r="CV4" s="7" t="s">
        <v>128</v>
      </c>
      <c r="CW4" s="7" t="s">
        <v>129</v>
      </c>
      <c r="CX4" s="7" t="s">
        <v>130</v>
      </c>
      <c r="CY4" s="7" t="s">
        <v>131</v>
      </c>
      <c r="CZ4" s="7" t="s">
        <v>132</v>
      </c>
      <c r="DA4" s="7" t="s">
        <v>133</v>
      </c>
      <c r="DB4" s="7" t="s">
        <v>134</v>
      </c>
    </row>
    <row r="5" spans="1:106" x14ac:dyDescent="0.25">
      <c r="A5" s="1"/>
      <c r="B5" s="5" t="s">
        <v>135</v>
      </c>
      <c r="C5" s="8" t="s">
        <v>136</v>
      </c>
      <c r="D5" s="8" t="s">
        <v>137</v>
      </c>
      <c r="E5" s="8" t="s">
        <v>138</v>
      </c>
      <c r="F5" s="8" t="s">
        <v>139</v>
      </c>
      <c r="G5" s="8" t="s">
        <v>140</v>
      </c>
      <c r="H5" s="8" t="s">
        <v>141</v>
      </c>
      <c r="I5" s="8" t="s">
        <v>142</v>
      </c>
      <c r="J5" s="8" t="s">
        <v>143</v>
      </c>
      <c r="K5" s="8" t="s">
        <v>144</v>
      </c>
      <c r="L5" s="8" t="s">
        <v>145</v>
      </c>
      <c r="M5" s="8" t="s">
        <v>146</v>
      </c>
      <c r="N5" s="8" t="s">
        <v>147</v>
      </c>
      <c r="O5" s="8" t="s">
        <v>148</v>
      </c>
      <c r="P5" s="8" t="s">
        <v>149</v>
      </c>
      <c r="Q5" s="8" t="s">
        <v>150</v>
      </c>
      <c r="R5" s="8" t="s">
        <v>151</v>
      </c>
      <c r="S5" s="8" t="s">
        <v>152</v>
      </c>
      <c r="T5" s="8" t="s">
        <v>153</v>
      </c>
      <c r="U5" s="8" t="s">
        <v>154</v>
      </c>
      <c r="V5" s="8" t="s">
        <v>155</v>
      </c>
      <c r="W5" s="8" t="s">
        <v>156</v>
      </c>
      <c r="X5" s="8" t="s">
        <v>157</v>
      </c>
      <c r="Y5" s="8" t="s">
        <v>158</v>
      </c>
      <c r="Z5" s="8" t="s">
        <v>159</v>
      </c>
      <c r="AA5" s="8" t="s">
        <v>160</v>
      </c>
      <c r="AB5" s="8" t="s">
        <v>161</v>
      </c>
      <c r="AC5" s="8" t="s">
        <v>162</v>
      </c>
      <c r="AD5" s="8" t="s">
        <v>163</v>
      </c>
      <c r="AE5" s="8" t="s">
        <v>164</v>
      </c>
      <c r="AF5" s="8" t="s">
        <v>165</v>
      </c>
      <c r="AG5" s="8" t="s">
        <v>166</v>
      </c>
      <c r="AH5" s="8" t="s">
        <v>167</v>
      </c>
      <c r="AI5" s="8" t="s">
        <v>168</v>
      </c>
      <c r="AJ5" s="8" t="s">
        <v>169</v>
      </c>
      <c r="AK5" s="8" t="s">
        <v>170</v>
      </c>
      <c r="AL5" s="8" t="s">
        <v>171</v>
      </c>
      <c r="AM5" s="8" t="s">
        <v>172</v>
      </c>
      <c r="AN5" s="8" t="s">
        <v>173</v>
      </c>
      <c r="AO5" s="8" t="s">
        <v>174</v>
      </c>
      <c r="AP5" s="8" t="s">
        <v>175</v>
      </c>
      <c r="AQ5" s="8" t="s">
        <v>176</v>
      </c>
      <c r="AR5" s="8" t="s">
        <v>177</v>
      </c>
      <c r="AS5" s="8" t="s">
        <v>178</v>
      </c>
      <c r="AT5" s="8" t="s">
        <v>179</v>
      </c>
      <c r="AU5" s="8" t="s">
        <v>180</v>
      </c>
      <c r="AV5" s="8" t="s">
        <v>181</v>
      </c>
      <c r="AW5" s="8" t="s">
        <v>182</v>
      </c>
      <c r="AX5" s="8" t="s">
        <v>183</v>
      </c>
      <c r="AY5" s="8" t="s">
        <v>184</v>
      </c>
      <c r="AZ5" s="8" t="s">
        <v>185</v>
      </c>
      <c r="BA5" s="8" t="s">
        <v>186</v>
      </c>
      <c r="BB5" s="8" t="s">
        <v>187</v>
      </c>
      <c r="BC5" s="8" t="s">
        <v>188</v>
      </c>
      <c r="BD5" s="8" t="s">
        <v>189</v>
      </c>
      <c r="BE5" s="8" t="s">
        <v>190</v>
      </c>
      <c r="BF5" s="8" t="s">
        <v>191</v>
      </c>
      <c r="BG5" s="8" t="s">
        <v>192</v>
      </c>
      <c r="BH5" s="8" t="s">
        <v>193</v>
      </c>
      <c r="BI5" s="8" t="s">
        <v>194</v>
      </c>
      <c r="BJ5" s="8" t="s">
        <v>195</v>
      </c>
      <c r="BK5" s="8" t="s">
        <v>196</v>
      </c>
      <c r="BL5" s="8" t="s">
        <v>197</v>
      </c>
      <c r="BM5" s="8" t="s">
        <v>198</v>
      </c>
      <c r="BN5" s="8" t="s">
        <v>199</v>
      </c>
      <c r="BO5" s="8" t="s">
        <v>200</v>
      </c>
      <c r="BP5" s="8" t="s">
        <v>201</v>
      </c>
      <c r="BQ5" s="8" t="s">
        <v>202</v>
      </c>
      <c r="BR5" s="8" t="s">
        <v>203</v>
      </c>
      <c r="BS5" s="8" t="s">
        <v>204</v>
      </c>
      <c r="BT5" s="8" t="s">
        <v>205</v>
      </c>
      <c r="BU5" s="8" t="s">
        <v>206</v>
      </c>
      <c r="BV5" s="8" t="s">
        <v>207</v>
      </c>
      <c r="BW5" s="8" t="s">
        <v>208</v>
      </c>
      <c r="BX5" s="8" t="s">
        <v>209</v>
      </c>
      <c r="BY5" s="8" t="s">
        <v>210</v>
      </c>
      <c r="BZ5" s="8" t="s">
        <v>211</v>
      </c>
      <c r="CA5" s="8" t="s">
        <v>212</v>
      </c>
      <c r="CB5" s="8" t="s">
        <v>213</v>
      </c>
      <c r="CC5" s="8" t="s">
        <v>214</v>
      </c>
      <c r="CD5" s="8" t="s">
        <v>215</v>
      </c>
      <c r="CE5" s="8" t="s">
        <v>216</v>
      </c>
      <c r="CF5" s="8" t="s">
        <v>217</v>
      </c>
      <c r="CG5" s="8" t="s">
        <v>218</v>
      </c>
      <c r="CH5" s="8" t="s">
        <v>219</v>
      </c>
      <c r="CI5" s="8" t="s">
        <v>220</v>
      </c>
      <c r="CJ5" s="8" t="s">
        <v>221</v>
      </c>
      <c r="CK5" s="8" t="s">
        <v>222</v>
      </c>
      <c r="CL5" s="8" t="s">
        <v>223</v>
      </c>
      <c r="CM5" s="8" t="s">
        <v>224</v>
      </c>
      <c r="CN5" s="8" t="s">
        <v>225</v>
      </c>
      <c r="CO5" s="8" t="s">
        <v>226</v>
      </c>
      <c r="CP5" s="8" t="s">
        <v>227</v>
      </c>
      <c r="CQ5" s="8" t="s">
        <v>228</v>
      </c>
      <c r="CR5" s="8" t="s">
        <v>229</v>
      </c>
      <c r="CS5" s="8" t="s">
        <v>230</v>
      </c>
      <c r="CT5" s="8" t="s">
        <v>231</v>
      </c>
      <c r="CU5" s="8" t="s">
        <v>232</v>
      </c>
      <c r="CV5" s="8" t="s">
        <v>233</v>
      </c>
      <c r="CW5" s="8" t="s">
        <v>234</v>
      </c>
      <c r="CX5" s="8" t="s">
        <v>235</v>
      </c>
      <c r="CY5" s="8" t="s">
        <v>236</v>
      </c>
      <c r="CZ5" s="8" t="s">
        <v>237</v>
      </c>
      <c r="DA5" s="8" t="s">
        <v>238</v>
      </c>
      <c r="DB5" s="8" t="s">
        <v>239</v>
      </c>
    </row>
    <row r="6" spans="1:106" x14ac:dyDescent="0.25">
      <c r="A6" s="9" t="s">
        <v>240</v>
      </c>
      <c r="B6" s="10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</row>
    <row r="7" ht="15" customHeight="1" spans="1:106" x14ac:dyDescent="0.25">
      <c r="A7" s="12" t="s">
        <v>241</v>
      </c>
      <c r="B7" s="13"/>
      <c r="C7" s="74">
        <v>23</v>
      </c>
      <c r="D7" s="74">
        <v>23</v>
      </c>
      <c r="E7" s="74">
        <v>23</v>
      </c>
      <c r="F7" s="74">
        <v>23</v>
      </c>
      <c r="G7" s="74">
        <v>23</v>
      </c>
      <c r="H7" s="74">
        <v>23</v>
      </c>
      <c r="I7" s="74">
        <v>23</v>
      </c>
      <c r="J7" s="74">
        <v>23</v>
      </c>
      <c r="K7" s="74">
        <v>23</v>
      </c>
      <c r="L7" s="74">
        <v>22</v>
      </c>
      <c r="M7" s="74">
        <v>22</v>
      </c>
      <c r="N7" s="74">
        <v>22</v>
      </c>
      <c r="O7" s="74">
        <v>22</v>
      </c>
      <c r="P7" s="74">
        <v>18</v>
      </c>
      <c r="Q7" s="74">
        <v>18</v>
      </c>
      <c r="R7" s="74">
        <v>18</v>
      </c>
      <c r="S7" s="74">
        <v>18</v>
      </c>
      <c r="T7" s="74">
        <v>18</v>
      </c>
      <c r="U7" s="74">
        <v>18</v>
      </c>
      <c r="V7" s="74">
        <v>18</v>
      </c>
      <c r="W7" s="74">
        <v>18</v>
      </c>
      <c r="X7" s="74">
        <v>18</v>
      </c>
      <c r="Y7" s="74">
        <v>18</v>
      </c>
      <c r="Z7" s="74">
        <v>18</v>
      </c>
      <c r="AA7" s="74">
        <v>18</v>
      </c>
      <c r="AB7" s="74">
        <v>18</v>
      </c>
      <c r="AC7" s="74">
        <v>18</v>
      </c>
      <c r="AD7" s="74">
        <v>18</v>
      </c>
      <c r="AE7" s="74">
        <v>18</v>
      </c>
      <c r="AF7" s="74">
        <v>18</v>
      </c>
      <c r="AG7" s="74">
        <v>18</v>
      </c>
      <c r="AH7" s="74">
        <v>18</v>
      </c>
      <c r="AI7" s="74">
        <v>18</v>
      </c>
      <c r="AJ7" s="74">
        <v>18</v>
      </c>
      <c r="AK7" s="74">
        <v>18</v>
      </c>
      <c r="AL7" s="74">
        <v>18</v>
      </c>
      <c r="AM7" s="74">
        <v>18</v>
      </c>
      <c r="AN7" s="74">
        <v>18</v>
      </c>
      <c r="AO7" s="74">
        <v>18</v>
      </c>
      <c r="AP7" s="74">
        <v>18</v>
      </c>
      <c r="AQ7" s="74">
        <v>18</v>
      </c>
      <c r="AR7" s="74">
        <v>18</v>
      </c>
      <c r="AS7" s="74">
        <v>18</v>
      </c>
      <c r="AT7" s="74">
        <v>18</v>
      </c>
      <c r="AU7" s="74">
        <v>18</v>
      </c>
      <c r="AV7" s="74">
        <v>18</v>
      </c>
      <c r="AW7" s="74">
        <v>18</v>
      </c>
      <c r="AX7" s="74">
        <v>18</v>
      </c>
      <c r="AY7" s="74">
        <v>18</v>
      </c>
      <c r="AZ7" s="74">
        <v>18</v>
      </c>
      <c r="BA7" s="74">
        <v>18</v>
      </c>
      <c r="BB7" s="74">
        <v>18</v>
      </c>
      <c r="BC7" s="74">
        <v>18</v>
      </c>
      <c r="BD7" s="74">
        <v>18</v>
      </c>
      <c r="BE7" s="74">
        <v>18</v>
      </c>
      <c r="BF7" s="74">
        <v>18</v>
      </c>
      <c r="BG7" s="74">
        <v>18</v>
      </c>
      <c r="BH7" s="74">
        <v>18</v>
      </c>
      <c r="BI7" s="74">
        <v>18</v>
      </c>
      <c r="BJ7" s="74">
        <v>18</v>
      </c>
      <c r="BK7" s="74">
        <v>18</v>
      </c>
      <c r="BL7" s="74">
        <v>18</v>
      </c>
      <c r="BM7" s="74">
        <v>18</v>
      </c>
      <c r="BN7" s="74">
        <v>18</v>
      </c>
      <c r="BO7" s="74">
        <v>18</v>
      </c>
      <c r="BP7" s="74">
        <v>20</v>
      </c>
      <c r="BQ7" s="74">
        <v>20</v>
      </c>
      <c r="BR7" s="74">
        <v>20</v>
      </c>
      <c r="BS7" s="74">
        <v>20</v>
      </c>
      <c r="BT7" s="74">
        <v>20</v>
      </c>
      <c r="BU7" s="74">
        <v>20</v>
      </c>
      <c r="BV7" s="74">
        <v>20</v>
      </c>
      <c r="BW7" s="74">
        <v>20</v>
      </c>
      <c r="BX7" s="74">
        <v>20</v>
      </c>
      <c r="BY7" s="74">
        <v>20</v>
      </c>
      <c r="BZ7" s="74">
        <v>20</v>
      </c>
      <c r="CA7" s="74">
        <v>20</v>
      </c>
      <c r="CB7" s="74">
        <v>20</v>
      </c>
      <c r="CC7" s="74">
        <v>20</v>
      </c>
      <c r="CD7" s="74">
        <v>20</v>
      </c>
      <c r="CE7" s="74">
        <v>20</v>
      </c>
      <c r="CF7" s="74">
        <v>20</v>
      </c>
      <c r="CG7" s="74">
        <v>20</v>
      </c>
      <c r="CH7" s="74">
        <v>20</v>
      </c>
      <c r="CI7" s="74">
        <v>20</v>
      </c>
      <c r="CJ7" s="74">
        <v>20</v>
      </c>
      <c r="CK7" s="74">
        <v>20</v>
      </c>
      <c r="CL7" s="74">
        <v>20</v>
      </c>
      <c r="CM7" s="74">
        <v>20</v>
      </c>
      <c r="CN7" s="74">
        <v>20</v>
      </c>
      <c r="CO7" s="74">
        <v>20</v>
      </c>
      <c r="CP7" s="74">
        <v>20</v>
      </c>
      <c r="CQ7" s="74">
        <v>20</v>
      </c>
      <c r="CR7" s="74">
        <v>20</v>
      </c>
      <c r="CS7" s="74">
        <v>20</v>
      </c>
      <c r="CT7" s="74">
        <v>20</v>
      </c>
      <c r="CU7" s="74">
        <v>20</v>
      </c>
      <c r="CV7" s="74">
        <v>20</v>
      </c>
      <c r="CW7" s="74">
        <v>20</v>
      </c>
      <c r="CX7" s="74">
        <v>20</v>
      </c>
      <c r="CY7" s="74">
        <v>20</v>
      </c>
      <c r="CZ7" s="74">
        <v>20</v>
      </c>
      <c r="DA7" s="74">
        <v>20</v>
      </c>
      <c r="DB7" s="74">
        <v>20</v>
      </c>
    </row>
    <row r="8" ht="15" customHeight="1" spans="1:106" x14ac:dyDescent="0.25">
      <c r="A8" s="12" t="s">
        <v>242</v>
      </c>
      <c r="B8" s="13"/>
      <c r="C8" s="74">
        <v>788</v>
      </c>
      <c r="D8" s="74">
        <v>787</v>
      </c>
      <c r="E8" s="74">
        <v>787</v>
      </c>
      <c r="F8" s="74">
        <v>787</v>
      </c>
      <c r="G8" s="74">
        <v>789</v>
      </c>
      <c r="H8" s="74">
        <v>796</v>
      </c>
      <c r="I8" s="74">
        <v>796</v>
      </c>
      <c r="J8" s="74">
        <v>795</v>
      </c>
      <c r="K8" s="74">
        <v>795</v>
      </c>
      <c r="L8" s="74">
        <v>759</v>
      </c>
      <c r="M8" s="74">
        <v>758</v>
      </c>
      <c r="N8" s="74">
        <v>757</v>
      </c>
      <c r="O8" s="74">
        <v>758</v>
      </c>
      <c r="P8" s="74">
        <v>620</v>
      </c>
      <c r="Q8" s="74">
        <v>620</v>
      </c>
      <c r="R8" s="74">
        <v>620</v>
      </c>
      <c r="S8" s="74">
        <v>623</v>
      </c>
      <c r="T8" s="74">
        <v>621</v>
      </c>
      <c r="U8" s="74">
        <v>621</v>
      </c>
      <c r="V8" s="74">
        <v>621</v>
      </c>
      <c r="W8" s="74">
        <v>621</v>
      </c>
      <c r="X8" s="74">
        <v>621</v>
      </c>
      <c r="Y8" s="74">
        <v>622</v>
      </c>
      <c r="Z8" s="74">
        <v>622</v>
      </c>
      <c r="AA8" s="74">
        <v>622</v>
      </c>
      <c r="AB8" s="74">
        <v>622</v>
      </c>
      <c r="AC8" s="74">
        <v>621</v>
      </c>
      <c r="AD8" s="74">
        <v>621</v>
      </c>
      <c r="AE8" s="74">
        <v>621</v>
      </c>
      <c r="AF8" s="74">
        <v>621</v>
      </c>
      <c r="AG8" s="74">
        <v>621</v>
      </c>
      <c r="AH8" s="74">
        <v>621</v>
      </c>
      <c r="AI8" s="74">
        <v>621</v>
      </c>
      <c r="AJ8" s="74">
        <v>621</v>
      </c>
      <c r="AK8" s="74">
        <v>620</v>
      </c>
      <c r="AL8" s="74">
        <v>620</v>
      </c>
      <c r="AM8" s="74">
        <v>620</v>
      </c>
      <c r="AN8" s="74">
        <v>620</v>
      </c>
      <c r="AO8" s="74">
        <v>620</v>
      </c>
      <c r="AP8" s="74">
        <v>620</v>
      </c>
      <c r="AQ8" s="74">
        <v>620</v>
      </c>
      <c r="AR8" s="74">
        <v>620</v>
      </c>
      <c r="AS8" s="74">
        <v>620</v>
      </c>
      <c r="AT8" s="74">
        <v>620</v>
      </c>
      <c r="AU8" s="74">
        <v>620</v>
      </c>
      <c r="AV8" s="74">
        <v>620</v>
      </c>
      <c r="AW8" s="74">
        <v>620</v>
      </c>
      <c r="AX8" s="74">
        <v>620</v>
      </c>
      <c r="AY8" s="74">
        <v>643</v>
      </c>
      <c r="AZ8" s="74">
        <v>643</v>
      </c>
      <c r="BA8" s="74">
        <v>643</v>
      </c>
      <c r="BB8" s="74">
        <v>643</v>
      </c>
      <c r="BC8" s="74">
        <v>646</v>
      </c>
      <c r="BD8" s="74">
        <v>647</v>
      </c>
      <c r="BE8" s="74">
        <v>647</v>
      </c>
      <c r="BF8" s="74">
        <v>647</v>
      </c>
      <c r="BG8" s="74">
        <v>646</v>
      </c>
      <c r="BH8" s="74">
        <v>644</v>
      </c>
      <c r="BI8" s="74">
        <v>644</v>
      </c>
      <c r="BJ8" s="74">
        <v>644</v>
      </c>
      <c r="BK8" s="74">
        <v>644</v>
      </c>
      <c r="BL8" s="74">
        <v>644</v>
      </c>
      <c r="BM8" s="74">
        <v>644</v>
      </c>
      <c r="BN8" s="74">
        <v>644</v>
      </c>
      <c r="BO8" s="74">
        <v>644</v>
      </c>
      <c r="BP8" s="74">
        <v>672</v>
      </c>
      <c r="BQ8" s="74">
        <v>672</v>
      </c>
      <c r="BR8" s="74">
        <v>672</v>
      </c>
      <c r="BS8" s="74">
        <v>672</v>
      </c>
      <c r="BT8" s="74">
        <v>672</v>
      </c>
      <c r="BU8" s="74">
        <v>672</v>
      </c>
      <c r="BV8" s="74">
        <v>672</v>
      </c>
      <c r="BW8" s="74">
        <v>672</v>
      </c>
      <c r="BX8" s="74">
        <v>672</v>
      </c>
      <c r="BY8" s="74">
        <v>672</v>
      </c>
      <c r="BZ8" s="74">
        <v>672</v>
      </c>
      <c r="CA8" s="74">
        <v>672</v>
      </c>
      <c r="CB8" s="74">
        <v>672</v>
      </c>
      <c r="CC8" s="74">
        <v>672</v>
      </c>
      <c r="CD8" s="74">
        <v>672</v>
      </c>
      <c r="CE8" s="74">
        <v>672</v>
      </c>
      <c r="CF8" s="74">
        <v>672</v>
      </c>
      <c r="CG8" s="74">
        <v>672</v>
      </c>
      <c r="CH8" s="74">
        <v>672</v>
      </c>
      <c r="CI8" s="74">
        <v>672</v>
      </c>
      <c r="CJ8" s="74">
        <v>672</v>
      </c>
      <c r="CK8" s="74">
        <v>672</v>
      </c>
      <c r="CL8" s="74">
        <v>672</v>
      </c>
      <c r="CM8" s="74">
        <v>672</v>
      </c>
      <c r="CN8" s="74">
        <v>672</v>
      </c>
      <c r="CO8" s="74">
        <v>672</v>
      </c>
      <c r="CP8" s="74">
        <v>672</v>
      </c>
      <c r="CQ8" s="74">
        <v>672</v>
      </c>
      <c r="CR8" s="74">
        <v>672</v>
      </c>
      <c r="CS8" s="74">
        <v>672</v>
      </c>
      <c r="CT8" s="74">
        <v>672</v>
      </c>
      <c r="CU8" s="74">
        <v>672</v>
      </c>
      <c r="CV8" s="74">
        <v>672</v>
      </c>
      <c r="CW8" s="74">
        <v>672</v>
      </c>
      <c r="CX8" s="74">
        <v>672</v>
      </c>
      <c r="CY8" s="74">
        <v>672</v>
      </c>
      <c r="CZ8" s="74">
        <v>672</v>
      </c>
      <c r="DA8" s="74">
        <v>672</v>
      </c>
      <c r="DB8" s="74">
        <v>672</v>
      </c>
    </row>
    <row r="9" ht="18" customHeight="1" spans="1:106" x14ac:dyDescent="0.25">
      <c r="A9" s="12" t="s">
        <v>243</v>
      </c>
      <c r="B9" s="13"/>
      <c r="C9" s="15">
        <f>=IFERROR(ROUND((C8/(C47*C48))/(1-C29)/C45,0),"")</f>
        <v>23</v>
      </c>
      <c r="D9" s="15">
        <f>=IFERROR(ROUND((D8/(D47*D48))/(1-D29)/D45,0),"")</f>
        <v>23</v>
      </c>
      <c r="E9" s="15">
        <f>=IFERROR(ROUND((E8/(E47*E48))/(1-E29)/E45,0),"")</f>
        <v>23</v>
      </c>
      <c r="F9" s="15">
        <f>=IFERROR(ROUND((F8/(F47*F48))/(1-F29)/F45,0),"")</f>
        <v>23</v>
      </c>
      <c r="G9" s="15">
        <f>=IFERROR(ROUND((G8/(G47*G48))/(1-G29)/G45,0),"")</f>
        <v>23</v>
      </c>
      <c r="H9" s="15">
        <f>=IFERROR(ROUND((H8/(H47*H48))/(1-H29)/H45,0),"")</f>
        <v>24</v>
      </c>
      <c r="I9" s="15">
        <f>=IFERROR(ROUND((I8/(I47*I48))/(1-I29)/I45,0),"")</f>
        <v>24</v>
      </c>
      <c r="J9" s="15">
        <f>=IFERROR(ROUND((J8/(J47*J48))/(1-J29)/J45,0),"")</f>
        <v>24</v>
      </c>
      <c r="K9" s="15">
        <f>=IFERROR(ROUND((K8/(K47*K48))/(1-K29)/K45,0),"")</f>
        <v>24</v>
      </c>
      <c r="L9" s="15">
        <f>=IFERROR(ROUND((L8/(L47*L48))/(1-L29)/L45,0),"")</f>
        <v>23</v>
      </c>
      <c r="M9" s="15">
        <f>=IFERROR(ROUND((M8/(M47*M48))/(1-M29)/M45,0),"")</f>
        <v>23</v>
      </c>
      <c r="N9" s="15">
        <f>=IFERROR(ROUND((N8/(N47*N48))/(1-N29)/N45,0),"")</f>
        <v>23</v>
      </c>
      <c r="O9" s="15">
        <f>=IFERROR(ROUND((O8/(O47*O48))/(1-O29)/O45,0),"")</f>
        <v>23</v>
      </c>
      <c r="P9" s="15">
        <f>=IFERROR(ROUND((P8/(P47*P48))/(1-P29)/P45,0),"")</f>
        <v>18</v>
      </c>
      <c r="Q9" s="15">
        <f>=IFERROR(ROUND((Q8/(Q47*Q48))/(1-Q29)/Q45,0),"")</f>
        <v>18</v>
      </c>
      <c r="R9" s="15">
        <f>=IFERROR(ROUND((R8/(R47*R48))/(1-R29)/R45,0),"")</f>
        <v>18</v>
      </c>
      <c r="S9" s="15">
        <f>=IFERROR(ROUND((S8/(S47*S48))/(1-S29)/S45,0),"")</f>
        <v>19</v>
      </c>
      <c r="T9" s="15">
        <f>=IFERROR(ROUND((T8/(T47*T48))/(1-T29)/T45,0),"")</f>
        <v>18</v>
      </c>
      <c r="U9" s="15">
        <f>=IFERROR(ROUND((U8/(U47*U48))/(1-U29)/U45,0),"")</f>
        <v>18</v>
      </c>
      <c r="V9" s="15">
        <f>=IFERROR(ROUND((V8/(V47*V48))/(1-V29)/V45,0),"")</f>
        <v>18</v>
      </c>
      <c r="W9" s="15">
        <f>=IFERROR(ROUND((W8/(W47*W48))/(1-W29)/W45,0),"")</f>
        <v>18</v>
      </c>
      <c r="X9" s="15">
        <f>=IFERROR(ROUND((X8/(X47*X48))/(1-X29)/X45,0),"")</f>
        <v>18</v>
      </c>
      <c r="Y9" s="15">
        <f>=IFERROR(ROUND((Y8/(Y47*Y48))/(1-Y29)/Y45,0),"")</f>
        <v>19</v>
      </c>
      <c r="Z9" s="15">
        <f>=IFERROR(ROUND((Z8/(Z47*Z48))/(1-Z29)/Z45,0),"")</f>
        <v>19</v>
      </c>
      <c r="AA9" s="15">
        <f>=IFERROR(ROUND((AA8/(AA47*AA48))/(1-AA29)/AA45,0),"")</f>
        <v>19</v>
      </c>
      <c r="AB9" s="15">
        <f>=IFERROR(ROUND((AB8/(AB47*AB48))/(1-AB29)/AB45,0),"")</f>
        <v>19</v>
      </c>
      <c r="AC9" s="15">
        <f>=IFERROR(ROUND((AC8/(AC47*AC48))/(1-AC29)/AC45,0),"")</f>
        <v>18</v>
      </c>
      <c r="AD9" s="15">
        <f>=IFERROR(ROUND((AD8/(AD47*AD48))/(1-AD29)/AD45,0),"")</f>
        <v>18</v>
      </c>
      <c r="AE9" s="15">
        <f>=IFERROR(ROUND((AE8/(AE47*AE48))/(1-AE29)/AE45,0),"")</f>
        <v>18</v>
      </c>
      <c r="AF9" s="15">
        <f>=IFERROR(ROUND((AF8/(AF47*AF48))/(1-AF29)/AF45,0),"")</f>
        <v>18</v>
      </c>
      <c r="AG9" s="15">
        <f>=IFERROR(ROUND((AG8/(AG47*AG48))/(1-AG29)/AG45,0),"")</f>
        <v>18</v>
      </c>
      <c r="AH9" s="15">
        <f>=IFERROR(ROUND((AH8/(AH47*AH48))/(1-AH29)/AH45,0),"")</f>
        <v>18</v>
      </c>
      <c r="AI9" s="15">
        <f>=IFERROR(ROUND((AI8/(AI47*AI48))/(1-AI29)/AI45,0),"")</f>
        <v>18</v>
      </c>
      <c r="AJ9" s="15">
        <f>=IFERROR(ROUND((AJ8/(AJ47*AJ48))/(1-AJ29)/AJ45,0),"")</f>
        <v>18</v>
      </c>
      <c r="AK9" s="15">
        <f>=IFERROR(ROUND((AK8/(AK47*AK48))/(1-AK29)/AK45,0),"")</f>
        <v>18</v>
      </c>
      <c r="AL9" s="15">
        <f>=IFERROR(ROUND((AL8/(AL47*AL48))/(1-AL29)/AL45,0),"")</f>
        <v>18</v>
      </c>
      <c r="AM9" s="15">
        <f>=IFERROR(ROUND((AM8/(AM47*AM48))/(1-AM29)/AM45,0),"")</f>
        <v>18</v>
      </c>
      <c r="AN9" s="15">
        <f>=IFERROR(ROUND((AN8/(AN47*AN48))/(1-AN29)/AN45,0),"")</f>
        <v>18</v>
      </c>
      <c r="AO9" s="15">
        <f>=IFERROR(ROUND((AO8/(AO47*AO48))/(1-AO29)/AO45,0),"")</f>
        <v>18</v>
      </c>
      <c r="AP9" s="15">
        <f>=IFERROR(ROUND((AP8/(AP47*AP48))/(1-AP29)/AP45,0),"")</f>
        <v>18</v>
      </c>
      <c r="AQ9" s="15">
        <f>=IFERROR(ROUND((AQ8/(AQ47*AQ48))/(1-AQ29)/AQ45,0),"")</f>
        <v>18</v>
      </c>
      <c r="AR9" s="15">
        <f>=IFERROR(ROUND((AR8/(AR47*AR48))/(1-AR29)/AR45,0),"")</f>
        <v>18</v>
      </c>
      <c r="AS9" s="15">
        <f>=IFERROR(ROUND((AS8/(AS47*AS48))/(1-AS29)/AS45,0),"")</f>
        <v>18</v>
      </c>
      <c r="AT9" s="15">
        <f>=IFERROR(ROUND((AT8/(AT47*AT48))/(1-AT29)/AT45,0),"")</f>
        <v>18</v>
      </c>
      <c r="AU9" s="15">
        <f>=IFERROR(ROUND((AU8/(AU47*AU48))/(1-AU29)/AU45,0),"")</f>
        <v>18</v>
      </c>
      <c r="AV9" s="15">
        <f>=IFERROR(ROUND((AV8/(AV47*AV48))/(1-AV29)/AV45,0),"")</f>
        <v>18</v>
      </c>
      <c r="AW9" s="15">
        <f>=IFERROR(ROUND((AW8/(AW47*AW48))/(1-AW29)/AW45,0),"")</f>
        <v>18</v>
      </c>
      <c r="AX9" s="15">
        <f>=IFERROR(ROUND((AX8/(AX47*AX48))/(1-AX29)/AX45,0),"")</f>
        <v>18</v>
      </c>
      <c r="AY9" s="15">
        <f>=IFERROR(ROUND((AY8/(AY47*AY48))/(1-AY29)/AY45,0),"")</f>
        <v>19</v>
      </c>
      <c r="AZ9" s="15">
        <f>=IFERROR(ROUND((AZ8/(AZ47*AZ48))/(1-AZ29)/AZ45,0),"")</f>
        <v>19</v>
      </c>
      <c r="BA9" s="15">
        <f>=IFERROR(ROUND((BA8/(BA47*BA48))/(1-BA29)/BA45,0),"")</f>
        <v>19</v>
      </c>
      <c r="BB9" s="15">
        <f>=IFERROR(ROUND((BB8/(BB47*BB48))/(1-BB29)/BB45,0),"")</f>
        <v>19</v>
      </c>
      <c r="BC9" s="15">
        <f>=IFERROR(ROUND((BC8/(BC47*BC48))/(1-BC29)/BC45,0),"")</f>
        <v>19</v>
      </c>
      <c r="BD9" s="15">
        <f>=IFERROR(ROUND((BD8/(BD47*BD48))/(1-BD29)/BD45,0),"")</f>
        <v>19</v>
      </c>
      <c r="BE9" s="15">
        <f>=IFERROR(ROUND((BE8/(BE47*BE48))/(1-BE29)/BE45,0),"")</f>
        <v>19</v>
      </c>
      <c r="BF9" s="15">
        <f>=IFERROR(ROUND((BF8/(BF47*BF48))/(1-BF29)/BF45,0),"")</f>
        <v>19</v>
      </c>
      <c r="BG9" s="15">
        <f>=IFERROR(ROUND((BG8/(BG47*BG48))/(1-BG29)/BG45,0),"")</f>
        <v>19</v>
      </c>
      <c r="BH9" s="15">
        <f>=IFERROR(ROUND((BH8/(BH47*BH48))/(1-BH29)/BH45,0),"")</f>
        <v>19</v>
      </c>
      <c r="BI9" s="15">
        <f>=IFERROR(ROUND((BI8/(BI47*BI48))/(1-BI29)/BI45,0),"")</f>
        <v>19</v>
      </c>
      <c r="BJ9" s="15">
        <f>=IFERROR(ROUND((BJ8/(BJ47*BJ48))/(1-BJ29)/BJ45,0),"")</f>
        <v>19</v>
      </c>
      <c r="BK9" s="15">
        <f>=IFERROR(ROUND((BK8/(BK47*BK48))/(1-BK29)/BK45,0),"")</f>
        <v>19</v>
      </c>
      <c r="BL9" s="15">
        <f>=IFERROR(ROUND((BL8/(BL47*BL48))/(1-BL29)/BL45,0),"")</f>
        <v>19</v>
      </c>
      <c r="BM9" s="15">
        <f>=IFERROR(ROUND((BM8/(BM47*BM48))/(1-BM29)/BM45,0),"")</f>
        <v>19</v>
      </c>
      <c r="BN9" s="15">
        <f>=IFERROR(ROUND((BN8/(BN47*BN48))/(1-BN29)/BN45,0),"")</f>
        <v>19</v>
      </c>
      <c r="BO9" s="15">
        <f>=IFERROR(ROUND((BO8/(BO47*BO48))/(1-BO29)/BO45,0),"")</f>
        <v>19</v>
      </c>
      <c r="BP9" s="15">
        <f>=IFERROR(ROUND((BP8/(BP47*BP48))/(1-BP29)/BP45,0),"")</f>
        <v>20</v>
      </c>
      <c r="BQ9" s="15">
        <f>=IFERROR(ROUND((BQ8/(BQ47*BQ48))/(1-BQ29)/BQ45,0),"")</f>
        <v>20</v>
      </c>
      <c r="BR9" s="15">
        <f>=IFERROR(ROUND((BR8/(BR47*BR48))/(1-BR29)/BR45,0),"")</f>
        <v>20</v>
      </c>
      <c r="BS9" s="15">
        <f>=IFERROR(ROUND((BS8/(BS47*BS48))/(1-BS29)/BS45,0),"")</f>
        <v>20</v>
      </c>
      <c r="BT9" s="15">
        <f>=IFERROR(ROUND((BT8/(BT47*BT48))/(1-BT29)/BT45,0),"")</f>
        <v>20</v>
      </c>
      <c r="BU9" s="15">
        <f>=IFERROR(ROUND((BU8/(BU47*BU48))/(1-BU29)/BU45,0),"")</f>
        <v>20</v>
      </c>
      <c r="BV9" s="15">
        <f>=IFERROR(ROUND((BV8/(BV47*BV48))/(1-BV29)/BV45,0),"")</f>
        <v>20</v>
      </c>
      <c r="BW9" s="15">
        <f>=IFERROR(ROUND((BW8/(BW47*BW48))/(1-BW29)/BW45,0),"")</f>
        <v>20</v>
      </c>
      <c r="BX9" s="15">
        <f>=IFERROR(ROUND((BX8/(BX47*BX48))/(1-BX29)/BX45,0),"")</f>
        <v>20</v>
      </c>
      <c r="BY9" s="15">
        <f>=IFERROR(ROUND((BY8/(BY47*BY48))/(1-BY29)/BY45,0),"")</f>
        <v>20</v>
      </c>
      <c r="BZ9" s="15">
        <f>=IFERROR(ROUND((BZ8/(BZ47*BZ48))/(1-BZ29)/BZ45,0),"")</f>
        <v>20</v>
      </c>
      <c r="CA9" s="15">
        <f>=IFERROR(ROUND((CA8/(CA47*CA48))/(1-CA29)/CA45,0),"")</f>
        <v>20</v>
      </c>
      <c r="CB9" s="15">
        <f>=IFERROR(ROUND((CB8/(CB47*CB48))/(1-CB29)/CB45,0),"")</f>
        <v>20</v>
      </c>
      <c r="CC9" s="15">
        <f>=IFERROR(ROUND((CC8/(CC47*CC48))/(1-CC29)/CC45,0),"")</f>
        <v>20</v>
      </c>
      <c r="CD9" s="15">
        <f>=IFERROR(ROUND((CD8/(CD47*CD48))/(1-CD29)/CD45,0),"")</f>
        <v>20</v>
      </c>
      <c r="CE9" s="15">
        <f>=IFERROR(ROUND((CE8/(CE47*CE48))/(1-CE29)/CE45,0),"")</f>
        <v>20</v>
      </c>
      <c r="CF9" s="15">
        <f>=IFERROR(ROUND((CF8/(CF47*CF48))/(1-CF29)/CF45,0),"")</f>
        <v>20</v>
      </c>
      <c r="CG9" s="15">
        <f>=IFERROR(ROUND((CG8/(CG47*CG48))/(1-CG29)/CG45,0),"")</f>
        <v>20</v>
      </c>
      <c r="CH9" s="15">
        <f>=IFERROR(ROUND((CH8/(CH47*CH48))/(1-CH29)/CH45,0),"")</f>
        <v>20</v>
      </c>
      <c r="CI9" s="15">
        <f>=IFERROR(ROUND((CI8/(CI47*CI48))/(1-CI29)/CI45,0),"")</f>
        <v>20</v>
      </c>
      <c r="CJ9" s="15">
        <f>=IFERROR(ROUND((CJ8/(CJ47*CJ48))/(1-CJ29)/CJ45,0),"")</f>
        <v>20</v>
      </c>
      <c r="CK9" s="15">
        <f>=IFERROR(ROUND((CK8/(CK47*CK48))/(1-CK29)/CK45,0),"")</f>
        <v>20</v>
      </c>
      <c r="CL9" s="15">
        <f>=IFERROR(ROUND((CL8/(CL47*CL48))/(1-CL29)/CL45,0),"")</f>
        <v>20</v>
      </c>
      <c r="CM9" s="15">
        <f>=IFERROR(ROUND((CM8/(CM47*CM48))/(1-CM29)/CM45,0),"")</f>
        <v>20</v>
      </c>
      <c r="CN9" s="15">
        <f>=IFERROR(ROUND((CN8/(CN47*CN48))/(1-CN29)/CN45,0),"")</f>
        <v>20</v>
      </c>
      <c r="CO9" s="15">
        <f>=IFERROR(ROUND((CO8/(CO47*CO48))/(1-CO29)/CO45,0),"")</f>
        <v>20</v>
      </c>
      <c r="CP9" s="15">
        <f>=IFERROR(ROUND((CP8/(CP47*CP48))/(1-CP29)/CP45,0),"")</f>
        <v>20</v>
      </c>
      <c r="CQ9" s="15">
        <f>=IFERROR(ROUND((CQ8/(CQ47*CQ48))/(1-CQ29)/CQ45,0),"")</f>
        <v>20</v>
      </c>
      <c r="CR9" s="15">
        <f>=IFERROR(ROUND((CR8/(CR47*CR48))/(1-CR29)/CR45,0),"")</f>
        <v>20</v>
      </c>
      <c r="CS9" s="15">
        <f>=IFERROR(ROUND((CS8/(CS47*CS48))/(1-CS29)/CS45,0),"")</f>
        <v>20</v>
      </c>
      <c r="CT9" s="15">
        <f>=IFERROR(ROUND((CT8/(CT47*CT48))/(1-CT29)/CT45,0),"")</f>
        <v>20</v>
      </c>
      <c r="CU9" s="15">
        <f>=IFERROR(ROUND((CU8/(CU47*CU48))/(1-CU29)/CU45,0),"")</f>
        <v>20</v>
      </c>
      <c r="CV9" s="15">
        <f>=IFERROR(ROUND((CV8/(CV47*CV48))/(1-CV29)/CV45,0),"")</f>
        <v>20</v>
      </c>
      <c r="CW9" s="15">
        <f>=IFERROR(ROUND((CW8/(CW47*CW48))/(1-CW29)/CW45,0),"")</f>
        <v>20</v>
      </c>
      <c r="CX9" s="15">
        <f>=IFERROR(ROUND((CX8/(CX47*CX48))/(1-CX29)/CX45,0),"")</f>
        <v>20</v>
      </c>
      <c r="CY9" s="15">
        <f>=IFERROR(ROUND((CY8/(CY47*CY48))/(1-CY29)/CY45,0),"")</f>
        <v>20</v>
      </c>
      <c r="CZ9" s="15">
        <f>=IFERROR(ROUND((CZ8/(CZ47*CZ48))/(1-CZ29)/CZ45,0),"")</f>
        <v>20</v>
      </c>
      <c r="DA9" s="15">
        <f>=IFERROR(ROUND((DA8/(DA47*DA48))/(1-DA29)/DA45,0),"")</f>
        <v>20</v>
      </c>
      <c r="DB9" s="15">
        <f>=IFERROR(ROUND((DB8/(DB47*DB48))/(1-DB29)/DB45,0),"")</f>
        <v>20</v>
      </c>
    </row>
    <row r="10" ht="15" customHeight="1" spans="1:106" x14ac:dyDescent="0.25">
      <c r="A10" s="16" t="s">
        <v>244</v>
      </c>
      <c r="B10" s="17"/>
      <c r="C10" s="18">
        <f>=IFERROR(C19+C22+C23,0)</f>
        <v>23</v>
      </c>
      <c r="D10" s="18">
        <f>=IFERROR(D19+D22+D23,0)</f>
        <v>23</v>
      </c>
      <c r="E10" s="18">
        <f>=IFERROR(E19+E22+E23,0)</f>
        <v>23</v>
      </c>
      <c r="F10" s="18">
        <f>=IFERROR(F19+F22+F23,0)</f>
        <v>23</v>
      </c>
      <c r="G10" s="18">
        <f>=IFERROR(G19+G22+G23,0)</f>
        <v>23</v>
      </c>
      <c r="H10" s="18">
        <f>=IFERROR(H19+H22+H23,0)</f>
        <v>27</v>
      </c>
      <c r="I10" s="18">
        <f>=IFERROR(I19+I22+I23,0)</f>
        <v>27</v>
      </c>
      <c r="J10" s="18">
        <f>=IFERROR(J19+J22+J23,0)</f>
        <v>27</v>
      </c>
      <c r="K10" s="18">
        <f>=IFERROR(K19+K22+K23,0)</f>
        <v>27</v>
      </c>
      <c r="L10" s="18">
        <f>=IFERROR(L19+L22+L23,0)</f>
        <v>27</v>
      </c>
      <c r="M10" s="18">
        <f>=IFERROR(M19+M22+M23,0)</f>
        <v>26</v>
      </c>
      <c r="N10" s="18">
        <f>=IFERROR(N19+N22+N23,0)</f>
        <v>26</v>
      </c>
      <c r="O10" s="18">
        <f>=IFERROR(O19+O22+O23,0)</f>
        <v>26</v>
      </c>
      <c r="P10" s="18">
        <f>=IFERROR(P19+P22+P23,0)</f>
        <v>26</v>
      </c>
      <c r="Q10" s="18">
        <f>=IFERROR(Q19+Q22+Q23,0)</f>
        <v>21</v>
      </c>
      <c r="R10" s="18">
        <f>=IFERROR(R19+R22+R23,0)</f>
        <v>19</v>
      </c>
      <c r="S10" s="18">
        <f>=IFERROR(S19+S22+S23,0)</f>
        <v>19</v>
      </c>
      <c r="T10" s="18">
        <f>=IFERROR(T19+T22+T23,0)</f>
        <v>19</v>
      </c>
      <c r="U10" s="18">
        <f>=IFERROR(U19+U22+U23,0)</f>
        <v>20</v>
      </c>
      <c r="V10" s="18">
        <f>=IFERROR(V19+V22+V23,0)</f>
        <v>20</v>
      </c>
      <c r="W10" s="18">
        <f>=IFERROR(W19+W22+W23,0)</f>
        <v>20</v>
      </c>
      <c r="X10" s="18">
        <f>=IFERROR(X19+X22+X23,0)</f>
        <v>20</v>
      </c>
      <c r="Y10" s="18">
        <f>=IFERROR(Y19+Y22+Y23,0)</f>
        <v>20</v>
      </c>
      <c r="Z10" s="18">
        <f>=IFERROR(Z19+Z22+Z23,0)</f>
        <v>20</v>
      </c>
      <c r="AA10" s="18">
        <f>=IFERROR(AA19+AA22+AA23,0)</f>
        <v>20</v>
      </c>
      <c r="AB10" s="18">
        <f>=IFERROR(AB19+AB22+AB23,0)</f>
        <v>19</v>
      </c>
      <c r="AC10" s="18">
        <f>=IFERROR(AC19+AC22+AC23,0)</f>
        <v>19</v>
      </c>
      <c r="AD10" s="18">
        <f>=IFERROR(AD19+AD22+AD23,0)</f>
        <v>20</v>
      </c>
      <c r="AE10" s="18">
        <f>=IFERROR(AE19+AE22+AE23,0)</f>
        <v>17</v>
      </c>
      <c r="AF10" s="18">
        <f>=IFERROR(AF19+AF22+AF23,0)</f>
        <v>16</v>
      </c>
      <c r="AG10" s="18">
        <f>=IFERROR(AG19+AG22+AG23,0)</f>
        <v>16</v>
      </c>
      <c r="AH10" s="18">
        <f>=IFERROR(AH19+AH22+AH23,0)</f>
        <v>18</v>
      </c>
      <c r="AI10" s="18">
        <f>=IFERROR(AI19+AI22+AI23,0)</f>
        <v>18</v>
      </c>
      <c r="AJ10" s="18">
        <f>=IFERROR(AJ19+AJ22+AJ23,0)</f>
        <v>18</v>
      </c>
      <c r="AK10" s="18">
        <f>=IFERROR(AK19+AK22+AK23,0)</f>
        <v>17</v>
      </c>
      <c r="AL10" s="18">
        <f>=IFERROR(AL19+AL22+AL23,0)</f>
        <v>18</v>
      </c>
      <c r="AM10" s="18">
        <f>=IFERROR(AM19+AM22+AM23,0)</f>
        <v>18</v>
      </c>
      <c r="AN10" s="18">
        <f>=IFERROR(AN19+AN22+AN23,0)</f>
        <v>18</v>
      </c>
      <c r="AO10" s="18">
        <f>=IFERROR(AO19+AO22+AO23,0)</f>
        <v>18</v>
      </c>
      <c r="AP10" s="18">
        <f>=IFERROR(AP19+AP22+AP23,0)</f>
        <v>18</v>
      </c>
      <c r="AQ10" s="18">
        <f>=IFERROR(AQ19+AQ22+AQ23,0)</f>
        <v>17</v>
      </c>
      <c r="AR10" s="18">
        <f>=IFERROR(AR19+AR22+AR23,0)</f>
        <v>17</v>
      </c>
      <c r="AS10" s="18">
        <f>=IFERROR(AS19+AS22+AS23,0)</f>
        <v>18</v>
      </c>
      <c r="AT10" s="18">
        <f>=IFERROR(AT19+AT22+AT23,0)</f>
        <v>18</v>
      </c>
      <c r="AU10" s="18">
        <f>=IFERROR(AU19+AU22+AU23,0)</f>
        <v>18</v>
      </c>
      <c r="AV10" s="18">
        <f>=IFERROR(AV19+AV22+AV23,0)</f>
        <v>18</v>
      </c>
      <c r="AW10" s="18">
        <f>=IFERROR(AW19+AW22+AW23,0)</f>
        <v>18</v>
      </c>
      <c r="AX10" s="18">
        <f>=IFERROR(AX19+AX22+AX23,0)</f>
        <v>18</v>
      </c>
      <c r="AY10" s="18">
        <f>=IFERROR(AY19+AY22+AY23,0)</f>
        <v>18</v>
      </c>
      <c r="AZ10" s="18">
        <f>=IFERROR(AZ19+AZ22+AZ23,0)</f>
        <v>18</v>
      </c>
      <c r="BA10" s="18">
        <f>=IFERROR(BA19+BA22+BA23,0)</f>
        <v>18</v>
      </c>
      <c r="BB10" s="18">
        <f>=IFERROR(BB19+BB22+BB23,0)</f>
        <v>18</v>
      </c>
      <c r="BC10" s="18">
        <f>=IFERROR(BC19+BC22+BC23,0)</f>
        <v>18</v>
      </c>
      <c r="BD10" s="18">
        <f>=IFERROR(BD19+BD22+BD23,0)</f>
        <v>18</v>
      </c>
      <c r="BE10" s="18">
        <f>=IFERROR(BE19+BE22+BE23,0)</f>
        <v>18</v>
      </c>
      <c r="BF10" s="18">
        <f>=IFERROR(BF19+BF22+BF23,0)</f>
        <v>18</v>
      </c>
      <c r="BG10" s="18">
        <f>=IFERROR(BG19+BG22+BG23,0)</f>
        <v>18</v>
      </c>
      <c r="BH10" s="18">
        <f>=IFERROR(BH19+BH22+BH23,0)</f>
        <v>18</v>
      </c>
      <c r="BI10" s="18">
        <f>=IFERROR(BI19+BI22+BI23,0)</f>
        <v>18</v>
      </c>
      <c r="BJ10" s="18">
        <f>=IFERROR(BJ19+BJ22+BJ23,0)</f>
        <v>18</v>
      </c>
      <c r="BK10" s="18">
        <f>=IFERROR(BK19+BK22+BK23,0)</f>
        <v>18</v>
      </c>
      <c r="BL10" s="18">
        <f>=IFERROR(BL19+BL22+BL23,0)</f>
        <v>18</v>
      </c>
      <c r="BM10" s="18">
        <f>=IFERROR(BM19+BM22+BM23,0)</f>
        <v>18</v>
      </c>
      <c r="BN10" s="18">
        <f>=IFERROR(BN19+BN22+BN23,0)</f>
        <v>18</v>
      </c>
      <c r="BO10" s="18">
        <f>=IFERROR(BO19+BO22+BO23,0)</f>
        <v>17.73</v>
      </c>
      <c r="BP10" s="18">
        <f>=IFERROR(BP19+BP22+BP23,0)</f>
        <v>17.46405</v>
      </c>
      <c r="BQ10" s="18">
        <f>=IFERROR(BQ19+BQ22+BQ23,0)</f>
        <v>17.20208925</v>
      </c>
      <c r="BR10" s="18">
        <f>=IFERROR(BR19+BR22+BR23,0)</f>
        <v>16.94405791125</v>
      </c>
      <c r="BS10" s="18">
        <f>=IFERROR(BS19+BS22+BS23,0)</f>
        <v>16.68989704258125</v>
      </c>
      <c r="BT10" s="18">
        <f>=IFERROR(BT19+BT22+BT23,0)</f>
        <v>16.439548586942532</v>
      </c>
      <c r="BU10" s="18">
        <f>=IFERROR(BU19+BU22+BU23,0)</f>
        <v>16.192955358138395</v>
      </c>
      <c r="BV10" s="18">
        <f>=IFERROR(BV19+BV22+BV23,0)</f>
        <v>15.950061027766319</v>
      </c>
      <c r="BW10" s="18">
        <f>=IFERROR(BW19+BW22+BW23,0)</f>
        <v>15.710810112349822</v>
      </c>
      <c r="BX10" s="18">
        <f>=IFERROR(BX19+BX22+BX23,0)</f>
        <v>15.475147960664575</v>
      </c>
      <c r="BY10" s="18">
        <f>=IFERROR(BY19+BY22+BY23,0)</f>
        <v>15.243020741254606</v>
      </c>
      <c r="BZ10" s="18">
        <f>=IFERROR(BZ19+BZ22+BZ23,0)</f>
        <v>15.014375430135788</v>
      </c>
      <c r="CA10" s="18">
        <f>=IFERROR(CA19+CA22+CA23,0)</f>
        <v>14.78915979868375</v>
      </c>
      <c r="CB10" s="18">
        <f>=IFERROR(CB19+CB22+CB23,0)</f>
        <v>14.567322401703494</v>
      </c>
      <c r="CC10" s="18">
        <f>=IFERROR(CC19+CC22+CC23,0)</f>
        <v>14.348812565677942</v>
      </c>
      <c r="CD10" s="18">
        <f>=IFERROR(CD19+CD22+CD23,0)</f>
        <v>14.133580377192771</v>
      </c>
      <c r="CE10" s="18">
        <f>=IFERROR(CE19+CE22+CE23,0)</f>
        <v>13.92157667153488</v>
      </c>
      <c r="CF10" s="18">
        <f>=IFERROR(CF19+CF22+CF23,0)</f>
        <v>13.712753021461857</v>
      </c>
      <c r="CG10" s="18">
        <f>=IFERROR(CG19+CG22+CG23,0)</f>
        <v>13.507061726139929</v>
      </c>
      <c r="CH10" s="18">
        <f>=IFERROR(CH19+CH22+CH23,0)</f>
        <v>13.30445580024783</v>
      </c>
      <c r="CI10" s="18">
        <f>=IFERROR(CI19+CI22+CI23,0)</f>
        <v>13.104888963244115</v>
      </c>
      <c r="CJ10" s="18">
        <f>=IFERROR(CJ19+CJ22+CJ23,0)</f>
        <v>12.908315628795455</v>
      </c>
      <c r="CK10" s="18">
        <f>=IFERROR(CK19+CK22+CK23,0)</f>
        <v>12.714690894363523</v>
      </c>
      <c r="CL10" s="18">
        <f>=IFERROR(CL19+CL22+CL23,0)</f>
        <v>12.523970530948068</v>
      </c>
      <c r="CM10" s="18">
        <f>=IFERROR(CM19+CM22+CM23,0)</f>
        <v>12.336110972983848</v>
      </c>
      <c r="CN10" s="18">
        <f>=IFERROR(CN19+CN22+CN23,0)</f>
        <v>12.15106930838909</v>
      </c>
      <c r="CO10" s="18">
        <f>=IFERROR(CO19+CO22+CO23,0)</f>
        <v>11.968803268763255</v>
      </c>
      <c r="CP10" s="18">
        <f>=IFERROR(CP19+CP22+CP23,0)</f>
        <v>11.789271219731802</v>
      </c>
      <c r="CQ10" s="18">
        <f>=IFERROR(CQ19+CQ22+CQ23,0)</f>
        <v>11.612432151435824</v>
      </c>
      <c r="CR10" s="18">
        <f>=IFERROR(CR19+CR22+CR23,0)</f>
        <v>11.438245669164287</v>
      </c>
      <c r="CS10" s="18">
        <f>=IFERROR(CS19+CS22+CS23,0)</f>
        <v>11.26667198412682</v>
      </c>
      <c r="CT10" s="18">
        <f>=IFERROR(CT19+CT22+CT23,0)</f>
        <v>11.09767190436492</v>
      </c>
      <c r="CU10" s="18">
        <f>=IFERROR(CU19+CU22+CU23,0)</f>
        <v>10.931206825799448</v>
      </c>
      <c r="CV10" s="18">
        <f>=IFERROR(CV19+CV22+CV23,0)</f>
        <v>10.767238723412458</v>
      </c>
      <c r="CW10" s="18">
        <f>=IFERROR(CW19+CW22+CW23,0)</f>
        <v>10.60573014256127</v>
      </c>
      <c r="CX10" s="18">
        <f>=IFERROR(CX19+CX22+CX23,0)</f>
        <v>10.446644190422852</v>
      </c>
      <c r="CY10" s="18">
        <f>=IFERROR(CY19+CY22+CY23,0)</f>
        <v>10.28994452756651</v>
      </c>
      <c r="CZ10" s="18">
        <f>=IFERROR(CZ19+CZ22+CZ23,0)</f>
        <v>10.135595359653015</v>
      </c>
      <c r="DA10" s="18">
        <f>=IFERROR(DA19+DA22+DA23,0)</f>
        <v>9.98356142925822</v>
      </c>
      <c r="DB10" s="18">
        <f>=IFERROR(DB19+DB22+DB23,0)</f>
        <v>9.833808007819346</v>
      </c>
    </row>
    <row r="11" ht="15" customHeight="1" spans="1:106" x14ac:dyDescent="0.25">
      <c r="A11" s="16" t="s">
        <v>245</v>
      </c>
      <c r="B11" s="17"/>
      <c r="C11" s="18">
        <f>=C10*(C47*C48*(1-C29)*(1-C46))</f>
        <v>772.8</v>
      </c>
      <c r="D11" s="18">
        <f>=D10*(D47*D48*(1-D29)*(1-D46))</f>
        <v>772.8</v>
      </c>
      <c r="E11" s="18">
        <f>=E10*(E47*E48*(1-E29)*(1-E46))</f>
        <v>772.8</v>
      </c>
      <c r="F11" s="18">
        <f>=F10*(F47*F48*(1-F29)*(1-F46))</f>
        <v>772.8</v>
      </c>
      <c r="G11" s="18">
        <f>=G10*(G47*G48*(1-G29)*(1-G46))</f>
        <v>772.8</v>
      </c>
      <c r="H11" s="18">
        <f>=H10*(H47*H48*(1-H29)*(1-H46))</f>
        <v>907.2</v>
      </c>
      <c r="I11" s="18">
        <f>=I10*(I47*I48*(1-I29)*(1-I46))</f>
        <v>907.2</v>
      </c>
      <c r="J11" s="18">
        <f>=J10*(J47*J48*(1-J29)*(1-J46))</f>
        <v>907.2</v>
      </c>
      <c r="K11" s="18">
        <f>=K10*(K47*K48*(1-K29)*(1-K46))</f>
        <v>907.2</v>
      </c>
      <c r="L11" s="18">
        <f>=L10*(L47*L48*(1-L29)*(1-L46))</f>
        <v>907.2</v>
      </c>
      <c r="M11" s="18">
        <f>=M10*(M47*M48*(1-M29)*(1-M46))</f>
        <v>873.6</v>
      </c>
      <c r="N11" s="18">
        <f>=N10*(N47*N48*(1-N29)*(1-N46))</f>
        <v>873.6</v>
      </c>
      <c r="O11" s="18">
        <f>=O10*(O47*O48*(1-O29)*(1-O46))</f>
        <v>873.6</v>
      </c>
      <c r="P11" s="18">
        <f>=P10*(P47*P48*(1-P29)*(1-P46))</f>
        <v>873.6</v>
      </c>
      <c r="Q11" s="18">
        <f>=Q10*(Q47*Q48*(1-Q29)*(1-Q46))</f>
        <v>705.6</v>
      </c>
      <c r="R11" s="18">
        <f>=R10*(R47*R48*(1-R29)*(1-R46))</f>
        <v>638.4</v>
      </c>
      <c r="S11" s="18">
        <f>=S10*(S47*S48*(1-S29)*(1-S46))</f>
        <v>638.4</v>
      </c>
      <c r="T11" s="18">
        <f>=T10*(T47*T48*(1-T29)*(1-T46))</f>
        <v>638.4</v>
      </c>
      <c r="U11" s="18">
        <f>=U10*(U47*U48*(1-U29)*(1-U46))</f>
        <v>672</v>
      </c>
      <c r="V11" s="18">
        <f>=V10*(V47*V48*(1-V29)*(1-V46))</f>
        <v>672</v>
      </c>
      <c r="W11" s="18">
        <f>=W10*(W47*W48*(1-W29)*(1-W46))</f>
        <v>672</v>
      </c>
      <c r="X11" s="18">
        <f>=X10*(X47*X48*(1-X29)*(1-X46))</f>
        <v>672</v>
      </c>
      <c r="Y11" s="18">
        <f>=Y10*(Y47*Y48*(1-Y29)*(1-Y46))</f>
        <v>672</v>
      </c>
      <c r="Z11" s="18">
        <f>=Z10*(Z47*Z48*(1-Z29)*(1-Z46))</f>
        <v>672</v>
      </c>
      <c r="AA11" s="18">
        <f>=AA10*(AA47*AA48*(1-AA29)*(1-AA46))</f>
        <v>672</v>
      </c>
      <c r="AB11" s="18">
        <f>=AB10*(AB47*AB48*(1-AB29)*(1-AB46))</f>
        <v>638.4</v>
      </c>
      <c r="AC11" s="18">
        <f>=AC10*(AC47*AC48*(1-AC29)*(1-AC46))</f>
        <v>638.4</v>
      </c>
      <c r="AD11" s="18">
        <f>=AD10*(AD47*AD48*(1-AD29)*(1-AD46))</f>
        <v>672</v>
      </c>
      <c r="AE11" s="18">
        <f>=AE10*(AE47*AE48*(1-AE29)*(1-AE46))</f>
        <v>571.2</v>
      </c>
      <c r="AF11" s="18">
        <f>=AF10*(AF47*AF48*(1-AF29)*(1-AF46))</f>
        <v>537.6</v>
      </c>
      <c r="AG11" s="18">
        <f>=AG10*(AG47*AG48*(1-AG29)*(1-AG46))</f>
        <v>537.6</v>
      </c>
      <c r="AH11" s="18">
        <f>=AH10*(AH47*AH48*(1-AH29)*(1-AH46))</f>
        <v>604.8</v>
      </c>
      <c r="AI11" s="18">
        <f>=AI10*(AI47*AI48*(1-AI29)*(1-AI46))</f>
        <v>604.8</v>
      </c>
      <c r="AJ11" s="18">
        <f>=AJ10*(AJ47*AJ48*(1-AJ29)*(1-AJ46))</f>
        <v>604.8</v>
      </c>
      <c r="AK11" s="18">
        <f>=AK10*(AK47*AK48*(1-AK29)*(1-AK46))</f>
        <v>571.2</v>
      </c>
      <c r="AL11" s="18">
        <f>=AL10*(AL47*AL48*(1-AL29)*(1-AL46))</f>
        <v>604.8</v>
      </c>
      <c r="AM11" s="18">
        <f>=AM10*(AM47*AM48*(1-AM29)*(1-AM46))</f>
        <v>604.8</v>
      </c>
      <c r="AN11" s="18">
        <f>=AN10*(AN47*AN48*(1-AN29)*(1-AN46))</f>
        <v>604.8</v>
      </c>
      <c r="AO11" s="18">
        <f>=AO10*(AO47*AO48*(1-AO29)*(1-AO46))</f>
        <v>604.8</v>
      </c>
      <c r="AP11" s="18">
        <f>=AP10*(AP47*AP48*(1-AP29)*(1-AP46))</f>
        <v>604.8</v>
      </c>
      <c r="AQ11" s="18">
        <f>=AQ10*(AQ47*AQ48*(1-AQ29)*(1-AQ46))</f>
        <v>571.2</v>
      </c>
      <c r="AR11" s="18">
        <f>=AR10*(AR47*AR48*(1-AR29)*(1-AR46))</f>
        <v>571.2</v>
      </c>
      <c r="AS11" s="18">
        <f>=AS10*(AS47*AS48*(1-AS29)*(1-AS46))</f>
        <v>604.8</v>
      </c>
      <c r="AT11" s="18">
        <f>=AT10*(AT47*AT48*(1-AT29)*(1-AT46))</f>
        <v>604.8</v>
      </c>
      <c r="AU11" s="18">
        <f>=AU10*(AU47*AU48*(1-AU29)*(1-AU46))</f>
        <v>604.8</v>
      </c>
      <c r="AV11" s="18">
        <f>=AV10*(AV47*AV48*(1-AV29)*(1-AV46))</f>
        <v>604.8</v>
      </c>
      <c r="AW11" s="18">
        <f>=AW10*(AW47*AW48*(1-AW29)*(1-AW46))</f>
        <v>604.8</v>
      </c>
      <c r="AX11" s="18">
        <f>=AX10*(AX47*AX48*(1-AX29)*(1-AX46))</f>
        <v>604.8</v>
      </c>
      <c r="AY11" s="18">
        <f>=AY10*(AY47*AY48*(1-AY29)*(1-AY46))</f>
        <v>604.8</v>
      </c>
      <c r="AZ11" s="18">
        <f>=AZ10*(AZ47*AZ48*(1-AZ29)*(1-AZ46))</f>
        <v>604.8</v>
      </c>
      <c r="BA11" s="18">
        <f>=BA10*(BA47*BA48*(1-BA29)*(1-BA46))</f>
        <v>604.8</v>
      </c>
      <c r="BB11" s="18">
        <f>=BB10*(BB47*BB48*(1-BB29)*(1-BB46))</f>
        <v>604.8</v>
      </c>
      <c r="BC11" s="18">
        <f>=BC10*(BC47*BC48*(1-BC29)*(1-BC46))</f>
        <v>619.2</v>
      </c>
      <c r="BD11" s="18">
        <f>=BD10*(BD47*BD48*(1-BD29)*(1-BD46))</f>
        <v>619.2</v>
      </c>
      <c r="BE11" s="18">
        <f>=BE10*(BE47*BE48*(1-BE29)*(1-BE46))</f>
        <v>619.2</v>
      </c>
      <c r="BF11" s="18">
        <f>=BF10*(BF47*BF48*(1-BF29)*(1-BF46))</f>
        <v>619.2</v>
      </c>
      <c r="BG11" s="18">
        <f>=BG10*(BG47*BG48*(1-BG29)*(1-BG46))</f>
        <v>619.2</v>
      </c>
      <c r="BH11" s="18">
        <f>=BH10*(BH47*BH48*(1-BH29)*(1-BH46))</f>
        <v>619.2</v>
      </c>
      <c r="BI11" s="18">
        <f>=BI10*(BI47*BI48*(1-BI29)*(1-BI46))</f>
        <v>619.2</v>
      </c>
      <c r="BJ11" s="18">
        <f>=BJ10*(BJ47*BJ48*(1-BJ29)*(1-BJ46))</f>
        <v>619.2</v>
      </c>
      <c r="BK11" s="18">
        <f>=BK10*(BK47*BK48*(1-BK29)*(1-BK46))</f>
        <v>619.2</v>
      </c>
      <c r="BL11" s="18">
        <f>=BL10*(BL47*BL48*(1-BL29)*(1-BL46))</f>
        <v>619.2</v>
      </c>
      <c r="BM11" s="18">
        <f>=BM10*(BM47*BM48*(1-BM29)*(1-BM46))</f>
        <v>619.2</v>
      </c>
      <c r="BN11" s="18">
        <f>=BN10*(BN47*BN48*(1-BN29)*(1-BN46))</f>
        <v>619.2</v>
      </c>
      <c r="BO11" s="18">
        <f>=BO10*(BO47*BO48*(1-BO29)*(1-BO46))</f>
        <v>609.912</v>
      </c>
      <c r="BP11" s="18">
        <f>=BP10*(BP47*BP48*(1-BP29)*(1-BP46))</f>
        <v>600.76332</v>
      </c>
      <c r="BQ11" s="18">
        <f>=BQ10*(BQ47*BQ48*(1-BQ29)*(1-BQ46))</f>
        <v>591.7518702</v>
      </c>
      <c r="BR11" s="18">
        <f>=BR10*(BR47*BR48*(1-BR29)*(1-BR46))</f>
        <v>582.875592147</v>
      </c>
      <c r="BS11" s="18">
        <f>=BS10*(BS47*BS48*(1-BS29)*(1-BS46))</f>
        <v>574.132458264795</v>
      </c>
      <c r="BT11" s="18">
        <f>=BT10*(BT47*BT48*(1-BT29)*(1-BT46))</f>
        <v>565.5204713908231</v>
      </c>
      <c r="BU11" s="18">
        <f>=BU10*(BU47*BU48*(1-BU29)*(1-BU46))</f>
        <v>557.0376643199608</v>
      </c>
      <c r="BV11" s="18">
        <f>=BV10*(BV47*BV48*(1-BV29)*(1-BV46))</f>
        <v>548.6820993551613</v>
      </c>
      <c r="BW11" s="18">
        <f>=BW10*(BW47*BW48*(1-BW29)*(1-BW46))</f>
        <v>540.4518678648338</v>
      </c>
      <c r="BX11" s="18">
        <f>=BX10*(BX47*BX48*(1-BX29)*(1-BX46))</f>
        <v>532.3450898468614</v>
      </c>
      <c r="BY11" s="18">
        <f>=BY10*(BY47*BY48*(1-BY29)*(1-BY46))</f>
        <v>524.3599134991584</v>
      </c>
      <c r="BZ11" s="18">
        <f>=BZ10*(BZ47*BZ48*(1-BZ29)*(1-BZ46))</f>
        <v>516.4945147966711</v>
      </c>
      <c r="CA11" s="18">
        <f>=CA10*(CA47*CA48*(1-CA29)*(1-CA46))</f>
        <v>508.747097074721</v>
      </c>
      <c r="CB11" s="18">
        <f>=CB10*(CB47*CB48*(1-CB29)*(1-CB46))</f>
        <v>501.1158906186002</v>
      </c>
      <c r="CC11" s="18">
        <f>=CC10*(CC47*CC48*(1-CC29)*(1-CC46))</f>
        <v>493.59915225932116</v>
      </c>
      <c r="CD11" s="18">
        <f>=CD10*(CD47*CD48*(1-CD29)*(1-CD46))</f>
        <v>486.1951649754314</v>
      </c>
      <c r="CE11" s="18">
        <f>=CE10*(CE47*CE48*(1-CE29)*(1-CE46))</f>
        <v>478.90223750079986</v>
      </c>
      <c r="CF11" s="18">
        <f>=CF10*(CF47*CF48*(1-CF29)*(1-CF46))</f>
        <v>471.7187039382879</v>
      </c>
      <c r="CG11" s="18">
        <f>=CG10*(CG47*CG48*(1-CG29)*(1-CG46))</f>
        <v>464.64292337921347</v>
      </c>
      <c r="CH11" s="18">
        <f>=CH10*(CH47*CH48*(1-CH29)*(1-CH46))</f>
        <v>457.6732795285254</v>
      </c>
      <c r="CI11" s="18">
        <f>=CI10*(CI47*CI48*(1-CI29)*(1-CI46))</f>
        <v>450.8081803355975</v>
      </c>
      <c r="CJ11" s="18">
        <f>=CJ10*(CJ47*CJ48*(1-CJ29)*(1-CJ46))</f>
        <v>444.04605763056355</v>
      </c>
      <c r="CK11" s="18">
        <f>=CK10*(CK47*CK48*(1-CK29)*(1-CK46))</f>
        <v>437.38536676610516</v>
      </c>
      <c r="CL11" s="18">
        <f>=CL10*(CL47*CL48*(1-CL29)*(1-CL46))</f>
        <v>430.8245862646135</v>
      </c>
      <c r="CM11" s="18">
        <f>=CM10*(CM47*CM48*(1-CM29)*(1-CM46))</f>
        <v>424.3622174706444</v>
      </c>
      <c r="CN11" s="18">
        <f>=CN10*(CN47*CN48*(1-CN29)*(1-CN46))</f>
        <v>417.9967842085847</v>
      </c>
      <c r="CO11" s="18">
        <f>=CO10*(CO47*CO48*(1-CO29)*(1-CO46))</f>
        <v>411.72683244545584</v>
      </c>
      <c r="CP11" s="18">
        <f>=CP10*(CP47*CP48*(1-CP29)*(1-CP46))</f>
        <v>405.55092995877396</v>
      </c>
      <c r="CQ11" s="18">
        <f>=CQ10*(CQ47*CQ48*(1-CQ29)*(1-CQ46))</f>
        <v>399.46766600939236</v>
      </c>
      <c r="CR11" s="18">
        <f>=CR10*(CR47*CR48*(1-CR29)*(1-CR46))</f>
        <v>393.4756510192515</v>
      </c>
      <c r="CS11" s="18">
        <f>=CS10*(CS47*CS48*(1-CS29)*(1-CS46))</f>
        <v>387.5735162539626</v>
      </c>
      <c r="CT11" s="18">
        <f>=CT10*(CT47*CT48*(1-CT29)*(1-CT46))</f>
        <v>381.75991351015324</v>
      </c>
      <c r="CU11" s="18">
        <f>=CU10*(CU47*CU48*(1-CU29)*(1-CU46))</f>
        <v>376.03351480750104</v>
      </c>
      <c r="CV11" s="18">
        <f>=CV10*(CV47*CV48*(1-CV29)*(1-CV46))</f>
        <v>370.39301208538853</v>
      </c>
      <c r="CW11" s="18">
        <f>=CW10*(CW47*CW48*(1-CW29)*(1-CW46))</f>
        <v>364.8371169041077</v>
      </c>
      <c r="CX11" s="18">
        <f>=CX10*(CX47*CX48*(1-CX29)*(1-CX46))</f>
        <v>359.36456015054614</v>
      </c>
      <c r="CY11" s="18">
        <f>=CY10*(CY47*CY48*(1-CY29)*(1-CY46))</f>
        <v>353.974091748288</v>
      </c>
      <c r="CZ11" s="18">
        <f>=CZ10*(CZ47*CZ48*(1-CZ29)*(1-CZ46))</f>
        <v>348.66448037206374</v>
      </c>
      <c r="DA11" s="18">
        <f>=DA10*(DA47*DA48*(1-DA29)*(1-DA46))</f>
        <v>343.43451316648276</v>
      </c>
      <c r="DB11" s="18">
        <f>=DB10*(DB47*DB48*(1-DB29)*(1-DB46))</f>
        <v>338.2829954689854</v>
      </c>
    </row>
    <row r="12" spans="1:106" x14ac:dyDescent="0.25">
      <c r="A12" s="16" t="s">
        <v>246</v>
      </c>
      <c r="C12" s="19">
        <f>=IFERROR(C10-C7,0)</f>
        <v>0</v>
      </c>
      <c r="D12" s="19">
        <f>=IFERROR(D10-D7,0)</f>
        <v>0</v>
      </c>
      <c r="E12" s="19">
        <f>=IFERROR(E10-E7,0)</f>
        <v>0</v>
      </c>
      <c r="F12" s="19">
        <f>=IFERROR(F10-F7,0)</f>
        <v>0</v>
      </c>
      <c r="G12" s="19">
        <f>=IFERROR(G10-G7,0)</f>
        <v>0</v>
      </c>
      <c r="H12" s="19">
        <f>=IFERROR(H10-H7,0)</f>
        <v>4</v>
      </c>
      <c r="I12" s="19">
        <f>=IFERROR(I10-I7,0)</f>
        <v>4</v>
      </c>
      <c r="J12" s="19">
        <f>=IFERROR(J10-J7,0)</f>
        <v>4</v>
      </c>
      <c r="K12" s="19">
        <f>=IFERROR(K10-K7,0)</f>
        <v>4</v>
      </c>
      <c r="L12" s="19">
        <f>=IFERROR(L10-L7,0)</f>
        <v>5</v>
      </c>
      <c r="M12" s="19">
        <f>=IFERROR(M10-M7,0)</f>
        <v>4</v>
      </c>
      <c r="N12" s="19">
        <f>=IFERROR(N10-N7,0)</f>
        <v>4</v>
      </c>
      <c r="O12" s="19">
        <f>=IFERROR(O10-O7,0)</f>
        <v>4</v>
      </c>
      <c r="P12" s="19">
        <f>=IFERROR(P10-P7,0)</f>
        <v>8</v>
      </c>
      <c r="Q12" s="19">
        <f>=IFERROR(Q10-Q7,0)</f>
        <v>3</v>
      </c>
      <c r="R12" s="19">
        <f>=IFERROR(R10-R7,0)</f>
        <v>1</v>
      </c>
      <c r="S12" s="19">
        <f>=IFERROR(S10-S7,0)</f>
        <v>1</v>
      </c>
      <c r="T12" s="19">
        <f>=IFERROR(T10-T7,0)</f>
        <v>1</v>
      </c>
      <c r="U12" s="19">
        <f>=IFERROR(U10-U7,0)</f>
        <v>2</v>
      </c>
      <c r="V12" s="19">
        <f>=IFERROR(V10-V7,0)</f>
        <v>2</v>
      </c>
      <c r="W12" s="19">
        <f>=IFERROR(W10-W7,0)</f>
        <v>2</v>
      </c>
      <c r="X12" s="19">
        <f>=IFERROR(X10-X7,0)</f>
        <v>2</v>
      </c>
      <c r="Y12" s="19">
        <f>=IFERROR(Y10-Y7,0)</f>
        <v>2</v>
      </c>
      <c r="Z12" s="19">
        <f>=IFERROR(Z10-Z7,0)</f>
        <v>2</v>
      </c>
      <c r="AA12" s="19">
        <f>=IFERROR(AA10-AA7,0)</f>
        <v>2</v>
      </c>
      <c r="AB12" s="19">
        <f>=IFERROR(AB10-AB7,0)</f>
        <v>1</v>
      </c>
      <c r="AC12" s="19">
        <f>=IFERROR(AC10-AC7,0)</f>
        <v>1</v>
      </c>
      <c r="AD12" s="19">
        <f>=IFERROR(AD10-AD7,0)</f>
        <v>2</v>
      </c>
      <c r="AE12" s="19">
        <f>=IFERROR(AE10-AE7,0)</f>
        <v>-1</v>
      </c>
      <c r="AF12" s="19">
        <f>=IFERROR(AF10-AF7,0)</f>
        <v>-2</v>
      </c>
      <c r="AG12" s="19">
        <f>=IFERROR(AG10-AG7,0)</f>
        <v>-2</v>
      </c>
      <c r="AH12" s="19">
        <f>=IFERROR(AH10-AH7,0)</f>
        <v>0</v>
      </c>
      <c r="AI12" s="19">
        <f>=IFERROR(AI10-AI7,0)</f>
        <v>0</v>
      </c>
      <c r="AJ12" s="19">
        <f>=IFERROR(AJ10-AJ7,0)</f>
        <v>0</v>
      </c>
      <c r="AK12" s="19">
        <f>=IFERROR(AK10-AK7,0)</f>
        <v>-1</v>
      </c>
      <c r="AL12" s="19">
        <f>=IFERROR(AL10-AL7,0)</f>
        <v>0</v>
      </c>
      <c r="AM12" s="19">
        <f>=IFERROR(AM10-AM7,0)</f>
        <v>0</v>
      </c>
      <c r="AN12" s="19">
        <f>=IFERROR(AN10-AN7,0)</f>
        <v>0</v>
      </c>
      <c r="AO12" s="19">
        <f>=IFERROR(AO10-AO7,0)</f>
        <v>0</v>
      </c>
      <c r="AP12" s="19">
        <f>=IFERROR(AP10-AP7,0)</f>
        <v>0</v>
      </c>
      <c r="AQ12" s="19">
        <f>=IFERROR(AQ10-AQ7,0)</f>
        <v>-1</v>
      </c>
      <c r="AR12" s="19">
        <f>=IFERROR(AR10-AR7,0)</f>
        <v>-1</v>
      </c>
      <c r="AS12" s="19">
        <f>=IFERROR(AS10-AS7,0)</f>
        <v>0</v>
      </c>
      <c r="AT12" s="19">
        <f>=IFERROR(AT10-AT7,0)</f>
        <v>0</v>
      </c>
      <c r="AU12" s="19">
        <f>=IFERROR(AU10-AU7,0)</f>
        <v>0</v>
      </c>
      <c r="AV12" s="19">
        <f>=IFERROR(AV10-AV7,0)</f>
        <v>0</v>
      </c>
      <c r="AW12" s="19">
        <f>=IFERROR(AW10-AW7,0)</f>
        <v>0</v>
      </c>
      <c r="AX12" s="19">
        <f>=IFERROR(AX10-AX7,0)</f>
        <v>0</v>
      </c>
      <c r="AY12" s="19">
        <f>=IFERROR(AY10-AY7,0)</f>
        <v>0</v>
      </c>
      <c r="AZ12" s="19">
        <f>=IFERROR(AZ10-AZ7,0)</f>
        <v>0</v>
      </c>
      <c r="BA12" s="19">
        <f>=IFERROR(BA10-BA7,0)</f>
        <v>0</v>
      </c>
      <c r="BB12" s="19">
        <f>=IFERROR(BB10-BB7,0)</f>
        <v>0</v>
      </c>
      <c r="BC12" s="19">
        <f>=IFERROR(BC10-BC7,0)</f>
        <v>0</v>
      </c>
      <c r="BD12" s="19">
        <f>=IFERROR(BD10-BD7,0)</f>
        <v>0</v>
      </c>
      <c r="BE12" s="19">
        <f>=IFERROR(BE10-BE7,0)</f>
        <v>0</v>
      </c>
      <c r="BF12" s="19">
        <f>=IFERROR(BF10-BF7,0)</f>
        <v>0</v>
      </c>
      <c r="BG12" s="19">
        <f>=IFERROR(BG10-BG7,0)</f>
        <v>0</v>
      </c>
      <c r="BH12" s="19">
        <f>=IFERROR(BH10-BH7,0)</f>
        <v>0</v>
      </c>
      <c r="BI12" s="19">
        <f>=IFERROR(BI10-BI7,0)</f>
        <v>0</v>
      </c>
      <c r="BJ12" s="19">
        <f>=IFERROR(BJ10-BJ7,0)</f>
        <v>0</v>
      </c>
      <c r="BK12" s="19">
        <f>=IFERROR(BK10-BK7,0)</f>
        <v>0</v>
      </c>
      <c r="BL12" s="19">
        <f>=IFERROR(BL10-BL7,0)</f>
        <v>0</v>
      </c>
      <c r="BM12" s="19">
        <f>=IFERROR(BM10-BM7,0)</f>
        <v>0</v>
      </c>
      <c r="BN12" s="19">
        <f>=IFERROR(BN10-BN7,0)</f>
        <v>0</v>
      </c>
      <c r="BO12" s="19">
        <f>=IFERROR(BO10-BO7,0)</f>
        <v>-0.27</v>
      </c>
      <c r="BP12" s="19">
        <f>=IFERROR(BP10-BP7,0)</f>
        <v>-2.53595</v>
      </c>
      <c r="BQ12" s="19">
        <f>=IFERROR(BQ10-BQ7,0)</f>
        <v>-2.79791075</v>
      </c>
      <c r="BR12" s="19">
        <f>=IFERROR(BR10-BR7,0)</f>
        <v>-3.05594208875</v>
      </c>
      <c r="BS12" s="19">
        <f>=IFERROR(BS10-BS7,0)</f>
        <v>-3.31010295741875</v>
      </c>
      <c r="BT12" s="19">
        <f>=IFERROR(BT10-BT7,0)</f>
        <v>-3.560451413057468</v>
      </c>
      <c r="BU12" s="19">
        <f>=IFERROR(BU10-BU7,0)</f>
        <v>-3.807044641861606</v>
      </c>
      <c r="BV12" s="19">
        <f>=IFERROR(BV10-BV7,0)</f>
        <v>-4.049938972233682</v>
      </c>
      <c r="BW12" s="19">
        <f>=IFERROR(BW10-BW7,0)</f>
        <v>-4.289189887650178</v>
      </c>
      <c r="BX12" s="19">
        <f>=IFERROR(BX10-BX7,0)</f>
        <v>-4.524852039335424</v>
      </c>
      <c r="BY12" s="19">
        <f>=IFERROR(BY10-BY7,0)</f>
        <v>-4.756979258745394</v>
      </c>
      <c r="BZ12" s="19">
        <f>=IFERROR(BZ10-BZ7,0)</f>
        <v>-4.985624569864212</v>
      </c>
      <c r="CA12" s="19">
        <f>=IFERROR(CA10-CA7,0)</f>
        <v>-5.21084020131625</v>
      </c>
      <c r="CB12" s="19">
        <f>=IFERROR(CB10-CB7,0)</f>
        <v>-5.432677598296506</v>
      </c>
      <c r="CC12" s="19">
        <f>=IFERROR(CC10-CC7,0)</f>
        <v>-5.651187434322058</v>
      </c>
      <c r="CD12" s="19">
        <f>=IFERROR(CD10-CD7,0)</f>
        <v>-5.866419622807228</v>
      </c>
      <c r="CE12" s="19">
        <f>=IFERROR(CE10-CE7,0)</f>
        <v>-6.07842332846512</v>
      </c>
      <c r="CF12" s="19">
        <f>=IFERROR(CF10-CF7,0)</f>
        <v>-6.287246978538142</v>
      </c>
      <c r="CG12" s="19">
        <f>=IFERROR(CG10-CG7,0)</f>
        <v>-6.492938273860072</v>
      </c>
      <c r="CH12" s="19">
        <f>=IFERROR(CH10-CH7,0)</f>
        <v>-6.69554419975217</v>
      </c>
      <c r="CI12" s="19">
        <f>=IFERROR(CI10-CI7,0)</f>
        <v>-6.895111036755886</v>
      </c>
      <c r="CJ12" s="19">
        <f>=IFERROR(CJ10-CJ7,0)</f>
        <v>-7.091684371204546</v>
      </c>
      <c r="CK12" s="19">
        <f>=IFERROR(CK10-CK7,0)</f>
        <v>-7.285309105636478</v>
      </c>
      <c r="CL12" s="19">
        <f>=IFERROR(CL10-CL7,0)</f>
        <v>-7.476029469051932</v>
      </c>
      <c r="CM12" s="19">
        <f>=IFERROR(CM10-CM7,0)</f>
        <v>-7.663889027016152</v>
      </c>
      <c r="CN12" s="19">
        <f>=IFERROR(CN10-CN7,0)</f>
        <v>-7.84893069161091</v>
      </c>
      <c r="CO12" s="19">
        <f>=IFERROR(CO10-CO7,0)</f>
        <v>-8.031196731236745</v>
      </c>
      <c r="CP12" s="19">
        <f>=IFERROR(CP10-CP7,0)</f>
        <v>-8.210728780268198</v>
      </c>
      <c r="CQ12" s="19">
        <f>=IFERROR(CQ10-CQ7,0)</f>
        <v>-8.387567848564176</v>
      </c>
      <c r="CR12" s="19">
        <f>=IFERROR(CR10-CR7,0)</f>
        <v>-8.561754330835713</v>
      </c>
      <c r="CS12" s="19">
        <f>=IFERROR(CS10-CS7,0)</f>
        <v>-8.73332801587318</v>
      </c>
      <c r="CT12" s="19">
        <f>=IFERROR(CT10-CT7,0)</f>
        <v>-8.90232809563508</v>
      </c>
      <c r="CU12" s="19">
        <f>=IFERROR(CU10-CU7,0)</f>
        <v>-9.068793174200552</v>
      </c>
      <c r="CV12" s="19">
        <f>=IFERROR(CV10-CV7,0)</f>
        <v>-9.232761276587542</v>
      </c>
      <c r="CW12" s="19">
        <f>=IFERROR(CW10-CW7,0)</f>
        <v>-9.39426985743873</v>
      </c>
      <c r="CX12" s="19">
        <f>=IFERROR(CX10-CX7,0)</f>
        <v>-9.553355809577148</v>
      </c>
      <c r="CY12" s="19">
        <f>=IFERROR(CY10-CY7,0)</f>
        <v>-9.71005547243349</v>
      </c>
      <c r="CZ12" s="19">
        <f>=IFERROR(CZ10-CZ7,0)</f>
        <v>-9.864404640346985</v>
      </c>
      <c r="DA12" s="19">
        <f>=IFERROR(DA10-DA7,0)</f>
        <v>-10.01643857074178</v>
      </c>
      <c r="DB12" s="19">
        <f>=IFERROR(DB10-DB7,0)</f>
        <v>-10.166191992180654</v>
      </c>
    </row>
    <row r="13" ht="15" customHeight="1" spans="1:106" x14ac:dyDescent="0.25">
      <c r="A13" s="20" t="s">
        <v>247</v>
      </c>
      <c r="B13" s="17"/>
      <c r="C13" s="21">
        <f>=IFERROR(C10-C9,0)</f>
        <v>0</v>
      </c>
      <c r="D13" s="21">
        <f>=IFERROR(D10-D9,0)</f>
        <v>0</v>
      </c>
      <c r="E13" s="21">
        <f>=IFERROR(E10-E9,0)</f>
        <v>0</v>
      </c>
      <c r="F13" s="21">
        <f>=IFERROR(F10-F9,0)</f>
        <v>0</v>
      </c>
      <c r="G13" s="21">
        <f>=IFERROR(G10-G9,0)</f>
        <v>0</v>
      </c>
      <c r="H13" s="21">
        <f>=IFERROR(H10-H9,0)</f>
        <v>3</v>
      </c>
      <c r="I13" s="21">
        <f>=IFERROR(I10-I9,0)</f>
        <v>3</v>
      </c>
      <c r="J13" s="21">
        <f>=IFERROR(J10-J9,0)</f>
        <v>3</v>
      </c>
      <c r="K13" s="21">
        <f>=IFERROR(K10-K9,0)</f>
        <v>3</v>
      </c>
      <c r="L13" s="21">
        <f>=IFERROR(L10-L9,0)</f>
        <v>4</v>
      </c>
      <c r="M13" s="21">
        <f>=IFERROR(M10-M9,0)</f>
        <v>3</v>
      </c>
      <c r="N13" s="21">
        <f>=IFERROR(N10-N9,0)</f>
        <v>3</v>
      </c>
      <c r="O13" s="21">
        <f>=IFERROR(O10-O9,0)</f>
        <v>3</v>
      </c>
      <c r="P13" s="21">
        <f>=IFERROR(P10-P9,0)</f>
        <v>8</v>
      </c>
      <c r="Q13" s="21">
        <f>=IFERROR(Q10-Q9,0)</f>
        <v>3</v>
      </c>
      <c r="R13" s="21">
        <f>=IFERROR(R10-R9,0)</f>
        <v>1</v>
      </c>
      <c r="S13" s="21">
        <f>=IFERROR(S10-S9,0)</f>
        <v>0</v>
      </c>
      <c r="T13" s="21">
        <f>=IFERROR(T10-T9,0)</f>
        <v>1</v>
      </c>
      <c r="U13" s="21">
        <f>=IFERROR(U10-U9,0)</f>
        <v>2</v>
      </c>
      <c r="V13" s="21">
        <f>=IFERROR(V10-V9,0)</f>
        <v>2</v>
      </c>
      <c r="W13" s="21">
        <f>=IFERROR(W10-W9,0)</f>
        <v>2</v>
      </c>
      <c r="X13" s="21">
        <f>=IFERROR(X10-X9,0)</f>
        <v>2</v>
      </c>
      <c r="Y13" s="21">
        <f>=IFERROR(Y10-Y9,0)</f>
        <v>1</v>
      </c>
      <c r="Z13" s="21">
        <f>=IFERROR(Z10-Z9,0)</f>
        <v>1</v>
      </c>
      <c r="AA13" s="21">
        <f>=IFERROR(AA10-AA9,0)</f>
        <v>1</v>
      </c>
      <c r="AB13" s="21">
        <f>=IFERROR(AB10-AB9,0)</f>
        <v>0</v>
      </c>
      <c r="AC13" s="21">
        <f>=IFERROR(AC10-AC9,0)</f>
        <v>1</v>
      </c>
      <c r="AD13" s="21">
        <f>=IFERROR(AD10-AD9,0)</f>
        <v>2</v>
      </c>
      <c r="AE13" s="21">
        <f>=IFERROR(AE10-AE9,0)</f>
        <v>-1</v>
      </c>
      <c r="AF13" s="21">
        <f>=IFERROR(AF10-AF9,0)</f>
        <v>-2</v>
      </c>
      <c r="AG13" s="21">
        <f>=IFERROR(AG10-AG9,0)</f>
        <v>-2</v>
      </c>
      <c r="AH13" s="21">
        <f>=IFERROR(AH10-AH9,0)</f>
        <v>0</v>
      </c>
      <c r="AI13" s="21">
        <f>=IFERROR(AI10-AI9,0)</f>
        <v>0</v>
      </c>
      <c r="AJ13" s="21">
        <f>=IFERROR(AJ10-AJ9,0)</f>
        <v>0</v>
      </c>
      <c r="AK13" s="21">
        <f>=IFERROR(AK10-AK9,0)</f>
        <v>-1</v>
      </c>
      <c r="AL13" s="21">
        <f>=IFERROR(AL10-AL9,0)</f>
        <v>0</v>
      </c>
      <c r="AM13" s="21">
        <f>=IFERROR(AM10-AM9,0)</f>
        <v>0</v>
      </c>
      <c r="AN13" s="21">
        <f>=IFERROR(AN10-AN9,0)</f>
        <v>0</v>
      </c>
      <c r="AO13" s="21">
        <f>=IFERROR(AO10-AO9,0)</f>
        <v>0</v>
      </c>
      <c r="AP13" s="21">
        <f>=IFERROR(AP10-AP9,0)</f>
        <v>0</v>
      </c>
      <c r="AQ13" s="21">
        <f>=IFERROR(AQ10-AQ9,0)</f>
        <v>-1</v>
      </c>
      <c r="AR13" s="21">
        <f>=IFERROR(AR10-AR9,0)</f>
        <v>-1</v>
      </c>
      <c r="AS13" s="21">
        <f>=IFERROR(AS10-AS9,0)</f>
        <v>0</v>
      </c>
      <c r="AT13" s="21">
        <f>=IFERROR(AT10-AT9,0)</f>
        <v>0</v>
      </c>
      <c r="AU13" s="21">
        <f>=IFERROR(AU10-AU9,0)</f>
        <v>0</v>
      </c>
      <c r="AV13" s="21">
        <f>=IFERROR(AV10-AV9,0)</f>
        <v>0</v>
      </c>
      <c r="AW13" s="21">
        <f>=IFERROR(AW10-AW9,0)</f>
        <v>0</v>
      </c>
      <c r="AX13" s="21">
        <f>=IFERROR(AX10-AX9,0)</f>
        <v>0</v>
      </c>
      <c r="AY13" s="21">
        <f>=IFERROR(AY10-AY9,0)</f>
        <v>-1</v>
      </c>
      <c r="AZ13" s="21">
        <f>=IFERROR(AZ10-AZ9,0)</f>
        <v>-1</v>
      </c>
      <c r="BA13" s="21">
        <f>=IFERROR(BA10-BA9,0)</f>
        <v>-1</v>
      </c>
      <c r="BB13" s="21">
        <f>=IFERROR(BB10-BB9,0)</f>
        <v>-1</v>
      </c>
      <c r="BC13" s="21">
        <f>=IFERROR(BC10-BC9,0)</f>
        <v>-1</v>
      </c>
      <c r="BD13" s="21">
        <f>=IFERROR(BD10-BD9,0)</f>
        <v>-1</v>
      </c>
      <c r="BE13" s="21">
        <f>=IFERROR(BE10-BE9,0)</f>
        <v>-1</v>
      </c>
      <c r="BF13" s="21">
        <f>=IFERROR(BF10-BF9,0)</f>
        <v>-1</v>
      </c>
      <c r="BG13" s="21">
        <f>=IFERROR(BG10-BG9,0)</f>
        <v>-1</v>
      </c>
      <c r="BH13" s="21">
        <f>=IFERROR(BH10-BH9,0)</f>
        <v>-1</v>
      </c>
      <c r="BI13" s="21">
        <f>=IFERROR(BI10-BI9,0)</f>
        <v>-1</v>
      </c>
      <c r="BJ13" s="21">
        <f>=IFERROR(BJ10-BJ9,0)</f>
        <v>-1</v>
      </c>
      <c r="BK13" s="21">
        <f>=IFERROR(BK10-BK9,0)</f>
        <v>-1</v>
      </c>
      <c r="BL13" s="21">
        <f>=IFERROR(BL10-BL9,0)</f>
        <v>-1</v>
      </c>
      <c r="BM13" s="21">
        <f>=IFERROR(BM10-BM9,0)</f>
        <v>-1</v>
      </c>
      <c r="BN13" s="21">
        <f>=IFERROR(BN10-BN9,0)</f>
        <v>-1</v>
      </c>
      <c r="BO13" s="21">
        <f>=IFERROR(BO10-BO9,0)</f>
        <v>-1.27</v>
      </c>
      <c r="BP13" s="21">
        <f>=IFERROR(BP10-BP9,0)</f>
        <v>-2.53595</v>
      </c>
      <c r="BQ13" s="21">
        <f>=IFERROR(BQ10-BQ9,0)</f>
        <v>-2.79791075</v>
      </c>
      <c r="BR13" s="21">
        <f>=IFERROR(BR10-BR9,0)</f>
        <v>-3.05594208875</v>
      </c>
      <c r="BS13" s="21">
        <f>=IFERROR(BS10-BS9,0)</f>
        <v>-3.31010295741875</v>
      </c>
      <c r="BT13" s="21">
        <f>=IFERROR(BT10-BT9,0)</f>
        <v>-3.560451413057468</v>
      </c>
      <c r="BU13" s="21">
        <f>=IFERROR(BU10-BU9,0)</f>
        <v>-3.807044641861606</v>
      </c>
      <c r="BV13" s="21">
        <f>=IFERROR(BV10-BV9,0)</f>
        <v>-4.049938972233682</v>
      </c>
      <c r="BW13" s="21">
        <f>=IFERROR(BW10-BW9,0)</f>
        <v>-4.289189887650178</v>
      </c>
      <c r="BX13" s="21">
        <f>=IFERROR(BX10-BX9,0)</f>
        <v>-4.524852039335424</v>
      </c>
      <c r="BY13" s="21">
        <f>=IFERROR(BY10-BY9,0)</f>
        <v>-4.756979258745394</v>
      </c>
      <c r="BZ13" s="21">
        <f>=IFERROR(BZ10-BZ9,0)</f>
        <v>-4.985624569864212</v>
      </c>
      <c r="CA13" s="21">
        <f>=IFERROR(CA10-CA9,0)</f>
        <v>-5.21084020131625</v>
      </c>
      <c r="CB13" s="21">
        <f>=IFERROR(CB10-CB9,0)</f>
        <v>-5.432677598296506</v>
      </c>
      <c r="CC13" s="21">
        <f>=IFERROR(CC10-CC9,0)</f>
        <v>-5.651187434322058</v>
      </c>
      <c r="CD13" s="21">
        <f>=IFERROR(CD10-CD9,0)</f>
        <v>-5.866419622807228</v>
      </c>
      <c r="CE13" s="21">
        <f>=IFERROR(CE10-CE9,0)</f>
        <v>-6.07842332846512</v>
      </c>
      <c r="CF13" s="21">
        <f>=IFERROR(CF10-CF9,0)</f>
        <v>-6.287246978538142</v>
      </c>
      <c r="CG13" s="21">
        <f>=IFERROR(CG10-CG9,0)</f>
        <v>-6.492938273860072</v>
      </c>
      <c r="CH13" s="21">
        <f>=IFERROR(CH10-CH9,0)</f>
        <v>-6.69554419975217</v>
      </c>
      <c r="CI13" s="21">
        <f>=IFERROR(CI10-CI9,0)</f>
        <v>-6.895111036755886</v>
      </c>
      <c r="CJ13" s="21">
        <f>=IFERROR(CJ10-CJ9,0)</f>
        <v>-7.091684371204546</v>
      </c>
      <c r="CK13" s="21">
        <f>=IFERROR(CK10-CK9,0)</f>
        <v>-7.285309105636478</v>
      </c>
      <c r="CL13" s="21">
        <f>=IFERROR(CL10-CL9,0)</f>
        <v>-7.476029469051932</v>
      </c>
      <c r="CM13" s="21">
        <f>=IFERROR(CM10-CM9,0)</f>
        <v>-7.663889027016152</v>
      </c>
      <c r="CN13" s="21">
        <f>=IFERROR(CN10-CN9,0)</f>
        <v>-7.84893069161091</v>
      </c>
      <c r="CO13" s="21">
        <f>=IFERROR(CO10-CO9,0)</f>
        <v>-8.031196731236745</v>
      </c>
      <c r="CP13" s="21">
        <f>=IFERROR(CP10-CP9,0)</f>
        <v>-8.210728780268198</v>
      </c>
      <c r="CQ13" s="21">
        <f>=IFERROR(CQ10-CQ9,0)</f>
        <v>-8.387567848564176</v>
      </c>
      <c r="CR13" s="21">
        <f>=IFERROR(CR10-CR9,0)</f>
        <v>-8.561754330835713</v>
      </c>
      <c r="CS13" s="21">
        <f>=IFERROR(CS10-CS9,0)</f>
        <v>-8.73332801587318</v>
      </c>
      <c r="CT13" s="21">
        <f>=IFERROR(CT10-CT9,0)</f>
        <v>-8.90232809563508</v>
      </c>
      <c r="CU13" s="21">
        <f>=IFERROR(CU10-CU9,0)</f>
        <v>-9.068793174200552</v>
      </c>
      <c r="CV13" s="21">
        <f>=IFERROR(CV10-CV9,0)</f>
        <v>-9.232761276587542</v>
      </c>
      <c r="CW13" s="21">
        <f>=IFERROR(CW10-CW9,0)</f>
        <v>-9.39426985743873</v>
      </c>
      <c r="CX13" s="21">
        <f>=IFERROR(CX10-CX9,0)</f>
        <v>-9.553355809577148</v>
      </c>
      <c r="CY13" s="21">
        <f>=IFERROR(CY10-CY9,0)</f>
        <v>-9.71005547243349</v>
      </c>
      <c r="CZ13" s="21">
        <f>=IFERROR(CZ10-CZ9,0)</f>
        <v>-9.864404640346985</v>
      </c>
      <c r="DA13" s="21">
        <f>=IFERROR(DA10-DA9,0)</f>
        <v>-10.01643857074178</v>
      </c>
      <c r="DB13" s="21">
        <f>=IFERROR(DB10-DB9,0)</f>
        <v>-10.166191992180654</v>
      </c>
    </row>
    <row r="14" ht="15" customHeight="1" spans="1:106" x14ac:dyDescent="0.25">
      <c r="A14" s="22" t="s">
        <v>248</v>
      </c>
      <c r="B14" s="17"/>
      <c r="C14" s="18">
        <f>=Round(C11-C8,0)</f>
        <v>-15</v>
      </c>
      <c r="D14" s="18">
        <f>=Round(D11-D8,0)</f>
        <v>-14</v>
      </c>
      <c r="E14" s="18">
        <f>=Round(E11-E8,0)</f>
        <v>-14</v>
      </c>
      <c r="F14" s="18">
        <f>=Round(F11-F8,0)</f>
        <v>-14</v>
      </c>
      <c r="G14" s="18">
        <f>=Round(G11-G8,0)</f>
        <v>-16</v>
      </c>
      <c r="H14" s="18">
        <f>=Round(H11-H8,0)</f>
        <v>111</v>
      </c>
      <c r="I14" s="18">
        <f>=Round(I11-I8,0)</f>
        <v>111</v>
      </c>
      <c r="J14" s="18">
        <f>=Round(J11-J8,0)</f>
        <v>112</v>
      </c>
      <c r="K14" s="18">
        <f>=Round(K11-K8,0)</f>
        <v>112</v>
      </c>
      <c r="L14" s="18">
        <f>=Round(L11-L8,0)</f>
        <v>148</v>
      </c>
      <c r="M14" s="18">
        <f>=Round(M11-M8,0)</f>
        <v>116</v>
      </c>
      <c r="N14" s="18">
        <f>=Round(N11-N8,0)</f>
        <v>117</v>
      </c>
      <c r="O14" s="18">
        <f>=Round(O11-O8,0)</f>
        <v>116</v>
      </c>
      <c r="P14" s="18">
        <f>=Round(P11-P8,0)</f>
        <v>254</v>
      </c>
      <c r="Q14" s="18">
        <f>=Round(Q11-Q8,0)</f>
        <v>86</v>
      </c>
      <c r="R14" s="18">
        <f>=Round(R11-R8,0)</f>
        <v>18</v>
      </c>
      <c r="S14" s="18">
        <f>=Round(S11-S8,0)</f>
        <v>15</v>
      </c>
      <c r="T14" s="18">
        <f>=Round(T11-T8,0)</f>
        <v>17</v>
      </c>
      <c r="U14" s="18">
        <f>=Round(U11-U8,0)</f>
        <v>51</v>
      </c>
      <c r="V14" s="18">
        <f>=Round(V11-V8,0)</f>
        <v>51</v>
      </c>
      <c r="W14" s="18">
        <f>=Round(W11-W8,0)</f>
        <v>51</v>
      </c>
      <c r="X14" s="18">
        <f>=Round(X11-X8,0)</f>
        <v>51</v>
      </c>
      <c r="Y14" s="18">
        <f>=Round(Y11-Y8,0)</f>
        <v>50</v>
      </c>
      <c r="Z14" s="18">
        <f>=Round(Z11-Z8,0)</f>
        <v>50</v>
      </c>
      <c r="AA14" s="18">
        <f>=Round(AA11-AA8,0)</f>
        <v>50</v>
      </c>
      <c r="AB14" s="18">
        <f>=Round(AB11-AB8,0)</f>
        <v>16</v>
      </c>
      <c r="AC14" s="18">
        <f>=Round(AC11-AC8,0)</f>
        <v>17</v>
      </c>
      <c r="AD14" s="18">
        <f>=Round(AD11-AD8,0)</f>
        <v>51</v>
      </c>
      <c r="AE14" s="18">
        <f>=Round(AE11-AE8,0)</f>
        <v>-50</v>
      </c>
      <c r="AF14" s="18">
        <f>=Round(AF11-AF8,0)</f>
        <v>-83</v>
      </c>
      <c r="AG14" s="18">
        <f>=Round(AG11-AG8,0)</f>
        <v>-83</v>
      </c>
      <c r="AH14" s="18">
        <f>=Round(AH11-AH8,0)</f>
        <v>-16</v>
      </c>
      <c r="AI14" s="18">
        <f>=Round(AI11-AI8,0)</f>
        <v>-16</v>
      </c>
      <c r="AJ14" s="18">
        <f>=Round(AJ11-AJ8,0)</f>
        <v>-16</v>
      </c>
      <c r="AK14" s="18">
        <f>=Round(AK11-AK8,0)</f>
        <v>-49</v>
      </c>
      <c r="AL14" s="18">
        <f>=Round(AL11-AL8,0)</f>
        <v>-15</v>
      </c>
      <c r="AM14" s="18">
        <f>=Round(AM11-AM8,0)</f>
        <v>-15</v>
      </c>
      <c r="AN14" s="18">
        <f>=Round(AN11-AN8,0)</f>
        <v>-15</v>
      </c>
      <c r="AO14" s="18">
        <f>=Round(AO11-AO8,0)</f>
        <v>-15</v>
      </c>
      <c r="AP14" s="18">
        <f>=Round(AP11-AP8,0)</f>
        <v>-15</v>
      </c>
      <c r="AQ14" s="18">
        <f>=Round(AQ11-AQ8,0)</f>
        <v>-49</v>
      </c>
      <c r="AR14" s="18">
        <f>=Round(AR11-AR8,0)</f>
        <v>-49</v>
      </c>
      <c r="AS14" s="18">
        <f>=Round(AS11-AS8,0)</f>
        <v>-15</v>
      </c>
      <c r="AT14" s="18">
        <f>=Round(AT11-AT8,0)</f>
        <v>-15</v>
      </c>
      <c r="AU14" s="18">
        <f>=Round(AU11-AU8,0)</f>
        <v>-15</v>
      </c>
      <c r="AV14" s="18">
        <f>=Round(AV11-AV8,0)</f>
        <v>-15</v>
      </c>
      <c r="AW14" s="18">
        <f>=Round(AW11-AW8,0)</f>
        <v>-15</v>
      </c>
      <c r="AX14" s="18">
        <f>=Round(AX11-AX8,0)</f>
        <v>-15</v>
      </c>
      <c r="AY14" s="18">
        <f>=Round(AY11-AY8,0)</f>
        <v>-38</v>
      </c>
      <c r="AZ14" s="18">
        <f>=Round(AZ11-AZ8,0)</f>
        <v>-38</v>
      </c>
      <c r="BA14" s="18">
        <f>=Round(BA11-BA8,0)</f>
        <v>-38</v>
      </c>
      <c r="BB14" s="18">
        <f>=Round(BB11-BB8,0)</f>
        <v>-38</v>
      </c>
      <c r="BC14" s="18">
        <f>=Round(BC11-BC8,0)</f>
        <v>-27</v>
      </c>
      <c r="BD14" s="18">
        <f>=Round(BD11-BD8,0)</f>
        <v>-28</v>
      </c>
      <c r="BE14" s="18">
        <f>=Round(BE11-BE8,0)</f>
        <v>-28</v>
      </c>
      <c r="BF14" s="18">
        <f>=Round(BF11-BF8,0)</f>
        <v>-28</v>
      </c>
      <c r="BG14" s="18">
        <f>=Round(BG11-BG8,0)</f>
        <v>-27</v>
      </c>
      <c r="BH14" s="18">
        <f>=Round(BH11-BH8,0)</f>
        <v>-25</v>
      </c>
      <c r="BI14" s="18">
        <f>=Round(BI11-BI8,0)</f>
        <v>-25</v>
      </c>
      <c r="BJ14" s="18">
        <f>=Round(BJ11-BJ8,0)</f>
        <v>-25</v>
      </c>
      <c r="BK14" s="18">
        <f>=Round(BK11-BK8,0)</f>
        <v>-25</v>
      </c>
      <c r="BL14" s="18">
        <f>=Round(BL11-BL8,0)</f>
        <v>-25</v>
      </c>
      <c r="BM14" s="18">
        <f>=Round(BM11-BM8,0)</f>
        <v>-25</v>
      </c>
      <c r="BN14" s="18">
        <f>=Round(BN11-BN8,0)</f>
        <v>-25</v>
      </c>
      <c r="BO14" s="18">
        <f>=Round(BO11-BO8,0)</f>
        <v>-34</v>
      </c>
      <c r="BP14" s="18">
        <f>=Round(BP11-BP8,0)</f>
        <v>-71</v>
      </c>
      <c r="BQ14" s="18">
        <f>=Round(BQ11-BQ8,0)</f>
        <v>-80</v>
      </c>
      <c r="BR14" s="18">
        <f>=Round(BR11-BR8,0)</f>
        <v>-89</v>
      </c>
      <c r="BS14" s="18">
        <f>=Round(BS11-BS8,0)</f>
        <v>-98</v>
      </c>
      <c r="BT14" s="18">
        <f>=Round(BT11-BT8,0)</f>
        <v>-106</v>
      </c>
      <c r="BU14" s="18">
        <f>=Round(BU11-BU8,0)</f>
        <v>-115</v>
      </c>
      <c r="BV14" s="18">
        <f>=Round(BV11-BV8,0)</f>
        <v>-123</v>
      </c>
      <c r="BW14" s="18">
        <f>=Round(BW11-BW8,0)</f>
        <v>-132</v>
      </c>
      <c r="BX14" s="18">
        <f>=Round(BX11-BX8,0)</f>
        <v>-140</v>
      </c>
      <c r="BY14" s="18">
        <f>=Round(BY11-BY8,0)</f>
        <v>-148</v>
      </c>
      <c r="BZ14" s="18">
        <f>=Round(BZ11-BZ8,0)</f>
        <v>-156</v>
      </c>
      <c r="CA14" s="18">
        <f>=Round(CA11-CA8,0)</f>
        <v>-163</v>
      </c>
      <c r="CB14" s="18">
        <f>=Round(CB11-CB8,0)</f>
        <v>-171</v>
      </c>
      <c r="CC14" s="18">
        <f>=Round(CC11-CC8,0)</f>
        <v>-178</v>
      </c>
      <c r="CD14" s="18">
        <f>=Round(CD11-CD8,0)</f>
        <v>-186</v>
      </c>
      <c r="CE14" s="18">
        <f>=Round(CE11-CE8,0)</f>
        <v>-193</v>
      </c>
      <c r="CF14" s="18">
        <f>=Round(CF11-CF8,0)</f>
        <v>-200</v>
      </c>
      <c r="CG14" s="18">
        <f>=Round(CG11-CG8,0)</f>
        <v>-207</v>
      </c>
      <c r="CH14" s="18">
        <f>=Round(CH11-CH8,0)</f>
        <v>-214</v>
      </c>
      <c r="CI14" s="18">
        <f>=Round(CI11-CI8,0)</f>
        <v>-221</v>
      </c>
      <c r="CJ14" s="18">
        <f>=Round(CJ11-CJ8,0)</f>
        <v>-228</v>
      </c>
      <c r="CK14" s="18">
        <f>=Round(CK11-CK8,0)</f>
        <v>-235</v>
      </c>
      <c r="CL14" s="18">
        <f>=Round(CL11-CL8,0)</f>
        <v>-241</v>
      </c>
      <c r="CM14" s="18">
        <f>=Round(CM11-CM8,0)</f>
        <v>-248</v>
      </c>
      <c r="CN14" s="18">
        <f>=Round(CN11-CN8,0)</f>
        <v>-254</v>
      </c>
      <c r="CO14" s="18">
        <f>=Round(CO11-CO8,0)</f>
        <v>-260</v>
      </c>
      <c r="CP14" s="18">
        <f>=Round(CP11-CP8,0)</f>
        <v>-266</v>
      </c>
      <c r="CQ14" s="18">
        <f>=Round(CQ11-CQ8,0)</f>
        <v>-273</v>
      </c>
      <c r="CR14" s="18">
        <f>=Round(CR11-CR8,0)</f>
        <v>-279</v>
      </c>
      <c r="CS14" s="18">
        <f>=Round(CS11-CS8,0)</f>
        <v>-284</v>
      </c>
      <c r="CT14" s="18">
        <f>=Round(CT11-CT8,0)</f>
        <v>-290</v>
      </c>
      <c r="CU14" s="18">
        <f>=Round(CU11-CU8,0)</f>
        <v>-296</v>
      </c>
      <c r="CV14" s="18">
        <f>=Round(CV11-CV8,0)</f>
        <v>-302</v>
      </c>
      <c r="CW14" s="18">
        <f>=Round(CW11-CW8,0)</f>
        <v>-307</v>
      </c>
      <c r="CX14" s="18">
        <f>=Round(CX11-CX8,0)</f>
        <v>-313</v>
      </c>
      <c r="CY14" s="18">
        <f>=Round(CY11-CY8,0)</f>
        <v>-318</v>
      </c>
      <c r="CZ14" s="18">
        <f>=Round(CZ11-CZ8,0)</f>
        <v>-323</v>
      </c>
      <c r="DA14" s="18">
        <f>=Round(DA11-DA8,0)</f>
        <v>-329</v>
      </c>
      <c r="DB14" s="18">
        <f>=Round(DB11-DB8,0)</f>
        <v>-334</v>
      </c>
    </row>
    <row r="15" ht="14" customHeight="1" spans="1:106" x14ac:dyDescent="0.25">
      <c r="A15" s="23" t="s">
        <v>249</v>
      </c>
      <c r="B15" s="24"/>
      <c r="C15" s="25">
        <f>=Round(IFERROR(C10/C7,0),2)</f>
        <v>1</v>
      </c>
      <c r="D15" s="25">
        <f>=Round(IFERROR(D10/D7,0),2)</f>
        <v>1</v>
      </c>
      <c r="E15" s="25">
        <f>=Round(IFERROR(E10/E7,0),2)</f>
        <v>1</v>
      </c>
      <c r="F15" s="25">
        <f>=Round(IFERROR(F10/F7,0),2)</f>
        <v>1</v>
      </c>
      <c r="G15" s="25">
        <f>=Round(IFERROR(G10/G7,0),2)</f>
        <v>1</v>
      </c>
      <c r="H15" s="25">
        <f>=Round(IFERROR(H10/H7,0),2)</f>
        <v>1.17</v>
      </c>
      <c r="I15" s="25">
        <f>=Round(IFERROR(I10/I7,0),2)</f>
        <v>1.17</v>
      </c>
      <c r="J15" s="25">
        <f>=Round(IFERROR(J10/J7,0),2)</f>
        <v>1.17</v>
      </c>
      <c r="K15" s="25">
        <f>=Round(IFERROR(K10/K7,0),2)</f>
        <v>1.17</v>
      </c>
      <c r="L15" s="25">
        <f>=Round(IFERROR(L10/L7,0),2)</f>
        <v>1.23</v>
      </c>
      <c r="M15" s="25">
        <f>=Round(IFERROR(M10/M7,0),2)</f>
        <v>1.18</v>
      </c>
      <c r="N15" s="25">
        <f>=Round(IFERROR(N10/N7,0),2)</f>
        <v>1.18</v>
      </c>
      <c r="O15" s="25">
        <f>=Round(IFERROR(O10/O7,0),2)</f>
        <v>1.18</v>
      </c>
      <c r="P15" s="25">
        <f>=Round(IFERROR(P10/P7,0),2)</f>
        <v>1.44</v>
      </c>
      <c r="Q15" s="25">
        <f>=Round(IFERROR(Q10/Q7,0),2)</f>
        <v>1.17</v>
      </c>
      <c r="R15" s="25">
        <f>=Round(IFERROR(R10/R7,0),2)</f>
        <v>1.06</v>
      </c>
      <c r="S15" s="25">
        <f>=Round(IFERROR(S10/S7,0),2)</f>
        <v>1.06</v>
      </c>
      <c r="T15" s="25">
        <f>=Round(IFERROR(T10/T7,0),2)</f>
        <v>1.06</v>
      </c>
      <c r="U15" s="25">
        <f>=Round(IFERROR(U10/U7,0),2)</f>
        <v>1.11</v>
      </c>
      <c r="V15" s="25">
        <f>=Round(IFERROR(V10/V7,0),2)</f>
        <v>1.11</v>
      </c>
      <c r="W15" s="25">
        <f>=Round(IFERROR(W10/W7,0),2)</f>
        <v>1.11</v>
      </c>
      <c r="X15" s="25">
        <f>=Round(IFERROR(X10/X7,0),2)</f>
        <v>1.11</v>
      </c>
      <c r="Y15" s="25">
        <f>=Round(IFERROR(Y10/Y7,0),2)</f>
        <v>1.11</v>
      </c>
      <c r="Z15" s="25">
        <f>=Round(IFERROR(Z10/Z7,0),2)</f>
        <v>1.11</v>
      </c>
      <c r="AA15" s="25">
        <f>=Round(IFERROR(AA10/AA7,0),2)</f>
        <v>1.11</v>
      </c>
      <c r="AB15" s="25">
        <f>=Round(IFERROR(AB10/AB7,0),2)</f>
        <v>1.06</v>
      </c>
      <c r="AC15" s="25">
        <f>=Round(IFERROR(AC10/AC7,0),2)</f>
        <v>1.06</v>
      </c>
      <c r="AD15" s="25">
        <f>=Round(IFERROR(AD10/AD7,0),2)</f>
        <v>1.11</v>
      </c>
      <c r="AE15" s="25">
        <f>=Round(IFERROR(AE10/AE7,0),2)</f>
        <v>0.94</v>
      </c>
      <c r="AF15" s="25">
        <f>=Round(IFERROR(AF10/AF7,0),2)</f>
        <v>0.89</v>
      </c>
      <c r="AG15" s="25">
        <f>=Round(IFERROR(AG10/AG7,0),2)</f>
        <v>0.89</v>
      </c>
      <c r="AH15" s="25">
        <f>=Round(IFERROR(AH10/AH7,0),2)</f>
        <v>1</v>
      </c>
      <c r="AI15" s="25">
        <f>=Round(IFERROR(AI10/AI7,0),2)</f>
        <v>1</v>
      </c>
      <c r="AJ15" s="25">
        <f>=Round(IFERROR(AJ10/AJ7,0),2)</f>
        <v>1</v>
      </c>
      <c r="AK15" s="25">
        <f>=Round(IFERROR(AK10/AK7,0),2)</f>
        <v>0.94</v>
      </c>
      <c r="AL15" s="25">
        <f>=Round(IFERROR(AL10/AL7,0),2)</f>
        <v>1</v>
      </c>
      <c r="AM15" s="25">
        <f>=Round(IFERROR(AM10/AM7,0),2)</f>
        <v>1</v>
      </c>
      <c r="AN15" s="25">
        <f>=Round(IFERROR(AN10/AN7,0),2)</f>
        <v>1</v>
      </c>
      <c r="AO15" s="25">
        <f>=Round(IFERROR(AO10/AO7,0),2)</f>
        <v>1</v>
      </c>
      <c r="AP15" s="25">
        <f>=Round(IFERROR(AP10/AP7,0),2)</f>
        <v>1</v>
      </c>
      <c r="AQ15" s="25">
        <f>=Round(IFERROR(AQ10/AQ7,0),2)</f>
        <v>0.94</v>
      </c>
      <c r="AR15" s="25">
        <f>=Round(IFERROR(AR10/AR7,0),2)</f>
        <v>0.94</v>
      </c>
      <c r="AS15" s="25">
        <f>=Round(IFERROR(AS10/AS7,0),2)</f>
        <v>1</v>
      </c>
      <c r="AT15" s="25">
        <f>=Round(IFERROR(AT10/AT7,0),2)</f>
        <v>1</v>
      </c>
      <c r="AU15" s="25">
        <f>=Round(IFERROR(AU10/AU7,0),2)</f>
        <v>1</v>
      </c>
      <c r="AV15" s="25">
        <f>=Round(IFERROR(AV10/AV7,0),2)</f>
        <v>1</v>
      </c>
      <c r="AW15" s="25">
        <f>=Round(IFERROR(AW10/AW7,0),2)</f>
        <v>1</v>
      </c>
      <c r="AX15" s="25">
        <f>=Round(IFERROR(AX10/AX7,0),2)</f>
        <v>1</v>
      </c>
      <c r="AY15" s="25">
        <f>=Round(IFERROR(AY10/AY7,0),2)</f>
        <v>1</v>
      </c>
      <c r="AZ15" s="25">
        <f>=Round(IFERROR(AZ10/AZ7,0),2)</f>
        <v>1</v>
      </c>
      <c r="BA15" s="25">
        <f>=Round(IFERROR(BA10/BA7,0),2)</f>
        <v>1</v>
      </c>
      <c r="BB15" s="25">
        <f>=Round(IFERROR(BB10/BB7,0),2)</f>
        <v>1</v>
      </c>
      <c r="BC15" s="25">
        <f>=Round(IFERROR(BC10/BC7,0),2)</f>
        <v>1</v>
      </c>
      <c r="BD15" s="25">
        <f>=Round(IFERROR(BD10/BD7,0),2)</f>
        <v>1</v>
      </c>
      <c r="BE15" s="25">
        <f>=Round(IFERROR(BE10/BE7,0),2)</f>
        <v>1</v>
      </c>
      <c r="BF15" s="25">
        <f>=Round(IFERROR(BF10/BF7,0),2)</f>
        <v>1</v>
      </c>
      <c r="BG15" s="25">
        <f>=Round(IFERROR(BG10/BG7,0),2)</f>
        <v>1</v>
      </c>
      <c r="BH15" s="25">
        <f>=Round(IFERROR(BH10/BH7,0),2)</f>
        <v>1</v>
      </c>
      <c r="BI15" s="25">
        <f>=Round(IFERROR(BI10/BI7,0),2)</f>
        <v>1</v>
      </c>
      <c r="BJ15" s="25">
        <f>=Round(IFERROR(BJ10/BJ7,0),2)</f>
        <v>1</v>
      </c>
      <c r="BK15" s="25">
        <f>=Round(IFERROR(BK10/BK7,0),2)</f>
        <v>1</v>
      </c>
      <c r="BL15" s="25">
        <f>=Round(IFERROR(BL10/BL7,0),2)</f>
        <v>1</v>
      </c>
      <c r="BM15" s="25">
        <f>=Round(IFERROR(BM10/BM7,0),2)</f>
        <v>1</v>
      </c>
      <c r="BN15" s="25">
        <f>=Round(IFERROR(BN10/BN7,0),2)</f>
        <v>1</v>
      </c>
      <c r="BO15" s="25">
        <f>=Round(IFERROR(BO10/BO7,0),2)</f>
        <v>0.99</v>
      </c>
      <c r="BP15" s="25">
        <f>=Round(IFERROR(BP10/BP7,0),2)</f>
        <v>0.87</v>
      </c>
      <c r="BQ15" s="25">
        <f>=Round(IFERROR(BQ10/BQ7,0),2)</f>
        <v>0.86</v>
      </c>
      <c r="BR15" s="25">
        <f>=Round(IFERROR(BR10/BR7,0),2)</f>
        <v>0.85</v>
      </c>
      <c r="BS15" s="25">
        <f>=Round(IFERROR(BS10/BS7,0),2)</f>
        <v>0.83</v>
      </c>
      <c r="BT15" s="25">
        <f>=Round(IFERROR(BT10/BT7,0),2)</f>
        <v>0.82</v>
      </c>
      <c r="BU15" s="25">
        <f>=Round(IFERROR(BU10/BU7,0),2)</f>
        <v>0.81</v>
      </c>
      <c r="BV15" s="25">
        <f>=Round(IFERROR(BV10/BV7,0),2)</f>
        <v>0.8</v>
      </c>
      <c r="BW15" s="25">
        <f>=Round(IFERROR(BW10/BW7,0),2)</f>
        <v>0.79</v>
      </c>
      <c r="BX15" s="25">
        <f>=Round(IFERROR(BX10/BX7,0),2)</f>
        <v>0.77</v>
      </c>
      <c r="BY15" s="25">
        <f>=Round(IFERROR(BY10/BY7,0),2)</f>
        <v>0.76</v>
      </c>
      <c r="BZ15" s="25">
        <f>=Round(IFERROR(BZ10/BZ7,0),2)</f>
        <v>0.75</v>
      </c>
      <c r="CA15" s="25">
        <f>=Round(IFERROR(CA10/CA7,0),2)</f>
        <v>0.74</v>
      </c>
      <c r="CB15" s="25">
        <f>=Round(IFERROR(CB10/CB7,0),2)</f>
        <v>0.73</v>
      </c>
      <c r="CC15" s="25">
        <f>=Round(IFERROR(CC10/CC7,0),2)</f>
        <v>0.72</v>
      </c>
      <c r="CD15" s="25">
        <f>=Round(IFERROR(CD10/CD7,0),2)</f>
        <v>0.71</v>
      </c>
      <c r="CE15" s="25">
        <f>=Round(IFERROR(CE10/CE7,0),2)</f>
        <v>0.7</v>
      </c>
      <c r="CF15" s="25">
        <f>=Round(IFERROR(CF10/CF7,0),2)</f>
        <v>0.69</v>
      </c>
      <c r="CG15" s="25">
        <f>=Round(IFERROR(CG10/CG7,0),2)</f>
        <v>0.68</v>
      </c>
      <c r="CH15" s="25">
        <f>=Round(IFERROR(CH10/CH7,0),2)</f>
        <v>0.67</v>
      </c>
      <c r="CI15" s="25">
        <f>=Round(IFERROR(CI10/CI7,0),2)</f>
        <v>0.66</v>
      </c>
      <c r="CJ15" s="25">
        <f>=Round(IFERROR(CJ10/CJ7,0),2)</f>
        <v>0.65</v>
      </c>
      <c r="CK15" s="25">
        <f>=Round(IFERROR(CK10/CK7,0),2)</f>
        <v>0.64</v>
      </c>
      <c r="CL15" s="25">
        <f>=Round(IFERROR(CL10/CL7,0),2)</f>
        <v>0.63</v>
      </c>
      <c r="CM15" s="25">
        <f>=Round(IFERROR(CM10/CM7,0),2)</f>
        <v>0.62</v>
      </c>
      <c r="CN15" s="25">
        <f>=Round(IFERROR(CN10/CN7,0),2)</f>
        <v>0.61</v>
      </c>
      <c r="CO15" s="25">
        <f>=Round(IFERROR(CO10/CO7,0),2)</f>
        <v>0.6</v>
      </c>
      <c r="CP15" s="25">
        <f>=Round(IFERROR(CP10/CP7,0),2)</f>
        <v>0.59</v>
      </c>
      <c r="CQ15" s="25">
        <f>=Round(IFERROR(CQ10/CQ7,0),2)</f>
        <v>0.58</v>
      </c>
      <c r="CR15" s="25">
        <f>=Round(IFERROR(CR10/CR7,0),2)</f>
        <v>0.57</v>
      </c>
      <c r="CS15" s="25">
        <f>=Round(IFERROR(CS10/CS7,0),2)</f>
        <v>0.56</v>
      </c>
      <c r="CT15" s="25">
        <f>=Round(IFERROR(CT10/CT7,0),2)</f>
        <v>0.55</v>
      </c>
      <c r="CU15" s="25">
        <f>=Round(IFERROR(CU10/CU7,0),2)</f>
        <v>0.55</v>
      </c>
      <c r="CV15" s="25">
        <f>=Round(IFERROR(CV10/CV7,0),2)</f>
        <v>0.54</v>
      </c>
      <c r="CW15" s="25">
        <f>=Round(IFERROR(CW10/CW7,0),2)</f>
        <v>0.53</v>
      </c>
      <c r="CX15" s="25">
        <f>=Round(IFERROR(CX10/CX7,0),2)</f>
        <v>0.52</v>
      </c>
      <c r="CY15" s="25">
        <f>=Round(IFERROR(CY10/CY7,0),2)</f>
        <v>0.51</v>
      </c>
      <c r="CZ15" s="25">
        <f>=Round(IFERROR(CZ10/CZ7,0),2)</f>
        <v>0.51</v>
      </c>
      <c r="DA15" s="25">
        <f>=Round(IFERROR(DA10/DA7,0),2)</f>
        <v>0.5</v>
      </c>
      <c r="DB15" s="25">
        <f>=Round(IFERROR(DB10/DB7,0),2)</f>
        <v>0.49</v>
      </c>
    </row>
    <row r="16" spans="1:106" x14ac:dyDescent="0.25">
      <c r="A16" s="23" t="s">
        <v>250</v>
      </c>
      <c r="B16" s="24"/>
      <c r="C16" s="25">
        <f>=Round(IFERROR(C10/C9,0),2)</f>
        <v>1</v>
      </c>
      <c r="D16" s="25">
        <f>=Round(IFERROR(D10/D9,0),2)</f>
        <v>1</v>
      </c>
      <c r="E16" s="25">
        <f>=Round(IFERROR(E10/E9,0),2)</f>
        <v>1</v>
      </c>
      <c r="F16" s="25">
        <f>=Round(IFERROR(F10/F9,0),2)</f>
        <v>1</v>
      </c>
      <c r="G16" s="25">
        <f>=Round(IFERROR(G10/G9,0),2)</f>
        <v>1</v>
      </c>
      <c r="H16" s="25">
        <f>=Round(IFERROR(H10/H9,0),2)</f>
        <v>1.13</v>
      </c>
      <c r="I16" s="25">
        <f>=Round(IFERROR(I10/I9,0),2)</f>
        <v>1.13</v>
      </c>
      <c r="J16" s="25">
        <f>=Round(IFERROR(J10/J9,0),2)</f>
        <v>1.13</v>
      </c>
      <c r="K16" s="25">
        <f>=Round(IFERROR(K10/K9,0),2)</f>
        <v>1.13</v>
      </c>
      <c r="L16" s="25">
        <f>=Round(IFERROR(L10/L9,0),2)</f>
        <v>1.17</v>
      </c>
      <c r="M16" s="25">
        <f>=Round(IFERROR(M10/M9,0),2)</f>
        <v>1.13</v>
      </c>
      <c r="N16" s="25">
        <f>=Round(IFERROR(N10/N9,0),2)</f>
        <v>1.13</v>
      </c>
      <c r="O16" s="25">
        <f>=Round(IFERROR(O10/O9,0),2)</f>
        <v>1.13</v>
      </c>
      <c r="P16" s="25">
        <f>=Round(IFERROR(P10/P9,0),2)</f>
        <v>1.44</v>
      </c>
      <c r="Q16" s="25">
        <f>=Round(IFERROR(Q10/Q9,0),2)</f>
        <v>1.17</v>
      </c>
      <c r="R16" s="25">
        <f>=Round(IFERROR(R10/R9,0),2)</f>
        <v>1.06</v>
      </c>
      <c r="S16" s="25">
        <f>=Round(IFERROR(S10/S9,0),2)</f>
        <v>1</v>
      </c>
      <c r="T16" s="25">
        <f>=Round(IFERROR(T10/T9,0),2)</f>
        <v>1.06</v>
      </c>
      <c r="U16" s="25">
        <f>=Round(IFERROR(U10/U9,0),2)</f>
        <v>1.11</v>
      </c>
      <c r="V16" s="25">
        <f>=Round(IFERROR(V10/V9,0),2)</f>
        <v>1.11</v>
      </c>
      <c r="W16" s="25">
        <f>=Round(IFERROR(W10/W9,0),2)</f>
        <v>1.11</v>
      </c>
      <c r="X16" s="25">
        <f>=Round(IFERROR(X10/X9,0),2)</f>
        <v>1.11</v>
      </c>
      <c r="Y16" s="25">
        <f>=Round(IFERROR(Y10/Y9,0),2)</f>
        <v>1.05</v>
      </c>
      <c r="Z16" s="25">
        <f>=Round(IFERROR(Z10/Z9,0),2)</f>
        <v>1.05</v>
      </c>
      <c r="AA16" s="25">
        <f>=Round(IFERROR(AA10/AA9,0),2)</f>
        <v>1.05</v>
      </c>
      <c r="AB16" s="25">
        <f>=Round(IFERROR(AB10/AB9,0),2)</f>
        <v>1</v>
      </c>
      <c r="AC16" s="25">
        <f>=Round(IFERROR(AC10/AC9,0),2)</f>
        <v>1.06</v>
      </c>
      <c r="AD16" s="25">
        <f>=Round(IFERROR(AD10/AD9,0),2)</f>
        <v>1.11</v>
      </c>
      <c r="AE16" s="25">
        <f>=Round(IFERROR(AE10/AE9,0),2)</f>
        <v>0.94</v>
      </c>
      <c r="AF16" s="25">
        <f>=Round(IFERROR(AF10/AF9,0),2)</f>
        <v>0.89</v>
      </c>
      <c r="AG16" s="25">
        <f>=Round(IFERROR(AG10/AG9,0),2)</f>
        <v>0.89</v>
      </c>
      <c r="AH16" s="25">
        <f>=Round(IFERROR(AH10/AH9,0),2)</f>
        <v>1</v>
      </c>
      <c r="AI16" s="25">
        <f>=Round(IFERROR(AI10/AI9,0),2)</f>
        <v>1</v>
      </c>
      <c r="AJ16" s="25">
        <f>=Round(IFERROR(AJ10/AJ9,0),2)</f>
        <v>1</v>
      </c>
      <c r="AK16" s="25">
        <f>=Round(IFERROR(AK10/AK9,0),2)</f>
        <v>0.94</v>
      </c>
      <c r="AL16" s="25">
        <f>=Round(IFERROR(AL10/AL9,0),2)</f>
        <v>1</v>
      </c>
      <c r="AM16" s="25">
        <f>=Round(IFERROR(AM10/AM9,0),2)</f>
        <v>1</v>
      </c>
      <c r="AN16" s="25">
        <f>=Round(IFERROR(AN10/AN9,0),2)</f>
        <v>1</v>
      </c>
      <c r="AO16" s="25">
        <f>=Round(IFERROR(AO10/AO9,0),2)</f>
        <v>1</v>
      </c>
      <c r="AP16" s="25">
        <f>=Round(IFERROR(AP10/AP9,0),2)</f>
        <v>1</v>
      </c>
      <c r="AQ16" s="25">
        <f>=Round(IFERROR(AQ10/AQ9,0),2)</f>
        <v>0.94</v>
      </c>
      <c r="AR16" s="25">
        <f>=Round(IFERROR(AR10/AR9,0),2)</f>
        <v>0.94</v>
      </c>
      <c r="AS16" s="25">
        <f>=Round(IFERROR(AS10/AS9,0),2)</f>
        <v>1</v>
      </c>
      <c r="AT16" s="25">
        <f>=Round(IFERROR(AT10/AT9,0),2)</f>
        <v>1</v>
      </c>
      <c r="AU16" s="25">
        <f>=Round(IFERROR(AU10/AU9,0),2)</f>
        <v>1</v>
      </c>
      <c r="AV16" s="25">
        <f>=Round(IFERROR(AV10/AV9,0),2)</f>
        <v>1</v>
      </c>
      <c r="AW16" s="25">
        <f>=Round(IFERROR(AW10/AW9,0),2)</f>
        <v>1</v>
      </c>
      <c r="AX16" s="25">
        <f>=Round(IFERROR(AX10/AX9,0),2)</f>
        <v>1</v>
      </c>
      <c r="AY16" s="25">
        <f>=Round(IFERROR(AY10/AY9,0),2)</f>
        <v>0.95</v>
      </c>
      <c r="AZ16" s="25">
        <f>=Round(IFERROR(AZ10/AZ9,0),2)</f>
        <v>0.95</v>
      </c>
      <c r="BA16" s="25">
        <f>=Round(IFERROR(BA10/BA9,0),2)</f>
        <v>0.95</v>
      </c>
      <c r="BB16" s="25">
        <f>=Round(IFERROR(BB10/BB9,0),2)</f>
        <v>0.95</v>
      </c>
      <c r="BC16" s="25">
        <f>=Round(IFERROR(BC10/BC9,0),2)</f>
        <v>0.95</v>
      </c>
      <c r="BD16" s="25">
        <f>=Round(IFERROR(BD10/BD9,0),2)</f>
        <v>0.95</v>
      </c>
      <c r="BE16" s="25">
        <f>=Round(IFERROR(BE10/BE9,0),2)</f>
        <v>0.95</v>
      </c>
      <c r="BF16" s="25">
        <f>=Round(IFERROR(BF10/BF9,0),2)</f>
        <v>0.95</v>
      </c>
      <c r="BG16" s="25">
        <f>=Round(IFERROR(BG10/BG9,0),2)</f>
        <v>0.95</v>
      </c>
      <c r="BH16" s="25">
        <f>=Round(IFERROR(BH10/BH9,0),2)</f>
        <v>0.95</v>
      </c>
      <c r="BI16" s="25">
        <f>=Round(IFERROR(BI10/BI9,0),2)</f>
        <v>0.95</v>
      </c>
      <c r="BJ16" s="25">
        <f>=Round(IFERROR(BJ10/BJ9,0),2)</f>
        <v>0.95</v>
      </c>
      <c r="BK16" s="25">
        <f>=Round(IFERROR(BK10/BK9,0),2)</f>
        <v>0.95</v>
      </c>
      <c r="BL16" s="25">
        <f>=Round(IFERROR(BL10/BL9,0),2)</f>
        <v>0.95</v>
      </c>
      <c r="BM16" s="25">
        <f>=Round(IFERROR(BM10/BM9,0),2)</f>
        <v>0.95</v>
      </c>
      <c r="BN16" s="25">
        <f>=Round(IFERROR(BN10/BN9,0),2)</f>
        <v>0.95</v>
      </c>
      <c r="BO16" s="25">
        <f>=Round(IFERROR(BO10/BO9,0),2)</f>
        <v>0.93</v>
      </c>
      <c r="BP16" s="25">
        <f>=Round(IFERROR(BP10/BP9,0),2)</f>
        <v>0.87</v>
      </c>
      <c r="BQ16" s="25">
        <f>=Round(IFERROR(BQ10/BQ9,0),2)</f>
        <v>0.86</v>
      </c>
      <c r="BR16" s="25">
        <f>=Round(IFERROR(BR10/BR9,0),2)</f>
        <v>0.85</v>
      </c>
      <c r="BS16" s="25">
        <f>=Round(IFERROR(BS10/BS9,0),2)</f>
        <v>0.83</v>
      </c>
      <c r="BT16" s="25">
        <f>=Round(IFERROR(BT10/BT9,0),2)</f>
        <v>0.82</v>
      </c>
      <c r="BU16" s="25">
        <f>=Round(IFERROR(BU10/BU9,0),2)</f>
        <v>0.81</v>
      </c>
      <c r="BV16" s="25">
        <f>=Round(IFERROR(BV10/BV9,0),2)</f>
        <v>0.8</v>
      </c>
      <c r="BW16" s="25">
        <f>=Round(IFERROR(BW10/BW9,0),2)</f>
        <v>0.79</v>
      </c>
      <c r="BX16" s="25">
        <f>=Round(IFERROR(BX10/BX9,0),2)</f>
        <v>0.77</v>
      </c>
      <c r="BY16" s="25">
        <f>=Round(IFERROR(BY10/BY9,0),2)</f>
        <v>0.76</v>
      </c>
      <c r="BZ16" s="25">
        <f>=Round(IFERROR(BZ10/BZ9,0),2)</f>
        <v>0.75</v>
      </c>
      <c r="CA16" s="25">
        <f>=Round(IFERROR(CA10/CA9,0),2)</f>
        <v>0.74</v>
      </c>
      <c r="CB16" s="25">
        <f>=Round(IFERROR(CB10/CB9,0),2)</f>
        <v>0.73</v>
      </c>
      <c r="CC16" s="25">
        <f>=Round(IFERROR(CC10/CC9,0),2)</f>
        <v>0.72</v>
      </c>
      <c r="CD16" s="25">
        <f>=Round(IFERROR(CD10/CD9,0),2)</f>
        <v>0.71</v>
      </c>
      <c r="CE16" s="25">
        <f>=Round(IFERROR(CE10/CE9,0),2)</f>
        <v>0.7</v>
      </c>
      <c r="CF16" s="25">
        <f>=Round(IFERROR(CF10/CF9,0),2)</f>
        <v>0.69</v>
      </c>
      <c r="CG16" s="25">
        <f>=Round(IFERROR(CG10/CG9,0),2)</f>
        <v>0.68</v>
      </c>
      <c r="CH16" s="25">
        <f>=Round(IFERROR(CH10/CH9,0),2)</f>
        <v>0.67</v>
      </c>
      <c r="CI16" s="25">
        <f>=Round(IFERROR(CI10/CI9,0),2)</f>
        <v>0.66</v>
      </c>
      <c r="CJ16" s="25">
        <f>=Round(IFERROR(CJ10/CJ9,0),2)</f>
        <v>0.65</v>
      </c>
      <c r="CK16" s="25">
        <f>=Round(IFERROR(CK10/CK9,0),2)</f>
        <v>0.64</v>
      </c>
      <c r="CL16" s="25">
        <f>=Round(IFERROR(CL10/CL9,0),2)</f>
        <v>0.63</v>
      </c>
      <c r="CM16" s="25">
        <f>=Round(IFERROR(CM10/CM9,0),2)</f>
        <v>0.62</v>
      </c>
      <c r="CN16" s="25">
        <f>=Round(IFERROR(CN10/CN9,0),2)</f>
        <v>0.61</v>
      </c>
      <c r="CO16" s="25">
        <f>=Round(IFERROR(CO10/CO9,0),2)</f>
        <v>0.6</v>
      </c>
      <c r="CP16" s="25">
        <f>=Round(IFERROR(CP10/CP9,0),2)</f>
        <v>0.59</v>
      </c>
      <c r="CQ16" s="25">
        <f>=Round(IFERROR(CQ10/CQ9,0),2)</f>
        <v>0.58</v>
      </c>
      <c r="CR16" s="25">
        <f>=Round(IFERROR(CR10/CR9,0),2)</f>
        <v>0.57</v>
      </c>
      <c r="CS16" s="25">
        <f>=Round(IFERROR(CS10/CS9,0),2)</f>
        <v>0.56</v>
      </c>
      <c r="CT16" s="25">
        <f>=Round(IFERROR(CT10/CT9,0),2)</f>
        <v>0.55</v>
      </c>
      <c r="CU16" s="25">
        <f>=Round(IFERROR(CU10/CU9,0),2)</f>
        <v>0.55</v>
      </c>
      <c r="CV16" s="25">
        <f>=Round(IFERROR(CV10/CV9,0),2)</f>
        <v>0.54</v>
      </c>
      <c r="CW16" s="25">
        <f>=Round(IFERROR(CW10/CW9,0),2)</f>
        <v>0.53</v>
      </c>
      <c r="CX16" s="25">
        <f>=Round(IFERROR(CX10/CX9,0),2)</f>
        <v>0.52</v>
      </c>
      <c r="CY16" s="25">
        <f>=Round(IFERROR(CY10/CY9,0),2)</f>
        <v>0.51</v>
      </c>
      <c r="CZ16" s="25">
        <f>=Round(IFERROR(CZ10/CZ9,0),2)</f>
        <v>0.51</v>
      </c>
      <c r="DA16" s="25">
        <f>=Round(IFERROR(DA10/DA9,0),2)</f>
        <v>0.5</v>
      </c>
      <c r="DB16" s="25">
        <f>=Round(IFERROR(DB10/DB9,0),2)</f>
        <v>0.49</v>
      </c>
    </row>
    <row r="17" ht="14" customHeight="1" spans="1:106" x14ac:dyDescent="0.25">
      <c r="A17" s="23" t="s">
        <v>251</v>
      </c>
      <c r="B17" s="24"/>
      <c r="C17" s="26">
        <f>=IFERROR(C11/C8,0)</f>
        <v>0.9807106598984772</v>
      </c>
      <c r="D17" s="26">
        <f>=IFERROR(D11/D8,0)</f>
        <v>0.9819567979669631</v>
      </c>
      <c r="E17" s="25">
        <f>=IFERROR(E11/E8,0)</f>
        <v>0.9819567979669631</v>
      </c>
      <c r="F17" s="25">
        <f>=IFERROR(F11/F8,0)</f>
        <v>0.9819567979669631</v>
      </c>
      <c r="G17" s="25">
        <f>=IFERROR(G11/G8,0)</f>
        <v>0.979467680608365</v>
      </c>
      <c r="H17" s="25">
        <f>=IFERROR(H11/H8,0)</f>
        <v>1.1396984924623115</v>
      </c>
      <c r="I17" s="25">
        <f>=IFERROR(I11/I8,0)</f>
        <v>1.1396984924623115</v>
      </c>
      <c r="J17" s="25">
        <f>=IFERROR(J11/J8,0)</f>
        <v>1.141132075471698</v>
      </c>
      <c r="K17" s="25">
        <f>=IFERROR(K11/K8,0)</f>
        <v>1.141132075471698</v>
      </c>
      <c r="L17" s="25">
        <f>=IFERROR(L11/L8,0)</f>
        <v>1.1952569169960474</v>
      </c>
      <c r="M17" s="25">
        <f>=IFERROR(M11/M8,0)</f>
        <v>1.1525065963060686</v>
      </c>
      <c r="N17" s="25">
        <f>=IFERROR(N11/N8,0)</f>
        <v>1.1540290620871863</v>
      </c>
      <c r="O17" s="25">
        <f>=IFERROR(O11/O8,0)</f>
        <v>1.1525065963060686</v>
      </c>
      <c r="P17" s="25">
        <f>=IFERROR(P11/P8,0)</f>
        <v>1.409032258064516</v>
      </c>
      <c r="Q17" s="25">
        <f>=IFERROR(Q11/Q8,0)</f>
        <v>1.1380645161290324</v>
      </c>
      <c r="R17" s="25">
        <f>=IFERROR(R11/R8,0)</f>
        <v>1.0296774193548388</v>
      </c>
      <c r="S17" s="25">
        <f>=IFERROR(S11/S8,0)</f>
        <v>1.0247191011235954</v>
      </c>
      <c r="T17" s="25">
        <f>=IFERROR(T11/T8,0)</f>
        <v>1.0280193236714976</v>
      </c>
      <c r="U17" s="25">
        <f>=IFERROR(U11/U8,0)</f>
        <v>1.0821256038647342</v>
      </c>
      <c r="V17" s="25">
        <f>=IFERROR(V11/V8,0)</f>
        <v>1.0821256038647342</v>
      </c>
      <c r="W17" s="25">
        <f>=IFERROR(W11/W8,0)</f>
        <v>1.0821256038647342</v>
      </c>
      <c r="X17" s="25">
        <f>=IFERROR(X11/X8,0)</f>
        <v>1.0821256038647342</v>
      </c>
      <c r="Y17" s="25">
        <f>=IFERROR(Y11/Y8,0)</f>
        <v>1.0803858520900322</v>
      </c>
      <c r="Z17" s="25">
        <f>=IFERROR(Z11/Z8,0)</f>
        <v>1.0803858520900322</v>
      </c>
      <c r="AA17" s="25">
        <f>=IFERROR(AA11/AA8,0)</f>
        <v>1.0803858520900322</v>
      </c>
      <c r="AB17" s="25">
        <f>=IFERROR(AB11/AB8,0)</f>
        <v>1.0263665594855305</v>
      </c>
      <c r="AC17" s="25">
        <f>=IFERROR(AC11/AC8,0)</f>
        <v>1.0280193236714976</v>
      </c>
      <c r="AD17" s="25">
        <f>=IFERROR(AD11/AD8,0)</f>
        <v>1.0821256038647342</v>
      </c>
      <c r="AE17" s="25">
        <f>=IFERROR(AE11/AE8,0)</f>
        <v>0.9198067632850242</v>
      </c>
      <c r="AF17" s="25">
        <f>=IFERROR(AF11/AF8,0)</f>
        <v>0.8657004830917875</v>
      </c>
      <c r="AG17" s="25">
        <f>=IFERROR(AG11/AG8,0)</f>
        <v>0.8657004830917875</v>
      </c>
      <c r="AH17" s="25">
        <f>=IFERROR(AH11/AH8,0)</f>
        <v>0.9739130434782609</v>
      </c>
      <c r="AI17" s="25">
        <f>=IFERROR(AI11/AI8,0)</f>
        <v>0.9739130434782609</v>
      </c>
      <c r="AJ17" s="25">
        <f>=IFERROR(AJ11/AJ8,0)</f>
        <v>0.9739130434782609</v>
      </c>
      <c r="AK17" s="25">
        <f>=IFERROR(AK11/AK8,0)</f>
        <v>0.9212903225806451</v>
      </c>
      <c r="AL17" s="25">
        <f>=IFERROR(AL11/AL8,0)</f>
        <v>0.9754838709677419</v>
      </c>
      <c r="AM17" s="25">
        <f>=IFERROR(AM11/AM8,0)</f>
        <v>0.9754838709677419</v>
      </c>
      <c r="AN17" s="25">
        <f>=IFERROR(AN11/AN8,0)</f>
        <v>0.9754838709677419</v>
      </c>
      <c r="AO17" s="25">
        <f>=IFERROR(AO11/AO8,0)</f>
        <v>0.9754838709677419</v>
      </c>
      <c r="AP17" s="25">
        <f>=IFERROR(AP11/AP8,0)</f>
        <v>0.9754838709677419</v>
      </c>
      <c r="AQ17" s="25">
        <f>=IFERROR(AQ11/AQ8,0)</f>
        <v>0.9212903225806451</v>
      </c>
      <c r="AR17" s="25">
        <f>=IFERROR(AR11/AR8,0)</f>
        <v>0.9212903225806451</v>
      </c>
      <c r="AS17" s="25">
        <f>=IFERROR(AS11/AS8,0)</f>
        <v>0.9754838709677419</v>
      </c>
      <c r="AT17" s="25">
        <f>=IFERROR(AT11/AT8,0)</f>
        <v>0.9754838709677419</v>
      </c>
      <c r="AU17" s="25">
        <f>=IFERROR(AU11/AU8,0)</f>
        <v>0.9754838709677419</v>
      </c>
      <c r="AV17" s="25">
        <f>=IFERROR(AV11/AV8,0)</f>
        <v>0.9754838709677419</v>
      </c>
      <c r="AW17" s="25">
        <f>=IFERROR(AW11/AW8,0)</f>
        <v>0.9754838709677419</v>
      </c>
      <c r="AX17" s="25">
        <f>=IFERROR(AX11/AX8,0)</f>
        <v>0.9754838709677419</v>
      </c>
      <c r="AY17" s="25">
        <f>=IFERROR(AY11/AY8,0)</f>
        <v>0.9405909797822706</v>
      </c>
      <c r="AZ17" s="25">
        <f>=IFERROR(AZ11/AZ8,0)</f>
        <v>0.9405909797822706</v>
      </c>
      <c r="BA17" s="25">
        <f>=IFERROR(BA11/BA8,0)</f>
        <v>0.9405909797822706</v>
      </c>
      <c r="BB17" s="25">
        <f>=IFERROR(BB11/BB8,0)</f>
        <v>0.9405909797822706</v>
      </c>
      <c r="BC17" s="25">
        <f>=IFERROR(BC11/BC8,0)</f>
        <v>0.958513931888545</v>
      </c>
      <c r="BD17" s="25">
        <f>=IFERROR(BD11/BD8,0)</f>
        <v>0.957032457496136</v>
      </c>
      <c r="BE17" s="25">
        <f>=IFERROR(BE11/BE8,0)</f>
        <v>0.957032457496136</v>
      </c>
      <c r="BF17" s="25">
        <f>=IFERROR(BF11/BF8,0)</f>
        <v>0.957032457496136</v>
      </c>
      <c r="BG17" s="25">
        <f>=IFERROR(BG11/BG8,0)</f>
        <v>0.958513931888545</v>
      </c>
      <c r="BH17" s="25">
        <f>=IFERROR(BH11/BH8,0)</f>
        <v>0.9614906832298137</v>
      </c>
      <c r="BI17" s="25">
        <f>=IFERROR(BI11/BI8,0)</f>
        <v>0.9614906832298137</v>
      </c>
      <c r="BJ17" s="25">
        <f>=IFERROR(BJ11/BJ8,0)</f>
        <v>0.9614906832298137</v>
      </c>
      <c r="BK17" s="25">
        <f>=IFERROR(BK11/BK8,0)</f>
        <v>0.9614906832298137</v>
      </c>
      <c r="BL17" s="25">
        <f>=IFERROR(BL11/BL8,0)</f>
        <v>0.9614906832298137</v>
      </c>
      <c r="BM17" s="25">
        <f>=IFERROR(BM11/BM8,0)</f>
        <v>0.9614906832298137</v>
      </c>
      <c r="BN17" s="25">
        <f>=IFERROR(BN11/BN8,0)</f>
        <v>0.9614906832298137</v>
      </c>
      <c r="BO17" s="25">
        <f>=IFERROR(BO11/BO8,0)</f>
        <v>0.9470683229813665</v>
      </c>
      <c r="BP17" s="25">
        <f>=IFERROR(BP11/BP8,0)</f>
        <v>0.8939930357142857</v>
      </c>
      <c r="BQ17" s="25">
        <f>=IFERROR(BQ11/BQ8,0)</f>
        <v>0.8805831401785714</v>
      </c>
      <c r="BR17" s="25">
        <f>=IFERROR(BR11/BR8,0)</f>
        <v>0.8673743930758928</v>
      </c>
      <c r="BS17" s="25">
        <f>=IFERROR(BS11/BS8,0)</f>
        <v>0.8543637771797544</v>
      </c>
      <c r="BT17" s="25">
        <f>=IFERROR(BT11/BT8,0)</f>
        <v>0.8415483205220582</v>
      </c>
      <c r="BU17" s="25">
        <f>=IFERROR(BU11/BU8,0)</f>
        <v>0.8289250957142273</v>
      </c>
      <c r="BV17" s="25">
        <f>=IFERROR(BV11/BV8,0)</f>
        <v>0.8164912192785139</v>
      </c>
      <c r="BW17" s="25">
        <f>=IFERROR(BW11/BW8,0)</f>
        <v>0.804243850989336</v>
      </c>
      <c r="BX17" s="25">
        <f>=IFERROR(BX11/BX8,0)</f>
        <v>0.7921801932244962</v>
      </c>
      <c r="BY17" s="25">
        <f>=IFERROR(BY11/BY8,0)</f>
        <v>0.7802974903261286</v>
      </c>
      <c r="BZ17" s="25">
        <f>=IFERROR(BZ11/BZ8,0)</f>
        <v>0.7685930279712367</v>
      </c>
      <c r="CA17" s="25">
        <f>=IFERROR(CA11/CA8,0)</f>
        <v>0.7570641325516682</v>
      </c>
      <c r="CB17" s="25">
        <f>=IFERROR(CB11/CB8,0)</f>
        <v>0.7457081705633931</v>
      </c>
      <c r="CC17" s="25">
        <f>=IFERROR(CC11/CC8,0)</f>
        <v>0.7345225480049421</v>
      </c>
      <c r="CD17" s="25">
        <f>=IFERROR(CD11/CD8,0)</f>
        <v>0.7235047097848681</v>
      </c>
      <c r="CE17" s="25">
        <f>=IFERROR(CE11/CE8,0)</f>
        <v>0.712652139138095</v>
      </c>
      <c r="CF17" s="25">
        <f>=IFERROR(CF11/CF8,0)</f>
        <v>0.7019623570510236</v>
      </c>
      <c r="CG17" s="25">
        <f>=IFERROR(CG11/CG8,0)</f>
        <v>0.691432921695258</v>
      </c>
      <c r="CH17" s="25">
        <f>=IFERROR(CH11/CH8,0)</f>
        <v>0.6810614278698295</v>
      </c>
      <c r="CI17" s="25">
        <f>=IFERROR(CI11/CI8,0)</f>
        <v>0.670845506451782</v>
      </c>
      <c r="CJ17" s="25">
        <f>=IFERROR(CJ11/CJ8,0)</f>
        <v>0.6607828238550052</v>
      </c>
      <c r="CK17" s="25">
        <f>=IFERROR(CK11/CK8,0)</f>
        <v>0.6508710814971803</v>
      </c>
      <c r="CL17" s="25">
        <f>=IFERROR(CL11/CL8,0)</f>
        <v>0.6411080152747225</v>
      </c>
      <c r="CM17" s="25">
        <f>=IFERROR(CM11/CM8,0)</f>
        <v>0.6314913950456018</v>
      </c>
      <c r="CN17" s="25">
        <f>=IFERROR(CN11/CN8,0)</f>
        <v>0.6220190241199177</v>
      </c>
      <c r="CO17" s="25">
        <f>=IFERROR(CO11/CO8,0)</f>
        <v>0.6126887387581188</v>
      </c>
      <c r="CP17" s="25">
        <f>=IFERROR(CP11/CP8,0)</f>
        <v>0.603498407676747</v>
      </c>
      <c r="CQ17" s="25">
        <f>=IFERROR(CQ11/CQ8,0)</f>
        <v>0.5944459315615959</v>
      </c>
      <c r="CR17" s="25">
        <f>=IFERROR(CR11/CR8,0)</f>
        <v>0.5855292425881718</v>
      </c>
      <c r="CS17" s="25">
        <f>=IFERROR(CS11/CS8,0)</f>
        <v>0.5767463039493491</v>
      </c>
      <c r="CT17" s="25">
        <f>=IFERROR(CT11/CT8,0)</f>
        <v>0.5680951093901089</v>
      </c>
      <c r="CU17" s="25">
        <f>=IFERROR(CU11/CU8,0)</f>
        <v>0.5595736827492575</v>
      </c>
      <c r="CV17" s="25">
        <f>=IFERROR(CV11/CV8,0)</f>
        <v>0.5511800775080187</v>
      </c>
      <c r="CW17" s="25">
        <f>=IFERROR(CW11/CW8,0)</f>
        <v>0.5429123763453984</v>
      </c>
      <c r="CX17" s="25">
        <f>=IFERROR(CX11/CX8,0)</f>
        <v>0.5347686907002175</v>
      </c>
      <c r="CY17" s="25">
        <f>=IFERROR(CY11/CY8,0)</f>
        <v>0.5267471603397142</v>
      </c>
      <c r="CZ17" s="25">
        <f>=IFERROR(CZ11/CZ8,0)</f>
        <v>0.5188459529346187</v>
      </c>
      <c r="DA17" s="25">
        <f>=IFERROR(DA11/DA8,0)</f>
        <v>0.5110632636405994</v>
      </c>
      <c r="DB17" s="25">
        <f>=IFERROR(DB11/DB8,0)</f>
        <v>0.5033973146859901</v>
      </c>
    </row>
    <row r="18" spans="1:106" x14ac:dyDescent="0.25">
      <c r="A18" s="27" t="s">
        <v>252</v>
      </c>
      <c r="C18" s="28">
        <f>=SUM(C19:C23)</f>
        <v>23</v>
      </c>
      <c r="D18" s="28">
        <f>=SUM(D19:D23)</f>
        <v>23</v>
      </c>
      <c r="E18" s="28">
        <f>=SUM(E19:E23)</f>
        <v>23</v>
      </c>
      <c r="F18" s="28">
        <f>=SUM(F19:F23)</f>
        <v>23</v>
      </c>
      <c r="G18" s="28">
        <f>=SUM(G19:G23)</f>
        <v>23</v>
      </c>
      <c r="H18" s="28">
        <f>=SUM(H19:H23)</f>
        <v>27</v>
      </c>
      <c r="I18" s="28">
        <f>=SUM(I19:I23)</f>
        <v>27</v>
      </c>
      <c r="J18" s="28">
        <f>=SUM(J19:J23)</f>
        <v>27</v>
      </c>
      <c r="K18" s="28">
        <f>=SUM(K19:K23)</f>
        <v>27</v>
      </c>
      <c r="L18" s="28">
        <f>=SUM(L19:L23)</f>
        <v>27</v>
      </c>
      <c r="M18" s="28">
        <f>=SUM(M19:M23)</f>
        <v>26</v>
      </c>
      <c r="N18" s="28">
        <f>=SUM(N19:N23)</f>
        <v>26</v>
      </c>
      <c r="O18" s="28">
        <f>=SUM(O19:O23)</f>
        <v>26</v>
      </c>
      <c r="P18" s="28">
        <f>=SUM(P19:P23)</f>
        <v>26</v>
      </c>
      <c r="Q18" s="28">
        <f>=SUM(Q19:Q23)</f>
        <v>21</v>
      </c>
      <c r="R18" s="28">
        <f>=SUM(R19:R23)</f>
        <v>19</v>
      </c>
      <c r="S18" s="28">
        <f>=SUM(S19:S23)</f>
        <v>19</v>
      </c>
      <c r="T18" s="28">
        <f>=SUM(T19:T23)</f>
        <v>19</v>
      </c>
      <c r="U18" s="28">
        <f>=SUM(U19:U23)</f>
        <v>20</v>
      </c>
      <c r="V18" s="28">
        <f>=SUM(V19:V23)</f>
        <v>20</v>
      </c>
      <c r="W18" s="28">
        <f>=SUM(W19:W23)</f>
        <v>20</v>
      </c>
      <c r="X18" s="28">
        <f>=SUM(X19:X23)</f>
        <v>20</v>
      </c>
      <c r="Y18" s="28">
        <f>=SUM(Y19:Y23)</f>
        <v>20</v>
      </c>
      <c r="Z18" s="28">
        <f>=SUM(Z19:Z23)</f>
        <v>20</v>
      </c>
      <c r="AA18" s="28">
        <f>=SUM(AA19:AA23)</f>
        <v>20</v>
      </c>
      <c r="AB18" s="28">
        <f>=SUM(AB19:AB23)</f>
        <v>19</v>
      </c>
      <c r="AC18" s="28">
        <f>=SUM(AC19:AC23)</f>
        <v>19</v>
      </c>
      <c r="AD18" s="28">
        <f>=SUM(AD19:AD23)</f>
        <v>20</v>
      </c>
      <c r="AE18" s="28">
        <f>=SUM(AE19:AE23)</f>
        <v>17</v>
      </c>
      <c r="AF18" s="28">
        <f>=SUM(AF19:AF23)</f>
        <v>16</v>
      </c>
      <c r="AG18" s="29">
        <f>=SUM(AG19:AG23)</f>
        <v>16</v>
      </c>
      <c r="AH18" s="28">
        <f>=SUM(AH19:AH23)</f>
        <v>18</v>
      </c>
      <c r="AI18" s="28">
        <f>=SUM(AI19:AI23)</f>
        <v>18</v>
      </c>
      <c r="AJ18" s="28">
        <f>=SUM(AJ19:AJ23)</f>
        <v>18</v>
      </c>
      <c r="AK18" s="28">
        <f>=SUM(AK19:AK23)</f>
        <v>17</v>
      </c>
      <c r="AL18" s="28">
        <f>=SUM(AL19:AL23)</f>
        <v>18</v>
      </c>
      <c r="AM18" s="28">
        <f>=SUM(AM19:AM23)</f>
        <v>18</v>
      </c>
      <c r="AN18" s="28">
        <f>=SUM(AN19:AN23)</f>
        <v>18</v>
      </c>
      <c r="AO18" s="28">
        <f>=SUM(AO19:AO23)</f>
        <v>18</v>
      </c>
      <c r="AP18" s="28">
        <f>=SUM(AP19:AP23)</f>
        <v>18</v>
      </c>
      <c r="AQ18" s="28">
        <f>=SUM(AQ19:AQ23)</f>
        <v>17</v>
      </c>
      <c r="AR18" s="28">
        <f>=SUM(AR19:AR23)</f>
        <v>17</v>
      </c>
      <c r="AS18" s="28">
        <f>=SUM(AS19:AS23)</f>
        <v>18</v>
      </c>
      <c r="AT18" s="28">
        <f>=SUM(AT19:AT23)</f>
        <v>18</v>
      </c>
      <c r="AU18" s="28">
        <f>=SUM(AU19:AU23)</f>
        <v>18</v>
      </c>
      <c r="AV18" s="28">
        <f>=SUM(AV19:AV23)</f>
        <v>18</v>
      </c>
      <c r="AW18" s="28">
        <f>=SUM(AW19:AW23)</f>
        <v>18</v>
      </c>
      <c r="AX18" s="28">
        <f>=SUM(AX19:AX23)</f>
        <v>18</v>
      </c>
      <c r="AY18" s="28">
        <f>=SUM(AY19:AY23)</f>
        <v>18</v>
      </c>
      <c r="AZ18" s="28">
        <f>=SUM(AZ19:AZ23)</f>
        <v>18</v>
      </c>
      <c r="BA18" s="28">
        <f>=SUM(BA19:BA23)</f>
        <v>18</v>
      </c>
      <c r="BB18" s="28">
        <f>=SUM(BB19:BB23)</f>
        <v>18</v>
      </c>
      <c r="BC18" s="28">
        <f>=SUM(BC19:BC23)</f>
        <v>18</v>
      </c>
      <c r="BD18" s="28">
        <f>=SUM(BD19:BD23)</f>
        <v>18</v>
      </c>
      <c r="BE18" s="28">
        <f>=SUM(BE19:BE23)</f>
        <v>18</v>
      </c>
      <c r="BF18" s="28">
        <f>=SUM(BF19:BF23)</f>
        <v>18</v>
      </c>
      <c r="BG18" s="28">
        <f>=SUM(BG19:BG23)</f>
        <v>18</v>
      </c>
      <c r="BH18" s="28">
        <f>=SUM(BH19:BH23)</f>
        <v>18</v>
      </c>
      <c r="BI18" s="28">
        <f>=SUM(BI19:BI23)</f>
        <v>18</v>
      </c>
      <c r="BJ18" s="28">
        <f>=SUM(BJ19:BJ23)</f>
        <v>18</v>
      </c>
      <c r="BK18" s="28">
        <f>=SUM(BK19:BK23)</f>
        <v>18</v>
      </c>
      <c r="BL18" s="28">
        <f>=SUM(BL19:BL23)</f>
        <v>18</v>
      </c>
      <c r="BM18" s="28">
        <f>=SUM(BM19:BM23)</f>
        <v>18</v>
      </c>
      <c r="BN18" s="28">
        <f>=SUM(BN19:BN23)</f>
        <v>18</v>
      </c>
      <c r="BO18" s="28">
        <f>=SUM(BO19:BO23)</f>
        <v>17.73</v>
      </c>
      <c r="BP18" s="28">
        <f>=SUM(BP19:BP23)</f>
        <v>17.46405</v>
      </c>
      <c r="BQ18" s="28">
        <f>=SUM(BQ19:BQ23)</f>
        <v>17.20208925</v>
      </c>
      <c r="BR18" s="28">
        <f>=SUM(BR19:BR23)</f>
        <v>16.94405791125</v>
      </c>
      <c r="BS18" s="28">
        <f>=SUM(BS19:BS23)</f>
        <v>16.68989704258125</v>
      </c>
      <c r="BT18" s="28">
        <f>=SUM(BT19:BT23)</f>
        <v>16.439548586942532</v>
      </c>
      <c r="BU18" s="28">
        <f>=SUM(BU19:BU23)</f>
        <v>16.192955358138395</v>
      </c>
      <c r="BV18" s="28">
        <f>=SUM(BV19:BV23)</f>
        <v>15.950061027766319</v>
      </c>
      <c r="BW18" s="28">
        <f>=SUM(BW19:BW23)</f>
        <v>15.710810112349822</v>
      </c>
      <c r="BX18" s="28">
        <f>=SUM(BX19:BX23)</f>
        <v>15.475147960664575</v>
      </c>
      <c r="BY18" s="28">
        <f>=SUM(BY19:BY23)</f>
        <v>15.243020741254606</v>
      </c>
      <c r="BZ18" s="28">
        <f>=SUM(BZ19:BZ23)</f>
        <v>15.014375430135788</v>
      </c>
      <c r="CA18" s="28">
        <f>=SUM(CA19:CA23)</f>
        <v>14.78915979868375</v>
      </c>
      <c r="CB18" s="28">
        <f>=SUM(CB19:CB23)</f>
        <v>14.567322401703494</v>
      </c>
      <c r="CC18" s="28">
        <f>=SUM(CC19:CC23)</f>
        <v>14.348812565677942</v>
      </c>
      <c r="CD18" s="28">
        <f>=SUM(CD19:CD23)</f>
        <v>14.133580377192771</v>
      </c>
      <c r="CE18" s="28">
        <f>=SUM(CE19:CE23)</f>
        <v>13.92157667153488</v>
      </c>
      <c r="CF18" s="28">
        <f>=SUM(CF19:CF23)</f>
        <v>13.712753021461857</v>
      </c>
      <c r="CG18" s="28">
        <f>=SUM(CG19:CG23)</f>
        <v>13.507061726139929</v>
      </c>
      <c r="CH18" s="28">
        <f>=SUM(CH19:CH23)</f>
        <v>13.30445580024783</v>
      </c>
      <c r="CI18" s="28">
        <f>=SUM(CI19:CI23)</f>
        <v>13.104888963244115</v>
      </c>
      <c r="CJ18" s="28">
        <f>=SUM(CJ19:CJ23)</f>
        <v>12.908315628795455</v>
      </c>
      <c r="CK18" s="28">
        <f>=SUM(CK19:CK23)</f>
        <v>12.714690894363523</v>
      </c>
      <c r="CL18" s="28">
        <f>=SUM(CL19:CL23)</f>
        <v>12.523970530948068</v>
      </c>
      <c r="CM18" s="28">
        <f>=SUM(CM19:CM23)</f>
        <v>12.336110972983848</v>
      </c>
      <c r="CN18" s="28">
        <f>=SUM(CN19:CN23)</f>
        <v>12.15106930838909</v>
      </c>
      <c r="CO18" s="28">
        <f>=SUM(CO19:CO23)</f>
        <v>11.968803268763255</v>
      </c>
      <c r="CP18" s="28">
        <f>=SUM(CP19:CP23)</f>
        <v>11.789271219731802</v>
      </c>
      <c r="CQ18" s="28">
        <f>=SUM(CQ19:CQ23)</f>
        <v>11.612432151435824</v>
      </c>
      <c r="CR18" s="28">
        <f>=SUM(CR19:CR23)</f>
        <v>11.438245669164287</v>
      </c>
      <c r="CS18" s="28">
        <f>=SUM(CS19:CS23)</f>
        <v>11.26667198412682</v>
      </c>
      <c r="CT18" s="28">
        <f>=SUM(CT19:CT23)</f>
        <v>11.09767190436492</v>
      </c>
      <c r="CU18" s="28">
        <f>=SUM(CU19:CU23)</f>
        <v>10.931206825799448</v>
      </c>
      <c r="CV18" s="28">
        <f>=SUM(CV19:CV23)</f>
        <v>10.767238723412458</v>
      </c>
      <c r="CW18" s="28">
        <f>=SUM(CW19:CW23)</f>
        <v>10.60573014256127</v>
      </c>
      <c r="CX18" s="28">
        <f>=SUM(CX19:CX23)</f>
        <v>10.446644190422852</v>
      </c>
      <c r="CY18" s="28">
        <f>=SUM(CY19:CY23)</f>
        <v>10.28994452756651</v>
      </c>
      <c r="CZ18" s="28">
        <f>=SUM(CZ19:CZ23)</f>
        <v>10.135595359653015</v>
      </c>
      <c r="DA18" s="28">
        <f>=SUM(DA19:DA23)</f>
        <v>9.98356142925822</v>
      </c>
      <c r="DB18" s="28">
        <f>=SUM(DB19:DB23)</f>
        <v>9.833808007819346</v>
      </c>
    </row>
    <row r="19" spans="1:106" x14ac:dyDescent="0.25">
      <c r="A19" s="27" t="s">
        <v>253</v>
      </c>
      <c r="C19" s="28">
        <f>=IF(LEN(C82)=0,(23*(1-B41))-C81+C97+C125,(23-C81+C97+C125))</f>
        <v>23</v>
      </c>
      <c r="D19" s="28">
        <f>=IF(LEN(D82)=0,(C19*(1-C41))-D81+D97+D125,(C19-D81+D97+D125))</f>
        <v>23</v>
      </c>
      <c r="E19" s="28">
        <f>=IF(LEN(E82)=0,(D19*(1-D41))-E81+E97+E125,(D19-E81+E97+E125))</f>
        <v>23</v>
      </c>
      <c r="F19" s="28">
        <f>=IF(LEN(F82)=0,(E19*(1-E41))-F81+F97+F125,(E19-F81+F97+F125))</f>
        <v>23</v>
      </c>
      <c r="G19" s="28">
        <f>=IF(LEN(G82)=0,(F19*(1-F41))-G81+G97+G125,(F19-G81+G97+G125))</f>
        <v>23</v>
      </c>
      <c r="H19" s="28">
        <f>=IF(LEN(H82)=0,(G19*(1-G41))-H81+H97+H125,(G19-H81+H97+H125))</f>
        <v>27</v>
      </c>
      <c r="I19" s="28">
        <f>=IF(LEN(I82)=0,(H19*(1-H41))-I81+I97+I125,(H19-I81+I97+I125))</f>
        <v>27</v>
      </c>
      <c r="J19" s="28">
        <f>=IF(LEN(J82)=0,(I19*(1-I41))-J81+J97+J125,(I19-J81+J97+J125))</f>
        <v>27</v>
      </c>
      <c r="K19" s="28">
        <f>=IF(LEN(K82)=0,(J19*(1-J41))-K81+K97+K125,(J19-K81+K97+K125))</f>
        <v>27</v>
      </c>
      <c r="L19" s="28">
        <f>=IF(LEN(L82)=0,(K19*(1-K41))-L81+L97+L125,(K19-L81+L97+L125))</f>
        <v>27</v>
      </c>
      <c r="M19" s="28">
        <f>=IF(LEN(M82)=0,(L19*(1-L41))-M81+M97+M125,(L19-M81+M97+M125))</f>
        <v>26</v>
      </c>
      <c r="N19" s="28">
        <f>=IF(LEN(N82)=0,(M19*(1-M41))-N81+N97+N125,(M19-N81+N97+N125))</f>
        <v>26</v>
      </c>
      <c r="O19" s="28">
        <f>=IF(LEN(O82)=0,(N19*(1-N41))-O81+O97+O125,(N19-O81+O97+O125))</f>
        <v>26</v>
      </c>
      <c r="P19" s="28">
        <f>=IF(LEN(P82)=0,(O19*(1-O41))-P81+P97+P125,(O19-P81+P97+P125))</f>
        <v>26</v>
      </c>
      <c r="Q19" s="28">
        <f>=IF(LEN(Q82)=0,(P19*(1-P41))-Q81+Q97+Q125,(P19-Q81+Q97+Q125))</f>
        <v>21</v>
      </c>
      <c r="R19" s="28">
        <f>=IF(LEN(R82)=0,(Q19*(1-Q41))-R81+R97+R125,(Q19-R81+R97+R125))</f>
        <v>19</v>
      </c>
      <c r="S19" s="28">
        <f>=IF(LEN(S82)=0,(R19*(1-R41))-S81+S97+S125,(R19-S81+S97+S125))</f>
        <v>19</v>
      </c>
      <c r="T19" s="28">
        <f>=IF(LEN(T82)=0,(S19*(1-S41))-T81+T97+T125,(S19-T81+T97+T125))</f>
        <v>19</v>
      </c>
      <c r="U19" s="28">
        <f>=IF(LEN(U82)=0,(T19*(1-T41))-U81+U97+U125,(T19-U81+U97+U125))</f>
        <v>20</v>
      </c>
      <c r="V19" s="28">
        <f>=IF(LEN(V82)=0,(U19*(1-U41))-V81+V97+V125,(U19-V81+V97+V125))</f>
        <v>20</v>
      </c>
      <c r="W19" s="28">
        <f>=IF(LEN(W82)=0,(V19*(1-V41))-W81+W97+W125,(V19-W81+W97+W125))</f>
        <v>20</v>
      </c>
      <c r="X19" s="28">
        <f>=IF(LEN(X82)=0,(W19*(1-W41))-X81+X97+X125,(W19-X81+X97+X125))</f>
        <v>20</v>
      </c>
      <c r="Y19" s="28">
        <f>=IF(LEN(Y82)=0,(X19*(1-X41))-Y81+Y97+Y125,(X19-Y81+Y97+Y125))</f>
        <v>20</v>
      </c>
      <c r="Z19" s="28">
        <f>=IF(LEN(Z82)=0,(Y19*(1-Y41))-Z81+Z97+Z125,(Y19-Z81+Z97+Z125))</f>
        <v>20</v>
      </c>
      <c r="AA19" s="28">
        <f>=IF(LEN(AA82)=0,(Z19*(1-Z41))-AA81+AA97+AA125,(Z19-AA81+AA97+AA125))</f>
        <v>20</v>
      </c>
      <c r="AB19" s="28">
        <f>=IF(LEN(AB82)=0,(AA19*(1-AA41))-AB81+AB97+AB125,(AA19-AB81+AB97+AB125))</f>
        <v>19</v>
      </c>
      <c r="AC19" s="28">
        <f>=IF(LEN(AC82)=0,(AB19*(1-AB41))-AC81+AC97+AC125,(AB19-AC81+AC97+AC125))</f>
        <v>19</v>
      </c>
      <c r="AD19" s="28">
        <f>=IF(LEN(AD82)=0,(AC19*(1-AC41))-AD81+AD97+AD125,(AC19-AD81+AD97+AD125))</f>
        <v>20</v>
      </c>
      <c r="AE19" s="28">
        <f>=IF(LEN(AE82)=0,(AD19*(1-AD41))-AE81+AE97+AE125,(AD19-AE81+AE97+AE125))</f>
        <v>17</v>
      </c>
      <c r="AF19" s="28">
        <f>=IF(LEN(AF82)=0,(AE19*(1-AE41))-AF81+AF97+AF125,(AE19-AF81+AF97+AF125))</f>
        <v>16</v>
      </c>
      <c r="AG19" s="28">
        <f>=IF(LEN(AG82)=0,(AF19*(1-AF41))-AG81+AG97+AG125,(AF19-AG81+AG97+AG125))</f>
        <v>16</v>
      </c>
      <c r="AH19" s="28">
        <f>=IF(LEN(AH82)=0,(AG19*(1-AG41))-AH81+AH97+AH125,(AG19-AH81+AH97+AH125))</f>
        <v>18</v>
      </c>
      <c r="AI19" s="28">
        <f>=IF(LEN(AI82)=0,(AH19*(1-AH41))-AI81+AI97+AI125,(AH19-AI81+AI97+AI125))</f>
        <v>18</v>
      </c>
      <c r="AJ19" s="28">
        <f>=IF(LEN(AJ82)=0,(AI19*(1-AI41))-AJ81+AJ97+AJ125,(AI19-AJ81+AJ97+AJ125))</f>
        <v>18</v>
      </c>
      <c r="AK19" s="28">
        <f>=IF(LEN(AK82)=0,(AJ19*(1-AJ41))-AK81+AK97+AK125,(AJ19-AK81+AK97+AK125))</f>
        <v>17</v>
      </c>
      <c r="AL19" s="28">
        <f>=IF(LEN(AL82)=0,(AK19*(1-AK41))-AL81+AL97+AL125,(AK19-AL81+AL97+AL125))</f>
        <v>18</v>
      </c>
      <c r="AM19" s="28">
        <f>=IF(LEN(AM82)=0,(AL19*(1-AL41))-AM81+AM97+AM125,(AL19-AM81+AM97+AM125))</f>
        <v>18</v>
      </c>
      <c r="AN19" s="28">
        <f>=IF(LEN(AN82)=0,(AM19*(1-AM41))-AN81+AN97+AN125,(AM19-AN81+AN97+AN125))</f>
        <v>18</v>
      </c>
      <c r="AO19" s="28">
        <f>=IF(LEN(AO82)=0,(AN19*(1-AN41))-AO81+AO97+AO125,(AN19-AO81+AO97+AO125))</f>
        <v>18</v>
      </c>
      <c r="AP19" s="28">
        <f>=IF(LEN(AP82)=0,(AO19*(1-AO41))-AP81+AP97+AP125,(AO19-AP81+AP97+AP125))</f>
        <v>18</v>
      </c>
      <c r="AQ19" s="28">
        <f>=IF(LEN(AQ82)=0,(AP19*(1-AP41))-AQ81+AQ97+AQ125,(AP19-AQ81+AQ97+AQ125))</f>
        <v>17</v>
      </c>
      <c r="AR19" s="28">
        <f>=IF(LEN(AR82)=0,(AQ19*(1-AQ41))-AR81+AR97+AR125,(AQ19-AR81+AR97+AR125))</f>
        <v>17</v>
      </c>
      <c r="AS19" s="28">
        <f>=IF(LEN(AS82)=0,(AR19*(1-AR41))-AS81+AS97+AS125,(AR19-AS81+AS97+AS125))</f>
        <v>18</v>
      </c>
      <c r="AT19" s="28">
        <f>=IF(LEN(AT82)=0,(AS19*(1-AS41))-AT81+AT97+AT125,(AS19-AT81+AT97+AT125))</f>
        <v>18</v>
      </c>
      <c r="AU19" s="28">
        <f>=IF(LEN(AU82)=0,(AT19*(1-AT41))-AU81+AU97+AU125,(AT19-AU81+AU97+AU125))</f>
        <v>18</v>
      </c>
      <c r="AV19" s="28">
        <f>=IF(LEN(AV82)=0,(AU19*(1-AU41))-AV81+AV97+AV125,(AU19-AV81+AV97+AV125))</f>
        <v>18</v>
      </c>
      <c r="AW19" s="28">
        <f>=IF(LEN(AW82)=0,(AV19*(1-AV41))-AW81+AW97+AW125,(AV19-AW81+AW97+AW125))</f>
        <v>18</v>
      </c>
      <c r="AX19" s="28">
        <f>=IF(LEN(AX82)=0,(AW19*(1-AW41))-AX81+AX97+AX125,(AW19-AX81+AX97+AX125))</f>
        <v>18</v>
      </c>
      <c r="AY19" s="28">
        <f>=IF(LEN(AY82)=0,(AX19*(1-AX41))-AY81+AY97+AY125,(AX19-AY81+AY97+AY125))</f>
        <v>18</v>
      </c>
      <c r="AZ19" s="28">
        <f>=IF(LEN(AZ82)=0,(AY19*(1-AY41))-AZ81+AZ97+AZ125,(AY19-AZ81+AZ97+AZ125))</f>
        <v>18</v>
      </c>
      <c r="BA19" s="28">
        <f>=IF(LEN(BA82)=0,(AZ19*(1-AZ41))-BA81+BA97+BA125,(AZ19-BA81+BA97+BA125))</f>
        <v>18</v>
      </c>
      <c r="BB19" s="28">
        <f>=IF(LEN(BB82)=0,(BA19*(1-BA41))-BB81+BB97+BB125,(BA19-BB81+BB97+BB125))</f>
        <v>18</v>
      </c>
      <c r="BC19" s="28">
        <f>=IF(LEN(BC82)=0,(BB19*(1-BB41))-BC81+BC97+BC125,(BB19-BC81+BC97+BC125))</f>
        <v>18</v>
      </c>
      <c r="BD19" s="28">
        <f>=IF(LEN(BD82)=0,(BC19*(1-BC41))-BD81+BD97+BD125,(BC19-BD81+BD97+BD125))</f>
        <v>18</v>
      </c>
      <c r="BE19" s="28">
        <f>=IF(LEN(BE82)=0,(BD19*(1-BD41))-BE81+BE97+BE125,(BD19-BE81+BE97+BE125))</f>
        <v>18</v>
      </c>
      <c r="BF19" s="28">
        <f>=IF(LEN(BF82)=0,(BE19*(1-BE41))-BF81+BF97+BF125,(BE19-BF81+BF97+BF125))</f>
        <v>18</v>
      </c>
      <c r="BG19" s="28">
        <f>=IF(LEN(BG82)=0,(BF19*(1-BF41))-BG81+BG97+BG125,(BF19-BG81+BG97+BG125))</f>
        <v>18</v>
      </c>
      <c r="BH19" s="28">
        <f>=IF(LEN(BH82)=0,(BG19*(1-BG41))-BH81+BH97+BH125,(BG19-BH81+BH97+BH125))</f>
        <v>18</v>
      </c>
      <c r="BI19" s="28">
        <f>=IF(LEN(BI82)=0,(BH19*(1-BH41))-BI81+BI97+BI125,(BH19-BI81+BI97+BI125))</f>
        <v>18</v>
      </c>
      <c r="BJ19" s="28">
        <f>=IF(LEN(BJ82)=0,(BI19*(1-BI41))-BJ81+BJ97+BJ125,(BI19-BJ81+BJ97+BJ125))</f>
        <v>18</v>
      </c>
      <c r="BK19" s="28">
        <f>=IF(LEN(BK82)=0,(BJ19*(1-BJ41))-BK81+BK97+BK125,(BJ19-BK81+BK97+BK125))</f>
        <v>18</v>
      </c>
      <c r="BL19" s="28">
        <f>=IF(LEN(BL82)=0,(BK19*(1-BK41))-BL81+BL97+BL125,(BK19-BL81+BL97+BL125))</f>
        <v>18</v>
      </c>
      <c r="BM19" s="28">
        <f>=IF(LEN(BM82)=0,(BL19*(1-BL41))-BM81+BM97+BM125,(BL19-BM81+BM97+BM125))</f>
        <v>18</v>
      </c>
      <c r="BN19" s="28">
        <f>=IF(LEN(BN82)=0,(BM19*(1-BM41))-BN81+BN97+BN125,(BM19-BN81+BN97+BN125))</f>
        <v>18</v>
      </c>
      <c r="BO19" s="28">
        <f>=IF(LEN(BO82)=0,(BN19*(1-BN41))-BO81+BO97+BO125,(BN19-BO81+BO97+BO125))</f>
        <v>17.73</v>
      </c>
      <c r="BP19" s="28">
        <f>=IF(LEN(BP82)=0,(BO19*(1-BO41))-BP81+BP97+BP125,(BO19-BP81+BP97+BP125))</f>
        <v>17.46405</v>
      </c>
      <c r="BQ19" s="28">
        <f>=IF(LEN(BQ82)=0,(BP19*(1-BP41))-BQ81+BQ97+BQ125,(BP19-BQ81+BQ97+BQ125))</f>
        <v>17.20208925</v>
      </c>
      <c r="BR19" s="28">
        <f>=IF(LEN(BR82)=0,(BQ19*(1-BQ41))-BR81+BR97+BR125,(BQ19-BR81+BR97+BR125))</f>
        <v>16.94405791125</v>
      </c>
      <c r="BS19" s="28">
        <f>=IF(LEN(BS82)=0,(BR19*(1-BR41))-BS81+BS97+BS125,(BR19-BS81+BS97+BS125))</f>
        <v>16.68989704258125</v>
      </c>
      <c r="BT19" s="28">
        <f>=IF(LEN(BT82)=0,(BS19*(1-BS41))-BT81+BT97+BT125,(BS19-BT81+BT97+BT125))</f>
        <v>16.439548586942532</v>
      </c>
      <c r="BU19" s="28">
        <f>=IF(LEN(BU82)=0,(BT19*(1-BT41))-BU81+BU97+BU125,(BT19-BU81+BU97+BU125))</f>
        <v>16.192955358138395</v>
      </c>
      <c r="BV19" s="28">
        <f>=IF(LEN(BV82)=0,(BU19*(1-BU41))-BV81+BV97+BV125,(BU19-BV81+BV97+BV125))</f>
        <v>15.950061027766319</v>
      </c>
      <c r="BW19" s="28">
        <f>=IF(LEN(BW82)=0,(BV19*(1-BV41))-BW81+BW97+BW125,(BV19-BW81+BW97+BW125))</f>
        <v>15.710810112349822</v>
      </c>
      <c r="BX19" s="28">
        <f>=IF(LEN(BX82)=0,(BW19*(1-BW41))-BX81+BX97+BX125,(BW19-BX81+BX97+BX125))</f>
        <v>15.475147960664575</v>
      </c>
      <c r="BY19" s="28">
        <f>=IF(LEN(BY82)=0,(BX19*(1-BX41))-BY81+BY97+BY125,(BX19-BY81+BY97+BY125))</f>
        <v>15.243020741254606</v>
      </c>
      <c r="BZ19" s="28">
        <f>=IF(LEN(BZ82)=0,(BY19*(1-BY41))-BZ81+BZ97+BZ125,(BY19-BZ81+BZ97+BZ125))</f>
        <v>15.014375430135788</v>
      </c>
      <c r="CA19" s="28">
        <f>=IF(LEN(CA82)=0,(BZ19*(1-BZ41))-CA81+CA97+CA125,(BZ19-CA81+CA97+CA125))</f>
        <v>14.78915979868375</v>
      </c>
      <c r="CB19" s="28">
        <f>=IF(LEN(CB82)=0,(CA19*(1-CA41))-CB81+CB97+CB125,(CA19-CB81+CB97+CB125))</f>
        <v>14.567322401703494</v>
      </c>
      <c r="CC19" s="28">
        <f>=IF(LEN(CC82)=0,(CB19*(1-CB41))-CC81+CC97+CC125,(CB19-CC81+CC97+CC125))</f>
        <v>14.348812565677942</v>
      </c>
      <c r="CD19" s="28">
        <f>=IF(LEN(CD82)=0,(CC19*(1-CC41))-CD81+CD97+CD125,(CC19-CD81+CD97+CD125))</f>
        <v>14.133580377192771</v>
      </c>
      <c r="CE19" s="28">
        <f>=IF(LEN(CE82)=0,(CD19*(1-CD41))-CE81+CE97+CE125,(CD19-CE81+CE97+CE125))</f>
        <v>13.92157667153488</v>
      </c>
      <c r="CF19" s="28">
        <f>=IF(LEN(CF82)=0,(CE19*(1-CE41))-CF81+CF97+CF125,(CE19-CF81+CF97+CF125))</f>
        <v>13.712753021461857</v>
      </c>
      <c r="CG19" s="28">
        <f>=IF(LEN(CG82)=0,(CF19*(1-CF41))-CG81+CG97+CG125,(CF19-CG81+CG97+CG125))</f>
        <v>13.507061726139929</v>
      </c>
      <c r="CH19" s="28">
        <f>=IF(LEN(CH82)=0,(CG19*(1-CG41))-CH81+CH97+CH125,(CG19-CH81+CH97+CH125))</f>
        <v>13.30445580024783</v>
      </c>
      <c r="CI19" s="28">
        <f>=IF(LEN(CI82)=0,(CH19*(1-CH41))-CI81+CI97+CI125,(CH19-CI81+CI97+CI125))</f>
        <v>13.104888963244115</v>
      </c>
      <c r="CJ19" s="28">
        <f>=IF(LEN(CJ82)=0,(CI19*(1-CI41))-CJ81+CJ97+CJ125,(CI19-CJ81+CJ97+CJ125))</f>
        <v>12.908315628795455</v>
      </c>
      <c r="CK19" s="28">
        <f>=IF(LEN(CK82)=0,(CJ19*(1-CJ41))-CK81+CK97+CK125,(CJ19-CK81+CK97+CK125))</f>
        <v>12.714690894363523</v>
      </c>
      <c r="CL19" s="28">
        <f>=IF(LEN(CL82)=0,(CK19*(1-CK41))-CL81+CL97+CL125,(CK19-CL81+CL97+CL125))</f>
        <v>12.523970530948068</v>
      </c>
      <c r="CM19" s="28">
        <f>=IF(LEN(CM82)=0,(CL19*(1-CL41))-CM81+CM97+CM125,(CL19-CM81+CM97+CM125))</f>
        <v>12.336110972983848</v>
      </c>
      <c r="CN19" s="28">
        <f>=IF(LEN(CN82)=0,(CM19*(1-CM41))-CN81+CN97+CN125,(CM19-CN81+CN97+CN125))</f>
        <v>12.15106930838909</v>
      </c>
      <c r="CO19" s="28">
        <f>=IF(LEN(CO82)=0,(CN19*(1-CN41))-CO81+CO97+CO125,(CN19-CO81+CO97+CO125))</f>
        <v>11.968803268763255</v>
      </c>
      <c r="CP19" s="28">
        <f>=IF(LEN(CP82)=0,(CO19*(1-CO41))-CP81+CP97+CP125,(CO19-CP81+CP97+CP125))</f>
        <v>11.789271219731802</v>
      </c>
      <c r="CQ19" s="28">
        <f>=IF(LEN(CQ82)=0,(CP19*(1-CP41))-CQ81+CQ97+CQ125,(CP19-CQ81+CQ97+CQ125))</f>
        <v>11.612432151435824</v>
      </c>
      <c r="CR19" s="28">
        <f>=IF(LEN(CR82)=0,(CQ19*(1-CQ41))-CR81+CR97+CR125,(CQ19-CR81+CR97+CR125))</f>
        <v>11.438245669164287</v>
      </c>
      <c r="CS19" s="28">
        <f>=IF(LEN(CS82)=0,(CR19*(1-CR41))-CS81+CS97+CS125,(CR19-CS81+CS97+CS125))</f>
        <v>11.26667198412682</v>
      </c>
      <c r="CT19" s="28">
        <f>=IF(LEN(CT82)=0,(CS19*(1-CS41))-CT81+CT97+CT125,(CS19-CT81+CT97+CT125))</f>
        <v>11.09767190436492</v>
      </c>
      <c r="CU19" s="28">
        <f>=IF(LEN(CU82)=0,(CT19*(1-CT41))-CU81+CU97+CU125,(CT19-CU81+CU97+CU125))</f>
        <v>10.931206825799448</v>
      </c>
      <c r="CV19" s="28">
        <f>=IF(LEN(CV82)=0,(CU19*(1-CU41))-CV81+CV97+CV125,(CU19-CV81+CV97+CV125))</f>
        <v>10.767238723412458</v>
      </c>
      <c r="CW19" s="28">
        <f>=IF(LEN(CW82)=0,(CV19*(1-CV41))-CW81+CW97+CW125,(CV19-CW81+CW97+CW125))</f>
        <v>10.60573014256127</v>
      </c>
      <c r="CX19" s="28">
        <f>=IF(LEN(CX82)=0,(CW19*(1-CW41))-CX81+CX97+CX125,(CW19-CX81+CX97+CX125))</f>
        <v>10.446644190422852</v>
      </c>
      <c r="CY19" s="28">
        <f>=IF(LEN(CY82)=0,(CX19*(1-CX41))-CY81+CY97+CY125,(CX19-CY81+CY97+CY125))</f>
        <v>10.28994452756651</v>
      </c>
      <c r="CZ19" s="28">
        <f>=IF(LEN(CZ82)=0,(CY19*(1-CY41))-CZ81+CZ97+CZ125,(CY19-CZ81+CZ97+CZ125))</f>
        <v>10.135595359653015</v>
      </c>
      <c r="DA19" s="28">
        <f>=IF(LEN(DA82)=0,(CZ19*(1-CZ41))-DA81+DA97+DA125,(CZ19-DA81+DA97+DA125))</f>
        <v>9.98356142925822</v>
      </c>
      <c r="DB19" s="28">
        <f>=IF(LEN(DB82)=0,(DA19*(1-DA41))-DB81+DB97+DB125,(DA19-DB81+DB97+DB125))</f>
        <v>9.833808007819346</v>
      </c>
    </row>
    <row r="20" spans="1:106" x14ac:dyDescent="0.25">
      <c r="A20" s="27" t="s">
        <v>254</v>
      </c>
      <c r="C20" s="28">
        <f>=SUM(C116:C118)</f>
        <v>0</v>
      </c>
      <c r="D20" s="28">
        <f>=SUM(D116:D118)</f>
        <v>0</v>
      </c>
      <c r="E20" s="28">
        <f>=SUM(E116:E118)</f>
        <v>0</v>
      </c>
      <c r="F20" s="28">
        <f>=SUM(F116:F118)</f>
        <v>0</v>
      </c>
      <c r="G20" s="28">
        <f>=SUM(G116:G118)</f>
        <v>0</v>
      </c>
      <c r="H20" s="28">
        <f>=SUM(H116:H118)</f>
        <v>0</v>
      </c>
      <c r="I20" s="28">
        <f>=SUM(I116:I118)</f>
        <v>0</v>
      </c>
      <c r="J20" s="28">
        <f>=SUM(J116:J118)</f>
        <v>0</v>
      </c>
      <c r="K20" s="28">
        <f>=SUM(K116:K118)</f>
        <v>0</v>
      </c>
      <c r="L20" s="28">
        <f>=SUM(L116:L118)</f>
        <v>0</v>
      </c>
      <c r="M20" s="28">
        <f>=SUM(M116:M118)</f>
        <v>0</v>
      </c>
      <c r="N20" s="28">
        <f>=SUM(N116:N118)</f>
        <v>0</v>
      </c>
      <c r="O20" s="28">
        <f>=SUM(O116:O118)</f>
        <v>0</v>
      </c>
      <c r="P20" s="28">
        <f>=SUM(P116:P118)</f>
        <v>0</v>
      </c>
      <c r="Q20" s="28">
        <f>=SUM(Q116:Q118)</f>
        <v>0</v>
      </c>
      <c r="R20" s="28">
        <f>=SUM(R116:R118)</f>
        <v>0</v>
      </c>
      <c r="S20" s="28">
        <f>=SUM(S116:S118)</f>
        <v>0</v>
      </c>
      <c r="T20" s="28">
        <f>=SUM(T116:T118)</f>
        <v>0</v>
      </c>
      <c r="U20" s="28">
        <f>=SUM(U116:U118)</f>
        <v>0</v>
      </c>
      <c r="V20" s="28">
        <f>=SUM(V116:V118)</f>
        <v>0</v>
      </c>
      <c r="W20" s="28">
        <f>=SUM(W116:W118)</f>
        <v>0</v>
      </c>
      <c r="X20" s="28">
        <f>=SUM(X116:X118)</f>
        <v>0</v>
      </c>
      <c r="Y20" s="28">
        <f>=SUM(Y116:Y118)</f>
        <v>0</v>
      </c>
      <c r="Z20" s="28">
        <f>=SUM(Z116:Z118)</f>
        <v>0</v>
      </c>
      <c r="AA20" s="28">
        <f>=SUM(AA116:AA118)</f>
        <v>0</v>
      </c>
      <c r="AB20" s="28">
        <f>=SUM(AB116:AB118)</f>
        <v>0</v>
      </c>
      <c r="AC20" s="28">
        <f>=SUM(AC116:AC118)</f>
        <v>0</v>
      </c>
      <c r="AD20" s="28">
        <f>=SUM(AD116:AD118)</f>
        <v>0</v>
      </c>
      <c r="AE20" s="28">
        <f>=SUM(AE116:AE118)</f>
        <v>0</v>
      </c>
      <c r="AF20" s="28">
        <f>=SUM(AF116:AF118)</f>
        <v>0</v>
      </c>
      <c r="AG20" s="28">
        <f>=SUM(AG116:AG118)</f>
        <v>0</v>
      </c>
      <c r="AH20" s="28">
        <f>=SUM(AH116:AH118)</f>
        <v>0</v>
      </c>
      <c r="AI20" s="28">
        <f>=SUM(AI116:AI118)</f>
        <v>0</v>
      </c>
      <c r="AJ20" s="28">
        <f>=SUM(AJ116:AJ118)</f>
        <v>0</v>
      </c>
      <c r="AK20" s="28">
        <f>=SUM(AK116:AK118)</f>
        <v>0</v>
      </c>
      <c r="AL20" s="28">
        <f>=SUM(AL116:AL118)</f>
        <v>0</v>
      </c>
      <c r="AM20" s="28">
        <f>=SUM(AM116:AM118)</f>
        <v>0</v>
      </c>
      <c r="AN20" s="28">
        <f>=SUM(AN116:AN118)</f>
        <v>0</v>
      </c>
      <c r="AO20" s="28">
        <f>=SUM(AO116:AO118)</f>
        <v>0</v>
      </c>
      <c r="AP20" s="28">
        <f>=SUM(AP116:AP118)</f>
        <v>0</v>
      </c>
      <c r="AQ20" s="28">
        <f>=SUM(AQ116:AQ118)</f>
        <v>0</v>
      </c>
      <c r="AR20" s="28">
        <f>=SUM(AR116:AR118)</f>
        <v>0</v>
      </c>
      <c r="AS20" s="28">
        <f>=SUM(AS116:AS118)</f>
        <v>0</v>
      </c>
      <c r="AT20" s="28">
        <f>=SUM(AT116:AT118)</f>
        <v>0</v>
      </c>
      <c r="AU20" s="28">
        <f>=SUM(AU116:AU118)</f>
        <v>0</v>
      </c>
      <c r="AV20" s="28">
        <f>=SUM(AV116:AV118)</f>
        <v>0</v>
      </c>
      <c r="AW20" s="28">
        <f>=SUM(AW116:AW118)</f>
        <v>0</v>
      </c>
      <c r="AX20" s="28">
        <f>=SUM(AX116:AX118)</f>
        <v>0</v>
      </c>
      <c r="AY20" s="28">
        <f>=SUM(AY116:AY118)</f>
        <v>0</v>
      </c>
      <c r="AZ20" s="28">
        <f>=SUM(AZ116:AZ118)</f>
        <v>0</v>
      </c>
      <c r="BA20" s="28">
        <f>=SUM(BA116:BA118)</f>
        <v>0</v>
      </c>
      <c r="BB20" s="28">
        <f>=SUM(BB116:BB118)</f>
        <v>0</v>
      </c>
      <c r="BC20" s="28">
        <f>=SUM(BC116:BC118)</f>
        <v>0</v>
      </c>
      <c r="BD20" s="28">
        <f>=SUM(BD116:BD118)</f>
        <v>0</v>
      </c>
      <c r="BE20" s="28">
        <f>=SUM(BE116:BE118)</f>
        <v>0</v>
      </c>
      <c r="BF20" s="28">
        <f>=SUM(BF116:BF118)</f>
        <v>0</v>
      </c>
      <c r="BG20" s="28">
        <f>=SUM(BG116:BG118)</f>
        <v>0</v>
      </c>
      <c r="BH20" s="28">
        <f>=SUM(BH116:BH118)</f>
        <v>0</v>
      </c>
      <c r="BI20" s="28">
        <f>=SUM(BI116:BI118)</f>
        <v>0</v>
      </c>
      <c r="BJ20" s="28">
        <f>=SUM(BJ116:BJ118)</f>
        <v>0</v>
      </c>
      <c r="BK20" s="28">
        <f>=SUM(BK116:BK118)</f>
        <v>0</v>
      </c>
      <c r="BL20" s="28">
        <f>=SUM(BL116:BL118)</f>
        <v>0</v>
      </c>
      <c r="BM20" s="28">
        <f>=SUM(BM116:BM118)</f>
        <v>0</v>
      </c>
      <c r="BN20" s="28">
        <f>=SUM(BN116:BN118)</f>
        <v>0</v>
      </c>
      <c r="BO20" s="28">
        <f>=SUM(BO116:BO118)</f>
        <v>0</v>
      </c>
      <c r="BP20" s="28">
        <f>=SUM(BP116:BP118)</f>
        <v>0</v>
      </c>
      <c r="BQ20" s="28">
        <f>=SUM(BQ116:BQ118)</f>
        <v>0</v>
      </c>
      <c r="BR20" s="28">
        <f>=SUM(BR116:BR118)</f>
        <v>0</v>
      </c>
      <c r="BS20" s="28">
        <f>=SUM(BS116:BS118)</f>
        <v>0</v>
      </c>
      <c r="BT20" s="28">
        <f>=SUM(BT116:BT118)</f>
        <v>0</v>
      </c>
      <c r="BU20" s="28">
        <f>=SUM(BU116:BU118)</f>
        <v>0</v>
      </c>
      <c r="BV20" s="28">
        <f>=SUM(BV116:BV118)</f>
        <v>0</v>
      </c>
      <c r="BW20" s="28">
        <f>=SUM(BW116:BW118)</f>
        <v>0</v>
      </c>
      <c r="BX20" s="28">
        <f>=SUM(BX116:BX118)</f>
        <v>0</v>
      </c>
      <c r="BY20" s="28">
        <f>=SUM(BY116:BY118)</f>
        <v>0</v>
      </c>
      <c r="BZ20" s="28">
        <f>=SUM(BZ116:BZ118)</f>
        <v>0</v>
      </c>
      <c r="CA20" s="28">
        <f>=SUM(CA116:CA118)</f>
        <v>0</v>
      </c>
      <c r="CB20" s="28">
        <f>=SUM(CB116:CB118)</f>
        <v>0</v>
      </c>
      <c r="CC20" s="28">
        <f>=SUM(CC116:CC118)</f>
        <v>0</v>
      </c>
      <c r="CD20" s="28">
        <f>=SUM(CD116:CD118)</f>
        <v>0</v>
      </c>
      <c r="CE20" s="28">
        <f>=SUM(CE116:CE118)</f>
        <v>0</v>
      </c>
      <c r="CF20" s="28">
        <f>=SUM(CF116:CF118)</f>
        <v>0</v>
      </c>
      <c r="CG20" s="28">
        <f>=SUM(CG116:CG118)</f>
        <v>0</v>
      </c>
      <c r="CH20" s="28">
        <f>=SUM(CH116:CH118)</f>
        <v>0</v>
      </c>
      <c r="CI20" s="28">
        <f>=SUM(CI116:CI118)</f>
        <v>0</v>
      </c>
      <c r="CJ20" s="28">
        <f>=SUM(CJ116:CJ118)</f>
        <v>0</v>
      </c>
      <c r="CK20" s="28">
        <f>=SUM(CK116:CK118)</f>
        <v>0</v>
      </c>
      <c r="CL20" s="28">
        <f>=SUM(CL116:CL118)</f>
        <v>0</v>
      </c>
      <c r="CM20" s="28">
        <f>=SUM(CM116:CM118)</f>
        <v>0</v>
      </c>
      <c r="CN20" s="28">
        <f>=SUM(CN116:CN118)</f>
        <v>0</v>
      </c>
      <c r="CO20" s="28">
        <f>=SUM(CO116:CO118)</f>
        <v>0</v>
      </c>
      <c r="CP20" s="28">
        <f>=SUM(CP116:CP118)</f>
        <v>0</v>
      </c>
      <c r="CQ20" s="28">
        <f>=SUM(CQ116:CQ118)</f>
        <v>0</v>
      </c>
      <c r="CR20" s="28">
        <f>=SUM(CR116:CR118)</f>
        <v>0</v>
      </c>
      <c r="CS20" s="28">
        <f>=SUM(CS116:CS118)</f>
        <v>0</v>
      </c>
      <c r="CT20" s="28">
        <f>=SUM(CT116:CT118)</f>
        <v>0</v>
      </c>
      <c r="CU20" s="28">
        <f>=SUM(CU116:CU118)</f>
        <v>0</v>
      </c>
      <c r="CV20" s="28">
        <f>=SUM(CV116:CV118)</f>
        <v>0</v>
      </c>
      <c r="CW20" s="28">
        <f>=SUM(CW116:CW118)</f>
        <v>0</v>
      </c>
      <c r="CX20" s="28">
        <f>=SUM(CX116:CX118)</f>
        <v>0</v>
      </c>
      <c r="CY20" s="28">
        <f>=SUM(CY116:CY118)</f>
        <v>0</v>
      </c>
      <c r="CZ20" s="28">
        <f>=SUM(CZ116:CZ118)</f>
        <v>0</v>
      </c>
      <c r="DA20" s="28">
        <f>=SUM(DA116:DA118)</f>
        <v>0</v>
      </c>
      <c r="DB20" s="28">
        <f>=SUM(DB116:DB118)</f>
        <v>0</v>
      </c>
    </row>
    <row r="21" spans="1:106" x14ac:dyDescent="0.25">
      <c r="A21" s="27" t="s">
        <v>255</v>
      </c>
      <c r="C21" s="28">
        <f>=SUM(C119:C120)</f>
        <v>0</v>
      </c>
      <c r="D21" s="28">
        <f>=SUM(D119:D120)</f>
        <v>0</v>
      </c>
      <c r="E21" s="28">
        <f>=SUM(E119:E120)</f>
        <v>0</v>
      </c>
      <c r="F21" s="28">
        <f>=SUM(F119:F120)</f>
        <v>0</v>
      </c>
      <c r="G21" s="28">
        <f>=SUM(G119:G120)</f>
        <v>0</v>
      </c>
      <c r="H21" s="28">
        <f>=SUM(H119:H120)</f>
        <v>0</v>
      </c>
      <c r="I21" s="28">
        <f>=SUM(I119:I120)</f>
        <v>0</v>
      </c>
      <c r="J21" s="28">
        <f>=SUM(J119:J120)</f>
        <v>0</v>
      </c>
      <c r="K21" s="28">
        <f>=SUM(K119:K120)</f>
        <v>0</v>
      </c>
      <c r="L21" s="28">
        <f>=SUM(L119:L120)</f>
        <v>0</v>
      </c>
      <c r="M21" s="28">
        <f>=SUM(M119:M120)</f>
        <v>0</v>
      </c>
      <c r="N21" s="28">
        <f>=SUM(N119:N120)</f>
        <v>0</v>
      </c>
      <c r="O21" s="28">
        <f>=SUM(O119:O120)</f>
        <v>0</v>
      </c>
      <c r="P21" s="28">
        <f>=SUM(P119:P120)</f>
        <v>0</v>
      </c>
      <c r="Q21" s="28">
        <f>=SUM(Q119:Q120)</f>
        <v>0</v>
      </c>
      <c r="R21" s="28">
        <f>=SUM(R119:R120)</f>
        <v>0</v>
      </c>
      <c r="S21" s="28">
        <f>=SUM(S119:S120)</f>
        <v>0</v>
      </c>
      <c r="T21" s="28">
        <f>=SUM(T119:T120)</f>
        <v>0</v>
      </c>
      <c r="U21" s="28">
        <f>=SUM(U119:U120)</f>
        <v>0</v>
      </c>
      <c r="V21" s="28">
        <f>=SUM(V119:V120)</f>
        <v>0</v>
      </c>
      <c r="W21" s="28">
        <f>=SUM(W119:W120)</f>
        <v>0</v>
      </c>
      <c r="X21" s="28">
        <f>=SUM(X119:X120)</f>
        <v>0</v>
      </c>
      <c r="Y21" s="28">
        <f>=SUM(Y119:Y120)</f>
        <v>0</v>
      </c>
      <c r="Z21" s="28">
        <f>=SUM(Z119:Z120)</f>
        <v>0</v>
      </c>
      <c r="AA21" s="28">
        <f>=SUM(AA119:AA120)</f>
        <v>0</v>
      </c>
      <c r="AB21" s="28">
        <f>=SUM(AB119:AB120)</f>
        <v>0</v>
      </c>
      <c r="AC21" s="28">
        <f>=SUM(AC119:AC120)</f>
        <v>0</v>
      </c>
      <c r="AD21" s="28">
        <f>=SUM(AD119:AD120)</f>
        <v>0</v>
      </c>
      <c r="AE21" s="28">
        <f>=SUM(AE119:AE120)</f>
        <v>0</v>
      </c>
      <c r="AF21" s="28">
        <f>=SUM(AF119:AF120)</f>
        <v>0</v>
      </c>
      <c r="AG21" s="28">
        <f>=SUM(AG119:AG120)</f>
        <v>0</v>
      </c>
      <c r="AH21" s="28">
        <f>=SUM(AH119:AH120)</f>
        <v>0</v>
      </c>
      <c r="AI21" s="28">
        <f>=SUM(AI119:AI120)</f>
        <v>0</v>
      </c>
      <c r="AJ21" s="28">
        <f>=SUM(AJ119:AJ120)</f>
        <v>0</v>
      </c>
      <c r="AK21" s="28">
        <f>=SUM(AK119:AK120)</f>
        <v>0</v>
      </c>
      <c r="AL21" s="28">
        <f>=SUM(AL119:AL120)</f>
        <v>0</v>
      </c>
      <c r="AM21" s="28">
        <f>=SUM(AM119:AM120)</f>
        <v>0</v>
      </c>
      <c r="AN21" s="28">
        <f>=SUM(AN119:AN120)</f>
        <v>0</v>
      </c>
      <c r="AO21" s="28">
        <f>=SUM(AO119:AO120)</f>
        <v>0</v>
      </c>
      <c r="AP21" s="28">
        <f>=SUM(AP119:AP120)</f>
        <v>0</v>
      </c>
      <c r="AQ21" s="28">
        <f>=SUM(AQ119:AQ120)</f>
        <v>0</v>
      </c>
      <c r="AR21" s="28">
        <f>=SUM(AR119:AR120)</f>
        <v>0</v>
      </c>
      <c r="AS21" s="28">
        <f>=SUM(AS119:AS120)</f>
        <v>0</v>
      </c>
      <c r="AT21" s="28">
        <f>=SUM(AT119:AT120)</f>
        <v>0</v>
      </c>
      <c r="AU21" s="28">
        <f>=SUM(AU119:AU120)</f>
        <v>0</v>
      </c>
      <c r="AV21" s="28">
        <f>=SUM(AV119:AV120)</f>
        <v>0</v>
      </c>
      <c r="AW21" s="28">
        <f>=SUM(AW119:AW120)</f>
        <v>0</v>
      </c>
      <c r="AX21" s="28">
        <f>=SUM(AX119:AX120)</f>
        <v>0</v>
      </c>
      <c r="AY21" s="28">
        <f>=SUM(AY119:AY120)</f>
        <v>0</v>
      </c>
      <c r="AZ21" s="28">
        <f>=SUM(AZ119:AZ120)</f>
        <v>0</v>
      </c>
      <c r="BA21" s="28">
        <f>=SUM(BA119:BA120)</f>
        <v>0</v>
      </c>
      <c r="BB21" s="28">
        <f>=SUM(BB119:BB120)</f>
        <v>0</v>
      </c>
      <c r="BC21" s="28">
        <f>=SUM(BC119:BC120)</f>
        <v>0</v>
      </c>
      <c r="BD21" s="28">
        <f>=SUM(BD119:BD120)</f>
        <v>0</v>
      </c>
      <c r="BE21" s="28">
        <f>=SUM(BE119:BE120)</f>
        <v>0</v>
      </c>
      <c r="BF21" s="28">
        <f>=SUM(BF119:BF120)</f>
        <v>0</v>
      </c>
      <c r="BG21" s="28">
        <f>=SUM(BG119:BG120)</f>
        <v>0</v>
      </c>
      <c r="BH21" s="28">
        <f>=SUM(BH119:BH120)</f>
        <v>0</v>
      </c>
      <c r="BI21" s="28">
        <f>=SUM(BI119:BI120)</f>
        <v>0</v>
      </c>
      <c r="BJ21" s="28">
        <f>=SUM(BJ119:BJ120)</f>
        <v>0</v>
      </c>
      <c r="BK21" s="28">
        <f>=SUM(BK119:BK120)</f>
        <v>0</v>
      </c>
      <c r="BL21" s="28">
        <f>=SUM(BL119:BL120)</f>
        <v>0</v>
      </c>
      <c r="BM21" s="28">
        <f>=SUM(BM119:BM120)</f>
        <v>0</v>
      </c>
      <c r="BN21" s="28">
        <f>=SUM(BN119:BN120)</f>
        <v>0</v>
      </c>
      <c r="BO21" s="28">
        <f>=SUM(BO119:BO120)</f>
        <v>0</v>
      </c>
      <c r="BP21" s="28">
        <f>=SUM(BP119:BP120)</f>
        <v>0</v>
      </c>
      <c r="BQ21" s="28">
        <f>=SUM(BQ119:BQ120)</f>
        <v>0</v>
      </c>
      <c r="BR21" s="28">
        <f>=SUM(BR119:BR120)</f>
        <v>0</v>
      </c>
      <c r="BS21" s="28">
        <f>=SUM(BS119:BS120)</f>
        <v>0</v>
      </c>
      <c r="BT21" s="28">
        <f>=SUM(BT119:BT120)</f>
        <v>0</v>
      </c>
      <c r="BU21" s="28">
        <f>=SUM(BU119:BU120)</f>
        <v>0</v>
      </c>
      <c r="BV21" s="28">
        <f>=SUM(BV119:BV120)</f>
        <v>0</v>
      </c>
      <c r="BW21" s="28">
        <f>=SUM(BW119:BW120)</f>
        <v>0</v>
      </c>
      <c r="BX21" s="28">
        <f>=SUM(BX119:BX120)</f>
        <v>0</v>
      </c>
      <c r="BY21" s="28">
        <f>=SUM(BY119:BY120)</f>
        <v>0</v>
      </c>
      <c r="BZ21" s="28">
        <f>=SUM(BZ119:BZ120)</f>
        <v>0</v>
      </c>
      <c r="CA21" s="28">
        <f>=SUM(CA119:CA120)</f>
        <v>0</v>
      </c>
      <c r="CB21" s="28">
        <f>=SUM(CB119:CB120)</f>
        <v>0</v>
      </c>
      <c r="CC21" s="28">
        <f>=SUM(CC119:CC120)</f>
        <v>0</v>
      </c>
      <c r="CD21" s="28">
        <f>=SUM(CD119:CD120)</f>
        <v>0</v>
      </c>
      <c r="CE21" s="28">
        <f>=SUM(CE119:CE120)</f>
        <v>0</v>
      </c>
      <c r="CF21" s="28">
        <f>=SUM(CF119:CF120)</f>
        <v>0</v>
      </c>
      <c r="CG21" s="28">
        <f>=SUM(CG119:CG120)</f>
        <v>0</v>
      </c>
      <c r="CH21" s="28">
        <f>=SUM(CH119:CH120)</f>
        <v>0</v>
      </c>
      <c r="CI21" s="28">
        <f>=SUM(CI119:CI120)</f>
        <v>0</v>
      </c>
      <c r="CJ21" s="28">
        <f>=SUM(CJ119:CJ120)</f>
        <v>0</v>
      </c>
      <c r="CK21" s="28">
        <f>=SUM(CK119:CK120)</f>
        <v>0</v>
      </c>
      <c r="CL21" s="28">
        <f>=SUM(CL119:CL120)</f>
        <v>0</v>
      </c>
      <c r="CM21" s="28">
        <f>=SUM(CM119:CM120)</f>
        <v>0</v>
      </c>
      <c r="CN21" s="28">
        <f>=SUM(CN119:CN120)</f>
        <v>0</v>
      </c>
      <c r="CO21" s="28">
        <f>=SUM(CO119:CO120)</f>
        <v>0</v>
      </c>
      <c r="CP21" s="28">
        <f>=SUM(CP119:CP120)</f>
        <v>0</v>
      </c>
      <c r="CQ21" s="28">
        <f>=SUM(CQ119:CQ120)</f>
        <v>0</v>
      </c>
      <c r="CR21" s="28">
        <f>=SUM(CR119:CR120)</f>
        <v>0</v>
      </c>
      <c r="CS21" s="28">
        <f>=SUM(CS119:CS120)</f>
        <v>0</v>
      </c>
      <c r="CT21" s="28">
        <f>=SUM(CT119:CT120)</f>
        <v>0</v>
      </c>
      <c r="CU21" s="28">
        <f>=SUM(CU119:CU120)</f>
        <v>0</v>
      </c>
      <c r="CV21" s="28">
        <f>=SUM(CV119:CV120)</f>
        <v>0</v>
      </c>
      <c r="CW21" s="28">
        <f>=SUM(CW119:CW120)</f>
        <v>0</v>
      </c>
      <c r="CX21" s="28">
        <f>=SUM(CX119:CX120)</f>
        <v>0</v>
      </c>
      <c r="CY21" s="28">
        <f>=SUM(CY119:CY120)</f>
        <v>0</v>
      </c>
      <c r="CZ21" s="28">
        <f>=SUM(CZ119:CZ120)</f>
        <v>0</v>
      </c>
      <c r="DA21" s="28">
        <f>=SUM(DA119:DA120)</f>
        <v>0</v>
      </c>
      <c r="DB21" s="28">
        <f>=SUM(DB119:DB120)</f>
        <v>0</v>
      </c>
    </row>
    <row r="22" spans="1:106" x14ac:dyDescent="0.25">
      <c r="A22" s="27" t="s">
        <v>256</v>
      </c>
      <c r="C22" s="28">
        <f>=SUM(C121:C122)</f>
        <v>0</v>
      </c>
      <c r="D22" s="28">
        <f>=SUM(D121:D122)</f>
        <v>0</v>
      </c>
      <c r="E22" s="28">
        <f>=SUM(E121:E122)</f>
        <v>0</v>
      </c>
      <c r="F22" s="28">
        <f>=SUM(F121:F122)</f>
        <v>0</v>
      </c>
      <c r="G22" s="28">
        <f>=SUM(G121:G122)</f>
        <v>0</v>
      </c>
      <c r="H22" s="28">
        <f>=SUM(H121:H122)</f>
        <v>0</v>
      </c>
      <c r="I22" s="28">
        <v>0</v>
      </c>
      <c r="J22" s="28">
        <f>=SUM(J121:J122)</f>
        <v>0</v>
      </c>
      <c r="K22" s="28">
        <f>=SUM(K121:K122)</f>
        <v>0</v>
      </c>
      <c r="L22" s="28">
        <f>=SUM(L121:L122)</f>
        <v>0</v>
      </c>
      <c r="M22" s="28">
        <f>=SUM(M121:M122)</f>
        <v>0</v>
      </c>
      <c r="N22" s="28">
        <f>=SUM(N121:N122)</f>
        <v>0</v>
      </c>
      <c r="O22" s="28">
        <f>=SUM(O121:O122)</f>
        <v>0</v>
      </c>
      <c r="P22" s="28">
        <f>=SUM(P121:P122)</f>
        <v>0</v>
      </c>
      <c r="Q22" s="28">
        <f>=SUM(Q121:Q122)</f>
        <v>0</v>
      </c>
      <c r="R22" s="28">
        <f>=SUM(R121:R122)</f>
        <v>0</v>
      </c>
      <c r="S22" s="28">
        <f>=SUM(S121:S122)</f>
        <v>0</v>
      </c>
      <c r="T22" s="28">
        <f>=SUM(T121:T122)</f>
        <v>0</v>
      </c>
      <c r="U22" s="28">
        <f>=SUM(U121:U122)</f>
        <v>0</v>
      </c>
      <c r="V22" s="28">
        <f>=SUM(V121:V122)</f>
        <v>0</v>
      </c>
      <c r="W22" s="28">
        <f>=SUM(W121:W122)</f>
        <v>0</v>
      </c>
      <c r="X22" s="28">
        <f>=SUM(X121:X122)</f>
        <v>0</v>
      </c>
      <c r="Y22" s="28">
        <f>=SUM(Y121:Y122)</f>
        <v>0</v>
      </c>
      <c r="Z22" s="28">
        <f>=SUM(Z121:Z122)</f>
        <v>0</v>
      </c>
      <c r="AA22" s="28">
        <f>=SUM(AA121:AA122)</f>
        <v>0</v>
      </c>
      <c r="AB22" s="28">
        <f>=SUM(AB121:AB122)</f>
        <v>0</v>
      </c>
      <c r="AC22" s="28">
        <f>=SUM(AC121:AC122)</f>
        <v>0</v>
      </c>
      <c r="AD22" s="28">
        <f>=SUM(AD121:AD122)</f>
        <v>0</v>
      </c>
      <c r="AE22" s="28">
        <f>=SUM(AE121:AE122)</f>
        <v>0</v>
      </c>
      <c r="AF22" s="28">
        <f>=SUM(AF121:AF122)</f>
        <v>0</v>
      </c>
      <c r="AG22" s="28">
        <f>=SUM(AG121:AG122)</f>
        <v>0</v>
      </c>
      <c r="AH22" s="28">
        <f>=SUM(AH121:AH122)</f>
        <v>0</v>
      </c>
      <c r="AI22" s="28">
        <f>=SUM(AI121:AI122)</f>
        <v>0</v>
      </c>
      <c r="AJ22" s="28">
        <f>=SUM(AJ121:AJ122)</f>
        <v>0</v>
      </c>
      <c r="AK22" s="28">
        <f>=SUM(AK121:AK122)</f>
        <v>0</v>
      </c>
      <c r="AL22" s="28">
        <f>=SUM(AL121:AL122)</f>
        <v>0</v>
      </c>
      <c r="AM22" s="28">
        <f>=SUM(AM121:AM122)</f>
        <v>0</v>
      </c>
      <c r="AN22" s="28">
        <f>=SUM(AN121:AN122)</f>
        <v>0</v>
      </c>
      <c r="AO22" s="28">
        <f>=SUM(AO121:AO122)</f>
        <v>0</v>
      </c>
      <c r="AP22" s="28">
        <f>=SUM(AP121:AP122)</f>
        <v>0</v>
      </c>
      <c r="AQ22" s="28">
        <f>=SUM(AQ121:AQ122)</f>
        <v>0</v>
      </c>
      <c r="AR22" s="28">
        <f>=SUM(AR121:AR122)</f>
        <v>0</v>
      </c>
      <c r="AS22" s="28">
        <f>=SUM(AS121:AS122)</f>
        <v>0</v>
      </c>
      <c r="AT22" s="28">
        <f>=SUM(AT121:AT122)</f>
        <v>0</v>
      </c>
      <c r="AU22" s="28">
        <f>=SUM(AU121:AU122)</f>
        <v>0</v>
      </c>
      <c r="AV22" s="28">
        <f>=SUM(AV121:AV122)</f>
        <v>0</v>
      </c>
      <c r="AW22" s="28">
        <f>=SUM(AW121:AW122)</f>
        <v>0</v>
      </c>
      <c r="AX22" s="28">
        <f>=SUM(AX121:AX122)</f>
        <v>0</v>
      </c>
      <c r="AY22" s="28">
        <f>=SUM(AY121:AY122)</f>
        <v>0</v>
      </c>
      <c r="AZ22" s="28">
        <f>=SUM(AZ121:AZ122)</f>
        <v>0</v>
      </c>
      <c r="BA22" s="28">
        <f>=SUM(BA121:BA122)</f>
        <v>0</v>
      </c>
      <c r="BB22" s="28">
        <f>=SUM(BB121:BB122)</f>
        <v>0</v>
      </c>
      <c r="BC22" s="28">
        <f>=SUM(BC121:BC122)</f>
        <v>0</v>
      </c>
      <c r="BD22" s="28">
        <f>=SUM(BD121:BD122)</f>
        <v>0</v>
      </c>
      <c r="BE22" s="28">
        <f>=SUM(BE121:BE122)</f>
        <v>0</v>
      </c>
      <c r="BF22" s="28">
        <f>=SUM(BF121:BF122)</f>
        <v>0</v>
      </c>
      <c r="BG22" s="28">
        <f>=SUM(BG121:BG122)</f>
        <v>0</v>
      </c>
      <c r="BH22" s="28">
        <f>=SUM(BH121:BH122)</f>
        <v>0</v>
      </c>
      <c r="BI22" s="28">
        <f>=SUM(BI121:BI122)</f>
        <v>0</v>
      </c>
      <c r="BJ22" s="28">
        <f>=SUM(BJ121:BJ122)</f>
        <v>0</v>
      </c>
      <c r="BK22" s="28">
        <f>=SUM(BK121:BK122)</f>
        <v>0</v>
      </c>
      <c r="BL22" s="28">
        <f>=SUM(BL121:BL122)</f>
        <v>0</v>
      </c>
      <c r="BM22" s="28">
        <f>=SUM(BM121:BM122)</f>
        <v>0</v>
      </c>
      <c r="BN22" s="28">
        <f>=SUM(BN121:BN122)</f>
        <v>0</v>
      </c>
      <c r="BO22" s="28">
        <f>=SUM(BO121:BO122)</f>
        <v>0</v>
      </c>
      <c r="BP22" s="28">
        <f>=SUM(BP121:BP122)</f>
        <v>0</v>
      </c>
      <c r="BQ22" s="28">
        <f>=SUM(BQ121:BQ122)</f>
        <v>0</v>
      </c>
      <c r="BR22" s="28">
        <f>=SUM(BR121:BR122)</f>
        <v>0</v>
      </c>
      <c r="BS22" s="28">
        <f>=SUM(BS121:BS122)</f>
        <v>0</v>
      </c>
      <c r="BT22" s="28">
        <f>=SUM(BT121:BT122)</f>
        <v>0</v>
      </c>
      <c r="BU22" s="28">
        <f>=SUM(BU121:BU122)</f>
        <v>0</v>
      </c>
      <c r="BV22" s="28">
        <f>=SUM(BV121:BV122)</f>
        <v>0</v>
      </c>
      <c r="BW22" s="28">
        <f>=SUM(BW121:BW122)</f>
        <v>0</v>
      </c>
      <c r="BX22" s="28">
        <f>=SUM(BX121:BX122)</f>
        <v>0</v>
      </c>
      <c r="BY22" s="28">
        <f>=SUM(BY121:BY122)</f>
        <v>0</v>
      </c>
      <c r="BZ22" s="28">
        <f>=SUM(BZ121:BZ122)</f>
        <v>0</v>
      </c>
      <c r="CA22" s="28">
        <f>=SUM(CA121:CA122)</f>
        <v>0</v>
      </c>
      <c r="CB22" s="28">
        <f>=SUM(CB121:CB122)</f>
        <v>0</v>
      </c>
      <c r="CC22" s="28">
        <f>=SUM(CC121:CC122)</f>
        <v>0</v>
      </c>
      <c r="CD22" s="28">
        <f>=SUM(CD121:CD122)</f>
        <v>0</v>
      </c>
      <c r="CE22" s="28">
        <f>=SUM(CE121:CE122)</f>
        <v>0</v>
      </c>
      <c r="CF22" s="28">
        <f>=SUM(CF121:CF122)</f>
        <v>0</v>
      </c>
      <c r="CG22" s="28">
        <f>=SUM(CG121:CG122)</f>
        <v>0</v>
      </c>
      <c r="CH22" s="28">
        <f>=SUM(CH121:CH122)</f>
        <v>0</v>
      </c>
      <c r="CI22" s="28">
        <f>=SUM(CI121:CI122)</f>
        <v>0</v>
      </c>
      <c r="CJ22" s="28">
        <f>=SUM(CJ121:CJ122)</f>
        <v>0</v>
      </c>
      <c r="CK22" s="28">
        <f>=SUM(CK121:CK122)</f>
        <v>0</v>
      </c>
      <c r="CL22" s="28">
        <f>=SUM(CL121:CL122)</f>
        <v>0</v>
      </c>
      <c r="CM22" s="28">
        <f>=SUM(CM121:CM122)</f>
        <v>0</v>
      </c>
      <c r="CN22" s="28">
        <f>=SUM(CN121:CN122)</f>
        <v>0</v>
      </c>
      <c r="CO22" s="28">
        <f>=SUM(CO121:CO122)</f>
        <v>0</v>
      </c>
      <c r="CP22" s="28">
        <f>=SUM(CP121:CP122)</f>
        <v>0</v>
      </c>
      <c r="CQ22" s="28">
        <f>=SUM(CQ121:CQ122)</f>
        <v>0</v>
      </c>
      <c r="CR22" s="28">
        <f>=SUM(CR121:CR122)</f>
        <v>0</v>
      </c>
      <c r="CS22" s="28">
        <f>=SUM(CS121:CS122)</f>
        <v>0</v>
      </c>
      <c r="CT22" s="28">
        <f>=SUM(CT121:CT122)</f>
        <v>0</v>
      </c>
      <c r="CU22" s="28">
        <f>=SUM(CU121:CU122)</f>
        <v>0</v>
      </c>
      <c r="CV22" s="28">
        <f>=SUM(CV121:CV122)</f>
        <v>0</v>
      </c>
      <c r="CW22" s="28">
        <f>=SUM(CW121:CW122)</f>
        <v>0</v>
      </c>
      <c r="CX22" s="28">
        <f>=SUM(CX121:CX122)</f>
        <v>0</v>
      </c>
      <c r="CY22" s="28">
        <f>=SUM(CY121:CY122)</f>
        <v>0</v>
      </c>
      <c r="CZ22" s="28">
        <f>=SUM(CZ121:CZ122)</f>
        <v>0</v>
      </c>
      <c r="DA22" s="28">
        <f>=SUM(DA121:DA122)</f>
        <v>0</v>
      </c>
      <c r="DB22" s="28">
        <f>=SUM(DB121:DB122)</f>
        <v>0</v>
      </c>
    </row>
    <row r="23" spans="1:106" x14ac:dyDescent="0.25">
      <c r="A23" s="27" t="s">
        <v>257</v>
      </c>
      <c r="C23" s="28">
        <f>=SUM(C123:C124)</f>
        <v>0</v>
      </c>
      <c r="D23" s="28">
        <f>=SUM(D123:D124)</f>
        <v>0</v>
      </c>
      <c r="E23" s="28">
        <f>=SUM(E123:E124)</f>
        <v>0</v>
      </c>
      <c r="F23" s="28">
        <f>=SUM(F123:F124)</f>
        <v>0</v>
      </c>
      <c r="G23" s="28">
        <f>=SUM(G123:G124)</f>
        <v>0</v>
      </c>
      <c r="H23" s="28">
        <f>=SUM(H123:H124)</f>
        <v>0</v>
      </c>
      <c r="I23" s="28">
        <f>=SUM(I123:I124)</f>
        <v>0</v>
      </c>
      <c r="J23" s="28">
        <f>=SUM(J123:J124)</f>
        <v>0</v>
      </c>
      <c r="K23" s="28">
        <f>=SUM(K123:K124)</f>
        <v>0</v>
      </c>
      <c r="L23" s="28">
        <f>=SUM(L123:L124)</f>
        <v>0</v>
      </c>
      <c r="M23" s="28">
        <f>=SUM(M123:M124)</f>
        <v>0</v>
      </c>
      <c r="N23" s="28">
        <f>=SUM(N123:N124)</f>
        <v>0</v>
      </c>
      <c r="O23" s="28">
        <f>=SUM(O123:O124)</f>
        <v>0</v>
      </c>
      <c r="P23" s="28">
        <f>=SUM(P123:P124)</f>
        <v>0</v>
      </c>
      <c r="Q23" s="28">
        <f>=SUM(Q123:Q124)</f>
        <v>0</v>
      </c>
      <c r="R23" s="28">
        <f>=SUM(R123:R124)</f>
        <v>0</v>
      </c>
      <c r="S23" s="28">
        <f>=SUM(S123:S124)</f>
        <v>0</v>
      </c>
      <c r="T23" s="28">
        <f>=SUM(T123:T124)</f>
        <v>0</v>
      </c>
      <c r="U23" s="28">
        <f>=SUM(U123:U124)</f>
        <v>0</v>
      </c>
      <c r="V23" s="28">
        <f>=SUM(V123:V124)</f>
        <v>0</v>
      </c>
      <c r="W23" s="28">
        <f>=SUM(W123:W124)</f>
        <v>0</v>
      </c>
      <c r="X23" s="28">
        <f>=SUM(X123:X124)</f>
        <v>0</v>
      </c>
      <c r="Y23" s="28">
        <f>=SUM(Y123:Y124)</f>
        <v>0</v>
      </c>
      <c r="Z23" s="28">
        <f>=SUM(Z123:Z124)</f>
        <v>0</v>
      </c>
      <c r="AA23" s="28">
        <f>=SUM(AA123:AA124)</f>
        <v>0</v>
      </c>
      <c r="AB23" s="28">
        <f>=SUM(AB123:AB124)</f>
        <v>0</v>
      </c>
      <c r="AC23" s="28">
        <f>=SUM(AC123:AC124)</f>
        <v>0</v>
      </c>
      <c r="AD23" s="28">
        <f>=SUM(AD123:AD124)</f>
        <v>0</v>
      </c>
      <c r="AE23" s="28">
        <f>=SUM(AE123:AE124)</f>
        <v>0</v>
      </c>
      <c r="AF23" s="28">
        <f>=SUM(AF123:AF124)</f>
        <v>0</v>
      </c>
      <c r="AG23" s="28">
        <f>=SUM(AG123:AG124)</f>
        <v>0</v>
      </c>
      <c r="AH23" s="28">
        <f>=SUM(AH123:AH124)</f>
        <v>0</v>
      </c>
      <c r="AI23" s="28">
        <f>=SUM(AI123:AI124)</f>
        <v>0</v>
      </c>
      <c r="AJ23" s="28">
        <f>=SUM(AJ123:AJ124)</f>
        <v>0</v>
      </c>
      <c r="AK23" s="28">
        <f>=SUM(AK123:AK124)</f>
        <v>0</v>
      </c>
      <c r="AL23" s="28">
        <f>=SUM(AL123:AL124)</f>
        <v>0</v>
      </c>
      <c r="AM23" s="28">
        <f>=SUM(AM123:AM124)</f>
        <v>0</v>
      </c>
      <c r="AN23" s="28">
        <f>=SUM(AN123:AN124)</f>
        <v>0</v>
      </c>
      <c r="AO23" s="28">
        <f>=SUM(AO123:AO124)</f>
        <v>0</v>
      </c>
      <c r="AP23" s="28">
        <f>=SUM(AP123:AP124)</f>
        <v>0</v>
      </c>
      <c r="AQ23" s="28">
        <f>=SUM(AQ123:AQ124)</f>
        <v>0</v>
      </c>
      <c r="AR23" s="28">
        <f>=SUM(AR123:AR124)</f>
        <v>0</v>
      </c>
      <c r="AS23" s="28">
        <f>=SUM(AS123:AS124)</f>
        <v>0</v>
      </c>
      <c r="AT23" s="28">
        <f>=SUM(AT123:AT124)</f>
        <v>0</v>
      </c>
      <c r="AU23" s="28">
        <f>=SUM(AU123:AU124)</f>
        <v>0</v>
      </c>
      <c r="AV23" s="28">
        <f>=SUM(AV123:AV124)</f>
        <v>0</v>
      </c>
      <c r="AW23" s="28">
        <f>=SUM(AW123:AW124)</f>
        <v>0</v>
      </c>
      <c r="AX23" s="28">
        <f>=SUM(AX123:AX124)</f>
        <v>0</v>
      </c>
      <c r="AY23" s="28">
        <f>=SUM(AY123:AY124)</f>
        <v>0</v>
      </c>
      <c r="AZ23" s="28">
        <f>=SUM(AZ123:AZ124)</f>
        <v>0</v>
      </c>
      <c r="BA23" s="28">
        <f>=SUM(BA123:BA124)</f>
        <v>0</v>
      </c>
      <c r="BB23" s="28">
        <f>=SUM(BB123:BB124)</f>
        <v>0</v>
      </c>
      <c r="BC23" s="28">
        <f>=SUM(BC123:BC124)</f>
        <v>0</v>
      </c>
      <c r="BD23" s="28">
        <f>=SUM(BD123:BD124)</f>
        <v>0</v>
      </c>
      <c r="BE23" s="28">
        <f>=SUM(BE123:BE124)</f>
        <v>0</v>
      </c>
      <c r="BF23" s="28">
        <f>=SUM(BF123:BF124)</f>
        <v>0</v>
      </c>
      <c r="BG23" s="28">
        <f>=SUM(BG123:BG124)</f>
        <v>0</v>
      </c>
      <c r="BH23" s="28">
        <f>=SUM(BH123:BH124)</f>
        <v>0</v>
      </c>
      <c r="BI23" s="28">
        <f>=SUM(BI123:BI124)</f>
        <v>0</v>
      </c>
      <c r="BJ23" s="28">
        <f>=SUM(BJ123:BJ124)</f>
        <v>0</v>
      </c>
      <c r="BK23" s="28">
        <f>=SUM(BK123:BK124)</f>
        <v>0</v>
      </c>
      <c r="BL23" s="28">
        <f>=SUM(BL123:BL124)</f>
        <v>0</v>
      </c>
      <c r="BM23" s="28">
        <f>=SUM(BM123:BM124)</f>
        <v>0</v>
      </c>
      <c r="BN23" s="28">
        <f>=SUM(BN123:BN124)</f>
        <v>0</v>
      </c>
      <c r="BO23" s="28">
        <f>=SUM(BO123:BO124)</f>
        <v>0</v>
      </c>
      <c r="BP23" s="28">
        <f>=SUM(BP123:BP124)</f>
        <v>0</v>
      </c>
      <c r="BQ23" s="28">
        <f>=SUM(BQ123:BQ124)</f>
        <v>0</v>
      </c>
      <c r="BR23" s="28">
        <f>=SUM(BR123:BR124)</f>
        <v>0</v>
      </c>
      <c r="BS23" s="28">
        <f>=SUM(BS123:BS124)</f>
        <v>0</v>
      </c>
      <c r="BT23" s="28">
        <f>=SUM(BT123:BT124)</f>
        <v>0</v>
      </c>
      <c r="BU23" s="28">
        <f>=SUM(BU123:BU124)</f>
        <v>0</v>
      </c>
      <c r="BV23" s="28">
        <f>=SUM(BV123:BV124)</f>
        <v>0</v>
      </c>
      <c r="BW23" s="28">
        <f>=SUM(BW123:BW124)</f>
        <v>0</v>
      </c>
      <c r="BX23" s="28">
        <f>=SUM(BX123:BX124)</f>
        <v>0</v>
      </c>
      <c r="BY23" s="28">
        <f>=SUM(BY123:BY124)</f>
        <v>0</v>
      </c>
      <c r="BZ23" s="28">
        <f>=SUM(BZ123:BZ124)</f>
        <v>0</v>
      </c>
      <c r="CA23" s="28">
        <f>=SUM(CA123:CA124)</f>
        <v>0</v>
      </c>
      <c r="CB23" s="28">
        <f>=SUM(CB123:CB124)</f>
        <v>0</v>
      </c>
      <c r="CC23" s="28">
        <f>=SUM(CC123:CC124)</f>
        <v>0</v>
      </c>
      <c r="CD23" s="28">
        <f>=SUM(CD123:CD124)</f>
        <v>0</v>
      </c>
      <c r="CE23" s="28">
        <f>=SUM(CE123:CE124)</f>
        <v>0</v>
      </c>
      <c r="CF23" s="28">
        <f>=SUM(CF123:CF124)</f>
        <v>0</v>
      </c>
      <c r="CG23" s="28">
        <f>=SUM(CG123:CG124)</f>
        <v>0</v>
      </c>
      <c r="CH23" s="28">
        <f>=SUM(CH123:CH124)</f>
        <v>0</v>
      </c>
      <c r="CI23" s="28">
        <f>=SUM(CI123:CI124)</f>
        <v>0</v>
      </c>
      <c r="CJ23" s="28">
        <f>=SUM(CJ123:CJ124)</f>
        <v>0</v>
      </c>
      <c r="CK23" s="28">
        <f>=SUM(CK123:CK124)</f>
        <v>0</v>
      </c>
      <c r="CL23" s="28">
        <f>=SUM(CL123:CL124)</f>
        <v>0</v>
      </c>
      <c r="CM23" s="28">
        <f>=SUM(CM123:CM124)</f>
        <v>0</v>
      </c>
      <c r="CN23" s="28">
        <f>=SUM(CN123:CN124)</f>
        <v>0</v>
      </c>
      <c r="CO23" s="28">
        <f>=SUM(CO123:CO124)</f>
        <v>0</v>
      </c>
      <c r="CP23" s="28">
        <f>=SUM(CP123:CP124)</f>
        <v>0</v>
      </c>
      <c r="CQ23" s="28">
        <f>=SUM(CQ123:CQ124)</f>
        <v>0</v>
      </c>
      <c r="CR23" s="28">
        <f>=SUM(CR123:CR124)</f>
        <v>0</v>
      </c>
      <c r="CS23" s="28">
        <f>=SUM(CS123:CS124)</f>
        <v>0</v>
      </c>
      <c r="CT23" s="28">
        <f>=SUM(CT123:CT124)</f>
        <v>0</v>
      </c>
      <c r="CU23" s="28">
        <f>=SUM(CU123:CU124)</f>
        <v>0</v>
      </c>
      <c r="CV23" s="28">
        <f>=SUM(CV123:CV124)</f>
        <v>0</v>
      </c>
      <c r="CW23" s="28">
        <f>=SUM(CW123:CW124)</f>
        <v>0</v>
      </c>
      <c r="CX23" s="28">
        <f>=SUM(CX123:CX124)</f>
        <v>0</v>
      </c>
      <c r="CY23" s="28">
        <f>=SUM(CY123:CY124)</f>
        <v>0</v>
      </c>
      <c r="CZ23" s="28">
        <f>=SUM(CZ123:CZ124)</f>
        <v>0</v>
      </c>
      <c r="DA23" s="28">
        <f>=SUM(DA123:DA124)</f>
        <v>0</v>
      </c>
      <c r="DB23" s="28">
        <f>=SUM(DB123:DB124)</f>
        <v>0</v>
      </c>
    </row>
    <row r="24" spans="1:106" x14ac:dyDescent="0.25">
      <c r="A24" s="27" t="s">
        <v>258</v>
      </c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0"/>
      <c r="CI24" s="30"/>
      <c r="CJ24" s="30"/>
      <c r="CK24" s="30"/>
      <c r="CL24" s="30"/>
      <c r="CM24" s="30"/>
      <c r="CN24" s="30"/>
      <c r="CO24" s="30"/>
      <c r="CP24" s="30"/>
      <c r="CQ24" s="30"/>
      <c r="CR24" s="30"/>
      <c r="CS24" s="30"/>
      <c r="CT24" s="30"/>
      <c r="CU24" s="30"/>
      <c r="CV24" s="30"/>
      <c r="CW24" s="30"/>
      <c r="CX24" s="30"/>
      <c r="CY24" s="30"/>
      <c r="CZ24" s="30"/>
      <c r="DA24" s="30"/>
      <c r="DB24" s="30"/>
    </row>
    <row r="25" spans="1:106" x14ac:dyDescent="0.25">
      <c r="A25" s="22" t="s">
        <v>259</v>
      </c>
      <c r="C25" s="31">
        <f>=IFERROR(C19/C10,0)</f>
        <v>1</v>
      </c>
      <c r="D25" s="31">
        <f>=IFERROR(D19/D10,0)</f>
        <v>1</v>
      </c>
      <c r="E25" s="31">
        <f>=IFERROR(E19/E10,0)</f>
        <v>1</v>
      </c>
      <c r="F25" s="31">
        <f>=IFERROR(F19/F10,0)</f>
        <v>1</v>
      </c>
      <c r="G25" s="31">
        <f>=IFERROR(G19/G10,0)</f>
        <v>1</v>
      </c>
      <c r="H25" s="31">
        <f>=IFERROR(H19/H10,0)</f>
        <v>1</v>
      </c>
      <c r="I25" s="31">
        <f>=IFERROR(I19/I10,0)</f>
        <v>1</v>
      </c>
      <c r="J25" s="31">
        <f>=IFERROR(J19/J10,0)</f>
        <v>1</v>
      </c>
      <c r="K25" s="31">
        <f>=IFERROR(K19/K10,0)</f>
        <v>1</v>
      </c>
      <c r="L25" s="31">
        <f>=IFERROR(L19/L10,0)</f>
        <v>1</v>
      </c>
      <c r="M25" s="31">
        <f>=IFERROR(M19/M10,0)</f>
        <v>1</v>
      </c>
      <c r="N25" s="31">
        <f>=IFERROR(N19/N10,0)</f>
        <v>1</v>
      </c>
      <c r="O25" s="31">
        <f>=IFERROR(O19/O10,0)</f>
        <v>1</v>
      </c>
      <c r="P25" s="31">
        <f>=IFERROR(P19/P10,0)</f>
        <v>1</v>
      </c>
      <c r="Q25" s="31">
        <f>=IFERROR(Q19/Q10,0)</f>
        <v>1</v>
      </c>
      <c r="R25" s="31">
        <f>=IFERROR(R19/R10,0)</f>
        <v>1</v>
      </c>
      <c r="S25" s="31">
        <f>=IFERROR(S19/S10,0)</f>
        <v>1</v>
      </c>
      <c r="T25" s="31">
        <f>=IFERROR(T19/T10,0)</f>
        <v>1</v>
      </c>
      <c r="U25" s="31">
        <f>=IFERROR(U19/U10,0)</f>
        <v>1</v>
      </c>
      <c r="V25" s="31">
        <f>=IFERROR(V19/V10,0)</f>
        <v>1</v>
      </c>
      <c r="W25" s="31">
        <f>=IFERROR(W19/W10,0)</f>
        <v>1</v>
      </c>
      <c r="X25" s="31">
        <f>=IFERROR(X19/X10,0)</f>
        <v>1</v>
      </c>
      <c r="Y25" s="31">
        <f>=IFERROR(Y19/Y10,0)</f>
        <v>1</v>
      </c>
      <c r="Z25" s="31">
        <f>=IFERROR(Z19/Z10,0)</f>
        <v>1</v>
      </c>
      <c r="AA25" s="31">
        <f>=IFERROR(AA19/AA10,0)</f>
        <v>1</v>
      </c>
      <c r="AB25" s="31">
        <f>=IFERROR(AB19/AB10,0)</f>
        <v>1</v>
      </c>
      <c r="AC25" s="31">
        <f>=IFERROR(AC19/AC10,0)</f>
        <v>1</v>
      </c>
      <c r="AD25" s="31">
        <f>=IFERROR(AD19/AD10,0)</f>
        <v>1</v>
      </c>
      <c r="AE25" s="31">
        <f>=IFERROR(AE19/AE10,0)</f>
        <v>1</v>
      </c>
      <c r="AF25" s="31">
        <f>=IFERROR(AF19/AF10,0)</f>
        <v>1</v>
      </c>
      <c r="AG25" s="31">
        <f>=IFERROR(AG19/AG10,0)</f>
        <v>1</v>
      </c>
      <c r="AH25" s="31">
        <f>=IFERROR(AH19/AH10,0)</f>
        <v>1</v>
      </c>
      <c r="AI25" s="31">
        <f>=IFERROR(AI19/AI10,0)</f>
        <v>1</v>
      </c>
      <c r="AJ25" s="31">
        <f>=IFERROR(AJ19/AJ10,0)</f>
        <v>1</v>
      </c>
      <c r="AK25" s="31">
        <f>=IFERROR(AK19/AK10,0)</f>
        <v>1</v>
      </c>
      <c r="AL25" s="31">
        <f>=IFERROR(AL19/AL10,0)</f>
        <v>1</v>
      </c>
      <c r="AM25" s="31">
        <f>=IFERROR(AM19/AM10,0)</f>
        <v>1</v>
      </c>
      <c r="AN25" s="31">
        <f>=IFERROR(AN19/AN10,0)</f>
        <v>1</v>
      </c>
      <c r="AO25" s="31">
        <f>=IFERROR(AO19/AO10,0)</f>
        <v>1</v>
      </c>
      <c r="AP25" s="31">
        <f>=IFERROR(AP19/AP10,0)</f>
        <v>1</v>
      </c>
      <c r="AQ25" s="31">
        <f>=IFERROR(AQ19/AQ10,0)</f>
        <v>1</v>
      </c>
      <c r="AR25" s="31">
        <f>=IFERROR(AR19/AR10,0)</f>
        <v>1</v>
      </c>
      <c r="AS25" s="31">
        <f>=IFERROR(AS19/AS10,0)</f>
        <v>1</v>
      </c>
      <c r="AT25" s="31">
        <f>=IFERROR(AT19/AT10,0)</f>
        <v>1</v>
      </c>
      <c r="AU25" s="31">
        <f>=IFERROR(AU19/AU10,0)</f>
        <v>1</v>
      </c>
      <c r="AV25" s="31">
        <f>=IFERROR(AV19/AV10,0)</f>
        <v>1</v>
      </c>
      <c r="AW25" s="31">
        <f>=IFERROR(AW19/AW10,0)</f>
        <v>1</v>
      </c>
      <c r="AX25" s="31">
        <f>=IFERROR(AX19/AX10,0)</f>
        <v>1</v>
      </c>
      <c r="AY25" s="31">
        <f>=IFERROR(AY19/AY10,0)</f>
        <v>1</v>
      </c>
      <c r="AZ25" s="31">
        <f>=IFERROR(AZ19/AZ10,0)</f>
        <v>1</v>
      </c>
      <c r="BA25" s="31">
        <f>=IFERROR(BA19/BA10,0)</f>
        <v>1</v>
      </c>
      <c r="BB25" s="31">
        <f>=IFERROR(BB19/BB10,0)</f>
        <v>1</v>
      </c>
      <c r="BC25" s="31">
        <f>=IFERROR(BC19/BC10,0)</f>
        <v>1</v>
      </c>
      <c r="BD25" s="31">
        <f>=IFERROR(BD19/BD10,0)</f>
        <v>1</v>
      </c>
      <c r="BE25" s="31">
        <f>=IFERROR(BE19/BE10,0)</f>
        <v>1</v>
      </c>
      <c r="BF25" s="31">
        <f>=IFERROR(BF19/BF10,0)</f>
        <v>1</v>
      </c>
      <c r="BG25" s="31">
        <f>=IFERROR(BG19/BG10,0)</f>
        <v>1</v>
      </c>
      <c r="BH25" s="31">
        <f>=IFERROR(BH19/BH10,0)</f>
        <v>1</v>
      </c>
      <c r="BI25" s="31">
        <f>=IFERROR(BI19/BI10,0)</f>
        <v>1</v>
      </c>
      <c r="BJ25" s="31">
        <f>=IFERROR(BJ19/BJ10,0)</f>
        <v>1</v>
      </c>
      <c r="BK25" s="31">
        <f>=IFERROR(BK19/BK10,0)</f>
        <v>1</v>
      </c>
      <c r="BL25" s="31">
        <f>=IFERROR(BL19/BL10,0)</f>
        <v>1</v>
      </c>
      <c r="BM25" s="31">
        <f>=IFERROR(BM19/BM10,0)</f>
        <v>1</v>
      </c>
      <c r="BN25" s="31">
        <f>=IFERROR(BN19/BN10,0)</f>
        <v>1</v>
      </c>
      <c r="BO25" s="31">
        <f>=IFERROR(BO19/BO10,0)</f>
        <v>1</v>
      </c>
      <c r="BP25" s="31">
        <f>=IFERROR(BP19/BP10,0)</f>
        <v>1</v>
      </c>
      <c r="BQ25" s="31">
        <f>=IFERROR(BQ19/BQ10,0)</f>
        <v>1</v>
      </c>
      <c r="BR25" s="31">
        <f>=IFERROR(BR19/BR10,0)</f>
        <v>1</v>
      </c>
      <c r="BS25" s="31">
        <f>=IFERROR(BS19/BS10,0)</f>
        <v>1</v>
      </c>
      <c r="BT25" s="31">
        <f>=IFERROR(BT19/BT10,0)</f>
        <v>1</v>
      </c>
      <c r="BU25" s="31">
        <f>=IFERROR(BU19/BU10,0)</f>
        <v>1</v>
      </c>
      <c r="BV25" s="31">
        <f>=IFERROR(BV19/BV10,0)</f>
        <v>1</v>
      </c>
      <c r="BW25" s="31">
        <f>=IFERROR(BW19/BW10,0)</f>
        <v>1</v>
      </c>
      <c r="BX25" s="31">
        <f>=IFERROR(BX19/BX10,0)</f>
        <v>1</v>
      </c>
      <c r="BY25" s="31">
        <f>=IFERROR(BY19/BY10,0)</f>
        <v>1</v>
      </c>
      <c r="BZ25" s="31">
        <f>=IFERROR(BZ19/BZ10,0)</f>
        <v>1</v>
      </c>
      <c r="CA25" s="31">
        <f>=IFERROR(CA19/CA10,0)</f>
        <v>1</v>
      </c>
      <c r="CB25" s="31">
        <f>=IFERROR(CB19/CB10,0)</f>
        <v>1</v>
      </c>
      <c r="CC25" s="31">
        <f>=IFERROR(CC19/CC10,0)</f>
        <v>1</v>
      </c>
      <c r="CD25" s="31">
        <f>=IFERROR(CD19/CD10,0)</f>
        <v>1</v>
      </c>
      <c r="CE25" s="31">
        <f>=IFERROR(CE19/CE10,0)</f>
        <v>1</v>
      </c>
      <c r="CF25" s="31">
        <f>=IFERROR(CF19/CF10,0)</f>
        <v>1</v>
      </c>
      <c r="CG25" s="31">
        <f>=IFERROR(CG19/CG10,0)</f>
        <v>1</v>
      </c>
      <c r="CH25" s="31">
        <f>=IFERROR(CH19/CH10,0)</f>
        <v>1</v>
      </c>
      <c r="CI25" s="31">
        <f>=IFERROR(CI19/CI10,0)</f>
        <v>1</v>
      </c>
      <c r="CJ25" s="31">
        <f>=IFERROR(CJ19/CJ10,0)</f>
        <v>1</v>
      </c>
      <c r="CK25" s="31">
        <f>=IFERROR(CK19/CK10,0)</f>
        <v>1</v>
      </c>
      <c r="CL25" s="31">
        <f>=IFERROR(CL19/CL10,0)</f>
        <v>1</v>
      </c>
      <c r="CM25" s="31">
        <f>=IFERROR(CM19/CM10,0)</f>
        <v>1</v>
      </c>
      <c r="CN25" s="31">
        <f>=IFERROR(CN19/CN10,0)</f>
        <v>1</v>
      </c>
      <c r="CO25" s="31">
        <f>=IFERROR(CO19/CO10,0)</f>
        <v>1</v>
      </c>
      <c r="CP25" s="31">
        <f>=IFERROR(CP19/CP10,0)</f>
        <v>1</v>
      </c>
      <c r="CQ25" s="31">
        <f>=IFERROR(CQ19/CQ10,0)</f>
        <v>1</v>
      </c>
      <c r="CR25" s="31">
        <f>=IFERROR(CR19/CR10,0)</f>
        <v>1</v>
      </c>
      <c r="CS25" s="31">
        <f>=IFERROR(CS19/CS10,0)</f>
        <v>1</v>
      </c>
      <c r="CT25" s="31">
        <f>=IFERROR(CT19/CT10,0)</f>
        <v>1</v>
      </c>
      <c r="CU25" s="31">
        <f>=IFERROR(CU19/CU10,0)</f>
        <v>1</v>
      </c>
      <c r="CV25" s="31">
        <f>=IFERROR(CV19/CV10,0)</f>
        <v>1</v>
      </c>
      <c r="CW25" s="31">
        <f>=IFERROR(CW19/CW10,0)</f>
        <v>1</v>
      </c>
      <c r="CX25" s="31">
        <f>=IFERROR(CX19/CX10,0)</f>
        <v>1</v>
      </c>
      <c r="CY25" s="31">
        <f>=IFERROR(CY19/CY10,0)</f>
        <v>1</v>
      </c>
      <c r="CZ25" s="31">
        <f>=IFERROR(CZ19/CZ10,0)</f>
        <v>1</v>
      </c>
      <c r="DA25" s="31">
        <f>=IFERROR(DA19/DA10,0)</f>
        <v>1</v>
      </c>
      <c r="DB25" s="31">
        <f>=IFERROR(DB19/DB10,0)</f>
        <v>1</v>
      </c>
    </row>
    <row r="26" spans="3:106" x14ac:dyDescent="0.25"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0"/>
      <c r="CG26" s="30"/>
      <c r="CH26" s="30"/>
      <c r="CI26" s="30"/>
      <c r="CJ26" s="30"/>
      <c r="CK26" s="30"/>
      <c r="CL26" s="30"/>
      <c r="CM26" s="30"/>
      <c r="CN26" s="30"/>
      <c r="CO26" s="30"/>
      <c r="CP26" s="30"/>
      <c r="CQ26" s="30"/>
      <c r="CR26" s="30"/>
      <c r="CS26" s="30"/>
      <c r="CT26" s="30"/>
      <c r="CU26" s="30"/>
      <c r="CV26" s="30"/>
      <c r="CW26" s="30"/>
      <c r="CX26" s="30"/>
      <c r="CY26" s="30"/>
      <c r="CZ26" s="30"/>
      <c r="DA26" s="30"/>
      <c r="DB26" s="30"/>
    </row>
    <row r="27" ht="14" customHeight="1" spans="1:106" x14ac:dyDescent="0.25">
      <c r="A27" s="9" t="s">
        <v>260</v>
      </c>
      <c r="B27" s="17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</row>
    <row r="28" ht="15" customHeight="1" spans="1:106" x14ac:dyDescent="0.25">
      <c r="A28" s="33" t="s">
        <v>261</v>
      </c>
      <c r="B28" s="13"/>
      <c r="C28" s="34">
        <f>=IFERROR(1-((1-C29)*(1-C34)),0)</f>
        <v>0.286</v>
      </c>
      <c r="D28" s="34">
        <f>=IFERROR(1-((1-D29)*(1-D34)),0)</f>
        <v>0.286</v>
      </c>
      <c r="E28" s="34">
        <f>=IFERROR(1-((1-E29)*(1-E34)),0)</f>
        <v>0.286</v>
      </c>
      <c r="F28" s="34">
        <f>=IFERROR(1-((1-F29)*(1-F34)),0)</f>
        <v>0.286</v>
      </c>
      <c r="G28" s="34">
        <f>=IFERROR(1-((1-G29)*(1-G34)),0)</f>
        <v>0.286</v>
      </c>
      <c r="H28" s="34">
        <f>=IFERROR(1-((1-H29)*(1-H34)),0)</f>
        <v>0.286</v>
      </c>
      <c r="I28" s="34">
        <f>=IFERROR(1-((1-I29)*(1-I34)),0)</f>
        <v>0.286</v>
      </c>
      <c r="J28" s="34">
        <f>=IFERROR(1-((1-J29)*(1-J34)),0)</f>
        <v>0.286</v>
      </c>
      <c r="K28" s="34">
        <f>=IFERROR(1-((1-K29)*(1-K34)),0)</f>
        <v>0.286</v>
      </c>
      <c r="L28" s="34">
        <f>=IFERROR(1-((1-L29)*(1-L34)),0)</f>
        <v>0.286</v>
      </c>
      <c r="M28" s="34">
        <f>=IFERROR(1-((1-M29)*(1-M34)),0)</f>
        <v>0.286</v>
      </c>
      <c r="N28" s="34">
        <f>=IFERROR(1-((1-N29)*(1-N34)),0)</f>
        <v>0.286</v>
      </c>
      <c r="O28" s="34">
        <f>=IFERROR(1-((1-O29)*(1-O34)),0)</f>
        <v>0.286</v>
      </c>
      <c r="P28" s="34">
        <f>=IFERROR(1-((1-P29)*(1-P34)),0)</f>
        <v>0.286</v>
      </c>
      <c r="Q28" s="34">
        <f>=IFERROR(1-((1-Q29)*(1-Q34)),0)</f>
        <v>0.286</v>
      </c>
      <c r="R28" s="34">
        <f>=IFERROR(1-((1-R29)*(1-R34)),0)</f>
        <v>0.286</v>
      </c>
      <c r="S28" s="34">
        <f>=IFERROR(1-((1-S29)*(1-S34)),0)</f>
        <v>0.286</v>
      </c>
      <c r="T28" s="34">
        <f>=IFERROR(1-((1-T29)*(1-T34)),0)</f>
        <v>0.286</v>
      </c>
      <c r="U28" s="34">
        <f>=IFERROR(1-((1-U29)*(1-U34)),0)</f>
        <v>0.286</v>
      </c>
      <c r="V28" s="34">
        <f>=IFERROR(1-((1-V29)*(1-V34)),0)</f>
        <v>0.286</v>
      </c>
      <c r="W28" s="34">
        <f>=IFERROR(1-((1-W29)*(1-W34)),0)</f>
        <v>0.286</v>
      </c>
      <c r="X28" s="34">
        <f>=IFERROR(1-((1-X29)*(1-X34)),0)</f>
        <v>0.286</v>
      </c>
      <c r="Y28" s="34">
        <f>=IFERROR(1-((1-Y29)*(1-Y34)),0)</f>
        <v>0.286</v>
      </c>
      <c r="Z28" s="34">
        <f>=IFERROR(1-((1-Z29)*(1-Z34)),0)</f>
        <v>0.286</v>
      </c>
      <c r="AA28" s="34">
        <f>=IFERROR(1-((1-AA29)*(1-AA34)),0)</f>
        <v>0.286</v>
      </c>
      <c r="AB28" s="34">
        <f>=IFERROR(1-((1-AB29)*(1-AB34)),0)</f>
        <v>0.286</v>
      </c>
      <c r="AC28" s="34">
        <f>=IFERROR(1-((1-AC29)*(1-AC34)),0)</f>
        <v>0.286</v>
      </c>
      <c r="AD28" s="34">
        <f>=IFERROR(1-((1-AD29)*(1-AD34)),0)</f>
        <v>0.286</v>
      </c>
      <c r="AE28" s="34">
        <f>=IFERROR(1-((1-AE29)*(1-AE34)),0)</f>
        <v>0.286</v>
      </c>
      <c r="AF28" s="34">
        <f>=IFERROR(1-((1-AF29)*(1-AF34)),0)</f>
        <v>0.286</v>
      </c>
      <c r="AG28" s="34">
        <f>=IFERROR(1-((1-AG29)*(1-AG34)),0)</f>
        <v>0.286</v>
      </c>
      <c r="AH28" s="34">
        <f>=IFERROR(1-((1-AH29)*(1-AH34)),0)</f>
        <v>0.286</v>
      </c>
      <c r="AI28" s="34">
        <f>=IFERROR(1-((1-AI29)*(1-AI34)),0)</f>
        <v>0.286</v>
      </c>
      <c r="AJ28" s="34">
        <f>=IFERROR(1-((1-AJ29)*(1-AJ34)),0)</f>
        <v>0.286</v>
      </c>
      <c r="AK28" s="34">
        <f>=IFERROR(1-((1-AK29)*(1-AK34)),0)</f>
        <v>0.286</v>
      </c>
      <c r="AL28" s="34">
        <f>=IFERROR(1-((1-AL29)*(1-AL34)),0)</f>
        <v>0.286</v>
      </c>
      <c r="AM28" s="34">
        <f>=IFERROR(1-((1-AM29)*(1-AM34)),0)</f>
        <v>0.286</v>
      </c>
      <c r="AN28" s="34">
        <f>=IFERROR(1-((1-AN29)*(1-AN34)),0)</f>
        <v>0.286</v>
      </c>
      <c r="AO28" s="34">
        <f>=IFERROR(1-((1-AO29)*(1-AO34)),0)</f>
        <v>0.286</v>
      </c>
      <c r="AP28" s="34">
        <f>=IFERROR(1-((1-AP29)*(1-AP34)),0)</f>
        <v>0.286</v>
      </c>
      <c r="AQ28" s="34">
        <f>=IFERROR(1-((1-AQ29)*(1-AQ34)),0)</f>
        <v>0.286</v>
      </c>
      <c r="AR28" s="34">
        <f>=IFERROR(1-((1-AR29)*(1-AR34)),0)</f>
        <v>0.286</v>
      </c>
      <c r="AS28" s="34">
        <f>=IFERROR(1-((1-AS29)*(1-AS34)),0)</f>
        <v>0.286</v>
      </c>
      <c r="AT28" s="34">
        <f>=IFERROR(1-((1-AT29)*(1-AT34)),0)</f>
        <v>0.286</v>
      </c>
      <c r="AU28" s="34">
        <f>=IFERROR(1-((1-AU29)*(1-AU34)),0)</f>
        <v>0.286</v>
      </c>
      <c r="AV28" s="34">
        <f>=IFERROR(1-((1-AV29)*(1-AV34)),0)</f>
        <v>0.286</v>
      </c>
      <c r="AW28" s="34">
        <f>=IFERROR(1-((1-AW29)*(1-AW34)),0)</f>
        <v>0.286</v>
      </c>
      <c r="AX28" s="34">
        <f>=IFERROR(1-((1-AX29)*(1-AX34)),0)</f>
        <v>0.286</v>
      </c>
      <c r="AY28" s="34">
        <f>=IFERROR(1-((1-AY29)*(1-AY34)),0)</f>
        <v>0.286</v>
      </c>
      <c r="AZ28" s="34">
        <f>=IFERROR(1-((1-AZ29)*(1-AZ34)),0)</f>
        <v>0.286</v>
      </c>
      <c r="BA28" s="34">
        <f>=IFERROR(1-((1-BA29)*(1-BA34)),0)</f>
        <v>0.286</v>
      </c>
      <c r="BB28" s="34">
        <f>=IFERROR(1-((1-BB29)*(1-BB34)),0)</f>
        <v>0.286</v>
      </c>
      <c r="BC28" s="34">
        <f>=IFERROR(1-((1-BC29)*(1-BC34)),0)</f>
        <v>0.269</v>
      </c>
      <c r="BD28" s="34">
        <f>=IFERROR(1-((1-BD29)*(1-BD34)),0)</f>
        <v>0.269</v>
      </c>
      <c r="BE28" s="34">
        <f>=IFERROR(1-((1-BE29)*(1-BE34)),0)</f>
        <v>0.269</v>
      </c>
      <c r="BF28" s="34">
        <f>=IFERROR(1-((1-BF29)*(1-BF34)),0)</f>
        <v>0.269</v>
      </c>
      <c r="BG28" s="34">
        <f>=IFERROR(1-((1-BG29)*(1-BG34)),0)</f>
        <v>0.269</v>
      </c>
      <c r="BH28" s="34">
        <f>=IFERROR(1-((1-BH29)*(1-BH34)),0)</f>
        <v>0.269</v>
      </c>
      <c r="BI28" s="34">
        <f>=IFERROR(1-((1-BI29)*(1-BI34)),0)</f>
        <v>0.269</v>
      </c>
      <c r="BJ28" s="34">
        <f>=IFERROR(1-((1-BJ29)*(1-BJ34)),0)</f>
        <v>0.269</v>
      </c>
      <c r="BK28" s="34">
        <f>=IFERROR(1-((1-BK29)*(1-BK34)),0)</f>
        <v>0.269</v>
      </c>
      <c r="BL28" s="34">
        <f>=IFERROR(1-((1-BL29)*(1-BL34)),0)</f>
        <v>0.269</v>
      </c>
      <c r="BM28" s="34">
        <f>=IFERROR(1-((1-BM29)*(1-BM34)),0)</f>
        <v>0.269</v>
      </c>
      <c r="BN28" s="34">
        <f>=IFERROR(1-((1-BN29)*(1-BN34)),0)</f>
        <v>0.269</v>
      </c>
      <c r="BO28" s="34">
        <f>=IFERROR(1-((1-BO29)*(1-BO34)),0)</f>
        <v>0.269</v>
      </c>
      <c r="BP28" s="34">
        <f>=IFERROR(1-((1-BP29)*(1-BP34)),0)</f>
        <v>0.269</v>
      </c>
      <c r="BQ28" s="34">
        <f>=IFERROR(1-((1-BQ29)*(1-BQ34)),0)</f>
        <v>0.269</v>
      </c>
      <c r="BR28" s="34">
        <f>=IFERROR(1-((1-BR29)*(1-BR34)),0)</f>
        <v>0.269</v>
      </c>
      <c r="BS28" s="34">
        <f>=IFERROR(1-((1-BS29)*(1-BS34)),0)</f>
        <v>0.269</v>
      </c>
      <c r="BT28" s="34">
        <f>=IFERROR(1-((1-BT29)*(1-BT34)),0)</f>
        <v>0.269</v>
      </c>
      <c r="BU28" s="34">
        <f>=IFERROR(1-((1-BU29)*(1-BU34)),0)</f>
        <v>0.269</v>
      </c>
      <c r="BV28" s="34">
        <f>=IFERROR(1-((1-BV29)*(1-BV34)),0)</f>
        <v>0.269</v>
      </c>
      <c r="BW28" s="34">
        <f>=IFERROR(1-((1-BW29)*(1-BW34)),0)</f>
        <v>0.269</v>
      </c>
      <c r="BX28" s="34">
        <f>=IFERROR(1-((1-BX29)*(1-BX34)),0)</f>
        <v>0.269</v>
      </c>
      <c r="BY28" s="34">
        <f>=IFERROR(1-((1-BY29)*(1-BY34)),0)</f>
        <v>0.269</v>
      </c>
      <c r="BZ28" s="34">
        <f>=IFERROR(1-((1-BZ29)*(1-BZ34)),0)</f>
        <v>0.269</v>
      </c>
      <c r="CA28" s="34">
        <f>=IFERROR(1-((1-CA29)*(1-CA34)),0)</f>
        <v>0.269</v>
      </c>
      <c r="CB28" s="34">
        <f>=IFERROR(1-((1-CB29)*(1-CB34)),0)</f>
        <v>0.269</v>
      </c>
      <c r="CC28" s="34">
        <f>=IFERROR(1-((1-CC29)*(1-CC34)),0)</f>
        <v>0.269</v>
      </c>
      <c r="CD28" s="34">
        <f>=IFERROR(1-((1-CD29)*(1-CD34)),0)</f>
        <v>0.269</v>
      </c>
      <c r="CE28" s="34">
        <f>=IFERROR(1-((1-CE29)*(1-CE34)),0)</f>
        <v>0.269</v>
      </c>
      <c r="CF28" s="34">
        <f>=IFERROR(1-((1-CF29)*(1-CF34)),0)</f>
        <v>0.269</v>
      </c>
      <c r="CG28" s="34">
        <f>=IFERROR(1-((1-CG29)*(1-CG34)),0)</f>
        <v>0.269</v>
      </c>
      <c r="CH28" s="34">
        <f>=IFERROR(1-((1-CH29)*(1-CH34)),0)</f>
        <v>0.269</v>
      </c>
      <c r="CI28" s="34">
        <f>=IFERROR(1-((1-CI29)*(1-CI34)),0)</f>
        <v>0.269</v>
      </c>
      <c r="CJ28" s="34">
        <f>=IFERROR(1-((1-CJ29)*(1-CJ34)),0)</f>
        <v>0.269</v>
      </c>
      <c r="CK28" s="34">
        <f>=IFERROR(1-((1-CK29)*(1-CK34)),0)</f>
        <v>0.269</v>
      </c>
      <c r="CL28" s="34">
        <f>=IFERROR(1-((1-CL29)*(1-CL34)),0)</f>
        <v>0.269</v>
      </c>
      <c r="CM28" s="34">
        <f>=IFERROR(1-((1-CM29)*(1-CM34)),0)</f>
        <v>0.269</v>
      </c>
      <c r="CN28" s="34">
        <f>=IFERROR(1-((1-CN29)*(1-CN34)),0)</f>
        <v>0.269</v>
      </c>
      <c r="CO28" s="34">
        <f>=IFERROR(1-((1-CO29)*(1-CO34)),0)</f>
        <v>0.269</v>
      </c>
      <c r="CP28" s="34">
        <f>=IFERROR(1-((1-CP29)*(1-CP34)),0)</f>
        <v>0.269</v>
      </c>
      <c r="CQ28" s="34">
        <f>=IFERROR(1-((1-CQ29)*(1-CQ34)),0)</f>
        <v>0.269</v>
      </c>
      <c r="CR28" s="34">
        <f>=IFERROR(1-((1-CR29)*(1-CR34)),0)</f>
        <v>0.269</v>
      </c>
      <c r="CS28" s="34">
        <f>=IFERROR(1-((1-CS29)*(1-CS34)),0)</f>
        <v>0.269</v>
      </c>
      <c r="CT28" s="34">
        <f>=IFERROR(1-((1-CT29)*(1-CT34)),0)</f>
        <v>0.269</v>
      </c>
      <c r="CU28" s="34">
        <f>=IFERROR(1-((1-CU29)*(1-CU34)),0)</f>
        <v>0.269</v>
      </c>
      <c r="CV28" s="34">
        <f>=IFERROR(1-((1-CV29)*(1-CV34)),0)</f>
        <v>0.269</v>
      </c>
      <c r="CW28" s="34">
        <f>=IFERROR(1-((1-CW29)*(1-CW34)),0)</f>
        <v>0.269</v>
      </c>
      <c r="CX28" s="34">
        <f>=IFERROR(1-((1-CX29)*(1-CX34)),0)</f>
        <v>0.269</v>
      </c>
      <c r="CY28" s="34">
        <f>=IFERROR(1-((1-CY29)*(1-CY34)),0)</f>
        <v>0.269</v>
      </c>
      <c r="CZ28" s="34">
        <f>=IFERROR(1-((1-CZ29)*(1-CZ34)),0)</f>
        <v>0.269</v>
      </c>
      <c r="DA28" s="34">
        <f>=IFERROR(1-((1-DA29)*(1-DA34)),0)</f>
        <v>0.269</v>
      </c>
      <c r="DB28" s="34">
        <f>=IFERROR(1-((1-DB29)*(1-DB34)),0)</f>
        <v>0.269</v>
      </c>
    </row>
    <row r="29" ht="15" customHeight="1" spans="1:106" x14ac:dyDescent="0.25">
      <c r="A29" s="16" t="s">
        <v>262</v>
      </c>
      <c r="B29" s="17"/>
      <c r="C29" s="35">
        <f>=SUM(C30:C33)</f>
        <v>0.16</v>
      </c>
      <c r="D29" s="35">
        <f>=SUM(D30:D33)</f>
        <v>0.16</v>
      </c>
      <c r="E29" s="35">
        <f>=SUM(E30:E33)</f>
        <v>0.16</v>
      </c>
      <c r="F29" s="35">
        <f>=SUM(F30:F33)</f>
        <v>0.16</v>
      </c>
      <c r="G29" s="35">
        <f>=SUM(G30:G33)</f>
        <v>0.16</v>
      </c>
      <c r="H29" s="35">
        <f>=SUM(H30:H33)</f>
        <v>0.16</v>
      </c>
      <c r="I29" s="35">
        <f>=SUM(I30:I33)</f>
        <v>0.16</v>
      </c>
      <c r="J29" s="35">
        <f>=SUM(J30:J33)</f>
        <v>0.16</v>
      </c>
      <c r="K29" s="35">
        <f>=SUM(K30:K33)</f>
        <v>0.16</v>
      </c>
      <c r="L29" s="35">
        <f>=SUM(L30:L33)</f>
        <v>0.16</v>
      </c>
      <c r="M29" s="35">
        <f>=SUM(M30:M33)</f>
        <v>0.16</v>
      </c>
      <c r="N29" s="35">
        <f>=SUM(N30:N33)</f>
        <v>0.16</v>
      </c>
      <c r="O29" s="35">
        <f>=SUM(O30:O33)</f>
        <v>0.16</v>
      </c>
      <c r="P29" s="35">
        <f>=SUM(P30:P33)</f>
        <v>0.16</v>
      </c>
      <c r="Q29" s="35">
        <f>=SUM(Q30:Q33)</f>
        <v>0.16</v>
      </c>
      <c r="R29" s="35">
        <f>=SUM(R30:R33)</f>
        <v>0.16</v>
      </c>
      <c r="S29" s="35">
        <f>=SUM(S30:S33)</f>
        <v>0.16</v>
      </c>
      <c r="T29" s="35">
        <f>=SUM(T30:T33)</f>
        <v>0.16</v>
      </c>
      <c r="U29" s="35">
        <f>=SUM(U30:U33)</f>
        <v>0.16</v>
      </c>
      <c r="V29" s="35">
        <f>=SUM(V30:V33)</f>
        <v>0.16</v>
      </c>
      <c r="W29" s="35">
        <f>=SUM(W30:W33)</f>
        <v>0.16</v>
      </c>
      <c r="X29" s="35">
        <f>=SUM(X30:X33)</f>
        <v>0.16</v>
      </c>
      <c r="Y29" s="35">
        <f>=SUM(Y30:Y33)</f>
        <v>0.16</v>
      </c>
      <c r="Z29" s="35">
        <f>=SUM(Z30:Z33)</f>
        <v>0.16</v>
      </c>
      <c r="AA29" s="35">
        <f>=SUM(AA30:AA33)</f>
        <v>0.16</v>
      </c>
      <c r="AB29" s="35">
        <f>=SUM(AB30:AB33)</f>
        <v>0.16</v>
      </c>
      <c r="AC29" s="35">
        <f>=SUM(AC30:AC33)</f>
        <v>0.16</v>
      </c>
      <c r="AD29" s="35">
        <f>=SUM(AD30:AD33)</f>
        <v>0.16</v>
      </c>
      <c r="AE29" s="35">
        <f>=SUM(AE30:AE33)</f>
        <v>0.16</v>
      </c>
      <c r="AF29" s="35">
        <f>=SUM(AF30:AF33)</f>
        <v>0.16</v>
      </c>
      <c r="AG29" s="35">
        <f>=SUM(AG30:AG33)</f>
        <v>0.16</v>
      </c>
      <c r="AH29" s="35">
        <f>=SUM(AH30:AH33)</f>
        <v>0.16</v>
      </c>
      <c r="AI29" s="35">
        <f>=SUM(AI30:AI33)</f>
        <v>0.16</v>
      </c>
      <c r="AJ29" s="35">
        <f>=SUM(AJ30:AJ33)</f>
        <v>0.16</v>
      </c>
      <c r="AK29" s="35">
        <f>=SUM(AK30:AK33)</f>
        <v>0.16</v>
      </c>
      <c r="AL29" s="35">
        <f>=SUM(AL30:AL33)</f>
        <v>0.16</v>
      </c>
      <c r="AM29" s="35">
        <f>=SUM(AM30:AM33)</f>
        <v>0.16</v>
      </c>
      <c r="AN29" s="35">
        <f>=SUM(AN30:AN33)</f>
        <v>0.16</v>
      </c>
      <c r="AO29" s="35">
        <f>=SUM(AO30:AO33)</f>
        <v>0.16</v>
      </c>
      <c r="AP29" s="35">
        <f>=SUM(AP30:AP33)</f>
        <v>0.16</v>
      </c>
      <c r="AQ29" s="35">
        <f>=SUM(AQ30:AQ33)</f>
        <v>0.16</v>
      </c>
      <c r="AR29" s="35">
        <f>=SUM(AR30:AR33)</f>
        <v>0.16</v>
      </c>
      <c r="AS29" s="35">
        <f>=SUM(AS30:AS33)</f>
        <v>0.16</v>
      </c>
      <c r="AT29" s="35">
        <f>=SUM(AT30:AT33)</f>
        <v>0.16</v>
      </c>
      <c r="AU29" s="35">
        <f>=SUM(AU30:AU33)</f>
        <v>0.16</v>
      </c>
      <c r="AV29" s="35">
        <f>=SUM(AV30:AV33)</f>
        <v>0.16</v>
      </c>
      <c r="AW29" s="35">
        <f>=SUM(AW30:AW33)</f>
        <v>0.16</v>
      </c>
      <c r="AX29" s="35">
        <f>=SUM(AX30:AX33)</f>
        <v>0.16</v>
      </c>
      <c r="AY29" s="35">
        <f>=SUM(AY30:AY33)</f>
        <v>0.16</v>
      </c>
      <c r="AZ29" s="35">
        <f>=SUM(AZ30:AZ33)</f>
        <v>0.16</v>
      </c>
      <c r="BA29" s="35">
        <f>=SUM(BA30:BA33)</f>
        <v>0.16</v>
      </c>
      <c r="BB29" s="35">
        <f>=SUM(BB30:BB33)</f>
        <v>0.16</v>
      </c>
      <c r="BC29" s="35">
        <f>=SUM(BC30:BC33)</f>
        <v>0.14</v>
      </c>
      <c r="BD29" s="35">
        <f>=SUM(BD30:BD33)</f>
        <v>0.14</v>
      </c>
      <c r="BE29" s="35">
        <f>=SUM(BE30:BE33)</f>
        <v>0.14</v>
      </c>
      <c r="BF29" s="35">
        <f>=SUM(BF30:BF33)</f>
        <v>0.14</v>
      </c>
      <c r="BG29" s="35">
        <f>=SUM(BG30:BG33)</f>
        <v>0.14</v>
      </c>
      <c r="BH29" s="35">
        <f>=SUM(BH30:BH33)</f>
        <v>0.14</v>
      </c>
      <c r="BI29" s="35">
        <f>=SUM(BI30:BI33)</f>
        <v>0.14</v>
      </c>
      <c r="BJ29" s="35">
        <f>=SUM(BJ30:BJ33)</f>
        <v>0.14</v>
      </c>
      <c r="BK29" s="35">
        <f>=SUM(BK30:BK33)</f>
        <v>0.14</v>
      </c>
      <c r="BL29" s="35">
        <f>=SUM(BL30:BL33)</f>
        <v>0.14</v>
      </c>
      <c r="BM29" s="35">
        <f>=SUM(BM30:BM33)</f>
        <v>0.14</v>
      </c>
      <c r="BN29" s="35">
        <f>=SUM(BN30:BN33)</f>
        <v>0.14</v>
      </c>
      <c r="BO29" s="35">
        <f>=SUM(BO30:BO33)</f>
        <v>0.14</v>
      </c>
      <c r="BP29" s="35">
        <f>=SUM(BP30:BP33)</f>
        <v>0.14</v>
      </c>
      <c r="BQ29" s="35">
        <f>=SUM(BQ30:BQ33)</f>
        <v>0.14</v>
      </c>
      <c r="BR29" s="35">
        <f>=SUM(BR30:BR33)</f>
        <v>0.14</v>
      </c>
      <c r="BS29" s="35">
        <f>=SUM(BS30:BS33)</f>
        <v>0.14</v>
      </c>
      <c r="BT29" s="35">
        <f>=SUM(BT30:BT33)</f>
        <v>0.14</v>
      </c>
      <c r="BU29" s="35">
        <f>=SUM(BU30:BU33)</f>
        <v>0.14</v>
      </c>
      <c r="BV29" s="35">
        <f>=SUM(BV30:BV33)</f>
        <v>0.14</v>
      </c>
      <c r="BW29" s="35">
        <f>=SUM(BW30:BW33)</f>
        <v>0.14</v>
      </c>
      <c r="BX29" s="35">
        <f>=SUM(BX30:BX33)</f>
        <v>0.14</v>
      </c>
      <c r="BY29" s="35">
        <f>=SUM(BY30:BY33)</f>
        <v>0.14</v>
      </c>
      <c r="BZ29" s="35">
        <f>=SUM(BZ30:BZ33)</f>
        <v>0.14</v>
      </c>
      <c r="CA29" s="35">
        <f>=SUM(CA30:CA33)</f>
        <v>0.14</v>
      </c>
      <c r="CB29" s="35">
        <f>=SUM(CB30:CB33)</f>
        <v>0.14</v>
      </c>
      <c r="CC29" s="35">
        <f>=SUM(CC30:CC33)</f>
        <v>0.14</v>
      </c>
      <c r="CD29" s="35">
        <f>=SUM(CD30:CD33)</f>
        <v>0.14</v>
      </c>
      <c r="CE29" s="35">
        <f>=SUM(CE30:CE33)</f>
        <v>0.14</v>
      </c>
      <c r="CF29" s="35">
        <f>=SUM(CF30:CF33)</f>
        <v>0.14</v>
      </c>
      <c r="CG29" s="35">
        <f>=SUM(CG30:CG33)</f>
        <v>0.14</v>
      </c>
      <c r="CH29" s="35">
        <f>=SUM(CH30:CH33)</f>
        <v>0.14</v>
      </c>
      <c r="CI29" s="35">
        <f>=SUM(CI30:CI33)</f>
        <v>0.14</v>
      </c>
      <c r="CJ29" s="35">
        <f>=SUM(CJ30:CJ33)</f>
        <v>0.14</v>
      </c>
      <c r="CK29" s="35">
        <f>=SUM(CK30:CK33)</f>
        <v>0.14</v>
      </c>
      <c r="CL29" s="35">
        <f>=SUM(CL30:CL33)</f>
        <v>0.14</v>
      </c>
      <c r="CM29" s="35">
        <f>=SUM(CM30:CM33)</f>
        <v>0.14</v>
      </c>
      <c r="CN29" s="35">
        <f>=SUM(CN30:CN33)</f>
        <v>0.14</v>
      </c>
      <c r="CO29" s="35">
        <f>=SUM(CO30:CO33)</f>
        <v>0.14</v>
      </c>
      <c r="CP29" s="35">
        <f>=SUM(CP30:CP33)</f>
        <v>0.14</v>
      </c>
      <c r="CQ29" s="35">
        <f>=SUM(CQ30:CQ33)</f>
        <v>0.14</v>
      </c>
      <c r="CR29" s="35">
        <f>=SUM(CR30:CR33)</f>
        <v>0.14</v>
      </c>
      <c r="CS29" s="35">
        <f>=SUM(CS30:CS33)</f>
        <v>0.14</v>
      </c>
      <c r="CT29" s="35">
        <f>=SUM(CT30:CT33)</f>
        <v>0.14</v>
      </c>
      <c r="CU29" s="35">
        <f>=SUM(CU30:CU33)</f>
        <v>0.14</v>
      </c>
      <c r="CV29" s="35">
        <f>=SUM(CV30:CV33)</f>
        <v>0.14</v>
      </c>
      <c r="CW29" s="35">
        <f>=SUM(CW30:CW33)</f>
        <v>0.14</v>
      </c>
      <c r="CX29" s="35">
        <f>=SUM(CX30:CX33)</f>
        <v>0.14</v>
      </c>
      <c r="CY29" s="35">
        <f>=SUM(CY30:CY33)</f>
        <v>0.14</v>
      </c>
      <c r="CZ29" s="35">
        <f>=SUM(CZ30:CZ33)</f>
        <v>0.14</v>
      </c>
      <c r="DA29" s="35">
        <f>=SUM(DA30:DA33)</f>
        <v>0.14</v>
      </c>
      <c r="DB29" s="35">
        <f>=SUM(DB30:DB33)</f>
        <v>0.14</v>
      </c>
    </row>
    <row r="30" ht="16" customHeight="1" spans="1:106" x14ac:dyDescent="0.25">
      <c r="A30" s="36" t="s">
        <v>263</v>
      </c>
      <c r="C30" s="77">
        <v>0.08</v>
      </c>
      <c r="D30" s="77">
        <v>0.08</v>
      </c>
      <c r="E30" s="77">
        <v>0.08</v>
      </c>
      <c r="F30" s="77">
        <v>0.08</v>
      </c>
      <c r="G30" s="77">
        <v>0.08</v>
      </c>
      <c r="H30" s="77">
        <v>0.08</v>
      </c>
      <c r="I30" s="77">
        <v>0.08</v>
      </c>
      <c r="J30" s="77">
        <v>0.08</v>
      </c>
      <c r="K30" s="77">
        <v>0.08</v>
      </c>
      <c r="L30" s="77">
        <v>0.08</v>
      </c>
      <c r="M30" s="77">
        <v>0.08</v>
      </c>
      <c r="N30" s="77">
        <v>0.08</v>
      </c>
      <c r="O30" s="77">
        <v>0.08</v>
      </c>
      <c r="P30" s="77">
        <v>0.08</v>
      </c>
      <c r="Q30" s="77">
        <v>0.08</v>
      </c>
      <c r="R30" s="77">
        <v>0.08</v>
      </c>
      <c r="S30" s="77">
        <v>0.08</v>
      </c>
      <c r="T30" s="77">
        <v>0.08</v>
      </c>
      <c r="U30" s="77">
        <v>0.08</v>
      </c>
      <c r="V30" s="77">
        <v>0.08</v>
      </c>
      <c r="W30" s="77">
        <v>0.08</v>
      </c>
      <c r="X30" s="77">
        <v>0.08</v>
      </c>
      <c r="Y30" s="77">
        <v>0.08</v>
      </c>
      <c r="Z30" s="77">
        <v>0.08</v>
      </c>
      <c r="AA30" s="77">
        <v>0.08</v>
      </c>
      <c r="AB30" s="77">
        <v>0.08</v>
      </c>
      <c r="AC30" s="77">
        <v>0.08</v>
      </c>
      <c r="AD30" s="77">
        <v>0.08</v>
      </c>
      <c r="AE30" s="77">
        <v>0.08</v>
      </c>
      <c r="AF30" s="77">
        <v>0.08</v>
      </c>
      <c r="AG30" s="77">
        <v>0.08</v>
      </c>
      <c r="AH30" s="77">
        <v>0.08</v>
      </c>
      <c r="AI30" s="77">
        <v>0.08</v>
      </c>
      <c r="AJ30" s="77">
        <v>0.08</v>
      </c>
      <c r="AK30" s="77">
        <v>0.08</v>
      </c>
      <c r="AL30" s="77">
        <v>0.08</v>
      </c>
      <c r="AM30" s="77">
        <v>0.08</v>
      </c>
      <c r="AN30" s="77">
        <v>0.08</v>
      </c>
      <c r="AO30" s="77">
        <v>0.08</v>
      </c>
      <c r="AP30" s="77">
        <v>0.08</v>
      </c>
      <c r="AQ30" s="77">
        <v>0.08</v>
      </c>
      <c r="AR30" s="77">
        <v>0.08</v>
      </c>
      <c r="AS30" s="77">
        <v>0.08</v>
      </c>
      <c r="AT30" s="77">
        <v>0.08</v>
      </c>
      <c r="AU30" s="77">
        <v>0.08</v>
      </c>
      <c r="AV30" s="77">
        <v>0.08</v>
      </c>
      <c r="AW30" s="77">
        <v>0.08</v>
      </c>
      <c r="AX30" s="77">
        <v>0.08</v>
      </c>
      <c r="AY30" s="77">
        <v>0.08</v>
      </c>
      <c r="AZ30" s="77">
        <v>0.08</v>
      </c>
      <c r="BA30" s="77">
        <v>0.08</v>
      </c>
      <c r="BB30" s="77">
        <v>0.08</v>
      </c>
      <c r="BC30" s="77">
        <v>0.07</v>
      </c>
      <c r="BD30" s="77">
        <v>0.07</v>
      </c>
      <c r="BE30" s="77">
        <v>0.07</v>
      </c>
      <c r="BF30" s="77">
        <v>0.07</v>
      </c>
      <c r="BG30" s="77">
        <v>0.07</v>
      </c>
      <c r="BH30" s="77">
        <v>0.07</v>
      </c>
      <c r="BI30" s="77">
        <v>0.07</v>
      </c>
      <c r="BJ30" s="77">
        <v>0.07</v>
      </c>
      <c r="BK30" s="77">
        <v>0.07</v>
      </c>
      <c r="BL30" s="77">
        <v>0.07</v>
      </c>
      <c r="BM30" s="77">
        <v>0.07</v>
      </c>
      <c r="BN30" s="77">
        <v>0.07</v>
      </c>
      <c r="BO30" s="77">
        <v>0.07</v>
      </c>
      <c r="BP30" s="77">
        <v>0.07</v>
      </c>
      <c r="BQ30" s="77">
        <v>0.07</v>
      </c>
      <c r="BR30" s="77">
        <v>0.07</v>
      </c>
      <c r="BS30" s="77">
        <v>0.07</v>
      </c>
      <c r="BT30" s="77">
        <v>0.07</v>
      </c>
      <c r="BU30" s="77">
        <v>0.07</v>
      </c>
      <c r="BV30" s="77">
        <v>0.07</v>
      </c>
      <c r="BW30" s="77">
        <v>0.07</v>
      </c>
      <c r="BX30" s="77">
        <v>0.07</v>
      </c>
      <c r="BY30" s="77">
        <v>0.07</v>
      </c>
      <c r="BZ30" s="77">
        <v>0.07</v>
      </c>
      <c r="CA30" s="77">
        <v>0.07</v>
      </c>
      <c r="CB30" s="77">
        <v>0.07</v>
      </c>
      <c r="CC30" s="77">
        <v>0.07</v>
      </c>
      <c r="CD30" s="77">
        <v>0.07</v>
      </c>
      <c r="CE30" s="77">
        <v>0.07</v>
      </c>
      <c r="CF30" s="77">
        <v>0.07</v>
      </c>
      <c r="CG30" s="77">
        <v>0.07</v>
      </c>
      <c r="CH30" s="77">
        <v>0.07</v>
      </c>
      <c r="CI30" s="77">
        <v>0.07</v>
      </c>
      <c r="CJ30" s="77">
        <v>0.07</v>
      </c>
      <c r="CK30" s="77">
        <v>0.07</v>
      </c>
      <c r="CL30" s="77">
        <v>0.07</v>
      </c>
      <c r="CM30" s="77">
        <v>0.07</v>
      </c>
      <c r="CN30" s="77">
        <v>0.07</v>
      </c>
      <c r="CO30" s="77">
        <v>0.07</v>
      </c>
      <c r="CP30" s="77">
        <v>0.07</v>
      </c>
      <c r="CQ30" s="77">
        <v>0.07</v>
      </c>
      <c r="CR30" s="77">
        <v>0.07</v>
      </c>
      <c r="CS30" s="77">
        <v>0.07</v>
      </c>
      <c r="CT30" s="77">
        <v>0.07</v>
      </c>
      <c r="CU30" s="77">
        <v>0.07</v>
      </c>
      <c r="CV30" s="77">
        <v>0.07</v>
      </c>
      <c r="CW30" s="77">
        <v>0.07</v>
      </c>
      <c r="CX30" s="77">
        <v>0.07</v>
      </c>
      <c r="CY30" s="77">
        <v>0.07</v>
      </c>
      <c r="CZ30" s="77">
        <v>0.07</v>
      </c>
      <c r="DA30" s="77">
        <v>0.07</v>
      </c>
      <c r="DB30" s="77">
        <v>0.07</v>
      </c>
    </row>
    <row r="31" ht="16" customHeight="1" spans="1:106" x14ac:dyDescent="0.25">
      <c r="A31" s="36" t="s">
        <v>264</v>
      </c>
      <c r="C31" s="77">
        <v>0.08</v>
      </c>
      <c r="D31" s="77">
        <v>0.08</v>
      </c>
      <c r="E31" s="77">
        <v>0.08</v>
      </c>
      <c r="F31" s="77">
        <v>0.08</v>
      </c>
      <c r="G31" s="77">
        <v>0.08</v>
      </c>
      <c r="H31" s="77">
        <v>0.08</v>
      </c>
      <c r="I31" s="77">
        <v>0.08</v>
      </c>
      <c r="J31" s="77">
        <v>0.08</v>
      </c>
      <c r="K31" s="77">
        <v>0.08</v>
      </c>
      <c r="L31" s="77">
        <v>0.08</v>
      </c>
      <c r="M31" s="77">
        <v>0.08</v>
      </c>
      <c r="N31" s="77">
        <v>0.08</v>
      </c>
      <c r="O31" s="77">
        <v>0.08</v>
      </c>
      <c r="P31" s="77">
        <v>0.08</v>
      </c>
      <c r="Q31" s="77">
        <v>0.08</v>
      </c>
      <c r="R31" s="77">
        <v>0.08</v>
      </c>
      <c r="S31" s="77">
        <v>0.08</v>
      </c>
      <c r="T31" s="77">
        <v>0.08</v>
      </c>
      <c r="U31" s="77">
        <v>0.08</v>
      </c>
      <c r="V31" s="77">
        <v>0.08</v>
      </c>
      <c r="W31" s="77">
        <v>0.08</v>
      </c>
      <c r="X31" s="77">
        <v>0.08</v>
      </c>
      <c r="Y31" s="77">
        <v>0.08</v>
      </c>
      <c r="Z31" s="77">
        <v>0.08</v>
      </c>
      <c r="AA31" s="77">
        <v>0.08</v>
      </c>
      <c r="AB31" s="77">
        <v>0.08</v>
      </c>
      <c r="AC31" s="77">
        <v>0.08</v>
      </c>
      <c r="AD31" s="77">
        <v>0.08</v>
      </c>
      <c r="AE31" s="77">
        <v>0.08</v>
      </c>
      <c r="AF31" s="77">
        <v>0.08</v>
      </c>
      <c r="AG31" s="77">
        <v>0.08</v>
      </c>
      <c r="AH31" s="77">
        <v>0.08</v>
      </c>
      <c r="AI31" s="77">
        <v>0.08</v>
      </c>
      <c r="AJ31" s="77">
        <v>0.08</v>
      </c>
      <c r="AK31" s="77">
        <v>0.08</v>
      </c>
      <c r="AL31" s="77">
        <v>0.08</v>
      </c>
      <c r="AM31" s="77">
        <v>0.08</v>
      </c>
      <c r="AN31" s="77">
        <v>0.08</v>
      </c>
      <c r="AO31" s="77">
        <v>0.08</v>
      </c>
      <c r="AP31" s="77">
        <v>0.08</v>
      </c>
      <c r="AQ31" s="77">
        <v>0.08</v>
      </c>
      <c r="AR31" s="77">
        <v>0.08</v>
      </c>
      <c r="AS31" s="77">
        <v>0.08</v>
      </c>
      <c r="AT31" s="77">
        <v>0.08</v>
      </c>
      <c r="AU31" s="77">
        <v>0.08</v>
      </c>
      <c r="AV31" s="77">
        <v>0.08</v>
      </c>
      <c r="AW31" s="77">
        <v>0.08</v>
      </c>
      <c r="AX31" s="77">
        <v>0.08</v>
      </c>
      <c r="AY31" s="77">
        <v>0.08</v>
      </c>
      <c r="AZ31" s="77">
        <v>0.08</v>
      </c>
      <c r="BA31" s="77">
        <v>0.08</v>
      </c>
      <c r="BB31" s="77">
        <v>0.08</v>
      </c>
      <c r="BC31" s="77">
        <v>0.07</v>
      </c>
      <c r="BD31" s="77">
        <v>0.07</v>
      </c>
      <c r="BE31" s="77">
        <v>0.07</v>
      </c>
      <c r="BF31" s="77">
        <v>0.07</v>
      </c>
      <c r="BG31" s="77">
        <v>0.07</v>
      </c>
      <c r="BH31" s="77">
        <v>0.07</v>
      </c>
      <c r="BI31" s="77">
        <v>0.07</v>
      </c>
      <c r="BJ31" s="77">
        <v>0.07</v>
      </c>
      <c r="BK31" s="77">
        <v>0.07</v>
      </c>
      <c r="BL31" s="77">
        <v>0.07</v>
      </c>
      <c r="BM31" s="77">
        <v>0.07</v>
      </c>
      <c r="BN31" s="77">
        <v>0.07</v>
      </c>
      <c r="BO31" s="77">
        <v>0.07</v>
      </c>
      <c r="BP31" s="77">
        <v>0.07</v>
      </c>
      <c r="BQ31" s="77">
        <v>0.07</v>
      </c>
      <c r="BR31" s="77">
        <v>0.07</v>
      </c>
      <c r="BS31" s="77">
        <v>0.07</v>
      </c>
      <c r="BT31" s="77">
        <v>0.07</v>
      </c>
      <c r="BU31" s="77">
        <v>0.07</v>
      </c>
      <c r="BV31" s="77">
        <v>0.07</v>
      </c>
      <c r="BW31" s="77">
        <v>0.07</v>
      </c>
      <c r="BX31" s="77">
        <v>0.07</v>
      </c>
      <c r="BY31" s="77">
        <v>0.07</v>
      </c>
      <c r="BZ31" s="77">
        <v>0.07</v>
      </c>
      <c r="CA31" s="77">
        <v>0.07</v>
      </c>
      <c r="CB31" s="77">
        <v>0.07</v>
      </c>
      <c r="CC31" s="77">
        <v>0.07</v>
      </c>
      <c r="CD31" s="77">
        <v>0.07</v>
      </c>
      <c r="CE31" s="77">
        <v>0.07</v>
      </c>
      <c r="CF31" s="77">
        <v>0.07</v>
      </c>
      <c r="CG31" s="77">
        <v>0.07</v>
      </c>
      <c r="CH31" s="77">
        <v>0.07</v>
      </c>
      <c r="CI31" s="77">
        <v>0.07</v>
      </c>
      <c r="CJ31" s="77">
        <v>0.07</v>
      </c>
      <c r="CK31" s="77">
        <v>0.07</v>
      </c>
      <c r="CL31" s="77">
        <v>0.07</v>
      </c>
      <c r="CM31" s="77">
        <v>0.07</v>
      </c>
      <c r="CN31" s="77">
        <v>0.07</v>
      </c>
      <c r="CO31" s="77">
        <v>0.07</v>
      </c>
      <c r="CP31" s="77">
        <v>0.07</v>
      </c>
      <c r="CQ31" s="77">
        <v>0.07</v>
      </c>
      <c r="CR31" s="77">
        <v>0.07</v>
      </c>
      <c r="CS31" s="77">
        <v>0.07</v>
      </c>
      <c r="CT31" s="77">
        <v>0.07</v>
      </c>
      <c r="CU31" s="77">
        <v>0.07</v>
      </c>
      <c r="CV31" s="77">
        <v>0.07</v>
      </c>
      <c r="CW31" s="77">
        <v>0.07</v>
      </c>
      <c r="CX31" s="77">
        <v>0.07</v>
      </c>
      <c r="CY31" s="77">
        <v>0.07</v>
      </c>
      <c r="CZ31" s="77">
        <v>0.07</v>
      </c>
      <c r="DA31" s="77">
        <v>0.07</v>
      </c>
      <c r="DB31" s="77">
        <v>0.07</v>
      </c>
    </row>
    <row r="32" spans="1:106" x14ac:dyDescent="0.25">
      <c r="A32" s="36" t="s">
        <v>265</v>
      </c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38"/>
      <c r="BM32" s="38"/>
      <c r="BN32" s="38"/>
      <c r="BO32" s="38"/>
      <c r="BP32" s="38"/>
      <c r="BQ32" s="38"/>
      <c r="BR32" s="38"/>
      <c r="BS32" s="38"/>
      <c r="BT32" s="38"/>
      <c r="BU32" s="38"/>
      <c r="BV32" s="38"/>
      <c r="BW32" s="38"/>
      <c r="BX32" s="38"/>
      <c r="BY32" s="38"/>
      <c r="BZ32" s="38"/>
      <c r="CA32" s="38"/>
      <c r="CB32" s="38"/>
      <c r="CC32" s="38"/>
      <c r="CD32" s="38"/>
      <c r="CE32" s="38"/>
      <c r="CF32" s="38"/>
      <c r="CG32" s="38"/>
      <c r="CH32" s="38"/>
      <c r="CI32" s="38"/>
      <c r="CJ32" s="38"/>
      <c r="CK32" s="38"/>
      <c r="CL32" s="38"/>
      <c r="CM32" s="38"/>
      <c r="CN32" s="38"/>
      <c r="CO32" s="38"/>
      <c r="CP32" s="38"/>
      <c r="CQ32" s="38"/>
      <c r="CR32" s="38"/>
      <c r="CS32" s="38"/>
      <c r="CT32" s="38"/>
      <c r="CU32" s="38"/>
      <c r="CV32" s="38"/>
      <c r="CW32" s="38"/>
      <c r="CX32" s="38"/>
      <c r="CY32" s="38"/>
      <c r="CZ32" s="38"/>
      <c r="DA32" s="38"/>
      <c r="DB32" s="38"/>
    </row>
    <row r="33" spans="1:106" x14ac:dyDescent="0.25">
      <c r="A33" s="36" t="s">
        <v>266</v>
      </c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/>
      <c r="BK33" s="38"/>
      <c r="BL33" s="38"/>
      <c r="BM33" s="38"/>
      <c r="BN33" s="38"/>
      <c r="BO33" s="38"/>
      <c r="BP33" s="38"/>
      <c r="BQ33" s="38"/>
      <c r="BR33" s="38"/>
      <c r="BS33" s="38"/>
      <c r="BT33" s="38"/>
      <c r="BU33" s="38"/>
      <c r="BV33" s="38"/>
      <c r="BW33" s="38"/>
      <c r="BX33" s="38"/>
      <c r="BY33" s="38"/>
      <c r="BZ33" s="38"/>
      <c r="CA33" s="38"/>
      <c r="CB33" s="38"/>
      <c r="CC33" s="38"/>
      <c r="CD33" s="38"/>
      <c r="CE33" s="38"/>
      <c r="CF33" s="38"/>
      <c r="CG33" s="38"/>
      <c r="CH33" s="38"/>
      <c r="CI33" s="38"/>
      <c r="CJ33" s="38"/>
      <c r="CK33" s="38"/>
      <c r="CL33" s="38"/>
      <c r="CM33" s="38"/>
      <c r="CN33" s="38"/>
      <c r="CO33" s="38"/>
      <c r="CP33" s="38"/>
      <c r="CQ33" s="38"/>
      <c r="CR33" s="38"/>
      <c r="CS33" s="38"/>
      <c r="CT33" s="38"/>
      <c r="CU33" s="38"/>
      <c r="CV33" s="38"/>
      <c r="CW33" s="38"/>
      <c r="CX33" s="38"/>
      <c r="CY33" s="38"/>
      <c r="CZ33" s="38"/>
      <c r="DA33" s="38"/>
      <c r="DB33" s="38"/>
    </row>
    <row r="34" ht="15" customHeight="1" spans="1:106" x14ac:dyDescent="0.25">
      <c r="A34" s="16" t="s">
        <v>267</v>
      </c>
      <c r="B34" s="17"/>
      <c r="C34" s="35">
        <f>=SUM(C35:C40)</f>
        <v>0.15</v>
      </c>
      <c r="D34" s="35">
        <f>=SUM(D35:D40)</f>
        <v>0.15</v>
      </c>
      <c r="E34" s="35">
        <f>=SUM(E35:E40)</f>
        <v>0.15</v>
      </c>
      <c r="F34" s="35">
        <f>=SUM(F35:F40)</f>
        <v>0.15</v>
      </c>
      <c r="G34" s="35">
        <f>=SUM(G35:G40)</f>
        <v>0.15</v>
      </c>
      <c r="H34" s="35">
        <f>=SUM(H35:H40)</f>
        <v>0.15</v>
      </c>
      <c r="I34" s="35">
        <f>=SUM(I35:I40)</f>
        <v>0.15</v>
      </c>
      <c r="J34" s="35">
        <f>=SUM(J35:J40)</f>
        <v>0.15</v>
      </c>
      <c r="K34" s="35">
        <f>=SUM(K35:K40)</f>
        <v>0.15</v>
      </c>
      <c r="L34" s="35">
        <f>=SUM(L35:L40)</f>
        <v>0.15</v>
      </c>
      <c r="M34" s="35">
        <f>=SUM(M35:M40)</f>
        <v>0.15</v>
      </c>
      <c r="N34" s="35">
        <f>=SUM(N35:N40)</f>
        <v>0.15</v>
      </c>
      <c r="O34" s="35">
        <f>=SUM(O35:O40)</f>
        <v>0.15</v>
      </c>
      <c r="P34" s="35">
        <f>=SUM(P35:P40)</f>
        <v>0.15</v>
      </c>
      <c r="Q34" s="35">
        <f>=SUM(Q35:Q40)</f>
        <v>0.15</v>
      </c>
      <c r="R34" s="35">
        <f>=SUM(R35:R40)</f>
        <v>0.15</v>
      </c>
      <c r="S34" s="35">
        <f>=SUM(S35:S40)</f>
        <v>0.15</v>
      </c>
      <c r="T34" s="35">
        <f>=SUM(T35:T40)</f>
        <v>0.15</v>
      </c>
      <c r="U34" s="35">
        <f>=SUM(U35:U40)</f>
        <v>0.15</v>
      </c>
      <c r="V34" s="35">
        <f>=SUM(V35:V40)</f>
        <v>0.15</v>
      </c>
      <c r="W34" s="35">
        <f>=SUM(W35:W40)</f>
        <v>0.15</v>
      </c>
      <c r="X34" s="35">
        <f>=SUM(X35:X40)</f>
        <v>0.15</v>
      </c>
      <c r="Y34" s="35">
        <f>=SUM(Y35:Y40)</f>
        <v>0.15</v>
      </c>
      <c r="Z34" s="35">
        <f>=SUM(Z35:Z40)</f>
        <v>0.15</v>
      </c>
      <c r="AA34" s="35">
        <f>=SUM(AA35:AA40)</f>
        <v>0.15</v>
      </c>
      <c r="AB34" s="35">
        <f>=SUM(AB35:AB40)</f>
        <v>0.15</v>
      </c>
      <c r="AC34" s="35">
        <f>=SUM(AC35:AC40)</f>
        <v>0.15</v>
      </c>
      <c r="AD34" s="35">
        <f>=SUM(AD35:AD40)</f>
        <v>0.15</v>
      </c>
      <c r="AE34" s="35">
        <f>=SUM(AE35:AE40)</f>
        <v>0.15</v>
      </c>
      <c r="AF34" s="35">
        <f>=SUM(AF35:AF40)</f>
        <v>0.15</v>
      </c>
      <c r="AG34" s="35">
        <f>=SUM(AG35:AG40)</f>
        <v>0.15</v>
      </c>
      <c r="AH34" s="35">
        <f>=SUM(AH35:AH40)</f>
        <v>0.15</v>
      </c>
      <c r="AI34" s="35">
        <f>=SUM(AI35:AI40)</f>
        <v>0.15</v>
      </c>
      <c r="AJ34" s="35">
        <f>=SUM(AJ35:AJ40)</f>
        <v>0.15</v>
      </c>
      <c r="AK34" s="35">
        <f>=SUM(AK35:AK40)</f>
        <v>0.15</v>
      </c>
      <c r="AL34" s="35">
        <f>=SUM(AL35:AL40)</f>
        <v>0.15</v>
      </c>
      <c r="AM34" s="35">
        <f>=SUM(AM35:AM40)</f>
        <v>0.15</v>
      </c>
      <c r="AN34" s="35">
        <f>=SUM(AN35:AN40)</f>
        <v>0.15</v>
      </c>
      <c r="AO34" s="35">
        <f>=SUM(AO35:AO40)</f>
        <v>0.15</v>
      </c>
      <c r="AP34" s="35">
        <f>=SUM(AP35:AP40)</f>
        <v>0.15</v>
      </c>
      <c r="AQ34" s="35">
        <f>=SUM(AQ35:AQ40)</f>
        <v>0.15</v>
      </c>
      <c r="AR34" s="35">
        <f>=SUM(AR35:AR40)</f>
        <v>0.15</v>
      </c>
      <c r="AS34" s="35">
        <f>=SUM(AS35:AS40)</f>
        <v>0.15</v>
      </c>
      <c r="AT34" s="35">
        <f>=SUM(AT35:AT40)</f>
        <v>0.15</v>
      </c>
      <c r="AU34" s="35">
        <f>=SUM(AU35:AU40)</f>
        <v>0.15</v>
      </c>
      <c r="AV34" s="35">
        <f>=SUM(AV35:AV40)</f>
        <v>0.15</v>
      </c>
      <c r="AW34" s="35">
        <f>=SUM(AW35:AW40)</f>
        <v>0.15</v>
      </c>
      <c r="AX34" s="35">
        <f>=SUM(AX35:AX40)</f>
        <v>0.15</v>
      </c>
      <c r="AY34" s="35">
        <f>=SUM(AY35:AY40)</f>
        <v>0.15</v>
      </c>
      <c r="AZ34" s="35">
        <f>=SUM(AZ35:AZ40)</f>
        <v>0.15</v>
      </c>
      <c r="BA34" s="35">
        <f>=SUM(BA35:BA40)</f>
        <v>0.15</v>
      </c>
      <c r="BB34" s="35">
        <f>=SUM(BB35:BB40)</f>
        <v>0.15</v>
      </c>
      <c r="BC34" s="35">
        <f>=SUM(BC35:BC40)</f>
        <v>0.15</v>
      </c>
      <c r="BD34" s="35">
        <f>=SUM(BD35:BD40)</f>
        <v>0.15</v>
      </c>
      <c r="BE34" s="35">
        <f>=SUM(BE35:BE40)</f>
        <v>0.15</v>
      </c>
      <c r="BF34" s="35">
        <f>=SUM(BF35:BF40)</f>
        <v>0.15</v>
      </c>
      <c r="BG34" s="35">
        <f>=SUM(BG35:BG40)</f>
        <v>0.15</v>
      </c>
      <c r="BH34" s="35">
        <f>=SUM(BH35:BH40)</f>
        <v>0.15</v>
      </c>
      <c r="BI34" s="35">
        <f>=SUM(BI35:BI40)</f>
        <v>0.15</v>
      </c>
      <c r="BJ34" s="35">
        <f>=SUM(BJ35:BJ40)</f>
        <v>0.15</v>
      </c>
      <c r="BK34" s="35">
        <f>=SUM(BK35:BK40)</f>
        <v>0.15</v>
      </c>
      <c r="BL34" s="35">
        <f>=SUM(BL35:BL40)</f>
        <v>0.15</v>
      </c>
      <c r="BM34" s="35">
        <f>=SUM(BM35:BM40)</f>
        <v>0.15</v>
      </c>
      <c r="BN34" s="35">
        <f>=SUM(BN35:BN40)</f>
        <v>0.15</v>
      </c>
      <c r="BO34" s="35">
        <f>=SUM(BO35:BO40)</f>
        <v>0.15</v>
      </c>
      <c r="BP34" s="35">
        <f>=SUM(BP35:BP40)</f>
        <v>0.15</v>
      </c>
      <c r="BQ34" s="35">
        <f>=SUM(BQ35:BQ40)</f>
        <v>0.15</v>
      </c>
      <c r="BR34" s="35">
        <f>=SUM(BR35:BR40)</f>
        <v>0.15</v>
      </c>
      <c r="BS34" s="35">
        <f>=SUM(BS35:BS40)</f>
        <v>0.15</v>
      </c>
      <c r="BT34" s="35">
        <f>=SUM(BT35:BT40)</f>
        <v>0.15</v>
      </c>
      <c r="BU34" s="35">
        <f>=SUM(BU35:BU40)</f>
        <v>0.15</v>
      </c>
      <c r="BV34" s="35">
        <f>=SUM(BV35:BV40)</f>
        <v>0.15</v>
      </c>
      <c r="BW34" s="35">
        <f>=SUM(BW35:BW40)</f>
        <v>0.15</v>
      </c>
      <c r="BX34" s="35">
        <f>=SUM(BX35:BX40)</f>
        <v>0.15</v>
      </c>
      <c r="BY34" s="35">
        <f>=SUM(BY35:BY40)</f>
        <v>0.15</v>
      </c>
      <c r="BZ34" s="35">
        <f>=SUM(BZ35:BZ40)</f>
        <v>0.15</v>
      </c>
      <c r="CA34" s="35">
        <f>=SUM(CA35:CA40)</f>
        <v>0.15</v>
      </c>
      <c r="CB34" s="35">
        <f>=SUM(CB35:CB40)</f>
        <v>0.15</v>
      </c>
      <c r="CC34" s="35">
        <f>=SUM(CC35:CC40)</f>
        <v>0.15</v>
      </c>
      <c r="CD34" s="35">
        <f>=SUM(CD35:CD40)</f>
        <v>0.15</v>
      </c>
      <c r="CE34" s="35">
        <f>=SUM(CE35:CE40)</f>
        <v>0.15</v>
      </c>
      <c r="CF34" s="35">
        <f>=SUM(CF35:CF40)</f>
        <v>0.15</v>
      </c>
      <c r="CG34" s="35">
        <f>=SUM(CG35:CG40)</f>
        <v>0.15</v>
      </c>
      <c r="CH34" s="35">
        <f>=SUM(CH35:CH40)</f>
        <v>0.15</v>
      </c>
      <c r="CI34" s="35">
        <f>=SUM(CI35:CI40)</f>
        <v>0.15</v>
      </c>
      <c r="CJ34" s="35">
        <f>=SUM(CJ35:CJ40)</f>
        <v>0.15</v>
      </c>
      <c r="CK34" s="35">
        <f>=SUM(CK35:CK40)</f>
        <v>0.15</v>
      </c>
      <c r="CL34" s="35">
        <f>=SUM(CL35:CL40)</f>
        <v>0.15</v>
      </c>
      <c r="CM34" s="35">
        <f>=SUM(CM35:CM40)</f>
        <v>0.15</v>
      </c>
      <c r="CN34" s="35">
        <f>=SUM(CN35:CN40)</f>
        <v>0.15</v>
      </c>
      <c r="CO34" s="35">
        <f>=SUM(CO35:CO40)</f>
        <v>0.15</v>
      </c>
      <c r="CP34" s="35">
        <f>=SUM(CP35:CP40)</f>
        <v>0.15</v>
      </c>
      <c r="CQ34" s="35">
        <f>=SUM(CQ35:CQ40)</f>
        <v>0.15</v>
      </c>
      <c r="CR34" s="35">
        <f>=SUM(CR35:CR40)</f>
        <v>0.15</v>
      </c>
      <c r="CS34" s="35">
        <f>=SUM(CS35:CS40)</f>
        <v>0.15</v>
      </c>
      <c r="CT34" s="35">
        <f>=SUM(CT35:CT40)</f>
        <v>0.15</v>
      </c>
      <c r="CU34" s="35">
        <f>=SUM(CU35:CU40)</f>
        <v>0.15</v>
      </c>
      <c r="CV34" s="35">
        <f>=SUM(CV35:CV40)</f>
        <v>0.15</v>
      </c>
      <c r="CW34" s="35">
        <f>=SUM(CW35:CW40)</f>
        <v>0.15</v>
      </c>
      <c r="CX34" s="35">
        <f>=SUM(CX35:CX40)</f>
        <v>0.15</v>
      </c>
      <c r="CY34" s="35">
        <f>=SUM(CY35:CY40)</f>
        <v>0.15</v>
      </c>
      <c r="CZ34" s="35">
        <f>=SUM(CZ35:CZ40)</f>
        <v>0.15</v>
      </c>
      <c r="DA34" s="35">
        <f>=SUM(DA35:DA40)</f>
        <v>0.15</v>
      </c>
      <c r="DB34" s="35">
        <f>=SUM(DB35:DB40)</f>
        <v>0.15</v>
      </c>
    </row>
    <row r="35" ht="18" customHeight="1" spans="1:106" x14ac:dyDescent="0.25">
      <c r="A35" s="36" t="s">
        <v>268</v>
      </c>
      <c r="B35" s="17"/>
      <c r="C35" s="37">
        <v>0.06</v>
      </c>
      <c r="D35" s="37">
        <v>0.06</v>
      </c>
      <c r="E35" s="37">
        <v>0.06</v>
      </c>
      <c r="F35" s="37">
        <v>0.06</v>
      </c>
      <c r="G35" s="37">
        <v>0.06</v>
      </c>
      <c r="H35" s="37">
        <v>0.06</v>
      </c>
      <c r="I35" s="37">
        <v>0.06</v>
      </c>
      <c r="J35" s="37">
        <v>0.06</v>
      </c>
      <c r="K35" s="37">
        <v>0.06</v>
      </c>
      <c r="L35" s="37">
        <v>0.06</v>
      </c>
      <c r="M35" s="37">
        <v>0.06</v>
      </c>
      <c r="N35" s="37">
        <v>0.06</v>
      </c>
      <c r="O35" s="37">
        <v>0.06</v>
      </c>
      <c r="P35" s="37">
        <v>0.06</v>
      </c>
      <c r="Q35" s="37">
        <v>0.06</v>
      </c>
      <c r="R35" s="37">
        <v>0.06</v>
      </c>
      <c r="S35" s="37">
        <v>0.06</v>
      </c>
      <c r="T35" s="37">
        <v>0.06</v>
      </c>
      <c r="U35" s="37">
        <v>0.06</v>
      </c>
      <c r="V35" s="37">
        <v>0.06</v>
      </c>
      <c r="W35" s="37">
        <v>0.06</v>
      </c>
      <c r="X35" s="37">
        <v>0.06</v>
      </c>
      <c r="Y35" s="37">
        <v>0.06</v>
      </c>
      <c r="Z35" s="37">
        <v>0.06</v>
      </c>
      <c r="AA35" s="37">
        <v>0.06</v>
      </c>
      <c r="AB35" s="37">
        <v>0.06</v>
      </c>
      <c r="AC35" s="37">
        <v>0.06</v>
      </c>
      <c r="AD35" s="37">
        <v>0.06</v>
      </c>
      <c r="AE35" s="37">
        <v>0.06</v>
      </c>
      <c r="AF35" s="37">
        <v>0.06</v>
      </c>
      <c r="AG35" s="37">
        <v>0.06</v>
      </c>
      <c r="AH35" s="37">
        <v>0.06</v>
      </c>
      <c r="AI35" s="37">
        <v>0.06</v>
      </c>
      <c r="AJ35" s="37">
        <v>0.06</v>
      </c>
      <c r="AK35" s="37">
        <v>0.06</v>
      </c>
      <c r="AL35" s="37">
        <v>0.06</v>
      </c>
      <c r="AM35" s="37">
        <v>0.06</v>
      </c>
      <c r="AN35" s="37">
        <v>0.06</v>
      </c>
      <c r="AO35" s="37">
        <v>0.06</v>
      </c>
      <c r="AP35" s="37">
        <v>0.06</v>
      </c>
      <c r="AQ35" s="37">
        <v>0.06</v>
      </c>
      <c r="AR35" s="37">
        <v>0.06</v>
      </c>
      <c r="AS35" s="37">
        <v>0.06</v>
      </c>
      <c r="AT35" s="37">
        <v>0.06</v>
      </c>
      <c r="AU35" s="37">
        <v>0.06</v>
      </c>
      <c r="AV35" s="37">
        <v>0.06</v>
      </c>
      <c r="AW35" s="37">
        <v>0.06</v>
      </c>
      <c r="AX35" s="37">
        <v>0.06</v>
      </c>
      <c r="AY35" s="37">
        <v>0.06</v>
      </c>
      <c r="AZ35" s="37">
        <v>0.06</v>
      </c>
      <c r="BA35" s="37">
        <v>0.06</v>
      </c>
      <c r="BB35" s="37">
        <v>0.06</v>
      </c>
      <c r="BC35" s="37">
        <v>0.06</v>
      </c>
      <c r="BD35" s="37">
        <v>0.06</v>
      </c>
      <c r="BE35" s="37">
        <v>0.06</v>
      </c>
      <c r="BF35" s="37">
        <v>0.06</v>
      </c>
      <c r="BG35" s="37">
        <v>0.06</v>
      </c>
      <c r="BH35" s="37">
        <v>0.06</v>
      </c>
      <c r="BI35" s="37">
        <v>0.06</v>
      </c>
      <c r="BJ35" s="37">
        <v>0.06</v>
      </c>
      <c r="BK35" s="37">
        <v>0.06</v>
      </c>
      <c r="BL35" s="37">
        <v>0.06</v>
      </c>
      <c r="BM35" s="37">
        <v>0.06</v>
      </c>
      <c r="BN35" s="37">
        <v>0.06</v>
      </c>
      <c r="BO35" s="37">
        <v>0.06</v>
      </c>
      <c r="BP35" s="37">
        <v>0.06</v>
      </c>
      <c r="BQ35" s="37">
        <v>0.06</v>
      </c>
      <c r="BR35" s="37">
        <v>0.06</v>
      </c>
      <c r="BS35" s="37">
        <v>0.06</v>
      </c>
      <c r="BT35" s="37">
        <v>0.06</v>
      </c>
      <c r="BU35" s="37">
        <v>0.06</v>
      </c>
      <c r="BV35" s="37">
        <v>0.06</v>
      </c>
      <c r="BW35" s="37">
        <v>0.06</v>
      </c>
      <c r="BX35" s="37">
        <v>0.06</v>
      </c>
      <c r="BY35" s="37">
        <v>0.06</v>
      </c>
      <c r="BZ35" s="37">
        <v>0.06</v>
      </c>
      <c r="CA35" s="37">
        <v>0.06</v>
      </c>
      <c r="CB35" s="37">
        <v>0.06</v>
      </c>
      <c r="CC35" s="37">
        <v>0.06</v>
      </c>
      <c r="CD35" s="37">
        <v>0.06</v>
      </c>
      <c r="CE35" s="37">
        <v>0.06</v>
      </c>
      <c r="CF35" s="37">
        <v>0.06</v>
      </c>
      <c r="CG35" s="37">
        <v>0.06</v>
      </c>
      <c r="CH35" s="37">
        <v>0.06</v>
      </c>
      <c r="CI35" s="37">
        <v>0.06</v>
      </c>
      <c r="CJ35" s="37">
        <v>0.06</v>
      </c>
      <c r="CK35" s="37">
        <v>0.06</v>
      </c>
      <c r="CL35" s="37">
        <v>0.06</v>
      </c>
      <c r="CM35" s="37">
        <v>0.06</v>
      </c>
      <c r="CN35" s="37">
        <v>0.06</v>
      </c>
      <c r="CO35" s="37">
        <v>0.06</v>
      </c>
      <c r="CP35" s="37">
        <v>0.06</v>
      </c>
      <c r="CQ35" s="37">
        <v>0.06</v>
      </c>
      <c r="CR35" s="37">
        <v>0.06</v>
      </c>
      <c r="CS35" s="37">
        <v>0.06</v>
      </c>
      <c r="CT35" s="37">
        <v>0.06</v>
      </c>
      <c r="CU35" s="37">
        <v>0.06</v>
      </c>
      <c r="CV35" s="37">
        <v>0.06</v>
      </c>
      <c r="CW35" s="37">
        <v>0.06</v>
      </c>
      <c r="CX35" s="37">
        <v>0.06</v>
      </c>
      <c r="CY35" s="37">
        <v>0.06</v>
      </c>
      <c r="CZ35" s="37">
        <v>0.06</v>
      </c>
      <c r="DA35" s="37">
        <v>0.06</v>
      </c>
      <c r="DB35" s="37">
        <v>0.06</v>
      </c>
    </row>
    <row r="36" ht="18" customHeight="1" spans="1:106" x14ac:dyDescent="0.25">
      <c r="A36" s="36" t="s">
        <v>269</v>
      </c>
      <c r="B36" s="17"/>
      <c r="C36" s="37">
        <v>0.03</v>
      </c>
      <c r="D36" s="37">
        <v>0.03</v>
      </c>
      <c r="E36" s="37">
        <v>0.03</v>
      </c>
      <c r="F36" s="37">
        <v>0.03</v>
      </c>
      <c r="G36" s="37">
        <v>0.03</v>
      </c>
      <c r="H36" s="37">
        <v>0.03</v>
      </c>
      <c r="I36" s="37">
        <v>0.03</v>
      </c>
      <c r="J36" s="37">
        <v>0.03</v>
      </c>
      <c r="K36" s="37">
        <v>0.03</v>
      </c>
      <c r="L36" s="37">
        <v>0.03</v>
      </c>
      <c r="M36" s="37">
        <v>0.03</v>
      </c>
      <c r="N36" s="37">
        <v>0.03</v>
      </c>
      <c r="O36" s="37">
        <v>0.03</v>
      </c>
      <c r="P36" s="37">
        <v>0.03</v>
      </c>
      <c r="Q36" s="37">
        <v>0.03</v>
      </c>
      <c r="R36" s="37">
        <v>0.03</v>
      </c>
      <c r="S36" s="37">
        <v>0.03</v>
      </c>
      <c r="T36" s="37">
        <v>0.03</v>
      </c>
      <c r="U36" s="37">
        <v>0.03</v>
      </c>
      <c r="V36" s="37">
        <v>0.03</v>
      </c>
      <c r="W36" s="37">
        <v>0.03</v>
      </c>
      <c r="X36" s="37">
        <v>0.03</v>
      </c>
      <c r="Y36" s="37">
        <v>0.03</v>
      </c>
      <c r="Z36" s="37">
        <v>0.03</v>
      </c>
      <c r="AA36" s="37">
        <v>0.03</v>
      </c>
      <c r="AB36" s="37">
        <v>0.03</v>
      </c>
      <c r="AC36" s="37">
        <v>0.03</v>
      </c>
      <c r="AD36" s="37">
        <v>0.03</v>
      </c>
      <c r="AE36" s="37">
        <v>0.03</v>
      </c>
      <c r="AF36" s="37">
        <v>0.03</v>
      </c>
      <c r="AG36" s="37">
        <v>0.03</v>
      </c>
      <c r="AH36" s="37">
        <v>0.03</v>
      </c>
      <c r="AI36" s="37">
        <v>0.03</v>
      </c>
      <c r="AJ36" s="37">
        <v>0.03</v>
      </c>
      <c r="AK36" s="37">
        <v>0.03</v>
      </c>
      <c r="AL36" s="37">
        <v>0.03</v>
      </c>
      <c r="AM36" s="37">
        <v>0.03</v>
      </c>
      <c r="AN36" s="37">
        <v>0.03</v>
      </c>
      <c r="AO36" s="37">
        <v>0.03</v>
      </c>
      <c r="AP36" s="37">
        <v>0.03</v>
      </c>
      <c r="AQ36" s="37">
        <v>0.03</v>
      </c>
      <c r="AR36" s="37">
        <v>0.03</v>
      </c>
      <c r="AS36" s="37">
        <v>0.03</v>
      </c>
      <c r="AT36" s="37">
        <v>0.03</v>
      </c>
      <c r="AU36" s="37">
        <v>0.03</v>
      </c>
      <c r="AV36" s="37">
        <v>0.03</v>
      </c>
      <c r="AW36" s="37">
        <v>0.03</v>
      </c>
      <c r="AX36" s="37">
        <v>0.03</v>
      </c>
      <c r="AY36" s="37">
        <v>0.03</v>
      </c>
      <c r="AZ36" s="37">
        <v>0.03</v>
      </c>
      <c r="BA36" s="37">
        <v>0.03</v>
      </c>
      <c r="BB36" s="37">
        <v>0.03</v>
      </c>
      <c r="BC36" s="37">
        <v>0.03</v>
      </c>
      <c r="BD36" s="37">
        <v>0.03</v>
      </c>
      <c r="BE36" s="37">
        <v>0.03</v>
      </c>
      <c r="BF36" s="37">
        <v>0.03</v>
      </c>
      <c r="BG36" s="37">
        <v>0.03</v>
      </c>
      <c r="BH36" s="37">
        <v>0.03</v>
      </c>
      <c r="BI36" s="37">
        <v>0.03</v>
      </c>
      <c r="BJ36" s="37">
        <v>0.03</v>
      </c>
      <c r="BK36" s="37">
        <v>0.03</v>
      </c>
      <c r="BL36" s="37">
        <v>0.03</v>
      </c>
      <c r="BM36" s="37">
        <v>0.03</v>
      </c>
      <c r="BN36" s="37">
        <v>0.03</v>
      </c>
      <c r="BO36" s="37">
        <v>0.03</v>
      </c>
      <c r="BP36" s="37">
        <v>0.03</v>
      </c>
      <c r="BQ36" s="37">
        <v>0.03</v>
      </c>
      <c r="BR36" s="37">
        <v>0.03</v>
      </c>
      <c r="BS36" s="37">
        <v>0.03</v>
      </c>
      <c r="BT36" s="37">
        <v>0.03</v>
      </c>
      <c r="BU36" s="37">
        <v>0.03</v>
      </c>
      <c r="BV36" s="37">
        <v>0.03</v>
      </c>
      <c r="BW36" s="37">
        <v>0.03</v>
      </c>
      <c r="BX36" s="37">
        <v>0.03</v>
      </c>
      <c r="BY36" s="37">
        <v>0.03</v>
      </c>
      <c r="BZ36" s="37">
        <v>0.03</v>
      </c>
      <c r="CA36" s="37">
        <v>0.03</v>
      </c>
      <c r="CB36" s="37">
        <v>0.03</v>
      </c>
      <c r="CC36" s="37">
        <v>0.03</v>
      </c>
      <c r="CD36" s="37">
        <v>0.03</v>
      </c>
      <c r="CE36" s="37">
        <v>0.03</v>
      </c>
      <c r="CF36" s="37">
        <v>0.03</v>
      </c>
      <c r="CG36" s="37">
        <v>0.03</v>
      </c>
      <c r="CH36" s="37">
        <v>0.03</v>
      </c>
      <c r="CI36" s="37">
        <v>0.03</v>
      </c>
      <c r="CJ36" s="37">
        <v>0.03</v>
      </c>
      <c r="CK36" s="37">
        <v>0.03</v>
      </c>
      <c r="CL36" s="37">
        <v>0.03</v>
      </c>
      <c r="CM36" s="37">
        <v>0.03</v>
      </c>
      <c r="CN36" s="37">
        <v>0.03</v>
      </c>
      <c r="CO36" s="37">
        <v>0.03</v>
      </c>
      <c r="CP36" s="37">
        <v>0.03</v>
      </c>
      <c r="CQ36" s="37">
        <v>0.03</v>
      </c>
      <c r="CR36" s="37">
        <v>0.03</v>
      </c>
      <c r="CS36" s="37">
        <v>0.03</v>
      </c>
      <c r="CT36" s="37">
        <v>0.03</v>
      </c>
      <c r="CU36" s="37">
        <v>0.03</v>
      </c>
      <c r="CV36" s="37">
        <v>0.03</v>
      </c>
      <c r="CW36" s="37">
        <v>0.03</v>
      </c>
      <c r="CX36" s="37">
        <v>0.03</v>
      </c>
      <c r="CY36" s="37">
        <v>0.03</v>
      </c>
      <c r="CZ36" s="37">
        <v>0.03</v>
      </c>
      <c r="DA36" s="37">
        <v>0.03</v>
      </c>
      <c r="DB36" s="37">
        <v>0.03</v>
      </c>
    </row>
    <row r="37" ht="18" customHeight="1" spans="1:106" x14ac:dyDescent="0.25">
      <c r="A37" s="36" t="s">
        <v>270</v>
      </c>
      <c r="C37" s="37">
        <v>0.03</v>
      </c>
      <c r="D37" s="37">
        <v>0.03</v>
      </c>
      <c r="E37" s="37">
        <v>0.03</v>
      </c>
      <c r="F37" s="37">
        <v>0.03</v>
      </c>
      <c r="G37" s="37">
        <v>0.03</v>
      </c>
      <c r="H37" s="37">
        <v>0.03</v>
      </c>
      <c r="I37" s="37">
        <v>0.03</v>
      </c>
      <c r="J37" s="37">
        <v>0.03</v>
      </c>
      <c r="K37" s="37">
        <v>0.03</v>
      </c>
      <c r="L37" s="37">
        <v>0.03</v>
      </c>
      <c r="M37" s="37">
        <v>0.03</v>
      </c>
      <c r="N37" s="37">
        <v>0.03</v>
      </c>
      <c r="O37" s="37">
        <v>0.03</v>
      </c>
      <c r="P37" s="37">
        <v>0.03</v>
      </c>
      <c r="Q37" s="37">
        <v>0.03</v>
      </c>
      <c r="R37" s="37">
        <v>0.03</v>
      </c>
      <c r="S37" s="37">
        <v>0.03</v>
      </c>
      <c r="T37" s="37">
        <v>0.03</v>
      </c>
      <c r="U37" s="37">
        <v>0.03</v>
      </c>
      <c r="V37" s="37">
        <v>0.03</v>
      </c>
      <c r="W37" s="37">
        <v>0.03</v>
      </c>
      <c r="X37" s="37">
        <v>0.03</v>
      </c>
      <c r="Y37" s="37">
        <v>0.03</v>
      </c>
      <c r="Z37" s="37">
        <v>0.03</v>
      </c>
      <c r="AA37" s="37">
        <v>0.03</v>
      </c>
      <c r="AB37" s="37">
        <v>0.03</v>
      </c>
      <c r="AC37" s="37">
        <v>0.03</v>
      </c>
      <c r="AD37" s="37">
        <v>0.03</v>
      </c>
      <c r="AE37" s="37">
        <v>0.03</v>
      </c>
      <c r="AF37" s="37">
        <v>0.03</v>
      </c>
      <c r="AG37" s="37">
        <v>0.03</v>
      </c>
      <c r="AH37" s="37">
        <v>0.03</v>
      </c>
      <c r="AI37" s="37">
        <v>0.03</v>
      </c>
      <c r="AJ37" s="37">
        <v>0.03</v>
      </c>
      <c r="AK37" s="37">
        <v>0.03</v>
      </c>
      <c r="AL37" s="37">
        <v>0.03</v>
      </c>
      <c r="AM37" s="37">
        <v>0.03</v>
      </c>
      <c r="AN37" s="37">
        <v>0.03</v>
      </c>
      <c r="AO37" s="37">
        <v>0.03</v>
      </c>
      <c r="AP37" s="37">
        <v>0.03</v>
      </c>
      <c r="AQ37" s="37">
        <v>0.03</v>
      </c>
      <c r="AR37" s="37">
        <v>0.03</v>
      </c>
      <c r="AS37" s="37">
        <v>0.03</v>
      </c>
      <c r="AT37" s="37">
        <v>0.03</v>
      </c>
      <c r="AU37" s="37">
        <v>0.03</v>
      </c>
      <c r="AV37" s="37">
        <v>0.03</v>
      </c>
      <c r="AW37" s="37">
        <v>0.03</v>
      </c>
      <c r="AX37" s="37">
        <v>0.03</v>
      </c>
      <c r="AY37" s="37">
        <v>0.03</v>
      </c>
      <c r="AZ37" s="37">
        <v>0.03</v>
      </c>
      <c r="BA37" s="37">
        <v>0.03</v>
      </c>
      <c r="BB37" s="37">
        <v>0.03</v>
      </c>
      <c r="BC37" s="37">
        <v>0.03</v>
      </c>
      <c r="BD37" s="37">
        <v>0.03</v>
      </c>
      <c r="BE37" s="37">
        <v>0.03</v>
      </c>
      <c r="BF37" s="37">
        <v>0.03</v>
      </c>
      <c r="BG37" s="37">
        <v>0.03</v>
      </c>
      <c r="BH37" s="37">
        <v>0.03</v>
      </c>
      <c r="BI37" s="37">
        <v>0.03</v>
      </c>
      <c r="BJ37" s="37">
        <v>0.03</v>
      </c>
      <c r="BK37" s="37">
        <v>0.03</v>
      </c>
      <c r="BL37" s="37">
        <v>0.03</v>
      </c>
      <c r="BM37" s="37">
        <v>0.03</v>
      </c>
      <c r="BN37" s="37">
        <v>0.03</v>
      </c>
      <c r="BO37" s="37">
        <v>0.03</v>
      </c>
      <c r="BP37" s="37">
        <v>0.03</v>
      </c>
      <c r="BQ37" s="37">
        <v>0.03</v>
      </c>
      <c r="BR37" s="37">
        <v>0.03</v>
      </c>
      <c r="BS37" s="37">
        <v>0.03</v>
      </c>
      <c r="BT37" s="37">
        <v>0.03</v>
      </c>
      <c r="BU37" s="37">
        <v>0.03</v>
      </c>
      <c r="BV37" s="37">
        <v>0.03</v>
      </c>
      <c r="BW37" s="37">
        <v>0.03</v>
      </c>
      <c r="BX37" s="37">
        <v>0.03</v>
      </c>
      <c r="BY37" s="37">
        <v>0.03</v>
      </c>
      <c r="BZ37" s="37">
        <v>0.03</v>
      </c>
      <c r="CA37" s="37">
        <v>0.03</v>
      </c>
      <c r="CB37" s="37">
        <v>0.03</v>
      </c>
      <c r="CC37" s="37">
        <v>0.03</v>
      </c>
      <c r="CD37" s="37">
        <v>0.03</v>
      </c>
      <c r="CE37" s="37">
        <v>0.03</v>
      </c>
      <c r="CF37" s="37">
        <v>0.03</v>
      </c>
      <c r="CG37" s="37">
        <v>0.03</v>
      </c>
      <c r="CH37" s="37">
        <v>0.03</v>
      </c>
      <c r="CI37" s="37">
        <v>0.03</v>
      </c>
      <c r="CJ37" s="37">
        <v>0.03</v>
      </c>
      <c r="CK37" s="37">
        <v>0.03</v>
      </c>
      <c r="CL37" s="37">
        <v>0.03</v>
      </c>
      <c r="CM37" s="37">
        <v>0.03</v>
      </c>
      <c r="CN37" s="37">
        <v>0.03</v>
      </c>
      <c r="CO37" s="37">
        <v>0.03</v>
      </c>
      <c r="CP37" s="37">
        <v>0.03</v>
      </c>
      <c r="CQ37" s="37">
        <v>0.03</v>
      </c>
      <c r="CR37" s="37">
        <v>0.03</v>
      </c>
      <c r="CS37" s="37">
        <v>0.03</v>
      </c>
      <c r="CT37" s="37">
        <v>0.03</v>
      </c>
      <c r="CU37" s="37">
        <v>0.03</v>
      </c>
      <c r="CV37" s="37">
        <v>0.03</v>
      </c>
      <c r="CW37" s="37">
        <v>0.03</v>
      </c>
      <c r="CX37" s="37">
        <v>0.03</v>
      </c>
      <c r="CY37" s="37">
        <v>0.03</v>
      </c>
      <c r="CZ37" s="37">
        <v>0.03</v>
      </c>
      <c r="DA37" s="37">
        <v>0.03</v>
      </c>
      <c r="DB37" s="37">
        <v>0.03</v>
      </c>
    </row>
    <row r="38" spans="1:106" x14ac:dyDescent="0.25">
      <c r="A38" s="36" t="s">
        <v>271</v>
      </c>
      <c r="C38" s="37">
        <v>0.01</v>
      </c>
      <c r="D38" s="37">
        <v>0.01</v>
      </c>
      <c r="E38" s="37">
        <v>0.01</v>
      </c>
      <c r="F38" s="37">
        <v>0.01</v>
      </c>
      <c r="G38" s="37">
        <v>0.01</v>
      </c>
      <c r="H38" s="37">
        <v>0.01</v>
      </c>
      <c r="I38" s="37">
        <v>0.01</v>
      </c>
      <c r="J38" s="37">
        <v>0.01</v>
      </c>
      <c r="K38" s="37">
        <v>0.01</v>
      </c>
      <c r="L38" s="37">
        <v>0.01</v>
      </c>
      <c r="M38" s="37">
        <v>0.01</v>
      </c>
      <c r="N38" s="37">
        <v>0.01</v>
      </c>
      <c r="O38" s="37">
        <v>0.01</v>
      </c>
      <c r="P38" s="37">
        <v>0.01</v>
      </c>
      <c r="Q38" s="37">
        <v>0.01</v>
      </c>
      <c r="R38" s="37">
        <v>0.01</v>
      </c>
      <c r="S38" s="37">
        <v>0.01</v>
      </c>
      <c r="T38" s="37">
        <v>0.01</v>
      </c>
      <c r="U38" s="37">
        <v>0.01</v>
      </c>
      <c r="V38" s="37">
        <v>0.01</v>
      </c>
      <c r="W38" s="37">
        <v>0.01</v>
      </c>
      <c r="X38" s="37">
        <v>0.01</v>
      </c>
      <c r="Y38" s="37">
        <v>0.01</v>
      </c>
      <c r="Z38" s="37">
        <v>0.01</v>
      </c>
      <c r="AA38" s="37">
        <v>0.01</v>
      </c>
      <c r="AB38" s="37">
        <v>0.01</v>
      </c>
      <c r="AC38" s="37">
        <v>0.01</v>
      </c>
      <c r="AD38" s="37">
        <v>0.01</v>
      </c>
      <c r="AE38" s="37">
        <v>0.01</v>
      </c>
      <c r="AF38" s="37">
        <v>0.01</v>
      </c>
      <c r="AG38" s="37">
        <v>0.01</v>
      </c>
      <c r="AH38" s="37">
        <v>0.01</v>
      </c>
      <c r="AI38" s="37">
        <v>0.01</v>
      </c>
      <c r="AJ38" s="37">
        <v>0.01</v>
      </c>
      <c r="AK38" s="37">
        <v>0.01</v>
      </c>
      <c r="AL38" s="37">
        <v>0.01</v>
      </c>
      <c r="AM38" s="37">
        <v>0.01</v>
      </c>
      <c r="AN38" s="37">
        <v>0.01</v>
      </c>
      <c r="AO38" s="37">
        <v>0.01</v>
      </c>
      <c r="AP38" s="37">
        <v>0.01</v>
      </c>
      <c r="AQ38" s="37">
        <v>0.01</v>
      </c>
      <c r="AR38" s="37">
        <v>0.01</v>
      </c>
      <c r="AS38" s="37">
        <v>0.01</v>
      </c>
      <c r="AT38" s="37">
        <v>0.01</v>
      </c>
      <c r="AU38" s="37">
        <v>0.01</v>
      </c>
      <c r="AV38" s="37">
        <v>0.01</v>
      </c>
      <c r="AW38" s="37">
        <v>0.01</v>
      </c>
      <c r="AX38" s="37">
        <v>0.01</v>
      </c>
      <c r="AY38" s="37">
        <v>0.01</v>
      </c>
      <c r="AZ38" s="37">
        <v>0.01</v>
      </c>
      <c r="BA38" s="37">
        <v>0.01</v>
      </c>
      <c r="BB38" s="37">
        <v>0.01</v>
      </c>
      <c r="BC38" s="37">
        <v>0.01</v>
      </c>
      <c r="BD38" s="37">
        <v>0.01</v>
      </c>
      <c r="BE38" s="37">
        <v>0.01</v>
      </c>
      <c r="BF38" s="37">
        <v>0.01</v>
      </c>
      <c r="BG38" s="37">
        <v>0.01</v>
      </c>
      <c r="BH38" s="37">
        <v>0.01</v>
      </c>
      <c r="BI38" s="37">
        <v>0.01</v>
      </c>
      <c r="BJ38" s="37">
        <v>0.01</v>
      </c>
      <c r="BK38" s="37">
        <v>0.01</v>
      </c>
      <c r="BL38" s="37">
        <v>0.01</v>
      </c>
      <c r="BM38" s="37">
        <v>0.01</v>
      </c>
      <c r="BN38" s="37">
        <v>0.01</v>
      </c>
      <c r="BO38" s="37">
        <v>0.01</v>
      </c>
      <c r="BP38" s="37">
        <v>0.01</v>
      </c>
      <c r="BQ38" s="37">
        <v>0.01</v>
      </c>
      <c r="BR38" s="37">
        <v>0.01</v>
      </c>
      <c r="BS38" s="37">
        <v>0.01</v>
      </c>
      <c r="BT38" s="37">
        <v>0.01</v>
      </c>
      <c r="BU38" s="37">
        <v>0.01</v>
      </c>
      <c r="BV38" s="37">
        <v>0.01</v>
      </c>
      <c r="BW38" s="37">
        <v>0.01</v>
      </c>
      <c r="BX38" s="37">
        <v>0.01</v>
      </c>
      <c r="BY38" s="37">
        <v>0.01</v>
      </c>
      <c r="BZ38" s="37">
        <v>0.01</v>
      </c>
      <c r="CA38" s="37">
        <v>0.01</v>
      </c>
      <c r="CB38" s="37">
        <v>0.01</v>
      </c>
      <c r="CC38" s="37">
        <v>0.01</v>
      </c>
      <c r="CD38" s="37">
        <v>0.01</v>
      </c>
      <c r="CE38" s="37">
        <v>0.01</v>
      </c>
      <c r="CF38" s="37">
        <v>0.01</v>
      </c>
      <c r="CG38" s="37">
        <v>0.01</v>
      </c>
      <c r="CH38" s="37">
        <v>0.01</v>
      </c>
      <c r="CI38" s="37">
        <v>0.01</v>
      </c>
      <c r="CJ38" s="37">
        <v>0.01</v>
      </c>
      <c r="CK38" s="37">
        <v>0.01</v>
      </c>
      <c r="CL38" s="37">
        <v>0.01</v>
      </c>
      <c r="CM38" s="37">
        <v>0.01</v>
      </c>
      <c r="CN38" s="37">
        <v>0.01</v>
      </c>
      <c r="CO38" s="37">
        <v>0.01</v>
      </c>
      <c r="CP38" s="37">
        <v>0.01</v>
      </c>
      <c r="CQ38" s="37">
        <v>0.01</v>
      </c>
      <c r="CR38" s="37">
        <v>0.01</v>
      </c>
      <c r="CS38" s="37">
        <v>0.01</v>
      </c>
      <c r="CT38" s="37">
        <v>0.01</v>
      </c>
      <c r="CU38" s="37">
        <v>0.01</v>
      </c>
      <c r="CV38" s="37">
        <v>0.01</v>
      </c>
      <c r="CW38" s="37">
        <v>0.01</v>
      </c>
      <c r="CX38" s="37">
        <v>0.01</v>
      </c>
      <c r="CY38" s="37">
        <v>0.01</v>
      </c>
      <c r="CZ38" s="37">
        <v>0.01</v>
      </c>
      <c r="DA38" s="37">
        <v>0.01</v>
      </c>
      <c r="DB38" s="37">
        <v>0.01</v>
      </c>
    </row>
    <row r="39" ht="18" customHeight="1" spans="1:106" x14ac:dyDescent="0.25">
      <c r="A39" s="36" t="s">
        <v>272</v>
      </c>
      <c r="C39" s="39">
        <v>0.02</v>
      </c>
      <c r="D39" s="39">
        <v>0.02</v>
      </c>
      <c r="E39" s="39">
        <v>0.02</v>
      </c>
      <c r="F39" s="39">
        <v>0.02</v>
      </c>
      <c r="G39" s="39">
        <v>0.02</v>
      </c>
      <c r="H39" s="39">
        <v>0.02</v>
      </c>
      <c r="I39" s="39">
        <v>0.02</v>
      </c>
      <c r="J39" s="39">
        <v>0.02</v>
      </c>
      <c r="K39" s="39">
        <v>0.02</v>
      </c>
      <c r="L39" s="39">
        <v>0.02</v>
      </c>
      <c r="M39" s="39">
        <v>0.02</v>
      </c>
      <c r="N39" s="39">
        <v>0.02</v>
      </c>
      <c r="O39" s="39">
        <v>0.02</v>
      </c>
      <c r="P39" s="39">
        <v>0.02</v>
      </c>
      <c r="Q39" s="39">
        <v>0.02</v>
      </c>
      <c r="R39" s="39">
        <v>0.02</v>
      </c>
      <c r="S39" s="39">
        <v>0.02</v>
      </c>
      <c r="T39" s="39">
        <v>0.02</v>
      </c>
      <c r="U39" s="39">
        <v>0.02</v>
      </c>
      <c r="V39" s="39">
        <v>0.02</v>
      </c>
      <c r="W39" s="39">
        <v>0.02</v>
      </c>
      <c r="X39" s="39">
        <v>0.02</v>
      </c>
      <c r="Y39" s="39">
        <v>0.02</v>
      </c>
      <c r="Z39" s="39">
        <v>0.02</v>
      </c>
      <c r="AA39" s="39">
        <v>0.02</v>
      </c>
      <c r="AB39" s="39">
        <v>0.02</v>
      </c>
      <c r="AC39" s="39">
        <v>0.02</v>
      </c>
      <c r="AD39" s="39">
        <v>0.02</v>
      </c>
      <c r="AE39" s="39">
        <v>0.02</v>
      </c>
      <c r="AF39" s="39">
        <v>0.02</v>
      </c>
      <c r="AG39" s="39">
        <v>0.02</v>
      </c>
      <c r="AH39" s="39">
        <v>0.02</v>
      </c>
      <c r="AI39" s="39">
        <v>0.02</v>
      </c>
      <c r="AJ39" s="39">
        <v>0.02</v>
      </c>
      <c r="AK39" s="39">
        <v>0.02</v>
      </c>
      <c r="AL39" s="39">
        <v>0.02</v>
      </c>
      <c r="AM39" s="39">
        <v>0.02</v>
      </c>
      <c r="AN39" s="39">
        <v>0.02</v>
      </c>
      <c r="AO39" s="39">
        <v>0.02</v>
      </c>
      <c r="AP39" s="39">
        <v>0.02</v>
      </c>
      <c r="AQ39" s="39">
        <v>0.02</v>
      </c>
      <c r="AR39" s="39">
        <v>0.02</v>
      </c>
      <c r="AS39" s="39">
        <v>0.02</v>
      </c>
      <c r="AT39" s="39">
        <v>0.02</v>
      </c>
      <c r="AU39" s="39">
        <v>0.02</v>
      </c>
      <c r="AV39" s="39">
        <v>0.02</v>
      </c>
      <c r="AW39" s="39">
        <v>0.02</v>
      </c>
      <c r="AX39" s="39">
        <v>0.02</v>
      </c>
      <c r="AY39" s="39">
        <v>0.02</v>
      </c>
      <c r="AZ39" s="39">
        <v>0.02</v>
      </c>
      <c r="BA39" s="39">
        <v>0.02</v>
      </c>
      <c r="BB39" s="39">
        <v>0.02</v>
      </c>
      <c r="BC39" s="39">
        <v>0.02</v>
      </c>
      <c r="BD39" s="39">
        <v>0.02</v>
      </c>
      <c r="BE39" s="39">
        <v>0.02</v>
      </c>
      <c r="BF39" s="39">
        <v>0.02</v>
      </c>
      <c r="BG39" s="39">
        <v>0.02</v>
      </c>
      <c r="BH39" s="39">
        <v>0.02</v>
      </c>
      <c r="BI39" s="39">
        <v>0.02</v>
      </c>
      <c r="BJ39" s="39">
        <v>0.02</v>
      </c>
      <c r="BK39" s="39">
        <v>0.02</v>
      </c>
      <c r="BL39" s="39">
        <v>0.02</v>
      </c>
      <c r="BM39" s="39">
        <v>0.02</v>
      </c>
      <c r="BN39" s="39">
        <v>0.02</v>
      </c>
      <c r="BO39" s="39">
        <v>0.02</v>
      </c>
      <c r="BP39" s="39">
        <v>0.02</v>
      </c>
      <c r="BQ39" s="39">
        <v>0.02</v>
      </c>
      <c r="BR39" s="39">
        <v>0.02</v>
      </c>
      <c r="BS39" s="39">
        <v>0.02</v>
      </c>
      <c r="BT39" s="39">
        <v>0.02</v>
      </c>
      <c r="BU39" s="39">
        <v>0.02</v>
      </c>
      <c r="BV39" s="39">
        <v>0.02</v>
      </c>
      <c r="BW39" s="39">
        <v>0.02</v>
      </c>
      <c r="BX39" s="39">
        <v>0.02</v>
      </c>
      <c r="BY39" s="39">
        <v>0.02</v>
      </c>
      <c r="BZ39" s="39">
        <v>0.02</v>
      </c>
      <c r="CA39" s="39">
        <v>0.02</v>
      </c>
      <c r="CB39" s="39">
        <v>0.02</v>
      </c>
      <c r="CC39" s="39">
        <v>0.02</v>
      </c>
      <c r="CD39" s="39">
        <v>0.02</v>
      </c>
      <c r="CE39" s="39">
        <v>0.02</v>
      </c>
      <c r="CF39" s="39">
        <v>0.02</v>
      </c>
      <c r="CG39" s="39">
        <v>0.02</v>
      </c>
      <c r="CH39" s="39">
        <v>0.02</v>
      </c>
      <c r="CI39" s="39">
        <v>0.02</v>
      </c>
      <c r="CJ39" s="39">
        <v>0.02</v>
      </c>
      <c r="CK39" s="39">
        <v>0.02</v>
      </c>
      <c r="CL39" s="39">
        <v>0.02</v>
      </c>
      <c r="CM39" s="39">
        <v>0.02</v>
      </c>
      <c r="CN39" s="39">
        <v>0.02</v>
      </c>
      <c r="CO39" s="39">
        <v>0.02</v>
      </c>
      <c r="CP39" s="39">
        <v>0.02</v>
      </c>
      <c r="CQ39" s="39">
        <v>0.02</v>
      </c>
      <c r="CR39" s="39">
        <v>0.02</v>
      </c>
      <c r="CS39" s="39">
        <v>0.02</v>
      </c>
      <c r="CT39" s="39">
        <v>0.02</v>
      </c>
      <c r="CU39" s="39">
        <v>0.02</v>
      </c>
      <c r="CV39" s="39">
        <v>0.02</v>
      </c>
      <c r="CW39" s="39">
        <v>0.02</v>
      </c>
      <c r="CX39" s="39">
        <v>0.02</v>
      </c>
      <c r="CY39" s="39">
        <v>0.02</v>
      </c>
      <c r="CZ39" s="39">
        <v>0.02</v>
      </c>
      <c r="DA39" s="39">
        <v>0.02</v>
      </c>
      <c r="DB39" s="39">
        <v>0.02</v>
      </c>
    </row>
    <row r="40" ht="18" customHeight="1" spans="1:106" x14ac:dyDescent="0.25">
      <c r="A40" s="36" t="s">
        <v>273</v>
      </c>
      <c r="C40" s="39">
        <v>0</v>
      </c>
      <c r="D40" s="39">
        <v>0</v>
      </c>
      <c r="E40" s="39">
        <v>0</v>
      </c>
      <c r="F40" s="39">
        <v>0</v>
      </c>
      <c r="G40" s="39">
        <v>0</v>
      </c>
      <c r="H40" s="39">
        <v>0</v>
      </c>
      <c r="I40" s="39">
        <v>0</v>
      </c>
      <c r="J40" s="39">
        <v>0</v>
      </c>
      <c r="K40" s="39">
        <v>0</v>
      </c>
      <c r="L40" s="39">
        <v>0</v>
      </c>
      <c r="M40" s="39">
        <v>0</v>
      </c>
      <c r="N40" s="39">
        <v>0</v>
      </c>
      <c r="O40" s="39">
        <v>0</v>
      </c>
      <c r="P40" s="39">
        <v>0</v>
      </c>
      <c r="Q40" s="39">
        <v>0</v>
      </c>
      <c r="R40" s="39">
        <v>0</v>
      </c>
      <c r="S40" s="39">
        <v>0</v>
      </c>
      <c r="T40" s="39">
        <v>0</v>
      </c>
      <c r="U40" s="39">
        <v>0</v>
      </c>
      <c r="V40" s="39">
        <v>0</v>
      </c>
      <c r="W40" s="39">
        <v>0</v>
      </c>
      <c r="X40" s="39">
        <v>0</v>
      </c>
      <c r="Y40" s="39">
        <v>0</v>
      </c>
      <c r="Z40" s="39">
        <v>0</v>
      </c>
      <c r="AA40" s="39">
        <v>0</v>
      </c>
      <c r="AB40" s="39">
        <v>0</v>
      </c>
      <c r="AC40" s="39">
        <v>0</v>
      </c>
      <c r="AD40" s="39">
        <v>0</v>
      </c>
      <c r="AE40" s="39">
        <v>0</v>
      </c>
      <c r="AF40" s="39">
        <v>0</v>
      </c>
      <c r="AG40" s="39">
        <v>0</v>
      </c>
      <c r="AH40" s="39">
        <v>0</v>
      </c>
      <c r="AI40" s="39">
        <v>0</v>
      </c>
      <c r="AJ40" s="39">
        <v>0</v>
      </c>
      <c r="AK40" s="39">
        <v>0</v>
      </c>
      <c r="AL40" s="39">
        <v>0</v>
      </c>
      <c r="AM40" s="39">
        <v>0</v>
      </c>
      <c r="AN40" s="39">
        <v>0</v>
      </c>
      <c r="AO40" s="39">
        <v>0</v>
      </c>
      <c r="AP40" s="39">
        <v>0</v>
      </c>
      <c r="AQ40" s="39">
        <v>0</v>
      </c>
      <c r="AR40" s="39">
        <v>0</v>
      </c>
      <c r="AS40" s="39">
        <v>0</v>
      </c>
      <c r="AT40" s="39">
        <v>0</v>
      </c>
      <c r="AU40" s="39">
        <v>0</v>
      </c>
      <c r="AV40" s="39">
        <v>0</v>
      </c>
      <c r="AW40" s="39">
        <v>0</v>
      </c>
      <c r="AX40" s="39">
        <v>0</v>
      </c>
      <c r="AY40" s="39">
        <v>0</v>
      </c>
      <c r="AZ40" s="39">
        <v>0</v>
      </c>
      <c r="BA40" s="39">
        <v>0</v>
      </c>
      <c r="BB40" s="39">
        <v>0</v>
      </c>
      <c r="BC40" s="39">
        <v>0</v>
      </c>
      <c r="BD40" s="39">
        <v>0</v>
      </c>
      <c r="BE40" s="39">
        <v>0</v>
      </c>
      <c r="BF40" s="39">
        <v>0</v>
      </c>
      <c r="BG40" s="39">
        <v>0</v>
      </c>
      <c r="BH40" s="39">
        <v>0</v>
      </c>
      <c r="BI40" s="39">
        <v>0</v>
      </c>
      <c r="BJ40" s="39">
        <v>0</v>
      </c>
      <c r="BK40" s="39">
        <v>0</v>
      </c>
      <c r="BL40" s="39">
        <v>0</v>
      </c>
      <c r="BM40" s="39">
        <v>0</v>
      </c>
      <c r="BN40" s="39">
        <v>0</v>
      </c>
      <c r="BO40" s="39">
        <v>0</v>
      </c>
      <c r="BP40" s="39">
        <v>0</v>
      </c>
      <c r="BQ40" s="39">
        <v>0</v>
      </c>
      <c r="BR40" s="39">
        <v>0</v>
      </c>
      <c r="BS40" s="39">
        <v>0</v>
      </c>
      <c r="BT40" s="39">
        <v>0</v>
      </c>
      <c r="BU40" s="39">
        <v>0</v>
      </c>
      <c r="BV40" s="39">
        <v>0</v>
      </c>
      <c r="BW40" s="39">
        <v>0</v>
      </c>
      <c r="BX40" s="39">
        <v>0</v>
      </c>
      <c r="BY40" s="39">
        <v>0</v>
      </c>
      <c r="BZ40" s="39">
        <v>0</v>
      </c>
      <c r="CA40" s="39">
        <v>0</v>
      </c>
      <c r="CB40" s="39">
        <v>0</v>
      </c>
      <c r="CC40" s="39">
        <v>0</v>
      </c>
      <c r="CD40" s="39">
        <v>0</v>
      </c>
      <c r="CE40" s="39">
        <v>0</v>
      </c>
      <c r="CF40" s="39">
        <v>0</v>
      </c>
      <c r="CG40" s="39">
        <v>0</v>
      </c>
      <c r="CH40" s="39">
        <v>0</v>
      </c>
      <c r="CI40" s="39">
        <v>0</v>
      </c>
      <c r="CJ40" s="39">
        <v>0</v>
      </c>
      <c r="CK40" s="39">
        <v>0</v>
      </c>
      <c r="CL40" s="39">
        <v>0</v>
      </c>
      <c r="CM40" s="39">
        <v>0</v>
      </c>
      <c r="CN40" s="39">
        <v>0</v>
      </c>
      <c r="CO40" s="39">
        <v>0</v>
      </c>
      <c r="CP40" s="39">
        <v>0</v>
      </c>
      <c r="CQ40" s="39">
        <v>0</v>
      </c>
      <c r="CR40" s="39">
        <v>0</v>
      </c>
      <c r="CS40" s="39">
        <v>0</v>
      </c>
      <c r="CT40" s="39">
        <v>0</v>
      </c>
      <c r="CU40" s="39">
        <v>0</v>
      </c>
      <c r="CV40" s="39">
        <v>0</v>
      </c>
      <c r="CW40" s="39">
        <v>0</v>
      </c>
      <c r="CX40" s="39">
        <v>0</v>
      </c>
      <c r="CY40" s="39">
        <v>0</v>
      </c>
      <c r="CZ40" s="39">
        <v>0</v>
      </c>
      <c r="DA40" s="39">
        <v>0</v>
      </c>
      <c r="DB40" s="39">
        <v>0</v>
      </c>
    </row>
    <row r="41" ht="16" customHeight="1" spans="1:106" x14ac:dyDescent="0.25">
      <c r="A41" s="20" t="s">
        <v>274</v>
      </c>
      <c r="B41" s="17"/>
      <c r="C41" s="45">
        <v>0.01</v>
      </c>
      <c r="D41" s="45">
        <v>0.01</v>
      </c>
      <c r="E41" s="45">
        <v>0.01</v>
      </c>
      <c r="F41" s="45">
        <v>0.02</v>
      </c>
      <c r="G41" s="45">
        <v>0.02</v>
      </c>
      <c r="H41" s="45">
        <v>0.02</v>
      </c>
      <c r="I41" s="45">
        <v>0.02</v>
      </c>
      <c r="J41" s="45">
        <v>0.02</v>
      </c>
      <c r="K41" s="45">
        <v>0.02</v>
      </c>
      <c r="L41" s="45">
        <v>0.02</v>
      </c>
      <c r="M41" s="45">
        <v>0.02</v>
      </c>
      <c r="N41" s="45">
        <v>0.02</v>
      </c>
      <c r="O41" s="45">
        <v>0.02</v>
      </c>
      <c r="P41" s="45">
        <v>0.02</v>
      </c>
      <c r="Q41" s="45">
        <v>0.02</v>
      </c>
      <c r="R41" s="45">
        <v>0.02</v>
      </c>
      <c r="S41" s="45">
        <v>0.02</v>
      </c>
      <c r="T41" s="45">
        <v>0.02</v>
      </c>
      <c r="U41" s="45">
        <v>0.01</v>
      </c>
      <c r="V41" s="45">
        <v>0.01</v>
      </c>
      <c r="W41" s="45">
        <v>0.01</v>
      </c>
      <c r="X41" s="45">
        <v>0.01</v>
      </c>
      <c r="Y41" s="45">
        <v>0.01</v>
      </c>
      <c r="Z41" s="45">
        <v>0.01</v>
      </c>
      <c r="AA41" s="45">
        <v>0.01</v>
      </c>
      <c r="AB41" s="45">
        <v>0.01</v>
      </c>
      <c r="AC41" s="45">
        <v>0.01</v>
      </c>
      <c r="AD41" s="45">
        <v>0.01</v>
      </c>
      <c r="AE41" s="45">
        <v>0.01</v>
      </c>
      <c r="AF41" s="45">
        <v>0.01</v>
      </c>
      <c r="AG41" s="45">
        <v>0.01</v>
      </c>
      <c r="AH41" s="45">
        <v>0.01</v>
      </c>
      <c r="AI41" s="45">
        <v>0.01</v>
      </c>
      <c r="AJ41" s="45">
        <v>0.01</v>
      </c>
      <c r="AK41" s="45">
        <v>0.01</v>
      </c>
      <c r="AL41" s="45">
        <v>0.01</v>
      </c>
      <c r="AM41" s="45">
        <v>0.01</v>
      </c>
      <c r="AN41" s="45">
        <v>0.01</v>
      </c>
      <c r="AO41" s="45">
        <v>0.01</v>
      </c>
      <c r="AP41" s="45">
        <v>0.01</v>
      </c>
      <c r="AQ41" s="45">
        <v>0.01</v>
      </c>
      <c r="AR41" s="45">
        <v>0.01</v>
      </c>
      <c r="AS41" s="45">
        <v>0.01</v>
      </c>
      <c r="AT41" s="45">
        <v>0.01</v>
      </c>
      <c r="AU41" s="45">
        <v>0.01</v>
      </c>
      <c r="AV41" s="45">
        <v>0.01</v>
      </c>
      <c r="AW41" s="45">
        <v>0.01</v>
      </c>
      <c r="AX41" s="45">
        <v>0.01</v>
      </c>
      <c r="AY41" s="45">
        <v>0.01</v>
      </c>
      <c r="AZ41" s="45">
        <v>0.01</v>
      </c>
      <c r="BA41" s="45">
        <v>0.01</v>
      </c>
      <c r="BB41" s="45">
        <v>0.01</v>
      </c>
      <c r="BC41" s="45">
        <v>0.015</v>
      </c>
      <c r="BD41" s="45">
        <v>0.015</v>
      </c>
      <c r="BE41" s="45">
        <v>0.015</v>
      </c>
      <c r="BF41" s="45">
        <v>0.015</v>
      </c>
      <c r="BG41" s="45">
        <v>0.015</v>
      </c>
      <c r="BH41" s="45">
        <v>0.015</v>
      </c>
      <c r="BI41" s="45">
        <v>0.015</v>
      </c>
      <c r="BJ41" s="45">
        <v>0.015</v>
      </c>
      <c r="BK41" s="45">
        <v>0.015</v>
      </c>
      <c r="BL41" s="45">
        <v>0.015</v>
      </c>
      <c r="BM41" s="45">
        <v>0.015</v>
      </c>
      <c r="BN41" s="45">
        <v>0.015</v>
      </c>
      <c r="BO41" s="45">
        <v>0.015</v>
      </c>
      <c r="BP41" s="45">
        <v>0.015</v>
      </c>
      <c r="BQ41" s="45">
        <v>0.015</v>
      </c>
      <c r="BR41" s="45">
        <v>0.015</v>
      </c>
      <c r="BS41" s="45">
        <v>0.015</v>
      </c>
      <c r="BT41" s="45">
        <v>0.015</v>
      </c>
      <c r="BU41" s="45">
        <v>0.015</v>
      </c>
      <c r="BV41" s="45">
        <v>0.015</v>
      </c>
      <c r="BW41" s="45">
        <v>0.015</v>
      </c>
      <c r="BX41" s="45">
        <v>0.015</v>
      </c>
      <c r="BY41" s="45">
        <v>0.015</v>
      </c>
      <c r="BZ41" s="45">
        <v>0.015</v>
      </c>
      <c r="CA41" s="45">
        <v>0.015</v>
      </c>
      <c r="CB41" s="45">
        <v>0.015</v>
      </c>
      <c r="CC41" s="45">
        <v>0.015</v>
      </c>
      <c r="CD41" s="45">
        <v>0.015</v>
      </c>
      <c r="CE41" s="45">
        <v>0.015</v>
      </c>
      <c r="CF41" s="45">
        <v>0.015</v>
      </c>
      <c r="CG41" s="45">
        <v>0.015</v>
      </c>
      <c r="CH41" s="45">
        <v>0.015</v>
      </c>
      <c r="CI41" s="45">
        <v>0.015</v>
      </c>
      <c r="CJ41" s="45">
        <v>0.015</v>
      </c>
      <c r="CK41" s="45">
        <v>0.015</v>
      </c>
      <c r="CL41" s="45">
        <v>0.015</v>
      </c>
      <c r="CM41" s="45">
        <v>0.015</v>
      </c>
      <c r="CN41" s="45">
        <v>0.015</v>
      </c>
      <c r="CO41" s="45">
        <v>0.015</v>
      </c>
      <c r="CP41" s="45">
        <v>0.015</v>
      </c>
      <c r="CQ41" s="45">
        <v>0.015</v>
      </c>
      <c r="CR41" s="45">
        <v>0.015</v>
      </c>
      <c r="CS41" s="45">
        <v>0.015</v>
      </c>
      <c r="CT41" s="45">
        <v>0.015</v>
      </c>
      <c r="CU41" s="45">
        <v>0.015</v>
      </c>
      <c r="CV41" s="45">
        <v>0.015</v>
      </c>
      <c r="CW41" s="45">
        <v>0.015</v>
      </c>
      <c r="CX41" s="45">
        <v>0.015</v>
      </c>
      <c r="CY41" s="45">
        <v>0.015</v>
      </c>
      <c r="CZ41" s="45">
        <v>0.015</v>
      </c>
      <c r="DA41" s="45">
        <v>0.015</v>
      </c>
      <c r="DB41" s="45">
        <v>0.015</v>
      </c>
    </row>
    <row r="42" spans="1:106" x14ac:dyDescent="0.25">
      <c r="A42" s="36" t="s">
        <v>275</v>
      </c>
      <c r="C42" s="46"/>
      <c r="D42" s="41">
        <f>=IFERROR(C19*C41,0)</f>
        <v>0.23</v>
      </c>
      <c r="E42" s="41">
        <f>=IFERROR(D19*D41,0)</f>
        <v>0.23</v>
      </c>
      <c r="F42" s="41">
        <f>=IFERROR(E19*E41,0)</f>
        <v>0.23</v>
      </c>
      <c r="G42" s="41">
        <f>=IFERROR(F19*F41,0)</f>
        <v>0.46</v>
      </c>
      <c r="H42" s="41">
        <f>=IFERROR(G19*G41,0)</f>
        <v>0.46</v>
      </c>
      <c r="I42" s="41">
        <f>=IFERROR(H19*H41,0)</f>
        <v>0.54</v>
      </c>
      <c r="J42" s="41">
        <f>=IFERROR(I19*I41,0)</f>
        <v>0.54</v>
      </c>
      <c r="K42" s="41">
        <f>=IFERROR(J19*J41,0)</f>
        <v>0.54</v>
      </c>
      <c r="L42" s="41">
        <f>=IFERROR(K19*K41,0)</f>
        <v>0.54</v>
      </c>
      <c r="M42" s="41">
        <f>=IFERROR(L19*L41,0)</f>
        <v>0.54</v>
      </c>
      <c r="N42" s="41">
        <f>=IFERROR(M19*M41,0)</f>
        <v>0.52</v>
      </c>
      <c r="O42" s="41">
        <f>=IFERROR(N19*N41,0)</f>
        <v>0.52</v>
      </c>
      <c r="P42" s="41">
        <f>=IFERROR(O19*O41,0)</f>
        <v>0.52</v>
      </c>
      <c r="Q42" s="41">
        <f>=IFERROR(P19*P41,0)</f>
        <v>0.52</v>
      </c>
      <c r="R42" s="41">
        <f>=IFERROR(Q19*Q41,0)</f>
        <v>0.42</v>
      </c>
      <c r="S42" s="41">
        <f>=IFERROR(R19*R41,0)</f>
        <v>0.38</v>
      </c>
      <c r="T42" s="41">
        <f>=IFERROR(S19*S41,0)</f>
        <v>0.38</v>
      </c>
      <c r="U42" s="41">
        <f>=IFERROR(T19*T41,0)</f>
        <v>0.38</v>
      </c>
      <c r="V42" s="41">
        <f>=IFERROR(U19*U41,0)</f>
        <v>0.2</v>
      </c>
      <c r="W42" s="41">
        <f>=IFERROR(V19*V41,0)</f>
        <v>0.2</v>
      </c>
      <c r="X42" s="41">
        <f>=IFERROR(W19*W41,0)</f>
        <v>0.2</v>
      </c>
      <c r="Y42" s="41">
        <f>=IFERROR(X19*X41,0)</f>
        <v>0.2</v>
      </c>
      <c r="Z42" s="41">
        <f>=IFERROR(Y19*Y41,0)</f>
        <v>0.2</v>
      </c>
      <c r="AA42" s="41">
        <f>=IFERROR(Z19*Z41,0)</f>
        <v>0.2</v>
      </c>
      <c r="AB42" s="41">
        <f>=IFERROR(AA19*AA41,0)</f>
        <v>0.2</v>
      </c>
      <c r="AC42" s="41">
        <f>=IFERROR(AB19*AB41,0)</f>
        <v>0.19</v>
      </c>
      <c r="AD42" s="41">
        <f>=IFERROR(AC19*AC41,0)</f>
        <v>0.19</v>
      </c>
      <c r="AE42" s="41">
        <f>=IFERROR(AD19*AD41,0)</f>
        <v>0.2</v>
      </c>
      <c r="AF42" s="41">
        <f>=IFERROR(AE19*AE41,0)</f>
        <v>0.17</v>
      </c>
      <c r="AG42" s="41">
        <f>=IFERROR(AF19*AF41,0)</f>
        <v>0.16</v>
      </c>
      <c r="AH42" s="41">
        <f>=IFERROR(AG19*AG41,0)</f>
        <v>0.16</v>
      </c>
      <c r="AI42" s="41">
        <f>=IFERROR(AH19*AH41,0)</f>
        <v>0.18</v>
      </c>
      <c r="AJ42" s="41">
        <f>=IFERROR(AI19*AI41,0)</f>
        <v>0.18</v>
      </c>
      <c r="AK42" s="41">
        <f>=IFERROR(AJ19*AJ41,0)</f>
        <v>0.18</v>
      </c>
      <c r="AL42" s="41">
        <f>=IFERROR(AK19*AK41,0)</f>
        <v>0.17</v>
      </c>
      <c r="AM42" s="41">
        <f>=IFERROR(AL19*AL41,0)</f>
        <v>0.18</v>
      </c>
      <c r="AN42" s="41">
        <f>=IFERROR(AM19*AM41,0)</f>
        <v>0.18</v>
      </c>
      <c r="AO42" s="41">
        <f>=IFERROR(AN19*AN41,0)</f>
        <v>0.18</v>
      </c>
      <c r="AP42" s="41">
        <f>=IFERROR(AO19*AO41,0)</f>
        <v>0.18</v>
      </c>
      <c r="AQ42" s="41">
        <f>=IFERROR(AP19*AP41,0)</f>
        <v>0.18</v>
      </c>
      <c r="AR42" s="41">
        <f>=IFERROR(AQ19*AQ41,0)</f>
        <v>0.17</v>
      </c>
      <c r="AS42" s="41">
        <f>=IFERROR(AR19*AR41,0)</f>
        <v>0.17</v>
      </c>
      <c r="AT42" s="41">
        <f>=IFERROR(AS19*AS41,0)</f>
        <v>0.18</v>
      </c>
      <c r="AU42" s="41">
        <f>=IFERROR(AT19*AT41,0)</f>
        <v>0.18</v>
      </c>
      <c r="AV42" s="41">
        <f>=IFERROR(AU19*AU41,0)</f>
        <v>0.18</v>
      </c>
      <c r="AW42" s="41">
        <f>=IFERROR(AV19*AV41,0)</f>
        <v>0.18</v>
      </c>
      <c r="AX42" s="41">
        <f>=IFERROR(AW19*AW41,0)</f>
        <v>0.18</v>
      </c>
      <c r="AY42" s="41">
        <f>=IFERROR(AX19*AX41,0)</f>
        <v>0.18</v>
      </c>
      <c r="AZ42" s="41">
        <f>=IFERROR(AY19*AY41,0)</f>
        <v>0.18</v>
      </c>
      <c r="BA42" s="41">
        <f>=IFERROR(AZ19*AZ41,0)</f>
        <v>0.18</v>
      </c>
      <c r="BB42" s="41">
        <f>=IFERROR(BA19*BA41,0)</f>
        <v>0.18</v>
      </c>
      <c r="BC42" s="41">
        <f>=IFERROR(BB19*BB41,0)</f>
        <v>0.18</v>
      </c>
      <c r="BD42" s="41">
        <f>=IFERROR(BC19*BC41,0)</f>
        <v>0.27</v>
      </c>
      <c r="BE42" s="41">
        <f>=IFERROR(BD19*BD41,0)</f>
        <v>0.27</v>
      </c>
      <c r="BF42" s="41">
        <f>=IFERROR(BE19*BE41,0)</f>
        <v>0.27</v>
      </c>
      <c r="BG42" s="41">
        <f>=IFERROR(BF19*BF41,0)</f>
        <v>0.27</v>
      </c>
      <c r="BH42" s="41">
        <f>=IFERROR(BG19*BG41,0)</f>
        <v>0.27</v>
      </c>
      <c r="BI42" s="41">
        <f>=IFERROR(BH19*BH41,0)</f>
        <v>0.27</v>
      </c>
      <c r="BJ42" s="41">
        <f>=IFERROR(BI19*BI41,0)</f>
        <v>0.27</v>
      </c>
      <c r="BK42" s="41">
        <f>=IFERROR(BJ19*BJ41,0)</f>
        <v>0.27</v>
      </c>
      <c r="BL42" s="41">
        <f>=IFERROR(BK19*BK41,0)</f>
        <v>0.27</v>
      </c>
      <c r="BM42" s="41">
        <f>=IFERROR(BL19*BL41,0)</f>
        <v>0.27</v>
      </c>
      <c r="BN42" s="41">
        <f>=IFERROR(BM19*BM41,0)</f>
        <v>0.27</v>
      </c>
      <c r="BO42" s="41">
        <f>=IFERROR(BN19*BN41,0)</f>
        <v>0.27</v>
      </c>
      <c r="BP42" s="41">
        <f>=IFERROR(BO19*BO41,0)</f>
        <v>0.26595</v>
      </c>
      <c r="BQ42" s="41">
        <f>=IFERROR(BP19*BP41,0)</f>
        <v>0.26196075</v>
      </c>
      <c r="BR42" s="41">
        <f>=IFERROR(BQ19*BQ41,0)</f>
        <v>0.25803133875</v>
      </c>
      <c r="BS42" s="41">
        <f>=IFERROR(BR19*BR41,0)</f>
        <v>0.25416086866875</v>
      </c>
      <c r="BT42" s="41">
        <f>=IFERROR(BS19*BS41,0)</f>
        <v>0.25034845563871877</v>
      </c>
      <c r="BU42" s="41">
        <f>=IFERROR(BT19*BT41,0)</f>
        <v>0.246593228804138</v>
      </c>
      <c r="BV42" s="41">
        <f>=IFERROR(BU19*BU41,0)</f>
        <v>0.2428943303720759</v>
      </c>
      <c r="BW42" s="41">
        <f>=IFERROR(BV19*BV41,0)</f>
        <v>0.23925091541649476</v>
      </c>
      <c r="BX42" s="41">
        <f>=IFERROR(BW19*BW41,0)</f>
        <v>0.23566215168524735</v>
      </c>
      <c r="BY42" s="41">
        <f>=IFERROR(BX19*BX41,0)</f>
        <v>0.23212721940996864</v>
      </c>
      <c r="BZ42" s="41">
        <f>=IFERROR(BY19*BY41,0)</f>
        <v>0.22864531111881908</v>
      </c>
      <c r="CA42" s="41">
        <f>=IFERROR(BZ19*BZ41,0)</f>
        <v>0.2252156314520368</v>
      </c>
      <c r="CB42" s="41">
        <f>=IFERROR(CA19*CA41,0)</f>
        <v>0.22183739698025626</v>
      </c>
      <c r="CC42" s="41">
        <f>=IFERROR(CB19*CB41,0)</f>
        <v>0.2185098360255524</v>
      </c>
      <c r="CD42" s="41">
        <f>=IFERROR(CC19*CC41,0)</f>
        <v>0.21523218848516912</v>
      </c>
      <c r="CE42" s="41">
        <f>=IFERROR(CD19*CD41,0)</f>
        <v>0.2120037056578916</v>
      </c>
      <c r="CF42" s="41">
        <f>=IFERROR(CE19*CE41,0)</f>
        <v>0.2088236500730232</v>
      </c>
      <c r="CG42" s="41">
        <f>=IFERROR(CF19*CF41,0)</f>
        <v>0.20569129532192787</v>
      </c>
      <c r="CH42" s="41">
        <f>=IFERROR(CG19*CG41,0)</f>
        <v>0.20260592589209891</v>
      </c>
      <c r="CI42" s="41">
        <f>=IFERROR(CH19*CH41,0)</f>
        <v>0.1995668370037175</v>
      </c>
      <c r="CJ42" s="41">
        <f>=IFERROR(CI19*CI41,0)</f>
        <v>0.19657333444866168</v>
      </c>
      <c r="CK42" s="41">
        <f>=IFERROR(CJ19*CJ41,0)</f>
        <v>0.19362473443193182</v>
      </c>
      <c r="CL42" s="41">
        <f>=IFERROR(CK19*CK41,0)</f>
        <v>0.19072036341545281</v>
      </c>
      <c r="CM42" s="41">
        <f>=IFERROR(CL19*CL41,0)</f>
        <v>0.18785955796422102</v>
      </c>
      <c r="CN42" s="41">
        <f>=IFERROR(CM19*CM41,0)</f>
        <v>0.1850416645947577</v>
      </c>
      <c r="CO42" s="41">
        <f>=IFERROR(CN19*CN41,0)</f>
        <v>0.18226603962583635</v>
      </c>
      <c r="CP42" s="41">
        <f>=IFERROR(CO19*CO41,0)</f>
        <v>0.17953204903144876</v>
      </c>
      <c r="CQ42" s="41">
        <f>=IFERROR(CP19*CP41,0)</f>
        <v>0.17683906829597704</v>
      </c>
      <c r="CR42" s="41">
        <f>=IFERROR(CQ19*CQ41,0)</f>
        <v>0.17418648227153735</v>
      </c>
      <c r="CS42" s="41">
        <f>=IFERROR(CR19*CR41,0)</f>
        <v>0.17157368503746429</v>
      </c>
      <c r="CT42" s="41">
        <f>=IFERROR(CS19*CS41,0)</f>
        <v>0.16900007976190232</v>
      </c>
      <c r="CU42" s="41">
        <f>=IFERROR(CT19*CT41,0)</f>
        <v>0.16646507856547382</v>
      </c>
      <c r="CV42" s="41">
        <f>=IFERROR(CU19*CU41,0)</f>
        <v>0.1639681023869917</v>
      </c>
      <c r="CW42" s="41">
        <f>=IFERROR(CV19*CV41,0)</f>
        <v>0.16150858085118686</v>
      </c>
      <c r="CX42" s="41">
        <f>=IFERROR(CW19*CW41,0)</f>
        <v>0.15908595213841906</v>
      </c>
      <c r="CY42" s="41">
        <f>=IFERROR(CX19*CX41,0)</f>
        <v>0.15669966285634276</v>
      </c>
      <c r="CZ42" s="41">
        <f>=IFERROR(CY19*CY41,0)</f>
        <v>0.15434916791349768</v>
      </c>
      <c r="DA42" s="41">
        <f>=IFERROR(CZ19*CZ41,0)</f>
        <v>0.15203393039479524</v>
      </c>
      <c r="DB42" s="41">
        <f>=IFERROR(DA19*DA41,0)</f>
        <v>0.1497534214388733</v>
      </c>
    </row>
    <row r="43" ht="16" customHeight="1" spans="1:106" x14ac:dyDescent="0.25">
      <c r="A43" s="20" t="s">
        <v>276</v>
      </c>
      <c r="B43" s="17"/>
      <c r="C43" s="75">
        <v>0.03</v>
      </c>
      <c r="D43" s="75">
        <v>0.03</v>
      </c>
      <c r="E43" s="75">
        <v>0.03</v>
      </c>
      <c r="F43" s="75">
        <v>0.03</v>
      </c>
      <c r="G43" s="75">
        <v>0.03</v>
      </c>
      <c r="H43" s="75">
        <v>0.03</v>
      </c>
      <c r="I43" s="75">
        <v>0.03</v>
      </c>
      <c r="J43" s="75">
        <v>0.03</v>
      </c>
      <c r="K43" s="75">
        <v>0.03</v>
      </c>
      <c r="L43" s="75">
        <v>0.03</v>
      </c>
      <c r="M43" s="75">
        <v>0.03</v>
      </c>
      <c r="N43" s="75">
        <v>0.03</v>
      </c>
      <c r="O43" s="75">
        <v>0.03</v>
      </c>
      <c r="P43" s="75">
        <v>0.03</v>
      </c>
      <c r="Q43" s="75">
        <v>0.03</v>
      </c>
      <c r="R43" s="75">
        <v>0.03</v>
      </c>
      <c r="S43" s="75">
        <v>0.03</v>
      </c>
      <c r="T43" s="75">
        <v>0.03</v>
      </c>
      <c r="U43" s="75">
        <v>0.03</v>
      </c>
      <c r="V43" s="75">
        <v>0.03</v>
      </c>
      <c r="W43" s="75">
        <v>0.03</v>
      </c>
      <c r="X43" s="75">
        <v>0.03</v>
      </c>
      <c r="Y43" s="75">
        <v>0.03</v>
      </c>
      <c r="Z43" s="75">
        <v>0.03</v>
      </c>
      <c r="AA43" s="75">
        <v>0.03</v>
      </c>
      <c r="AB43" s="75">
        <v>0.03</v>
      </c>
      <c r="AC43" s="75">
        <v>0.03</v>
      </c>
      <c r="AD43" s="75">
        <v>0.03</v>
      </c>
      <c r="AE43" s="75">
        <v>0.03</v>
      </c>
      <c r="AF43" s="75">
        <v>0.03</v>
      </c>
      <c r="AG43" s="75">
        <v>0.03</v>
      </c>
      <c r="AH43" s="75">
        <v>0.03</v>
      </c>
      <c r="AI43" s="75">
        <v>0.03</v>
      </c>
      <c r="AJ43" s="75">
        <v>0.03</v>
      </c>
      <c r="AK43" s="75">
        <v>0.03</v>
      </c>
      <c r="AL43" s="75">
        <v>0.03</v>
      </c>
      <c r="AM43" s="75">
        <v>0.03</v>
      </c>
      <c r="AN43" s="75">
        <v>0.03</v>
      </c>
      <c r="AO43" s="75">
        <v>0.03</v>
      </c>
      <c r="AP43" s="75">
        <v>0.03</v>
      </c>
      <c r="AQ43" s="75">
        <v>0.03</v>
      </c>
      <c r="AR43" s="75">
        <v>0.03</v>
      </c>
      <c r="AS43" s="75">
        <v>0.03</v>
      </c>
      <c r="AT43" s="75">
        <v>0.03</v>
      </c>
      <c r="AU43" s="75">
        <v>0.03</v>
      </c>
      <c r="AV43" s="75">
        <v>0.03</v>
      </c>
      <c r="AW43" s="75">
        <v>0.03</v>
      </c>
      <c r="AX43" s="75">
        <v>0.03</v>
      </c>
      <c r="AY43" s="75">
        <v>0.03</v>
      </c>
      <c r="AZ43" s="75">
        <v>0.03</v>
      </c>
      <c r="BA43" s="75">
        <v>0.03</v>
      </c>
      <c r="BB43" s="75">
        <v>0.03</v>
      </c>
      <c r="BC43" s="75">
        <v>0.03</v>
      </c>
      <c r="BD43" s="75">
        <v>0.03</v>
      </c>
      <c r="BE43" s="75">
        <v>0.03</v>
      </c>
      <c r="BF43" s="75">
        <v>0.03</v>
      </c>
      <c r="BG43" s="75">
        <v>0.03</v>
      </c>
      <c r="BH43" s="75">
        <v>0.03</v>
      </c>
      <c r="BI43" s="75">
        <v>0.03</v>
      </c>
      <c r="BJ43" s="75">
        <v>0.03</v>
      </c>
      <c r="BK43" s="75">
        <v>0.03</v>
      </c>
      <c r="BL43" s="75">
        <v>0.03</v>
      </c>
      <c r="BM43" s="75">
        <v>0.03</v>
      </c>
      <c r="BN43" s="75">
        <v>0.03</v>
      </c>
      <c r="BO43" s="75">
        <v>0.03</v>
      </c>
      <c r="BP43" s="75">
        <v>0.03</v>
      </c>
      <c r="BQ43" s="75">
        <v>0.03</v>
      </c>
      <c r="BR43" s="75">
        <v>0.03</v>
      </c>
      <c r="BS43" s="75">
        <v>0.03</v>
      </c>
      <c r="BT43" s="75">
        <v>0.03</v>
      </c>
      <c r="BU43" s="75">
        <v>0.03</v>
      </c>
      <c r="BV43" s="75">
        <v>0.03</v>
      </c>
      <c r="BW43" s="75">
        <v>0.03</v>
      </c>
      <c r="BX43" s="75">
        <v>0.03</v>
      </c>
      <c r="BY43" s="75">
        <v>0.03</v>
      </c>
      <c r="BZ43" s="75">
        <v>0.03</v>
      </c>
      <c r="CA43" s="75">
        <v>0.03</v>
      </c>
      <c r="CB43" s="75">
        <v>0.03</v>
      </c>
      <c r="CC43" s="75">
        <v>0.03</v>
      </c>
      <c r="CD43" s="75">
        <v>0.03</v>
      </c>
      <c r="CE43" s="75">
        <v>0.03</v>
      </c>
      <c r="CF43" s="75">
        <v>0.03</v>
      </c>
      <c r="CG43" s="75">
        <v>0.03</v>
      </c>
      <c r="CH43" s="75">
        <v>0.03</v>
      </c>
      <c r="CI43" s="75">
        <v>0.03</v>
      </c>
      <c r="CJ43" s="75">
        <v>0.03</v>
      </c>
      <c r="CK43" s="75">
        <v>0.03</v>
      </c>
      <c r="CL43" s="75">
        <v>0.03</v>
      </c>
      <c r="CM43" s="75">
        <v>0.03</v>
      </c>
      <c r="CN43" s="75">
        <v>0.03</v>
      </c>
      <c r="CO43" s="75">
        <v>0.03</v>
      </c>
      <c r="CP43" s="75">
        <v>0.03</v>
      </c>
      <c r="CQ43" s="75">
        <v>0.03</v>
      </c>
      <c r="CR43" s="75">
        <v>0.03</v>
      </c>
      <c r="CS43" s="75">
        <v>0.03</v>
      </c>
      <c r="CT43" s="75">
        <v>0.03</v>
      </c>
      <c r="CU43" s="75">
        <v>0.03</v>
      </c>
      <c r="CV43" s="75">
        <v>0.03</v>
      </c>
      <c r="CW43" s="75">
        <v>0.03</v>
      </c>
      <c r="CX43" s="75">
        <v>0.03</v>
      </c>
      <c r="CY43" s="75">
        <v>0.03</v>
      </c>
      <c r="CZ43" s="75">
        <v>0.03</v>
      </c>
      <c r="DA43" s="75">
        <v>0.03</v>
      </c>
      <c r="DB43" s="75">
        <v>0.03</v>
      </c>
    </row>
    <row r="44" spans="1:106" x14ac:dyDescent="0.25">
      <c r="A44" s="36" t="s">
        <v>277</v>
      </c>
      <c r="C44" s="38"/>
      <c r="D44" s="43">
        <f>=IFERROR(SUM(C114:C125)*C43,0)</f>
        <v>0</v>
      </c>
      <c r="E44" s="43">
        <f>=IFERROR(SUM(D114:D125)*D43,0)</f>
        <v>0</v>
      </c>
      <c r="F44" s="43">
        <f>=IFERROR(SUM(E114:E125)*E43,0)</f>
        <v>0</v>
      </c>
      <c r="G44" s="43">
        <f>=IFERROR(SUM(F114:F125)*F43,0)</f>
        <v>0</v>
      </c>
      <c r="H44" s="43">
        <f>=IFERROR(SUM(G114:G125)*G43,0)</f>
        <v>0</v>
      </c>
      <c r="I44" s="43">
        <f>=IFERROR(SUM(H114:H125)*H43,0)</f>
        <v>0</v>
      </c>
      <c r="J44" s="43">
        <f>=IFERROR(SUM(I114:I125)*I43,0)</f>
        <v>0</v>
      </c>
      <c r="K44" s="43">
        <f>=IFERROR(SUM(J114:J125)*J43,0)</f>
        <v>0</v>
      </c>
      <c r="L44" s="43">
        <f>=IFERROR(SUM(K114:K125)*K43,0)</f>
        <v>0</v>
      </c>
      <c r="M44" s="43">
        <f>=IFERROR(SUM(L114:L125)*L43,0)</f>
        <v>0</v>
      </c>
      <c r="N44" s="43">
        <f>=IFERROR(SUM(M114:M125)*M43,0)</f>
        <v>0</v>
      </c>
      <c r="O44" s="43">
        <f>=IFERROR(SUM(N114:N125)*N43,0)</f>
        <v>0</v>
      </c>
      <c r="P44" s="43">
        <f>=IFERROR(SUM(O114:O125)*O43,0)</f>
        <v>0</v>
      </c>
      <c r="Q44" s="43">
        <f>=IFERROR(SUM(P114:P125)*P43,0)</f>
        <v>0</v>
      </c>
      <c r="R44" s="43">
        <f>=IFERROR(SUM(Q114:Q125)*Q43,0)</f>
        <v>0</v>
      </c>
      <c r="S44" s="43">
        <f>=IFERROR(SUM(R114:R125)*R43,0)</f>
        <v>0</v>
      </c>
      <c r="T44" s="43">
        <f>=IFERROR(SUM(S114:S125)*S43,0)</f>
        <v>0</v>
      </c>
      <c r="U44" s="43">
        <f>=IFERROR(SUM(T114:T125)*T43,0)</f>
        <v>0</v>
      </c>
      <c r="V44" s="43">
        <f>=IFERROR(SUM(U114:U125)*U43,0)</f>
        <v>0</v>
      </c>
      <c r="W44" s="43">
        <f>=IFERROR(SUM(V114:V125)*V43,0)</f>
        <v>0</v>
      </c>
      <c r="X44" s="43">
        <f>=IFERROR(SUM(W114:W125)*W43,0)</f>
        <v>0</v>
      </c>
      <c r="Y44" s="43">
        <f>=IFERROR(SUM(X114:X125)*X43,0)</f>
        <v>0</v>
      </c>
      <c r="Z44" s="43">
        <f>=IFERROR(SUM(Y114:Y125)*Y43,0)</f>
        <v>0</v>
      </c>
      <c r="AA44" s="43">
        <f>=IFERROR(SUM(Z114:Z125)*Z43,0)</f>
        <v>0</v>
      </c>
      <c r="AB44" s="43">
        <f>=IFERROR(SUM(AA114:AA125)*AA43,0)</f>
        <v>0</v>
      </c>
      <c r="AC44" s="43">
        <f>=IFERROR(SUM(AB114:AB125)*AB43,0)</f>
        <v>0</v>
      </c>
      <c r="AD44" s="43">
        <f>=IFERROR(SUM(AC114:AC125)*AC43,0)</f>
        <v>0</v>
      </c>
      <c r="AE44" s="43">
        <f>=IFERROR(SUM(AD114:AD125)*AD43,0)</f>
        <v>0</v>
      </c>
      <c r="AF44" s="43">
        <f>=IFERROR(SUM(AE114:AE125)*AE43,0)</f>
        <v>0</v>
      </c>
      <c r="AG44" s="43">
        <f>=IFERROR(SUM(AF114:AF125)*AF43,0)</f>
        <v>0</v>
      </c>
      <c r="AH44" s="43">
        <f>=IFERROR(SUM(AG114:AG125)*AG43,0)</f>
        <v>0</v>
      </c>
      <c r="AI44" s="43">
        <f>=IFERROR(SUM(AH114:AH125)*AH43,0)</f>
        <v>0</v>
      </c>
      <c r="AJ44" s="43">
        <f>=IFERROR(SUM(AI114:AI125)*AI43,0)</f>
        <v>0</v>
      </c>
      <c r="AK44" s="43">
        <f>=IFERROR(SUM(AJ114:AJ125)*AJ43,0)</f>
        <v>0</v>
      </c>
      <c r="AL44" s="43">
        <f>=IFERROR(SUM(AK114:AK125)*AK43,0)</f>
        <v>0</v>
      </c>
      <c r="AM44" s="43">
        <f>=IFERROR(SUM(AL114:AL125)*AL43,0)</f>
        <v>0</v>
      </c>
      <c r="AN44" s="43">
        <f>=IFERROR(SUM(AM114:AM125)*AM43,0)</f>
        <v>0</v>
      </c>
      <c r="AO44" s="43">
        <f>=IFERROR(SUM(AN114:AN125)*AN43,0)</f>
        <v>0</v>
      </c>
      <c r="AP44" s="43">
        <f>=IFERROR(SUM(AO114:AO125)*AO43,0)</f>
        <v>0</v>
      </c>
      <c r="AQ44" s="43">
        <f>=IFERROR(SUM(AP114:AP125)*AP43,0)</f>
        <v>0</v>
      </c>
      <c r="AR44" s="43">
        <f>=IFERROR(SUM(AQ114:AQ125)*AQ43,0)</f>
        <v>0</v>
      </c>
      <c r="AS44" s="43">
        <f>=IFERROR(SUM(AR114:AR125)*AR43,0)</f>
        <v>0</v>
      </c>
      <c r="AT44" s="43">
        <f>=IFERROR(SUM(AS114:AS125)*AS43,0)</f>
        <v>0</v>
      </c>
      <c r="AU44" s="43">
        <f>=IFERROR(SUM(AT114:AT125)*AT43,0)</f>
        <v>0</v>
      </c>
      <c r="AV44" s="43">
        <f>=IFERROR(SUM(AU114:AU125)*AU43,0)</f>
        <v>0</v>
      </c>
      <c r="AW44" s="43">
        <f>=IFERROR(SUM(AV114:AV125)*AV43,0)</f>
        <v>0</v>
      </c>
      <c r="AX44" s="43">
        <f>=IFERROR(SUM(AW114:AW125)*AW43,0)</f>
        <v>0</v>
      </c>
      <c r="AY44" s="43">
        <f>=IFERROR(SUM(AX114:AX125)*AX43,0)</f>
        <v>0</v>
      </c>
      <c r="AZ44" s="43">
        <f>=IFERROR(SUM(AY114:AY125)*AY43,0)</f>
        <v>0</v>
      </c>
      <c r="BA44" s="43">
        <f>=IFERROR(SUM(AZ114:AZ125)*AZ43,0)</f>
        <v>0</v>
      </c>
      <c r="BB44" s="43">
        <f>=IFERROR(SUM(BA114:BA125)*BA43,0)</f>
        <v>0</v>
      </c>
      <c r="BC44" s="43">
        <f>=IFERROR(SUM(BB114:BB125)*BB43,0)</f>
        <v>0</v>
      </c>
      <c r="BD44" s="43">
        <f>=IFERROR(SUM(BC114:BC125)*BC43,0)</f>
        <v>0</v>
      </c>
      <c r="BE44" s="43">
        <f>=IFERROR(SUM(BD114:BD125)*BD43,0)</f>
        <v>0</v>
      </c>
      <c r="BF44" s="43">
        <f>=IFERROR(SUM(BE114:BE125)*BE43,0)</f>
        <v>0</v>
      </c>
      <c r="BG44" s="43">
        <f>=IFERROR(SUM(BF114:BF125)*BF43,0)</f>
        <v>0</v>
      </c>
      <c r="BH44" s="43">
        <f>=IFERROR(SUM(BG114:BG125)*BG43,0)</f>
        <v>0</v>
      </c>
      <c r="BI44" s="43">
        <f>=IFERROR(SUM(BH114:BH125)*BH43,0)</f>
        <v>0</v>
      </c>
      <c r="BJ44" s="43">
        <f>=IFERROR(SUM(BI114:BI125)*BI43,0)</f>
        <v>0</v>
      </c>
      <c r="BK44" s="43">
        <f>=IFERROR(SUM(BJ114:BJ125)*BJ43,0)</f>
        <v>0</v>
      </c>
      <c r="BL44" s="43">
        <f>=IFERROR(SUM(BK114:BK125)*BK43,0)</f>
        <v>0</v>
      </c>
      <c r="BM44" s="43">
        <f>=IFERROR(SUM(BL114:BL125)*BL43,0)</f>
        <v>0</v>
      </c>
      <c r="BN44" s="43">
        <f>=IFERROR(SUM(BM114:BM125)*BM43,0)</f>
        <v>0</v>
      </c>
      <c r="BO44" s="43">
        <f>=IFERROR(SUM(BN114:BN125)*BN43,0)</f>
        <v>0</v>
      </c>
      <c r="BP44" s="43">
        <f>=IFERROR(SUM(BO114:BO125)*BO43,0)</f>
        <v>0</v>
      </c>
      <c r="BQ44" s="43">
        <f>=IFERROR(SUM(BP114:BP125)*BP43,0)</f>
        <v>0</v>
      </c>
      <c r="BR44" s="43">
        <f>=IFERROR(SUM(BQ114:BQ125)*BQ43,0)</f>
        <v>0</v>
      </c>
      <c r="BS44" s="43">
        <f>=IFERROR(SUM(BR114:BR125)*BR43,0)</f>
        <v>0</v>
      </c>
      <c r="BT44" s="43">
        <f>=IFERROR(SUM(BS114:BS125)*BS43,0)</f>
        <v>0</v>
      </c>
      <c r="BU44" s="43">
        <f>=IFERROR(SUM(BT114:BT125)*BT43,0)</f>
        <v>0</v>
      </c>
      <c r="BV44" s="43">
        <f>=IFERROR(SUM(BU114:BU125)*BU43,0)</f>
        <v>0</v>
      </c>
      <c r="BW44" s="43">
        <f>=IFERROR(SUM(BV114:BV125)*BV43,0)</f>
        <v>0</v>
      </c>
      <c r="BX44" s="43">
        <f>=IFERROR(SUM(BW114:BW125)*BW43,0)</f>
        <v>0</v>
      </c>
      <c r="BY44" s="43">
        <f>=IFERROR(SUM(BX114:BX125)*BX43,0)</f>
        <v>0</v>
      </c>
      <c r="BZ44" s="43">
        <f>=IFERROR(SUM(BY114:BY125)*BY43,0)</f>
        <v>0</v>
      </c>
      <c r="CA44" s="43">
        <f>=IFERROR(SUM(BZ114:BZ125)*BZ43,0)</f>
        <v>0</v>
      </c>
      <c r="CB44" s="43">
        <f>=IFERROR(SUM(CA114:CA125)*CA43,0)</f>
        <v>0</v>
      </c>
      <c r="CC44" s="43">
        <f>=IFERROR(SUM(CB114:CB125)*CB43,0)</f>
        <v>0</v>
      </c>
      <c r="CD44" s="43">
        <f>=IFERROR(SUM(CC114:CC125)*CC43,0)</f>
        <v>0</v>
      </c>
      <c r="CE44" s="43">
        <f>=IFERROR(SUM(CD114:CD125)*CD43,0)</f>
        <v>0</v>
      </c>
      <c r="CF44" s="43">
        <f>=IFERROR(SUM(CE114:CE125)*CE43,0)</f>
        <v>0</v>
      </c>
      <c r="CG44" s="43">
        <f>=IFERROR(SUM(CF114:CF125)*CF43,0)</f>
        <v>0</v>
      </c>
      <c r="CH44" s="43">
        <f>=IFERROR(SUM(CG114:CG125)*CG43,0)</f>
        <v>0</v>
      </c>
      <c r="CI44" s="43">
        <f>=IFERROR(SUM(CH114:CH125)*CH43,0)</f>
        <v>0</v>
      </c>
      <c r="CJ44" s="43">
        <f>=IFERROR(SUM(CI114:CI125)*CI43,0)</f>
        <v>0</v>
      </c>
      <c r="CK44" s="43">
        <f>=IFERROR(SUM(CJ114:CJ125)*CJ43,0)</f>
        <v>0</v>
      </c>
      <c r="CL44" s="43">
        <f>=IFERROR(SUM(CK114:CK125)*CK43,0)</f>
        <v>0</v>
      </c>
      <c r="CM44" s="43">
        <f>=IFERROR(SUM(CL114:CL125)*CL43,0)</f>
        <v>0</v>
      </c>
      <c r="CN44" s="43">
        <f>=IFERROR(SUM(CM114:CM125)*CM43,0)</f>
        <v>0</v>
      </c>
      <c r="CO44" s="43">
        <f>=IFERROR(SUM(CN114:CN125)*CN43,0)</f>
        <v>0</v>
      </c>
      <c r="CP44" s="43">
        <f>=IFERROR(SUM(CO114:CO125)*CO43,0)</f>
        <v>0</v>
      </c>
      <c r="CQ44" s="43">
        <f>=IFERROR(SUM(CP114:CP125)*CP43,0)</f>
        <v>0</v>
      </c>
      <c r="CR44" s="43">
        <f>=IFERROR(SUM(CQ114:CQ125)*CQ43,0)</f>
        <v>0</v>
      </c>
      <c r="CS44" s="43">
        <f>=IFERROR(SUM(CR114:CR125)*CR43,0)</f>
        <v>0</v>
      </c>
      <c r="CT44" s="43">
        <f>=IFERROR(SUM(CS114:CS125)*CS43,0)</f>
        <v>0</v>
      </c>
      <c r="CU44" s="43">
        <f>=IFERROR(SUM(CT114:CT125)*CT43,0)</f>
        <v>0</v>
      </c>
      <c r="CV44" s="43">
        <f>=IFERROR(SUM(CU114:CU125)*CU43,0)</f>
        <v>0</v>
      </c>
      <c r="CW44" s="43">
        <f>=IFERROR(SUM(CV114:CV125)*CV43,0)</f>
        <v>0</v>
      </c>
      <c r="CX44" s="43">
        <f>=IFERROR(SUM(CW114:CW125)*CW43,0)</f>
        <v>0</v>
      </c>
      <c r="CY44" s="43">
        <f>=IFERROR(SUM(CX114:CX125)*CX43,0)</f>
        <v>0</v>
      </c>
      <c r="CZ44" s="43">
        <f>=IFERROR(SUM(CY114:CY125)*CY43,0)</f>
        <v>0</v>
      </c>
      <c r="DA44" s="43">
        <f>=IFERROR(SUM(CZ114:CZ125)*CZ43,0)</f>
        <v>0</v>
      </c>
      <c r="DB44" s="43">
        <f>=IFERROR(SUM(DA114:DA125)*DA43,0)</f>
        <v>0</v>
      </c>
    </row>
    <row r="45" spans="1:106" x14ac:dyDescent="0.25">
      <c r="A45" s="16" t="s">
        <v>278</v>
      </c>
      <c r="C45" s="44">
        <v>1</v>
      </c>
      <c r="D45" s="44">
        <v>1</v>
      </c>
      <c r="E45" s="44">
        <v>1</v>
      </c>
      <c r="F45" s="44">
        <v>1</v>
      </c>
      <c r="G45" s="44">
        <v>1</v>
      </c>
      <c r="H45" s="44">
        <v>1</v>
      </c>
      <c r="I45" s="44">
        <v>1</v>
      </c>
      <c r="J45" s="44">
        <v>1</v>
      </c>
      <c r="K45" s="44">
        <v>1</v>
      </c>
      <c r="L45" s="44">
        <v>1</v>
      </c>
      <c r="M45" s="44">
        <v>1</v>
      </c>
      <c r="N45" s="44">
        <v>1</v>
      </c>
      <c r="O45" s="44">
        <v>1</v>
      </c>
      <c r="P45" s="44">
        <v>1</v>
      </c>
      <c r="Q45" s="44">
        <v>1</v>
      </c>
      <c r="R45" s="44">
        <v>1</v>
      </c>
      <c r="S45" s="44">
        <v>1</v>
      </c>
      <c r="T45" s="44">
        <v>1</v>
      </c>
      <c r="U45" s="44">
        <v>1</v>
      </c>
      <c r="V45" s="44">
        <v>1</v>
      </c>
      <c r="W45" s="44">
        <v>1</v>
      </c>
      <c r="X45" s="44">
        <v>1</v>
      </c>
      <c r="Y45" s="44">
        <v>1</v>
      </c>
      <c r="Z45" s="44">
        <v>1</v>
      </c>
      <c r="AA45" s="44">
        <v>1</v>
      </c>
      <c r="AB45" s="44">
        <v>1</v>
      </c>
      <c r="AC45" s="44">
        <v>1</v>
      </c>
      <c r="AD45" s="44">
        <v>1</v>
      </c>
      <c r="AE45" s="44">
        <v>1</v>
      </c>
      <c r="AF45" s="44">
        <v>1</v>
      </c>
      <c r="AG45" s="44">
        <v>1</v>
      </c>
      <c r="AH45" s="44">
        <v>1</v>
      </c>
      <c r="AI45" s="44">
        <v>1</v>
      </c>
      <c r="AJ45" s="44">
        <v>1</v>
      </c>
      <c r="AK45" s="44">
        <v>1</v>
      </c>
      <c r="AL45" s="44">
        <v>1</v>
      </c>
      <c r="AM45" s="44">
        <v>1</v>
      </c>
      <c r="AN45" s="44">
        <v>1</v>
      </c>
      <c r="AO45" s="44">
        <v>1</v>
      </c>
      <c r="AP45" s="44">
        <v>1</v>
      </c>
      <c r="AQ45" s="44">
        <v>1</v>
      </c>
      <c r="AR45" s="44">
        <v>1</v>
      </c>
      <c r="AS45" s="44">
        <v>1</v>
      </c>
      <c r="AT45" s="44">
        <v>1</v>
      </c>
      <c r="AU45" s="44">
        <v>1</v>
      </c>
      <c r="AV45" s="44">
        <v>1</v>
      </c>
      <c r="AW45" s="44">
        <v>1</v>
      </c>
      <c r="AX45" s="44">
        <v>1</v>
      </c>
      <c r="AY45" s="44">
        <v>1</v>
      </c>
      <c r="AZ45" s="44">
        <v>1</v>
      </c>
      <c r="BA45" s="44">
        <v>1</v>
      </c>
      <c r="BB45" s="44">
        <v>1</v>
      </c>
      <c r="BC45" s="44">
        <v>1</v>
      </c>
      <c r="BD45" s="44">
        <v>1</v>
      </c>
      <c r="BE45" s="44">
        <v>1</v>
      </c>
      <c r="BF45" s="44">
        <v>1</v>
      </c>
      <c r="BG45" s="44">
        <v>1</v>
      </c>
      <c r="BH45" s="44">
        <v>1</v>
      </c>
      <c r="BI45" s="44">
        <v>1</v>
      </c>
      <c r="BJ45" s="44">
        <v>1</v>
      </c>
      <c r="BK45" s="44">
        <v>1</v>
      </c>
      <c r="BL45" s="44">
        <v>1</v>
      </c>
      <c r="BM45" s="44">
        <v>1</v>
      </c>
      <c r="BN45" s="44">
        <v>1</v>
      </c>
      <c r="BO45" s="44">
        <v>1</v>
      </c>
      <c r="BP45" s="44">
        <v>1</v>
      </c>
      <c r="BQ45" s="44">
        <v>1</v>
      </c>
      <c r="BR45" s="44">
        <v>1</v>
      </c>
      <c r="BS45" s="44">
        <v>1</v>
      </c>
      <c r="BT45" s="44">
        <v>1</v>
      </c>
      <c r="BU45" s="44">
        <v>1</v>
      </c>
      <c r="BV45" s="44">
        <v>1</v>
      </c>
      <c r="BW45" s="44">
        <v>1</v>
      </c>
      <c r="BX45" s="44">
        <v>1</v>
      </c>
      <c r="BY45" s="44">
        <v>1</v>
      </c>
      <c r="BZ45" s="44">
        <v>1</v>
      </c>
      <c r="CA45" s="44">
        <v>1</v>
      </c>
      <c r="CB45" s="44">
        <v>1</v>
      </c>
      <c r="CC45" s="44">
        <v>1</v>
      </c>
      <c r="CD45" s="44">
        <v>1</v>
      </c>
      <c r="CE45" s="44">
        <v>1</v>
      </c>
      <c r="CF45" s="44">
        <v>1</v>
      </c>
      <c r="CG45" s="44">
        <v>1</v>
      </c>
      <c r="CH45" s="44">
        <v>1</v>
      </c>
      <c r="CI45" s="44">
        <v>1</v>
      </c>
      <c r="CJ45" s="44">
        <v>1</v>
      </c>
      <c r="CK45" s="44">
        <v>1</v>
      </c>
      <c r="CL45" s="44">
        <v>1</v>
      </c>
      <c r="CM45" s="44">
        <v>1</v>
      </c>
      <c r="CN45" s="44">
        <v>1</v>
      </c>
      <c r="CO45" s="44">
        <v>1</v>
      </c>
      <c r="CP45" s="44">
        <v>1</v>
      </c>
      <c r="CQ45" s="44">
        <v>1</v>
      </c>
      <c r="CR45" s="44">
        <v>1</v>
      </c>
      <c r="CS45" s="44">
        <v>1</v>
      </c>
      <c r="CT45" s="44">
        <v>1</v>
      </c>
      <c r="CU45" s="44">
        <v>1</v>
      </c>
      <c r="CV45" s="44">
        <v>1</v>
      </c>
      <c r="CW45" s="44">
        <v>1</v>
      </c>
      <c r="CX45" s="44">
        <v>1</v>
      </c>
      <c r="CY45" s="44">
        <v>1</v>
      </c>
      <c r="CZ45" s="44">
        <v>1</v>
      </c>
      <c r="DA45" s="44">
        <v>1</v>
      </c>
      <c r="DB45" s="44">
        <v>1</v>
      </c>
    </row>
    <row r="46" ht="15" customHeight="1" spans="1:106" x14ac:dyDescent="0.25">
      <c r="A46" s="16" t="s">
        <v>279</v>
      </c>
      <c r="B46" s="17"/>
      <c r="C46" s="45">
        <v>0</v>
      </c>
      <c r="D46" s="45">
        <v>0</v>
      </c>
      <c r="E46" s="45">
        <v>0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v>0</v>
      </c>
      <c r="O46" s="45">
        <v>0</v>
      </c>
      <c r="P46" s="45">
        <v>0</v>
      </c>
      <c r="Q46" s="45">
        <v>0</v>
      </c>
      <c r="R46" s="45">
        <v>0</v>
      </c>
      <c r="S46" s="45">
        <v>0</v>
      </c>
      <c r="T46" s="45">
        <v>0</v>
      </c>
      <c r="U46" s="45">
        <v>0</v>
      </c>
      <c r="V46" s="45">
        <v>0</v>
      </c>
      <c r="W46" s="45">
        <v>0</v>
      </c>
      <c r="X46" s="45">
        <v>0</v>
      </c>
      <c r="Y46" s="45">
        <v>0</v>
      </c>
      <c r="Z46" s="45">
        <v>0</v>
      </c>
      <c r="AA46" s="45">
        <v>0</v>
      </c>
      <c r="AB46" s="45">
        <v>0</v>
      </c>
      <c r="AC46" s="45">
        <v>0</v>
      </c>
      <c r="AD46" s="45">
        <v>0</v>
      </c>
      <c r="AE46" s="45">
        <v>0</v>
      </c>
      <c r="AF46" s="45">
        <v>0</v>
      </c>
      <c r="AG46" s="45">
        <v>0</v>
      </c>
      <c r="AH46" s="45">
        <v>0</v>
      </c>
      <c r="AI46" s="45">
        <v>0</v>
      </c>
      <c r="AJ46" s="45">
        <v>0</v>
      </c>
      <c r="AK46" s="45">
        <v>0</v>
      </c>
      <c r="AL46" s="45">
        <v>0</v>
      </c>
      <c r="AM46" s="45">
        <v>0</v>
      </c>
      <c r="AN46" s="45">
        <v>0</v>
      </c>
      <c r="AO46" s="45">
        <v>0</v>
      </c>
      <c r="AP46" s="45">
        <v>0</v>
      </c>
      <c r="AQ46" s="45">
        <v>0</v>
      </c>
      <c r="AR46" s="45">
        <v>0</v>
      </c>
      <c r="AS46" s="45">
        <v>0</v>
      </c>
      <c r="AT46" s="45">
        <v>0</v>
      </c>
      <c r="AU46" s="45">
        <v>0</v>
      </c>
      <c r="AV46" s="45">
        <v>0</v>
      </c>
      <c r="AW46" s="45">
        <v>0</v>
      </c>
      <c r="AX46" s="45">
        <v>0</v>
      </c>
      <c r="AY46" s="45">
        <v>0</v>
      </c>
      <c r="AZ46" s="45">
        <v>0</v>
      </c>
      <c r="BA46" s="45">
        <v>0</v>
      </c>
      <c r="BB46" s="45">
        <v>0</v>
      </c>
      <c r="BC46" s="45">
        <v>0</v>
      </c>
      <c r="BD46" s="45">
        <v>0</v>
      </c>
      <c r="BE46" s="45">
        <v>0</v>
      </c>
      <c r="BF46" s="45">
        <v>0</v>
      </c>
      <c r="BG46" s="45">
        <v>0</v>
      </c>
      <c r="BH46" s="45">
        <v>0</v>
      </c>
      <c r="BI46" s="45">
        <v>0</v>
      </c>
      <c r="BJ46" s="45">
        <v>0</v>
      </c>
      <c r="BK46" s="45">
        <v>0</v>
      </c>
      <c r="BL46" s="45">
        <v>0</v>
      </c>
      <c r="BM46" s="45">
        <v>0</v>
      </c>
      <c r="BN46" s="45">
        <v>0</v>
      </c>
      <c r="BO46" s="45">
        <v>0</v>
      </c>
      <c r="BP46" s="45">
        <v>0</v>
      </c>
      <c r="BQ46" s="45">
        <v>0</v>
      </c>
      <c r="BR46" s="45">
        <v>0</v>
      </c>
      <c r="BS46" s="45">
        <v>0</v>
      </c>
      <c r="BT46" s="45">
        <v>0</v>
      </c>
      <c r="BU46" s="45">
        <v>0</v>
      </c>
      <c r="BV46" s="45">
        <v>0</v>
      </c>
      <c r="BW46" s="45">
        <v>0</v>
      </c>
      <c r="BX46" s="45">
        <v>0</v>
      </c>
      <c r="BY46" s="45">
        <v>0</v>
      </c>
      <c r="BZ46" s="45">
        <v>0</v>
      </c>
      <c r="CA46" s="45">
        <v>0</v>
      </c>
      <c r="CB46" s="45">
        <v>0</v>
      </c>
      <c r="CC46" s="45">
        <v>0</v>
      </c>
      <c r="CD46" s="45">
        <v>0</v>
      </c>
      <c r="CE46" s="45">
        <v>0</v>
      </c>
      <c r="CF46" s="45">
        <v>0</v>
      </c>
      <c r="CG46" s="45">
        <v>0</v>
      </c>
      <c r="CH46" s="45">
        <v>0</v>
      </c>
      <c r="CI46" s="45">
        <v>0</v>
      </c>
      <c r="CJ46" s="45">
        <v>0</v>
      </c>
      <c r="CK46" s="45">
        <v>0</v>
      </c>
      <c r="CL46" s="45">
        <v>0</v>
      </c>
      <c r="CM46" s="45">
        <v>0</v>
      </c>
      <c r="CN46" s="45">
        <v>0</v>
      </c>
      <c r="CO46" s="45">
        <v>0</v>
      </c>
      <c r="CP46" s="45">
        <v>0</v>
      </c>
      <c r="CQ46" s="45">
        <v>0</v>
      </c>
      <c r="CR46" s="45">
        <v>0</v>
      </c>
      <c r="CS46" s="45">
        <v>0</v>
      </c>
      <c r="CT46" s="45">
        <v>0</v>
      </c>
      <c r="CU46" s="45">
        <v>0</v>
      </c>
      <c r="CV46" s="45">
        <v>0</v>
      </c>
      <c r="CW46" s="45">
        <v>0</v>
      </c>
      <c r="CX46" s="45">
        <v>0</v>
      </c>
      <c r="CY46" s="45">
        <v>0</v>
      </c>
      <c r="CZ46" s="45">
        <v>0</v>
      </c>
      <c r="DA46" s="45">
        <v>0</v>
      </c>
      <c r="DB46" s="45">
        <v>0</v>
      </c>
    </row>
    <row r="47" ht="15" customHeight="1" spans="1:106" x14ac:dyDescent="0.25">
      <c r="A47" s="16" t="s">
        <v>280</v>
      </c>
      <c r="B47" s="17"/>
      <c r="C47" s="46">
        <v>5</v>
      </c>
      <c r="D47" s="46">
        <v>5</v>
      </c>
      <c r="E47" s="46">
        <v>5</v>
      </c>
      <c r="F47" s="46">
        <v>5</v>
      </c>
      <c r="G47" s="46">
        <v>5</v>
      </c>
      <c r="H47" s="46">
        <v>5</v>
      </c>
      <c r="I47" s="46">
        <v>5</v>
      </c>
      <c r="J47" s="46">
        <v>5</v>
      </c>
      <c r="K47" s="46">
        <v>5</v>
      </c>
      <c r="L47" s="46">
        <v>5</v>
      </c>
      <c r="M47" s="46">
        <v>5</v>
      </c>
      <c r="N47" s="46">
        <v>5</v>
      </c>
      <c r="O47" s="46">
        <v>5</v>
      </c>
      <c r="P47" s="46">
        <v>5</v>
      </c>
      <c r="Q47" s="46">
        <v>5</v>
      </c>
      <c r="R47" s="46">
        <v>5</v>
      </c>
      <c r="S47" s="46">
        <v>5</v>
      </c>
      <c r="T47" s="46">
        <v>5</v>
      </c>
      <c r="U47" s="46">
        <v>5</v>
      </c>
      <c r="V47" s="46">
        <v>5</v>
      </c>
      <c r="W47" s="46">
        <v>5</v>
      </c>
      <c r="X47" s="46">
        <v>5</v>
      </c>
      <c r="Y47" s="46">
        <v>5</v>
      </c>
      <c r="Z47" s="46">
        <v>5</v>
      </c>
      <c r="AA47" s="46">
        <v>5</v>
      </c>
      <c r="AB47" s="46">
        <v>5</v>
      </c>
      <c r="AC47" s="46">
        <v>5</v>
      </c>
      <c r="AD47" s="46">
        <v>5</v>
      </c>
      <c r="AE47" s="46">
        <v>5</v>
      </c>
      <c r="AF47" s="46">
        <v>5</v>
      </c>
      <c r="AG47" s="46">
        <v>5</v>
      </c>
      <c r="AH47" s="46">
        <v>5</v>
      </c>
      <c r="AI47" s="46">
        <v>5</v>
      </c>
      <c r="AJ47" s="46">
        <v>5</v>
      </c>
      <c r="AK47" s="46">
        <v>5</v>
      </c>
      <c r="AL47" s="46">
        <v>5</v>
      </c>
      <c r="AM47" s="46">
        <v>5</v>
      </c>
      <c r="AN47" s="46">
        <v>5</v>
      </c>
      <c r="AO47" s="46">
        <v>5</v>
      </c>
      <c r="AP47" s="46">
        <v>5</v>
      </c>
      <c r="AQ47" s="46">
        <v>5</v>
      </c>
      <c r="AR47" s="46">
        <v>5</v>
      </c>
      <c r="AS47" s="46">
        <v>5</v>
      </c>
      <c r="AT47" s="46">
        <v>5</v>
      </c>
      <c r="AU47" s="46">
        <v>5</v>
      </c>
      <c r="AV47" s="46">
        <v>5</v>
      </c>
      <c r="AW47" s="46">
        <v>5</v>
      </c>
      <c r="AX47" s="46">
        <v>5</v>
      </c>
      <c r="AY47" s="46">
        <v>5</v>
      </c>
      <c r="AZ47" s="46">
        <v>5</v>
      </c>
      <c r="BA47" s="46">
        <v>5</v>
      </c>
      <c r="BB47" s="46">
        <v>5</v>
      </c>
      <c r="BC47" s="46">
        <v>5</v>
      </c>
      <c r="BD47" s="46">
        <v>5</v>
      </c>
      <c r="BE47" s="46">
        <v>5</v>
      </c>
      <c r="BF47" s="46">
        <v>5</v>
      </c>
      <c r="BG47" s="46">
        <v>5</v>
      </c>
      <c r="BH47" s="46">
        <v>5</v>
      </c>
      <c r="BI47" s="46">
        <v>5</v>
      </c>
      <c r="BJ47" s="46">
        <v>5</v>
      </c>
      <c r="BK47" s="46">
        <v>5</v>
      </c>
      <c r="BL47" s="46">
        <v>5</v>
      </c>
      <c r="BM47" s="46">
        <v>5</v>
      </c>
      <c r="BN47" s="46">
        <v>5</v>
      </c>
      <c r="BO47" s="46">
        <v>5</v>
      </c>
      <c r="BP47" s="46">
        <v>5</v>
      </c>
      <c r="BQ47" s="46">
        <v>5</v>
      </c>
      <c r="BR47" s="46">
        <v>5</v>
      </c>
      <c r="BS47" s="46">
        <v>5</v>
      </c>
      <c r="BT47" s="46">
        <v>5</v>
      </c>
      <c r="BU47" s="46">
        <v>5</v>
      </c>
      <c r="BV47" s="46">
        <v>5</v>
      </c>
      <c r="BW47" s="46">
        <v>5</v>
      </c>
      <c r="BX47" s="46">
        <v>5</v>
      </c>
      <c r="BY47" s="46">
        <v>5</v>
      </c>
      <c r="BZ47" s="46">
        <v>5</v>
      </c>
      <c r="CA47" s="46">
        <v>5</v>
      </c>
      <c r="CB47" s="46">
        <v>5</v>
      </c>
      <c r="CC47" s="46">
        <v>5</v>
      </c>
      <c r="CD47" s="46">
        <v>5</v>
      </c>
      <c r="CE47" s="46">
        <v>5</v>
      </c>
      <c r="CF47" s="46">
        <v>5</v>
      </c>
      <c r="CG47" s="46">
        <v>5</v>
      </c>
      <c r="CH47" s="46">
        <v>5</v>
      </c>
      <c r="CI47" s="46">
        <v>5</v>
      </c>
      <c r="CJ47" s="46">
        <v>5</v>
      </c>
      <c r="CK47" s="46">
        <v>5</v>
      </c>
      <c r="CL47" s="46">
        <v>5</v>
      </c>
      <c r="CM47" s="46">
        <v>5</v>
      </c>
      <c r="CN47" s="46">
        <v>5</v>
      </c>
      <c r="CO47" s="46">
        <v>5</v>
      </c>
      <c r="CP47" s="46">
        <v>5</v>
      </c>
      <c r="CQ47" s="46">
        <v>5</v>
      </c>
      <c r="CR47" s="46">
        <v>5</v>
      </c>
      <c r="CS47" s="46">
        <v>5</v>
      </c>
      <c r="CT47" s="46">
        <v>5</v>
      </c>
      <c r="CU47" s="46">
        <v>5</v>
      </c>
      <c r="CV47" s="46">
        <v>5</v>
      </c>
      <c r="CW47" s="46">
        <v>5</v>
      </c>
      <c r="CX47" s="46">
        <v>5</v>
      </c>
      <c r="CY47" s="46">
        <v>5</v>
      </c>
      <c r="CZ47" s="46">
        <v>5</v>
      </c>
      <c r="DA47" s="46">
        <v>5</v>
      </c>
      <c r="DB47" s="46">
        <v>5</v>
      </c>
    </row>
    <row r="48" ht="16" customHeight="1" spans="1:106" x14ac:dyDescent="0.25">
      <c r="A48" s="16" t="s">
        <v>281</v>
      </c>
      <c r="B48" s="17"/>
      <c r="C48" s="46">
        <v>8</v>
      </c>
      <c r="D48" s="46">
        <v>8</v>
      </c>
      <c r="E48" s="46">
        <v>8</v>
      </c>
      <c r="F48" s="46">
        <v>8</v>
      </c>
      <c r="G48" s="46">
        <v>8</v>
      </c>
      <c r="H48" s="46">
        <v>8</v>
      </c>
      <c r="I48" s="46">
        <v>8</v>
      </c>
      <c r="J48" s="46">
        <v>8</v>
      </c>
      <c r="K48" s="46">
        <v>8</v>
      </c>
      <c r="L48" s="46">
        <v>8</v>
      </c>
      <c r="M48" s="46">
        <v>8</v>
      </c>
      <c r="N48" s="46">
        <v>8</v>
      </c>
      <c r="O48" s="46">
        <v>8</v>
      </c>
      <c r="P48" s="46">
        <v>8</v>
      </c>
      <c r="Q48" s="46">
        <v>8</v>
      </c>
      <c r="R48" s="46">
        <v>8</v>
      </c>
      <c r="S48" s="46">
        <v>8</v>
      </c>
      <c r="T48" s="46">
        <v>8</v>
      </c>
      <c r="U48" s="46">
        <v>8</v>
      </c>
      <c r="V48" s="46">
        <v>8</v>
      </c>
      <c r="W48" s="46">
        <v>8</v>
      </c>
      <c r="X48" s="46">
        <v>8</v>
      </c>
      <c r="Y48" s="46">
        <v>8</v>
      </c>
      <c r="Z48" s="46">
        <v>8</v>
      </c>
      <c r="AA48" s="46">
        <v>8</v>
      </c>
      <c r="AB48" s="46">
        <v>8</v>
      </c>
      <c r="AC48" s="46">
        <v>8</v>
      </c>
      <c r="AD48" s="46">
        <v>8</v>
      </c>
      <c r="AE48" s="46">
        <v>8</v>
      </c>
      <c r="AF48" s="46">
        <v>8</v>
      </c>
      <c r="AG48" s="46">
        <v>8</v>
      </c>
      <c r="AH48" s="46">
        <v>8</v>
      </c>
      <c r="AI48" s="46">
        <v>8</v>
      </c>
      <c r="AJ48" s="46">
        <v>8</v>
      </c>
      <c r="AK48" s="46">
        <v>8</v>
      </c>
      <c r="AL48" s="46">
        <v>8</v>
      </c>
      <c r="AM48" s="46">
        <v>8</v>
      </c>
      <c r="AN48" s="46">
        <v>8</v>
      </c>
      <c r="AO48" s="46">
        <v>8</v>
      </c>
      <c r="AP48" s="46">
        <v>8</v>
      </c>
      <c r="AQ48" s="46">
        <v>8</v>
      </c>
      <c r="AR48" s="46">
        <v>8</v>
      </c>
      <c r="AS48" s="46">
        <v>8</v>
      </c>
      <c r="AT48" s="46">
        <v>8</v>
      </c>
      <c r="AU48" s="46">
        <v>8</v>
      </c>
      <c r="AV48" s="46">
        <v>8</v>
      </c>
      <c r="AW48" s="46">
        <v>8</v>
      </c>
      <c r="AX48" s="46">
        <v>8</v>
      </c>
      <c r="AY48" s="46">
        <v>8</v>
      </c>
      <c r="AZ48" s="46">
        <v>8</v>
      </c>
      <c r="BA48" s="46">
        <v>8</v>
      </c>
      <c r="BB48" s="46">
        <v>8</v>
      </c>
      <c r="BC48" s="46">
        <v>8</v>
      </c>
      <c r="BD48" s="46">
        <v>8</v>
      </c>
      <c r="BE48" s="46">
        <v>8</v>
      </c>
      <c r="BF48" s="46">
        <v>8</v>
      </c>
      <c r="BG48" s="46">
        <v>8</v>
      </c>
      <c r="BH48" s="46">
        <v>8</v>
      </c>
      <c r="BI48" s="46">
        <v>8</v>
      </c>
      <c r="BJ48" s="46">
        <v>8</v>
      </c>
      <c r="BK48" s="46">
        <v>8</v>
      </c>
      <c r="BL48" s="46">
        <v>8</v>
      </c>
      <c r="BM48" s="46">
        <v>8</v>
      </c>
      <c r="BN48" s="46">
        <v>8</v>
      </c>
      <c r="BO48" s="46">
        <v>8</v>
      </c>
      <c r="BP48" s="46">
        <v>8</v>
      </c>
      <c r="BQ48" s="46">
        <v>8</v>
      </c>
      <c r="BR48" s="46">
        <v>8</v>
      </c>
      <c r="BS48" s="46">
        <v>8</v>
      </c>
      <c r="BT48" s="46">
        <v>8</v>
      </c>
      <c r="BU48" s="46">
        <v>8</v>
      </c>
      <c r="BV48" s="46">
        <v>8</v>
      </c>
      <c r="BW48" s="46">
        <v>8</v>
      </c>
      <c r="BX48" s="46">
        <v>8</v>
      </c>
      <c r="BY48" s="46">
        <v>8</v>
      </c>
      <c r="BZ48" s="46">
        <v>8</v>
      </c>
      <c r="CA48" s="46">
        <v>8</v>
      </c>
      <c r="CB48" s="46">
        <v>8</v>
      </c>
      <c r="CC48" s="46">
        <v>8</v>
      </c>
      <c r="CD48" s="46">
        <v>8</v>
      </c>
      <c r="CE48" s="46">
        <v>8</v>
      </c>
      <c r="CF48" s="46">
        <v>8</v>
      </c>
      <c r="CG48" s="46">
        <v>8</v>
      </c>
      <c r="CH48" s="46">
        <v>8</v>
      </c>
      <c r="CI48" s="46">
        <v>8</v>
      </c>
      <c r="CJ48" s="46">
        <v>8</v>
      </c>
      <c r="CK48" s="46">
        <v>8</v>
      </c>
      <c r="CL48" s="46">
        <v>8</v>
      </c>
      <c r="CM48" s="46">
        <v>8</v>
      </c>
      <c r="CN48" s="46">
        <v>8</v>
      </c>
      <c r="CO48" s="46">
        <v>8</v>
      </c>
      <c r="CP48" s="46">
        <v>8</v>
      </c>
      <c r="CQ48" s="46">
        <v>8</v>
      </c>
      <c r="CR48" s="46">
        <v>8</v>
      </c>
      <c r="CS48" s="46">
        <v>8</v>
      </c>
      <c r="CT48" s="46">
        <v>8</v>
      </c>
      <c r="CU48" s="46">
        <v>8</v>
      </c>
      <c r="CV48" s="46">
        <v>8</v>
      </c>
      <c r="CW48" s="46">
        <v>8</v>
      </c>
      <c r="CX48" s="46">
        <v>8</v>
      </c>
      <c r="CY48" s="46">
        <v>8</v>
      </c>
      <c r="CZ48" s="46">
        <v>8</v>
      </c>
      <c r="DA48" s="46">
        <v>8</v>
      </c>
      <c r="DB48" s="46">
        <v>8</v>
      </c>
    </row>
    <row r="49" ht="15" customHeight="1" spans="1:106" x14ac:dyDescent="0.25">
      <c r="A49" s="16" t="s">
        <v>282</v>
      </c>
      <c r="B49" s="17"/>
      <c r="C49" s="46">
        <v>0</v>
      </c>
      <c r="D49" s="46">
        <v>0</v>
      </c>
      <c r="E49" s="46">
        <v>0</v>
      </c>
      <c r="F49" s="46">
        <v>0</v>
      </c>
      <c r="G49" s="46">
        <v>0</v>
      </c>
      <c r="H49" s="46">
        <v>0</v>
      </c>
      <c r="I49" s="46">
        <v>0</v>
      </c>
      <c r="J49" s="46">
        <v>0</v>
      </c>
      <c r="K49" s="46">
        <v>0</v>
      </c>
      <c r="L49" s="46">
        <v>0</v>
      </c>
      <c r="M49" s="46">
        <v>0</v>
      </c>
      <c r="N49" s="46">
        <v>0</v>
      </c>
      <c r="O49" s="46">
        <v>0</v>
      </c>
      <c r="P49" s="46">
        <v>0</v>
      </c>
      <c r="Q49" s="46">
        <v>0</v>
      </c>
      <c r="R49" s="46">
        <v>0</v>
      </c>
      <c r="S49" s="46">
        <v>0</v>
      </c>
      <c r="T49" s="46">
        <v>0</v>
      </c>
      <c r="U49" s="46">
        <v>0</v>
      </c>
      <c r="V49" s="46">
        <v>0</v>
      </c>
      <c r="W49" s="46">
        <v>0</v>
      </c>
      <c r="X49" s="46">
        <v>0</v>
      </c>
      <c r="Y49" s="46">
        <v>0</v>
      </c>
      <c r="Z49" s="46">
        <v>0</v>
      </c>
      <c r="AA49" s="46">
        <v>0</v>
      </c>
      <c r="AB49" s="46">
        <v>0</v>
      </c>
      <c r="AC49" s="46">
        <v>0</v>
      </c>
      <c r="AD49" s="46">
        <v>0</v>
      </c>
      <c r="AE49" s="46">
        <v>0</v>
      </c>
      <c r="AF49" s="46">
        <v>0</v>
      </c>
      <c r="AG49" s="46">
        <v>0</v>
      </c>
      <c r="AH49" s="46">
        <v>0</v>
      </c>
      <c r="AI49" s="46">
        <v>0</v>
      </c>
      <c r="AJ49" s="46">
        <v>0</v>
      </c>
      <c r="AK49" s="46">
        <v>0</v>
      </c>
      <c r="AL49" s="46">
        <v>0</v>
      </c>
      <c r="AM49" s="46">
        <v>0</v>
      </c>
      <c r="AN49" s="46">
        <v>0</v>
      </c>
      <c r="AO49" s="46">
        <v>0</v>
      </c>
      <c r="AP49" s="46">
        <v>0</v>
      </c>
      <c r="AQ49" s="46">
        <v>0</v>
      </c>
      <c r="AR49" s="46">
        <v>0</v>
      </c>
      <c r="AS49" s="46">
        <v>0</v>
      </c>
      <c r="AT49" s="46">
        <v>0</v>
      </c>
      <c r="AU49" s="46">
        <v>0</v>
      </c>
      <c r="AV49" s="46">
        <v>0</v>
      </c>
      <c r="AW49" s="46">
        <v>0</v>
      </c>
      <c r="AX49" s="46">
        <v>0</v>
      </c>
      <c r="AY49" s="46">
        <v>0</v>
      </c>
      <c r="AZ49" s="46">
        <v>0</v>
      </c>
      <c r="BA49" s="46">
        <v>0</v>
      </c>
      <c r="BB49" s="46">
        <v>0</v>
      </c>
      <c r="BC49" s="46">
        <v>0</v>
      </c>
      <c r="BD49" s="46">
        <v>0</v>
      </c>
      <c r="BE49" s="46">
        <v>0</v>
      </c>
      <c r="BF49" s="46">
        <v>0</v>
      </c>
      <c r="BG49" s="46">
        <v>0</v>
      </c>
      <c r="BH49" s="46">
        <v>0</v>
      </c>
      <c r="BI49" s="46">
        <v>0</v>
      </c>
      <c r="BJ49" s="46">
        <v>0</v>
      </c>
      <c r="BK49" s="46">
        <v>0</v>
      </c>
      <c r="BL49" s="46">
        <v>0</v>
      </c>
      <c r="BM49" s="46">
        <v>0</v>
      </c>
      <c r="BN49" s="46">
        <v>0</v>
      </c>
      <c r="BO49" s="46">
        <v>0</v>
      </c>
      <c r="BP49" s="46">
        <v>0</v>
      </c>
      <c r="BQ49" s="46">
        <v>0</v>
      </c>
      <c r="BR49" s="46">
        <v>0</v>
      </c>
      <c r="BS49" s="46">
        <v>0</v>
      </c>
      <c r="BT49" s="46">
        <v>0</v>
      </c>
      <c r="BU49" s="46">
        <v>0</v>
      </c>
      <c r="BV49" s="46">
        <v>0</v>
      </c>
      <c r="BW49" s="46">
        <v>0</v>
      </c>
      <c r="BX49" s="46">
        <v>0</v>
      </c>
      <c r="BY49" s="46">
        <v>0</v>
      </c>
      <c r="BZ49" s="46">
        <v>0</v>
      </c>
      <c r="CA49" s="46">
        <v>0</v>
      </c>
      <c r="CB49" s="46">
        <v>0</v>
      </c>
      <c r="CC49" s="46">
        <v>0</v>
      </c>
      <c r="CD49" s="46">
        <v>0</v>
      </c>
      <c r="CE49" s="46">
        <v>0</v>
      </c>
      <c r="CF49" s="46">
        <v>0</v>
      </c>
      <c r="CG49" s="46">
        <v>0</v>
      </c>
      <c r="CH49" s="46">
        <v>0</v>
      </c>
      <c r="CI49" s="46">
        <v>0</v>
      </c>
      <c r="CJ49" s="46">
        <v>0</v>
      </c>
      <c r="CK49" s="46">
        <v>0</v>
      </c>
      <c r="CL49" s="46">
        <v>0</v>
      </c>
      <c r="CM49" s="46">
        <v>0</v>
      </c>
      <c r="CN49" s="46">
        <v>0</v>
      </c>
      <c r="CO49" s="46">
        <v>0</v>
      </c>
      <c r="CP49" s="46">
        <v>0</v>
      </c>
      <c r="CQ49" s="46">
        <v>0</v>
      </c>
      <c r="CR49" s="46">
        <v>0</v>
      </c>
      <c r="CS49" s="46">
        <v>0</v>
      </c>
      <c r="CT49" s="46">
        <v>0</v>
      </c>
      <c r="CU49" s="46">
        <v>0</v>
      </c>
      <c r="CV49" s="46">
        <v>0</v>
      </c>
      <c r="CW49" s="46">
        <v>0</v>
      </c>
      <c r="CX49" s="46">
        <v>0</v>
      </c>
      <c r="CY49" s="46">
        <v>0</v>
      </c>
      <c r="CZ49" s="46">
        <v>0</v>
      </c>
      <c r="DA49" s="46">
        <v>0</v>
      </c>
      <c r="DB49" s="46">
        <v>0</v>
      </c>
    </row>
    <row r="50" spans="3:106" x14ac:dyDescent="0.25"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0"/>
      <c r="CI50" s="30"/>
      <c r="CJ50" s="30"/>
      <c r="CK50" s="30"/>
      <c r="CL50" s="30"/>
      <c r="CM50" s="30"/>
      <c r="CN50" s="30"/>
      <c r="CO50" s="30"/>
      <c r="CP50" s="30"/>
      <c r="CQ50" s="30"/>
      <c r="CR50" s="30"/>
      <c r="CS50" s="30"/>
      <c r="CT50" s="30"/>
      <c r="CU50" s="30"/>
      <c r="CV50" s="30"/>
      <c r="CW50" s="30"/>
      <c r="CX50" s="30"/>
      <c r="CY50" s="30"/>
      <c r="CZ50" s="30"/>
      <c r="DA50" s="30"/>
      <c r="DB50" s="30"/>
    </row>
    <row r="51" spans="1:106" x14ac:dyDescent="0.25">
      <c r="A51" s="9" t="s">
        <v>283</v>
      </c>
      <c r="B51" s="17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  <c r="CQ51" s="32"/>
      <c r="CR51" s="32"/>
      <c r="CS51" s="32"/>
      <c r="CT51" s="32"/>
      <c r="CU51" s="32"/>
      <c r="CV51" s="32"/>
      <c r="CW51" s="32"/>
      <c r="CX51" s="32"/>
      <c r="CY51" s="32"/>
      <c r="CZ51" s="32"/>
      <c r="DA51" s="32"/>
      <c r="DB51" s="32"/>
    </row>
    <row r="52" ht="15" customHeight="1" spans="1:106" x14ac:dyDescent="0.25">
      <c r="A52" s="33" t="s">
        <v>284</v>
      </c>
      <c r="B52" s="17"/>
      <c r="C52" s="34">
        <f>=IFERROR(1-((1-C53)*(1-C58)),0)</f>
        <v>0</v>
      </c>
      <c r="D52" s="34">
        <f>=IFERROR(1-((1-D53)*(1-D58)),0)</f>
        <v>0</v>
      </c>
      <c r="E52" s="34">
        <f>=IFERROR(1-((1-E53)*(1-E58)),0)</f>
        <v>0</v>
      </c>
      <c r="F52" s="34">
        <f>=IFERROR(1-((1-F53)*(1-F58)),0)</f>
        <v>0</v>
      </c>
      <c r="G52" s="34">
        <f>=IFERROR(1-((1-G53)*(1-G58)),0)</f>
        <v>0</v>
      </c>
      <c r="H52" s="34">
        <f>=IFERROR(1-((1-H53)*(1-H58)),0)</f>
        <v>0</v>
      </c>
      <c r="I52" s="34">
        <f>=IFERROR(1-((1-I53)*(1-I58)),0)</f>
        <v>0</v>
      </c>
      <c r="J52" s="34">
        <f>=IFERROR(1-((1-J53)*(1-J58)),0)</f>
        <v>0</v>
      </c>
      <c r="K52" s="34">
        <f>=IFERROR(1-((1-K53)*(1-K58)),0)</f>
        <v>0</v>
      </c>
      <c r="L52" s="34">
        <f>=IFERROR(1-((1-L53)*(1-L58)),0)</f>
        <v>0</v>
      </c>
      <c r="M52" s="34">
        <f>=IFERROR(1-((1-M53)*(1-M58)),0)</f>
        <v>0</v>
      </c>
      <c r="N52" s="34">
        <f>=IFERROR(1-((1-N53)*(1-N58)),0)</f>
        <v>0</v>
      </c>
      <c r="O52" s="34">
        <f>=IFERROR(1-((1-O53)*(1-O58)),0)</f>
        <v>0</v>
      </c>
      <c r="P52" s="34">
        <f>=IFERROR(1-((1-P53)*(1-P58)),0)</f>
        <v>0</v>
      </c>
      <c r="Q52" s="34">
        <f>=IFERROR(1-((1-Q53)*(1-Q58)),0)</f>
        <v>0</v>
      </c>
      <c r="R52" s="34">
        <f>=IFERROR(1-((1-R53)*(1-R58)),0)</f>
        <v>0</v>
      </c>
      <c r="S52" s="34">
        <f>=IFERROR(1-((1-S53)*(1-S58)),0)</f>
        <v>0</v>
      </c>
      <c r="T52" s="34">
        <f>=IFERROR(1-((1-T53)*(1-T58)),0)</f>
        <v>0</v>
      </c>
      <c r="U52" s="34">
        <f>=IFERROR(1-((1-U53)*(1-U58)),0)</f>
        <v>0</v>
      </c>
      <c r="V52" s="34">
        <f>=IFERROR(1-((1-V53)*(1-V58)),0)</f>
        <v>0</v>
      </c>
      <c r="W52" s="34">
        <f>=IFERROR(1-((1-W53)*(1-W58)),0)</f>
        <v>0</v>
      </c>
      <c r="X52" s="34">
        <f>=IFERROR(1-((1-X53)*(1-X58)),0)</f>
        <v>0</v>
      </c>
      <c r="Y52" s="34">
        <f>=IFERROR(1-((1-Y53)*(1-Y58)),0)</f>
        <v>0</v>
      </c>
      <c r="Z52" s="34">
        <f>=IFERROR(1-((1-Z53)*(1-Z58)),0)</f>
        <v>0</v>
      </c>
      <c r="AA52" s="34">
        <f>=IFERROR(1-((1-AA53)*(1-AA58)),0)</f>
        <v>0</v>
      </c>
      <c r="AB52" s="34">
        <f>=IFERROR(1-((1-AB53)*(1-AB58)),0)</f>
        <v>0</v>
      </c>
      <c r="AC52" s="34">
        <f>=IFERROR(1-((1-AC53)*(1-AC58)),0)</f>
        <v>0</v>
      </c>
      <c r="AD52" s="34">
        <f>=IFERROR(1-((1-AD53)*(1-AD58)),0)</f>
        <v>0</v>
      </c>
      <c r="AE52" s="34">
        <f>=IFERROR(1-((1-AE53)*(1-AE58)),0)</f>
        <v>0</v>
      </c>
      <c r="AF52" s="34">
        <f>=IFERROR(1-((1-AF53)*(1-AF58)),0)</f>
        <v>0</v>
      </c>
      <c r="AG52" s="34">
        <f>=IFERROR(1-((1-AG53)*(1-AG58)),0)</f>
        <v>0.0684410646387832</v>
      </c>
      <c r="AH52" s="34">
        <f>=IFERROR(1-((1-AH53)*(1-AH58)),0)</f>
        <v>0.0479651162790698</v>
      </c>
      <c r="AI52" s="34">
        <f>=IFERROR(1-((1-AI53)*(1-AI58)),0)</f>
        <v>0.1095305832147938</v>
      </c>
      <c r="AJ52" s="34">
        <f>=IFERROR(1-((1-AJ53)*(1-AJ58)),0)</f>
        <v>0.0465116279069768</v>
      </c>
      <c r="AK52" s="34">
        <f>=IFERROR(1-((1-AK53)*(1-AK58)),0)</f>
        <v>0.0631001371742112</v>
      </c>
      <c r="AL52" s="34">
        <f>=IFERROR(1-((1-AL53)*(1-AL58)),0)</f>
        <v>0.048284625158831</v>
      </c>
      <c r="AM52" s="34">
        <f>=IFERROR(1-((1-AM53)*(1-AM58)),0)</f>
        <v>0.0447570332480818</v>
      </c>
      <c r="AN52" s="34">
        <f>=IFERROR(1-((1-AN53)*(1-AN58)),0)</f>
        <v>0.0653846153846154</v>
      </c>
      <c r="AO52" s="34">
        <f>=IFERROR(1-((1-AO53)*(1-AO58)),0)</f>
        <v>0.1198453608247424</v>
      </c>
      <c r="AP52" s="34">
        <f>=IFERROR(1-((1-AP53)*(1-AP58)),0)</f>
        <v>0.0478796169630646</v>
      </c>
      <c r="AQ52" s="34">
        <f>=IFERROR(1-((1-AQ53)*(1-AQ58)),0)</f>
        <v>0.1108071135430917</v>
      </c>
      <c r="AR52" s="34">
        <f>=IFERROR(1-((1-AR53)*(1-AR58)),0)</f>
        <v>0.084010840108401</v>
      </c>
      <c r="AS52" s="34">
        <f>=IFERROR(1-((1-AS53)*(1-AS58)),0)</f>
        <v>0.0654685494223364</v>
      </c>
      <c r="AT52" s="34">
        <f>=IFERROR(1-((1-AT53)*(1-AT58)),0)</f>
        <v>0.103359173126615</v>
      </c>
      <c r="AU52" s="34">
        <f>=IFERROR(1-((1-AU53)*(1-AU58)),0)</f>
        <v>0.0734536082474228</v>
      </c>
      <c r="AV52" s="34">
        <f>=IFERROR(1-((1-AV53)*(1-AV58)),0)</f>
        <v>0.103359173126615</v>
      </c>
      <c r="AW52" s="34">
        <f>=IFERROR(1-((1-AW53)*(1-AW58)),0)</f>
        <v>0.1621966794380588</v>
      </c>
      <c r="AX52" s="34">
        <f>=IFERROR(1-((1-AX53)*(1-AX58)),0)</f>
        <v>0.0847240051347882</v>
      </c>
      <c r="AY52" s="34">
        <f>=IFERROR(1-((1-AY53)*(1-AY58)),0)</f>
        <v>0.0757381258023108</v>
      </c>
      <c r="AZ52" s="34">
        <f>=IFERROR(1-((1-AZ53)*(1-AZ58)),0)</f>
        <v>0.0891472868217054</v>
      </c>
      <c r="BA52" s="34">
        <f>=IFERROR(1-((1-BA53)*(1-BA58)),0)</f>
        <v>0.0452196382428942</v>
      </c>
      <c r="BB52" s="34">
        <f>=IFERROR(1-((1-BB53)*(1-BB58)),0)</f>
        <v>0.0219638242894056</v>
      </c>
      <c r="BC52" s="34">
        <f>=IFERROR(1-((1-BC53)*(1-BC58)),0)</f>
        <v>0.111251580278129</v>
      </c>
      <c r="BD52" s="34">
        <f>=IFERROR(1-((1-BD53)*(1-BD58)),0)</f>
        <v>0.071059431524548</v>
      </c>
      <c r="BE52" s="34">
        <f>=IFERROR(1-((1-BE53)*(1-BE58)),0)</f>
        <v>0.0904458598726116</v>
      </c>
      <c r="BF52" s="34">
        <f>=IFERROR(1-((1-BF53)*(1-BF58)),0)</f>
        <v>0.0968992248062016</v>
      </c>
      <c r="BG52" s="34">
        <f>=IFERROR(1-((1-BG53)*(1-BG58)),0)</f>
        <v>0.073076923076923</v>
      </c>
      <c r="BH52" s="34">
        <f>=IFERROR(1-((1-BH53)*(1-BH58)),0)</f>
        <v>0.15</v>
      </c>
      <c r="BI52" s="34">
        <f>=IFERROR(1-((1-BI53)*(1-BI58)),0)</f>
        <v>0.1329032258064519</v>
      </c>
      <c r="BJ52" s="34">
        <f>=IFERROR(1-((1-BJ53)*(1-BJ58)),0)</f>
        <v>0.0748387096774194</v>
      </c>
      <c r="BK52" s="34">
        <f>=IFERROR(1-((1-BK53)*(1-BK58)),0)</f>
        <v>0.069620253164557</v>
      </c>
      <c r="BL52" s="34">
        <f>=IFERROR(1-((1-BL53)*(1-BL58)),0)</f>
        <v>0.0591259640102826</v>
      </c>
      <c r="BM52" s="34">
        <f>=IFERROR(1-((1-BM53)*(1-BM58)),0)</f>
        <v>0.0590500641848524</v>
      </c>
      <c r="BN52" s="34">
        <f>=IFERROR(1-((1-BN53)*(1-BN58)),0)</f>
        <v>0.0658064516129032</v>
      </c>
      <c r="BO52" s="34">
        <f>=IFERROR(1-((1-BO53)*(1-BO58)),0)</f>
        <v>0.0387096774193548</v>
      </c>
      <c r="BP52" s="34">
        <f>=IFERROR(1-((1-BP53)*(1-BP58)),0)</f>
        <v>0.1072351421188632</v>
      </c>
      <c r="BQ52" s="34">
        <f>=IFERROR(1-((1-BQ53)*(1-BQ58)),0)</f>
        <v>0.0990752972258918</v>
      </c>
      <c r="BR52" s="34">
        <f>=IFERROR(1-((1-BR53)*(1-BR58)),0)</f>
        <v>0.1044776119402987</v>
      </c>
      <c r="BS52" s="34">
        <f>=IFERROR(1-((1-BS53)*(1-BS58)),0)</f>
        <v>0.1338797814207652</v>
      </c>
      <c r="BT52" s="34">
        <f>=IFERROR(1-((1-BT53)*(1-BT58)),0)</f>
        <v>0.1212534059945504</v>
      </c>
      <c r="BU52" s="34">
        <f>=IFERROR(1-((1-BU53)*(1-BU58)),0)</f>
        <v>0.1597222222222222</v>
      </c>
      <c r="BV52" s="34">
        <f>=IFERROR(1-((1-BV53)*(1-BV58)),0)</f>
        <v>0.0825439783491206</v>
      </c>
      <c r="BW52" s="34">
        <f>=IFERROR(1-((1-BW53)*(1-BW58)),0)</f>
        <v>0.019061583577713</v>
      </c>
      <c r="BX52" s="34">
        <f>=IFERROR(1-((1-BX53)*(1-BX58)),0)</f>
        <v>0</v>
      </c>
      <c r="BY52" s="34">
        <f>=IFERROR(1-((1-BY53)*(1-BY58)),0)</f>
        <v>0</v>
      </c>
      <c r="BZ52" s="34">
        <f>=IFERROR(1-((1-BZ53)*(1-BZ58)),0)</f>
        <v>0</v>
      </c>
      <c r="CA52" s="34">
        <f>=IFERROR(1-((1-CA53)*(1-CA58)),0)</f>
        <v>0</v>
      </c>
      <c r="CB52" s="34">
        <f>=IFERROR(1-((1-CB53)*(1-CB58)),0)</f>
        <v>0</v>
      </c>
      <c r="CC52" s="34">
        <f>=IFERROR(1-((1-CC53)*(1-CC58)),0)</f>
        <v>0</v>
      </c>
      <c r="CD52" s="34">
        <f>=IFERROR(1-((1-CD53)*(1-CD58)),0)</f>
        <v>0</v>
      </c>
      <c r="CE52" s="34">
        <f>=IFERROR(1-((1-CE53)*(1-CE58)),0)</f>
        <v>0</v>
      </c>
      <c r="CF52" s="34">
        <f>=IFERROR(1-((1-CF53)*(1-CF58)),0)</f>
        <v>0</v>
      </c>
      <c r="CG52" s="34">
        <f>=IFERROR(1-((1-CG53)*(1-CG58)),0)</f>
        <v>0</v>
      </c>
      <c r="CH52" s="34">
        <f>=IFERROR(1-((1-CH53)*(1-CH58)),0)</f>
        <v>0</v>
      </c>
      <c r="CI52" s="34">
        <f>=IFERROR(1-((1-CI53)*(1-CI58)),0)</f>
        <v>0</v>
      </c>
      <c r="CJ52" s="34">
        <f>=IFERROR(1-((1-CJ53)*(1-CJ58)),0)</f>
        <v>0</v>
      </c>
      <c r="CK52" s="34">
        <f>=IFERROR(1-((1-CK53)*(1-CK58)),0)</f>
        <v>0</v>
      </c>
      <c r="CL52" s="34">
        <f>=IFERROR(1-((1-CL53)*(1-CL58)),0)</f>
        <v>0</v>
      </c>
      <c r="CM52" s="34">
        <f>=IFERROR(1-((1-CM53)*(1-CM58)),0)</f>
        <v>0</v>
      </c>
      <c r="CN52" s="34">
        <f>=IFERROR(1-((1-CN53)*(1-CN58)),0)</f>
        <v>0</v>
      </c>
      <c r="CO52" s="34">
        <f>=IFERROR(1-((1-CO53)*(1-CO58)),0)</f>
        <v>0</v>
      </c>
      <c r="CP52" s="34">
        <f>=IFERROR(1-((1-CP53)*(1-CP58)),0)</f>
        <v>0</v>
      </c>
      <c r="CQ52" s="34">
        <f>=IFERROR(1-((1-CQ53)*(1-CQ58)),0)</f>
        <v>0</v>
      </c>
      <c r="CR52" s="34">
        <f>=IFERROR(1-((1-CR53)*(1-CR58)),0)</f>
        <v>0</v>
      </c>
      <c r="CS52" s="34">
        <f>=IFERROR(1-((1-CS53)*(1-CS58)),0)</f>
        <v>0</v>
      </c>
      <c r="CT52" s="34">
        <f>=IFERROR(1-((1-CT53)*(1-CT58)),0)</f>
        <v>0</v>
      </c>
      <c r="CU52" s="34">
        <f>=IFERROR(1-((1-CU53)*(1-CU58)),0)</f>
        <v>0</v>
      </c>
      <c r="CV52" s="34">
        <f>=IFERROR(1-((1-CV53)*(1-CV58)),0)</f>
        <v>0</v>
      </c>
      <c r="CW52" s="34">
        <f>=IFERROR(1-((1-CW53)*(1-CW58)),0)</f>
        <v>0</v>
      </c>
      <c r="CX52" s="34">
        <f>=IFERROR(1-((1-CX53)*(1-CX58)),0)</f>
        <v>0</v>
      </c>
      <c r="CY52" s="34">
        <f>=IFERROR(1-((1-CY53)*(1-CY58)),0)</f>
        <v>0</v>
      </c>
      <c r="CZ52" s="34">
        <f>=IFERROR(1-((1-CZ53)*(1-CZ58)),0)</f>
        <v>0</v>
      </c>
      <c r="DA52" s="34">
        <f>=IFERROR(1-((1-DA53)*(1-DA58)),0)</f>
        <v>0</v>
      </c>
      <c r="DB52" s="34">
        <f>=IFERROR(1-((1-DB53)*(1-DB58)),0)</f>
        <v>0</v>
      </c>
    </row>
    <row r="53" ht="15" customHeight="1" spans="1:106" x14ac:dyDescent="0.25">
      <c r="A53" s="16" t="s">
        <v>285</v>
      </c>
      <c r="B53" s="17"/>
      <c r="C53" s="35">
        <f>=SUM(C54:C57)</f>
        <v>0</v>
      </c>
      <c r="D53" s="35">
        <f>=SUM(D54:D57)</f>
        <v>0</v>
      </c>
      <c r="E53" s="35">
        <f>=SUM(E54:E57)</f>
        <v>0</v>
      </c>
      <c r="F53" s="35">
        <f>=SUM(F54:F57)</f>
        <v>0</v>
      </c>
      <c r="G53" s="35">
        <f>=SUM(G54:G57)</f>
        <v>0</v>
      </c>
      <c r="H53" s="35">
        <f>=SUM(H54:H57)</f>
        <v>0</v>
      </c>
      <c r="I53" s="35">
        <f>=SUM(I54:I57)</f>
        <v>0</v>
      </c>
      <c r="J53" s="35">
        <f>=SUM(J54:J57)</f>
        <v>0</v>
      </c>
      <c r="K53" s="35">
        <f>=SUM(K54:K57)</f>
        <v>0</v>
      </c>
      <c r="L53" s="35">
        <f>=SUM(L54:L57)</f>
        <v>0</v>
      </c>
      <c r="M53" s="35">
        <f>=SUM(M54:M57)</f>
        <v>0</v>
      </c>
      <c r="N53" s="35">
        <f>=SUM(N54:N57)</f>
        <v>0</v>
      </c>
      <c r="O53" s="35">
        <f>=SUM(O54:O57)</f>
        <v>0</v>
      </c>
      <c r="P53" s="35">
        <f>=SUM(P54:P57)</f>
        <v>0</v>
      </c>
      <c r="Q53" s="35">
        <f>=SUM(Q54:Q57)</f>
        <v>0</v>
      </c>
      <c r="R53" s="35">
        <f>=SUM(R54:R57)</f>
        <v>0</v>
      </c>
      <c r="S53" s="35">
        <f>=SUM(S54:S57)</f>
        <v>0</v>
      </c>
      <c r="T53" s="35">
        <f>=SUM(T54:T57)</f>
        <v>0</v>
      </c>
      <c r="U53" s="35">
        <f>=SUM(U54:U57)</f>
        <v>0</v>
      </c>
      <c r="V53" s="35">
        <f>=SUM(V54:V57)</f>
        <v>0</v>
      </c>
      <c r="W53" s="35">
        <f>=SUM(W54:W57)</f>
        <v>0</v>
      </c>
      <c r="X53" s="35">
        <f>=SUM(X54:X57)</f>
        <v>0</v>
      </c>
      <c r="Y53" s="35">
        <f>=SUM(Y54:Y57)</f>
        <v>0</v>
      </c>
      <c r="Z53" s="35">
        <f>=SUM(Z54:Z57)</f>
        <v>0</v>
      </c>
      <c r="AA53" s="35">
        <f>=SUM(AA54:AA57)</f>
        <v>0</v>
      </c>
      <c r="AB53" s="35">
        <f>=SUM(AB54:AB57)</f>
        <v>0</v>
      </c>
      <c r="AC53" s="35">
        <f>=SUM(AC54:AC57)</f>
        <v>0</v>
      </c>
      <c r="AD53" s="35">
        <f>=SUM(AD54:AD57)</f>
        <v>0</v>
      </c>
      <c r="AE53" s="35">
        <f>=SUM(AE54:AE57)</f>
        <v>0</v>
      </c>
      <c r="AF53" s="35">
        <f>=SUM(AF54:AF57)</f>
        <v>0</v>
      </c>
      <c r="AG53" s="35">
        <f>=SUM(AG54:AG57)</f>
        <v>0.06844106463878327</v>
      </c>
      <c r="AH53" s="35">
        <f>=SUM(AH54:AH57)</f>
        <v>0.04796511627906977</v>
      </c>
      <c r="AI53" s="35">
        <f>=SUM(AI54:AI57)</f>
        <v>0.10953058321479377</v>
      </c>
      <c r="AJ53" s="35">
        <f>=SUM(AJ54:AJ57)</f>
        <v>0.046511627906976744</v>
      </c>
      <c r="AK53" s="35">
        <f>=SUM(AK54:AK57)</f>
        <v>0.06310013717421124</v>
      </c>
      <c r="AL53" s="35">
        <f>=SUM(AL54:AL57)</f>
        <v>0.048284625158831</v>
      </c>
      <c r="AM53" s="35">
        <f>=SUM(AM54:AM57)</f>
        <v>0.04475703324808184</v>
      </c>
      <c r="AN53" s="35">
        <f>=SUM(AN54:AN57)</f>
        <v>0.06538461538461537</v>
      </c>
      <c r="AO53" s="35">
        <f>=SUM(AO54:AO57)</f>
        <v>0.11984536082474226</v>
      </c>
      <c r="AP53" s="35">
        <f>=SUM(AP54:AP57)</f>
        <v>0.04787961696306429</v>
      </c>
      <c r="AQ53" s="35">
        <f>=SUM(AQ54:AQ57)</f>
        <v>0.11080711354309165</v>
      </c>
      <c r="AR53" s="35">
        <f>=SUM(AR54:AR57)</f>
        <v>0.08401084010840108</v>
      </c>
      <c r="AS53" s="35">
        <f>=SUM(AS54:AS57)</f>
        <v>0.06546854942233633</v>
      </c>
      <c r="AT53" s="35">
        <f>=SUM(AT54:AT57)</f>
        <v>0.10335917312661498</v>
      </c>
      <c r="AU53" s="35">
        <f>=SUM(AU54:AU57)</f>
        <v>0.07345360824742268</v>
      </c>
      <c r="AV53" s="35">
        <f>=SUM(AV54:AV57)</f>
        <v>0.103359173126615</v>
      </c>
      <c r="AW53" s="35">
        <f>=SUM(AW54:AW57)</f>
        <v>0.16219667943805877</v>
      </c>
      <c r="AX53" s="35">
        <f>=SUM(AX54:AX57)</f>
        <v>0.08472400513478819</v>
      </c>
      <c r="AY53" s="35">
        <f>=SUM(AY54:AY57)</f>
        <v>0.07573812580231065</v>
      </c>
      <c r="AZ53" s="35">
        <f>=SUM(AZ54:AZ57)</f>
        <v>0.08914728682170542</v>
      </c>
      <c r="BA53" s="35">
        <f>=SUM(BA54:BA57)</f>
        <v>0.04521963824289406</v>
      </c>
      <c r="BB53" s="35">
        <f>=SUM(BB54:BB57)</f>
        <v>0.021963824289405683</v>
      </c>
      <c r="BC53" s="35">
        <f>=SUM(BC54:BC57)</f>
        <v>0.11125158027812895</v>
      </c>
      <c r="BD53" s="35">
        <f>=SUM(BD54:BD57)</f>
        <v>0.07105943152454781</v>
      </c>
      <c r="BE53" s="35">
        <f>=SUM(BE54:BE57)</f>
        <v>0.09044585987261149</v>
      </c>
      <c r="BF53" s="35">
        <f>=SUM(BF54:BF57)</f>
        <v>0.09689922480620156</v>
      </c>
      <c r="BG53" s="35">
        <f>=SUM(BG54:BG57)</f>
        <v>0.07307692307692308</v>
      </c>
      <c r="BH53" s="35">
        <f>=SUM(BH54:BH57)</f>
        <v>0.15</v>
      </c>
      <c r="BI53" s="35">
        <f>=SUM(BI54:BI57)</f>
        <v>0.1329032258064516</v>
      </c>
      <c r="BJ53" s="35">
        <f>=SUM(BJ54:BJ57)</f>
        <v>0.07483870967741936</v>
      </c>
      <c r="BK53" s="35">
        <f>=SUM(BK54:BK57)</f>
        <v>0.06962025316455696</v>
      </c>
      <c r="BL53" s="35">
        <f>=SUM(BL54:BL57)</f>
        <v>0.05912596401028278</v>
      </c>
      <c r="BM53" s="35">
        <f>=SUM(BM54:BM57)</f>
        <v>0.059050064184852376</v>
      </c>
      <c r="BN53" s="35">
        <f>=SUM(BN54:BN57)</f>
        <v>0.06580645161290323</v>
      </c>
      <c r="BO53" s="35">
        <f>=SUM(BO54:BO57)</f>
        <v>0.03870967741935484</v>
      </c>
      <c r="BP53" s="35">
        <f>=SUM(BP54:BP57)</f>
        <v>0.10723514211886304</v>
      </c>
      <c r="BQ53" s="35">
        <f>=SUM(BQ54:BQ57)</f>
        <v>0.09907529722589167</v>
      </c>
      <c r="BR53" s="35">
        <f>=SUM(BR54:BR57)</f>
        <v>0.10447761194029849</v>
      </c>
      <c r="BS53" s="35">
        <f>=SUM(BS54:BS57)</f>
        <v>0.13387978142076504</v>
      </c>
      <c r="BT53" s="35">
        <f>=SUM(BT54:BT57)</f>
        <v>0.12125340599455042</v>
      </c>
      <c r="BU53" s="35">
        <f>=SUM(BU54:BU57)</f>
        <v>0.1597222222222222</v>
      </c>
      <c r="BV53" s="35">
        <f>=SUM(BV54:BV57)</f>
        <v>0.08254397834912044</v>
      </c>
      <c r="BW53" s="35">
        <f>=SUM(BW54:BW57)</f>
        <v>0.01906158357771261</v>
      </c>
      <c r="BX53" s="35">
        <f>=SUM(BX54:BX57)</f>
        <v>0</v>
      </c>
      <c r="BY53" s="35">
        <f>=SUM(BY54:BY57)</f>
        <v>0</v>
      </c>
      <c r="BZ53" s="35">
        <f>=SUM(BZ54:BZ57)</f>
        <v>0</v>
      </c>
      <c r="CA53" s="35">
        <f>=SUM(CA54:CA57)</f>
        <v>0</v>
      </c>
      <c r="CB53" s="35">
        <f>=SUM(CB54:CB57)</f>
        <v>0</v>
      </c>
      <c r="CC53" s="35">
        <f>=SUM(CC54:CC57)</f>
        <v>0</v>
      </c>
      <c r="CD53" s="35">
        <f>=SUM(CD54:CD57)</f>
        <v>0</v>
      </c>
      <c r="CE53" s="35">
        <f>=SUM(CE54:CE57)</f>
        <v>0</v>
      </c>
      <c r="CF53" s="35">
        <f>=SUM(CF54:CF57)</f>
        <v>0</v>
      </c>
      <c r="CG53" s="35">
        <f>=SUM(CG54:CG57)</f>
        <v>0</v>
      </c>
      <c r="CH53" s="35">
        <f>=SUM(CH54:CH57)</f>
        <v>0</v>
      </c>
      <c r="CI53" s="35">
        <f>=SUM(CI54:CI57)</f>
        <v>0</v>
      </c>
      <c r="CJ53" s="35">
        <f>=SUM(CJ54:CJ57)</f>
        <v>0</v>
      </c>
      <c r="CK53" s="35">
        <f>=SUM(CK54:CK57)</f>
        <v>0</v>
      </c>
      <c r="CL53" s="35">
        <f>=SUM(CL54:CL57)</f>
        <v>0</v>
      </c>
      <c r="CM53" s="35">
        <f>=SUM(CM54:CM57)</f>
        <v>0</v>
      </c>
      <c r="CN53" s="35">
        <f>=SUM(CN54:CN57)</f>
        <v>0</v>
      </c>
      <c r="CO53" s="35">
        <f>=SUM(CO54:CO57)</f>
        <v>0</v>
      </c>
      <c r="CP53" s="35">
        <f>=SUM(CP54:CP57)</f>
        <v>0</v>
      </c>
      <c r="CQ53" s="35">
        <f>=SUM(CQ54:CQ57)</f>
        <v>0</v>
      </c>
      <c r="CR53" s="35">
        <f>=SUM(CR54:CR57)</f>
        <v>0</v>
      </c>
      <c r="CS53" s="35">
        <f>=SUM(CS54:CS57)</f>
        <v>0</v>
      </c>
      <c r="CT53" s="35">
        <f>=SUM(CT54:CT57)</f>
        <v>0</v>
      </c>
      <c r="CU53" s="35">
        <f>=SUM(CU54:CU57)</f>
        <v>0</v>
      </c>
      <c r="CV53" s="35">
        <f>=SUM(CV54:CV57)</f>
        <v>0</v>
      </c>
      <c r="CW53" s="35">
        <f>=SUM(CW54:CW57)</f>
        <v>0</v>
      </c>
      <c r="CX53" s="35">
        <f>=SUM(CX54:CX57)</f>
        <v>0</v>
      </c>
      <c r="CY53" s="35">
        <f>=SUM(CY54:CY57)</f>
        <v>0</v>
      </c>
      <c r="CZ53" s="35">
        <f>=SUM(CZ54:CZ57)</f>
        <v>0</v>
      </c>
      <c r="DA53" s="35">
        <f>=SUM(DA54:DA57)</f>
        <v>0</v>
      </c>
      <c r="DB53" s="35">
        <f>=SUM(DB54:DB57)</f>
        <v>0</v>
      </c>
    </row>
    <row r="54" ht="18" customHeight="1" spans="1:106" x14ac:dyDescent="0.25">
      <c r="A54" s="36" t="s">
        <v>263</v>
      </c>
      <c r="B54" s="17"/>
      <c r="C54" s="37">
        <f>=IFERROR(C134/C129,0)</f>
        <v>0</v>
      </c>
      <c r="D54" s="37">
        <f>=IFERROR(D134/D129,0)</f>
        <v>0</v>
      </c>
      <c r="E54" s="37">
        <f>=IFERROR(E134/E129,0)</f>
        <v>0</v>
      </c>
      <c r="F54" s="37">
        <f>=IFERROR(F134/F129,0)</f>
        <v>0</v>
      </c>
      <c r="G54" s="37">
        <f>=IFERROR(G134/G129,0)</f>
        <v>0</v>
      </c>
      <c r="H54" s="37">
        <f>=IFERROR(H134/H129,0)</f>
        <v>0</v>
      </c>
      <c r="I54" s="37">
        <f>=IFERROR(I134/I129,0)</f>
        <v>0</v>
      </c>
      <c r="J54" s="37">
        <f>=IFERROR(J134/J129,0)</f>
        <v>0</v>
      </c>
      <c r="K54" s="37">
        <f>=IFERROR(K134/K129,0)</f>
        <v>0</v>
      </c>
      <c r="L54" s="37">
        <f>=IFERROR(L134/L129,0)</f>
        <v>0</v>
      </c>
      <c r="M54" s="37">
        <f>=IFERROR(M134/M129,0)</f>
        <v>0</v>
      </c>
      <c r="N54" s="37">
        <f>=IFERROR(N134/N129,0)</f>
        <v>0</v>
      </c>
      <c r="O54" s="37">
        <f>=IFERROR(O134/O129,0)</f>
        <v>0</v>
      </c>
      <c r="P54" s="37">
        <f>=IFERROR(P134/P129,0)</f>
        <v>0</v>
      </c>
      <c r="Q54" s="37">
        <f>=IFERROR(Q134/Q129,0)</f>
        <v>0</v>
      </c>
      <c r="R54" s="37">
        <f>=IFERROR(R134/R129,0)</f>
        <v>0</v>
      </c>
      <c r="S54" s="37">
        <f>=IFERROR(S134/S129,0)</f>
        <v>0</v>
      </c>
      <c r="T54" s="37">
        <f>=IFERROR(T134/T129,0)</f>
        <v>0</v>
      </c>
      <c r="U54" s="37">
        <f>=IFERROR(U134/U129,0)</f>
        <v>0</v>
      </c>
      <c r="V54" s="37">
        <f>=IFERROR(V134/V129,0)</f>
        <v>0</v>
      </c>
      <c r="W54" s="37">
        <f>=IFERROR(W134/W129,0)</f>
        <v>0</v>
      </c>
      <c r="X54" s="37">
        <f>=IFERROR(X134/X129,0)</f>
        <v>0</v>
      </c>
      <c r="Y54" s="37">
        <f>=IFERROR(Y134/Y129,0)</f>
        <v>0</v>
      </c>
      <c r="Z54" s="37">
        <f>=IFERROR(Z134/Z129,0)</f>
        <v>0</v>
      </c>
      <c r="AA54" s="37">
        <f>=IFERROR(AA134/AA129,0)</f>
        <v>0</v>
      </c>
      <c r="AB54" s="37">
        <f>=IFERROR(AB134/AB129,0)</f>
        <v>0</v>
      </c>
      <c r="AC54" s="37">
        <f>=IFERROR(AC134/AC129,0)</f>
        <v>0</v>
      </c>
      <c r="AD54" s="37">
        <f>=IFERROR(AD134/AD129,0)</f>
        <v>0</v>
      </c>
      <c r="AE54" s="37">
        <f>=IFERROR(AE134/AE129,0)</f>
        <v>0</v>
      </c>
      <c r="AF54" s="37">
        <f>=IFERROR(AF134/AF129,0)</f>
        <v>0</v>
      </c>
      <c r="AG54" s="37">
        <f>=IFERROR(AG134/AG129,0)</f>
        <v>0.017110266159695818</v>
      </c>
      <c r="AH54" s="37">
        <f>=IFERROR(AH134/AH129,0)</f>
        <v>0.011627906976744186</v>
      </c>
      <c r="AI54" s="37">
        <f>=IFERROR(AI134/AI129,0)</f>
        <v>0.011379800853485065</v>
      </c>
      <c r="AJ54" s="37">
        <f>=IFERROR(AJ134/AJ129,0)</f>
        <v>0.00904392764857881</v>
      </c>
      <c r="AK54" s="37">
        <f>=IFERROR(AK134/AK129,0)</f>
        <v>0.012345679012345678</v>
      </c>
      <c r="AL54" s="37">
        <f>=IFERROR(AL134/AL129,0)</f>
        <v>0</v>
      </c>
      <c r="AM54" s="37">
        <f>=IFERROR(AM134/AM129,0)</f>
        <v>0.010230179028132993</v>
      </c>
      <c r="AN54" s="37">
        <f>=IFERROR(AN134/AN129,0)</f>
        <v>0.04358974358974359</v>
      </c>
      <c r="AO54" s="37">
        <f>=IFERROR(AO134/AO129,0)</f>
        <v>0.06443298969072164</v>
      </c>
      <c r="AP54" s="37">
        <f>=IFERROR(AP134/AP129,0)</f>
        <v>0.04103967168262654</v>
      </c>
      <c r="AQ54" s="37">
        <f>=IFERROR(AQ134/AQ129,0)</f>
        <v>0.058823529411764705</v>
      </c>
      <c r="AR54" s="37">
        <f>=IFERROR(AR134/AR129,0)</f>
        <v>0.05420054200542006</v>
      </c>
      <c r="AS54" s="37">
        <f>=IFERROR(AS134/AS129,0)</f>
        <v>0.03337612323491656</v>
      </c>
      <c r="AT54" s="37">
        <f>=IFERROR(AT134/AT129,0)</f>
        <v>0.05167958656330749</v>
      </c>
      <c r="AU54" s="37">
        <f>=IFERROR(AU134/AU129,0)</f>
        <v>0.030927835051546393</v>
      </c>
      <c r="AV54" s="37">
        <f>=IFERROR(AV134/AV129,0)</f>
        <v>0.082687338501292</v>
      </c>
      <c r="AW54" s="37">
        <f>=IFERROR(AW134/AW129,0)</f>
        <v>0.09195402298850575</v>
      </c>
      <c r="AX54" s="37">
        <f>=IFERROR(AX134/AX129,0)</f>
        <v>0.02053915275994865</v>
      </c>
      <c r="AY54" s="37">
        <f>=IFERROR(AY134/AY129,0)</f>
        <v>0</v>
      </c>
      <c r="AZ54" s="37">
        <f>=IFERROR(AZ134/AZ129,0)</f>
        <v>0.031007751937984496</v>
      </c>
      <c r="BA54" s="37">
        <f>=IFERROR(BA134/BA129,0)</f>
        <v>0.031007751937984496</v>
      </c>
      <c r="BB54" s="37">
        <f>=IFERROR(BB134/BB129,0)</f>
        <v>0.021963824289405683</v>
      </c>
      <c r="BC54" s="37">
        <f>=IFERROR(BC134/BC129,0)</f>
        <v>0.0316055625790139</v>
      </c>
      <c r="BD54" s="37">
        <f>=IFERROR(BD134/BD129,0)</f>
        <v>0.0103359173126615</v>
      </c>
      <c r="BE54" s="37">
        <f>=IFERROR(BE134/BE129,0)</f>
        <v>0.0535031847133758</v>
      </c>
      <c r="BF54" s="37">
        <f>=IFERROR(BF134/BF129,0)</f>
        <v>0.04263565891472868</v>
      </c>
      <c r="BG54" s="37">
        <f>=IFERROR(BG134/BG129,0)</f>
        <v>0.03076923076923077</v>
      </c>
      <c r="BH54" s="37">
        <f>=IFERROR(BH134/BH129,0)</f>
        <v>0.05128205128205128</v>
      </c>
      <c r="BI54" s="37">
        <f>=IFERROR(BI134/BI129,0)</f>
        <v>0.07612903225806451</v>
      </c>
      <c r="BJ54" s="37">
        <f>=IFERROR(BJ134/BJ129,0)</f>
        <v>0.06322580645161291</v>
      </c>
      <c r="BK54" s="37">
        <f>=IFERROR(BK134/BK129,0)</f>
        <v>0.02531645569620253</v>
      </c>
      <c r="BL54" s="37">
        <f>=IFERROR(BL134/BL129,0)</f>
        <v>0.030848329048843187</v>
      </c>
      <c r="BM54" s="37">
        <f>=IFERROR(BM134/BM129,0)</f>
        <v>0.03080872913992298</v>
      </c>
      <c r="BN54" s="37">
        <f>=IFERROR(BN134/BN129,0)</f>
        <v>0.04129032258064516</v>
      </c>
      <c r="BO54" s="37">
        <f>=IFERROR(BO134/BO129,0)</f>
        <v>0.01032258064516129</v>
      </c>
      <c r="BP54" s="37">
        <f>=IFERROR(BP134/BP129,0)</f>
        <v>0.04263565891472868</v>
      </c>
      <c r="BQ54" s="37">
        <f>=IFERROR(BQ134/BQ129,0)</f>
        <v>0.021136063408190225</v>
      </c>
      <c r="BR54" s="37">
        <f>=IFERROR(BR134/BR129,0)</f>
        <v>0.07598371777476255</v>
      </c>
      <c r="BS54" s="37">
        <f>=IFERROR(BS134/BS129,0)</f>
        <v>0.07650273224043716</v>
      </c>
      <c r="BT54" s="37">
        <f>=IFERROR(BT134/BT129,0)</f>
        <v>0.07629427792915532</v>
      </c>
      <c r="BU54" s="37">
        <f>=IFERROR(BU134/BU129,0)</f>
        <v>0.09722222222222222</v>
      </c>
      <c r="BV54" s="37">
        <f>=IFERROR(BV134/BV129,0)</f>
        <v>0.06089309878213803</v>
      </c>
      <c r="BW54" s="37">
        <f>=IFERROR(BW134/BW129,0)</f>
        <v>0.001466275659824047</v>
      </c>
      <c r="BX54" s="37">
        <f>=IFERROR(BX134/BX129,0)</f>
        <v>0</v>
      </c>
      <c r="BY54" s="37">
        <f>=IFERROR(BY134/BY129,0)</f>
        <v>0</v>
      </c>
      <c r="BZ54" s="37">
        <f>=IFERROR(BZ134/BZ129,0)</f>
        <v>0</v>
      </c>
      <c r="CA54" s="37">
        <f>=IFERROR(CA134/CA129,0)</f>
        <v>0</v>
      </c>
      <c r="CB54" s="37">
        <f>=IFERROR(CB134/CB129,0)</f>
        <v>0</v>
      </c>
      <c r="CC54" s="37">
        <f>=IFERROR(CC134/CC129,0)</f>
        <v>0</v>
      </c>
      <c r="CD54" s="37">
        <f>=IFERROR(CD134/CD129,0)</f>
        <v>0</v>
      </c>
      <c r="CE54" s="37">
        <f>=IFERROR(CE134/CE129,0)</f>
        <v>0</v>
      </c>
      <c r="CF54" s="37">
        <f>=IFERROR(CF134/CF129,0)</f>
        <v>0</v>
      </c>
      <c r="CG54" s="37">
        <f>=IFERROR(CG134/CG129,0)</f>
        <v>0</v>
      </c>
      <c r="CH54" s="37">
        <f>=IFERROR(CH134/CH129,0)</f>
        <v>0</v>
      </c>
      <c r="CI54" s="37">
        <f>=IFERROR(CI134/CI129,0)</f>
        <v>0</v>
      </c>
      <c r="CJ54" s="37">
        <f>=IFERROR(CJ134/CJ129,0)</f>
        <v>0</v>
      </c>
      <c r="CK54" s="37">
        <f>=IFERROR(CK134/CK129,0)</f>
        <v>0</v>
      </c>
      <c r="CL54" s="37">
        <f>=IFERROR(CL134/CL129,0)</f>
        <v>0</v>
      </c>
      <c r="CM54" s="37">
        <f>=IFERROR(CM134/CM129,0)</f>
        <v>0</v>
      </c>
      <c r="CN54" s="37">
        <f>=IFERROR(CN134/CN129,0)</f>
        <v>0</v>
      </c>
      <c r="CO54" s="37">
        <f>=IFERROR(CO134/CO129,0)</f>
        <v>0</v>
      </c>
      <c r="CP54" s="37">
        <f>=IFERROR(CP134/CP129,0)</f>
        <v>0</v>
      </c>
      <c r="CQ54" s="37">
        <f>=IFERROR(CQ134/CQ129,0)</f>
        <v>0</v>
      </c>
      <c r="CR54" s="37">
        <f>=IFERROR(CR134/CR129,0)</f>
        <v>0</v>
      </c>
      <c r="CS54" s="37">
        <f>=IFERROR(CS134/CS129,0)</f>
        <v>0</v>
      </c>
      <c r="CT54" s="37">
        <f>=IFERROR(CT134/CT129,0)</f>
        <v>0</v>
      </c>
      <c r="CU54" s="37">
        <f>=IFERROR(CU134/CU129,0)</f>
        <v>0</v>
      </c>
      <c r="CV54" s="37">
        <f>=IFERROR(CV134/CV129,0)</f>
        <v>0</v>
      </c>
      <c r="CW54" s="37">
        <f>=IFERROR(CW134/CW129,0)</f>
        <v>0</v>
      </c>
      <c r="CX54" s="37">
        <f>=IFERROR(CX134/CX129,0)</f>
        <v>0</v>
      </c>
      <c r="CY54" s="37">
        <f>=IFERROR(CY134/CY129,0)</f>
        <v>0</v>
      </c>
      <c r="CZ54" s="37">
        <f>=IFERROR(CZ134/CZ129,0)</f>
        <v>0</v>
      </c>
      <c r="DA54" s="37">
        <f>=IFERROR(DA134/DA129,0)</f>
        <v>0</v>
      </c>
      <c r="DB54" s="37">
        <f>=IFERROR(DB134/DB129,0)</f>
        <v>0</v>
      </c>
    </row>
    <row r="55" ht="18" customHeight="1" spans="1:106" x14ac:dyDescent="0.25">
      <c r="A55" s="36" t="s">
        <v>264</v>
      </c>
      <c r="B55" s="17"/>
      <c r="C55" s="37">
        <f>=IFERROR(C135/C129,0)</f>
        <v>0</v>
      </c>
      <c r="D55" s="37">
        <f>=IFERROR(D135/D129,0)</f>
        <v>0</v>
      </c>
      <c r="E55" s="37">
        <f>=IFERROR(E135/E129,0)</f>
        <v>0</v>
      </c>
      <c r="F55" s="37">
        <f>=IFERROR(F135/F129,0)</f>
        <v>0</v>
      </c>
      <c r="G55" s="37">
        <f>=IFERROR(G135/G129,0)</f>
        <v>0</v>
      </c>
      <c r="H55" s="37">
        <f>=IFERROR(H135/H129,0)</f>
        <v>0</v>
      </c>
      <c r="I55" s="37">
        <f>=IFERROR(I135/I129,0)</f>
        <v>0</v>
      </c>
      <c r="J55" s="37">
        <f>=IFERROR(J135/J129,0)</f>
        <v>0</v>
      </c>
      <c r="K55" s="37">
        <f>=IFERROR(K135/K129,0)</f>
        <v>0</v>
      </c>
      <c r="L55" s="37">
        <f>=IFERROR(L135/L129,0)</f>
        <v>0</v>
      </c>
      <c r="M55" s="37">
        <f>=IFERROR(M135/M129,0)</f>
        <v>0</v>
      </c>
      <c r="N55" s="37">
        <f>=IFERROR(N135/N129,0)</f>
        <v>0</v>
      </c>
      <c r="O55" s="37">
        <f>=IFERROR(O135/O129,0)</f>
        <v>0</v>
      </c>
      <c r="P55" s="37">
        <f>=IFERROR(P135/P129,0)</f>
        <v>0</v>
      </c>
      <c r="Q55" s="37">
        <f>=IFERROR(Q135/Q129,0)</f>
        <v>0</v>
      </c>
      <c r="R55" s="37">
        <f>=IFERROR(R135/R129,0)</f>
        <v>0</v>
      </c>
      <c r="S55" s="37">
        <f>=IFERROR(S135/S129,0)</f>
        <v>0</v>
      </c>
      <c r="T55" s="37">
        <f>=IFERROR(T135/T129,0)</f>
        <v>0</v>
      </c>
      <c r="U55" s="37">
        <f>=IFERROR(U135/U129,0)</f>
        <v>0</v>
      </c>
      <c r="V55" s="37">
        <f>=IFERROR(V135/V129,0)</f>
        <v>0</v>
      </c>
      <c r="W55" s="37">
        <f>=IFERROR(W135/W129,0)</f>
        <v>0</v>
      </c>
      <c r="X55" s="37">
        <f>=IFERROR(X135/X129,0)</f>
        <v>0</v>
      </c>
      <c r="Y55" s="37">
        <f>=IFERROR(Y135/Y129,0)</f>
        <v>0</v>
      </c>
      <c r="Z55" s="37">
        <f>=IFERROR(Z135/Z129,0)</f>
        <v>0</v>
      </c>
      <c r="AA55" s="37">
        <f>=IFERROR(AA135/AA129,0)</f>
        <v>0</v>
      </c>
      <c r="AB55" s="37">
        <f>=IFERROR(AB135/AB129,0)</f>
        <v>0</v>
      </c>
      <c r="AC55" s="37">
        <f>=IFERROR(AC135/AC129,0)</f>
        <v>0</v>
      </c>
      <c r="AD55" s="37">
        <f>=IFERROR(AD135/AD129,0)</f>
        <v>0</v>
      </c>
      <c r="AE55" s="37">
        <f>=IFERROR(AE135/AE129,0)</f>
        <v>0</v>
      </c>
      <c r="AF55" s="37">
        <f>=IFERROR(AF135/AF129,0)</f>
        <v>0</v>
      </c>
      <c r="AG55" s="37">
        <f>=IFERROR(AG135/AG129,0)</f>
        <v>0.051330798479087454</v>
      </c>
      <c r="AH55" s="37">
        <f>=IFERROR(AH135/AH129,0)</f>
        <v>0.036337209302325583</v>
      </c>
      <c r="AI55" s="37">
        <f>=IFERROR(AI135/AI129,0)</f>
        <v>0.09815078236130868</v>
      </c>
      <c r="AJ55" s="37">
        <f>=IFERROR(AJ135/AJ129,0)</f>
        <v>0.037467700258397935</v>
      </c>
      <c r="AK55" s="37">
        <f>=IFERROR(AK135/AK129,0)</f>
        <v>0.05075445816186557</v>
      </c>
      <c r="AL55" s="37">
        <f>=IFERROR(AL135/AL129,0)</f>
        <v>0.048284625158831</v>
      </c>
      <c r="AM55" s="37">
        <f>=IFERROR(AM135/AM129,0)</f>
        <v>0.034526854219948847</v>
      </c>
      <c r="AN55" s="37">
        <f>=IFERROR(AN135/AN129,0)</f>
        <v>0.021794871794871794</v>
      </c>
      <c r="AO55" s="37">
        <f>=IFERROR(AO135/AO129,0)</f>
        <v>0.055412371134020616</v>
      </c>
      <c r="AP55" s="37">
        <f>=IFERROR(AP135/AP129,0)</f>
        <v>0.006839945280437756</v>
      </c>
      <c r="AQ55" s="37">
        <f>=IFERROR(AQ135/AQ129,0)</f>
        <v>0.05198358413132695</v>
      </c>
      <c r="AR55" s="37">
        <f>=IFERROR(AR135/AR129,0)</f>
        <v>0.02981029810298103</v>
      </c>
      <c r="AS55" s="37">
        <f>=IFERROR(AS135/AS129,0)</f>
        <v>0.03209242618741977</v>
      </c>
      <c r="AT55" s="37">
        <f>=IFERROR(AT135/AT129,0)</f>
        <v>0.05167958656330749</v>
      </c>
      <c r="AU55" s="37">
        <f>=IFERROR(AU135/AU129,0)</f>
        <v>0.04252577319587629</v>
      </c>
      <c r="AV55" s="37">
        <f>=IFERROR(AV135/AV129,0)</f>
        <v>0.020671834625323</v>
      </c>
      <c r="AW55" s="37">
        <f>=IFERROR(AW135/AW129,0)</f>
        <v>0.070242656449553</v>
      </c>
      <c r="AX55" s="37">
        <f>=IFERROR(AX135/AX129,0)</f>
        <v>0.06418485237483953</v>
      </c>
      <c r="AY55" s="37">
        <f>=IFERROR(AY135/AY129,0)</f>
        <v>0.07573812580231065</v>
      </c>
      <c r="AZ55" s="37">
        <f>=IFERROR(AZ135/AZ129,0)</f>
        <v>0.05813953488372093</v>
      </c>
      <c r="BA55" s="37">
        <f>=IFERROR(BA135/BA129,0)</f>
        <v>0.014211886304909561</v>
      </c>
      <c r="BB55" s="37">
        <f>=IFERROR(BB135/BB129,0)</f>
        <v>0</v>
      </c>
      <c r="BC55" s="37">
        <f>=IFERROR(BC135/BC129,0)</f>
        <v>0.07964601769911504</v>
      </c>
      <c r="BD55" s="37">
        <f>=IFERROR(BD135/BD129,0)</f>
        <v>0.060723514211886306</v>
      </c>
      <c r="BE55" s="37">
        <f>=IFERROR(BE135/BE129,0)</f>
        <v>0.03694267515923567</v>
      </c>
      <c r="BF55" s="37">
        <f>=IFERROR(BF135/BF129,0)</f>
        <v>0.05426356589147287</v>
      </c>
      <c r="BG55" s="37">
        <f>=IFERROR(BG135/BG129,0)</f>
        <v>0.04230769230769231</v>
      </c>
      <c r="BH55" s="37">
        <f>=IFERROR(BH135/BH129,0)</f>
        <v>0.09871794871794871</v>
      </c>
      <c r="BI55" s="37">
        <f>=IFERROR(BI135/BI129,0)</f>
        <v>0.0567741935483871</v>
      </c>
      <c r="BJ55" s="37">
        <f>=IFERROR(BJ135/BJ129,0)</f>
        <v>0.011612903225806452</v>
      </c>
      <c r="BK55" s="37">
        <f>=IFERROR(BK135/BK129,0)</f>
        <v>0.04430379746835443</v>
      </c>
      <c r="BL55" s="37">
        <f>=IFERROR(BL135/BL129,0)</f>
        <v>0.028277634961439587</v>
      </c>
      <c r="BM55" s="37">
        <f>=IFERROR(BM135/BM129,0)</f>
        <v>0.028241335044929396</v>
      </c>
      <c r="BN55" s="37">
        <f>=IFERROR(BN135/BN129,0)</f>
        <v>0.024516129032258065</v>
      </c>
      <c r="BO55" s="37">
        <f>=IFERROR(BO135/BO129,0)</f>
        <v>0.02838709677419355</v>
      </c>
      <c r="BP55" s="37">
        <f>=IFERROR(BP135/BP129,0)</f>
        <v>0.06459948320413436</v>
      </c>
      <c r="BQ55" s="37">
        <f>=IFERROR(BQ135/BQ129,0)</f>
        <v>0.07793923381770146</v>
      </c>
      <c r="BR55" s="37">
        <f>=IFERROR(BR135/BR129,0)</f>
        <v>0.028493894165535955</v>
      </c>
      <c r="BS55" s="37">
        <f>=IFERROR(BS135/BS129,0)</f>
        <v>0.05737704918032787</v>
      </c>
      <c r="BT55" s="37">
        <f>=IFERROR(BT135/BT129,0)</f>
        <v>0.04495912806539509</v>
      </c>
      <c r="BU55" s="37">
        <f>=IFERROR(BU135/BU129,0)</f>
        <v>0.0625</v>
      </c>
      <c r="BV55" s="37">
        <f>=IFERROR(BV135/BV129,0)</f>
        <v>0.02165087956698241</v>
      </c>
      <c r="BW55" s="37">
        <f>=IFERROR(BW135/BW129,0)</f>
        <v>0.017595307917888565</v>
      </c>
      <c r="BX55" s="37">
        <f>=IFERROR(BX135/BX129,0)</f>
        <v>0</v>
      </c>
      <c r="BY55" s="37">
        <f>=IFERROR(BY135/BY129,0)</f>
        <v>0</v>
      </c>
      <c r="BZ55" s="37">
        <f>=IFERROR(BZ135/BZ129,0)</f>
        <v>0</v>
      </c>
      <c r="CA55" s="37">
        <f>=IFERROR(CA135/CA129,0)</f>
        <v>0</v>
      </c>
      <c r="CB55" s="37">
        <f>=IFERROR(CB135/CB129,0)</f>
        <v>0</v>
      </c>
      <c r="CC55" s="37">
        <f>=IFERROR(CC135/CC129,0)</f>
        <v>0</v>
      </c>
      <c r="CD55" s="37">
        <f>=IFERROR(CD135/CD129,0)</f>
        <v>0</v>
      </c>
      <c r="CE55" s="37">
        <f>=IFERROR(CE135/CE129,0)</f>
        <v>0</v>
      </c>
      <c r="CF55" s="37">
        <f>=IFERROR(CF135/CF129,0)</f>
        <v>0</v>
      </c>
      <c r="CG55" s="37">
        <f>=IFERROR(CG135/CG129,0)</f>
        <v>0</v>
      </c>
      <c r="CH55" s="37">
        <f>=IFERROR(CH135/CH129,0)</f>
        <v>0</v>
      </c>
      <c r="CI55" s="37">
        <f>=IFERROR(CI135/CI129,0)</f>
        <v>0</v>
      </c>
      <c r="CJ55" s="37">
        <f>=IFERROR(CJ135/CJ129,0)</f>
        <v>0</v>
      </c>
      <c r="CK55" s="37">
        <f>=IFERROR(CK135/CK129,0)</f>
        <v>0</v>
      </c>
      <c r="CL55" s="37">
        <f>=IFERROR(CL135/CL129,0)</f>
        <v>0</v>
      </c>
      <c r="CM55" s="37">
        <f>=IFERROR(CM135/CM129,0)</f>
        <v>0</v>
      </c>
      <c r="CN55" s="37">
        <f>=IFERROR(CN135/CN129,0)</f>
        <v>0</v>
      </c>
      <c r="CO55" s="37">
        <f>=IFERROR(CO135/CO129,0)</f>
        <v>0</v>
      </c>
      <c r="CP55" s="37">
        <f>=IFERROR(CP135/CP129,0)</f>
        <v>0</v>
      </c>
      <c r="CQ55" s="37">
        <f>=IFERROR(CQ135/CQ129,0)</f>
        <v>0</v>
      </c>
      <c r="CR55" s="37">
        <f>=IFERROR(CR135/CR129,0)</f>
        <v>0</v>
      </c>
      <c r="CS55" s="37">
        <f>=IFERROR(CS135/CS129,0)</f>
        <v>0</v>
      </c>
      <c r="CT55" s="37">
        <f>=IFERROR(CT135/CT129,0)</f>
        <v>0</v>
      </c>
      <c r="CU55" s="37">
        <f>=IFERROR(CU135/CU129,0)</f>
        <v>0</v>
      </c>
      <c r="CV55" s="37">
        <f>=IFERROR(CV135/CV129,0)</f>
        <v>0</v>
      </c>
      <c r="CW55" s="37">
        <f>=IFERROR(CW135/CW129,0)</f>
        <v>0</v>
      </c>
      <c r="CX55" s="37">
        <f>=IFERROR(CX135/CX129,0)</f>
        <v>0</v>
      </c>
      <c r="CY55" s="37">
        <f>=IFERROR(CY135/CY129,0)</f>
        <v>0</v>
      </c>
      <c r="CZ55" s="37">
        <f>=IFERROR(CZ135/CZ129,0)</f>
        <v>0</v>
      </c>
      <c r="DA55" s="37">
        <f>=IFERROR(DA135/DA129,0)</f>
        <v>0</v>
      </c>
      <c r="DB55" s="37">
        <f>=IFERROR(DB135/DB129,0)</f>
        <v>0</v>
      </c>
    </row>
    <row r="56" ht="15" customHeight="1" spans="1:106" x14ac:dyDescent="0.25">
      <c r="A56" s="36" t="s">
        <v>265</v>
      </c>
      <c r="B56" s="17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8"/>
      <c r="BG56" s="38"/>
      <c r="BH56" s="38"/>
      <c r="BI56" s="38"/>
      <c r="BJ56" s="38"/>
      <c r="BK56" s="38"/>
      <c r="BL56" s="38"/>
      <c r="BM56" s="38"/>
      <c r="BN56" s="38"/>
      <c r="BO56" s="38"/>
      <c r="BP56" s="38"/>
      <c r="BQ56" s="38"/>
      <c r="BR56" s="38"/>
      <c r="BS56" s="38"/>
      <c r="BT56" s="38"/>
      <c r="BU56" s="38"/>
      <c r="BV56" s="38"/>
      <c r="BW56" s="38"/>
      <c r="BX56" s="38"/>
      <c r="BY56" s="38"/>
      <c r="BZ56" s="38"/>
      <c r="CA56" s="38"/>
      <c r="CB56" s="38"/>
      <c r="CC56" s="38"/>
      <c r="CD56" s="38"/>
      <c r="CE56" s="38"/>
      <c r="CF56" s="38"/>
      <c r="CG56" s="38"/>
      <c r="CH56" s="38"/>
      <c r="CI56" s="38"/>
      <c r="CJ56" s="38"/>
      <c r="CK56" s="38"/>
      <c r="CL56" s="38"/>
      <c r="CM56" s="38"/>
      <c r="CN56" s="38"/>
      <c r="CO56" s="38"/>
      <c r="CP56" s="38"/>
      <c r="CQ56" s="38"/>
      <c r="CR56" s="38"/>
      <c r="CS56" s="38"/>
      <c r="CT56" s="38"/>
      <c r="CU56" s="38"/>
      <c r="CV56" s="38"/>
      <c r="CW56" s="38"/>
      <c r="CX56" s="38"/>
      <c r="CY56" s="38"/>
      <c r="CZ56" s="38"/>
      <c r="DA56" s="38"/>
      <c r="DB56" s="38"/>
    </row>
    <row r="57" ht="15" customHeight="1" spans="1:106" x14ac:dyDescent="0.25">
      <c r="A57" s="36" t="s">
        <v>286</v>
      </c>
      <c r="B57" s="17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  <c r="CG57" s="38"/>
      <c r="CH57" s="38"/>
      <c r="CI57" s="38"/>
      <c r="CJ57" s="38"/>
      <c r="CK57" s="38"/>
      <c r="CL57" s="38"/>
      <c r="CM57" s="38"/>
      <c r="CN57" s="38"/>
      <c r="CO57" s="38"/>
      <c r="CP57" s="38"/>
      <c r="CQ57" s="38"/>
      <c r="CR57" s="38"/>
      <c r="CS57" s="38"/>
      <c r="CT57" s="38"/>
      <c r="CU57" s="38"/>
      <c r="CV57" s="38"/>
      <c r="CW57" s="38"/>
      <c r="CX57" s="38"/>
      <c r="CY57" s="38"/>
      <c r="CZ57" s="38"/>
      <c r="DA57" s="38"/>
      <c r="DB57" s="38"/>
    </row>
    <row r="58" ht="15" customHeight="1" spans="1:106" x14ac:dyDescent="0.25">
      <c r="A58" s="16" t="s">
        <v>287</v>
      </c>
      <c r="B58" s="17"/>
      <c r="C58" s="35">
        <f>=SUM(C59:C64)</f>
        <v>0</v>
      </c>
      <c r="D58" s="35">
        <f>=SUM(D59:D61)</f>
        <v>0</v>
      </c>
      <c r="E58" s="35">
        <f>=SUM(E59:E61)</f>
        <v>0</v>
      </c>
      <c r="F58" s="35">
        <f>=SUM(F59:F61)</f>
        <v>0</v>
      </c>
      <c r="G58" s="35">
        <f>=SUM(G59:G61)</f>
        <v>0</v>
      </c>
      <c r="H58" s="35">
        <f>=SUM(H59:H61)</f>
        <v>0</v>
      </c>
      <c r="I58" s="35">
        <f>=SUM(I59:I61)</f>
        <v>0</v>
      </c>
      <c r="J58" s="35">
        <f>=SUM(J59:J61)</f>
        <v>0</v>
      </c>
      <c r="K58" s="35">
        <f>=SUM(K59:K61)</f>
        <v>0</v>
      </c>
      <c r="L58" s="35">
        <f>=SUM(L59:L61)</f>
        <v>0</v>
      </c>
      <c r="M58" s="35">
        <f>=SUM(M59:M61)</f>
        <v>0</v>
      </c>
      <c r="N58" s="35">
        <f>=SUM(N59:N61)</f>
        <v>0</v>
      </c>
      <c r="O58" s="35">
        <f>=SUM(O59:O61)</f>
        <v>0</v>
      </c>
      <c r="P58" s="35">
        <f>=SUM(P59:P61)</f>
        <v>0</v>
      </c>
      <c r="Q58" s="35">
        <f>=SUM(Q59:Q61)</f>
        <v>0</v>
      </c>
      <c r="R58" s="35">
        <f>=SUM(R59:R61)</f>
        <v>0</v>
      </c>
      <c r="S58" s="35">
        <f>=SUM(S59:S61)</f>
        <v>0</v>
      </c>
      <c r="T58" s="35">
        <f>=SUM(T59:T61)</f>
        <v>0</v>
      </c>
      <c r="U58" s="35">
        <f>=SUM(U59:U61)</f>
        <v>0</v>
      </c>
      <c r="V58" s="35">
        <f>=SUM(V59:V61)</f>
        <v>0</v>
      </c>
      <c r="W58" s="35">
        <f>=SUM(W59:W61)</f>
        <v>0</v>
      </c>
      <c r="X58" s="35">
        <f>=SUM(X59:X61)</f>
        <v>0</v>
      </c>
      <c r="Y58" s="35">
        <f>=SUM(Y59:Y61)</f>
        <v>0</v>
      </c>
      <c r="Z58" s="35">
        <f>=SUM(Z59:Z61)</f>
        <v>0</v>
      </c>
      <c r="AA58" s="35">
        <f>=SUM(AA59:AA61)</f>
        <v>0</v>
      </c>
      <c r="AB58" s="35">
        <f>=SUM(AB59:AB61)</f>
        <v>0</v>
      </c>
      <c r="AC58" s="35">
        <f>=SUM(AC59:AC61)</f>
        <v>0</v>
      </c>
      <c r="AD58" s="35">
        <f>=SUM(AD59:AD61)</f>
        <v>0</v>
      </c>
      <c r="AE58" s="35">
        <f>=SUM(AE59:AE61)</f>
        <v>0</v>
      </c>
      <c r="AF58" s="35">
        <f>=SUM(AF59:AF61)</f>
        <v>0</v>
      </c>
      <c r="AG58" s="35">
        <f>=SUM(AG59:AG61)</f>
        <v>0</v>
      </c>
      <c r="AH58" s="35">
        <f>=SUM(AH59:AH61)</f>
        <v>0</v>
      </c>
      <c r="AI58" s="35">
        <f>=SUM(AI59:AI61)</f>
        <v>0</v>
      </c>
      <c r="AJ58" s="35">
        <f>=SUM(AJ59:AJ61)</f>
        <v>0</v>
      </c>
      <c r="AK58" s="35">
        <f>=SUM(AK59:AK61)</f>
        <v>0</v>
      </c>
      <c r="AL58" s="35">
        <f>=SUM(AL59:AL61)</f>
        <v>0</v>
      </c>
      <c r="AM58" s="35">
        <f>=SUM(AM59:AM61)</f>
        <v>0</v>
      </c>
      <c r="AN58" s="35">
        <f>=SUM(AN59:AN61)</f>
        <v>0</v>
      </c>
      <c r="AO58" s="35">
        <f>=SUM(AO59:AO61)</f>
        <v>0</v>
      </c>
      <c r="AP58" s="35">
        <f>=SUM(AP59:AP61)</f>
        <v>0</v>
      </c>
      <c r="AQ58" s="35">
        <f>=SUM(AQ59:AQ61)</f>
        <v>0</v>
      </c>
      <c r="AR58" s="35">
        <f>=SUM(AR59:AR61)</f>
        <v>0</v>
      </c>
      <c r="AS58" s="35">
        <f>=SUM(AS59:AS61)</f>
        <v>0</v>
      </c>
      <c r="AT58" s="35">
        <f>=SUM(AT59:AT61)</f>
        <v>0</v>
      </c>
      <c r="AU58" s="35">
        <f>=SUM(AU59:AU61)</f>
        <v>0</v>
      </c>
      <c r="AV58" s="35">
        <f>=SUM(AV59:AV61)</f>
        <v>0</v>
      </c>
      <c r="AW58" s="35">
        <f>=SUM(AW59:AW61)</f>
        <v>0</v>
      </c>
      <c r="AX58" s="35">
        <f>=SUM(AX59:AX61)</f>
        <v>0</v>
      </c>
      <c r="AY58" s="35">
        <f>=SUM(AY59:AY61)</f>
        <v>0</v>
      </c>
      <c r="AZ58" s="35">
        <f>=SUM(AZ59:AZ61)</f>
        <v>0</v>
      </c>
      <c r="BA58" s="35">
        <f>=SUM(BA59:BA61)</f>
        <v>0</v>
      </c>
      <c r="BB58" s="35">
        <f>=SUM(BB59:BB61)</f>
        <v>0</v>
      </c>
      <c r="BC58" s="35">
        <f>=SUM(BC59:BC61)</f>
        <v>0</v>
      </c>
      <c r="BD58" s="35">
        <f>=SUM(BD59:BD61)</f>
        <v>0</v>
      </c>
      <c r="BE58" s="35">
        <f>=SUM(BE59:BE61)</f>
        <v>0</v>
      </c>
      <c r="BF58" s="35">
        <f>=SUM(BF59:BF61)</f>
        <v>0</v>
      </c>
      <c r="BG58" s="35">
        <f>=SUM(BG59:BG61)</f>
        <v>0</v>
      </c>
      <c r="BH58" s="35">
        <f>=SUM(BH59:BH61)</f>
        <v>0</v>
      </c>
      <c r="BI58" s="35">
        <f>=SUM(BI59:BI61)</f>
        <v>0</v>
      </c>
      <c r="BJ58" s="35">
        <f>=SUM(BJ59:BJ61)</f>
        <v>0</v>
      </c>
      <c r="BK58" s="35">
        <f>=SUM(BK59:BK61)</f>
        <v>0</v>
      </c>
      <c r="BL58" s="35">
        <f>=SUM(BL59:BL61)</f>
        <v>0</v>
      </c>
      <c r="BM58" s="35">
        <f>=SUM(BM59:BM61)</f>
        <v>0</v>
      </c>
      <c r="BN58" s="35">
        <f>=SUM(BN59:BN61)</f>
        <v>0</v>
      </c>
      <c r="BO58" s="35">
        <f>=SUM(BO59:BO61)</f>
        <v>0</v>
      </c>
      <c r="BP58" s="35">
        <f>=SUM(BP59:BP61)</f>
        <v>0</v>
      </c>
      <c r="BQ58" s="35">
        <f>=SUM(BQ59:BQ61)</f>
        <v>0</v>
      </c>
      <c r="BR58" s="35">
        <f>=SUM(BR59:BR61)</f>
        <v>0</v>
      </c>
      <c r="BS58" s="35">
        <f>=SUM(BS59:BS61)</f>
        <v>0</v>
      </c>
      <c r="BT58" s="35">
        <f>=SUM(BT59:BT61)</f>
        <v>0</v>
      </c>
      <c r="BU58" s="35">
        <f>=SUM(BU59:BU61)</f>
        <v>0</v>
      </c>
      <c r="BV58" s="35">
        <f>=SUM(BV59:BV61)</f>
        <v>0</v>
      </c>
      <c r="BW58" s="35">
        <f>=SUM(BW59:BW61)</f>
        <v>0</v>
      </c>
      <c r="BX58" s="35">
        <f>=SUM(BX59:BX61)</f>
        <v>0</v>
      </c>
      <c r="BY58" s="35">
        <f>=SUM(BY59:BY61)</f>
        <v>0</v>
      </c>
      <c r="BZ58" s="35">
        <f>=SUM(BZ59:BZ61)</f>
        <v>0</v>
      </c>
      <c r="CA58" s="35">
        <f>=SUM(CA59:CA61)</f>
        <v>0</v>
      </c>
      <c r="CB58" s="35">
        <f>=SUM(CB59:CB61)</f>
        <v>0</v>
      </c>
      <c r="CC58" s="35">
        <f>=SUM(CC59:CC61)</f>
        <v>0</v>
      </c>
      <c r="CD58" s="35">
        <f>=SUM(CD59:CD61)</f>
        <v>0</v>
      </c>
      <c r="CE58" s="35">
        <f>=SUM(CE59:CE61)</f>
        <v>0</v>
      </c>
      <c r="CF58" s="35">
        <f>=SUM(CF59:CF61)</f>
        <v>0</v>
      </c>
      <c r="CG58" s="35">
        <f>=SUM(CG59:CG61)</f>
        <v>0</v>
      </c>
      <c r="CH58" s="35">
        <f>=SUM(CH59:CH61)</f>
        <v>0</v>
      </c>
      <c r="CI58" s="35">
        <f>=SUM(CI59:CI61)</f>
        <v>0</v>
      </c>
      <c r="CJ58" s="35">
        <f>=SUM(CJ59:CJ61)</f>
        <v>0</v>
      </c>
      <c r="CK58" s="35">
        <f>=SUM(CK59:CK61)</f>
        <v>0</v>
      </c>
      <c r="CL58" s="35">
        <f>=SUM(CL59:CL61)</f>
        <v>0</v>
      </c>
      <c r="CM58" s="35">
        <f>=SUM(CM59:CM61)</f>
        <v>0</v>
      </c>
      <c r="CN58" s="35">
        <f>=SUM(CN59:CN61)</f>
        <v>0</v>
      </c>
      <c r="CO58" s="35">
        <f>=SUM(CO59:CO61)</f>
        <v>0</v>
      </c>
      <c r="CP58" s="35">
        <f>=SUM(CP59:CP61)</f>
        <v>0</v>
      </c>
      <c r="CQ58" s="35">
        <f>=SUM(CQ59:CQ61)</f>
        <v>0</v>
      </c>
      <c r="CR58" s="35">
        <f>=SUM(CR59:CR61)</f>
        <v>0</v>
      </c>
      <c r="CS58" s="35">
        <f>=SUM(CS59:CS61)</f>
        <v>0</v>
      </c>
      <c r="CT58" s="35">
        <f>=SUM(CT59:CT61)</f>
        <v>0</v>
      </c>
      <c r="CU58" s="35">
        <f>=SUM(CU59:CU61)</f>
        <v>0</v>
      </c>
      <c r="CV58" s="35">
        <f>=SUM(CV59:CV61)</f>
        <v>0</v>
      </c>
      <c r="CW58" s="35">
        <f>=SUM(CW59:CW61)</f>
        <v>0</v>
      </c>
      <c r="CX58" s="35">
        <f>=SUM(CX59:CX61)</f>
        <v>0</v>
      </c>
      <c r="CY58" s="35">
        <f>=SUM(CY59:CY61)</f>
        <v>0</v>
      </c>
      <c r="CZ58" s="35">
        <f>=SUM(CZ59:CZ61)</f>
        <v>0</v>
      </c>
      <c r="DA58" s="35">
        <f>=SUM(DA59:DA61)</f>
        <v>0</v>
      </c>
      <c r="DB58" s="35">
        <f>=SUM(DB59:DB61)</f>
        <v>0</v>
      </c>
    </row>
    <row r="59" ht="18" customHeight="1" spans="1:111" x14ac:dyDescent="0.25">
      <c r="A59" s="36" t="s">
        <v>268</v>
      </c>
      <c r="B59" s="17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  <c r="BO59" s="46"/>
      <c r="BP59" s="46"/>
      <c r="BQ59" s="46"/>
      <c r="BR59" s="46"/>
      <c r="BS59" s="46"/>
      <c r="BT59" s="46"/>
      <c r="BU59" s="46"/>
      <c r="BV59" s="46"/>
      <c r="BW59" s="46"/>
      <c r="BX59" s="46"/>
      <c r="BY59" s="46"/>
      <c r="BZ59" s="46"/>
      <c r="CA59" s="46"/>
      <c r="CB59" s="46"/>
      <c r="CC59" s="46"/>
      <c r="CD59" s="46"/>
      <c r="CE59" s="46"/>
      <c r="CF59" s="46"/>
      <c r="CG59" s="46"/>
      <c r="CH59" s="46"/>
      <c r="CI59" s="46"/>
      <c r="CJ59" s="46"/>
      <c r="CK59" s="46"/>
      <c r="CL59" s="46"/>
      <c r="CM59" s="46"/>
      <c r="CN59" s="46"/>
      <c r="CO59" s="46"/>
      <c r="CP59" s="46"/>
      <c r="CQ59" s="46"/>
      <c r="CR59" s="46"/>
      <c r="CS59" s="46"/>
      <c r="CT59" s="46"/>
      <c r="CU59" s="46"/>
      <c r="CV59" s="46"/>
      <c r="CW59" s="46"/>
      <c r="CX59" s="46"/>
      <c r="CY59" s="46"/>
      <c r="CZ59" s="46"/>
      <c r="DA59" s="46"/>
      <c r="DB59" s="46"/>
      <c r="DC59" s="78"/>
      <c r="DD59" s="78"/>
      <c r="DE59" s="78"/>
      <c r="DF59" s="78"/>
      <c r="DG59" s="78"/>
    </row>
    <row r="60" ht="18" customHeight="1" spans="1:111" x14ac:dyDescent="0.25">
      <c r="A60" s="36" t="s">
        <v>269</v>
      </c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  <c r="BM60" s="46"/>
      <c r="BN60" s="46"/>
      <c r="BO60" s="46"/>
      <c r="BP60" s="46"/>
      <c r="BQ60" s="46"/>
      <c r="BR60" s="46"/>
      <c r="BS60" s="46"/>
      <c r="BT60" s="46"/>
      <c r="BU60" s="46"/>
      <c r="BV60" s="46"/>
      <c r="BW60" s="46"/>
      <c r="BX60" s="46"/>
      <c r="BY60" s="46"/>
      <c r="BZ60" s="46"/>
      <c r="CA60" s="46"/>
      <c r="CB60" s="46"/>
      <c r="CC60" s="46"/>
      <c r="CD60" s="46"/>
      <c r="CE60" s="46"/>
      <c r="CF60" s="46"/>
      <c r="CG60" s="46"/>
      <c r="CH60" s="46"/>
      <c r="CI60" s="46"/>
      <c r="CJ60" s="46"/>
      <c r="CK60" s="46"/>
      <c r="CL60" s="46"/>
      <c r="CM60" s="46"/>
      <c r="CN60" s="46"/>
      <c r="CO60" s="46"/>
      <c r="CP60" s="46"/>
      <c r="CQ60" s="46"/>
      <c r="CR60" s="46"/>
      <c r="CS60" s="46"/>
      <c r="CT60" s="46"/>
      <c r="CU60" s="46"/>
      <c r="CV60" s="46"/>
      <c r="CW60" s="46"/>
      <c r="CX60" s="46"/>
      <c r="CY60" s="46"/>
      <c r="CZ60" s="46"/>
      <c r="DA60" s="46"/>
      <c r="DB60" s="46"/>
      <c r="DC60" s="78"/>
      <c r="DD60" s="78"/>
      <c r="DE60" s="78"/>
      <c r="DF60" s="78"/>
      <c r="DG60" s="78"/>
    </row>
    <row r="61" ht="18" customHeight="1" spans="1:111" x14ac:dyDescent="0.25">
      <c r="A61" s="36" t="s">
        <v>288</v>
      </c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46"/>
      <c r="AS61" s="46"/>
      <c r="AT61" s="46"/>
      <c r="AU61" s="46"/>
      <c r="AV61" s="46"/>
      <c r="AW61" s="46"/>
      <c r="AX61" s="46"/>
      <c r="AY61" s="46"/>
      <c r="AZ61" s="46"/>
      <c r="BA61" s="46"/>
      <c r="BB61" s="46"/>
      <c r="BC61" s="46"/>
      <c r="BD61" s="46"/>
      <c r="BE61" s="46"/>
      <c r="BF61" s="46"/>
      <c r="BG61" s="46"/>
      <c r="BH61" s="46"/>
      <c r="BI61" s="46"/>
      <c r="BJ61" s="46"/>
      <c r="BK61" s="46"/>
      <c r="BL61" s="46"/>
      <c r="BM61" s="46"/>
      <c r="BN61" s="46"/>
      <c r="BO61" s="46"/>
      <c r="BP61" s="46"/>
      <c r="BQ61" s="46"/>
      <c r="BR61" s="46"/>
      <c r="BS61" s="46"/>
      <c r="BT61" s="46"/>
      <c r="BU61" s="46"/>
      <c r="BV61" s="46"/>
      <c r="BW61" s="46"/>
      <c r="BX61" s="46"/>
      <c r="BY61" s="46"/>
      <c r="BZ61" s="46"/>
      <c r="CA61" s="46"/>
      <c r="CB61" s="46"/>
      <c r="CC61" s="46"/>
      <c r="CD61" s="46"/>
      <c r="CE61" s="46"/>
      <c r="CF61" s="46"/>
      <c r="CG61" s="46"/>
      <c r="CH61" s="46"/>
      <c r="CI61" s="46"/>
      <c r="CJ61" s="46"/>
      <c r="CK61" s="46"/>
      <c r="CL61" s="46"/>
      <c r="CM61" s="46"/>
      <c r="CN61" s="46"/>
      <c r="CO61" s="46"/>
      <c r="CP61" s="46"/>
      <c r="CQ61" s="46"/>
      <c r="CR61" s="46"/>
      <c r="CS61" s="46"/>
      <c r="CT61" s="46"/>
      <c r="CU61" s="46"/>
      <c r="CV61" s="46"/>
      <c r="CW61" s="46"/>
      <c r="CX61" s="46"/>
      <c r="CY61" s="46"/>
      <c r="CZ61" s="46"/>
      <c r="DA61" s="46"/>
      <c r="DB61" s="46"/>
      <c r="DC61" s="78"/>
      <c r="DD61" s="78"/>
      <c r="DE61" s="78"/>
      <c r="DF61" s="78"/>
      <c r="DG61" s="78"/>
    </row>
    <row r="62" spans="1:1" x14ac:dyDescent="0.25">
      <c r="A62" s="36" t="s">
        <v>272</v>
      </c>
    </row>
    <row r="63" ht="18" customHeight="1" spans="1:1" x14ac:dyDescent="0.25">
      <c r="A63" s="36" t="s">
        <v>289</v>
      </c>
    </row>
    <row r="64" ht="18" customHeight="1" spans="1:111" x14ac:dyDescent="0.25">
      <c r="A64" s="36" t="s">
        <v>271</v>
      </c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/>
      <c r="AR64" s="46"/>
      <c r="AS64" s="46"/>
      <c r="AT64" s="46"/>
      <c r="AU64" s="46"/>
      <c r="AV64" s="46"/>
      <c r="AW64" s="46"/>
      <c r="AX64" s="46"/>
      <c r="AY64" s="46"/>
      <c r="AZ64" s="46"/>
      <c r="BA64" s="46"/>
      <c r="BB64" s="46"/>
      <c r="BC64" s="46"/>
      <c r="BD64" s="46"/>
      <c r="BE64" s="46"/>
      <c r="BF64" s="46"/>
      <c r="BG64" s="46"/>
      <c r="BH64" s="46"/>
      <c r="BI64" s="46"/>
      <c r="BJ64" s="46"/>
      <c r="BK64" s="46"/>
      <c r="BL64" s="46"/>
      <c r="BM64" s="46"/>
      <c r="BN64" s="46"/>
      <c r="BO64" s="46"/>
      <c r="BP64" s="46"/>
      <c r="BQ64" s="46"/>
      <c r="BR64" s="46"/>
      <c r="BS64" s="46"/>
      <c r="BT64" s="46"/>
      <c r="BU64" s="46"/>
      <c r="BV64" s="46"/>
      <c r="BW64" s="46"/>
      <c r="BX64" s="46"/>
      <c r="BY64" s="46"/>
      <c r="BZ64" s="46"/>
      <c r="CA64" s="46"/>
      <c r="CB64" s="46"/>
      <c r="CC64" s="46"/>
      <c r="CD64" s="46"/>
      <c r="CE64" s="46"/>
      <c r="CF64" s="46"/>
      <c r="CG64" s="46"/>
      <c r="CH64" s="46"/>
      <c r="CI64" s="46"/>
      <c r="CJ64" s="46"/>
      <c r="CK64" s="46"/>
      <c r="CL64" s="46"/>
      <c r="CM64" s="46"/>
      <c r="CN64" s="46"/>
      <c r="CO64" s="46"/>
      <c r="CP64" s="46"/>
      <c r="CQ64" s="46"/>
      <c r="CR64" s="46"/>
      <c r="CS64" s="46"/>
      <c r="CT64" s="46"/>
      <c r="CU64" s="46"/>
      <c r="CV64" s="46"/>
      <c r="CW64" s="46"/>
      <c r="CX64" s="46"/>
      <c r="CY64" s="46"/>
      <c r="CZ64" s="46"/>
      <c r="DA64" s="46"/>
      <c r="DB64" s="46"/>
      <c r="DC64" s="78"/>
      <c r="DD64" s="78"/>
      <c r="DE64" s="78"/>
      <c r="DF64" s="78"/>
      <c r="DG64" s="78"/>
    </row>
    <row r="65" spans="1:106" x14ac:dyDescent="0.25">
      <c r="A65" s="20" t="s">
        <v>290</v>
      </c>
      <c r="C65" s="31">
        <f>=IF(LEN(C66)&gt;0,C66/C19,"")</f>
        <v>0</v>
      </c>
      <c r="D65" s="31">
        <f>=IF(LEN(D66)&gt;0,D66/D19,"")</f>
        <v>0</v>
      </c>
      <c r="E65" s="31">
        <f>=IF(LEN(E66)&gt;0,E66/E19,"")</f>
        <v>0</v>
      </c>
      <c r="F65" s="31">
        <f>=IF(LEN(F66)&gt;0,F66/F19,"")</f>
        <v>0</v>
      </c>
      <c r="G65" s="31">
        <f>=IF(LEN(G66)&gt;0,G66/G19,"")</f>
        <v>0</v>
      </c>
      <c r="H65" s="31">
        <f>=IF(LEN(H66)&gt;0,H66/H19,"")</f>
        <v>0</v>
      </c>
      <c r="I65" s="31">
        <f>=IF(LEN(I66)&gt;0,I66/I19,"")</f>
        <v>0</v>
      </c>
      <c r="J65" s="31">
        <f>=IF(LEN(J66)&gt;0,J66/J19,"")</f>
        <v>0</v>
      </c>
      <c r="K65" s="31">
        <f>=IF(LEN(K66)&gt;0,K66/K19,"")</f>
        <v>0</v>
      </c>
      <c r="L65" s="31">
        <f>=IF(LEN(L66)&gt;0,L66/L19,"")</f>
        <v>0</v>
      </c>
      <c r="M65" s="31">
        <f>=IF(LEN(M66)&gt;0,M66/M19,"")</f>
        <v>0</v>
      </c>
      <c r="N65" s="31">
        <f>=IF(LEN(N66)&gt;0,N66/N19,"")</f>
        <v>0</v>
      </c>
      <c r="O65" s="31">
        <f>=IF(LEN(O66)&gt;0,O66/O19,"")</f>
        <v>0</v>
      </c>
      <c r="P65" s="31">
        <f>=IF(LEN(P66)&gt;0,P66/P19,"")</f>
        <v>0</v>
      </c>
      <c r="Q65" s="31">
        <f>=IF(LEN(Q66)&gt;0,Q66/Q19,"")</f>
        <v>0.2857142857142857</v>
      </c>
      <c r="R65" s="31">
        <f>=IF(LEN(R66)&gt;0,R66/R19,"")</f>
        <v>0.05263157894736842</v>
      </c>
      <c r="S65" s="31">
        <f>=IF(LEN(S66)&gt;0,S66/S19,"")</f>
        <v>0</v>
      </c>
      <c r="T65" s="31">
        <f>=IF(LEN(T66)&gt;0,T66/T19,"")</f>
        <v>0</v>
      </c>
      <c r="U65" s="31">
        <f>=IF(LEN(U66)&gt;0,U66/U19,"")</f>
        <v>0</v>
      </c>
      <c r="V65" s="31">
        <f>=IF(LEN(V66)&gt;0,V66/V19,"")</f>
        <v>0</v>
      </c>
      <c r="W65" s="31">
        <f>=IF(LEN(W66)&gt;0,W66/W19,"")</f>
        <v>0</v>
      </c>
      <c r="X65" s="31">
        <f>=IF(LEN(X66)&gt;0,X66/X19,"")</f>
        <v>0</v>
      </c>
      <c r="Y65" s="31">
        <f>=IF(LEN(Y66)&gt;0,Y66/Y19,"")</f>
        <v>0</v>
      </c>
      <c r="Z65" s="31">
        <f>=IF(LEN(Z66)&gt;0,Z66/Z19,"")</f>
        <v>0</v>
      </c>
      <c r="AA65" s="31">
        <f>=IF(LEN(AA66)&gt;0,AA66/AA19,"")</f>
        <v>0</v>
      </c>
      <c r="AB65" s="31">
        <f>=IF(LEN(AB66)&gt;0,AB66/AB19,"")</f>
        <v>0</v>
      </c>
      <c r="AC65" s="31">
        <f>=IF(LEN(AC66)&gt;0,AC66/AC19,"")</f>
        <v>0</v>
      </c>
      <c r="AD65" s="31">
        <f>=IF(LEN(AD66)&gt;0,AD66/AD19,"")</f>
        <v>0</v>
      </c>
      <c r="AE65" s="31">
        <f>=IF(LEN(AE66)&gt;0,AE66/AE19,"")</f>
        <v>0</v>
      </c>
      <c r="AF65" s="31">
        <f>=IF(LEN(AF66)&gt;0,AF66/AF19,"")</f>
        <v>0</v>
      </c>
      <c r="AG65" s="31">
        <f>=IF(LEN(AG66)&gt;0,AG66/AG19,"")</f>
        <v>0</v>
      </c>
      <c r="AH65" s="31">
        <f>=IF(LEN(AH66)&gt;0,AH66/AH19,"")</f>
        <v>0</v>
      </c>
      <c r="AI65" s="31">
        <f>=IF(LEN(AI66)&gt;0,AI66/AI19,"")</f>
        <v>0</v>
      </c>
      <c r="AJ65" s="31">
        <f>=IF(LEN(AJ66)&gt;0,AJ66/AJ19,"")</f>
        <v>0</v>
      </c>
      <c r="AK65" s="31">
        <f>=IF(LEN(AK66)&gt;0,AK66/AK19,"")</f>
        <v>0</v>
      </c>
      <c r="AL65" s="31">
        <f>=IF(LEN(AL66)&gt;0,AL66/AL19,"")</f>
        <v>0</v>
      </c>
      <c r="AM65" s="31">
        <f>=IF(LEN(AM66)&gt;0,AM66/AM19,"")</f>
        <v>0</v>
      </c>
      <c r="AN65" s="31">
        <f>=IF(LEN(AN66)&gt;0,AN66/AN19,"")</f>
        <v>0</v>
      </c>
      <c r="AO65" s="31">
        <f>=IF(LEN(AO66)&gt;0,AO66/AO19,"")</f>
        <v>0</v>
      </c>
      <c r="AP65" s="31">
        <f>=IF(LEN(AP66)&gt;0,AP66/AP19,"")</f>
        <v>0</v>
      </c>
      <c r="AQ65" s="31">
        <f>=IF(LEN(AQ66)&gt;0,AQ66/AQ19,"")</f>
        <v>0</v>
      </c>
      <c r="AR65" s="31">
        <f>=IF(LEN(AR66)&gt;0,AR66/AR19,"")</f>
        <v>0</v>
      </c>
      <c r="AS65" s="31">
        <f>=IF(LEN(AS66)&gt;0,AS66/AS19,"")</f>
        <v>0</v>
      </c>
      <c r="AT65" s="31">
        <f>=IF(LEN(AT66)&gt;0,AT66/AT19,"")</f>
        <v>0</v>
      </c>
      <c r="AU65" s="31">
        <f>=IF(LEN(AU66)&gt;0,AU66/AU19,"")</f>
        <v>0</v>
      </c>
      <c r="AV65" s="31">
        <f>=IF(LEN(AV66)&gt;0,AV66/AV19,"")</f>
        <v>0</v>
      </c>
      <c r="AW65" s="31">
        <f>=IF(LEN(AW66)&gt;0,AW66/AW19,"")</f>
        <v>0</v>
      </c>
      <c r="AX65" s="31">
        <f>=IF(LEN(AX66)&gt;0,AX66/AX19,"")</f>
        <v>0</v>
      </c>
      <c r="AY65" s="31">
        <f>=IF(LEN(AY66)&gt;0,AY66/AY19,"")</f>
        <v>0</v>
      </c>
      <c r="AZ65" s="31">
        <f>=IF(LEN(AZ66)&gt;0,AZ66/AZ19,"")</f>
        <v>0</v>
      </c>
      <c r="BA65" s="31">
        <f>=IF(LEN(BA66)&gt;0,BA66/BA19,"")</f>
        <v>0</v>
      </c>
      <c r="BB65" s="31">
        <f>=IF(LEN(BB66)&gt;0,BB66/BB19,"")</f>
        <v>0</v>
      </c>
      <c r="BC65" s="31">
        <f>=IF(LEN(BC66)&gt;0,BC66/BC19,"")</f>
        <v>0</v>
      </c>
      <c r="BD65" s="31">
        <f>=IF(LEN(BD66)&gt;0,BD66/BD19,"")</f>
        <v>0</v>
      </c>
      <c r="BE65" s="31">
        <f>=IF(LEN(BE66)&gt;0,BE66/BE19,"")</f>
        <v>0</v>
      </c>
      <c r="BF65" s="31">
        <f>=IF(LEN(BF66)&gt;0,BF66/BF19,"")</f>
        <v>0</v>
      </c>
      <c r="BG65" s="31">
        <f>=IF(LEN(BG66)&gt;0,BG66/BG19,"")</f>
        <v>0</v>
      </c>
      <c r="BH65" s="31">
        <f>=IF(LEN(BH66)&gt;0,BH66/BH19,"")</f>
        <v>0</v>
      </c>
      <c r="BI65" s="31">
        <f>=IF(LEN(BI66)&gt;0,BI66/BI19,"")</f>
        <v>0</v>
      </c>
      <c r="BJ65" s="31">
        <f>=IF(LEN(BJ66)&gt;0,BJ66/BJ19,"")</f>
        <v>0</v>
      </c>
      <c r="BK65" s="31">
        <f>=IF(LEN(BK66)&gt;0,BK66/BK19,"")</f>
        <v>0</v>
      </c>
      <c r="BL65" s="31">
        <f>=IF(LEN(BL66)&gt;0,BL66/BL19,"")</f>
        <v>0</v>
      </c>
      <c r="BM65" s="31">
        <f>=IF(LEN(BM66)&gt;0,BM66/BM19,"")</f>
        <v>0</v>
      </c>
      <c r="BN65" s="31">
        <f>=IF(LEN(BN66)&gt;0,BN66/BN19,"")</f>
        <v>0</v>
      </c>
      <c r="BO65" s="30" t="str">
        <f>=IF(LEN(BO66)&gt;0,BO66/BO19,"")</f>
        <v/>
      </c>
      <c r="BP65" s="30" t="str">
        <f>=IF(LEN(BP66)&gt;0,BP66/BP19,"")</f>
        <v/>
      </c>
      <c r="BQ65" s="30" t="str">
        <f>=IF(LEN(BQ66)&gt;0,BQ66/BQ19,"")</f>
        <v/>
      </c>
      <c r="BR65" s="30" t="str">
        <f>=IF(LEN(BR66)&gt;0,BR66/BR19,"")</f>
        <v/>
      </c>
      <c r="BS65" s="30" t="str">
        <f>=IF(LEN(BS66)&gt;0,BS66/BS19,"")</f>
        <v/>
      </c>
      <c r="BT65" s="30" t="str">
        <f>=IF(LEN(BT66)&gt;0,BT66/BT19,"")</f>
        <v/>
      </c>
      <c r="BU65" s="30" t="str">
        <f>=IF(LEN(BU66)&gt;0,BU66/BU19,"")</f>
        <v/>
      </c>
      <c r="BV65" s="30" t="str">
        <f>=IF(LEN(BV66)&gt;0,BV66/BV19,"")</f>
        <v/>
      </c>
      <c r="BW65" s="30" t="str">
        <f>=IF(LEN(BW66)&gt;0,BW66/BW19,"")</f>
        <v/>
      </c>
      <c r="BX65" s="30" t="str">
        <f>=IF(LEN(BX66)&gt;0,BX66/BX19,"")</f>
        <v/>
      </c>
      <c r="BY65" s="30" t="str">
        <f>=IF(LEN(BY66)&gt;0,BY66/BY19,"")</f>
        <v/>
      </c>
      <c r="BZ65" s="30" t="str">
        <f>=IF(LEN(BZ66)&gt;0,BZ66/BZ19,"")</f>
        <v/>
      </c>
      <c r="CA65" s="30" t="str">
        <f>=IF(LEN(CA66)&gt;0,CA66/CA19,"")</f>
        <v/>
      </c>
      <c r="CB65" s="30" t="str">
        <f>=IF(LEN(CB66)&gt;0,CB66/CB19,"")</f>
        <v/>
      </c>
      <c r="CC65" s="30" t="str">
        <f>=IF(LEN(CC66)&gt;0,CC66/CC19,"")</f>
        <v/>
      </c>
      <c r="CD65" s="30" t="str">
        <f>=IF(LEN(CD66)&gt;0,CD66/CD19,"")</f>
        <v/>
      </c>
      <c r="CE65" s="30" t="str">
        <f>=IF(LEN(CE66)&gt;0,CE66/CE19,"")</f>
        <v/>
      </c>
      <c r="CF65" s="30" t="str">
        <f>=IF(LEN(CF66)&gt;0,CF66/CF19,"")</f>
        <v/>
      </c>
      <c r="CG65" s="30" t="str">
        <f>=IF(LEN(CG66)&gt;0,CG66/CG19,"")</f>
        <v/>
      </c>
      <c r="CH65" s="30" t="str">
        <f>=IF(LEN(CH66)&gt;0,CH66/CH19,"")</f>
        <v/>
      </c>
      <c r="CI65" s="30" t="str">
        <f>=IF(LEN(CI66)&gt;0,CI66/CI19,"")</f>
        <v/>
      </c>
      <c r="CJ65" s="30" t="str">
        <f>=IF(LEN(CJ66)&gt;0,CJ66/CJ19,"")</f>
        <v/>
      </c>
      <c r="CK65" s="30" t="str">
        <f>=IF(LEN(CK66)&gt;0,CK66/CK19,"")</f>
        <v/>
      </c>
      <c r="CL65" s="30" t="str">
        <f>=IF(LEN(CL66)&gt;0,CL66/CL19,"")</f>
        <v/>
      </c>
      <c r="CM65" s="30" t="str">
        <f>=IF(LEN(CM66)&gt;0,CM66/CM19,"")</f>
        <v/>
      </c>
      <c r="CN65" s="30" t="str">
        <f>=IF(LEN(CN66)&gt;0,CN66/CN19,"")</f>
        <v/>
      </c>
      <c r="CO65" s="30" t="str">
        <f>=IF(LEN(CO66)&gt;0,CO66/CO19,"")</f>
        <v/>
      </c>
      <c r="CP65" s="30" t="str">
        <f>=IF(LEN(CP66)&gt;0,CP66/CP19,"")</f>
        <v/>
      </c>
      <c r="CQ65" s="30" t="str">
        <f>=IF(LEN(CQ66)&gt;0,CQ66/CQ19,"")</f>
        <v/>
      </c>
      <c r="CR65" s="30" t="str">
        <f>=IF(LEN(CR66)&gt;0,CR66/CR19,"")</f>
        <v/>
      </c>
      <c r="CS65" s="30" t="str">
        <f>=IF(LEN(CS66)&gt;0,CS66/CS19,"")</f>
        <v/>
      </c>
      <c r="CT65" s="30" t="str">
        <f>=IF(LEN(CT66)&gt;0,CT66/CT19,"")</f>
        <v/>
      </c>
      <c r="CU65" s="30" t="str">
        <f>=IF(LEN(CU66)&gt;0,CU66/CU19,"")</f>
        <v/>
      </c>
      <c r="CV65" s="30" t="str">
        <f>=IF(LEN(CV66)&gt;0,CV66/CV19,"")</f>
        <v/>
      </c>
      <c r="CW65" s="30" t="str">
        <f>=IF(LEN(CW66)&gt;0,CW66/CW19,"")</f>
        <v/>
      </c>
      <c r="CX65" s="30" t="str">
        <f>=IF(LEN(CX66)&gt;0,CX66/CX19,"")</f>
        <v/>
      </c>
      <c r="CY65" s="30" t="str">
        <f>=IF(LEN(CY66)&gt;0,CY66/CY19,"")</f>
        <v/>
      </c>
      <c r="CZ65" s="30" t="str">
        <f>=IF(LEN(CZ66)&gt;0,CZ66/CZ19,"")</f>
        <v/>
      </c>
      <c r="DA65" s="30" t="str">
        <f>=IF(LEN(DA66)&gt;0,DA66/DA19,"")</f>
        <v/>
      </c>
      <c r="DB65" s="30" t="str">
        <f>=IF(LEN(DB66)&gt;0,DB66/DB19,"")</f>
        <v/>
      </c>
    </row>
    <row r="66" spans="1:106" x14ac:dyDescent="0.25">
      <c r="A66" s="36" t="s">
        <v>291</v>
      </c>
      <c r="C66" s="30">
        <f>=IF(Len(C82)&gt;0,C82,"")</f>
        <v>0</v>
      </c>
      <c r="D66" s="30">
        <f>=IF(Len(D82)&gt;0,D82,"")</f>
        <v>0</v>
      </c>
      <c r="E66" s="30">
        <f>=IF(Len(E82)&gt;0,E82,"")</f>
        <v>0</v>
      </c>
      <c r="F66" s="30">
        <f>=IF(Len(F82)&gt;0,F82,"")</f>
        <v>0</v>
      </c>
      <c r="G66" s="30">
        <f>=IF(Len(G82)&gt;0,G82,"")</f>
        <v>0</v>
      </c>
      <c r="H66" s="30">
        <f>=IF(Len(H82)&gt;0,H82,"")</f>
        <v>0</v>
      </c>
      <c r="I66" s="30">
        <f>=IF(Len(I82)&gt;0,I82,"")</f>
        <v>0</v>
      </c>
      <c r="J66" s="30">
        <f>=IF(Len(J82)&gt;0,J82,"")</f>
        <v>0</v>
      </c>
      <c r="K66" s="30">
        <f>=IF(Len(K82)&gt;0,K82,"")</f>
        <v>0</v>
      </c>
      <c r="L66" s="30">
        <f>=IF(Len(L82)&gt;0,L82,"")</f>
        <v>0</v>
      </c>
      <c r="M66" s="30">
        <f>=IF(Len(M82)&gt;0,M82,"")</f>
        <v>0</v>
      </c>
      <c r="N66" s="30">
        <f>=IF(Len(N82)&gt;0,N82,"")</f>
        <v>0</v>
      </c>
      <c r="O66" s="30">
        <f>=IF(Len(O82)&gt;0,O82,"")</f>
        <v>0</v>
      </c>
      <c r="P66" s="30">
        <f>=IF(Len(P82)&gt;0,P82,"")</f>
        <v>0</v>
      </c>
      <c r="Q66" s="30">
        <f>=IF(Len(Q82)&gt;0,Q82,"")</f>
        <v>6</v>
      </c>
      <c r="R66" s="30">
        <f>=IF(Len(R82)&gt;0,R82,"")</f>
        <v>1</v>
      </c>
      <c r="S66" s="30">
        <f>=IF(Len(S82)&gt;0,S82,"")</f>
        <v>0</v>
      </c>
      <c r="T66" s="30">
        <f>=IF(Len(T82)&gt;0,T82,"")</f>
        <v>0</v>
      </c>
      <c r="U66" s="30">
        <f>=IF(Len(U82)&gt;0,U82,"")</f>
        <v>0</v>
      </c>
      <c r="V66" s="30">
        <f>=IF(Len(V82)&gt;0,V82,"")</f>
        <v>0</v>
      </c>
      <c r="W66" s="30">
        <f>=IF(Len(W82)&gt;0,W82,"")</f>
        <v>0</v>
      </c>
      <c r="X66" s="30">
        <f>=IF(Len(X82)&gt;0,X82,"")</f>
        <v>0</v>
      </c>
      <c r="Y66" s="30">
        <f>=IF(Len(Y82)&gt;0,Y82,"")</f>
        <v>0</v>
      </c>
      <c r="Z66" s="30">
        <f>=IF(Len(Z82)&gt;0,Z82,"")</f>
        <v>0</v>
      </c>
      <c r="AA66" s="30">
        <f>=IF(Len(AA82)&gt;0,AA82,"")</f>
        <v>0</v>
      </c>
      <c r="AB66" s="30">
        <f>=IF(Len(AB82)&gt;0,AB82,"")</f>
        <v>0</v>
      </c>
      <c r="AC66" s="30">
        <f>=IF(Len(AC82)&gt;0,AC82,"")</f>
        <v>0</v>
      </c>
      <c r="AD66" s="30">
        <f>=IF(Len(AD82)&gt;0,AD82,"")</f>
        <v>0</v>
      </c>
      <c r="AE66" s="30">
        <f>=IF(Len(AE82)&gt;0,AE82,"")</f>
        <v>0</v>
      </c>
      <c r="AF66" s="30">
        <f>=IF(Len(AF82)&gt;0,AF82,"")</f>
        <v>0</v>
      </c>
      <c r="AG66" s="30">
        <f>=IF(Len(AG82)&gt;0,AG82,"")</f>
        <v>0</v>
      </c>
      <c r="AH66" s="30">
        <f>=IF(Len(AH82)&gt;0,AH82,"")</f>
        <v>0</v>
      </c>
      <c r="AI66" s="30">
        <f>=IF(Len(AI82)&gt;0,AI82,"")</f>
        <v>0</v>
      </c>
      <c r="AJ66" s="30">
        <f>=IF(Len(AJ82)&gt;0,AJ82,"")</f>
        <v>0</v>
      </c>
      <c r="AK66" s="30">
        <f>=IF(Len(AK82)&gt;0,AK82,"")</f>
        <v>0</v>
      </c>
      <c r="AL66" s="30">
        <f>=IF(Len(AL82)&gt;0,AL82,"")</f>
        <v>0</v>
      </c>
      <c r="AM66" s="30">
        <f>=IF(Len(AM82)&gt;0,AM82,"")</f>
        <v>0</v>
      </c>
      <c r="AN66" s="30">
        <f>=IF(Len(AN82)&gt;0,AN82,"")</f>
        <v>0</v>
      </c>
      <c r="AO66" s="30">
        <f>=IF(Len(AO82)&gt;0,AO82,"")</f>
        <v>0</v>
      </c>
      <c r="AP66" s="30">
        <f>=IF(Len(AP82)&gt;0,AP82,"")</f>
        <v>0</v>
      </c>
      <c r="AQ66" s="30">
        <f>=IF(Len(AQ82)&gt;0,AQ82,"")</f>
        <v>0</v>
      </c>
      <c r="AR66" s="30">
        <f>=IF(Len(AR82)&gt;0,AR82,"")</f>
        <v>0</v>
      </c>
      <c r="AS66" s="30">
        <f>=IF(Len(AS82)&gt;0,AS82,"")</f>
        <v>0</v>
      </c>
      <c r="AT66" s="30">
        <f>=IF(Len(AT82)&gt;0,AT82,"")</f>
        <v>0</v>
      </c>
      <c r="AU66" s="30">
        <f>=IF(Len(AU82)&gt;0,AU82,"")</f>
        <v>0</v>
      </c>
      <c r="AV66" s="30">
        <f>=IF(Len(AV82)&gt;0,AV82,"")</f>
        <v>0</v>
      </c>
      <c r="AW66" s="30">
        <f>=IF(Len(AW82)&gt;0,AW82,"")</f>
        <v>0</v>
      </c>
      <c r="AX66" s="30">
        <f>=IF(Len(AX82)&gt;0,AX82,"")</f>
        <v>0</v>
      </c>
      <c r="AY66" s="30">
        <f>=IF(Len(AY82)&gt;0,AY82,"")</f>
        <v>0</v>
      </c>
      <c r="AZ66" s="30">
        <f>=IF(Len(AZ82)&gt;0,AZ82,"")</f>
        <v>0</v>
      </c>
      <c r="BA66" s="30">
        <f>=IF(Len(BA82)&gt;0,BA82,"")</f>
        <v>0</v>
      </c>
      <c r="BB66" s="30">
        <f>=IF(Len(BB82)&gt;0,BB82,"")</f>
        <v>0</v>
      </c>
      <c r="BC66" s="30">
        <f>=IF(Len(BC82)&gt;0,BC82,"")</f>
        <v>0</v>
      </c>
      <c r="BD66" s="30">
        <f>=IF(Len(BD82)&gt;0,BD82,"")</f>
        <v>0</v>
      </c>
      <c r="BE66" s="30">
        <f>=IF(Len(BE82)&gt;0,BE82,"")</f>
        <v>0</v>
      </c>
      <c r="BF66" s="30">
        <f>=IF(Len(BF82)&gt;0,BF82,"")</f>
        <v>0</v>
      </c>
      <c r="BG66" s="30">
        <f>=IF(Len(BG82)&gt;0,BG82,"")</f>
        <v>0</v>
      </c>
      <c r="BH66" s="30">
        <f>=IF(Len(BH82)&gt;0,BH82,"")</f>
        <v>0</v>
      </c>
      <c r="BI66" s="30">
        <f>=IF(Len(BI82)&gt;0,BI82,"")</f>
        <v>0</v>
      </c>
      <c r="BJ66" s="30">
        <f>=IF(Len(BJ82)&gt;0,BJ82,"")</f>
        <v>0</v>
      </c>
      <c r="BK66" s="30">
        <f>=IF(Len(BK82)&gt;0,BK82,"")</f>
        <v>0</v>
      </c>
      <c r="BL66" s="30">
        <f>=IF(Len(BL82)&gt;0,BL82,"")</f>
        <v>0</v>
      </c>
      <c r="BM66" s="30">
        <f>=IF(Len(BM82)&gt;0,BM82,"")</f>
        <v>0</v>
      </c>
      <c r="BN66" s="30">
        <f>=IF(Len(BN82)&gt;0,BN82,"")</f>
        <v>0</v>
      </c>
      <c r="BO66" s="30" t="str">
        <f>=IF(Len(BO82)&gt;0,BO82,"")</f>
        <v/>
      </c>
      <c r="BP66" s="30" t="str">
        <f>=IF(Len(BP82)&gt;0,BP82,"")</f>
        <v/>
      </c>
      <c r="BQ66" s="30" t="str">
        <f>=IF(Len(BQ82)&gt;0,BQ82,"")</f>
        <v/>
      </c>
      <c r="BR66" s="30" t="str">
        <f>=IF(Len(BR82)&gt;0,BR82,"")</f>
        <v/>
      </c>
      <c r="BS66" s="30" t="str">
        <f>=IF(Len(BS82)&gt;0,BS82,"")</f>
        <v/>
      </c>
      <c r="BT66" s="30" t="str">
        <f>=IF(Len(BT82)&gt;0,BT82,"")</f>
        <v/>
      </c>
      <c r="BU66" s="30" t="str">
        <f>=IF(Len(BU82)&gt;0,BU82,"")</f>
        <v/>
      </c>
      <c r="BV66" s="30" t="str">
        <f>=IF(Len(BV82)&gt;0,BV82,"")</f>
        <v/>
      </c>
      <c r="BW66" s="30" t="str">
        <f>=IF(Len(BW82)&gt;0,BW82,"")</f>
        <v/>
      </c>
      <c r="BX66" s="30" t="str">
        <f>=IF(Len(BX82)&gt;0,BX82,"")</f>
        <v/>
      </c>
      <c r="BY66" s="30" t="str">
        <f>=IF(Len(BY82)&gt;0,BY82,"")</f>
        <v/>
      </c>
      <c r="BZ66" s="30" t="str">
        <f>=IF(Len(BZ82)&gt;0,BZ82,"")</f>
        <v/>
      </c>
      <c r="CA66" s="30" t="str">
        <f>=IF(Len(CA82)&gt;0,CA82,"")</f>
        <v/>
      </c>
      <c r="CB66" s="30" t="str">
        <f>=IF(Len(CB82)&gt;0,CB82,"")</f>
        <v/>
      </c>
      <c r="CC66" s="30" t="str">
        <f>=IF(Len(CC82)&gt;0,CC82,"")</f>
        <v/>
      </c>
      <c r="CD66" s="30" t="str">
        <f>=IF(Len(CD82)&gt;0,CD82,"")</f>
        <v/>
      </c>
      <c r="CE66" s="30" t="str">
        <f>=IF(Len(CE82)&gt;0,CE82,"")</f>
        <v/>
      </c>
      <c r="CF66" s="30" t="str">
        <f>=IF(Len(CF82)&gt;0,CF82,"")</f>
        <v/>
      </c>
      <c r="CG66" s="30" t="str">
        <f>=IF(Len(CG82)&gt;0,CG82,"")</f>
        <v/>
      </c>
      <c r="CH66" s="30" t="str">
        <f>=IF(Len(CH82)&gt;0,CH82,"")</f>
        <v/>
      </c>
      <c r="CI66" s="30" t="str">
        <f>=IF(Len(CI82)&gt;0,CI82,"")</f>
        <v/>
      </c>
      <c r="CJ66" s="30" t="str">
        <f>=IF(Len(CJ82)&gt;0,CJ82,"")</f>
        <v/>
      </c>
      <c r="CK66" s="30" t="str">
        <f>=IF(Len(CK82)&gt;0,CK82,"")</f>
        <v/>
      </c>
      <c r="CL66" s="30" t="str">
        <f>=IF(Len(CL82)&gt;0,CL82,"")</f>
        <v/>
      </c>
      <c r="CM66" s="30" t="str">
        <f>=IF(Len(CM82)&gt;0,CM82,"")</f>
        <v/>
      </c>
      <c r="CN66" s="30" t="str">
        <f>=IF(Len(CN82)&gt;0,CN82,"")</f>
        <v/>
      </c>
      <c r="CO66" s="30" t="str">
        <f>=IF(Len(CO82)&gt;0,CO82,"")</f>
        <v/>
      </c>
      <c r="CP66" s="30" t="str">
        <f>=IF(Len(CP82)&gt;0,CP82,"")</f>
        <v/>
      </c>
      <c r="CQ66" s="30" t="str">
        <f>=IF(Len(CQ82)&gt;0,CQ82,"")</f>
        <v/>
      </c>
      <c r="CR66" s="30" t="str">
        <f>=IF(Len(CR82)&gt;0,CR82,"")</f>
        <v/>
      </c>
      <c r="CS66" s="30" t="str">
        <f>=IF(Len(CS82)&gt;0,CS82,"")</f>
        <v/>
      </c>
      <c r="CT66" s="30" t="str">
        <f>=IF(Len(CT82)&gt;0,CT82,"")</f>
        <v/>
      </c>
      <c r="CU66" s="30" t="str">
        <f>=IF(Len(CU82)&gt;0,CU82,"")</f>
        <v/>
      </c>
      <c r="CV66" s="30" t="str">
        <f>=IF(Len(CV82)&gt;0,CV82,"")</f>
        <v/>
      </c>
      <c r="CW66" s="30" t="str">
        <f>=IF(Len(CW82)&gt;0,CW82,"")</f>
        <v/>
      </c>
      <c r="CX66" s="30" t="str">
        <f>=IF(Len(CX82)&gt;0,CX82,"")</f>
        <v/>
      </c>
      <c r="CY66" s="30" t="str">
        <f>=IF(Len(CY82)&gt;0,CY82,"")</f>
        <v/>
      </c>
      <c r="CZ66" s="30" t="str">
        <f>=IF(Len(CZ82)&gt;0,CZ82,"")</f>
        <v/>
      </c>
      <c r="DA66" s="30" t="str">
        <f>=IF(Len(DA82)&gt;0,DA82,"")</f>
        <v/>
      </c>
      <c r="DB66" s="30" t="str">
        <f>=IF(Len(DB82)&gt;0,DB82,"")</f>
        <v/>
      </c>
    </row>
    <row r="67" spans="1:106" x14ac:dyDescent="0.25">
      <c r="A67" s="20" t="s">
        <v>292</v>
      </c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1">
        <f>=IF(LEN(BB68)&gt;0,IF(BB68&lt;=0,0,BB68/(((SUM(BA114:BA125)-BA125)+(SUM(BB114:BB125)-BB117)/2))),"")</f>
        <v>0</v>
      </c>
      <c r="BC67" s="31">
        <f>=IF(LEN(BC68)&gt;0,IF(BC68&lt;=0,0,BC68/(((SUM(BB114:BB125)-BB125)+(SUM(BC114:BC125)-BC117)/2))),"")</f>
        <v>0</v>
      </c>
      <c r="BD67" s="31">
        <f>=IF(LEN(BD68)&gt;0,IF(BD68&lt;=0,0,BD68/(((SUM(BC114:BC125)-BC125)+(SUM(BD114:BD125)-BD117)/2))),"")</f>
        <v>0</v>
      </c>
      <c r="BE67" s="31">
        <f>=IF(LEN(BE68)&gt;0,IF(BE68&lt;=0,0,BE68/(((SUM(BD114:BD125)-BD125)+(SUM(BE114:BE125)-BE117)/2))),"")</f>
        <v>0</v>
      </c>
      <c r="BF67" s="31">
        <f>=IF(LEN(BF68)&gt;0,IF(BF68&lt;=0,0,BF68/(((SUM(BE114:BE125)-BE125)+(SUM(BF114:BF125)-BF117)/2))),"")</f>
        <v>0</v>
      </c>
      <c r="BG67" s="31">
        <f>=IF(LEN(BG68)&gt;0,IF(BG68&lt;=0,0,BG68/(((SUM(BF114:BF125)-BF125)+(SUM(BG114:BG125)-BG117)/2))),"")</f>
        <v>0</v>
      </c>
      <c r="BH67" s="31">
        <f>=IF(LEN(BH68)&gt;0,IF(BH68&lt;=0,0,BH68/(((SUM(BG114:BG125)-BG125)+(SUM(BH114:BH125)-BH117)/2))),"")</f>
        <v>0</v>
      </c>
      <c r="BI67" s="31">
        <f>=IF(LEN(BI68)&gt;0,IF(BI68&lt;=0,0,BI68/(((SUM(BH114:BH125)-BH125)+(SUM(BI114:BI125)-BI117)/2))),"")</f>
        <v>0</v>
      </c>
      <c r="BJ67" s="31">
        <f>=IF(LEN(BJ68)&gt;0,IF(BJ68&lt;=0,0,BJ68/(((SUM(BI114:BI125)-BI125)+(SUM(BJ114:BJ125)-BJ117)/2))),"")</f>
        <v>0</v>
      </c>
      <c r="BK67" s="31">
        <f>=IF(LEN(BK68)&gt;0,IF(BK68&lt;=0,0,BK68/(((SUM(BJ114:BJ125)-BJ125)+(SUM(BK114:BK125)-BK117)/2))),"")</f>
        <v>0</v>
      </c>
      <c r="BL67" s="31">
        <f>=IF(LEN(BL68)&gt;0,IF(BL68&lt;=0,0,BL68/(((SUM(BK114:BK125)-BK125)+(SUM(BL114:BL125)-BL117)/2))),"")</f>
        <v>0</v>
      </c>
      <c r="BM67" s="31">
        <f>=IF(LEN(BM68)&gt;0,IF(BM68&lt;=0,0,BM68/(((SUM(BL114:BL125)-BL125)+(SUM(BM114:BM125)-BM117)/2))),"")</f>
        <v>0</v>
      </c>
      <c r="BN67" s="31">
        <f>=IF(LEN(BN68)&gt;0,IF(BN68&lt;=0,0,BN68/(((SUM(BM114:BM125)-BM125)+(SUM(BN114:BN125)-BN117)/2))),"")</f>
        <v>0</v>
      </c>
      <c r="BO67" s="31">
        <f>=IF(LEN(BO68)&gt;0,IF(BO68&lt;=0,0,BO68/(((SUM(BN114:BN125)-BN125)+(SUM(BO114:BO125)-BO117)/2))),"")</f>
        <v>0</v>
      </c>
      <c r="BP67" s="31">
        <f>=IF(LEN(BP68)&gt;0,IF(BP68&lt;=0,0,BP68/(((SUM(BO114:BO125)-BO125)+(SUM(BP114:BP125)-BP117)/2))),"")</f>
        <v>0</v>
      </c>
      <c r="BQ67" s="31">
        <f>=IF(LEN(BQ68)&gt;0,IF(BQ68&lt;=0,0,BQ68/(((SUM(BP114:BP125)-BP125)+(SUM(BQ114:BQ125)-BQ117)/2))),"")</f>
        <v>0</v>
      </c>
      <c r="BR67" s="31">
        <f>=IF(LEN(BR68)&gt;0,IF(BR68&lt;=0,0,BR68/(((SUM(BQ114:BQ125)-BQ125)+(SUM(BR114:BR125)-BR117)/2))),"")</f>
        <v>0</v>
      </c>
      <c r="BS67" s="31">
        <f>=IF(LEN(BS68)&gt;0,IF(BS68&lt;=0,0,BS68/(((SUM(BR114:BR125)-BR125)+(SUM(BS114:BS125)-BS117)/2))),"")</f>
        <v>0</v>
      </c>
      <c r="BT67" s="31">
        <f>=IF(LEN(BT68)&gt;0,IF(BT68&lt;=0,0,BT68/(((SUM(BS114:BS125)-BS125)+(SUM(BT114:BT125)-BT117)/2))),"")</f>
        <v>0</v>
      </c>
      <c r="BU67" s="31">
        <f>=IF(LEN(BU68)&gt;0,IF(BU68&lt;=0,0,BU68/(((SUM(BT114:BT125)-BT125)+(SUM(BU114:BU125)-BU117)/2))),"")</f>
        <v>0</v>
      </c>
      <c r="BV67" s="30">
        <f>=IF(LEN(BV68)&gt;0,IF(BV68&lt;=0,0,BV68/(((SUM(BU114:BU125)-BU125)+(SUM(BV114:BV125)-BV117)/2))),"")</f>
        <v>0</v>
      </c>
      <c r="BW67" s="30">
        <f>=IF(LEN(BW68)&gt;0,IF(BW68&lt;=0,0,BW68/(((SUM(BV114:BV125)-BV125)+(SUM(BW114:BW125)-BW117)/2))),"")</f>
        <v>0</v>
      </c>
      <c r="BX67" s="30">
        <f>=IF(LEN(BX68)&gt;0,IF(BX68&lt;=0,0,BX68/(((SUM(BW114:BW125)-BW125)+(SUM(BX114:BX125)-BX117)/2))),"")</f>
        <v>0</v>
      </c>
      <c r="BY67" s="30" t="str">
        <f>=IF(LEN(BY68)&gt;0,IF(BY68&lt;=0,0,BY68/(((SUM(BX114:BX125)-BX125)+(SUM(BY114:BY125)-BY117)/2))),"")</f>
        <v/>
      </c>
      <c r="BZ67" s="30" t="str">
        <f>=IF(LEN(BZ68)&gt;0,IF(BZ68&lt;=0,0,BZ68/(((SUM(BY114:BY125)-BY125)+(SUM(BZ114:BZ125)-BZ117)/2))),"")</f>
        <v/>
      </c>
      <c r="CA67" s="30" t="str">
        <f>=IF(LEN(CA68)&gt;0,IF(CA68&lt;=0,0,CA68/(((SUM(BZ114:BZ125)-BZ125)+(SUM(CA114:CA125)-CA117)/2))),"")</f>
        <v/>
      </c>
      <c r="CB67" s="30" t="str">
        <f>=IF(LEN(CB68)&gt;0,IF(CB68&lt;=0,0,CB68/(((SUM(CA114:CA125)-CA125)+(SUM(CB114:CB125)-CB117)/2))),"")</f>
        <v/>
      </c>
      <c r="CC67" s="30" t="str">
        <f>=IF(LEN(CC68)&gt;0,IF(CC68&lt;=0,0,CC68/(((SUM(CB114:CB125)-CB125)+(SUM(CC114:CC125)-CC117)/2))),"")</f>
        <v/>
      </c>
      <c r="CD67" s="30" t="str">
        <f>=IF(LEN(CD68)&gt;0,IF(CD68&lt;=0,0,CD68/(((SUM(CC114:CC125)-CC125)+(SUM(CD114:CD125)-CD117)/2))),"")</f>
        <v/>
      </c>
      <c r="CE67" s="30" t="str">
        <f>=IF(LEN(CE68)&gt;0,IF(CE68&lt;=0,0,CE68/(((SUM(CD114:CD125)-CD125)+(SUM(CE114:CE125)-CE117)/2))),"")</f>
        <v/>
      </c>
      <c r="CF67" s="30" t="str">
        <f>=IF(LEN(CF68)&gt;0,IF(CF68&lt;=0,0,CF68/(((SUM(CE114:CE125)-CE125)+(SUM(CF114:CF125)-CF117)/2))),"")</f>
        <v/>
      </c>
      <c r="CG67" s="30" t="str">
        <f>=IF(LEN(CG68)&gt;0,IF(CG68&lt;=0,0,CG68/(((SUM(CF114:CF125)-CF125)+(SUM(CG114:CG125)-CG117)/2))),"")</f>
        <v/>
      </c>
      <c r="CH67" s="30" t="str">
        <f>=IF(LEN(CH68)&gt;0,IF(CH68&lt;=0,0,CH68/(((SUM(CG114:CG125)-CG125)+(SUM(CH114:CH125)-CH117)/2))),"")</f>
        <v/>
      </c>
      <c r="CI67" s="30" t="str">
        <f>=IF(LEN(CI68)&gt;0,IF(CI68&lt;=0,0,CI68/(((SUM(CH114:CH125)-CH125)+(SUM(CI114:CI125)-CI117)/2))),"")</f>
        <v/>
      </c>
      <c r="CJ67" s="30" t="str">
        <f>=IF(LEN(CJ68)&gt;0,IF(CJ68&lt;=0,0,CJ68/(((SUM(CI114:CI125)-CI125)+(SUM(CJ114:CJ125)-CJ117)/2))),"")</f>
        <v/>
      </c>
      <c r="CK67" s="30" t="str">
        <f>=IF(LEN(CK68)&gt;0,IF(CK68&lt;=0,0,CK68/(((SUM(CJ114:CJ125)-CJ125)+(SUM(CK114:CK125)-CK117)/2))),"")</f>
        <v/>
      </c>
      <c r="CL67" s="30" t="str">
        <f>=IF(LEN(CL68)&gt;0,IF(CL68&lt;=0,0,CL68/(((SUM(CK114:CK125)-CK125)+(SUM(CL114:CL125)-CL117)/2))),"")</f>
        <v/>
      </c>
      <c r="CM67" s="30" t="str">
        <f>=IF(LEN(CM68)&gt;0,IF(CM68&lt;=0,0,CM68/(((SUM(CL114:CL125)-CL125)+(SUM(CM114:CM125)-CM117)/2))),"")</f>
        <v/>
      </c>
      <c r="CN67" s="30" t="str">
        <f>=IF(LEN(CN68)&gt;0,IF(CN68&lt;=0,0,CN68/(((SUM(CM114:CM125)-CM125)+(SUM(CN114:CN125)-CN117)/2))),"")</f>
        <v/>
      </c>
      <c r="CO67" s="30" t="str">
        <f>=IF(LEN(CO68)&gt;0,IF(CO68&lt;=0,0,CO68/(((SUM(CN114:CN125)-CN125)+(SUM(CO114:CO125)-CO117)/2))),"")</f>
        <v/>
      </c>
      <c r="CP67" s="30" t="str">
        <f>=IF(LEN(CP68)&gt;0,IF(CP68&lt;=0,0,CP68/(((SUM(CO114:CO125)-CO125)+(SUM(CP114:CP125)-CP117)/2))),"")</f>
        <v/>
      </c>
      <c r="CQ67" s="30" t="str">
        <f>=IF(LEN(CQ68)&gt;0,IF(CQ68&lt;=0,0,CQ68/(((SUM(CP114:CP125)-CP125)+(SUM(CQ114:CQ125)-CQ117)/2))),"")</f>
        <v/>
      </c>
      <c r="CR67" s="30" t="str">
        <f>=IF(LEN(CR68)&gt;0,IF(CR68&lt;=0,0,CR68/(((SUM(CQ114:CQ125)-CQ125)+(SUM(CR114:CR125)-CR117)/2))),"")</f>
        <v/>
      </c>
      <c r="CS67" s="30" t="str">
        <f>=IF(LEN(CS68)&gt;0,IF(CS68&lt;=0,0,CS68/(((SUM(CR114:CR125)-CR125)+(SUM(CS114:CS125)-CS117)/2))),"")</f>
        <v/>
      </c>
      <c r="CT67" s="30" t="str">
        <f>=IF(LEN(CT68)&gt;0,IF(CT68&lt;=0,0,CT68/(((SUM(CS114:CS125)-CS125)+(SUM(CT114:CT125)-CT117)/2))),"")</f>
        <v/>
      </c>
      <c r="CU67" s="30" t="str">
        <f>=IF(LEN(CU68)&gt;0,IF(CU68&lt;=0,0,CU68/(((SUM(CT114:CT125)-CT125)+(SUM(CU114:CU125)-CU117)/2))),"")</f>
        <v/>
      </c>
      <c r="CV67" s="30" t="str">
        <f>=IF(LEN(CV68)&gt;0,IF(CV68&lt;=0,0,CV68/(((SUM(CU114:CU125)-CU125)+(SUM(CV114:CV125)-CV117)/2))),"")</f>
        <v/>
      </c>
      <c r="CW67" s="30" t="str">
        <f>=IF(LEN(CW68)&gt;0,IF(CW68&lt;=0,0,CW68/(((SUM(CV114:CV125)-CV125)+(SUM(CW114:CW125)-CW117)/2))),"")</f>
        <v/>
      </c>
      <c r="CX67" s="30" t="str">
        <f>=IF(LEN(CX68)&gt;0,IF(CX68&lt;=0,0,CX68/(((SUM(CW114:CW125)-CW125)+(SUM(CX114:CX125)-CX117)/2))),"")</f>
        <v/>
      </c>
      <c r="CY67" s="30" t="str">
        <f>=IF(LEN(CY68)&gt;0,IF(CY68&lt;=0,0,CY68/(((SUM(CX114:CX125)-CX125)+(SUM(CY114:CY125)-CY117)/2))),"")</f>
        <v/>
      </c>
      <c r="CZ67" s="30" t="str">
        <f>=IF(LEN(CZ68)&gt;0,IF(CZ68&lt;=0,0,CZ68/(((SUM(CY114:CY125)-CY125)+(SUM(CZ114:CZ125)-CZ117)/2))),"")</f>
        <v/>
      </c>
      <c r="DA67" s="30" t="str">
        <f>=IF(LEN(DA68)&gt;0,IF(DA68&lt;=0,0,DA68/(((SUM(CZ114:CZ125)-CZ125)+(SUM(DA114:DA125)-DA117)/2))),"")</f>
        <v/>
      </c>
      <c r="DB67" s="30" t="str">
        <f>=IF(LEN(DB68)&gt;0,IF(DB68&lt;=0,0,DB68/(((SUM(DA114:DA125)-DA125)+(SUM(DB114:DB125)-DB117)/2))),"")</f>
        <v/>
      </c>
    </row>
    <row r="68" spans="1:106" x14ac:dyDescent="0.25">
      <c r="A68" s="36" t="s">
        <v>293</v>
      </c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>
        <f>=IF(DATEVALUE(BB4)&lt;=$C$2-WEEKDAY($C$2,1)+1,IF(SUM(BA114:BA125)&lt;=0,0,(SUM(BA114:BA125)-BA125)-(SUM(BB114:BB125)-BB117)),"")</f>
        <v>0</v>
      </c>
      <c r="BC68" s="30">
        <f>=IF(DATEVALUE(BC4)&lt;=$C$2-WEEKDAY($C$2,1)+1,IF(SUM(BB114:BB125)&lt;=0,0,(SUM(BB114:BB125)-BB125)-(SUM(BC114:BC125)-BC117)),"")</f>
        <v>0</v>
      </c>
      <c r="BD68" s="30">
        <f>=IF(DATEVALUE(BD4)&lt;=$C$2-WEEKDAY($C$2,1)+1,IF(SUM(BC114:BC125)&lt;=0,0,(SUM(BC114:BC125)-BC125)-(SUM(BD114:BD125)-BD117)),"")</f>
        <v>0</v>
      </c>
      <c r="BE68" s="30">
        <f>=IF(DATEVALUE(BE4)&lt;=$C$2-WEEKDAY($C$2,1)+1,IF(SUM(BD114:BD125)&lt;=0,0,(SUM(BD114:BD125)-BD125)-(SUM(BE114:BE125)-BE117)),"")</f>
        <v>0</v>
      </c>
      <c r="BF68" s="30">
        <f>=IF(DATEVALUE(BF4)&lt;=$C$2-WEEKDAY($C$2,1)+1,IF(SUM(BE114:BE125)&lt;=0,0,(SUM(BE114:BE125)-BE125)-(SUM(BF114:BF125)-BF117)),"")</f>
        <v>0</v>
      </c>
      <c r="BG68" s="30">
        <f>=IF(DATEVALUE(BG4)&lt;=$C$2-WEEKDAY($C$2,1)+1,IF(SUM(BF114:BF125)&lt;=0,0,(SUM(BF114:BF125)-BF125)-(SUM(BG114:BG125)-BG117)),"")</f>
        <v>0</v>
      </c>
      <c r="BH68" s="30">
        <f>=IF(DATEVALUE(BH4)&lt;=$C$2-WEEKDAY($C$2,1)+1,IF(SUM(BG114:BG125)&lt;=0,0,(SUM(BG114:BG125)-BG125)-(SUM(BH114:BH125)-BH117)),"")</f>
        <v>0</v>
      </c>
      <c r="BI68" s="30">
        <f>=IF(DATEVALUE(BI4)&lt;=$C$2-WEEKDAY($C$2,1)+1,IF(SUM(BH114:BH125)&lt;=0,0,(SUM(BH114:BH125)-BH125)-(SUM(BI114:BI125)-BI117)),"")</f>
        <v>0</v>
      </c>
      <c r="BJ68" s="30">
        <f>=IF(DATEVALUE(BJ4)&lt;=$C$2-WEEKDAY($C$2,1)+1,IF(SUM(BI114:BI125)&lt;=0,0,(SUM(BI114:BI125)-BI125)-(SUM(BJ114:BJ125)-BJ117)),"")</f>
        <v>0</v>
      </c>
      <c r="BK68" s="30">
        <f>=IF(DATEVALUE(BK4)&lt;=$C$2-WEEKDAY($C$2,1)+1,IF(SUM(BJ114:BJ125)&lt;=0,0,(SUM(BJ114:BJ125)-BJ125)-(SUM(BK114:BK125)-BK117)),"")</f>
        <v>0</v>
      </c>
      <c r="BL68" s="30">
        <f>=IF(DATEVALUE(BL4)&lt;=$C$2-WEEKDAY($C$2,1)+1,IF(SUM(BK114:BK125)&lt;=0,0,(SUM(BK114:BK125)-BK125)-(SUM(BL114:BL125)-BL117)),"")</f>
        <v>0</v>
      </c>
      <c r="BM68" s="30">
        <f>=IF(DATEVALUE(BM4)&lt;=$C$2-WEEKDAY($C$2,1)+1,IF(SUM(BL114:BL125)&lt;=0,0,(SUM(BL114:BL125)-BL125)-(SUM(BM114:BM125)-BM117)),"")</f>
        <v>0</v>
      </c>
      <c r="BN68" s="30">
        <f>=IF(DATEVALUE(BN4)&lt;=$C$2-WEEKDAY($C$2,1)+1,IF(SUM(BM114:BM125)&lt;=0,0,(SUM(BM114:BM125)-BM125)-(SUM(BN114:BN125)-BN117)),"")</f>
        <v>0</v>
      </c>
      <c r="BO68" s="30">
        <f>=IF(DATEVALUE(BO4)&lt;=$C$2-WEEKDAY($C$2,1)+1,IF(SUM(BN114:BN125)&lt;=0,0,(SUM(BN114:BN125)-BN125)-(SUM(BO114:BO125)-BO117)),"")</f>
        <v>0</v>
      </c>
      <c r="BP68" s="30">
        <f>=IF(DATEVALUE(BP4)&lt;=$C$2-WEEKDAY($C$2,1)+1,IF(SUM(BO114:BO125)&lt;=0,0,(SUM(BO114:BO125)-BO125)-(SUM(BP114:BP125)-BP117)),"")</f>
        <v>0</v>
      </c>
      <c r="BQ68" s="30">
        <f>=IF(DATEVALUE(BQ4)&lt;=$C$2-WEEKDAY($C$2,1)+1,IF(SUM(BP114:BP125)&lt;=0,0,(SUM(BP114:BP125)-BP125)-(SUM(BQ114:BQ125)-BQ117)),"")</f>
        <v>0</v>
      </c>
      <c r="BR68" s="30">
        <f>=IF(DATEVALUE(BR4)&lt;=$C$2-WEEKDAY($C$2,1)+1,IF(SUM(BQ114:BQ125)&lt;=0,0,(SUM(BQ114:BQ125)-BQ125)-(SUM(BR114:BR125)-BR117)),"")</f>
        <v>0</v>
      </c>
      <c r="BS68" s="30">
        <f>=IF(DATEVALUE(BS4)&lt;=$C$2-WEEKDAY($C$2,1)+1,IF(SUM(BR114:BR125)&lt;=0,0,(SUM(BR114:BR125)-BR125)-(SUM(BS114:BS125)-BS117)),"")</f>
        <v>0</v>
      </c>
      <c r="BT68" s="30">
        <f>=IF(DATEVALUE(BT4)&lt;=$C$2-WEEKDAY($C$2,1)+1,IF(SUM(BS114:BS125)&lt;=0,0,(SUM(BS114:BS125)-BS125)-(SUM(BT114:BT125)-BT117)),"")</f>
        <v>0</v>
      </c>
      <c r="BU68" s="30">
        <f>=IF(DATEVALUE(BU4)&lt;=$C$2-WEEKDAY($C$2,1)+1,IF(SUM(BT114:BT125)&lt;=0,0,(SUM(BT114:BT125)-BT125)-(SUM(BU114:BU125)-BU117)),"")</f>
        <v>0</v>
      </c>
      <c r="BV68" s="30">
        <f>=IF(DATEVALUE(BV4)&lt;=$C$2-WEEKDAY($C$2,1)+1,IF(SUM(BU114:BU125)&lt;=0,0,(SUM(BU114:BU125)-BU125)-(SUM(BV114:BV125)-BV117)),"")</f>
        <v>0</v>
      </c>
      <c r="BW68" s="30">
        <f>=IF(DATEVALUE(BW4)&lt;=$C$2-WEEKDAY($C$2,1)+1,IF(SUM(BV114:BV125)&lt;=0,0,(SUM(BV114:BV125)-BV125)-(SUM(BW114:BW125)-BW117)),"")</f>
        <v>0</v>
      </c>
      <c r="BX68" s="30">
        <f>=IF(DATEVALUE(BX4)&lt;=$C$2-WEEKDAY($C$2,1)+1,IF(SUM(BW114:BW125)&lt;=0,0,(SUM(BW114:BW125)-BW125)-(SUM(BX114:BX125)-BX117)),"")</f>
        <v>0</v>
      </c>
      <c r="BY68" s="30" t="str">
        <f>=IF(DATEVALUE(BY4)&lt;=$C$2-WEEKDAY($C$2,1)+1,IF(SUM(BX114:BX125)&lt;=0,0,(SUM(BX114:BX125)-BX125)-(SUM(BY114:BY125)-BY117)),"")</f>
        <v/>
      </c>
      <c r="BZ68" s="30" t="str">
        <f>=IF(DATEVALUE(BZ4)&lt;=$C$2-WEEKDAY($C$2,1)+1,IF(SUM(BY114:BY125)&lt;=0,0,(SUM(BY114:BY125)-BY125)-(SUM(BZ114:BZ125)-BZ117)),"")</f>
        <v/>
      </c>
      <c r="CA68" s="30" t="str">
        <f>=IF(DATEVALUE(CA4)&lt;=$C$2-WEEKDAY($C$2,1)+1,IF(SUM(BZ114:BZ125)&lt;=0,0,(SUM(BZ114:BZ125)-BZ125)-(SUM(CA114:CA125)-CA117)),"")</f>
        <v/>
      </c>
      <c r="CB68" s="30" t="str">
        <f>=IF(DATEVALUE(CB4)&lt;=$C$2-WEEKDAY($C$2,1)+1,IF(SUM(CA114:CA125)&lt;=0,0,(SUM(CA114:CA125)-CA125)-(SUM(CB114:CB125)-CB117)),"")</f>
        <v/>
      </c>
      <c r="CC68" s="30" t="str">
        <f>=IF(DATEVALUE(CC4)&lt;=$C$2-WEEKDAY($C$2,1)+1,IF(SUM(CB114:CB125)&lt;=0,0,(SUM(CB114:CB125)-CB125)-(SUM(CC114:CC125)-CC117)),"")</f>
        <v/>
      </c>
      <c r="CD68" s="30" t="str">
        <f>=IF(DATEVALUE(CD4)&lt;=$C$2-WEEKDAY($C$2,1)+1,IF(SUM(CC114:CC125)&lt;=0,0,(SUM(CC114:CC125)-CC125)-(SUM(CD114:CD125)-CD117)),"")</f>
        <v/>
      </c>
      <c r="CE68" s="30" t="str">
        <f>=IF(DATEVALUE(CE4)&lt;=$C$2-WEEKDAY($C$2,1)+1,IF(SUM(CD114:CD125)&lt;=0,0,(SUM(CD114:CD125)-CD125)-(SUM(CE114:CE125)-CE117)),"")</f>
        <v/>
      </c>
      <c r="CF68" s="30" t="str">
        <f>=IF(DATEVALUE(CF4)&lt;=$C$2-WEEKDAY($C$2,1)+1,IF(SUM(CE114:CE125)&lt;=0,0,(SUM(CE114:CE125)-CE125)-(SUM(CF114:CF125)-CF117)),"")</f>
        <v/>
      </c>
      <c r="CG68" s="30" t="str">
        <f>=IF(DATEVALUE(CG4)&lt;=$C$2-WEEKDAY($C$2,1)+1,IF(SUM(CF114:CF125)&lt;=0,0,(SUM(CF114:CF125)-CF125)-(SUM(CG114:CG125)-CG117)),"")</f>
        <v/>
      </c>
      <c r="CH68" s="30" t="str">
        <f>=IF(DATEVALUE(CH4)&lt;=$C$2-WEEKDAY($C$2,1)+1,IF(SUM(CG114:CG125)&lt;=0,0,(SUM(CG114:CG125)-CG125)-(SUM(CH114:CH125)-CH117)),"")</f>
        <v/>
      </c>
      <c r="CI68" s="30" t="str">
        <f>=IF(DATEVALUE(CI4)&lt;=$C$2-WEEKDAY($C$2,1)+1,IF(SUM(CH114:CH125)&lt;=0,0,(SUM(CH114:CH125)-CH125)-(SUM(CI114:CI125)-CI117)),"")</f>
        <v/>
      </c>
      <c r="CJ68" s="30" t="str">
        <f>=IF(DATEVALUE(CJ4)&lt;=$C$2-WEEKDAY($C$2,1)+1,IF(SUM(CI114:CI125)&lt;=0,0,(SUM(CI114:CI125)-CI125)-(SUM(CJ114:CJ125)-CJ117)),"")</f>
        <v/>
      </c>
      <c r="CK68" s="30" t="str">
        <f>=IF(DATEVALUE(CK4)&lt;=$C$2-WEEKDAY($C$2,1)+1,IF(SUM(CJ114:CJ125)&lt;=0,0,(SUM(CJ114:CJ125)-CJ125)-(SUM(CK114:CK125)-CK117)),"")</f>
        <v/>
      </c>
      <c r="CL68" s="30" t="str">
        <f>=IF(DATEVALUE(CL4)&lt;=$C$2-WEEKDAY($C$2,1)+1,IF(SUM(CK114:CK125)&lt;=0,0,(SUM(CK114:CK125)-CK125)-(SUM(CL114:CL125)-CL117)),"")</f>
        <v/>
      </c>
      <c r="CM68" s="30" t="str">
        <f>=IF(DATEVALUE(CM4)&lt;=$C$2-WEEKDAY($C$2,1)+1,IF(SUM(CL114:CL125)&lt;=0,0,(SUM(CL114:CL125)-CL125)-(SUM(CM114:CM125)-CM117)),"")</f>
        <v/>
      </c>
      <c r="CN68" s="30" t="str">
        <f>=IF(DATEVALUE(CN4)&lt;=$C$2-WEEKDAY($C$2,1)+1,IF(SUM(CM114:CM125)&lt;=0,0,(SUM(CM114:CM125)-CM125)-(SUM(CN114:CN125)-CN117)),"")</f>
        <v/>
      </c>
      <c r="CO68" s="30" t="str">
        <f>=IF(DATEVALUE(CO4)&lt;=$C$2-WEEKDAY($C$2,1)+1,IF(SUM(CN114:CN125)&lt;=0,0,(SUM(CN114:CN125)-CN125)-(SUM(CO114:CO125)-CO117)),"")</f>
        <v/>
      </c>
      <c r="CP68" s="30" t="str">
        <f>=IF(DATEVALUE(CP4)&lt;=$C$2-WEEKDAY($C$2,1)+1,IF(SUM(CO114:CO125)&lt;=0,0,(SUM(CO114:CO125)-CO125)-(SUM(CP114:CP125)-CP117)),"")</f>
        <v/>
      </c>
      <c r="CQ68" s="30" t="str">
        <f>=IF(DATEVALUE(CQ4)&lt;=$C$2-WEEKDAY($C$2,1)+1,IF(SUM(CP114:CP125)&lt;=0,0,(SUM(CP114:CP125)-CP125)-(SUM(CQ114:CQ125)-CQ117)),"")</f>
        <v/>
      </c>
      <c r="CR68" s="30" t="str">
        <f>=IF(DATEVALUE(CR4)&lt;=$C$2-WEEKDAY($C$2,1)+1,IF(SUM(CQ114:CQ125)&lt;=0,0,(SUM(CQ114:CQ125)-CQ125)-(SUM(CR114:CR125)-CR117)),"")</f>
        <v/>
      </c>
      <c r="CS68" s="30" t="str">
        <f>=IF(DATEVALUE(CS4)&lt;=$C$2-WEEKDAY($C$2,1)+1,IF(SUM(CR114:CR125)&lt;=0,0,(SUM(CR114:CR125)-CR125)-(SUM(CS114:CS125)-CS117)),"")</f>
        <v/>
      </c>
      <c r="CT68" s="30" t="str">
        <f>=IF(DATEVALUE(CT4)&lt;=$C$2-WEEKDAY($C$2,1)+1,IF(SUM(CS114:CS125)&lt;=0,0,(SUM(CS114:CS125)-CS125)-(SUM(CT114:CT125)-CT117)),"")</f>
        <v/>
      </c>
      <c r="CU68" s="30" t="str">
        <f>=IF(DATEVALUE(CU4)&lt;=$C$2-WEEKDAY($C$2,1)+1,IF(SUM(CT114:CT125)&lt;=0,0,(SUM(CT114:CT125)-CT125)-(SUM(CU114:CU125)-CU117)),"")</f>
        <v/>
      </c>
      <c r="CV68" s="30" t="str">
        <f>=IF(DATEVALUE(CV4)&lt;=$C$2-WEEKDAY($C$2,1)+1,IF(SUM(CU114:CU125)&lt;=0,0,(SUM(CU114:CU125)-CU125)-(SUM(CV114:CV125)-CV117)),"")</f>
        <v/>
      </c>
      <c r="CW68" s="30" t="str">
        <f>=IF(DATEVALUE(CW4)&lt;=$C$2-WEEKDAY($C$2,1)+1,IF(SUM(CV114:CV125)&lt;=0,0,(SUM(CV114:CV125)-CV125)-(SUM(CW114:CW125)-CW117)),"")</f>
        <v/>
      </c>
      <c r="CX68" s="30" t="str">
        <f>=IF(DATEVALUE(CX4)&lt;=$C$2-WEEKDAY($C$2,1)+1,IF(SUM(CW114:CW125)&lt;=0,0,(SUM(CW114:CW125)-CW125)-(SUM(CX114:CX125)-CX117)),"")</f>
        <v/>
      </c>
      <c r="CY68" s="30" t="str">
        <f>=IF(DATEVALUE(CY4)&lt;=$C$2-WEEKDAY($C$2,1)+1,IF(SUM(CX114:CX125)&lt;=0,0,(SUM(CX114:CX125)-CX125)-(SUM(CY114:CY125)-CY117)),"")</f>
        <v/>
      </c>
      <c r="CZ68" s="30" t="str">
        <f>=IF(DATEVALUE(CZ4)&lt;=$C$2-WEEKDAY($C$2,1)+1,IF(SUM(CY114:CY125)&lt;=0,0,(SUM(CY114:CY125)-CY125)-(SUM(CZ114:CZ125)-CZ117)),"")</f>
        <v/>
      </c>
      <c r="DA68" s="30" t="str">
        <f>=IF(DATEVALUE(DA4)&lt;=$C$2-WEEKDAY($C$2,1)+1,IF(SUM(CZ114:CZ125)&lt;=0,0,(SUM(CZ114:CZ125)-CZ125)-(SUM(DA114:DA125)-DA117)),"")</f>
        <v/>
      </c>
      <c r="DB68" s="30" t="str">
        <f>=IF(DATEVALUE(DB4)&lt;=$C$2-WEEKDAY($C$2,1)+1,IF(SUM(DA114:DA125)&lt;=0,0,(SUM(DA114:DA125)-DA125)-(SUM(DB114:DB125)-DB117)),"")</f>
        <v/>
      </c>
    </row>
    <row r="69" spans="1:106" x14ac:dyDescent="0.25">
      <c r="A69" s="16" t="s">
        <v>294</v>
      </c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  <c r="BP69" s="30"/>
      <c r="BQ69" s="30"/>
      <c r="BR69" s="30"/>
      <c r="BS69" s="30"/>
      <c r="BT69" s="30"/>
      <c r="BU69" s="30"/>
      <c r="BV69" s="30"/>
      <c r="BW69" s="30"/>
      <c r="BX69" s="30"/>
      <c r="BY69" s="30"/>
      <c r="BZ69" s="30"/>
      <c r="CA69" s="30"/>
      <c r="CB69" s="30"/>
      <c r="CC69" s="30"/>
      <c r="CD69" s="30"/>
      <c r="CE69" s="30"/>
      <c r="CF69" s="30"/>
      <c r="CG69" s="30"/>
      <c r="CH69" s="30"/>
      <c r="CI69" s="30"/>
      <c r="CJ69" s="30"/>
      <c r="CK69" s="30"/>
      <c r="CL69" s="30"/>
      <c r="CM69" s="30"/>
      <c r="CN69" s="30"/>
      <c r="CO69" s="30"/>
      <c r="CP69" s="30"/>
      <c r="CQ69" s="30"/>
      <c r="CR69" s="30"/>
      <c r="CS69" s="30"/>
      <c r="CT69" s="30"/>
      <c r="CU69" s="30"/>
      <c r="CV69" s="30"/>
      <c r="CW69" s="30"/>
      <c r="CX69" s="30"/>
      <c r="CY69" s="30"/>
      <c r="CZ69" s="30"/>
      <c r="DA69" s="30"/>
      <c r="DB69" s="30"/>
    </row>
    <row r="70" spans="1:106" x14ac:dyDescent="0.25">
      <c r="A70" s="16" t="s">
        <v>282</v>
      </c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/>
      <c r="BO70" s="30"/>
      <c r="BP70" s="30"/>
      <c r="BQ70" s="30"/>
      <c r="BR70" s="30"/>
      <c r="BS70" s="30"/>
      <c r="BT70" s="30"/>
      <c r="BU70" s="30"/>
      <c r="BV70" s="30"/>
      <c r="BW70" s="30"/>
      <c r="BX70" s="30"/>
      <c r="BY70" s="30"/>
      <c r="BZ70" s="30"/>
      <c r="CA70" s="30"/>
      <c r="CB70" s="30"/>
      <c r="CC70" s="30"/>
      <c r="CD70" s="30"/>
      <c r="CE70" s="30"/>
      <c r="CF70" s="30"/>
      <c r="CG70" s="30"/>
      <c r="CH70" s="30"/>
      <c r="CI70" s="30"/>
      <c r="CJ70" s="30"/>
      <c r="CK70" s="30"/>
      <c r="CL70" s="30"/>
      <c r="CM70" s="30"/>
      <c r="CN70" s="30"/>
      <c r="CO70" s="30"/>
      <c r="CP70" s="30"/>
      <c r="CQ70" s="30"/>
      <c r="CR70" s="30"/>
      <c r="CS70" s="30"/>
      <c r="CT70" s="30"/>
      <c r="CU70" s="30"/>
      <c r="CV70" s="30"/>
      <c r="CW70" s="30"/>
      <c r="CX70" s="30"/>
      <c r="CY70" s="30"/>
      <c r="CZ70" s="30"/>
      <c r="DA70" s="30"/>
      <c r="DB70" s="30"/>
    </row>
    <row r="71" spans="3:106" x14ac:dyDescent="0.25"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30"/>
      <c r="BN71" s="30"/>
      <c r="BO71" s="30"/>
      <c r="BP71" s="30"/>
      <c r="BQ71" s="30"/>
      <c r="BR71" s="30"/>
      <c r="BS71" s="30"/>
      <c r="BT71" s="30"/>
      <c r="BU71" s="30"/>
      <c r="BV71" s="30"/>
      <c r="BW71" s="30"/>
      <c r="BX71" s="30"/>
      <c r="BY71" s="30"/>
      <c r="BZ71" s="30"/>
      <c r="CA71" s="30"/>
      <c r="CB71" s="30"/>
      <c r="CC71" s="30"/>
      <c r="CD71" s="30"/>
      <c r="CE71" s="30"/>
      <c r="CF71" s="30"/>
      <c r="CG71" s="30"/>
      <c r="CH71" s="30"/>
      <c r="CI71" s="30"/>
      <c r="CJ71" s="30"/>
      <c r="CK71" s="30"/>
      <c r="CL71" s="30"/>
      <c r="CM71" s="30"/>
      <c r="CN71" s="30"/>
      <c r="CO71" s="30"/>
      <c r="CP71" s="30"/>
      <c r="CQ71" s="30"/>
      <c r="CR71" s="30"/>
      <c r="CS71" s="30"/>
      <c r="CT71" s="30"/>
      <c r="CU71" s="30"/>
      <c r="CV71" s="30"/>
      <c r="CW71" s="30"/>
      <c r="CX71" s="30"/>
      <c r="CY71" s="30"/>
      <c r="CZ71" s="30"/>
      <c r="DA71" s="30"/>
      <c r="DB71" s="30"/>
    </row>
    <row r="72" spans="1:106" x14ac:dyDescent="0.25">
      <c r="A72" s="49" t="s">
        <v>295</v>
      </c>
      <c r="B72" s="17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2"/>
      <c r="CH72" s="32"/>
      <c r="CI72" s="32"/>
      <c r="CJ72" s="32"/>
      <c r="CK72" s="32"/>
      <c r="CL72" s="32"/>
      <c r="CM72" s="32"/>
      <c r="CN72" s="32"/>
      <c r="CO72" s="32"/>
      <c r="CP72" s="32"/>
      <c r="CQ72" s="32"/>
      <c r="CR72" s="32"/>
      <c r="CS72" s="32"/>
      <c r="CT72" s="32"/>
      <c r="CU72" s="32"/>
      <c r="CV72" s="32"/>
      <c r="CW72" s="32"/>
      <c r="CX72" s="32"/>
      <c r="CY72" s="32"/>
      <c r="CZ72" s="32"/>
      <c r="DA72" s="32"/>
      <c r="DB72" s="32"/>
    </row>
    <row r="73" ht="15" customHeight="1" spans="1:106" x14ac:dyDescent="0.25">
      <c r="A73" s="16" t="s">
        <v>296</v>
      </c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</row>
    <row r="74" ht="15" customHeight="1" spans="1:106" x14ac:dyDescent="0.25">
      <c r="A74" s="16" t="s">
        <v>297</v>
      </c>
      <c r="B74" s="17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  <c r="BC74" s="50"/>
      <c r="BD74" s="50"/>
      <c r="BE74" s="50"/>
      <c r="BF74" s="50"/>
      <c r="BG74" s="50"/>
      <c r="BH74" s="50"/>
      <c r="BI74" s="50"/>
      <c r="BJ74" s="50"/>
      <c r="BK74" s="50"/>
      <c r="BL74" s="50"/>
      <c r="BM74" s="50"/>
      <c r="BN74" s="50"/>
      <c r="BO74" s="50"/>
      <c r="BP74" s="50"/>
      <c r="BQ74" s="50"/>
      <c r="BR74" s="50"/>
      <c r="BS74" s="50"/>
      <c r="BT74" s="50"/>
      <c r="BU74" s="50"/>
      <c r="BV74" s="50"/>
      <c r="BW74" s="50"/>
      <c r="BX74" s="50"/>
      <c r="BY74" s="50"/>
      <c r="BZ74" s="50"/>
      <c r="CA74" s="50"/>
      <c r="CB74" s="50"/>
      <c r="CC74" s="50"/>
      <c r="CD74" s="50"/>
      <c r="CE74" s="50"/>
      <c r="CF74" s="50"/>
      <c r="CG74" s="50"/>
      <c r="CH74" s="50"/>
      <c r="CI74" s="50"/>
      <c r="CJ74" s="50"/>
      <c r="CK74" s="50"/>
      <c r="CL74" s="50"/>
      <c r="CM74" s="50"/>
      <c r="CN74" s="50"/>
      <c r="CO74" s="50"/>
      <c r="CP74" s="50"/>
      <c r="CQ74" s="50"/>
      <c r="CR74" s="50"/>
      <c r="CS74" s="50"/>
      <c r="CT74" s="50"/>
      <c r="CU74" s="50"/>
      <c r="CV74" s="50"/>
      <c r="CW74" s="50"/>
      <c r="CX74" s="50"/>
      <c r="CY74" s="50"/>
      <c r="CZ74" s="50"/>
      <c r="DA74" s="50"/>
      <c r="DB74" s="50"/>
    </row>
    <row r="75" ht="15" customHeight="1" spans="1:106" x14ac:dyDescent="0.25">
      <c r="A75" s="51" t="s">
        <v>298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</row>
    <row r="76" ht="15" customHeight="1" spans="1:106" x14ac:dyDescent="0.25">
      <c r="A76" s="16" t="s">
        <v>299</v>
      </c>
      <c r="B76" s="17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50"/>
      <c r="AR76" s="50"/>
      <c r="AS76" s="50"/>
      <c r="AT76" s="50"/>
      <c r="AU76" s="50"/>
      <c r="AV76" s="50"/>
      <c r="AW76" s="50"/>
      <c r="AX76" s="50"/>
      <c r="AY76" s="50"/>
      <c r="AZ76" s="50"/>
      <c r="BA76" s="50"/>
      <c r="BB76" s="50"/>
      <c r="BC76" s="50"/>
      <c r="BD76" s="50"/>
      <c r="BE76" s="50"/>
      <c r="BF76" s="50"/>
      <c r="BG76" s="50"/>
      <c r="BH76" s="50"/>
      <c r="BI76" s="50"/>
      <c r="BJ76" s="50"/>
      <c r="BK76" s="50"/>
      <c r="BL76" s="50"/>
      <c r="BM76" s="50"/>
      <c r="BN76" s="50"/>
      <c r="BO76" s="50"/>
      <c r="BP76" s="50"/>
      <c r="BQ76" s="50"/>
      <c r="BR76" s="50"/>
      <c r="BS76" s="50"/>
      <c r="BT76" s="50"/>
      <c r="BU76" s="50"/>
      <c r="BV76" s="50"/>
      <c r="BW76" s="50"/>
      <c r="BX76" s="50"/>
      <c r="BY76" s="50"/>
      <c r="BZ76" s="50"/>
      <c r="CA76" s="50"/>
      <c r="CB76" s="50"/>
      <c r="CC76" s="50"/>
      <c r="CD76" s="50"/>
      <c r="CE76" s="50"/>
      <c r="CF76" s="50"/>
      <c r="CG76" s="50"/>
      <c r="CH76" s="50"/>
      <c r="CI76" s="50"/>
      <c r="CJ76" s="50"/>
      <c r="CK76" s="50"/>
      <c r="CL76" s="50"/>
      <c r="CM76" s="50"/>
      <c r="CN76" s="50"/>
      <c r="CO76" s="50"/>
      <c r="CP76" s="50"/>
      <c r="CQ76" s="50"/>
      <c r="CR76" s="50"/>
      <c r="CS76" s="50"/>
      <c r="CT76" s="50"/>
      <c r="CU76" s="50"/>
      <c r="CV76" s="50"/>
      <c r="CW76" s="50"/>
      <c r="CX76" s="50"/>
      <c r="CY76" s="50"/>
      <c r="CZ76" s="50"/>
      <c r="DA76" s="50"/>
      <c r="DB76" s="50"/>
    </row>
    <row r="77" ht="15" customHeight="1" spans="1:106" x14ac:dyDescent="0.25">
      <c r="A77" s="16" t="s">
        <v>300</v>
      </c>
      <c r="B77" s="17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50"/>
      <c r="BC77" s="50"/>
      <c r="BD77" s="50"/>
      <c r="BE77" s="50"/>
      <c r="BF77" s="50"/>
      <c r="BG77" s="50"/>
      <c r="BH77" s="50"/>
      <c r="BI77" s="50"/>
      <c r="BJ77" s="50"/>
      <c r="BK77" s="50"/>
      <c r="BL77" s="50"/>
      <c r="BM77" s="50"/>
      <c r="BN77" s="50"/>
      <c r="BO77" s="50"/>
      <c r="BP77" s="50"/>
      <c r="BQ77" s="50"/>
      <c r="BR77" s="50"/>
      <c r="BS77" s="50"/>
      <c r="BT77" s="50"/>
      <c r="BU77" s="50"/>
      <c r="BV77" s="50"/>
      <c r="BW77" s="50"/>
      <c r="BX77" s="50"/>
      <c r="BY77" s="50"/>
      <c r="BZ77" s="50"/>
      <c r="CA77" s="50"/>
      <c r="CB77" s="50"/>
      <c r="CC77" s="50"/>
      <c r="CD77" s="50"/>
      <c r="CE77" s="50"/>
      <c r="CF77" s="50"/>
      <c r="CG77" s="50"/>
      <c r="CH77" s="50"/>
      <c r="CI77" s="50"/>
      <c r="CJ77" s="50"/>
      <c r="CK77" s="50"/>
      <c r="CL77" s="50"/>
      <c r="CM77" s="50"/>
      <c r="CN77" s="50"/>
      <c r="CO77" s="50"/>
      <c r="CP77" s="50"/>
      <c r="CQ77" s="50"/>
      <c r="CR77" s="50"/>
      <c r="CS77" s="50"/>
      <c r="CT77" s="50"/>
      <c r="CU77" s="50"/>
      <c r="CV77" s="50"/>
      <c r="CW77" s="50"/>
      <c r="CX77" s="50"/>
      <c r="CY77" s="50"/>
      <c r="CZ77" s="50"/>
      <c r="DA77" s="50"/>
      <c r="DB77" s="50"/>
    </row>
    <row r="78" ht="15" customHeight="1" spans="1:106" x14ac:dyDescent="0.25">
      <c r="A78" s="16" t="s">
        <v>301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</row>
    <row r="79" spans="3:106" x14ac:dyDescent="0.25"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  <c r="BK79" s="30"/>
      <c r="BL79" s="30"/>
      <c r="BM79" s="30"/>
      <c r="BN79" s="30"/>
      <c r="BO79" s="30"/>
      <c r="BP79" s="30"/>
      <c r="BQ79" s="30"/>
      <c r="BR79" s="30"/>
      <c r="BS79" s="30"/>
      <c r="BT79" s="30"/>
      <c r="BU79" s="30"/>
      <c r="BV79" s="30"/>
      <c r="BW79" s="30"/>
      <c r="BX79" s="30"/>
      <c r="BY79" s="30"/>
      <c r="BZ79" s="30"/>
      <c r="CA79" s="30"/>
      <c r="CB79" s="30"/>
      <c r="CC79" s="30"/>
      <c r="CD79" s="30"/>
      <c r="CE79" s="30"/>
      <c r="CF79" s="30"/>
      <c r="CG79" s="30"/>
      <c r="CH79" s="30"/>
      <c r="CI79" s="30"/>
      <c r="CJ79" s="30"/>
      <c r="CK79" s="30"/>
      <c r="CL79" s="30"/>
      <c r="CM79" s="30"/>
      <c r="CN79" s="30"/>
      <c r="CO79" s="30"/>
      <c r="CP79" s="30"/>
      <c r="CQ79" s="30"/>
      <c r="CR79" s="30"/>
      <c r="CS79" s="30"/>
      <c r="CT79" s="30"/>
      <c r="CU79" s="30"/>
      <c r="CV79" s="30"/>
      <c r="CW79" s="30"/>
      <c r="CX79" s="30"/>
      <c r="CY79" s="30"/>
      <c r="CZ79" s="30"/>
      <c r="DA79" s="30"/>
      <c r="DB79" s="30"/>
    </row>
    <row r="80" spans="1:106" x14ac:dyDescent="0.25">
      <c r="A80" s="9" t="s">
        <v>302</v>
      </c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30"/>
      <c r="BN80" s="30"/>
      <c r="BO80" s="30"/>
      <c r="BP80" s="30"/>
      <c r="BQ80" s="30"/>
      <c r="BR80" s="30"/>
      <c r="BS80" s="30"/>
      <c r="BT80" s="30"/>
      <c r="BU80" s="30"/>
      <c r="BV80" s="30"/>
      <c r="BW80" s="30"/>
      <c r="BX80" s="30"/>
      <c r="BY80" s="30"/>
      <c r="BZ80" s="30"/>
      <c r="CA80" s="30"/>
      <c r="CB80" s="30"/>
      <c r="CC80" s="30"/>
      <c r="CD80" s="30"/>
      <c r="CE80" s="30"/>
      <c r="CF80" s="30"/>
      <c r="CG80" s="30"/>
      <c r="CH80" s="30"/>
      <c r="CI80" s="30"/>
      <c r="CJ80" s="30"/>
      <c r="CK80" s="30"/>
      <c r="CL80" s="30"/>
      <c r="CM80" s="30"/>
      <c r="CN80" s="30"/>
      <c r="CO80" s="30"/>
      <c r="CP80" s="30"/>
      <c r="CQ80" s="30"/>
      <c r="CR80" s="30"/>
      <c r="CS80" s="30"/>
      <c r="CT80" s="30"/>
      <c r="CU80" s="30"/>
      <c r="CV80" s="30"/>
      <c r="CW80" s="30"/>
      <c r="CX80" s="30"/>
      <c r="CY80" s="30"/>
      <c r="CZ80" s="30"/>
      <c r="DA80" s="30"/>
      <c r="DB80" s="30"/>
    </row>
    <row r="81" spans="1:106" x14ac:dyDescent="0.25">
      <c r="A81" s="33" t="s">
        <v>303</v>
      </c>
      <c r="B81" s="24"/>
      <c r="C81" s="52">
        <v>0</v>
      </c>
      <c r="D81" s="52">
        <v>0</v>
      </c>
      <c r="E81" s="52">
        <v>0</v>
      </c>
      <c r="F81" s="52">
        <v>0</v>
      </c>
      <c r="G81" s="52">
        <v>0</v>
      </c>
      <c r="H81" s="52">
        <v>0</v>
      </c>
      <c r="I81" s="52">
        <v>0</v>
      </c>
      <c r="J81" s="52">
        <v>0</v>
      </c>
      <c r="K81" s="52">
        <v>0</v>
      </c>
      <c r="L81" s="52">
        <v>0</v>
      </c>
      <c r="M81" s="52">
        <v>1</v>
      </c>
      <c r="N81" s="52">
        <v>0</v>
      </c>
      <c r="O81" s="52">
        <v>0</v>
      </c>
      <c r="P81" s="52">
        <v>0</v>
      </c>
      <c r="Q81" s="52">
        <v>6</v>
      </c>
      <c r="R81" s="52">
        <v>2</v>
      </c>
      <c r="S81" s="52">
        <v>0</v>
      </c>
      <c r="T81" s="52">
        <v>0</v>
      </c>
      <c r="U81" s="52">
        <v>0</v>
      </c>
      <c r="V81" s="52">
        <v>0</v>
      </c>
      <c r="W81" s="52">
        <v>0</v>
      </c>
      <c r="X81" s="52">
        <v>0</v>
      </c>
      <c r="Y81" s="52">
        <v>0</v>
      </c>
      <c r="Z81" s="52">
        <v>0</v>
      </c>
      <c r="AA81" s="52">
        <v>0</v>
      </c>
      <c r="AB81" s="52">
        <v>1</v>
      </c>
      <c r="AC81" s="52">
        <v>0</v>
      </c>
      <c r="AD81" s="52">
        <v>0</v>
      </c>
      <c r="AE81" s="52">
        <v>3</v>
      </c>
      <c r="AF81" s="52">
        <v>1</v>
      </c>
      <c r="AG81" s="52">
        <v>0</v>
      </c>
      <c r="AH81" s="52">
        <v>1</v>
      </c>
      <c r="AI81" s="52">
        <v>0</v>
      </c>
      <c r="AJ81" s="52">
        <v>0</v>
      </c>
      <c r="AK81" s="52">
        <v>1</v>
      </c>
      <c r="AL81" s="52">
        <v>3</v>
      </c>
      <c r="AM81" s="52">
        <v>0</v>
      </c>
      <c r="AN81" s="52">
        <v>0</v>
      </c>
      <c r="AO81" s="52">
        <v>0</v>
      </c>
      <c r="AP81" s="52">
        <v>0</v>
      </c>
      <c r="AQ81" s="52">
        <v>1</v>
      </c>
      <c r="AR81" s="52">
        <v>0</v>
      </c>
      <c r="AS81" s="52">
        <v>0</v>
      </c>
      <c r="AT81" s="52">
        <v>0</v>
      </c>
      <c r="AU81" s="52">
        <v>0</v>
      </c>
      <c r="AV81" s="52">
        <v>0</v>
      </c>
      <c r="AW81" s="52">
        <v>0</v>
      </c>
      <c r="AX81" s="52">
        <v>0</v>
      </c>
      <c r="AY81" s="52">
        <v>0</v>
      </c>
      <c r="AZ81" s="52">
        <v>0</v>
      </c>
      <c r="BA81" s="52">
        <v>0</v>
      </c>
      <c r="BB81" s="52">
        <v>0</v>
      </c>
      <c r="BC81" s="52">
        <v>0</v>
      </c>
      <c r="BD81" s="52">
        <v>0</v>
      </c>
      <c r="BE81" s="52">
        <v>0</v>
      </c>
      <c r="BF81" s="52">
        <v>0</v>
      </c>
      <c r="BG81" s="52">
        <v>0</v>
      </c>
      <c r="BH81" s="52">
        <v>0</v>
      </c>
      <c r="BI81" s="52">
        <v>0</v>
      </c>
      <c r="BJ81" s="52">
        <v>0</v>
      </c>
      <c r="BK81" s="52">
        <v>0</v>
      </c>
      <c r="BL81" s="52">
        <v>0</v>
      </c>
      <c r="BM81" s="52">
        <v>0</v>
      </c>
      <c r="BN81" s="53">
        <f>=SUM(BN82:BN96)</f>
        <v>0</v>
      </c>
      <c r="BO81" s="53">
        <f>=SUM(BO82:BO96)</f>
        <v>0</v>
      </c>
      <c r="BP81" s="53">
        <f>=SUM(BP82:BP96)</f>
        <v>0</v>
      </c>
      <c r="BQ81" s="53">
        <f>=SUM(BQ82:BQ96)</f>
        <v>0</v>
      </c>
      <c r="BR81" s="53">
        <f>=SUM(BR82:BR96)</f>
        <v>0</v>
      </c>
      <c r="BS81" s="53">
        <f>=SUM(BS82:BS96)</f>
        <v>0</v>
      </c>
      <c r="BT81" s="53">
        <f>=SUM(BT82:BT96)</f>
        <v>0</v>
      </c>
      <c r="BU81" s="53">
        <f>=SUM(BU82:BU96)</f>
        <v>0</v>
      </c>
      <c r="BV81" s="53">
        <f>=SUM(BV82:BV96)</f>
        <v>0</v>
      </c>
      <c r="BW81" s="53">
        <f>=SUM(BW82:BW96)</f>
        <v>0</v>
      </c>
      <c r="BX81" s="53">
        <f>=SUM(BX82:BX96)</f>
        <v>0</v>
      </c>
      <c r="BY81" s="53">
        <f>=SUM(BY82:BY96)</f>
        <v>0</v>
      </c>
      <c r="BZ81" s="53">
        <f>=SUM(BZ82:BZ96)</f>
        <v>0</v>
      </c>
      <c r="CA81" s="53">
        <f>=SUM(CA82:CA96)</f>
        <v>0</v>
      </c>
      <c r="CB81" s="53">
        <f>=SUM(CB82:CB96)</f>
        <v>0</v>
      </c>
      <c r="CC81" s="53">
        <f>=SUM(CC82:CC96)</f>
        <v>0</v>
      </c>
      <c r="CD81" s="53">
        <f>=SUM(CD82:CD96)</f>
        <v>0</v>
      </c>
      <c r="CE81" s="53">
        <f>=SUM(CE82:CE96)</f>
        <v>0</v>
      </c>
      <c r="CF81" s="53">
        <f>=SUM(CF82:CF96)</f>
        <v>0</v>
      </c>
      <c r="CG81" s="53">
        <f>=SUM(CG82:CG96)</f>
        <v>0</v>
      </c>
      <c r="CH81" s="53">
        <f>=SUM(CH82:CH96)</f>
        <v>0</v>
      </c>
      <c r="CI81" s="53">
        <f>=SUM(CI82:CI96)</f>
        <v>0</v>
      </c>
      <c r="CJ81" s="53">
        <f>=SUM(CJ82:CJ96)</f>
        <v>0</v>
      </c>
      <c r="CK81" s="53">
        <f>=SUM(CK82:CK96)</f>
        <v>0</v>
      </c>
      <c r="CL81" s="53">
        <f>=SUM(CL82:CL96)</f>
        <v>0</v>
      </c>
      <c r="CM81" s="53">
        <f>=SUM(CM82:CM96)</f>
        <v>0</v>
      </c>
      <c r="CN81" s="53">
        <f>=SUM(CN82:CN96)</f>
        <v>0</v>
      </c>
      <c r="CO81" s="53">
        <f>=SUM(CO82:CO96)</f>
        <v>0</v>
      </c>
      <c r="CP81" s="53">
        <f>=SUM(CP82:CP96)</f>
        <v>0</v>
      </c>
      <c r="CQ81" s="53">
        <f>=SUM(CQ82:CQ96)</f>
        <v>0</v>
      </c>
      <c r="CR81" s="53">
        <f>=SUM(CR82:CR96)</f>
        <v>0</v>
      </c>
      <c r="CS81" s="53">
        <f>=SUM(CS82:CS96)</f>
        <v>0</v>
      </c>
      <c r="CT81" s="53">
        <f>=SUM(CT82:CT96)</f>
        <v>0</v>
      </c>
      <c r="CU81" s="53">
        <f>=SUM(CU82:CU96)</f>
        <v>0</v>
      </c>
      <c r="CV81" s="53">
        <f>=SUM(CV82:CV96)</f>
        <v>0</v>
      </c>
      <c r="CW81" s="53">
        <f>=SUM(CW82:CW96)</f>
        <v>0</v>
      </c>
      <c r="CX81" s="53">
        <f>=SUM(CX82:CX96)</f>
        <v>0</v>
      </c>
      <c r="CY81" s="53">
        <f>=SUM(CY82:CY96)</f>
        <v>0</v>
      </c>
      <c r="CZ81" s="53">
        <f>=SUM(CZ82:CZ96)</f>
        <v>0</v>
      </c>
      <c r="DA81" s="53">
        <f>=SUM(DA82:DA96)</f>
        <v>0</v>
      </c>
      <c r="DB81" s="53">
        <f>=SUM(DB82:DB96)</f>
        <v>0</v>
      </c>
    </row>
    <row r="82" ht="16" customHeight="1" spans="1:111" x14ac:dyDescent="0.25">
      <c r="A82" s="50" t="s">
        <v>304</v>
      </c>
      <c r="C82" s="17">
        <v>0</v>
      </c>
      <c r="D82" s="17">
        <v>0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6</v>
      </c>
      <c r="R82" s="17">
        <v>1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  <c r="AE82" s="17">
        <v>0</v>
      </c>
      <c r="AF82" s="17">
        <v>0</v>
      </c>
      <c r="AG82" s="17">
        <v>0</v>
      </c>
      <c r="AH82" s="17">
        <v>0</v>
      </c>
      <c r="AI82" s="17">
        <v>0</v>
      </c>
      <c r="AJ82" s="17">
        <v>0</v>
      </c>
      <c r="AK82" s="17">
        <v>0</v>
      </c>
      <c r="AL82" s="17">
        <v>0</v>
      </c>
      <c r="AM82" s="17">
        <v>0</v>
      </c>
      <c r="AN82" s="17">
        <v>0</v>
      </c>
      <c r="AO82" s="17">
        <v>0</v>
      </c>
      <c r="AP82" s="17">
        <v>0</v>
      </c>
      <c r="AQ82" s="17">
        <v>0</v>
      </c>
      <c r="AR82" s="17">
        <v>0</v>
      </c>
      <c r="AS82" s="17">
        <v>0</v>
      </c>
      <c r="AT82" s="17">
        <v>0</v>
      </c>
      <c r="AU82" s="17">
        <v>0</v>
      </c>
      <c r="AV82" s="17">
        <v>0</v>
      </c>
      <c r="AW82" s="17">
        <v>0</v>
      </c>
      <c r="AX82" s="17">
        <v>0</v>
      </c>
      <c r="AY82" s="17">
        <v>0</v>
      </c>
      <c r="AZ82" s="17">
        <v>0</v>
      </c>
      <c r="BA82" s="17">
        <v>0</v>
      </c>
      <c r="BB82" s="17">
        <v>0</v>
      </c>
      <c r="BC82" s="17">
        <v>0</v>
      </c>
      <c r="BD82" s="17">
        <v>0</v>
      </c>
      <c r="BE82" s="17">
        <v>0</v>
      </c>
      <c r="BF82" s="17">
        <v>0</v>
      </c>
      <c r="BG82" s="17">
        <v>0</v>
      </c>
      <c r="BH82" s="17">
        <v>0</v>
      </c>
      <c r="BI82" s="17">
        <v>0</v>
      </c>
      <c r="BJ82" s="17">
        <v>0</v>
      </c>
      <c r="BK82" s="17">
        <v>0</v>
      </c>
      <c r="BL82" s="17">
        <v>0</v>
      </c>
      <c r="BM82" s="17">
        <v>0</v>
      </c>
      <c r="BN82" s="17">
        <v>0</v>
      </c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</row>
    <row r="83" ht="16" customHeight="1" spans="1:111" x14ac:dyDescent="0.25">
      <c r="A83" s="50" t="s">
        <v>306</v>
      </c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>
        <v>1</v>
      </c>
      <c r="N83" s="17"/>
      <c r="O83" s="17"/>
      <c r="P83" s="17"/>
      <c r="Q83" s="17"/>
      <c r="R83" s="17">
        <v>1</v>
      </c>
      <c r="S83" s="17"/>
      <c r="T83" s="17"/>
      <c r="U83" s="17"/>
      <c r="V83" s="17"/>
      <c r="W83" s="17"/>
      <c r="X83" s="17"/>
      <c r="Y83" s="17"/>
      <c r="Z83" s="17"/>
      <c r="AA83" s="17"/>
      <c r="AB83" s="17">
        <v>1</v>
      </c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</row>
    <row r="84" ht="16" customHeight="1" spans="1:111" x14ac:dyDescent="0.25">
      <c r="A84" s="50" t="s">
        <v>374</v>
      </c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</row>
    <row r="85" ht="16" customHeight="1" spans="1:111" x14ac:dyDescent="0.25">
      <c r="A85" s="50" t="s">
        <v>309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>
        <v>1</v>
      </c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</row>
    <row r="86" ht="16" customHeight="1" spans="1:111" x14ac:dyDescent="0.25">
      <c r="A86" s="59" t="s">
        <v>311</v>
      </c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</row>
    <row r="87" ht="16" customHeight="1" spans="1:111" x14ac:dyDescent="0.25">
      <c r="A87" s="59" t="s">
        <v>375</v>
      </c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>
        <v>2</v>
      </c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</row>
    <row r="88" ht="16" customHeight="1" spans="1:111" x14ac:dyDescent="0.25">
      <c r="A88" s="59" t="s">
        <v>376</v>
      </c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</row>
    <row r="89" ht="16" customHeight="1" spans="1:111" x14ac:dyDescent="0.25">
      <c r="A89" s="59" t="s">
        <v>0</v>
      </c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</row>
    <row r="90" ht="16" customHeight="1" spans="1:111" x14ac:dyDescent="0.25">
      <c r="A90" s="59" t="s">
        <v>314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>
        <v>1</v>
      </c>
      <c r="AF90" s="17"/>
      <c r="AG90" s="17"/>
      <c r="AH90" s="17">
        <v>1</v>
      </c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</row>
    <row r="91" ht="16" customHeight="1" spans="1:111" x14ac:dyDescent="0.25">
      <c r="A91" s="59" t="s">
        <v>315</v>
      </c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</row>
    <row r="92" ht="16" customHeight="1" spans="1:111" x14ac:dyDescent="0.25">
      <c r="A92" s="59" t="s">
        <v>316</v>
      </c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</row>
    <row r="93" ht="16" customHeight="1" spans="1:111" x14ac:dyDescent="0.25">
      <c r="A93" s="59" t="s">
        <v>372</v>
      </c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>
        <v>2</v>
      </c>
      <c r="AF93" s="17">
        <v>1</v>
      </c>
      <c r="AG93" s="17"/>
      <c r="AH93" s="17"/>
      <c r="AI93" s="17"/>
      <c r="AJ93" s="17"/>
      <c r="AK93" s="17"/>
      <c r="AL93" s="17">
        <v>1</v>
      </c>
      <c r="AM93" s="17"/>
      <c r="AN93" s="17"/>
      <c r="AO93" s="17"/>
      <c r="AP93" s="17"/>
      <c r="AQ93" s="17">
        <v>1</v>
      </c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</row>
    <row r="94" ht="17" customHeight="1" spans="1:111" x14ac:dyDescent="0.25">
      <c r="A94" s="59" t="s">
        <v>266</v>
      </c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</row>
    <row r="95" ht="17" customHeight="1" spans="1:111" x14ac:dyDescent="0.25">
      <c r="A95" s="59" t="s">
        <v>266</v>
      </c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</row>
    <row r="96" ht="16" customHeight="1" spans="1:111" x14ac:dyDescent="0.25">
      <c r="A96" s="50" t="s">
        <v>320</v>
      </c>
      <c r="C96" s="17">
        <v>0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3</v>
      </c>
      <c r="AF96" s="17">
        <v>1</v>
      </c>
      <c r="AG96" s="17">
        <v>0</v>
      </c>
      <c r="AH96" s="17">
        <v>1</v>
      </c>
      <c r="AI96" s="17">
        <v>0</v>
      </c>
      <c r="AJ96" s="17">
        <v>0</v>
      </c>
      <c r="AK96" s="17">
        <v>0</v>
      </c>
      <c r="AL96" s="17">
        <v>3</v>
      </c>
      <c r="AM96" s="17">
        <v>0</v>
      </c>
      <c r="AN96" s="17">
        <v>0</v>
      </c>
      <c r="AO96" s="17">
        <v>0</v>
      </c>
      <c r="AP96" s="17">
        <v>0</v>
      </c>
      <c r="AQ96" s="17">
        <v>1</v>
      </c>
      <c r="AR96" s="17">
        <v>0</v>
      </c>
      <c r="AS96" s="17">
        <v>0</v>
      </c>
      <c r="AT96" s="17">
        <v>0</v>
      </c>
      <c r="AU96" s="17">
        <v>0</v>
      </c>
      <c r="AV96" s="17">
        <v>0</v>
      </c>
      <c r="AW96" s="17">
        <v>0</v>
      </c>
      <c r="AX96" s="17">
        <v>0</v>
      </c>
      <c r="AY96" s="17">
        <v>0</v>
      </c>
      <c r="AZ96" s="17">
        <v>0</v>
      </c>
      <c r="BA96" s="17">
        <v>0</v>
      </c>
      <c r="BB96" s="17">
        <v>0</v>
      </c>
      <c r="BC96" s="17">
        <v>0</v>
      </c>
      <c r="BD96" s="17">
        <v>0</v>
      </c>
      <c r="BE96" s="17">
        <v>0</v>
      </c>
      <c r="BF96" s="17">
        <v>0</v>
      </c>
      <c r="BG96" s="17">
        <v>0</v>
      </c>
      <c r="BH96" s="17">
        <v>0</v>
      </c>
      <c r="BI96" s="17">
        <v>0</v>
      </c>
      <c r="BJ96" s="17">
        <v>0</v>
      </c>
      <c r="BK96" s="17">
        <v>0</v>
      </c>
      <c r="BL96" s="17">
        <v>0</v>
      </c>
      <c r="BM96" s="17">
        <v>0</v>
      </c>
      <c r="BN96" s="17">
        <v>0</v>
      </c>
      <c r="BO96" s="17">
        <v>0</v>
      </c>
      <c r="BP96" s="17">
        <v>0</v>
      </c>
      <c r="BQ96" s="17">
        <v>0</v>
      </c>
      <c r="BR96" s="17">
        <v>0</v>
      </c>
      <c r="BS96" s="17">
        <v>0</v>
      </c>
      <c r="BT96" s="17">
        <v>0</v>
      </c>
      <c r="BU96" s="17">
        <v>0</v>
      </c>
      <c r="BV96" s="17">
        <v>0</v>
      </c>
      <c r="BW96" s="17">
        <v>0</v>
      </c>
      <c r="BX96" s="17">
        <v>0</v>
      </c>
      <c r="BY96" s="17">
        <v>0</v>
      </c>
      <c r="BZ96" s="17">
        <v>0</v>
      </c>
      <c r="CA96" s="17">
        <v>0</v>
      </c>
      <c r="CB96" s="17">
        <v>0</v>
      </c>
      <c r="CC96" s="17">
        <v>0</v>
      </c>
      <c r="CD96" s="17">
        <v>0</v>
      </c>
      <c r="CE96" s="17">
        <v>0</v>
      </c>
      <c r="CF96" s="17">
        <v>0</v>
      </c>
      <c r="CG96" s="17">
        <v>0</v>
      </c>
      <c r="CH96" s="17">
        <v>0</v>
      </c>
      <c r="CI96" s="17">
        <v>0</v>
      </c>
      <c r="CJ96" s="17">
        <v>0</v>
      </c>
      <c r="CK96" s="17">
        <v>0</v>
      </c>
      <c r="CL96" s="17">
        <v>0</v>
      </c>
      <c r="CM96" s="17">
        <v>0</v>
      </c>
      <c r="CN96" s="17">
        <v>0</v>
      </c>
      <c r="CO96" s="17">
        <v>0</v>
      </c>
      <c r="CP96" s="17">
        <v>0</v>
      </c>
      <c r="CQ96" s="17">
        <v>0</v>
      </c>
      <c r="CR96" s="17">
        <v>0</v>
      </c>
      <c r="CS96" s="17">
        <v>0</v>
      </c>
      <c r="CT96" s="17">
        <v>0</v>
      </c>
      <c r="CU96" s="17">
        <v>0</v>
      </c>
      <c r="CV96" s="17">
        <v>0</v>
      </c>
      <c r="CW96" s="17">
        <v>0</v>
      </c>
      <c r="CX96" s="17">
        <v>0</v>
      </c>
      <c r="CY96" s="17">
        <v>0</v>
      </c>
      <c r="CZ96" s="17">
        <v>0</v>
      </c>
      <c r="DA96" s="17">
        <v>0</v>
      </c>
      <c r="DB96" s="17">
        <v>0</v>
      </c>
      <c r="DC96" s="17"/>
      <c r="DD96" s="17"/>
      <c r="DE96" s="17"/>
      <c r="DF96" s="17"/>
      <c r="DG96" s="17"/>
    </row>
    <row r="97" spans="1:106" x14ac:dyDescent="0.25">
      <c r="A97" s="33" t="s">
        <v>321</v>
      </c>
      <c r="B97" s="60"/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4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1</v>
      </c>
      <c r="R97" s="52">
        <v>0</v>
      </c>
      <c r="S97" s="52">
        <v>0</v>
      </c>
      <c r="T97" s="52">
        <v>0</v>
      </c>
      <c r="U97" s="52">
        <v>1</v>
      </c>
      <c r="V97" s="52">
        <v>0</v>
      </c>
      <c r="W97" s="52">
        <v>0</v>
      </c>
      <c r="X97" s="52">
        <v>0</v>
      </c>
      <c r="Y97" s="52">
        <v>0</v>
      </c>
      <c r="Z97" s="52">
        <v>0</v>
      </c>
      <c r="AA97" s="52">
        <v>0</v>
      </c>
      <c r="AB97" s="52">
        <v>0</v>
      </c>
      <c r="AC97" s="52">
        <v>0</v>
      </c>
      <c r="AD97" s="52">
        <v>1</v>
      </c>
      <c r="AE97" s="52">
        <v>0</v>
      </c>
      <c r="AF97" s="52">
        <v>0</v>
      </c>
      <c r="AG97" s="52">
        <v>0</v>
      </c>
      <c r="AH97" s="52">
        <v>3</v>
      </c>
      <c r="AI97" s="52">
        <v>0</v>
      </c>
      <c r="AJ97" s="52">
        <v>0</v>
      </c>
      <c r="AK97" s="52">
        <v>0</v>
      </c>
      <c r="AL97" s="52">
        <v>4</v>
      </c>
      <c r="AM97" s="52">
        <v>0</v>
      </c>
      <c r="AN97" s="52">
        <v>0</v>
      </c>
      <c r="AO97" s="52">
        <v>0</v>
      </c>
      <c r="AP97" s="52">
        <v>0</v>
      </c>
      <c r="AQ97" s="52">
        <v>0</v>
      </c>
      <c r="AR97" s="52">
        <v>0</v>
      </c>
      <c r="AS97" s="52">
        <v>1</v>
      </c>
      <c r="AT97" s="52">
        <v>0</v>
      </c>
      <c r="AU97" s="52">
        <v>0</v>
      </c>
      <c r="AV97" s="52">
        <v>0</v>
      </c>
      <c r="AW97" s="52">
        <v>0</v>
      </c>
      <c r="AX97" s="52">
        <v>0</v>
      </c>
      <c r="AY97" s="52">
        <v>0</v>
      </c>
      <c r="AZ97" s="52">
        <v>0</v>
      </c>
      <c r="BA97" s="52">
        <v>0</v>
      </c>
      <c r="BB97" s="52">
        <v>0</v>
      </c>
      <c r="BC97" s="52">
        <v>0</v>
      </c>
      <c r="BD97" s="52">
        <v>0</v>
      </c>
      <c r="BE97" s="52">
        <v>0</v>
      </c>
      <c r="BF97" s="52">
        <v>0</v>
      </c>
      <c r="BG97" s="52">
        <v>0</v>
      </c>
      <c r="BH97" s="52">
        <v>0</v>
      </c>
      <c r="BI97" s="52">
        <v>0</v>
      </c>
      <c r="BJ97" s="52">
        <v>0</v>
      </c>
      <c r="BK97" s="52">
        <v>0</v>
      </c>
      <c r="BL97" s="52">
        <v>0</v>
      </c>
      <c r="BM97" s="52">
        <v>0</v>
      </c>
      <c r="BN97" s="53">
        <f>=SUM(BN98:BN103)</f>
        <v>0</v>
      </c>
      <c r="BO97" s="53">
        <f>=SUM(BO98:BO103)</f>
        <v>0</v>
      </c>
      <c r="BP97" s="53">
        <f>=SUM(BP98:BP103)</f>
        <v>0</v>
      </c>
      <c r="BQ97" s="53">
        <f>=SUM(BQ98:BQ103)</f>
        <v>0</v>
      </c>
      <c r="BR97" s="53">
        <f>=SUM(BR98:BR103)</f>
        <v>0</v>
      </c>
      <c r="BS97" s="53">
        <f>=SUM(BS98:BS103)</f>
        <v>0</v>
      </c>
      <c r="BT97" s="53">
        <f>=SUM(BT98:BT103)</f>
        <v>0</v>
      </c>
      <c r="BU97" s="53">
        <f>=SUM(BU98:BU103)</f>
        <v>0</v>
      </c>
      <c r="BV97" s="53">
        <f>=SUM(BV98:BV103)</f>
        <v>0</v>
      </c>
      <c r="BW97" s="53">
        <f>=SUM(BW98:BW103)</f>
        <v>0</v>
      </c>
      <c r="BX97" s="53">
        <f>=SUM(BX98:BX103)</f>
        <v>0</v>
      </c>
      <c r="BY97" s="53">
        <f>=SUM(BY98:BY103)</f>
        <v>0</v>
      </c>
      <c r="BZ97" s="53">
        <f>=SUM(BZ98:BZ103)</f>
        <v>0</v>
      </c>
      <c r="CA97" s="53">
        <f>=SUM(CA98:CA103)</f>
        <v>0</v>
      </c>
      <c r="CB97" s="53">
        <f>=SUM(CB98:CB103)</f>
        <v>0</v>
      </c>
      <c r="CC97" s="53">
        <f>=SUM(CC98:CC103)</f>
        <v>0</v>
      </c>
      <c r="CD97" s="53">
        <f>=SUM(CD98:CD103)</f>
        <v>0</v>
      </c>
      <c r="CE97" s="53">
        <f>=SUM(CE98:CE103)</f>
        <v>0</v>
      </c>
      <c r="CF97" s="53">
        <f>=SUM(CF98:CF103)</f>
        <v>0</v>
      </c>
      <c r="CG97" s="53">
        <f>=SUM(CG98:CG103)</f>
        <v>0</v>
      </c>
      <c r="CH97" s="53">
        <f>=SUM(CH98:CH103)</f>
        <v>0</v>
      </c>
      <c r="CI97" s="53">
        <f>=SUM(CI98:CI103)</f>
        <v>0</v>
      </c>
      <c r="CJ97" s="53">
        <f>=SUM(CJ98:CJ103)</f>
        <v>0</v>
      </c>
      <c r="CK97" s="53">
        <f>=SUM(CK98:CK103)</f>
        <v>0</v>
      </c>
      <c r="CL97" s="53">
        <f>=SUM(CL98:CL103)</f>
        <v>0</v>
      </c>
      <c r="CM97" s="53">
        <f>=SUM(CM98:CM103)</f>
        <v>0</v>
      </c>
      <c r="CN97" s="53">
        <f>=SUM(CN98:CN103)</f>
        <v>0</v>
      </c>
      <c r="CO97" s="53">
        <f>=SUM(CO98:CO103)</f>
        <v>0</v>
      </c>
      <c r="CP97" s="53">
        <f>=SUM(CP98:CP103)</f>
        <v>0</v>
      </c>
      <c r="CQ97" s="53">
        <f>=SUM(CQ98:CQ103)</f>
        <v>0</v>
      </c>
      <c r="CR97" s="53">
        <f>=SUM(CR98:CR103)</f>
        <v>0</v>
      </c>
      <c r="CS97" s="53">
        <f>=SUM(CS98:CS103)</f>
        <v>0</v>
      </c>
      <c r="CT97" s="53">
        <f>=SUM(CT98:CT103)</f>
        <v>0</v>
      </c>
      <c r="CU97" s="53">
        <f>=SUM(CU98:CU103)</f>
        <v>0</v>
      </c>
      <c r="CV97" s="53">
        <f>=SUM(CV98:CV103)</f>
        <v>0</v>
      </c>
      <c r="CW97" s="53">
        <f>=SUM(CW98:CW103)</f>
        <v>0</v>
      </c>
      <c r="CX97" s="53">
        <f>=SUM(CX98:CX103)</f>
        <v>0</v>
      </c>
      <c r="CY97" s="53">
        <f>=SUM(CY98:CY103)</f>
        <v>0</v>
      </c>
      <c r="CZ97" s="53">
        <f>=SUM(CZ98:CZ103)</f>
        <v>0</v>
      </c>
      <c r="DA97" s="53">
        <f>=SUM(DA98:DA103)</f>
        <v>0</v>
      </c>
      <c r="DB97" s="53">
        <f>=SUM(DB98:DB103)</f>
        <v>0</v>
      </c>
    </row>
    <row r="98" spans="1:111" x14ac:dyDescent="0.25">
      <c r="A98" s="57" t="s">
        <v>322</v>
      </c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>
        <v>1</v>
      </c>
      <c r="R98" s="17"/>
      <c r="S98" s="17"/>
      <c r="T98" s="17"/>
      <c r="U98" s="17">
        <v>1</v>
      </c>
      <c r="V98" s="17"/>
      <c r="W98" s="17"/>
      <c r="X98" s="17"/>
      <c r="Y98" s="17"/>
      <c r="Z98" s="17"/>
      <c r="AA98" s="17"/>
      <c r="AB98" s="17"/>
      <c r="AC98" s="17"/>
      <c r="AD98" s="17">
        <v>1</v>
      </c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</row>
    <row r="99" spans="1:111" x14ac:dyDescent="0.25">
      <c r="A99" s="57" t="s">
        <v>377</v>
      </c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</row>
    <row r="100" spans="1:111" x14ac:dyDescent="0.25">
      <c r="A100" s="57" t="s">
        <v>325</v>
      </c>
      <c r="C100" s="17">
        <v>0</v>
      </c>
      <c r="D100" s="17">
        <v>0</v>
      </c>
      <c r="E100" s="17">
        <v>0</v>
      </c>
      <c r="F100" s="17">
        <v>0</v>
      </c>
      <c r="G100" s="17">
        <v>0</v>
      </c>
      <c r="H100" s="17">
        <v>4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  <c r="AG100" s="17">
        <v>0</v>
      </c>
      <c r="AH100" s="17">
        <v>3</v>
      </c>
      <c r="AI100" s="17">
        <v>0</v>
      </c>
      <c r="AJ100" s="17">
        <v>0</v>
      </c>
      <c r="AK100" s="17">
        <v>0</v>
      </c>
      <c r="AL100" s="17">
        <v>4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17">
        <v>0</v>
      </c>
      <c r="AS100" s="17">
        <v>1</v>
      </c>
      <c r="AT100" s="17">
        <v>0</v>
      </c>
      <c r="AU100" s="17">
        <v>0</v>
      </c>
      <c r="AV100" s="17">
        <v>0</v>
      </c>
      <c r="AW100" s="17">
        <v>0</v>
      </c>
      <c r="AX100" s="17">
        <v>0</v>
      </c>
      <c r="AY100" s="17">
        <v>0</v>
      </c>
      <c r="AZ100" s="17">
        <v>0</v>
      </c>
      <c r="BA100" s="17">
        <v>0</v>
      </c>
      <c r="BB100" s="17">
        <v>0</v>
      </c>
      <c r="BC100" s="17">
        <v>0</v>
      </c>
      <c r="BD100" s="17">
        <v>0</v>
      </c>
      <c r="BE100" s="17">
        <v>0</v>
      </c>
      <c r="BF100" s="17">
        <v>0</v>
      </c>
      <c r="BG100" s="17">
        <v>0</v>
      </c>
      <c r="BH100" s="17">
        <v>0</v>
      </c>
      <c r="BI100" s="17">
        <v>0</v>
      </c>
      <c r="BJ100" s="17">
        <v>0</v>
      </c>
      <c r="BK100" s="17">
        <v>0</v>
      </c>
      <c r="BL100" s="17">
        <v>0</v>
      </c>
      <c r="BM100" s="17">
        <v>0</v>
      </c>
      <c r="BN100" s="17">
        <v>0</v>
      </c>
      <c r="BO100" s="17">
        <v>0</v>
      </c>
      <c r="BP100" s="17">
        <v>0</v>
      </c>
      <c r="BQ100" s="17">
        <v>0</v>
      </c>
      <c r="BR100" s="17">
        <v>0</v>
      </c>
      <c r="BS100" s="17">
        <v>0</v>
      </c>
      <c r="BT100" s="17">
        <v>0</v>
      </c>
      <c r="BU100" s="17">
        <v>0</v>
      </c>
      <c r="BV100" s="17">
        <v>0</v>
      </c>
      <c r="BW100" s="17">
        <v>0</v>
      </c>
      <c r="BX100" s="17">
        <v>0</v>
      </c>
      <c r="BY100" s="17">
        <v>0</v>
      </c>
      <c r="BZ100" s="17">
        <v>0</v>
      </c>
      <c r="CA100" s="17">
        <v>0</v>
      </c>
      <c r="CB100" s="17">
        <v>0</v>
      </c>
      <c r="CC100" s="17">
        <v>0</v>
      </c>
      <c r="CD100" s="17">
        <v>0</v>
      </c>
      <c r="CE100" s="17">
        <v>0</v>
      </c>
      <c r="CF100" s="17">
        <v>0</v>
      </c>
      <c r="CG100" s="17">
        <v>0</v>
      </c>
      <c r="CH100" s="17">
        <v>0</v>
      </c>
      <c r="CI100" s="17">
        <v>0</v>
      </c>
      <c r="CJ100" s="17">
        <v>0</v>
      </c>
      <c r="CK100" s="17">
        <v>0</v>
      </c>
      <c r="CL100" s="17">
        <v>0</v>
      </c>
      <c r="CM100" s="17">
        <v>0</v>
      </c>
      <c r="CN100" s="17">
        <v>0</v>
      </c>
      <c r="CO100" s="17">
        <v>0</v>
      </c>
      <c r="CP100" s="17">
        <v>0</v>
      </c>
      <c r="CQ100" s="17">
        <v>0</v>
      </c>
      <c r="CR100" s="17">
        <v>0</v>
      </c>
      <c r="CS100" s="17">
        <v>0</v>
      </c>
      <c r="CT100" s="17">
        <v>0</v>
      </c>
      <c r="CU100" s="17">
        <v>0</v>
      </c>
      <c r="CV100" s="17">
        <v>0</v>
      </c>
      <c r="CW100" s="17">
        <v>0</v>
      </c>
      <c r="CX100" s="17">
        <v>0</v>
      </c>
      <c r="CY100" s="17">
        <v>0</v>
      </c>
      <c r="CZ100" s="17">
        <v>0</v>
      </c>
      <c r="DA100" s="17">
        <v>0</v>
      </c>
      <c r="DB100" s="17">
        <v>0</v>
      </c>
      <c r="DC100" s="17"/>
      <c r="DD100" s="17"/>
      <c r="DE100" s="17"/>
      <c r="DF100" s="17"/>
      <c r="DG100" s="17"/>
    </row>
    <row r="101" spans="1:111" x14ac:dyDescent="0.25">
      <c r="A101" s="57" t="s">
        <v>326</v>
      </c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</row>
    <row r="102" spans="1:106" x14ac:dyDescent="0.25">
      <c r="A102" s="57" t="s">
        <v>266</v>
      </c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30"/>
      <c r="BO102" s="30"/>
      <c r="BP102" s="30"/>
      <c r="BQ102" s="30"/>
      <c r="BR102" s="30"/>
      <c r="BS102" s="30"/>
      <c r="BT102" s="30"/>
      <c r="BU102" s="30"/>
      <c r="BV102" s="30"/>
      <c r="BW102" s="30"/>
      <c r="BX102" s="30"/>
      <c r="BY102" s="30"/>
      <c r="BZ102" s="30"/>
      <c r="CA102" s="30"/>
      <c r="CB102" s="30"/>
      <c r="CC102" s="30"/>
      <c r="CD102" s="30"/>
      <c r="CE102" s="30"/>
      <c r="CF102" s="30"/>
      <c r="CG102" s="30"/>
      <c r="CH102" s="30"/>
      <c r="CI102" s="30"/>
      <c r="CJ102" s="30"/>
      <c r="CK102" s="30"/>
      <c r="CL102" s="30"/>
      <c r="CM102" s="30"/>
      <c r="CN102" s="30"/>
      <c r="CO102" s="30"/>
      <c r="CP102" s="30"/>
      <c r="CQ102" s="30"/>
      <c r="CR102" s="30"/>
      <c r="CS102" s="30"/>
      <c r="CT102" s="30"/>
      <c r="CU102" s="30"/>
      <c r="CV102" s="30"/>
      <c r="CW102" s="30"/>
      <c r="CX102" s="30"/>
      <c r="CY102" s="30"/>
      <c r="CZ102" s="30"/>
      <c r="DA102" s="30"/>
      <c r="DB102" s="30"/>
    </row>
    <row r="103" spans="1:106" x14ac:dyDescent="0.25">
      <c r="A103" s="57" t="s">
        <v>266</v>
      </c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30"/>
      <c r="BO103" s="30"/>
      <c r="BP103" s="30"/>
      <c r="BQ103" s="30"/>
      <c r="BR103" s="30"/>
      <c r="BS103" s="30"/>
      <c r="BT103" s="30"/>
      <c r="BU103" s="30"/>
      <c r="BV103" s="30"/>
      <c r="BW103" s="30"/>
      <c r="BX103" s="30"/>
      <c r="BY103" s="30"/>
      <c r="BZ103" s="30"/>
      <c r="CA103" s="30"/>
      <c r="CB103" s="30"/>
      <c r="CC103" s="30"/>
      <c r="CD103" s="30"/>
      <c r="CE103" s="30"/>
      <c r="CF103" s="30"/>
      <c r="CG103" s="30"/>
      <c r="CH103" s="30"/>
      <c r="CI103" s="30"/>
      <c r="CJ103" s="30"/>
      <c r="CK103" s="30"/>
      <c r="CL103" s="30"/>
      <c r="CM103" s="30"/>
      <c r="CN103" s="30"/>
      <c r="CO103" s="30"/>
      <c r="CP103" s="30"/>
      <c r="CQ103" s="30"/>
      <c r="CR103" s="30"/>
      <c r="CS103" s="30"/>
      <c r="CT103" s="30"/>
      <c r="CU103" s="30"/>
      <c r="CV103" s="30"/>
      <c r="CW103" s="30"/>
      <c r="CX103" s="30"/>
      <c r="CY103" s="30"/>
      <c r="CZ103" s="30"/>
      <c r="DA103" s="30"/>
      <c r="DB103" s="30"/>
    </row>
    <row r="104" spans="3:106" x14ac:dyDescent="0.25"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30"/>
      <c r="BO104" s="30"/>
      <c r="BP104" s="30"/>
      <c r="BQ104" s="30"/>
      <c r="BR104" s="30"/>
      <c r="BS104" s="30"/>
      <c r="BT104" s="30"/>
      <c r="BU104" s="30"/>
      <c r="BV104" s="30"/>
      <c r="BW104" s="30"/>
      <c r="BX104" s="30"/>
      <c r="BY104" s="30"/>
      <c r="BZ104" s="30"/>
      <c r="CA104" s="30"/>
      <c r="CB104" s="30"/>
      <c r="CC104" s="30"/>
      <c r="CD104" s="30"/>
      <c r="CE104" s="30"/>
      <c r="CF104" s="30"/>
      <c r="CG104" s="30"/>
      <c r="CH104" s="30"/>
      <c r="CI104" s="30"/>
      <c r="CJ104" s="30"/>
      <c r="CK104" s="30"/>
      <c r="CL104" s="30"/>
      <c r="CM104" s="30"/>
      <c r="CN104" s="30"/>
      <c r="CO104" s="30"/>
      <c r="CP104" s="30"/>
      <c r="CQ104" s="30"/>
      <c r="CR104" s="30"/>
      <c r="CS104" s="30"/>
      <c r="CT104" s="30"/>
      <c r="CU104" s="30"/>
      <c r="CV104" s="30"/>
      <c r="CW104" s="30"/>
      <c r="CX104" s="30"/>
      <c r="CY104" s="30"/>
      <c r="CZ104" s="30"/>
      <c r="DA104" s="30"/>
      <c r="DB104" s="30"/>
    </row>
    <row r="105" ht="15" customHeight="1" spans="1:106" x14ac:dyDescent="0.25">
      <c r="A105" s="9" t="s">
        <v>327</v>
      </c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32"/>
      <c r="BO105" s="32"/>
      <c r="BP105" s="32"/>
      <c r="BQ105" s="32"/>
      <c r="BR105" s="32"/>
      <c r="BS105" s="32"/>
      <c r="BT105" s="32"/>
      <c r="BU105" s="32"/>
      <c r="BV105" s="32"/>
      <c r="BW105" s="32"/>
      <c r="BX105" s="32"/>
      <c r="BY105" s="32"/>
      <c r="BZ105" s="32"/>
      <c r="CA105" s="32"/>
      <c r="CB105" s="32"/>
      <c r="CC105" s="32"/>
      <c r="CD105" s="32"/>
      <c r="CE105" s="32"/>
      <c r="CF105" s="32"/>
      <c r="CG105" s="32"/>
      <c r="CH105" s="32"/>
      <c r="CI105" s="32"/>
      <c r="CJ105" s="32"/>
      <c r="CK105" s="32"/>
      <c r="CL105" s="32"/>
      <c r="CM105" s="32"/>
      <c r="CN105" s="32"/>
      <c r="CO105" s="32"/>
      <c r="CP105" s="32"/>
      <c r="CQ105" s="32"/>
      <c r="CR105" s="32"/>
      <c r="CS105" s="32"/>
      <c r="CT105" s="32"/>
      <c r="CU105" s="32"/>
      <c r="CV105" s="32"/>
      <c r="CW105" s="32"/>
      <c r="CX105" s="32"/>
      <c r="CY105" s="32"/>
      <c r="CZ105" s="32"/>
      <c r="DA105" s="32"/>
      <c r="DB105" s="32"/>
    </row>
    <row r="106" ht="16" customHeight="1" spans="1:106" x14ac:dyDescent="0.25">
      <c r="A106" s="61" t="s">
        <v>328</v>
      </c>
      <c r="B106" s="13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5"/>
    </row>
    <row r="107" ht="16" customHeight="1" spans="1:106" x14ac:dyDescent="0.25">
      <c r="A107" s="62" t="s">
        <v>329</v>
      </c>
      <c r="B107" s="24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  <c r="AA107" s="63"/>
      <c r="AB107" s="63"/>
      <c r="AC107" s="63"/>
      <c r="AD107" s="63"/>
      <c r="AE107" s="63"/>
      <c r="AF107" s="63"/>
      <c r="AG107" s="63"/>
      <c r="AH107" s="63"/>
      <c r="AI107" s="63"/>
      <c r="AJ107" s="63"/>
      <c r="AK107" s="63"/>
      <c r="AL107" s="63"/>
      <c r="AM107" s="63"/>
      <c r="AN107" s="63"/>
      <c r="AO107" s="63"/>
      <c r="AP107" s="63"/>
      <c r="AQ107" s="63"/>
      <c r="AR107" s="63"/>
      <c r="AS107" s="63"/>
      <c r="AT107" s="63"/>
      <c r="AU107" s="63"/>
      <c r="AV107" s="63"/>
      <c r="AW107" s="63"/>
      <c r="AX107" s="63"/>
      <c r="AY107" s="63"/>
      <c r="AZ107" s="63"/>
      <c r="BA107" s="63"/>
      <c r="BB107" s="63"/>
      <c r="BC107" s="63"/>
      <c r="BD107" s="63"/>
      <c r="BE107" s="63"/>
      <c r="BF107" s="63"/>
      <c r="BG107" s="63"/>
      <c r="BH107" s="63"/>
      <c r="BI107" s="63"/>
      <c r="BJ107" s="63"/>
      <c r="BK107" s="63"/>
      <c r="BL107" s="63"/>
      <c r="BM107" s="63"/>
      <c r="BN107" s="63"/>
      <c r="BO107" s="63"/>
      <c r="BP107" s="63"/>
      <c r="BQ107" s="63"/>
      <c r="BR107" s="63"/>
      <c r="BS107" s="63"/>
      <c r="BT107" s="63"/>
      <c r="BU107" s="63"/>
      <c r="BV107" s="63"/>
      <c r="BW107" s="63"/>
      <c r="BX107" s="63"/>
      <c r="BY107" s="63"/>
      <c r="BZ107" s="63"/>
      <c r="CA107" s="63"/>
      <c r="CB107" s="63"/>
      <c r="CC107" s="63"/>
      <c r="CD107" s="63"/>
      <c r="CE107" s="63"/>
      <c r="CF107" s="63"/>
      <c r="CG107" s="63"/>
      <c r="CH107" s="63"/>
      <c r="CI107" s="63"/>
      <c r="CJ107" s="63"/>
      <c r="CK107" s="63"/>
      <c r="CL107" s="63"/>
      <c r="CM107" s="63"/>
      <c r="CN107" s="63"/>
      <c r="CO107" s="63"/>
      <c r="CP107" s="63"/>
      <c r="CQ107" s="63"/>
      <c r="CR107" s="63"/>
      <c r="CS107" s="63"/>
      <c r="CT107" s="63"/>
      <c r="CU107" s="63"/>
      <c r="CV107" s="63"/>
      <c r="CW107" s="63"/>
      <c r="CX107" s="63"/>
      <c r="CY107" s="63"/>
      <c r="CZ107" s="63"/>
      <c r="DA107" s="63"/>
      <c r="DB107" s="63"/>
    </row>
    <row r="108" ht="15" customHeight="1" spans="1:106" x14ac:dyDescent="0.25">
      <c r="A108" s="16" t="s">
        <v>330</v>
      </c>
      <c r="B108" s="17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50"/>
      <c r="AL108" s="50"/>
      <c r="AM108" s="50"/>
      <c r="AN108" s="50"/>
      <c r="AO108" s="50"/>
      <c r="AP108" s="50"/>
      <c r="AQ108" s="50"/>
      <c r="AR108" s="50"/>
      <c r="AS108" s="50"/>
      <c r="AT108" s="50"/>
      <c r="AU108" s="50"/>
      <c r="AV108" s="50"/>
      <c r="AW108" s="50"/>
      <c r="AX108" s="50"/>
      <c r="AY108" s="50"/>
      <c r="AZ108" s="50"/>
      <c r="BA108" s="50"/>
      <c r="BB108" s="50"/>
      <c r="BC108" s="50"/>
      <c r="BD108" s="50"/>
      <c r="BE108" s="50"/>
      <c r="BF108" s="50"/>
      <c r="BG108" s="50"/>
      <c r="BH108" s="50"/>
      <c r="BI108" s="50"/>
      <c r="BJ108" s="50"/>
      <c r="BK108" s="50"/>
      <c r="BL108" s="50"/>
      <c r="BM108" s="50"/>
      <c r="BN108" s="50"/>
      <c r="BO108" s="50"/>
      <c r="BP108" s="50"/>
      <c r="BQ108" s="50"/>
      <c r="BR108" s="50"/>
      <c r="BS108" s="50"/>
      <c r="BT108" s="50"/>
      <c r="BU108" s="50"/>
      <c r="BV108" s="50"/>
      <c r="BW108" s="50"/>
      <c r="BX108" s="50"/>
      <c r="BY108" s="50"/>
      <c r="BZ108" s="50"/>
      <c r="CA108" s="50"/>
      <c r="CB108" s="50"/>
      <c r="CC108" s="50"/>
      <c r="CD108" s="50"/>
      <c r="CE108" s="50"/>
      <c r="CF108" s="50"/>
      <c r="CG108" s="50"/>
      <c r="CH108" s="50"/>
      <c r="CI108" s="50"/>
      <c r="CJ108" s="50"/>
      <c r="CK108" s="50"/>
      <c r="CL108" s="50"/>
      <c r="CM108" s="50"/>
      <c r="CN108" s="50"/>
      <c r="CO108" s="50"/>
      <c r="CP108" s="50"/>
      <c r="CQ108" s="50"/>
      <c r="CR108" s="50"/>
      <c r="CS108" s="50"/>
      <c r="CT108" s="50"/>
      <c r="CU108" s="50"/>
      <c r="CV108" s="50"/>
      <c r="CW108" s="50"/>
      <c r="CX108" s="50"/>
      <c r="CY108" s="50"/>
      <c r="CZ108" s="50"/>
      <c r="DA108" s="50"/>
      <c r="DB108" s="50"/>
    </row>
    <row r="109" ht="16" customHeight="1" spans="1:106" x14ac:dyDescent="0.25">
      <c r="A109" s="16" t="s">
        <v>331</v>
      </c>
      <c r="B109" s="17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  <c r="AL109" s="50"/>
      <c r="AM109" s="50"/>
      <c r="AN109" s="50"/>
      <c r="AO109" s="50"/>
      <c r="AP109" s="50"/>
      <c r="AQ109" s="50"/>
      <c r="AR109" s="50"/>
      <c r="AS109" s="50"/>
      <c r="AT109" s="50"/>
      <c r="AU109" s="50"/>
      <c r="AV109" s="50"/>
      <c r="AW109" s="50"/>
      <c r="AX109" s="50"/>
      <c r="AY109" s="50"/>
      <c r="AZ109" s="50"/>
      <c r="BA109" s="50"/>
      <c r="BB109" s="50"/>
      <c r="BC109" s="50"/>
      <c r="BD109" s="50"/>
      <c r="BE109" s="50"/>
      <c r="BF109" s="50"/>
      <c r="BG109" s="50"/>
      <c r="BH109" s="50"/>
      <c r="BI109" s="50"/>
      <c r="BJ109" s="50"/>
      <c r="BK109" s="50"/>
      <c r="BL109" s="50"/>
      <c r="BM109" s="50"/>
      <c r="BN109" s="50"/>
      <c r="BO109" s="50"/>
      <c r="BP109" s="50"/>
      <c r="BQ109" s="50"/>
      <c r="BR109" s="50"/>
      <c r="BS109" s="50"/>
      <c r="BT109" s="50"/>
      <c r="BU109" s="50"/>
      <c r="BV109" s="50"/>
      <c r="BW109" s="50"/>
      <c r="BX109" s="50"/>
      <c r="BY109" s="50"/>
      <c r="BZ109" s="50"/>
      <c r="CA109" s="50"/>
      <c r="CB109" s="50"/>
      <c r="CC109" s="50"/>
      <c r="CD109" s="50"/>
      <c r="CE109" s="50"/>
      <c r="CF109" s="50"/>
      <c r="CG109" s="50"/>
      <c r="CH109" s="50"/>
      <c r="CI109" s="50"/>
      <c r="CJ109" s="50"/>
      <c r="CK109" s="50"/>
      <c r="CL109" s="50"/>
      <c r="CM109" s="50"/>
      <c r="CN109" s="50"/>
      <c r="CO109" s="50"/>
      <c r="CP109" s="50"/>
      <c r="CQ109" s="50"/>
      <c r="CR109" s="50"/>
      <c r="CS109" s="50"/>
      <c r="CT109" s="50"/>
      <c r="CU109" s="50"/>
      <c r="CV109" s="50"/>
      <c r="CW109" s="50"/>
      <c r="CX109" s="50"/>
      <c r="CY109" s="50"/>
      <c r="CZ109" s="50"/>
      <c r="DA109" s="50"/>
      <c r="DB109" s="50"/>
    </row>
    <row r="110" ht="16" customHeight="1" spans="1:106" x14ac:dyDescent="0.25">
      <c r="A110" s="20" t="s">
        <v>332</v>
      </c>
      <c r="B110" s="13"/>
      <c r="C110" s="64">
        <f>=IFERROR(C109/C108,0)</f>
        <v>0</v>
      </c>
      <c r="D110" s="64">
        <f>=IFERROR(D109/D108,0)</f>
        <v>0</v>
      </c>
      <c r="E110" s="64">
        <f>=IFERROR(E109/E108,0)</f>
        <v>0</v>
      </c>
      <c r="F110" s="64">
        <f>=IFERROR(F109/F108,0)</f>
        <v>0</v>
      </c>
      <c r="G110" s="64">
        <f>=IFERROR(G109/G108,0)</f>
        <v>0</v>
      </c>
      <c r="H110" s="64">
        <f>=IFERROR(H109/H108,0)</f>
        <v>0</v>
      </c>
      <c r="I110" s="64">
        <f>=IFERROR(I109/I108,0)</f>
        <v>0</v>
      </c>
      <c r="J110" s="64">
        <f>=IFERROR(J109/J108,0)</f>
        <v>0</v>
      </c>
      <c r="K110" s="64">
        <f>=IFERROR(K109/K108,0)</f>
        <v>0</v>
      </c>
      <c r="L110" s="64">
        <f>=IFERROR(L109/L108,0)</f>
        <v>0</v>
      </c>
      <c r="M110" s="64">
        <f>=IFERROR(M109/M108,0)</f>
        <v>0</v>
      </c>
      <c r="N110" s="64">
        <f>=IFERROR(N109/N108,0)</f>
        <v>0</v>
      </c>
      <c r="O110" s="64">
        <f>=IFERROR(O109/O108,0)</f>
        <v>0</v>
      </c>
      <c r="P110" s="64">
        <f>=IFERROR(P109/P108,0)</f>
        <v>0</v>
      </c>
      <c r="Q110" s="64">
        <f>=IFERROR(Q109/Q108,0)</f>
        <v>0</v>
      </c>
      <c r="R110" s="64">
        <f>=IFERROR(R109/R108,0)</f>
        <v>0</v>
      </c>
      <c r="S110" s="64">
        <f>=IFERROR(S109/S108,0)</f>
        <v>0</v>
      </c>
      <c r="T110" s="64">
        <f>=IFERROR(T109/T108,0)</f>
        <v>0</v>
      </c>
      <c r="U110" s="64">
        <f>=IFERROR(U109/U108,0)</f>
        <v>0</v>
      </c>
      <c r="V110" s="64">
        <f>=IFERROR(V109/V108,0)</f>
        <v>0</v>
      </c>
      <c r="W110" s="64">
        <f>=IFERROR(W109/W108,0)</f>
        <v>0</v>
      </c>
      <c r="X110" s="64">
        <f>=IFERROR(X109/X108,0)</f>
        <v>0</v>
      </c>
      <c r="Y110" s="64">
        <f>=IFERROR(Y109/Y108,0)</f>
        <v>0</v>
      </c>
      <c r="Z110" s="64">
        <f>=IFERROR(Z109/Z108,0)</f>
        <v>0</v>
      </c>
      <c r="AA110" s="64">
        <f>=IFERROR(AA109/AA108,0)</f>
        <v>0</v>
      </c>
      <c r="AB110" s="64">
        <f>=IFERROR(AB109/AB108,0)</f>
        <v>0</v>
      </c>
      <c r="AC110" s="64">
        <f>=IFERROR(AC109/AC108,0)</f>
        <v>0</v>
      </c>
      <c r="AD110" s="64">
        <f>=IFERROR(AD109/AD108,0)</f>
        <v>0</v>
      </c>
      <c r="AE110" s="64">
        <f>=IFERROR(AE109/AE108,0)</f>
        <v>0</v>
      </c>
      <c r="AF110" s="64">
        <f>=IFERROR(AF109/AF108,0)</f>
        <v>0</v>
      </c>
      <c r="AG110" s="64">
        <f>=IFERROR(AG109/AG108,0)</f>
        <v>0</v>
      </c>
      <c r="AH110" s="64">
        <f>=IFERROR(AH109/AH108,0)</f>
        <v>0</v>
      </c>
      <c r="AI110" s="64">
        <f>=IFERROR(AI109/AI108,0)</f>
        <v>0</v>
      </c>
      <c r="AJ110" s="64">
        <f>=IFERROR(AJ109/AJ108,0)</f>
        <v>0</v>
      </c>
      <c r="AK110" s="64">
        <f>=IFERROR(AK109/AK108,0)</f>
        <v>0</v>
      </c>
      <c r="AL110" s="64">
        <f>=IFERROR(AL109/AL108,0)</f>
        <v>0</v>
      </c>
      <c r="AM110" s="64">
        <f>=IFERROR(AM109/AM108,0)</f>
        <v>0</v>
      </c>
      <c r="AN110" s="64">
        <f>=IFERROR(AN109/AN108,0)</f>
        <v>0</v>
      </c>
      <c r="AO110" s="64">
        <f>=IFERROR(AO109/AO108,0)</f>
        <v>0</v>
      </c>
      <c r="AP110" s="64">
        <f>=IFERROR(AP109/AP108,0)</f>
        <v>0</v>
      </c>
      <c r="AQ110" s="64">
        <f>=IFERROR(AQ109/AQ108,0)</f>
        <v>0</v>
      </c>
      <c r="AR110" s="64">
        <f>=IFERROR(AR109/AR108,0)</f>
        <v>0</v>
      </c>
      <c r="AS110" s="64">
        <f>=IFERROR(AS109/AS108,0)</f>
        <v>0</v>
      </c>
      <c r="AT110" s="64">
        <f>=IFERROR(AT109/AT108,0)</f>
        <v>0</v>
      </c>
      <c r="AU110" s="64">
        <f>=IFERROR(AU109/AU108,0)</f>
        <v>0</v>
      </c>
      <c r="AV110" s="64">
        <f>=IFERROR(AV109/AV108,0)</f>
        <v>0</v>
      </c>
      <c r="AW110" s="64">
        <f>=IFERROR(AW109/AW108,0)</f>
        <v>0</v>
      </c>
      <c r="AX110" s="64">
        <f>=IFERROR(AX109/AX108,0)</f>
        <v>0</v>
      </c>
      <c r="AY110" s="64">
        <f>=IFERROR(AY109/AY108,0)</f>
        <v>0</v>
      </c>
      <c r="AZ110" s="64">
        <f>=IFERROR(AZ109/AZ108,0)</f>
        <v>0</v>
      </c>
      <c r="BA110" s="64">
        <f>=IFERROR(BA109/BA108,0)</f>
        <v>0</v>
      </c>
      <c r="BB110" s="64">
        <f>=IFERROR(BB109/BB108,0)</f>
        <v>0</v>
      </c>
      <c r="BC110" s="64">
        <f>=IFERROR(BC109/BC108,0)</f>
        <v>0</v>
      </c>
      <c r="BD110" s="64">
        <f>=IFERROR(BD109/BD108,0)</f>
        <v>0</v>
      </c>
      <c r="BE110" s="64">
        <f>=IFERROR(BE109/BE108,0)</f>
        <v>0</v>
      </c>
      <c r="BF110" s="64">
        <f>=IFERROR(BF109/BF108,0)</f>
        <v>0</v>
      </c>
      <c r="BG110" s="64">
        <f>=IFERROR(BG109/BG108,0)</f>
        <v>0</v>
      </c>
      <c r="BH110" s="64">
        <f>=IFERROR(BH109/BH108,0)</f>
        <v>0</v>
      </c>
      <c r="BI110" s="64">
        <f>=IFERROR(BI109/BI108,0)</f>
        <v>0</v>
      </c>
      <c r="BJ110" s="64">
        <f>=IFERROR(BJ109/BJ108,0)</f>
        <v>0</v>
      </c>
      <c r="BK110" s="64">
        <f>=IFERROR(BK109/BK108,0)</f>
        <v>0</v>
      </c>
      <c r="BL110" s="64">
        <f>=IFERROR(BL109/BL108,0)</f>
        <v>0</v>
      </c>
      <c r="BM110" s="64">
        <f>=IFERROR(BM109/BM108,0)</f>
        <v>0</v>
      </c>
      <c r="BN110" s="64">
        <f>=IFERROR(BN109/BN108,0)</f>
        <v>0</v>
      </c>
      <c r="BO110" s="64">
        <f>=IFERROR(BO109/BO108,0)</f>
        <v>0</v>
      </c>
      <c r="BP110" s="64">
        <f>=IFERROR(BP109/BP108,0)</f>
        <v>0</v>
      </c>
      <c r="BQ110" s="64">
        <f>=IFERROR(BQ109/BQ108,0)</f>
        <v>0</v>
      </c>
      <c r="BR110" s="64">
        <f>=IFERROR(BR109/BR108,0)</f>
        <v>0</v>
      </c>
      <c r="BS110" s="64">
        <f>=IFERROR(BS109/BS108,0)</f>
        <v>0</v>
      </c>
      <c r="BT110" s="64">
        <f>=IFERROR(BT109/BT108,0)</f>
        <v>0</v>
      </c>
      <c r="BU110" s="64">
        <f>=IFERROR(BU109/BU108,0)</f>
        <v>0</v>
      </c>
      <c r="BV110" s="64">
        <f>=IFERROR(BV109/BV108,0)</f>
        <v>0</v>
      </c>
      <c r="BW110" s="64">
        <f>=IFERROR(BW109/BW108,0)</f>
        <v>0</v>
      </c>
      <c r="BX110" s="64">
        <f>=IFERROR(BX109/BX108,0)</f>
        <v>0</v>
      </c>
      <c r="BY110" s="64">
        <f>=IFERROR(BY109/BY108,0)</f>
        <v>0</v>
      </c>
      <c r="BZ110" s="64">
        <f>=IFERROR(BZ109/BZ108,0)</f>
        <v>0</v>
      </c>
      <c r="CA110" s="64">
        <f>=IFERROR(CA109/CA108,0)</f>
        <v>0</v>
      </c>
      <c r="CB110" s="64">
        <f>=IFERROR(CB109/CB108,0)</f>
        <v>0</v>
      </c>
      <c r="CC110" s="64">
        <f>=IFERROR(CC109/CC108,0)</f>
        <v>0</v>
      </c>
      <c r="CD110" s="64">
        <f>=IFERROR(CD109/CD108,0)</f>
        <v>0</v>
      </c>
      <c r="CE110" s="64">
        <f>=IFERROR(CE109/CE108,0)</f>
        <v>0</v>
      </c>
      <c r="CF110" s="64">
        <f>=IFERROR(CF109/CF108,0)</f>
        <v>0</v>
      </c>
      <c r="CG110" s="64">
        <f>=IFERROR(CG109/CG108,0)</f>
        <v>0</v>
      </c>
      <c r="CH110" s="64">
        <f>=IFERROR(CH109/CH108,0)</f>
        <v>0</v>
      </c>
      <c r="CI110" s="64">
        <f>=IFERROR(CI109/CI108,0)</f>
        <v>0</v>
      </c>
      <c r="CJ110" s="64">
        <f>=IFERROR(CJ109/CJ108,0)</f>
        <v>0</v>
      </c>
      <c r="CK110" s="64">
        <f>=IFERROR(CK109/CK108,0)</f>
        <v>0</v>
      </c>
      <c r="CL110" s="64">
        <f>=IFERROR(CL109/CL108,0)</f>
        <v>0</v>
      </c>
      <c r="CM110" s="64">
        <f>=IFERROR(CM109/CM108,0)</f>
        <v>0</v>
      </c>
      <c r="CN110" s="64">
        <f>=IFERROR(CN109/CN108,0)</f>
        <v>0</v>
      </c>
      <c r="CO110" s="64">
        <f>=IFERROR(CO109/CO108,0)</f>
        <v>0</v>
      </c>
      <c r="CP110" s="64">
        <f>=IFERROR(CP109/CP108,0)</f>
        <v>0</v>
      </c>
      <c r="CQ110" s="64">
        <f>=IFERROR(CQ109/CQ108,0)</f>
        <v>0</v>
      </c>
      <c r="CR110" s="64">
        <f>=IFERROR(CR109/CR108,0)</f>
        <v>0</v>
      </c>
      <c r="CS110" s="64">
        <f>=IFERROR(CS109/CS108,0)</f>
        <v>0</v>
      </c>
      <c r="CT110" s="64">
        <f>=IFERROR(CT109/CT108,0)</f>
        <v>0</v>
      </c>
      <c r="CU110" s="64">
        <f>=IFERROR(CU109/CU108,0)</f>
        <v>0</v>
      </c>
      <c r="CV110" s="64">
        <f>=IFERROR(CV109/CV108,0)</f>
        <v>0</v>
      </c>
      <c r="CW110" s="64">
        <f>=IFERROR(CW109/CW108,0)</f>
        <v>0</v>
      </c>
      <c r="CX110" s="64">
        <f>=IFERROR(CX109/CX108,0)</f>
        <v>0</v>
      </c>
      <c r="CY110" s="64">
        <f>=IFERROR(CY109/CY108,0)</f>
        <v>0</v>
      </c>
      <c r="CZ110" s="64">
        <f>=IFERROR(CZ109/CZ108,0)</f>
        <v>0</v>
      </c>
      <c r="DA110" s="64">
        <f>=IFERROR(DA109/DA108,0)</f>
        <v>0</v>
      </c>
      <c r="DB110" s="64">
        <f>=IFERROR(DB109/DB108,0)</f>
        <v>0</v>
      </c>
    </row>
    <row r="111" spans="1:106" x14ac:dyDescent="0.25">
      <c r="A111" s="17" t="s">
        <v>333</v>
      </c>
      <c r="B111" s="65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6"/>
      <c r="AT111" s="66"/>
      <c r="AU111" s="66"/>
      <c r="AV111" s="66"/>
      <c r="AW111" s="66"/>
      <c r="AX111" s="66"/>
      <c r="AY111" s="66"/>
      <c r="AZ111" s="66"/>
      <c r="BA111" s="66"/>
      <c r="BB111" s="66"/>
      <c r="BC111" s="66"/>
      <c r="BD111" s="66"/>
      <c r="BE111" s="66"/>
      <c r="BF111" s="66"/>
      <c r="BG111" s="66"/>
      <c r="BH111" s="66"/>
      <c r="BI111" s="66"/>
      <c r="BJ111" s="66"/>
      <c r="BK111" s="66"/>
      <c r="BL111" s="66"/>
      <c r="BM111" s="66"/>
      <c r="BN111" s="66"/>
      <c r="BO111" s="66"/>
      <c r="BP111" s="66"/>
      <c r="BQ111" s="66"/>
      <c r="BR111" s="66"/>
      <c r="BS111" s="66"/>
      <c r="BT111" s="66"/>
      <c r="BU111" s="66"/>
      <c r="BV111" s="66"/>
      <c r="BW111" s="66"/>
      <c r="BX111" s="66"/>
      <c r="BY111" s="66"/>
      <c r="BZ111" s="66"/>
      <c r="CA111" s="66"/>
      <c r="CB111" s="66"/>
      <c r="CC111" s="66"/>
      <c r="CD111" s="66"/>
      <c r="CE111" s="66"/>
      <c r="CF111" s="66"/>
      <c r="CG111" s="66"/>
      <c r="CH111" s="66"/>
      <c r="CI111" s="66"/>
      <c r="CJ111" s="66"/>
      <c r="CK111" s="66"/>
      <c r="CL111" s="66"/>
      <c r="CM111" s="66"/>
      <c r="CN111" s="66"/>
      <c r="CO111" s="66"/>
      <c r="CP111" s="66"/>
      <c r="CQ111" s="66"/>
      <c r="CR111" s="66"/>
      <c r="CS111" s="66"/>
      <c r="CT111" s="66"/>
      <c r="CU111" s="66"/>
      <c r="CV111" s="66"/>
      <c r="CW111" s="66"/>
      <c r="CX111" s="66"/>
      <c r="CY111" s="66"/>
      <c r="CZ111" s="66"/>
      <c r="DA111" s="66"/>
      <c r="DB111" s="66"/>
    </row>
    <row r="112" spans="1:106" x14ac:dyDescent="0.25">
      <c r="A112" s="17" t="s">
        <v>334</v>
      </c>
      <c r="B112" s="65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6"/>
      <c r="AT112" s="66"/>
      <c r="AU112" s="66"/>
      <c r="AV112" s="66"/>
      <c r="AW112" s="66"/>
      <c r="AX112" s="66"/>
      <c r="AY112" s="66"/>
      <c r="AZ112" s="66"/>
      <c r="BA112" s="66"/>
      <c r="BB112" s="66"/>
      <c r="BC112" s="66"/>
      <c r="BD112" s="66"/>
      <c r="BE112" s="66"/>
      <c r="BF112" s="66"/>
      <c r="BG112" s="66"/>
      <c r="BH112" s="66"/>
      <c r="BI112" s="66"/>
      <c r="BJ112" s="66"/>
      <c r="BK112" s="66"/>
      <c r="BL112" s="66"/>
      <c r="BM112" s="66"/>
      <c r="BN112" s="66"/>
      <c r="BO112" s="66"/>
      <c r="BP112" s="66"/>
      <c r="BQ112" s="66"/>
      <c r="BR112" s="66"/>
      <c r="BS112" s="66"/>
      <c r="BT112" s="66"/>
      <c r="BU112" s="66"/>
      <c r="BV112" s="66"/>
      <c r="BW112" s="66"/>
      <c r="BX112" s="66"/>
      <c r="BY112" s="66"/>
      <c r="BZ112" s="66"/>
      <c r="CA112" s="66"/>
      <c r="CB112" s="66"/>
      <c r="CC112" s="66"/>
      <c r="CD112" s="66"/>
      <c r="CE112" s="66"/>
      <c r="CF112" s="66"/>
      <c r="CG112" s="66"/>
      <c r="CH112" s="66"/>
      <c r="CI112" s="66"/>
      <c r="CJ112" s="66"/>
      <c r="CK112" s="66"/>
      <c r="CL112" s="66"/>
      <c r="CM112" s="66"/>
      <c r="CN112" s="66"/>
      <c r="CO112" s="66"/>
      <c r="CP112" s="66"/>
      <c r="CQ112" s="66"/>
      <c r="CR112" s="66"/>
      <c r="CS112" s="66"/>
      <c r="CT112" s="66"/>
      <c r="CU112" s="66"/>
      <c r="CV112" s="66"/>
      <c r="CW112" s="66"/>
      <c r="CX112" s="66"/>
      <c r="CY112" s="66"/>
      <c r="CZ112" s="66"/>
      <c r="DA112" s="66"/>
      <c r="DB112" s="66"/>
    </row>
    <row r="113" spans="1:106" x14ac:dyDescent="0.25">
      <c r="A113" s="17" t="s">
        <v>335</v>
      </c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30"/>
      <c r="BO113" s="30"/>
      <c r="BP113" s="30"/>
      <c r="BQ113" s="30"/>
      <c r="BR113" s="30"/>
      <c r="BS113" s="30"/>
      <c r="BT113" s="30"/>
      <c r="BU113" s="30"/>
      <c r="BV113" s="30"/>
      <c r="BW113" s="30"/>
      <c r="BX113" s="30"/>
      <c r="BY113" s="30"/>
      <c r="BZ113" s="30"/>
      <c r="CA113" s="30"/>
      <c r="CB113" s="30"/>
      <c r="CC113" s="30"/>
      <c r="CD113" s="30"/>
      <c r="CE113" s="30"/>
      <c r="CF113" s="30"/>
      <c r="CG113" s="30"/>
      <c r="CH113" s="30"/>
      <c r="CI113" s="30"/>
      <c r="CJ113" s="30"/>
      <c r="CK113" s="30"/>
      <c r="CL113" s="30"/>
      <c r="CM113" s="30"/>
      <c r="CN113" s="30"/>
      <c r="CO113" s="30"/>
      <c r="CP113" s="30"/>
      <c r="CQ113" s="30"/>
      <c r="CR113" s="30"/>
      <c r="CS113" s="30"/>
      <c r="CT113" s="30"/>
      <c r="CU113" s="30"/>
      <c r="CV113" s="30"/>
      <c r="CW113" s="30"/>
      <c r="CX113" s="30"/>
      <c r="CY113" s="30"/>
      <c r="CZ113" s="30"/>
      <c r="DA113" s="30"/>
      <c r="DB113" s="30"/>
    </row>
    <row r="114" spans="1:106" x14ac:dyDescent="0.25">
      <c r="A114" s="17" t="s">
        <v>369</v>
      </c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30"/>
      <c r="CD114" s="30"/>
      <c r="CE114" s="30"/>
      <c r="CF114" s="30"/>
      <c r="CG114" s="30"/>
      <c r="CH114" s="30"/>
      <c r="CI114" s="30"/>
      <c r="CJ114" s="30"/>
      <c r="CK114" s="30"/>
      <c r="CL114" s="30"/>
      <c r="CM114" s="30"/>
      <c r="CN114" s="30"/>
      <c r="CO114" s="30"/>
      <c r="CP114" s="30"/>
      <c r="CQ114" s="30"/>
      <c r="CR114" s="30"/>
      <c r="CS114" s="30"/>
      <c r="CT114" s="30"/>
      <c r="CU114" s="30"/>
      <c r="CV114" s="30"/>
      <c r="CW114" s="30"/>
      <c r="CX114" s="30"/>
      <c r="CY114" s="30"/>
      <c r="CZ114" s="30"/>
      <c r="DA114" s="30"/>
      <c r="DB114" s="30"/>
    </row>
    <row r="115" spans="1:106" x14ac:dyDescent="0.25">
      <c r="A115" s="17" t="s">
        <v>370</v>
      </c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30"/>
      <c r="CD115" s="30"/>
      <c r="CE115" s="30"/>
      <c r="CF115" s="30"/>
      <c r="CG115" s="30"/>
      <c r="CH115" s="30"/>
      <c r="CI115" s="30"/>
      <c r="CJ115" s="30"/>
      <c r="CK115" s="30"/>
      <c r="CL115" s="30"/>
      <c r="CM115" s="30"/>
      <c r="CN115" s="30"/>
      <c r="CO115" s="30"/>
      <c r="CP115" s="30"/>
      <c r="CQ115" s="30"/>
      <c r="CR115" s="30"/>
      <c r="CS115" s="30"/>
      <c r="CT115" s="30"/>
      <c r="CU115" s="30"/>
      <c r="CV115" s="30"/>
      <c r="CW115" s="30"/>
      <c r="CX115" s="30"/>
      <c r="CY115" s="30"/>
      <c r="CZ115" s="30"/>
      <c r="DA115" s="30"/>
      <c r="DB115" s="30"/>
    </row>
    <row r="116" spans="1:106" x14ac:dyDescent="0.25">
      <c r="A116" s="17" t="s">
        <v>336</v>
      </c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>
        <f>=SUM(BM111:BM112)</f>
        <v>0</v>
      </c>
      <c r="BN116" s="17">
        <f>=SUM(BN111:BN112)</f>
        <v>0</v>
      </c>
      <c r="BO116" s="17">
        <f>=SUM(BO111:BO112)</f>
        <v>0</v>
      </c>
      <c r="BP116" s="17">
        <f>=SUM(BP111:BP112)</f>
        <v>0</v>
      </c>
      <c r="BQ116" s="17">
        <f>=SUM(BQ111:BQ112)</f>
        <v>0</v>
      </c>
      <c r="BR116" s="17">
        <f>=SUM(BR111:BR112)</f>
        <v>0</v>
      </c>
      <c r="BS116" s="17">
        <f>=SUM(BS111:BS112)</f>
        <v>0</v>
      </c>
      <c r="BT116" s="17">
        <f>=SUM(BT111:BT112)</f>
        <v>0</v>
      </c>
      <c r="BU116" s="17">
        <f>=SUM(BU111:BU112)</f>
        <v>0</v>
      </c>
      <c r="BV116" s="17">
        <f>=SUM(BV111:BV112)</f>
        <v>0</v>
      </c>
      <c r="BW116" s="17">
        <f>=SUM(BW111:BW112)</f>
        <v>0</v>
      </c>
      <c r="BX116" s="17">
        <f>=SUM(BX111:BX112)</f>
        <v>0</v>
      </c>
      <c r="BY116" s="17">
        <f>=SUM(BY111:BY112)</f>
        <v>0</v>
      </c>
      <c r="BZ116" s="17">
        <f>=SUM(BZ111:BZ112)</f>
        <v>0</v>
      </c>
      <c r="CA116" s="17">
        <f>=SUM(CA111:CA112)</f>
        <v>0</v>
      </c>
      <c r="CB116" s="17">
        <f>=SUM(CB111:CB112)</f>
        <v>0</v>
      </c>
      <c r="CC116" s="17">
        <f>=SUM(CC111:CC112)</f>
        <v>0</v>
      </c>
      <c r="CD116" s="17">
        <f>=SUM(CD111:CD112)</f>
        <v>0</v>
      </c>
      <c r="CE116" s="17">
        <f>=SUM(CE111:CE112)</f>
        <v>0</v>
      </c>
      <c r="CF116" s="17">
        <f>=SUM(CF111:CF112)</f>
        <v>0</v>
      </c>
      <c r="CG116" s="17">
        <f>=SUM(CG111:CG112)</f>
        <v>0</v>
      </c>
      <c r="CH116" s="17">
        <f>=SUM(CH111:CH112)</f>
        <v>0</v>
      </c>
      <c r="CI116" s="17">
        <f>=SUM(CI111:CI112)</f>
        <v>0</v>
      </c>
      <c r="CJ116" s="17">
        <f>=SUM(CJ111:CJ112)</f>
        <v>0</v>
      </c>
      <c r="CK116" s="17">
        <f>=SUM(CK111:CK112)</f>
        <v>0</v>
      </c>
      <c r="CL116" s="17">
        <f>=SUM(CL111:CL112)</f>
        <v>0</v>
      </c>
      <c r="CM116" s="17">
        <f>=SUM(CM111:CM112)</f>
        <v>0</v>
      </c>
      <c r="CN116" s="17">
        <f>=SUM(CN111:CN112)</f>
        <v>0</v>
      </c>
      <c r="CO116" s="17">
        <f>=SUM(CO111:CO112)</f>
        <v>0</v>
      </c>
      <c r="CP116" s="17">
        <f>=SUM(CP111:CP112)</f>
        <v>0</v>
      </c>
      <c r="CQ116" s="17">
        <f>=SUM(CQ111:CQ112)</f>
        <v>0</v>
      </c>
      <c r="CR116" s="17">
        <f>=SUM(CR111:CR112)</f>
        <v>0</v>
      </c>
      <c r="CS116" s="17">
        <f>=SUM(CS111:CS112)</f>
        <v>0</v>
      </c>
      <c r="CT116" s="17">
        <f>=SUM(CT111:CT112)</f>
        <v>0</v>
      </c>
      <c r="CU116" s="17">
        <f>=SUM(CU111:CU112)</f>
        <v>0</v>
      </c>
      <c r="CV116" s="17">
        <f>=SUM(CV111:CV112)</f>
        <v>0</v>
      </c>
      <c r="CW116" s="17">
        <f>=SUM(CW111:CW112)</f>
        <v>0</v>
      </c>
      <c r="CX116" s="17">
        <f>=SUM(CX111:CX112)</f>
        <v>0</v>
      </c>
      <c r="CY116" s="17">
        <f>=SUM(CY111:CY112)</f>
        <v>0</v>
      </c>
      <c r="CZ116" s="17">
        <f>=SUM(CZ111:CZ112)</f>
        <v>0</v>
      </c>
      <c r="DA116" s="17">
        <f>=SUM(DA111:DA112)</f>
        <v>0</v>
      </c>
      <c r="DB116" s="17">
        <f>=SUM(DB111:DB112)</f>
        <v>0</v>
      </c>
    </row>
    <row r="117" spans="1:106" x14ac:dyDescent="0.25">
      <c r="A117" s="17" t="s">
        <v>337</v>
      </c>
      <c r="C117" s="17">
        <v>0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>
        <v>0</v>
      </c>
      <c r="AG117" s="17">
        <v>0</v>
      </c>
      <c r="AH117" s="17">
        <v>0</v>
      </c>
      <c r="AI117" s="17">
        <v>0</v>
      </c>
      <c r="AJ117" s="17">
        <v>0</v>
      </c>
      <c r="AK117" s="17">
        <v>0</v>
      </c>
      <c r="AL117" s="17">
        <v>0</v>
      </c>
      <c r="AM117" s="17">
        <v>0</v>
      </c>
      <c r="AN117" s="17">
        <v>0</v>
      </c>
      <c r="AO117" s="17">
        <v>0</v>
      </c>
      <c r="AP117" s="17">
        <v>0</v>
      </c>
      <c r="AQ117" s="17">
        <v>0</v>
      </c>
      <c r="AR117" s="17">
        <v>0</v>
      </c>
      <c r="AS117" s="17">
        <v>0</v>
      </c>
      <c r="AT117" s="17">
        <v>0</v>
      </c>
      <c r="AU117" s="17">
        <v>0</v>
      </c>
      <c r="AV117" s="17">
        <v>0</v>
      </c>
      <c r="AW117" s="17">
        <v>0</v>
      </c>
      <c r="AX117" s="17">
        <v>0</v>
      </c>
      <c r="AY117" s="17">
        <v>0</v>
      </c>
      <c r="AZ117" s="17">
        <v>0</v>
      </c>
      <c r="BA117" s="17">
        <v>0</v>
      </c>
      <c r="BB117" s="17">
        <v>0</v>
      </c>
      <c r="BC117" s="17">
        <v>0</v>
      </c>
      <c r="BD117" s="17">
        <v>0</v>
      </c>
      <c r="BE117" s="17">
        <v>0</v>
      </c>
      <c r="BF117" s="17">
        <v>0</v>
      </c>
      <c r="BG117" s="17">
        <v>0</v>
      </c>
      <c r="BH117" s="17">
        <v>0</v>
      </c>
      <c r="BI117" s="17">
        <v>0</v>
      </c>
      <c r="BJ117" s="17">
        <v>0</v>
      </c>
      <c r="BK117" s="17">
        <v>0</v>
      </c>
      <c r="BL117" s="17">
        <v>0</v>
      </c>
      <c r="BM117" s="17">
        <v>0</v>
      </c>
      <c r="BN117" s="17">
        <f>=BM116*(1-BN$43)</f>
        <v>0</v>
      </c>
      <c r="BO117" s="17">
        <f>=BN116*(1-BO$43)</f>
        <v>0</v>
      </c>
      <c r="BP117" s="17">
        <f>=BO116*(1-BP$43)</f>
        <v>0</v>
      </c>
      <c r="BQ117" s="17">
        <f>=BP116*(1-BQ$43)</f>
        <v>0</v>
      </c>
      <c r="BR117" s="17">
        <f>=BQ116*(1-BR$43)</f>
        <v>0</v>
      </c>
      <c r="BS117" s="17">
        <f>=BR116*(1-BS$43)</f>
        <v>0</v>
      </c>
      <c r="BT117" s="17">
        <f>=BS116*(1-BT$43)</f>
        <v>0</v>
      </c>
      <c r="BU117" s="17">
        <f>=BT116*(1-BU$43)</f>
        <v>0</v>
      </c>
      <c r="BV117" s="17">
        <f>=BU116*(1-BV$43)</f>
        <v>0</v>
      </c>
      <c r="BW117" s="17">
        <f>=BV116*(1-BW$43)</f>
        <v>0</v>
      </c>
      <c r="BX117" s="17">
        <f>=BW116*(1-BX$43)</f>
        <v>0</v>
      </c>
      <c r="BY117" s="17">
        <f>=BX116*(1-BY$43)</f>
        <v>0</v>
      </c>
      <c r="BZ117" s="17">
        <f>=BY116*(1-BZ$43)</f>
        <v>0</v>
      </c>
      <c r="CA117" s="17">
        <f>=BZ116*(1-CA$43)</f>
        <v>0</v>
      </c>
      <c r="CB117" s="17">
        <f>=CA116*(1-CB$43)</f>
        <v>0</v>
      </c>
      <c r="CC117" s="17">
        <f>=CB116*(1-CC$43)</f>
        <v>0</v>
      </c>
      <c r="CD117" s="17">
        <f>=CC116*(1-CD$43)</f>
        <v>0</v>
      </c>
      <c r="CE117" s="17">
        <f>=CD116*(1-CE$43)</f>
        <v>0</v>
      </c>
      <c r="CF117" s="17">
        <f>=CE116*(1-CF$43)</f>
        <v>0</v>
      </c>
      <c r="CG117" s="17">
        <f>=CF116*(1-CG$43)</f>
        <v>0</v>
      </c>
      <c r="CH117" s="17">
        <f>=CG116*(1-CH$43)</f>
        <v>0</v>
      </c>
      <c r="CI117" s="17">
        <f>=CH116*(1-CI$43)</f>
        <v>0</v>
      </c>
      <c r="CJ117" s="17">
        <f>=CI116*(1-CJ$43)</f>
        <v>0</v>
      </c>
      <c r="CK117" s="17">
        <f>=CJ116*(1-CK$43)</f>
        <v>0</v>
      </c>
      <c r="CL117" s="17">
        <f>=CK116*(1-CL$43)</f>
        <v>0</v>
      </c>
      <c r="CM117" s="17">
        <f>=CL116*(1-CM$43)</f>
        <v>0</v>
      </c>
      <c r="CN117" s="17">
        <f>=CM116*(1-CN$43)</f>
        <v>0</v>
      </c>
      <c r="CO117" s="17">
        <f>=CN116*(1-CO$43)</f>
        <v>0</v>
      </c>
      <c r="CP117" s="17">
        <f>=CO116*(1-CP$43)</f>
        <v>0</v>
      </c>
      <c r="CQ117" s="17">
        <f>=CP116*(1-CQ$43)</f>
        <v>0</v>
      </c>
      <c r="CR117" s="17">
        <f>=CQ116*(1-CR$43)</f>
        <v>0</v>
      </c>
      <c r="CS117" s="17">
        <f>=CR116*(1-CS$43)</f>
        <v>0</v>
      </c>
      <c r="CT117" s="17">
        <f>=CS116*(1-CT$43)</f>
        <v>0</v>
      </c>
      <c r="CU117" s="17">
        <f>=CT116*(1-CU$43)</f>
        <v>0</v>
      </c>
      <c r="CV117" s="17">
        <f>=CU116*(1-CV$43)</f>
        <v>0</v>
      </c>
      <c r="CW117" s="17">
        <f>=CV116*(1-CW$43)</f>
        <v>0</v>
      </c>
      <c r="CX117" s="17">
        <f>=CW116*(1-CX$43)</f>
        <v>0</v>
      </c>
      <c r="CY117" s="17">
        <f>=CX116*(1-CY$43)</f>
        <v>0</v>
      </c>
      <c r="CZ117" s="17">
        <f>=CY116*(1-CZ$43)</f>
        <v>0</v>
      </c>
      <c r="DA117" s="17">
        <f>=CZ116*(1-DA$43)</f>
        <v>0</v>
      </c>
      <c r="DB117" s="17">
        <f>=DA116*(1-DB$43)</f>
        <v>0</v>
      </c>
    </row>
    <row r="118" spans="1:106" x14ac:dyDescent="0.25">
      <c r="A118" s="17" t="s">
        <v>338</v>
      </c>
      <c r="C118" s="17">
        <v>0</v>
      </c>
      <c r="D118" s="17">
        <v>0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7">
        <v>0</v>
      </c>
      <c r="T118" s="17">
        <v>0</v>
      </c>
      <c r="U118" s="17">
        <v>0</v>
      </c>
      <c r="V118" s="17">
        <v>0</v>
      </c>
      <c r="W118" s="17">
        <v>0</v>
      </c>
      <c r="X118" s="17">
        <v>0</v>
      </c>
      <c r="Y118" s="17">
        <v>0</v>
      </c>
      <c r="Z118" s="17">
        <v>0</v>
      </c>
      <c r="AA118" s="17">
        <v>0</v>
      </c>
      <c r="AB118" s="17">
        <v>0</v>
      </c>
      <c r="AC118" s="17">
        <v>0</v>
      </c>
      <c r="AD118" s="17">
        <v>0</v>
      </c>
      <c r="AE118" s="17">
        <v>0</v>
      </c>
      <c r="AF118" s="17">
        <v>0</v>
      </c>
      <c r="AG118" s="17">
        <v>0</v>
      </c>
      <c r="AH118" s="17">
        <v>0</v>
      </c>
      <c r="AI118" s="17">
        <v>0</v>
      </c>
      <c r="AJ118" s="17">
        <v>0</v>
      </c>
      <c r="AK118" s="17">
        <v>0</v>
      </c>
      <c r="AL118" s="17">
        <v>0</v>
      </c>
      <c r="AM118" s="17">
        <v>0</v>
      </c>
      <c r="AN118" s="17">
        <v>0</v>
      </c>
      <c r="AO118" s="17">
        <v>0</v>
      </c>
      <c r="AP118" s="17">
        <v>0</v>
      </c>
      <c r="AQ118" s="17">
        <v>0</v>
      </c>
      <c r="AR118" s="17">
        <v>0</v>
      </c>
      <c r="AS118" s="17">
        <v>0</v>
      </c>
      <c r="AT118" s="17">
        <v>0</v>
      </c>
      <c r="AU118" s="17">
        <v>0</v>
      </c>
      <c r="AV118" s="17">
        <v>0</v>
      </c>
      <c r="AW118" s="17">
        <v>0</v>
      </c>
      <c r="AX118" s="17">
        <v>0</v>
      </c>
      <c r="AY118" s="17">
        <v>0</v>
      </c>
      <c r="AZ118" s="17">
        <v>0</v>
      </c>
      <c r="BA118" s="17">
        <v>0</v>
      </c>
      <c r="BB118" s="17">
        <v>0</v>
      </c>
      <c r="BC118" s="17">
        <v>0</v>
      </c>
      <c r="BD118" s="17">
        <v>0</v>
      </c>
      <c r="BE118" s="17">
        <v>0</v>
      </c>
      <c r="BF118" s="17">
        <v>0</v>
      </c>
      <c r="BG118" s="17">
        <v>0</v>
      </c>
      <c r="BH118" s="17">
        <v>0</v>
      </c>
      <c r="BI118" s="17">
        <v>0</v>
      </c>
      <c r="BJ118" s="17">
        <v>0</v>
      </c>
      <c r="BK118" s="17">
        <v>0</v>
      </c>
      <c r="BL118" s="17">
        <v>0</v>
      </c>
      <c r="BM118" s="17">
        <v>0</v>
      </c>
      <c r="BN118" s="17">
        <f>=BM117*(1-BN$43)</f>
        <v>0</v>
      </c>
      <c r="BO118" s="17">
        <f>=BN117*(1-BO$43)</f>
        <v>0</v>
      </c>
      <c r="BP118" s="17">
        <f>=BO117*(1-BP$43)</f>
        <v>0</v>
      </c>
      <c r="BQ118" s="17">
        <f>=BP117*(1-BQ$43)</f>
        <v>0</v>
      </c>
      <c r="BR118" s="17">
        <f>=BQ117*(1-BR$43)</f>
        <v>0</v>
      </c>
      <c r="BS118" s="17">
        <f>=BR117*(1-BS$43)</f>
        <v>0</v>
      </c>
      <c r="BT118" s="17">
        <f>=BS117*(1-BT$43)</f>
        <v>0</v>
      </c>
      <c r="BU118" s="17">
        <f>=BT117*(1-BU$43)</f>
        <v>0</v>
      </c>
      <c r="BV118" s="17">
        <f>=BU117*(1-BV$43)</f>
        <v>0</v>
      </c>
      <c r="BW118" s="17">
        <f>=BV117*(1-BW$43)</f>
        <v>0</v>
      </c>
      <c r="BX118" s="17">
        <f>=BW117*(1-BX$43)</f>
        <v>0</v>
      </c>
      <c r="BY118" s="17">
        <f>=BX117*(1-BY$43)</f>
        <v>0</v>
      </c>
      <c r="BZ118" s="17">
        <f>=BY117*(1-BZ$43)</f>
        <v>0</v>
      </c>
      <c r="CA118" s="17">
        <f>=BZ117*(1-CA$43)</f>
        <v>0</v>
      </c>
      <c r="CB118" s="17">
        <f>=CA117*(1-CB$43)</f>
        <v>0</v>
      </c>
      <c r="CC118" s="17">
        <f>=CB117*(1-CC$43)</f>
        <v>0</v>
      </c>
      <c r="CD118" s="17">
        <f>=CC117*(1-CD$43)</f>
        <v>0</v>
      </c>
      <c r="CE118" s="17">
        <f>=CD117*(1-CE$43)</f>
        <v>0</v>
      </c>
      <c r="CF118" s="17">
        <f>=CE117*(1-CF$43)</f>
        <v>0</v>
      </c>
      <c r="CG118" s="17">
        <f>=CF117*(1-CG$43)</f>
        <v>0</v>
      </c>
      <c r="CH118" s="17">
        <f>=CG117*(1-CH$43)</f>
        <v>0</v>
      </c>
      <c r="CI118" s="17">
        <f>=CH117*(1-CI$43)</f>
        <v>0</v>
      </c>
      <c r="CJ118" s="17">
        <f>=CI117*(1-CJ$43)</f>
        <v>0</v>
      </c>
      <c r="CK118" s="17">
        <f>=CJ117*(1-CK$43)</f>
        <v>0</v>
      </c>
      <c r="CL118" s="17">
        <f>=CK117*(1-CL$43)</f>
        <v>0</v>
      </c>
      <c r="CM118" s="17">
        <f>=CL117*(1-CM$43)</f>
        <v>0</v>
      </c>
      <c r="CN118" s="17">
        <f>=CM117*(1-CN$43)</f>
        <v>0</v>
      </c>
      <c r="CO118" s="17">
        <f>=CN117*(1-CO$43)</f>
        <v>0</v>
      </c>
      <c r="CP118" s="17">
        <f>=CO117*(1-CP$43)</f>
        <v>0</v>
      </c>
      <c r="CQ118" s="17">
        <f>=CP117*(1-CQ$43)</f>
        <v>0</v>
      </c>
      <c r="CR118" s="17">
        <f>=CQ117*(1-CR$43)</f>
        <v>0</v>
      </c>
      <c r="CS118" s="17">
        <f>=CR117*(1-CS$43)</f>
        <v>0</v>
      </c>
      <c r="CT118" s="17">
        <f>=CS117*(1-CT$43)</f>
        <v>0</v>
      </c>
      <c r="CU118" s="17">
        <f>=CT117*(1-CU$43)</f>
        <v>0</v>
      </c>
      <c r="CV118" s="17">
        <f>=CU117*(1-CV$43)</f>
        <v>0</v>
      </c>
      <c r="CW118" s="17">
        <f>=CV117*(1-CW$43)</f>
        <v>0</v>
      </c>
      <c r="CX118" s="17">
        <f>=CW117*(1-CX$43)</f>
        <v>0</v>
      </c>
      <c r="CY118" s="17">
        <f>=CX117*(1-CY$43)</f>
        <v>0</v>
      </c>
      <c r="CZ118" s="17">
        <f>=CY117*(1-CZ$43)</f>
        <v>0</v>
      </c>
      <c r="DA118" s="17">
        <f>=CZ117*(1-DA$43)</f>
        <v>0</v>
      </c>
      <c r="DB118" s="17">
        <f>=DA117*(1-DB$43)</f>
        <v>0</v>
      </c>
    </row>
    <row r="119" spans="1:106" x14ac:dyDescent="0.25">
      <c r="A119" s="17" t="s">
        <v>339</v>
      </c>
      <c r="C119" s="17">
        <v>0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7">
        <v>0</v>
      </c>
      <c r="AI119" s="17">
        <v>0</v>
      </c>
      <c r="AJ119" s="17">
        <v>0</v>
      </c>
      <c r="AK119" s="17">
        <v>0</v>
      </c>
      <c r="AL119" s="17">
        <v>0</v>
      </c>
      <c r="AM119" s="17">
        <v>0</v>
      </c>
      <c r="AN119" s="17">
        <v>0</v>
      </c>
      <c r="AO119" s="17">
        <v>0</v>
      </c>
      <c r="AP119" s="17">
        <v>0</v>
      </c>
      <c r="AQ119" s="17">
        <v>0</v>
      </c>
      <c r="AR119" s="17">
        <v>0</v>
      </c>
      <c r="AS119" s="17">
        <v>0</v>
      </c>
      <c r="AT119" s="17">
        <v>0</v>
      </c>
      <c r="AU119" s="17">
        <v>0</v>
      </c>
      <c r="AV119" s="17">
        <v>0</v>
      </c>
      <c r="AW119" s="17">
        <v>0</v>
      </c>
      <c r="AX119" s="17">
        <v>0</v>
      </c>
      <c r="AY119" s="17">
        <v>0</v>
      </c>
      <c r="AZ119" s="17">
        <v>0</v>
      </c>
      <c r="BA119" s="17">
        <v>0</v>
      </c>
      <c r="BB119" s="17">
        <v>0</v>
      </c>
      <c r="BC119" s="17">
        <v>0</v>
      </c>
      <c r="BD119" s="17">
        <v>0</v>
      </c>
      <c r="BE119" s="17">
        <v>0</v>
      </c>
      <c r="BF119" s="17">
        <v>0</v>
      </c>
      <c r="BG119" s="17">
        <v>0</v>
      </c>
      <c r="BH119" s="17">
        <v>0</v>
      </c>
      <c r="BI119" s="17">
        <v>0</v>
      </c>
      <c r="BJ119" s="17">
        <v>0</v>
      </c>
      <c r="BK119" s="17">
        <v>0</v>
      </c>
      <c r="BL119" s="17">
        <v>0</v>
      </c>
      <c r="BM119" s="17">
        <v>0</v>
      </c>
      <c r="BN119" s="17">
        <f>=BM118*(1-BN$43)</f>
        <v>0</v>
      </c>
      <c r="BO119" s="17">
        <f>=BN118*(1-BO$43)</f>
        <v>0</v>
      </c>
      <c r="BP119" s="17">
        <f>=BO118*(1-BP$43)</f>
        <v>0</v>
      </c>
      <c r="BQ119" s="17">
        <f>=BP118*(1-BQ$43)</f>
        <v>0</v>
      </c>
      <c r="BR119" s="17">
        <f>=BQ118*(1-BR$43)</f>
        <v>0</v>
      </c>
      <c r="BS119" s="17">
        <f>=BR118*(1-BS$43)</f>
        <v>0</v>
      </c>
      <c r="BT119" s="17">
        <f>=BS118*(1-BT$43)</f>
        <v>0</v>
      </c>
      <c r="BU119" s="17">
        <f>=BT118*(1-BU$43)</f>
        <v>0</v>
      </c>
      <c r="BV119" s="17">
        <f>=BU118*(1-BV$43)</f>
        <v>0</v>
      </c>
      <c r="BW119" s="17">
        <f>=BV118*(1-BW$43)</f>
        <v>0</v>
      </c>
      <c r="BX119" s="17">
        <f>=BW118*(1-BX$43)</f>
        <v>0</v>
      </c>
      <c r="BY119" s="17">
        <f>=BX118*(1-BY$43)</f>
        <v>0</v>
      </c>
      <c r="BZ119" s="17">
        <f>=BY118*(1-BZ$43)</f>
        <v>0</v>
      </c>
      <c r="CA119" s="17">
        <f>=BZ118*(1-CA$43)</f>
        <v>0</v>
      </c>
      <c r="CB119" s="17">
        <f>=CA118*(1-CB$43)</f>
        <v>0</v>
      </c>
      <c r="CC119" s="17">
        <f>=CB118*(1-CC$43)</f>
        <v>0</v>
      </c>
      <c r="CD119" s="17">
        <f>=CC118*(1-CD$43)</f>
        <v>0</v>
      </c>
      <c r="CE119" s="17">
        <f>=CD118*(1-CE$43)</f>
        <v>0</v>
      </c>
      <c r="CF119" s="17">
        <f>=CE118*(1-CF$43)</f>
        <v>0</v>
      </c>
      <c r="CG119" s="17">
        <f>=CF118*(1-CG$43)</f>
        <v>0</v>
      </c>
      <c r="CH119" s="17">
        <f>=CG118*(1-CH$43)</f>
        <v>0</v>
      </c>
      <c r="CI119" s="17">
        <f>=CH118*(1-CI$43)</f>
        <v>0</v>
      </c>
      <c r="CJ119" s="17">
        <f>=CI118*(1-CJ$43)</f>
        <v>0</v>
      </c>
      <c r="CK119" s="17">
        <f>=CJ118*(1-CK$43)</f>
        <v>0</v>
      </c>
      <c r="CL119" s="17">
        <f>=CK118*(1-CL$43)</f>
        <v>0</v>
      </c>
      <c r="CM119" s="17">
        <f>=CL118*(1-CM$43)</f>
        <v>0</v>
      </c>
      <c r="CN119" s="17">
        <f>=CM118*(1-CN$43)</f>
        <v>0</v>
      </c>
      <c r="CO119" s="17">
        <f>=CN118*(1-CO$43)</f>
        <v>0</v>
      </c>
      <c r="CP119" s="17">
        <f>=CO118*(1-CP$43)</f>
        <v>0</v>
      </c>
      <c r="CQ119" s="17">
        <f>=CP118*(1-CQ$43)</f>
        <v>0</v>
      </c>
      <c r="CR119" s="17">
        <f>=CQ118*(1-CR$43)</f>
        <v>0</v>
      </c>
      <c r="CS119" s="17">
        <f>=CR118*(1-CS$43)</f>
        <v>0</v>
      </c>
      <c r="CT119" s="17">
        <f>=CS118*(1-CT$43)</f>
        <v>0</v>
      </c>
      <c r="CU119" s="17">
        <f>=CT118*(1-CU$43)</f>
        <v>0</v>
      </c>
      <c r="CV119" s="17">
        <f>=CU118*(1-CV$43)</f>
        <v>0</v>
      </c>
      <c r="CW119" s="17">
        <f>=CV118*(1-CW$43)</f>
        <v>0</v>
      </c>
      <c r="CX119" s="17">
        <f>=CW118*(1-CX$43)</f>
        <v>0</v>
      </c>
      <c r="CY119" s="17">
        <f>=CX118*(1-CY$43)</f>
        <v>0</v>
      </c>
      <c r="CZ119" s="17">
        <f>=CY118*(1-CZ$43)</f>
        <v>0</v>
      </c>
      <c r="DA119" s="17">
        <f>=CZ118*(1-DA$43)</f>
        <v>0</v>
      </c>
      <c r="DB119" s="17">
        <f>=DA118*(1-DB$43)</f>
        <v>0</v>
      </c>
    </row>
    <row r="120" spans="1:106" x14ac:dyDescent="0.25">
      <c r="A120" s="17" t="s">
        <v>266</v>
      </c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</row>
    <row r="121" spans="1:106" x14ac:dyDescent="0.25">
      <c r="A121" s="17" t="s">
        <v>340</v>
      </c>
      <c r="C121" s="17">
        <v>0</v>
      </c>
      <c r="D121" s="17">
        <v>0</v>
      </c>
      <c r="E121" s="17">
        <v>0</v>
      </c>
      <c r="F121" s="17">
        <v>0</v>
      </c>
      <c r="G121" s="17">
        <v>0</v>
      </c>
      <c r="H121" s="17">
        <v>0</v>
      </c>
      <c r="I121" s="17">
        <v>0</v>
      </c>
      <c r="J121" s="17">
        <v>0</v>
      </c>
      <c r="K121" s="17">
        <v>0</v>
      </c>
      <c r="L121" s="17">
        <v>0</v>
      </c>
      <c r="M121" s="17">
        <v>0</v>
      </c>
      <c r="N121" s="17">
        <v>0</v>
      </c>
      <c r="O121" s="17">
        <v>0</v>
      </c>
      <c r="P121" s="17">
        <v>0</v>
      </c>
      <c r="Q121" s="17">
        <v>0</v>
      </c>
      <c r="R121" s="17">
        <v>0</v>
      </c>
      <c r="S121" s="17">
        <v>0</v>
      </c>
      <c r="T121" s="17">
        <v>0</v>
      </c>
      <c r="U121" s="17">
        <v>0</v>
      </c>
      <c r="V121" s="17">
        <v>0</v>
      </c>
      <c r="W121" s="17">
        <v>0</v>
      </c>
      <c r="X121" s="17">
        <v>0</v>
      </c>
      <c r="Y121" s="17">
        <v>0</v>
      </c>
      <c r="Z121" s="17">
        <v>0</v>
      </c>
      <c r="AA121" s="17">
        <v>0</v>
      </c>
      <c r="AB121" s="17">
        <v>0</v>
      </c>
      <c r="AC121" s="17">
        <v>0</v>
      </c>
      <c r="AD121" s="17">
        <v>0</v>
      </c>
      <c r="AE121" s="17">
        <v>0</v>
      </c>
      <c r="AF121" s="17">
        <v>0</v>
      </c>
      <c r="AG121" s="17">
        <v>0</v>
      </c>
      <c r="AH121" s="17">
        <v>0</v>
      </c>
      <c r="AI121" s="17">
        <v>0</v>
      </c>
      <c r="AJ121" s="17">
        <v>0</v>
      </c>
      <c r="AK121" s="17">
        <v>0</v>
      </c>
      <c r="AL121" s="17">
        <v>0</v>
      </c>
      <c r="AM121" s="17">
        <v>0</v>
      </c>
      <c r="AN121" s="17">
        <v>0</v>
      </c>
      <c r="AO121" s="17">
        <v>0</v>
      </c>
      <c r="AP121" s="17">
        <v>0</v>
      </c>
      <c r="AQ121" s="17">
        <v>0</v>
      </c>
      <c r="AR121" s="17">
        <v>0</v>
      </c>
      <c r="AS121" s="17">
        <v>0</v>
      </c>
      <c r="AT121" s="17">
        <v>0</v>
      </c>
      <c r="AU121" s="17">
        <v>0</v>
      </c>
      <c r="AV121" s="17">
        <v>0</v>
      </c>
      <c r="AW121" s="17">
        <v>0</v>
      </c>
      <c r="AX121" s="17">
        <v>0</v>
      </c>
      <c r="AY121" s="17">
        <v>0</v>
      </c>
      <c r="AZ121" s="17">
        <v>0</v>
      </c>
      <c r="BA121" s="17">
        <v>0</v>
      </c>
      <c r="BB121" s="17">
        <v>0</v>
      </c>
      <c r="BC121" s="17">
        <v>0</v>
      </c>
      <c r="BD121" s="17">
        <v>0</v>
      </c>
      <c r="BE121" s="17">
        <v>0</v>
      </c>
      <c r="BF121" s="17">
        <v>0</v>
      </c>
      <c r="BG121" s="17">
        <v>0</v>
      </c>
      <c r="BH121" s="17">
        <v>0</v>
      </c>
      <c r="BI121" s="17">
        <v>0</v>
      </c>
      <c r="BJ121" s="17">
        <v>0</v>
      </c>
      <c r="BK121" s="17">
        <v>0</v>
      </c>
      <c r="BL121" s="17">
        <v>0</v>
      </c>
      <c r="BM121" s="17">
        <v>0</v>
      </c>
      <c r="BN121" s="17">
        <f>=BM119*(1-BN$43)</f>
        <v>0</v>
      </c>
      <c r="BO121" s="17">
        <f>=BN119*(1-BO$43)</f>
        <v>0</v>
      </c>
      <c r="BP121" s="17">
        <f>=BO119*(1-BP$43)</f>
        <v>0</v>
      </c>
      <c r="BQ121" s="17">
        <f>=BP119*(1-BQ$43)</f>
        <v>0</v>
      </c>
      <c r="BR121" s="17">
        <f>=BQ119*(1-BR$43)</f>
        <v>0</v>
      </c>
      <c r="BS121" s="17">
        <f>=BR119*(1-BS$43)</f>
        <v>0</v>
      </c>
      <c r="BT121" s="17">
        <f>=BS119*(1-BT$43)</f>
        <v>0</v>
      </c>
      <c r="BU121" s="17">
        <f>=BT119*(1-BU$43)</f>
        <v>0</v>
      </c>
      <c r="BV121" s="17">
        <f>=BU119*(1-BV$43)</f>
        <v>0</v>
      </c>
      <c r="BW121" s="17">
        <f>=BV119*(1-BW$43)</f>
        <v>0</v>
      </c>
      <c r="BX121" s="17">
        <f>=BW119*(1-BX$43)</f>
        <v>0</v>
      </c>
      <c r="BY121" s="17">
        <f>=BX119*(1-BY$43)</f>
        <v>0</v>
      </c>
      <c r="BZ121" s="17">
        <f>=BY119*(1-BZ$43)</f>
        <v>0</v>
      </c>
      <c r="CA121" s="17">
        <f>=BZ119*(1-CA$43)</f>
        <v>0</v>
      </c>
      <c r="CB121" s="17">
        <f>=CA119*(1-CB$43)</f>
        <v>0</v>
      </c>
      <c r="CC121" s="17">
        <f>=CB119*(1-CC$43)</f>
        <v>0</v>
      </c>
      <c r="CD121" s="17">
        <f>=CC119*(1-CD$43)</f>
        <v>0</v>
      </c>
      <c r="CE121" s="17">
        <f>=CD119*(1-CE$43)</f>
        <v>0</v>
      </c>
      <c r="CF121" s="17">
        <f>=CE119*(1-CF$43)</f>
        <v>0</v>
      </c>
      <c r="CG121" s="17">
        <f>=CF119*(1-CG$43)</f>
        <v>0</v>
      </c>
      <c r="CH121" s="17">
        <f>=CG119*(1-CH$43)</f>
        <v>0</v>
      </c>
      <c r="CI121" s="17">
        <f>=CH119*(1-CI$43)</f>
        <v>0</v>
      </c>
      <c r="CJ121" s="17">
        <f>=CI119*(1-CJ$43)</f>
        <v>0</v>
      </c>
      <c r="CK121" s="17">
        <f>=CJ119*(1-CK$43)</f>
        <v>0</v>
      </c>
      <c r="CL121" s="17">
        <f>=CK119*(1-CL$43)</f>
        <v>0</v>
      </c>
      <c r="CM121" s="17">
        <f>=CL119*(1-CM$43)</f>
        <v>0</v>
      </c>
      <c r="CN121" s="17">
        <f>=CM119*(1-CN$43)</f>
        <v>0</v>
      </c>
      <c r="CO121" s="17">
        <f>=CN119*(1-CO$43)</f>
        <v>0</v>
      </c>
      <c r="CP121" s="17">
        <f>=CO119*(1-CP$43)</f>
        <v>0</v>
      </c>
      <c r="CQ121" s="17">
        <f>=CP119*(1-CQ$43)</f>
        <v>0</v>
      </c>
      <c r="CR121" s="17">
        <f>=CQ119*(1-CR$43)</f>
        <v>0</v>
      </c>
      <c r="CS121" s="17">
        <f>=CR119*(1-CS$43)</f>
        <v>0</v>
      </c>
      <c r="CT121" s="17">
        <f>=CS119*(1-CT$43)</f>
        <v>0</v>
      </c>
      <c r="CU121" s="17">
        <f>=CT119*(1-CU$43)</f>
        <v>0</v>
      </c>
      <c r="CV121" s="17">
        <f>=CU119*(1-CV$43)</f>
        <v>0</v>
      </c>
      <c r="CW121" s="17">
        <f>=CV119*(1-CW$43)</f>
        <v>0</v>
      </c>
      <c r="CX121" s="17">
        <f>=CW119*(1-CX$43)</f>
        <v>0</v>
      </c>
      <c r="CY121" s="17">
        <f>=CX119*(1-CY$43)</f>
        <v>0</v>
      </c>
      <c r="CZ121" s="17">
        <f>=CY119*(1-CZ$43)</f>
        <v>0</v>
      </c>
      <c r="DA121" s="17">
        <f>=CZ119*(1-DA$43)</f>
        <v>0</v>
      </c>
      <c r="DB121" s="17">
        <f>=DA119*(1-DB$43)</f>
        <v>0</v>
      </c>
    </row>
    <row r="122" spans="1:106" x14ac:dyDescent="0.25">
      <c r="A122" s="17" t="s">
        <v>341</v>
      </c>
      <c r="C122" s="17">
        <v>0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7">
        <v>0</v>
      </c>
      <c r="AI122" s="17">
        <v>0</v>
      </c>
      <c r="AJ122" s="17">
        <v>0</v>
      </c>
      <c r="AK122" s="17">
        <v>0</v>
      </c>
      <c r="AL122" s="17">
        <v>0</v>
      </c>
      <c r="AM122" s="17">
        <v>0</v>
      </c>
      <c r="AN122" s="17">
        <v>0</v>
      </c>
      <c r="AO122" s="17">
        <v>0</v>
      </c>
      <c r="AP122" s="17">
        <v>0</v>
      </c>
      <c r="AQ122" s="17">
        <v>0</v>
      </c>
      <c r="AR122" s="17">
        <v>0</v>
      </c>
      <c r="AS122" s="17">
        <v>0</v>
      </c>
      <c r="AT122" s="17">
        <v>0</v>
      </c>
      <c r="AU122" s="17">
        <v>0</v>
      </c>
      <c r="AV122" s="17">
        <v>0</v>
      </c>
      <c r="AW122" s="17">
        <v>0</v>
      </c>
      <c r="AX122" s="17">
        <v>0</v>
      </c>
      <c r="AY122" s="17">
        <v>0</v>
      </c>
      <c r="AZ122" s="17">
        <v>0</v>
      </c>
      <c r="BA122" s="17">
        <v>0</v>
      </c>
      <c r="BB122" s="17">
        <v>0</v>
      </c>
      <c r="BC122" s="17">
        <v>0</v>
      </c>
      <c r="BD122" s="17">
        <v>0</v>
      </c>
      <c r="BE122" s="17">
        <v>0</v>
      </c>
      <c r="BF122" s="17">
        <v>0</v>
      </c>
      <c r="BG122" s="17">
        <v>0</v>
      </c>
      <c r="BH122" s="17">
        <v>0</v>
      </c>
      <c r="BI122" s="17">
        <v>0</v>
      </c>
      <c r="BJ122" s="17">
        <v>0</v>
      </c>
      <c r="BK122" s="17">
        <v>0</v>
      </c>
      <c r="BL122" s="17">
        <v>0</v>
      </c>
      <c r="BM122" s="17">
        <v>0</v>
      </c>
      <c r="BN122" s="17">
        <f>=BM121*(1-BN$43)</f>
        <v>0</v>
      </c>
      <c r="BO122" s="17">
        <f>=BN121*(1-BO$43)</f>
        <v>0</v>
      </c>
      <c r="BP122" s="17">
        <f>=BO121*(1-BP$43)</f>
        <v>0</v>
      </c>
      <c r="BQ122" s="17">
        <f>=BP121*(1-BQ$43)</f>
        <v>0</v>
      </c>
      <c r="BR122" s="17">
        <f>=BQ121*(1-BR$43)</f>
        <v>0</v>
      </c>
      <c r="BS122" s="17">
        <f>=BR121*(1-BS$43)</f>
        <v>0</v>
      </c>
      <c r="BT122" s="17">
        <f>=BS121*(1-BT$43)</f>
        <v>0</v>
      </c>
      <c r="BU122" s="17">
        <f>=BT121*(1-BU$43)</f>
        <v>0</v>
      </c>
      <c r="BV122" s="17">
        <f>=BU121*(1-BV$43)</f>
        <v>0</v>
      </c>
      <c r="BW122" s="17">
        <f>=BV121*(1-BW$43)</f>
        <v>0</v>
      </c>
      <c r="BX122" s="17">
        <f>=BW121*(1-BX$43)</f>
        <v>0</v>
      </c>
      <c r="BY122" s="17">
        <f>=BX121*(1-BY$43)</f>
        <v>0</v>
      </c>
      <c r="BZ122" s="17">
        <f>=BY121*(1-BZ$43)</f>
        <v>0</v>
      </c>
      <c r="CA122" s="17">
        <f>=BZ121*(1-CA$43)</f>
        <v>0</v>
      </c>
      <c r="CB122" s="17">
        <f>=CA121*(1-CB$43)</f>
        <v>0</v>
      </c>
      <c r="CC122" s="17">
        <f>=CB121*(1-CC$43)</f>
        <v>0</v>
      </c>
      <c r="CD122" s="17">
        <f>=CC121*(1-CD$43)</f>
        <v>0</v>
      </c>
      <c r="CE122" s="17">
        <f>=CD121*(1-CE$43)</f>
        <v>0</v>
      </c>
      <c r="CF122" s="17">
        <f>=CE121*(1-CF$43)</f>
        <v>0</v>
      </c>
      <c r="CG122" s="17">
        <f>=CF121*(1-CG$43)</f>
        <v>0</v>
      </c>
      <c r="CH122" s="17">
        <f>=CG121*(1-CH$43)</f>
        <v>0</v>
      </c>
      <c r="CI122" s="17">
        <f>=CH121*(1-CI$43)</f>
        <v>0</v>
      </c>
      <c r="CJ122" s="17">
        <f>=CI121*(1-CJ$43)</f>
        <v>0</v>
      </c>
      <c r="CK122" s="17">
        <f>=CJ121*(1-CK$43)</f>
        <v>0</v>
      </c>
      <c r="CL122" s="17">
        <f>=CK121*(1-CL$43)</f>
        <v>0</v>
      </c>
      <c r="CM122" s="17">
        <f>=CL121*(1-CM$43)</f>
        <v>0</v>
      </c>
      <c r="CN122" s="17">
        <f>=CM121*(1-CN$43)</f>
        <v>0</v>
      </c>
      <c r="CO122" s="17">
        <f>=CN121*(1-CO$43)</f>
        <v>0</v>
      </c>
      <c r="CP122" s="17">
        <f>=CO121*(1-CP$43)</f>
        <v>0</v>
      </c>
      <c r="CQ122" s="17">
        <f>=CP121*(1-CQ$43)</f>
        <v>0</v>
      </c>
      <c r="CR122" s="17">
        <f>=CQ121*(1-CR$43)</f>
        <v>0</v>
      </c>
      <c r="CS122" s="17">
        <f>=CR121*(1-CS$43)</f>
        <v>0</v>
      </c>
      <c r="CT122" s="17">
        <f>=CS121*(1-CT$43)</f>
        <v>0</v>
      </c>
      <c r="CU122" s="17">
        <f>=CT121*(1-CU$43)</f>
        <v>0</v>
      </c>
      <c r="CV122" s="17">
        <f>=CU121*(1-CV$43)</f>
        <v>0</v>
      </c>
      <c r="CW122" s="17">
        <f>=CV121*(1-CW$43)</f>
        <v>0</v>
      </c>
      <c r="CX122" s="17">
        <f>=CW121*(1-CX$43)</f>
        <v>0</v>
      </c>
      <c r="CY122" s="17">
        <f>=CX121*(1-CY$43)</f>
        <v>0</v>
      </c>
      <c r="CZ122" s="17">
        <f>=CY121*(1-CZ$43)</f>
        <v>0</v>
      </c>
      <c r="DA122" s="17">
        <f>=CZ121*(1-DA$43)</f>
        <v>0</v>
      </c>
      <c r="DB122" s="17">
        <f>=DA121*(1-DB$43)</f>
        <v>0</v>
      </c>
    </row>
    <row r="123" spans="1:106" x14ac:dyDescent="0.25">
      <c r="A123" s="17" t="s">
        <v>342</v>
      </c>
      <c r="C123" s="17">
        <v>0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7">
        <v>0</v>
      </c>
      <c r="AH123" s="17">
        <v>0</v>
      </c>
      <c r="AI123" s="17">
        <v>0</v>
      </c>
      <c r="AJ123" s="17">
        <v>0</v>
      </c>
      <c r="AK123" s="17">
        <v>0</v>
      </c>
      <c r="AL123" s="17">
        <v>0</v>
      </c>
      <c r="AM123" s="17">
        <v>0</v>
      </c>
      <c r="AN123" s="17">
        <v>0</v>
      </c>
      <c r="AO123" s="17">
        <v>0</v>
      </c>
      <c r="AP123" s="17">
        <v>0</v>
      </c>
      <c r="AQ123" s="17">
        <v>0</v>
      </c>
      <c r="AR123" s="17">
        <v>0</v>
      </c>
      <c r="AS123" s="17">
        <v>0</v>
      </c>
      <c r="AT123" s="17">
        <v>0</v>
      </c>
      <c r="AU123" s="17">
        <v>0</v>
      </c>
      <c r="AV123" s="17">
        <v>0</v>
      </c>
      <c r="AW123" s="17">
        <v>0</v>
      </c>
      <c r="AX123" s="17">
        <v>0</v>
      </c>
      <c r="AY123" s="17">
        <v>0</v>
      </c>
      <c r="AZ123" s="17">
        <v>0</v>
      </c>
      <c r="BA123" s="17">
        <v>0</v>
      </c>
      <c r="BB123" s="17">
        <v>0</v>
      </c>
      <c r="BC123" s="17">
        <v>0</v>
      </c>
      <c r="BD123" s="17">
        <v>0</v>
      </c>
      <c r="BE123" s="17">
        <v>0</v>
      </c>
      <c r="BF123" s="17">
        <v>0</v>
      </c>
      <c r="BG123" s="17">
        <v>0</v>
      </c>
      <c r="BH123" s="17">
        <v>0</v>
      </c>
      <c r="BI123" s="17">
        <v>0</v>
      </c>
      <c r="BJ123" s="17">
        <v>0</v>
      </c>
      <c r="BK123" s="17">
        <v>0</v>
      </c>
      <c r="BL123" s="17">
        <v>0</v>
      </c>
      <c r="BM123" s="17">
        <v>0</v>
      </c>
      <c r="BN123" s="17">
        <f>=BM122*(1-BN$43)</f>
        <v>0</v>
      </c>
      <c r="BO123" s="17">
        <f>=BN122*(1-BO$43)</f>
        <v>0</v>
      </c>
      <c r="BP123" s="17">
        <f>=BO122*(1-BP$43)</f>
        <v>0</v>
      </c>
      <c r="BQ123" s="17">
        <f>=BP122*(1-BQ$43)</f>
        <v>0</v>
      </c>
      <c r="BR123" s="17">
        <f>=BQ122*(1-BR$43)</f>
        <v>0</v>
      </c>
      <c r="BS123" s="17">
        <f>=BR122*(1-BS$43)</f>
        <v>0</v>
      </c>
      <c r="BT123" s="17">
        <f>=BS122*(1-BT$43)</f>
        <v>0</v>
      </c>
      <c r="BU123" s="17">
        <f>=BT122*(1-BU$43)</f>
        <v>0</v>
      </c>
      <c r="BV123" s="17">
        <f>=BU122*(1-BV$43)</f>
        <v>0</v>
      </c>
      <c r="BW123" s="17">
        <f>=BV122*(1-BW$43)</f>
        <v>0</v>
      </c>
      <c r="BX123" s="17">
        <f>=BW122*(1-BX$43)</f>
        <v>0</v>
      </c>
      <c r="BY123" s="17">
        <f>=BX122*(1-BY$43)</f>
        <v>0</v>
      </c>
      <c r="BZ123" s="17">
        <f>=BY122*(1-BZ$43)</f>
        <v>0</v>
      </c>
      <c r="CA123" s="17">
        <f>=BZ122*(1-CA$43)</f>
        <v>0</v>
      </c>
      <c r="CB123" s="17">
        <f>=CA122*(1-CB$43)</f>
        <v>0</v>
      </c>
      <c r="CC123" s="17">
        <f>=CB122*(1-CC$43)</f>
        <v>0</v>
      </c>
      <c r="CD123" s="17">
        <f>=CC122*(1-CD$43)</f>
        <v>0</v>
      </c>
      <c r="CE123" s="17">
        <f>=CD122*(1-CE$43)</f>
        <v>0</v>
      </c>
      <c r="CF123" s="17">
        <f>=CE122*(1-CF$43)</f>
        <v>0</v>
      </c>
      <c r="CG123" s="17">
        <f>=CF122*(1-CG$43)</f>
        <v>0</v>
      </c>
      <c r="CH123" s="17">
        <f>=CG122*(1-CH$43)</f>
        <v>0</v>
      </c>
      <c r="CI123" s="17">
        <f>=CH122*(1-CI$43)</f>
        <v>0</v>
      </c>
      <c r="CJ123" s="17">
        <f>=CI122*(1-CJ$43)</f>
        <v>0</v>
      </c>
      <c r="CK123" s="17">
        <f>=CJ122*(1-CK$43)</f>
        <v>0</v>
      </c>
      <c r="CL123" s="17">
        <f>=CK122*(1-CL$43)</f>
        <v>0</v>
      </c>
      <c r="CM123" s="17">
        <f>=CL122*(1-CM$43)</f>
        <v>0</v>
      </c>
      <c r="CN123" s="17">
        <f>=CM122*(1-CN$43)</f>
        <v>0</v>
      </c>
      <c r="CO123" s="17">
        <f>=CN122*(1-CO$43)</f>
        <v>0</v>
      </c>
      <c r="CP123" s="17">
        <f>=CO122*(1-CP$43)</f>
        <v>0</v>
      </c>
      <c r="CQ123" s="17">
        <f>=CP122*(1-CQ$43)</f>
        <v>0</v>
      </c>
      <c r="CR123" s="17">
        <f>=CQ122*(1-CR$43)</f>
        <v>0</v>
      </c>
      <c r="CS123" s="17">
        <f>=CR122*(1-CS$43)</f>
        <v>0</v>
      </c>
      <c r="CT123" s="17">
        <f>=CS122*(1-CT$43)</f>
        <v>0</v>
      </c>
      <c r="CU123" s="17">
        <f>=CT122*(1-CU$43)</f>
        <v>0</v>
      </c>
      <c r="CV123" s="17">
        <f>=CU122*(1-CV$43)</f>
        <v>0</v>
      </c>
      <c r="CW123" s="17">
        <f>=CV122*(1-CW$43)</f>
        <v>0</v>
      </c>
      <c r="CX123" s="17">
        <f>=CW122*(1-CX$43)</f>
        <v>0</v>
      </c>
      <c r="CY123" s="17">
        <f>=CX122*(1-CY$43)</f>
        <v>0</v>
      </c>
      <c r="CZ123" s="17">
        <f>=CY122*(1-CZ$43)</f>
        <v>0</v>
      </c>
      <c r="DA123" s="17">
        <f>=CZ122*(1-DA$43)</f>
        <v>0</v>
      </c>
      <c r="DB123" s="17">
        <f>=DA122*(1-DB$43)</f>
        <v>0</v>
      </c>
    </row>
    <row r="124" spans="1:106" x14ac:dyDescent="0.25">
      <c r="A124" s="17" t="s">
        <v>343</v>
      </c>
      <c r="C124" s="17">
        <v>0</v>
      </c>
      <c r="D124" s="17">
        <v>0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  <c r="AE124" s="17">
        <v>0</v>
      </c>
      <c r="AF124" s="17">
        <v>0</v>
      </c>
      <c r="AG124" s="17">
        <v>0</v>
      </c>
      <c r="AH124" s="17">
        <v>0</v>
      </c>
      <c r="AI124" s="17">
        <v>0</v>
      </c>
      <c r="AJ124" s="17">
        <v>0</v>
      </c>
      <c r="AK124" s="17">
        <v>0</v>
      </c>
      <c r="AL124" s="17">
        <v>0</v>
      </c>
      <c r="AM124" s="17">
        <v>0</v>
      </c>
      <c r="AN124" s="17">
        <v>0</v>
      </c>
      <c r="AO124" s="17">
        <v>0</v>
      </c>
      <c r="AP124" s="17">
        <v>0</v>
      </c>
      <c r="AQ124" s="17">
        <v>0</v>
      </c>
      <c r="AR124" s="17">
        <v>0</v>
      </c>
      <c r="AS124" s="17">
        <v>0</v>
      </c>
      <c r="AT124" s="17">
        <v>0</v>
      </c>
      <c r="AU124" s="17">
        <v>0</v>
      </c>
      <c r="AV124" s="17">
        <v>0</v>
      </c>
      <c r="AW124" s="17">
        <v>0</v>
      </c>
      <c r="AX124" s="17">
        <v>0</v>
      </c>
      <c r="AY124" s="17">
        <v>0</v>
      </c>
      <c r="AZ124" s="17">
        <v>0</v>
      </c>
      <c r="BA124" s="17">
        <v>0</v>
      </c>
      <c r="BB124" s="17">
        <v>0</v>
      </c>
      <c r="BC124" s="17">
        <v>0</v>
      </c>
      <c r="BD124" s="17">
        <v>0</v>
      </c>
      <c r="BE124" s="17">
        <v>0</v>
      </c>
      <c r="BF124" s="17">
        <v>0</v>
      </c>
      <c r="BG124" s="17">
        <v>0</v>
      </c>
      <c r="BH124" s="17">
        <v>0</v>
      </c>
      <c r="BI124" s="17">
        <v>0</v>
      </c>
      <c r="BJ124" s="17">
        <v>0</v>
      </c>
      <c r="BK124" s="17">
        <v>0</v>
      </c>
      <c r="BL124" s="17">
        <v>0</v>
      </c>
      <c r="BM124" s="17">
        <v>0</v>
      </c>
      <c r="BN124" s="17">
        <f>=BM123*(1-BN$43)</f>
        <v>0</v>
      </c>
      <c r="BO124" s="17">
        <f>=BN123*(1-BO$43)</f>
        <v>0</v>
      </c>
      <c r="BP124" s="17">
        <f>=BO123*(1-BP$43)</f>
        <v>0</v>
      </c>
      <c r="BQ124" s="17">
        <f>=BP123*(1-BQ$43)</f>
        <v>0</v>
      </c>
      <c r="BR124" s="17">
        <f>=BQ123*(1-BR$43)</f>
        <v>0</v>
      </c>
      <c r="BS124" s="17">
        <f>=BR123*(1-BS$43)</f>
        <v>0</v>
      </c>
      <c r="BT124" s="17">
        <f>=BS123*(1-BT$43)</f>
        <v>0</v>
      </c>
      <c r="BU124" s="17">
        <f>=BT123*(1-BU$43)</f>
        <v>0</v>
      </c>
      <c r="BV124" s="17">
        <f>=BU123*(1-BV$43)</f>
        <v>0</v>
      </c>
      <c r="BW124" s="17">
        <f>=BV123*(1-BW$43)</f>
        <v>0</v>
      </c>
      <c r="BX124" s="17">
        <f>=BW123*(1-BX$43)</f>
        <v>0</v>
      </c>
      <c r="BY124" s="17">
        <f>=BX123*(1-BY$43)</f>
        <v>0</v>
      </c>
      <c r="BZ124" s="17">
        <f>=BY123*(1-BZ$43)</f>
        <v>0</v>
      </c>
      <c r="CA124" s="17">
        <f>=BZ123*(1-CA$43)</f>
        <v>0</v>
      </c>
      <c r="CB124" s="17">
        <f>=CA123*(1-CB$43)</f>
        <v>0</v>
      </c>
      <c r="CC124" s="17">
        <f>=CB123*(1-CC$43)</f>
        <v>0</v>
      </c>
      <c r="CD124" s="17">
        <f>=CC123*(1-CD$43)</f>
        <v>0</v>
      </c>
      <c r="CE124" s="17">
        <f>=CD123*(1-CE$43)</f>
        <v>0</v>
      </c>
      <c r="CF124" s="17">
        <f>=CE123*(1-CF$43)</f>
        <v>0</v>
      </c>
      <c r="CG124" s="17">
        <f>=CF123*(1-CG$43)</f>
        <v>0</v>
      </c>
      <c r="CH124" s="17">
        <f>=CG123*(1-CH$43)</f>
        <v>0</v>
      </c>
      <c r="CI124" s="17">
        <f>=CH123*(1-CI$43)</f>
        <v>0</v>
      </c>
      <c r="CJ124" s="17">
        <f>=CI123*(1-CJ$43)</f>
        <v>0</v>
      </c>
      <c r="CK124" s="17">
        <f>=CJ123*(1-CK$43)</f>
        <v>0</v>
      </c>
      <c r="CL124" s="17">
        <f>=CK123*(1-CL$43)</f>
        <v>0</v>
      </c>
      <c r="CM124" s="17">
        <f>=CL123*(1-CM$43)</f>
        <v>0</v>
      </c>
      <c r="CN124" s="17">
        <f>=CM123*(1-CN$43)</f>
        <v>0</v>
      </c>
      <c r="CO124" s="17">
        <f>=CN123*(1-CO$43)</f>
        <v>0</v>
      </c>
      <c r="CP124" s="17">
        <f>=CO123*(1-CP$43)</f>
        <v>0</v>
      </c>
      <c r="CQ124" s="17">
        <f>=CP123*(1-CQ$43)</f>
        <v>0</v>
      </c>
      <c r="CR124" s="17">
        <f>=CQ123*(1-CR$43)</f>
        <v>0</v>
      </c>
      <c r="CS124" s="17">
        <f>=CR123*(1-CS$43)</f>
        <v>0</v>
      </c>
      <c r="CT124" s="17">
        <f>=CS123*(1-CT$43)</f>
        <v>0</v>
      </c>
      <c r="CU124" s="17">
        <f>=CT123*(1-CU$43)</f>
        <v>0</v>
      </c>
      <c r="CV124" s="17">
        <f>=CU123*(1-CV$43)</f>
        <v>0</v>
      </c>
      <c r="CW124" s="17">
        <f>=CV123*(1-CW$43)</f>
        <v>0</v>
      </c>
      <c r="CX124" s="17">
        <f>=CW123*(1-CX$43)</f>
        <v>0</v>
      </c>
      <c r="CY124" s="17">
        <f>=CX123*(1-CY$43)</f>
        <v>0</v>
      </c>
      <c r="CZ124" s="17">
        <f>=CY123*(1-CZ$43)</f>
        <v>0</v>
      </c>
      <c r="DA124" s="17">
        <f>=CZ123*(1-DA$43)</f>
        <v>0</v>
      </c>
      <c r="DB124" s="17">
        <f>=DA123*(1-DB$43)</f>
        <v>0</v>
      </c>
    </row>
    <row r="125" spans="1:106" x14ac:dyDescent="0.25">
      <c r="A125" s="17" t="s">
        <v>344</v>
      </c>
      <c r="C125" s="17">
        <v>0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7">
        <v>0</v>
      </c>
      <c r="AI125" s="17">
        <v>0</v>
      </c>
      <c r="AJ125" s="17">
        <v>0</v>
      </c>
      <c r="AK125" s="17">
        <v>0</v>
      </c>
      <c r="AL125" s="17">
        <v>0</v>
      </c>
      <c r="AM125" s="17">
        <v>0</v>
      </c>
      <c r="AN125" s="17">
        <v>0</v>
      </c>
      <c r="AO125" s="17">
        <v>0</v>
      </c>
      <c r="AP125" s="17">
        <v>0</v>
      </c>
      <c r="AQ125" s="17">
        <v>0</v>
      </c>
      <c r="AR125" s="17">
        <v>0</v>
      </c>
      <c r="AS125" s="17">
        <v>0</v>
      </c>
      <c r="AT125" s="17">
        <v>0</v>
      </c>
      <c r="AU125" s="17">
        <v>0</v>
      </c>
      <c r="AV125" s="17">
        <v>0</v>
      </c>
      <c r="AW125" s="17">
        <v>0</v>
      </c>
      <c r="AX125" s="17">
        <v>0</v>
      </c>
      <c r="AY125" s="17">
        <v>0</v>
      </c>
      <c r="AZ125" s="17">
        <v>0</v>
      </c>
      <c r="BA125" s="17">
        <v>0</v>
      </c>
      <c r="BB125" s="17">
        <v>0</v>
      </c>
      <c r="BC125" s="17">
        <v>0</v>
      </c>
      <c r="BD125" s="17">
        <v>0</v>
      </c>
      <c r="BE125" s="17">
        <v>0</v>
      </c>
      <c r="BF125" s="17">
        <v>0</v>
      </c>
      <c r="BG125" s="17">
        <v>0</v>
      </c>
      <c r="BH125" s="17">
        <v>0</v>
      </c>
      <c r="BI125" s="17">
        <v>0</v>
      </c>
      <c r="BJ125" s="17">
        <v>0</v>
      </c>
      <c r="BK125" s="17">
        <v>0</v>
      </c>
      <c r="BL125" s="17">
        <v>0</v>
      </c>
      <c r="BM125" s="17">
        <v>0</v>
      </c>
      <c r="BN125" s="17">
        <f>=BM124*(1-BN$43)</f>
        <v>0</v>
      </c>
      <c r="BO125" s="17">
        <f>=BN124*(1-BO$43)</f>
        <v>0</v>
      </c>
      <c r="BP125" s="17">
        <f>=BO124*(1-BP$43)</f>
        <v>0</v>
      </c>
      <c r="BQ125" s="17">
        <f>=BP124*(1-BQ$43)</f>
        <v>0</v>
      </c>
      <c r="BR125" s="17">
        <f>=BQ124*(1-BR$43)</f>
        <v>0</v>
      </c>
      <c r="BS125" s="17">
        <f>=BR124*(1-BS$43)</f>
        <v>0</v>
      </c>
      <c r="BT125" s="17">
        <f>=BS124*(1-BT$43)</f>
        <v>0</v>
      </c>
      <c r="BU125" s="17">
        <f>=BT124*(1-BU$43)</f>
        <v>0</v>
      </c>
      <c r="BV125" s="17">
        <f>=BU124*(1-BV$43)</f>
        <v>0</v>
      </c>
      <c r="BW125" s="17">
        <f>=BV124*(1-BW$43)</f>
        <v>0</v>
      </c>
      <c r="BX125" s="17">
        <f>=BW124*(1-BX$43)</f>
        <v>0</v>
      </c>
      <c r="BY125" s="17">
        <f>=BX124*(1-BY$43)</f>
        <v>0</v>
      </c>
      <c r="BZ125" s="17">
        <f>=BY124*(1-BZ$43)</f>
        <v>0</v>
      </c>
      <c r="CA125" s="17">
        <f>=BZ124*(1-CA$43)</f>
        <v>0</v>
      </c>
      <c r="CB125" s="17">
        <f>=CA124*(1-CB$43)</f>
        <v>0</v>
      </c>
      <c r="CC125" s="17">
        <f>=CB124*(1-CC$43)</f>
        <v>0</v>
      </c>
      <c r="CD125" s="17">
        <f>=CC124*(1-CD$43)</f>
        <v>0</v>
      </c>
      <c r="CE125" s="17">
        <f>=CD124*(1-CE$43)</f>
        <v>0</v>
      </c>
      <c r="CF125" s="17">
        <f>=CE124*(1-CF$43)</f>
        <v>0</v>
      </c>
      <c r="CG125" s="17">
        <f>=CF124*(1-CG$43)</f>
        <v>0</v>
      </c>
      <c r="CH125" s="17">
        <f>=CG124*(1-CH$43)</f>
        <v>0</v>
      </c>
      <c r="CI125" s="17">
        <f>=CH124*(1-CI$43)</f>
        <v>0</v>
      </c>
      <c r="CJ125" s="17">
        <f>=CI124*(1-CJ$43)</f>
        <v>0</v>
      </c>
      <c r="CK125" s="17">
        <f>=CJ124*(1-CK$43)</f>
        <v>0</v>
      </c>
      <c r="CL125" s="17">
        <f>=CK124*(1-CL$43)</f>
        <v>0</v>
      </c>
      <c r="CM125" s="17">
        <f>=CL124*(1-CM$43)</f>
        <v>0</v>
      </c>
      <c r="CN125" s="17">
        <f>=CM124*(1-CN$43)</f>
        <v>0</v>
      </c>
      <c r="CO125" s="17">
        <f>=CN124*(1-CO$43)</f>
        <v>0</v>
      </c>
      <c r="CP125" s="17">
        <f>=CO124*(1-CP$43)</f>
        <v>0</v>
      </c>
      <c r="CQ125" s="17">
        <f>=CP124*(1-CQ$43)</f>
        <v>0</v>
      </c>
      <c r="CR125" s="17">
        <f>=CQ124*(1-CR$43)</f>
        <v>0</v>
      </c>
      <c r="CS125" s="17">
        <f>=CR124*(1-CS$43)</f>
        <v>0</v>
      </c>
      <c r="CT125" s="17">
        <f>=CS124*(1-CT$43)</f>
        <v>0</v>
      </c>
      <c r="CU125" s="17">
        <f>=CT124*(1-CU$43)</f>
        <v>0</v>
      </c>
      <c r="CV125" s="17">
        <f>=CU124*(1-CV$43)</f>
        <v>0</v>
      </c>
      <c r="CW125" s="17">
        <f>=CV124*(1-CW$43)</f>
        <v>0</v>
      </c>
      <c r="CX125" s="17">
        <f>=CW124*(1-CX$43)</f>
        <v>0</v>
      </c>
      <c r="CY125" s="17">
        <f>=CX124*(1-CY$43)</f>
        <v>0</v>
      </c>
      <c r="CZ125" s="17">
        <f>=CY124*(1-CZ$43)</f>
        <v>0</v>
      </c>
      <c r="DA125" s="17">
        <f>=CZ124*(1-DA$43)</f>
        <v>0</v>
      </c>
      <c r="DB125" s="17">
        <f>=DA124*(1-DB$43)</f>
        <v>0</v>
      </c>
    </row>
    <row r="126" spans="3:106" x14ac:dyDescent="0.25"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  <c r="BA126" s="30"/>
      <c r="BB126" s="30"/>
      <c r="BC126" s="30"/>
      <c r="BD126" s="30"/>
      <c r="BE126" s="30"/>
      <c r="BF126" s="30"/>
      <c r="BG126" s="30"/>
      <c r="BH126" s="30"/>
      <c r="BI126" s="30"/>
      <c r="BJ126" s="30"/>
      <c r="BK126" s="30"/>
      <c r="BL126" s="30"/>
      <c r="BM126" s="30"/>
      <c r="BN126" s="30"/>
      <c r="BO126" s="30"/>
      <c r="BP126" s="30"/>
      <c r="BQ126" s="30"/>
      <c r="BR126" s="30"/>
      <c r="BS126" s="30"/>
      <c r="BT126" s="30"/>
      <c r="BU126" s="30"/>
      <c r="BV126" s="30"/>
      <c r="BW126" s="30"/>
      <c r="BX126" s="30"/>
      <c r="BY126" s="30"/>
      <c r="BZ126" s="30"/>
      <c r="CA126" s="30"/>
      <c r="CB126" s="30"/>
      <c r="CC126" s="30"/>
      <c r="CD126" s="30"/>
      <c r="CE126" s="30"/>
      <c r="CF126" s="30"/>
      <c r="CG126" s="30"/>
      <c r="CH126" s="30"/>
      <c r="CI126" s="30"/>
      <c r="CJ126" s="30"/>
      <c r="CK126" s="30"/>
      <c r="CL126" s="30"/>
      <c r="CM126" s="30"/>
      <c r="CN126" s="30"/>
      <c r="CO126" s="30"/>
      <c r="CP126" s="30"/>
      <c r="CQ126" s="30"/>
      <c r="CR126" s="30"/>
      <c r="CS126" s="30"/>
      <c r="CT126" s="30"/>
      <c r="CU126" s="30"/>
      <c r="CV126" s="30"/>
      <c r="CW126" s="30"/>
      <c r="CX126" s="30"/>
      <c r="CY126" s="30"/>
      <c r="CZ126" s="30"/>
      <c r="DA126" s="30"/>
      <c r="DB126" s="30"/>
    </row>
    <row r="127" spans="1:106" x14ac:dyDescent="0.25">
      <c r="A127" s="9" t="s">
        <v>345</v>
      </c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  <c r="AV127" s="30"/>
      <c r="AW127" s="30"/>
      <c r="AX127" s="30"/>
      <c r="AY127" s="30"/>
      <c r="AZ127" s="30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30"/>
      <c r="BO127" s="30"/>
      <c r="BP127" s="30"/>
      <c r="BQ127" s="30"/>
      <c r="BR127" s="30"/>
      <c r="BS127" s="30"/>
      <c r="BT127" s="30"/>
      <c r="BU127" s="30"/>
      <c r="BV127" s="30"/>
      <c r="BW127" s="30"/>
      <c r="BX127" s="30"/>
      <c r="BY127" s="30"/>
      <c r="BZ127" s="30"/>
      <c r="CA127" s="30"/>
      <c r="CB127" s="30"/>
      <c r="CC127" s="30"/>
      <c r="CD127" s="30"/>
      <c r="CE127" s="30"/>
      <c r="CF127" s="30"/>
      <c r="CG127" s="30"/>
      <c r="CH127" s="30"/>
      <c r="CI127" s="30"/>
      <c r="CJ127" s="30"/>
      <c r="CK127" s="30"/>
      <c r="CL127" s="30"/>
      <c r="CM127" s="30"/>
      <c r="CN127" s="30"/>
      <c r="CO127" s="30"/>
      <c r="CP127" s="30"/>
      <c r="CQ127" s="30"/>
      <c r="CR127" s="30"/>
      <c r="CS127" s="30"/>
      <c r="CT127" s="30"/>
      <c r="CU127" s="30"/>
      <c r="CV127" s="30"/>
      <c r="CW127" s="30"/>
      <c r="CX127" s="30"/>
      <c r="CY127" s="30"/>
      <c r="CZ127" s="30"/>
      <c r="DA127" s="30"/>
      <c r="DB127" s="30"/>
    </row>
    <row r="128" ht="16" customHeight="1" spans="1:106" x14ac:dyDescent="0.25">
      <c r="A128" s="68" t="s">
        <v>346</v>
      </c>
      <c r="C128" s="30">
        <f>=C8</f>
        <v>788</v>
      </c>
      <c r="D128" s="30">
        <f>=D8</f>
        <v>787</v>
      </c>
      <c r="E128" s="30">
        <f>=E8</f>
        <v>787</v>
      </c>
      <c r="F128" s="30">
        <f>=F8</f>
        <v>787</v>
      </c>
      <c r="G128" s="30">
        <f>=G8</f>
        <v>789</v>
      </c>
      <c r="H128" s="30">
        <f>=H8</f>
        <v>796</v>
      </c>
      <c r="I128" s="30">
        <f>=I8</f>
        <v>796</v>
      </c>
      <c r="J128" s="30">
        <f>=J8</f>
        <v>795</v>
      </c>
      <c r="K128" s="30">
        <f>=K8</f>
        <v>795</v>
      </c>
      <c r="L128" s="30">
        <f>=L8</f>
        <v>759</v>
      </c>
      <c r="M128" s="30">
        <f>=M8</f>
        <v>758</v>
      </c>
      <c r="N128" s="30">
        <f>=N8</f>
        <v>757</v>
      </c>
      <c r="O128" s="30">
        <f>=O8</f>
        <v>758</v>
      </c>
      <c r="P128" s="30">
        <f>=P8</f>
        <v>620</v>
      </c>
      <c r="Q128" s="30">
        <f>=Q8</f>
        <v>620</v>
      </c>
      <c r="R128" s="30">
        <f>=R8</f>
        <v>620</v>
      </c>
      <c r="S128" s="30">
        <f>=S8</f>
        <v>623</v>
      </c>
      <c r="T128" s="30">
        <f>=T8</f>
        <v>621</v>
      </c>
      <c r="U128" s="30">
        <f>=U8</f>
        <v>621</v>
      </c>
      <c r="V128" s="30">
        <f>=V8</f>
        <v>621</v>
      </c>
      <c r="W128" s="30">
        <f>=W8</f>
        <v>621</v>
      </c>
      <c r="X128" s="30">
        <f>=X8</f>
        <v>621</v>
      </c>
      <c r="Y128" s="30">
        <f>=Y8</f>
        <v>622</v>
      </c>
      <c r="Z128" s="30">
        <f>=Z8</f>
        <v>622</v>
      </c>
      <c r="AA128" s="30">
        <f>=AA8</f>
        <v>622</v>
      </c>
      <c r="AB128" s="30">
        <f>=AB8</f>
        <v>622</v>
      </c>
      <c r="AC128" s="30">
        <f>=AC8</f>
        <v>621</v>
      </c>
      <c r="AD128" s="30">
        <f>=AD8</f>
        <v>621</v>
      </c>
      <c r="AE128" s="30">
        <f>=AE8</f>
        <v>621</v>
      </c>
      <c r="AF128" s="30">
        <f>=AF8</f>
        <v>621</v>
      </c>
      <c r="AG128" s="30">
        <f>=AG8</f>
        <v>621</v>
      </c>
      <c r="AH128" s="30">
        <f>=AH8</f>
        <v>621</v>
      </c>
      <c r="AI128" s="30">
        <f>=AI8</f>
        <v>621</v>
      </c>
      <c r="AJ128" s="30">
        <f>=AJ8</f>
        <v>621</v>
      </c>
      <c r="AK128" s="30">
        <f>=AK8</f>
        <v>620</v>
      </c>
      <c r="AL128" s="30">
        <f>=AL8</f>
        <v>620</v>
      </c>
      <c r="AM128" s="30">
        <f>=AM8</f>
        <v>620</v>
      </c>
      <c r="AN128" s="30">
        <f>=AN8</f>
        <v>620</v>
      </c>
      <c r="AO128" s="30">
        <f>=AO8</f>
        <v>620</v>
      </c>
      <c r="AP128" s="30">
        <f>=AP8</f>
        <v>620</v>
      </c>
      <c r="AQ128" s="30">
        <f>=AQ8</f>
        <v>620</v>
      </c>
      <c r="AR128" s="30">
        <f>=AR8</f>
        <v>620</v>
      </c>
      <c r="AS128" s="30">
        <f>=AS8</f>
        <v>620</v>
      </c>
      <c r="AT128" s="30">
        <f>=AT8</f>
        <v>620</v>
      </c>
      <c r="AU128" s="30">
        <f>=AU8</f>
        <v>620</v>
      </c>
      <c r="AV128" s="30">
        <f>=AV8</f>
        <v>620</v>
      </c>
      <c r="AW128" s="30">
        <f>=AW8</f>
        <v>620</v>
      </c>
      <c r="AX128" s="30">
        <f>=AX8</f>
        <v>620</v>
      </c>
      <c r="AY128" s="30">
        <f>=AY8</f>
        <v>643</v>
      </c>
      <c r="AZ128" s="30">
        <f>=AZ8</f>
        <v>643</v>
      </c>
      <c r="BA128" s="30">
        <f>=BA8</f>
        <v>643</v>
      </c>
      <c r="BB128" s="30">
        <f>=BB8</f>
        <v>643</v>
      </c>
      <c r="BC128" s="30">
        <f>=BC8</f>
        <v>646</v>
      </c>
      <c r="BD128" s="30">
        <f>=BD8</f>
        <v>647</v>
      </c>
      <c r="BE128" s="30">
        <f>=BE8</f>
        <v>647</v>
      </c>
      <c r="BF128" s="30">
        <f>=BF8</f>
        <v>647</v>
      </c>
      <c r="BG128" s="30">
        <f>=BG8</f>
        <v>646</v>
      </c>
      <c r="BH128" s="30">
        <f>=BH8</f>
        <v>644</v>
      </c>
      <c r="BI128" s="30">
        <f>=BI8</f>
        <v>644</v>
      </c>
      <c r="BJ128" s="30">
        <f>=BJ8</f>
        <v>644</v>
      </c>
      <c r="BK128" s="30">
        <f>=BK8</f>
        <v>644</v>
      </c>
      <c r="BL128" s="30">
        <f>=BL8</f>
        <v>644</v>
      </c>
      <c r="BM128" s="30">
        <f>=BM8</f>
        <v>644</v>
      </c>
      <c r="BN128" s="30">
        <f>=BN8</f>
        <v>644</v>
      </c>
      <c r="BO128" s="30">
        <f>=BO8</f>
        <v>644</v>
      </c>
      <c r="BP128" s="30">
        <f>=BP8</f>
        <v>672</v>
      </c>
      <c r="BQ128" s="30">
        <f>=BQ8</f>
        <v>672</v>
      </c>
      <c r="BR128" s="30">
        <f>=BR8</f>
        <v>672</v>
      </c>
      <c r="BS128" s="30">
        <f>=BS8</f>
        <v>672</v>
      </c>
      <c r="BT128" s="30">
        <f>=BT8</f>
        <v>672</v>
      </c>
      <c r="BU128" s="30">
        <f>=BU8</f>
        <v>672</v>
      </c>
      <c r="BV128" s="30">
        <f>=BV8</f>
        <v>672</v>
      </c>
      <c r="BW128" s="30">
        <f>=BW8</f>
        <v>672</v>
      </c>
      <c r="BX128" s="30">
        <f>=BX8</f>
        <v>672</v>
      </c>
      <c r="BY128" s="30">
        <f>=BY8</f>
        <v>672</v>
      </c>
      <c r="BZ128" s="30">
        <f>=BZ8</f>
        <v>672</v>
      </c>
      <c r="CA128" s="30">
        <f>=CA8</f>
        <v>672</v>
      </c>
      <c r="CB128" s="30">
        <f>=CB8</f>
        <v>672</v>
      </c>
      <c r="CC128" s="30">
        <f>=CC8</f>
        <v>672</v>
      </c>
      <c r="CD128" s="30">
        <f>=CD8</f>
        <v>672</v>
      </c>
      <c r="CE128" s="30">
        <f>=CE8</f>
        <v>672</v>
      </c>
      <c r="CF128" s="30">
        <f>=CF8</f>
        <v>672</v>
      </c>
      <c r="CG128" s="30">
        <f>=CG8</f>
        <v>672</v>
      </c>
      <c r="CH128" s="30">
        <f>=CH8</f>
        <v>672</v>
      </c>
      <c r="CI128" s="30">
        <f>=CI8</f>
        <v>672</v>
      </c>
      <c r="CJ128" s="30">
        <f>=CJ8</f>
        <v>672</v>
      </c>
      <c r="CK128" s="30">
        <f>=CK8</f>
        <v>672</v>
      </c>
      <c r="CL128" s="30">
        <f>=CL8</f>
        <v>672</v>
      </c>
      <c r="CM128" s="30">
        <f>=CM8</f>
        <v>672</v>
      </c>
      <c r="CN128" s="30">
        <f>=CN8</f>
        <v>672</v>
      </c>
      <c r="CO128" s="30">
        <f>=CO8</f>
        <v>672</v>
      </c>
      <c r="CP128" s="30">
        <f>=CP8</f>
        <v>672</v>
      </c>
      <c r="CQ128" s="30">
        <f>=CQ8</f>
        <v>672</v>
      </c>
      <c r="CR128" s="30">
        <f>=CR8</f>
        <v>672</v>
      </c>
      <c r="CS128" s="30">
        <f>=CS8</f>
        <v>672</v>
      </c>
      <c r="CT128" s="30">
        <f>=CT8</f>
        <v>672</v>
      </c>
      <c r="CU128" s="30">
        <f>=CU8</f>
        <v>672</v>
      </c>
      <c r="CV128" s="30">
        <f>=CV8</f>
        <v>672</v>
      </c>
      <c r="CW128" s="30">
        <f>=CW8</f>
        <v>672</v>
      </c>
      <c r="CX128" s="30">
        <f>=CX8</f>
        <v>672</v>
      </c>
      <c r="CY128" s="30">
        <f>=CY8</f>
        <v>672</v>
      </c>
      <c r="CZ128" s="30">
        <f>=CZ8</f>
        <v>672</v>
      </c>
      <c r="DA128" s="30">
        <f>=DA8</f>
        <v>672</v>
      </c>
      <c r="DB128" s="30">
        <f>=DB8</f>
        <v>672</v>
      </c>
    </row>
    <row r="129" ht="18" customHeight="1" spans="1:106" x14ac:dyDescent="0.25">
      <c r="A129" s="68" t="s">
        <v>347</v>
      </c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50">
        <v>526</v>
      </c>
      <c r="AH129" s="50">
        <v>688</v>
      </c>
      <c r="AI129" s="50">
        <v>703</v>
      </c>
      <c r="AJ129" s="50">
        <v>774</v>
      </c>
      <c r="AK129" s="50">
        <v>729</v>
      </c>
      <c r="AL129" s="50">
        <v>787</v>
      </c>
      <c r="AM129" s="50">
        <v>782</v>
      </c>
      <c r="AN129" s="50">
        <v>780</v>
      </c>
      <c r="AO129" s="50">
        <v>776</v>
      </c>
      <c r="AP129" s="50">
        <v>731</v>
      </c>
      <c r="AQ129" s="50">
        <v>731</v>
      </c>
      <c r="AR129" s="50">
        <v>738</v>
      </c>
      <c r="AS129" s="50">
        <v>779</v>
      </c>
      <c r="AT129" s="50">
        <v>774</v>
      </c>
      <c r="AU129" s="50">
        <v>776</v>
      </c>
      <c r="AV129" s="50">
        <v>774</v>
      </c>
      <c r="AW129" s="50">
        <v>783</v>
      </c>
      <c r="AX129" s="50">
        <v>779</v>
      </c>
      <c r="AY129" s="50">
        <v>779</v>
      </c>
      <c r="AZ129" s="50">
        <v>774</v>
      </c>
      <c r="BA129" s="50">
        <v>774</v>
      </c>
      <c r="BB129" s="50">
        <v>774</v>
      </c>
      <c r="BC129" s="50">
        <v>791</v>
      </c>
      <c r="BD129" s="50">
        <v>774</v>
      </c>
      <c r="BE129" s="50">
        <v>785</v>
      </c>
      <c r="BF129" s="50">
        <v>774</v>
      </c>
      <c r="BG129" s="50">
        <v>780</v>
      </c>
      <c r="BH129" s="50">
        <v>780</v>
      </c>
      <c r="BI129" s="50">
        <v>775</v>
      </c>
      <c r="BJ129" s="50">
        <v>775</v>
      </c>
      <c r="BK129" s="50">
        <v>790</v>
      </c>
      <c r="BL129" s="50">
        <v>778</v>
      </c>
      <c r="BM129" s="50">
        <v>779</v>
      </c>
      <c r="BN129" s="69">
        <v>775</v>
      </c>
      <c r="BO129" s="69">
        <v>775</v>
      </c>
      <c r="BP129" s="69">
        <v>774</v>
      </c>
      <c r="BQ129" s="69">
        <v>757</v>
      </c>
      <c r="BR129" s="69">
        <v>737</v>
      </c>
      <c r="BS129" s="69">
        <v>732</v>
      </c>
      <c r="BT129" s="69">
        <v>734</v>
      </c>
      <c r="BU129" s="69">
        <v>720</v>
      </c>
      <c r="BV129" s="69">
        <v>739</v>
      </c>
      <c r="BW129" s="69">
        <v>682</v>
      </c>
      <c r="BX129" s="30"/>
      <c r="BY129" s="30"/>
      <c r="BZ129" s="30"/>
      <c r="CA129" s="30"/>
      <c r="CB129" s="30"/>
      <c r="CC129" s="30"/>
      <c r="CD129" s="30"/>
      <c r="CE129" s="30"/>
      <c r="CF129" s="30"/>
      <c r="CG129" s="30"/>
      <c r="CH129" s="30"/>
      <c r="CI129" s="30"/>
      <c r="CJ129" s="30"/>
      <c r="CK129" s="30"/>
      <c r="CL129" s="30"/>
      <c r="CM129" s="30"/>
      <c r="CN129" s="30"/>
      <c r="CO129" s="30"/>
      <c r="CP129" s="30"/>
      <c r="CQ129" s="30"/>
      <c r="CR129" s="30"/>
      <c r="CS129" s="30"/>
      <c r="CT129" s="30"/>
      <c r="CU129" s="30"/>
      <c r="CV129" s="30"/>
      <c r="CW129" s="30"/>
      <c r="CX129" s="30"/>
      <c r="CY129" s="30"/>
      <c r="CZ129" s="30"/>
      <c r="DA129" s="30"/>
      <c r="DB129" s="30"/>
    </row>
    <row r="130" ht="18" customHeight="1" spans="1:106" x14ac:dyDescent="0.25">
      <c r="A130" s="68" t="s">
        <v>348</v>
      </c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50">
        <v>429</v>
      </c>
      <c r="AH130" s="50">
        <v>590</v>
      </c>
      <c r="AI130" s="50">
        <v>564</v>
      </c>
      <c r="AJ130" s="50">
        <v>669</v>
      </c>
      <c r="AK130" s="50">
        <v>621</v>
      </c>
      <c r="AL130" s="50">
        <v>684</v>
      </c>
      <c r="AM130" s="50">
        <v>675</v>
      </c>
      <c r="AN130" s="50">
        <v>658</v>
      </c>
      <c r="AO130" s="50">
        <v>616</v>
      </c>
      <c r="AP130" s="50">
        <v>627</v>
      </c>
      <c r="AQ130" s="50">
        <v>585</v>
      </c>
      <c r="AR130" s="50">
        <v>613</v>
      </c>
      <c r="AS130" s="50">
        <v>662</v>
      </c>
      <c r="AT130" s="50">
        <v>627</v>
      </c>
      <c r="AU130" s="50">
        <v>655</v>
      </c>
      <c r="AV130" s="50">
        <v>624</v>
      </c>
      <c r="AW130" s="50">
        <v>592</v>
      </c>
      <c r="AX130" s="50">
        <v>647</v>
      </c>
      <c r="AY130" s="50">
        <v>652</v>
      </c>
      <c r="AZ130" s="50">
        <v>624</v>
      </c>
      <c r="BA130" s="50">
        <v>678</v>
      </c>
      <c r="BB130" s="50">
        <v>678</v>
      </c>
      <c r="BC130" s="50">
        <v>633</v>
      </c>
      <c r="BD130" s="50">
        <v>649</v>
      </c>
      <c r="BE130" s="50">
        <v>642</v>
      </c>
      <c r="BF130" s="50">
        <v>614</v>
      </c>
      <c r="BG130" s="50">
        <v>641</v>
      </c>
      <c r="BH130" s="50">
        <v>595</v>
      </c>
      <c r="BI130" s="50">
        <v>608</v>
      </c>
      <c r="BJ130" s="50">
        <v>653</v>
      </c>
      <c r="BK130" s="50">
        <v>696</v>
      </c>
      <c r="BL130" s="50">
        <v>664</v>
      </c>
      <c r="BM130" s="50">
        <v>658</v>
      </c>
      <c r="BN130" s="69">
        <v>652</v>
      </c>
      <c r="BO130" s="69">
        <v>666</v>
      </c>
      <c r="BP130" s="69">
        <v>625</v>
      </c>
      <c r="BQ130" s="69">
        <v>614</v>
      </c>
      <c r="BR130" s="69">
        <v>576</v>
      </c>
      <c r="BS130" s="69">
        <v>566</v>
      </c>
      <c r="BT130" s="69">
        <v>526</v>
      </c>
      <c r="BU130" s="69">
        <v>545</v>
      </c>
      <c r="BV130" s="69">
        <v>621</v>
      </c>
      <c r="BW130" s="69">
        <v>571</v>
      </c>
      <c r="BX130" s="30"/>
      <c r="BY130" s="30"/>
      <c r="BZ130" s="30"/>
      <c r="CA130" s="30"/>
      <c r="CB130" s="30"/>
      <c r="CC130" s="30"/>
      <c r="CD130" s="30"/>
      <c r="CE130" s="30"/>
      <c r="CF130" s="30"/>
      <c r="CG130" s="30"/>
      <c r="CH130" s="30"/>
      <c r="CI130" s="30"/>
      <c r="CJ130" s="30"/>
      <c r="CK130" s="30"/>
      <c r="CL130" s="30"/>
      <c r="CM130" s="30"/>
      <c r="CN130" s="30"/>
      <c r="CO130" s="30"/>
      <c r="CP130" s="30"/>
      <c r="CQ130" s="30"/>
      <c r="CR130" s="30"/>
      <c r="CS130" s="30"/>
      <c r="CT130" s="30"/>
      <c r="CU130" s="30"/>
      <c r="CV130" s="30"/>
      <c r="CW130" s="30"/>
      <c r="CX130" s="30"/>
      <c r="CY130" s="30"/>
      <c r="CZ130" s="30"/>
      <c r="DA130" s="30"/>
      <c r="DB130" s="30"/>
    </row>
    <row r="131" ht="18" customHeight="1" spans="1:106" x14ac:dyDescent="0.25">
      <c r="A131" s="70" t="s">
        <v>349</v>
      </c>
      <c r="C131" s="31">
        <f>=IFERROR(C130/C128,0)</f>
        <v>0</v>
      </c>
      <c r="D131" s="31">
        <f>=IFERROR(D130/D128,0)</f>
        <v>0</v>
      </c>
      <c r="E131" s="31">
        <f>=IFERROR(E130/E128,0)</f>
        <v>0</v>
      </c>
      <c r="F131" s="31">
        <f>=IFERROR(F130/F128,0)</f>
        <v>0</v>
      </c>
      <c r="G131" s="31">
        <f>=IFERROR(G130/G128,0)</f>
        <v>0</v>
      </c>
      <c r="H131" s="31">
        <f>=IFERROR(H130/H128,0)</f>
        <v>0</v>
      </c>
      <c r="I131" s="31">
        <f>=IFERROR(I130/I128,0)</f>
        <v>0</v>
      </c>
      <c r="J131" s="31">
        <f>=IFERROR(J130/J128,0)</f>
        <v>0</v>
      </c>
      <c r="K131" s="31">
        <f>=IFERROR(K130/K128,0)</f>
        <v>0</v>
      </c>
      <c r="L131" s="31">
        <f>=IFERROR(L130/L128,0)</f>
        <v>0</v>
      </c>
      <c r="M131" s="31">
        <f>=IFERROR(M130/M128,0)</f>
        <v>0</v>
      </c>
      <c r="N131" s="31">
        <f>=IFERROR(N130/N128,0)</f>
        <v>0</v>
      </c>
      <c r="O131" s="31">
        <f>=IFERROR(O130/O128,0)</f>
        <v>0</v>
      </c>
      <c r="P131" s="31">
        <f>=IFERROR(P130/P128,0)</f>
        <v>0</v>
      </c>
      <c r="Q131" s="31">
        <f>=IFERROR(Q130/Q128,0)</f>
        <v>0</v>
      </c>
      <c r="R131" s="31">
        <f>=IFERROR(R130/R128,0)</f>
        <v>0</v>
      </c>
      <c r="S131" s="31">
        <f>=IFERROR(S130/S128,0)</f>
        <v>0</v>
      </c>
      <c r="T131" s="31">
        <f>=IFERROR(T130/T128,0)</f>
        <v>0</v>
      </c>
      <c r="U131" s="31">
        <f>=IFERROR(U130/U128,0)</f>
        <v>0</v>
      </c>
      <c r="V131" s="31">
        <f>=IFERROR(V130/V128,0)</f>
        <v>0</v>
      </c>
      <c r="W131" s="31">
        <f>=IFERROR(W130/W128,0)</f>
        <v>0</v>
      </c>
      <c r="X131" s="31">
        <f>=IFERROR(X130/X128,0)</f>
        <v>0</v>
      </c>
      <c r="Y131" s="31">
        <f>=IFERROR(Y130/Y128,0)</f>
        <v>0</v>
      </c>
      <c r="Z131" s="31">
        <f>=IFERROR(Z130/Z128,0)</f>
        <v>0</v>
      </c>
      <c r="AA131" s="31">
        <f>=IFERROR(AA130/AA128,0)</f>
        <v>0</v>
      </c>
      <c r="AB131" s="31">
        <f>=IFERROR(AB130/AB128,0)</f>
        <v>0</v>
      </c>
      <c r="AC131" s="31">
        <f>=IFERROR(AC130/AC128,0)</f>
        <v>0</v>
      </c>
      <c r="AD131" s="31">
        <f>=IFERROR(AD130/AD128,0)</f>
        <v>0</v>
      </c>
      <c r="AE131" s="31">
        <f>=IFERROR(AE130/AE128,0)</f>
        <v>0</v>
      </c>
      <c r="AF131" s="31">
        <f>=IFERROR(AF130/AF128,0)</f>
        <v>0</v>
      </c>
      <c r="AG131" s="31">
        <f>=IFERROR(AG130/AG128,0)</f>
        <v>0.6908212560386473</v>
      </c>
      <c r="AH131" s="31">
        <f>=IFERROR(AH130/AH128,0)</f>
        <v>0.9500805152979066</v>
      </c>
      <c r="AI131" s="31">
        <f>=IFERROR(AI130/AI128,0)</f>
        <v>0.9082125603864735</v>
      </c>
      <c r="AJ131" s="31">
        <f>=IFERROR(AJ130/AJ128,0)</f>
        <v>1.077294685990338</v>
      </c>
      <c r="AK131" s="31">
        <f>=IFERROR(AK130/AK128,0)</f>
        <v>1.0016129032258065</v>
      </c>
      <c r="AL131" s="31">
        <f>=IFERROR(AL130/AL128,0)</f>
        <v>1.103225806451613</v>
      </c>
      <c r="AM131" s="31">
        <f>=IFERROR(AM130/AM128,0)</f>
        <v>1.0887096774193548</v>
      </c>
      <c r="AN131" s="31">
        <f>=IFERROR(AN130/AN128,0)</f>
        <v>1.0612903225806452</v>
      </c>
      <c r="AO131" s="31">
        <f>=IFERROR(AO130/AO128,0)</f>
        <v>0.9935483870967742</v>
      </c>
      <c r="AP131" s="31">
        <f>=IFERROR(AP130/AP128,0)</f>
        <v>1.011290322580645</v>
      </c>
      <c r="AQ131" s="31">
        <f>=IFERROR(AQ130/AQ128,0)</f>
        <v>0.9435483870967742</v>
      </c>
      <c r="AR131" s="31">
        <f>=IFERROR(AR130/AR128,0)</f>
        <v>0.9887096774193549</v>
      </c>
      <c r="AS131" s="31">
        <f>=IFERROR(AS130/AS128,0)</f>
        <v>1.0677419354838709</v>
      </c>
      <c r="AT131" s="31">
        <f>=IFERROR(AT130/AT128,0)</f>
        <v>1.011290322580645</v>
      </c>
      <c r="AU131" s="31">
        <f>=IFERROR(AU130/AU128,0)</f>
        <v>1.0564516129032258</v>
      </c>
      <c r="AV131" s="31">
        <f>=IFERROR(AV130/AV128,0)</f>
        <v>1.0064516129032257</v>
      </c>
      <c r="AW131" s="31">
        <f>=IFERROR(AW130/AW128,0)</f>
        <v>0.9548387096774194</v>
      </c>
      <c r="AX131" s="31">
        <f>=IFERROR(AX130/AX128,0)</f>
        <v>1.043548387096774</v>
      </c>
      <c r="AY131" s="31">
        <f>=IFERROR(AY130/AY128,0)</f>
        <v>1.0139968895800933</v>
      </c>
      <c r="AZ131" s="31">
        <f>=IFERROR(AZ130/AZ128,0)</f>
        <v>0.9704510108864697</v>
      </c>
      <c r="BA131" s="31">
        <f>=IFERROR(BA130/BA128,0)</f>
        <v>1.0544323483670295</v>
      </c>
      <c r="BB131" s="31">
        <f>=IFERROR(BB130/BB128,0)</f>
        <v>1.0544323483670295</v>
      </c>
      <c r="BC131" s="31">
        <f>=IFERROR(BC130/BC128,0)</f>
        <v>0.9798761609907121</v>
      </c>
      <c r="BD131" s="31">
        <f>=IFERROR(BD130/BD128,0)</f>
        <v>1.0030911901081916</v>
      </c>
      <c r="BE131" s="31">
        <f>=IFERROR(BE130/BE128,0)</f>
        <v>0.9922720247295209</v>
      </c>
      <c r="BF131" s="31">
        <f>=IFERROR(BF130/BF128,0)</f>
        <v>0.9489953632148377</v>
      </c>
      <c r="BG131" s="31">
        <f>=IFERROR(BG130/BG128,0)</f>
        <v>0.9922600619195047</v>
      </c>
      <c r="BH131" s="31">
        <f>=IFERROR(BH130/BH128,0)</f>
        <v>0.9239130434782609</v>
      </c>
      <c r="BI131" s="31">
        <f>=IFERROR(BI130/BI128,0)</f>
        <v>0.9440993788819876</v>
      </c>
      <c r="BJ131" s="31">
        <f>=IFERROR(BJ130/BJ128,0)</f>
        <v>1.013975155279503</v>
      </c>
      <c r="BK131" s="31">
        <f>=IFERROR(BK130/BK128,0)</f>
        <v>1.0807453416149069</v>
      </c>
      <c r="BL131" s="31">
        <f>=IFERROR(BL130/BL128,0)</f>
        <v>1.031055900621118</v>
      </c>
      <c r="BM131" s="31">
        <f>=IFERROR(BM130/BM128,0)</f>
        <v>1.0217391304347827</v>
      </c>
      <c r="BN131" s="31">
        <f>=IFERROR(BN130/BN128,0)</f>
        <v>1.0124223602484472</v>
      </c>
      <c r="BO131" s="31">
        <f>=IFERROR(BO130/BO128,0)</f>
        <v>1.0341614906832297</v>
      </c>
      <c r="BP131" s="31">
        <f>=IFERROR(BP130/BP128,0)</f>
        <v>0.9300595238095238</v>
      </c>
      <c r="BQ131" s="31">
        <f>=IFERROR(BQ130/BQ128,0)</f>
        <v>0.9136904761904762</v>
      </c>
      <c r="BR131" s="31">
        <f>=IFERROR(BR130/BR128,0)</f>
        <v>0.8571428571428571</v>
      </c>
      <c r="BS131" s="31">
        <f>=IFERROR(BS130/BS128,0)</f>
        <v>0.8422619047619048</v>
      </c>
      <c r="BT131" s="31">
        <f>=IFERROR(BT130/BT128,0)</f>
        <v>0.7827380952380952</v>
      </c>
      <c r="BU131" s="31">
        <f>=IFERROR(BU130/BU128,0)</f>
        <v>0.8110119047619048</v>
      </c>
      <c r="BV131" s="31">
        <f>=IFERROR(BV130/BV128,0)</f>
        <v>0.9241071428571429</v>
      </c>
      <c r="BW131" s="31">
        <f>=IFERROR(BW130/BW128,0)</f>
        <v>0.8497023809523809</v>
      </c>
      <c r="BX131" s="31">
        <f>=IFERROR(BX130/BX128,0)</f>
        <v>0</v>
      </c>
      <c r="BY131" s="31">
        <f>=IFERROR(BY130/BY128,0)</f>
        <v>0</v>
      </c>
      <c r="BZ131" s="31">
        <f>=IFERROR(BZ130/BZ128,0)</f>
        <v>0</v>
      </c>
      <c r="CA131" s="31">
        <f>=IFERROR(CA130/CA128,0)</f>
        <v>0</v>
      </c>
      <c r="CB131" s="31">
        <f>=IFERROR(CB130/CB128,0)</f>
        <v>0</v>
      </c>
      <c r="CC131" s="31">
        <f>=IFERROR(CC130/CC128,0)</f>
        <v>0</v>
      </c>
      <c r="CD131" s="31">
        <f>=IFERROR(CD130/CD128,0)</f>
        <v>0</v>
      </c>
      <c r="CE131" s="31">
        <f>=IFERROR(CE130/CE128,0)</f>
        <v>0</v>
      </c>
      <c r="CF131" s="31">
        <f>=IFERROR(CF130/CF128,0)</f>
        <v>0</v>
      </c>
      <c r="CG131" s="31">
        <f>=IFERROR(CG130/CG128,0)</f>
        <v>0</v>
      </c>
      <c r="CH131" s="31">
        <f>=IFERROR(CH130/CH128,0)</f>
        <v>0</v>
      </c>
      <c r="CI131" s="31">
        <f>=IFERROR(CI130/CI128,0)</f>
        <v>0</v>
      </c>
      <c r="CJ131" s="31">
        <f>=IFERROR(CJ130/CJ128,0)</f>
        <v>0</v>
      </c>
      <c r="CK131" s="31">
        <f>=IFERROR(CK130/CK128,0)</f>
        <v>0</v>
      </c>
      <c r="CL131" s="31">
        <f>=IFERROR(CL130/CL128,0)</f>
        <v>0</v>
      </c>
      <c r="CM131" s="31">
        <f>=IFERROR(CM130/CM128,0)</f>
        <v>0</v>
      </c>
      <c r="CN131" s="31">
        <f>=IFERROR(CN130/CN128,0)</f>
        <v>0</v>
      </c>
      <c r="CO131" s="31">
        <f>=IFERROR(CO130/CO128,0)</f>
        <v>0</v>
      </c>
      <c r="CP131" s="31">
        <f>=IFERROR(CP130/CP128,0)</f>
        <v>0</v>
      </c>
      <c r="CQ131" s="31">
        <f>=IFERROR(CQ130/CQ128,0)</f>
        <v>0</v>
      </c>
      <c r="CR131" s="31">
        <f>=IFERROR(CR130/CR128,0)</f>
        <v>0</v>
      </c>
      <c r="CS131" s="31">
        <f>=IFERROR(CS130/CS128,0)</f>
        <v>0</v>
      </c>
      <c r="CT131" s="31">
        <f>=IFERROR(CT130/CT128,0)</f>
        <v>0</v>
      </c>
      <c r="CU131" s="31">
        <f>=IFERROR(CU130/CU128,0)</f>
        <v>0</v>
      </c>
      <c r="CV131" s="31">
        <f>=IFERROR(CV130/CV128,0)</f>
        <v>0</v>
      </c>
      <c r="CW131" s="31">
        <f>=IFERROR(CW130/CW128,0)</f>
        <v>0</v>
      </c>
      <c r="CX131" s="31">
        <f>=IFERROR(CX130/CX128,0)</f>
        <v>0</v>
      </c>
      <c r="CY131" s="31">
        <f>=IFERROR(CY130/CY128,0)</f>
        <v>0</v>
      </c>
      <c r="CZ131" s="31">
        <f>=IFERROR(CZ130/CZ128,0)</f>
        <v>0</v>
      </c>
      <c r="DA131" s="31">
        <f>=IFERROR(DA130/DA128,0)</f>
        <v>0</v>
      </c>
      <c r="DB131" s="31">
        <f>=IFERROR(DB130/DB128,0)</f>
        <v>0</v>
      </c>
    </row>
    <row r="132" ht="18" customHeight="1" spans="1:106" x14ac:dyDescent="0.25">
      <c r="A132" s="68" t="s">
        <v>350</v>
      </c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50">
        <v>378</v>
      </c>
      <c r="AH132" s="50">
        <v>527</v>
      </c>
      <c r="AI132" s="50">
        <v>504</v>
      </c>
      <c r="AJ132" s="50">
        <v>597</v>
      </c>
      <c r="AK132" s="50">
        <v>551</v>
      </c>
      <c r="AL132" s="50">
        <v>597</v>
      </c>
      <c r="AM132" s="50">
        <v>597</v>
      </c>
      <c r="AN132" s="50">
        <v>585</v>
      </c>
      <c r="AO132" s="50">
        <v>546</v>
      </c>
      <c r="AP132" s="50">
        <v>556</v>
      </c>
      <c r="AQ132" s="50">
        <v>522</v>
      </c>
      <c r="AR132" s="50">
        <v>547</v>
      </c>
      <c r="AS132" s="50">
        <v>580</v>
      </c>
      <c r="AT132" s="50">
        <v>557</v>
      </c>
      <c r="AU132" s="50">
        <v>582</v>
      </c>
      <c r="AV132" s="50">
        <v>551</v>
      </c>
      <c r="AW132" s="50">
        <v>527</v>
      </c>
      <c r="AX132" s="50">
        <v>574</v>
      </c>
      <c r="AY132" s="50">
        <v>574</v>
      </c>
      <c r="AZ132" s="50">
        <v>554</v>
      </c>
      <c r="BA132" s="50">
        <v>601</v>
      </c>
      <c r="BB132" s="50">
        <v>605</v>
      </c>
      <c r="BC132" s="50">
        <v>564</v>
      </c>
      <c r="BD132" s="50">
        <v>576</v>
      </c>
      <c r="BE132" s="50">
        <v>569</v>
      </c>
      <c r="BF132" s="50">
        <v>544</v>
      </c>
      <c r="BG132" s="50">
        <v>569</v>
      </c>
      <c r="BH132" s="50">
        <v>530</v>
      </c>
      <c r="BI132" s="50">
        <v>541</v>
      </c>
      <c r="BJ132" s="50">
        <v>583</v>
      </c>
      <c r="BK132" s="50">
        <v>627</v>
      </c>
      <c r="BL132" s="50">
        <v>591</v>
      </c>
      <c r="BM132" s="50">
        <v>586</v>
      </c>
      <c r="BN132" s="69">
        <v>568</v>
      </c>
      <c r="BO132" s="69">
        <v>581</v>
      </c>
      <c r="BP132" s="69">
        <v>557</v>
      </c>
      <c r="BQ132" s="69">
        <v>551</v>
      </c>
      <c r="BR132" s="69">
        <v>515</v>
      </c>
      <c r="BS132" s="69">
        <v>508</v>
      </c>
      <c r="BT132" s="69">
        <v>468</v>
      </c>
      <c r="BU132" s="69">
        <v>485</v>
      </c>
      <c r="BV132" s="69">
        <v>557</v>
      </c>
      <c r="BW132" s="69">
        <v>512</v>
      </c>
      <c r="BX132" s="30"/>
      <c r="BY132" s="30"/>
      <c r="BZ132" s="30"/>
      <c r="CA132" s="30"/>
      <c r="CB132" s="30"/>
      <c r="CC132" s="30"/>
      <c r="CD132" s="30"/>
      <c r="CE132" s="30"/>
      <c r="CF132" s="30"/>
      <c r="CG132" s="30"/>
      <c r="CH132" s="30"/>
      <c r="CI132" s="30"/>
      <c r="CJ132" s="30"/>
      <c r="CK132" s="30"/>
      <c r="CL132" s="30"/>
      <c r="CM132" s="30"/>
      <c r="CN132" s="30"/>
      <c r="CO132" s="30"/>
      <c r="CP132" s="30"/>
      <c r="CQ132" s="30"/>
      <c r="CR132" s="30"/>
      <c r="CS132" s="30"/>
      <c r="CT132" s="30"/>
      <c r="CU132" s="30"/>
      <c r="CV132" s="30"/>
      <c r="CW132" s="30"/>
      <c r="CX132" s="30"/>
      <c r="CY132" s="30"/>
      <c r="CZ132" s="30"/>
      <c r="DA132" s="30"/>
      <c r="DB132" s="30"/>
    </row>
    <row r="133" ht="18" customHeight="1" spans="1:75" x14ac:dyDescent="0.25">
      <c r="A133" s="68" t="s">
        <v>351</v>
      </c>
      <c r="BU133" s="71"/>
      <c r="BV133" s="71"/>
      <c r="BW133" s="71"/>
    </row>
    <row r="134" ht="18" customHeight="1" spans="1:75" x14ac:dyDescent="0.25">
      <c r="A134" s="72" t="s">
        <v>263</v>
      </c>
      <c r="AG134" s="50">
        <v>9</v>
      </c>
      <c r="AH134" s="50">
        <v>8</v>
      </c>
      <c r="AI134" s="50">
        <v>8</v>
      </c>
      <c r="AJ134" s="50">
        <v>7</v>
      </c>
      <c r="AK134" s="50">
        <v>9</v>
      </c>
      <c r="AL134" s="50">
        <v>0</v>
      </c>
      <c r="AM134" s="50">
        <v>8</v>
      </c>
      <c r="AN134" s="50">
        <v>34</v>
      </c>
      <c r="AO134" s="50">
        <v>50</v>
      </c>
      <c r="AP134" s="50">
        <v>30</v>
      </c>
      <c r="AQ134" s="50">
        <v>43</v>
      </c>
      <c r="AR134" s="50">
        <v>40</v>
      </c>
      <c r="AS134" s="50">
        <v>26</v>
      </c>
      <c r="AT134" s="50">
        <v>40</v>
      </c>
      <c r="AU134" s="50">
        <v>24</v>
      </c>
      <c r="AV134" s="50">
        <v>64</v>
      </c>
      <c r="AW134" s="50">
        <v>72</v>
      </c>
      <c r="AX134" s="50">
        <v>16</v>
      </c>
      <c r="AY134" s="50">
        <v>0</v>
      </c>
      <c r="AZ134" s="50">
        <v>24</v>
      </c>
      <c r="BA134" s="50">
        <v>24</v>
      </c>
      <c r="BB134" s="50">
        <v>17</v>
      </c>
      <c r="BC134" s="50">
        <v>25</v>
      </c>
      <c r="BD134" s="50">
        <v>8</v>
      </c>
      <c r="BE134" s="50">
        <v>42</v>
      </c>
      <c r="BF134" s="50">
        <v>33</v>
      </c>
      <c r="BG134" s="50">
        <v>24</v>
      </c>
      <c r="BH134" s="50">
        <v>40</v>
      </c>
      <c r="BI134" s="50">
        <v>59</v>
      </c>
      <c r="BJ134" s="50">
        <v>49</v>
      </c>
      <c r="BK134" s="50">
        <v>20</v>
      </c>
      <c r="BL134" s="50">
        <v>24</v>
      </c>
      <c r="BM134" s="50">
        <v>24</v>
      </c>
      <c r="BN134" s="69">
        <v>32</v>
      </c>
      <c r="BO134" s="69">
        <v>8</v>
      </c>
      <c r="BP134" s="69">
        <v>33</v>
      </c>
      <c r="BQ134" s="69">
        <v>16</v>
      </c>
      <c r="BR134" s="69">
        <v>56</v>
      </c>
      <c r="BS134" s="69">
        <v>56</v>
      </c>
      <c r="BT134" s="69">
        <v>56</v>
      </c>
      <c r="BU134" s="69">
        <v>70</v>
      </c>
      <c r="BV134" s="69">
        <v>45</v>
      </c>
      <c r="BW134" s="69">
        <v>1</v>
      </c>
    </row>
    <row r="135" ht="18" customHeight="1" spans="1:106" x14ac:dyDescent="0.25">
      <c r="A135" s="72" t="s">
        <v>264</v>
      </c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50">
        <v>27</v>
      </c>
      <c r="AH135" s="50">
        <v>25</v>
      </c>
      <c r="AI135" s="50">
        <v>69</v>
      </c>
      <c r="AJ135" s="50">
        <v>29</v>
      </c>
      <c r="AK135" s="50">
        <v>37</v>
      </c>
      <c r="AL135" s="50">
        <v>38</v>
      </c>
      <c r="AM135" s="50">
        <v>27</v>
      </c>
      <c r="AN135" s="50">
        <v>17</v>
      </c>
      <c r="AO135" s="50">
        <v>43</v>
      </c>
      <c r="AP135" s="50">
        <v>5</v>
      </c>
      <c r="AQ135" s="50">
        <v>38</v>
      </c>
      <c r="AR135" s="50">
        <v>22</v>
      </c>
      <c r="AS135" s="50">
        <v>25</v>
      </c>
      <c r="AT135" s="50">
        <v>40</v>
      </c>
      <c r="AU135" s="50">
        <v>33</v>
      </c>
      <c r="AV135" s="50">
        <v>16</v>
      </c>
      <c r="AW135" s="50">
        <v>55</v>
      </c>
      <c r="AX135" s="50">
        <v>50</v>
      </c>
      <c r="AY135" s="50">
        <v>59</v>
      </c>
      <c r="AZ135" s="50">
        <v>45</v>
      </c>
      <c r="BA135" s="50">
        <v>11</v>
      </c>
      <c r="BB135" s="50">
        <v>0</v>
      </c>
      <c r="BC135" s="50">
        <v>63</v>
      </c>
      <c r="BD135" s="50">
        <v>47</v>
      </c>
      <c r="BE135" s="50">
        <v>29</v>
      </c>
      <c r="BF135" s="50">
        <v>42</v>
      </c>
      <c r="BG135" s="50">
        <v>33</v>
      </c>
      <c r="BH135" s="50">
        <v>77</v>
      </c>
      <c r="BI135" s="50">
        <v>44</v>
      </c>
      <c r="BJ135" s="50">
        <v>9</v>
      </c>
      <c r="BK135" s="50">
        <v>35</v>
      </c>
      <c r="BL135" s="50">
        <v>22</v>
      </c>
      <c r="BM135" s="50">
        <v>22</v>
      </c>
      <c r="BN135" s="69">
        <v>19</v>
      </c>
      <c r="BO135" s="69">
        <v>22</v>
      </c>
      <c r="BP135" s="69">
        <v>50</v>
      </c>
      <c r="BQ135" s="69">
        <v>59</v>
      </c>
      <c r="BR135" s="69">
        <v>21</v>
      </c>
      <c r="BS135" s="69">
        <v>42</v>
      </c>
      <c r="BT135" s="69">
        <v>33</v>
      </c>
      <c r="BU135" s="69">
        <v>45</v>
      </c>
      <c r="BV135" s="69">
        <v>16</v>
      </c>
      <c r="BW135" s="69">
        <v>12</v>
      </c>
      <c r="BX135" s="30"/>
      <c r="BY135" s="30"/>
      <c r="BZ135" s="30"/>
      <c r="CA135" s="30"/>
      <c r="CB135" s="30"/>
      <c r="CC135" s="30"/>
      <c r="CD135" s="30"/>
      <c r="CE135" s="30"/>
      <c r="CF135" s="30"/>
      <c r="CG135" s="30"/>
      <c r="CH135" s="30"/>
      <c r="CI135" s="30"/>
      <c r="CJ135" s="30"/>
      <c r="CK135" s="30"/>
      <c r="CL135" s="30"/>
      <c r="CM135" s="30"/>
      <c r="CN135" s="30"/>
      <c r="CO135" s="30"/>
      <c r="CP135" s="30"/>
      <c r="CQ135" s="30"/>
      <c r="CR135" s="30"/>
      <c r="CS135" s="30"/>
      <c r="CT135" s="30"/>
      <c r="CU135" s="30"/>
      <c r="CV135" s="30"/>
      <c r="CW135" s="30"/>
      <c r="CX135" s="30"/>
      <c r="CY135" s="30"/>
      <c r="CZ135" s="30"/>
      <c r="DA135" s="30"/>
      <c r="DB135" s="30"/>
    </row>
    <row r="136" ht="16" customHeight="1" spans="1:106" x14ac:dyDescent="0.25">
      <c r="A136" s="72" t="s">
        <v>265</v>
      </c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30"/>
      <c r="BD136" s="30"/>
      <c r="BE136" s="30"/>
      <c r="BF136" s="30"/>
      <c r="BG136" s="30"/>
      <c r="BH136" s="30"/>
      <c r="BI136" s="30"/>
      <c r="BJ136" s="30"/>
      <c r="BK136" s="30"/>
      <c r="BL136" s="30"/>
      <c r="BM136" s="30"/>
      <c r="BN136" s="30"/>
      <c r="BO136" s="30"/>
      <c r="BP136" s="30"/>
      <c r="BQ136" s="30"/>
      <c r="BR136" s="30"/>
      <c r="BS136" s="30"/>
      <c r="BT136" s="30"/>
      <c r="BU136" s="30"/>
      <c r="BV136" s="30"/>
      <c r="BW136" s="30"/>
      <c r="BX136" s="30"/>
      <c r="BY136" s="30"/>
      <c r="BZ136" s="30"/>
      <c r="CA136" s="30"/>
      <c r="CB136" s="30"/>
      <c r="CC136" s="30"/>
      <c r="CD136" s="30"/>
      <c r="CE136" s="30"/>
      <c r="CF136" s="30"/>
      <c r="CG136" s="30"/>
      <c r="CH136" s="30"/>
      <c r="CI136" s="30"/>
      <c r="CJ136" s="30"/>
      <c r="CK136" s="30"/>
      <c r="CL136" s="30"/>
      <c r="CM136" s="30"/>
      <c r="CN136" s="30"/>
      <c r="CO136" s="30"/>
      <c r="CP136" s="30"/>
      <c r="CQ136" s="30"/>
      <c r="CR136" s="30"/>
      <c r="CS136" s="30"/>
      <c r="CT136" s="30"/>
      <c r="CU136" s="30"/>
      <c r="CV136" s="30"/>
      <c r="CW136" s="30"/>
      <c r="CX136" s="30"/>
      <c r="CY136" s="30"/>
      <c r="CZ136" s="30"/>
      <c r="DA136" s="30"/>
      <c r="DB136" s="30"/>
    </row>
    <row r="137" ht="16" customHeight="1" spans="1:106" x14ac:dyDescent="0.25">
      <c r="A137" s="72" t="s">
        <v>266</v>
      </c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  <c r="BA137" s="30"/>
      <c r="BB137" s="30"/>
      <c r="BC137" s="30"/>
      <c r="BD137" s="30"/>
      <c r="BE137" s="30"/>
      <c r="BF137" s="30"/>
      <c r="BG137" s="30"/>
      <c r="BH137" s="30"/>
      <c r="BI137" s="30"/>
      <c r="BJ137" s="30"/>
      <c r="BK137" s="30"/>
      <c r="BL137" s="30"/>
      <c r="BM137" s="30"/>
      <c r="BN137" s="30"/>
      <c r="BO137" s="30"/>
      <c r="BP137" s="30"/>
      <c r="BQ137" s="30"/>
      <c r="BR137" s="30"/>
      <c r="BS137" s="30"/>
      <c r="BT137" s="30"/>
      <c r="BU137" s="30"/>
      <c r="BV137" s="30"/>
      <c r="BW137" s="30"/>
      <c r="BX137" s="30"/>
      <c r="BY137" s="30"/>
      <c r="BZ137" s="30"/>
      <c r="CA137" s="30"/>
      <c r="CB137" s="30"/>
      <c r="CC137" s="30"/>
      <c r="CD137" s="30"/>
      <c r="CE137" s="30"/>
      <c r="CF137" s="30"/>
      <c r="CG137" s="30"/>
      <c r="CH137" s="30"/>
      <c r="CI137" s="30"/>
      <c r="CJ137" s="30"/>
      <c r="CK137" s="30"/>
      <c r="CL137" s="30"/>
      <c r="CM137" s="30"/>
      <c r="CN137" s="30"/>
      <c r="CO137" s="30"/>
      <c r="CP137" s="30"/>
      <c r="CQ137" s="30"/>
      <c r="CR137" s="30"/>
      <c r="CS137" s="30"/>
      <c r="CT137" s="30"/>
      <c r="CU137" s="30"/>
      <c r="CV137" s="30"/>
      <c r="CW137" s="30"/>
      <c r="CX137" s="30"/>
      <c r="CY137" s="30"/>
      <c r="CZ137" s="30"/>
      <c r="DA137" s="30"/>
      <c r="DB137" s="30"/>
    </row>
    <row r="138" ht="16" customHeight="1" spans="1:106" x14ac:dyDescent="0.25">
      <c r="A138" s="68" t="s">
        <v>352</v>
      </c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  <c r="BA138" s="30"/>
      <c r="BB138" s="30"/>
      <c r="BC138" s="30"/>
      <c r="BD138" s="30"/>
      <c r="BE138" s="30"/>
      <c r="BF138" s="30"/>
      <c r="BG138" s="30"/>
      <c r="BH138" s="30"/>
      <c r="BI138" s="30"/>
      <c r="BJ138" s="30"/>
      <c r="BK138" s="30"/>
      <c r="BL138" s="30"/>
      <c r="BM138" s="30"/>
      <c r="BN138" s="30"/>
      <c r="BO138" s="30"/>
      <c r="BP138" s="30"/>
      <c r="BQ138" s="30"/>
      <c r="BR138" s="30"/>
      <c r="BS138" s="30"/>
      <c r="BT138" s="30"/>
      <c r="BU138" s="30"/>
      <c r="BV138" s="30"/>
      <c r="BW138" s="30"/>
      <c r="BX138" s="30"/>
      <c r="BY138" s="30"/>
      <c r="BZ138" s="30"/>
      <c r="CA138" s="30"/>
      <c r="CB138" s="30"/>
      <c r="CC138" s="30"/>
      <c r="CD138" s="30"/>
      <c r="CE138" s="30"/>
      <c r="CF138" s="30"/>
      <c r="CG138" s="30"/>
      <c r="CH138" s="30"/>
      <c r="CI138" s="30"/>
      <c r="CJ138" s="30"/>
      <c r="CK138" s="30"/>
      <c r="CL138" s="30"/>
      <c r="CM138" s="30"/>
      <c r="CN138" s="30"/>
      <c r="CO138" s="30"/>
      <c r="CP138" s="30"/>
      <c r="CQ138" s="30"/>
      <c r="CR138" s="30"/>
      <c r="CS138" s="30"/>
      <c r="CT138" s="30"/>
      <c r="CU138" s="30"/>
      <c r="CV138" s="30"/>
      <c r="CW138" s="30"/>
      <c r="CX138" s="30"/>
      <c r="CY138" s="30"/>
      <c r="CZ138" s="30"/>
      <c r="DA138" s="30"/>
      <c r="DB138" s="30"/>
    </row>
    <row r="139" ht="18" customHeight="1" spans="1:106" x14ac:dyDescent="0.25">
      <c r="A139" s="36" t="s">
        <v>268</v>
      </c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  <c r="BA139" s="30"/>
      <c r="BB139" s="30"/>
      <c r="BC139" s="30"/>
      <c r="BD139" s="30"/>
      <c r="BE139" s="30"/>
      <c r="BF139" s="30"/>
      <c r="BG139" s="30"/>
      <c r="BH139" s="30"/>
      <c r="BI139" s="30"/>
      <c r="BJ139" s="30"/>
      <c r="BK139" s="30"/>
      <c r="BL139" s="30"/>
      <c r="BM139" s="30"/>
      <c r="BN139" s="30"/>
      <c r="BO139" s="30"/>
      <c r="BP139" s="30"/>
      <c r="BQ139" s="30"/>
      <c r="BR139" s="30"/>
      <c r="BS139" s="30"/>
      <c r="BT139" s="30"/>
      <c r="BU139" s="30"/>
      <c r="BV139" s="30"/>
      <c r="BW139" s="30"/>
      <c r="BX139" s="30"/>
      <c r="BY139" s="30"/>
      <c r="BZ139" s="30"/>
      <c r="CA139" s="30"/>
      <c r="CB139" s="30"/>
      <c r="CC139" s="30"/>
      <c r="CD139" s="30"/>
      <c r="CE139" s="30"/>
      <c r="CF139" s="30"/>
      <c r="CG139" s="30"/>
      <c r="CH139" s="30"/>
      <c r="CI139" s="30"/>
      <c r="CJ139" s="30"/>
      <c r="CK139" s="30"/>
      <c r="CL139" s="30"/>
      <c r="CM139" s="30"/>
      <c r="CN139" s="30"/>
      <c r="CO139" s="30"/>
      <c r="CP139" s="30"/>
      <c r="CQ139" s="30"/>
      <c r="CR139" s="30"/>
      <c r="CS139" s="30"/>
      <c r="CT139" s="30"/>
      <c r="CU139" s="30"/>
      <c r="CV139" s="30"/>
      <c r="CW139" s="30"/>
      <c r="CX139" s="30"/>
      <c r="CY139" s="30"/>
      <c r="CZ139" s="30"/>
      <c r="DA139" s="30"/>
      <c r="DB139" s="30"/>
    </row>
    <row r="140" ht="18" customHeight="1" spans="1:106" x14ac:dyDescent="0.25">
      <c r="A140" s="36" t="s">
        <v>269</v>
      </c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  <c r="BA140" s="30"/>
      <c r="BB140" s="30"/>
      <c r="BC140" s="30"/>
      <c r="BD140" s="30"/>
      <c r="BE140" s="30"/>
      <c r="BF140" s="30"/>
      <c r="BG140" s="30"/>
      <c r="BH140" s="30"/>
      <c r="BI140" s="30"/>
      <c r="BJ140" s="30"/>
      <c r="BK140" s="30"/>
      <c r="BL140" s="30"/>
      <c r="BM140" s="30"/>
      <c r="BN140" s="30"/>
      <c r="BO140" s="30"/>
      <c r="BP140" s="30"/>
      <c r="BQ140" s="30"/>
      <c r="BR140" s="30"/>
      <c r="BS140" s="30"/>
      <c r="BT140" s="30"/>
      <c r="BU140" s="30"/>
      <c r="BV140" s="30"/>
      <c r="BW140" s="30"/>
      <c r="BX140" s="30"/>
      <c r="BY140" s="30"/>
      <c r="BZ140" s="30"/>
      <c r="CA140" s="30"/>
      <c r="CB140" s="30"/>
      <c r="CC140" s="30"/>
      <c r="CD140" s="30"/>
      <c r="CE140" s="30"/>
      <c r="CF140" s="30"/>
      <c r="CG140" s="30"/>
      <c r="CH140" s="30"/>
      <c r="CI140" s="30"/>
      <c r="CJ140" s="30"/>
      <c r="CK140" s="30"/>
      <c r="CL140" s="30"/>
      <c r="CM140" s="30"/>
      <c r="CN140" s="30"/>
      <c r="CO140" s="30"/>
      <c r="CP140" s="30"/>
      <c r="CQ140" s="30"/>
      <c r="CR140" s="30"/>
      <c r="CS140" s="30"/>
      <c r="CT140" s="30"/>
      <c r="CU140" s="30"/>
      <c r="CV140" s="30"/>
      <c r="CW140" s="30"/>
      <c r="CX140" s="30"/>
      <c r="CY140" s="30"/>
      <c r="CZ140" s="30"/>
      <c r="DA140" s="30"/>
      <c r="DB140" s="30"/>
    </row>
    <row r="141" ht="18" customHeight="1" spans="1:106" x14ac:dyDescent="0.25">
      <c r="A141" s="36" t="s">
        <v>288</v>
      </c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  <c r="BA141" s="30"/>
      <c r="BB141" s="30"/>
      <c r="BC141" s="30"/>
      <c r="BD141" s="30"/>
      <c r="BE141" s="30"/>
      <c r="BF141" s="30"/>
      <c r="BG141" s="30"/>
      <c r="BH141" s="30"/>
      <c r="BI141" s="30"/>
      <c r="BJ141" s="30"/>
      <c r="BK141" s="30"/>
      <c r="BL141" s="30"/>
      <c r="BM141" s="30"/>
      <c r="BN141" s="30"/>
      <c r="BO141" s="30"/>
      <c r="BP141" s="30"/>
      <c r="BQ141" s="30"/>
      <c r="BR141" s="30"/>
      <c r="BS141" s="30"/>
      <c r="BT141" s="30"/>
      <c r="BU141" s="30"/>
      <c r="BV141" s="30"/>
      <c r="BW141" s="30"/>
      <c r="BX141" s="30"/>
      <c r="BY141" s="30"/>
      <c r="BZ141" s="30"/>
      <c r="CA141" s="30"/>
      <c r="CB141" s="30"/>
      <c r="CC141" s="30"/>
      <c r="CD141" s="30"/>
      <c r="CE141" s="30"/>
      <c r="CF141" s="30"/>
      <c r="CG141" s="30"/>
      <c r="CH141" s="30"/>
      <c r="CI141" s="30"/>
      <c r="CJ141" s="30"/>
      <c r="CK141" s="30"/>
      <c r="CL141" s="30"/>
      <c r="CM141" s="30"/>
      <c r="CN141" s="30"/>
      <c r="CO141" s="30"/>
      <c r="CP141" s="30"/>
      <c r="CQ141" s="30"/>
      <c r="CR141" s="30"/>
      <c r="CS141" s="30"/>
      <c r="CT141" s="30"/>
      <c r="CU141" s="30"/>
      <c r="CV141" s="30"/>
      <c r="CW141" s="30"/>
      <c r="CX141" s="30"/>
      <c r="CY141" s="30"/>
      <c r="CZ141" s="30"/>
      <c r="DA141" s="30"/>
      <c r="DB141" s="30"/>
    </row>
    <row r="142" spans="1:1" x14ac:dyDescent="0.25">
      <c r="A142" s="36" t="s">
        <v>272</v>
      </c>
    </row>
    <row r="143" ht="18" customHeight="1" spans="1:1" x14ac:dyDescent="0.25">
      <c r="A143" s="36" t="s">
        <v>289</v>
      </c>
    </row>
    <row r="144" ht="18" customHeight="1" spans="1:106" x14ac:dyDescent="0.25">
      <c r="A144" s="36" t="s">
        <v>271</v>
      </c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  <c r="AV144" s="30"/>
      <c r="AW144" s="30"/>
      <c r="AX144" s="30"/>
      <c r="AY144" s="30"/>
      <c r="AZ144" s="30"/>
      <c r="BA144" s="30"/>
      <c r="BB144" s="30"/>
      <c r="BC144" s="30"/>
      <c r="BD144" s="30"/>
      <c r="BE144" s="30"/>
      <c r="BF144" s="30"/>
      <c r="BG144" s="30"/>
      <c r="BH144" s="30"/>
      <c r="BI144" s="30"/>
      <c r="BJ144" s="30"/>
      <c r="BK144" s="30"/>
      <c r="BL144" s="30"/>
      <c r="BM144" s="30"/>
      <c r="BN144" s="30"/>
      <c r="BO144" s="30"/>
      <c r="BP144" s="30"/>
      <c r="BQ144" s="30"/>
      <c r="BR144" s="30"/>
      <c r="BS144" s="30"/>
      <c r="BT144" s="30"/>
      <c r="BU144" s="30"/>
      <c r="BV144" s="30"/>
      <c r="BW144" s="30"/>
      <c r="BX144" s="30"/>
      <c r="BY144" s="30"/>
      <c r="BZ144" s="30"/>
      <c r="CA144" s="30"/>
      <c r="CB144" s="30"/>
      <c r="CC144" s="30"/>
      <c r="CD144" s="30"/>
      <c r="CE144" s="30"/>
      <c r="CF144" s="30"/>
      <c r="CG144" s="30"/>
      <c r="CH144" s="30"/>
      <c r="CI144" s="30"/>
      <c r="CJ144" s="30"/>
      <c r="CK144" s="30"/>
      <c r="CL144" s="30"/>
      <c r="CM144" s="30"/>
      <c r="CN144" s="30"/>
      <c r="CO144" s="30"/>
      <c r="CP144" s="30"/>
      <c r="CQ144" s="30"/>
      <c r="CR144" s="30"/>
      <c r="CS144" s="30"/>
      <c r="CT144" s="30"/>
      <c r="CU144" s="30"/>
      <c r="CV144" s="30"/>
      <c r="CW144" s="30"/>
      <c r="CX144" s="30"/>
      <c r="CY144" s="30"/>
      <c r="CZ144" s="30"/>
      <c r="DA144" s="30"/>
      <c r="DB144" s="30"/>
    </row>
    <row r="145" spans="3:106" x14ac:dyDescent="0.25"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30"/>
      <c r="BI145" s="30"/>
      <c r="BJ145" s="30"/>
      <c r="BK145" s="30"/>
      <c r="BL145" s="30"/>
      <c r="BM145" s="30"/>
      <c r="BN145" s="30"/>
      <c r="BO145" s="30"/>
      <c r="BP145" s="30"/>
      <c r="BQ145" s="30"/>
      <c r="BR145" s="30"/>
      <c r="BS145" s="30"/>
      <c r="BT145" s="30"/>
      <c r="BU145" s="30"/>
      <c r="BV145" s="30"/>
      <c r="BW145" s="30"/>
      <c r="BX145" s="30"/>
      <c r="BY145" s="30"/>
      <c r="BZ145" s="30"/>
      <c r="CA145" s="30"/>
      <c r="CB145" s="30"/>
      <c r="CC145" s="30"/>
      <c r="CD145" s="30"/>
      <c r="CE145" s="30"/>
      <c r="CF145" s="30"/>
      <c r="CG145" s="30"/>
      <c r="CH145" s="30"/>
      <c r="CI145" s="30"/>
      <c r="CJ145" s="30"/>
      <c r="CK145" s="30"/>
      <c r="CL145" s="30"/>
      <c r="CM145" s="30"/>
      <c r="CN145" s="30"/>
      <c r="CO145" s="30"/>
      <c r="CP145" s="30"/>
      <c r="CQ145" s="30"/>
      <c r="CR145" s="30"/>
      <c r="CS145" s="30"/>
      <c r="CT145" s="30"/>
      <c r="CU145" s="30"/>
      <c r="CV145" s="30"/>
      <c r="CW145" s="30"/>
      <c r="CX145" s="30"/>
      <c r="CY145" s="30"/>
      <c r="CZ145" s="30"/>
      <c r="DA145" s="30"/>
      <c r="DB145" s="30"/>
    </row>
    <row r="146" spans="1:106" x14ac:dyDescent="0.25">
      <c r="A146" s="9" t="s">
        <v>353</v>
      </c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  <c r="BD146" s="30"/>
      <c r="BE146" s="30"/>
      <c r="BF146" s="30"/>
      <c r="BG146" s="30"/>
      <c r="BH146" s="30"/>
      <c r="BI146" s="30"/>
      <c r="BJ146" s="30"/>
      <c r="BK146" s="30"/>
      <c r="BL146" s="30"/>
      <c r="BM146" s="30"/>
      <c r="BN146" s="30"/>
      <c r="BO146" s="30"/>
      <c r="BP146" s="30"/>
      <c r="BQ146" s="30"/>
      <c r="BR146" s="30"/>
      <c r="BS146" s="30"/>
      <c r="BT146" s="30"/>
      <c r="BU146" s="30"/>
      <c r="BV146" s="30"/>
      <c r="BW146" s="30"/>
      <c r="BX146" s="30"/>
      <c r="BY146" s="30"/>
      <c r="BZ146" s="30"/>
      <c r="CA146" s="30"/>
      <c r="CB146" s="30"/>
      <c r="CC146" s="30"/>
      <c r="CD146" s="30"/>
      <c r="CE146" s="30"/>
      <c r="CF146" s="30"/>
      <c r="CG146" s="30"/>
      <c r="CH146" s="30"/>
      <c r="CI146" s="30"/>
      <c r="CJ146" s="30"/>
      <c r="CK146" s="30"/>
      <c r="CL146" s="30"/>
      <c r="CM146" s="30"/>
      <c r="CN146" s="30"/>
      <c r="CO146" s="30"/>
      <c r="CP146" s="30"/>
      <c r="CQ146" s="30"/>
      <c r="CR146" s="30"/>
      <c r="CS146" s="30"/>
      <c r="CT146" s="30"/>
      <c r="CU146" s="30"/>
      <c r="CV146" s="30"/>
      <c r="CW146" s="30"/>
      <c r="CX146" s="30"/>
      <c r="CY146" s="30"/>
      <c r="CZ146" s="30"/>
      <c r="DA146" s="30"/>
      <c r="DB146" s="30"/>
    </row>
    <row r="147" ht="14" customHeight="1" spans="1:106" x14ac:dyDescent="0.25">
      <c r="A147" s="33" t="s">
        <v>354</v>
      </c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30"/>
      <c r="BI147" s="30"/>
      <c r="BJ147" s="30"/>
      <c r="BK147" s="30"/>
      <c r="BL147" s="30"/>
      <c r="BM147" s="30"/>
      <c r="BN147" s="30"/>
      <c r="BO147" s="30"/>
      <c r="BP147" s="30"/>
      <c r="BQ147" s="30"/>
      <c r="BR147" s="30"/>
      <c r="BS147" s="30"/>
      <c r="BT147" s="30"/>
      <c r="BU147" s="30"/>
      <c r="BV147" s="30"/>
      <c r="BW147" s="30"/>
      <c r="BX147" s="30"/>
      <c r="BY147" s="30"/>
      <c r="BZ147" s="30"/>
      <c r="CA147" s="30"/>
      <c r="CB147" s="30"/>
      <c r="CC147" s="30"/>
      <c r="CD147" s="30"/>
      <c r="CE147" s="30"/>
      <c r="CF147" s="30"/>
      <c r="CG147" s="30"/>
      <c r="CH147" s="30"/>
      <c r="CI147" s="30"/>
      <c r="CJ147" s="30"/>
      <c r="CK147" s="30"/>
      <c r="CL147" s="30"/>
      <c r="CM147" s="30"/>
      <c r="CN147" s="30"/>
      <c r="CO147" s="30"/>
      <c r="CP147" s="30"/>
      <c r="CQ147" s="30"/>
      <c r="CR147" s="30"/>
      <c r="CS147" s="30"/>
      <c r="CT147" s="30"/>
      <c r="CU147" s="30"/>
      <c r="CV147" s="30"/>
      <c r="CW147" s="30"/>
      <c r="CX147" s="30"/>
      <c r="CY147" s="30"/>
      <c r="CZ147" s="30"/>
      <c r="DA147" s="30"/>
      <c r="DB147" s="30"/>
    </row>
    <row r="148" spans="1:106" x14ac:dyDescent="0.25">
      <c r="A148" s="17" t="s">
        <v>355</v>
      </c>
      <c r="B148" s="17">
        <v>15</v>
      </c>
      <c r="C148" s="46">
        <f>=IFERROR(ROUND((C19+C23)/$B148,0),0)</f>
        <v>2</v>
      </c>
      <c r="D148" s="46">
        <f>=IFERROR(ROUND((D19+D23)/$B148,0),0)</f>
        <v>2</v>
      </c>
      <c r="E148" s="46">
        <f>=IFERROR(ROUND((E19+E23)/$B148,0),0)</f>
        <v>2</v>
      </c>
      <c r="F148" s="46">
        <f>=IFERROR(ROUND((F19+F23)/$B148,0),0)</f>
        <v>2</v>
      </c>
      <c r="G148" s="46">
        <f>=IFERROR(ROUND((G19+G23)/$B148,0),0)</f>
        <v>2</v>
      </c>
      <c r="H148" s="46">
        <f>=IFERROR(ROUND((H19+H23)/$B148,0),0)</f>
        <v>2</v>
      </c>
      <c r="I148" s="46">
        <f>=IFERROR(ROUND((I19+I23)/$B148,0),0)</f>
        <v>2</v>
      </c>
      <c r="J148" s="46">
        <f>=IFERROR(ROUND((J19+J23)/$B148,0),0)</f>
        <v>2</v>
      </c>
      <c r="K148" s="46">
        <f>=IFERROR(ROUND((K19+K23)/$B148,0),0)</f>
        <v>2</v>
      </c>
      <c r="L148" s="46">
        <f>=IFERROR(ROUND((L19+L23)/$B148,0),0)</f>
        <v>2</v>
      </c>
      <c r="M148" s="46">
        <f>=IFERROR(ROUND((M19+M23)/$B148,0),0)</f>
        <v>2</v>
      </c>
      <c r="N148" s="46">
        <f>=IFERROR(ROUND((N19+N23)/$B148,0),0)</f>
        <v>2</v>
      </c>
      <c r="O148" s="46">
        <f>=IFERROR(ROUND((O19+O23)/$B148,0),0)</f>
        <v>2</v>
      </c>
      <c r="P148" s="46">
        <f>=IFERROR(ROUND((P19+P23)/$B148,0),0)</f>
        <v>2</v>
      </c>
      <c r="Q148" s="46">
        <f>=IFERROR(ROUND((Q19+Q23)/$B148,0),0)</f>
        <v>1</v>
      </c>
      <c r="R148" s="46">
        <f>=IFERROR(ROUND((R19+R23)/$B148,0),0)</f>
        <v>1</v>
      </c>
      <c r="S148" s="46">
        <f>=IFERROR(ROUND((S19+S23)/$B148,0),0)</f>
        <v>1</v>
      </c>
      <c r="T148" s="46">
        <f>=IFERROR(ROUND((T19+T23)/$B148,0),0)</f>
        <v>1</v>
      </c>
      <c r="U148" s="46">
        <f>=IFERROR(ROUND((U19+U23)/$B148,0),0)</f>
        <v>1</v>
      </c>
      <c r="V148" s="46">
        <f>=IFERROR(ROUND((V19+V23)/$B148,0),0)</f>
        <v>1</v>
      </c>
      <c r="W148" s="46">
        <f>=IFERROR(ROUND((W19+W23)/$B148,0),0)</f>
        <v>1</v>
      </c>
      <c r="X148" s="46">
        <f>=IFERROR(ROUND((X19+X23)/$B148,0),0)</f>
        <v>1</v>
      </c>
      <c r="Y148" s="46">
        <f>=IFERROR(ROUND((Y19+Y23)/$B148,0),0)</f>
        <v>1</v>
      </c>
      <c r="Z148" s="46">
        <f>=IFERROR(ROUND((Z19+Z23)/$B148,0),0)</f>
        <v>1</v>
      </c>
      <c r="AA148" s="46">
        <f>=IFERROR(ROUND((AA19+AA23)/$B148,0),0)</f>
        <v>1</v>
      </c>
      <c r="AB148" s="46">
        <f>=IFERROR(ROUND((AB19+AB23)/$B148,0),0)</f>
        <v>1</v>
      </c>
      <c r="AC148" s="46">
        <f>=IFERROR(ROUND((AC19+AC23)/$B148,0),0)</f>
        <v>1</v>
      </c>
      <c r="AD148" s="46">
        <f>=IFERROR(ROUND((AD19+AD23)/$B148,0),0)</f>
        <v>1</v>
      </c>
      <c r="AE148" s="46">
        <f>=IFERROR(ROUND((AE19+AE23)/$B148,0),0)</f>
        <v>1</v>
      </c>
      <c r="AF148" s="46">
        <f>=IFERROR(ROUND((AF19+AF23)/$B148,0),0)</f>
        <v>1</v>
      </c>
      <c r="AG148" s="46">
        <f>=IFERROR(ROUND((AG19+AG23)/$B148,0),0)</f>
        <v>1</v>
      </c>
      <c r="AH148" s="46">
        <f>=IFERROR(ROUND((AH19+AH23)/$B148,0),0)</f>
        <v>1</v>
      </c>
      <c r="AI148" s="46">
        <f>=IFERROR(ROUND((AI19+AI23)/$B148,0),0)</f>
        <v>1</v>
      </c>
      <c r="AJ148" s="46">
        <f>=IFERROR(ROUND((AJ19+AJ23)/$B148,0),0)</f>
        <v>1</v>
      </c>
      <c r="AK148" s="46">
        <f>=IFERROR(ROUND((AK19+AK23)/$B148,0),0)</f>
        <v>1</v>
      </c>
      <c r="AL148" s="46">
        <f>=IFERROR(ROUND((AL19+AL23)/$B148,0),0)</f>
        <v>1</v>
      </c>
      <c r="AM148" s="46">
        <f>=IFERROR(ROUND((AM19+AM23)/$B148,0),0)</f>
        <v>1</v>
      </c>
      <c r="AN148" s="46">
        <f>=IFERROR(ROUND((AN19+AN23)/$B148,0),0)</f>
        <v>1</v>
      </c>
      <c r="AO148" s="46">
        <f>=IFERROR(ROUND((AO19+AO23)/$B148,0),0)</f>
        <v>1</v>
      </c>
      <c r="AP148" s="46">
        <f>=IFERROR(ROUND((AP19+AP23)/$B148,0),0)</f>
        <v>1</v>
      </c>
      <c r="AQ148" s="46">
        <f>=IFERROR(ROUND((AQ19+AQ23)/$B148,0),0)</f>
        <v>1</v>
      </c>
      <c r="AR148" s="46">
        <f>=IFERROR(ROUND((AR19+AR23)/$B148,0),0)</f>
        <v>1</v>
      </c>
      <c r="AS148" s="46">
        <f>=IFERROR(ROUND((AS19+AS23)/$B148,0),0)</f>
        <v>1</v>
      </c>
      <c r="AT148" s="46">
        <f>=IFERROR(ROUND((AT19+AT23)/$B148,0),0)</f>
        <v>1</v>
      </c>
      <c r="AU148" s="46">
        <f>=IFERROR(ROUND((AU19+AU23)/$B148,0),0)</f>
        <v>1</v>
      </c>
      <c r="AV148" s="46">
        <f>=IFERROR(ROUND((AV19+AV23)/$B148,0),0)</f>
        <v>1</v>
      </c>
      <c r="AW148" s="46">
        <f>=IFERROR(ROUND((AW19+AW23)/$B148,0),0)</f>
        <v>1</v>
      </c>
      <c r="AX148" s="46">
        <f>=IFERROR(ROUND((AX19+AX23)/$B148,0),0)</f>
        <v>1</v>
      </c>
      <c r="AY148" s="46">
        <f>=IFERROR(ROUND((AY19+AY23)/$B148,0),0)</f>
        <v>1</v>
      </c>
      <c r="AZ148" s="46">
        <f>=IFERROR(ROUND((AZ19+AZ23)/$B148,0),0)</f>
        <v>1</v>
      </c>
      <c r="BA148" s="46">
        <f>=IFERROR(ROUND((BA19+BA23)/$B148,0),0)</f>
        <v>1</v>
      </c>
      <c r="BB148" s="46">
        <f>=IFERROR(ROUND((BB19+BB23)/$B148,0),0)</f>
        <v>1</v>
      </c>
      <c r="BC148" s="46">
        <f>=IFERROR(ROUND((BC19+BC23)/$B148,0),0)</f>
        <v>1</v>
      </c>
      <c r="BD148" s="73">
        <f>=IFERROR(ROUND((BD19+BD23)/$B148,0),0)</f>
        <v>1</v>
      </c>
      <c r="BE148" s="46">
        <f>=IFERROR(ROUND((BE19+BE23)/$B148,0),0)</f>
        <v>1</v>
      </c>
      <c r="BF148" s="46">
        <f>=IFERROR(ROUND((BF19+BF23)/$B148,0),0)</f>
        <v>1</v>
      </c>
      <c r="BG148" s="46">
        <f>=IFERROR(ROUND((BG19+BG23)/$B148,0),0)</f>
        <v>1</v>
      </c>
      <c r="BH148" s="46">
        <f>=IFERROR(ROUND((BH19+BH23)/$B148,0),0)</f>
        <v>1</v>
      </c>
      <c r="BI148" s="46">
        <f>=IFERROR(ROUND((BI19+BI23)/$B148,0),0)</f>
        <v>1</v>
      </c>
      <c r="BJ148" s="46">
        <f>=IFERROR(ROUND((BJ19+BJ23)/$B148,0),0)</f>
        <v>1</v>
      </c>
      <c r="BK148" s="46">
        <f>=IFERROR(ROUND((BK19+BK23)/$B148,0),0)</f>
        <v>1</v>
      </c>
      <c r="BL148" s="73">
        <f>=IFERROR(ROUND((BL19+BL23)/$B148,0),0)</f>
        <v>1</v>
      </c>
      <c r="BM148" s="46">
        <f>=IFERROR(ROUND((BM19+BM23)/$B148,0),0)</f>
        <v>1</v>
      </c>
      <c r="BN148" s="46">
        <f>=IFERROR(ROUND((BN19+BN23)/$B148,0),0)</f>
        <v>1</v>
      </c>
      <c r="BO148" s="46">
        <f>=IFERROR(ROUND((BO19+BO23)/$B148,0),0)</f>
        <v>1</v>
      </c>
      <c r="BP148" s="46">
        <f>=IFERROR(ROUND((BP19+BP23)/$B148,0),0)</f>
        <v>1</v>
      </c>
      <c r="BQ148" s="46">
        <f>=IFERROR(ROUND((BQ19+BQ23)/$B148,0),0)</f>
        <v>1</v>
      </c>
      <c r="BR148" s="46">
        <f>=IFERROR(ROUND((BR19+BR23)/$B148,0),0)</f>
        <v>1</v>
      </c>
      <c r="BS148" s="46">
        <f>=IFERROR(ROUND((BS19+BS23)/$B148,0),0)</f>
        <v>1</v>
      </c>
      <c r="BT148" s="46">
        <f>=IFERROR(ROUND((BT19+BT23)/$B148,0),0)</f>
        <v>1</v>
      </c>
      <c r="BU148" s="46">
        <f>=IFERROR(ROUND((BU19+BU23)/$B148,0),0)</f>
        <v>1</v>
      </c>
      <c r="BV148" s="46">
        <f>=IFERROR(ROUND((BV19+BV23)/$B148,0),0)</f>
        <v>1</v>
      </c>
      <c r="BW148" s="46">
        <f>=IFERROR(ROUND((BW19+BW23)/$B148,0),0)</f>
        <v>1</v>
      </c>
      <c r="BX148" s="46">
        <f>=IFERROR(ROUND((BX19+BX23)/$B148,0),0)</f>
        <v>1</v>
      </c>
      <c r="BY148" s="73">
        <f>=IFERROR(ROUND((BY19+BY23)/$B148,0),0)</f>
        <v>1</v>
      </c>
      <c r="BZ148" s="46">
        <f>=IFERROR(ROUND((BZ19+BZ23)/$B148,0),0)</f>
        <v>1</v>
      </c>
      <c r="CA148" s="46">
        <f>=IFERROR(ROUND((CA19+CA23)/$B148,0),0)</f>
        <v>1</v>
      </c>
      <c r="CB148" s="46">
        <f>=IFERROR(ROUND((CB19+CB23)/$B148,0),0)</f>
        <v>1</v>
      </c>
      <c r="CC148" s="46">
        <f>=IFERROR(ROUND((CC19+CC23)/$B148,0),0)</f>
        <v>1</v>
      </c>
      <c r="CD148" s="46">
        <f>=IFERROR(ROUND((CD19+CD23)/$B148,0),0)</f>
        <v>1</v>
      </c>
      <c r="CE148" s="46">
        <f>=IFERROR(ROUND((CE19+CE23)/$B148,0),0)</f>
        <v>1</v>
      </c>
      <c r="CF148" s="46">
        <f>=IFERROR(ROUND((CF19+CF23)/$B148,0),0)</f>
        <v>1</v>
      </c>
      <c r="CG148" s="46">
        <f>=IFERROR(ROUND((CG19+CG23)/$B148,0),0)</f>
        <v>1</v>
      </c>
      <c r="CH148" s="46">
        <f>=IFERROR(ROUND((CH19+CH23)/$B148,0),0)</f>
        <v>1</v>
      </c>
      <c r="CI148" s="46">
        <f>=IFERROR(ROUND((CI19+CI23)/$B148,0),0)</f>
        <v>1</v>
      </c>
      <c r="CJ148" s="46">
        <f>=IFERROR(ROUND((CJ19+CJ23)/$B148,0),0)</f>
        <v>1</v>
      </c>
      <c r="CK148" s="46">
        <f>=IFERROR(ROUND((CK19+CK23)/$B148,0),0)</f>
        <v>1</v>
      </c>
      <c r="CL148" s="46">
        <f>=IFERROR(ROUND((CL19+CL23)/$B148,0),0)</f>
        <v>1</v>
      </c>
      <c r="CM148" s="46">
        <f>=IFERROR(ROUND((CM19+CM23)/$B148,0),0)</f>
        <v>1</v>
      </c>
      <c r="CN148" s="46">
        <f>=IFERROR(ROUND((CN19+CN23)/$B148,0),0)</f>
        <v>1</v>
      </c>
      <c r="CO148" s="46">
        <f>=IFERROR(ROUND((CO19+CO23)/$B148,0),0)</f>
        <v>1</v>
      </c>
      <c r="CP148" s="46">
        <f>=IFERROR(ROUND((CP19+CP23)/$B148,0),0)</f>
        <v>1</v>
      </c>
      <c r="CQ148" s="46">
        <f>=IFERROR(ROUND((CQ19+CQ23)/$B148,0),0)</f>
        <v>1</v>
      </c>
      <c r="CR148" s="46">
        <f>=IFERROR(ROUND((CR19+CR23)/$B148,0),0)</f>
        <v>1</v>
      </c>
      <c r="CS148" s="46">
        <f>=IFERROR(ROUND((CS19+CS23)/$B148,0),0)</f>
        <v>1</v>
      </c>
      <c r="CT148" s="73">
        <f>=IFERROR(ROUND((CT19+CT23)/$B148,0),0)</f>
        <v>1</v>
      </c>
      <c r="CU148" s="46">
        <f>=IFERROR(ROUND((CU19+CU23)/$B148,0),0)</f>
        <v>1</v>
      </c>
      <c r="CV148" s="46">
        <f>=IFERROR(ROUND((CV19+CV23)/$B148,0),0)</f>
        <v>1</v>
      </c>
      <c r="CW148" s="73">
        <f>=IFERROR(ROUND((CW19+CW23)/$B148,0),0)</f>
        <v>1</v>
      </c>
      <c r="CX148" s="73">
        <f>=IFERROR(ROUND((CX19+CX23)/$B148,0),0)</f>
        <v>1</v>
      </c>
      <c r="CY148" s="46">
        <f>=IFERROR(ROUND((CY19+CY23)/$B148,0),0)</f>
        <v>1</v>
      </c>
      <c r="CZ148" s="46">
        <f>=IFERROR(ROUND((CZ19+CZ23)/$B148,0),0)</f>
        <v>1</v>
      </c>
      <c r="DA148" s="46">
        <f>=IFERROR(ROUND((DA19+DA23)/$B148,0),0)</f>
        <v>1</v>
      </c>
      <c r="DB148" s="46">
        <f>=IFERROR(ROUND((DB19+DB23)/$B148,0),0)</f>
        <v>1</v>
      </c>
    </row>
    <row r="149" spans="1:106" x14ac:dyDescent="0.25">
      <c r="A149" s="17" t="s">
        <v>356</v>
      </c>
      <c r="B149" s="17">
        <v>15</v>
      </c>
      <c r="C149" s="46">
        <f>=IFERROR(ROUND((C21+C22)/$B149,0),0)</f>
        <v>0</v>
      </c>
      <c r="D149" s="46">
        <f>=IFERROR(ROUND((D21+D22)/$B149,0),0)</f>
        <v>0</v>
      </c>
      <c r="E149" s="46">
        <f>=IFERROR(ROUND((E21+E22)/$B149,0),0)</f>
        <v>0</v>
      </c>
      <c r="F149" s="46">
        <f>=IFERROR(ROUND((F21+F22)/$B149,0),0)</f>
        <v>0</v>
      </c>
      <c r="G149" s="46">
        <f>=IFERROR(ROUND((G21+G22)/$B149,0),0)</f>
        <v>0</v>
      </c>
      <c r="H149" s="46">
        <f>=IFERROR(ROUND((H21+H22)/$B149,0),0)</f>
        <v>0</v>
      </c>
      <c r="I149" s="46">
        <f>=IFERROR(ROUND((I21+I22)/$B149,0),0)</f>
        <v>0</v>
      </c>
      <c r="J149" s="46">
        <f>=IFERROR(ROUND((J21+J22)/$B149,0),0)</f>
        <v>0</v>
      </c>
      <c r="K149" s="46">
        <f>=IFERROR(ROUND((K21+K22)/$B149,0),0)</f>
        <v>0</v>
      </c>
      <c r="L149" s="46">
        <f>=IFERROR(ROUND((L21+L22)/$B149,0),0)</f>
        <v>0</v>
      </c>
      <c r="M149" s="46">
        <f>=IFERROR(ROUND((M21+M22)/$B149,0),0)</f>
        <v>0</v>
      </c>
      <c r="N149" s="46">
        <f>=IFERROR(ROUND((N21+N22)/$B149,0),0)</f>
        <v>0</v>
      </c>
      <c r="O149" s="46">
        <f>=IFERROR(ROUND((O21+O22)/$B149,0),0)</f>
        <v>0</v>
      </c>
      <c r="P149" s="46">
        <f>=IFERROR(ROUND((P21+P22)/$B149,0),0)</f>
        <v>0</v>
      </c>
      <c r="Q149" s="46">
        <f>=IFERROR(ROUND((Q21+Q22)/$B149,0),0)</f>
        <v>0</v>
      </c>
      <c r="R149" s="46">
        <f>=IFERROR(ROUND((R21+R22)/$B149,0),0)</f>
        <v>0</v>
      </c>
      <c r="S149" s="46">
        <f>=IFERROR(ROUND((S21+S22)/$B149,0),0)</f>
        <v>0</v>
      </c>
      <c r="T149" s="46">
        <f>=IFERROR(ROUND((T21+T22)/$B149,0),0)</f>
        <v>0</v>
      </c>
      <c r="U149" s="46">
        <f>=IFERROR(ROUND((U21+U22)/$B149,0),0)</f>
        <v>0</v>
      </c>
      <c r="V149" s="46">
        <f>=IFERROR(ROUND((V21+V22)/$B149,0),0)</f>
        <v>0</v>
      </c>
      <c r="W149" s="46">
        <f>=IFERROR(ROUND((W21+W22)/$B149,0),0)</f>
        <v>0</v>
      </c>
      <c r="X149" s="46">
        <f>=IFERROR(ROUND((X21+X22)/$B149,0),0)</f>
        <v>0</v>
      </c>
      <c r="Y149" s="46">
        <f>=IFERROR(ROUND((Y21+Y22)/$B149,0),0)</f>
        <v>0</v>
      </c>
      <c r="Z149" s="46">
        <f>=IFERROR(ROUND((Z21+Z22)/$B149,0),0)</f>
        <v>0</v>
      </c>
      <c r="AA149" s="46">
        <f>=IFERROR(ROUND((AA21+AA22)/$B149,0),0)</f>
        <v>0</v>
      </c>
      <c r="AB149" s="46">
        <f>=IFERROR(ROUND((AB21+AB22)/$B149,0),0)</f>
        <v>0</v>
      </c>
      <c r="AC149" s="46">
        <f>=IFERROR(ROUND((AC21+AC22)/$B149,0),0)</f>
        <v>0</v>
      </c>
      <c r="AD149" s="46">
        <f>=IFERROR(ROUND((AD21+AD22)/$B149,0),0)</f>
        <v>0</v>
      </c>
      <c r="AE149" s="46">
        <f>=IFERROR(ROUND((AE21+AE22)/$B149,0),0)</f>
        <v>0</v>
      </c>
      <c r="AF149" s="46">
        <f>=IFERROR(ROUND((AF21+AF22)/$B149,0),0)</f>
        <v>0</v>
      </c>
      <c r="AG149" s="46">
        <f>=IFERROR(ROUND((AG21+AG22)/$B149,0),0)</f>
        <v>0</v>
      </c>
      <c r="AH149" s="46">
        <f>=IFERROR(ROUND((AH21+AH22)/$B149,0),0)</f>
        <v>0</v>
      </c>
      <c r="AI149" s="46">
        <f>=IFERROR(ROUND((AI21+AI22)/$B149,0),0)</f>
        <v>0</v>
      </c>
      <c r="AJ149" s="46">
        <f>=IFERROR(ROUND((AJ21+AJ22)/$B149,0),0)</f>
        <v>0</v>
      </c>
      <c r="AK149" s="46">
        <f>=IFERROR(ROUND((AK21+AK22)/$B149,0),0)</f>
        <v>0</v>
      </c>
      <c r="AL149" s="46">
        <f>=IFERROR(ROUND((AL21+AL22)/$B149,0),0)</f>
        <v>0</v>
      </c>
      <c r="AM149" s="46">
        <f>=IFERROR(ROUND((AM21+AM22)/$B149,0),0)</f>
        <v>0</v>
      </c>
      <c r="AN149" s="46">
        <f>=IFERROR(ROUND((AN21+AN22)/$B149,0),0)</f>
        <v>0</v>
      </c>
      <c r="AO149" s="46">
        <f>=IFERROR(ROUND((AO21+AO22)/$B149,0),0)</f>
        <v>0</v>
      </c>
      <c r="AP149" s="46">
        <f>=IFERROR(ROUND((AP21+AP22)/$B149,0),0)</f>
        <v>0</v>
      </c>
      <c r="AQ149" s="46">
        <f>=IFERROR(ROUND((AQ21+AQ22)/$B149,0),0)</f>
        <v>0</v>
      </c>
      <c r="AR149" s="46">
        <f>=IFERROR(ROUND((AR21+AR22)/$B149,0),0)</f>
        <v>0</v>
      </c>
      <c r="AS149" s="46">
        <f>=IFERROR(ROUND((AS21+AS22)/$B149,0),0)</f>
        <v>0</v>
      </c>
      <c r="AT149" s="46">
        <f>=IFERROR(ROUND((AT21+AT22)/$B149,0),0)</f>
        <v>0</v>
      </c>
      <c r="AU149" s="46">
        <f>=IFERROR(ROUND((AU21+AU22)/$B149,0),0)</f>
        <v>0</v>
      </c>
      <c r="AV149" s="46">
        <f>=IFERROR(ROUND((AV21+AV22)/$B149,0),0)</f>
        <v>0</v>
      </c>
      <c r="AW149" s="46">
        <f>=IFERROR(ROUND((AW21+AW22)/$B149,0),0)</f>
        <v>0</v>
      </c>
      <c r="AX149" s="46">
        <f>=IFERROR(ROUND((AX21+AX22)/$B149,0),0)</f>
        <v>0</v>
      </c>
      <c r="AY149" s="46">
        <f>=IFERROR(ROUND((AY21+AY22)/$B149,0),0)</f>
        <v>0</v>
      </c>
      <c r="AZ149" s="46">
        <f>=IFERROR(ROUND((AZ21+AZ22)/$B149,0),0)</f>
        <v>0</v>
      </c>
      <c r="BA149" s="46">
        <f>=IFERROR(ROUND((BA21+BA22)/$B149,0),0)</f>
        <v>0</v>
      </c>
      <c r="BB149" s="46">
        <f>=IFERROR(ROUND((BB21+BB22)/$B149,0),0)</f>
        <v>0</v>
      </c>
      <c r="BC149" s="46">
        <f>=IFERROR(ROUND((BC21+BC22)/$B149,0),0)</f>
        <v>0</v>
      </c>
      <c r="BD149" s="46">
        <f>=IFERROR(ROUND((BD21+BD22)/$B149,0),0)</f>
        <v>0</v>
      </c>
      <c r="BE149" s="46">
        <f>=IFERROR(ROUND((BE21+BE22)/$B149,0),0)</f>
        <v>0</v>
      </c>
      <c r="BF149" s="46">
        <f>=IFERROR(ROUND((BF21+BF22)/$B149,0),0)</f>
        <v>0</v>
      </c>
      <c r="BG149" s="46">
        <f>=IFERROR(ROUND((BG21+BG22)/$B149,0),0)</f>
        <v>0</v>
      </c>
      <c r="BH149" s="46">
        <f>=IFERROR(ROUND((BH21+BH22)/$B149,0),0)</f>
        <v>0</v>
      </c>
      <c r="BI149" s="46">
        <f>=IFERROR(ROUND((BI21+BI22)/$B149,0),0)</f>
        <v>0</v>
      </c>
      <c r="BJ149" s="46">
        <f>=IFERROR(ROUND((BJ21+BJ22)/$B149,0),0)</f>
        <v>0</v>
      </c>
      <c r="BK149" s="46">
        <f>=IFERROR(ROUND((BK21+BK22)/$B149,0),0)</f>
        <v>0</v>
      </c>
      <c r="BL149" s="46">
        <f>=IFERROR(ROUND((BL21+BL22)/$B149,0),0)</f>
        <v>0</v>
      </c>
      <c r="BM149" s="46">
        <f>=IFERROR(ROUND((BM21+BM22)/$B149,0),0)</f>
        <v>0</v>
      </c>
      <c r="BN149" s="46">
        <f>=IFERROR(ROUND((BN21+BN22)/$B149,0),0)</f>
        <v>0</v>
      </c>
      <c r="BO149" s="46">
        <f>=IFERROR(ROUND((BO21+BO22)/$B149,0),0)</f>
        <v>0</v>
      </c>
      <c r="BP149" s="46">
        <f>=IFERROR(ROUND((BP21+BP22)/$B149,0),0)</f>
        <v>0</v>
      </c>
      <c r="BQ149" s="46">
        <f>=IFERROR(ROUND((BQ21+BQ22)/$B149,0),0)</f>
        <v>0</v>
      </c>
      <c r="BR149" s="46">
        <f>=IFERROR(ROUND((BR21+BR22)/$B149,0),0)</f>
        <v>0</v>
      </c>
      <c r="BS149" s="46">
        <f>=IFERROR(ROUND((BS21+BS22)/$B149,0),0)</f>
        <v>0</v>
      </c>
      <c r="BT149" s="46">
        <f>=IFERROR(ROUND((BT21+BT22)/$B149,0),0)</f>
        <v>0</v>
      </c>
      <c r="BU149" s="46">
        <f>=IFERROR(ROUND((BU21+BU22)/$B149,0),0)</f>
        <v>0</v>
      </c>
      <c r="BV149" s="46">
        <f>=IFERROR(ROUND((BV21+BV22)/$B149,0),0)</f>
        <v>0</v>
      </c>
      <c r="BW149" s="46">
        <f>=IFERROR(ROUND((BW21+BW22)/$B149,0),0)</f>
        <v>0</v>
      </c>
      <c r="BX149" s="46">
        <f>=IFERROR(ROUND((BX21+BX22)/$B149,0),0)</f>
        <v>0</v>
      </c>
      <c r="BY149" s="46">
        <f>=IFERROR(ROUND((BY21+BY22)/$B149,0),0)</f>
        <v>0</v>
      </c>
      <c r="BZ149" s="46">
        <f>=IFERROR(ROUND((BZ21+BZ22)/$B149,0),0)</f>
        <v>0</v>
      </c>
      <c r="CA149" s="46">
        <f>=IFERROR(ROUND((CA21+CA22)/$B149,0),0)</f>
        <v>0</v>
      </c>
      <c r="CB149" s="46">
        <f>=IFERROR(ROUND((CB21+CB22)/$B149,0),0)</f>
        <v>0</v>
      </c>
      <c r="CC149" s="46">
        <f>=IFERROR(ROUND((CC21+CC22)/$B149,0),0)</f>
        <v>0</v>
      </c>
      <c r="CD149" s="46">
        <f>=IFERROR(ROUND((CD21+CD22)/$B149,0),0)</f>
        <v>0</v>
      </c>
      <c r="CE149" s="46">
        <f>=IFERROR(ROUND((CE21+CE22)/$B149,0),0)</f>
        <v>0</v>
      </c>
      <c r="CF149" s="46">
        <f>=IFERROR(ROUND((CF21+CF22)/$B149,0),0)</f>
        <v>0</v>
      </c>
      <c r="CG149" s="46">
        <f>=IFERROR(ROUND((CG21+CG22)/$B149,0),0)</f>
        <v>0</v>
      </c>
      <c r="CH149" s="46">
        <f>=IFERROR(ROUND((CH21+CH22)/$B149,0),0)</f>
        <v>0</v>
      </c>
      <c r="CI149" s="46">
        <f>=IFERROR(ROUND((CI21+CI22)/$B149,0),0)</f>
        <v>0</v>
      </c>
      <c r="CJ149" s="46">
        <f>=IFERROR(ROUND((CJ21+CJ22)/$B149,0),0)</f>
        <v>0</v>
      </c>
      <c r="CK149" s="46">
        <f>=IFERROR(ROUND((CK21+CK22)/$B149,0),0)</f>
        <v>0</v>
      </c>
      <c r="CL149" s="46">
        <f>=IFERROR(ROUND((CL21+CL22)/$B149,0),0)</f>
        <v>0</v>
      </c>
      <c r="CM149" s="46">
        <f>=IFERROR(ROUND((CM21+CM22)/$B149,0),0)</f>
        <v>0</v>
      </c>
      <c r="CN149" s="46">
        <f>=IFERROR(ROUND((CN21+CN22)/$B149,0),0)</f>
        <v>0</v>
      </c>
      <c r="CO149" s="46">
        <f>=IFERROR(ROUND((CO21+CO22)/$B149,0),0)</f>
        <v>0</v>
      </c>
      <c r="CP149" s="46">
        <f>=IFERROR(ROUND((CP21+CP22)/$B149,0),0)</f>
        <v>0</v>
      </c>
      <c r="CQ149" s="46">
        <f>=IFERROR(ROUND((CQ21+CQ22)/$B149,0),0)</f>
        <v>0</v>
      </c>
      <c r="CR149" s="46">
        <f>=IFERROR(ROUND((CR21+CR22)/$B149,0),0)</f>
        <v>0</v>
      </c>
      <c r="CS149" s="46">
        <f>=IFERROR(ROUND((CS21+CS22)/$B149,0),0)</f>
        <v>0</v>
      </c>
      <c r="CT149" s="46">
        <f>=IFERROR(ROUND((CT21+CT22)/$B149,0),0)</f>
        <v>0</v>
      </c>
      <c r="CU149" s="46">
        <f>=IFERROR(ROUND((CU21+CU22)/$B149,0),0)</f>
        <v>0</v>
      </c>
      <c r="CV149" s="46">
        <f>=IFERROR(ROUND((CV21+CV22)/$B149,0),0)</f>
        <v>0</v>
      </c>
      <c r="CW149" s="46">
        <f>=IFERROR(ROUND((CW21+CW22)/$B149,0),0)</f>
        <v>0</v>
      </c>
      <c r="CX149" s="46">
        <f>=IFERROR(ROUND((CX21+CX22)/$B149,0),0)</f>
        <v>0</v>
      </c>
      <c r="CY149" s="46">
        <f>=IFERROR(ROUND((CY21+CY22)/$B149,0),0)</f>
        <v>0</v>
      </c>
      <c r="CZ149" s="46">
        <f>=IFERROR(ROUND((CZ21+CZ22)/$B149,0),0)</f>
        <v>0</v>
      </c>
      <c r="DA149" s="46">
        <f>=IFERROR(ROUND((DA21+DA22)/$B149,0),0)</f>
        <v>0</v>
      </c>
      <c r="DB149" s="46">
        <f>=IFERROR(ROUND((DB21+DB22)/$B149,0),0)</f>
        <v>0</v>
      </c>
    </row>
    <row r="150" spans="1:106" x14ac:dyDescent="0.25">
      <c r="A150" s="17" t="s">
        <v>357</v>
      </c>
      <c r="B150" s="17">
        <v>15</v>
      </c>
      <c r="C150" s="46">
        <f>=IFERROR(ROUND((C19+C23)/$B150,0),0)</f>
        <v>2</v>
      </c>
      <c r="D150" s="46">
        <f>=IFERROR(ROUND((D19+D23)/$B150,0),0)</f>
        <v>2</v>
      </c>
      <c r="E150" s="46">
        <f>=IFERROR(ROUND((E19+E23)/$B150,0),0)</f>
        <v>2</v>
      </c>
      <c r="F150" s="46">
        <f>=IFERROR(ROUND((F19+F23)/$B150,0),0)</f>
        <v>2</v>
      </c>
      <c r="G150" s="46">
        <f>=IFERROR(ROUND((G19+G23)/$B150,0),0)</f>
        <v>2</v>
      </c>
      <c r="H150" s="46">
        <f>=IFERROR(ROUND((H19+H23)/$B150,0),0)</f>
        <v>2</v>
      </c>
      <c r="I150" s="46">
        <f>=IFERROR(ROUND((I19+I23)/$B150,0),0)</f>
        <v>2</v>
      </c>
      <c r="J150" s="46">
        <f>=IFERROR(ROUND((J19+J23)/$B150,0),0)</f>
        <v>2</v>
      </c>
      <c r="K150" s="46">
        <f>=IFERROR(ROUND((K19+K23)/$B150,0),0)</f>
        <v>2</v>
      </c>
      <c r="L150" s="46">
        <f>=IFERROR(ROUND((L19+L23)/$B150,0),0)</f>
        <v>2</v>
      </c>
      <c r="M150" s="46">
        <f>=IFERROR(ROUND((M19+M23)/$B150,0),0)</f>
        <v>2</v>
      </c>
      <c r="N150" s="46">
        <f>=IFERROR(ROUND((N19+N23)/$B150,0),0)</f>
        <v>2</v>
      </c>
      <c r="O150" s="46">
        <f>=IFERROR(ROUND((O19+O23)/$B150,0),0)</f>
        <v>2</v>
      </c>
      <c r="P150" s="46">
        <f>=IFERROR(ROUND((P19+P23)/$B150,0),0)</f>
        <v>2</v>
      </c>
      <c r="Q150" s="46">
        <f>=IFERROR(ROUND((Q19+Q23)/$B150,0),0)</f>
        <v>1</v>
      </c>
      <c r="R150" s="46">
        <f>=IFERROR(ROUND((R19+R23)/$B150,0),0)</f>
        <v>1</v>
      </c>
      <c r="S150" s="46">
        <f>=IFERROR(ROUND((S19+S23)/$B150,0),0)</f>
        <v>1</v>
      </c>
      <c r="T150" s="46">
        <f>=IFERROR(ROUND((T19+T23)/$B150,0),0)</f>
        <v>1</v>
      </c>
      <c r="U150" s="46">
        <f>=IFERROR(ROUND((U19+U23)/$B150,0),0)</f>
        <v>1</v>
      </c>
      <c r="V150" s="46">
        <f>=IFERROR(ROUND((V19+V23)/$B150,0),0)</f>
        <v>1</v>
      </c>
      <c r="W150" s="46">
        <f>=IFERROR(ROUND((W19+W23)/$B150,0),0)</f>
        <v>1</v>
      </c>
      <c r="X150" s="46">
        <f>=IFERROR(ROUND((X19+X23)/$B150,0),0)</f>
        <v>1</v>
      </c>
      <c r="Y150" s="46">
        <f>=IFERROR(ROUND((Y19+Y23)/$B150,0),0)</f>
        <v>1</v>
      </c>
      <c r="Z150" s="46">
        <f>=IFERROR(ROUND((Z19+Z23)/$B150,0),0)</f>
        <v>1</v>
      </c>
      <c r="AA150" s="46">
        <f>=IFERROR(ROUND((AA19+AA23)/$B150,0),0)</f>
        <v>1</v>
      </c>
      <c r="AB150" s="46">
        <f>=IFERROR(ROUND((AB19+AB23)/$B150,0),0)</f>
        <v>1</v>
      </c>
      <c r="AC150" s="46">
        <f>=IFERROR(ROUND((AC19+AC23)/$B150,0),0)</f>
        <v>1</v>
      </c>
      <c r="AD150" s="46">
        <f>=IFERROR(ROUND((AD19+AD23)/$B150,0),0)</f>
        <v>1</v>
      </c>
      <c r="AE150" s="46">
        <f>=IFERROR(ROUND((AE19+AE23)/$B150,0),0)</f>
        <v>1</v>
      </c>
      <c r="AF150" s="46">
        <f>=IFERROR(ROUND((AF19+AF23)/$B150,0),0)</f>
        <v>1</v>
      </c>
      <c r="AG150" s="46">
        <f>=IFERROR(ROUND((AG19+AG23)/$B150,0),0)</f>
        <v>1</v>
      </c>
      <c r="AH150" s="46">
        <f>=IFERROR(ROUND((AH19+AH23)/$B150,0),0)</f>
        <v>1</v>
      </c>
      <c r="AI150" s="46">
        <f>=IFERROR(ROUND((AI19+AI23)/$B150,0),0)</f>
        <v>1</v>
      </c>
      <c r="AJ150" s="46">
        <f>=IFERROR(ROUND((AJ19+AJ23)/$B150,0),0)</f>
        <v>1</v>
      </c>
      <c r="AK150" s="46">
        <f>=IFERROR(ROUND((AK19+AK23)/$B150,0),0)</f>
        <v>1</v>
      </c>
      <c r="AL150" s="46">
        <f>=IFERROR(ROUND((AL19+AL23)/$B150,0),0)</f>
        <v>1</v>
      </c>
      <c r="AM150" s="46">
        <f>=IFERROR(ROUND((AM19+AM23)/$B150,0),0)</f>
        <v>1</v>
      </c>
      <c r="AN150" s="46">
        <f>=IFERROR(ROUND((AN19+AN23)/$B150,0),0)</f>
        <v>1</v>
      </c>
      <c r="AO150" s="46">
        <f>=IFERROR(ROUND((AO19+AO23)/$B150,0),0)</f>
        <v>1</v>
      </c>
      <c r="AP150" s="46">
        <f>=IFERROR(ROUND((AP19+AP23)/$B150,0),0)</f>
        <v>1</v>
      </c>
      <c r="AQ150" s="46">
        <f>=IFERROR(ROUND((AQ19+AQ23)/$B150,0),0)</f>
        <v>1</v>
      </c>
      <c r="AR150" s="46">
        <f>=IFERROR(ROUND((AR19+AR23)/$B150,0),0)</f>
        <v>1</v>
      </c>
      <c r="AS150" s="46">
        <f>=IFERROR(ROUND((AS19+AS23)/$B150,0),0)</f>
        <v>1</v>
      </c>
      <c r="AT150" s="46">
        <f>=IFERROR(ROUND((AT19+AT23)/$B150,0),0)</f>
        <v>1</v>
      </c>
      <c r="AU150" s="46">
        <f>=IFERROR(ROUND((AU19+AU23)/$B150,0),0)</f>
        <v>1</v>
      </c>
      <c r="AV150" s="46">
        <f>=IFERROR(ROUND((AV19+AV23)/$B150,0),0)</f>
        <v>1</v>
      </c>
      <c r="AW150" s="46">
        <f>=IFERROR(ROUND((AW19+AW23)/$B150,0),0)</f>
        <v>1</v>
      </c>
      <c r="AX150" s="46">
        <f>=IFERROR(ROUND((AX19+AX23)/$B150,0),0)</f>
        <v>1</v>
      </c>
      <c r="AY150" s="46">
        <f>=IFERROR(ROUND((AY19+AY23)/$B150,0),0)</f>
        <v>1</v>
      </c>
      <c r="AZ150" s="46">
        <f>=IFERROR(ROUND((AZ19+AZ23)/$B150,0),0)</f>
        <v>1</v>
      </c>
      <c r="BA150" s="46">
        <f>=IFERROR(ROUND((BA19+BA23)/$B150,0),0)</f>
        <v>1</v>
      </c>
      <c r="BB150" s="46">
        <f>=IFERROR(ROUND((BB19+BB23)/$B150,0),0)</f>
        <v>1</v>
      </c>
      <c r="BC150" s="46">
        <f>=IFERROR(ROUND((BC19+BC23)/$B150,0),0)</f>
        <v>1</v>
      </c>
      <c r="BD150" s="73">
        <f>=IFERROR(ROUND((BD19+BD23)/$B150,0),0)</f>
        <v>1</v>
      </c>
      <c r="BE150" s="46">
        <f>=IFERROR(ROUND((BE19+BE23)/$B150,0),0)</f>
        <v>1</v>
      </c>
      <c r="BF150" s="46">
        <f>=IFERROR(ROUND((BF19+BF23)/$B150,0),0)</f>
        <v>1</v>
      </c>
      <c r="BG150" s="46">
        <f>=IFERROR(ROUND((BG19+BG23)/$B150,0),0)</f>
        <v>1</v>
      </c>
      <c r="BH150" s="46">
        <f>=IFERROR(ROUND((BH19+BH23)/$B150,0),0)</f>
        <v>1</v>
      </c>
      <c r="BI150" s="46">
        <f>=IFERROR(ROUND((BI19+BI23)/$B150,0),0)</f>
        <v>1</v>
      </c>
      <c r="BJ150" s="46">
        <f>=IFERROR(ROUND((BJ19+BJ23)/$B150,0),0)</f>
        <v>1</v>
      </c>
      <c r="BK150" s="46">
        <f>=IFERROR(ROUND((BK19+BK23)/$B150,0),0)</f>
        <v>1</v>
      </c>
      <c r="BL150" s="73">
        <f>=IFERROR(ROUND((BL19+BL23)/$B150,0),0)</f>
        <v>1</v>
      </c>
      <c r="BM150" s="46">
        <f>=IFERROR(ROUND((BM19+BM23)/$B150,0),0)</f>
        <v>1</v>
      </c>
      <c r="BN150" s="46">
        <f>=IFERROR(ROUND((BN19+BN23)/$B150,0),0)</f>
        <v>1</v>
      </c>
      <c r="BO150" s="46">
        <f>=IFERROR(ROUND((BO19+BO23)/$B150,0),0)</f>
        <v>1</v>
      </c>
      <c r="BP150" s="46">
        <f>=IFERROR(ROUND((BP19+BP23)/$B150,0),0)</f>
        <v>1</v>
      </c>
      <c r="BQ150" s="46">
        <f>=IFERROR(ROUND((BQ19+BQ23)/$B150,0),0)</f>
        <v>1</v>
      </c>
      <c r="BR150" s="46">
        <f>=IFERROR(ROUND((BR19+BR23)/$B150,0),0)</f>
        <v>1</v>
      </c>
      <c r="BS150" s="46">
        <f>=IFERROR(ROUND((BS19+BS23)/$B150,0),0)</f>
        <v>1</v>
      </c>
      <c r="BT150" s="46">
        <f>=IFERROR(ROUND((BT19+BT23)/$B150,0),0)</f>
        <v>1</v>
      </c>
      <c r="BU150" s="46">
        <f>=IFERROR(ROUND((BU19+BU23)/$B150,0),0)</f>
        <v>1</v>
      </c>
      <c r="BV150" s="46">
        <f>=IFERROR(ROUND((BV19+BV23)/$B150,0),0)</f>
        <v>1</v>
      </c>
      <c r="BW150" s="46">
        <f>=IFERROR(ROUND((BW19+BW23)/$B150,0),0)</f>
        <v>1</v>
      </c>
      <c r="BX150" s="46">
        <f>=IFERROR(ROUND((BX19+BX23)/$B150,0),0)</f>
        <v>1</v>
      </c>
      <c r="BY150" s="73">
        <f>=IFERROR(ROUND((BY19+BY23)/$B150,0),0)</f>
        <v>1</v>
      </c>
      <c r="BZ150" s="46">
        <f>=IFERROR(ROUND((BZ19+BZ23)/$B150,0),0)</f>
        <v>1</v>
      </c>
      <c r="CA150" s="46">
        <f>=IFERROR(ROUND((CA19+CA23)/$B150,0),0)</f>
        <v>1</v>
      </c>
      <c r="CB150" s="46">
        <f>=IFERROR(ROUND((CB19+CB23)/$B150,0),0)</f>
        <v>1</v>
      </c>
      <c r="CC150" s="46">
        <f>=IFERROR(ROUND((CC19+CC23)/$B150,0),0)</f>
        <v>1</v>
      </c>
      <c r="CD150" s="46">
        <f>=IFERROR(ROUND((CD19+CD23)/$B150,0),0)</f>
        <v>1</v>
      </c>
      <c r="CE150" s="46">
        <f>=IFERROR(ROUND((CE19+CE23)/$B150,0),0)</f>
        <v>1</v>
      </c>
      <c r="CF150" s="46">
        <f>=IFERROR(ROUND((CF19+CF23)/$B150,0),0)</f>
        <v>1</v>
      </c>
      <c r="CG150" s="46">
        <f>=IFERROR(ROUND((CG19+CG23)/$B150,0),0)</f>
        <v>1</v>
      </c>
      <c r="CH150" s="46">
        <f>=IFERROR(ROUND((CH19+CH23)/$B150,0),0)</f>
        <v>1</v>
      </c>
      <c r="CI150" s="46">
        <f>=IFERROR(ROUND((CI19+CI23)/$B150,0),0)</f>
        <v>1</v>
      </c>
      <c r="CJ150" s="46">
        <f>=IFERROR(ROUND((CJ19+CJ23)/$B150,0),0)</f>
        <v>1</v>
      </c>
      <c r="CK150" s="46">
        <f>=IFERROR(ROUND((CK19+CK23)/$B150,0),0)</f>
        <v>1</v>
      </c>
      <c r="CL150" s="46">
        <f>=IFERROR(ROUND((CL19+CL23)/$B150,0),0)</f>
        <v>1</v>
      </c>
      <c r="CM150" s="46">
        <f>=IFERROR(ROUND((CM19+CM23)/$B150,0),0)</f>
        <v>1</v>
      </c>
      <c r="CN150" s="46">
        <f>=IFERROR(ROUND((CN19+CN23)/$B150,0),0)</f>
        <v>1</v>
      </c>
      <c r="CO150" s="46">
        <f>=IFERROR(ROUND((CO19+CO23)/$B150,0),0)</f>
        <v>1</v>
      </c>
      <c r="CP150" s="46">
        <f>=IFERROR(ROUND((CP19+CP23)/$B150,0),0)</f>
        <v>1</v>
      </c>
      <c r="CQ150" s="46">
        <f>=IFERROR(ROUND((CQ19+CQ23)/$B150,0),0)</f>
        <v>1</v>
      </c>
      <c r="CR150" s="46">
        <f>=IFERROR(ROUND((CR19+CR23)/$B150,0),0)</f>
        <v>1</v>
      </c>
      <c r="CS150" s="46">
        <f>=IFERROR(ROUND((CS19+CS23)/$B150,0),0)</f>
        <v>1</v>
      </c>
      <c r="CT150" s="73">
        <f>=IFERROR(ROUND((CT19+CT23)/$B150,0),0)</f>
        <v>1</v>
      </c>
      <c r="CU150" s="46">
        <f>=IFERROR(ROUND((CU19+CU23)/$B150,0),0)</f>
        <v>1</v>
      </c>
      <c r="CV150" s="46">
        <f>=IFERROR(ROUND((CV19+CV23)/$B150,0),0)</f>
        <v>1</v>
      </c>
      <c r="CW150" s="73">
        <f>=IFERROR(ROUND((CW19+CW23)/$B150,0),0)</f>
        <v>1</v>
      </c>
      <c r="CX150" s="73">
        <f>=IFERROR(ROUND((CX19+CX23)/$B150,0),0)</f>
        <v>1</v>
      </c>
      <c r="CY150" s="46">
        <f>=IFERROR(ROUND((CY19+CY23)/$B150,0),0)</f>
        <v>1</v>
      </c>
      <c r="CZ150" s="46">
        <f>=IFERROR(ROUND((CZ19+CZ23)/$B150,0),0)</f>
        <v>1</v>
      </c>
      <c r="DA150" s="46">
        <f>=IFERROR(ROUND((DA19+DA23)/$B150,0),0)</f>
        <v>1</v>
      </c>
      <c r="DB150" s="46">
        <f>=IFERROR(ROUND((DB19+DB23)/$B150,0),0)</f>
        <v>1</v>
      </c>
    </row>
    <row r="151" spans="1:106" x14ac:dyDescent="0.25">
      <c r="A151" s="17" t="s">
        <v>358</v>
      </c>
      <c r="B151" s="17">
        <v>40</v>
      </c>
      <c r="C151" s="46">
        <f>=IFERROR(ROUND((C19+C23)/$B151,0),0)</f>
        <v>1</v>
      </c>
      <c r="D151" s="46">
        <f>=IFERROR(ROUND((D19+D23)/$B151,0),0)</f>
        <v>1</v>
      </c>
      <c r="E151" s="46">
        <f>=IFERROR(ROUND((E19+E23)/$B151,0),0)</f>
        <v>1</v>
      </c>
      <c r="F151" s="46">
        <f>=IFERROR(ROUND((F19+F23)/$B151,0),0)</f>
        <v>1</v>
      </c>
      <c r="G151" s="46">
        <f>=IFERROR(ROUND((G19+G23)/$B151,0),0)</f>
        <v>1</v>
      </c>
      <c r="H151" s="46">
        <f>=IFERROR(ROUND((H19+H23)/$B151,0),0)</f>
        <v>1</v>
      </c>
      <c r="I151" s="46">
        <f>=IFERROR(ROUND((I19+I23)/$B151,0),0)</f>
        <v>1</v>
      </c>
      <c r="J151" s="46">
        <f>=IFERROR(ROUND((J19+J23)/$B151,0),0)</f>
        <v>1</v>
      </c>
      <c r="K151" s="46">
        <f>=IFERROR(ROUND((K19+K23)/$B151,0),0)</f>
        <v>1</v>
      </c>
      <c r="L151" s="46">
        <f>=IFERROR(ROUND((L19+L23)/$B151,0),0)</f>
        <v>1</v>
      </c>
      <c r="M151" s="46">
        <f>=IFERROR(ROUND((M19+M23)/$B151,0),0)</f>
        <v>1</v>
      </c>
      <c r="N151" s="46">
        <f>=IFERROR(ROUND((N19+N23)/$B151,0),0)</f>
        <v>1</v>
      </c>
      <c r="O151" s="46">
        <f>=IFERROR(ROUND((O19+O23)/$B151,0),0)</f>
        <v>1</v>
      </c>
      <c r="P151" s="46">
        <f>=IFERROR(ROUND((P19+P23)/$B151,0),0)</f>
        <v>1</v>
      </c>
      <c r="Q151" s="46">
        <f>=IFERROR(ROUND((Q19+Q23)/$B151,0),0)</f>
        <v>1</v>
      </c>
      <c r="R151" s="46">
        <f>=IFERROR(ROUND((R19+R23)/$B151,0),0)</f>
        <v>0</v>
      </c>
      <c r="S151" s="46">
        <f>=IFERROR(ROUND((S19+S23)/$B151,0),0)</f>
        <v>0</v>
      </c>
      <c r="T151" s="46">
        <f>=IFERROR(ROUND((T19+T23)/$B151,0),0)</f>
        <v>0</v>
      </c>
      <c r="U151" s="46">
        <f>=IFERROR(ROUND((U19+U23)/$B151,0),0)</f>
        <v>1</v>
      </c>
      <c r="V151" s="46">
        <f>=IFERROR(ROUND((V19+V23)/$B151,0),0)</f>
        <v>1</v>
      </c>
      <c r="W151" s="46">
        <f>=IFERROR(ROUND((W19+W23)/$B151,0),0)</f>
        <v>1</v>
      </c>
      <c r="X151" s="46">
        <f>=IFERROR(ROUND((X19+X23)/$B151,0),0)</f>
        <v>1</v>
      </c>
      <c r="Y151" s="46">
        <f>=IFERROR(ROUND((Y19+Y23)/$B151,0),0)</f>
        <v>1</v>
      </c>
      <c r="Z151" s="46">
        <f>=IFERROR(ROUND((Z19+Z23)/$B151,0),0)</f>
        <v>1</v>
      </c>
      <c r="AA151" s="46">
        <f>=IFERROR(ROUND((AA19+AA23)/$B151,0),0)</f>
        <v>1</v>
      </c>
      <c r="AB151" s="46">
        <f>=IFERROR(ROUND((AB19+AB23)/$B151,0),0)</f>
        <v>0</v>
      </c>
      <c r="AC151" s="46">
        <f>=IFERROR(ROUND((AC19+AC23)/$B151,0),0)</f>
        <v>0</v>
      </c>
      <c r="AD151" s="46">
        <f>=IFERROR(ROUND((AD19+AD23)/$B151,0),0)</f>
        <v>1</v>
      </c>
      <c r="AE151" s="46">
        <f>=IFERROR(ROUND((AE19+AE23)/$B151,0),0)</f>
        <v>0</v>
      </c>
      <c r="AF151" s="46">
        <f>=IFERROR(ROUND((AF19+AF23)/$B151,0),0)</f>
        <v>0</v>
      </c>
      <c r="AG151" s="46">
        <f>=IFERROR(ROUND((AG19+AG23)/$B151,0),0)</f>
        <v>0</v>
      </c>
      <c r="AH151" s="46">
        <f>=IFERROR(ROUND((AH19+AH23)/$B151,0),0)</f>
        <v>0</v>
      </c>
      <c r="AI151" s="46">
        <f>=IFERROR(ROUND((AI19+AI23)/$B151,0),0)</f>
        <v>0</v>
      </c>
      <c r="AJ151" s="46">
        <f>=IFERROR(ROUND((AJ19+AJ23)/$B151,0),0)</f>
        <v>0</v>
      </c>
      <c r="AK151" s="46">
        <f>=IFERROR(ROUND((AK19+AK23)/$B151,0),0)</f>
        <v>0</v>
      </c>
      <c r="AL151" s="46">
        <f>=IFERROR(ROUND((AL19+AL23)/$B151,0),0)</f>
        <v>0</v>
      </c>
      <c r="AM151" s="46">
        <f>=IFERROR(ROUND((AM19+AM23)/$B151,0),0)</f>
        <v>0</v>
      </c>
      <c r="AN151" s="46">
        <f>=IFERROR(ROUND((AN19+AN23)/$B151,0),0)</f>
        <v>0</v>
      </c>
      <c r="AO151" s="46">
        <f>=IFERROR(ROUND((AO19+AO23)/$B151,0),0)</f>
        <v>0</v>
      </c>
      <c r="AP151" s="46">
        <f>=IFERROR(ROUND((AP19+AP23)/$B151,0),0)</f>
        <v>0</v>
      </c>
      <c r="AQ151" s="46">
        <f>=IFERROR(ROUND((AQ19+AQ23)/$B151,0),0)</f>
        <v>0</v>
      </c>
      <c r="AR151" s="46">
        <f>=IFERROR(ROUND((AR19+AR23)/$B151,0),0)</f>
        <v>0</v>
      </c>
      <c r="AS151" s="46">
        <f>=IFERROR(ROUND((AS19+AS23)/$B151,0),0)</f>
        <v>0</v>
      </c>
      <c r="AT151" s="46">
        <f>=IFERROR(ROUND((AT19+AT23)/$B151,0),0)</f>
        <v>0</v>
      </c>
      <c r="AU151" s="46">
        <f>=IFERROR(ROUND((AU19+AU23)/$B151,0),0)</f>
        <v>0</v>
      </c>
      <c r="AV151" s="46">
        <f>=IFERROR(ROUND((AV19+AV23)/$B151,0),0)</f>
        <v>0</v>
      </c>
      <c r="AW151" s="46">
        <f>=IFERROR(ROUND((AW19+AW23)/$B151,0),0)</f>
        <v>0</v>
      </c>
      <c r="AX151" s="46">
        <f>=IFERROR(ROUND((AX19+AX23)/$B151,0),0)</f>
        <v>0</v>
      </c>
      <c r="AY151" s="46">
        <f>=IFERROR(ROUND((AY19+AY23)/$B151,0),0)</f>
        <v>0</v>
      </c>
      <c r="AZ151" s="46">
        <f>=IFERROR(ROUND((AZ19+AZ23)/$B151,0),0)</f>
        <v>0</v>
      </c>
      <c r="BA151" s="46">
        <f>=IFERROR(ROUND((BA19+BA23)/$B151,0),0)</f>
        <v>0</v>
      </c>
      <c r="BB151" s="46">
        <f>=IFERROR(ROUND((BB19+BB23)/$B151,0),0)</f>
        <v>0</v>
      </c>
      <c r="BC151" s="73">
        <f>=IFERROR(ROUND((BC19+BC23)/$B151,0),0)</f>
        <v>0</v>
      </c>
      <c r="BD151" s="46">
        <f>=IFERROR(ROUND((BD19+BD23)/$B151,0),0)</f>
        <v>0</v>
      </c>
      <c r="BE151" s="46">
        <f>=IFERROR(ROUND((BE19+BE23)/$B151,0),0)</f>
        <v>0</v>
      </c>
      <c r="BF151" s="46">
        <f>=IFERROR(ROUND((BF19+BF23)/$B151,0),0)</f>
        <v>0</v>
      </c>
      <c r="BG151" s="46">
        <f>=IFERROR(ROUND((BG19+BG23)/$B151,0),0)</f>
        <v>0</v>
      </c>
      <c r="BH151" s="46">
        <f>=IFERROR(ROUND((BH19+BH23)/$B151,0),0)</f>
        <v>0</v>
      </c>
      <c r="BI151" s="46">
        <f>=IFERROR(ROUND((BI19+BI23)/$B151,0),0)</f>
        <v>0</v>
      </c>
      <c r="BJ151" s="46">
        <f>=IFERROR(ROUND((BJ19+BJ23)/$B151,0),0)</f>
        <v>0</v>
      </c>
      <c r="BK151" s="46">
        <f>=IFERROR(ROUND((BK19+BK23)/$B151,0),0)</f>
        <v>0</v>
      </c>
      <c r="BL151" s="46">
        <f>=IFERROR(ROUND((BL19+BL23)/$B151,0),0)</f>
        <v>0</v>
      </c>
      <c r="BM151" s="46">
        <f>=IFERROR(ROUND((BM19+BM23)/$B151,0),0)</f>
        <v>0</v>
      </c>
      <c r="BN151" s="46">
        <f>=IFERROR(ROUND((BN19+BN23)/$B151,0),0)</f>
        <v>0</v>
      </c>
      <c r="BO151" s="46">
        <f>=IFERROR(ROUND((BO19+BO23)/$B151,0),0)</f>
        <v>0</v>
      </c>
      <c r="BP151" s="46">
        <f>=IFERROR(ROUND((BP19+BP23)/$B151,0),0)</f>
        <v>0</v>
      </c>
      <c r="BQ151" s="46">
        <f>=IFERROR(ROUND((BQ19+BQ23)/$B151,0),0)</f>
        <v>0</v>
      </c>
      <c r="BR151" s="46">
        <f>=IFERROR(ROUND((BR19+BR23)/$B151,0),0)</f>
        <v>0</v>
      </c>
      <c r="BS151" s="46">
        <f>=IFERROR(ROUND((BS19+BS23)/$B151,0),0)</f>
        <v>0</v>
      </c>
      <c r="BT151" s="46">
        <f>=IFERROR(ROUND((BT19+BT23)/$B151,0),0)</f>
        <v>0</v>
      </c>
      <c r="BU151" s="46">
        <f>=IFERROR(ROUND((BU19+BU23)/$B151,0),0)</f>
        <v>0</v>
      </c>
      <c r="BV151" s="46">
        <f>=IFERROR(ROUND((BV19+BV23)/$B151,0),0)</f>
        <v>0</v>
      </c>
      <c r="BW151" s="46">
        <f>=IFERROR(ROUND((BW19+BW23)/$B151,0),0)</f>
        <v>0</v>
      </c>
      <c r="BX151" s="46">
        <f>=IFERROR(ROUND((BX19+BX23)/$B151,0),0)</f>
        <v>0</v>
      </c>
      <c r="BY151" s="46">
        <f>=IFERROR(ROUND((BY19+BY23)/$B151,0),0)</f>
        <v>0</v>
      </c>
      <c r="BZ151" s="46">
        <f>=IFERROR(ROUND((BZ19+BZ23)/$B151,0),0)</f>
        <v>0</v>
      </c>
      <c r="CA151" s="46">
        <f>=IFERROR(ROUND((CA19+CA23)/$B151,0),0)</f>
        <v>0</v>
      </c>
      <c r="CB151" s="46">
        <f>=IFERROR(ROUND((CB19+CB23)/$B151,0),0)</f>
        <v>0</v>
      </c>
      <c r="CC151" s="46">
        <f>=IFERROR(ROUND((CC19+CC23)/$B151,0),0)</f>
        <v>0</v>
      </c>
      <c r="CD151" s="46">
        <f>=IFERROR(ROUND((CD19+CD23)/$B151,0),0)</f>
        <v>0</v>
      </c>
      <c r="CE151" s="46">
        <f>=IFERROR(ROUND((CE19+CE23)/$B151,0),0)</f>
        <v>0</v>
      </c>
      <c r="CF151" s="46">
        <f>=IFERROR(ROUND((CF19+CF23)/$B151,0),0)</f>
        <v>0</v>
      </c>
      <c r="CG151" s="46">
        <f>=IFERROR(ROUND((CG19+CG23)/$B151,0),0)</f>
        <v>0</v>
      </c>
      <c r="CH151" s="46">
        <f>=IFERROR(ROUND((CH19+CH23)/$B151,0),0)</f>
        <v>0</v>
      </c>
      <c r="CI151" s="46">
        <f>=IFERROR(ROUND((CI19+CI23)/$B151,0),0)</f>
        <v>0</v>
      </c>
      <c r="CJ151" s="73">
        <f>=IFERROR(ROUND((CJ19+CJ23)/$B151,0),0)</f>
        <v>0</v>
      </c>
      <c r="CK151" s="46">
        <f>=IFERROR(ROUND((CK19+CK23)/$B151,0),0)</f>
        <v>0</v>
      </c>
      <c r="CL151" s="73">
        <f>=IFERROR(ROUND((CL19+CL23)/$B151,0),0)</f>
        <v>0</v>
      </c>
      <c r="CM151" s="46">
        <f>=IFERROR(ROUND((CM19+CM23)/$B151,0),0)</f>
        <v>0</v>
      </c>
      <c r="CN151" s="46">
        <f>=IFERROR(ROUND((CN19+CN23)/$B151,0),0)</f>
        <v>0</v>
      </c>
      <c r="CO151" s="46">
        <f>=IFERROR(ROUND((CO19+CO23)/$B151,0),0)</f>
        <v>0</v>
      </c>
      <c r="CP151" s="46">
        <f>=IFERROR(ROUND((CP19+CP23)/$B151,0),0)</f>
        <v>0</v>
      </c>
      <c r="CQ151" s="46">
        <f>=IFERROR(ROUND((CQ19+CQ23)/$B151,0),0)</f>
        <v>0</v>
      </c>
      <c r="CR151" s="46">
        <f>=IFERROR(ROUND((CR19+CR23)/$B151,0),0)</f>
        <v>0</v>
      </c>
      <c r="CS151" s="46">
        <f>=IFERROR(ROUND((CS19+CS23)/$B151,0),0)</f>
        <v>0</v>
      </c>
      <c r="CT151" s="46">
        <f>=IFERROR(ROUND((CT19+CT23)/$B151,0),0)</f>
        <v>0</v>
      </c>
      <c r="CU151" s="46">
        <f>=IFERROR(ROUND((CU19+CU23)/$B151,0),0)</f>
        <v>0</v>
      </c>
      <c r="CV151" s="46">
        <f>=IFERROR(ROUND((CV19+CV23)/$B151,0),0)</f>
        <v>0</v>
      </c>
      <c r="CW151" s="46">
        <f>=IFERROR(ROUND((CW19+CW23)/$B151,0),0)</f>
        <v>0</v>
      </c>
      <c r="CX151" s="46">
        <f>=IFERROR(ROUND((CX19+CX23)/$B151,0),0)</f>
        <v>0</v>
      </c>
      <c r="CY151" s="46">
        <f>=IFERROR(ROUND((CY19+CY23)/$B151,0),0)</f>
        <v>0</v>
      </c>
      <c r="CZ151" s="46">
        <f>=IFERROR(ROUND((CZ19+CZ23)/$B151,0),0)</f>
        <v>0</v>
      </c>
      <c r="DA151" s="46">
        <f>=IFERROR(ROUND((DA19+DA23)/$B151,0),0)</f>
        <v>0</v>
      </c>
      <c r="DB151" s="46">
        <f>=IFERROR(ROUND((DB19+DB23)/$B151,0),0)</f>
        <v>0</v>
      </c>
    </row>
    <row r="152" spans="1:106" x14ac:dyDescent="0.25">
      <c r="A152" s="17" t="s">
        <v>359</v>
      </c>
      <c r="B152" s="17">
        <v>30</v>
      </c>
      <c r="C152" s="46">
        <f>=IFERROR(ROUND(C19/$B152,0),0)</f>
        <v>1</v>
      </c>
      <c r="D152" s="46">
        <f>=IFERROR(ROUND(D19/$B152,0),0)</f>
        <v>1</v>
      </c>
      <c r="E152" s="46">
        <f>=IFERROR(ROUND(E19/$B152,0),0)</f>
        <v>1</v>
      </c>
      <c r="F152" s="46">
        <f>=IFERROR(ROUND(F19/$B152,0),0)</f>
        <v>1</v>
      </c>
      <c r="G152" s="46">
        <f>=IFERROR(ROUND(G19/$B152,0),0)</f>
        <v>1</v>
      </c>
      <c r="H152" s="46">
        <f>=IFERROR(ROUND(H19/$B152,0),0)</f>
        <v>1</v>
      </c>
      <c r="I152" s="46">
        <f>=IFERROR(ROUND(I19/$B152,0),0)</f>
        <v>1</v>
      </c>
      <c r="J152" s="46">
        <f>=IFERROR(ROUND(J19/$B152,0),0)</f>
        <v>1</v>
      </c>
      <c r="K152" s="46">
        <f>=IFERROR(ROUND(K19/$B152,0),0)</f>
        <v>1</v>
      </c>
      <c r="L152" s="46">
        <f>=IFERROR(ROUND(L19/$B152,0),0)</f>
        <v>1</v>
      </c>
      <c r="M152" s="46">
        <f>=IFERROR(ROUND(M19/$B152,0),0)</f>
        <v>1</v>
      </c>
      <c r="N152" s="46">
        <f>=IFERROR(ROUND(N19/$B152,0),0)</f>
        <v>1</v>
      </c>
      <c r="O152" s="46">
        <f>=IFERROR(ROUND(O19/$B152,0),0)</f>
        <v>1</v>
      </c>
      <c r="P152" s="46">
        <f>=IFERROR(ROUND(P19/$B152,0),0)</f>
        <v>1</v>
      </c>
      <c r="Q152" s="46">
        <f>=IFERROR(ROUND(Q19/$B152,0),0)</f>
        <v>1</v>
      </c>
      <c r="R152" s="46">
        <f>=IFERROR(ROUND(R19/$B152,0),0)</f>
        <v>1</v>
      </c>
      <c r="S152" s="46">
        <f>=IFERROR(ROUND(S19/$B152,0),0)</f>
        <v>1</v>
      </c>
      <c r="T152" s="46">
        <f>=IFERROR(ROUND(T19/$B152,0),0)</f>
        <v>1</v>
      </c>
      <c r="U152" s="46">
        <f>=IFERROR(ROUND(U19/$B152,0),0)</f>
        <v>1</v>
      </c>
      <c r="V152" s="46">
        <f>=IFERROR(ROUND(V19/$B152,0),0)</f>
        <v>1</v>
      </c>
      <c r="W152" s="46">
        <f>=IFERROR(ROUND(W19/$B152,0),0)</f>
        <v>1</v>
      </c>
      <c r="X152" s="46">
        <f>=IFERROR(ROUND(X19/$B152,0),0)</f>
        <v>1</v>
      </c>
      <c r="Y152" s="46">
        <f>=IFERROR(ROUND(Y19/$B152,0),0)</f>
        <v>1</v>
      </c>
      <c r="Z152" s="46">
        <f>=IFERROR(ROUND(Z19/$B152,0),0)</f>
        <v>1</v>
      </c>
      <c r="AA152" s="46">
        <f>=IFERROR(ROUND(AA19/$B152,0),0)</f>
        <v>1</v>
      </c>
      <c r="AB152" s="46">
        <f>=IFERROR(ROUND(AB19/$B152,0),0)</f>
        <v>1</v>
      </c>
      <c r="AC152" s="46">
        <f>=IFERROR(ROUND(AC19/$B152,0),0)</f>
        <v>1</v>
      </c>
      <c r="AD152" s="46">
        <f>=IFERROR(ROUND(AD19/$B152,0),0)</f>
        <v>1</v>
      </c>
      <c r="AE152" s="46">
        <f>=IFERROR(ROUND(AE19/$B152,0),0)</f>
        <v>1</v>
      </c>
      <c r="AF152" s="46">
        <f>=IFERROR(ROUND(AF19/$B152,0),0)</f>
        <v>1</v>
      </c>
      <c r="AG152" s="46">
        <f>=IFERROR(ROUND(AG19/$B152,0),0)</f>
        <v>1</v>
      </c>
      <c r="AH152" s="46">
        <f>=IFERROR(ROUND(AH19/$B152,0),0)</f>
        <v>1</v>
      </c>
      <c r="AI152" s="46">
        <f>=IFERROR(ROUND(AI19/$B152,0),0)</f>
        <v>1</v>
      </c>
      <c r="AJ152" s="46">
        <f>=IFERROR(ROUND(AJ19/$B152,0),0)</f>
        <v>1</v>
      </c>
      <c r="AK152" s="46">
        <f>=IFERROR(ROUND(AK19/$B152,0),0)</f>
        <v>1</v>
      </c>
      <c r="AL152" s="46">
        <f>=IFERROR(ROUND(AL19/$B152,0),0)</f>
        <v>1</v>
      </c>
      <c r="AM152" s="46">
        <f>=IFERROR(ROUND(AM19/$B152,0),0)</f>
        <v>1</v>
      </c>
      <c r="AN152" s="46">
        <f>=IFERROR(ROUND(AN19/$B152,0),0)</f>
        <v>1</v>
      </c>
      <c r="AO152" s="46">
        <f>=IFERROR(ROUND(AO19/$B152,0),0)</f>
        <v>1</v>
      </c>
      <c r="AP152" s="46">
        <f>=IFERROR(ROUND(AP19/$B152,0),0)</f>
        <v>1</v>
      </c>
      <c r="AQ152" s="46">
        <f>=IFERROR(ROUND(AQ19/$B152,0),0)</f>
        <v>1</v>
      </c>
      <c r="AR152" s="46">
        <f>=IFERROR(ROUND(AR19/$B152,0),0)</f>
        <v>1</v>
      </c>
      <c r="AS152" s="46">
        <f>=IFERROR(ROUND(AS19/$B152,0),0)</f>
        <v>1</v>
      </c>
      <c r="AT152" s="46">
        <f>=IFERROR(ROUND(AT19/$B152,0),0)</f>
        <v>1</v>
      </c>
      <c r="AU152" s="46">
        <f>=IFERROR(ROUND(AU19/$B152,0),0)</f>
        <v>1</v>
      </c>
      <c r="AV152" s="46">
        <f>=IFERROR(ROUND(AV19/$B152,0),0)</f>
        <v>1</v>
      </c>
      <c r="AW152" s="46">
        <f>=IFERROR(ROUND(AW19/$B152,0),0)</f>
        <v>1</v>
      </c>
      <c r="AX152" s="46">
        <f>=IFERROR(ROUND(AX19/$B152,0),0)</f>
        <v>1</v>
      </c>
      <c r="AY152" s="46">
        <f>=IFERROR(ROUND(AY19/$B152,0),0)</f>
        <v>1</v>
      </c>
      <c r="AZ152" s="46">
        <f>=IFERROR(ROUND(AZ19/$B152,0),0)</f>
        <v>1</v>
      </c>
      <c r="BA152" s="46">
        <f>=IFERROR(ROUND(BA19/$B152,0),0)</f>
        <v>1</v>
      </c>
      <c r="BB152" s="46">
        <f>=IFERROR(ROUND(BB19/$B152,0),0)</f>
        <v>1</v>
      </c>
      <c r="BC152" s="46">
        <f>=IFERROR(ROUND(BC19/$B152,0),0)</f>
        <v>1</v>
      </c>
      <c r="BD152" s="46">
        <f>=IFERROR(ROUND(BD19/$B152,0),0)</f>
        <v>1</v>
      </c>
      <c r="BE152" s="46">
        <f>=IFERROR(ROUND(BE19/$B152,0),0)</f>
        <v>1</v>
      </c>
      <c r="BF152" s="46">
        <f>=IFERROR(ROUND(BF19/$B152,0),0)</f>
        <v>1</v>
      </c>
      <c r="BG152" s="46">
        <f>=IFERROR(ROUND(BG19/$B152,0),0)</f>
        <v>1</v>
      </c>
      <c r="BH152" s="46">
        <f>=IFERROR(ROUND(BH19/$B152,0),0)</f>
        <v>1</v>
      </c>
      <c r="BI152" s="46">
        <f>=IFERROR(ROUND(BI19/$B152,0),0)</f>
        <v>1</v>
      </c>
      <c r="BJ152" s="46">
        <f>=IFERROR(ROUND(BJ19/$B152,0),0)</f>
        <v>1</v>
      </c>
      <c r="BK152" s="46">
        <f>=IFERROR(ROUND(BK19/$B152,0),0)</f>
        <v>1</v>
      </c>
      <c r="BL152" s="73">
        <f>=IFERROR(ROUND(BL19/$B152,0),0)</f>
        <v>1</v>
      </c>
      <c r="BM152" s="46">
        <f>=IFERROR(ROUND(BM19/$B152,0),0)</f>
        <v>1</v>
      </c>
      <c r="BN152" s="46">
        <f>=IFERROR(ROUND(BN19/$B152,0),0)</f>
        <v>1</v>
      </c>
      <c r="BO152" s="46">
        <f>=IFERROR(ROUND(BO19/$B152,0),0)</f>
        <v>1</v>
      </c>
      <c r="BP152" s="46">
        <f>=IFERROR(ROUND(BP19/$B152,0),0)</f>
        <v>1</v>
      </c>
      <c r="BQ152" s="46">
        <f>=IFERROR(ROUND(BQ19/$B152,0),0)</f>
        <v>1</v>
      </c>
      <c r="BR152" s="46">
        <f>=IFERROR(ROUND(BR19/$B152,0),0)</f>
        <v>1</v>
      </c>
      <c r="BS152" s="46">
        <f>=IFERROR(ROUND(BS19/$B152,0),0)</f>
        <v>1</v>
      </c>
      <c r="BT152" s="46">
        <f>=IFERROR(ROUND(BT19/$B152,0),0)</f>
        <v>1</v>
      </c>
      <c r="BU152" s="46">
        <f>=IFERROR(ROUND(BU19/$B152,0),0)</f>
        <v>1</v>
      </c>
      <c r="BV152" s="46">
        <f>=IFERROR(ROUND(BV19/$B152,0),0)</f>
        <v>1</v>
      </c>
      <c r="BW152" s="46">
        <f>=IFERROR(ROUND(BW19/$B152,0),0)</f>
        <v>1</v>
      </c>
      <c r="BX152" s="46">
        <f>=IFERROR(ROUND(BX19/$B152,0),0)</f>
        <v>1</v>
      </c>
      <c r="BY152" s="73">
        <f>=IFERROR(ROUND(BY19/$B152,0),0)</f>
        <v>1</v>
      </c>
      <c r="BZ152" s="46">
        <f>=IFERROR(ROUND(BZ19/$B152,0),0)</f>
        <v>1</v>
      </c>
      <c r="CA152" s="46">
        <f>=IFERROR(ROUND(CA19/$B152,0),0)</f>
        <v>0</v>
      </c>
      <c r="CB152" s="46">
        <f>=IFERROR(ROUND(CB19/$B152,0),0)</f>
        <v>0</v>
      </c>
      <c r="CC152" s="46">
        <f>=IFERROR(ROUND(CC19/$B152,0),0)</f>
        <v>0</v>
      </c>
      <c r="CD152" s="46">
        <f>=IFERROR(ROUND(CD19/$B152,0),0)</f>
        <v>0</v>
      </c>
      <c r="CE152" s="46">
        <f>=IFERROR(ROUND(CE19/$B152,0),0)</f>
        <v>0</v>
      </c>
      <c r="CF152" s="46">
        <f>=IFERROR(ROUND(CF19/$B152,0),0)</f>
        <v>0</v>
      </c>
      <c r="CG152" s="46">
        <f>=IFERROR(ROUND(CG19/$B152,0),0)</f>
        <v>0</v>
      </c>
      <c r="CH152" s="46">
        <f>=IFERROR(ROUND(CH19/$B152,0),0)</f>
        <v>0</v>
      </c>
      <c r="CI152" s="46">
        <f>=IFERROR(ROUND(CI19/$B152,0),0)</f>
        <v>0</v>
      </c>
      <c r="CJ152" s="46">
        <f>=IFERROR(ROUND(CJ19/$B152,0),0)</f>
        <v>0</v>
      </c>
      <c r="CK152" s="46">
        <f>=IFERROR(ROUND(CK19/$B152,0),0)</f>
        <v>0</v>
      </c>
      <c r="CL152" s="46">
        <f>=IFERROR(ROUND(CL19/$B152,0),0)</f>
        <v>0</v>
      </c>
      <c r="CM152" s="46">
        <f>=IFERROR(ROUND(CM19/$B152,0),0)</f>
        <v>0</v>
      </c>
      <c r="CN152" s="46">
        <f>=IFERROR(ROUND(CN19/$B152,0),0)</f>
        <v>0</v>
      </c>
      <c r="CO152" s="46">
        <f>=IFERROR(ROUND(CO19/$B152,0),0)</f>
        <v>0</v>
      </c>
      <c r="CP152" s="46">
        <f>=IFERROR(ROUND(CP19/$B152,0),0)</f>
        <v>0</v>
      </c>
      <c r="CQ152" s="46">
        <f>=IFERROR(ROUND(CQ19/$B152,0),0)</f>
        <v>0</v>
      </c>
      <c r="CR152" s="46">
        <f>=IFERROR(ROUND(CR19/$B152,0),0)</f>
        <v>0</v>
      </c>
      <c r="CS152" s="46">
        <f>=IFERROR(ROUND(CS19/$B152,0),0)</f>
        <v>0</v>
      </c>
      <c r="CT152" s="73">
        <f>=IFERROR(ROUND(CT19/$B152,0),0)</f>
        <v>0</v>
      </c>
      <c r="CU152" s="46">
        <f>=IFERROR(ROUND(CU19/$B152,0),0)</f>
        <v>0</v>
      </c>
      <c r="CV152" s="46">
        <f>=IFERROR(ROUND(CV19/$B152,0),0)</f>
        <v>0</v>
      </c>
      <c r="CW152" s="73">
        <f>=IFERROR(ROUND(CW19/$B152,0),0)</f>
        <v>0</v>
      </c>
      <c r="CX152" s="73">
        <f>=IFERROR(ROUND(CX19/$B152,0),0)</f>
        <v>0</v>
      </c>
      <c r="CY152" s="46">
        <f>=IFERROR(ROUND(CY19/$B152,0),0)</f>
        <v>0</v>
      </c>
      <c r="CZ152" s="46">
        <f>=IFERROR(ROUND(CZ19/$B152,0),0)</f>
        <v>0</v>
      </c>
      <c r="DA152" s="46">
        <f>=IFERROR(ROUND(DA19/$B152,0),0)</f>
        <v>0</v>
      </c>
      <c r="DB152" s="46">
        <f>=IFERROR(ROUND(DB19/$B152,0),0)</f>
        <v>0</v>
      </c>
    </row>
    <row r="153" spans="1:106" x14ac:dyDescent="0.25">
      <c r="A153" s="17" t="s">
        <v>360</v>
      </c>
      <c r="B153" s="17">
        <v>100</v>
      </c>
      <c r="C153" s="46">
        <f>=IFERROR(ROUND(C10/$B153,0),0)</f>
        <v>0</v>
      </c>
      <c r="D153" s="46">
        <f>=IFERROR(ROUND(D10/$B153,0),0)</f>
        <v>0</v>
      </c>
      <c r="E153" s="46">
        <f>=IFERROR(ROUND(E10/$B153,0),0)</f>
        <v>0</v>
      </c>
      <c r="F153" s="46">
        <f>=IFERROR(ROUND(F10/$B153,0),0)</f>
        <v>0</v>
      </c>
      <c r="G153" s="46">
        <f>=IFERROR(ROUND(G10/$B153,0),0)</f>
        <v>0</v>
      </c>
      <c r="H153" s="46">
        <f>=IFERROR(ROUND(H10/$B153,0),0)</f>
        <v>0</v>
      </c>
      <c r="I153" s="46">
        <f>=IFERROR(ROUND(I10/$B153,0),0)</f>
        <v>0</v>
      </c>
      <c r="J153" s="46">
        <f>=IFERROR(ROUND(J10/$B153,0),0)</f>
        <v>0</v>
      </c>
      <c r="K153" s="46">
        <f>=IFERROR(ROUND(K10/$B153,0),0)</f>
        <v>0</v>
      </c>
      <c r="L153" s="46">
        <f>=IFERROR(ROUND(L10/$B153,0),0)</f>
        <v>0</v>
      </c>
      <c r="M153" s="46">
        <f>=IFERROR(ROUND(M10/$B153,0),0)</f>
        <v>0</v>
      </c>
      <c r="N153" s="46">
        <f>=IFERROR(ROUND(N10/$B153,0),0)</f>
        <v>0</v>
      </c>
      <c r="O153" s="46">
        <f>=IFERROR(ROUND(O10/$B153,0),0)</f>
        <v>0</v>
      </c>
      <c r="P153" s="46">
        <f>=IFERROR(ROUND(P10/$B153,0),0)</f>
        <v>0</v>
      </c>
      <c r="Q153" s="46">
        <f>=IFERROR(ROUND(Q10/$B153,0),0)</f>
        <v>0</v>
      </c>
      <c r="R153" s="46">
        <f>=IFERROR(ROUND(R10/$B153,0),0)</f>
        <v>0</v>
      </c>
      <c r="S153" s="46">
        <f>=IFERROR(ROUND(S10/$B153,0),0)</f>
        <v>0</v>
      </c>
      <c r="T153" s="46">
        <f>=IFERROR(ROUND(T10/$B153,0),0)</f>
        <v>0</v>
      </c>
      <c r="U153" s="46">
        <f>=IFERROR(ROUND(U10/$B153,0),0)</f>
        <v>0</v>
      </c>
      <c r="V153" s="46">
        <f>=IFERROR(ROUND(V10/$B153,0),0)</f>
        <v>0</v>
      </c>
      <c r="W153" s="46">
        <f>=IFERROR(ROUND(W10/$B153,0),0)</f>
        <v>0</v>
      </c>
      <c r="X153" s="46">
        <f>=IFERROR(ROUND(X10/$B153,0),0)</f>
        <v>0</v>
      </c>
      <c r="Y153" s="46">
        <f>=IFERROR(ROUND(Y10/$B153,0),0)</f>
        <v>0</v>
      </c>
      <c r="Z153" s="46">
        <f>=IFERROR(ROUND(Z10/$B153,0),0)</f>
        <v>0</v>
      </c>
      <c r="AA153" s="46">
        <f>=IFERROR(ROUND(AA10/$B153,0),0)</f>
        <v>0</v>
      </c>
      <c r="AB153" s="46">
        <f>=IFERROR(ROUND(AB10/$B153,0),0)</f>
        <v>0</v>
      </c>
      <c r="AC153" s="46">
        <f>=IFERROR(ROUND(AC10/$B153,0),0)</f>
        <v>0</v>
      </c>
      <c r="AD153" s="46">
        <f>=IFERROR(ROUND(AD10/$B153,0),0)</f>
        <v>0</v>
      </c>
      <c r="AE153" s="46">
        <f>=IFERROR(ROUND(AE10/$B153,0),0)</f>
        <v>0</v>
      </c>
      <c r="AF153" s="46">
        <f>=IFERROR(ROUND(AF10/$B153,0),0)</f>
        <v>0</v>
      </c>
      <c r="AG153" s="46">
        <f>=IFERROR(ROUND(AG10/$B153,0),0)</f>
        <v>0</v>
      </c>
      <c r="AH153" s="46">
        <f>=IFERROR(ROUND(AH10/$B153,0),0)</f>
        <v>0</v>
      </c>
      <c r="AI153" s="46">
        <f>=IFERROR(ROUND(AI10/$B153,0),0)</f>
        <v>0</v>
      </c>
      <c r="AJ153" s="46">
        <f>=IFERROR(ROUND(AJ10/$B153,0),0)</f>
        <v>0</v>
      </c>
      <c r="AK153" s="46">
        <f>=IFERROR(ROUND(AK10/$B153,0),0)</f>
        <v>0</v>
      </c>
      <c r="AL153" s="46">
        <f>=IFERROR(ROUND(AL10/$B153,0),0)</f>
        <v>0</v>
      </c>
      <c r="AM153" s="46">
        <f>=IFERROR(ROUND(AM10/$B153,0),0)</f>
        <v>0</v>
      </c>
      <c r="AN153" s="46">
        <f>=IFERROR(ROUND(AN10/$B153,0),0)</f>
        <v>0</v>
      </c>
      <c r="AO153" s="46">
        <f>=IFERROR(ROUND(AO10/$B153,0),0)</f>
        <v>0</v>
      </c>
      <c r="AP153" s="46">
        <f>=IFERROR(ROUND(AP10/$B153,0),0)</f>
        <v>0</v>
      </c>
      <c r="AQ153" s="46">
        <f>=IFERROR(ROUND(AQ10/$B153,0),0)</f>
        <v>0</v>
      </c>
      <c r="AR153" s="46">
        <f>=IFERROR(ROUND(AR10/$B153,0),0)</f>
        <v>0</v>
      </c>
      <c r="AS153" s="46">
        <f>=IFERROR(ROUND(AS10/$B153,0),0)</f>
        <v>0</v>
      </c>
      <c r="AT153" s="46">
        <f>=IFERROR(ROUND(AT10/$B153,0),0)</f>
        <v>0</v>
      </c>
      <c r="AU153" s="46">
        <f>=IFERROR(ROUND(AU10/$B153,0),0)</f>
        <v>0</v>
      </c>
      <c r="AV153" s="46">
        <f>=IFERROR(ROUND(AV10/$B153,0),0)</f>
        <v>0</v>
      </c>
      <c r="AW153" s="46">
        <f>=IFERROR(ROUND(AW10/$B153,0),0)</f>
        <v>0</v>
      </c>
      <c r="AX153" s="46">
        <f>=IFERROR(ROUND(AX10/$B153,0),0)</f>
        <v>0</v>
      </c>
      <c r="AY153" s="46">
        <f>=IFERROR(ROUND(AY10/$B153,0),0)</f>
        <v>0</v>
      </c>
      <c r="AZ153" s="46">
        <f>=IFERROR(ROUND(AZ10/$B153,0),0)</f>
        <v>0</v>
      </c>
      <c r="BA153" s="46">
        <f>=IFERROR(ROUND(BA10/$B153,0),0)</f>
        <v>0</v>
      </c>
      <c r="BB153" s="46">
        <f>=IFERROR(ROUND(BB10/$B153,0),0)</f>
        <v>0</v>
      </c>
      <c r="BC153" s="46">
        <f>=IFERROR(ROUND(BC10/$B153,0),0)</f>
        <v>0</v>
      </c>
      <c r="BD153" s="46">
        <f>=IFERROR(ROUND(BD10/$B153,0),0)</f>
        <v>0</v>
      </c>
      <c r="BE153" s="46">
        <f>=IFERROR(ROUND(BE10/$B153,0),0)</f>
        <v>0</v>
      </c>
      <c r="BF153" s="46">
        <f>=IFERROR(ROUND(BF10/$B153,0),0)</f>
        <v>0</v>
      </c>
      <c r="BG153" s="46">
        <f>=IFERROR(ROUND(BG10/$B153,0),0)</f>
        <v>0</v>
      </c>
      <c r="BH153" s="73">
        <f>=IFERROR(ROUND(BH10/$B153,0),0)</f>
        <v>0</v>
      </c>
      <c r="BI153" s="46">
        <f>=IFERROR(ROUND(BI10/$B153,0),0)</f>
        <v>0</v>
      </c>
      <c r="BJ153" s="46">
        <f>=IFERROR(ROUND(BJ10/$B153,0),0)</f>
        <v>0</v>
      </c>
      <c r="BK153" s="46">
        <f>=IFERROR(ROUND(BK10/$B153,0),0)</f>
        <v>0</v>
      </c>
      <c r="BL153" s="73">
        <f>=IFERROR(ROUND(BL10/$B153,0),0)</f>
        <v>0</v>
      </c>
      <c r="BM153" s="46">
        <f>=IFERROR(ROUND(BM10/$B153,0),0)</f>
        <v>0</v>
      </c>
      <c r="BN153" s="46">
        <f>=IFERROR(ROUND(BN10/$B153,0),0)</f>
        <v>0</v>
      </c>
      <c r="BO153" s="73">
        <f>=IFERROR(ROUND(BO10/$B153,0),0)</f>
        <v>0</v>
      </c>
      <c r="BP153" s="46">
        <f>=IFERROR(ROUND(BP10/$B153,0),0)</f>
        <v>0</v>
      </c>
      <c r="BQ153" s="46">
        <f>=IFERROR(ROUND(BQ10/$B153,0),0)</f>
        <v>0</v>
      </c>
      <c r="BR153" s="46">
        <f>=IFERROR(ROUND(BR10/$B153,0),0)</f>
        <v>0</v>
      </c>
      <c r="BS153" s="46">
        <f>=IFERROR(ROUND(BS10/$B153,0),0)</f>
        <v>0</v>
      </c>
      <c r="BT153" s="46">
        <f>=IFERROR(ROUND(BT10/$B153,0),0)</f>
        <v>0</v>
      </c>
      <c r="BU153" s="46">
        <f>=IFERROR(ROUND(BU10/$B153,0),0)</f>
        <v>0</v>
      </c>
      <c r="BV153" s="46">
        <f>=IFERROR(ROUND(BV10/$B153,0),0)</f>
        <v>0</v>
      </c>
      <c r="BW153" s="46">
        <f>=IFERROR(ROUND(BW10/$B153,0),0)</f>
        <v>0</v>
      </c>
      <c r="BX153" s="46">
        <f>=IFERROR(ROUND(BX10/$B153,0),0)</f>
        <v>0</v>
      </c>
      <c r="BY153" s="46">
        <f>=IFERROR(ROUND(BY10/$B153,0),0)</f>
        <v>0</v>
      </c>
      <c r="BZ153" s="46">
        <f>=IFERROR(ROUND(BZ10/$B153,0),0)</f>
        <v>0</v>
      </c>
      <c r="CA153" s="46">
        <f>=IFERROR(ROUND(CA10/$B153,0),0)</f>
        <v>0</v>
      </c>
      <c r="CB153" s="46">
        <f>=IFERROR(ROUND(CB10/$B153,0),0)</f>
        <v>0</v>
      </c>
      <c r="CC153" s="46">
        <f>=IFERROR(ROUND(CC10/$B153,0),0)</f>
        <v>0</v>
      </c>
      <c r="CD153" s="73">
        <f>=IFERROR(ROUND(CD10/$B153,0),0)</f>
        <v>0</v>
      </c>
      <c r="CE153" s="73">
        <f>=IFERROR(ROUND(CE10/$B153,0),0)</f>
        <v>0</v>
      </c>
      <c r="CF153" s="46">
        <f>=IFERROR(ROUND(CF10/$B153,0),0)</f>
        <v>0</v>
      </c>
      <c r="CG153" s="46">
        <f>=IFERROR(ROUND(CG10/$B153,0),0)</f>
        <v>0</v>
      </c>
      <c r="CH153" s="46">
        <f>=IFERROR(ROUND(CH10/$B153,0),0)</f>
        <v>0</v>
      </c>
      <c r="CI153" s="46">
        <f>=IFERROR(ROUND(CI10/$B153,0),0)</f>
        <v>0</v>
      </c>
      <c r="CJ153" s="46">
        <f>=IFERROR(ROUND(CJ10/$B153,0),0)</f>
        <v>0</v>
      </c>
      <c r="CK153" s="46">
        <f>=IFERROR(ROUND(CK10/$B153,0),0)</f>
        <v>0</v>
      </c>
      <c r="CL153" s="46">
        <f>=IFERROR(ROUND(CL10/$B153,0),0)</f>
        <v>0</v>
      </c>
      <c r="CM153" s="46">
        <f>=IFERROR(ROUND(CM10/$B153,0),0)</f>
        <v>0</v>
      </c>
      <c r="CN153" s="46">
        <f>=IFERROR(ROUND(CN10/$B153,0),0)</f>
        <v>0</v>
      </c>
      <c r="CO153" s="46">
        <f>=IFERROR(ROUND(CO10/$B153,0),0)</f>
        <v>0</v>
      </c>
      <c r="CP153" s="46">
        <f>=IFERROR(ROUND(CP10/$B153,0),0)</f>
        <v>0</v>
      </c>
      <c r="CQ153" s="46">
        <f>=IFERROR(ROUND(CQ10/$B153,0),0)</f>
        <v>0</v>
      </c>
      <c r="CR153" s="46">
        <f>=IFERROR(ROUND(CR10/$B153,0),0)</f>
        <v>0</v>
      </c>
      <c r="CS153" s="46">
        <f>=IFERROR(ROUND(CS10/$B153,0),0)</f>
        <v>0</v>
      </c>
      <c r="CT153" s="46">
        <f>=IFERROR(ROUND(CT10/$B153,0),0)</f>
        <v>0</v>
      </c>
      <c r="CU153" s="46">
        <f>=IFERROR(ROUND(CU10/$B153,0),0)</f>
        <v>0</v>
      </c>
      <c r="CV153" s="46">
        <f>=IFERROR(ROUND(CV10/$B153,0),0)</f>
        <v>0</v>
      </c>
      <c r="CW153" s="73">
        <f>=IFERROR(ROUND(CW10/$B153,0),0)</f>
        <v>0</v>
      </c>
      <c r="CX153" s="46">
        <f>=IFERROR(ROUND(CX10/$B153,0),0)</f>
        <v>0</v>
      </c>
      <c r="CY153" s="46">
        <f>=IFERROR(ROUND(CY10/$B153,0),0)</f>
        <v>0</v>
      </c>
      <c r="CZ153" s="46">
        <f>=IFERROR(ROUND(CZ10/$B153,0),0)</f>
        <v>0</v>
      </c>
      <c r="DA153" s="46">
        <f>=IFERROR(ROUND(DA10/$B153,0),0)</f>
        <v>0</v>
      </c>
      <c r="DB153" s="46">
        <f>=IFERROR(ROUND(DB10/$B153,0),0)</f>
        <v>0</v>
      </c>
    </row>
    <row r="154" spans="1:106" x14ac:dyDescent="0.25">
      <c r="A154" s="17" t="s">
        <v>361</v>
      </c>
      <c r="B154" s="17">
        <v>5</v>
      </c>
      <c r="C154" s="46">
        <f>=IFERROR(ROUND((C21+C22)/$B154,0),0)</f>
        <v>0</v>
      </c>
      <c r="D154" s="46">
        <f>=IFERROR(ROUND((D21+D22)/$B154,0),0)</f>
        <v>0</v>
      </c>
      <c r="E154" s="46">
        <f>=IFERROR(ROUND((E21+E22)/$B154,0),0)</f>
        <v>0</v>
      </c>
      <c r="F154" s="46">
        <f>=IFERROR(ROUND((F21+F22)/$B154,0),0)</f>
        <v>0</v>
      </c>
      <c r="G154" s="46">
        <f>=IFERROR(ROUND((G21+G22)/$B154,0),0)</f>
        <v>0</v>
      </c>
      <c r="H154" s="46">
        <f>=IFERROR(ROUND((H21+H22)/$B154,0),0)</f>
        <v>0</v>
      </c>
      <c r="I154" s="46">
        <f>=IFERROR(ROUND((I21+I22)/$B154,0),0)</f>
        <v>0</v>
      </c>
      <c r="J154" s="46">
        <f>=IFERROR(ROUND((J21+J22)/$B154,0),0)</f>
        <v>0</v>
      </c>
      <c r="K154" s="46">
        <f>=IFERROR(ROUND((K21+K22)/$B154,0),0)</f>
        <v>0</v>
      </c>
      <c r="L154" s="46">
        <f>=IFERROR(ROUND((L21+L22)/$B154,0),0)</f>
        <v>0</v>
      </c>
      <c r="M154" s="46">
        <f>=IFERROR(ROUND((M21+M22)/$B154,0),0)</f>
        <v>0</v>
      </c>
      <c r="N154" s="46">
        <f>=IFERROR(ROUND((N21+N22)/$B154,0),0)</f>
        <v>0</v>
      </c>
      <c r="O154" s="46">
        <f>=IFERROR(ROUND((O21+O22)/$B154,0),0)</f>
        <v>0</v>
      </c>
      <c r="P154" s="46">
        <f>=IFERROR(ROUND((P21+P22)/$B154,0),0)</f>
        <v>0</v>
      </c>
      <c r="Q154" s="46">
        <f>=IFERROR(ROUND((Q21+Q22)/$B154,0),0)</f>
        <v>0</v>
      </c>
      <c r="R154" s="46">
        <f>=IFERROR(ROUND((R21+R22)/$B154,0),0)</f>
        <v>0</v>
      </c>
      <c r="S154" s="46">
        <f>=IFERROR(ROUND((S21+S22)/$B154,0),0)</f>
        <v>0</v>
      </c>
      <c r="T154" s="46">
        <f>=IFERROR(ROUND((T21+T22)/$B154,0),0)</f>
        <v>0</v>
      </c>
      <c r="U154" s="46">
        <f>=IFERROR(ROUND((U21+U22)/$B154,0),0)</f>
        <v>0</v>
      </c>
      <c r="V154" s="46">
        <f>=IFERROR(ROUND((V21+V22)/$B154,0),0)</f>
        <v>0</v>
      </c>
      <c r="W154" s="46">
        <f>=IFERROR(ROUND((W21+W22)/$B154,0),0)</f>
        <v>0</v>
      </c>
      <c r="X154" s="46">
        <f>=IFERROR(ROUND((X21+X22)/$B154,0),0)</f>
        <v>0</v>
      </c>
      <c r="Y154" s="46">
        <f>=IFERROR(ROUND((Y21+Y22)/$B154,0),0)</f>
        <v>0</v>
      </c>
      <c r="Z154" s="46">
        <f>=IFERROR(ROUND((Z21+Z22)/$B154,0),0)</f>
        <v>0</v>
      </c>
      <c r="AA154" s="46">
        <f>=IFERROR(ROUND((AA21+AA22)/$B154,0),0)</f>
        <v>0</v>
      </c>
      <c r="AB154" s="46">
        <f>=IFERROR(ROUND((AB21+AB22)/$B154,0),0)</f>
        <v>0</v>
      </c>
      <c r="AC154" s="46">
        <f>=IFERROR(ROUND((AC21+AC22)/$B154,0),0)</f>
        <v>0</v>
      </c>
      <c r="AD154" s="46">
        <f>=IFERROR(ROUND((AD21+AD22)/$B154,0),0)</f>
        <v>0</v>
      </c>
      <c r="AE154" s="46">
        <f>=IFERROR(ROUND((AE21+AE22)/$B154,0),0)</f>
        <v>0</v>
      </c>
      <c r="AF154" s="46">
        <f>=IFERROR(ROUND((AF21+AF22)/$B154,0),0)</f>
        <v>0</v>
      </c>
      <c r="AG154" s="46">
        <f>=IFERROR(ROUND((AG21+AG22)/$B154,0),0)</f>
        <v>0</v>
      </c>
      <c r="AH154" s="46">
        <f>=IFERROR(ROUND((AH21+AH22)/$B154,0),0)</f>
        <v>0</v>
      </c>
      <c r="AI154" s="46">
        <f>=IFERROR(ROUND((AI21+AI22)/$B154,0),0)</f>
        <v>0</v>
      </c>
      <c r="AJ154" s="46">
        <f>=IFERROR(ROUND((AJ21+AJ22)/$B154,0),0)</f>
        <v>0</v>
      </c>
      <c r="AK154" s="46">
        <f>=IFERROR(ROUND((AK21+AK22)/$B154,0),0)</f>
        <v>0</v>
      </c>
      <c r="AL154" s="46">
        <f>=IFERROR(ROUND((AL21+AL22)/$B154,0),0)</f>
        <v>0</v>
      </c>
      <c r="AM154" s="46">
        <f>=IFERROR(ROUND((AM21+AM22)/$B154,0),0)</f>
        <v>0</v>
      </c>
      <c r="AN154" s="46">
        <f>=IFERROR(ROUND((AN21+AN22)/$B154,0),0)</f>
        <v>0</v>
      </c>
      <c r="AO154" s="46">
        <f>=IFERROR(ROUND((AO21+AO22)/$B154,0),0)</f>
        <v>0</v>
      </c>
      <c r="AP154" s="46">
        <f>=IFERROR(ROUND((AP21+AP22)/$B154,0),0)</f>
        <v>0</v>
      </c>
      <c r="AQ154" s="46">
        <f>=IFERROR(ROUND((AQ21+AQ22)/$B154,0),0)</f>
        <v>0</v>
      </c>
      <c r="AR154" s="46">
        <f>=IFERROR(ROUND((AR21+AR22)/$B154,0),0)</f>
        <v>0</v>
      </c>
      <c r="AS154" s="46">
        <f>=IFERROR(ROUND((AS21+AS22)/$B154,0),0)</f>
        <v>0</v>
      </c>
      <c r="AT154" s="46">
        <f>=IFERROR(ROUND((AT21+AT22)/$B154,0),0)</f>
        <v>0</v>
      </c>
      <c r="AU154" s="46">
        <f>=IFERROR(ROUND((AU21+AU22)/$B154,0),0)</f>
        <v>0</v>
      </c>
      <c r="AV154" s="46">
        <f>=IFERROR(ROUND((AV21+AV22)/$B154,0),0)</f>
        <v>0</v>
      </c>
      <c r="AW154" s="46">
        <f>=IFERROR(ROUND((AW21+AW22)/$B154,0),0)</f>
        <v>0</v>
      </c>
      <c r="AX154" s="46">
        <f>=IFERROR(ROUND((AX21+AX22)/$B154,0),0)</f>
        <v>0</v>
      </c>
      <c r="AY154" s="46">
        <f>=IFERROR(ROUND((AY21+AY22)/$B154,0),0)</f>
        <v>0</v>
      </c>
      <c r="AZ154" s="46">
        <f>=IFERROR(ROUND((AZ21+AZ22)/$B154,0),0)</f>
        <v>0</v>
      </c>
      <c r="BA154" s="46">
        <f>=IFERROR(ROUND((BA21+BA22)/$B154,0),0)</f>
        <v>0</v>
      </c>
      <c r="BB154" s="46">
        <f>=IFERROR(ROUND((BB21+BB22)/$B154,0),0)</f>
        <v>0</v>
      </c>
      <c r="BC154" s="46">
        <f>=IFERROR(ROUND((BC21+BC22)/$B154,0),0)</f>
        <v>0</v>
      </c>
      <c r="BD154" s="46">
        <f>=IFERROR(ROUND((BD21+BD22)/$B154,0),0)</f>
        <v>0</v>
      </c>
      <c r="BE154" s="46">
        <f>=IFERROR(ROUND((BE21+BE22)/$B154,0),0)</f>
        <v>0</v>
      </c>
      <c r="BF154" s="46">
        <f>=IFERROR(ROUND((BF21+BF22)/$B154,0),0)</f>
        <v>0</v>
      </c>
      <c r="BG154" s="46">
        <f>=IFERROR(ROUND((BG21+BG22)/$B154,0),0)</f>
        <v>0</v>
      </c>
      <c r="BH154" s="46">
        <f>=IFERROR(ROUND((BH21+BH22)/$B154,0),0)</f>
        <v>0</v>
      </c>
      <c r="BI154" s="46">
        <f>=IFERROR(ROUND((BI21+BI22)/$B154,0),0)</f>
        <v>0</v>
      </c>
      <c r="BJ154" s="46">
        <f>=IFERROR(ROUND((BJ21+BJ22)/$B154,0),0)</f>
        <v>0</v>
      </c>
      <c r="BK154" s="46">
        <f>=IFERROR(ROUND((BK21+BK22)/$B154,0),0)</f>
        <v>0</v>
      </c>
      <c r="BL154" s="46">
        <f>=IFERROR(ROUND((BL21+BL22)/$B154,0),0)</f>
        <v>0</v>
      </c>
      <c r="BM154" s="46">
        <f>=IFERROR(ROUND((BM21+BM22)/$B154,0),0)</f>
        <v>0</v>
      </c>
      <c r="BN154" s="46">
        <f>=IFERROR(ROUND((BN21+BN22)/$B154,0),0)</f>
        <v>0</v>
      </c>
      <c r="BO154" s="46">
        <f>=IFERROR(ROUND((BO21+BO22)/$B154,0),0)</f>
        <v>0</v>
      </c>
      <c r="BP154" s="46">
        <f>=IFERROR(ROUND((BP21+BP22)/$B154,0),0)</f>
        <v>0</v>
      </c>
      <c r="BQ154" s="46">
        <f>=IFERROR(ROUND((BQ21+BQ22)/$B154,0),0)</f>
        <v>0</v>
      </c>
      <c r="BR154" s="46">
        <f>=IFERROR(ROUND((BR21+BR22)/$B154,0),0)</f>
        <v>0</v>
      </c>
      <c r="BS154" s="46">
        <f>=IFERROR(ROUND((BS21+BS22)/$B154,0),0)</f>
        <v>0</v>
      </c>
      <c r="BT154" s="46">
        <f>=IFERROR(ROUND((BT21+BT22)/$B154,0),0)</f>
        <v>0</v>
      </c>
      <c r="BU154" s="46">
        <f>=IFERROR(ROUND((BU21+BU22)/$B154,0),0)</f>
        <v>0</v>
      </c>
      <c r="BV154" s="46">
        <f>=IFERROR(ROUND((BV21+BV22)/$B154,0),0)</f>
        <v>0</v>
      </c>
      <c r="BW154" s="46">
        <f>=IFERROR(ROUND((BW21+BW22)/$B154,0),0)</f>
        <v>0</v>
      </c>
      <c r="BX154" s="46">
        <f>=IFERROR(ROUND((BX21+BX22)/$B154,0),0)</f>
        <v>0</v>
      </c>
      <c r="BY154" s="46">
        <f>=IFERROR(ROUND((BY21+BY22)/$B154,0),0)</f>
        <v>0</v>
      </c>
      <c r="BZ154" s="46">
        <f>=IFERROR(ROUND((BZ21+BZ22)/$B154,0),0)</f>
        <v>0</v>
      </c>
      <c r="CA154" s="46">
        <f>=IFERROR(ROUND((CA21+CA22)/$B154,0),0)</f>
        <v>0</v>
      </c>
      <c r="CB154" s="46">
        <f>=IFERROR(ROUND((CB21+CB22)/$B154,0),0)</f>
        <v>0</v>
      </c>
      <c r="CC154" s="46">
        <f>=IFERROR(ROUND((CC21+CC22)/$B154,0),0)</f>
        <v>0</v>
      </c>
      <c r="CD154" s="46">
        <f>=IFERROR(ROUND((CD21+CD22)/$B154,0),0)</f>
        <v>0</v>
      </c>
      <c r="CE154" s="46">
        <f>=IFERROR(ROUND((CE21+CE22)/$B154,0),0)</f>
        <v>0</v>
      </c>
      <c r="CF154" s="46">
        <f>=IFERROR(ROUND((CF21+CF22)/$B154,0),0)</f>
        <v>0</v>
      </c>
      <c r="CG154" s="46">
        <f>=IFERROR(ROUND((CG21+CG22)/$B154,0),0)</f>
        <v>0</v>
      </c>
      <c r="CH154" s="46">
        <f>=IFERROR(ROUND((CH21+CH22)/$B154,0),0)</f>
        <v>0</v>
      </c>
      <c r="CI154" s="46">
        <f>=IFERROR(ROUND((CI21+CI22)/$B154,0),0)</f>
        <v>0</v>
      </c>
      <c r="CJ154" s="46">
        <f>=IFERROR(ROUND((CJ21+CJ22)/$B154,0),0)</f>
        <v>0</v>
      </c>
      <c r="CK154" s="46">
        <f>=IFERROR(ROUND((CK21+CK22)/$B154,0),0)</f>
        <v>0</v>
      </c>
      <c r="CL154" s="46">
        <f>=IFERROR(ROUND((CL21+CL22)/$B154,0),0)</f>
        <v>0</v>
      </c>
      <c r="CM154" s="46">
        <f>=IFERROR(ROUND((CM21+CM22)/$B154,0),0)</f>
        <v>0</v>
      </c>
      <c r="CN154" s="46">
        <f>=IFERROR(ROUND((CN21+CN22)/$B154,0),0)</f>
        <v>0</v>
      </c>
      <c r="CO154" s="46">
        <f>=IFERROR(ROUND((CO21+CO22)/$B154,0),0)</f>
        <v>0</v>
      </c>
      <c r="CP154" s="46">
        <f>=IFERROR(ROUND((CP21+CP22)/$B154,0),0)</f>
        <v>0</v>
      </c>
      <c r="CQ154" s="46">
        <f>=IFERROR(ROUND((CQ21+CQ22)/$B154,0),0)</f>
        <v>0</v>
      </c>
      <c r="CR154" s="46">
        <f>=IFERROR(ROUND((CR21+CR22)/$B154,0),0)</f>
        <v>0</v>
      </c>
      <c r="CS154" s="46">
        <f>=IFERROR(ROUND((CS21+CS22)/$B154,0),0)</f>
        <v>0</v>
      </c>
      <c r="CT154" s="46">
        <f>=IFERROR(ROUND((CT21+CT22)/$B154,0),0)</f>
        <v>0</v>
      </c>
      <c r="CU154" s="46">
        <f>=IFERROR(ROUND((CU21+CU22)/$B154,0),0)</f>
        <v>0</v>
      </c>
      <c r="CV154" s="46">
        <f>=IFERROR(ROUND((CV21+CV22)/$B154,0),0)</f>
        <v>0</v>
      </c>
      <c r="CW154" s="46">
        <f>=IFERROR(ROUND((CW21+CW22)/$B154,0),0)</f>
        <v>0</v>
      </c>
      <c r="CX154" s="46">
        <f>=IFERROR(ROUND((CX21+CX22)/$B154,0),0)</f>
        <v>0</v>
      </c>
      <c r="CY154" s="46">
        <f>=IFERROR(ROUND((CY21+CY22)/$B154,0),0)</f>
        <v>0</v>
      </c>
      <c r="CZ154" s="46">
        <f>=IFERROR(ROUND((CZ21+CZ22)/$B154,0),0)</f>
        <v>0</v>
      </c>
      <c r="DA154" s="46">
        <f>=IFERROR(ROUND((DA21+DA22)/$B154,0),0)</f>
        <v>0</v>
      </c>
      <c r="DB154" s="46">
        <f>=IFERROR(ROUND((DB21+DB22)/$B154,0),0)</f>
        <v>0</v>
      </c>
    </row>
    <row r="155" spans="1:106" x14ac:dyDescent="0.25">
      <c r="A155" s="17" t="s">
        <v>362</v>
      </c>
      <c r="B155" s="17">
        <v>15</v>
      </c>
      <c r="C155" s="46">
        <f>=IFERROR(ROUND(C23/$B155,0),0)</f>
        <v>0</v>
      </c>
      <c r="D155" s="46">
        <f>=IFERROR(ROUND(D23/$B155,0),0)</f>
        <v>0</v>
      </c>
      <c r="E155" s="46">
        <f>=IFERROR(ROUND(E23/$B155,0),0)</f>
        <v>0</v>
      </c>
      <c r="F155" s="46">
        <f>=IFERROR(ROUND(F23/$B155,0),0)</f>
        <v>0</v>
      </c>
      <c r="G155" s="46">
        <f>=IFERROR(ROUND(G23/$B155,0),0)</f>
        <v>0</v>
      </c>
      <c r="H155" s="46">
        <f>=IFERROR(ROUND(H23/$B155,0),0)</f>
        <v>0</v>
      </c>
      <c r="I155" s="46">
        <f>=IFERROR(ROUND(I23/$B155,0),0)</f>
        <v>0</v>
      </c>
      <c r="J155" s="46">
        <f>=IFERROR(ROUND(J23/$B155,0),0)</f>
        <v>0</v>
      </c>
      <c r="K155" s="46">
        <f>=IFERROR(ROUND(K23/$B155,0),0)</f>
        <v>0</v>
      </c>
      <c r="L155" s="46">
        <f>=IFERROR(ROUND(L23/$B155,0),0)</f>
        <v>0</v>
      </c>
      <c r="M155" s="46">
        <f>=IFERROR(ROUND(M23/$B155,0),0)</f>
        <v>0</v>
      </c>
      <c r="N155" s="46">
        <f>=IFERROR(ROUND(N23/$B155,0),0)</f>
        <v>0</v>
      </c>
      <c r="O155" s="46">
        <f>=IFERROR(ROUND(O23/$B155,0),0)</f>
        <v>0</v>
      </c>
      <c r="P155" s="46">
        <f>=IFERROR(ROUND(P23/$B155,0),0)</f>
        <v>0</v>
      </c>
      <c r="Q155" s="46">
        <f>=IFERROR(ROUND(Q23/$B155,0),0)</f>
        <v>0</v>
      </c>
      <c r="R155" s="46">
        <f>=IFERROR(ROUND(R23/$B155,0),0)</f>
        <v>0</v>
      </c>
      <c r="S155" s="46">
        <f>=IFERROR(ROUND(S23/$B155,0),0)</f>
        <v>0</v>
      </c>
      <c r="T155" s="46">
        <f>=IFERROR(ROUND(T23/$B155,0),0)</f>
        <v>0</v>
      </c>
      <c r="U155" s="46">
        <f>=IFERROR(ROUND(U23/$B155,0),0)</f>
        <v>0</v>
      </c>
      <c r="V155" s="46">
        <f>=IFERROR(ROUND(V23/$B155,0),0)</f>
        <v>0</v>
      </c>
      <c r="W155" s="46">
        <f>=IFERROR(ROUND(W23/$B155,0),0)</f>
        <v>0</v>
      </c>
      <c r="X155" s="46">
        <f>=IFERROR(ROUND(X23/$B155,0),0)</f>
        <v>0</v>
      </c>
      <c r="Y155" s="46">
        <f>=IFERROR(ROUND(Y23/$B155,0),0)</f>
        <v>0</v>
      </c>
      <c r="Z155" s="46">
        <f>=IFERROR(ROUND(Z23/$B155,0),0)</f>
        <v>0</v>
      </c>
      <c r="AA155" s="46">
        <f>=IFERROR(ROUND(AA23/$B155,0),0)</f>
        <v>0</v>
      </c>
      <c r="AB155" s="46">
        <f>=IFERROR(ROUND(AB23/$B155,0),0)</f>
        <v>0</v>
      </c>
      <c r="AC155" s="46">
        <f>=IFERROR(ROUND(AC23/$B155,0),0)</f>
        <v>0</v>
      </c>
      <c r="AD155" s="46">
        <f>=IFERROR(ROUND(AD23/$B155,0),0)</f>
        <v>0</v>
      </c>
      <c r="AE155" s="46">
        <f>=IFERROR(ROUND(AE23/$B155,0),0)</f>
        <v>0</v>
      </c>
      <c r="AF155" s="46">
        <f>=IFERROR(ROUND(AF23/$B155,0),0)</f>
        <v>0</v>
      </c>
      <c r="AG155" s="46">
        <f>=IFERROR(ROUND(AG23/$B155,0),0)</f>
        <v>0</v>
      </c>
      <c r="AH155" s="46">
        <f>=IFERROR(ROUND(AH23/$B155,0),0)</f>
        <v>0</v>
      </c>
      <c r="AI155" s="46">
        <f>=IFERROR(ROUND(AI23/$B155,0),0)</f>
        <v>0</v>
      </c>
      <c r="AJ155" s="46">
        <f>=IFERROR(ROUND(AJ23/$B155,0),0)</f>
        <v>0</v>
      </c>
      <c r="AK155" s="46">
        <f>=IFERROR(ROUND(AK23/$B155,0),0)</f>
        <v>0</v>
      </c>
      <c r="AL155" s="46">
        <f>=IFERROR(ROUND(AL23/$B155,0),0)</f>
        <v>0</v>
      </c>
      <c r="AM155" s="46">
        <f>=IFERROR(ROUND(AM23/$B155,0),0)</f>
        <v>0</v>
      </c>
      <c r="AN155" s="46">
        <f>=IFERROR(ROUND(AN23/$B155,0),0)</f>
        <v>0</v>
      </c>
      <c r="AO155" s="46">
        <f>=IFERROR(ROUND(AO23/$B155,0),0)</f>
        <v>0</v>
      </c>
      <c r="AP155" s="46">
        <f>=IFERROR(ROUND(AP23/$B155,0),0)</f>
        <v>0</v>
      </c>
      <c r="AQ155" s="46">
        <f>=IFERROR(ROUND(AQ23/$B155,0),0)</f>
        <v>0</v>
      </c>
      <c r="AR155" s="46">
        <f>=IFERROR(ROUND(AR23/$B155,0),0)</f>
        <v>0</v>
      </c>
      <c r="AS155" s="46">
        <f>=IFERROR(ROUND(AS23/$B155,0),0)</f>
        <v>0</v>
      </c>
      <c r="AT155" s="46">
        <f>=IFERROR(ROUND(AT23/$B155,0),0)</f>
        <v>0</v>
      </c>
      <c r="AU155" s="46">
        <f>=IFERROR(ROUND(AU23/$B155,0),0)</f>
        <v>0</v>
      </c>
      <c r="AV155" s="46">
        <f>=IFERROR(ROUND(AV23/$B155,0),0)</f>
        <v>0</v>
      </c>
      <c r="AW155" s="46">
        <f>=IFERROR(ROUND(AW23/$B155,0),0)</f>
        <v>0</v>
      </c>
      <c r="AX155" s="46">
        <f>=IFERROR(ROUND(AX23/$B155,0),0)</f>
        <v>0</v>
      </c>
      <c r="AY155" s="46">
        <f>=IFERROR(ROUND(AY23/$B155,0),0)</f>
        <v>0</v>
      </c>
      <c r="AZ155" s="46">
        <f>=IFERROR(ROUND(AZ23/$B155,0),0)</f>
        <v>0</v>
      </c>
      <c r="BA155" s="46">
        <f>=IFERROR(ROUND(BA23/$B155,0),0)</f>
        <v>0</v>
      </c>
      <c r="BB155" s="46">
        <f>=IFERROR(ROUND(BB23/$B155,0),0)</f>
        <v>0</v>
      </c>
      <c r="BC155" s="46">
        <f>=IFERROR(ROUND(BC23/$B155,0),0)</f>
        <v>0</v>
      </c>
      <c r="BD155" s="46">
        <f>=IFERROR(ROUND(BD23/$B155,0),0)</f>
        <v>0</v>
      </c>
      <c r="BE155" s="46">
        <f>=IFERROR(ROUND(BE23/$B155,0),0)</f>
        <v>0</v>
      </c>
      <c r="BF155" s="46">
        <f>=IFERROR(ROUND(BF23/$B155,0),0)</f>
        <v>0</v>
      </c>
      <c r="BG155" s="46">
        <f>=IFERROR(ROUND(BG23/$B155,0),0)</f>
        <v>0</v>
      </c>
      <c r="BH155" s="46">
        <f>=IFERROR(ROUND(BH23/$B155,0),0)</f>
        <v>0</v>
      </c>
      <c r="BI155" s="46">
        <f>=IFERROR(ROUND(BI23/$B155,0),0)</f>
        <v>0</v>
      </c>
      <c r="BJ155" s="46">
        <f>=IFERROR(ROUND(BJ23/$B155,0),0)</f>
        <v>0</v>
      </c>
      <c r="BK155" s="46">
        <f>=IFERROR(ROUND(BK23/$B155,0),0)</f>
        <v>0</v>
      </c>
      <c r="BL155" s="46">
        <f>=IFERROR(ROUND(BL23/$B155,0),0)</f>
        <v>0</v>
      </c>
      <c r="BM155" s="46">
        <f>=IFERROR(ROUND(BM23/$B155,0),0)</f>
        <v>0</v>
      </c>
      <c r="BN155" s="46">
        <f>=IFERROR(ROUND(BN23/$B155,0),0)</f>
        <v>0</v>
      </c>
      <c r="BO155" s="46">
        <f>=IFERROR(ROUND(BO23/$B155,0),0)</f>
        <v>0</v>
      </c>
      <c r="BP155" s="46">
        <f>=IFERROR(ROUND(BP23/$B155,0),0)</f>
        <v>0</v>
      </c>
      <c r="BQ155" s="46">
        <f>=IFERROR(ROUND(BQ23/$B155,0),0)</f>
        <v>0</v>
      </c>
      <c r="BR155" s="46">
        <f>=IFERROR(ROUND(BR23/$B155,0),0)</f>
        <v>0</v>
      </c>
      <c r="BS155" s="46">
        <f>=IFERROR(ROUND(BS23/$B155,0),0)</f>
        <v>0</v>
      </c>
      <c r="BT155" s="46">
        <f>=IFERROR(ROUND(BT23/$B155,0),0)</f>
        <v>0</v>
      </c>
      <c r="BU155" s="46">
        <f>=IFERROR(ROUND(BU23/$B155,0),0)</f>
        <v>0</v>
      </c>
      <c r="BV155" s="46">
        <f>=IFERROR(ROUND(BV23/$B155,0),0)</f>
        <v>0</v>
      </c>
      <c r="BW155" s="46">
        <f>=IFERROR(ROUND(BW23/$B155,0),0)</f>
        <v>0</v>
      </c>
      <c r="BX155" s="46">
        <f>=IFERROR(ROUND(BX23/$B155,0),0)</f>
        <v>0</v>
      </c>
      <c r="BY155" s="46">
        <f>=IFERROR(ROUND(BY23/$B155,0),0)</f>
        <v>0</v>
      </c>
      <c r="BZ155" s="46">
        <f>=IFERROR(ROUND(BZ23/$B155,0),0)</f>
        <v>0</v>
      </c>
      <c r="CA155" s="46">
        <f>=IFERROR(ROUND(CA23/$B155,0),0)</f>
        <v>0</v>
      </c>
      <c r="CB155" s="46">
        <f>=IFERROR(ROUND(CB23/$B155,0),0)</f>
        <v>0</v>
      </c>
      <c r="CC155" s="46">
        <f>=IFERROR(ROUND(CC23/$B155,0),0)</f>
        <v>0</v>
      </c>
      <c r="CD155" s="46">
        <f>=IFERROR(ROUND(CD23/$B155,0),0)</f>
        <v>0</v>
      </c>
      <c r="CE155" s="46">
        <f>=IFERROR(ROUND(CE23/$B155,0),0)</f>
        <v>0</v>
      </c>
      <c r="CF155" s="46">
        <f>=IFERROR(ROUND(CF23/$B155,0),0)</f>
        <v>0</v>
      </c>
      <c r="CG155" s="46">
        <f>=IFERROR(ROUND(CG23/$B155,0),0)</f>
        <v>0</v>
      </c>
      <c r="CH155" s="46">
        <f>=IFERROR(ROUND(CH23/$B155,0),0)</f>
        <v>0</v>
      </c>
      <c r="CI155" s="46">
        <f>=IFERROR(ROUND(CI23/$B155,0),0)</f>
        <v>0</v>
      </c>
      <c r="CJ155" s="46">
        <f>=IFERROR(ROUND(CJ23/$B155,0),0)</f>
        <v>0</v>
      </c>
      <c r="CK155" s="46">
        <f>=IFERROR(ROUND(CK23/$B155,0),0)</f>
        <v>0</v>
      </c>
      <c r="CL155" s="46">
        <f>=IFERROR(ROUND(CL23/$B155,0),0)</f>
        <v>0</v>
      </c>
      <c r="CM155" s="46">
        <f>=IFERROR(ROUND(CM23/$B155,0),0)</f>
        <v>0</v>
      </c>
      <c r="CN155" s="46">
        <f>=IFERROR(ROUND(CN23/$B155,0),0)</f>
        <v>0</v>
      </c>
      <c r="CO155" s="46">
        <f>=IFERROR(ROUND(CO23/$B155,0),0)</f>
        <v>0</v>
      </c>
      <c r="CP155" s="46">
        <f>=IFERROR(ROUND(CP23/$B155,0),0)</f>
        <v>0</v>
      </c>
      <c r="CQ155" s="46">
        <f>=IFERROR(ROUND(CQ23/$B155,0),0)</f>
        <v>0</v>
      </c>
      <c r="CR155" s="46">
        <f>=IFERROR(ROUND(CR23/$B155,0),0)</f>
        <v>0</v>
      </c>
      <c r="CS155" s="46">
        <f>=IFERROR(ROUND(CS23/$B155,0),0)</f>
        <v>0</v>
      </c>
      <c r="CT155" s="46">
        <f>=IFERROR(ROUND(CT23/$B155,0),0)</f>
        <v>0</v>
      </c>
      <c r="CU155" s="46">
        <f>=IFERROR(ROUND(CU23/$B155,0),0)</f>
        <v>0</v>
      </c>
      <c r="CV155" s="46">
        <f>=IFERROR(ROUND(CV23/$B155,0),0)</f>
        <v>0</v>
      </c>
      <c r="CW155" s="46">
        <f>=IFERROR(ROUND(CW23/$B155,0),0)</f>
        <v>0</v>
      </c>
      <c r="CX155" s="46">
        <f>=IFERROR(ROUND(CX23/$B155,0),0)</f>
        <v>0</v>
      </c>
      <c r="CY155" s="46">
        <f>=IFERROR(ROUND(CY23/$B155,0),0)</f>
        <v>0</v>
      </c>
      <c r="CZ155" s="46">
        <f>=IFERROR(ROUND(CZ23/$B155,0),0)</f>
        <v>0</v>
      </c>
      <c r="DA155" s="46">
        <f>=IFERROR(ROUND(DA23/$B155,0),0)</f>
        <v>0</v>
      </c>
      <c r="DB155" s="46">
        <f>=IFERROR(ROUND(DB23/$B155,0),0)</f>
        <v>0</v>
      </c>
    </row>
    <row r="156" spans="1:106" x14ac:dyDescent="0.25">
      <c r="A156" s="17" t="s">
        <v>363</v>
      </c>
      <c r="B156" s="17">
        <v>15</v>
      </c>
      <c r="C156" s="46">
        <f>=IFERROR(ROUND(C24/$B156,0),0)</f>
        <v>0</v>
      </c>
      <c r="D156" s="46">
        <f>=IFERROR(ROUND(D24/$B156,0),0)</f>
        <v>0</v>
      </c>
      <c r="E156" s="46">
        <f>=IFERROR(ROUND(E24/$B156,0),0)</f>
        <v>0</v>
      </c>
      <c r="F156" s="46">
        <f>=IFERROR(ROUND(F24/$B156,0),0)</f>
        <v>0</v>
      </c>
      <c r="G156" s="46">
        <f>=IFERROR(ROUND(G24/$B156,0),0)</f>
        <v>0</v>
      </c>
      <c r="H156" s="46">
        <f>=IFERROR(ROUND(H24/$B156,0),0)</f>
        <v>0</v>
      </c>
      <c r="I156" s="46">
        <f>=IFERROR(ROUND(I24/$B156,0),0)</f>
        <v>0</v>
      </c>
      <c r="J156" s="46">
        <f>=IFERROR(ROUND(J24/$B156,0),0)</f>
        <v>0</v>
      </c>
      <c r="K156" s="46">
        <f>=IFERROR(ROUND(K24/$B156,0),0)</f>
        <v>0</v>
      </c>
      <c r="L156" s="46">
        <f>=IFERROR(ROUND(L24/$B156,0),0)</f>
        <v>0</v>
      </c>
      <c r="M156" s="46">
        <f>=IFERROR(ROUND(M24/$B156,0),0)</f>
        <v>0</v>
      </c>
      <c r="N156" s="46">
        <f>=IFERROR(ROUND(N24/$B156,0),0)</f>
        <v>0</v>
      </c>
      <c r="O156" s="46">
        <f>=IFERROR(ROUND(O24/$B156,0),0)</f>
        <v>0</v>
      </c>
      <c r="P156" s="46">
        <f>=IFERROR(ROUND(P24/$B156,0),0)</f>
        <v>0</v>
      </c>
      <c r="Q156" s="46">
        <f>=IFERROR(ROUND(Q24/$B156,0),0)</f>
        <v>0</v>
      </c>
      <c r="R156" s="46">
        <f>=IFERROR(ROUND(R24/$B156,0),0)</f>
        <v>0</v>
      </c>
      <c r="S156" s="46">
        <f>=IFERROR(ROUND(S24/$B156,0),0)</f>
        <v>0</v>
      </c>
      <c r="T156" s="46">
        <f>=IFERROR(ROUND(T24/$B156,0),0)</f>
        <v>0</v>
      </c>
      <c r="U156" s="46">
        <f>=IFERROR(ROUND(U24/$B156,0),0)</f>
        <v>0</v>
      </c>
      <c r="V156" s="46">
        <f>=IFERROR(ROUND(V24/$B156,0),0)</f>
        <v>0</v>
      </c>
      <c r="W156" s="46">
        <f>=IFERROR(ROUND(W24/$B156,0),0)</f>
        <v>0</v>
      </c>
      <c r="X156" s="46">
        <f>=IFERROR(ROUND(X24/$B156,0),0)</f>
        <v>0</v>
      </c>
      <c r="Y156" s="46">
        <f>=IFERROR(ROUND(Y24/$B156,0),0)</f>
        <v>0</v>
      </c>
      <c r="Z156" s="46">
        <f>=IFERROR(ROUND(Z24/$B156,0),0)</f>
        <v>0</v>
      </c>
      <c r="AA156" s="46">
        <f>=IFERROR(ROUND(AA24/$B156,0),0)</f>
        <v>0</v>
      </c>
      <c r="AB156" s="46">
        <f>=IFERROR(ROUND(AB24/$B156,0),0)</f>
        <v>0</v>
      </c>
      <c r="AC156" s="46">
        <f>=IFERROR(ROUND(AC24/$B156,0),0)</f>
        <v>0</v>
      </c>
      <c r="AD156" s="46">
        <f>=IFERROR(ROUND(AD24/$B156,0),0)</f>
        <v>0</v>
      </c>
      <c r="AE156" s="46">
        <f>=IFERROR(ROUND(AE24/$B156,0),0)</f>
        <v>0</v>
      </c>
      <c r="AF156" s="46">
        <f>=IFERROR(ROUND(AF24/$B156,0),0)</f>
        <v>0</v>
      </c>
      <c r="AG156" s="46">
        <f>=IFERROR(ROUND(AG24/$B156,0),0)</f>
        <v>0</v>
      </c>
      <c r="AH156" s="46">
        <f>=IFERROR(ROUND(AH24/$B156,0),0)</f>
        <v>0</v>
      </c>
      <c r="AI156" s="46">
        <f>=IFERROR(ROUND(AI24/$B156,0),0)</f>
        <v>0</v>
      </c>
      <c r="AJ156" s="46">
        <f>=IFERROR(ROUND(AJ24/$B156,0),0)</f>
        <v>0</v>
      </c>
      <c r="AK156" s="46">
        <f>=IFERROR(ROUND(AK24/$B156,0),0)</f>
        <v>0</v>
      </c>
      <c r="AL156" s="46">
        <f>=IFERROR(ROUND(AL24/$B156,0),0)</f>
        <v>0</v>
      </c>
      <c r="AM156" s="46">
        <f>=IFERROR(ROUND(AM24/$B156,0),0)</f>
        <v>0</v>
      </c>
      <c r="AN156" s="46">
        <f>=IFERROR(ROUND(AN24/$B156,0),0)</f>
        <v>0</v>
      </c>
      <c r="AO156" s="46">
        <f>=IFERROR(ROUND(AO24/$B156,0),0)</f>
        <v>0</v>
      </c>
      <c r="AP156" s="46">
        <f>=IFERROR(ROUND(AP24/$B156,0),0)</f>
        <v>0</v>
      </c>
      <c r="AQ156" s="46">
        <f>=IFERROR(ROUND(AQ24/$B156,0),0)</f>
        <v>0</v>
      </c>
      <c r="AR156" s="46">
        <f>=IFERROR(ROUND(AR24/$B156,0),0)</f>
        <v>0</v>
      </c>
      <c r="AS156" s="46">
        <f>=IFERROR(ROUND(AS24/$B156,0),0)</f>
        <v>0</v>
      </c>
      <c r="AT156" s="46">
        <f>=IFERROR(ROUND(AT24/$B156,0),0)</f>
        <v>0</v>
      </c>
      <c r="AU156" s="46">
        <f>=IFERROR(ROUND(AU24/$B156,0),0)</f>
        <v>0</v>
      </c>
      <c r="AV156" s="46">
        <f>=IFERROR(ROUND(AV24/$B156,0),0)</f>
        <v>0</v>
      </c>
      <c r="AW156" s="46">
        <f>=IFERROR(ROUND(AW24/$B156,0),0)</f>
        <v>0</v>
      </c>
      <c r="AX156" s="46">
        <f>=IFERROR(ROUND(AX24/$B156,0),0)</f>
        <v>0</v>
      </c>
      <c r="AY156" s="46">
        <f>=IFERROR(ROUND(AY24/$B156,0),0)</f>
        <v>0</v>
      </c>
      <c r="AZ156" s="46">
        <f>=IFERROR(ROUND(AZ24/$B156,0),0)</f>
        <v>0</v>
      </c>
      <c r="BA156" s="46">
        <f>=IFERROR(ROUND(BA24/$B156,0),0)</f>
        <v>0</v>
      </c>
      <c r="BB156" s="46">
        <f>=IFERROR(ROUND(BB24/$B156,0),0)</f>
        <v>0</v>
      </c>
      <c r="BC156" s="46">
        <f>=IFERROR(ROUND(BC24/$B156,0),0)</f>
        <v>0</v>
      </c>
      <c r="BD156" s="46">
        <f>=IFERROR(ROUND(BD24/$B156,0),0)</f>
        <v>0</v>
      </c>
      <c r="BE156" s="46">
        <f>=IFERROR(ROUND(BE24/$B156,0),0)</f>
        <v>0</v>
      </c>
      <c r="BF156" s="46">
        <f>=IFERROR(ROUND(BF24/$B156,0),0)</f>
        <v>0</v>
      </c>
      <c r="BG156" s="46">
        <f>=IFERROR(ROUND(BG24/$B156,0),0)</f>
        <v>0</v>
      </c>
      <c r="BH156" s="46">
        <f>=IFERROR(ROUND(BH24/$B156,0),0)</f>
        <v>0</v>
      </c>
      <c r="BI156" s="46">
        <f>=IFERROR(ROUND(BI24/$B156,0),0)</f>
        <v>0</v>
      </c>
      <c r="BJ156" s="46">
        <f>=IFERROR(ROUND(BJ24/$B156,0),0)</f>
        <v>0</v>
      </c>
      <c r="BK156" s="46">
        <f>=IFERROR(ROUND(BK24/$B156,0),0)</f>
        <v>0</v>
      </c>
      <c r="BL156" s="46">
        <f>=IFERROR(ROUND(BL24/$B156,0),0)</f>
        <v>0</v>
      </c>
      <c r="BM156" s="46">
        <f>=IFERROR(ROUND(BM24/$B156,0),0)</f>
        <v>0</v>
      </c>
      <c r="BN156" s="46">
        <f>=IFERROR(ROUND(BN24/$B156,0),0)</f>
        <v>0</v>
      </c>
      <c r="BO156" s="46">
        <f>=IFERROR(ROUND(BO24/$B156,0),0)</f>
        <v>0</v>
      </c>
      <c r="BP156" s="46">
        <f>=IFERROR(ROUND(BP24/$B156,0),0)</f>
        <v>0</v>
      </c>
      <c r="BQ156" s="46">
        <f>=IFERROR(ROUND(BQ24/$B156,0),0)</f>
        <v>0</v>
      </c>
      <c r="BR156" s="46">
        <f>=IFERROR(ROUND(BR24/$B156,0),0)</f>
        <v>0</v>
      </c>
      <c r="BS156" s="46">
        <f>=IFERROR(ROUND(BS24/$B156,0),0)</f>
        <v>0</v>
      </c>
      <c r="BT156" s="46">
        <f>=IFERROR(ROUND(BT24/$B156,0),0)</f>
        <v>0</v>
      </c>
      <c r="BU156" s="46">
        <f>=IFERROR(ROUND(BU24/$B156,0),0)</f>
        <v>0</v>
      </c>
      <c r="BV156" s="46">
        <f>=IFERROR(ROUND(BV24/$B156,0),0)</f>
        <v>0</v>
      </c>
      <c r="BW156" s="46">
        <f>=IFERROR(ROUND(BW24/$B156,0),0)</f>
        <v>0</v>
      </c>
      <c r="BX156" s="46">
        <f>=IFERROR(ROUND(BX24/$B156,0),0)</f>
        <v>0</v>
      </c>
      <c r="BY156" s="46">
        <f>=IFERROR(ROUND(BY24/$B156,0),0)</f>
        <v>0</v>
      </c>
      <c r="BZ156" s="46">
        <f>=IFERROR(ROUND(BZ24/$B156,0),0)</f>
        <v>0</v>
      </c>
      <c r="CA156" s="46">
        <f>=IFERROR(ROUND(CA24/$B156,0),0)</f>
        <v>0</v>
      </c>
      <c r="CB156" s="46">
        <f>=IFERROR(ROUND(CB24/$B156,0),0)</f>
        <v>0</v>
      </c>
      <c r="CC156" s="46">
        <f>=IFERROR(ROUND(CC24/$B156,0),0)</f>
        <v>0</v>
      </c>
      <c r="CD156" s="46">
        <f>=IFERROR(ROUND(CD24/$B156,0),0)</f>
        <v>0</v>
      </c>
      <c r="CE156" s="46">
        <f>=IFERROR(ROUND(CE24/$B156,0),0)</f>
        <v>0</v>
      </c>
      <c r="CF156" s="46">
        <f>=IFERROR(ROUND(CF24/$B156,0),0)</f>
        <v>0</v>
      </c>
      <c r="CG156" s="46">
        <f>=IFERROR(ROUND(CG24/$B156,0),0)</f>
        <v>0</v>
      </c>
      <c r="CH156" s="46">
        <f>=IFERROR(ROUND(CH24/$B156,0),0)</f>
        <v>0</v>
      </c>
      <c r="CI156" s="46">
        <f>=IFERROR(ROUND(CI24/$B156,0),0)</f>
        <v>0</v>
      </c>
      <c r="CJ156" s="46">
        <f>=IFERROR(ROUND(CJ24/$B156,0),0)</f>
        <v>0</v>
      </c>
      <c r="CK156" s="46">
        <f>=IFERROR(ROUND(CK24/$B156,0),0)</f>
        <v>0</v>
      </c>
      <c r="CL156" s="46">
        <f>=IFERROR(ROUND(CL24/$B156,0),0)</f>
        <v>0</v>
      </c>
      <c r="CM156" s="46">
        <f>=IFERROR(ROUND(CM24/$B156,0),0)</f>
        <v>0</v>
      </c>
      <c r="CN156" s="46">
        <f>=IFERROR(ROUND(CN24/$B156,0),0)</f>
        <v>0</v>
      </c>
      <c r="CO156" s="46">
        <f>=IFERROR(ROUND(CO24/$B156,0),0)</f>
        <v>0</v>
      </c>
      <c r="CP156" s="46">
        <f>=IFERROR(ROUND(CP24/$B156,0),0)</f>
        <v>0</v>
      </c>
      <c r="CQ156" s="46">
        <f>=IFERROR(ROUND(CQ24/$B156,0),0)</f>
        <v>0</v>
      </c>
      <c r="CR156" s="46">
        <f>=IFERROR(ROUND(CR24/$B156,0),0)</f>
        <v>0</v>
      </c>
      <c r="CS156" s="46">
        <f>=IFERROR(ROUND(CS24/$B156,0),0)</f>
        <v>0</v>
      </c>
      <c r="CT156" s="46">
        <f>=IFERROR(ROUND(CT24/$B156,0),0)</f>
        <v>0</v>
      </c>
      <c r="CU156" s="46">
        <f>=IFERROR(ROUND(CU24/$B156,0),0)</f>
        <v>0</v>
      </c>
      <c r="CV156" s="46">
        <f>=IFERROR(ROUND(CV24/$B156,0),0)</f>
        <v>0</v>
      </c>
      <c r="CW156" s="46">
        <f>=IFERROR(ROUND(CW24/$B156,0),0)</f>
        <v>0</v>
      </c>
      <c r="CX156" s="46">
        <f>=IFERROR(ROUND(CX24/$B156,0),0)</f>
        <v>0</v>
      </c>
      <c r="CY156" s="46">
        <f>=IFERROR(ROUND(CY24/$B156,0),0)</f>
        <v>0</v>
      </c>
      <c r="CZ156" s="46">
        <f>=IFERROR(ROUND(CZ24/$B156,0),0)</f>
        <v>0</v>
      </c>
      <c r="DA156" s="46">
        <f>=IFERROR(ROUND(DA24/$B156,0),0)</f>
        <v>0</v>
      </c>
      <c r="DB156" s="46">
        <f>=IFERROR(ROUND(DB24/$B156,0),0)</f>
        <v>0</v>
      </c>
    </row>
    <row r="157" spans="1:106" x14ac:dyDescent="0.25">
      <c r="A157" s="17" t="s">
        <v>364</v>
      </c>
      <c r="B157" s="17">
        <v>30</v>
      </c>
      <c r="C157" s="46">
        <f>=IFERROR(ROUND(C23/$B157,0),0)</f>
        <v>0</v>
      </c>
      <c r="D157" s="46">
        <f>=IFERROR(ROUND(D23/$B157,0),0)</f>
        <v>0</v>
      </c>
      <c r="E157" s="46">
        <f>=IFERROR(ROUND(E23/$B157,0),0)</f>
        <v>0</v>
      </c>
      <c r="F157" s="46">
        <f>=IFERROR(ROUND(F23/$B157,0),0)</f>
        <v>0</v>
      </c>
      <c r="G157" s="46">
        <f>=IFERROR(ROUND(G23/$B157,0),0)</f>
        <v>0</v>
      </c>
      <c r="H157" s="46">
        <f>=IFERROR(ROUND(H23/$B157,0),0)</f>
        <v>0</v>
      </c>
      <c r="I157" s="46">
        <f>=IFERROR(ROUND(I23/$B157,0),0)</f>
        <v>0</v>
      </c>
      <c r="J157" s="46">
        <f>=IFERROR(ROUND(J23/$B157,0),0)</f>
        <v>0</v>
      </c>
      <c r="K157" s="46">
        <f>=IFERROR(ROUND(K23/$B157,0),0)</f>
        <v>0</v>
      </c>
      <c r="L157" s="46">
        <f>=IFERROR(ROUND(L23/$B157,0),0)</f>
        <v>0</v>
      </c>
      <c r="M157" s="46">
        <f>=IFERROR(ROUND(M23/$B157,0),0)</f>
        <v>0</v>
      </c>
      <c r="N157" s="46">
        <f>=IFERROR(ROUND(N23/$B157,0),0)</f>
        <v>0</v>
      </c>
      <c r="O157" s="46">
        <f>=IFERROR(ROUND(O23/$B157,0),0)</f>
        <v>0</v>
      </c>
      <c r="P157" s="46">
        <f>=IFERROR(ROUND(P23/$B157,0),0)</f>
        <v>0</v>
      </c>
      <c r="Q157" s="46">
        <f>=IFERROR(ROUND(Q23/$B157,0),0)</f>
        <v>0</v>
      </c>
      <c r="R157" s="46">
        <f>=IFERROR(ROUND(R23/$B157,0),0)</f>
        <v>0</v>
      </c>
      <c r="S157" s="46">
        <f>=IFERROR(ROUND(S23/$B157,0),0)</f>
        <v>0</v>
      </c>
      <c r="T157" s="46">
        <f>=IFERROR(ROUND(T23/$B157,0),0)</f>
        <v>0</v>
      </c>
      <c r="U157" s="46">
        <f>=IFERROR(ROUND(U23/$B157,0),0)</f>
        <v>0</v>
      </c>
      <c r="V157" s="46">
        <f>=IFERROR(ROUND(V23/$B157,0),0)</f>
        <v>0</v>
      </c>
      <c r="W157" s="46">
        <f>=IFERROR(ROUND(W23/$B157,0),0)</f>
        <v>0</v>
      </c>
      <c r="X157" s="46">
        <f>=IFERROR(ROUND(X23/$B157,0),0)</f>
        <v>0</v>
      </c>
      <c r="Y157" s="46">
        <f>=IFERROR(ROUND(Y23/$B157,0),0)</f>
        <v>0</v>
      </c>
      <c r="Z157" s="46">
        <f>=IFERROR(ROUND(Z23/$B157,0),0)</f>
        <v>0</v>
      </c>
      <c r="AA157" s="46">
        <f>=IFERROR(ROUND(AA23/$B157,0),0)</f>
        <v>0</v>
      </c>
      <c r="AB157" s="46">
        <f>=IFERROR(ROUND(AB23/$B157,0),0)</f>
        <v>0</v>
      </c>
      <c r="AC157" s="46">
        <f>=IFERROR(ROUND(AC23/$B157,0),0)</f>
        <v>0</v>
      </c>
      <c r="AD157" s="46">
        <f>=IFERROR(ROUND(AD23/$B157,0),0)</f>
        <v>0</v>
      </c>
      <c r="AE157" s="46">
        <f>=IFERROR(ROUND(AE23/$B157,0),0)</f>
        <v>0</v>
      </c>
      <c r="AF157" s="46">
        <f>=IFERROR(ROUND(AF23/$B157,0),0)</f>
        <v>0</v>
      </c>
      <c r="AG157" s="46">
        <f>=IFERROR(ROUND(AG23/$B157,0),0)</f>
        <v>0</v>
      </c>
      <c r="AH157" s="46">
        <f>=IFERROR(ROUND(AH23/$B157,0),0)</f>
        <v>0</v>
      </c>
      <c r="AI157" s="46">
        <f>=IFERROR(ROUND(AI23/$B157,0),0)</f>
        <v>0</v>
      </c>
      <c r="AJ157" s="46">
        <f>=IFERROR(ROUND(AJ23/$B157,0),0)</f>
        <v>0</v>
      </c>
      <c r="AK157" s="46">
        <f>=IFERROR(ROUND(AK23/$B157,0),0)</f>
        <v>0</v>
      </c>
      <c r="AL157" s="46">
        <f>=IFERROR(ROUND(AL23/$B157,0),0)</f>
        <v>0</v>
      </c>
      <c r="AM157" s="46">
        <f>=IFERROR(ROUND(AM23/$B157,0),0)</f>
        <v>0</v>
      </c>
      <c r="AN157" s="46">
        <f>=IFERROR(ROUND(AN23/$B157,0),0)</f>
        <v>0</v>
      </c>
      <c r="AO157" s="46">
        <f>=IFERROR(ROUND(AO23/$B157,0),0)</f>
        <v>0</v>
      </c>
      <c r="AP157" s="46">
        <f>=IFERROR(ROUND(AP23/$B157,0),0)</f>
        <v>0</v>
      </c>
      <c r="AQ157" s="46">
        <f>=IFERROR(ROUND(AQ23/$B157,0),0)</f>
        <v>0</v>
      </c>
      <c r="AR157" s="46">
        <f>=IFERROR(ROUND(AR23/$B157,0),0)</f>
        <v>0</v>
      </c>
      <c r="AS157" s="46">
        <f>=IFERROR(ROUND(AS23/$B157,0),0)</f>
        <v>0</v>
      </c>
      <c r="AT157" s="46">
        <f>=IFERROR(ROUND(AT23/$B157,0),0)</f>
        <v>0</v>
      </c>
      <c r="AU157" s="46">
        <f>=IFERROR(ROUND(AU23/$B157,0),0)</f>
        <v>0</v>
      </c>
      <c r="AV157" s="46">
        <f>=IFERROR(ROUND(AV23/$B157,0),0)</f>
        <v>0</v>
      </c>
      <c r="AW157" s="46">
        <f>=IFERROR(ROUND(AW23/$B157,0),0)</f>
        <v>0</v>
      </c>
      <c r="AX157" s="46">
        <f>=IFERROR(ROUND(AX23/$B157,0),0)</f>
        <v>0</v>
      </c>
      <c r="AY157" s="46">
        <f>=IFERROR(ROUND(AY23/$B157,0),0)</f>
        <v>0</v>
      </c>
      <c r="AZ157" s="46">
        <f>=IFERROR(ROUND(AZ23/$B157,0),0)</f>
        <v>0</v>
      </c>
      <c r="BA157" s="46">
        <f>=IFERROR(ROUND(BA23/$B157,0),0)</f>
        <v>0</v>
      </c>
      <c r="BB157" s="46">
        <f>=IFERROR(ROUND(BB23/$B157,0),0)</f>
        <v>0</v>
      </c>
      <c r="BC157" s="46">
        <f>=IFERROR(ROUND(BC23/$B157,0),0)</f>
        <v>0</v>
      </c>
      <c r="BD157" s="46">
        <f>=IFERROR(ROUND(BD23/$B157,0),0)</f>
        <v>0</v>
      </c>
      <c r="BE157" s="46">
        <f>=IFERROR(ROUND(BE23/$B157,0),0)</f>
        <v>0</v>
      </c>
      <c r="BF157" s="46">
        <f>=IFERROR(ROUND(BF23/$B157,0),0)</f>
        <v>0</v>
      </c>
      <c r="BG157" s="46">
        <f>=IFERROR(ROUND(BG23/$B157,0),0)</f>
        <v>0</v>
      </c>
      <c r="BH157" s="46">
        <f>=IFERROR(ROUND(BH23/$B157,0),0)</f>
        <v>0</v>
      </c>
      <c r="BI157" s="46">
        <f>=IFERROR(ROUND(BI23/$B157,0),0)</f>
        <v>0</v>
      </c>
      <c r="BJ157" s="46">
        <f>=IFERROR(ROUND(BJ23/$B157,0),0)</f>
        <v>0</v>
      </c>
      <c r="BK157" s="46">
        <f>=IFERROR(ROUND(BK23/$B157,0),0)</f>
        <v>0</v>
      </c>
      <c r="BL157" s="46">
        <f>=IFERROR(ROUND(BL23/$B157,0),0)</f>
        <v>0</v>
      </c>
      <c r="BM157" s="46">
        <f>=IFERROR(ROUND(BM23/$B157,0),0)</f>
        <v>0</v>
      </c>
      <c r="BN157" s="46">
        <f>=IFERROR(ROUND(BN23/$B157,0),0)</f>
        <v>0</v>
      </c>
      <c r="BO157" s="46">
        <f>=IFERROR(ROUND(BO23/$B157,0),0)</f>
        <v>0</v>
      </c>
      <c r="BP157" s="46">
        <f>=IFERROR(ROUND(BP23/$B157,0),0)</f>
        <v>0</v>
      </c>
      <c r="BQ157" s="46">
        <f>=IFERROR(ROUND(BQ23/$B157,0),0)</f>
        <v>0</v>
      </c>
      <c r="BR157" s="46">
        <f>=IFERROR(ROUND(BR23/$B157,0),0)</f>
        <v>0</v>
      </c>
      <c r="BS157" s="46">
        <f>=IFERROR(ROUND(BS23/$B157,0),0)</f>
        <v>0</v>
      </c>
      <c r="BT157" s="46">
        <f>=IFERROR(ROUND(BT23/$B157,0),0)</f>
        <v>0</v>
      </c>
      <c r="BU157" s="46">
        <f>=IFERROR(ROUND(BU23/$B157,0),0)</f>
        <v>0</v>
      </c>
      <c r="BV157" s="46">
        <f>=IFERROR(ROUND(BV23/$B157,0),0)</f>
        <v>0</v>
      </c>
      <c r="BW157" s="46">
        <f>=IFERROR(ROUND(BW23/$B157,0),0)</f>
        <v>0</v>
      </c>
      <c r="BX157" s="46">
        <f>=IFERROR(ROUND(BX23/$B157,0),0)</f>
        <v>0</v>
      </c>
      <c r="BY157" s="46">
        <f>=IFERROR(ROUND(BY23/$B157,0),0)</f>
        <v>0</v>
      </c>
      <c r="BZ157" s="46">
        <f>=IFERROR(ROUND(BZ23/$B157,0),0)</f>
        <v>0</v>
      </c>
      <c r="CA157" s="46">
        <f>=IFERROR(ROUND(CA23/$B157,0),0)</f>
        <v>0</v>
      </c>
      <c r="CB157" s="46">
        <f>=IFERROR(ROUND(CB23/$B157,0),0)</f>
        <v>0</v>
      </c>
      <c r="CC157" s="46">
        <f>=IFERROR(ROUND(CC23/$B157,0),0)</f>
        <v>0</v>
      </c>
      <c r="CD157" s="46">
        <f>=IFERROR(ROUND(CD23/$B157,0),0)</f>
        <v>0</v>
      </c>
      <c r="CE157" s="46">
        <f>=IFERROR(ROUND(CE23/$B157,0),0)</f>
        <v>0</v>
      </c>
      <c r="CF157" s="46">
        <f>=IFERROR(ROUND(CF23/$B157,0),0)</f>
        <v>0</v>
      </c>
      <c r="CG157" s="46">
        <f>=IFERROR(ROUND(CG23/$B157,0),0)</f>
        <v>0</v>
      </c>
      <c r="CH157" s="46">
        <f>=IFERROR(ROUND(CH23/$B157,0),0)</f>
        <v>0</v>
      </c>
      <c r="CI157" s="46">
        <f>=IFERROR(ROUND(CI23/$B157,0),0)</f>
        <v>0</v>
      </c>
      <c r="CJ157" s="46">
        <f>=IFERROR(ROUND(CJ23/$B157,0),0)</f>
        <v>0</v>
      </c>
      <c r="CK157" s="46">
        <f>=IFERROR(ROUND(CK23/$B157,0),0)</f>
        <v>0</v>
      </c>
      <c r="CL157" s="46">
        <f>=IFERROR(ROUND(CL23/$B157,0),0)</f>
        <v>0</v>
      </c>
      <c r="CM157" s="46">
        <f>=IFERROR(ROUND(CM23/$B157,0),0)</f>
        <v>0</v>
      </c>
      <c r="CN157" s="46">
        <f>=IFERROR(ROUND(CN23/$B157,0),0)</f>
        <v>0</v>
      </c>
      <c r="CO157" s="46">
        <f>=IFERROR(ROUND(CO23/$B157,0),0)</f>
        <v>0</v>
      </c>
      <c r="CP157" s="46">
        <f>=IFERROR(ROUND(CP23/$B157,0),0)</f>
        <v>0</v>
      </c>
      <c r="CQ157" s="46">
        <f>=IFERROR(ROUND(CQ23/$B157,0),0)</f>
        <v>0</v>
      </c>
      <c r="CR157" s="46">
        <f>=IFERROR(ROUND(CR23/$B157,0),0)</f>
        <v>0</v>
      </c>
      <c r="CS157" s="46">
        <f>=IFERROR(ROUND(CS23/$B157,0),0)</f>
        <v>0</v>
      </c>
      <c r="CT157" s="46">
        <f>=IFERROR(ROUND(CT23/$B157,0),0)</f>
        <v>0</v>
      </c>
      <c r="CU157" s="46">
        <f>=IFERROR(ROUND(CU23/$B157,0),0)</f>
        <v>0</v>
      </c>
      <c r="CV157" s="46">
        <f>=IFERROR(ROUND(CV23/$B157,0),0)</f>
        <v>0</v>
      </c>
      <c r="CW157" s="46">
        <f>=IFERROR(ROUND(CW23/$B157,0),0)</f>
        <v>0</v>
      </c>
      <c r="CX157" s="46">
        <f>=IFERROR(ROUND(CX23/$B157,0),0)</f>
        <v>0</v>
      </c>
      <c r="CY157" s="46">
        <f>=IFERROR(ROUND(CY23/$B157,0),0)</f>
        <v>0</v>
      </c>
      <c r="CZ157" s="46">
        <f>=IFERROR(ROUND(CZ23/$B157,0),0)</f>
        <v>0</v>
      </c>
      <c r="DA157" s="46">
        <f>=IFERROR(ROUND(DA23/$B157,0),0)</f>
        <v>0</v>
      </c>
      <c r="DB157" s="46">
        <f>=IFERROR(ROUND(DB23/$B157,0),0)</f>
        <v>0</v>
      </c>
    </row>
    <row r="158" spans="1:106" x14ac:dyDescent="0.25">
      <c r="A158" s="17" t="s">
        <v>365</v>
      </c>
      <c r="B158" s="17">
        <v>15</v>
      </c>
      <c r="C158" s="46">
        <f>=IFERROR(ROUND(C22/$B158,0),0)</f>
        <v>0</v>
      </c>
      <c r="D158" s="46">
        <f>=IFERROR(ROUND(D22/$B158,0),0)</f>
        <v>0</v>
      </c>
      <c r="E158" s="46">
        <f>=IFERROR(ROUND(E22/$B158,0),0)</f>
        <v>0</v>
      </c>
      <c r="F158" s="46">
        <f>=IFERROR(ROUND(F22/$B158,0),0)</f>
        <v>0</v>
      </c>
      <c r="G158" s="46">
        <f>=IFERROR(ROUND(G22/$B158,0),0)</f>
        <v>0</v>
      </c>
      <c r="H158" s="46">
        <f>=IFERROR(ROUND(H22/$B158,0),0)</f>
        <v>0</v>
      </c>
      <c r="I158" s="46">
        <f>=IFERROR(ROUND(I22/$B158,0),0)</f>
        <v>0</v>
      </c>
      <c r="J158" s="46">
        <f>=IFERROR(ROUND(J22/$B158,0),0)</f>
        <v>0</v>
      </c>
      <c r="K158" s="46">
        <f>=IFERROR(ROUND(K22/$B158,0),0)</f>
        <v>0</v>
      </c>
      <c r="L158" s="46">
        <f>=IFERROR(ROUND(L22/$B158,0),0)</f>
        <v>0</v>
      </c>
      <c r="M158" s="46">
        <f>=IFERROR(ROUND(M22/$B158,0),0)</f>
        <v>0</v>
      </c>
      <c r="N158" s="46">
        <f>=IFERROR(ROUND(N22/$B158,0),0)</f>
        <v>0</v>
      </c>
      <c r="O158" s="46">
        <f>=IFERROR(ROUND(O22/$B158,0),0)</f>
        <v>0</v>
      </c>
      <c r="P158" s="46">
        <f>=IFERROR(ROUND(P22/$B158,0),0)</f>
        <v>0</v>
      </c>
      <c r="Q158" s="46">
        <f>=IFERROR(ROUND(Q22/$B158,0),0)</f>
        <v>0</v>
      </c>
      <c r="R158" s="46">
        <f>=IFERROR(ROUND(R22/$B158,0),0)</f>
        <v>0</v>
      </c>
      <c r="S158" s="46">
        <f>=IFERROR(ROUND(S22/$B158,0),0)</f>
        <v>0</v>
      </c>
      <c r="T158" s="46">
        <f>=IFERROR(ROUND(T22/$B158,0),0)</f>
        <v>0</v>
      </c>
      <c r="U158" s="46">
        <f>=IFERROR(ROUND(U22/$B158,0),0)</f>
        <v>0</v>
      </c>
      <c r="V158" s="46">
        <f>=IFERROR(ROUND(V22/$B158,0),0)</f>
        <v>0</v>
      </c>
      <c r="W158" s="46">
        <f>=IFERROR(ROUND(W22/$B158,0),0)</f>
        <v>0</v>
      </c>
      <c r="X158" s="46">
        <f>=IFERROR(ROUND(X22/$B158,0),0)</f>
        <v>0</v>
      </c>
      <c r="Y158" s="46">
        <f>=IFERROR(ROUND(Y22/$B158,0),0)</f>
        <v>0</v>
      </c>
      <c r="Z158" s="46">
        <f>=IFERROR(ROUND(Z22/$B158,0),0)</f>
        <v>0</v>
      </c>
      <c r="AA158" s="46">
        <f>=IFERROR(ROUND(AA22/$B158,0),0)</f>
        <v>0</v>
      </c>
      <c r="AB158" s="46">
        <f>=IFERROR(ROUND(AB22/$B158,0),0)</f>
        <v>0</v>
      </c>
      <c r="AC158" s="46">
        <f>=IFERROR(ROUND(AC22/$B158,0),0)</f>
        <v>0</v>
      </c>
      <c r="AD158" s="46">
        <f>=IFERROR(ROUND(AD22/$B158,0),0)</f>
        <v>0</v>
      </c>
      <c r="AE158" s="46">
        <f>=IFERROR(ROUND(AE22/$B158,0),0)</f>
        <v>0</v>
      </c>
      <c r="AF158" s="46">
        <f>=IFERROR(ROUND(AF22/$B158,0),0)</f>
        <v>0</v>
      </c>
      <c r="AG158" s="46">
        <f>=IFERROR(ROUND(AG22/$B158,0),0)</f>
        <v>0</v>
      </c>
      <c r="AH158" s="46">
        <f>=IFERROR(ROUND(AH22/$B158,0),0)</f>
        <v>0</v>
      </c>
      <c r="AI158" s="46">
        <f>=IFERROR(ROUND(AI22/$B158,0),0)</f>
        <v>0</v>
      </c>
      <c r="AJ158" s="46">
        <f>=IFERROR(ROUND(AJ22/$B158,0),0)</f>
        <v>0</v>
      </c>
      <c r="AK158" s="46">
        <f>=IFERROR(ROUND(AK22/$B158,0),0)</f>
        <v>0</v>
      </c>
      <c r="AL158" s="46">
        <f>=IFERROR(ROUND(AL22/$B158,0),0)</f>
        <v>0</v>
      </c>
      <c r="AM158" s="46">
        <f>=IFERROR(ROUND(AM22/$B158,0),0)</f>
        <v>0</v>
      </c>
      <c r="AN158" s="46">
        <f>=IFERROR(ROUND(AN22/$B158,0),0)</f>
        <v>0</v>
      </c>
      <c r="AO158" s="46">
        <f>=IFERROR(ROUND(AO22/$B158,0),0)</f>
        <v>0</v>
      </c>
      <c r="AP158" s="46">
        <f>=IFERROR(ROUND(AP22/$B158,0),0)</f>
        <v>0</v>
      </c>
      <c r="AQ158" s="46">
        <f>=IFERROR(ROUND(AQ22/$B158,0),0)</f>
        <v>0</v>
      </c>
      <c r="AR158" s="46">
        <f>=IFERROR(ROUND(AR22/$B158,0),0)</f>
        <v>0</v>
      </c>
      <c r="AS158" s="46">
        <f>=IFERROR(ROUND(AS22/$B158,0),0)</f>
        <v>0</v>
      </c>
      <c r="AT158" s="46">
        <f>=IFERROR(ROUND(AT22/$B158,0),0)</f>
        <v>0</v>
      </c>
      <c r="AU158" s="46">
        <f>=IFERROR(ROUND(AU22/$B158,0),0)</f>
        <v>0</v>
      </c>
      <c r="AV158" s="46">
        <f>=IFERROR(ROUND(AV22/$B158,0),0)</f>
        <v>0</v>
      </c>
      <c r="AW158" s="46">
        <f>=IFERROR(ROUND(AW22/$B158,0),0)</f>
        <v>0</v>
      </c>
      <c r="AX158" s="46">
        <f>=IFERROR(ROUND(AX22/$B158,0),0)</f>
        <v>0</v>
      </c>
      <c r="AY158" s="46">
        <f>=IFERROR(ROUND(AY22/$B158,0),0)</f>
        <v>0</v>
      </c>
      <c r="AZ158" s="46">
        <f>=IFERROR(ROUND(AZ22/$B158,0),0)</f>
        <v>0</v>
      </c>
      <c r="BA158" s="46">
        <f>=IFERROR(ROUND(BA22/$B158,0),0)</f>
        <v>0</v>
      </c>
      <c r="BB158" s="46">
        <f>=IFERROR(ROUND(BB22/$B158,0),0)</f>
        <v>0</v>
      </c>
      <c r="BC158" s="46">
        <f>=IFERROR(ROUND(BC22/$B158,0),0)</f>
        <v>0</v>
      </c>
      <c r="BD158" s="46">
        <f>=IFERROR(ROUND(BD22/$B158,0),0)</f>
        <v>0</v>
      </c>
      <c r="BE158" s="46">
        <f>=IFERROR(ROUND(BE22/$B158,0),0)</f>
        <v>0</v>
      </c>
      <c r="BF158" s="46">
        <f>=IFERROR(ROUND(BF22/$B158,0),0)</f>
        <v>0</v>
      </c>
      <c r="BG158" s="46">
        <f>=IFERROR(ROUND(BG22/$B158,0),0)</f>
        <v>0</v>
      </c>
      <c r="BH158" s="46">
        <f>=IFERROR(ROUND(BH22/$B158,0),0)</f>
        <v>0</v>
      </c>
      <c r="BI158" s="46">
        <f>=IFERROR(ROUND(BI22/$B158,0),0)</f>
        <v>0</v>
      </c>
      <c r="BJ158" s="46">
        <f>=IFERROR(ROUND(BJ22/$B158,0),0)</f>
        <v>0</v>
      </c>
      <c r="BK158" s="46">
        <f>=IFERROR(ROUND(BK22/$B158,0),0)</f>
        <v>0</v>
      </c>
      <c r="BL158" s="46">
        <f>=IFERROR(ROUND(BL22/$B158,0),0)</f>
        <v>0</v>
      </c>
      <c r="BM158" s="46">
        <f>=IFERROR(ROUND(BM22/$B158,0),0)</f>
        <v>0</v>
      </c>
      <c r="BN158" s="46">
        <f>=IFERROR(ROUND(BN22/$B158,0),0)</f>
        <v>0</v>
      </c>
      <c r="BO158" s="46">
        <f>=IFERROR(ROUND(BO22/$B158,0),0)</f>
        <v>0</v>
      </c>
      <c r="BP158" s="46">
        <f>=IFERROR(ROUND(BP22/$B158,0),0)</f>
        <v>0</v>
      </c>
      <c r="BQ158" s="46">
        <f>=IFERROR(ROUND(BQ22/$B158,0),0)</f>
        <v>0</v>
      </c>
      <c r="BR158" s="46">
        <f>=IFERROR(ROUND(BR22/$B158,0),0)</f>
        <v>0</v>
      </c>
      <c r="BS158" s="46">
        <f>=IFERROR(ROUND(BS22/$B158,0),0)</f>
        <v>0</v>
      </c>
      <c r="BT158" s="46">
        <f>=IFERROR(ROUND(BT22/$B158,0),0)</f>
        <v>0</v>
      </c>
      <c r="BU158" s="46">
        <f>=IFERROR(ROUND(BU22/$B158,0),0)</f>
        <v>0</v>
      </c>
      <c r="BV158" s="46">
        <f>=IFERROR(ROUND(BV22/$B158,0),0)</f>
        <v>0</v>
      </c>
      <c r="BW158" s="46">
        <f>=IFERROR(ROUND(BW22/$B158,0),0)</f>
        <v>0</v>
      </c>
      <c r="BX158" s="46">
        <f>=IFERROR(ROUND(BX22/$B158,0),0)</f>
        <v>0</v>
      </c>
      <c r="BY158" s="46">
        <f>=IFERROR(ROUND(BY22/$B158,0),0)</f>
        <v>0</v>
      </c>
      <c r="BZ158" s="46">
        <f>=IFERROR(ROUND(BZ22/$B158,0),0)</f>
        <v>0</v>
      </c>
      <c r="CA158" s="46">
        <f>=IFERROR(ROUND(CA22/$B158,0),0)</f>
        <v>0</v>
      </c>
      <c r="CB158" s="46">
        <f>=IFERROR(ROUND(CB22/$B158,0),0)</f>
        <v>0</v>
      </c>
      <c r="CC158" s="46">
        <f>=IFERROR(ROUND(CC22/$B158,0),0)</f>
        <v>0</v>
      </c>
      <c r="CD158" s="46">
        <f>=IFERROR(ROUND(CD22/$B158,0),0)</f>
        <v>0</v>
      </c>
      <c r="CE158" s="46">
        <f>=IFERROR(ROUND(CE22/$B158,0),0)</f>
        <v>0</v>
      </c>
      <c r="CF158" s="46">
        <f>=IFERROR(ROUND(CF22/$B158,0),0)</f>
        <v>0</v>
      </c>
      <c r="CG158" s="46">
        <f>=IFERROR(ROUND(CG22/$B158,0),0)</f>
        <v>0</v>
      </c>
      <c r="CH158" s="46">
        <f>=IFERROR(ROUND(CH22/$B158,0),0)</f>
        <v>0</v>
      </c>
      <c r="CI158" s="46">
        <f>=IFERROR(ROUND(CI22/$B158,0),0)</f>
        <v>0</v>
      </c>
      <c r="CJ158" s="46">
        <f>=IFERROR(ROUND(CJ22/$B158,0),0)</f>
        <v>0</v>
      </c>
      <c r="CK158" s="46">
        <f>=IFERROR(ROUND(CK22/$B158,0),0)</f>
        <v>0</v>
      </c>
      <c r="CL158" s="46">
        <f>=IFERROR(ROUND(CL22/$B158,0),0)</f>
        <v>0</v>
      </c>
      <c r="CM158" s="46">
        <f>=IFERROR(ROUND(CM22/$B158,0),0)</f>
        <v>0</v>
      </c>
      <c r="CN158" s="46">
        <f>=IFERROR(ROUND(CN22/$B158,0),0)</f>
        <v>0</v>
      </c>
      <c r="CO158" s="46">
        <f>=IFERROR(ROUND(CO22/$B158,0),0)</f>
        <v>0</v>
      </c>
      <c r="CP158" s="46">
        <f>=IFERROR(ROUND(CP22/$B158,0),0)</f>
        <v>0</v>
      </c>
      <c r="CQ158" s="46">
        <f>=IFERROR(ROUND(CQ22/$B158,0),0)</f>
        <v>0</v>
      </c>
      <c r="CR158" s="46">
        <f>=IFERROR(ROUND(CR22/$B158,0),0)</f>
        <v>0</v>
      </c>
      <c r="CS158" s="46">
        <f>=IFERROR(ROUND(CS22/$B158,0),0)</f>
        <v>0</v>
      </c>
      <c r="CT158" s="46">
        <f>=IFERROR(ROUND(CT22/$B158,0),0)</f>
        <v>0</v>
      </c>
      <c r="CU158" s="46">
        <f>=IFERROR(ROUND(CU22/$B158,0),0)</f>
        <v>0</v>
      </c>
      <c r="CV158" s="46">
        <f>=IFERROR(ROUND(CV22/$B158,0),0)</f>
        <v>0</v>
      </c>
      <c r="CW158" s="46">
        <f>=IFERROR(ROUND(CW22/$B158,0),0)</f>
        <v>0</v>
      </c>
      <c r="CX158" s="46">
        <f>=IFERROR(ROUND(CX22/$B158,0),0)</f>
        <v>0</v>
      </c>
      <c r="CY158" s="46">
        <f>=IFERROR(ROUND(CY22/$B158,0),0)</f>
        <v>0</v>
      </c>
      <c r="CZ158" s="46">
        <f>=IFERROR(ROUND(CZ22/$B158,0),0)</f>
        <v>0</v>
      </c>
      <c r="DA158" s="46">
        <f>=IFERROR(ROUND(DA22/$B158,0),0)</f>
        <v>0</v>
      </c>
      <c r="DB158" s="46">
        <f>=IFERROR(ROUND(DB22/$B158,0),0)</f>
        <v>0</v>
      </c>
    </row>
    <row r="159" spans="3:106" x14ac:dyDescent="0.25"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  <c r="BP159" s="30"/>
      <c r="BQ159" s="30"/>
      <c r="BR159" s="30"/>
      <c r="BS159" s="30"/>
      <c r="BT159" s="30"/>
      <c r="BU159" s="30"/>
      <c r="BV159" s="30"/>
      <c r="BW159" s="30"/>
      <c r="BX159" s="30"/>
      <c r="BY159" s="30"/>
      <c r="BZ159" s="30"/>
      <c r="CA159" s="30"/>
      <c r="CB159" s="30"/>
      <c r="CC159" s="30"/>
      <c r="CD159" s="30"/>
      <c r="CE159" s="30"/>
      <c r="CF159" s="30"/>
      <c r="CG159" s="30"/>
      <c r="CH159" s="30"/>
      <c r="CI159" s="30"/>
      <c r="CJ159" s="30"/>
      <c r="CK159" s="30"/>
      <c r="CL159" s="30"/>
      <c r="CM159" s="30"/>
      <c r="CN159" s="30"/>
      <c r="CO159" s="30"/>
      <c r="CP159" s="30"/>
      <c r="CQ159" s="30"/>
      <c r="CR159" s="30"/>
      <c r="CS159" s="30"/>
      <c r="CT159" s="30"/>
      <c r="CU159" s="30"/>
      <c r="CV159" s="30"/>
      <c r="CW159" s="30"/>
      <c r="CX159" s="30"/>
      <c r="CY159" s="30"/>
      <c r="CZ159" s="30"/>
      <c r="DA159" s="30"/>
      <c r="DB159" s="30"/>
    </row>
    <row r="160" spans="1:106" x14ac:dyDescent="0.25">
      <c r="A160" s="33" t="s">
        <v>366</v>
      </c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  <c r="BF160" s="30"/>
      <c r="BG160" s="30"/>
      <c r="BH160" s="30"/>
      <c r="BI160" s="30"/>
      <c r="BJ160" s="30"/>
      <c r="BK160" s="30"/>
      <c r="BL160" s="30"/>
      <c r="BM160" s="30"/>
      <c r="BN160" s="30"/>
      <c r="BO160" s="30"/>
      <c r="BP160" s="30"/>
      <c r="BQ160" s="30"/>
      <c r="BR160" s="30"/>
      <c r="BS160" s="30"/>
      <c r="BT160" s="30"/>
      <c r="BU160" s="30"/>
      <c r="BV160" s="30"/>
      <c r="BW160" s="30"/>
      <c r="BX160" s="30"/>
      <c r="BY160" s="30"/>
      <c r="BZ160" s="30"/>
      <c r="CA160" s="30"/>
      <c r="CB160" s="30"/>
      <c r="CC160" s="30"/>
      <c r="CD160" s="30"/>
      <c r="CE160" s="30"/>
      <c r="CF160" s="30"/>
      <c r="CG160" s="30"/>
      <c r="CH160" s="30"/>
      <c r="CI160" s="30"/>
      <c r="CJ160" s="30"/>
      <c r="CK160" s="30"/>
      <c r="CL160" s="30"/>
      <c r="CM160" s="30"/>
      <c r="CN160" s="30"/>
      <c r="CO160" s="30"/>
      <c r="CP160" s="30"/>
      <c r="CQ160" s="30"/>
      <c r="CR160" s="30"/>
      <c r="CS160" s="30"/>
      <c r="CT160" s="30"/>
      <c r="CU160" s="30"/>
      <c r="CV160" s="30"/>
      <c r="CW160" s="30"/>
      <c r="CX160" s="30"/>
      <c r="CY160" s="30"/>
      <c r="CZ160" s="30"/>
      <c r="DA160" s="30"/>
      <c r="DB160" s="30"/>
    </row>
    <row r="161" spans="1:106" x14ac:dyDescent="0.25">
      <c r="A161" s="17" t="s">
        <v>367</v>
      </c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0"/>
      <c r="BK161" s="30"/>
      <c r="BL161" s="30"/>
      <c r="BM161" s="30"/>
      <c r="BN161" s="30"/>
      <c r="BO161" s="30"/>
      <c r="BP161" s="30"/>
      <c r="BQ161" s="30"/>
      <c r="BR161" s="30"/>
      <c r="BS161" s="30"/>
      <c r="BT161" s="30"/>
      <c r="BU161" s="30"/>
      <c r="BV161" s="30"/>
      <c r="BW161" s="30"/>
      <c r="BX161" s="30"/>
      <c r="BY161" s="30"/>
      <c r="BZ161" s="30"/>
      <c r="CA161" s="30"/>
      <c r="CB161" s="30"/>
      <c r="CC161" s="30"/>
      <c r="CD161" s="30"/>
      <c r="CE161" s="30"/>
      <c r="CF161" s="30"/>
      <c r="CG161" s="30"/>
      <c r="CH161" s="30"/>
      <c r="CI161" s="30"/>
      <c r="CJ161" s="30"/>
      <c r="CK161" s="30"/>
      <c r="CL161" s="30"/>
      <c r="CM161" s="30"/>
      <c r="CN161" s="30"/>
      <c r="CO161" s="30"/>
      <c r="CP161" s="30"/>
      <c r="CQ161" s="30"/>
      <c r="CR161" s="30"/>
      <c r="CS161" s="30"/>
      <c r="CT161" s="30"/>
      <c r="CU161" s="30"/>
      <c r="CV161" s="30"/>
      <c r="CW161" s="30"/>
      <c r="CX161" s="30"/>
      <c r="CY161" s="30"/>
      <c r="CZ161" s="30"/>
      <c r="DA161" s="30"/>
      <c r="DB161" s="30"/>
    </row>
    <row r="162" spans="1:106" x14ac:dyDescent="0.25">
      <c r="A162" s="17" t="s">
        <v>357</v>
      </c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30"/>
      <c r="BP162" s="30"/>
      <c r="BQ162" s="30"/>
      <c r="BR162" s="30"/>
      <c r="BS162" s="30"/>
      <c r="BT162" s="30"/>
      <c r="BU162" s="30"/>
      <c r="BV162" s="30"/>
      <c r="BW162" s="30"/>
      <c r="BX162" s="30"/>
      <c r="BY162" s="30"/>
      <c r="BZ162" s="30"/>
      <c r="CA162" s="30"/>
      <c r="CB162" s="30"/>
      <c r="CC162" s="30"/>
      <c r="CD162" s="30"/>
      <c r="CE162" s="30"/>
      <c r="CF162" s="30"/>
      <c r="CG162" s="30"/>
      <c r="CH162" s="30"/>
      <c r="CI162" s="30"/>
      <c r="CJ162" s="30"/>
      <c r="CK162" s="30"/>
      <c r="CL162" s="30"/>
      <c r="CM162" s="30"/>
      <c r="CN162" s="30"/>
      <c r="CO162" s="30"/>
      <c r="CP162" s="30"/>
      <c r="CQ162" s="30"/>
      <c r="CR162" s="30"/>
      <c r="CS162" s="30"/>
      <c r="CT162" s="30"/>
      <c r="CU162" s="30"/>
      <c r="CV162" s="30"/>
      <c r="CW162" s="30"/>
      <c r="CX162" s="30"/>
      <c r="CY162" s="30"/>
      <c r="CZ162" s="30"/>
      <c r="DA162" s="30"/>
      <c r="DB162" s="30"/>
    </row>
    <row r="163" spans="1:106" x14ac:dyDescent="0.25">
      <c r="A163" s="17" t="s">
        <v>358</v>
      </c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/>
      <c r="BE163" s="30"/>
      <c r="BF163" s="30"/>
      <c r="BG163" s="30"/>
      <c r="BH163" s="30"/>
      <c r="BI163" s="30"/>
      <c r="BJ163" s="30"/>
      <c r="BK163" s="30"/>
      <c r="BL163" s="30"/>
      <c r="BM163" s="30"/>
      <c r="BN163" s="30"/>
      <c r="BO163" s="30"/>
      <c r="BP163" s="30"/>
      <c r="BQ163" s="30"/>
      <c r="BR163" s="30"/>
      <c r="BS163" s="30"/>
      <c r="BT163" s="30"/>
      <c r="BU163" s="30"/>
      <c r="BV163" s="30"/>
      <c r="BW163" s="30"/>
      <c r="BX163" s="30"/>
      <c r="BY163" s="30"/>
      <c r="BZ163" s="30"/>
      <c r="CA163" s="30"/>
      <c r="CB163" s="30"/>
      <c r="CC163" s="30"/>
      <c r="CD163" s="30"/>
      <c r="CE163" s="30"/>
      <c r="CF163" s="30"/>
      <c r="CG163" s="30"/>
      <c r="CH163" s="30"/>
      <c r="CI163" s="30"/>
      <c r="CJ163" s="30"/>
      <c r="CK163" s="30"/>
      <c r="CL163" s="30"/>
      <c r="CM163" s="30"/>
      <c r="CN163" s="30"/>
      <c r="CO163" s="30"/>
      <c r="CP163" s="30"/>
      <c r="CQ163" s="30"/>
      <c r="CR163" s="30"/>
      <c r="CS163" s="30"/>
      <c r="CT163" s="30"/>
      <c r="CU163" s="30"/>
      <c r="CV163" s="30"/>
      <c r="CW163" s="30"/>
      <c r="CX163" s="30"/>
      <c r="CY163" s="30"/>
      <c r="CZ163" s="30"/>
      <c r="DA163" s="30"/>
      <c r="DB163" s="30"/>
    </row>
    <row r="164" spans="1:106" x14ac:dyDescent="0.25">
      <c r="A164" s="17" t="s">
        <v>359</v>
      </c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30"/>
      <c r="BD164" s="30"/>
      <c r="BE164" s="30"/>
      <c r="BF164" s="30"/>
      <c r="BG164" s="30"/>
      <c r="BH164" s="30"/>
      <c r="BI164" s="30"/>
      <c r="BJ164" s="30"/>
      <c r="BK164" s="30"/>
      <c r="BL164" s="30"/>
      <c r="BM164" s="30"/>
      <c r="BN164" s="30"/>
      <c r="BO164" s="30"/>
      <c r="BP164" s="30"/>
      <c r="BQ164" s="30"/>
      <c r="BR164" s="30"/>
      <c r="BS164" s="30"/>
      <c r="BT164" s="30"/>
      <c r="BU164" s="30"/>
      <c r="BV164" s="30"/>
      <c r="BW164" s="30"/>
      <c r="BX164" s="30"/>
      <c r="BY164" s="30"/>
      <c r="BZ164" s="30"/>
      <c r="CA164" s="30"/>
      <c r="CB164" s="30"/>
      <c r="CC164" s="30"/>
      <c r="CD164" s="30"/>
      <c r="CE164" s="30"/>
      <c r="CF164" s="30"/>
      <c r="CG164" s="30"/>
      <c r="CH164" s="30"/>
      <c r="CI164" s="30"/>
      <c r="CJ164" s="30"/>
      <c r="CK164" s="30"/>
      <c r="CL164" s="30"/>
      <c r="CM164" s="30"/>
      <c r="CN164" s="30"/>
      <c r="CO164" s="30"/>
      <c r="CP164" s="30"/>
      <c r="CQ164" s="30"/>
      <c r="CR164" s="30"/>
      <c r="CS164" s="30"/>
      <c r="CT164" s="30"/>
      <c r="CU164" s="30"/>
      <c r="CV164" s="30"/>
      <c r="CW164" s="30"/>
      <c r="CX164" s="30"/>
      <c r="CY164" s="30"/>
      <c r="CZ164" s="30"/>
      <c r="DA164" s="30"/>
      <c r="DB164" s="30"/>
    </row>
    <row r="165" spans="1:106" x14ac:dyDescent="0.25">
      <c r="A165" s="17" t="s">
        <v>360</v>
      </c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30"/>
      <c r="BD165" s="30"/>
      <c r="BE165" s="30"/>
      <c r="BF165" s="30"/>
      <c r="BG165" s="30"/>
      <c r="BH165" s="30"/>
      <c r="BI165" s="30"/>
      <c r="BJ165" s="30"/>
      <c r="BK165" s="30"/>
      <c r="BL165" s="30"/>
      <c r="BM165" s="30"/>
      <c r="BN165" s="30"/>
      <c r="BO165" s="30"/>
      <c r="BP165" s="30"/>
      <c r="BQ165" s="30"/>
      <c r="BR165" s="30"/>
      <c r="BS165" s="30"/>
      <c r="BT165" s="30"/>
      <c r="BU165" s="30"/>
      <c r="BV165" s="30"/>
      <c r="BW165" s="30"/>
      <c r="BX165" s="30"/>
      <c r="BY165" s="30"/>
      <c r="BZ165" s="30"/>
      <c r="CA165" s="30"/>
      <c r="CB165" s="30"/>
      <c r="CC165" s="30"/>
      <c r="CD165" s="30"/>
      <c r="CE165" s="30"/>
      <c r="CF165" s="30"/>
      <c r="CG165" s="30"/>
      <c r="CH165" s="30"/>
      <c r="CI165" s="30"/>
      <c r="CJ165" s="30"/>
      <c r="CK165" s="30"/>
      <c r="CL165" s="30"/>
      <c r="CM165" s="30"/>
      <c r="CN165" s="30"/>
      <c r="CO165" s="30"/>
      <c r="CP165" s="30"/>
      <c r="CQ165" s="30"/>
      <c r="CR165" s="30"/>
      <c r="CS165" s="30"/>
      <c r="CT165" s="30"/>
      <c r="CU165" s="30"/>
      <c r="CV165" s="30"/>
      <c r="CW165" s="30"/>
      <c r="CX165" s="30"/>
      <c r="CY165" s="30"/>
      <c r="CZ165" s="30"/>
      <c r="DA165" s="30"/>
      <c r="DB165" s="30"/>
    </row>
    <row r="166" spans="1:106" x14ac:dyDescent="0.25">
      <c r="A166" s="17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  <c r="BA166" s="30"/>
      <c r="BB166" s="30"/>
      <c r="BC166" s="30"/>
      <c r="BD166" s="30"/>
      <c r="BE166" s="30"/>
      <c r="BF166" s="30"/>
      <c r="BG166" s="30"/>
      <c r="BH166" s="30"/>
      <c r="BI166" s="30"/>
      <c r="BJ166" s="30"/>
      <c r="BK166" s="30"/>
      <c r="BL166" s="30"/>
      <c r="BM166" s="30"/>
      <c r="BN166" s="30"/>
      <c r="BO166" s="30"/>
      <c r="BP166" s="30"/>
      <c r="BQ166" s="30"/>
      <c r="BR166" s="30"/>
      <c r="BS166" s="30"/>
      <c r="BT166" s="30"/>
      <c r="BU166" s="30"/>
      <c r="BV166" s="30"/>
      <c r="BW166" s="30"/>
      <c r="BX166" s="30"/>
      <c r="BY166" s="30"/>
      <c r="BZ166" s="30"/>
      <c r="CA166" s="30"/>
      <c r="CB166" s="30"/>
      <c r="CC166" s="30"/>
      <c r="CD166" s="30"/>
      <c r="CE166" s="30"/>
      <c r="CF166" s="30"/>
      <c r="CG166" s="30"/>
      <c r="CH166" s="30"/>
      <c r="CI166" s="30"/>
      <c r="CJ166" s="30"/>
      <c r="CK166" s="30"/>
      <c r="CL166" s="30"/>
      <c r="CM166" s="30"/>
      <c r="CN166" s="30"/>
      <c r="CO166" s="30"/>
      <c r="CP166" s="30"/>
      <c r="CQ166" s="30"/>
      <c r="CR166" s="30"/>
      <c r="CS166" s="30"/>
      <c r="CT166" s="30"/>
      <c r="CU166" s="30"/>
      <c r="CV166" s="30"/>
      <c r="CW166" s="30"/>
      <c r="CX166" s="30"/>
      <c r="CY166" s="30"/>
      <c r="CZ166" s="30"/>
      <c r="DA166" s="30"/>
      <c r="DB166" s="30"/>
    </row>
    <row r="167" spans="1:106" x14ac:dyDescent="0.25">
      <c r="A167" s="33" t="s">
        <v>368</v>
      </c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  <c r="BC167" s="30"/>
      <c r="BD167" s="30"/>
      <c r="BE167" s="30"/>
      <c r="BF167" s="30"/>
      <c r="BG167" s="30"/>
      <c r="BH167" s="30"/>
      <c r="BI167" s="30"/>
      <c r="BJ167" s="30"/>
      <c r="BK167" s="30"/>
      <c r="BL167" s="30"/>
      <c r="BM167" s="30"/>
      <c r="BN167" s="30"/>
      <c r="BO167" s="30"/>
      <c r="BP167" s="30"/>
      <c r="BQ167" s="30"/>
      <c r="BR167" s="30"/>
      <c r="BS167" s="30"/>
      <c r="BT167" s="30"/>
      <c r="BU167" s="30"/>
      <c r="BV167" s="30"/>
      <c r="BW167" s="30"/>
      <c r="BX167" s="30"/>
      <c r="BY167" s="30"/>
      <c r="BZ167" s="30"/>
      <c r="CA167" s="30"/>
      <c r="CB167" s="30"/>
      <c r="CC167" s="30"/>
      <c r="CD167" s="30"/>
      <c r="CE167" s="30"/>
      <c r="CF167" s="30"/>
      <c r="CG167" s="30"/>
      <c r="CH167" s="30"/>
      <c r="CI167" s="30"/>
      <c r="CJ167" s="30"/>
      <c r="CK167" s="30"/>
      <c r="CL167" s="30"/>
      <c r="CM167" s="30"/>
      <c r="CN167" s="30"/>
      <c r="CO167" s="30"/>
      <c r="CP167" s="30"/>
      <c r="CQ167" s="30"/>
      <c r="CR167" s="30"/>
      <c r="CS167" s="30"/>
      <c r="CT167" s="30"/>
      <c r="CU167" s="30"/>
      <c r="CV167" s="30"/>
      <c r="CW167" s="30"/>
      <c r="CX167" s="30"/>
      <c r="CY167" s="30"/>
      <c r="CZ167" s="30"/>
      <c r="DA167" s="30"/>
      <c r="DB167" s="30"/>
    </row>
    <row r="168" spans="1:106" x14ac:dyDescent="0.25">
      <c r="A168" s="17" t="s">
        <v>367</v>
      </c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  <c r="BA168" s="30"/>
      <c r="BB168" s="30"/>
      <c r="BC168" s="30"/>
      <c r="BD168" s="30"/>
      <c r="BE168" s="30"/>
      <c r="BF168" s="30"/>
      <c r="BG168" s="30"/>
      <c r="BH168" s="30"/>
      <c r="BI168" s="30"/>
      <c r="BJ168" s="30"/>
      <c r="BK168" s="30"/>
      <c r="BL168" s="30"/>
      <c r="BM168" s="30"/>
      <c r="BN168" s="30"/>
      <c r="BO168" s="30"/>
      <c r="BP168" s="30"/>
      <c r="BQ168" s="30"/>
      <c r="BR168" s="30"/>
      <c r="BS168" s="30"/>
      <c r="BT168" s="30"/>
      <c r="BU168" s="30"/>
      <c r="BV168" s="30"/>
      <c r="BW168" s="30"/>
      <c r="BX168" s="30"/>
      <c r="BY168" s="30"/>
      <c r="BZ168" s="30"/>
      <c r="CA168" s="30"/>
      <c r="CB168" s="30"/>
      <c r="CC168" s="30"/>
      <c r="CD168" s="30"/>
      <c r="CE168" s="30"/>
      <c r="CF168" s="30"/>
      <c r="CG168" s="30"/>
      <c r="CH168" s="30"/>
      <c r="CI168" s="30"/>
      <c r="CJ168" s="30"/>
      <c r="CK168" s="30"/>
      <c r="CL168" s="30"/>
      <c r="CM168" s="30"/>
      <c r="CN168" s="30"/>
      <c r="CO168" s="30"/>
      <c r="CP168" s="30"/>
      <c r="CQ168" s="30"/>
      <c r="CR168" s="30"/>
      <c r="CS168" s="30"/>
      <c r="CT168" s="30"/>
      <c r="CU168" s="30"/>
      <c r="CV168" s="30"/>
      <c r="CW168" s="30"/>
      <c r="CX168" s="30"/>
      <c r="CY168" s="30"/>
      <c r="CZ168" s="30"/>
      <c r="DA168" s="30"/>
      <c r="DB168" s="30"/>
    </row>
    <row r="169" spans="1:106" x14ac:dyDescent="0.25">
      <c r="A169" s="17" t="s">
        <v>357</v>
      </c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  <c r="BA169" s="30"/>
      <c r="BB169" s="30"/>
      <c r="BC169" s="30"/>
      <c r="BD169" s="30"/>
      <c r="BE169" s="30"/>
      <c r="BF169" s="30"/>
      <c r="BG169" s="30"/>
      <c r="BH169" s="30"/>
      <c r="BI169" s="30"/>
      <c r="BJ169" s="30"/>
      <c r="BK169" s="30"/>
      <c r="BL169" s="30"/>
      <c r="BM169" s="30"/>
      <c r="BN169" s="30"/>
      <c r="BO169" s="30"/>
      <c r="BP169" s="30"/>
      <c r="BQ169" s="30"/>
      <c r="BR169" s="30"/>
      <c r="BS169" s="30"/>
      <c r="BT169" s="30"/>
      <c r="BU169" s="30"/>
      <c r="BV169" s="30"/>
      <c r="BW169" s="30"/>
      <c r="BX169" s="30"/>
      <c r="BY169" s="30"/>
      <c r="BZ169" s="30"/>
      <c r="CA169" s="30"/>
      <c r="CB169" s="30"/>
      <c r="CC169" s="30"/>
      <c r="CD169" s="30"/>
      <c r="CE169" s="30"/>
      <c r="CF169" s="30"/>
      <c r="CG169" s="30"/>
      <c r="CH169" s="30"/>
      <c r="CI169" s="30"/>
      <c r="CJ169" s="30"/>
      <c r="CK169" s="30"/>
      <c r="CL169" s="30"/>
      <c r="CM169" s="30"/>
      <c r="CN169" s="30"/>
      <c r="CO169" s="30"/>
      <c r="CP169" s="30"/>
      <c r="CQ169" s="30"/>
      <c r="CR169" s="30"/>
      <c r="CS169" s="30"/>
      <c r="CT169" s="30"/>
      <c r="CU169" s="30"/>
      <c r="CV169" s="30"/>
      <c r="CW169" s="30"/>
      <c r="CX169" s="30"/>
      <c r="CY169" s="30"/>
      <c r="CZ169" s="30"/>
      <c r="DA169" s="30"/>
      <c r="DB169" s="30"/>
    </row>
    <row r="170" spans="1:106" x14ac:dyDescent="0.25">
      <c r="A170" s="17" t="s">
        <v>358</v>
      </c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  <c r="BF170" s="30"/>
      <c r="BG170" s="30"/>
      <c r="BH170" s="30"/>
      <c r="BI170" s="30"/>
      <c r="BJ170" s="30"/>
      <c r="BK170" s="30"/>
      <c r="BL170" s="30"/>
      <c r="BM170" s="30"/>
      <c r="BN170" s="30"/>
      <c r="BO170" s="30"/>
      <c r="BP170" s="30"/>
      <c r="BQ170" s="30"/>
      <c r="BR170" s="30"/>
      <c r="BS170" s="30"/>
      <c r="BT170" s="30"/>
      <c r="BU170" s="30"/>
      <c r="BV170" s="30"/>
      <c r="BW170" s="30"/>
      <c r="BX170" s="30"/>
      <c r="BY170" s="30"/>
      <c r="BZ170" s="30"/>
      <c r="CA170" s="30"/>
      <c r="CB170" s="30"/>
      <c r="CC170" s="30"/>
      <c r="CD170" s="30"/>
      <c r="CE170" s="30"/>
      <c r="CF170" s="30"/>
      <c r="CG170" s="30"/>
      <c r="CH170" s="30"/>
      <c r="CI170" s="30"/>
      <c r="CJ170" s="30"/>
      <c r="CK170" s="30"/>
      <c r="CL170" s="30"/>
      <c r="CM170" s="30"/>
      <c r="CN170" s="30"/>
      <c r="CO170" s="30"/>
      <c r="CP170" s="30"/>
      <c r="CQ170" s="30"/>
      <c r="CR170" s="30"/>
      <c r="CS170" s="30"/>
      <c r="CT170" s="30"/>
      <c r="CU170" s="30"/>
      <c r="CV170" s="30"/>
      <c r="CW170" s="30"/>
      <c r="CX170" s="30"/>
      <c r="CY170" s="30"/>
      <c r="CZ170" s="30"/>
      <c r="DA170" s="30"/>
      <c r="DB170" s="30"/>
    </row>
    <row r="171" spans="1:106" x14ac:dyDescent="0.25">
      <c r="A171" s="17" t="s">
        <v>359</v>
      </c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  <c r="BA171" s="30"/>
      <c r="BB171" s="30"/>
      <c r="BC171" s="30"/>
      <c r="BD171" s="30"/>
      <c r="BE171" s="30"/>
      <c r="BF171" s="30"/>
      <c r="BG171" s="30"/>
      <c r="BH171" s="30"/>
      <c r="BI171" s="30"/>
      <c r="BJ171" s="30"/>
      <c r="BK171" s="30"/>
      <c r="BL171" s="30"/>
      <c r="BM171" s="30"/>
      <c r="BN171" s="30"/>
      <c r="BO171" s="30"/>
      <c r="BP171" s="30"/>
      <c r="BQ171" s="30"/>
      <c r="BR171" s="30"/>
      <c r="BS171" s="30"/>
      <c r="BT171" s="30"/>
      <c r="BU171" s="30"/>
      <c r="BV171" s="30"/>
      <c r="BW171" s="30"/>
      <c r="BX171" s="30"/>
      <c r="BY171" s="30"/>
      <c r="BZ171" s="30"/>
      <c r="CA171" s="30"/>
      <c r="CB171" s="30"/>
      <c r="CC171" s="30"/>
      <c r="CD171" s="30"/>
      <c r="CE171" s="30"/>
      <c r="CF171" s="30"/>
      <c r="CG171" s="30"/>
      <c r="CH171" s="30"/>
      <c r="CI171" s="30"/>
      <c r="CJ171" s="30"/>
      <c r="CK171" s="30"/>
      <c r="CL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</row>
    <row r="172" spans="1:106" x14ac:dyDescent="0.25">
      <c r="A172" s="17" t="s">
        <v>360</v>
      </c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  <c r="BA172" s="30"/>
      <c r="BB172" s="30"/>
      <c r="BC172" s="30"/>
      <c r="BD172" s="30"/>
      <c r="BE172" s="30"/>
      <c r="BF172" s="30"/>
      <c r="BG172" s="30"/>
      <c r="BH172" s="30"/>
      <c r="BI172" s="30"/>
      <c r="BJ172" s="30"/>
      <c r="BK172" s="30"/>
      <c r="BL172" s="30"/>
      <c r="BM172" s="30"/>
      <c r="BN172" s="30"/>
      <c r="BO172" s="30"/>
      <c r="BP172" s="30"/>
      <c r="BQ172" s="30"/>
      <c r="BR172" s="30"/>
      <c r="BS172" s="30"/>
      <c r="BT172" s="30"/>
      <c r="BU172" s="30"/>
      <c r="BV172" s="30"/>
      <c r="BW172" s="30"/>
      <c r="BX172" s="30"/>
      <c r="BY172" s="30"/>
      <c r="BZ172" s="30"/>
      <c r="CA172" s="30"/>
      <c r="CB172" s="30"/>
      <c r="CC172" s="30"/>
      <c r="CD172" s="30"/>
      <c r="CE172" s="30"/>
      <c r="CF172" s="30"/>
      <c r="CG172" s="30"/>
      <c r="CH172" s="30"/>
      <c r="CI172" s="30"/>
      <c r="CJ172" s="30"/>
      <c r="CK172" s="30"/>
      <c r="CL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</row>
    <row r="173" spans="3:106" x14ac:dyDescent="0.25"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  <c r="BA173" s="30"/>
      <c r="BB173" s="30"/>
      <c r="BC173" s="30"/>
      <c r="BD173" s="30"/>
      <c r="BE173" s="30"/>
      <c r="BF173" s="30"/>
      <c r="BG173" s="30"/>
      <c r="BH173" s="30"/>
      <c r="BI173" s="30"/>
      <c r="BJ173" s="30"/>
      <c r="BK173" s="30"/>
      <c r="BL173" s="30"/>
      <c r="BM173" s="30"/>
      <c r="BN173" s="30"/>
      <c r="BO173" s="30"/>
      <c r="BP173" s="30"/>
      <c r="BQ173" s="30"/>
      <c r="BR173" s="30"/>
      <c r="BS173" s="30"/>
      <c r="BT173" s="30"/>
      <c r="BU173" s="30"/>
      <c r="BV173" s="30"/>
      <c r="BW173" s="30"/>
      <c r="BX173" s="30"/>
      <c r="BY173" s="30"/>
      <c r="BZ173" s="30"/>
      <c r="CA173" s="30"/>
      <c r="CB173" s="30"/>
      <c r="CC173" s="30"/>
      <c r="CD173" s="30"/>
      <c r="CE173" s="30"/>
      <c r="CF173" s="30"/>
      <c r="CG173" s="30"/>
      <c r="CH173" s="30"/>
      <c r="CI173" s="30"/>
      <c r="CJ173" s="30"/>
      <c r="CK173" s="30"/>
      <c r="CL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</row>
    <row r="174" spans="3:106" x14ac:dyDescent="0.25"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  <c r="BA174" s="30"/>
      <c r="BB174" s="30"/>
      <c r="BC174" s="30"/>
      <c r="BD174" s="30"/>
      <c r="BE174" s="30"/>
      <c r="BF174" s="30"/>
      <c r="BG174" s="30"/>
      <c r="BH174" s="30"/>
      <c r="BI174" s="30"/>
      <c r="BJ174" s="30"/>
      <c r="BK174" s="30"/>
      <c r="BL174" s="30"/>
      <c r="BM174" s="30"/>
      <c r="BN174" s="30"/>
      <c r="BO174" s="30"/>
      <c r="BP174" s="30"/>
      <c r="BQ174" s="30"/>
      <c r="BR174" s="30"/>
      <c r="BS174" s="30"/>
      <c r="BT174" s="30"/>
      <c r="BU174" s="30"/>
      <c r="BV174" s="30"/>
      <c r="BW174" s="30"/>
      <c r="BX174" s="30"/>
      <c r="BY174" s="30"/>
      <c r="BZ174" s="30"/>
      <c r="CA174" s="30"/>
      <c r="CB174" s="30"/>
      <c r="CC174" s="30"/>
      <c r="CD174" s="30"/>
      <c r="CE174" s="30"/>
      <c r="CF174" s="30"/>
      <c r="CG174" s="30"/>
      <c r="CH174" s="30"/>
      <c r="CI174" s="30"/>
      <c r="CJ174" s="30"/>
      <c r="CK174" s="30"/>
      <c r="CL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</row>
    <row r="175" spans="3:106" x14ac:dyDescent="0.25"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  <c r="BA175" s="30"/>
      <c r="BB175" s="30"/>
      <c r="BC175" s="30"/>
      <c r="BD175" s="30"/>
      <c r="BE175" s="30"/>
      <c r="BF175" s="30"/>
      <c r="BG175" s="30"/>
      <c r="BH175" s="30"/>
      <c r="BI175" s="30"/>
      <c r="BJ175" s="30"/>
      <c r="BK175" s="30"/>
      <c r="BL175" s="30"/>
      <c r="BM175" s="30"/>
      <c r="BN175" s="30"/>
      <c r="BO175" s="30"/>
      <c r="BP175" s="30"/>
      <c r="BQ175" s="30"/>
      <c r="BR175" s="30"/>
      <c r="BS175" s="30"/>
      <c r="BT175" s="30"/>
      <c r="BU175" s="30"/>
      <c r="BV175" s="30"/>
      <c r="BW175" s="30"/>
      <c r="BX175" s="30"/>
      <c r="BY175" s="30"/>
      <c r="BZ175" s="30"/>
      <c r="CA175" s="30"/>
      <c r="CB175" s="30"/>
      <c r="CC175" s="30"/>
      <c r="CD175" s="30"/>
      <c r="CE175" s="30"/>
      <c r="CF175" s="30"/>
      <c r="CG175" s="30"/>
      <c r="CH175" s="30"/>
      <c r="CI175" s="30"/>
      <c r="CJ175" s="30"/>
      <c r="CK175" s="30"/>
      <c r="CL175" s="30"/>
      <c r="CM175" s="30"/>
      <c r="CN175" s="30"/>
      <c r="CO175" s="30"/>
      <c r="CP175" s="30"/>
      <c r="CQ175" s="30"/>
      <c r="CR175" s="30"/>
      <c r="CS175" s="30"/>
      <c r="CT175" s="30"/>
      <c r="CU175" s="30"/>
      <c r="CV175" s="30"/>
      <c r="CW175" s="30"/>
      <c r="CX175" s="30"/>
      <c r="CY175" s="30"/>
      <c r="CZ175" s="30"/>
      <c r="DA175" s="30"/>
      <c r="DB175" s="30"/>
    </row>
    <row r="176" spans="1:106" x14ac:dyDescent="0.25">
      <c r="A176" s="17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  <c r="BA176" s="30"/>
      <c r="BB176" s="30"/>
      <c r="BC176" s="30"/>
      <c r="BD176" s="30"/>
      <c r="BE176" s="30"/>
      <c r="BF176" s="30"/>
      <c r="BG176" s="30"/>
      <c r="BH176" s="30"/>
      <c r="BI176" s="30"/>
      <c r="BJ176" s="30"/>
      <c r="BK176" s="30"/>
      <c r="BL176" s="30"/>
      <c r="BM176" s="30"/>
      <c r="BN176" s="30"/>
      <c r="BO176" s="30"/>
      <c r="BP176" s="30"/>
      <c r="BQ176" s="30"/>
      <c r="BR176" s="30"/>
      <c r="BS176" s="30"/>
      <c r="BT176" s="30"/>
      <c r="BU176" s="30"/>
      <c r="BV176" s="30"/>
      <c r="BW176" s="30"/>
      <c r="BX176" s="30"/>
      <c r="BY176" s="30"/>
      <c r="BZ176" s="30"/>
      <c r="CA176" s="30"/>
      <c r="CB176" s="30"/>
      <c r="CC176" s="30"/>
      <c r="CD176" s="30"/>
      <c r="CE176" s="30"/>
      <c r="CF176" s="30"/>
      <c r="CG176" s="30"/>
      <c r="CH176" s="30"/>
      <c r="CI176" s="30"/>
      <c r="CJ176" s="30"/>
      <c r="CK176" s="30"/>
      <c r="CL176" s="30"/>
      <c r="CM176" s="30"/>
      <c r="CN176" s="30"/>
      <c r="CO176" s="30"/>
      <c r="CP176" s="30"/>
      <c r="CQ176" s="30"/>
      <c r="CR176" s="30"/>
      <c r="CS176" s="30"/>
      <c r="CT176" s="30"/>
      <c r="CU176" s="30"/>
      <c r="CV176" s="30"/>
      <c r="CW176" s="30"/>
      <c r="CX176" s="30"/>
      <c r="CY176" s="30"/>
      <c r="CZ176" s="30"/>
      <c r="DA176" s="30"/>
      <c r="DB176" s="30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176"/>
  <sheetFormatPr defaultRowHeight="15" outlineLevelRow="0" outlineLevelCol="0" x14ac:dyDescent="55"/>
  <cols>
    <col min="1" max="1" width="33" customWidth="1"/>
    <col min="2" max="2" width="17" customWidth="1"/>
    <col min="3" max="3" width="11" customWidth="1"/>
  </cols>
  <sheetData>
    <row r="1" ht="17" customHeight="1" spans="1:106" x14ac:dyDescent="0.25">
      <c r="A1" s="1" t="s">
        <v>378</v>
      </c>
      <c r="B1" t="s">
        <v>1</v>
      </c>
      <c r="C1" t="s">
        <v>2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2</v>
      </c>
      <c r="X1" t="s">
        <v>2</v>
      </c>
      <c r="Y1" t="s">
        <v>2</v>
      </c>
      <c r="Z1" t="s">
        <v>2</v>
      </c>
      <c r="AA1" t="s">
        <v>2</v>
      </c>
      <c r="AB1" t="s">
        <v>2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 t="s">
        <v>2</v>
      </c>
      <c r="AI1" t="s">
        <v>2</v>
      </c>
      <c r="AJ1" t="s">
        <v>2</v>
      </c>
      <c r="AK1" t="s">
        <v>2</v>
      </c>
      <c r="AL1" t="s">
        <v>2</v>
      </c>
      <c r="AM1" t="s">
        <v>2</v>
      </c>
      <c r="AN1" t="s">
        <v>2</v>
      </c>
      <c r="AO1" t="s">
        <v>2</v>
      </c>
      <c r="AP1" t="s">
        <v>2</v>
      </c>
      <c r="AQ1" t="s">
        <v>2</v>
      </c>
      <c r="AR1" t="s">
        <v>2</v>
      </c>
      <c r="AS1" t="s">
        <v>2</v>
      </c>
      <c r="AT1" t="s">
        <v>2</v>
      </c>
      <c r="AU1" t="s">
        <v>2</v>
      </c>
      <c r="AV1" t="s">
        <v>2</v>
      </c>
      <c r="AW1" t="s">
        <v>2</v>
      </c>
      <c r="AX1" t="s">
        <v>2</v>
      </c>
      <c r="AY1" t="s">
        <v>2</v>
      </c>
      <c r="AZ1" t="s">
        <v>2</v>
      </c>
      <c r="BA1" t="s">
        <v>2</v>
      </c>
      <c r="BB1" t="s">
        <v>2</v>
      </c>
      <c r="BC1" t="s">
        <v>2</v>
      </c>
      <c r="BD1" t="s">
        <v>2</v>
      </c>
      <c r="BE1" t="s">
        <v>2</v>
      </c>
      <c r="BF1" t="s">
        <v>2</v>
      </c>
      <c r="BG1" t="s">
        <v>2</v>
      </c>
      <c r="BH1" t="s">
        <v>2</v>
      </c>
      <c r="BI1" t="s">
        <v>2</v>
      </c>
      <c r="BJ1" t="s">
        <v>2</v>
      </c>
      <c r="BK1" t="s">
        <v>2</v>
      </c>
      <c r="BL1" t="s">
        <v>2</v>
      </c>
      <c r="BM1" t="s">
        <v>2</v>
      </c>
      <c r="BN1" t="s">
        <v>2</v>
      </c>
      <c r="BO1" t="s">
        <v>2</v>
      </c>
      <c r="BP1" t="s">
        <v>2</v>
      </c>
      <c r="BQ1" t="s">
        <v>2</v>
      </c>
      <c r="BR1" t="s">
        <v>2</v>
      </c>
      <c r="BS1" t="s">
        <v>2</v>
      </c>
      <c r="BT1" t="s">
        <v>2</v>
      </c>
      <c r="BU1" t="s">
        <v>2</v>
      </c>
      <c r="BV1" t="s">
        <v>2</v>
      </c>
      <c r="BW1" t="s">
        <v>2</v>
      </c>
      <c r="BX1" t="s">
        <v>2</v>
      </c>
      <c r="BY1" t="s">
        <v>2</v>
      </c>
      <c r="BZ1" t="s">
        <v>2</v>
      </c>
      <c r="CA1" t="s">
        <v>2</v>
      </c>
      <c r="CB1" t="s">
        <v>2</v>
      </c>
      <c r="CC1" t="s">
        <v>2</v>
      </c>
      <c r="CD1" t="s">
        <v>2</v>
      </c>
      <c r="CE1" t="s">
        <v>2</v>
      </c>
      <c r="CF1" t="s">
        <v>2</v>
      </c>
      <c r="CG1" t="s">
        <v>2</v>
      </c>
      <c r="CH1" t="s">
        <v>2</v>
      </c>
      <c r="CI1" t="s">
        <v>2</v>
      </c>
      <c r="CJ1" t="s">
        <v>2</v>
      </c>
      <c r="CK1" t="s">
        <v>2</v>
      </c>
      <c r="CL1" t="s">
        <v>2</v>
      </c>
      <c r="CM1" t="s">
        <v>2</v>
      </c>
      <c r="CN1" t="s">
        <v>2</v>
      </c>
      <c r="CO1" t="s">
        <v>2</v>
      </c>
      <c r="CP1" t="s">
        <v>2</v>
      </c>
      <c r="CQ1" t="s">
        <v>2</v>
      </c>
      <c r="CR1" t="s">
        <v>2</v>
      </c>
      <c r="CS1" t="s">
        <v>2</v>
      </c>
      <c r="CT1" t="s">
        <v>2</v>
      </c>
      <c r="CU1" t="s">
        <v>2</v>
      </c>
      <c r="CV1" t="s">
        <v>2</v>
      </c>
      <c r="CW1" t="s">
        <v>2</v>
      </c>
      <c r="CX1" t="s">
        <v>2</v>
      </c>
      <c r="CY1" t="s">
        <v>2</v>
      </c>
      <c r="CZ1" t="s">
        <v>2</v>
      </c>
      <c r="DA1" t="s">
        <v>2</v>
      </c>
      <c r="DB1" t="s">
        <v>2</v>
      </c>
    </row>
    <row r="2" ht="14" customHeight="1" spans="1:106" x14ac:dyDescent="0.25">
      <c r="B2" t="s">
        <v>3</v>
      </c>
      <c r="C2" s="2">
        <f>=TODAY()</f>
        <v>45987</v>
      </c>
      <c r="D2" t="str">
        <f>=IF(C2="Current WK","Next Week",IF(DATEVALUE(D4)=$C$2-WEEKDAY($C$2,1)+1,"Current WK",""))</f>
        <v/>
      </c>
      <c r="E2" t="str">
        <f>=IF(D2="Current WK","Next Week",IF(DATEVALUE(E4)=$C$2-WEEKDAY($C$2,1)+1,"Current WK",""))</f>
        <v/>
      </c>
      <c r="F2" t="str">
        <f>=IF(E2="Current WK","Next Week",IF(DATEVALUE(F4)=$C$2-WEEKDAY($C$2,1)+1,"Current WK",""))</f>
        <v/>
      </c>
      <c r="G2" t="str">
        <f>=IF(F2="Current WK","Next Week",IF(DATEVALUE(G4)=$C$2-WEEKDAY($C$2,1)+1,"Current WK",""))</f>
        <v/>
      </c>
      <c r="H2" t="str">
        <f>=IF(G2="Current WK","Next Week",IF(DATEVALUE(H4)=$C$2-WEEKDAY($C$2,1)+1,"Current WK",""))</f>
        <v/>
      </c>
      <c r="I2" t="str">
        <f>=IF(H2="Current WK","Next Week",IF(DATEVALUE(I4)=$C$2-WEEKDAY($C$2,1)+1,"Current WK",""))</f>
        <v/>
      </c>
      <c r="J2" t="str">
        <f>=IF(I2="Current WK","Next Week",IF(DATEVALUE(J4)=$C$2-WEEKDAY($C$2,1)+1,"Current WK",""))</f>
        <v/>
      </c>
      <c r="K2" t="str">
        <f>=IF(J2="Current WK","Next Week",IF(DATEVALUE(K4)=$C$2-WEEKDAY($C$2,1)+1,"Current WK",""))</f>
        <v/>
      </c>
      <c r="L2" t="str">
        <f>=IF(K2="Current WK","Next Week",IF(DATEVALUE(L4)=$C$2-WEEKDAY($C$2,1)+1,"Current WK",""))</f>
        <v/>
      </c>
      <c r="M2" t="str">
        <f>=IF(L2="Current WK","Next Week",IF(DATEVALUE(M4)=$C$2-WEEKDAY($C$2,1)+1,"Current WK",""))</f>
        <v/>
      </c>
      <c r="N2" t="str">
        <f>=IF(M2="Current WK","Next Week",IF(DATEVALUE(N4)=$C$2-WEEKDAY($C$2,1)+1,"Current WK",""))</f>
        <v/>
      </c>
      <c r="O2" t="str">
        <f>=IF(N2="Current WK","Next Week",IF(DATEVALUE(O4)=$C$2-WEEKDAY($C$2,1)+1,"Current WK",""))</f>
        <v/>
      </c>
      <c r="P2" t="str">
        <f>=IF(O2="Current WK","Next Week",IF(DATEVALUE(P4)=$C$2-WEEKDAY($C$2,1)+1,"Current WK",""))</f>
        <v/>
      </c>
      <c r="Q2" t="str">
        <f>=IF(P2="Current WK","Next Week",IF(DATEVALUE(Q4)=$C$2-WEEKDAY($C$2,1)+1,"Current WK",""))</f>
        <v/>
      </c>
      <c r="R2" t="str">
        <f>=IF(Q2="Current WK","Next Week",IF(DATEVALUE(R4)=$C$2-WEEKDAY($C$2,1)+1,"Current WK",""))</f>
        <v/>
      </c>
      <c r="S2" t="str">
        <f>=IF(R2="Current WK","Next Week",IF(DATEVALUE(S4)=$C$2-WEEKDAY($C$2,1)+1,"Current WK",""))</f>
        <v/>
      </c>
      <c r="T2" t="str">
        <f>=IF(S2="Current WK","Next Week",IF(DATEVALUE(T4)=$C$2-WEEKDAY($C$2,1)+1,"Current WK",""))</f>
        <v/>
      </c>
      <c r="U2" t="str">
        <f>=IF(T2="Current WK","Next Week",IF(DATEVALUE(U4)=$C$2-WEEKDAY($C$2,1)+1,"Current WK",""))</f>
        <v/>
      </c>
      <c r="V2" t="str">
        <f>=IF(U2="Current WK","Next Week",IF(DATEVALUE(V4)=$C$2-WEEKDAY($C$2,1)+1,"Current WK",""))</f>
        <v/>
      </c>
      <c r="W2" t="str">
        <f>=IF(V2="Current WK","Next Week",IF(DATEVALUE(W4)=$C$2-WEEKDAY($C$2,1)+1,"Current WK",""))</f>
        <v/>
      </c>
      <c r="X2" t="str">
        <f>=IF(W2="Current WK","Next Week",IF(DATEVALUE(X4)=$C$2-WEEKDAY($C$2,1)+1,"Current WK",""))</f>
        <v/>
      </c>
      <c r="Y2" t="str">
        <f>=IF(X2="Current WK","Next Week",IF(DATEVALUE(Y4)=$C$2-WEEKDAY($C$2,1)+1,"Current WK",""))</f>
        <v/>
      </c>
      <c r="Z2" t="str">
        <f>=IF(Y2="Current WK","Next Week",IF(DATEVALUE(Z4)=$C$2-WEEKDAY($C$2,1)+1,"Current WK",""))</f>
        <v/>
      </c>
      <c r="AA2" t="str">
        <f>=IF(Z2="Current WK","Next Week",IF(DATEVALUE(AA4)=$C$2-WEEKDAY($C$2,1)+1,"Current WK",""))</f>
        <v/>
      </c>
      <c r="AB2" t="str">
        <f>=IF(AA2="Current WK","Next Week",IF(DATEVALUE(AB4)=$C$2-WEEKDAY($C$2,1)+1,"Current WK",""))</f>
        <v/>
      </c>
      <c r="AC2" t="str">
        <f>=IF(AB2="Current WK","Next Week",IF(DATEVALUE(AC4)=$C$2-WEEKDAY($C$2,1)+1,"Current WK",""))</f>
        <v/>
      </c>
      <c r="AD2" t="str">
        <f>=IF(AC2="Current WK","Next Week",IF(DATEVALUE(AD4)=$C$2-WEEKDAY($C$2,1)+1,"Current WK",""))</f>
        <v/>
      </c>
      <c r="AE2" t="str">
        <f>=IF(AD2="Current WK","Next Week",IF(DATEVALUE(AE4)=$C$2-WEEKDAY($C$2,1)+1,"Current WK",""))</f>
        <v/>
      </c>
      <c r="AF2" t="str">
        <f>=IF(AE2="Current WK","Next Week",IF(DATEVALUE(AF4)=$C$2-WEEKDAY($C$2,1)+1,"Current WK",""))</f>
        <v/>
      </c>
      <c r="AG2" t="str">
        <f>=IF(AF2="Current WK","Next Week",IF(DATEVALUE(AG4)=$C$2-WEEKDAY($C$2,1)+1,"Current WK",""))</f>
        <v/>
      </c>
      <c r="AH2" t="str">
        <f>=IF(AG2="Current WK","Next Week",IF(DATEVALUE(AH4)=$C$2-WEEKDAY($C$2,1)+1,"Current WK",""))</f>
        <v/>
      </c>
      <c r="AI2" t="str">
        <f>=IF(AH2="Current WK","Next Week",IF(DATEVALUE(AI4)=$C$2-WEEKDAY($C$2,1)+1,"Current WK",""))</f>
        <v/>
      </c>
      <c r="AJ2" t="str">
        <f>=IF(AI2="Current WK","Next Week",IF(DATEVALUE(AJ4)=$C$2-WEEKDAY($C$2,1)+1,"Current WK",""))</f>
        <v/>
      </c>
      <c r="AK2" t="str">
        <f>=IF(AJ2="Current WK","Next Week",IF(DATEVALUE(AK4)=$C$2-WEEKDAY($C$2,1)+1,"Current WK",""))</f>
        <v/>
      </c>
      <c r="AL2" t="str">
        <f>=IF(AK2="Current WK","Next Week",IF(DATEVALUE(AL4)=$C$2-WEEKDAY($C$2,1)+1,"Current WK",""))</f>
        <v/>
      </c>
      <c r="AM2" t="str">
        <f>=IF(AL2="Current WK","Next Week",IF(DATEVALUE(AM4)=$C$2-WEEKDAY($C$2,1)+1,"Current WK",""))</f>
        <v/>
      </c>
      <c r="AN2" t="str">
        <f>=IF(AM2="Current WK","Next Week",IF(DATEVALUE(AN4)=$C$2-WEEKDAY($C$2,1)+1,"Current WK",""))</f>
        <v/>
      </c>
      <c r="AO2" t="str">
        <f>=IF(AN2="Current WK","Next Week",IF(DATEVALUE(AO4)=$C$2-WEEKDAY($C$2,1)+1,"Current WK",""))</f>
        <v/>
      </c>
      <c r="AP2" t="str">
        <f>=IF(AO2="Current WK","Next Week",IF(DATEVALUE(AP4)=$C$2-WEEKDAY($C$2,1)+1,"Current WK",""))</f>
        <v/>
      </c>
      <c r="AQ2" t="str">
        <f>=IF(AP2="Current WK","Next Week",IF(DATEVALUE(AQ4)=$C$2-WEEKDAY($C$2,1)+1,"Current WK",""))</f>
        <v/>
      </c>
      <c r="AR2" t="str">
        <f>=IF(AQ2="Current WK","Next Week",IF(DATEVALUE(AR4)=$C$2-WEEKDAY($C$2,1)+1,"Current WK",""))</f>
        <v/>
      </c>
      <c r="AS2" t="str">
        <f>=IF(AR2="Current WK","Next Week",IF(DATEVALUE(AS4)=$C$2-WEEKDAY($C$2,1)+1,"Current WK",""))</f>
        <v/>
      </c>
      <c r="AT2" t="str">
        <f>=IF(AS2="Current WK","Next Week",IF(DATEVALUE(AT4)=$C$2-WEEKDAY($C$2,1)+1,"Current WK",""))</f>
        <v/>
      </c>
      <c r="AU2" t="str">
        <f>=IF(AT2="Current WK","Next Week",IF(DATEVALUE(AU4)=$C$2-WEEKDAY($C$2,1)+1,"Current WK",""))</f>
        <v/>
      </c>
      <c r="AV2" t="str">
        <f>=IF(AU2="Current WK","Next Week",IF(DATEVALUE(AV4)=$C$2-WEEKDAY($C$2,1)+1,"Current WK",""))</f>
        <v/>
      </c>
      <c r="AW2" t="str">
        <f>=IF(AV2="Current WK","Next Week",IF(DATEVALUE(AW4)=$C$2-WEEKDAY($C$2,1)+1,"Current WK",""))</f>
        <v/>
      </c>
      <c r="AX2" t="str">
        <f>=IF(AW2="Current WK","Next Week",IF(DATEVALUE(AX4)=$C$2-WEEKDAY($C$2,1)+1,"Current WK",""))</f>
        <v/>
      </c>
      <c r="AY2" t="str">
        <f>=IF(AX2="Current WK","Next Week",IF(DATEVALUE(AY4)=$C$2-WEEKDAY($C$2,1)+1,"Current WK",""))</f>
        <v/>
      </c>
      <c r="AZ2" t="str">
        <f>=IF(AY2="Current WK","Next Week",IF(DATEVALUE(AZ4)=$C$2-WEEKDAY($C$2,1)+1,"Current WK",""))</f>
        <v/>
      </c>
      <c r="BA2" t="str">
        <f>=IF(AZ2="Current WK","Next Week",IF(DATEVALUE(BA4)=$C$2-WEEKDAY($C$2,1)+1,"Current WK",""))</f>
        <v/>
      </c>
      <c r="BB2" t="str">
        <f>=IF(BA2="Current WK","Next Week",IF(DATEVALUE(BB4)=$C$2-WEEKDAY($C$2,1)+1,"Current WK",""))</f>
        <v/>
      </c>
      <c r="BC2" t="str">
        <f>=IF(BB2="Current WK","Next Week",IF(DATEVALUE(BC4)=$C$2-WEEKDAY($C$2,1)+1,"Current WK",""))</f>
        <v/>
      </c>
      <c r="BD2" t="str">
        <f>=IF(BC2="Current WK","Next Week",IF(DATEVALUE(BD4)=$C$2-WEEKDAY($C$2,1)+1,"Current WK",""))</f>
        <v/>
      </c>
      <c r="BE2" t="str">
        <f>=IF(BD2="Current WK","Next Week",IF(DATEVALUE(BE4)=$C$2-WEEKDAY($C$2,1)+1,"Current WK",""))</f>
        <v/>
      </c>
      <c r="BF2" t="str">
        <f>=IF(BE2="Current WK","Next Week",IF(DATEVALUE(BF4)=$C$2-WEEKDAY($C$2,1)+1,"Current WK",""))</f>
        <v/>
      </c>
      <c r="BG2" t="str">
        <f>=IF(BF2="Current WK","Next Week",IF(DATEVALUE(BG4)=$C$2-WEEKDAY($C$2,1)+1,"Current WK",""))</f>
        <v/>
      </c>
      <c r="BH2" t="str">
        <f>=IF(BG2="Current WK","Next Week",IF(DATEVALUE(BH4)=$C$2-WEEKDAY($C$2,1)+1,"Current WK",""))</f>
        <v/>
      </c>
      <c r="BI2" t="str">
        <f>=IF(BH2="Current WK","Next Week",IF(DATEVALUE(BI4)=$C$2-WEEKDAY($C$2,1)+1,"Current WK",""))</f>
        <v/>
      </c>
      <c r="BJ2" t="str">
        <f>=IF(BI2="Current WK","Next Week",IF(DATEVALUE(BJ4)=$C$2-WEEKDAY($C$2,1)+1,"Current WK",""))</f>
        <v/>
      </c>
      <c r="BK2" t="str">
        <f>=IF(BJ2="Current WK","Next Week",IF(DATEVALUE(BK4)=$C$2-WEEKDAY($C$2,1)+1,"Current WK",""))</f>
        <v/>
      </c>
      <c r="BL2" t="str">
        <f>=IF(BK2="Current WK","Next Week",IF(DATEVALUE(BL4)=$C$2-WEEKDAY($C$2,1)+1,"Current WK",""))</f>
        <v/>
      </c>
      <c r="BM2" t="str">
        <f>=IF(BL2="Current WK","Next Week",IF(DATEVALUE(BM4)=$C$2-WEEKDAY($C$2,1)+1,"Current WK",""))</f>
        <v/>
      </c>
      <c r="BN2" t="str">
        <f>=IF(BM2="Current WK","Next Week",IF(DATEVALUE(BN4)=$C$2-WEEKDAY($C$2,1)+1,"Current WK",""))</f>
        <v/>
      </c>
      <c r="BO2" t="str">
        <f>=IF(BN2="Current WK","Next Week",IF(DATEVALUE(BO4)=$C$2-WEEKDAY($C$2,1)+1,"Current WK",""))</f>
        <v/>
      </c>
      <c r="BP2" t="str">
        <f>=IF(BO2="Current WK","Next Week",IF(DATEVALUE(BP4)=$C$2-WEEKDAY($C$2,1)+1,"Current WK",""))</f>
        <v/>
      </c>
      <c r="BQ2" t="str">
        <f>=IF(BP2="Current WK","Next Week",IF(DATEVALUE(BQ4)=$C$2-WEEKDAY($C$2,1)+1,"Current WK",""))</f>
        <v/>
      </c>
      <c r="BR2" t="str">
        <f>=IF(BQ2="Current WK","Next Week",IF(DATEVALUE(BR4)=$C$2-WEEKDAY($C$2,1)+1,"Current WK",""))</f>
        <v/>
      </c>
      <c r="BS2" t="str">
        <f>=IF(BR2="Current WK","Next Week",IF(DATEVALUE(BS4)=$C$2-WEEKDAY($C$2,1)+1,"Current WK",""))</f>
        <v/>
      </c>
      <c r="BT2" t="str">
        <f>=IF(BS2="Current WK","Next Week",IF(DATEVALUE(BT4)=$C$2-WEEKDAY($C$2,1)+1,"Current WK",""))</f>
        <v/>
      </c>
      <c r="BU2" s="3" t="str">
        <f>=IF(BT2="Current WK","Next Week",IF(DATEVALUE(BU4)=$C$2-WEEKDAY($C$2,1)+1,"Current WK",""))</f>
        <v/>
      </c>
      <c r="BV2" s="4" t="str">
        <f>=IF(BU2="Current WK","Next Week",IF(DATEVALUE(BV4)=$C$2-WEEKDAY($C$2,1)+1,"Current WK",""))</f>
        <v/>
      </c>
      <c r="BW2" s="3" t="str">
        <f>=IF(BV2="Current WK","Next Week",IF(DATEVALUE(BW4)=$C$2-WEEKDAY($C$2,1)+1,"Current WK",""))</f>
        <v/>
      </c>
      <c r="BX2" s="4" t="str">
        <f>=IF(BW2="Current WK","Next Week",IF(DATEVALUE(BX4)=$C$2-WEEKDAY($C$2,1)+1,"Current WK",""))</f>
        <v>Current WK</v>
      </c>
      <c r="BY2" s="4" t="str">
        <f>=IF(BX2="Current WK","Next Week",IF(DATEVALUE(BY4)=$C$2-WEEKDAY($C$2,1)+1,"Current WK",""))</f>
        <v>Next Week</v>
      </c>
      <c r="BZ2" t="str">
        <f>=IF(BY2="Current WK","Next Week",IF(DATEVALUE(BZ4)=$C$2-WEEKDAY($C$2,1)+1,"Current WK",""))</f>
        <v/>
      </c>
      <c r="CA2" t="str">
        <f>=IF(BZ2="Current WK","Next Week",IF(DATEVALUE(CA4)=$C$2-WEEKDAY($C$2,1)+1,"Current WK",""))</f>
        <v/>
      </c>
      <c r="CB2" t="str">
        <f>=IF(CA2="Current WK","Next Week",IF(DATEVALUE(CB4)=$C$2-WEEKDAY($C$2,1)+1,"Current WK",""))</f>
        <v/>
      </c>
      <c r="CC2" t="str">
        <f>=IF(CB2="Current WK","Next Week",IF(DATEVALUE(CC4)=$C$2-WEEKDAY($C$2,1)+1,"Current WK",""))</f>
        <v/>
      </c>
      <c r="CD2" t="str">
        <f>=IF(CC2="Current WK","Next Week",IF(DATEVALUE(CD4)=$C$2-WEEKDAY($C$2,1)+1,"Current WK",""))</f>
        <v/>
      </c>
      <c r="CE2" t="str">
        <f>=IF(CD2="Current WK","Next Week",IF(DATEVALUE(CE4)=$C$2-WEEKDAY($C$2,1)+1,"Current WK",""))</f>
        <v/>
      </c>
      <c r="CF2" t="str">
        <f>=IF(CE2="Current WK","Next Week",IF(DATEVALUE(CF4)=$C$2-WEEKDAY($C$2,1)+1,"Current WK",""))</f>
        <v/>
      </c>
      <c r="CG2" t="str">
        <f>=IF(CF2="Current WK","Next Week",IF(DATEVALUE(CG4)=$C$2-WEEKDAY($C$2,1)+1,"Current WK",""))</f>
        <v/>
      </c>
      <c r="CH2" t="str">
        <f>=IF(CG2="Current WK","Next Week",IF(DATEVALUE(CH4)=$C$2-WEEKDAY($C$2,1)+1,"Current WK",""))</f>
        <v/>
      </c>
      <c r="CI2" t="str">
        <f>=IF(CH2="Current WK","Next Week",IF(DATEVALUE(CI4)=$C$2-WEEKDAY($C$2,1)+1,"Current WK",""))</f>
        <v/>
      </c>
      <c r="CJ2" t="str">
        <f>=IF(CI2="Current WK","Next Week",IF(DATEVALUE(CJ4)=$C$2-WEEKDAY($C$2,1)+1,"Current WK",""))</f>
        <v/>
      </c>
      <c r="CK2" t="str">
        <f>=IF(CJ2="Current WK","Next Week",IF(DATEVALUE(CK4)=$C$2-WEEKDAY($C$2,1)+1,"Current WK",""))</f>
        <v/>
      </c>
      <c r="CL2" t="str">
        <f>=IF(CK2="Current WK","Next Week",IF(DATEVALUE(CL4)=$C$2-WEEKDAY($C$2,1)+1,"Current WK",""))</f>
        <v/>
      </c>
      <c r="CM2" t="str">
        <f>=IF(CL2="Current WK","Next Week",IF(DATEVALUE(CM4)=$C$2-WEEKDAY($C$2,1)+1,"Current WK",""))</f>
        <v/>
      </c>
      <c r="CN2" t="str">
        <f>=IF(CM2="Current WK","Next Week",IF(DATEVALUE(CN4)=$C$2-WEEKDAY($C$2,1)+1,"Current WK",""))</f>
        <v/>
      </c>
      <c r="CO2" t="str">
        <f>=IF(CN2="Current WK","Next Week",IF(DATEVALUE(CO4)=$C$2-WEEKDAY($C$2,1)+1,"Current WK",""))</f>
        <v/>
      </c>
      <c r="CP2" t="str">
        <f>=IF(CO2="Current WK","Next Week",IF(DATEVALUE(CP4)=$C$2-WEEKDAY($C$2,1)+1,"Current WK",""))</f>
        <v/>
      </c>
      <c r="CQ2" t="str">
        <f>=IF(CP2="Current WK","Next Week",IF(DATEVALUE(CQ4)=$C$2-WEEKDAY($C$2,1)+1,"Current WK",""))</f>
        <v/>
      </c>
      <c r="CR2" t="str">
        <f>=IF(CQ2="Current WK","Next Week",IF(DATEVALUE(CR4)=$C$2-WEEKDAY($C$2,1)+1,"Current WK",""))</f>
        <v/>
      </c>
      <c r="CS2" t="str">
        <f>=IF(CR2="Current WK","Next Week",IF(DATEVALUE(CS4)=$C$2-WEEKDAY($C$2,1)+1,"Current WK",""))</f>
        <v/>
      </c>
      <c r="CT2" t="str">
        <f>=IF(CS2="Current WK","Next Week",IF(DATEVALUE(CT4)=$C$2-WEEKDAY($C$2,1)+1,"Current WK",""))</f>
        <v/>
      </c>
      <c r="CU2" t="str">
        <f>=IF(CT2="Current WK","Next Week",IF(DATEVALUE(CU4)=$C$2-WEEKDAY($C$2,1)+1,"Current WK",""))</f>
        <v/>
      </c>
      <c r="CV2" t="str">
        <f>=IF(CU2="Current WK","Next Week",IF(DATEVALUE(CV4)=$C$2-WEEKDAY($C$2,1)+1,"Current WK",""))</f>
        <v/>
      </c>
      <c r="CW2" t="str">
        <f>=IF(CV2="Current WK","Next Week",IF(DATEVALUE(CW4)=$C$2-WEEKDAY($C$2,1)+1,"Current WK",""))</f>
        <v/>
      </c>
      <c r="CX2" t="str">
        <f>=IF(CW2="Current WK","Next Week",IF(DATEVALUE(CX4)=$C$2-WEEKDAY($C$2,1)+1,"Current WK",""))</f>
        <v/>
      </c>
      <c r="CY2" t="str">
        <f>=IF(CX2="Current WK","Next Week",IF(DATEVALUE(CY4)=$C$2-WEEKDAY($C$2,1)+1,"Current WK",""))</f>
        <v/>
      </c>
      <c r="CZ2" t="str">
        <f>=IF(CY2="Current WK","Next Week",IF(DATEVALUE(CZ4)=$C$2-WEEKDAY($C$2,1)+1,"Current WK",""))</f>
        <v/>
      </c>
      <c r="DA2" t="str">
        <f>=IF(CZ2="Current WK","Next Week",IF(DATEVALUE(DA4)=$C$2-WEEKDAY($C$2,1)+1,"Current WK",""))</f>
        <v/>
      </c>
      <c r="DB2" t="str">
        <f>=IF(DA2="Current WK","Next Week",IF(DATEVALUE(DB4)=$C$2-WEEKDAY($C$2,1)+1,"Current WK",""))</f>
        <v/>
      </c>
    </row>
    <row r="3" spans="1:106" x14ac:dyDescent="0.25">
      <c r="A3" s="1"/>
      <c r="B3" s="5" t="s">
        <v>4</v>
      </c>
      <c r="C3" t="s">
        <v>5</v>
      </c>
      <c r="D3" t="s">
        <v>6</v>
      </c>
      <c r="E3" t="s">
        <v>6</v>
      </c>
      <c r="F3" s="6" t="s">
        <v>6</v>
      </c>
      <c r="G3" t="s">
        <v>6</v>
      </c>
      <c r="H3" t="s">
        <v>7</v>
      </c>
      <c r="I3" t="s">
        <v>7</v>
      </c>
      <c r="J3" t="s">
        <v>7</v>
      </c>
      <c r="K3" t="s">
        <v>7</v>
      </c>
      <c r="L3" t="s">
        <v>8</v>
      </c>
      <c r="M3" t="s">
        <v>8</v>
      </c>
      <c r="N3" t="s">
        <v>8</v>
      </c>
      <c r="O3" t="s">
        <v>8</v>
      </c>
      <c r="P3" t="s">
        <v>8</v>
      </c>
      <c r="Q3" t="s">
        <v>9</v>
      </c>
      <c r="R3" t="s">
        <v>9</v>
      </c>
      <c r="S3" t="s">
        <v>9</v>
      </c>
      <c r="T3" t="s">
        <v>9</v>
      </c>
      <c r="U3" t="s">
        <v>10</v>
      </c>
      <c r="V3" t="s">
        <v>10</v>
      </c>
      <c r="W3" t="s">
        <v>10</v>
      </c>
      <c r="X3" t="s">
        <v>10</v>
      </c>
      <c r="Y3" t="s">
        <v>11</v>
      </c>
      <c r="Z3" t="s">
        <v>11</v>
      </c>
      <c r="AA3" t="s">
        <v>11</v>
      </c>
      <c r="AB3" t="s">
        <v>11</v>
      </c>
      <c r="AC3" t="s">
        <v>11</v>
      </c>
      <c r="AD3" t="s">
        <v>12</v>
      </c>
      <c r="AE3" t="s">
        <v>12</v>
      </c>
      <c r="AF3" t="s">
        <v>12</v>
      </c>
      <c r="AG3" t="s">
        <v>12</v>
      </c>
      <c r="AH3" t="s">
        <v>13</v>
      </c>
      <c r="AI3" t="s">
        <v>13</v>
      </c>
      <c r="AJ3" t="s">
        <v>13</v>
      </c>
      <c r="AK3" t="s">
        <v>13</v>
      </c>
      <c r="AL3" t="s">
        <v>14</v>
      </c>
      <c r="AM3" t="s">
        <v>14</v>
      </c>
      <c r="AN3" t="s">
        <v>14</v>
      </c>
      <c r="AO3" t="s">
        <v>14</v>
      </c>
      <c r="AP3" t="s">
        <v>14</v>
      </c>
      <c r="AQ3" t="s">
        <v>15</v>
      </c>
      <c r="AR3" t="s">
        <v>15</v>
      </c>
      <c r="AS3" t="s">
        <v>15</v>
      </c>
      <c r="AT3" t="s">
        <v>15</v>
      </c>
      <c r="AU3" t="s">
        <v>16</v>
      </c>
      <c r="AV3" t="s">
        <v>16</v>
      </c>
      <c r="AW3" t="s">
        <v>16</v>
      </c>
      <c r="AX3" t="s">
        <v>16</v>
      </c>
      <c r="AY3" t="s">
        <v>17</v>
      </c>
      <c r="AZ3" t="s">
        <v>17</v>
      </c>
      <c r="BA3" t="s">
        <v>17</v>
      </c>
      <c r="BB3" t="s">
        <v>17</v>
      </c>
      <c r="BC3" t="s">
        <v>17</v>
      </c>
      <c r="BD3" t="s">
        <v>18</v>
      </c>
      <c r="BE3" t="s">
        <v>18</v>
      </c>
      <c r="BF3" t="s">
        <v>18</v>
      </c>
      <c r="BG3" t="s">
        <v>18</v>
      </c>
      <c r="BH3" t="s">
        <v>19</v>
      </c>
      <c r="BI3" t="s">
        <v>19</v>
      </c>
      <c r="BJ3" t="s">
        <v>19</v>
      </c>
      <c r="BK3" t="s">
        <v>19</v>
      </c>
      <c r="BL3" t="s">
        <v>19</v>
      </c>
      <c r="BM3" t="s">
        <v>20</v>
      </c>
      <c r="BN3" t="s">
        <v>20</v>
      </c>
      <c r="BO3" t="s">
        <v>20</v>
      </c>
      <c r="BP3" t="s">
        <v>20</v>
      </c>
      <c r="BQ3" t="s">
        <v>21</v>
      </c>
      <c r="BR3" t="s">
        <v>21</v>
      </c>
      <c r="BS3" t="s">
        <v>21</v>
      </c>
      <c r="BT3" t="s">
        <v>21</v>
      </c>
      <c r="BU3" t="s">
        <v>22</v>
      </c>
      <c r="BV3" t="s">
        <v>22</v>
      </c>
      <c r="BW3" t="s">
        <v>22</v>
      </c>
      <c r="BX3" t="s">
        <v>22</v>
      </c>
      <c r="BY3" t="s">
        <v>22</v>
      </c>
      <c r="BZ3" t="s">
        <v>23</v>
      </c>
      <c r="CA3" t="s">
        <v>23</v>
      </c>
      <c r="CB3" t="s">
        <v>23</v>
      </c>
      <c r="CC3" t="s">
        <v>23</v>
      </c>
      <c r="CD3" t="s">
        <v>24</v>
      </c>
      <c r="CE3" t="s">
        <v>24</v>
      </c>
      <c r="CF3" t="s">
        <v>24</v>
      </c>
      <c r="CG3" t="s">
        <v>24</v>
      </c>
      <c r="CH3" t="s">
        <v>25</v>
      </c>
      <c r="CI3" t="s">
        <v>25</v>
      </c>
      <c r="CJ3" t="s">
        <v>25</v>
      </c>
      <c r="CK3" t="s">
        <v>25</v>
      </c>
      <c r="CL3" t="s">
        <v>26</v>
      </c>
      <c r="CM3" t="s">
        <v>26</v>
      </c>
      <c r="CN3" t="s">
        <v>26</v>
      </c>
      <c r="CO3" t="s">
        <v>26</v>
      </c>
      <c r="CP3" t="s">
        <v>26</v>
      </c>
      <c r="CQ3" t="s">
        <v>27</v>
      </c>
      <c r="CR3" t="s">
        <v>27</v>
      </c>
      <c r="CS3" t="s">
        <v>27</v>
      </c>
      <c r="CT3" t="s">
        <v>27</v>
      </c>
      <c r="CU3" t="s">
        <v>28</v>
      </c>
      <c r="CV3" t="s">
        <v>28</v>
      </c>
      <c r="CW3" t="s">
        <v>28</v>
      </c>
      <c r="CX3" t="s">
        <v>28</v>
      </c>
      <c r="CY3" t="s">
        <v>28</v>
      </c>
      <c r="CZ3" t="s">
        <v>29</v>
      </c>
      <c r="DA3" t="s">
        <v>29</v>
      </c>
      <c r="DB3" t="s">
        <v>29</v>
      </c>
    </row>
    <row r="4" spans="1:106" x14ac:dyDescent="0.25">
      <c r="A4" s="1"/>
      <c r="B4" s="5" t="s">
        <v>30</v>
      </c>
      <c r="C4" s="7" t="s">
        <v>31</v>
      </c>
      <c r="D4" s="7" t="s">
        <v>32</v>
      </c>
      <c r="E4" s="7" t="s">
        <v>33</v>
      </c>
      <c r="F4" s="7" t="s">
        <v>34</v>
      </c>
      <c r="G4" s="7" t="s">
        <v>35</v>
      </c>
      <c r="H4" s="7" t="s">
        <v>36</v>
      </c>
      <c r="I4" s="7" t="s">
        <v>37</v>
      </c>
      <c r="J4" s="7" t="s">
        <v>38</v>
      </c>
      <c r="K4" s="7" t="s">
        <v>39</v>
      </c>
      <c r="L4" s="7" t="s">
        <v>40</v>
      </c>
      <c r="M4" s="7" t="s">
        <v>41</v>
      </c>
      <c r="N4" s="7" t="s">
        <v>42</v>
      </c>
      <c r="O4" s="7" t="s">
        <v>43</v>
      </c>
      <c r="P4" s="7" t="s">
        <v>44</v>
      </c>
      <c r="Q4" s="7" t="s">
        <v>45</v>
      </c>
      <c r="R4" s="7" t="s">
        <v>46</v>
      </c>
      <c r="S4" s="7" t="s">
        <v>47</v>
      </c>
      <c r="T4" s="7" t="s">
        <v>48</v>
      </c>
      <c r="U4" s="7" t="s">
        <v>49</v>
      </c>
      <c r="V4" s="7" t="s">
        <v>50</v>
      </c>
      <c r="W4" s="7" t="s">
        <v>51</v>
      </c>
      <c r="X4" s="7" t="s">
        <v>52</v>
      </c>
      <c r="Y4" s="7" t="s">
        <v>53</v>
      </c>
      <c r="Z4" s="7" t="s">
        <v>54</v>
      </c>
      <c r="AA4" s="7" t="s">
        <v>55</v>
      </c>
      <c r="AB4" s="7" t="s">
        <v>56</v>
      </c>
      <c r="AC4" s="7" t="s">
        <v>57</v>
      </c>
      <c r="AD4" s="7" t="s">
        <v>58</v>
      </c>
      <c r="AE4" s="7" t="s">
        <v>59</v>
      </c>
      <c r="AF4" s="7" t="s">
        <v>60</v>
      </c>
      <c r="AG4" s="7" t="s">
        <v>61</v>
      </c>
      <c r="AH4" s="7" t="s">
        <v>62</v>
      </c>
      <c r="AI4" s="7" t="s">
        <v>63</v>
      </c>
      <c r="AJ4" s="7" t="s">
        <v>64</v>
      </c>
      <c r="AK4" s="7" t="s">
        <v>65</v>
      </c>
      <c r="AL4" s="7" t="s">
        <v>66</v>
      </c>
      <c r="AM4" s="7" t="s">
        <v>67</v>
      </c>
      <c r="AN4" s="7" t="s">
        <v>68</v>
      </c>
      <c r="AO4" s="7" t="s">
        <v>69</v>
      </c>
      <c r="AP4" s="7" t="s">
        <v>70</v>
      </c>
      <c r="AQ4" s="7" t="s">
        <v>71</v>
      </c>
      <c r="AR4" s="7" t="s">
        <v>72</v>
      </c>
      <c r="AS4" s="7" t="s">
        <v>73</v>
      </c>
      <c r="AT4" s="7" t="s">
        <v>74</v>
      </c>
      <c r="AU4" s="7" t="s">
        <v>75</v>
      </c>
      <c r="AV4" s="7" t="s">
        <v>76</v>
      </c>
      <c r="AW4" s="7" t="s">
        <v>77</v>
      </c>
      <c r="AX4" s="7" t="s">
        <v>78</v>
      </c>
      <c r="AY4" s="7" t="s">
        <v>79</v>
      </c>
      <c r="AZ4" s="7" t="s">
        <v>80</v>
      </c>
      <c r="BA4" s="7" t="s">
        <v>81</v>
      </c>
      <c r="BB4" s="7" t="s">
        <v>82</v>
      </c>
      <c r="BC4" s="7" t="s">
        <v>83</v>
      </c>
      <c r="BD4" s="7" t="s">
        <v>84</v>
      </c>
      <c r="BE4" s="7" t="s">
        <v>85</v>
      </c>
      <c r="BF4" s="7" t="s">
        <v>86</v>
      </c>
      <c r="BG4" s="7" t="s">
        <v>87</v>
      </c>
      <c r="BH4" s="7" t="s">
        <v>88</v>
      </c>
      <c r="BI4" s="7" t="s">
        <v>89</v>
      </c>
      <c r="BJ4" s="7" t="s">
        <v>90</v>
      </c>
      <c r="BK4" s="7" t="s">
        <v>91</v>
      </c>
      <c r="BL4" s="7" t="s">
        <v>92</v>
      </c>
      <c r="BM4" s="7" t="s">
        <v>93</v>
      </c>
      <c r="BN4" s="7" t="s">
        <v>94</v>
      </c>
      <c r="BO4" s="7" t="s">
        <v>95</v>
      </c>
      <c r="BP4" s="7" t="s">
        <v>96</v>
      </c>
      <c r="BQ4" s="7" t="s">
        <v>97</v>
      </c>
      <c r="BR4" s="7" t="s">
        <v>98</v>
      </c>
      <c r="BS4" s="7" t="s">
        <v>99</v>
      </c>
      <c r="BT4" s="7" t="s">
        <v>100</v>
      </c>
      <c r="BU4" s="7" t="s">
        <v>101</v>
      </c>
      <c r="BV4" s="7" t="s">
        <v>102</v>
      </c>
      <c r="BW4" s="7" t="s">
        <v>103</v>
      </c>
      <c r="BX4" s="7" t="s">
        <v>104</v>
      </c>
      <c r="BY4" s="7" t="s">
        <v>105</v>
      </c>
      <c r="BZ4" s="7" t="s">
        <v>106</v>
      </c>
      <c r="CA4" s="7" t="s">
        <v>107</v>
      </c>
      <c r="CB4" s="7" t="s">
        <v>108</v>
      </c>
      <c r="CC4" s="7" t="s">
        <v>109</v>
      </c>
      <c r="CD4" s="7" t="s">
        <v>110</v>
      </c>
      <c r="CE4" s="7" t="s">
        <v>111</v>
      </c>
      <c r="CF4" s="7" t="s">
        <v>112</v>
      </c>
      <c r="CG4" s="7" t="s">
        <v>113</v>
      </c>
      <c r="CH4" s="7" t="s">
        <v>114</v>
      </c>
      <c r="CI4" s="7" t="s">
        <v>115</v>
      </c>
      <c r="CJ4" s="7" t="s">
        <v>116</v>
      </c>
      <c r="CK4" s="7" t="s">
        <v>117</v>
      </c>
      <c r="CL4" s="7" t="s">
        <v>118</v>
      </c>
      <c r="CM4" s="7" t="s">
        <v>119</v>
      </c>
      <c r="CN4" s="7" t="s">
        <v>120</v>
      </c>
      <c r="CO4" s="7" t="s">
        <v>121</v>
      </c>
      <c r="CP4" s="7" t="s">
        <v>122</v>
      </c>
      <c r="CQ4" s="7" t="s">
        <v>123</v>
      </c>
      <c r="CR4" s="7" t="s">
        <v>124</v>
      </c>
      <c r="CS4" s="7" t="s">
        <v>125</v>
      </c>
      <c r="CT4" s="7" t="s">
        <v>126</v>
      </c>
      <c r="CU4" s="7" t="s">
        <v>127</v>
      </c>
      <c r="CV4" s="7" t="s">
        <v>128</v>
      </c>
      <c r="CW4" s="7" t="s">
        <v>129</v>
      </c>
      <c r="CX4" s="7" t="s">
        <v>130</v>
      </c>
      <c r="CY4" s="7" t="s">
        <v>131</v>
      </c>
      <c r="CZ4" s="7" t="s">
        <v>132</v>
      </c>
      <c r="DA4" s="7" t="s">
        <v>133</v>
      </c>
      <c r="DB4" s="7" t="s">
        <v>134</v>
      </c>
    </row>
    <row r="5" spans="1:106" x14ac:dyDescent="0.25">
      <c r="A5" s="1"/>
      <c r="B5" s="5" t="s">
        <v>135</v>
      </c>
      <c r="C5" s="8" t="s">
        <v>136</v>
      </c>
      <c r="D5" s="8" t="s">
        <v>137</v>
      </c>
      <c r="E5" s="8" t="s">
        <v>138</v>
      </c>
      <c r="F5" s="8" t="s">
        <v>139</v>
      </c>
      <c r="G5" s="8" t="s">
        <v>140</v>
      </c>
      <c r="H5" s="8" t="s">
        <v>141</v>
      </c>
      <c r="I5" s="8" t="s">
        <v>142</v>
      </c>
      <c r="J5" s="8" t="s">
        <v>143</v>
      </c>
      <c r="K5" s="8" t="s">
        <v>144</v>
      </c>
      <c r="L5" s="8" t="s">
        <v>145</v>
      </c>
      <c r="M5" s="8" t="s">
        <v>146</v>
      </c>
      <c r="N5" s="8" t="s">
        <v>147</v>
      </c>
      <c r="O5" s="8" t="s">
        <v>148</v>
      </c>
      <c r="P5" s="8" t="s">
        <v>149</v>
      </c>
      <c r="Q5" s="8" t="s">
        <v>150</v>
      </c>
      <c r="R5" s="8" t="s">
        <v>151</v>
      </c>
      <c r="S5" s="8" t="s">
        <v>152</v>
      </c>
      <c r="T5" s="8" t="s">
        <v>153</v>
      </c>
      <c r="U5" s="8" t="s">
        <v>154</v>
      </c>
      <c r="V5" s="8" t="s">
        <v>155</v>
      </c>
      <c r="W5" s="8" t="s">
        <v>156</v>
      </c>
      <c r="X5" s="8" t="s">
        <v>157</v>
      </c>
      <c r="Y5" s="8" t="s">
        <v>158</v>
      </c>
      <c r="Z5" s="8" t="s">
        <v>159</v>
      </c>
      <c r="AA5" s="8" t="s">
        <v>160</v>
      </c>
      <c r="AB5" s="8" t="s">
        <v>161</v>
      </c>
      <c r="AC5" s="8" t="s">
        <v>162</v>
      </c>
      <c r="AD5" s="8" t="s">
        <v>163</v>
      </c>
      <c r="AE5" s="8" t="s">
        <v>164</v>
      </c>
      <c r="AF5" s="8" t="s">
        <v>165</v>
      </c>
      <c r="AG5" s="8" t="s">
        <v>166</v>
      </c>
      <c r="AH5" s="8" t="s">
        <v>167</v>
      </c>
      <c r="AI5" s="8" t="s">
        <v>168</v>
      </c>
      <c r="AJ5" s="8" t="s">
        <v>169</v>
      </c>
      <c r="AK5" s="8" t="s">
        <v>170</v>
      </c>
      <c r="AL5" s="8" t="s">
        <v>171</v>
      </c>
      <c r="AM5" s="8" t="s">
        <v>172</v>
      </c>
      <c r="AN5" s="8" t="s">
        <v>173</v>
      </c>
      <c r="AO5" s="8" t="s">
        <v>174</v>
      </c>
      <c r="AP5" s="8" t="s">
        <v>175</v>
      </c>
      <c r="AQ5" s="8" t="s">
        <v>176</v>
      </c>
      <c r="AR5" s="8" t="s">
        <v>177</v>
      </c>
      <c r="AS5" s="8" t="s">
        <v>178</v>
      </c>
      <c r="AT5" s="8" t="s">
        <v>179</v>
      </c>
      <c r="AU5" s="8" t="s">
        <v>180</v>
      </c>
      <c r="AV5" s="8" t="s">
        <v>181</v>
      </c>
      <c r="AW5" s="8" t="s">
        <v>182</v>
      </c>
      <c r="AX5" s="8" t="s">
        <v>183</v>
      </c>
      <c r="AY5" s="8" t="s">
        <v>184</v>
      </c>
      <c r="AZ5" s="8" t="s">
        <v>185</v>
      </c>
      <c r="BA5" s="8" t="s">
        <v>186</v>
      </c>
      <c r="BB5" s="8" t="s">
        <v>187</v>
      </c>
      <c r="BC5" s="8" t="s">
        <v>188</v>
      </c>
      <c r="BD5" s="8" t="s">
        <v>189</v>
      </c>
      <c r="BE5" s="8" t="s">
        <v>190</v>
      </c>
      <c r="BF5" s="8" t="s">
        <v>191</v>
      </c>
      <c r="BG5" s="8" t="s">
        <v>192</v>
      </c>
      <c r="BH5" s="8" t="s">
        <v>193</v>
      </c>
      <c r="BI5" s="8" t="s">
        <v>194</v>
      </c>
      <c r="BJ5" s="8" t="s">
        <v>195</v>
      </c>
      <c r="BK5" s="8" t="s">
        <v>196</v>
      </c>
      <c r="BL5" s="8" t="s">
        <v>197</v>
      </c>
      <c r="BM5" s="8" t="s">
        <v>198</v>
      </c>
      <c r="BN5" s="8" t="s">
        <v>199</v>
      </c>
      <c r="BO5" s="8" t="s">
        <v>200</v>
      </c>
      <c r="BP5" s="8" t="s">
        <v>201</v>
      </c>
      <c r="BQ5" s="8" t="s">
        <v>202</v>
      </c>
      <c r="BR5" s="8" t="s">
        <v>203</v>
      </c>
      <c r="BS5" s="8" t="s">
        <v>204</v>
      </c>
      <c r="BT5" s="8" t="s">
        <v>205</v>
      </c>
      <c r="BU5" s="8" t="s">
        <v>206</v>
      </c>
      <c r="BV5" s="8" t="s">
        <v>207</v>
      </c>
      <c r="BW5" s="8" t="s">
        <v>208</v>
      </c>
      <c r="BX5" s="8" t="s">
        <v>209</v>
      </c>
      <c r="BY5" s="8" t="s">
        <v>210</v>
      </c>
      <c r="BZ5" s="8" t="s">
        <v>211</v>
      </c>
      <c r="CA5" s="8" t="s">
        <v>212</v>
      </c>
      <c r="CB5" s="8" t="s">
        <v>213</v>
      </c>
      <c r="CC5" s="8" t="s">
        <v>214</v>
      </c>
      <c r="CD5" s="8" t="s">
        <v>215</v>
      </c>
      <c r="CE5" s="8" t="s">
        <v>216</v>
      </c>
      <c r="CF5" s="8" t="s">
        <v>217</v>
      </c>
      <c r="CG5" s="8" t="s">
        <v>218</v>
      </c>
      <c r="CH5" s="8" t="s">
        <v>219</v>
      </c>
      <c r="CI5" s="8" t="s">
        <v>220</v>
      </c>
      <c r="CJ5" s="8" t="s">
        <v>221</v>
      </c>
      <c r="CK5" s="8" t="s">
        <v>222</v>
      </c>
      <c r="CL5" s="8" t="s">
        <v>223</v>
      </c>
      <c r="CM5" s="8" t="s">
        <v>224</v>
      </c>
      <c r="CN5" s="8" t="s">
        <v>225</v>
      </c>
      <c r="CO5" s="8" t="s">
        <v>226</v>
      </c>
      <c r="CP5" s="8" t="s">
        <v>227</v>
      </c>
      <c r="CQ5" s="8" t="s">
        <v>228</v>
      </c>
      <c r="CR5" s="8" t="s">
        <v>229</v>
      </c>
      <c r="CS5" s="8" t="s">
        <v>230</v>
      </c>
      <c r="CT5" s="8" t="s">
        <v>231</v>
      </c>
      <c r="CU5" s="8" t="s">
        <v>232</v>
      </c>
      <c r="CV5" s="8" t="s">
        <v>233</v>
      </c>
      <c r="CW5" s="8" t="s">
        <v>234</v>
      </c>
      <c r="CX5" s="8" t="s">
        <v>235</v>
      </c>
      <c r="CY5" s="8" t="s">
        <v>236</v>
      </c>
      <c r="CZ5" s="8" t="s">
        <v>237</v>
      </c>
      <c r="DA5" s="8" t="s">
        <v>238</v>
      </c>
      <c r="DB5" s="8" t="s">
        <v>239</v>
      </c>
    </row>
    <row r="6" spans="1:106" x14ac:dyDescent="0.25">
      <c r="A6" s="9" t="s">
        <v>240</v>
      </c>
      <c r="B6" s="10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</row>
    <row r="7" ht="15" customHeight="1" spans="1:106" x14ac:dyDescent="0.25">
      <c r="A7" s="12" t="s">
        <v>241</v>
      </c>
      <c r="B7" s="13"/>
      <c r="C7" s="74">
        <v>4</v>
      </c>
      <c r="D7" s="74">
        <v>4</v>
      </c>
      <c r="E7" s="74">
        <v>4</v>
      </c>
      <c r="F7" s="74">
        <v>4</v>
      </c>
      <c r="G7" s="74">
        <v>4</v>
      </c>
      <c r="H7" s="74">
        <v>4</v>
      </c>
      <c r="I7" s="74">
        <v>4</v>
      </c>
      <c r="J7" s="74">
        <v>4</v>
      </c>
      <c r="K7" s="74">
        <v>4</v>
      </c>
      <c r="L7" s="74">
        <v>4</v>
      </c>
      <c r="M7" s="74">
        <v>4</v>
      </c>
      <c r="N7" s="74">
        <v>4</v>
      </c>
      <c r="O7" s="74">
        <v>4</v>
      </c>
      <c r="P7" s="74">
        <v>4</v>
      </c>
      <c r="Q7" s="74">
        <v>4</v>
      </c>
      <c r="R7" s="74">
        <v>4</v>
      </c>
      <c r="S7" s="74">
        <v>4</v>
      </c>
      <c r="T7" s="74">
        <v>4</v>
      </c>
      <c r="U7" s="74">
        <v>4</v>
      </c>
      <c r="V7" s="74">
        <v>4</v>
      </c>
      <c r="W7" s="74">
        <v>4</v>
      </c>
      <c r="X7" s="74">
        <v>4</v>
      </c>
      <c r="Y7" s="74">
        <v>4</v>
      </c>
      <c r="Z7" s="74">
        <v>4</v>
      </c>
      <c r="AA7" s="74">
        <v>4</v>
      </c>
      <c r="AB7" s="74">
        <v>4</v>
      </c>
      <c r="AC7" s="74">
        <v>4</v>
      </c>
      <c r="AD7" s="74">
        <v>4</v>
      </c>
      <c r="AE7" s="74">
        <v>4</v>
      </c>
      <c r="AF7" s="74">
        <v>4</v>
      </c>
      <c r="AG7" s="74">
        <v>4</v>
      </c>
      <c r="AH7" s="74">
        <v>4</v>
      </c>
      <c r="AI7" s="74">
        <v>4</v>
      </c>
      <c r="AJ7" s="74">
        <v>4</v>
      </c>
      <c r="AK7" s="74">
        <v>5</v>
      </c>
      <c r="AL7" s="74">
        <v>5</v>
      </c>
      <c r="AM7" s="74">
        <v>5</v>
      </c>
      <c r="AN7" s="74">
        <v>5</v>
      </c>
      <c r="AO7" s="74">
        <v>5</v>
      </c>
      <c r="AP7" s="74">
        <v>5</v>
      </c>
      <c r="AQ7" s="74">
        <v>5</v>
      </c>
      <c r="AR7" s="74">
        <v>5</v>
      </c>
      <c r="AS7" s="74">
        <v>5</v>
      </c>
      <c r="AT7" s="74">
        <v>5</v>
      </c>
      <c r="AU7" s="74">
        <v>5</v>
      </c>
      <c r="AV7" s="74">
        <v>5</v>
      </c>
      <c r="AW7" s="74">
        <v>5</v>
      </c>
      <c r="AX7" s="74">
        <v>5</v>
      </c>
      <c r="AY7" s="74">
        <v>5</v>
      </c>
      <c r="AZ7" s="74">
        <v>5</v>
      </c>
      <c r="BA7" s="74">
        <v>5</v>
      </c>
      <c r="BB7" s="74">
        <v>5</v>
      </c>
      <c r="BC7" s="74">
        <v>5</v>
      </c>
      <c r="BD7" s="74">
        <v>5</v>
      </c>
      <c r="BE7" s="74">
        <v>5</v>
      </c>
      <c r="BF7" s="74">
        <v>5</v>
      </c>
      <c r="BG7" s="74">
        <v>5</v>
      </c>
      <c r="BH7" s="74">
        <v>5</v>
      </c>
      <c r="BI7" s="74">
        <v>5</v>
      </c>
      <c r="BJ7" s="74">
        <v>5</v>
      </c>
      <c r="BK7" s="74">
        <v>5</v>
      </c>
      <c r="BL7" s="74">
        <v>5</v>
      </c>
      <c r="BM7" s="74">
        <v>5</v>
      </c>
      <c r="BN7" s="74">
        <v>5</v>
      </c>
      <c r="BO7" s="74">
        <v>5</v>
      </c>
      <c r="BP7" s="74">
        <v>4</v>
      </c>
      <c r="BQ7" s="74">
        <v>4</v>
      </c>
      <c r="BR7" s="74">
        <v>4</v>
      </c>
      <c r="BS7" s="74">
        <v>4</v>
      </c>
      <c r="BT7" s="74">
        <v>4</v>
      </c>
      <c r="BU7" s="74">
        <v>4</v>
      </c>
      <c r="BV7" s="74">
        <v>4</v>
      </c>
      <c r="BW7" s="74">
        <v>4</v>
      </c>
      <c r="BX7" s="74">
        <v>4</v>
      </c>
      <c r="BY7" s="74">
        <v>4</v>
      </c>
      <c r="BZ7" s="74">
        <v>4</v>
      </c>
      <c r="CA7" s="74">
        <v>4</v>
      </c>
      <c r="CB7" s="74">
        <v>4</v>
      </c>
      <c r="CC7" s="74">
        <v>4</v>
      </c>
      <c r="CD7" s="74">
        <v>4</v>
      </c>
      <c r="CE7" s="74">
        <v>4</v>
      </c>
      <c r="CF7" s="74">
        <v>4</v>
      </c>
      <c r="CG7" s="74">
        <v>4</v>
      </c>
      <c r="CH7" s="74">
        <v>4</v>
      </c>
      <c r="CI7" s="74">
        <v>4</v>
      </c>
      <c r="CJ7" s="74">
        <v>4</v>
      </c>
      <c r="CK7" s="74">
        <v>4</v>
      </c>
      <c r="CL7" s="74">
        <v>4</v>
      </c>
      <c r="CM7" s="74">
        <v>4</v>
      </c>
      <c r="CN7" s="74">
        <v>4</v>
      </c>
      <c r="CO7" s="74">
        <v>4</v>
      </c>
      <c r="CP7" s="74">
        <v>4</v>
      </c>
      <c r="CQ7" s="74">
        <v>4</v>
      </c>
      <c r="CR7" s="74">
        <v>4</v>
      </c>
      <c r="CS7" s="74">
        <v>4</v>
      </c>
      <c r="CT7" s="74">
        <v>4</v>
      </c>
      <c r="CU7" s="74">
        <v>4</v>
      </c>
      <c r="CV7" s="74">
        <v>4</v>
      </c>
      <c r="CW7" s="74">
        <v>4</v>
      </c>
      <c r="CX7" s="74">
        <v>4</v>
      </c>
      <c r="CY7" s="74">
        <v>4</v>
      </c>
      <c r="CZ7" s="74">
        <v>4</v>
      </c>
      <c r="DA7" s="74">
        <v>4</v>
      </c>
      <c r="DB7" s="74">
        <v>4</v>
      </c>
    </row>
    <row r="8" ht="15" customHeight="1" spans="1:106" x14ac:dyDescent="0.25">
      <c r="A8" s="12" t="s">
        <v>242</v>
      </c>
      <c r="B8" s="13"/>
      <c r="C8" s="74">
        <v>134</v>
      </c>
      <c r="D8" s="74">
        <v>134</v>
      </c>
      <c r="E8" s="74">
        <v>134</v>
      </c>
      <c r="F8" s="74">
        <v>134</v>
      </c>
      <c r="G8" s="74">
        <v>134</v>
      </c>
      <c r="H8" s="74">
        <v>134</v>
      </c>
      <c r="I8" s="74">
        <v>134</v>
      </c>
      <c r="J8" s="74">
        <v>134</v>
      </c>
      <c r="K8" s="74">
        <v>134</v>
      </c>
      <c r="L8" s="74">
        <v>134</v>
      </c>
      <c r="M8" s="74">
        <v>134</v>
      </c>
      <c r="N8" s="74">
        <v>134</v>
      </c>
      <c r="O8" s="74">
        <v>134</v>
      </c>
      <c r="P8" s="74">
        <v>134</v>
      </c>
      <c r="Q8" s="74">
        <v>134</v>
      </c>
      <c r="R8" s="74">
        <v>134</v>
      </c>
      <c r="S8" s="74">
        <v>134</v>
      </c>
      <c r="T8" s="74">
        <v>134</v>
      </c>
      <c r="U8" s="74">
        <v>134</v>
      </c>
      <c r="V8" s="74">
        <v>134</v>
      </c>
      <c r="W8" s="74">
        <v>134</v>
      </c>
      <c r="X8" s="74">
        <v>134</v>
      </c>
      <c r="Y8" s="74">
        <v>134</v>
      </c>
      <c r="Z8" s="74">
        <v>134</v>
      </c>
      <c r="AA8" s="74">
        <v>134</v>
      </c>
      <c r="AB8" s="74">
        <v>134</v>
      </c>
      <c r="AC8" s="74">
        <v>134</v>
      </c>
      <c r="AD8" s="74">
        <v>134</v>
      </c>
      <c r="AE8" s="74">
        <v>134</v>
      </c>
      <c r="AF8" s="74">
        <v>134</v>
      </c>
      <c r="AG8" s="74">
        <v>134</v>
      </c>
      <c r="AH8" s="74">
        <v>134</v>
      </c>
      <c r="AI8" s="74">
        <v>134</v>
      </c>
      <c r="AJ8" s="74">
        <v>134</v>
      </c>
      <c r="AK8" s="74">
        <v>168</v>
      </c>
      <c r="AL8" s="74">
        <v>168</v>
      </c>
      <c r="AM8" s="74">
        <v>168</v>
      </c>
      <c r="AN8" s="74">
        <v>168</v>
      </c>
      <c r="AO8" s="74">
        <v>168</v>
      </c>
      <c r="AP8" s="74">
        <v>168</v>
      </c>
      <c r="AQ8" s="74">
        <v>168</v>
      </c>
      <c r="AR8" s="74">
        <v>168</v>
      </c>
      <c r="AS8" s="74">
        <v>168</v>
      </c>
      <c r="AT8" s="74">
        <v>168</v>
      </c>
      <c r="AU8" s="74">
        <v>168</v>
      </c>
      <c r="AV8" s="74">
        <v>168</v>
      </c>
      <c r="AW8" s="74">
        <v>168</v>
      </c>
      <c r="AX8" s="74">
        <v>168</v>
      </c>
      <c r="AY8" s="74">
        <v>168</v>
      </c>
      <c r="AZ8" s="74">
        <v>168</v>
      </c>
      <c r="BA8" s="74">
        <v>168</v>
      </c>
      <c r="BB8" s="74">
        <v>168</v>
      </c>
      <c r="BC8" s="74">
        <v>168</v>
      </c>
      <c r="BD8" s="74">
        <v>168</v>
      </c>
      <c r="BE8" s="74">
        <v>168</v>
      </c>
      <c r="BF8" s="74">
        <v>168</v>
      </c>
      <c r="BG8" s="74">
        <v>168</v>
      </c>
      <c r="BH8" s="74">
        <v>168</v>
      </c>
      <c r="BI8" s="74">
        <v>168</v>
      </c>
      <c r="BJ8" s="74">
        <v>168</v>
      </c>
      <c r="BK8" s="74">
        <v>168</v>
      </c>
      <c r="BL8" s="74">
        <v>168</v>
      </c>
      <c r="BM8" s="74">
        <v>168</v>
      </c>
      <c r="BN8" s="74">
        <v>168</v>
      </c>
      <c r="BO8" s="74">
        <v>168</v>
      </c>
      <c r="BP8" s="74">
        <v>134</v>
      </c>
      <c r="BQ8" s="74">
        <v>134</v>
      </c>
      <c r="BR8" s="74">
        <v>134</v>
      </c>
      <c r="BS8" s="74">
        <v>134</v>
      </c>
      <c r="BT8" s="74">
        <v>134</v>
      </c>
      <c r="BU8" s="74">
        <v>134</v>
      </c>
      <c r="BV8" s="74">
        <v>134</v>
      </c>
      <c r="BW8" s="74">
        <v>134</v>
      </c>
      <c r="BX8" s="74">
        <v>134</v>
      </c>
      <c r="BY8" s="74">
        <v>134</v>
      </c>
      <c r="BZ8" s="74">
        <v>134</v>
      </c>
      <c r="CA8" s="74">
        <v>134</v>
      </c>
      <c r="CB8" s="74">
        <v>134</v>
      </c>
      <c r="CC8" s="74">
        <v>134</v>
      </c>
      <c r="CD8" s="74">
        <v>134</v>
      </c>
      <c r="CE8" s="74">
        <v>134</v>
      </c>
      <c r="CF8" s="74">
        <v>134</v>
      </c>
      <c r="CG8" s="74">
        <v>134</v>
      </c>
      <c r="CH8" s="74">
        <v>134</v>
      </c>
      <c r="CI8" s="74">
        <v>134</v>
      </c>
      <c r="CJ8" s="74">
        <v>134</v>
      </c>
      <c r="CK8" s="74">
        <v>134</v>
      </c>
      <c r="CL8" s="74">
        <v>134</v>
      </c>
      <c r="CM8" s="74">
        <v>134</v>
      </c>
      <c r="CN8" s="74">
        <v>134</v>
      </c>
      <c r="CO8" s="74">
        <v>134</v>
      </c>
      <c r="CP8" s="74">
        <v>134</v>
      </c>
      <c r="CQ8" s="74">
        <v>134</v>
      </c>
      <c r="CR8" s="74">
        <v>134</v>
      </c>
      <c r="CS8" s="74">
        <v>134</v>
      </c>
      <c r="CT8" s="74">
        <v>134</v>
      </c>
      <c r="CU8" s="74">
        <v>134</v>
      </c>
      <c r="CV8" s="74">
        <v>134</v>
      </c>
      <c r="CW8" s="74">
        <v>134</v>
      </c>
      <c r="CX8" s="74">
        <v>134</v>
      </c>
      <c r="CY8" s="74">
        <v>134</v>
      </c>
      <c r="CZ8" s="74">
        <v>134</v>
      </c>
      <c r="DA8" s="74">
        <v>134</v>
      </c>
      <c r="DB8" s="74">
        <v>134</v>
      </c>
    </row>
    <row r="9" ht="18" customHeight="1" spans="1:106" x14ac:dyDescent="0.25">
      <c r="A9" s="12" t="s">
        <v>243</v>
      </c>
      <c r="B9" s="13"/>
      <c r="C9" s="15">
        <f>=IFERROR(ROUND((C8/(C47*C48))/(1-C29)/C45,0),"")</f>
        <v>4</v>
      </c>
      <c r="D9" s="15">
        <f>=IFERROR(ROUND((D8/(D47*D48))/(1-D29)/D45,0),"")</f>
        <v>4</v>
      </c>
      <c r="E9" s="15">
        <f>=IFERROR(ROUND((E8/(E47*E48))/(1-E29)/E45,0),"")</f>
        <v>4</v>
      </c>
      <c r="F9" s="15">
        <f>=IFERROR(ROUND((F8/(F47*F48))/(1-F29)/F45,0),"")</f>
        <v>4</v>
      </c>
      <c r="G9" s="15">
        <f>=IFERROR(ROUND((G8/(G47*G48))/(1-G29)/G45,0),"")</f>
        <v>4</v>
      </c>
      <c r="H9" s="15">
        <f>=IFERROR(ROUND((H8/(H47*H48))/(1-H29)/H45,0),"")</f>
        <v>4</v>
      </c>
      <c r="I9" s="15">
        <f>=IFERROR(ROUND((I8/(I47*I48))/(1-I29)/I45,0),"")</f>
        <v>4</v>
      </c>
      <c r="J9" s="15">
        <f>=IFERROR(ROUND((J8/(J47*J48))/(1-J29)/J45,0),"")</f>
        <v>4</v>
      </c>
      <c r="K9" s="15">
        <f>=IFERROR(ROUND((K8/(K47*K48))/(1-K29)/K45,0),"")</f>
        <v>4</v>
      </c>
      <c r="L9" s="15">
        <f>=IFERROR(ROUND((L8/(L47*L48))/(1-L29)/L45,0),"")</f>
        <v>4</v>
      </c>
      <c r="M9" s="15">
        <f>=IFERROR(ROUND((M8/(M47*M48))/(1-M29)/M45,0),"")</f>
        <v>4</v>
      </c>
      <c r="N9" s="15">
        <f>=IFERROR(ROUND((N8/(N47*N48))/(1-N29)/N45,0),"")</f>
        <v>4</v>
      </c>
      <c r="O9" s="15">
        <f>=IFERROR(ROUND((O8/(O47*O48))/(1-O29)/O45,0),"")</f>
        <v>4</v>
      </c>
      <c r="P9" s="15">
        <f>=IFERROR(ROUND((P8/(P47*P48))/(1-P29)/P45,0),"")</f>
        <v>4</v>
      </c>
      <c r="Q9" s="15">
        <f>=IFERROR(ROUND((Q8/(Q47*Q48))/(1-Q29)/Q45,0),"")</f>
        <v>4</v>
      </c>
      <c r="R9" s="15">
        <f>=IFERROR(ROUND((R8/(R47*R48))/(1-R29)/R45,0),"")</f>
        <v>4</v>
      </c>
      <c r="S9" s="15">
        <f>=IFERROR(ROUND((S8/(S47*S48))/(1-S29)/S45,0),"")</f>
        <v>4</v>
      </c>
      <c r="T9" s="15">
        <f>=IFERROR(ROUND((T8/(T47*T48))/(1-T29)/T45,0),"")</f>
        <v>4</v>
      </c>
      <c r="U9" s="15">
        <f>=IFERROR(ROUND((U8/(U47*U48))/(1-U29)/U45,0),"")</f>
        <v>4</v>
      </c>
      <c r="V9" s="15">
        <f>=IFERROR(ROUND((V8/(V47*V48))/(1-V29)/V45,0),"")</f>
        <v>4</v>
      </c>
      <c r="W9" s="15">
        <f>=IFERROR(ROUND((W8/(W47*W48))/(1-W29)/W45,0),"")</f>
        <v>4</v>
      </c>
      <c r="X9" s="15">
        <f>=IFERROR(ROUND((X8/(X47*X48))/(1-X29)/X45,0),"")</f>
        <v>4</v>
      </c>
      <c r="Y9" s="15">
        <f>=IFERROR(ROUND((Y8/(Y47*Y48))/(1-Y29)/Y45,0),"")</f>
        <v>4</v>
      </c>
      <c r="Z9" s="15">
        <f>=IFERROR(ROUND((Z8/(Z47*Z48))/(1-Z29)/Z45,0),"")</f>
        <v>4</v>
      </c>
      <c r="AA9" s="15">
        <f>=IFERROR(ROUND((AA8/(AA47*AA48))/(1-AA29)/AA45,0),"")</f>
        <v>4</v>
      </c>
      <c r="AB9" s="15">
        <f>=IFERROR(ROUND((AB8/(AB47*AB48))/(1-AB29)/AB45,0),"")</f>
        <v>4</v>
      </c>
      <c r="AC9" s="15">
        <f>=IFERROR(ROUND((AC8/(AC47*AC48))/(1-AC29)/AC45,0),"")</f>
        <v>4</v>
      </c>
      <c r="AD9" s="15">
        <f>=IFERROR(ROUND((AD8/(AD47*AD48))/(1-AD29)/AD45,0),"")</f>
        <v>4</v>
      </c>
      <c r="AE9" s="15">
        <f>=IFERROR(ROUND((AE8/(AE47*AE48))/(1-AE29)/AE45,0),"")</f>
        <v>4</v>
      </c>
      <c r="AF9" s="15">
        <f>=IFERROR(ROUND((AF8/(AF47*AF48))/(1-AF29)/AF45,0),"")</f>
        <v>4</v>
      </c>
      <c r="AG9" s="15">
        <f>=IFERROR(ROUND((AG8/(AG47*AG48))/(1-AG29)/AG45,0),"")</f>
        <v>4</v>
      </c>
      <c r="AH9" s="15">
        <f>=IFERROR(ROUND((AH8/(AH47*AH48))/(1-AH29)/AH45,0),"")</f>
        <v>4</v>
      </c>
      <c r="AI9" s="15">
        <f>=IFERROR(ROUND((AI8/(AI47*AI48))/(1-AI29)/AI45,0),"")</f>
        <v>4</v>
      </c>
      <c r="AJ9" s="15">
        <f>=IFERROR(ROUND((AJ8/(AJ47*AJ48))/(1-AJ29)/AJ45,0),"")</f>
        <v>4</v>
      </c>
      <c r="AK9" s="15">
        <f>=IFERROR(ROUND((AK8/(AK47*AK48))/(1-AK29)/AK45,0),"")</f>
        <v>5</v>
      </c>
      <c r="AL9" s="15">
        <f>=IFERROR(ROUND((AL8/(AL47*AL48))/(1-AL29)/AL45,0),"")</f>
        <v>5</v>
      </c>
      <c r="AM9" s="15">
        <f>=IFERROR(ROUND((AM8/(AM47*AM48))/(1-AM29)/AM45,0),"")</f>
        <v>5</v>
      </c>
      <c r="AN9" s="15">
        <f>=IFERROR(ROUND((AN8/(AN47*AN48))/(1-AN29)/AN45,0),"")</f>
        <v>5</v>
      </c>
      <c r="AO9" s="15">
        <f>=IFERROR(ROUND((AO8/(AO47*AO48))/(1-AO29)/AO45,0),"")</f>
        <v>5</v>
      </c>
      <c r="AP9" s="15">
        <f>=IFERROR(ROUND((AP8/(AP47*AP48))/(1-AP29)/AP45,0),"")</f>
        <v>5</v>
      </c>
      <c r="AQ9" s="15">
        <f>=IFERROR(ROUND((AQ8/(AQ47*AQ48))/(1-AQ29)/AQ45,0),"")</f>
        <v>5</v>
      </c>
      <c r="AR9" s="15">
        <f>=IFERROR(ROUND((AR8/(AR47*AR48))/(1-AR29)/AR45,0),"")</f>
        <v>5</v>
      </c>
      <c r="AS9" s="15">
        <f>=IFERROR(ROUND((AS8/(AS47*AS48))/(1-AS29)/AS45,0),"")</f>
        <v>5</v>
      </c>
      <c r="AT9" s="15">
        <f>=IFERROR(ROUND((AT8/(AT47*AT48))/(1-AT29)/AT45,0),"")</f>
        <v>5</v>
      </c>
      <c r="AU9" s="15">
        <f>=IFERROR(ROUND((AU8/(AU47*AU48))/(1-AU29)/AU45,0),"")</f>
        <v>5</v>
      </c>
      <c r="AV9" s="15">
        <f>=IFERROR(ROUND((AV8/(AV47*AV48))/(1-AV29)/AV45,0),"")</f>
        <v>5</v>
      </c>
      <c r="AW9" s="15">
        <f>=IFERROR(ROUND((AW8/(AW47*AW48))/(1-AW29)/AW45,0),"")</f>
        <v>5</v>
      </c>
      <c r="AX9" s="15">
        <f>=IFERROR(ROUND((AX8/(AX47*AX48))/(1-AX29)/AX45,0),"")</f>
        <v>5</v>
      </c>
      <c r="AY9" s="15">
        <f>=IFERROR(ROUND((AY8/(AY47*AY48))/(1-AY29)/AY45,0),"")</f>
        <v>5</v>
      </c>
      <c r="AZ9" s="15">
        <f>=IFERROR(ROUND((AZ8/(AZ47*AZ48))/(1-AZ29)/AZ45,0),"")</f>
        <v>5</v>
      </c>
      <c r="BA9" s="15">
        <f>=IFERROR(ROUND((BA8/(BA47*BA48))/(1-BA29)/BA45,0),"")</f>
        <v>5</v>
      </c>
      <c r="BB9" s="15">
        <f>=IFERROR(ROUND((BB8/(BB47*BB48))/(1-BB29)/BB45,0),"")</f>
        <v>5</v>
      </c>
      <c r="BC9" s="15">
        <f>=IFERROR(ROUND((BC8/(BC47*BC48))/(1-BC29)/BC45,0),"")</f>
        <v>5</v>
      </c>
      <c r="BD9" s="15">
        <f>=IFERROR(ROUND((BD8/(BD47*BD48))/(1-BD29)/BD45,0),"")</f>
        <v>5</v>
      </c>
      <c r="BE9" s="15">
        <f>=IFERROR(ROUND((BE8/(BE47*BE48))/(1-BE29)/BE45,0),"")</f>
        <v>5</v>
      </c>
      <c r="BF9" s="15">
        <f>=IFERROR(ROUND((BF8/(BF47*BF48))/(1-BF29)/BF45,0),"")</f>
        <v>5</v>
      </c>
      <c r="BG9" s="15">
        <f>=IFERROR(ROUND((BG8/(BG47*BG48))/(1-BG29)/BG45,0),"")</f>
        <v>5</v>
      </c>
      <c r="BH9" s="15">
        <f>=IFERROR(ROUND((BH8/(BH47*BH48))/(1-BH29)/BH45,0),"")</f>
        <v>5</v>
      </c>
      <c r="BI9" s="15">
        <f>=IFERROR(ROUND((BI8/(BI47*BI48))/(1-BI29)/BI45,0),"")</f>
        <v>5</v>
      </c>
      <c r="BJ9" s="15">
        <f>=IFERROR(ROUND((BJ8/(BJ47*BJ48))/(1-BJ29)/BJ45,0),"")</f>
        <v>5</v>
      </c>
      <c r="BK9" s="15">
        <f>=IFERROR(ROUND((BK8/(BK47*BK48))/(1-BK29)/BK45,0),"")</f>
        <v>5</v>
      </c>
      <c r="BL9" s="15">
        <f>=IFERROR(ROUND((BL8/(BL47*BL48))/(1-BL29)/BL45,0),"")</f>
        <v>5</v>
      </c>
      <c r="BM9" s="15">
        <f>=IFERROR(ROUND((BM8/(BM47*BM48))/(1-BM29)/BM45,0),"")</f>
        <v>5</v>
      </c>
      <c r="BN9" s="15">
        <f>=IFERROR(ROUND((BN8/(BN47*BN48))/(1-BN29)/BN45,0),"")</f>
        <v>5</v>
      </c>
      <c r="BO9" s="15">
        <f>=IFERROR(ROUND((BO8/(BO47*BO48))/(1-BO29)/BO45,0),"")</f>
        <v>5</v>
      </c>
      <c r="BP9" s="15">
        <f>=IFERROR(ROUND((BP8/(BP47*BP48))/(1-BP29)/BP45,0),"")</f>
        <v>4</v>
      </c>
      <c r="BQ9" s="15">
        <f>=IFERROR(ROUND((BQ8/(BQ47*BQ48))/(1-BQ29)/BQ45,0),"")</f>
        <v>4</v>
      </c>
      <c r="BR9" s="15">
        <f>=IFERROR(ROUND((BR8/(BR47*BR48))/(1-BR29)/BR45,0),"")</f>
        <v>4</v>
      </c>
      <c r="BS9" s="15">
        <f>=IFERROR(ROUND((BS8/(BS47*BS48))/(1-BS29)/BS45,0),"")</f>
        <v>4</v>
      </c>
      <c r="BT9" s="15">
        <f>=IFERROR(ROUND((BT8/(BT47*BT48))/(1-BT29)/BT45,0),"")</f>
        <v>4</v>
      </c>
      <c r="BU9" s="15">
        <f>=IFERROR(ROUND((BU8/(BU47*BU48))/(1-BU29)/BU45,0),"")</f>
        <v>4</v>
      </c>
      <c r="BV9" s="15">
        <f>=IFERROR(ROUND((BV8/(BV47*BV48))/(1-BV29)/BV45,0),"")</f>
        <v>4</v>
      </c>
      <c r="BW9" s="15">
        <f>=IFERROR(ROUND((BW8/(BW47*BW48))/(1-BW29)/BW45,0),"")</f>
        <v>4</v>
      </c>
      <c r="BX9" s="15">
        <f>=IFERROR(ROUND((BX8/(BX47*BX48))/(1-BX29)/BX45,0),"")</f>
        <v>4</v>
      </c>
      <c r="BY9" s="15">
        <f>=IFERROR(ROUND((BY8/(BY47*BY48))/(1-BY29)/BY45,0),"")</f>
        <v>4</v>
      </c>
      <c r="BZ9" s="15">
        <f>=IFERROR(ROUND((BZ8/(BZ47*BZ48))/(1-BZ29)/BZ45,0),"")</f>
        <v>4</v>
      </c>
      <c r="CA9" s="15">
        <f>=IFERROR(ROUND((CA8/(CA47*CA48))/(1-CA29)/CA45,0),"")</f>
        <v>4</v>
      </c>
      <c r="CB9" s="15">
        <f>=IFERROR(ROUND((CB8/(CB47*CB48))/(1-CB29)/CB45,0),"")</f>
        <v>4</v>
      </c>
      <c r="CC9" s="15">
        <f>=IFERROR(ROUND((CC8/(CC47*CC48))/(1-CC29)/CC45,0),"")</f>
        <v>4</v>
      </c>
      <c r="CD9" s="15">
        <f>=IFERROR(ROUND((CD8/(CD47*CD48))/(1-CD29)/CD45,0),"")</f>
        <v>4</v>
      </c>
      <c r="CE9" s="15">
        <f>=IFERROR(ROUND((CE8/(CE47*CE48))/(1-CE29)/CE45,0),"")</f>
        <v>4</v>
      </c>
      <c r="CF9" s="15">
        <f>=IFERROR(ROUND((CF8/(CF47*CF48))/(1-CF29)/CF45,0),"")</f>
        <v>4</v>
      </c>
      <c r="CG9" s="15">
        <f>=IFERROR(ROUND((CG8/(CG47*CG48))/(1-CG29)/CG45,0),"")</f>
        <v>4</v>
      </c>
      <c r="CH9" s="15">
        <f>=IFERROR(ROUND((CH8/(CH47*CH48))/(1-CH29)/CH45,0),"")</f>
        <v>4</v>
      </c>
      <c r="CI9" s="15">
        <f>=IFERROR(ROUND((CI8/(CI47*CI48))/(1-CI29)/CI45,0),"")</f>
        <v>4</v>
      </c>
      <c r="CJ9" s="15">
        <f>=IFERROR(ROUND((CJ8/(CJ47*CJ48))/(1-CJ29)/CJ45,0),"")</f>
        <v>4</v>
      </c>
      <c r="CK9" s="15">
        <f>=IFERROR(ROUND((CK8/(CK47*CK48))/(1-CK29)/CK45,0),"")</f>
        <v>4</v>
      </c>
      <c r="CL9" s="15">
        <f>=IFERROR(ROUND((CL8/(CL47*CL48))/(1-CL29)/CL45,0),"")</f>
        <v>4</v>
      </c>
      <c r="CM9" s="15">
        <f>=IFERROR(ROUND((CM8/(CM47*CM48))/(1-CM29)/CM45,0),"")</f>
        <v>4</v>
      </c>
      <c r="CN9" s="15">
        <f>=IFERROR(ROUND((CN8/(CN47*CN48))/(1-CN29)/CN45,0),"")</f>
        <v>4</v>
      </c>
      <c r="CO9" s="15">
        <f>=IFERROR(ROUND((CO8/(CO47*CO48))/(1-CO29)/CO45,0),"")</f>
        <v>4</v>
      </c>
      <c r="CP9" s="15">
        <f>=IFERROR(ROUND((CP8/(CP47*CP48))/(1-CP29)/CP45,0),"")</f>
        <v>4</v>
      </c>
      <c r="CQ9" s="15">
        <f>=IFERROR(ROUND((CQ8/(CQ47*CQ48))/(1-CQ29)/CQ45,0),"")</f>
        <v>4</v>
      </c>
      <c r="CR9" s="15">
        <f>=IFERROR(ROUND((CR8/(CR47*CR48))/(1-CR29)/CR45,0),"")</f>
        <v>4</v>
      </c>
      <c r="CS9" s="15">
        <f>=IFERROR(ROUND((CS8/(CS47*CS48))/(1-CS29)/CS45,0),"")</f>
        <v>4</v>
      </c>
      <c r="CT9" s="15">
        <f>=IFERROR(ROUND((CT8/(CT47*CT48))/(1-CT29)/CT45,0),"")</f>
        <v>4</v>
      </c>
      <c r="CU9" s="15">
        <f>=IFERROR(ROUND((CU8/(CU47*CU48))/(1-CU29)/CU45,0),"")</f>
        <v>4</v>
      </c>
      <c r="CV9" s="15">
        <f>=IFERROR(ROUND((CV8/(CV47*CV48))/(1-CV29)/CV45,0),"")</f>
        <v>4</v>
      </c>
      <c r="CW9" s="15">
        <f>=IFERROR(ROUND((CW8/(CW47*CW48))/(1-CW29)/CW45,0),"")</f>
        <v>4</v>
      </c>
      <c r="CX9" s="15">
        <f>=IFERROR(ROUND((CX8/(CX47*CX48))/(1-CX29)/CX45,0),"")</f>
        <v>4</v>
      </c>
      <c r="CY9" s="15">
        <f>=IFERROR(ROUND((CY8/(CY47*CY48))/(1-CY29)/CY45,0),"")</f>
        <v>4</v>
      </c>
      <c r="CZ9" s="15">
        <f>=IFERROR(ROUND((CZ8/(CZ47*CZ48))/(1-CZ29)/CZ45,0),"")</f>
        <v>4</v>
      </c>
      <c r="DA9" s="15">
        <f>=IFERROR(ROUND((DA8/(DA47*DA48))/(1-DA29)/DA45,0),"")</f>
        <v>4</v>
      </c>
      <c r="DB9" s="15">
        <f>=IFERROR(ROUND((DB8/(DB47*DB48))/(1-DB29)/DB45,0),"")</f>
        <v>4</v>
      </c>
    </row>
    <row r="10" ht="15" customHeight="1" spans="1:106" x14ac:dyDescent="0.25">
      <c r="A10" s="16" t="s">
        <v>244</v>
      </c>
      <c r="B10" s="17"/>
      <c r="C10" s="18">
        <f>=IFERROR(C19+C22+C23,0)</f>
        <v>4</v>
      </c>
      <c r="D10" s="18">
        <f>=IFERROR(D19+D22+D23,0)</f>
        <v>4</v>
      </c>
      <c r="E10" s="18">
        <f>=IFERROR(E19+E22+E23,0)</f>
        <v>4</v>
      </c>
      <c r="F10" s="18">
        <f>=IFERROR(F19+F22+F23,0)</f>
        <v>4</v>
      </c>
      <c r="G10" s="18">
        <f>=IFERROR(G19+G22+G23,0)</f>
        <v>4</v>
      </c>
      <c r="H10" s="18">
        <f>=IFERROR(H19+H22+H23,0)</f>
        <v>4</v>
      </c>
      <c r="I10" s="18">
        <f>=IFERROR(I19+I22+I23,0)</f>
        <v>4</v>
      </c>
      <c r="J10" s="18">
        <f>=IFERROR(J19+J22+J23,0)</f>
        <v>4</v>
      </c>
      <c r="K10" s="18">
        <f>=IFERROR(K19+K22+K23,0)</f>
        <v>4</v>
      </c>
      <c r="L10" s="18">
        <f>=IFERROR(L19+L22+L23,0)</f>
        <v>4</v>
      </c>
      <c r="M10" s="18">
        <f>=IFERROR(M19+M22+M23,0)</f>
        <v>4</v>
      </c>
      <c r="N10" s="18">
        <f>=IFERROR(N19+N22+N23,0)</f>
        <v>4</v>
      </c>
      <c r="O10" s="18">
        <f>=IFERROR(O19+O22+O23,0)</f>
        <v>4</v>
      </c>
      <c r="P10" s="18">
        <f>=IFERROR(P19+P22+P23,0)</f>
        <v>4</v>
      </c>
      <c r="Q10" s="18">
        <f>=IFERROR(Q19+Q22+Q23,0)</f>
        <v>4</v>
      </c>
      <c r="R10" s="18">
        <f>=IFERROR(R19+R22+R23,0)</f>
        <v>4</v>
      </c>
      <c r="S10" s="18">
        <f>=IFERROR(S19+S22+S23,0)</f>
        <v>4</v>
      </c>
      <c r="T10" s="18">
        <f>=IFERROR(T19+T22+T23,0)</f>
        <v>4</v>
      </c>
      <c r="U10" s="18">
        <f>=IFERROR(U19+U22+U23,0)</f>
        <v>4</v>
      </c>
      <c r="V10" s="18">
        <f>=IFERROR(V19+V22+V23,0)</f>
        <v>4</v>
      </c>
      <c r="W10" s="18">
        <f>=IFERROR(W19+W22+W23,0)</f>
        <v>4</v>
      </c>
      <c r="X10" s="18">
        <f>=IFERROR(X19+X22+X23,0)</f>
        <v>4</v>
      </c>
      <c r="Y10" s="18">
        <f>=IFERROR(Y19+Y22+Y23,0)</f>
        <v>4</v>
      </c>
      <c r="Z10" s="18">
        <f>=IFERROR(Z19+Z22+Z23,0)</f>
        <v>4</v>
      </c>
      <c r="AA10" s="18">
        <f>=IFERROR(AA19+AA22+AA23,0)</f>
        <v>4</v>
      </c>
      <c r="AB10" s="18">
        <f>=IFERROR(AB19+AB22+AB23,0)</f>
        <v>4</v>
      </c>
      <c r="AC10" s="18">
        <f>=IFERROR(AC19+AC22+AC23,0)</f>
        <v>4</v>
      </c>
      <c r="AD10" s="18">
        <f>=IFERROR(AD19+AD22+AD23,0)</f>
        <v>4</v>
      </c>
      <c r="AE10" s="18">
        <f>=IFERROR(AE19+AE22+AE23,0)</f>
        <v>6</v>
      </c>
      <c r="AF10" s="18">
        <f>=IFERROR(AF19+AF22+AF23,0)</f>
        <v>9</v>
      </c>
      <c r="AG10" s="18">
        <f>=IFERROR(AG19+AG22+AG23,0)</f>
        <v>9</v>
      </c>
      <c r="AH10" s="18">
        <f>=IFERROR(AH19+AH22+AH23,0)</f>
        <v>4</v>
      </c>
      <c r="AI10" s="18">
        <f>=IFERROR(AI19+AI22+AI23,0)</f>
        <v>4</v>
      </c>
      <c r="AJ10" s="18">
        <f>=IFERROR(AJ19+AJ22+AJ23,0)</f>
        <v>4</v>
      </c>
      <c r="AK10" s="18">
        <f>=IFERROR(AK19+AK22+AK23,0)</f>
        <v>5</v>
      </c>
      <c r="AL10" s="18">
        <f>=IFERROR(AL19+AL22+AL23,0)</f>
        <v>10</v>
      </c>
      <c r="AM10" s="18">
        <f>=IFERROR(AM19+AM22+AM23,0)</f>
        <v>10</v>
      </c>
      <c r="AN10" s="18">
        <f>=IFERROR(AN19+AN22+AN23,0)</f>
        <v>10</v>
      </c>
      <c r="AO10" s="18">
        <f>=IFERROR(AO19+AO22+AO23,0)</f>
        <v>8</v>
      </c>
      <c r="AP10" s="18">
        <f>=IFERROR(AP19+AP22+AP23,0)</f>
        <v>8</v>
      </c>
      <c r="AQ10" s="18">
        <f>=IFERROR(AQ19+AQ22+AQ23,0)</f>
        <v>8</v>
      </c>
      <c r="AR10" s="18">
        <f>=IFERROR(AR19+AR22+AR23,0)</f>
        <v>8</v>
      </c>
      <c r="AS10" s="18">
        <f>=IFERROR(AS19+AS22+AS23,0)</f>
        <v>5</v>
      </c>
      <c r="AT10" s="18">
        <f>=IFERROR(AT19+AT22+AT23,0)</f>
        <v>5</v>
      </c>
      <c r="AU10" s="18">
        <f>=IFERROR(AU19+AU22+AU23,0)</f>
        <v>5</v>
      </c>
      <c r="AV10" s="18">
        <f>=IFERROR(AV19+AV22+AV23,0)</f>
        <v>5</v>
      </c>
      <c r="AW10" s="18">
        <f>=IFERROR(AW19+AW22+AW23,0)</f>
        <v>5</v>
      </c>
      <c r="AX10" s="18">
        <f>=IFERROR(AX19+AX22+AX23,0)</f>
        <v>5</v>
      </c>
      <c r="AY10" s="18">
        <f>=IFERROR(AY19+AY22+AY23,0)</f>
        <v>5</v>
      </c>
      <c r="AZ10" s="18">
        <f>=IFERROR(AZ19+AZ22+AZ23,0)</f>
        <v>5</v>
      </c>
      <c r="BA10" s="18">
        <f>=IFERROR(BA19+BA22+BA23,0)</f>
        <v>5</v>
      </c>
      <c r="BB10" s="18">
        <f>=IFERROR(BB19+BB22+BB23,0)</f>
        <v>5</v>
      </c>
      <c r="BC10" s="18">
        <f>=IFERROR(BC19+BC22+BC23,0)</f>
        <v>5</v>
      </c>
      <c r="BD10" s="18">
        <f>=IFERROR(BD19+BD22+BD23,0)</f>
        <v>5</v>
      </c>
      <c r="BE10" s="18">
        <f>=IFERROR(BE19+BE22+BE23,0)</f>
        <v>5</v>
      </c>
      <c r="BF10" s="18">
        <f>=IFERROR(BF19+BF22+BF23,0)</f>
        <v>5</v>
      </c>
      <c r="BG10" s="18">
        <f>=IFERROR(BG19+BG22+BG23,0)</f>
        <v>5</v>
      </c>
      <c r="BH10" s="18">
        <f>=IFERROR(BH19+BH22+BH23,0)</f>
        <v>5</v>
      </c>
      <c r="BI10" s="18">
        <f>=IFERROR(BI19+BI22+BI23,0)</f>
        <v>5</v>
      </c>
      <c r="BJ10" s="18">
        <f>=IFERROR(BJ19+BJ22+BJ23,0)</f>
        <v>5</v>
      </c>
      <c r="BK10" s="18">
        <f>=IFERROR(BK19+BK22+BK23,0)</f>
        <v>5</v>
      </c>
      <c r="BL10" s="18">
        <f>=IFERROR(BL19+BL22+BL23,0)</f>
        <v>5</v>
      </c>
      <c r="BM10" s="18">
        <f>=IFERROR(BM19+BM22+BM23,0)</f>
        <v>5</v>
      </c>
      <c r="BN10" s="18">
        <f>=IFERROR(BN19+BN22+BN23,0)</f>
        <v>4.925</v>
      </c>
      <c r="BO10" s="18">
        <f>=IFERROR(BO19+BO22+BO23,0)</f>
        <v>4.851125</v>
      </c>
      <c r="BP10" s="18">
        <f>=IFERROR(BP19+BP22+BP23,0)</f>
        <v>4.778358125</v>
      </c>
      <c r="BQ10" s="18">
        <f>=IFERROR(BQ19+BQ22+BQ23,0)</f>
        <v>4.706682753125</v>
      </c>
      <c r="BR10" s="18">
        <f>=IFERROR(BR19+BR22+BR23,0)</f>
        <v>4.636082511828124</v>
      </c>
      <c r="BS10" s="18">
        <f>=IFERROR(BS19+BS22+BS23,0)</f>
        <v>4.566541274150702</v>
      </c>
      <c r="BT10" s="18">
        <f>=IFERROR(BT19+BT22+BT23,0)</f>
        <v>4.498043155038442</v>
      </c>
      <c r="BU10" s="18">
        <f>=IFERROR(BU19+BU22+BU23,0)</f>
        <v>4.430572507712866</v>
      </c>
      <c r="BV10" s="18">
        <f>=IFERROR(BV19+BV22+BV23,0)</f>
        <v>4.364113920097173</v>
      </c>
      <c r="BW10" s="18">
        <f>=IFERROR(BW19+BW22+BW23,0)</f>
        <v>4.298652211295716</v>
      </c>
      <c r="BX10" s="18">
        <f>=IFERROR(BX19+BX22+BX23,0)</f>
        <v>4.23417242812628</v>
      </c>
      <c r="BY10" s="18">
        <f>=IFERROR(BY19+BY22+BY23,0)</f>
        <v>4.170659841704386</v>
      </c>
      <c r="BZ10" s="18">
        <f>=IFERROR(BZ19+BZ22+BZ23,0)</f>
        <v>4.108099944078821</v>
      </c>
      <c r="CA10" s="18">
        <f>=IFERROR(CA19+CA22+CA23,0)</f>
        <v>4.046478444917639</v>
      </c>
      <c r="CB10" s="18">
        <f>=IFERROR(CB19+CB22+CB23,0)</f>
        <v>3.9857812682438745</v>
      </c>
      <c r="CC10" s="18">
        <f>=IFERROR(CC19+CC22+CC23,0)</f>
        <v>3.925994549220216</v>
      </c>
      <c r="CD10" s="18">
        <f>=IFERROR(CD19+CD22+CD23,0)</f>
        <v>3.867104630981912</v>
      </c>
      <c r="CE10" s="18">
        <f>=IFERROR(CE19+CE22+CE23,0)</f>
        <v>3.809098061517183</v>
      </c>
      <c r="CF10" s="18">
        <f>=IFERROR(CF19+CF22+CF23,0)</f>
        <v>3.7519615905944255</v>
      </c>
      <c r="CG10" s="18">
        <f>=IFERROR(CG19+CG22+CG23,0)</f>
        <v>3.6956821667355095</v>
      </c>
      <c r="CH10" s="18">
        <f>=IFERROR(CH19+CH22+CH23,0)</f>
        <v>3.6402469342344768</v>
      </c>
      <c r="CI10" s="18">
        <f>=IFERROR(CI19+CI22+CI23,0)</f>
        <v>3.5856432302209593</v>
      </c>
      <c r="CJ10" s="18">
        <f>=IFERROR(CJ19+CJ22+CJ23,0)</f>
        <v>3.5318585817676444</v>
      </c>
      <c r="CK10" s="18">
        <f>=IFERROR(CK19+CK22+CK23,0)</f>
        <v>3.4788807030411295</v>
      </c>
      <c r="CL10" s="18">
        <f>=IFERROR(CL19+CL22+CL23,0)</f>
        <v>3.426697492495512</v>
      </c>
      <c r="CM10" s="18">
        <f>=IFERROR(CM19+CM22+CM23,0)</f>
        <v>3.3752970301080794</v>
      </c>
      <c r="CN10" s="18">
        <f>=IFERROR(CN19+CN22+CN23,0)</f>
        <v>3.324667574656458</v>
      </c>
      <c r="CO10" s="18">
        <f>=IFERROR(CO19+CO22+CO23,0)</f>
        <v>3.274797561036611</v>
      </c>
      <c r="CP10" s="18">
        <f>=IFERROR(CP19+CP22+CP23,0)</f>
        <v>3.2256755976210614</v>
      </c>
      <c r="CQ10" s="18">
        <f>=IFERROR(CQ19+CQ22+CQ23,0)</f>
        <v>3.177290463656745</v>
      </c>
      <c r="CR10" s="18">
        <f>=IFERROR(CR19+CR22+CR23,0)</f>
        <v>3.129631106701894</v>
      </c>
      <c r="CS10" s="18">
        <f>=IFERROR(CS19+CS22+CS23,0)</f>
        <v>3.0826866401013655</v>
      </c>
      <c r="CT10" s="18">
        <f>=IFERROR(CT19+CT22+CT23,0)</f>
        <v>3.036446340499845</v>
      </c>
      <c r="CU10" s="18">
        <f>=IFERROR(CU19+CU22+CU23,0)</f>
        <v>2.9908996453923464</v>
      </c>
      <c r="CV10" s="18">
        <f>=IFERROR(CV19+CV22+CV23,0)</f>
        <v>2.9460361507114605</v>
      </c>
      <c r="CW10" s="18">
        <f>=IFERROR(CW19+CW22+CW23,0)</f>
        <v>2.901845608450788</v>
      </c>
      <c r="CX10" s="18">
        <f>=IFERROR(CX19+CX22+CX23,0)</f>
        <v>2.8583179243240258</v>
      </c>
      <c r="CY10" s="18">
        <f>=IFERROR(CY19+CY22+CY23,0)</f>
        <v>2.8154431554591652</v>
      </c>
      <c r="CZ10" s="18">
        <f>=IFERROR(CZ19+CZ22+CZ23,0)</f>
        <v>2.7732115081272775</v>
      </c>
      <c r="DA10" s="18">
        <f>=IFERROR(DA19+DA22+DA23,0)</f>
        <v>2.7316133355053682</v>
      </c>
      <c r="DB10" s="18">
        <f>=IFERROR(DB19+DB22+DB23,0)</f>
        <v>2.6906391354727877</v>
      </c>
    </row>
    <row r="11" ht="15" customHeight="1" spans="1:106" x14ac:dyDescent="0.25">
      <c r="A11" s="16" t="s">
        <v>245</v>
      </c>
      <c r="B11" s="17"/>
      <c r="C11" s="18">
        <f>=C10*(C47*C48*(1-C29)*(1-C46))</f>
        <v>134.4</v>
      </c>
      <c r="D11" s="18">
        <f>=D10*(D47*D48*(1-D29)*(1-D46))</f>
        <v>134.4</v>
      </c>
      <c r="E11" s="18">
        <f>=E10*(E47*E48*(1-E29)*(1-E46))</f>
        <v>134.4</v>
      </c>
      <c r="F11" s="18">
        <f>=F10*(F47*F48*(1-F29)*(1-F46))</f>
        <v>134.4</v>
      </c>
      <c r="G11" s="18">
        <f>=G10*(G47*G48*(1-G29)*(1-G46))</f>
        <v>134.4</v>
      </c>
      <c r="H11" s="18">
        <f>=H10*(H47*H48*(1-H29)*(1-H46))</f>
        <v>134.4</v>
      </c>
      <c r="I11" s="18">
        <f>=I10*(I47*I48*(1-I29)*(1-I46))</f>
        <v>134.4</v>
      </c>
      <c r="J11" s="18">
        <f>=J10*(J47*J48*(1-J29)*(1-J46))</f>
        <v>134.4</v>
      </c>
      <c r="K11" s="18">
        <f>=K10*(K47*K48*(1-K29)*(1-K46))</f>
        <v>134.4</v>
      </c>
      <c r="L11" s="18">
        <f>=L10*(L47*L48*(1-L29)*(1-L46))</f>
        <v>134.4</v>
      </c>
      <c r="M11" s="18">
        <f>=M10*(M47*M48*(1-M29)*(1-M46))</f>
        <v>134.4</v>
      </c>
      <c r="N11" s="18">
        <f>=N10*(N47*N48*(1-N29)*(1-N46))</f>
        <v>134.4</v>
      </c>
      <c r="O11" s="18">
        <f>=O10*(O47*O48*(1-O29)*(1-O46))</f>
        <v>134.4</v>
      </c>
      <c r="P11" s="18">
        <f>=P10*(P47*P48*(1-P29)*(1-P46))</f>
        <v>134.4</v>
      </c>
      <c r="Q11" s="18">
        <f>=Q10*(Q47*Q48*(1-Q29)*(1-Q46))</f>
        <v>134.4</v>
      </c>
      <c r="R11" s="18">
        <f>=R10*(R47*R48*(1-R29)*(1-R46))</f>
        <v>134.4</v>
      </c>
      <c r="S11" s="18">
        <f>=S10*(S47*S48*(1-S29)*(1-S46))</f>
        <v>134.4</v>
      </c>
      <c r="T11" s="18">
        <f>=T10*(T47*T48*(1-T29)*(1-T46))</f>
        <v>134.4</v>
      </c>
      <c r="U11" s="18">
        <f>=U10*(U47*U48*(1-U29)*(1-U46))</f>
        <v>134.4</v>
      </c>
      <c r="V11" s="18">
        <f>=V10*(V47*V48*(1-V29)*(1-V46))</f>
        <v>134.4</v>
      </c>
      <c r="W11" s="18">
        <f>=W10*(W47*W48*(1-W29)*(1-W46))</f>
        <v>134.4</v>
      </c>
      <c r="X11" s="18">
        <f>=X10*(X47*X48*(1-X29)*(1-X46))</f>
        <v>134.4</v>
      </c>
      <c r="Y11" s="18">
        <f>=Y10*(Y47*Y48*(1-Y29)*(1-Y46))</f>
        <v>134.4</v>
      </c>
      <c r="Z11" s="18">
        <f>=Z10*(Z47*Z48*(1-Z29)*(1-Z46))</f>
        <v>134.4</v>
      </c>
      <c r="AA11" s="18">
        <f>=AA10*(AA47*AA48*(1-AA29)*(1-AA46))</f>
        <v>134.4</v>
      </c>
      <c r="AB11" s="18">
        <f>=AB10*(AB47*AB48*(1-AB29)*(1-AB46))</f>
        <v>134.4</v>
      </c>
      <c r="AC11" s="18">
        <f>=AC10*(AC47*AC48*(1-AC29)*(1-AC46))</f>
        <v>134.4</v>
      </c>
      <c r="AD11" s="18">
        <f>=AD10*(AD47*AD48*(1-AD29)*(1-AD46))</f>
        <v>134.4</v>
      </c>
      <c r="AE11" s="18">
        <f>=AE10*(AE47*AE48*(1-AE29)*(1-AE46))</f>
        <v>201.6</v>
      </c>
      <c r="AF11" s="18">
        <f>=AF10*(AF47*AF48*(1-AF29)*(1-AF46))</f>
        <v>302.4</v>
      </c>
      <c r="AG11" s="18">
        <f>=AG10*(AG47*AG48*(1-AG29)*(1-AG46))</f>
        <v>302.4</v>
      </c>
      <c r="AH11" s="18">
        <f>=AH10*(AH47*AH48*(1-AH29)*(1-AH46))</f>
        <v>134.4</v>
      </c>
      <c r="AI11" s="18">
        <f>=AI10*(AI47*AI48*(1-AI29)*(1-AI46))</f>
        <v>134.4</v>
      </c>
      <c r="AJ11" s="18">
        <f>=AJ10*(AJ47*AJ48*(1-AJ29)*(1-AJ46))</f>
        <v>134.4</v>
      </c>
      <c r="AK11" s="18">
        <f>=AK10*(AK47*AK48*(1-AK29)*(1-AK46))</f>
        <v>168</v>
      </c>
      <c r="AL11" s="18">
        <f>=AL10*(AL47*AL48*(1-AL29)*(1-AL46))</f>
        <v>336</v>
      </c>
      <c r="AM11" s="18">
        <f>=AM10*(AM47*AM48*(1-AM29)*(1-AM46))</f>
        <v>336</v>
      </c>
      <c r="AN11" s="18">
        <f>=AN10*(AN47*AN48*(1-AN29)*(1-AN46))</f>
        <v>336</v>
      </c>
      <c r="AO11" s="18">
        <f>=AO10*(AO47*AO48*(1-AO29)*(1-AO46))</f>
        <v>268.8</v>
      </c>
      <c r="AP11" s="18">
        <f>=AP10*(AP47*AP48*(1-AP29)*(1-AP46))</f>
        <v>268.8</v>
      </c>
      <c r="AQ11" s="18">
        <f>=AQ10*(AQ47*AQ48*(1-AQ29)*(1-AQ46))</f>
        <v>268.8</v>
      </c>
      <c r="AR11" s="18">
        <f>=AR10*(AR47*AR48*(1-AR29)*(1-AR46))</f>
        <v>268.8</v>
      </c>
      <c r="AS11" s="18">
        <f>=AS10*(AS47*AS48*(1-AS29)*(1-AS46))</f>
        <v>168</v>
      </c>
      <c r="AT11" s="18">
        <f>=AT10*(AT47*AT48*(1-AT29)*(1-AT46))</f>
        <v>168</v>
      </c>
      <c r="AU11" s="18">
        <f>=AU10*(AU47*AU48*(1-AU29)*(1-AU46))</f>
        <v>168</v>
      </c>
      <c r="AV11" s="18">
        <f>=AV10*(AV47*AV48*(1-AV29)*(1-AV46))</f>
        <v>168</v>
      </c>
      <c r="AW11" s="18">
        <f>=AW10*(AW47*AW48*(1-AW29)*(1-AW46))</f>
        <v>168</v>
      </c>
      <c r="AX11" s="18">
        <f>=AX10*(AX47*AX48*(1-AX29)*(1-AX46))</f>
        <v>168</v>
      </c>
      <c r="AY11" s="18">
        <f>=AY10*(AY47*AY48*(1-AY29)*(1-AY46))</f>
        <v>168</v>
      </c>
      <c r="AZ11" s="18">
        <f>=AZ10*(AZ47*AZ48*(1-AZ29)*(1-AZ46))</f>
        <v>168</v>
      </c>
      <c r="BA11" s="18">
        <f>=BA10*(BA47*BA48*(1-BA29)*(1-BA46))</f>
        <v>168</v>
      </c>
      <c r="BB11" s="18">
        <f>=BB10*(BB47*BB48*(1-BB29)*(1-BB46))</f>
        <v>168</v>
      </c>
      <c r="BC11" s="18">
        <f>=BC10*(BC47*BC48*(1-BC29)*(1-BC46))</f>
        <v>172</v>
      </c>
      <c r="BD11" s="18">
        <f>=BD10*(BD47*BD48*(1-BD29)*(1-BD46))</f>
        <v>172</v>
      </c>
      <c r="BE11" s="18">
        <f>=BE10*(BE47*BE48*(1-BE29)*(1-BE46))</f>
        <v>172</v>
      </c>
      <c r="BF11" s="18">
        <f>=BF10*(BF47*BF48*(1-BF29)*(1-BF46))</f>
        <v>172</v>
      </c>
      <c r="BG11" s="18">
        <f>=BG10*(BG47*BG48*(1-BG29)*(1-BG46))</f>
        <v>172</v>
      </c>
      <c r="BH11" s="18">
        <f>=BH10*(BH47*BH48*(1-BH29)*(1-BH46))</f>
        <v>172</v>
      </c>
      <c r="BI11" s="18">
        <f>=BI10*(BI47*BI48*(1-BI29)*(1-BI46))</f>
        <v>172</v>
      </c>
      <c r="BJ11" s="18">
        <f>=BJ10*(BJ47*BJ48*(1-BJ29)*(1-BJ46))</f>
        <v>172</v>
      </c>
      <c r="BK11" s="18">
        <f>=BK10*(BK47*BK48*(1-BK29)*(1-BK46))</f>
        <v>172</v>
      </c>
      <c r="BL11" s="18">
        <f>=BL10*(BL47*BL48*(1-BL29)*(1-BL46))</f>
        <v>172</v>
      </c>
      <c r="BM11" s="18">
        <f>=BM10*(BM47*BM48*(1-BM29)*(1-BM46))</f>
        <v>172</v>
      </c>
      <c r="BN11" s="18">
        <f>=BN10*(BN47*BN48*(1-BN29)*(1-BN46))</f>
        <v>169.42</v>
      </c>
      <c r="BO11" s="18">
        <f>=BO10*(BO47*BO48*(1-BO29)*(1-BO46))</f>
        <v>166.8787</v>
      </c>
      <c r="BP11" s="18">
        <f>=BP10*(BP47*BP48*(1-BP29)*(1-BP46))</f>
        <v>164.3755195</v>
      </c>
      <c r="BQ11" s="18">
        <f>=BQ10*(BQ47*BQ48*(1-BQ29)*(1-BQ46))</f>
        <v>161.90988670749996</v>
      </c>
      <c r="BR11" s="18">
        <f>=BR10*(BR47*BR48*(1-BR29)*(1-BR46))</f>
        <v>159.48123840688746</v>
      </c>
      <c r="BS11" s="18">
        <f>=BS10*(BS47*BS48*(1-BS29)*(1-BS46))</f>
        <v>157.08901983078414</v>
      </c>
      <c r="BT11" s="18">
        <f>=BT10*(BT47*BT48*(1-BT29)*(1-BT46))</f>
        <v>154.7326845333224</v>
      </c>
      <c r="BU11" s="18">
        <f>=BU10*(BU47*BU48*(1-BU29)*(1-BU46))</f>
        <v>152.41169426532258</v>
      </c>
      <c r="BV11" s="18">
        <f>=BV10*(BV47*BV48*(1-BV29)*(1-BV46))</f>
        <v>150.12551885134275</v>
      </c>
      <c r="BW11" s="18">
        <f>=BW10*(BW47*BW48*(1-BW29)*(1-BW46))</f>
        <v>147.8736360685726</v>
      </c>
      <c r="BX11" s="18">
        <f>=BX10*(BX47*BX48*(1-BX29)*(1-BX46))</f>
        <v>145.65553152754404</v>
      </c>
      <c r="BY11" s="18">
        <f>=BY10*(BY47*BY48*(1-BY29)*(1-BY46))</f>
        <v>143.47069855463087</v>
      </c>
      <c r="BZ11" s="18">
        <f>=BZ10*(BZ47*BZ48*(1-BZ29)*(1-BZ46))</f>
        <v>141.31863807631143</v>
      </c>
      <c r="CA11" s="18">
        <f>=CA10*(CA47*CA48*(1-CA29)*(1-CA46))</f>
        <v>139.19885850516678</v>
      </c>
      <c r="CB11" s="18">
        <f>=CB10*(CB47*CB48*(1-CB29)*(1-CB46))</f>
        <v>137.11087562758928</v>
      </c>
      <c r="CC11" s="18">
        <f>=CC10*(CC47*CC48*(1-CC29)*(1-CC46))</f>
        <v>135.0542124931754</v>
      </c>
      <c r="CD11" s="18">
        <f>=CD10*(CD47*CD48*(1-CD29)*(1-CD46))</f>
        <v>133.02839930577778</v>
      </c>
      <c r="CE11" s="18">
        <f>=CE10*(CE47*CE48*(1-CE29)*(1-CE46))</f>
        <v>131.0329733161911</v>
      </c>
      <c r="CF11" s="18">
        <f>=CF10*(CF47*CF48*(1-CF29)*(1-CF46))</f>
        <v>129.06747871644825</v>
      </c>
      <c r="CG11" s="18">
        <f>=CG10*(CG47*CG48*(1-CG29)*(1-CG46))</f>
        <v>127.13146653570152</v>
      </c>
      <c r="CH11" s="18">
        <f>=CH10*(CH47*CH48*(1-CH29)*(1-CH46))</f>
        <v>125.22449453766599</v>
      </c>
      <c r="CI11" s="18">
        <f>=CI10*(CI47*CI48*(1-CI29)*(1-CI46))</f>
        <v>123.346127119601</v>
      </c>
      <c r="CJ11" s="18">
        <f>=CJ10*(CJ47*CJ48*(1-CJ29)*(1-CJ46))</f>
        <v>121.49593521280696</v>
      </c>
      <c r="CK11" s="18">
        <f>=CK10*(CK47*CK48*(1-CK29)*(1-CK46))</f>
        <v>119.67349618461483</v>
      </c>
      <c r="CL11" s="18">
        <f>=CL10*(CL47*CL48*(1-CL29)*(1-CL46))</f>
        <v>117.87839374184561</v>
      </c>
      <c r="CM11" s="18">
        <f>=CM10*(CM47*CM48*(1-CM29)*(1-CM46))</f>
        <v>116.11021783571793</v>
      </c>
      <c r="CN11" s="18">
        <f>=CN10*(CN47*CN48*(1-CN29)*(1-CN46))</f>
        <v>114.36856456818215</v>
      </c>
      <c r="CO11" s="18">
        <f>=CO10*(CO47*CO48*(1-CO29)*(1-CO46))</f>
        <v>112.6530360996594</v>
      </c>
      <c r="CP11" s="18">
        <f>=CP10*(CP47*CP48*(1-CP29)*(1-CP46))</f>
        <v>110.9632405581645</v>
      </c>
      <c r="CQ11" s="18">
        <f>=CQ10*(CQ47*CQ48*(1-CQ29)*(1-CQ46))</f>
        <v>109.29879194979203</v>
      </c>
      <c r="CR11" s="18">
        <f>=CR10*(CR47*CR48*(1-CR29)*(1-CR46))</f>
        <v>107.65931007054516</v>
      </c>
      <c r="CS11" s="18">
        <f>=CS10*(CS47*CS48*(1-CS29)*(1-CS46))</f>
        <v>106.04442041948698</v>
      </c>
      <c r="CT11" s="18">
        <f>=CT10*(CT47*CT48*(1-CT29)*(1-CT46))</f>
        <v>104.45375411319463</v>
      </c>
      <c r="CU11" s="18">
        <f>=CU10*(CU47*CU48*(1-CU29)*(1-CU46))</f>
        <v>102.88694780149669</v>
      </c>
      <c r="CV11" s="18">
        <f>=CV10*(CV47*CV48*(1-CV29)*(1-CV46))</f>
        <v>101.34364358447424</v>
      </c>
      <c r="CW11" s="18">
        <f>=CW10*(CW47*CW48*(1-CW29)*(1-CW46))</f>
        <v>99.8234889307071</v>
      </c>
      <c r="CX11" s="18">
        <f>=CX10*(CX47*CX48*(1-CX29)*(1-CX46))</f>
        <v>98.32613659674648</v>
      </c>
      <c r="CY11" s="18">
        <f>=CY10*(CY47*CY48*(1-CY29)*(1-CY46))</f>
        <v>96.85124454779528</v>
      </c>
      <c r="CZ11" s="18">
        <f>=CZ10*(CZ47*CZ48*(1-CZ29)*(1-CZ46))</f>
        <v>95.39847587957834</v>
      </c>
      <c r="DA11" s="18">
        <f>=DA10*(DA47*DA48*(1-DA29)*(1-DA46))</f>
        <v>93.96749874138466</v>
      </c>
      <c r="DB11" s="18">
        <f>=DB10*(DB47*DB48*(1-DB29)*(1-DB46))</f>
        <v>92.55798626026387</v>
      </c>
    </row>
    <row r="12" spans="1:106" x14ac:dyDescent="0.25">
      <c r="A12" s="16" t="s">
        <v>246</v>
      </c>
      <c r="C12" s="19">
        <f>=IFERROR(C10-C7,0)</f>
        <v>0</v>
      </c>
      <c r="D12" s="19">
        <f>=IFERROR(D10-D7,0)</f>
        <v>0</v>
      </c>
      <c r="E12" s="19">
        <f>=IFERROR(E10-E7,0)</f>
        <v>0</v>
      </c>
      <c r="F12" s="19">
        <f>=IFERROR(F10-F7,0)</f>
        <v>0</v>
      </c>
      <c r="G12" s="19">
        <f>=IFERROR(G10-G7,0)</f>
        <v>0</v>
      </c>
      <c r="H12" s="19">
        <f>=IFERROR(H10-H7,0)</f>
        <v>0</v>
      </c>
      <c r="I12" s="19">
        <f>=IFERROR(I10-I7,0)</f>
        <v>0</v>
      </c>
      <c r="J12" s="19">
        <f>=IFERROR(J10-J7,0)</f>
        <v>0</v>
      </c>
      <c r="K12" s="19">
        <f>=IFERROR(K10-K7,0)</f>
        <v>0</v>
      </c>
      <c r="L12" s="19">
        <f>=IFERROR(L10-L7,0)</f>
        <v>0</v>
      </c>
      <c r="M12" s="19">
        <f>=IFERROR(M10-M7,0)</f>
        <v>0</v>
      </c>
      <c r="N12" s="19">
        <f>=IFERROR(N10-N7,0)</f>
        <v>0</v>
      </c>
      <c r="O12" s="19">
        <f>=IFERROR(O10-O7,0)</f>
        <v>0</v>
      </c>
      <c r="P12" s="19">
        <f>=IFERROR(P10-P7,0)</f>
        <v>0</v>
      </c>
      <c r="Q12" s="19">
        <f>=IFERROR(Q10-Q7,0)</f>
        <v>0</v>
      </c>
      <c r="R12" s="19">
        <f>=IFERROR(R10-R7,0)</f>
        <v>0</v>
      </c>
      <c r="S12" s="19">
        <f>=IFERROR(S10-S7,0)</f>
        <v>0</v>
      </c>
      <c r="T12" s="19">
        <f>=IFERROR(T10-T7,0)</f>
        <v>0</v>
      </c>
      <c r="U12" s="19">
        <f>=IFERROR(U10-U7,0)</f>
        <v>0</v>
      </c>
      <c r="V12" s="19">
        <f>=IFERROR(V10-V7,0)</f>
        <v>0</v>
      </c>
      <c r="W12" s="19">
        <f>=IFERROR(W10-W7,0)</f>
        <v>0</v>
      </c>
      <c r="X12" s="19">
        <f>=IFERROR(X10-X7,0)</f>
        <v>0</v>
      </c>
      <c r="Y12" s="19">
        <f>=IFERROR(Y10-Y7,0)</f>
        <v>0</v>
      </c>
      <c r="Z12" s="19">
        <f>=IFERROR(Z10-Z7,0)</f>
        <v>0</v>
      </c>
      <c r="AA12" s="19">
        <f>=IFERROR(AA10-AA7,0)</f>
        <v>0</v>
      </c>
      <c r="AB12" s="19">
        <f>=IFERROR(AB10-AB7,0)</f>
        <v>0</v>
      </c>
      <c r="AC12" s="19">
        <f>=IFERROR(AC10-AC7,0)</f>
        <v>0</v>
      </c>
      <c r="AD12" s="19">
        <f>=IFERROR(AD10-AD7,0)</f>
        <v>0</v>
      </c>
      <c r="AE12" s="19">
        <f>=IFERROR(AE10-AE7,0)</f>
        <v>2</v>
      </c>
      <c r="AF12" s="19">
        <f>=IFERROR(AF10-AF7,0)</f>
        <v>5</v>
      </c>
      <c r="AG12" s="19">
        <f>=IFERROR(AG10-AG7,0)</f>
        <v>5</v>
      </c>
      <c r="AH12" s="19">
        <f>=IFERROR(AH10-AH7,0)</f>
        <v>0</v>
      </c>
      <c r="AI12" s="19">
        <f>=IFERROR(AI10-AI7,0)</f>
        <v>0</v>
      </c>
      <c r="AJ12" s="19">
        <f>=IFERROR(AJ10-AJ7,0)</f>
        <v>0</v>
      </c>
      <c r="AK12" s="19">
        <f>=IFERROR(AK10-AK7,0)</f>
        <v>0</v>
      </c>
      <c r="AL12" s="19">
        <f>=IFERROR(AL10-AL7,0)</f>
        <v>5</v>
      </c>
      <c r="AM12" s="19">
        <f>=IFERROR(AM10-AM7,0)</f>
        <v>5</v>
      </c>
      <c r="AN12" s="19">
        <f>=IFERROR(AN10-AN7,0)</f>
        <v>5</v>
      </c>
      <c r="AO12" s="19">
        <f>=IFERROR(AO10-AO7,0)</f>
        <v>3</v>
      </c>
      <c r="AP12" s="19">
        <f>=IFERROR(AP10-AP7,0)</f>
        <v>3</v>
      </c>
      <c r="AQ12" s="19">
        <f>=IFERROR(AQ10-AQ7,0)</f>
        <v>3</v>
      </c>
      <c r="AR12" s="19">
        <f>=IFERROR(AR10-AR7,0)</f>
        <v>3</v>
      </c>
      <c r="AS12" s="19">
        <f>=IFERROR(AS10-AS7,0)</f>
        <v>0</v>
      </c>
      <c r="AT12" s="19">
        <f>=IFERROR(AT10-AT7,0)</f>
        <v>0</v>
      </c>
      <c r="AU12" s="19">
        <f>=IFERROR(AU10-AU7,0)</f>
        <v>0</v>
      </c>
      <c r="AV12" s="19">
        <f>=IFERROR(AV10-AV7,0)</f>
        <v>0</v>
      </c>
      <c r="AW12" s="19">
        <f>=IFERROR(AW10-AW7,0)</f>
        <v>0</v>
      </c>
      <c r="AX12" s="19">
        <f>=IFERROR(AX10-AX7,0)</f>
        <v>0</v>
      </c>
      <c r="AY12" s="19">
        <f>=IFERROR(AY10-AY7,0)</f>
        <v>0</v>
      </c>
      <c r="AZ12" s="19">
        <f>=IFERROR(AZ10-AZ7,0)</f>
        <v>0</v>
      </c>
      <c r="BA12" s="19">
        <f>=IFERROR(BA10-BA7,0)</f>
        <v>0</v>
      </c>
      <c r="BB12" s="19">
        <f>=IFERROR(BB10-BB7,0)</f>
        <v>0</v>
      </c>
      <c r="BC12" s="19">
        <f>=IFERROR(BC10-BC7,0)</f>
        <v>0</v>
      </c>
      <c r="BD12" s="19">
        <f>=IFERROR(BD10-BD7,0)</f>
        <v>0</v>
      </c>
      <c r="BE12" s="19">
        <f>=IFERROR(BE10-BE7,0)</f>
        <v>0</v>
      </c>
      <c r="BF12" s="19">
        <f>=IFERROR(BF10-BF7,0)</f>
        <v>0</v>
      </c>
      <c r="BG12" s="19">
        <f>=IFERROR(BG10-BG7,0)</f>
        <v>0</v>
      </c>
      <c r="BH12" s="19">
        <f>=IFERROR(BH10-BH7,0)</f>
        <v>0</v>
      </c>
      <c r="BI12" s="19">
        <f>=IFERROR(BI10-BI7,0)</f>
        <v>0</v>
      </c>
      <c r="BJ12" s="19">
        <f>=IFERROR(BJ10-BJ7,0)</f>
        <v>0</v>
      </c>
      <c r="BK12" s="19">
        <f>=IFERROR(BK10-BK7,0)</f>
        <v>0</v>
      </c>
      <c r="BL12" s="19">
        <f>=IFERROR(BL10-BL7,0)</f>
        <v>0</v>
      </c>
      <c r="BM12" s="19">
        <f>=IFERROR(BM10-BM7,0)</f>
        <v>0</v>
      </c>
      <c r="BN12" s="19">
        <f>=IFERROR(BN10-BN7,0)</f>
        <v>-0.075</v>
      </c>
      <c r="BO12" s="19">
        <f>=IFERROR(BO10-BO7,0)</f>
        <v>-0.148875</v>
      </c>
      <c r="BP12" s="19">
        <f>=IFERROR(BP10-BP7,0)</f>
        <v>0.778358125</v>
      </c>
      <c r="BQ12" s="19">
        <f>=IFERROR(BQ10-BQ7,0)</f>
        <v>0.706682753125</v>
      </c>
      <c r="BR12" s="19">
        <f>=IFERROR(BR10-BR7,0)</f>
        <v>0.636082511828124</v>
      </c>
      <c r="BS12" s="19">
        <f>=IFERROR(BS10-BS7,0)</f>
        <v>0.566541274150702</v>
      </c>
      <c r="BT12" s="19">
        <f>=IFERROR(BT10-BT7,0)</f>
        <v>0.498043155038442</v>
      </c>
      <c r="BU12" s="19">
        <f>=IFERROR(BU10-BU7,0)</f>
        <v>0.430572507712866</v>
      </c>
      <c r="BV12" s="19">
        <f>=IFERROR(BV10-BV7,0)</f>
        <v>0.364113920097173</v>
      </c>
      <c r="BW12" s="19">
        <f>=IFERROR(BW10-BW7,0)</f>
        <v>0.298652211295716</v>
      </c>
      <c r="BX12" s="19">
        <f>=IFERROR(BX10-BX7,0)</f>
        <v>0.23417242812628</v>
      </c>
      <c r="BY12" s="19">
        <f>=IFERROR(BY10-BY7,0)</f>
        <v>0.170659841704386</v>
      </c>
      <c r="BZ12" s="19">
        <f>=IFERROR(BZ10-BZ7,0)</f>
        <v>0.108099944078821</v>
      </c>
      <c r="CA12" s="19">
        <f>=IFERROR(CA10-CA7,0)</f>
        <v>0.046478444917639</v>
      </c>
      <c r="CB12" s="19">
        <f>=IFERROR(CB10-CB7,0)</f>
        <v>-0.0142187317561256</v>
      </c>
      <c r="CC12" s="19">
        <f>=IFERROR(CC10-CC7,0)</f>
        <v>-0.074005450779784</v>
      </c>
      <c r="CD12" s="19">
        <f>=IFERROR(CD10-CD7,0)</f>
        <v>-0.132895369018088</v>
      </c>
      <c r="CE12" s="19">
        <f>=IFERROR(CE10-CE7,0)</f>
        <v>-0.190901938482817</v>
      </c>
      <c r="CF12" s="19">
        <f>=IFERROR(CF10-CF7,0)</f>
        <v>-0.2480384094055744</v>
      </c>
      <c r="CG12" s="19">
        <f>=IFERROR(CG10-CG7,0)</f>
        <v>-0.3043178332644904</v>
      </c>
      <c r="CH12" s="19">
        <f>=IFERROR(CH10-CH7,0)</f>
        <v>-0.3597530657655232</v>
      </c>
      <c r="CI12" s="19">
        <f>=IFERROR(CI10-CI7,0)</f>
        <v>-0.4143567697790408</v>
      </c>
      <c r="CJ12" s="19">
        <f>=IFERROR(CJ10-CJ7,0)</f>
        <v>-0.4681414182323556</v>
      </c>
      <c r="CK12" s="19">
        <f>=IFERROR(CK10-CK7,0)</f>
        <v>-0.5211192969588704</v>
      </c>
      <c r="CL12" s="19">
        <f>=IFERROR(CL10-CL7,0)</f>
        <v>-0.573302507504488</v>
      </c>
      <c r="CM12" s="19">
        <f>=IFERROR(CM10-CM7,0)</f>
        <v>-0.6247029698919208</v>
      </c>
      <c r="CN12" s="19">
        <f>=IFERROR(CN10-CN7,0)</f>
        <v>-0.675332425343542</v>
      </c>
      <c r="CO12" s="19">
        <f>=IFERROR(CO10-CO7,0)</f>
        <v>-0.725202438963389</v>
      </c>
      <c r="CP12" s="19">
        <f>=IFERROR(CP10-CP7,0)</f>
        <v>-0.7743244023789388</v>
      </c>
      <c r="CQ12" s="19">
        <f>=IFERROR(CQ10-CQ7,0)</f>
        <v>-0.822709536343255</v>
      </c>
      <c r="CR12" s="19">
        <f>=IFERROR(CR10-CR7,0)</f>
        <v>-0.870368893298106</v>
      </c>
      <c r="CS12" s="19">
        <f>=IFERROR(CS10-CS7,0)</f>
        <v>-0.9173133598986344</v>
      </c>
      <c r="CT12" s="19">
        <f>=IFERROR(CT10-CT7,0)</f>
        <v>-0.963553659500155</v>
      </c>
      <c r="CU12" s="19">
        <f>=IFERROR(CU10-CU7,0)</f>
        <v>-1.0091003546076536</v>
      </c>
      <c r="CV12" s="19">
        <f>=IFERROR(CV10-CV7,0)</f>
        <v>-1.0539638492885397</v>
      </c>
      <c r="CW12" s="19">
        <f>=IFERROR(CW10-CW7,0)</f>
        <v>-1.098154391549212</v>
      </c>
      <c r="CX12" s="19">
        <f>=IFERROR(CX10-CX7,0)</f>
        <v>-1.1416820756759745</v>
      </c>
      <c r="CY12" s="19">
        <f>=IFERROR(CY10-CY7,0)</f>
        <v>-1.1845568445408348</v>
      </c>
      <c r="CZ12" s="19">
        <f>=IFERROR(CZ10-CZ7,0)</f>
        <v>-1.2267884918727223</v>
      </c>
      <c r="DA12" s="19">
        <f>=IFERROR(DA10-DA7,0)</f>
        <v>-1.2683866644946316</v>
      </c>
      <c r="DB12" s="19">
        <f>=IFERROR(DB10-DB7,0)</f>
        <v>-1.3093608645272123</v>
      </c>
    </row>
    <row r="13" ht="15" customHeight="1" spans="1:106" x14ac:dyDescent="0.25">
      <c r="A13" s="20" t="s">
        <v>247</v>
      </c>
      <c r="B13" s="17"/>
      <c r="C13" s="21">
        <f>=IFERROR(C10-C9,0)</f>
        <v>0</v>
      </c>
      <c r="D13" s="21">
        <f>=IFERROR(D10-D9,0)</f>
        <v>0</v>
      </c>
      <c r="E13" s="21">
        <f>=IFERROR(E10-E9,0)</f>
        <v>0</v>
      </c>
      <c r="F13" s="21">
        <f>=IFERROR(F10-F9,0)</f>
        <v>0</v>
      </c>
      <c r="G13" s="21">
        <f>=IFERROR(G10-G9,0)</f>
        <v>0</v>
      </c>
      <c r="H13" s="21">
        <f>=IFERROR(H10-H9,0)</f>
        <v>0</v>
      </c>
      <c r="I13" s="21">
        <f>=IFERROR(I10-I9,0)</f>
        <v>0</v>
      </c>
      <c r="J13" s="21">
        <f>=IFERROR(J10-J9,0)</f>
        <v>0</v>
      </c>
      <c r="K13" s="21">
        <f>=IFERROR(K10-K9,0)</f>
        <v>0</v>
      </c>
      <c r="L13" s="21">
        <f>=IFERROR(L10-L9,0)</f>
        <v>0</v>
      </c>
      <c r="M13" s="21">
        <f>=IFERROR(M10-M9,0)</f>
        <v>0</v>
      </c>
      <c r="N13" s="21">
        <f>=IFERROR(N10-N9,0)</f>
        <v>0</v>
      </c>
      <c r="O13" s="21">
        <f>=IFERROR(O10-O9,0)</f>
        <v>0</v>
      </c>
      <c r="P13" s="21">
        <f>=IFERROR(P10-P9,0)</f>
        <v>0</v>
      </c>
      <c r="Q13" s="21">
        <f>=IFERROR(Q10-Q9,0)</f>
        <v>0</v>
      </c>
      <c r="R13" s="21">
        <f>=IFERROR(R10-R9,0)</f>
        <v>0</v>
      </c>
      <c r="S13" s="21">
        <f>=IFERROR(S10-S9,0)</f>
        <v>0</v>
      </c>
      <c r="T13" s="21">
        <f>=IFERROR(T10-T9,0)</f>
        <v>0</v>
      </c>
      <c r="U13" s="21">
        <f>=IFERROR(U10-U9,0)</f>
        <v>0</v>
      </c>
      <c r="V13" s="21">
        <f>=IFERROR(V10-V9,0)</f>
        <v>0</v>
      </c>
      <c r="W13" s="21">
        <f>=IFERROR(W10-W9,0)</f>
        <v>0</v>
      </c>
      <c r="X13" s="21">
        <f>=IFERROR(X10-X9,0)</f>
        <v>0</v>
      </c>
      <c r="Y13" s="21">
        <f>=IFERROR(Y10-Y9,0)</f>
        <v>0</v>
      </c>
      <c r="Z13" s="21">
        <f>=IFERROR(Z10-Z9,0)</f>
        <v>0</v>
      </c>
      <c r="AA13" s="21">
        <f>=IFERROR(AA10-AA9,0)</f>
        <v>0</v>
      </c>
      <c r="AB13" s="21">
        <f>=IFERROR(AB10-AB9,0)</f>
        <v>0</v>
      </c>
      <c r="AC13" s="21">
        <f>=IFERROR(AC10-AC9,0)</f>
        <v>0</v>
      </c>
      <c r="AD13" s="21">
        <f>=IFERROR(AD10-AD9,0)</f>
        <v>0</v>
      </c>
      <c r="AE13" s="21">
        <f>=IFERROR(AE10-AE9,0)</f>
        <v>2</v>
      </c>
      <c r="AF13" s="21">
        <f>=IFERROR(AF10-AF9,0)</f>
        <v>5</v>
      </c>
      <c r="AG13" s="21">
        <f>=IFERROR(AG10-AG9,0)</f>
        <v>5</v>
      </c>
      <c r="AH13" s="21">
        <f>=IFERROR(AH10-AH9,0)</f>
        <v>0</v>
      </c>
      <c r="AI13" s="21">
        <f>=IFERROR(AI10-AI9,0)</f>
        <v>0</v>
      </c>
      <c r="AJ13" s="21">
        <f>=IFERROR(AJ10-AJ9,0)</f>
        <v>0</v>
      </c>
      <c r="AK13" s="21">
        <f>=IFERROR(AK10-AK9,0)</f>
        <v>0</v>
      </c>
      <c r="AL13" s="21">
        <f>=IFERROR(AL10-AL9,0)</f>
        <v>5</v>
      </c>
      <c r="AM13" s="21">
        <f>=IFERROR(AM10-AM9,0)</f>
        <v>5</v>
      </c>
      <c r="AN13" s="21">
        <f>=IFERROR(AN10-AN9,0)</f>
        <v>5</v>
      </c>
      <c r="AO13" s="21">
        <f>=IFERROR(AO10-AO9,0)</f>
        <v>3</v>
      </c>
      <c r="AP13" s="21">
        <f>=IFERROR(AP10-AP9,0)</f>
        <v>3</v>
      </c>
      <c r="AQ13" s="21">
        <f>=IFERROR(AQ10-AQ9,0)</f>
        <v>3</v>
      </c>
      <c r="AR13" s="21">
        <f>=IFERROR(AR10-AR9,0)</f>
        <v>3</v>
      </c>
      <c r="AS13" s="21">
        <f>=IFERROR(AS10-AS9,0)</f>
        <v>0</v>
      </c>
      <c r="AT13" s="21">
        <f>=IFERROR(AT10-AT9,0)</f>
        <v>0</v>
      </c>
      <c r="AU13" s="21">
        <f>=IFERROR(AU10-AU9,0)</f>
        <v>0</v>
      </c>
      <c r="AV13" s="21">
        <f>=IFERROR(AV10-AV9,0)</f>
        <v>0</v>
      </c>
      <c r="AW13" s="21">
        <f>=IFERROR(AW10-AW9,0)</f>
        <v>0</v>
      </c>
      <c r="AX13" s="21">
        <f>=IFERROR(AX10-AX9,0)</f>
        <v>0</v>
      </c>
      <c r="AY13" s="21">
        <f>=IFERROR(AY10-AY9,0)</f>
        <v>0</v>
      </c>
      <c r="AZ13" s="21">
        <f>=IFERROR(AZ10-AZ9,0)</f>
        <v>0</v>
      </c>
      <c r="BA13" s="21">
        <f>=IFERROR(BA10-BA9,0)</f>
        <v>0</v>
      </c>
      <c r="BB13" s="21">
        <f>=IFERROR(BB10-BB9,0)</f>
        <v>0</v>
      </c>
      <c r="BC13" s="21">
        <f>=IFERROR(BC10-BC9,0)</f>
        <v>0</v>
      </c>
      <c r="BD13" s="21">
        <f>=IFERROR(BD10-BD9,0)</f>
        <v>0</v>
      </c>
      <c r="BE13" s="21">
        <f>=IFERROR(BE10-BE9,0)</f>
        <v>0</v>
      </c>
      <c r="BF13" s="21">
        <f>=IFERROR(BF10-BF9,0)</f>
        <v>0</v>
      </c>
      <c r="BG13" s="21">
        <f>=IFERROR(BG10-BG9,0)</f>
        <v>0</v>
      </c>
      <c r="BH13" s="21">
        <f>=IFERROR(BH10-BH9,0)</f>
        <v>0</v>
      </c>
      <c r="BI13" s="21">
        <f>=IFERROR(BI10-BI9,0)</f>
        <v>0</v>
      </c>
      <c r="BJ13" s="21">
        <f>=IFERROR(BJ10-BJ9,0)</f>
        <v>0</v>
      </c>
      <c r="BK13" s="21">
        <f>=IFERROR(BK10-BK9,0)</f>
        <v>0</v>
      </c>
      <c r="BL13" s="21">
        <f>=IFERROR(BL10-BL9,0)</f>
        <v>0</v>
      </c>
      <c r="BM13" s="21">
        <f>=IFERROR(BM10-BM9,0)</f>
        <v>0</v>
      </c>
      <c r="BN13" s="21">
        <f>=IFERROR(BN10-BN9,0)</f>
        <v>-0.075</v>
      </c>
      <c r="BO13" s="21">
        <f>=IFERROR(BO10-BO9,0)</f>
        <v>-0.148875</v>
      </c>
      <c r="BP13" s="21">
        <f>=IFERROR(BP10-BP9,0)</f>
        <v>0.778358125</v>
      </c>
      <c r="BQ13" s="21">
        <f>=IFERROR(BQ10-BQ9,0)</f>
        <v>0.706682753125</v>
      </c>
      <c r="BR13" s="21">
        <f>=IFERROR(BR10-BR9,0)</f>
        <v>0.636082511828124</v>
      </c>
      <c r="BS13" s="21">
        <f>=IFERROR(BS10-BS9,0)</f>
        <v>0.566541274150702</v>
      </c>
      <c r="BT13" s="21">
        <f>=IFERROR(BT10-BT9,0)</f>
        <v>0.498043155038442</v>
      </c>
      <c r="BU13" s="21">
        <f>=IFERROR(BU10-BU9,0)</f>
        <v>0.430572507712866</v>
      </c>
      <c r="BV13" s="21">
        <f>=IFERROR(BV10-BV9,0)</f>
        <v>0.364113920097173</v>
      </c>
      <c r="BW13" s="21">
        <f>=IFERROR(BW10-BW9,0)</f>
        <v>0.298652211295716</v>
      </c>
      <c r="BX13" s="21">
        <f>=IFERROR(BX10-BX9,0)</f>
        <v>0.23417242812628</v>
      </c>
      <c r="BY13" s="21">
        <f>=IFERROR(BY10-BY9,0)</f>
        <v>0.170659841704386</v>
      </c>
      <c r="BZ13" s="21">
        <f>=IFERROR(BZ10-BZ9,0)</f>
        <v>0.108099944078821</v>
      </c>
      <c r="CA13" s="21">
        <f>=IFERROR(CA10-CA9,0)</f>
        <v>0.046478444917639</v>
      </c>
      <c r="CB13" s="21">
        <f>=IFERROR(CB10-CB9,0)</f>
        <v>-0.0142187317561256</v>
      </c>
      <c r="CC13" s="21">
        <f>=IFERROR(CC10-CC9,0)</f>
        <v>-0.074005450779784</v>
      </c>
      <c r="CD13" s="21">
        <f>=IFERROR(CD10-CD9,0)</f>
        <v>-0.132895369018088</v>
      </c>
      <c r="CE13" s="21">
        <f>=IFERROR(CE10-CE9,0)</f>
        <v>-0.190901938482817</v>
      </c>
      <c r="CF13" s="21">
        <f>=IFERROR(CF10-CF9,0)</f>
        <v>-0.2480384094055744</v>
      </c>
      <c r="CG13" s="21">
        <f>=IFERROR(CG10-CG9,0)</f>
        <v>-0.3043178332644904</v>
      </c>
      <c r="CH13" s="21">
        <f>=IFERROR(CH10-CH9,0)</f>
        <v>-0.3597530657655232</v>
      </c>
      <c r="CI13" s="21">
        <f>=IFERROR(CI10-CI9,0)</f>
        <v>-0.4143567697790408</v>
      </c>
      <c r="CJ13" s="21">
        <f>=IFERROR(CJ10-CJ9,0)</f>
        <v>-0.4681414182323556</v>
      </c>
      <c r="CK13" s="21">
        <f>=IFERROR(CK10-CK9,0)</f>
        <v>-0.5211192969588704</v>
      </c>
      <c r="CL13" s="21">
        <f>=IFERROR(CL10-CL9,0)</f>
        <v>-0.573302507504488</v>
      </c>
      <c r="CM13" s="21">
        <f>=IFERROR(CM10-CM9,0)</f>
        <v>-0.6247029698919208</v>
      </c>
      <c r="CN13" s="21">
        <f>=IFERROR(CN10-CN9,0)</f>
        <v>-0.675332425343542</v>
      </c>
      <c r="CO13" s="21">
        <f>=IFERROR(CO10-CO9,0)</f>
        <v>-0.725202438963389</v>
      </c>
      <c r="CP13" s="21">
        <f>=IFERROR(CP10-CP9,0)</f>
        <v>-0.7743244023789388</v>
      </c>
      <c r="CQ13" s="21">
        <f>=IFERROR(CQ10-CQ9,0)</f>
        <v>-0.822709536343255</v>
      </c>
      <c r="CR13" s="21">
        <f>=IFERROR(CR10-CR9,0)</f>
        <v>-0.870368893298106</v>
      </c>
      <c r="CS13" s="21">
        <f>=IFERROR(CS10-CS9,0)</f>
        <v>-0.9173133598986344</v>
      </c>
      <c r="CT13" s="21">
        <f>=IFERROR(CT10-CT9,0)</f>
        <v>-0.963553659500155</v>
      </c>
      <c r="CU13" s="21">
        <f>=IFERROR(CU10-CU9,0)</f>
        <v>-1.0091003546076536</v>
      </c>
      <c r="CV13" s="21">
        <f>=IFERROR(CV10-CV9,0)</f>
        <v>-1.0539638492885397</v>
      </c>
      <c r="CW13" s="21">
        <f>=IFERROR(CW10-CW9,0)</f>
        <v>-1.098154391549212</v>
      </c>
      <c r="CX13" s="21">
        <f>=IFERROR(CX10-CX9,0)</f>
        <v>-1.1416820756759745</v>
      </c>
      <c r="CY13" s="21">
        <f>=IFERROR(CY10-CY9,0)</f>
        <v>-1.1845568445408348</v>
      </c>
      <c r="CZ13" s="21">
        <f>=IFERROR(CZ10-CZ9,0)</f>
        <v>-1.2267884918727223</v>
      </c>
      <c r="DA13" s="21">
        <f>=IFERROR(DA10-DA9,0)</f>
        <v>-1.2683866644946316</v>
      </c>
      <c r="DB13" s="21">
        <f>=IFERROR(DB10-DB9,0)</f>
        <v>-1.3093608645272123</v>
      </c>
    </row>
    <row r="14" ht="15" customHeight="1" spans="1:106" x14ac:dyDescent="0.25">
      <c r="A14" s="22" t="s">
        <v>248</v>
      </c>
      <c r="B14" s="17"/>
      <c r="C14" s="18">
        <f>=Round(C11-C8,0)</f>
        <v>0</v>
      </c>
      <c r="D14" s="18">
        <f>=Round(D11-D8,0)</f>
        <v>0</v>
      </c>
      <c r="E14" s="18">
        <f>=Round(E11-E8,0)</f>
        <v>0</v>
      </c>
      <c r="F14" s="18">
        <f>=Round(F11-F8,0)</f>
        <v>0</v>
      </c>
      <c r="G14" s="18">
        <f>=Round(G11-G8,0)</f>
        <v>0</v>
      </c>
      <c r="H14" s="18">
        <f>=Round(H11-H8,0)</f>
        <v>0</v>
      </c>
      <c r="I14" s="18">
        <f>=Round(I11-I8,0)</f>
        <v>0</v>
      </c>
      <c r="J14" s="18">
        <f>=Round(J11-J8,0)</f>
        <v>0</v>
      </c>
      <c r="K14" s="18">
        <f>=Round(K11-K8,0)</f>
        <v>0</v>
      </c>
      <c r="L14" s="18">
        <f>=Round(L11-L8,0)</f>
        <v>0</v>
      </c>
      <c r="M14" s="18">
        <f>=Round(M11-M8,0)</f>
        <v>0</v>
      </c>
      <c r="N14" s="18">
        <f>=Round(N11-N8,0)</f>
        <v>0</v>
      </c>
      <c r="O14" s="18">
        <f>=Round(O11-O8,0)</f>
        <v>0</v>
      </c>
      <c r="P14" s="18">
        <f>=Round(P11-P8,0)</f>
        <v>0</v>
      </c>
      <c r="Q14" s="18">
        <f>=Round(Q11-Q8,0)</f>
        <v>0</v>
      </c>
      <c r="R14" s="18">
        <f>=Round(R11-R8,0)</f>
        <v>0</v>
      </c>
      <c r="S14" s="18">
        <f>=Round(S11-S8,0)</f>
        <v>0</v>
      </c>
      <c r="T14" s="18">
        <f>=Round(T11-T8,0)</f>
        <v>0</v>
      </c>
      <c r="U14" s="18">
        <f>=Round(U11-U8,0)</f>
        <v>0</v>
      </c>
      <c r="V14" s="18">
        <f>=Round(V11-V8,0)</f>
        <v>0</v>
      </c>
      <c r="W14" s="18">
        <f>=Round(W11-W8,0)</f>
        <v>0</v>
      </c>
      <c r="X14" s="18">
        <f>=Round(X11-X8,0)</f>
        <v>0</v>
      </c>
      <c r="Y14" s="18">
        <f>=Round(Y11-Y8,0)</f>
        <v>0</v>
      </c>
      <c r="Z14" s="18">
        <f>=Round(Z11-Z8,0)</f>
        <v>0</v>
      </c>
      <c r="AA14" s="18">
        <f>=Round(AA11-AA8,0)</f>
        <v>0</v>
      </c>
      <c r="AB14" s="18">
        <f>=Round(AB11-AB8,0)</f>
        <v>0</v>
      </c>
      <c r="AC14" s="18">
        <f>=Round(AC11-AC8,0)</f>
        <v>0</v>
      </c>
      <c r="AD14" s="18">
        <f>=Round(AD11-AD8,0)</f>
        <v>0</v>
      </c>
      <c r="AE14" s="18">
        <f>=Round(AE11-AE8,0)</f>
        <v>68</v>
      </c>
      <c r="AF14" s="18">
        <f>=Round(AF11-AF8,0)</f>
        <v>168</v>
      </c>
      <c r="AG14" s="18">
        <f>=Round(AG11-AG8,0)</f>
        <v>168</v>
      </c>
      <c r="AH14" s="18">
        <f>=Round(AH11-AH8,0)</f>
        <v>0</v>
      </c>
      <c r="AI14" s="18">
        <f>=Round(AI11-AI8,0)</f>
        <v>0</v>
      </c>
      <c r="AJ14" s="18">
        <f>=Round(AJ11-AJ8,0)</f>
        <v>0</v>
      </c>
      <c r="AK14" s="18">
        <f>=Round(AK11-AK8,0)</f>
        <v>0</v>
      </c>
      <c r="AL14" s="18">
        <f>=Round(AL11-AL8,0)</f>
        <v>168</v>
      </c>
      <c r="AM14" s="18">
        <f>=Round(AM11-AM8,0)</f>
        <v>168</v>
      </c>
      <c r="AN14" s="18">
        <f>=Round(AN11-AN8,0)</f>
        <v>168</v>
      </c>
      <c r="AO14" s="18">
        <f>=Round(AO11-AO8,0)</f>
        <v>101</v>
      </c>
      <c r="AP14" s="18">
        <f>=Round(AP11-AP8,0)</f>
        <v>101</v>
      </c>
      <c r="AQ14" s="18">
        <f>=Round(AQ11-AQ8,0)</f>
        <v>101</v>
      </c>
      <c r="AR14" s="18">
        <f>=Round(AR11-AR8,0)</f>
        <v>101</v>
      </c>
      <c r="AS14" s="18">
        <f>=Round(AS11-AS8,0)</f>
        <v>0</v>
      </c>
      <c r="AT14" s="18">
        <f>=Round(AT11-AT8,0)</f>
        <v>0</v>
      </c>
      <c r="AU14" s="18">
        <f>=Round(AU11-AU8,0)</f>
        <v>0</v>
      </c>
      <c r="AV14" s="18">
        <f>=Round(AV11-AV8,0)</f>
        <v>0</v>
      </c>
      <c r="AW14" s="18">
        <f>=Round(AW11-AW8,0)</f>
        <v>0</v>
      </c>
      <c r="AX14" s="18">
        <f>=Round(AX11-AX8,0)</f>
        <v>0</v>
      </c>
      <c r="AY14" s="18">
        <f>=Round(AY11-AY8,0)</f>
        <v>0</v>
      </c>
      <c r="AZ14" s="18">
        <f>=Round(AZ11-AZ8,0)</f>
        <v>0</v>
      </c>
      <c r="BA14" s="18">
        <f>=Round(BA11-BA8,0)</f>
        <v>0</v>
      </c>
      <c r="BB14" s="18">
        <f>=Round(BB11-BB8,0)</f>
        <v>0</v>
      </c>
      <c r="BC14" s="18">
        <f>=Round(BC11-BC8,0)</f>
        <v>4</v>
      </c>
      <c r="BD14" s="18">
        <f>=Round(BD11-BD8,0)</f>
        <v>4</v>
      </c>
      <c r="BE14" s="18">
        <f>=Round(BE11-BE8,0)</f>
        <v>4</v>
      </c>
      <c r="BF14" s="18">
        <f>=Round(BF11-BF8,0)</f>
        <v>4</v>
      </c>
      <c r="BG14" s="18">
        <f>=Round(BG11-BG8,0)</f>
        <v>4</v>
      </c>
      <c r="BH14" s="18">
        <f>=Round(BH11-BH8,0)</f>
        <v>4</v>
      </c>
      <c r="BI14" s="18">
        <f>=Round(BI11-BI8,0)</f>
        <v>4</v>
      </c>
      <c r="BJ14" s="18">
        <f>=Round(BJ11-BJ8,0)</f>
        <v>4</v>
      </c>
      <c r="BK14" s="18">
        <f>=Round(BK11-BK8,0)</f>
        <v>4</v>
      </c>
      <c r="BL14" s="18">
        <f>=Round(BL11-BL8,0)</f>
        <v>4</v>
      </c>
      <c r="BM14" s="18">
        <f>=Round(BM11-BM8,0)</f>
        <v>4</v>
      </c>
      <c r="BN14" s="18">
        <f>=Round(BN11-BN8,0)</f>
        <v>1</v>
      </c>
      <c r="BO14" s="18">
        <f>=Round(BO11-BO8,0)</f>
        <v>-1</v>
      </c>
      <c r="BP14" s="18">
        <f>=Round(BP11-BP8,0)</f>
        <v>30</v>
      </c>
      <c r="BQ14" s="18">
        <f>=Round(BQ11-BQ8,0)</f>
        <v>28</v>
      </c>
      <c r="BR14" s="18">
        <f>=Round(BR11-BR8,0)</f>
        <v>25</v>
      </c>
      <c r="BS14" s="18">
        <f>=Round(BS11-BS8,0)</f>
        <v>23</v>
      </c>
      <c r="BT14" s="18">
        <f>=Round(BT11-BT8,0)</f>
        <v>21</v>
      </c>
      <c r="BU14" s="18">
        <f>=Round(BU11-BU8,0)</f>
        <v>18</v>
      </c>
      <c r="BV14" s="18">
        <f>=Round(BV11-BV8,0)</f>
        <v>16</v>
      </c>
      <c r="BW14" s="18">
        <f>=Round(BW11-BW8,0)</f>
        <v>14</v>
      </c>
      <c r="BX14" s="18">
        <f>=Round(BX11-BX8,0)</f>
        <v>12</v>
      </c>
      <c r="BY14" s="18">
        <f>=Round(BY11-BY8,0)</f>
        <v>9</v>
      </c>
      <c r="BZ14" s="18">
        <f>=Round(BZ11-BZ8,0)</f>
        <v>7</v>
      </c>
      <c r="CA14" s="18">
        <f>=Round(CA11-CA8,0)</f>
        <v>5</v>
      </c>
      <c r="CB14" s="18">
        <f>=Round(CB11-CB8,0)</f>
        <v>3</v>
      </c>
      <c r="CC14" s="18">
        <f>=Round(CC11-CC8,0)</f>
        <v>1</v>
      </c>
      <c r="CD14" s="18">
        <f>=Round(CD11-CD8,0)</f>
        <v>-1</v>
      </c>
      <c r="CE14" s="18">
        <f>=Round(CE11-CE8,0)</f>
        <v>-3</v>
      </c>
      <c r="CF14" s="18">
        <f>=Round(CF11-CF8,0)</f>
        <v>-5</v>
      </c>
      <c r="CG14" s="18">
        <f>=Round(CG11-CG8,0)</f>
        <v>-7</v>
      </c>
      <c r="CH14" s="18">
        <f>=Round(CH11-CH8,0)</f>
        <v>-9</v>
      </c>
      <c r="CI14" s="18">
        <f>=Round(CI11-CI8,0)</f>
        <v>-11</v>
      </c>
      <c r="CJ14" s="18">
        <f>=Round(CJ11-CJ8,0)</f>
        <v>-13</v>
      </c>
      <c r="CK14" s="18">
        <f>=Round(CK11-CK8,0)</f>
        <v>-14</v>
      </c>
      <c r="CL14" s="18">
        <f>=Round(CL11-CL8,0)</f>
        <v>-16</v>
      </c>
      <c r="CM14" s="18">
        <f>=Round(CM11-CM8,0)</f>
        <v>-18</v>
      </c>
      <c r="CN14" s="18">
        <f>=Round(CN11-CN8,0)</f>
        <v>-20</v>
      </c>
      <c r="CO14" s="18">
        <f>=Round(CO11-CO8,0)</f>
        <v>-21</v>
      </c>
      <c r="CP14" s="18">
        <f>=Round(CP11-CP8,0)</f>
        <v>-23</v>
      </c>
      <c r="CQ14" s="18">
        <f>=Round(CQ11-CQ8,0)</f>
        <v>-25</v>
      </c>
      <c r="CR14" s="18">
        <f>=Round(CR11-CR8,0)</f>
        <v>-26</v>
      </c>
      <c r="CS14" s="18">
        <f>=Round(CS11-CS8,0)</f>
        <v>-28</v>
      </c>
      <c r="CT14" s="18">
        <f>=Round(CT11-CT8,0)</f>
        <v>-30</v>
      </c>
      <c r="CU14" s="18">
        <f>=Round(CU11-CU8,0)</f>
        <v>-31</v>
      </c>
      <c r="CV14" s="18">
        <f>=Round(CV11-CV8,0)</f>
        <v>-33</v>
      </c>
      <c r="CW14" s="18">
        <f>=Round(CW11-CW8,0)</f>
        <v>-34</v>
      </c>
      <c r="CX14" s="18">
        <f>=Round(CX11-CX8,0)</f>
        <v>-36</v>
      </c>
      <c r="CY14" s="18">
        <f>=Round(CY11-CY8,0)</f>
        <v>-37</v>
      </c>
      <c r="CZ14" s="18">
        <f>=Round(CZ11-CZ8,0)</f>
        <v>-39</v>
      </c>
      <c r="DA14" s="18">
        <f>=Round(DA11-DA8,0)</f>
        <v>-40</v>
      </c>
      <c r="DB14" s="18">
        <f>=Round(DB11-DB8,0)</f>
        <v>-41</v>
      </c>
    </row>
    <row r="15" ht="14" customHeight="1" spans="1:106" x14ac:dyDescent="0.25">
      <c r="A15" s="23" t="s">
        <v>249</v>
      </c>
      <c r="B15" s="24"/>
      <c r="C15" s="25">
        <f>=Round(IFERROR(C10/C7,0),2)</f>
        <v>1</v>
      </c>
      <c r="D15" s="25">
        <f>=Round(IFERROR(D10/D7,0),2)</f>
        <v>1</v>
      </c>
      <c r="E15" s="25">
        <f>=Round(IFERROR(E10/E7,0),2)</f>
        <v>1</v>
      </c>
      <c r="F15" s="25">
        <f>=Round(IFERROR(F10/F7,0),2)</f>
        <v>1</v>
      </c>
      <c r="G15" s="25">
        <f>=Round(IFERROR(G10/G7,0),2)</f>
        <v>1</v>
      </c>
      <c r="H15" s="25">
        <f>=Round(IFERROR(H10/H7,0),2)</f>
        <v>1</v>
      </c>
      <c r="I15" s="25">
        <f>=Round(IFERROR(I10/I7,0),2)</f>
        <v>1</v>
      </c>
      <c r="J15" s="25">
        <f>=Round(IFERROR(J10/J7,0),2)</f>
        <v>1</v>
      </c>
      <c r="K15" s="25">
        <f>=Round(IFERROR(K10/K7,0),2)</f>
        <v>1</v>
      </c>
      <c r="L15" s="25">
        <f>=Round(IFERROR(L10/L7,0),2)</f>
        <v>1</v>
      </c>
      <c r="M15" s="25">
        <f>=Round(IFERROR(M10/M7,0),2)</f>
        <v>1</v>
      </c>
      <c r="N15" s="25">
        <f>=Round(IFERROR(N10/N7,0),2)</f>
        <v>1</v>
      </c>
      <c r="O15" s="25">
        <f>=Round(IFERROR(O10/O7,0),2)</f>
        <v>1</v>
      </c>
      <c r="P15" s="25">
        <f>=Round(IFERROR(P10/P7,0),2)</f>
        <v>1</v>
      </c>
      <c r="Q15" s="25">
        <f>=Round(IFERROR(Q10/Q7,0),2)</f>
        <v>1</v>
      </c>
      <c r="R15" s="25">
        <f>=Round(IFERROR(R10/R7,0),2)</f>
        <v>1</v>
      </c>
      <c r="S15" s="25">
        <f>=Round(IFERROR(S10/S7,0),2)</f>
        <v>1</v>
      </c>
      <c r="T15" s="25">
        <f>=Round(IFERROR(T10/T7,0),2)</f>
        <v>1</v>
      </c>
      <c r="U15" s="25">
        <f>=Round(IFERROR(U10/U7,0),2)</f>
        <v>1</v>
      </c>
      <c r="V15" s="25">
        <f>=Round(IFERROR(V10/V7,0),2)</f>
        <v>1</v>
      </c>
      <c r="W15" s="25">
        <f>=Round(IFERROR(W10/W7,0),2)</f>
        <v>1</v>
      </c>
      <c r="X15" s="25">
        <f>=Round(IFERROR(X10/X7,0),2)</f>
        <v>1</v>
      </c>
      <c r="Y15" s="25">
        <f>=Round(IFERROR(Y10/Y7,0),2)</f>
        <v>1</v>
      </c>
      <c r="Z15" s="25">
        <f>=Round(IFERROR(Z10/Z7,0),2)</f>
        <v>1</v>
      </c>
      <c r="AA15" s="25">
        <f>=Round(IFERROR(AA10/AA7,0),2)</f>
        <v>1</v>
      </c>
      <c r="AB15" s="25">
        <f>=Round(IFERROR(AB10/AB7,0),2)</f>
        <v>1</v>
      </c>
      <c r="AC15" s="25">
        <f>=Round(IFERROR(AC10/AC7,0),2)</f>
        <v>1</v>
      </c>
      <c r="AD15" s="25">
        <f>=Round(IFERROR(AD10/AD7,0),2)</f>
        <v>1</v>
      </c>
      <c r="AE15" s="25">
        <f>=Round(IFERROR(AE10/AE7,0),2)</f>
        <v>1.5</v>
      </c>
      <c r="AF15" s="25">
        <f>=Round(IFERROR(AF10/AF7,0),2)</f>
        <v>2.25</v>
      </c>
      <c r="AG15" s="25">
        <f>=Round(IFERROR(AG10/AG7,0),2)</f>
        <v>2.25</v>
      </c>
      <c r="AH15" s="25">
        <f>=Round(IFERROR(AH10/AH7,0),2)</f>
        <v>1</v>
      </c>
      <c r="AI15" s="25">
        <f>=Round(IFERROR(AI10/AI7,0),2)</f>
        <v>1</v>
      </c>
      <c r="AJ15" s="25">
        <f>=Round(IFERROR(AJ10/AJ7,0),2)</f>
        <v>1</v>
      </c>
      <c r="AK15" s="25">
        <f>=Round(IFERROR(AK10/AK7,0),2)</f>
        <v>1</v>
      </c>
      <c r="AL15" s="25">
        <f>=Round(IFERROR(AL10/AL7,0),2)</f>
        <v>2</v>
      </c>
      <c r="AM15" s="25">
        <f>=Round(IFERROR(AM10/AM7,0),2)</f>
        <v>2</v>
      </c>
      <c r="AN15" s="25">
        <f>=Round(IFERROR(AN10/AN7,0),2)</f>
        <v>2</v>
      </c>
      <c r="AO15" s="25">
        <f>=Round(IFERROR(AO10/AO7,0),2)</f>
        <v>1.6</v>
      </c>
      <c r="AP15" s="25">
        <f>=Round(IFERROR(AP10/AP7,0),2)</f>
        <v>1.6</v>
      </c>
      <c r="AQ15" s="25">
        <f>=Round(IFERROR(AQ10/AQ7,0),2)</f>
        <v>1.6</v>
      </c>
      <c r="AR15" s="25">
        <f>=Round(IFERROR(AR10/AR7,0),2)</f>
        <v>1.6</v>
      </c>
      <c r="AS15" s="25">
        <f>=Round(IFERROR(AS10/AS7,0),2)</f>
        <v>1</v>
      </c>
      <c r="AT15" s="25">
        <f>=Round(IFERROR(AT10/AT7,0),2)</f>
        <v>1</v>
      </c>
      <c r="AU15" s="25">
        <f>=Round(IFERROR(AU10/AU7,0),2)</f>
        <v>1</v>
      </c>
      <c r="AV15" s="25">
        <f>=Round(IFERROR(AV10/AV7,0),2)</f>
        <v>1</v>
      </c>
      <c r="AW15" s="25">
        <f>=Round(IFERROR(AW10/AW7,0),2)</f>
        <v>1</v>
      </c>
      <c r="AX15" s="25">
        <f>=Round(IFERROR(AX10/AX7,0),2)</f>
        <v>1</v>
      </c>
      <c r="AY15" s="25">
        <f>=Round(IFERROR(AY10/AY7,0),2)</f>
        <v>1</v>
      </c>
      <c r="AZ15" s="25">
        <f>=Round(IFERROR(AZ10/AZ7,0),2)</f>
        <v>1</v>
      </c>
      <c r="BA15" s="25">
        <f>=Round(IFERROR(BA10/BA7,0),2)</f>
        <v>1</v>
      </c>
      <c r="BB15" s="25">
        <f>=Round(IFERROR(BB10/BB7,0),2)</f>
        <v>1</v>
      </c>
      <c r="BC15" s="25">
        <f>=Round(IFERROR(BC10/BC7,0),2)</f>
        <v>1</v>
      </c>
      <c r="BD15" s="25">
        <f>=Round(IFERROR(BD10/BD7,0),2)</f>
        <v>1</v>
      </c>
      <c r="BE15" s="25">
        <f>=Round(IFERROR(BE10/BE7,0),2)</f>
        <v>1</v>
      </c>
      <c r="BF15" s="25">
        <f>=Round(IFERROR(BF10/BF7,0),2)</f>
        <v>1</v>
      </c>
      <c r="BG15" s="25">
        <f>=Round(IFERROR(BG10/BG7,0),2)</f>
        <v>1</v>
      </c>
      <c r="BH15" s="25">
        <f>=Round(IFERROR(BH10/BH7,0),2)</f>
        <v>1</v>
      </c>
      <c r="BI15" s="25">
        <f>=Round(IFERROR(BI10/BI7,0),2)</f>
        <v>1</v>
      </c>
      <c r="BJ15" s="25">
        <f>=Round(IFERROR(BJ10/BJ7,0),2)</f>
        <v>1</v>
      </c>
      <c r="BK15" s="25">
        <f>=Round(IFERROR(BK10/BK7,0),2)</f>
        <v>1</v>
      </c>
      <c r="BL15" s="25">
        <f>=Round(IFERROR(BL10/BL7,0),2)</f>
        <v>1</v>
      </c>
      <c r="BM15" s="25">
        <f>=Round(IFERROR(BM10/BM7,0),2)</f>
        <v>1</v>
      </c>
      <c r="BN15" s="25">
        <f>=Round(IFERROR(BN10/BN7,0),2)</f>
        <v>0.99</v>
      </c>
      <c r="BO15" s="25">
        <f>=Round(IFERROR(BO10/BO7,0),2)</f>
        <v>0.97</v>
      </c>
      <c r="BP15" s="25">
        <f>=Round(IFERROR(BP10/BP7,0),2)</f>
        <v>1.19</v>
      </c>
      <c r="BQ15" s="25">
        <f>=Round(IFERROR(BQ10/BQ7,0),2)</f>
        <v>1.18</v>
      </c>
      <c r="BR15" s="25">
        <f>=Round(IFERROR(BR10/BR7,0),2)</f>
        <v>1.16</v>
      </c>
      <c r="BS15" s="25">
        <f>=Round(IFERROR(BS10/BS7,0),2)</f>
        <v>1.14</v>
      </c>
      <c r="BT15" s="25">
        <f>=Round(IFERROR(BT10/BT7,0),2)</f>
        <v>1.12</v>
      </c>
      <c r="BU15" s="25">
        <f>=Round(IFERROR(BU10/BU7,0),2)</f>
        <v>1.11</v>
      </c>
      <c r="BV15" s="25">
        <f>=Round(IFERROR(BV10/BV7,0),2)</f>
        <v>1.09</v>
      </c>
      <c r="BW15" s="25">
        <f>=Round(IFERROR(BW10/BW7,0),2)</f>
        <v>1.07</v>
      </c>
      <c r="BX15" s="25">
        <f>=Round(IFERROR(BX10/BX7,0),2)</f>
        <v>1.06</v>
      </c>
      <c r="BY15" s="25">
        <f>=Round(IFERROR(BY10/BY7,0),2)</f>
        <v>1.04</v>
      </c>
      <c r="BZ15" s="25">
        <f>=Round(IFERROR(BZ10/BZ7,0),2)</f>
        <v>1.03</v>
      </c>
      <c r="CA15" s="25">
        <f>=Round(IFERROR(CA10/CA7,0),2)</f>
        <v>1.01</v>
      </c>
      <c r="CB15" s="25">
        <f>=Round(IFERROR(CB10/CB7,0),2)</f>
        <v>1</v>
      </c>
      <c r="CC15" s="25">
        <f>=Round(IFERROR(CC10/CC7,0),2)</f>
        <v>0.98</v>
      </c>
      <c r="CD15" s="25">
        <f>=Round(IFERROR(CD10/CD7,0),2)</f>
        <v>0.97</v>
      </c>
      <c r="CE15" s="25">
        <f>=Round(IFERROR(CE10/CE7,0),2)</f>
        <v>0.95</v>
      </c>
      <c r="CF15" s="25">
        <f>=Round(IFERROR(CF10/CF7,0),2)</f>
        <v>0.94</v>
      </c>
      <c r="CG15" s="25">
        <f>=Round(IFERROR(CG10/CG7,0),2)</f>
        <v>0.92</v>
      </c>
      <c r="CH15" s="25">
        <f>=Round(IFERROR(CH10/CH7,0),2)</f>
        <v>0.91</v>
      </c>
      <c r="CI15" s="25">
        <f>=Round(IFERROR(CI10/CI7,0),2)</f>
        <v>0.9</v>
      </c>
      <c r="CJ15" s="25">
        <f>=Round(IFERROR(CJ10/CJ7,0),2)</f>
        <v>0.88</v>
      </c>
      <c r="CK15" s="25">
        <f>=Round(IFERROR(CK10/CK7,0),2)</f>
        <v>0.87</v>
      </c>
      <c r="CL15" s="25">
        <f>=Round(IFERROR(CL10/CL7,0),2)</f>
        <v>0.86</v>
      </c>
      <c r="CM15" s="25">
        <f>=Round(IFERROR(CM10/CM7,0),2)</f>
        <v>0.84</v>
      </c>
      <c r="CN15" s="25">
        <f>=Round(IFERROR(CN10/CN7,0),2)</f>
        <v>0.83</v>
      </c>
      <c r="CO15" s="25">
        <f>=Round(IFERROR(CO10/CO7,0),2)</f>
        <v>0.82</v>
      </c>
      <c r="CP15" s="25">
        <f>=Round(IFERROR(CP10/CP7,0),2)</f>
        <v>0.81</v>
      </c>
      <c r="CQ15" s="25">
        <f>=Round(IFERROR(CQ10/CQ7,0),2)</f>
        <v>0.79</v>
      </c>
      <c r="CR15" s="25">
        <f>=Round(IFERROR(CR10/CR7,0),2)</f>
        <v>0.78</v>
      </c>
      <c r="CS15" s="25">
        <f>=Round(IFERROR(CS10/CS7,0),2)</f>
        <v>0.77</v>
      </c>
      <c r="CT15" s="25">
        <f>=Round(IFERROR(CT10/CT7,0),2)</f>
        <v>0.76</v>
      </c>
      <c r="CU15" s="25">
        <f>=Round(IFERROR(CU10/CU7,0),2)</f>
        <v>0.75</v>
      </c>
      <c r="CV15" s="25">
        <f>=Round(IFERROR(CV10/CV7,0),2)</f>
        <v>0.74</v>
      </c>
      <c r="CW15" s="25">
        <f>=Round(IFERROR(CW10/CW7,0),2)</f>
        <v>0.73</v>
      </c>
      <c r="CX15" s="25">
        <f>=Round(IFERROR(CX10/CX7,0),2)</f>
        <v>0.71</v>
      </c>
      <c r="CY15" s="25">
        <f>=Round(IFERROR(CY10/CY7,0),2)</f>
        <v>0.7</v>
      </c>
      <c r="CZ15" s="25">
        <f>=Round(IFERROR(CZ10/CZ7,0),2)</f>
        <v>0.69</v>
      </c>
      <c r="DA15" s="25">
        <f>=Round(IFERROR(DA10/DA7,0),2)</f>
        <v>0.68</v>
      </c>
      <c r="DB15" s="25">
        <f>=Round(IFERROR(DB10/DB7,0),2)</f>
        <v>0.67</v>
      </c>
    </row>
    <row r="16" spans="1:106" x14ac:dyDescent="0.25">
      <c r="A16" s="23" t="s">
        <v>250</v>
      </c>
      <c r="B16" s="24"/>
      <c r="C16" s="25">
        <f>=Round(IFERROR(C10/C9,0),2)</f>
        <v>1</v>
      </c>
      <c r="D16" s="25">
        <f>=Round(IFERROR(D10/D9,0),2)</f>
        <v>1</v>
      </c>
      <c r="E16" s="25">
        <f>=Round(IFERROR(E10/E9,0),2)</f>
        <v>1</v>
      </c>
      <c r="F16" s="25">
        <f>=Round(IFERROR(F10/F9,0),2)</f>
        <v>1</v>
      </c>
      <c r="G16" s="25">
        <f>=Round(IFERROR(G10/G9,0),2)</f>
        <v>1</v>
      </c>
      <c r="H16" s="25">
        <f>=Round(IFERROR(H10/H9,0),2)</f>
        <v>1</v>
      </c>
      <c r="I16" s="25">
        <f>=Round(IFERROR(I10/I9,0),2)</f>
        <v>1</v>
      </c>
      <c r="J16" s="25">
        <f>=Round(IFERROR(J10/J9,0),2)</f>
        <v>1</v>
      </c>
      <c r="K16" s="25">
        <f>=Round(IFERROR(K10/K9,0),2)</f>
        <v>1</v>
      </c>
      <c r="L16" s="25">
        <f>=Round(IFERROR(L10/L9,0),2)</f>
        <v>1</v>
      </c>
      <c r="M16" s="25">
        <f>=Round(IFERROR(M10/M9,0),2)</f>
        <v>1</v>
      </c>
      <c r="N16" s="25">
        <f>=Round(IFERROR(N10/N9,0),2)</f>
        <v>1</v>
      </c>
      <c r="O16" s="25">
        <f>=Round(IFERROR(O10/O9,0),2)</f>
        <v>1</v>
      </c>
      <c r="P16" s="25">
        <f>=Round(IFERROR(P10/P9,0),2)</f>
        <v>1</v>
      </c>
      <c r="Q16" s="25">
        <f>=Round(IFERROR(Q10/Q9,0),2)</f>
        <v>1</v>
      </c>
      <c r="R16" s="25">
        <f>=Round(IFERROR(R10/R9,0),2)</f>
        <v>1</v>
      </c>
      <c r="S16" s="25">
        <f>=Round(IFERROR(S10/S9,0),2)</f>
        <v>1</v>
      </c>
      <c r="T16" s="25">
        <f>=Round(IFERROR(T10/T9,0),2)</f>
        <v>1</v>
      </c>
      <c r="U16" s="25">
        <f>=Round(IFERROR(U10/U9,0),2)</f>
        <v>1</v>
      </c>
      <c r="V16" s="25">
        <f>=Round(IFERROR(V10/V9,0),2)</f>
        <v>1</v>
      </c>
      <c r="W16" s="25">
        <f>=Round(IFERROR(W10/W9,0),2)</f>
        <v>1</v>
      </c>
      <c r="X16" s="25">
        <f>=Round(IFERROR(X10/X9,0),2)</f>
        <v>1</v>
      </c>
      <c r="Y16" s="25">
        <f>=Round(IFERROR(Y10/Y9,0),2)</f>
        <v>1</v>
      </c>
      <c r="Z16" s="25">
        <f>=Round(IFERROR(Z10/Z9,0),2)</f>
        <v>1</v>
      </c>
      <c r="AA16" s="25">
        <f>=Round(IFERROR(AA10/AA9,0),2)</f>
        <v>1</v>
      </c>
      <c r="AB16" s="25">
        <f>=Round(IFERROR(AB10/AB9,0),2)</f>
        <v>1</v>
      </c>
      <c r="AC16" s="25">
        <f>=Round(IFERROR(AC10/AC9,0),2)</f>
        <v>1</v>
      </c>
      <c r="AD16" s="25">
        <f>=Round(IFERROR(AD10/AD9,0),2)</f>
        <v>1</v>
      </c>
      <c r="AE16" s="25">
        <f>=Round(IFERROR(AE10/AE9,0),2)</f>
        <v>1.5</v>
      </c>
      <c r="AF16" s="25">
        <f>=Round(IFERROR(AF10/AF9,0),2)</f>
        <v>2.25</v>
      </c>
      <c r="AG16" s="25">
        <f>=Round(IFERROR(AG10/AG9,0),2)</f>
        <v>2.25</v>
      </c>
      <c r="AH16" s="25">
        <f>=Round(IFERROR(AH10/AH9,0),2)</f>
        <v>1</v>
      </c>
      <c r="AI16" s="25">
        <f>=Round(IFERROR(AI10/AI9,0),2)</f>
        <v>1</v>
      </c>
      <c r="AJ16" s="25">
        <f>=Round(IFERROR(AJ10/AJ9,0),2)</f>
        <v>1</v>
      </c>
      <c r="AK16" s="25">
        <f>=Round(IFERROR(AK10/AK9,0),2)</f>
        <v>1</v>
      </c>
      <c r="AL16" s="25">
        <f>=Round(IFERROR(AL10/AL9,0),2)</f>
        <v>2</v>
      </c>
      <c r="AM16" s="25">
        <f>=Round(IFERROR(AM10/AM9,0),2)</f>
        <v>2</v>
      </c>
      <c r="AN16" s="25">
        <f>=Round(IFERROR(AN10/AN9,0),2)</f>
        <v>2</v>
      </c>
      <c r="AO16" s="25">
        <f>=Round(IFERROR(AO10/AO9,0),2)</f>
        <v>1.6</v>
      </c>
      <c r="AP16" s="25">
        <f>=Round(IFERROR(AP10/AP9,0),2)</f>
        <v>1.6</v>
      </c>
      <c r="AQ16" s="25">
        <f>=Round(IFERROR(AQ10/AQ9,0),2)</f>
        <v>1.6</v>
      </c>
      <c r="AR16" s="25">
        <f>=Round(IFERROR(AR10/AR9,0),2)</f>
        <v>1.6</v>
      </c>
      <c r="AS16" s="25">
        <f>=Round(IFERROR(AS10/AS9,0),2)</f>
        <v>1</v>
      </c>
      <c r="AT16" s="25">
        <f>=Round(IFERROR(AT10/AT9,0),2)</f>
        <v>1</v>
      </c>
      <c r="AU16" s="25">
        <f>=Round(IFERROR(AU10/AU9,0),2)</f>
        <v>1</v>
      </c>
      <c r="AV16" s="25">
        <f>=Round(IFERROR(AV10/AV9,0),2)</f>
        <v>1</v>
      </c>
      <c r="AW16" s="25">
        <f>=Round(IFERROR(AW10/AW9,0),2)</f>
        <v>1</v>
      </c>
      <c r="AX16" s="25">
        <f>=Round(IFERROR(AX10/AX9,0),2)</f>
        <v>1</v>
      </c>
      <c r="AY16" s="25">
        <f>=Round(IFERROR(AY10/AY9,0),2)</f>
        <v>1</v>
      </c>
      <c r="AZ16" s="25">
        <f>=Round(IFERROR(AZ10/AZ9,0),2)</f>
        <v>1</v>
      </c>
      <c r="BA16" s="25">
        <f>=Round(IFERROR(BA10/BA9,0),2)</f>
        <v>1</v>
      </c>
      <c r="BB16" s="25">
        <f>=Round(IFERROR(BB10/BB9,0),2)</f>
        <v>1</v>
      </c>
      <c r="BC16" s="25">
        <f>=Round(IFERROR(BC10/BC9,0),2)</f>
        <v>1</v>
      </c>
      <c r="BD16" s="25">
        <f>=Round(IFERROR(BD10/BD9,0),2)</f>
        <v>1</v>
      </c>
      <c r="BE16" s="25">
        <f>=Round(IFERROR(BE10/BE9,0),2)</f>
        <v>1</v>
      </c>
      <c r="BF16" s="25">
        <f>=Round(IFERROR(BF10/BF9,0),2)</f>
        <v>1</v>
      </c>
      <c r="BG16" s="25">
        <f>=Round(IFERROR(BG10/BG9,0),2)</f>
        <v>1</v>
      </c>
      <c r="BH16" s="25">
        <f>=Round(IFERROR(BH10/BH9,0),2)</f>
        <v>1</v>
      </c>
      <c r="BI16" s="25">
        <f>=Round(IFERROR(BI10/BI9,0),2)</f>
        <v>1</v>
      </c>
      <c r="BJ16" s="25">
        <f>=Round(IFERROR(BJ10/BJ9,0),2)</f>
        <v>1</v>
      </c>
      <c r="BK16" s="25">
        <f>=Round(IFERROR(BK10/BK9,0),2)</f>
        <v>1</v>
      </c>
      <c r="BL16" s="25">
        <f>=Round(IFERROR(BL10/BL9,0),2)</f>
        <v>1</v>
      </c>
      <c r="BM16" s="25">
        <f>=Round(IFERROR(BM10/BM9,0),2)</f>
        <v>1</v>
      </c>
      <c r="BN16" s="25">
        <f>=Round(IFERROR(BN10/BN9,0),2)</f>
        <v>0.99</v>
      </c>
      <c r="BO16" s="25">
        <f>=Round(IFERROR(BO10/BO9,0),2)</f>
        <v>0.97</v>
      </c>
      <c r="BP16" s="25">
        <f>=Round(IFERROR(BP10/BP9,0),2)</f>
        <v>1.19</v>
      </c>
      <c r="BQ16" s="25">
        <f>=Round(IFERROR(BQ10/BQ9,0),2)</f>
        <v>1.18</v>
      </c>
      <c r="BR16" s="25">
        <f>=Round(IFERROR(BR10/BR9,0),2)</f>
        <v>1.16</v>
      </c>
      <c r="BS16" s="25">
        <f>=Round(IFERROR(BS10/BS9,0),2)</f>
        <v>1.14</v>
      </c>
      <c r="BT16" s="25">
        <f>=Round(IFERROR(BT10/BT9,0),2)</f>
        <v>1.12</v>
      </c>
      <c r="BU16" s="25">
        <f>=Round(IFERROR(BU10/BU9,0),2)</f>
        <v>1.11</v>
      </c>
      <c r="BV16" s="25">
        <f>=Round(IFERROR(BV10/BV9,0),2)</f>
        <v>1.09</v>
      </c>
      <c r="BW16" s="25">
        <f>=Round(IFERROR(BW10/BW9,0),2)</f>
        <v>1.07</v>
      </c>
      <c r="BX16" s="25">
        <f>=Round(IFERROR(BX10/BX9,0),2)</f>
        <v>1.06</v>
      </c>
      <c r="BY16" s="25">
        <f>=Round(IFERROR(BY10/BY9,0),2)</f>
        <v>1.04</v>
      </c>
      <c r="BZ16" s="25">
        <f>=Round(IFERROR(BZ10/BZ9,0),2)</f>
        <v>1.03</v>
      </c>
      <c r="CA16" s="25">
        <f>=Round(IFERROR(CA10/CA9,0),2)</f>
        <v>1.01</v>
      </c>
      <c r="CB16" s="25">
        <f>=Round(IFERROR(CB10/CB9,0),2)</f>
        <v>1</v>
      </c>
      <c r="CC16" s="25">
        <f>=Round(IFERROR(CC10/CC9,0),2)</f>
        <v>0.98</v>
      </c>
      <c r="CD16" s="25">
        <f>=Round(IFERROR(CD10/CD9,0),2)</f>
        <v>0.97</v>
      </c>
      <c r="CE16" s="25">
        <f>=Round(IFERROR(CE10/CE9,0),2)</f>
        <v>0.95</v>
      </c>
      <c r="CF16" s="25">
        <f>=Round(IFERROR(CF10/CF9,0),2)</f>
        <v>0.94</v>
      </c>
      <c r="CG16" s="25">
        <f>=Round(IFERROR(CG10/CG9,0),2)</f>
        <v>0.92</v>
      </c>
      <c r="CH16" s="25">
        <f>=Round(IFERROR(CH10/CH9,0),2)</f>
        <v>0.91</v>
      </c>
      <c r="CI16" s="25">
        <f>=Round(IFERROR(CI10/CI9,0),2)</f>
        <v>0.9</v>
      </c>
      <c r="CJ16" s="25">
        <f>=Round(IFERROR(CJ10/CJ9,0),2)</f>
        <v>0.88</v>
      </c>
      <c r="CK16" s="25">
        <f>=Round(IFERROR(CK10/CK9,0),2)</f>
        <v>0.87</v>
      </c>
      <c r="CL16" s="25">
        <f>=Round(IFERROR(CL10/CL9,0),2)</f>
        <v>0.86</v>
      </c>
      <c r="CM16" s="25">
        <f>=Round(IFERROR(CM10/CM9,0),2)</f>
        <v>0.84</v>
      </c>
      <c r="CN16" s="25">
        <f>=Round(IFERROR(CN10/CN9,0),2)</f>
        <v>0.83</v>
      </c>
      <c r="CO16" s="25">
        <f>=Round(IFERROR(CO10/CO9,0),2)</f>
        <v>0.82</v>
      </c>
      <c r="CP16" s="25">
        <f>=Round(IFERROR(CP10/CP9,0),2)</f>
        <v>0.81</v>
      </c>
      <c r="CQ16" s="25">
        <f>=Round(IFERROR(CQ10/CQ9,0),2)</f>
        <v>0.79</v>
      </c>
      <c r="CR16" s="25">
        <f>=Round(IFERROR(CR10/CR9,0),2)</f>
        <v>0.78</v>
      </c>
      <c r="CS16" s="25">
        <f>=Round(IFERROR(CS10/CS9,0),2)</f>
        <v>0.77</v>
      </c>
      <c r="CT16" s="25">
        <f>=Round(IFERROR(CT10/CT9,0),2)</f>
        <v>0.76</v>
      </c>
      <c r="CU16" s="25">
        <f>=Round(IFERROR(CU10/CU9,0),2)</f>
        <v>0.75</v>
      </c>
      <c r="CV16" s="25">
        <f>=Round(IFERROR(CV10/CV9,0),2)</f>
        <v>0.74</v>
      </c>
      <c r="CW16" s="25">
        <f>=Round(IFERROR(CW10/CW9,0),2)</f>
        <v>0.73</v>
      </c>
      <c r="CX16" s="25">
        <f>=Round(IFERROR(CX10/CX9,0),2)</f>
        <v>0.71</v>
      </c>
      <c r="CY16" s="25">
        <f>=Round(IFERROR(CY10/CY9,0),2)</f>
        <v>0.7</v>
      </c>
      <c r="CZ16" s="25">
        <f>=Round(IFERROR(CZ10/CZ9,0),2)</f>
        <v>0.69</v>
      </c>
      <c r="DA16" s="25">
        <f>=Round(IFERROR(DA10/DA9,0),2)</f>
        <v>0.68</v>
      </c>
      <c r="DB16" s="25">
        <f>=Round(IFERROR(DB10/DB9,0),2)</f>
        <v>0.67</v>
      </c>
    </row>
    <row r="17" ht="14" customHeight="1" spans="1:106" x14ac:dyDescent="0.25">
      <c r="A17" s="23" t="s">
        <v>251</v>
      </c>
      <c r="B17" s="24"/>
      <c r="C17" s="26">
        <f>=IFERROR(C11/C8,0)</f>
        <v>1.0029850746268656</v>
      </c>
      <c r="D17" s="26">
        <f>=IFERROR(D11/D8,0)</f>
        <v>1.0029850746268656</v>
      </c>
      <c r="E17" s="25">
        <f>=IFERROR(E11/E8,0)</f>
        <v>1.0029850746268656</v>
      </c>
      <c r="F17" s="25">
        <f>=IFERROR(F11/F8,0)</f>
        <v>1.0029850746268656</v>
      </c>
      <c r="G17" s="25">
        <f>=IFERROR(G11/G8,0)</f>
        <v>1.0029850746268656</v>
      </c>
      <c r="H17" s="25">
        <f>=IFERROR(H11/H8,0)</f>
        <v>1.0029850746268656</v>
      </c>
      <c r="I17" s="25">
        <f>=IFERROR(I11/I8,0)</f>
        <v>1.0029850746268656</v>
      </c>
      <c r="J17" s="25">
        <f>=IFERROR(J11/J8,0)</f>
        <v>1.0029850746268656</v>
      </c>
      <c r="K17" s="25">
        <f>=IFERROR(K11/K8,0)</f>
        <v>1.0029850746268656</v>
      </c>
      <c r="L17" s="25">
        <f>=IFERROR(L11/L8,0)</f>
        <v>1.0029850746268656</v>
      </c>
      <c r="M17" s="25">
        <f>=IFERROR(M11/M8,0)</f>
        <v>1.0029850746268656</v>
      </c>
      <c r="N17" s="25">
        <f>=IFERROR(N11/N8,0)</f>
        <v>1.0029850746268656</v>
      </c>
      <c r="O17" s="25">
        <f>=IFERROR(O11/O8,0)</f>
        <v>1.0029850746268656</v>
      </c>
      <c r="P17" s="25">
        <f>=IFERROR(P11/P8,0)</f>
        <v>1.0029850746268656</v>
      </c>
      <c r="Q17" s="25">
        <f>=IFERROR(Q11/Q8,0)</f>
        <v>1.0029850746268656</v>
      </c>
      <c r="R17" s="25">
        <f>=IFERROR(R11/R8,0)</f>
        <v>1.0029850746268656</v>
      </c>
      <c r="S17" s="25">
        <f>=IFERROR(S11/S8,0)</f>
        <v>1.0029850746268656</v>
      </c>
      <c r="T17" s="25">
        <f>=IFERROR(T11/T8,0)</f>
        <v>1.0029850746268656</v>
      </c>
      <c r="U17" s="25">
        <f>=IFERROR(U11/U8,0)</f>
        <v>1.0029850746268656</v>
      </c>
      <c r="V17" s="25">
        <f>=IFERROR(V11/V8,0)</f>
        <v>1.0029850746268656</v>
      </c>
      <c r="W17" s="25">
        <f>=IFERROR(W11/W8,0)</f>
        <v>1.0029850746268656</v>
      </c>
      <c r="X17" s="25">
        <f>=IFERROR(X11/X8,0)</f>
        <v>1.0029850746268656</v>
      </c>
      <c r="Y17" s="25">
        <f>=IFERROR(Y11/Y8,0)</f>
        <v>1.0029850746268656</v>
      </c>
      <c r="Z17" s="25">
        <f>=IFERROR(Z11/Z8,0)</f>
        <v>1.0029850746268656</v>
      </c>
      <c r="AA17" s="25">
        <f>=IFERROR(AA11/AA8,0)</f>
        <v>1.0029850746268656</v>
      </c>
      <c r="AB17" s="25">
        <f>=IFERROR(AB11/AB8,0)</f>
        <v>1.0029850746268656</v>
      </c>
      <c r="AC17" s="25">
        <f>=IFERROR(AC11/AC8,0)</f>
        <v>1.0029850746268656</v>
      </c>
      <c r="AD17" s="25">
        <f>=IFERROR(AD11/AD8,0)</f>
        <v>1.0029850746268656</v>
      </c>
      <c r="AE17" s="25">
        <f>=IFERROR(AE11/AE8,0)</f>
        <v>1.5044776119402985</v>
      </c>
      <c r="AF17" s="25">
        <f>=IFERROR(AF11/AF8,0)</f>
        <v>2.256716417910448</v>
      </c>
      <c r="AG17" s="25">
        <f>=IFERROR(AG11/AG8,0)</f>
        <v>2.256716417910448</v>
      </c>
      <c r="AH17" s="25">
        <f>=IFERROR(AH11/AH8,0)</f>
        <v>1.0029850746268656</v>
      </c>
      <c r="AI17" s="25">
        <f>=IFERROR(AI11/AI8,0)</f>
        <v>1.0029850746268656</v>
      </c>
      <c r="AJ17" s="25">
        <f>=IFERROR(AJ11/AJ8,0)</f>
        <v>1.0029850746268656</v>
      </c>
      <c r="AK17" s="25">
        <f>=IFERROR(AK11/AK8,0)</f>
        <v>1</v>
      </c>
      <c r="AL17" s="25">
        <f>=IFERROR(AL11/AL8,0)</f>
        <v>2</v>
      </c>
      <c r="AM17" s="25">
        <f>=IFERROR(AM11/AM8,0)</f>
        <v>2</v>
      </c>
      <c r="AN17" s="25">
        <f>=IFERROR(AN11/AN8,0)</f>
        <v>2</v>
      </c>
      <c r="AO17" s="25">
        <f>=IFERROR(AO11/AO8,0)</f>
        <v>1.6</v>
      </c>
      <c r="AP17" s="25">
        <f>=IFERROR(AP11/AP8,0)</f>
        <v>1.6</v>
      </c>
      <c r="AQ17" s="25">
        <f>=IFERROR(AQ11/AQ8,0)</f>
        <v>1.6</v>
      </c>
      <c r="AR17" s="25">
        <f>=IFERROR(AR11/AR8,0)</f>
        <v>1.6</v>
      </c>
      <c r="AS17" s="25">
        <f>=IFERROR(AS11/AS8,0)</f>
        <v>1</v>
      </c>
      <c r="AT17" s="25">
        <f>=IFERROR(AT11/AT8,0)</f>
        <v>1</v>
      </c>
      <c r="AU17" s="25">
        <f>=IFERROR(AU11/AU8,0)</f>
        <v>1</v>
      </c>
      <c r="AV17" s="25">
        <f>=IFERROR(AV11/AV8,0)</f>
        <v>1</v>
      </c>
      <c r="AW17" s="25">
        <f>=IFERROR(AW11/AW8,0)</f>
        <v>1</v>
      </c>
      <c r="AX17" s="25">
        <f>=IFERROR(AX11/AX8,0)</f>
        <v>1</v>
      </c>
      <c r="AY17" s="25">
        <f>=IFERROR(AY11/AY8,0)</f>
        <v>1</v>
      </c>
      <c r="AZ17" s="25">
        <f>=IFERROR(AZ11/AZ8,0)</f>
        <v>1</v>
      </c>
      <c r="BA17" s="25">
        <f>=IFERROR(BA11/BA8,0)</f>
        <v>1</v>
      </c>
      <c r="BB17" s="25">
        <f>=IFERROR(BB11/BB8,0)</f>
        <v>1</v>
      </c>
      <c r="BC17" s="25">
        <f>=IFERROR(BC11/BC8,0)</f>
        <v>1.0238095238095237</v>
      </c>
      <c r="BD17" s="25">
        <f>=IFERROR(BD11/BD8,0)</f>
        <v>1.0238095238095237</v>
      </c>
      <c r="BE17" s="25">
        <f>=IFERROR(BE11/BE8,0)</f>
        <v>1.0238095238095237</v>
      </c>
      <c r="BF17" s="25">
        <f>=IFERROR(BF11/BF8,0)</f>
        <v>1.0238095238095237</v>
      </c>
      <c r="BG17" s="25">
        <f>=IFERROR(BG11/BG8,0)</f>
        <v>1.0238095238095237</v>
      </c>
      <c r="BH17" s="25">
        <f>=IFERROR(BH11/BH8,0)</f>
        <v>1.0238095238095237</v>
      </c>
      <c r="BI17" s="25">
        <f>=IFERROR(BI11/BI8,0)</f>
        <v>1.0238095238095237</v>
      </c>
      <c r="BJ17" s="25">
        <f>=IFERROR(BJ11/BJ8,0)</f>
        <v>1.0238095238095237</v>
      </c>
      <c r="BK17" s="25">
        <f>=IFERROR(BK11/BK8,0)</f>
        <v>1.0238095238095237</v>
      </c>
      <c r="BL17" s="25">
        <f>=IFERROR(BL11/BL8,0)</f>
        <v>1.0238095238095237</v>
      </c>
      <c r="BM17" s="25">
        <f>=IFERROR(BM11/BM8,0)</f>
        <v>1.0238095238095237</v>
      </c>
      <c r="BN17" s="25">
        <f>=IFERROR(BN11/BN8,0)</f>
        <v>1.0084523809523809</v>
      </c>
      <c r="BO17" s="25">
        <f>=IFERROR(BO11/BO8,0)</f>
        <v>0.9933255952380953</v>
      </c>
      <c r="BP17" s="25">
        <f>=IFERROR(BP11/BP8,0)</f>
        <v>1.2266829813432836</v>
      </c>
      <c r="BQ17" s="25">
        <f>=IFERROR(BQ11/BQ8,0)</f>
        <v>1.2082827366231341</v>
      </c>
      <c r="BR17" s="25">
        <f>=IFERROR(BR11/BR8,0)</f>
        <v>1.190158495573787</v>
      </c>
      <c r="BS17" s="25">
        <f>=IFERROR(BS11/BS8,0)</f>
        <v>1.1723061181401802</v>
      </c>
      <c r="BT17" s="25">
        <f>=IFERROR(BT11/BT8,0)</f>
        <v>1.1547215263680777</v>
      </c>
      <c r="BU17" s="25">
        <f>=IFERROR(BU11/BU8,0)</f>
        <v>1.1374007034725566</v>
      </c>
      <c r="BV17" s="25">
        <f>=IFERROR(BV11/BV8,0)</f>
        <v>1.1203396929204683</v>
      </c>
      <c r="BW17" s="25">
        <f>=IFERROR(BW11/BW8,0)</f>
        <v>1.1035345975266613</v>
      </c>
      <c r="BX17" s="25">
        <f>=IFERROR(BX11/BX8,0)</f>
        <v>1.0869815785637615</v>
      </c>
      <c r="BY17" s="25">
        <f>=IFERROR(BY11/BY8,0)</f>
        <v>1.0706768548853052</v>
      </c>
      <c r="BZ17" s="25">
        <f>=IFERROR(BZ11/BZ8,0)</f>
        <v>1.0546167020620256</v>
      </c>
      <c r="CA17" s="25">
        <f>=IFERROR(CA11/CA8,0)</f>
        <v>1.0387974515310954</v>
      </c>
      <c r="CB17" s="25">
        <f>=IFERROR(CB11/CB8,0)</f>
        <v>1.023215489758129</v>
      </c>
      <c r="CC17" s="25">
        <f>=IFERROR(CC11/CC8,0)</f>
        <v>1.0078672574117566</v>
      </c>
      <c r="CD17" s="25">
        <f>=IFERROR(CD11/CD8,0)</f>
        <v>0.9927492485505804</v>
      </c>
      <c r="CE17" s="25">
        <f>=IFERROR(CE11/CE8,0)</f>
        <v>0.9778580098223216</v>
      </c>
      <c r="CF17" s="25">
        <f>=IFERROR(CF11/CF8,0)</f>
        <v>0.9631901396749869</v>
      </c>
      <c r="CG17" s="25">
        <f>=IFERROR(CG11/CG8,0)</f>
        <v>0.9487422875798621</v>
      </c>
      <c r="CH17" s="25">
        <f>=IFERROR(CH11/CH8,0)</f>
        <v>0.9345111532661641</v>
      </c>
      <c r="CI17" s="25">
        <f>=IFERROR(CI11/CI8,0)</f>
        <v>0.9204934859671716</v>
      </c>
      <c r="CJ17" s="25">
        <f>=IFERROR(CJ11/CJ8,0)</f>
        <v>0.9066860836776639</v>
      </c>
      <c r="CK17" s="25">
        <f>=IFERROR(CK11/CK8,0)</f>
        <v>0.8930857924224989</v>
      </c>
      <c r="CL17" s="25">
        <f>=IFERROR(CL11/CL8,0)</f>
        <v>0.8796895055361613</v>
      </c>
      <c r="CM17" s="25">
        <f>=IFERROR(CM11/CM8,0)</f>
        <v>0.866494162953119</v>
      </c>
      <c r="CN17" s="25">
        <f>=IFERROR(CN11/CN8,0)</f>
        <v>0.8534967505088221</v>
      </c>
      <c r="CO17" s="25">
        <f>=IFERROR(CO11/CO8,0)</f>
        <v>0.8406942992511895</v>
      </c>
      <c r="CP17" s="25">
        <f>=IFERROR(CP11/CP8,0)</f>
        <v>0.8280838847624217</v>
      </c>
      <c r="CQ17" s="25">
        <f>=IFERROR(CQ11/CQ8,0)</f>
        <v>0.8156626264909854</v>
      </c>
      <c r="CR17" s="25">
        <f>=IFERROR(CR11/CR8,0)</f>
        <v>0.8034276870936206</v>
      </c>
      <c r="CS17" s="25">
        <f>=IFERROR(CS11/CS8,0)</f>
        <v>0.7913762717872163</v>
      </c>
      <c r="CT17" s="25">
        <f>=IFERROR(CT11/CT8,0)</f>
        <v>0.7795056277104078</v>
      </c>
      <c r="CU17" s="25">
        <f>=IFERROR(CU11/CU8,0)</f>
        <v>0.7678130432947513</v>
      </c>
      <c r="CV17" s="25">
        <f>=IFERROR(CV11/CV8,0)</f>
        <v>0.7562958476453302</v>
      </c>
      <c r="CW17" s="25">
        <f>=IFERROR(CW11/CW8,0)</f>
        <v>0.74495140993065</v>
      </c>
      <c r="CX17" s="25">
        <f>=IFERROR(CX11/CX8,0)</f>
        <v>0.7337771387816902</v>
      </c>
      <c r="CY17" s="25">
        <f>=IFERROR(CY11/CY8,0)</f>
        <v>0.7227704816999648</v>
      </c>
      <c r="CZ17" s="25">
        <f>=IFERROR(CZ11/CZ8,0)</f>
        <v>0.7119289244744652</v>
      </c>
      <c r="DA17" s="25">
        <f>=IFERROR(DA11/DA8,0)</f>
        <v>0.7012499906073482</v>
      </c>
      <c r="DB17" s="25">
        <f>=IFERROR(DB11/DB8,0)</f>
        <v>0.6907312407482379</v>
      </c>
    </row>
    <row r="18" spans="1:106" x14ac:dyDescent="0.25">
      <c r="A18" s="27" t="s">
        <v>252</v>
      </c>
      <c r="C18" s="28">
        <f>=SUM(C19:C23)</f>
        <v>4</v>
      </c>
      <c r="D18" s="28">
        <f>=SUM(D19:D23)</f>
        <v>4</v>
      </c>
      <c r="E18" s="28">
        <f>=SUM(E19:E23)</f>
        <v>4</v>
      </c>
      <c r="F18" s="28">
        <f>=SUM(F19:F23)</f>
        <v>4</v>
      </c>
      <c r="G18" s="28">
        <f>=SUM(G19:G23)</f>
        <v>4</v>
      </c>
      <c r="H18" s="28">
        <f>=SUM(H19:H23)</f>
        <v>4</v>
      </c>
      <c r="I18" s="28">
        <f>=SUM(I19:I23)</f>
        <v>4</v>
      </c>
      <c r="J18" s="28">
        <f>=SUM(J19:J23)</f>
        <v>4</v>
      </c>
      <c r="K18" s="28">
        <f>=SUM(K19:K23)</f>
        <v>4</v>
      </c>
      <c r="L18" s="28">
        <f>=SUM(L19:L23)</f>
        <v>4</v>
      </c>
      <c r="M18" s="28">
        <f>=SUM(M19:M23)</f>
        <v>4</v>
      </c>
      <c r="N18" s="28">
        <f>=SUM(N19:N23)</f>
        <v>4</v>
      </c>
      <c r="O18" s="28">
        <f>=SUM(O19:O23)</f>
        <v>4</v>
      </c>
      <c r="P18" s="28">
        <f>=SUM(P19:P23)</f>
        <v>4</v>
      </c>
      <c r="Q18" s="28">
        <f>=SUM(Q19:Q23)</f>
        <v>4</v>
      </c>
      <c r="R18" s="28">
        <f>=SUM(R19:R23)</f>
        <v>4</v>
      </c>
      <c r="S18" s="28">
        <f>=SUM(S19:S23)</f>
        <v>4</v>
      </c>
      <c r="T18" s="28">
        <f>=SUM(T19:T23)</f>
        <v>4</v>
      </c>
      <c r="U18" s="28">
        <f>=SUM(U19:U23)</f>
        <v>4</v>
      </c>
      <c r="V18" s="28">
        <f>=SUM(V19:V23)</f>
        <v>4</v>
      </c>
      <c r="W18" s="28">
        <f>=SUM(W19:W23)</f>
        <v>4</v>
      </c>
      <c r="X18" s="28">
        <f>=SUM(X19:X23)</f>
        <v>4</v>
      </c>
      <c r="Y18" s="28">
        <f>=SUM(Y19:Y23)</f>
        <v>4</v>
      </c>
      <c r="Z18" s="28">
        <f>=SUM(Z19:Z23)</f>
        <v>4</v>
      </c>
      <c r="AA18" s="28">
        <f>=SUM(AA19:AA23)</f>
        <v>4</v>
      </c>
      <c r="AB18" s="28">
        <f>=SUM(AB19:AB23)</f>
        <v>4</v>
      </c>
      <c r="AC18" s="28">
        <f>=SUM(AC19:AC23)</f>
        <v>4</v>
      </c>
      <c r="AD18" s="28">
        <f>=SUM(AD19:AD23)</f>
        <v>4</v>
      </c>
      <c r="AE18" s="28">
        <f>=SUM(AE19:AE23)</f>
        <v>6</v>
      </c>
      <c r="AF18" s="28">
        <f>=SUM(AF19:AF23)</f>
        <v>9</v>
      </c>
      <c r="AG18" s="29">
        <f>=SUM(AG19:AG23)</f>
        <v>9</v>
      </c>
      <c r="AH18" s="28">
        <f>=SUM(AH19:AH23)</f>
        <v>4</v>
      </c>
      <c r="AI18" s="28">
        <f>=SUM(AI19:AI23)</f>
        <v>4</v>
      </c>
      <c r="AJ18" s="28">
        <f>=SUM(AJ19:AJ23)</f>
        <v>4</v>
      </c>
      <c r="AK18" s="28">
        <f>=SUM(AK19:AK23)</f>
        <v>5</v>
      </c>
      <c r="AL18" s="28">
        <f>=SUM(AL19:AL23)</f>
        <v>10</v>
      </c>
      <c r="AM18" s="28">
        <f>=SUM(AM19:AM23)</f>
        <v>10</v>
      </c>
      <c r="AN18" s="28">
        <f>=SUM(AN19:AN23)</f>
        <v>10</v>
      </c>
      <c r="AO18" s="28">
        <f>=SUM(AO19:AO23)</f>
        <v>8</v>
      </c>
      <c r="AP18" s="28">
        <f>=SUM(AP19:AP23)</f>
        <v>8</v>
      </c>
      <c r="AQ18" s="28">
        <f>=SUM(AQ19:AQ23)</f>
        <v>8</v>
      </c>
      <c r="AR18" s="28">
        <f>=SUM(AR19:AR23)</f>
        <v>8</v>
      </c>
      <c r="AS18" s="28">
        <f>=SUM(AS19:AS23)</f>
        <v>5</v>
      </c>
      <c r="AT18" s="28">
        <f>=SUM(AT19:AT23)</f>
        <v>5</v>
      </c>
      <c r="AU18" s="28">
        <f>=SUM(AU19:AU23)</f>
        <v>5</v>
      </c>
      <c r="AV18" s="28">
        <f>=SUM(AV19:AV23)</f>
        <v>5</v>
      </c>
      <c r="AW18" s="28">
        <f>=SUM(AW19:AW23)</f>
        <v>5</v>
      </c>
      <c r="AX18" s="28">
        <f>=SUM(AX19:AX23)</f>
        <v>5</v>
      </c>
      <c r="AY18" s="28">
        <f>=SUM(AY19:AY23)</f>
        <v>5</v>
      </c>
      <c r="AZ18" s="28">
        <f>=SUM(AZ19:AZ23)</f>
        <v>5</v>
      </c>
      <c r="BA18" s="28">
        <f>=SUM(BA19:BA23)</f>
        <v>5</v>
      </c>
      <c r="BB18" s="28">
        <f>=SUM(BB19:BB23)</f>
        <v>5</v>
      </c>
      <c r="BC18" s="28">
        <f>=SUM(BC19:BC23)</f>
        <v>5</v>
      </c>
      <c r="BD18" s="28">
        <f>=SUM(BD19:BD23)</f>
        <v>5</v>
      </c>
      <c r="BE18" s="28">
        <f>=SUM(BE19:BE23)</f>
        <v>5</v>
      </c>
      <c r="BF18" s="28">
        <f>=SUM(BF19:BF23)</f>
        <v>5</v>
      </c>
      <c r="BG18" s="28">
        <f>=SUM(BG19:BG23)</f>
        <v>5</v>
      </c>
      <c r="BH18" s="28">
        <f>=SUM(BH19:BH23)</f>
        <v>5</v>
      </c>
      <c r="BI18" s="28">
        <f>=SUM(BI19:BI23)</f>
        <v>5</v>
      </c>
      <c r="BJ18" s="28">
        <f>=SUM(BJ19:BJ23)</f>
        <v>5</v>
      </c>
      <c r="BK18" s="28">
        <f>=SUM(BK19:BK23)</f>
        <v>5</v>
      </c>
      <c r="BL18" s="28">
        <f>=SUM(BL19:BL23)</f>
        <v>5</v>
      </c>
      <c r="BM18" s="28">
        <f>=SUM(BM19:BM23)</f>
        <v>5</v>
      </c>
      <c r="BN18" s="28">
        <f>=SUM(BN19:BN23)</f>
        <v>4.925</v>
      </c>
      <c r="BO18" s="28">
        <f>=SUM(BO19:BO23)</f>
        <v>4.851125</v>
      </c>
      <c r="BP18" s="28">
        <f>=SUM(BP19:BP23)</f>
        <v>4.778358125</v>
      </c>
      <c r="BQ18" s="28">
        <f>=SUM(BQ19:BQ23)</f>
        <v>4.706682753125</v>
      </c>
      <c r="BR18" s="28">
        <f>=SUM(BR19:BR23)</f>
        <v>4.636082511828124</v>
      </c>
      <c r="BS18" s="28">
        <f>=SUM(BS19:BS23)</f>
        <v>4.566541274150702</v>
      </c>
      <c r="BT18" s="28">
        <f>=SUM(BT19:BT23)</f>
        <v>4.498043155038442</v>
      </c>
      <c r="BU18" s="28">
        <f>=SUM(BU19:BU23)</f>
        <v>4.430572507712866</v>
      </c>
      <c r="BV18" s="28">
        <f>=SUM(BV19:BV23)</f>
        <v>4.364113920097173</v>
      </c>
      <c r="BW18" s="28">
        <f>=SUM(BW19:BW23)</f>
        <v>4.298652211295716</v>
      </c>
      <c r="BX18" s="28">
        <f>=SUM(BX19:BX23)</f>
        <v>4.23417242812628</v>
      </c>
      <c r="BY18" s="28">
        <f>=SUM(BY19:BY23)</f>
        <v>4.170659841704386</v>
      </c>
      <c r="BZ18" s="28">
        <f>=SUM(BZ19:BZ23)</f>
        <v>4.108099944078821</v>
      </c>
      <c r="CA18" s="28">
        <f>=SUM(CA19:CA23)</f>
        <v>4.046478444917639</v>
      </c>
      <c r="CB18" s="28">
        <f>=SUM(CB19:CB23)</f>
        <v>3.9857812682438745</v>
      </c>
      <c r="CC18" s="28">
        <f>=SUM(CC19:CC23)</f>
        <v>3.925994549220216</v>
      </c>
      <c r="CD18" s="28">
        <f>=SUM(CD19:CD23)</f>
        <v>3.867104630981912</v>
      </c>
      <c r="CE18" s="28">
        <f>=SUM(CE19:CE23)</f>
        <v>3.809098061517183</v>
      </c>
      <c r="CF18" s="28">
        <f>=SUM(CF19:CF23)</f>
        <v>3.7519615905944255</v>
      </c>
      <c r="CG18" s="28">
        <f>=SUM(CG19:CG23)</f>
        <v>3.6956821667355095</v>
      </c>
      <c r="CH18" s="28">
        <f>=SUM(CH19:CH23)</f>
        <v>3.6402469342344768</v>
      </c>
      <c r="CI18" s="28">
        <f>=SUM(CI19:CI23)</f>
        <v>3.5856432302209593</v>
      </c>
      <c r="CJ18" s="28">
        <f>=SUM(CJ19:CJ23)</f>
        <v>3.5318585817676444</v>
      </c>
      <c r="CK18" s="28">
        <f>=SUM(CK19:CK23)</f>
        <v>3.4788807030411295</v>
      </c>
      <c r="CL18" s="28">
        <f>=SUM(CL19:CL23)</f>
        <v>3.426697492495512</v>
      </c>
      <c r="CM18" s="28">
        <f>=SUM(CM19:CM23)</f>
        <v>3.3752970301080794</v>
      </c>
      <c r="CN18" s="28">
        <f>=SUM(CN19:CN23)</f>
        <v>3.324667574656458</v>
      </c>
      <c r="CO18" s="28">
        <f>=SUM(CO19:CO23)</f>
        <v>3.274797561036611</v>
      </c>
      <c r="CP18" s="28">
        <f>=SUM(CP19:CP23)</f>
        <v>3.2256755976210614</v>
      </c>
      <c r="CQ18" s="28">
        <f>=SUM(CQ19:CQ23)</f>
        <v>3.177290463656745</v>
      </c>
      <c r="CR18" s="28">
        <f>=SUM(CR19:CR23)</f>
        <v>3.129631106701894</v>
      </c>
      <c r="CS18" s="28">
        <f>=SUM(CS19:CS23)</f>
        <v>3.0826866401013655</v>
      </c>
      <c r="CT18" s="28">
        <f>=SUM(CT19:CT23)</f>
        <v>3.036446340499845</v>
      </c>
      <c r="CU18" s="28">
        <f>=SUM(CU19:CU23)</f>
        <v>2.9908996453923464</v>
      </c>
      <c r="CV18" s="28">
        <f>=SUM(CV19:CV23)</f>
        <v>2.9460361507114605</v>
      </c>
      <c r="CW18" s="28">
        <f>=SUM(CW19:CW23)</f>
        <v>2.901845608450788</v>
      </c>
      <c r="CX18" s="28">
        <f>=SUM(CX19:CX23)</f>
        <v>2.8583179243240258</v>
      </c>
      <c r="CY18" s="28">
        <f>=SUM(CY19:CY23)</f>
        <v>2.8154431554591652</v>
      </c>
      <c r="CZ18" s="28">
        <f>=SUM(CZ19:CZ23)</f>
        <v>2.7732115081272775</v>
      </c>
      <c r="DA18" s="28">
        <f>=SUM(DA19:DA23)</f>
        <v>2.7316133355053682</v>
      </c>
      <c r="DB18" s="28">
        <f>=SUM(DB19:DB23)</f>
        <v>2.6906391354727877</v>
      </c>
    </row>
    <row r="19" spans="1:106" x14ac:dyDescent="0.25">
      <c r="A19" s="27" t="s">
        <v>253</v>
      </c>
      <c r="C19" s="28">
        <f>=IF(LEN(C82)=0,(4*(1-B41))-C81+C97+C125,(4-C81+C97+C125))</f>
        <v>4</v>
      </c>
      <c r="D19" s="28">
        <f>=IF(LEN(D82)=0,(C19*(1-C41))-D81+D97+D125,(C19-D81+D97+D125))</f>
        <v>4</v>
      </c>
      <c r="E19" s="28">
        <f>=IF(LEN(E82)=0,(D19*(1-D41))-E81+E97+E125,(D19-E81+E97+E125))</f>
        <v>4</v>
      </c>
      <c r="F19" s="28">
        <f>=IF(LEN(F82)=0,(E19*(1-E41))-F81+F97+F125,(E19-F81+F97+F125))</f>
        <v>4</v>
      </c>
      <c r="G19" s="28">
        <f>=IF(LEN(G82)=0,(F19*(1-F41))-G81+G97+G125,(F19-G81+G97+G125))</f>
        <v>4</v>
      </c>
      <c r="H19" s="28">
        <f>=IF(LEN(H82)=0,(G19*(1-G41))-H81+H97+H125,(G19-H81+H97+H125))</f>
        <v>4</v>
      </c>
      <c r="I19" s="28">
        <f>=IF(LEN(I82)=0,(H19*(1-H41))-I81+I97+I125,(H19-I81+I97+I125))</f>
        <v>4</v>
      </c>
      <c r="J19" s="28">
        <f>=IF(LEN(J82)=0,(I19*(1-I41))-J81+J97+J125,(I19-J81+J97+J125))</f>
        <v>4</v>
      </c>
      <c r="K19" s="28">
        <f>=IF(LEN(K82)=0,(J19*(1-J41))-K81+K97+K125,(J19-K81+K97+K125))</f>
        <v>4</v>
      </c>
      <c r="L19" s="28">
        <f>=IF(LEN(L82)=0,(K19*(1-K41))-L81+L97+L125,(K19-L81+L97+L125))</f>
        <v>4</v>
      </c>
      <c r="M19" s="28">
        <f>=IF(LEN(M82)=0,(L19*(1-L41))-M81+M97+M125,(L19-M81+M97+M125))</f>
        <v>4</v>
      </c>
      <c r="N19" s="28">
        <f>=IF(LEN(N82)=0,(M19*(1-M41))-N81+N97+N125,(M19-N81+N97+N125))</f>
        <v>4</v>
      </c>
      <c r="O19" s="28">
        <f>=IF(LEN(O82)=0,(N19*(1-N41))-O81+O97+O125,(N19-O81+O97+O125))</f>
        <v>4</v>
      </c>
      <c r="P19" s="28">
        <f>=IF(LEN(P82)=0,(O19*(1-O41))-P81+P97+P125,(O19-P81+P97+P125))</f>
        <v>4</v>
      </c>
      <c r="Q19" s="28">
        <f>=IF(LEN(Q82)=0,(P19*(1-P41))-Q81+Q97+Q125,(P19-Q81+Q97+Q125))</f>
        <v>4</v>
      </c>
      <c r="R19" s="28">
        <f>=IF(LEN(R82)=0,(Q19*(1-Q41))-R81+R97+R125,(Q19-R81+R97+R125))</f>
        <v>4</v>
      </c>
      <c r="S19" s="28">
        <f>=IF(LEN(S82)=0,(R19*(1-R41))-S81+S97+S125,(R19-S81+S97+S125))</f>
        <v>4</v>
      </c>
      <c r="T19" s="28">
        <f>=IF(LEN(T82)=0,(S19*(1-S41))-T81+T97+T125,(S19-T81+T97+T125))</f>
        <v>4</v>
      </c>
      <c r="U19" s="28">
        <f>=IF(LEN(U82)=0,(T19*(1-T41))-U81+U97+U125,(T19-U81+U97+U125))</f>
        <v>4</v>
      </c>
      <c r="V19" s="28">
        <f>=IF(LEN(V82)=0,(U19*(1-U41))-V81+V97+V125,(U19-V81+V97+V125))</f>
        <v>4</v>
      </c>
      <c r="W19" s="28">
        <f>=IF(LEN(W82)=0,(V19*(1-V41))-W81+W97+W125,(V19-W81+W97+W125))</f>
        <v>4</v>
      </c>
      <c r="X19" s="28">
        <f>=IF(LEN(X82)=0,(W19*(1-W41))-X81+X97+X125,(W19-X81+X97+X125))</f>
        <v>4</v>
      </c>
      <c r="Y19" s="28">
        <f>=IF(LEN(Y82)=0,(X19*(1-X41))-Y81+Y97+Y125,(X19-Y81+Y97+Y125))</f>
        <v>4</v>
      </c>
      <c r="Z19" s="28">
        <f>=IF(LEN(Z82)=0,(Y19*(1-Y41))-Z81+Z97+Z125,(Y19-Z81+Z97+Z125))</f>
        <v>4</v>
      </c>
      <c r="AA19" s="28">
        <f>=IF(LEN(AA82)=0,(Z19*(1-Z41))-AA81+AA97+AA125,(Z19-AA81+AA97+AA125))</f>
        <v>4</v>
      </c>
      <c r="AB19" s="28">
        <f>=IF(LEN(AB82)=0,(AA19*(1-AA41))-AB81+AB97+AB125,(AA19-AB81+AB97+AB125))</f>
        <v>4</v>
      </c>
      <c r="AC19" s="28">
        <f>=IF(LEN(AC82)=0,(AB19*(1-AB41))-AC81+AC97+AC125,(AB19-AC81+AC97+AC125))</f>
        <v>4</v>
      </c>
      <c r="AD19" s="28">
        <f>=IF(LEN(AD82)=0,(AC19*(1-AC41))-AD81+AD97+AD125,(AC19-AD81+AD97+AD125))</f>
        <v>4</v>
      </c>
      <c r="AE19" s="28">
        <f>=IF(LEN(AE82)=0,(AD19*(1-AD41))-AE81+AE97+AE125,(AD19-AE81+AE97+AE125))</f>
        <v>6</v>
      </c>
      <c r="AF19" s="28">
        <f>=IF(LEN(AF82)=0,(AE19*(1-AE41))-AF81+AF97+AF125,(AE19-AF81+AF97+AF125))</f>
        <v>9</v>
      </c>
      <c r="AG19" s="28">
        <f>=IF(LEN(AG82)=0,(AF19*(1-AF41))-AG81+AG97+AG125,(AF19-AG81+AG97+AG125))</f>
        <v>9</v>
      </c>
      <c r="AH19" s="28">
        <f>=IF(LEN(AH82)=0,(AG19*(1-AG41))-AH81+AH97+AH125,(AG19-AH81+AH97+AH125))</f>
        <v>4</v>
      </c>
      <c r="AI19" s="28">
        <f>=IF(LEN(AI82)=0,(AH19*(1-AH41))-AI81+AI97+AI125,(AH19-AI81+AI97+AI125))</f>
        <v>4</v>
      </c>
      <c r="AJ19" s="28">
        <f>=IF(LEN(AJ82)=0,(AI19*(1-AI41))-AJ81+AJ97+AJ125,(AI19-AJ81+AJ97+AJ125))</f>
        <v>4</v>
      </c>
      <c r="AK19" s="28">
        <f>=IF(LEN(AK82)=0,(AJ19*(1-AJ41))-AK81+AK97+AK125,(AJ19-AK81+AK97+AK125))</f>
        <v>5</v>
      </c>
      <c r="AL19" s="28">
        <f>=IF(LEN(AL82)=0,(AK19*(1-AK41))-AL81+AL97+AL125,(AK19-AL81+AL97+AL125))</f>
        <v>10</v>
      </c>
      <c r="AM19" s="28">
        <f>=IF(LEN(AM82)=0,(AL19*(1-AL41))-AM81+AM97+AM125,(AL19-AM81+AM97+AM125))</f>
        <v>10</v>
      </c>
      <c r="AN19" s="28">
        <f>=IF(LEN(AN82)=0,(AM19*(1-AM41))-AN81+AN97+AN125,(AM19-AN81+AN97+AN125))</f>
        <v>10</v>
      </c>
      <c r="AO19" s="28">
        <f>=IF(LEN(AO82)=0,(AN19*(1-AN41))-AO81+AO97+AO125,(AN19-AO81+AO97+AO125))</f>
        <v>8</v>
      </c>
      <c r="AP19" s="28">
        <f>=IF(LEN(AP82)=0,(AO19*(1-AO41))-AP81+AP97+AP125,(AO19-AP81+AP97+AP125))</f>
        <v>8</v>
      </c>
      <c r="AQ19" s="28">
        <f>=IF(LEN(AQ82)=0,(AP19*(1-AP41))-AQ81+AQ97+AQ125,(AP19-AQ81+AQ97+AQ125))</f>
        <v>8</v>
      </c>
      <c r="AR19" s="28">
        <f>=IF(LEN(AR82)=0,(AQ19*(1-AQ41))-AR81+AR97+AR125,(AQ19-AR81+AR97+AR125))</f>
        <v>8</v>
      </c>
      <c r="AS19" s="28">
        <f>=IF(LEN(AS82)=0,(AR19*(1-AR41))-AS81+AS97+AS125,(AR19-AS81+AS97+AS125))</f>
        <v>5</v>
      </c>
      <c r="AT19" s="28">
        <f>=IF(LEN(AT82)=0,(AS19*(1-AS41))-AT81+AT97+AT125,(AS19-AT81+AT97+AT125))</f>
        <v>5</v>
      </c>
      <c r="AU19" s="28">
        <f>=IF(LEN(AU82)=0,(AT19*(1-AT41))-AU81+AU97+AU125,(AT19-AU81+AU97+AU125))</f>
        <v>5</v>
      </c>
      <c r="AV19" s="28">
        <f>=IF(LEN(AV82)=0,(AU19*(1-AU41))-AV81+AV97+AV125,(AU19-AV81+AV97+AV125))</f>
        <v>5</v>
      </c>
      <c r="AW19" s="28">
        <f>=IF(LEN(AW82)=0,(AV19*(1-AV41))-AW81+AW97+AW125,(AV19-AW81+AW97+AW125))</f>
        <v>5</v>
      </c>
      <c r="AX19" s="28">
        <f>=IF(LEN(AX82)=0,(AW19*(1-AW41))-AX81+AX97+AX125,(AW19-AX81+AX97+AX125))</f>
        <v>5</v>
      </c>
      <c r="AY19" s="28">
        <f>=IF(LEN(AY82)=0,(AX19*(1-AX41))-AY81+AY97+AY125,(AX19-AY81+AY97+AY125))</f>
        <v>5</v>
      </c>
      <c r="AZ19" s="28">
        <f>=IF(LEN(AZ82)=0,(AY19*(1-AY41))-AZ81+AZ97+AZ125,(AY19-AZ81+AZ97+AZ125))</f>
        <v>5</v>
      </c>
      <c r="BA19" s="28">
        <f>=IF(LEN(BA82)=0,(AZ19*(1-AZ41))-BA81+BA97+BA125,(AZ19-BA81+BA97+BA125))</f>
        <v>5</v>
      </c>
      <c r="BB19" s="28">
        <f>=IF(LEN(BB82)=0,(BA19*(1-BA41))-BB81+BB97+BB125,(BA19-BB81+BB97+BB125))</f>
        <v>5</v>
      </c>
      <c r="BC19" s="28">
        <f>=IF(LEN(BC82)=0,(BB19*(1-BB41))-BC81+BC97+BC125,(BB19-BC81+BC97+BC125))</f>
        <v>5</v>
      </c>
      <c r="BD19" s="28">
        <f>=IF(LEN(BD82)=0,(BC19*(1-BC41))-BD81+BD97+BD125,(BC19-BD81+BD97+BD125))</f>
        <v>5</v>
      </c>
      <c r="BE19" s="28">
        <f>=IF(LEN(BE82)=0,(BD19*(1-BD41))-BE81+BE97+BE125,(BD19-BE81+BE97+BE125))</f>
        <v>5</v>
      </c>
      <c r="BF19" s="28">
        <f>=IF(LEN(BF82)=0,(BE19*(1-BE41))-BF81+BF97+BF125,(BE19-BF81+BF97+BF125))</f>
        <v>5</v>
      </c>
      <c r="BG19" s="28">
        <f>=IF(LEN(BG82)=0,(BF19*(1-BF41))-BG81+BG97+BG125,(BF19-BG81+BG97+BG125))</f>
        <v>5</v>
      </c>
      <c r="BH19" s="28">
        <f>=IF(LEN(BH82)=0,(BG19*(1-BG41))-BH81+BH97+BH125,(BG19-BH81+BH97+BH125))</f>
        <v>5</v>
      </c>
      <c r="BI19" s="28">
        <f>=IF(LEN(BI82)=0,(BH19*(1-BH41))-BI81+BI97+BI125,(BH19-BI81+BI97+BI125))</f>
        <v>5</v>
      </c>
      <c r="BJ19" s="28">
        <f>=IF(LEN(BJ82)=0,(BI19*(1-BI41))-BJ81+BJ97+BJ125,(BI19-BJ81+BJ97+BJ125))</f>
        <v>5</v>
      </c>
      <c r="BK19" s="28">
        <f>=IF(LEN(BK82)=0,(BJ19*(1-BJ41))-BK81+BK97+BK125,(BJ19-BK81+BK97+BK125))</f>
        <v>5</v>
      </c>
      <c r="BL19" s="28">
        <f>=IF(LEN(BL82)=0,(BK19*(1-BK41))-BL81+BL97+BL125,(BK19-BL81+BL97+BL125))</f>
        <v>5</v>
      </c>
      <c r="BM19" s="28">
        <f>=IF(LEN(BM82)=0,(BL19*(1-BL41))-BM81+BM97+BM125,(BL19-BM81+BM97+BM125))</f>
        <v>5</v>
      </c>
      <c r="BN19" s="28">
        <f>=IF(LEN(BN82)=0,(BM19*(1-BM41))-BN81+BN97+BN125,(BM19-BN81+BN97+BN125))</f>
        <v>4.925</v>
      </c>
      <c r="BO19" s="28">
        <f>=IF(LEN(BO82)=0,(BN19*(1-BN41))-BO81+BO97+BO125,(BN19-BO81+BO97+BO125))</f>
        <v>4.851125</v>
      </c>
      <c r="BP19" s="28">
        <f>=IF(LEN(BP82)=0,(BO19*(1-BO41))-BP81+BP97+BP125,(BO19-BP81+BP97+BP125))</f>
        <v>4.778358125</v>
      </c>
      <c r="BQ19" s="28">
        <f>=IF(LEN(BQ82)=0,(BP19*(1-BP41))-BQ81+BQ97+BQ125,(BP19-BQ81+BQ97+BQ125))</f>
        <v>4.706682753125</v>
      </c>
      <c r="BR19" s="28">
        <f>=IF(LEN(BR82)=0,(BQ19*(1-BQ41))-BR81+BR97+BR125,(BQ19-BR81+BR97+BR125))</f>
        <v>4.636082511828124</v>
      </c>
      <c r="BS19" s="28">
        <f>=IF(LEN(BS82)=0,(BR19*(1-BR41))-BS81+BS97+BS125,(BR19-BS81+BS97+BS125))</f>
        <v>4.566541274150702</v>
      </c>
      <c r="BT19" s="28">
        <f>=IF(LEN(BT82)=0,(BS19*(1-BS41))-BT81+BT97+BT125,(BS19-BT81+BT97+BT125))</f>
        <v>4.498043155038442</v>
      </c>
      <c r="BU19" s="28">
        <f>=IF(LEN(BU82)=0,(BT19*(1-BT41))-BU81+BU97+BU125,(BT19-BU81+BU97+BU125))</f>
        <v>4.430572507712866</v>
      </c>
      <c r="BV19" s="28">
        <f>=IF(LEN(BV82)=0,(BU19*(1-BU41))-BV81+BV97+BV125,(BU19-BV81+BV97+BV125))</f>
        <v>4.364113920097173</v>
      </c>
      <c r="BW19" s="28">
        <f>=IF(LEN(BW82)=0,(BV19*(1-BV41))-BW81+BW97+BW125,(BV19-BW81+BW97+BW125))</f>
        <v>4.298652211295716</v>
      </c>
      <c r="BX19" s="28">
        <f>=IF(LEN(BX82)=0,(BW19*(1-BW41))-BX81+BX97+BX125,(BW19-BX81+BX97+BX125))</f>
        <v>4.23417242812628</v>
      </c>
      <c r="BY19" s="28">
        <f>=IF(LEN(BY82)=0,(BX19*(1-BX41))-BY81+BY97+BY125,(BX19-BY81+BY97+BY125))</f>
        <v>4.170659841704386</v>
      </c>
      <c r="BZ19" s="28">
        <f>=IF(LEN(BZ82)=0,(BY19*(1-BY41))-BZ81+BZ97+BZ125,(BY19-BZ81+BZ97+BZ125))</f>
        <v>4.108099944078821</v>
      </c>
      <c r="CA19" s="28">
        <f>=IF(LEN(CA82)=0,(BZ19*(1-BZ41))-CA81+CA97+CA125,(BZ19-CA81+CA97+CA125))</f>
        <v>4.046478444917639</v>
      </c>
      <c r="CB19" s="28">
        <f>=IF(LEN(CB82)=0,(CA19*(1-CA41))-CB81+CB97+CB125,(CA19-CB81+CB97+CB125))</f>
        <v>3.9857812682438745</v>
      </c>
      <c r="CC19" s="28">
        <f>=IF(LEN(CC82)=0,(CB19*(1-CB41))-CC81+CC97+CC125,(CB19-CC81+CC97+CC125))</f>
        <v>3.925994549220216</v>
      </c>
      <c r="CD19" s="28">
        <f>=IF(LEN(CD82)=0,(CC19*(1-CC41))-CD81+CD97+CD125,(CC19-CD81+CD97+CD125))</f>
        <v>3.867104630981912</v>
      </c>
      <c r="CE19" s="28">
        <f>=IF(LEN(CE82)=0,(CD19*(1-CD41))-CE81+CE97+CE125,(CD19-CE81+CE97+CE125))</f>
        <v>3.809098061517183</v>
      </c>
      <c r="CF19" s="28">
        <f>=IF(LEN(CF82)=0,(CE19*(1-CE41))-CF81+CF97+CF125,(CE19-CF81+CF97+CF125))</f>
        <v>3.7519615905944255</v>
      </c>
      <c r="CG19" s="28">
        <f>=IF(LEN(CG82)=0,(CF19*(1-CF41))-CG81+CG97+CG125,(CF19-CG81+CG97+CG125))</f>
        <v>3.6956821667355095</v>
      </c>
      <c r="CH19" s="28">
        <f>=IF(LEN(CH82)=0,(CG19*(1-CG41))-CH81+CH97+CH125,(CG19-CH81+CH97+CH125))</f>
        <v>3.6402469342344768</v>
      </c>
      <c r="CI19" s="28">
        <f>=IF(LEN(CI82)=0,(CH19*(1-CH41))-CI81+CI97+CI125,(CH19-CI81+CI97+CI125))</f>
        <v>3.5856432302209593</v>
      </c>
      <c r="CJ19" s="28">
        <f>=IF(LEN(CJ82)=0,(CI19*(1-CI41))-CJ81+CJ97+CJ125,(CI19-CJ81+CJ97+CJ125))</f>
        <v>3.5318585817676444</v>
      </c>
      <c r="CK19" s="28">
        <f>=IF(LEN(CK82)=0,(CJ19*(1-CJ41))-CK81+CK97+CK125,(CJ19-CK81+CK97+CK125))</f>
        <v>3.4788807030411295</v>
      </c>
      <c r="CL19" s="28">
        <f>=IF(LEN(CL82)=0,(CK19*(1-CK41))-CL81+CL97+CL125,(CK19-CL81+CL97+CL125))</f>
        <v>3.426697492495512</v>
      </c>
      <c r="CM19" s="28">
        <f>=IF(LEN(CM82)=0,(CL19*(1-CL41))-CM81+CM97+CM125,(CL19-CM81+CM97+CM125))</f>
        <v>3.3752970301080794</v>
      </c>
      <c r="CN19" s="28">
        <f>=IF(LEN(CN82)=0,(CM19*(1-CM41))-CN81+CN97+CN125,(CM19-CN81+CN97+CN125))</f>
        <v>3.324667574656458</v>
      </c>
      <c r="CO19" s="28">
        <f>=IF(LEN(CO82)=0,(CN19*(1-CN41))-CO81+CO97+CO125,(CN19-CO81+CO97+CO125))</f>
        <v>3.274797561036611</v>
      </c>
      <c r="CP19" s="28">
        <f>=IF(LEN(CP82)=0,(CO19*(1-CO41))-CP81+CP97+CP125,(CO19-CP81+CP97+CP125))</f>
        <v>3.2256755976210614</v>
      </c>
      <c r="CQ19" s="28">
        <f>=IF(LEN(CQ82)=0,(CP19*(1-CP41))-CQ81+CQ97+CQ125,(CP19-CQ81+CQ97+CQ125))</f>
        <v>3.177290463656745</v>
      </c>
      <c r="CR19" s="28">
        <f>=IF(LEN(CR82)=0,(CQ19*(1-CQ41))-CR81+CR97+CR125,(CQ19-CR81+CR97+CR125))</f>
        <v>3.129631106701894</v>
      </c>
      <c r="CS19" s="28">
        <f>=IF(LEN(CS82)=0,(CR19*(1-CR41))-CS81+CS97+CS125,(CR19-CS81+CS97+CS125))</f>
        <v>3.0826866401013655</v>
      </c>
      <c r="CT19" s="28">
        <f>=IF(LEN(CT82)=0,(CS19*(1-CS41))-CT81+CT97+CT125,(CS19-CT81+CT97+CT125))</f>
        <v>3.036446340499845</v>
      </c>
      <c r="CU19" s="28">
        <f>=IF(LEN(CU82)=0,(CT19*(1-CT41))-CU81+CU97+CU125,(CT19-CU81+CU97+CU125))</f>
        <v>2.9908996453923464</v>
      </c>
      <c r="CV19" s="28">
        <f>=IF(LEN(CV82)=0,(CU19*(1-CU41))-CV81+CV97+CV125,(CU19-CV81+CV97+CV125))</f>
        <v>2.9460361507114605</v>
      </c>
      <c r="CW19" s="28">
        <f>=IF(LEN(CW82)=0,(CV19*(1-CV41))-CW81+CW97+CW125,(CV19-CW81+CW97+CW125))</f>
        <v>2.901845608450788</v>
      </c>
      <c r="CX19" s="28">
        <f>=IF(LEN(CX82)=0,(CW19*(1-CW41))-CX81+CX97+CX125,(CW19-CX81+CX97+CX125))</f>
        <v>2.8583179243240258</v>
      </c>
      <c r="CY19" s="28">
        <f>=IF(LEN(CY82)=0,(CX19*(1-CX41))-CY81+CY97+CY125,(CX19-CY81+CY97+CY125))</f>
        <v>2.8154431554591652</v>
      </c>
      <c r="CZ19" s="28">
        <f>=IF(LEN(CZ82)=0,(CY19*(1-CY41))-CZ81+CZ97+CZ125,(CY19-CZ81+CZ97+CZ125))</f>
        <v>2.7732115081272775</v>
      </c>
      <c r="DA19" s="28">
        <f>=IF(LEN(DA82)=0,(CZ19*(1-CZ41))-DA81+DA97+DA125,(CZ19-DA81+DA97+DA125))</f>
        <v>2.7316133355053682</v>
      </c>
      <c r="DB19" s="28">
        <f>=IF(LEN(DB82)=0,(DA19*(1-DA41))-DB81+DB97+DB125,(DA19-DB81+DB97+DB125))</f>
        <v>2.6906391354727877</v>
      </c>
    </row>
    <row r="20" spans="1:106" x14ac:dyDescent="0.25">
      <c r="A20" s="27" t="s">
        <v>254</v>
      </c>
      <c r="C20" s="28">
        <f>=SUM(C116:C118)</f>
        <v>0</v>
      </c>
      <c r="D20" s="28">
        <f>=SUM(D116:D118)</f>
        <v>0</v>
      </c>
      <c r="E20" s="28">
        <f>=SUM(E116:E118)</f>
        <v>0</v>
      </c>
      <c r="F20" s="28">
        <f>=SUM(F116:F118)</f>
        <v>0</v>
      </c>
      <c r="G20" s="28">
        <f>=SUM(G116:G118)</f>
        <v>0</v>
      </c>
      <c r="H20" s="28">
        <f>=SUM(H116:H118)</f>
        <v>0</v>
      </c>
      <c r="I20" s="28">
        <f>=SUM(I116:I118)</f>
        <v>0</v>
      </c>
      <c r="J20" s="28">
        <f>=SUM(J116:J118)</f>
        <v>0</v>
      </c>
      <c r="K20" s="28">
        <f>=SUM(K116:K118)</f>
        <v>0</v>
      </c>
      <c r="L20" s="28">
        <f>=SUM(L116:L118)</f>
        <v>0</v>
      </c>
      <c r="M20" s="28">
        <f>=SUM(M116:M118)</f>
        <v>0</v>
      </c>
      <c r="N20" s="28">
        <f>=SUM(N116:N118)</f>
        <v>0</v>
      </c>
      <c r="O20" s="28">
        <f>=SUM(O116:O118)</f>
        <v>0</v>
      </c>
      <c r="P20" s="28">
        <f>=SUM(P116:P118)</f>
        <v>0</v>
      </c>
      <c r="Q20" s="28">
        <f>=SUM(Q116:Q118)</f>
        <v>0</v>
      </c>
      <c r="R20" s="28">
        <f>=SUM(R116:R118)</f>
        <v>0</v>
      </c>
      <c r="S20" s="28">
        <f>=SUM(S116:S118)</f>
        <v>0</v>
      </c>
      <c r="T20" s="28">
        <f>=SUM(T116:T118)</f>
        <v>0</v>
      </c>
      <c r="U20" s="28">
        <f>=SUM(U116:U118)</f>
        <v>0</v>
      </c>
      <c r="V20" s="28">
        <f>=SUM(V116:V118)</f>
        <v>0</v>
      </c>
      <c r="W20" s="28">
        <f>=SUM(W116:W118)</f>
        <v>0</v>
      </c>
      <c r="X20" s="28">
        <f>=SUM(X116:X118)</f>
        <v>0</v>
      </c>
      <c r="Y20" s="28">
        <f>=SUM(Y116:Y118)</f>
        <v>0</v>
      </c>
      <c r="Z20" s="28">
        <f>=SUM(Z116:Z118)</f>
        <v>0</v>
      </c>
      <c r="AA20" s="28">
        <f>=SUM(AA116:AA118)</f>
        <v>0</v>
      </c>
      <c r="AB20" s="28">
        <f>=SUM(AB116:AB118)</f>
        <v>0</v>
      </c>
      <c r="AC20" s="28">
        <f>=SUM(AC116:AC118)</f>
        <v>0</v>
      </c>
      <c r="AD20" s="28">
        <f>=SUM(AD116:AD118)</f>
        <v>0</v>
      </c>
      <c r="AE20" s="28">
        <f>=SUM(AE116:AE118)</f>
        <v>0</v>
      </c>
      <c r="AF20" s="28">
        <f>=SUM(AF116:AF118)</f>
        <v>0</v>
      </c>
      <c r="AG20" s="28">
        <f>=SUM(AG116:AG118)</f>
        <v>0</v>
      </c>
      <c r="AH20" s="28">
        <f>=SUM(AH116:AH118)</f>
        <v>0</v>
      </c>
      <c r="AI20" s="28">
        <f>=SUM(AI116:AI118)</f>
        <v>0</v>
      </c>
      <c r="AJ20" s="28">
        <f>=SUM(AJ116:AJ118)</f>
        <v>0</v>
      </c>
      <c r="AK20" s="28">
        <f>=SUM(AK116:AK118)</f>
        <v>0</v>
      </c>
      <c r="AL20" s="28">
        <f>=SUM(AL116:AL118)</f>
        <v>0</v>
      </c>
      <c r="AM20" s="28">
        <f>=SUM(AM116:AM118)</f>
        <v>0</v>
      </c>
      <c r="AN20" s="28">
        <f>=SUM(AN116:AN118)</f>
        <v>0</v>
      </c>
      <c r="AO20" s="28">
        <f>=SUM(AO116:AO118)</f>
        <v>0</v>
      </c>
      <c r="AP20" s="28">
        <f>=SUM(AP116:AP118)</f>
        <v>0</v>
      </c>
      <c r="AQ20" s="28">
        <f>=SUM(AQ116:AQ118)</f>
        <v>0</v>
      </c>
      <c r="AR20" s="28">
        <f>=SUM(AR116:AR118)</f>
        <v>0</v>
      </c>
      <c r="AS20" s="28">
        <f>=SUM(AS116:AS118)</f>
        <v>0</v>
      </c>
      <c r="AT20" s="28">
        <f>=SUM(AT116:AT118)</f>
        <v>0</v>
      </c>
      <c r="AU20" s="28">
        <f>=SUM(AU116:AU118)</f>
        <v>0</v>
      </c>
      <c r="AV20" s="28">
        <f>=SUM(AV116:AV118)</f>
        <v>0</v>
      </c>
      <c r="AW20" s="28">
        <f>=SUM(AW116:AW118)</f>
        <v>0</v>
      </c>
      <c r="AX20" s="28">
        <f>=SUM(AX116:AX118)</f>
        <v>0</v>
      </c>
      <c r="AY20" s="28">
        <f>=SUM(AY116:AY118)</f>
        <v>0</v>
      </c>
      <c r="AZ20" s="28">
        <f>=SUM(AZ116:AZ118)</f>
        <v>0</v>
      </c>
      <c r="BA20" s="28">
        <f>=SUM(BA116:BA118)</f>
        <v>0</v>
      </c>
      <c r="BB20" s="28">
        <f>=SUM(BB116:BB118)</f>
        <v>0</v>
      </c>
      <c r="BC20" s="28">
        <f>=SUM(BC116:BC118)</f>
        <v>0</v>
      </c>
      <c r="BD20" s="28">
        <f>=SUM(BD116:BD118)</f>
        <v>0</v>
      </c>
      <c r="BE20" s="28">
        <f>=SUM(BE116:BE118)</f>
        <v>0</v>
      </c>
      <c r="BF20" s="28">
        <f>=SUM(BF116:BF118)</f>
        <v>0</v>
      </c>
      <c r="BG20" s="28">
        <f>=SUM(BG116:BG118)</f>
        <v>0</v>
      </c>
      <c r="BH20" s="28">
        <f>=SUM(BH116:BH118)</f>
        <v>0</v>
      </c>
      <c r="BI20" s="28">
        <f>=SUM(BI116:BI118)</f>
        <v>0</v>
      </c>
      <c r="BJ20" s="28">
        <f>=SUM(BJ116:BJ118)</f>
        <v>0</v>
      </c>
      <c r="BK20" s="28">
        <f>=SUM(BK116:BK118)</f>
        <v>0</v>
      </c>
      <c r="BL20" s="28">
        <f>=SUM(BL116:BL118)</f>
        <v>0</v>
      </c>
      <c r="BM20" s="28">
        <f>=SUM(BM116:BM118)</f>
        <v>0</v>
      </c>
      <c r="BN20" s="28">
        <f>=SUM(BN116:BN118)</f>
        <v>0</v>
      </c>
      <c r="BO20" s="28">
        <f>=SUM(BO116:BO118)</f>
        <v>0</v>
      </c>
      <c r="BP20" s="28">
        <f>=SUM(BP116:BP118)</f>
        <v>0</v>
      </c>
      <c r="BQ20" s="30"/>
      <c r="BR20" s="28">
        <f>=SUM(BR116:BR118)</f>
        <v>0</v>
      </c>
      <c r="BS20" s="28">
        <f>=SUM(BS116:BS118)</f>
        <v>0</v>
      </c>
      <c r="BT20" s="28">
        <f>=SUM(BT116:BT118)</f>
        <v>0</v>
      </c>
      <c r="BU20" s="28">
        <f>=SUM(BU116:BU118)</f>
        <v>0</v>
      </c>
      <c r="BV20" s="28">
        <f>=SUM(BV116:BV118)</f>
        <v>0</v>
      </c>
      <c r="BW20" s="28">
        <f>=SUM(BW116:BW118)</f>
        <v>0</v>
      </c>
      <c r="BX20" s="28">
        <f>=SUM(BX116:BX118)</f>
        <v>0</v>
      </c>
      <c r="BY20" s="28">
        <f>=SUM(BY116:BY118)</f>
        <v>0</v>
      </c>
      <c r="BZ20" s="28">
        <f>=SUM(BZ116:BZ118)</f>
        <v>0</v>
      </c>
      <c r="CA20" s="28">
        <f>=SUM(CA116:CA118)</f>
        <v>0</v>
      </c>
      <c r="CB20" s="28">
        <f>=SUM(CB116:CB118)</f>
        <v>0</v>
      </c>
      <c r="CC20" s="28">
        <f>=SUM(CC116:CC118)</f>
        <v>0</v>
      </c>
      <c r="CD20" s="28">
        <f>=SUM(CD116:CD118)</f>
        <v>0</v>
      </c>
      <c r="CE20" s="28">
        <f>=SUM(CE116:CE118)</f>
        <v>0</v>
      </c>
      <c r="CF20" s="28">
        <f>=SUM(CF116:CF118)</f>
        <v>0</v>
      </c>
      <c r="CG20" s="28">
        <f>=SUM(CG116:CG118)</f>
        <v>0</v>
      </c>
      <c r="CH20" s="28">
        <f>=SUM(CH116:CH118)</f>
        <v>0</v>
      </c>
      <c r="CI20" s="28">
        <f>=SUM(CI116:CI118)</f>
        <v>0</v>
      </c>
      <c r="CJ20" s="28">
        <f>=SUM(CJ116:CJ118)</f>
        <v>0</v>
      </c>
      <c r="CK20" s="28">
        <f>=SUM(CK116:CK118)</f>
        <v>0</v>
      </c>
      <c r="CL20" s="28">
        <f>=SUM(CL116:CL118)</f>
        <v>0</v>
      </c>
      <c r="CM20" s="28">
        <f>=SUM(CM116:CM118)</f>
        <v>0</v>
      </c>
      <c r="CN20" s="28">
        <f>=SUM(CN116:CN118)</f>
        <v>0</v>
      </c>
      <c r="CO20" s="28">
        <f>=SUM(CO116:CO118)</f>
        <v>0</v>
      </c>
      <c r="CP20" s="28">
        <f>=SUM(CP116:CP118)</f>
        <v>0</v>
      </c>
      <c r="CQ20" s="28">
        <f>=SUM(CQ116:CQ118)</f>
        <v>0</v>
      </c>
      <c r="CR20" s="28">
        <f>=SUM(CR116:CR118)</f>
        <v>0</v>
      </c>
      <c r="CS20" s="28">
        <f>=SUM(CS116:CS118)</f>
        <v>0</v>
      </c>
      <c r="CT20" s="28">
        <f>=SUM(CT116:CT118)</f>
        <v>0</v>
      </c>
      <c r="CU20" s="28">
        <f>=SUM(CU116:CU118)</f>
        <v>0</v>
      </c>
      <c r="CV20" s="28">
        <f>=SUM(CV116:CV118)</f>
        <v>0</v>
      </c>
      <c r="CW20" s="28">
        <f>=SUM(CW116:CW118)</f>
        <v>0</v>
      </c>
      <c r="CX20" s="28">
        <f>=SUM(CX116:CX118)</f>
        <v>0</v>
      </c>
      <c r="CY20" s="28">
        <f>=SUM(CY116:CY118)</f>
        <v>0</v>
      </c>
      <c r="CZ20" s="28">
        <f>=SUM(CZ116:CZ118)</f>
        <v>0</v>
      </c>
      <c r="DA20" s="28">
        <f>=SUM(DA116:DA118)</f>
        <v>0</v>
      </c>
      <c r="DB20" s="28">
        <f>=SUM(DB116:DB118)</f>
        <v>0</v>
      </c>
    </row>
    <row r="21" spans="1:106" x14ac:dyDescent="0.25">
      <c r="A21" s="27" t="s">
        <v>255</v>
      </c>
      <c r="C21" s="28">
        <f>=SUM(C119:C120)</f>
        <v>0</v>
      </c>
      <c r="D21" s="28">
        <f>=SUM(D119:D120)</f>
        <v>0</v>
      </c>
      <c r="E21" s="28">
        <f>=SUM(E119:E120)</f>
        <v>0</v>
      </c>
      <c r="F21" s="28">
        <f>=SUM(F119:F120)</f>
        <v>0</v>
      </c>
      <c r="G21" s="28">
        <f>=SUM(G119:G120)</f>
        <v>0</v>
      </c>
      <c r="H21" s="28">
        <f>=SUM(H119:H120)</f>
        <v>0</v>
      </c>
      <c r="I21" s="28">
        <f>=SUM(I119:I120)</f>
        <v>0</v>
      </c>
      <c r="J21" s="28">
        <f>=SUM(J119:J120)</f>
        <v>0</v>
      </c>
      <c r="K21" s="28">
        <f>=SUM(K119:K120)</f>
        <v>0</v>
      </c>
      <c r="L21" s="28">
        <f>=SUM(L119:L120)</f>
        <v>0</v>
      </c>
      <c r="M21" s="28">
        <f>=SUM(M119:M120)</f>
        <v>0</v>
      </c>
      <c r="N21" s="28">
        <f>=SUM(N119:N120)</f>
        <v>0</v>
      </c>
      <c r="O21" s="28">
        <f>=SUM(O119:O120)</f>
        <v>0</v>
      </c>
      <c r="P21" s="28">
        <f>=SUM(P119:P120)</f>
        <v>0</v>
      </c>
      <c r="Q21" s="28">
        <f>=SUM(Q119:Q120)</f>
        <v>0</v>
      </c>
      <c r="R21" s="28">
        <f>=SUM(R119:R120)</f>
        <v>0</v>
      </c>
      <c r="S21" s="28">
        <f>=SUM(S119:S120)</f>
        <v>0</v>
      </c>
      <c r="T21" s="28">
        <f>=SUM(T119:T120)</f>
        <v>0</v>
      </c>
      <c r="U21" s="28">
        <f>=SUM(U119:U120)</f>
        <v>0</v>
      </c>
      <c r="V21" s="28">
        <f>=SUM(V119:V120)</f>
        <v>0</v>
      </c>
      <c r="W21" s="28">
        <f>=SUM(W119:W120)</f>
        <v>0</v>
      </c>
      <c r="X21" s="28">
        <f>=SUM(X119:X120)</f>
        <v>0</v>
      </c>
      <c r="Y21" s="28">
        <f>=SUM(Y119:Y120)</f>
        <v>0</v>
      </c>
      <c r="Z21" s="28">
        <f>=SUM(Z119:Z120)</f>
        <v>0</v>
      </c>
      <c r="AA21" s="28">
        <f>=SUM(AA119:AA120)</f>
        <v>0</v>
      </c>
      <c r="AB21" s="28">
        <f>=SUM(AB119:AB120)</f>
        <v>0</v>
      </c>
      <c r="AC21" s="28">
        <f>=SUM(AC119:AC120)</f>
        <v>0</v>
      </c>
      <c r="AD21" s="28">
        <f>=SUM(AD119:AD120)</f>
        <v>0</v>
      </c>
      <c r="AE21" s="28">
        <f>=SUM(AE119:AE120)</f>
        <v>0</v>
      </c>
      <c r="AF21" s="28">
        <f>=SUM(AF119:AF120)</f>
        <v>0</v>
      </c>
      <c r="AG21" s="28">
        <f>=SUM(AG119:AG120)</f>
        <v>0</v>
      </c>
      <c r="AH21" s="28">
        <f>=SUM(AH119:AH120)</f>
        <v>0</v>
      </c>
      <c r="AI21" s="28">
        <f>=SUM(AI119:AI120)</f>
        <v>0</v>
      </c>
      <c r="AJ21" s="28">
        <f>=SUM(AJ119:AJ120)</f>
        <v>0</v>
      </c>
      <c r="AK21" s="28">
        <f>=SUM(AK119:AK120)</f>
        <v>0</v>
      </c>
      <c r="AL21" s="28">
        <f>=SUM(AL119:AL120)</f>
        <v>0</v>
      </c>
      <c r="AM21" s="28">
        <f>=SUM(AM119:AM120)</f>
        <v>0</v>
      </c>
      <c r="AN21" s="28">
        <f>=SUM(AN119:AN120)</f>
        <v>0</v>
      </c>
      <c r="AO21" s="28">
        <f>=SUM(AO119:AO120)</f>
        <v>0</v>
      </c>
      <c r="AP21" s="28">
        <f>=SUM(AP119:AP120)</f>
        <v>0</v>
      </c>
      <c r="AQ21" s="28">
        <f>=SUM(AQ119:AQ120)</f>
        <v>0</v>
      </c>
      <c r="AR21" s="28">
        <f>=SUM(AR119:AR120)</f>
        <v>0</v>
      </c>
      <c r="AS21" s="28">
        <f>=SUM(AS119:AS120)</f>
        <v>0</v>
      </c>
      <c r="AT21" s="28">
        <f>=SUM(AT119:AT120)</f>
        <v>0</v>
      </c>
      <c r="AU21" s="28">
        <f>=SUM(AU119:AU120)</f>
        <v>0</v>
      </c>
      <c r="AV21" s="28">
        <f>=SUM(AV119:AV120)</f>
        <v>0</v>
      </c>
      <c r="AW21" s="28">
        <f>=SUM(AW119:AW120)</f>
        <v>0</v>
      </c>
      <c r="AX21" s="28">
        <f>=SUM(AX119:AX120)</f>
        <v>0</v>
      </c>
      <c r="AY21" s="28">
        <f>=SUM(AY119:AY120)</f>
        <v>0</v>
      </c>
      <c r="AZ21" s="28">
        <f>=SUM(AZ119:AZ120)</f>
        <v>0</v>
      </c>
      <c r="BA21" s="28">
        <f>=SUM(BA119:BA120)</f>
        <v>0</v>
      </c>
      <c r="BB21" s="28">
        <f>=SUM(BB119:BB120)</f>
        <v>0</v>
      </c>
      <c r="BC21" s="28">
        <f>=SUM(BC119:BC120)</f>
        <v>0</v>
      </c>
      <c r="BD21" s="28">
        <f>=SUM(BD119:BD120)</f>
        <v>0</v>
      </c>
      <c r="BE21" s="28">
        <f>=SUM(BE119:BE120)</f>
        <v>0</v>
      </c>
      <c r="BF21" s="28">
        <f>=SUM(BF119:BF120)</f>
        <v>0</v>
      </c>
      <c r="BG21" s="28">
        <f>=SUM(BG119:BG120)</f>
        <v>0</v>
      </c>
      <c r="BH21" s="28">
        <f>=SUM(BH119:BH120)</f>
        <v>0</v>
      </c>
      <c r="BI21" s="28">
        <f>=SUM(BI119:BI120)</f>
        <v>0</v>
      </c>
      <c r="BJ21" s="28">
        <f>=SUM(BJ119:BJ120)</f>
        <v>0</v>
      </c>
      <c r="BK21" s="28">
        <f>=SUM(BK119:BK120)</f>
        <v>0</v>
      </c>
      <c r="BL21" s="28">
        <f>=SUM(BL119:BL120)</f>
        <v>0</v>
      </c>
      <c r="BM21" s="28">
        <f>=SUM(BM119:BM120)</f>
        <v>0</v>
      </c>
      <c r="BN21" s="28">
        <f>=SUM(BN119:BN120)</f>
        <v>0</v>
      </c>
      <c r="BO21" s="28">
        <f>=SUM(BO119:BO120)</f>
        <v>0</v>
      </c>
      <c r="BP21" s="28">
        <f>=SUM(BP119:BP120)</f>
        <v>0</v>
      </c>
      <c r="BQ21" s="28">
        <f>=SUM(BQ119:BQ120)</f>
        <v>0</v>
      </c>
      <c r="BR21" s="28">
        <f>=SUM(BR119:BR120)</f>
        <v>0</v>
      </c>
      <c r="BS21" s="28">
        <f>=SUM(BS119:BS120)</f>
        <v>0</v>
      </c>
      <c r="BT21" s="28">
        <f>=SUM(BT119:BT120)</f>
        <v>0</v>
      </c>
      <c r="BU21" s="28">
        <f>=SUM(BU119:BU120)</f>
        <v>0</v>
      </c>
      <c r="BV21" s="28">
        <f>=SUM(BV119:BV120)</f>
        <v>0</v>
      </c>
      <c r="BW21" s="28">
        <f>=SUM(BW119:BW120)</f>
        <v>0</v>
      </c>
      <c r="BX21" s="28">
        <f>=SUM(BX119:BX120)</f>
        <v>0</v>
      </c>
      <c r="BY21" s="28">
        <f>=SUM(BY119:BY120)</f>
        <v>0</v>
      </c>
      <c r="BZ21" s="28">
        <f>=SUM(BZ119:BZ120)</f>
        <v>0</v>
      </c>
      <c r="CA21" s="28">
        <f>=SUM(CA119:CA120)</f>
        <v>0</v>
      </c>
      <c r="CB21" s="28">
        <f>=SUM(CB119:CB120)</f>
        <v>0</v>
      </c>
      <c r="CC21" s="28">
        <f>=SUM(CC119:CC120)</f>
        <v>0</v>
      </c>
      <c r="CD21" s="28">
        <f>=SUM(CD119:CD120)</f>
        <v>0</v>
      </c>
      <c r="CE21" s="28">
        <f>=SUM(CE119:CE120)</f>
        <v>0</v>
      </c>
      <c r="CF21" s="28">
        <f>=SUM(CF119:CF120)</f>
        <v>0</v>
      </c>
      <c r="CG21" s="28">
        <f>=SUM(CG119:CG120)</f>
        <v>0</v>
      </c>
      <c r="CH21" s="28">
        <f>=SUM(CH119:CH120)</f>
        <v>0</v>
      </c>
      <c r="CI21" s="28">
        <f>=SUM(CI119:CI120)</f>
        <v>0</v>
      </c>
      <c r="CJ21" s="28">
        <f>=SUM(CJ119:CJ120)</f>
        <v>0</v>
      </c>
      <c r="CK21" s="28">
        <f>=SUM(CK119:CK120)</f>
        <v>0</v>
      </c>
      <c r="CL21" s="28">
        <f>=SUM(CL119:CL120)</f>
        <v>0</v>
      </c>
      <c r="CM21" s="28">
        <f>=SUM(CM119:CM120)</f>
        <v>0</v>
      </c>
      <c r="CN21" s="28">
        <f>=SUM(CN119:CN120)</f>
        <v>0</v>
      </c>
      <c r="CO21" s="28">
        <f>=SUM(CO119:CO120)</f>
        <v>0</v>
      </c>
      <c r="CP21" s="28">
        <f>=SUM(CP119:CP120)</f>
        <v>0</v>
      </c>
      <c r="CQ21" s="28">
        <f>=SUM(CQ119:CQ120)</f>
        <v>0</v>
      </c>
      <c r="CR21" s="28">
        <f>=SUM(CR119:CR120)</f>
        <v>0</v>
      </c>
      <c r="CS21" s="28">
        <f>=SUM(CS119:CS120)</f>
        <v>0</v>
      </c>
      <c r="CT21" s="28">
        <f>=SUM(CT119:CT120)</f>
        <v>0</v>
      </c>
      <c r="CU21" s="28">
        <f>=SUM(CU119:CU120)</f>
        <v>0</v>
      </c>
      <c r="CV21" s="28">
        <f>=SUM(CV119:CV120)</f>
        <v>0</v>
      </c>
      <c r="CW21" s="28">
        <f>=SUM(CW119:CW120)</f>
        <v>0</v>
      </c>
      <c r="CX21" s="28">
        <f>=SUM(CX119:CX120)</f>
        <v>0</v>
      </c>
      <c r="CY21" s="28">
        <f>=SUM(CY119:CY120)</f>
        <v>0</v>
      </c>
      <c r="CZ21" s="28">
        <f>=SUM(CZ119:CZ120)</f>
        <v>0</v>
      </c>
      <c r="DA21" s="28">
        <f>=SUM(DA119:DA120)</f>
        <v>0</v>
      </c>
      <c r="DB21" s="28">
        <f>=SUM(DB119:DB120)</f>
        <v>0</v>
      </c>
    </row>
    <row r="22" spans="1:106" x14ac:dyDescent="0.25">
      <c r="A22" s="27" t="s">
        <v>256</v>
      </c>
      <c r="C22" s="28">
        <f>=SUM(C121:C122)</f>
        <v>0</v>
      </c>
      <c r="D22" s="28">
        <f>=SUM(D121:D122)</f>
        <v>0</v>
      </c>
      <c r="E22" s="28">
        <f>=SUM(E121:E122)</f>
        <v>0</v>
      </c>
      <c r="F22" s="28">
        <f>=SUM(F121:F122)</f>
        <v>0</v>
      </c>
      <c r="G22" s="28">
        <f>=SUM(G121:G122)</f>
        <v>0</v>
      </c>
      <c r="H22" s="28">
        <f>=SUM(H121:H122)</f>
        <v>0</v>
      </c>
      <c r="I22" s="28">
        <v>0</v>
      </c>
      <c r="J22" s="28">
        <f>=SUM(J121:J122)</f>
        <v>0</v>
      </c>
      <c r="K22" s="28">
        <f>=SUM(K121:K122)</f>
        <v>0</v>
      </c>
      <c r="L22" s="28">
        <f>=SUM(L121:L122)</f>
        <v>0</v>
      </c>
      <c r="M22" s="28">
        <f>=SUM(M121:M122)</f>
        <v>0</v>
      </c>
      <c r="N22" s="28">
        <f>=SUM(N121:N122)</f>
        <v>0</v>
      </c>
      <c r="O22" s="28">
        <f>=SUM(O121:O122)</f>
        <v>0</v>
      </c>
      <c r="P22" s="28">
        <f>=SUM(P121:P122)</f>
        <v>0</v>
      </c>
      <c r="Q22" s="28">
        <f>=SUM(Q121:Q122)</f>
        <v>0</v>
      </c>
      <c r="R22" s="28">
        <f>=SUM(R121:R122)</f>
        <v>0</v>
      </c>
      <c r="S22" s="28">
        <f>=SUM(S121:S122)</f>
        <v>0</v>
      </c>
      <c r="T22" s="28">
        <f>=SUM(T121:T122)</f>
        <v>0</v>
      </c>
      <c r="U22" s="28">
        <f>=SUM(U121:U122)</f>
        <v>0</v>
      </c>
      <c r="V22" s="28">
        <f>=SUM(V121:V122)</f>
        <v>0</v>
      </c>
      <c r="W22" s="28">
        <f>=SUM(W121:W122)</f>
        <v>0</v>
      </c>
      <c r="X22" s="28">
        <f>=SUM(X121:X122)</f>
        <v>0</v>
      </c>
      <c r="Y22" s="28">
        <f>=SUM(Y121:Y122)</f>
        <v>0</v>
      </c>
      <c r="Z22" s="28">
        <f>=SUM(Z121:Z122)</f>
        <v>0</v>
      </c>
      <c r="AA22" s="28">
        <f>=SUM(AA121:AA122)</f>
        <v>0</v>
      </c>
      <c r="AB22" s="28">
        <f>=SUM(AB121:AB122)</f>
        <v>0</v>
      </c>
      <c r="AC22" s="28">
        <f>=SUM(AC121:AC122)</f>
        <v>0</v>
      </c>
      <c r="AD22" s="28">
        <f>=SUM(AD121:AD122)</f>
        <v>0</v>
      </c>
      <c r="AE22" s="28">
        <f>=SUM(AE121:AE122)</f>
        <v>0</v>
      </c>
      <c r="AF22" s="28">
        <f>=SUM(AF121:AF122)</f>
        <v>0</v>
      </c>
      <c r="AG22" s="28">
        <f>=SUM(AG121:AG122)</f>
        <v>0</v>
      </c>
      <c r="AH22" s="28">
        <f>=SUM(AH121:AH122)</f>
        <v>0</v>
      </c>
      <c r="AI22" s="28">
        <f>=SUM(AI121:AI122)</f>
        <v>0</v>
      </c>
      <c r="AJ22" s="28">
        <f>=SUM(AJ121:AJ122)</f>
        <v>0</v>
      </c>
      <c r="AK22" s="28">
        <f>=SUM(AK121:AK122)</f>
        <v>0</v>
      </c>
      <c r="AL22" s="28">
        <f>=SUM(AL121:AL122)</f>
        <v>0</v>
      </c>
      <c r="AM22" s="28">
        <f>=SUM(AM121:AM122)</f>
        <v>0</v>
      </c>
      <c r="AN22" s="28">
        <f>=SUM(AN121:AN122)</f>
        <v>0</v>
      </c>
      <c r="AO22" s="28">
        <f>=SUM(AO121:AO122)</f>
        <v>0</v>
      </c>
      <c r="AP22" s="28">
        <f>=SUM(AP121:AP122)</f>
        <v>0</v>
      </c>
      <c r="AQ22" s="28">
        <f>=SUM(AQ121:AQ122)</f>
        <v>0</v>
      </c>
      <c r="AR22" s="28">
        <f>=SUM(AR121:AR122)</f>
        <v>0</v>
      </c>
      <c r="AS22" s="28">
        <f>=SUM(AS121:AS122)</f>
        <v>0</v>
      </c>
      <c r="AT22" s="28">
        <f>=SUM(AT121:AT122)</f>
        <v>0</v>
      </c>
      <c r="AU22" s="28">
        <f>=SUM(AU121:AU122)</f>
        <v>0</v>
      </c>
      <c r="AV22" s="28">
        <f>=SUM(AV121:AV122)</f>
        <v>0</v>
      </c>
      <c r="AW22" s="28">
        <f>=SUM(AW121:AW122)</f>
        <v>0</v>
      </c>
      <c r="AX22" s="28">
        <f>=SUM(AX121:AX122)</f>
        <v>0</v>
      </c>
      <c r="AY22" s="28">
        <f>=SUM(AY121:AY122)</f>
        <v>0</v>
      </c>
      <c r="AZ22" s="28">
        <f>=SUM(AZ121:AZ122)</f>
        <v>0</v>
      </c>
      <c r="BA22" s="28">
        <f>=SUM(BA121:BA122)</f>
        <v>0</v>
      </c>
      <c r="BB22" s="28">
        <f>=SUM(BB121:BB122)</f>
        <v>0</v>
      </c>
      <c r="BC22" s="28">
        <f>=SUM(BC121:BC122)</f>
        <v>0</v>
      </c>
      <c r="BD22" s="28">
        <f>=SUM(BD121:BD122)</f>
        <v>0</v>
      </c>
      <c r="BE22" s="28">
        <f>=SUM(BE121:BE122)</f>
        <v>0</v>
      </c>
      <c r="BF22" s="28">
        <f>=SUM(BF121:BF122)</f>
        <v>0</v>
      </c>
      <c r="BG22" s="28">
        <f>=SUM(BG121:BG122)</f>
        <v>0</v>
      </c>
      <c r="BH22" s="28">
        <f>=SUM(BH121:BH122)</f>
        <v>0</v>
      </c>
      <c r="BI22" s="28">
        <f>=SUM(BI121:BI122)</f>
        <v>0</v>
      </c>
      <c r="BJ22" s="28">
        <f>=SUM(BJ121:BJ122)</f>
        <v>0</v>
      </c>
      <c r="BK22" s="28">
        <f>=SUM(BK121:BK122)</f>
        <v>0</v>
      </c>
      <c r="BL22" s="28">
        <f>=SUM(BL121:BL122)</f>
        <v>0</v>
      </c>
      <c r="BM22" s="28">
        <f>=SUM(BM121:BM122)</f>
        <v>0</v>
      </c>
      <c r="BN22" s="28">
        <f>=SUM(BN121:BN122)</f>
        <v>0</v>
      </c>
      <c r="BO22" s="28">
        <f>=SUM(BO121:BO122)</f>
        <v>0</v>
      </c>
      <c r="BP22" s="28">
        <f>=SUM(BP121:BP122)</f>
        <v>0</v>
      </c>
      <c r="BQ22" s="28">
        <f>=SUM(BQ121:BQ122)</f>
        <v>0</v>
      </c>
      <c r="BR22" s="28">
        <f>=SUM(BR121:BR122)</f>
        <v>0</v>
      </c>
      <c r="BS22" s="28">
        <f>=SUM(BS121:BS122)</f>
        <v>0</v>
      </c>
      <c r="BT22" s="28">
        <f>=SUM(BT121:BT122)</f>
        <v>0</v>
      </c>
      <c r="BU22" s="28">
        <f>=SUM(BU121:BU122)</f>
        <v>0</v>
      </c>
      <c r="BV22" s="28">
        <f>=SUM(BV121:BV122)</f>
        <v>0</v>
      </c>
      <c r="BW22" s="28">
        <f>=SUM(BW121:BW122)</f>
        <v>0</v>
      </c>
      <c r="BX22" s="28">
        <f>=SUM(BX121:BX122)</f>
        <v>0</v>
      </c>
      <c r="BY22" s="28">
        <f>=SUM(BY121:BY122)</f>
        <v>0</v>
      </c>
      <c r="BZ22" s="28">
        <f>=SUM(BZ121:BZ122)</f>
        <v>0</v>
      </c>
      <c r="CA22" s="28">
        <f>=SUM(CA121:CA122)</f>
        <v>0</v>
      </c>
      <c r="CB22" s="28">
        <f>=SUM(CB121:CB122)</f>
        <v>0</v>
      </c>
      <c r="CC22" s="28">
        <f>=SUM(CC121:CC122)</f>
        <v>0</v>
      </c>
      <c r="CD22" s="28">
        <f>=SUM(CD121:CD122)</f>
        <v>0</v>
      </c>
      <c r="CE22" s="28">
        <f>=SUM(CE121:CE122)</f>
        <v>0</v>
      </c>
      <c r="CF22" s="28">
        <f>=SUM(CF121:CF122)</f>
        <v>0</v>
      </c>
      <c r="CG22" s="28">
        <f>=SUM(CG121:CG122)</f>
        <v>0</v>
      </c>
      <c r="CH22" s="28">
        <f>=SUM(CH121:CH122)</f>
        <v>0</v>
      </c>
      <c r="CI22" s="28">
        <f>=SUM(CI121:CI122)</f>
        <v>0</v>
      </c>
      <c r="CJ22" s="28">
        <f>=SUM(CJ121:CJ122)</f>
        <v>0</v>
      </c>
      <c r="CK22" s="28">
        <f>=SUM(CK121:CK122)</f>
        <v>0</v>
      </c>
      <c r="CL22" s="28">
        <f>=SUM(CL121:CL122)</f>
        <v>0</v>
      </c>
      <c r="CM22" s="28">
        <f>=SUM(CM121:CM122)</f>
        <v>0</v>
      </c>
      <c r="CN22" s="28">
        <f>=SUM(CN121:CN122)</f>
        <v>0</v>
      </c>
      <c r="CO22" s="28">
        <f>=SUM(CO121:CO122)</f>
        <v>0</v>
      </c>
      <c r="CP22" s="28">
        <f>=SUM(CP121:CP122)</f>
        <v>0</v>
      </c>
      <c r="CQ22" s="28">
        <f>=SUM(CQ121:CQ122)</f>
        <v>0</v>
      </c>
      <c r="CR22" s="28">
        <f>=SUM(CR121:CR122)</f>
        <v>0</v>
      </c>
      <c r="CS22" s="28">
        <f>=SUM(CS121:CS122)</f>
        <v>0</v>
      </c>
      <c r="CT22" s="28">
        <f>=SUM(CT121:CT122)</f>
        <v>0</v>
      </c>
      <c r="CU22" s="28">
        <f>=SUM(CU121:CU122)</f>
        <v>0</v>
      </c>
      <c r="CV22" s="28">
        <f>=SUM(CV121:CV122)</f>
        <v>0</v>
      </c>
      <c r="CW22" s="28">
        <f>=SUM(CW121:CW122)</f>
        <v>0</v>
      </c>
      <c r="CX22" s="28">
        <f>=SUM(CX121:CX122)</f>
        <v>0</v>
      </c>
      <c r="CY22" s="28">
        <f>=SUM(CY121:CY122)</f>
        <v>0</v>
      </c>
      <c r="CZ22" s="28">
        <f>=SUM(CZ121:CZ122)</f>
        <v>0</v>
      </c>
      <c r="DA22" s="28">
        <f>=SUM(DA121:DA122)</f>
        <v>0</v>
      </c>
      <c r="DB22" s="28">
        <f>=SUM(DB121:DB122)</f>
        <v>0</v>
      </c>
    </row>
    <row r="23" spans="1:106" x14ac:dyDescent="0.25">
      <c r="A23" s="27" t="s">
        <v>257</v>
      </c>
      <c r="C23" s="28">
        <f>=SUM(C123:C124)</f>
        <v>0</v>
      </c>
      <c r="D23" s="28">
        <f>=SUM(D123:D124)</f>
        <v>0</v>
      </c>
      <c r="E23" s="28">
        <f>=SUM(E123:E124)</f>
        <v>0</v>
      </c>
      <c r="F23" s="28">
        <f>=SUM(F123:F124)</f>
        <v>0</v>
      </c>
      <c r="G23" s="28">
        <f>=SUM(G123:G124)</f>
        <v>0</v>
      </c>
      <c r="H23" s="28">
        <f>=SUM(H123:H124)</f>
        <v>0</v>
      </c>
      <c r="I23" s="28">
        <f>=SUM(I123:I124)</f>
        <v>0</v>
      </c>
      <c r="J23" s="28">
        <f>=SUM(J123:J124)</f>
        <v>0</v>
      </c>
      <c r="K23" s="28">
        <f>=SUM(K123:K124)</f>
        <v>0</v>
      </c>
      <c r="L23" s="28">
        <f>=SUM(L123:L124)</f>
        <v>0</v>
      </c>
      <c r="M23" s="28">
        <f>=SUM(M123:M124)</f>
        <v>0</v>
      </c>
      <c r="N23" s="28">
        <f>=SUM(N123:N124)</f>
        <v>0</v>
      </c>
      <c r="O23" s="28">
        <f>=SUM(O123:O124)</f>
        <v>0</v>
      </c>
      <c r="P23" s="28">
        <f>=SUM(P123:P124)</f>
        <v>0</v>
      </c>
      <c r="Q23" s="28">
        <f>=SUM(Q123:Q124)</f>
        <v>0</v>
      </c>
      <c r="R23" s="28">
        <f>=SUM(R123:R124)</f>
        <v>0</v>
      </c>
      <c r="S23" s="28">
        <f>=SUM(S123:S124)</f>
        <v>0</v>
      </c>
      <c r="T23" s="28">
        <f>=SUM(T123:T124)</f>
        <v>0</v>
      </c>
      <c r="U23" s="28">
        <f>=SUM(U123:U124)</f>
        <v>0</v>
      </c>
      <c r="V23" s="28">
        <f>=SUM(V123:V124)</f>
        <v>0</v>
      </c>
      <c r="W23" s="28">
        <f>=SUM(W123:W124)</f>
        <v>0</v>
      </c>
      <c r="X23" s="28">
        <f>=SUM(X123:X124)</f>
        <v>0</v>
      </c>
      <c r="Y23" s="28">
        <f>=SUM(Y123:Y124)</f>
        <v>0</v>
      </c>
      <c r="Z23" s="28">
        <f>=SUM(Z123:Z124)</f>
        <v>0</v>
      </c>
      <c r="AA23" s="28">
        <f>=SUM(AA123:AA124)</f>
        <v>0</v>
      </c>
      <c r="AB23" s="28">
        <f>=SUM(AB123:AB124)</f>
        <v>0</v>
      </c>
      <c r="AC23" s="28">
        <f>=SUM(AC123:AC124)</f>
        <v>0</v>
      </c>
      <c r="AD23" s="28">
        <f>=SUM(AD123:AD124)</f>
        <v>0</v>
      </c>
      <c r="AE23" s="28">
        <f>=SUM(AE123:AE124)</f>
        <v>0</v>
      </c>
      <c r="AF23" s="28">
        <f>=SUM(AF123:AF124)</f>
        <v>0</v>
      </c>
      <c r="AG23" s="28">
        <f>=SUM(AG123:AG124)</f>
        <v>0</v>
      </c>
      <c r="AH23" s="28">
        <f>=SUM(AH123:AH124)</f>
        <v>0</v>
      </c>
      <c r="AI23" s="28">
        <f>=SUM(AI123:AI124)</f>
        <v>0</v>
      </c>
      <c r="AJ23" s="28">
        <f>=SUM(AJ123:AJ124)</f>
        <v>0</v>
      </c>
      <c r="AK23" s="28">
        <f>=SUM(AK123:AK124)</f>
        <v>0</v>
      </c>
      <c r="AL23" s="28">
        <f>=SUM(AL123:AL124)</f>
        <v>0</v>
      </c>
      <c r="AM23" s="28">
        <f>=SUM(AM123:AM124)</f>
        <v>0</v>
      </c>
      <c r="AN23" s="28">
        <f>=SUM(AN123:AN124)</f>
        <v>0</v>
      </c>
      <c r="AO23" s="28">
        <f>=SUM(AO123:AO124)</f>
        <v>0</v>
      </c>
      <c r="AP23" s="28">
        <f>=SUM(AP123:AP124)</f>
        <v>0</v>
      </c>
      <c r="AQ23" s="28">
        <f>=SUM(AQ123:AQ124)</f>
        <v>0</v>
      </c>
      <c r="AR23" s="28">
        <f>=SUM(AR123:AR124)</f>
        <v>0</v>
      </c>
      <c r="AS23" s="28">
        <f>=SUM(AS123:AS124)</f>
        <v>0</v>
      </c>
      <c r="AT23" s="28">
        <f>=SUM(AT123:AT124)</f>
        <v>0</v>
      </c>
      <c r="AU23" s="28">
        <f>=SUM(AU123:AU124)</f>
        <v>0</v>
      </c>
      <c r="AV23" s="28">
        <f>=SUM(AV123:AV124)</f>
        <v>0</v>
      </c>
      <c r="AW23" s="28">
        <f>=SUM(AW123:AW124)</f>
        <v>0</v>
      </c>
      <c r="AX23" s="28">
        <f>=SUM(AX123:AX124)</f>
        <v>0</v>
      </c>
      <c r="AY23" s="28">
        <f>=SUM(AY123:AY124)</f>
        <v>0</v>
      </c>
      <c r="AZ23" s="28">
        <f>=SUM(AZ123:AZ124)</f>
        <v>0</v>
      </c>
      <c r="BA23" s="28">
        <f>=SUM(BA123:BA124)</f>
        <v>0</v>
      </c>
      <c r="BB23" s="28">
        <f>=SUM(BB123:BB124)</f>
        <v>0</v>
      </c>
      <c r="BC23" s="28">
        <f>=SUM(BC123:BC124)</f>
        <v>0</v>
      </c>
      <c r="BD23" s="28">
        <f>=SUM(BD123:BD124)</f>
        <v>0</v>
      </c>
      <c r="BE23" s="28">
        <f>=SUM(BE123:BE124)</f>
        <v>0</v>
      </c>
      <c r="BF23" s="28">
        <f>=SUM(BF123:BF124)</f>
        <v>0</v>
      </c>
      <c r="BG23" s="28">
        <f>=SUM(BG123:BG124)</f>
        <v>0</v>
      </c>
      <c r="BH23" s="28">
        <f>=SUM(BH123:BH124)</f>
        <v>0</v>
      </c>
      <c r="BI23" s="28">
        <f>=SUM(BI123:BI124)</f>
        <v>0</v>
      </c>
      <c r="BJ23" s="28">
        <f>=SUM(BJ123:BJ124)</f>
        <v>0</v>
      </c>
      <c r="BK23" s="28">
        <f>=SUM(BK123:BK124)</f>
        <v>0</v>
      </c>
      <c r="BL23" s="28">
        <f>=SUM(BL123:BL124)</f>
        <v>0</v>
      </c>
      <c r="BM23" s="28">
        <f>=SUM(BM123:BM124)</f>
        <v>0</v>
      </c>
      <c r="BN23" s="28">
        <f>=SUM(BN123:BN124)</f>
        <v>0</v>
      </c>
      <c r="BO23" s="28">
        <f>=SUM(BO123:BO124)</f>
        <v>0</v>
      </c>
      <c r="BP23" s="28">
        <f>=SUM(BP123:BP124)</f>
        <v>0</v>
      </c>
      <c r="BQ23" s="28">
        <f>=SUM(BQ123:BQ124)</f>
        <v>0</v>
      </c>
      <c r="BR23" s="28">
        <f>=SUM(BR123:BR124)</f>
        <v>0</v>
      </c>
      <c r="BS23" s="28">
        <f>=SUM(BS123:BS124)</f>
        <v>0</v>
      </c>
      <c r="BT23" s="28">
        <f>=SUM(BT123:BT124)</f>
        <v>0</v>
      </c>
      <c r="BU23" s="28">
        <f>=SUM(BU123:BU124)</f>
        <v>0</v>
      </c>
      <c r="BV23" s="28">
        <f>=SUM(BV123:BV124)</f>
        <v>0</v>
      </c>
      <c r="BW23" s="28">
        <f>=SUM(BW123:BW124)</f>
        <v>0</v>
      </c>
      <c r="BX23" s="28">
        <f>=SUM(BX123:BX124)</f>
        <v>0</v>
      </c>
      <c r="BY23" s="28">
        <f>=SUM(BY123:BY124)</f>
        <v>0</v>
      </c>
      <c r="BZ23" s="28">
        <f>=SUM(BZ123:BZ124)</f>
        <v>0</v>
      </c>
      <c r="CA23" s="28">
        <f>=SUM(CA123:CA124)</f>
        <v>0</v>
      </c>
      <c r="CB23" s="28">
        <f>=SUM(CB123:CB124)</f>
        <v>0</v>
      </c>
      <c r="CC23" s="28">
        <f>=SUM(CC123:CC124)</f>
        <v>0</v>
      </c>
      <c r="CD23" s="28">
        <f>=SUM(CD123:CD124)</f>
        <v>0</v>
      </c>
      <c r="CE23" s="28">
        <f>=SUM(CE123:CE124)</f>
        <v>0</v>
      </c>
      <c r="CF23" s="28">
        <f>=SUM(CF123:CF124)</f>
        <v>0</v>
      </c>
      <c r="CG23" s="28">
        <f>=SUM(CG123:CG124)</f>
        <v>0</v>
      </c>
      <c r="CH23" s="28">
        <f>=SUM(CH123:CH124)</f>
        <v>0</v>
      </c>
      <c r="CI23" s="28">
        <f>=SUM(CI123:CI124)</f>
        <v>0</v>
      </c>
      <c r="CJ23" s="28">
        <f>=SUM(CJ123:CJ124)</f>
        <v>0</v>
      </c>
      <c r="CK23" s="28">
        <f>=SUM(CK123:CK124)</f>
        <v>0</v>
      </c>
      <c r="CL23" s="28">
        <f>=SUM(CL123:CL124)</f>
        <v>0</v>
      </c>
      <c r="CM23" s="28">
        <f>=SUM(CM123:CM124)</f>
        <v>0</v>
      </c>
      <c r="CN23" s="28">
        <f>=SUM(CN123:CN124)</f>
        <v>0</v>
      </c>
      <c r="CO23" s="28">
        <f>=SUM(CO123:CO124)</f>
        <v>0</v>
      </c>
      <c r="CP23" s="28">
        <f>=SUM(CP123:CP124)</f>
        <v>0</v>
      </c>
      <c r="CQ23" s="28">
        <f>=SUM(CQ123:CQ124)</f>
        <v>0</v>
      </c>
      <c r="CR23" s="28">
        <f>=SUM(CR123:CR124)</f>
        <v>0</v>
      </c>
      <c r="CS23" s="28">
        <f>=SUM(CS123:CS124)</f>
        <v>0</v>
      </c>
      <c r="CT23" s="28">
        <f>=SUM(CT123:CT124)</f>
        <v>0</v>
      </c>
      <c r="CU23" s="28">
        <f>=SUM(CU123:CU124)</f>
        <v>0</v>
      </c>
      <c r="CV23" s="28">
        <f>=SUM(CV123:CV124)</f>
        <v>0</v>
      </c>
      <c r="CW23" s="28">
        <f>=SUM(CW123:CW124)</f>
        <v>0</v>
      </c>
      <c r="CX23" s="28">
        <f>=SUM(CX123:CX124)</f>
        <v>0</v>
      </c>
      <c r="CY23" s="28">
        <f>=SUM(CY123:CY124)</f>
        <v>0</v>
      </c>
      <c r="CZ23" s="28">
        <f>=SUM(CZ123:CZ124)</f>
        <v>0</v>
      </c>
      <c r="DA23" s="28">
        <f>=SUM(DA123:DA124)</f>
        <v>0</v>
      </c>
      <c r="DB23" s="28">
        <f>=SUM(DB123:DB124)</f>
        <v>0</v>
      </c>
    </row>
    <row r="24" spans="1:106" x14ac:dyDescent="0.25">
      <c r="A24" s="27" t="s">
        <v>258</v>
      </c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0"/>
      <c r="CI24" s="30"/>
      <c r="CJ24" s="30"/>
      <c r="CK24" s="30"/>
      <c r="CL24" s="30"/>
      <c r="CM24" s="30"/>
      <c r="CN24" s="30"/>
      <c r="CO24" s="30"/>
      <c r="CP24" s="30"/>
      <c r="CQ24" s="30"/>
      <c r="CR24" s="30"/>
      <c r="CS24" s="30"/>
      <c r="CT24" s="30"/>
      <c r="CU24" s="30"/>
      <c r="CV24" s="30"/>
      <c r="CW24" s="30"/>
      <c r="CX24" s="30"/>
      <c r="CY24" s="30"/>
      <c r="CZ24" s="30"/>
      <c r="DA24" s="30"/>
      <c r="DB24" s="30"/>
    </row>
    <row r="25" spans="1:106" x14ac:dyDescent="0.25">
      <c r="A25" s="22" t="s">
        <v>259</v>
      </c>
      <c r="C25" s="31">
        <f>=IFERROR(C19/C10,0)</f>
        <v>1</v>
      </c>
      <c r="D25" s="31">
        <f>=IFERROR(D19/D10,0)</f>
        <v>1</v>
      </c>
      <c r="E25" s="31">
        <f>=IFERROR(E19/E10,0)</f>
        <v>1</v>
      </c>
      <c r="F25" s="31">
        <f>=IFERROR(F19/F10,0)</f>
        <v>1</v>
      </c>
      <c r="G25" s="31">
        <f>=IFERROR(G19/G10,0)</f>
        <v>1</v>
      </c>
      <c r="H25" s="31">
        <f>=IFERROR(H19/H10,0)</f>
        <v>1</v>
      </c>
      <c r="I25" s="31">
        <f>=IFERROR(I19/I10,0)</f>
        <v>1</v>
      </c>
      <c r="J25" s="31">
        <f>=IFERROR(J19/J10,0)</f>
        <v>1</v>
      </c>
      <c r="K25" s="31">
        <f>=IFERROR(K19/K10,0)</f>
        <v>1</v>
      </c>
      <c r="L25" s="31">
        <f>=IFERROR(L19/L10,0)</f>
        <v>1</v>
      </c>
      <c r="M25" s="31">
        <f>=IFERROR(M19/M10,0)</f>
        <v>1</v>
      </c>
      <c r="N25" s="31">
        <f>=IFERROR(N19/N10,0)</f>
        <v>1</v>
      </c>
      <c r="O25" s="31">
        <f>=IFERROR(O19/O10,0)</f>
        <v>1</v>
      </c>
      <c r="P25" s="31">
        <f>=IFERROR(P19/P10,0)</f>
        <v>1</v>
      </c>
      <c r="Q25" s="31">
        <f>=IFERROR(Q19/Q10,0)</f>
        <v>1</v>
      </c>
      <c r="R25" s="31">
        <f>=IFERROR(R19/R10,0)</f>
        <v>1</v>
      </c>
      <c r="S25" s="31">
        <f>=IFERROR(S19/S10,0)</f>
        <v>1</v>
      </c>
      <c r="T25" s="31">
        <f>=IFERROR(T19/T10,0)</f>
        <v>1</v>
      </c>
      <c r="U25" s="31">
        <f>=IFERROR(U19/U10,0)</f>
        <v>1</v>
      </c>
      <c r="V25" s="31">
        <f>=IFERROR(V19/V10,0)</f>
        <v>1</v>
      </c>
      <c r="W25" s="31">
        <f>=IFERROR(W19/W10,0)</f>
        <v>1</v>
      </c>
      <c r="X25" s="31">
        <f>=IFERROR(X19/X10,0)</f>
        <v>1</v>
      </c>
      <c r="Y25" s="31">
        <f>=IFERROR(Y19/Y10,0)</f>
        <v>1</v>
      </c>
      <c r="Z25" s="31">
        <f>=IFERROR(Z19/Z10,0)</f>
        <v>1</v>
      </c>
      <c r="AA25" s="31">
        <f>=IFERROR(AA19/AA10,0)</f>
        <v>1</v>
      </c>
      <c r="AB25" s="31">
        <f>=IFERROR(AB19/AB10,0)</f>
        <v>1</v>
      </c>
      <c r="AC25" s="31">
        <f>=IFERROR(AC19/AC10,0)</f>
        <v>1</v>
      </c>
      <c r="AD25" s="31">
        <f>=IFERROR(AD19/AD10,0)</f>
        <v>1</v>
      </c>
      <c r="AE25" s="31">
        <f>=IFERROR(AE19/AE10,0)</f>
        <v>1</v>
      </c>
      <c r="AF25" s="31">
        <f>=IFERROR(AF19/AF10,0)</f>
        <v>1</v>
      </c>
      <c r="AG25" s="31">
        <f>=IFERROR(AG19/AG10,0)</f>
        <v>1</v>
      </c>
      <c r="AH25" s="31">
        <f>=IFERROR(AH19/AH10,0)</f>
        <v>1</v>
      </c>
      <c r="AI25" s="31">
        <f>=IFERROR(AI19/AI10,0)</f>
        <v>1</v>
      </c>
      <c r="AJ25" s="31">
        <f>=IFERROR(AJ19/AJ10,0)</f>
        <v>1</v>
      </c>
      <c r="AK25" s="31">
        <f>=IFERROR(AK19/AK10,0)</f>
        <v>1</v>
      </c>
      <c r="AL25" s="31">
        <f>=IFERROR(AL19/AL10,0)</f>
        <v>1</v>
      </c>
      <c r="AM25" s="31">
        <f>=IFERROR(AM19/AM10,0)</f>
        <v>1</v>
      </c>
      <c r="AN25" s="31">
        <f>=IFERROR(AN19/AN10,0)</f>
        <v>1</v>
      </c>
      <c r="AO25" s="31">
        <f>=IFERROR(AO19/AO10,0)</f>
        <v>1</v>
      </c>
      <c r="AP25" s="31">
        <f>=IFERROR(AP19/AP10,0)</f>
        <v>1</v>
      </c>
      <c r="AQ25" s="31">
        <f>=IFERROR(AQ19/AQ10,0)</f>
        <v>1</v>
      </c>
      <c r="AR25" s="31">
        <f>=IFERROR(AR19/AR10,0)</f>
        <v>1</v>
      </c>
      <c r="AS25" s="31">
        <f>=IFERROR(AS19/AS10,0)</f>
        <v>1</v>
      </c>
      <c r="AT25" s="31">
        <f>=IFERROR(AT19/AT10,0)</f>
        <v>1</v>
      </c>
      <c r="AU25" s="31">
        <f>=IFERROR(AU19/AU10,0)</f>
        <v>1</v>
      </c>
      <c r="AV25" s="31">
        <f>=IFERROR(AV19/AV10,0)</f>
        <v>1</v>
      </c>
      <c r="AW25" s="31">
        <f>=IFERROR(AW19/AW10,0)</f>
        <v>1</v>
      </c>
      <c r="AX25" s="31">
        <f>=IFERROR(AX19/AX10,0)</f>
        <v>1</v>
      </c>
      <c r="AY25" s="31">
        <f>=IFERROR(AY19/AY10,0)</f>
        <v>1</v>
      </c>
      <c r="AZ25" s="31">
        <f>=IFERROR(AZ19/AZ10,0)</f>
        <v>1</v>
      </c>
      <c r="BA25" s="31">
        <f>=IFERROR(BA19/BA10,0)</f>
        <v>1</v>
      </c>
      <c r="BB25" s="31">
        <f>=IFERROR(BB19/BB10,0)</f>
        <v>1</v>
      </c>
      <c r="BC25" s="31">
        <f>=IFERROR(BC19/BC10,0)</f>
        <v>1</v>
      </c>
      <c r="BD25" s="31">
        <f>=IFERROR(BD19/BD10,0)</f>
        <v>1</v>
      </c>
      <c r="BE25" s="31">
        <f>=IFERROR(BE19/BE10,0)</f>
        <v>1</v>
      </c>
      <c r="BF25" s="31">
        <f>=IFERROR(BF19/BF10,0)</f>
        <v>1</v>
      </c>
      <c r="BG25" s="31">
        <f>=IFERROR(BG19/BG10,0)</f>
        <v>1</v>
      </c>
      <c r="BH25" s="31">
        <f>=IFERROR(BH19/BH10,0)</f>
        <v>1</v>
      </c>
      <c r="BI25" s="31">
        <f>=IFERROR(BI19/BI10,0)</f>
        <v>1</v>
      </c>
      <c r="BJ25" s="31">
        <f>=IFERROR(BJ19/BJ10,0)</f>
        <v>1</v>
      </c>
      <c r="BK25" s="31">
        <f>=IFERROR(BK19/BK10,0)</f>
        <v>1</v>
      </c>
      <c r="BL25" s="31">
        <f>=IFERROR(BL19/BL10,0)</f>
        <v>1</v>
      </c>
      <c r="BM25" s="31">
        <f>=IFERROR(BM19/BM10,0)</f>
        <v>1</v>
      </c>
      <c r="BN25" s="31">
        <f>=IFERROR(BN19/BN10,0)</f>
        <v>1</v>
      </c>
      <c r="BO25" s="31">
        <f>=IFERROR(BO19/BO10,0)</f>
        <v>1</v>
      </c>
      <c r="BP25" s="31">
        <f>=IFERROR(BP19/BP10,0)</f>
        <v>1</v>
      </c>
      <c r="BQ25" s="31">
        <f>=IFERROR(BQ19/BQ10,0)</f>
        <v>1</v>
      </c>
      <c r="BR25" s="31">
        <f>=IFERROR(BR19/BR10,0)</f>
        <v>1</v>
      </c>
      <c r="BS25" s="31">
        <f>=IFERROR(BS19/BS10,0)</f>
        <v>1</v>
      </c>
      <c r="BT25" s="31">
        <f>=IFERROR(BT19/BT10,0)</f>
        <v>1</v>
      </c>
      <c r="BU25" s="31">
        <f>=IFERROR(BU19/BU10,0)</f>
        <v>1</v>
      </c>
      <c r="BV25" s="31">
        <f>=IFERROR(BV19/BV10,0)</f>
        <v>1</v>
      </c>
      <c r="BW25" s="31">
        <f>=IFERROR(BW19/BW10,0)</f>
        <v>1</v>
      </c>
      <c r="BX25" s="31">
        <f>=IFERROR(BX19/BX10,0)</f>
        <v>1</v>
      </c>
      <c r="BY25" s="31">
        <f>=IFERROR(BY19/BY10,0)</f>
        <v>1</v>
      </c>
      <c r="BZ25" s="31">
        <f>=IFERROR(BZ19/BZ10,0)</f>
        <v>1</v>
      </c>
      <c r="CA25" s="31">
        <f>=IFERROR(CA19/CA10,0)</f>
        <v>1</v>
      </c>
      <c r="CB25" s="31">
        <f>=IFERROR(CB19/CB10,0)</f>
        <v>1</v>
      </c>
      <c r="CC25" s="31">
        <f>=IFERROR(CC19/CC10,0)</f>
        <v>1</v>
      </c>
      <c r="CD25" s="31">
        <f>=IFERROR(CD19/CD10,0)</f>
        <v>1</v>
      </c>
      <c r="CE25" s="31">
        <f>=IFERROR(CE19/CE10,0)</f>
        <v>1</v>
      </c>
      <c r="CF25" s="31">
        <f>=IFERROR(CF19/CF10,0)</f>
        <v>1</v>
      </c>
      <c r="CG25" s="31">
        <f>=IFERROR(CG19/CG10,0)</f>
        <v>1</v>
      </c>
      <c r="CH25" s="31">
        <f>=IFERROR(CH19/CH10,0)</f>
        <v>1</v>
      </c>
      <c r="CI25" s="31">
        <f>=IFERROR(CI19/CI10,0)</f>
        <v>1</v>
      </c>
      <c r="CJ25" s="31">
        <f>=IFERROR(CJ19/CJ10,0)</f>
        <v>1</v>
      </c>
      <c r="CK25" s="31">
        <f>=IFERROR(CK19/CK10,0)</f>
        <v>1</v>
      </c>
      <c r="CL25" s="31">
        <f>=IFERROR(CL19/CL10,0)</f>
        <v>1</v>
      </c>
      <c r="CM25" s="31">
        <f>=IFERROR(CM19/CM10,0)</f>
        <v>1</v>
      </c>
      <c r="CN25" s="31">
        <f>=IFERROR(CN19/CN10,0)</f>
        <v>1</v>
      </c>
      <c r="CO25" s="31">
        <f>=IFERROR(CO19/CO10,0)</f>
        <v>1</v>
      </c>
      <c r="CP25" s="31">
        <f>=IFERROR(CP19/CP10,0)</f>
        <v>1</v>
      </c>
      <c r="CQ25" s="31">
        <f>=IFERROR(CQ19/CQ10,0)</f>
        <v>1</v>
      </c>
      <c r="CR25" s="31">
        <f>=IFERROR(CR19/CR10,0)</f>
        <v>1</v>
      </c>
      <c r="CS25" s="31">
        <f>=IFERROR(CS19/CS10,0)</f>
        <v>1</v>
      </c>
      <c r="CT25" s="31">
        <f>=IFERROR(CT19/CT10,0)</f>
        <v>1</v>
      </c>
      <c r="CU25" s="31">
        <f>=IFERROR(CU19/CU10,0)</f>
        <v>1</v>
      </c>
      <c r="CV25" s="31">
        <f>=IFERROR(CV19/CV10,0)</f>
        <v>1</v>
      </c>
      <c r="CW25" s="31">
        <f>=IFERROR(CW19/CW10,0)</f>
        <v>1</v>
      </c>
      <c r="CX25" s="31">
        <f>=IFERROR(CX19/CX10,0)</f>
        <v>1</v>
      </c>
      <c r="CY25" s="31">
        <f>=IFERROR(CY19/CY10,0)</f>
        <v>1</v>
      </c>
      <c r="CZ25" s="31">
        <f>=IFERROR(CZ19/CZ10,0)</f>
        <v>1</v>
      </c>
      <c r="DA25" s="31">
        <f>=IFERROR(DA19/DA10,0)</f>
        <v>1</v>
      </c>
      <c r="DB25" s="31">
        <f>=IFERROR(DB19/DB10,0)</f>
        <v>1</v>
      </c>
    </row>
    <row r="26" spans="3:106" x14ac:dyDescent="0.25"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0"/>
      <c r="CG26" s="30"/>
      <c r="CH26" s="30"/>
      <c r="CI26" s="30"/>
      <c r="CJ26" s="30"/>
      <c r="CK26" s="30"/>
      <c r="CL26" s="30"/>
      <c r="CM26" s="30"/>
      <c r="CN26" s="30"/>
      <c r="CO26" s="30"/>
      <c r="CP26" s="30"/>
      <c r="CQ26" s="30"/>
      <c r="CR26" s="30"/>
      <c r="CS26" s="30"/>
      <c r="CT26" s="30"/>
      <c r="CU26" s="30"/>
      <c r="CV26" s="30"/>
      <c r="CW26" s="30"/>
      <c r="CX26" s="30"/>
      <c r="CY26" s="30"/>
      <c r="CZ26" s="30"/>
      <c r="DA26" s="30"/>
      <c r="DB26" s="30"/>
    </row>
    <row r="27" ht="14" customHeight="1" spans="1:106" x14ac:dyDescent="0.25">
      <c r="A27" s="9" t="s">
        <v>260</v>
      </c>
      <c r="B27" s="17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</row>
    <row r="28" ht="15" customHeight="1" spans="1:106" x14ac:dyDescent="0.25">
      <c r="A28" s="33" t="s">
        <v>261</v>
      </c>
      <c r="B28" s="13"/>
      <c r="C28" s="34">
        <f>=IFERROR(1-((1-C29)*(1-C34)),0)</f>
        <v>0.286</v>
      </c>
      <c r="D28" s="34">
        <f>=IFERROR(1-((1-D29)*(1-D34)),0)</f>
        <v>0.286</v>
      </c>
      <c r="E28" s="34">
        <f>=IFERROR(1-((1-E29)*(1-E34)),0)</f>
        <v>0.286</v>
      </c>
      <c r="F28" s="34">
        <f>=IFERROR(1-((1-F29)*(1-F34)),0)</f>
        <v>0.286</v>
      </c>
      <c r="G28" s="34">
        <f>=IFERROR(1-((1-G29)*(1-G34)),0)</f>
        <v>0.286</v>
      </c>
      <c r="H28" s="34">
        <f>=IFERROR(1-((1-H29)*(1-H34)),0)</f>
        <v>0.286</v>
      </c>
      <c r="I28" s="34">
        <f>=IFERROR(1-((1-I29)*(1-I34)),0)</f>
        <v>0.286</v>
      </c>
      <c r="J28" s="34">
        <f>=IFERROR(1-((1-J29)*(1-J34)),0)</f>
        <v>0.286</v>
      </c>
      <c r="K28" s="34">
        <f>=IFERROR(1-((1-K29)*(1-K34)),0)</f>
        <v>0.286</v>
      </c>
      <c r="L28" s="34">
        <f>=IFERROR(1-((1-L29)*(1-L34)),0)</f>
        <v>0.286</v>
      </c>
      <c r="M28" s="34">
        <f>=IFERROR(1-((1-M29)*(1-M34)),0)</f>
        <v>0.286</v>
      </c>
      <c r="N28" s="34">
        <f>=IFERROR(1-((1-N29)*(1-N34)),0)</f>
        <v>0.286</v>
      </c>
      <c r="O28" s="34">
        <f>=IFERROR(1-((1-O29)*(1-O34)),0)</f>
        <v>0.286</v>
      </c>
      <c r="P28" s="34">
        <f>=IFERROR(1-((1-P29)*(1-P34)),0)</f>
        <v>0.286</v>
      </c>
      <c r="Q28" s="34">
        <f>=IFERROR(1-((1-Q29)*(1-Q34)),0)</f>
        <v>0.286</v>
      </c>
      <c r="R28" s="34">
        <f>=IFERROR(1-((1-R29)*(1-R34)),0)</f>
        <v>0.286</v>
      </c>
      <c r="S28" s="34">
        <f>=IFERROR(1-((1-S29)*(1-S34)),0)</f>
        <v>0.286</v>
      </c>
      <c r="T28" s="34">
        <f>=IFERROR(1-((1-T29)*(1-T34)),0)</f>
        <v>0.286</v>
      </c>
      <c r="U28" s="34">
        <f>=IFERROR(1-((1-U29)*(1-U34)),0)</f>
        <v>0.286</v>
      </c>
      <c r="V28" s="34">
        <f>=IFERROR(1-((1-V29)*(1-V34)),0)</f>
        <v>0.286</v>
      </c>
      <c r="W28" s="34">
        <f>=IFERROR(1-((1-W29)*(1-W34)),0)</f>
        <v>0.286</v>
      </c>
      <c r="X28" s="34">
        <f>=IFERROR(1-((1-X29)*(1-X34)),0)</f>
        <v>0.286</v>
      </c>
      <c r="Y28" s="34">
        <f>=IFERROR(1-((1-Y29)*(1-Y34)),0)</f>
        <v>0.286</v>
      </c>
      <c r="Z28" s="34">
        <f>=IFERROR(1-((1-Z29)*(1-Z34)),0)</f>
        <v>0.286</v>
      </c>
      <c r="AA28" s="34">
        <f>=IFERROR(1-((1-AA29)*(1-AA34)),0)</f>
        <v>0.286</v>
      </c>
      <c r="AB28" s="34">
        <f>=IFERROR(1-((1-AB29)*(1-AB34)),0)</f>
        <v>0.286</v>
      </c>
      <c r="AC28" s="34">
        <f>=IFERROR(1-((1-AC29)*(1-AC34)),0)</f>
        <v>0.286</v>
      </c>
      <c r="AD28" s="34">
        <f>=IFERROR(1-((1-AD29)*(1-AD34)),0)</f>
        <v>0.286</v>
      </c>
      <c r="AE28" s="34">
        <f>=IFERROR(1-((1-AE29)*(1-AE34)),0)</f>
        <v>0.286</v>
      </c>
      <c r="AF28" s="34">
        <f>=IFERROR(1-((1-AF29)*(1-AF34)),0)</f>
        <v>0.286</v>
      </c>
      <c r="AG28" s="34">
        <f>=IFERROR(1-((1-AG29)*(1-AG34)),0)</f>
        <v>0.286</v>
      </c>
      <c r="AH28" s="34">
        <f>=IFERROR(1-((1-AH29)*(1-AH34)),0)</f>
        <v>0.286</v>
      </c>
      <c r="AI28" s="34">
        <f>=IFERROR(1-((1-AI29)*(1-AI34)),0)</f>
        <v>0.286</v>
      </c>
      <c r="AJ28" s="34">
        <f>=IFERROR(1-((1-AJ29)*(1-AJ34)),0)</f>
        <v>0.286</v>
      </c>
      <c r="AK28" s="34">
        <f>=IFERROR(1-((1-AK29)*(1-AK34)),0)</f>
        <v>0.286</v>
      </c>
      <c r="AL28" s="34">
        <f>=IFERROR(1-((1-AL29)*(1-AL34)),0)</f>
        <v>0.286</v>
      </c>
      <c r="AM28" s="34">
        <f>=IFERROR(1-((1-AM29)*(1-AM34)),0)</f>
        <v>0.286</v>
      </c>
      <c r="AN28" s="34">
        <f>=IFERROR(1-((1-AN29)*(1-AN34)),0)</f>
        <v>0.286</v>
      </c>
      <c r="AO28" s="34">
        <f>=IFERROR(1-((1-AO29)*(1-AO34)),0)</f>
        <v>0.286</v>
      </c>
      <c r="AP28" s="34">
        <f>=IFERROR(1-((1-AP29)*(1-AP34)),0)</f>
        <v>0.286</v>
      </c>
      <c r="AQ28" s="34">
        <f>=IFERROR(1-((1-AQ29)*(1-AQ34)),0)</f>
        <v>0.286</v>
      </c>
      <c r="AR28" s="34">
        <f>=IFERROR(1-((1-AR29)*(1-AR34)),0)</f>
        <v>0.286</v>
      </c>
      <c r="AS28" s="34">
        <f>=IFERROR(1-((1-AS29)*(1-AS34)),0)</f>
        <v>0.286</v>
      </c>
      <c r="AT28" s="34">
        <f>=IFERROR(1-((1-AT29)*(1-AT34)),0)</f>
        <v>0.286</v>
      </c>
      <c r="AU28" s="34">
        <f>=IFERROR(1-((1-AU29)*(1-AU34)),0)</f>
        <v>0.286</v>
      </c>
      <c r="AV28" s="34">
        <f>=IFERROR(1-((1-AV29)*(1-AV34)),0)</f>
        <v>0.286</v>
      </c>
      <c r="AW28" s="34">
        <f>=IFERROR(1-((1-AW29)*(1-AW34)),0)</f>
        <v>0.286</v>
      </c>
      <c r="AX28" s="34">
        <f>=IFERROR(1-((1-AX29)*(1-AX34)),0)</f>
        <v>0.286</v>
      </c>
      <c r="AY28" s="34">
        <f>=IFERROR(1-((1-AY29)*(1-AY34)),0)</f>
        <v>0.286</v>
      </c>
      <c r="AZ28" s="34">
        <f>=IFERROR(1-((1-AZ29)*(1-AZ34)),0)</f>
        <v>0.286</v>
      </c>
      <c r="BA28" s="34">
        <f>=IFERROR(1-((1-BA29)*(1-BA34)),0)</f>
        <v>0.286</v>
      </c>
      <c r="BB28" s="34">
        <f>=IFERROR(1-((1-BB29)*(1-BB34)),0)</f>
        <v>0.286</v>
      </c>
      <c r="BC28" s="34">
        <f>=IFERROR(1-((1-BC29)*(1-BC34)),0)</f>
        <v>0.269</v>
      </c>
      <c r="BD28" s="34">
        <f>=IFERROR(1-((1-BD29)*(1-BD34)),0)</f>
        <v>0.269</v>
      </c>
      <c r="BE28" s="34">
        <f>=IFERROR(1-((1-BE29)*(1-BE34)),0)</f>
        <v>0.269</v>
      </c>
      <c r="BF28" s="34">
        <f>=IFERROR(1-((1-BF29)*(1-BF34)),0)</f>
        <v>0.269</v>
      </c>
      <c r="BG28" s="34">
        <f>=IFERROR(1-((1-BG29)*(1-BG34)),0)</f>
        <v>0.269</v>
      </c>
      <c r="BH28" s="34">
        <f>=IFERROR(1-((1-BH29)*(1-BH34)),0)</f>
        <v>0.269</v>
      </c>
      <c r="BI28" s="34">
        <f>=IFERROR(1-((1-BI29)*(1-BI34)),0)</f>
        <v>0.269</v>
      </c>
      <c r="BJ28" s="34">
        <f>=IFERROR(1-((1-BJ29)*(1-BJ34)),0)</f>
        <v>0.269</v>
      </c>
      <c r="BK28" s="34">
        <f>=IFERROR(1-((1-BK29)*(1-BK34)),0)</f>
        <v>0.269</v>
      </c>
      <c r="BL28" s="34">
        <f>=IFERROR(1-((1-BL29)*(1-BL34)),0)</f>
        <v>0.269</v>
      </c>
      <c r="BM28" s="34">
        <f>=IFERROR(1-((1-BM29)*(1-BM34)),0)</f>
        <v>0.269</v>
      </c>
      <c r="BN28" s="34">
        <f>=IFERROR(1-((1-BN29)*(1-BN34)),0)</f>
        <v>0.269</v>
      </c>
      <c r="BO28" s="34">
        <f>=IFERROR(1-((1-BO29)*(1-BO34)),0)</f>
        <v>0.269</v>
      </c>
      <c r="BP28" s="34">
        <f>=IFERROR(1-((1-BP29)*(1-BP34)),0)</f>
        <v>0.269</v>
      </c>
      <c r="BQ28" s="34">
        <f>=IFERROR(1-((1-BQ29)*(1-BQ34)),0)</f>
        <v>0.269</v>
      </c>
      <c r="BR28" s="34">
        <f>=IFERROR(1-((1-BR29)*(1-BR34)),0)</f>
        <v>0.269</v>
      </c>
      <c r="BS28" s="34">
        <f>=IFERROR(1-((1-BS29)*(1-BS34)),0)</f>
        <v>0.269</v>
      </c>
      <c r="BT28" s="34">
        <f>=IFERROR(1-((1-BT29)*(1-BT34)),0)</f>
        <v>0.269</v>
      </c>
      <c r="BU28" s="34">
        <f>=IFERROR(1-((1-BU29)*(1-BU34)),0)</f>
        <v>0.269</v>
      </c>
      <c r="BV28" s="34">
        <f>=IFERROR(1-((1-BV29)*(1-BV34)),0)</f>
        <v>0.269</v>
      </c>
      <c r="BW28" s="34">
        <f>=IFERROR(1-((1-BW29)*(1-BW34)),0)</f>
        <v>0.269</v>
      </c>
      <c r="BX28" s="34">
        <f>=IFERROR(1-((1-BX29)*(1-BX34)),0)</f>
        <v>0.269</v>
      </c>
      <c r="BY28" s="34">
        <f>=IFERROR(1-((1-BY29)*(1-BY34)),0)</f>
        <v>0.269</v>
      </c>
      <c r="BZ28" s="34">
        <f>=IFERROR(1-((1-BZ29)*(1-BZ34)),0)</f>
        <v>0.269</v>
      </c>
      <c r="CA28" s="34">
        <f>=IFERROR(1-((1-CA29)*(1-CA34)),0)</f>
        <v>0.269</v>
      </c>
      <c r="CB28" s="34">
        <f>=IFERROR(1-((1-CB29)*(1-CB34)),0)</f>
        <v>0.269</v>
      </c>
      <c r="CC28" s="34">
        <f>=IFERROR(1-((1-CC29)*(1-CC34)),0)</f>
        <v>0.269</v>
      </c>
      <c r="CD28" s="34">
        <f>=IFERROR(1-((1-CD29)*(1-CD34)),0)</f>
        <v>0.269</v>
      </c>
      <c r="CE28" s="34">
        <f>=IFERROR(1-((1-CE29)*(1-CE34)),0)</f>
        <v>0.269</v>
      </c>
      <c r="CF28" s="34">
        <f>=IFERROR(1-((1-CF29)*(1-CF34)),0)</f>
        <v>0.269</v>
      </c>
      <c r="CG28" s="34">
        <f>=IFERROR(1-((1-CG29)*(1-CG34)),0)</f>
        <v>0.269</v>
      </c>
      <c r="CH28" s="34">
        <f>=IFERROR(1-((1-CH29)*(1-CH34)),0)</f>
        <v>0.269</v>
      </c>
      <c r="CI28" s="34">
        <f>=IFERROR(1-((1-CI29)*(1-CI34)),0)</f>
        <v>0.269</v>
      </c>
      <c r="CJ28" s="34">
        <f>=IFERROR(1-((1-CJ29)*(1-CJ34)),0)</f>
        <v>0.269</v>
      </c>
      <c r="CK28" s="34">
        <f>=IFERROR(1-((1-CK29)*(1-CK34)),0)</f>
        <v>0.269</v>
      </c>
      <c r="CL28" s="34">
        <f>=IFERROR(1-((1-CL29)*(1-CL34)),0)</f>
        <v>0.269</v>
      </c>
      <c r="CM28" s="34">
        <f>=IFERROR(1-((1-CM29)*(1-CM34)),0)</f>
        <v>0.269</v>
      </c>
      <c r="CN28" s="34">
        <f>=IFERROR(1-((1-CN29)*(1-CN34)),0)</f>
        <v>0.269</v>
      </c>
      <c r="CO28" s="34">
        <f>=IFERROR(1-((1-CO29)*(1-CO34)),0)</f>
        <v>0.269</v>
      </c>
      <c r="CP28" s="34">
        <f>=IFERROR(1-((1-CP29)*(1-CP34)),0)</f>
        <v>0.269</v>
      </c>
      <c r="CQ28" s="34">
        <f>=IFERROR(1-((1-CQ29)*(1-CQ34)),0)</f>
        <v>0.269</v>
      </c>
      <c r="CR28" s="34">
        <f>=IFERROR(1-((1-CR29)*(1-CR34)),0)</f>
        <v>0.269</v>
      </c>
      <c r="CS28" s="34">
        <f>=IFERROR(1-((1-CS29)*(1-CS34)),0)</f>
        <v>0.269</v>
      </c>
      <c r="CT28" s="34">
        <f>=IFERROR(1-((1-CT29)*(1-CT34)),0)</f>
        <v>0.269</v>
      </c>
      <c r="CU28" s="34">
        <f>=IFERROR(1-((1-CU29)*(1-CU34)),0)</f>
        <v>0.269</v>
      </c>
      <c r="CV28" s="34">
        <f>=IFERROR(1-((1-CV29)*(1-CV34)),0)</f>
        <v>0.269</v>
      </c>
      <c r="CW28" s="34">
        <f>=IFERROR(1-((1-CW29)*(1-CW34)),0)</f>
        <v>0.269</v>
      </c>
      <c r="CX28" s="34">
        <f>=IFERROR(1-((1-CX29)*(1-CX34)),0)</f>
        <v>0.269</v>
      </c>
      <c r="CY28" s="34">
        <f>=IFERROR(1-((1-CY29)*(1-CY34)),0)</f>
        <v>0.269</v>
      </c>
      <c r="CZ28" s="34">
        <f>=IFERROR(1-((1-CZ29)*(1-CZ34)),0)</f>
        <v>0.269</v>
      </c>
      <c r="DA28" s="34">
        <f>=IFERROR(1-((1-DA29)*(1-DA34)),0)</f>
        <v>0.269</v>
      </c>
      <c r="DB28" s="34">
        <f>=IFERROR(1-((1-DB29)*(1-DB34)),0)</f>
        <v>0.269</v>
      </c>
    </row>
    <row r="29" ht="15" customHeight="1" spans="1:106" x14ac:dyDescent="0.25">
      <c r="A29" s="16" t="s">
        <v>262</v>
      </c>
      <c r="B29" s="17"/>
      <c r="C29" s="35">
        <f>=SUM(C30:C33)</f>
        <v>0.16</v>
      </c>
      <c r="D29" s="35">
        <f>=SUM(D30:D33)</f>
        <v>0.16</v>
      </c>
      <c r="E29" s="35">
        <f>=SUM(E30:E33)</f>
        <v>0.16</v>
      </c>
      <c r="F29" s="35">
        <f>=SUM(F30:F33)</f>
        <v>0.16</v>
      </c>
      <c r="G29" s="35">
        <f>=SUM(G30:G33)</f>
        <v>0.16</v>
      </c>
      <c r="H29" s="35">
        <f>=SUM(H30:H33)</f>
        <v>0.16</v>
      </c>
      <c r="I29" s="35">
        <f>=SUM(I30:I33)</f>
        <v>0.16</v>
      </c>
      <c r="J29" s="35">
        <f>=SUM(J30:J33)</f>
        <v>0.16</v>
      </c>
      <c r="K29" s="35">
        <f>=SUM(K30:K33)</f>
        <v>0.16</v>
      </c>
      <c r="L29" s="35">
        <f>=SUM(L30:L33)</f>
        <v>0.16</v>
      </c>
      <c r="M29" s="35">
        <f>=SUM(M30:M33)</f>
        <v>0.16</v>
      </c>
      <c r="N29" s="35">
        <f>=SUM(N30:N33)</f>
        <v>0.16</v>
      </c>
      <c r="O29" s="35">
        <f>=SUM(O30:O33)</f>
        <v>0.16</v>
      </c>
      <c r="P29" s="35">
        <f>=SUM(P30:P33)</f>
        <v>0.16</v>
      </c>
      <c r="Q29" s="35">
        <f>=SUM(Q30:Q33)</f>
        <v>0.16</v>
      </c>
      <c r="R29" s="35">
        <f>=SUM(R30:R33)</f>
        <v>0.16</v>
      </c>
      <c r="S29" s="35">
        <f>=SUM(S30:S33)</f>
        <v>0.16</v>
      </c>
      <c r="T29" s="35">
        <f>=SUM(T30:T33)</f>
        <v>0.16</v>
      </c>
      <c r="U29" s="35">
        <f>=SUM(U30:U33)</f>
        <v>0.16</v>
      </c>
      <c r="V29" s="35">
        <f>=SUM(V30:V33)</f>
        <v>0.16</v>
      </c>
      <c r="W29" s="35">
        <f>=SUM(W30:W33)</f>
        <v>0.16</v>
      </c>
      <c r="X29" s="35">
        <f>=SUM(X30:X33)</f>
        <v>0.16</v>
      </c>
      <c r="Y29" s="35">
        <f>=SUM(Y30:Y33)</f>
        <v>0.16</v>
      </c>
      <c r="Z29" s="35">
        <f>=SUM(Z30:Z33)</f>
        <v>0.16</v>
      </c>
      <c r="AA29" s="35">
        <f>=SUM(AA30:AA33)</f>
        <v>0.16</v>
      </c>
      <c r="AB29" s="35">
        <f>=SUM(AB30:AB33)</f>
        <v>0.16</v>
      </c>
      <c r="AC29" s="35">
        <f>=SUM(AC30:AC33)</f>
        <v>0.16</v>
      </c>
      <c r="AD29" s="35">
        <f>=SUM(AD30:AD33)</f>
        <v>0.16</v>
      </c>
      <c r="AE29" s="35">
        <f>=SUM(AE30:AE33)</f>
        <v>0.16</v>
      </c>
      <c r="AF29" s="35">
        <f>=SUM(AF30:AF33)</f>
        <v>0.16</v>
      </c>
      <c r="AG29" s="35">
        <f>=SUM(AG30:AG33)</f>
        <v>0.16</v>
      </c>
      <c r="AH29" s="35">
        <f>=SUM(AH30:AH33)</f>
        <v>0.16</v>
      </c>
      <c r="AI29" s="35">
        <f>=SUM(AI30:AI33)</f>
        <v>0.16</v>
      </c>
      <c r="AJ29" s="35">
        <f>=SUM(AJ30:AJ33)</f>
        <v>0.16</v>
      </c>
      <c r="AK29" s="35">
        <f>=SUM(AK30:AK33)</f>
        <v>0.16</v>
      </c>
      <c r="AL29" s="35">
        <f>=SUM(AL30:AL33)</f>
        <v>0.16</v>
      </c>
      <c r="AM29" s="35">
        <f>=SUM(AM30:AM33)</f>
        <v>0.16</v>
      </c>
      <c r="AN29" s="35">
        <f>=SUM(AN30:AN33)</f>
        <v>0.16</v>
      </c>
      <c r="AO29" s="35">
        <f>=SUM(AO30:AO33)</f>
        <v>0.16</v>
      </c>
      <c r="AP29" s="35">
        <f>=SUM(AP30:AP33)</f>
        <v>0.16</v>
      </c>
      <c r="AQ29" s="35">
        <f>=SUM(AQ30:AQ33)</f>
        <v>0.16</v>
      </c>
      <c r="AR29" s="35">
        <f>=SUM(AR30:AR33)</f>
        <v>0.16</v>
      </c>
      <c r="AS29" s="35">
        <f>=SUM(AS30:AS33)</f>
        <v>0.16</v>
      </c>
      <c r="AT29" s="35">
        <f>=SUM(AT30:AT33)</f>
        <v>0.16</v>
      </c>
      <c r="AU29" s="35">
        <f>=SUM(AU30:AU33)</f>
        <v>0.16</v>
      </c>
      <c r="AV29" s="35">
        <f>=SUM(AV30:AV33)</f>
        <v>0.16</v>
      </c>
      <c r="AW29" s="35">
        <f>=SUM(AW30:AW33)</f>
        <v>0.16</v>
      </c>
      <c r="AX29" s="35">
        <f>=SUM(AX30:AX33)</f>
        <v>0.16</v>
      </c>
      <c r="AY29" s="35">
        <f>=SUM(AY30:AY33)</f>
        <v>0.16</v>
      </c>
      <c r="AZ29" s="35">
        <f>=SUM(AZ30:AZ33)</f>
        <v>0.16</v>
      </c>
      <c r="BA29" s="35">
        <f>=SUM(BA30:BA33)</f>
        <v>0.16</v>
      </c>
      <c r="BB29" s="35">
        <f>=SUM(BB30:BB33)</f>
        <v>0.16</v>
      </c>
      <c r="BC29" s="35">
        <f>=SUM(BC30:BC33)</f>
        <v>0.14</v>
      </c>
      <c r="BD29" s="35">
        <f>=SUM(BD30:BD33)</f>
        <v>0.14</v>
      </c>
      <c r="BE29" s="35">
        <f>=SUM(BE30:BE33)</f>
        <v>0.14</v>
      </c>
      <c r="BF29" s="35">
        <f>=SUM(BF30:BF33)</f>
        <v>0.14</v>
      </c>
      <c r="BG29" s="35">
        <f>=SUM(BG30:BG33)</f>
        <v>0.14</v>
      </c>
      <c r="BH29" s="35">
        <f>=SUM(BH30:BH33)</f>
        <v>0.14</v>
      </c>
      <c r="BI29" s="35">
        <f>=SUM(BI30:BI33)</f>
        <v>0.14</v>
      </c>
      <c r="BJ29" s="35">
        <f>=SUM(BJ30:BJ33)</f>
        <v>0.14</v>
      </c>
      <c r="BK29" s="35">
        <f>=SUM(BK30:BK33)</f>
        <v>0.14</v>
      </c>
      <c r="BL29" s="35">
        <f>=SUM(BL30:BL33)</f>
        <v>0.14</v>
      </c>
      <c r="BM29" s="35">
        <f>=SUM(BM30:BM33)</f>
        <v>0.14</v>
      </c>
      <c r="BN29" s="35">
        <f>=SUM(BN30:BN33)</f>
        <v>0.14</v>
      </c>
      <c r="BO29" s="35">
        <f>=SUM(BO30:BO33)</f>
        <v>0.14</v>
      </c>
      <c r="BP29" s="35">
        <f>=SUM(BP30:BP33)</f>
        <v>0.14</v>
      </c>
      <c r="BQ29" s="35">
        <f>=SUM(BQ30:BQ33)</f>
        <v>0.14</v>
      </c>
      <c r="BR29" s="35">
        <f>=SUM(BR30:BR33)</f>
        <v>0.14</v>
      </c>
      <c r="BS29" s="35">
        <f>=SUM(BS30:BS33)</f>
        <v>0.14</v>
      </c>
      <c r="BT29" s="35">
        <f>=SUM(BT30:BT33)</f>
        <v>0.14</v>
      </c>
      <c r="BU29" s="35">
        <f>=SUM(BU30:BU33)</f>
        <v>0.14</v>
      </c>
      <c r="BV29" s="35">
        <f>=SUM(BV30:BV33)</f>
        <v>0.14</v>
      </c>
      <c r="BW29" s="35">
        <f>=SUM(BW30:BW33)</f>
        <v>0.14</v>
      </c>
      <c r="BX29" s="35">
        <f>=SUM(BX30:BX33)</f>
        <v>0.14</v>
      </c>
      <c r="BY29" s="35">
        <f>=SUM(BY30:BY33)</f>
        <v>0.14</v>
      </c>
      <c r="BZ29" s="35">
        <f>=SUM(BZ30:BZ33)</f>
        <v>0.14</v>
      </c>
      <c r="CA29" s="35">
        <f>=SUM(CA30:CA33)</f>
        <v>0.14</v>
      </c>
      <c r="CB29" s="35">
        <f>=SUM(CB30:CB33)</f>
        <v>0.14</v>
      </c>
      <c r="CC29" s="35">
        <f>=SUM(CC30:CC33)</f>
        <v>0.14</v>
      </c>
      <c r="CD29" s="35">
        <f>=SUM(CD30:CD33)</f>
        <v>0.14</v>
      </c>
      <c r="CE29" s="35">
        <f>=SUM(CE30:CE33)</f>
        <v>0.14</v>
      </c>
      <c r="CF29" s="35">
        <f>=SUM(CF30:CF33)</f>
        <v>0.14</v>
      </c>
      <c r="CG29" s="35">
        <f>=SUM(CG30:CG33)</f>
        <v>0.14</v>
      </c>
      <c r="CH29" s="35">
        <f>=SUM(CH30:CH33)</f>
        <v>0.14</v>
      </c>
      <c r="CI29" s="35">
        <f>=SUM(CI30:CI33)</f>
        <v>0.14</v>
      </c>
      <c r="CJ29" s="35">
        <f>=SUM(CJ30:CJ33)</f>
        <v>0.14</v>
      </c>
      <c r="CK29" s="35">
        <f>=SUM(CK30:CK33)</f>
        <v>0.14</v>
      </c>
      <c r="CL29" s="35">
        <f>=SUM(CL30:CL33)</f>
        <v>0.14</v>
      </c>
      <c r="CM29" s="35">
        <f>=SUM(CM30:CM33)</f>
        <v>0.14</v>
      </c>
      <c r="CN29" s="35">
        <f>=SUM(CN30:CN33)</f>
        <v>0.14</v>
      </c>
      <c r="CO29" s="35">
        <f>=SUM(CO30:CO33)</f>
        <v>0.14</v>
      </c>
      <c r="CP29" s="35">
        <f>=SUM(CP30:CP33)</f>
        <v>0.14</v>
      </c>
      <c r="CQ29" s="35">
        <f>=SUM(CQ30:CQ33)</f>
        <v>0.14</v>
      </c>
      <c r="CR29" s="35">
        <f>=SUM(CR30:CR33)</f>
        <v>0.14</v>
      </c>
      <c r="CS29" s="35">
        <f>=SUM(CS30:CS33)</f>
        <v>0.14</v>
      </c>
      <c r="CT29" s="35">
        <f>=SUM(CT30:CT33)</f>
        <v>0.14</v>
      </c>
      <c r="CU29" s="35">
        <f>=SUM(CU30:CU33)</f>
        <v>0.14</v>
      </c>
      <c r="CV29" s="35">
        <f>=SUM(CV30:CV33)</f>
        <v>0.14</v>
      </c>
      <c r="CW29" s="35">
        <f>=SUM(CW30:CW33)</f>
        <v>0.14</v>
      </c>
      <c r="CX29" s="35">
        <f>=SUM(CX30:CX33)</f>
        <v>0.14</v>
      </c>
      <c r="CY29" s="35">
        <f>=SUM(CY30:CY33)</f>
        <v>0.14</v>
      </c>
      <c r="CZ29" s="35">
        <f>=SUM(CZ30:CZ33)</f>
        <v>0.14</v>
      </c>
      <c r="DA29" s="35">
        <f>=SUM(DA30:DA33)</f>
        <v>0.14</v>
      </c>
      <c r="DB29" s="35">
        <f>=SUM(DB30:DB33)</f>
        <v>0.14</v>
      </c>
    </row>
    <row r="30" ht="16" customHeight="1" spans="1:106" x14ac:dyDescent="0.25">
      <c r="A30" s="36" t="s">
        <v>263</v>
      </c>
      <c r="C30" s="79">
        <v>0.08</v>
      </c>
      <c r="D30" s="79">
        <v>0.08</v>
      </c>
      <c r="E30" s="79">
        <v>0.08</v>
      </c>
      <c r="F30" s="79">
        <v>0.08</v>
      </c>
      <c r="G30" s="79">
        <v>0.08</v>
      </c>
      <c r="H30" s="79">
        <v>0.08</v>
      </c>
      <c r="I30" s="79">
        <v>0.08</v>
      </c>
      <c r="J30" s="79">
        <v>0.08</v>
      </c>
      <c r="K30" s="79">
        <v>0.08</v>
      </c>
      <c r="L30" s="79">
        <v>0.08</v>
      </c>
      <c r="M30" s="79">
        <v>0.08</v>
      </c>
      <c r="N30" s="79">
        <v>0.08</v>
      </c>
      <c r="O30" s="79">
        <v>0.08</v>
      </c>
      <c r="P30" s="79">
        <v>0.08</v>
      </c>
      <c r="Q30" s="79">
        <v>0.08</v>
      </c>
      <c r="R30" s="79">
        <v>0.08</v>
      </c>
      <c r="S30" s="79">
        <v>0.08</v>
      </c>
      <c r="T30" s="79">
        <v>0.08</v>
      </c>
      <c r="U30" s="79">
        <v>0.08</v>
      </c>
      <c r="V30" s="79">
        <v>0.08</v>
      </c>
      <c r="W30" s="79">
        <v>0.08</v>
      </c>
      <c r="X30" s="79">
        <v>0.08</v>
      </c>
      <c r="Y30" s="79">
        <v>0.08</v>
      </c>
      <c r="Z30" s="79">
        <v>0.08</v>
      </c>
      <c r="AA30" s="79">
        <v>0.08</v>
      </c>
      <c r="AB30" s="79">
        <v>0.08</v>
      </c>
      <c r="AC30" s="79">
        <v>0.08</v>
      </c>
      <c r="AD30" s="79">
        <v>0.08</v>
      </c>
      <c r="AE30" s="79">
        <v>0.08</v>
      </c>
      <c r="AF30" s="79">
        <v>0.08</v>
      </c>
      <c r="AG30" s="79">
        <v>0.08</v>
      </c>
      <c r="AH30" s="79">
        <v>0.08</v>
      </c>
      <c r="AI30" s="79">
        <v>0.08</v>
      </c>
      <c r="AJ30" s="79">
        <v>0.08</v>
      </c>
      <c r="AK30" s="79">
        <v>0.08</v>
      </c>
      <c r="AL30" s="79">
        <v>0.08</v>
      </c>
      <c r="AM30" s="79">
        <v>0.08</v>
      </c>
      <c r="AN30" s="79">
        <v>0.08</v>
      </c>
      <c r="AO30" s="79">
        <v>0.08</v>
      </c>
      <c r="AP30" s="79">
        <v>0.08</v>
      </c>
      <c r="AQ30" s="79">
        <v>0.08</v>
      </c>
      <c r="AR30" s="79">
        <v>0.08</v>
      </c>
      <c r="AS30" s="79">
        <v>0.08</v>
      </c>
      <c r="AT30" s="79">
        <v>0.08</v>
      </c>
      <c r="AU30" s="79">
        <v>0.08</v>
      </c>
      <c r="AV30" s="79">
        <v>0.08</v>
      </c>
      <c r="AW30" s="79">
        <v>0.08</v>
      </c>
      <c r="AX30" s="79">
        <v>0.08</v>
      </c>
      <c r="AY30" s="79">
        <v>0.08</v>
      </c>
      <c r="AZ30" s="79">
        <v>0.08</v>
      </c>
      <c r="BA30" s="79">
        <v>0.08</v>
      </c>
      <c r="BB30" s="79">
        <v>0.08</v>
      </c>
      <c r="BC30" s="79">
        <v>0.07</v>
      </c>
      <c r="BD30" s="79">
        <v>0.07</v>
      </c>
      <c r="BE30" s="79">
        <v>0.07</v>
      </c>
      <c r="BF30" s="79">
        <v>0.07</v>
      </c>
      <c r="BG30" s="79">
        <v>0.07</v>
      </c>
      <c r="BH30" s="79">
        <v>0.07</v>
      </c>
      <c r="BI30" s="79">
        <v>0.07</v>
      </c>
      <c r="BJ30" s="79">
        <v>0.07</v>
      </c>
      <c r="BK30" s="79">
        <v>0.07</v>
      </c>
      <c r="BL30" s="79">
        <v>0.07</v>
      </c>
      <c r="BM30" s="79">
        <v>0.07</v>
      </c>
      <c r="BN30" s="79">
        <v>0.07</v>
      </c>
      <c r="BO30" s="79">
        <v>0.07</v>
      </c>
      <c r="BP30" s="79">
        <v>0.07</v>
      </c>
      <c r="BQ30" s="79">
        <v>0.07</v>
      </c>
      <c r="BR30" s="79">
        <v>0.07</v>
      </c>
      <c r="BS30" s="79">
        <v>0.07</v>
      </c>
      <c r="BT30" s="79">
        <v>0.07</v>
      </c>
      <c r="BU30" s="79">
        <v>0.07</v>
      </c>
      <c r="BV30" s="79">
        <v>0.07</v>
      </c>
      <c r="BW30" s="79">
        <v>0.07</v>
      </c>
      <c r="BX30" s="79">
        <v>0.07</v>
      </c>
      <c r="BY30" s="79">
        <v>0.07</v>
      </c>
      <c r="BZ30" s="79">
        <v>0.07</v>
      </c>
      <c r="CA30" s="79">
        <v>0.07</v>
      </c>
      <c r="CB30" s="79">
        <v>0.07</v>
      </c>
      <c r="CC30" s="79">
        <v>0.07</v>
      </c>
      <c r="CD30" s="79">
        <v>0.07</v>
      </c>
      <c r="CE30" s="79">
        <v>0.07</v>
      </c>
      <c r="CF30" s="79">
        <v>0.07</v>
      </c>
      <c r="CG30" s="79">
        <v>0.07</v>
      </c>
      <c r="CH30" s="79">
        <v>0.07</v>
      </c>
      <c r="CI30" s="79">
        <v>0.07</v>
      </c>
      <c r="CJ30" s="79">
        <v>0.07</v>
      </c>
      <c r="CK30" s="79">
        <v>0.07</v>
      </c>
      <c r="CL30" s="79">
        <v>0.07</v>
      </c>
      <c r="CM30" s="79">
        <v>0.07</v>
      </c>
      <c r="CN30" s="79">
        <v>0.07</v>
      </c>
      <c r="CO30" s="79">
        <v>0.07</v>
      </c>
      <c r="CP30" s="79">
        <v>0.07</v>
      </c>
      <c r="CQ30" s="79">
        <v>0.07</v>
      </c>
      <c r="CR30" s="79">
        <v>0.07</v>
      </c>
      <c r="CS30" s="79">
        <v>0.07</v>
      </c>
      <c r="CT30" s="79">
        <v>0.07</v>
      </c>
      <c r="CU30" s="79">
        <v>0.07</v>
      </c>
      <c r="CV30" s="79">
        <v>0.07</v>
      </c>
      <c r="CW30" s="79">
        <v>0.07</v>
      </c>
      <c r="CX30" s="79">
        <v>0.07</v>
      </c>
      <c r="CY30" s="79">
        <v>0.07</v>
      </c>
      <c r="CZ30" s="79">
        <v>0.07</v>
      </c>
      <c r="DA30" s="79">
        <v>0.07</v>
      </c>
      <c r="DB30" s="79">
        <v>0.07</v>
      </c>
    </row>
    <row r="31" ht="16" customHeight="1" spans="1:106" x14ac:dyDescent="0.25">
      <c r="A31" s="36" t="s">
        <v>264</v>
      </c>
      <c r="C31" s="79">
        <v>0.08</v>
      </c>
      <c r="D31" s="79">
        <v>0.08</v>
      </c>
      <c r="E31" s="79">
        <v>0.08</v>
      </c>
      <c r="F31" s="79">
        <v>0.08</v>
      </c>
      <c r="G31" s="79">
        <v>0.08</v>
      </c>
      <c r="H31" s="79">
        <v>0.08</v>
      </c>
      <c r="I31" s="79">
        <v>0.08</v>
      </c>
      <c r="J31" s="79">
        <v>0.08</v>
      </c>
      <c r="K31" s="79">
        <v>0.08</v>
      </c>
      <c r="L31" s="79">
        <v>0.08</v>
      </c>
      <c r="M31" s="79">
        <v>0.08</v>
      </c>
      <c r="N31" s="79">
        <v>0.08</v>
      </c>
      <c r="O31" s="79">
        <v>0.08</v>
      </c>
      <c r="P31" s="79">
        <v>0.08</v>
      </c>
      <c r="Q31" s="79">
        <v>0.08</v>
      </c>
      <c r="R31" s="79">
        <v>0.08</v>
      </c>
      <c r="S31" s="79">
        <v>0.08</v>
      </c>
      <c r="T31" s="79">
        <v>0.08</v>
      </c>
      <c r="U31" s="79">
        <v>0.08</v>
      </c>
      <c r="V31" s="79">
        <v>0.08</v>
      </c>
      <c r="W31" s="79">
        <v>0.08</v>
      </c>
      <c r="X31" s="79">
        <v>0.08</v>
      </c>
      <c r="Y31" s="79">
        <v>0.08</v>
      </c>
      <c r="Z31" s="79">
        <v>0.08</v>
      </c>
      <c r="AA31" s="79">
        <v>0.08</v>
      </c>
      <c r="AB31" s="79">
        <v>0.08</v>
      </c>
      <c r="AC31" s="79">
        <v>0.08</v>
      </c>
      <c r="AD31" s="79">
        <v>0.08</v>
      </c>
      <c r="AE31" s="79">
        <v>0.08</v>
      </c>
      <c r="AF31" s="79">
        <v>0.08</v>
      </c>
      <c r="AG31" s="79">
        <v>0.08</v>
      </c>
      <c r="AH31" s="79">
        <v>0.08</v>
      </c>
      <c r="AI31" s="79">
        <v>0.08</v>
      </c>
      <c r="AJ31" s="79">
        <v>0.08</v>
      </c>
      <c r="AK31" s="79">
        <v>0.08</v>
      </c>
      <c r="AL31" s="79">
        <v>0.08</v>
      </c>
      <c r="AM31" s="79">
        <v>0.08</v>
      </c>
      <c r="AN31" s="79">
        <v>0.08</v>
      </c>
      <c r="AO31" s="79">
        <v>0.08</v>
      </c>
      <c r="AP31" s="79">
        <v>0.08</v>
      </c>
      <c r="AQ31" s="79">
        <v>0.08</v>
      </c>
      <c r="AR31" s="79">
        <v>0.08</v>
      </c>
      <c r="AS31" s="79">
        <v>0.08</v>
      </c>
      <c r="AT31" s="79">
        <v>0.08</v>
      </c>
      <c r="AU31" s="79">
        <v>0.08</v>
      </c>
      <c r="AV31" s="79">
        <v>0.08</v>
      </c>
      <c r="AW31" s="79">
        <v>0.08</v>
      </c>
      <c r="AX31" s="79">
        <v>0.08</v>
      </c>
      <c r="AY31" s="79">
        <v>0.08</v>
      </c>
      <c r="AZ31" s="79">
        <v>0.08</v>
      </c>
      <c r="BA31" s="79">
        <v>0.08</v>
      </c>
      <c r="BB31" s="79">
        <v>0.08</v>
      </c>
      <c r="BC31" s="79">
        <v>0.07</v>
      </c>
      <c r="BD31" s="79">
        <v>0.07</v>
      </c>
      <c r="BE31" s="79">
        <v>0.07</v>
      </c>
      <c r="BF31" s="79">
        <v>0.07</v>
      </c>
      <c r="BG31" s="79">
        <v>0.07</v>
      </c>
      <c r="BH31" s="79">
        <v>0.07</v>
      </c>
      <c r="BI31" s="79">
        <v>0.07</v>
      </c>
      <c r="BJ31" s="79">
        <v>0.07</v>
      </c>
      <c r="BK31" s="79">
        <v>0.07</v>
      </c>
      <c r="BL31" s="79">
        <v>0.07</v>
      </c>
      <c r="BM31" s="79">
        <v>0.07</v>
      </c>
      <c r="BN31" s="79">
        <v>0.07</v>
      </c>
      <c r="BO31" s="79">
        <v>0.07</v>
      </c>
      <c r="BP31" s="79">
        <v>0.07</v>
      </c>
      <c r="BQ31" s="79">
        <v>0.07</v>
      </c>
      <c r="BR31" s="79">
        <v>0.07</v>
      </c>
      <c r="BS31" s="79">
        <v>0.07</v>
      </c>
      <c r="BT31" s="79">
        <v>0.07</v>
      </c>
      <c r="BU31" s="79">
        <v>0.07</v>
      </c>
      <c r="BV31" s="79">
        <v>0.07</v>
      </c>
      <c r="BW31" s="79">
        <v>0.07</v>
      </c>
      <c r="BX31" s="79">
        <v>0.07</v>
      </c>
      <c r="BY31" s="79">
        <v>0.07</v>
      </c>
      <c r="BZ31" s="79">
        <v>0.07</v>
      </c>
      <c r="CA31" s="79">
        <v>0.07</v>
      </c>
      <c r="CB31" s="79">
        <v>0.07</v>
      </c>
      <c r="CC31" s="79">
        <v>0.07</v>
      </c>
      <c r="CD31" s="79">
        <v>0.07</v>
      </c>
      <c r="CE31" s="79">
        <v>0.07</v>
      </c>
      <c r="CF31" s="79">
        <v>0.07</v>
      </c>
      <c r="CG31" s="79">
        <v>0.07</v>
      </c>
      <c r="CH31" s="79">
        <v>0.07</v>
      </c>
      <c r="CI31" s="79">
        <v>0.07</v>
      </c>
      <c r="CJ31" s="79">
        <v>0.07</v>
      </c>
      <c r="CK31" s="79">
        <v>0.07</v>
      </c>
      <c r="CL31" s="79">
        <v>0.07</v>
      </c>
      <c r="CM31" s="79">
        <v>0.07</v>
      </c>
      <c r="CN31" s="79">
        <v>0.07</v>
      </c>
      <c r="CO31" s="79">
        <v>0.07</v>
      </c>
      <c r="CP31" s="79">
        <v>0.07</v>
      </c>
      <c r="CQ31" s="79">
        <v>0.07</v>
      </c>
      <c r="CR31" s="79">
        <v>0.07</v>
      </c>
      <c r="CS31" s="79">
        <v>0.07</v>
      </c>
      <c r="CT31" s="79">
        <v>0.07</v>
      </c>
      <c r="CU31" s="79">
        <v>0.07</v>
      </c>
      <c r="CV31" s="79">
        <v>0.07</v>
      </c>
      <c r="CW31" s="79">
        <v>0.07</v>
      </c>
      <c r="CX31" s="79">
        <v>0.07</v>
      </c>
      <c r="CY31" s="79">
        <v>0.07</v>
      </c>
      <c r="CZ31" s="79">
        <v>0.07</v>
      </c>
      <c r="DA31" s="79">
        <v>0.07</v>
      </c>
      <c r="DB31" s="79">
        <v>0.07</v>
      </c>
    </row>
    <row r="32" spans="1:106" x14ac:dyDescent="0.25">
      <c r="A32" s="36" t="s">
        <v>265</v>
      </c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6"/>
      <c r="BR32" s="46"/>
      <c r="BS32" s="46"/>
      <c r="BT32" s="46"/>
      <c r="BU32" s="46"/>
      <c r="BV32" s="46"/>
      <c r="BW32" s="46"/>
      <c r="BX32" s="46"/>
      <c r="BY32" s="46"/>
      <c r="BZ32" s="46"/>
      <c r="CA32" s="46"/>
      <c r="CB32" s="46"/>
      <c r="CC32" s="46"/>
      <c r="CD32" s="46"/>
      <c r="CE32" s="46"/>
      <c r="CF32" s="46"/>
      <c r="CG32" s="46"/>
      <c r="CH32" s="46"/>
      <c r="CI32" s="46"/>
      <c r="CJ32" s="46"/>
      <c r="CK32" s="46"/>
      <c r="CL32" s="46"/>
      <c r="CM32" s="46"/>
      <c r="CN32" s="46"/>
      <c r="CO32" s="46"/>
      <c r="CP32" s="46"/>
      <c r="CQ32" s="46"/>
      <c r="CR32" s="46"/>
      <c r="CS32" s="46"/>
      <c r="CT32" s="46"/>
      <c r="CU32" s="46"/>
      <c r="CV32" s="46"/>
      <c r="CW32" s="46"/>
      <c r="CX32" s="46"/>
      <c r="CY32" s="46"/>
      <c r="CZ32" s="46"/>
      <c r="DA32" s="46"/>
      <c r="DB32" s="46"/>
    </row>
    <row r="33" spans="1:106" x14ac:dyDescent="0.25">
      <c r="A33" s="36" t="s">
        <v>266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6"/>
      <c r="BP33" s="46"/>
      <c r="BQ33" s="46"/>
      <c r="BR33" s="46"/>
      <c r="BS33" s="46"/>
      <c r="BT33" s="46"/>
      <c r="BU33" s="46"/>
      <c r="BV33" s="46"/>
      <c r="BW33" s="46"/>
      <c r="BX33" s="46"/>
      <c r="BY33" s="46"/>
      <c r="BZ33" s="46"/>
      <c r="CA33" s="46"/>
      <c r="CB33" s="46"/>
      <c r="CC33" s="46"/>
      <c r="CD33" s="46"/>
      <c r="CE33" s="46"/>
      <c r="CF33" s="46"/>
      <c r="CG33" s="46"/>
      <c r="CH33" s="46"/>
      <c r="CI33" s="46"/>
      <c r="CJ33" s="46"/>
      <c r="CK33" s="46"/>
      <c r="CL33" s="46"/>
      <c r="CM33" s="46"/>
      <c r="CN33" s="46"/>
      <c r="CO33" s="46"/>
      <c r="CP33" s="46"/>
      <c r="CQ33" s="46"/>
      <c r="CR33" s="46"/>
      <c r="CS33" s="46"/>
      <c r="CT33" s="46"/>
      <c r="CU33" s="46"/>
      <c r="CV33" s="46"/>
      <c r="CW33" s="46"/>
      <c r="CX33" s="46"/>
      <c r="CY33" s="46"/>
      <c r="CZ33" s="46"/>
      <c r="DA33" s="46"/>
      <c r="DB33" s="46"/>
    </row>
    <row r="34" ht="15" customHeight="1" spans="1:106" x14ac:dyDescent="0.25">
      <c r="A34" s="16" t="s">
        <v>267</v>
      </c>
      <c r="B34" s="17"/>
      <c r="C34" s="35">
        <f>=SUM(C35:C40)</f>
        <v>0.15</v>
      </c>
      <c r="D34" s="35">
        <f>=SUM(D35:D40)</f>
        <v>0.15</v>
      </c>
      <c r="E34" s="35">
        <f>=SUM(E35:E40)</f>
        <v>0.15</v>
      </c>
      <c r="F34" s="35">
        <f>=SUM(F35:F40)</f>
        <v>0.15</v>
      </c>
      <c r="G34" s="35">
        <f>=SUM(G35:G40)</f>
        <v>0.15</v>
      </c>
      <c r="H34" s="35">
        <f>=SUM(H35:H40)</f>
        <v>0.15</v>
      </c>
      <c r="I34" s="35">
        <f>=SUM(I35:I40)</f>
        <v>0.15</v>
      </c>
      <c r="J34" s="35">
        <f>=SUM(J35:J40)</f>
        <v>0.15</v>
      </c>
      <c r="K34" s="35">
        <f>=SUM(K35:K40)</f>
        <v>0.15</v>
      </c>
      <c r="L34" s="35">
        <f>=SUM(L35:L40)</f>
        <v>0.15</v>
      </c>
      <c r="M34" s="35">
        <f>=SUM(M35:M40)</f>
        <v>0.15</v>
      </c>
      <c r="N34" s="35">
        <f>=SUM(N35:N40)</f>
        <v>0.15</v>
      </c>
      <c r="O34" s="35">
        <f>=SUM(O35:O40)</f>
        <v>0.15</v>
      </c>
      <c r="P34" s="35">
        <f>=SUM(P35:P40)</f>
        <v>0.15</v>
      </c>
      <c r="Q34" s="35">
        <f>=SUM(Q35:Q40)</f>
        <v>0.15</v>
      </c>
      <c r="R34" s="35">
        <f>=SUM(R35:R40)</f>
        <v>0.15</v>
      </c>
      <c r="S34" s="35">
        <f>=SUM(S35:S40)</f>
        <v>0.15</v>
      </c>
      <c r="T34" s="35">
        <f>=SUM(T35:T40)</f>
        <v>0.15</v>
      </c>
      <c r="U34" s="35">
        <f>=SUM(U35:U40)</f>
        <v>0.15</v>
      </c>
      <c r="V34" s="35">
        <f>=SUM(V35:V40)</f>
        <v>0.15</v>
      </c>
      <c r="W34" s="35">
        <f>=SUM(W35:W40)</f>
        <v>0.15</v>
      </c>
      <c r="X34" s="35">
        <f>=SUM(X35:X40)</f>
        <v>0.15</v>
      </c>
      <c r="Y34" s="35">
        <f>=SUM(Y35:Y40)</f>
        <v>0.15</v>
      </c>
      <c r="Z34" s="35">
        <f>=SUM(Z35:Z40)</f>
        <v>0.15</v>
      </c>
      <c r="AA34" s="35">
        <f>=SUM(AA35:AA40)</f>
        <v>0.15</v>
      </c>
      <c r="AB34" s="35">
        <f>=SUM(AB35:AB40)</f>
        <v>0.15</v>
      </c>
      <c r="AC34" s="35">
        <f>=SUM(AC35:AC40)</f>
        <v>0.15</v>
      </c>
      <c r="AD34" s="35">
        <f>=SUM(AD35:AD40)</f>
        <v>0.15</v>
      </c>
      <c r="AE34" s="35">
        <f>=SUM(AE35:AE40)</f>
        <v>0.15</v>
      </c>
      <c r="AF34" s="35">
        <f>=SUM(AF35:AF40)</f>
        <v>0.15</v>
      </c>
      <c r="AG34" s="35">
        <f>=SUM(AG35:AG40)</f>
        <v>0.15</v>
      </c>
      <c r="AH34" s="35">
        <f>=SUM(AH35:AH40)</f>
        <v>0.15</v>
      </c>
      <c r="AI34" s="35">
        <f>=SUM(AI35:AI40)</f>
        <v>0.15</v>
      </c>
      <c r="AJ34" s="35">
        <f>=SUM(AJ35:AJ40)</f>
        <v>0.15</v>
      </c>
      <c r="AK34" s="35">
        <f>=SUM(AK35:AK40)</f>
        <v>0.15</v>
      </c>
      <c r="AL34" s="35">
        <f>=SUM(AL35:AL40)</f>
        <v>0.15</v>
      </c>
      <c r="AM34" s="35">
        <f>=SUM(AM35:AM40)</f>
        <v>0.15</v>
      </c>
      <c r="AN34" s="35">
        <f>=SUM(AN35:AN40)</f>
        <v>0.15</v>
      </c>
      <c r="AO34" s="35">
        <f>=SUM(AO35:AO40)</f>
        <v>0.15</v>
      </c>
      <c r="AP34" s="35">
        <f>=SUM(AP35:AP40)</f>
        <v>0.15</v>
      </c>
      <c r="AQ34" s="35">
        <f>=SUM(AQ35:AQ40)</f>
        <v>0.15</v>
      </c>
      <c r="AR34" s="35">
        <f>=SUM(AR35:AR40)</f>
        <v>0.15</v>
      </c>
      <c r="AS34" s="35">
        <f>=SUM(AS35:AS40)</f>
        <v>0.15</v>
      </c>
      <c r="AT34" s="35">
        <f>=SUM(AT35:AT40)</f>
        <v>0.15</v>
      </c>
      <c r="AU34" s="35">
        <f>=SUM(AU35:AU40)</f>
        <v>0.15</v>
      </c>
      <c r="AV34" s="35">
        <f>=SUM(AV35:AV40)</f>
        <v>0.15</v>
      </c>
      <c r="AW34" s="35">
        <f>=SUM(AW35:AW40)</f>
        <v>0.15</v>
      </c>
      <c r="AX34" s="35">
        <f>=SUM(AX35:AX40)</f>
        <v>0.15</v>
      </c>
      <c r="AY34" s="35">
        <f>=SUM(AY35:AY40)</f>
        <v>0.15</v>
      </c>
      <c r="AZ34" s="35">
        <f>=SUM(AZ35:AZ40)</f>
        <v>0.15</v>
      </c>
      <c r="BA34" s="35">
        <f>=SUM(BA35:BA40)</f>
        <v>0.15</v>
      </c>
      <c r="BB34" s="35">
        <f>=SUM(BB35:BB40)</f>
        <v>0.15</v>
      </c>
      <c r="BC34" s="35">
        <f>=SUM(BC35:BC40)</f>
        <v>0.15</v>
      </c>
      <c r="BD34" s="35">
        <f>=SUM(BD35:BD40)</f>
        <v>0.15</v>
      </c>
      <c r="BE34" s="35">
        <f>=SUM(BE35:BE40)</f>
        <v>0.15</v>
      </c>
      <c r="BF34" s="35">
        <f>=SUM(BF35:BF40)</f>
        <v>0.15</v>
      </c>
      <c r="BG34" s="35">
        <f>=SUM(BG35:BG40)</f>
        <v>0.15</v>
      </c>
      <c r="BH34" s="35">
        <f>=SUM(BH35:BH40)</f>
        <v>0.15</v>
      </c>
      <c r="BI34" s="35">
        <f>=SUM(BI35:BI40)</f>
        <v>0.15</v>
      </c>
      <c r="BJ34" s="35">
        <f>=SUM(BJ35:BJ40)</f>
        <v>0.15</v>
      </c>
      <c r="BK34" s="35">
        <f>=SUM(BK35:BK40)</f>
        <v>0.15</v>
      </c>
      <c r="BL34" s="35">
        <f>=SUM(BL35:BL40)</f>
        <v>0.15</v>
      </c>
      <c r="BM34" s="35">
        <f>=SUM(BM35:BM40)</f>
        <v>0.15</v>
      </c>
      <c r="BN34" s="35">
        <f>=SUM(BN35:BN40)</f>
        <v>0.15</v>
      </c>
      <c r="BO34" s="35">
        <f>=SUM(BO35:BO40)</f>
        <v>0.15</v>
      </c>
      <c r="BP34" s="35">
        <f>=SUM(BP35:BP40)</f>
        <v>0.15</v>
      </c>
      <c r="BQ34" s="35">
        <f>=SUM(BQ35:BQ40)</f>
        <v>0.15</v>
      </c>
      <c r="BR34" s="35">
        <f>=SUM(BR35:BR40)</f>
        <v>0.15</v>
      </c>
      <c r="BS34" s="35">
        <f>=SUM(BS35:BS40)</f>
        <v>0.15</v>
      </c>
      <c r="BT34" s="35">
        <f>=SUM(BT35:BT40)</f>
        <v>0.15</v>
      </c>
      <c r="BU34" s="35">
        <f>=SUM(BU35:BU40)</f>
        <v>0.15</v>
      </c>
      <c r="BV34" s="35">
        <f>=SUM(BV35:BV40)</f>
        <v>0.15</v>
      </c>
      <c r="BW34" s="35">
        <f>=SUM(BW35:BW40)</f>
        <v>0.15</v>
      </c>
      <c r="BX34" s="35">
        <f>=SUM(BX35:BX40)</f>
        <v>0.15</v>
      </c>
      <c r="BY34" s="35">
        <f>=SUM(BY35:BY40)</f>
        <v>0.15</v>
      </c>
      <c r="BZ34" s="35">
        <f>=SUM(BZ35:BZ40)</f>
        <v>0.15</v>
      </c>
      <c r="CA34" s="35">
        <f>=SUM(CA35:CA40)</f>
        <v>0.15</v>
      </c>
      <c r="CB34" s="35">
        <f>=SUM(CB35:CB40)</f>
        <v>0.15</v>
      </c>
      <c r="CC34" s="35">
        <f>=SUM(CC35:CC40)</f>
        <v>0.15</v>
      </c>
      <c r="CD34" s="35">
        <f>=SUM(CD35:CD40)</f>
        <v>0.15</v>
      </c>
      <c r="CE34" s="35">
        <f>=SUM(CE35:CE40)</f>
        <v>0.15</v>
      </c>
      <c r="CF34" s="35">
        <f>=SUM(CF35:CF40)</f>
        <v>0.15</v>
      </c>
      <c r="CG34" s="35">
        <f>=SUM(CG35:CG40)</f>
        <v>0.15</v>
      </c>
      <c r="CH34" s="35">
        <f>=SUM(CH35:CH40)</f>
        <v>0.15</v>
      </c>
      <c r="CI34" s="35">
        <f>=SUM(CI35:CI40)</f>
        <v>0.15</v>
      </c>
      <c r="CJ34" s="35">
        <f>=SUM(CJ35:CJ40)</f>
        <v>0.15</v>
      </c>
      <c r="CK34" s="35">
        <f>=SUM(CK35:CK40)</f>
        <v>0.15</v>
      </c>
      <c r="CL34" s="35">
        <f>=SUM(CL35:CL40)</f>
        <v>0.15</v>
      </c>
      <c r="CM34" s="35">
        <f>=SUM(CM35:CM40)</f>
        <v>0.15</v>
      </c>
      <c r="CN34" s="35">
        <f>=SUM(CN35:CN40)</f>
        <v>0.15</v>
      </c>
      <c r="CO34" s="35">
        <f>=SUM(CO35:CO40)</f>
        <v>0.15</v>
      </c>
      <c r="CP34" s="35">
        <f>=SUM(CP35:CP40)</f>
        <v>0.15</v>
      </c>
      <c r="CQ34" s="35">
        <f>=SUM(CQ35:CQ40)</f>
        <v>0.15</v>
      </c>
      <c r="CR34" s="35">
        <f>=SUM(CR35:CR40)</f>
        <v>0.15</v>
      </c>
      <c r="CS34" s="35">
        <f>=SUM(CS35:CS40)</f>
        <v>0.15</v>
      </c>
      <c r="CT34" s="35">
        <f>=SUM(CT35:CT40)</f>
        <v>0.15</v>
      </c>
      <c r="CU34" s="35">
        <f>=SUM(CU35:CU40)</f>
        <v>0.15</v>
      </c>
      <c r="CV34" s="35">
        <f>=SUM(CV35:CV40)</f>
        <v>0.15</v>
      </c>
      <c r="CW34" s="35">
        <f>=SUM(CW35:CW40)</f>
        <v>0.15</v>
      </c>
      <c r="CX34" s="35">
        <f>=SUM(CX35:CX40)</f>
        <v>0.15</v>
      </c>
      <c r="CY34" s="35">
        <f>=SUM(CY35:CY40)</f>
        <v>0.15</v>
      </c>
      <c r="CZ34" s="35">
        <f>=SUM(CZ35:CZ40)</f>
        <v>0.15</v>
      </c>
      <c r="DA34" s="35">
        <f>=SUM(DA35:DA40)</f>
        <v>0.15</v>
      </c>
      <c r="DB34" s="35">
        <f>=SUM(DB35:DB40)</f>
        <v>0.15</v>
      </c>
    </row>
    <row r="35" ht="18" customHeight="1" spans="1:106" x14ac:dyDescent="0.25">
      <c r="A35" s="36" t="s">
        <v>268</v>
      </c>
      <c r="B35" s="17"/>
      <c r="C35" s="37">
        <v>0.06</v>
      </c>
      <c r="D35" s="37">
        <v>0.06</v>
      </c>
      <c r="E35" s="37">
        <v>0.06</v>
      </c>
      <c r="F35" s="37">
        <v>0.06</v>
      </c>
      <c r="G35" s="37">
        <v>0.06</v>
      </c>
      <c r="H35" s="37">
        <v>0.06</v>
      </c>
      <c r="I35" s="37">
        <v>0.06</v>
      </c>
      <c r="J35" s="37">
        <v>0.06</v>
      </c>
      <c r="K35" s="37">
        <v>0.06</v>
      </c>
      <c r="L35" s="37">
        <v>0.06</v>
      </c>
      <c r="M35" s="37">
        <v>0.06</v>
      </c>
      <c r="N35" s="37">
        <v>0.06</v>
      </c>
      <c r="O35" s="37">
        <v>0.06</v>
      </c>
      <c r="P35" s="37">
        <v>0.06</v>
      </c>
      <c r="Q35" s="37">
        <v>0.06</v>
      </c>
      <c r="R35" s="37">
        <v>0.06</v>
      </c>
      <c r="S35" s="37">
        <v>0.06</v>
      </c>
      <c r="T35" s="37">
        <v>0.06</v>
      </c>
      <c r="U35" s="37">
        <v>0.06</v>
      </c>
      <c r="V35" s="37">
        <v>0.06</v>
      </c>
      <c r="W35" s="37">
        <v>0.06</v>
      </c>
      <c r="X35" s="37">
        <v>0.06</v>
      </c>
      <c r="Y35" s="37">
        <v>0.06</v>
      </c>
      <c r="Z35" s="37">
        <v>0.06</v>
      </c>
      <c r="AA35" s="37">
        <v>0.06</v>
      </c>
      <c r="AB35" s="37">
        <v>0.06</v>
      </c>
      <c r="AC35" s="37">
        <v>0.06</v>
      </c>
      <c r="AD35" s="37">
        <v>0.06</v>
      </c>
      <c r="AE35" s="37">
        <v>0.06</v>
      </c>
      <c r="AF35" s="37">
        <v>0.06</v>
      </c>
      <c r="AG35" s="37">
        <v>0.06</v>
      </c>
      <c r="AH35" s="37">
        <v>0.06</v>
      </c>
      <c r="AI35" s="37">
        <v>0.06</v>
      </c>
      <c r="AJ35" s="37">
        <v>0.06</v>
      </c>
      <c r="AK35" s="37">
        <v>0.06</v>
      </c>
      <c r="AL35" s="37">
        <v>0.06</v>
      </c>
      <c r="AM35" s="37">
        <v>0.06</v>
      </c>
      <c r="AN35" s="37">
        <v>0.06</v>
      </c>
      <c r="AO35" s="37">
        <v>0.06</v>
      </c>
      <c r="AP35" s="37">
        <v>0.06</v>
      </c>
      <c r="AQ35" s="37">
        <v>0.06</v>
      </c>
      <c r="AR35" s="37">
        <v>0.06</v>
      </c>
      <c r="AS35" s="37">
        <v>0.06</v>
      </c>
      <c r="AT35" s="37">
        <v>0.06</v>
      </c>
      <c r="AU35" s="37">
        <v>0.06</v>
      </c>
      <c r="AV35" s="37">
        <v>0.06</v>
      </c>
      <c r="AW35" s="37">
        <v>0.06</v>
      </c>
      <c r="AX35" s="37">
        <v>0.06</v>
      </c>
      <c r="AY35" s="37">
        <v>0.06</v>
      </c>
      <c r="AZ35" s="37">
        <v>0.06</v>
      </c>
      <c r="BA35" s="37">
        <v>0.06</v>
      </c>
      <c r="BB35" s="37">
        <v>0.06</v>
      </c>
      <c r="BC35" s="37">
        <v>0.06</v>
      </c>
      <c r="BD35" s="37">
        <v>0.06</v>
      </c>
      <c r="BE35" s="37">
        <v>0.06</v>
      </c>
      <c r="BF35" s="37">
        <v>0.06</v>
      </c>
      <c r="BG35" s="37">
        <v>0.06</v>
      </c>
      <c r="BH35" s="37">
        <v>0.06</v>
      </c>
      <c r="BI35" s="37">
        <v>0.06</v>
      </c>
      <c r="BJ35" s="37">
        <v>0.06</v>
      </c>
      <c r="BK35" s="37">
        <v>0.06</v>
      </c>
      <c r="BL35" s="37">
        <v>0.06</v>
      </c>
      <c r="BM35" s="37">
        <v>0.06</v>
      </c>
      <c r="BN35" s="37">
        <v>0.06</v>
      </c>
      <c r="BO35" s="37">
        <v>0.06</v>
      </c>
      <c r="BP35" s="37">
        <v>0.06</v>
      </c>
      <c r="BQ35" s="37">
        <v>0.06</v>
      </c>
      <c r="BR35" s="37">
        <v>0.06</v>
      </c>
      <c r="BS35" s="37">
        <v>0.06</v>
      </c>
      <c r="BT35" s="37">
        <v>0.06</v>
      </c>
      <c r="BU35" s="37">
        <v>0.06</v>
      </c>
      <c r="BV35" s="37">
        <v>0.06</v>
      </c>
      <c r="BW35" s="37">
        <v>0.06</v>
      </c>
      <c r="BX35" s="37">
        <v>0.06</v>
      </c>
      <c r="BY35" s="37">
        <v>0.06</v>
      </c>
      <c r="BZ35" s="37">
        <v>0.06</v>
      </c>
      <c r="CA35" s="37">
        <v>0.06</v>
      </c>
      <c r="CB35" s="37">
        <v>0.06</v>
      </c>
      <c r="CC35" s="37">
        <v>0.06</v>
      </c>
      <c r="CD35" s="37">
        <v>0.06</v>
      </c>
      <c r="CE35" s="37">
        <v>0.06</v>
      </c>
      <c r="CF35" s="37">
        <v>0.06</v>
      </c>
      <c r="CG35" s="37">
        <v>0.06</v>
      </c>
      <c r="CH35" s="37">
        <v>0.06</v>
      </c>
      <c r="CI35" s="37">
        <v>0.06</v>
      </c>
      <c r="CJ35" s="37">
        <v>0.06</v>
      </c>
      <c r="CK35" s="37">
        <v>0.06</v>
      </c>
      <c r="CL35" s="37">
        <v>0.06</v>
      </c>
      <c r="CM35" s="37">
        <v>0.06</v>
      </c>
      <c r="CN35" s="37">
        <v>0.06</v>
      </c>
      <c r="CO35" s="37">
        <v>0.06</v>
      </c>
      <c r="CP35" s="37">
        <v>0.06</v>
      </c>
      <c r="CQ35" s="37">
        <v>0.06</v>
      </c>
      <c r="CR35" s="37">
        <v>0.06</v>
      </c>
      <c r="CS35" s="37">
        <v>0.06</v>
      </c>
      <c r="CT35" s="37">
        <v>0.06</v>
      </c>
      <c r="CU35" s="37">
        <v>0.06</v>
      </c>
      <c r="CV35" s="37">
        <v>0.06</v>
      </c>
      <c r="CW35" s="37">
        <v>0.06</v>
      </c>
      <c r="CX35" s="37">
        <v>0.06</v>
      </c>
      <c r="CY35" s="37">
        <v>0.06</v>
      </c>
      <c r="CZ35" s="37">
        <v>0.06</v>
      </c>
      <c r="DA35" s="37">
        <v>0.06</v>
      </c>
      <c r="DB35" s="37">
        <v>0.06</v>
      </c>
    </row>
    <row r="36" ht="18" customHeight="1" spans="1:106" x14ac:dyDescent="0.25">
      <c r="A36" s="36" t="s">
        <v>269</v>
      </c>
      <c r="B36" s="17"/>
      <c r="C36" s="37">
        <v>0.03</v>
      </c>
      <c r="D36" s="37">
        <v>0.03</v>
      </c>
      <c r="E36" s="37">
        <v>0.03</v>
      </c>
      <c r="F36" s="37">
        <v>0.03</v>
      </c>
      <c r="G36" s="37">
        <v>0.03</v>
      </c>
      <c r="H36" s="37">
        <v>0.03</v>
      </c>
      <c r="I36" s="37">
        <v>0.03</v>
      </c>
      <c r="J36" s="37">
        <v>0.03</v>
      </c>
      <c r="K36" s="37">
        <v>0.03</v>
      </c>
      <c r="L36" s="37">
        <v>0.03</v>
      </c>
      <c r="M36" s="37">
        <v>0.03</v>
      </c>
      <c r="N36" s="37">
        <v>0.03</v>
      </c>
      <c r="O36" s="37">
        <v>0.03</v>
      </c>
      <c r="P36" s="37">
        <v>0.03</v>
      </c>
      <c r="Q36" s="37">
        <v>0.03</v>
      </c>
      <c r="R36" s="37">
        <v>0.03</v>
      </c>
      <c r="S36" s="37">
        <v>0.03</v>
      </c>
      <c r="T36" s="37">
        <v>0.03</v>
      </c>
      <c r="U36" s="37">
        <v>0.03</v>
      </c>
      <c r="V36" s="37">
        <v>0.03</v>
      </c>
      <c r="W36" s="37">
        <v>0.03</v>
      </c>
      <c r="X36" s="37">
        <v>0.03</v>
      </c>
      <c r="Y36" s="37">
        <v>0.03</v>
      </c>
      <c r="Z36" s="37">
        <v>0.03</v>
      </c>
      <c r="AA36" s="37">
        <v>0.03</v>
      </c>
      <c r="AB36" s="37">
        <v>0.03</v>
      </c>
      <c r="AC36" s="37">
        <v>0.03</v>
      </c>
      <c r="AD36" s="37">
        <v>0.03</v>
      </c>
      <c r="AE36" s="37">
        <v>0.03</v>
      </c>
      <c r="AF36" s="37">
        <v>0.03</v>
      </c>
      <c r="AG36" s="37">
        <v>0.03</v>
      </c>
      <c r="AH36" s="37">
        <v>0.03</v>
      </c>
      <c r="AI36" s="37">
        <v>0.03</v>
      </c>
      <c r="AJ36" s="37">
        <v>0.03</v>
      </c>
      <c r="AK36" s="37">
        <v>0.03</v>
      </c>
      <c r="AL36" s="37">
        <v>0.03</v>
      </c>
      <c r="AM36" s="37">
        <v>0.03</v>
      </c>
      <c r="AN36" s="37">
        <v>0.03</v>
      </c>
      <c r="AO36" s="37">
        <v>0.03</v>
      </c>
      <c r="AP36" s="37">
        <v>0.03</v>
      </c>
      <c r="AQ36" s="37">
        <v>0.03</v>
      </c>
      <c r="AR36" s="37">
        <v>0.03</v>
      </c>
      <c r="AS36" s="37">
        <v>0.03</v>
      </c>
      <c r="AT36" s="37">
        <v>0.03</v>
      </c>
      <c r="AU36" s="37">
        <v>0.03</v>
      </c>
      <c r="AV36" s="37">
        <v>0.03</v>
      </c>
      <c r="AW36" s="37">
        <v>0.03</v>
      </c>
      <c r="AX36" s="37">
        <v>0.03</v>
      </c>
      <c r="AY36" s="37">
        <v>0.03</v>
      </c>
      <c r="AZ36" s="37">
        <v>0.03</v>
      </c>
      <c r="BA36" s="37">
        <v>0.03</v>
      </c>
      <c r="BB36" s="37">
        <v>0.03</v>
      </c>
      <c r="BC36" s="37">
        <v>0.03</v>
      </c>
      <c r="BD36" s="37">
        <v>0.03</v>
      </c>
      <c r="BE36" s="37">
        <v>0.03</v>
      </c>
      <c r="BF36" s="37">
        <v>0.03</v>
      </c>
      <c r="BG36" s="37">
        <v>0.03</v>
      </c>
      <c r="BH36" s="37">
        <v>0.03</v>
      </c>
      <c r="BI36" s="37">
        <v>0.03</v>
      </c>
      <c r="BJ36" s="37">
        <v>0.03</v>
      </c>
      <c r="BK36" s="37">
        <v>0.03</v>
      </c>
      <c r="BL36" s="37">
        <v>0.03</v>
      </c>
      <c r="BM36" s="37">
        <v>0.03</v>
      </c>
      <c r="BN36" s="37">
        <v>0.03</v>
      </c>
      <c r="BO36" s="37">
        <v>0.03</v>
      </c>
      <c r="BP36" s="37">
        <v>0.03</v>
      </c>
      <c r="BQ36" s="37">
        <v>0.03</v>
      </c>
      <c r="BR36" s="37">
        <v>0.03</v>
      </c>
      <c r="BS36" s="37">
        <v>0.03</v>
      </c>
      <c r="BT36" s="37">
        <v>0.03</v>
      </c>
      <c r="BU36" s="37">
        <v>0.03</v>
      </c>
      <c r="BV36" s="37">
        <v>0.03</v>
      </c>
      <c r="BW36" s="37">
        <v>0.03</v>
      </c>
      <c r="BX36" s="37">
        <v>0.03</v>
      </c>
      <c r="BY36" s="37">
        <v>0.03</v>
      </c>
      <c r="BZ36" s="37">
        <v>0.03</v>
      </c>
      <c r="CA36" s="37">
        <v>0.03</v>
      </c>
      <c r="CB36" s="37">
        <v>0.03</v>
      </c>
      <c r="CC36" s="37">
        <v>0.03</v>
      </c>
      <c r="CD36" s="37">
        <v>0.03</v>
      </c>
      <c r="CE36" s="37">
        <v>0.03</v>
      </c>
      <c r="CF36" s="37">
        <v>0.03</v>
      </c>
      <c r="CG36" s="37">
        <v>0.03</v>
      </c>
      <c r="CH36" s="37">
        <v>0.03</v>
      </c>
      <c r="CI36" s="37">
        <v>0.03</v>
      </c>
      <c r="CJ36" s="37">
        <v>0.03</v>
      </c>
      <c r="CK36" s="37">
        <v>0.03</v>
      </c>
      <c r="CL36" s="37">
        <v>0.03</v>
      </c>
      <c r="CM36" s="37">
        <v>0.03</v>
      </c>
      <c r="CN36" s="37">
        <v>0.03</v>
      </c>
      <c r="CO36" s="37">
        <v>0.03</v>
      </c>
      <c r="CP36" s="37">
        <v>0.03</v>
      </c>
      <c r="CQ36" s="37">
        <v>0.03</v>
      </c>
      <c r="CR36" s="37">
        <v>0.03</v>
      </c>
      <c r="CS36" s="37">
        <v>0.03</v>
      </c>
      <c r="CT36" s="37">
        <v>0.03</v>
      </c>
      <c r="CU36" s="37">
        <v>0.03</v>
      </c>
      <c r="CV36" s="37">
        <v>0.03</v>
      </c>
      <c r="CW36" s="37">
        <v>0.03</v>
      </c>
      <c r="CX36" s="37">
        <v>0.03</v>
      </c>
      <c r="CY36" s="37">
        <v>0.03</v>
      </c>
      <c r="CZ36" s="37">
        <v>0.03</v>
      </c>
      <c r="DA36" s="37">
        <v>0.03</v>
      </c>
      <c r="DB36" s="37">
        <v>0.03</v>
      </c>
    </row>
    <row r="37" ht="18" customHeight="1" spans="1:106" x14ac:dyDescent="0.25">
      <c r="A37" s="36" t="s">
        <v>270</v>
      </c>
      <c r="C37" s="37">
        <v>0.03</v>
      </c>
      <c r="D37" s="37">
        <v>0.03</v>
      </c>
      <c r="E37" s="37">
        <v>0.03</v>
      </c>
      <c r="F37" s="37">
        <v>0.03</v>
      </c>
      <c r="G37" s="37">
        <v>0.03</v>
      </c>
      <c r="H37" s="37">
        <v>0.03</v>
      </c>
      <c r="I37" s="37">
        <v>0.03</v>
      </c>
      <c r="J37" s="37">
        <v>0.03</v>
      </c>
      <c r="K37" s="37">
        <v>0.03</v>
      </c>
      <c r="L37" s="37">
        <v>0.03</v>
      </c>
      <c r="M37" s="37">
        <v>0.03</v>
      </c>
      <c r="N37" s="37">
        <v>0.03</v>
      </c>
      <c r="O37" s="37">
        <v>0.03</v>
      </c>
      <c r="P37" s="37">
        <v>0.03</v>
      </c>
      <c r="Q37" s="37">
        <v>0.03</v>
      </c>
      <c r="R37" s="37">
        <v>0.03</v>
      </c>
      <c r="S37" s="37">
        <v>0.03</v>
      </c>
      <c r="T37" s="37">
        <v>0.03</v>
      </c>
      <c r="U37" s="37">
        <v>0.03</v>
      </c>
      <c r="V37" s="37">
        <v>0.03</v>
      </c>
      <c r="W37" s="37">
        <v>0.03</v>
      </c>
      <c r="X37" s="37">
        <v>0.03</v>
      </c>
      <c r="Y37" s="37">
        <v>0.03</v>
      </c>
      <c r="Z37" s="37">
        <v>0.03</v>
      </c>
      <c r="AA37" s="37">
        <v>0.03</v>
      </c>
      <c r="AB37" s="37">
        <v>0.03</v>
      </c>
      <c r="AC37" s="37">
        <v>0.03</v>
      </c>
      <c r="AD37" s="37">
        <v>0.03</v>
      </c>
      <c r="AE37" s="37">
        <v>0.03</v>
      </c>
      <c r="AF37" s="37">
        <v>0.03</v>
      </c>
      <c r="AG37" s="37">
        <v>0.03</v>
      </c>
      <c r="AH37" s="37">
        <v>0.03</v>
      </c>
      <c r="AI37" s="37">
        <v>0.03</v>
      </c>
      <c r="AJ37" s="37">
        <v>0.03</v>
      </c>
      <c r="AK37" s="37">
        <v>0.03</v>
      </c>
      <c r="AL37" s="37">
        <v>0.03</v>
      </c>
      <c r="AM37" s="37">
        <v>0.03</v>
      </c>
      <c r="AN37" s="37">
        <v>0.03</v>
      </c>
      <c r="AO37" s="37">
        <v>0.03</v>
      </c>
      <c r="AP37" s="37">
        <v>0.03</v>
      </c>
      <c r="AQ37" s="37">
        <v>0.03</v>
      </c>
      <c r="AR37" s="37">
        <v>0.03</v>
      </c>
      <c r="AS37" s="37">
        <v>0.03</v>
      </c>
      <c r="AT37" s="37">
        <v>0.03</v>
      </c>
      <c r="AU37" s="37">
        <v>0.03</v>
      </c>
      <c r="AV37" s="37">
        <v>0.03</v>
      </c>
      <c r="AW37" s="37">
        <v>0.03</v>
      </c>
      <c r="AX37" s="37">
        <v>0.03</v>
      </c>
      <c r="AY37" s="37">
        <v>0.03</v>
      </c>
      <c r="AZ37" s="37">
        <v>0.03</v>
      </c>
      <c r="BA37" s="37">
        <v>0.03</v>
      </c>
      <c r="BB37" s="37">
        <v>0.03</v>
      </c>
      <c r="BC37" s="37">
        <v>0.03</v>
      </c>
      <c r="BD37" s="37">
        <v>0.03</v>
      </c>
      <c r="BE37" s="37">
        <v>0.03</v>
      </c>
      <c r="BF37" s="37">
        <v>0.03</v>
      </c>
      <c r="BG37" s="37">
        <v>0.03</v>
      </c>
      <c r="BH37" s="37">
        <v>0.03</v>
      </c>
      <c r="BI37" s="37">
        <v>0.03</v>
      </c>
      <c r="BJ37" s="37">
        <v>0.03</v>
      </c>
      <c r="BK37" s="37">
        <v>0.03</v>
      </c>
      <c r="BL37" s="37">
        <v>0.03</v>
      </c>
      <c r="BM37" s="37">
        <v>0.03</v>
      </c>
      <c r="BN37" s="37">
        <v>0.03</v>
      </c>
      <c r="BO37" s="37">
        <v>0.03</v>
      </c>
      <c r="BP37" s="37">
        <v>0.03</v>
      </c>
      <c r="BQ37" s="37">
        <v>0.03</v>
      </c>
      <c r="BR37" s="37">
        <v>0.03</v>
      </c>
      <c r="BS37" s="37">
        <v>0.03</v>
      </c>
      <c r="BT37" s="37">
        <v>0.03</v>
      </c>
      <c r="BU37" s="37">
        <v>0.03</v>
      </c>
      <c r="BV37" s="37">
        <v>0.03</v>
      </c>
      <c r="BW37" s="37">
        <v>0.03</v>
      </c>
      <c r="BX37" s="37">
        <v>0.03</v>
      </c>
      <c r="BY37" s="37">
        <v>0.03</v>
      </c>
      <c r="BZ37" s="37">
        <v>0.03</v>
      </c>
      <c r="CA37" s="37">
        <v>0.03</v>
      </c>
      <c r="CB37" s="37">
        <v>0.03</v>
      </c>
      <c r="CC37" s="37">
        <v>0.03</v>
      </c>
      <c r="CD37" s="37">
        <v>0.03</v>
      </c>
      <c r="CE37" s="37">
        <v>0.03</v>
      </c>
      <c r="CF37" s="37">
        <v>0.03</v>
      </c>
      <c r="CG37" s="37">
        <v>0.03</v>
      </c>
      <c r="CH37" s="37">
        <v>0.03</v>
      </c>
      <c r="CI37" s="37">
        <v>0.03</v>
      </c>
      <c r="CJ37" s="37">
        <v>0.03</v>
      </c>
      <c r="CK37" s="37">
        <v>0.03</v>
      </c>
      <c r="CL37" s="37">
        <v>0.03</v>
      </c>
      <c r="CM37" s="37">
        <v>0.03</v>
      </c>
      <c r="CN37" s="37">
        <v>0.03</v>
      </c>
      <c r="CO37" s="37">
        <v>0.03</v>
      </c>
      <c r="CP37" s="37">
        <v>0.03</v>
      </c>
      <c r="CQ37" s="37">
        <v>0.03</v>
      </c>
      <c r="CR37" s="37">
        <v>0.03</v>
      </c>
      <c r="CS37" s="37">
        <v>0.03</v>
      </c>
      <c r="CT37" s="37">
        <v>0.03</v>
      </c>
      <c r="CU37" s="37">
        <v>0.03</v>
      </c>
      <c r="CV37" s="37">
        <v>0.03</v>
      </c>
      <c r="CW37" s="37">
        <v>0.03</v>
      </c>
      <c r="CX37" s="37">
        <v>0.03</v>
      </c>
      <c r="CY37" s="37">
        <v>0.03</v>
      </c>
      <c r="CZ37" s="37">
        <v>0.03</v>
      </c>
      <c r="DA37" s="37">
        <v>0.03</v>
      </c>
      <c r="DB37" s="37">
        <v>0.03</v>
      </c>
    </row>
    <row r="38" ht="18" customHeight="1" spans="1:106" x14ac:dyDescent="0.25">
      <c r="A38" s="36" t="s">
        <v>271</v>
      </c>
      <c r="C38" s="37">
        <v>0.01</v>
      </c>
      <c r="D38" s="37">
        <v>0.01</v>
      </c>
      <c r="E38" s="37">
        <v>0.01</v>
      </c>
      <c r="F38" s="37">
        <v>0.01</v>
      </c>
      <c r="G38" s="37">
        <v>0.01</v>
      </c>
      <c r="H38" s="37">
        <v>0.01</v>
      </c>
      <c r="I38" s="37">
        <v>0.01</v>
      </c>
      <c r="J38" s="37">
        <v>0.01</v>
      </c>
      <c r="K38" s="37">
        <v>0.01</v>
      </c>
      <c r="L38" s="37">
        <v>0.01</v>
      </c>
      <c r="M38" s="37">
        <v>0.01</v>
      </c>
      <c r="N38" s="37">
        <v>0.01</v>
      </c>
      <c r="O38" s="37">
        <v>0.01</v>
      </c>
      <c r="P38" s="37">
        <v>0.01</v>
      </c>
      <c r="Q38" s="37">
        <v>0.01</v>
      </c>
      <c r="R38" s="37">
        <v>0.01</v>
      </c>
      <c r="S38" s="37">
        <v>0.01</v>
      </c>
      <c r="T38" s="37">
        <v>0.01</v>
      </c>
      <c r="U38" s="37">
        <v>0.01</v>
      </c>
      <c r="V38" s="37">
        <v>0.01</v>
      </c>
      <c r="W38" s="37">
        <v>0.01</v>
      </c>
      <c r="X38" s="37">
        <v>0.01</v>
      </c>
      <c r="Y38" s="37">
        <v>0.01</v>
      </c>
      <c r="Z38" s="37">
        <v>0.01</v>
      </c>
      <c r="AA38" s="37">
        <v>0.01</v>
      </c>
      <c r="AB38" s="37">
        <v>0.01</v>
      </c>
      <c r="AC38" s="37">
        <v>0.01</v>
      </c>
      <c r="AD38" s="37">
        <v>0.01</v>
      </c>
      <c r="AE38" s="37">
        <v>0.01</v>
      </c>
      <c r="AF38" s="37">
        <v>0.01</v>
      </c>
      <c r="AG38" s="37">
        <v>0.01</v>
      </c>
      <c r="AH38" s="37">
        <v>0.01</v>
      </c>
      <c r="AI38" s="37">
        <v>0.01</v>
      </c>
      <c r="AJ38" s="37">
        <v>0.01</v>
      </c>
      <c r="AK38" s="37">
        <v>0.01</v>
      </c>
      <c r="AL38" s="37">
        <v>0.01</v>
      </c>
      <c r="AM38" s="37">
        <v>0.01</v>
      </c>
      <c r="AN38" s="37">
        <v>0.01</v>
      </c>
      <c r="AO38" s="37">
        <v>0.01</v>
      </c>
      <c r="AP38" s="37">
        <v>0.01</v>
      </c>
      <c r="AQ38" s="37">
        <v>0.01</v>
      </c>
      <c r="AR38" s="37">
        <v>0.01</v>
      </c>
      <c r="AS38" s="37">
        <v>0.01</v>
      </c>
      <c r="AT38" s="37">
        <v>0.01</v>
      </c>
      <c r="AU38" s="37">
        <v>0.01</v>
      </c>
      <c r="AV38" s="37">
        <v>0.01</v>
      </c>
      <c r="AW38" s="37">
        <v>0.01</v>
      </c>
      <c r="AX38" s="37">
        <v>0.01</v>
      </c>
      <c r="AY38" s="37">
        <v>0.01</v>
      </c>
      <c r="AZ38" s="37">
        <v>0.01</v>
      </c>
      <c r="BA38" s="37">
        <v>0.01</v>
      </c>
      <c r="BB38" s="37">
        <v>0.01</v>
      </c>
      <c r="BC38" s="37">
        <v>0.01</v>
      </c>
      <c r="BD38" s="37">
        <v>0.01</v>
      </c>
      <c r="BE38" s="37">
        <v>0.01</v>
      </c>
      <c r="BF38" s="37">
        <v>0.01</v>
      </c>
      <c r="BG38" s="37">
        <v>0.01</v>
      </c>
      <c r="BH38" s="37">
        <v>0.01</v>
      </c>
      <c r="BI38" s="37">
        <v>0.01</v>
      </c>
      <c r="BJ38" s="37">
        <v>0.01</v>
      </c>
      <c r="BK38" s="37">
        <v>0.01</v>
      </c>
      <c r="BL38" s="37">
        <v>0.01</v>
      </c>
      <c r="BM38" s="37">
        <v>0.01</v>
      </c>
      <c r="BN38" s="37">
        <v>0.01</v>
      </c>
      <c r="BO38" s="37">
        <v>0.01</v>
      </c>
      <c r="BP38" s="37">
        <v>0.01</v>
      </c>
      <c r="BQ38" s="37">
        <v>0.01</v>
      </c>
      <c r="BR38" s="37">
        <v>0.01</v>
      </c>
      <c r="BS38" s="37">
        <v>0.01</v>
      </c>
      <c r="BT38" s="37">
        <v>0.01</v>
      </c>
      <c r="BU38" s="37">
        <v>0.01</v>
      </c>
      <c r="BV38" s="37">
        <v>0.01</v>
      </c>
      <c r="BW38" s="37">
        <v>0.01</v>
      </c>
      <c r="BX38" s="37">
        <v>0.01</v>
      </c>
      <c r="BY38" s="37">
        <v>0.01</v>
      </c>
      <c r="BZ38" s="37">
        <v>0.01</v>
      </c>
      <c r="CA38" s="37">
        <v>0.01</v>
      </c>
      <c r="CB38" s="37">
        <v>0.01</v>
      </c>
      <c r="CC38" s="37">
        <v>0.01</v>
      </c>
      <c r="CD38" s="37">
        <v>0.01</v>
      </c>
      <c r="CE38" s="37">
        <v>0.01</v>
      </c>
      <c r="CF38" s="37">
        <v>0.01</v>
      </c>
      <c r="CG38" s="37">
        <v>0.01</v>
      </c>
      <c r="CH38" s="37">
        <v>0.01</v>
      </c>
      <c r="CI38" s="37">
        <v>0.01</v>
      </c>
      <c r="CJ38" s="37">
        <v>0.01</v>
      </c>
      <c r="CK38" s="37">
        <v>0.01</v>
      </c>
      <c r="CL38" s="37">
        <v>0.01</v>
      </c>
      <c r="CM38" s="37">
        <v>0.01</v>
      </c>
      <c r="CN38" s="37">
        <v>0.01</v>
      </c>
      <c r="CO38" s="37">
        <v>0.01</v>
      </c>
      <c r="CP38" s="37">
        <v>0.01</v>
      </c>
      <c r="CQ38" s="37">
        <v>0.01</v>
      </c>
      <c r="CR38" s="37">
        <v>0.01</v>
      </c>
      <c r="CS38" s="37">
        <v>0.01</v>
      </c>
      <c r="CT38" s="37">
        <v>0.01</v>
      </c>
      <c r="CU38" s="37">
        <v>0.01</v>
      </c>
      <c r="CV38" s="37">
        <v>0.01</v>
      </c>
      <c r="CW38" s="37">
        <v>0.01</v>
      </c>
      <c r="CX38" s="37">
        <v>0.01</v>
      </c>
      <c r="CY38" s="37">
        <v>0.01</v>
      </c>
      <c r="CZ38" s="37">
        <v>0.01</v>
      </c>
      <c r="DA38" s="37">
        <v>0.01</v>
      </c>
      <c r="DB38" s="37">
        <v>0.01</v>
      </c>
    </row>
    <row r="39" ht="18" customHeight="1" spans="1:106" x14ac:dyDescent="0.25">
      <c r="A39" s="36" t="s">
        <v>272</v>
      </c>
      <c r="C39" s="39">
        <v>0.02</v>
      </c>
      <c r="D39" s="39">
        <v>0.02</v>
      </c>
      <c r="E39" s="39">
        <v>0.02</v>
      </c>
      <c r="F39" s="39">
        <v>0.02</v>
      </c>
      <c r="G39" s="39">
        <v>0.02</v>
      </c>
      <c r="H39" s="39">
        <v>0.02</v>
      </c>
      <c r="I39" s="39">
        <v>0.02</v>
      </c>
      <c r="J39" s="39">
        <v>0.02</v>
      </c>
      <c r="K39" s="39">
        <v>0.02</v>
      </c>
      <c r="L39" s="39">
        <v>0.02</v>
      </c>
      <c r="M39" s="39">
        <v>0.02</v>
      </c>
      <c r="N39" s="39">
        <v>0.02</v>
      </c>
      <c r="O39" s="39">
        <v>0.02</v>
      </c>
      <c r="P39" s="39">
        <v>0.02</v>
      </c>
      <c r="Q39" s="39">
        <v>0.02</v>
      </c>
      <c r="R39" s="39">
        <v>0.02</v>
      </c>
      <c r="S39" s="39">
        <v>0.02</v>
      </c>
      <c r="T39" s="39">
        <v>0.02</v>
      </c>
      <c r="U39" s="39">
        <v>0.02</v>
      </c>
      <c r="V39" s="39">
        <v>0.02</v>
      </c>
      <c r="W39" s="39">
        <v>0.02</v>
      </c>
      <c r="X39" s="39">
        <v>0.02</v>
      </c>
      <c r="Y39" s="39">
        <v>0.02</v>
      </c>
      <c r="Z39" s="39">
        <v>0.02</v>
      </c>
      <c r="AA39" s="39">
        <v>0.02</v>
      </c>
      <c r="AB39" s="39">
        <v>0.02</v>
      </c>
      <c r="AC39" s="39">
        <v>0.02</v>
      </c>
      <c r="AD39" s="39">
        <v>0.02</v>
      </c>
      <c r="AE39" s="39">
        <v>0.02</v>
      </c>
      <c r="AF39" s="39">
        <v>0.02</v>
      </c>
      <c r="AG39" s="39">
        <v>0.02</v>
      </c>
      <c r="AH39" s="39">
        <v>0.02</v>
      </c>
      <c r="AI39" s="39">
        <v>0.02</v>
      </c>
      <c r="AJ39" s="39">
        <v>0.02</v>
      </c>
      <c r="AK39" s="39">
        <v>0.02</v>
      </c>
      <c r="AL39" s="39">
        <v>0.02</v>
      </c>
      <c r="AM39" s="39">
        <v>0.02</v>
      </c>
      <c r="AN39" s="39">
        <v>0.02</v>
      </c>
      <c r="AO39" s="39">
        <v>0.02</v>
      </c>
      <c r="AP39" s="39">
        <v>0.02</v>
      </c>
      <c r="AQ39" s="39">
        <v>0.02</v>
      </c>
      <c r="AR39" s="39">
        <v>0.02</v>
      </c>
      <c r="AS39" s="39">
        <v>0.02</v>
      </c>
      <c r="AT39" s="39">
        <v>0.02</v>
      </c>
      <c r="AU39" s="39">
        <v>0.02</v>
      </c>
      <c r="AV39" s="39">
        <v>0.02</v>
      </c>
      <c r="AW39" s="39">
        <v>0.02</v>
      </c>
      <c r="AX39" s="39">
        <v>0.02</v>
      </c>
      <c r="AY39" s="39">
        <v>0.02</v>
      </c>
      <c r="AZ39" s="39">
        <v>0.02</v>
      </c>
      <c r="BA39" s="39">
        <v>0.02</v>
      </c>
      <c r="BB39" s="39">
        <v>0.02</v>
      </c>
      <c r="BC39" s="39">
        <v>0.02</v>
      </c>
      <c r="BD39" s="39">
        <v>0.02</v>
      </c>
      <c r="BE39" s="39">
        <v>0.02</v>
      </c>
      <c r="BF39" s="39">
        <v>0.02</v>
      </c>
      <c r="BG39" s="39">
        <v>0.02</v>
      </c>
      <c r="BH39" s="39">
        <v>0.02</v>
      </c>
      <c r="BI39" s="39">
        <v>0.02</v>
      </c>
      <c r="BJ39" s="39">
        <v>0.02</v>
      </c>
      <c r="BK39" s="39">
        <v>0.02</v>
      </c>
      <c r="BL39" s="39">
        <v>0.02</v>
      </c>
      <c r="BM39" s="39">
        <v>0.02</v>
      </c>
      <c r="BN39" s="39">
        <v>0.02</v>
      </c>
      <c r="BO39" s="39">
        <v>0.02</v>
      </c>
      <c r="BP39" s="39">
        <v>0.02</v>
      </c>
      <c r="BQ39" s="39">
        <v>0.02</v>
      </c>
      <c r="BR39" s="39">
        <v>0.02</v>
      </c>
      <c r="BS39" s="39">
        <v>0.02</v>
      </c>
      <c r="BT39" s="39">
        <v>0.02</v>
      </c>
      <c r="BU39" s="39">
        <v>0.02</v>
      </c>
      <c r="BV39" s="39">
        <v>0.02</v>
      </c>
      <c r="BW39" s="39">
        <v>0.02</v>
      </c>
      <c r="BX39" s="39">
        <v>0.02</v>
      </c>
      <c r="BY39" s="39">
        <v>0.02</v>
      </c>
      <c r="BZ39" s="39">
        <v>0.02</v>
      </c>
      <c r="CA39" s="39">
        <v>0.02</v>
      </c>
      <c r="CB39" s="39">
        <v>0.02</v>
      </c>
      <c r="CC39" s="39">
        <v>0.02</v>
      </c>
      <c r="CD39" s="39">
        <v>0.02</v>
      </c>
      <c r="CE39" s="39">
        <v>0.02</v>
      </c>
      <c r="CF39" s="39">
        <v>0.02</v>
      </c>
      <c r="CG39" s="39">
        <v>0.02</v>
      </c>
      <c r="CH39" s="39">
        <v>0.02</v>
      </c>
      <c r="CI39" s="39">
        <v>0.02</v>
      </c>
      <c r="CJ39" s="39">
        <v>0.02</v>
      </c>
      <c r="CK39" s="39">
        <v>0.02</v>
      </c>
      <c r="CL39" s="39">
        <v>0.02</v>
      </c>
      <c r="CM39" s="39">
        <v>0.02</v>
      </c>
      <c r="CN39" s="39">
        <v>0.02</v>
      </c>
      <c r="CO39" s="39">
        <v>0.02</v>
      </c>
      <c r="CP39" s="39">
        <v>0.02</v>
      </c>
      <c r="CQ39" s="39">
        <v>0.02</v>
      </c>
      <c r="CR39" s="39">
        <v>0.02</v>
      </c>
      <c r="CS39" s="39">
        <v>0.02</v>
      </c>
      <c r="CT39" s="39">
        <v>0.02</v>
      </c>
      <c r="CU39" s="39">
        <v>0.02</v>
      </c>
      <c r="CV39" s="39">
        <v>0.02</v>
      </c>
      <c r="CW39" s="39">
        <v>0.02</v>
      </c>
      <c r="CX39" s="39">
        <v>0.02</v>
      </c>
      <c r="CY39" s="39">
        <v>0.02</v>
      </c>
      <c r="CZ39" s="39">
        <v>0.02</v>
      </c>
      <c r="DA39" s="39">
        <v>0.02</v>
      </c>
      <c r="DB39" s="39">
        <v>0.02</v>
      </c>
    </row>
    <row r="40" ht="18" customHeight="1" spans="1:106" x14ac:dyDescent="0.25">
      <c r="A40" s="36" t="s">
        <v>273</v>
      </c>
      <c r="C40" s="39">
        <v>0</v>
      </c>
      <c r="D40" s="39">
        <v>0</v>
      </c>
      <c r="E40" s="39">
        <v>0</v>
      </c>
      <c r="F40" s="39">
        <v>0</v>
      </c>
      <c r="G40" s="39">
        <v>0</v>
      </c>
      <c r="H40" s="39">
        <v>0</v>
      </c>
      <c r="I40" s="39">
        <v>0</v>
      </c>
      <c r="J40" s="39">
        <v>0</v>
      </c>
      <c r="K40" s="39">
        <v>0</v>
      </c>
      <c r="L40" s="39">
        <v>0</v>
      </c>
      <c r="M40" s="39">
        <v>0</v>
      </c>
      <c r="N40" s="39">
        <v>0</v>
      </c>
      <c r="O40" s="39">
        <v>0</v>
      </c>
      <c r="P40" s="39">
        <v>0</v>
      </c>
      <c r="Q40" s="39">
        <v>0</v>
      </c>
      <c r="R40" s="39">
        <v>0</v>
      </c>
      <c r="S40" s="39">
        <v>0</v>
      </c>
      <c r="T40" s="39">
        <v>0</v>
      </c>
      <c r="U40" s="39">
        <v>0</v>
      </c>
      <c r="V40" s="39">
        <v>0</v>
      </c>
      <c r="W40" s="39">
        <v>0</v>
      </c>
      <c r="X40" s="39">
        <v>0</v>
      </c>
      <c r="Y40" s="39">
        <v>0</v>
      </c>
      <c r="Z40" s="39">
        <v>0</v>
      </c>
      <c r="AA40" s="39">
        <v>0</v>
      </c>
      <c r="AB40" s="39">
        <v>0</v>
      </c>
      <c r="AC40" s="39">
        <v>0</v>
      </c>
      <c r="AD40" s="39">
        <v>0</v>
      </c>
      <c r="AE40" s="39">
        <v>0</v>
      </c>
      <c r="AF40" s="39">
        <v>0</v>
      </c>
      <c r="AG40" s="39">
        <v>0</v>
      </c>
      <c r="AH40" s="39">
        <v>0</v>
      </c>
      <c r="AI40" s="39">
        <v>0</v>
      </c>
      <c r="AJ40" s="39">
        <v>0</v>
      </c>
      <c r="AK40" s="39">
        <v>0</v>
      </c>
      <c r="AL40" s="39">
        <v>0</v>
      </c>
      <c r="AM40" s="39">
        <v>0</v>
      </c>
      <c r="AN40" s="39">
        <v>0</v>
      </c>
      <c r="AO40" s="39">
        <v>0</v>
      </c>
      <c r="AP40" s="39">
        <v>0</v>
      </c>
      <c r="AQ40" s="39">
        <v>0</v>
      </c>
      <c r="AR40" s="39">
        <v>0</v>
      </c>
      <c r="AS40" s="39">
        <v>0</v>
      </c>
      <c r="AT40" s="39">
        <v>0</v>
      </c>
      <c r="AU40" s="39">
        <v>0</v>
      </c>
      <c r="AV40" s="39">
        <v>0</v>
      </c>
      <c r="AW40" s="39">
        <v>0</v>
      </c>
      <c r="AX40" s="39">
        <v>0</v>
      </c>
      <c r="AY40" s="39">
        <v>0</v>
      </c>
      <c r="AZ40" s="39">
        <v>0</v>
      </c>
      <c r="BA40" s="39">
        <v>0</v>
      </c>
      <c r="BB40" s="39">
        <v>0</v>
      </c>
      <c r="BC40" s="39">
        <v>0</v>
      </c>
      <c r="BD40" s="39">
        <v>0</v>
      </c>
      <c r="BE40" s="39">
        <v>0</v>
      </c>
      <c r="BF40" s="39">
        <v>0</v>
      </c>
      <c r="BG40" s="39">
        <v>0</v>
      </c>
      <c r="BH40" s="39">
        <v>0</v>
      </c>
      <c r="BI40" s="39">
        <v>0</v>
      </c>
      <c r="BJ40" s="39">
        <v>0</v>
      </c>
      <c r="BK40" s="39">
        <v>0</v>
      </c>
      <c r="BL40" s="39">
        <v>0</v>
      </c>
      <c r="BM40" s="39">
        <v>0</v>
      </c>
      <c r="BN40" s="39">
        <v>0</v>
      </c>
      <c r="BO40" s="39">
        <v>0</v>
      </c>
      <c r="BP40" s="39">
        <v>0</v>
      </c>
      <c r="BQ40" s="39">
        <v>0</v>
      </c>
      <c r="BR40" s="39">
        <v>0</v>
      </c>
      <c r="BS40" s="39">
        <v>0</v>
      </c>
      <c r="BT40" s="39">
        <v>0</v>
      </c>
      <c r="BU40" s="39">
        <v>0</v>
      </c>
      <c r="BV40" s="39">
        <v>0</v>
      </c>
      <c r="BW40" s="39">
        <v>0</v>
      </c>
      <c r="BX40" s="39">
        <v>0</v>
      </c>
      <c r="BY40" s="39">
        <v>0</v>
      </c>
      <c r="BZ40" s="39">
        <v>0</v>
      </c>
      <c r="CA40" s="39">
        <v>0</v>
      </c>
      <c r="CB40" s="39">
        <v>0</v>
      </c>
      <c r="CC40" s="39">
        <v>0</v>
      </c>
      <c r="CD40" s="39">
        <v>0</v>
      </c>
      <c r="CE40" s="39">
        <v>0</v>
      </c>
      <c r="CF40" s="39">
        <v>0</v>
      </c>
      <c r="CG40" s="39">
        <v>0</v>
      </c>
      <c r="CH40" s="39">
        <v>0</v>
      </c>
      <c r="CI40" s="39">
        <v>0</v>
      </c>
      <c r="CJ40" s="39">
        <v>0</v>
      </c>
      <c r="CK40" s="39">
        <v>0</v>
      </c>
      <c r="CL40" s="39">
        <v>0</v>
      </c>
      <c r="CM40" s="39">
        <v>0</v>
      </c>
      <c r="CN40" s="39">
        <v>0</v>
      </c>
      <c r="CO40" s="39">
        <v>0</v>
      </c>
      <c r="CP40" s="39">
        <v>0</v>
      </c>
      <c r="CQ40" s="39">
        <v>0</v>
      </c>
      <c r="CR40" s="39">
        <v>0</v>
      </c>
      <c r="CS40" s="39">
        <v>0</v>
      </c>
      <c r="CT40" s="39">
        <v>0</v>
      </c>
      <c r="CU40" s="39">
        <v>0</v>
      </c>
      <c r="CV40" s="39">
        <v>0</v>
      </c>
      <c r="CW40" s="39">
        <v>0</v>
      </c>
      <c r="CX40" s="39">
        <v>0</v>
      </c>
      <c r="CY40" s="39">
        <v>0</v>
      </c>
      <c r="CZ40" s="39">
        <v>0</v>
      </c>
      <c r="DA40" s="39">
        <v>0</v>
      </c>
      <c r="DB40" s="39">
        <v>0</v>
      </c>
    </row>
    <row r="41" ht="16" customHeight="1" spans="1:106" x14ac:dyDescent="0.25">
      <c r="A41" s="20" t="s">
        <v>274</v>
      </c>
      <c r="B41" s="17"/>
      <c r="C41" s="75">
        <v>0.01</v>
      </c>
      <c r="D41" s="75">
        <v>0.01</v>
      </c>
      <c r="E41" s="75">
        <v>0.01</v>
      </c>
      <c r="F41" s="75">
        <v>0.02</v>
      </c>
      <c r="G41" s="75">
        <v>0.02</v>
      </c>
      <c r="H41" s="75">
        <v>0.02</v>
      </c>
      <c r="I41" s="75">
        <v>0.02</v>
      </c>
      <c r="J41" s="75">
        <v>0.02</v>
      </c>
      <c r="K41" s="75">
        <v>0.02</v>
      </c>
      <c r="L41" s="75">
        <v>0.02</v>
      </c>
      <c r="M41" s="75">
        <v>0.02</v>
      </c>
      <c r="N41" s="75">
        <v>0.02</v>
      </c>
      <c r="O41" s="75">
        <v>0.02</v>
      </c>
      <c r="P41" s="75">
        <v>0.02</v>
      </c>
      <c r="Q41" s="75">
        <v>0.02</v>
      </c>
      <c r="R41" s="75">
        <v>0.02</v>
      </c>
      <c r="S41" s="75">
        <v>0.02</v>
      </c>
      <c r="T41" s="75">
        <v>0.02</v>
      </c>
      <c r="U41" s="75">
        <v>0.01</v>
      </c>
      <c r="V41" s="75">
        <v>0.01</v>
      </c>
      <c r="W41" s="75">
        <v>0.01</v>
      </c>
      <c r="X41" s="75">
        <v>0.01</v>
      </c>
      <c r="Y41" s="75">
        <v>0.01</v>
      </c>
      <c r="Z41" s="75">
        <v>0.01</v>
      </c>
      <c r="AA41" s="75">
        <v>0.01</v>
      </c>
      <c r="AB41" s="75">
        <v>0.01</v>
      </c>
      <c r="AC41" s="75">
        <v>0.01</v>
      </c>
      <c r="AD41" s="75">
        <v>0.01</v>
      </c>
      <c r="AE41" s="75">
        <v>0.01</v>
      </c>
      <c r="AF41" s="75">
        <v>0.01</v>
      </c>
      <c r="AG41" s="75">
        <v>0.01</v>
      </c>
      <c r="AH41" s="75">
        <v>0.01</v>
      </c>
      <c r="AI41" s="75">
        <v>0.01</v>
      </c>
      <c r="AJ41" s="75">
        <v>0.01</v>
      </c>
      <c r="AK41" s="75">
        <v>0.01</v>
      </c>
      <c r="AL41" s="75">
        <v>0.01</v>
      </c>
      <c r="AM41" s="75">
        <v>0.01</v>
      </c>
      <c r="AN41" s="75">
        <v>0.01</v>
      </c>
      <c r="AO41" s="75">
        <v>0.01</v>
      </c>
      <c r="AP41" s="75">
        <v>0.01</v>
      </c>
      <c r="AQ41" s="75">
        <v>0.01</v>
      </c>
      <c r="AR41" s="75">
        <v>0.01</v>
      </c>
      <c r="AS41" s="75">
        <v>0.01</v>
      </c>
      <c r="AT41" s="75">
        <v>0.01</v>
      </c>
      <c r="AU41" s="75">
        <v>0.01</v>
      </c>
      <c r="AV41" s="75">
        <v>0.01</v>
      </c>
      <c r="AW41" s="75">
        <v>0.01</v>
      </c>
      <c r="AX41" s="75">
        <v>0.01</v>
      </c>
      <c r="AY41" s="75">
        <v>0.01</v>
      </c>
      <c r="AZ41" s="75">
        <v>0.01</v>
      </c>
      <c r="BA41" s="75">
        <v>0.01</v>
      </c>
      <c r="BB41" s="75">
        <v>0.01</v>
      </c>
      <c r="BC41" s="75">
        <v>0.015</v>
      </c>
      <c r="BD41" s="75">
        <v>0.015</v>
      </c>
      <c r="BE41" s="75">
        <v>0.015</v>
      </c>
      <c r="BF41" s="75">
        <v>0.015</v>
      </c>
      <c r="BG41" s="75">
        <v>0.015</v>
      </c>
      <c r="BH41" s="75">
        <v>0.015</v>
      </c>
      <c r="BI41" s="75">
        <v>0.015</v>
      </c>
      <c r="BJ41" s="75">
        <v>0.015</v>
      </c>
      <c r="BK41" s="75">
        <v>0.015</v>
      </c>
      <c r="BL41" s="75">
        <v>0.015</v>
      </c>
      <c r="BM41" s="75">
        <v>0.015</v>
      </c>
      <c r="BN41" s="75">
        <v>0.015</v>
      </c>
      <c r="BO41" s="75">
        <v>0.015</v>
      </c>
      <c r="BP41" s="75">
        <v>0.015</v>
      </c>
      <c r="BQ41" s="75">
        <v>0.015</v>
      </c>
      <c r="BR41" s="75">
        <v>0.015</v>
      </c>
      <c r="BS41" s="75">
        <v>0.015</v>
      </c>
      <c r="BT41" s="75">
        <v>0.015</v>
      </c>
      <c r="BU41" s="75">
        <v>0.015</v>
      </c>
      <c r="BV41" s="75">
        <v>0.015</v>
      </c>
      <c r="BW41" s="75">
        <v>0.015</v>
      </c>
      <c r="BX41" s="75">
        <v>0.015</v>
      </c>
      <c r="BY41" s="75">
        <v>0.015</v>
      </c>
      <c r="BZ41" s="75">
        <v>0.015</v>
      </c>
      <c r="CA41" s="75">
        <v>0.015</v>
      </c>
      <c r="CB41" s="75">
        <v>0.015</v>
      </c>
      <c r="CC41" s="75">
        <v>0.015</v>
      </c>
      <c r="CD41" s="75">
        <v>0.015</v>
      </c>
      <c r="CE41" s="75">
        <v>0.015</v>
      </c>
      <c r="CF41" s="75">
        <v>0.015</v>
      </c>
      <c r="CG41" s="75">
        <v>0.015</v>
      </c>
      <c r="CH41" s="75">
        <v>0.015</v>
      </c>
      <c r="CI41" s="75">
        <v>0.015</v>
      </c>
      <c r="CJ41" s="75">
        <v>0.015</v>
      </c>
      <c r="CK41" s="75">
        <v>0.015</v>
      </c>
      <c r="CL41" s="75">
        <v>0.015</v>
      </c>
      <c r="CM41" s="75">
        <v>0.015</v>
      </c>
      <c r="CN41" s="75">
        <v>0.015</v>
      </c>
      <c r="CO41" s="75">
        <v>0.015</v>
      </c>
      <c r="CP41" s="75">
        <v>0.015</v>
      </c>
      <c r="CQ41" s="75">
        <v>0.015</v>
      </c>
      <c r="CR41" s="75">
        <v>0.015</v>
      </c>
      <c r="CS41" s="75">
        <v>0.015</v>
      </c>
      <c r="CT41" s="75">
        <v>0.015</v>
      </c>
      <c r="CU41" s="75">
        <v>0.015</v>
      </c>
      <c r="CV41" s="75">
        <v>0.015</v>
      </c>
      <c r="CW41" s="75">
        <v>0.015</v>
      </c>
      <c r="CX41" s="75">
        <v>0.015</v>
      </c>
      <c r="CY41" s="75">
        <v>0.015</v>
      </c>
      <c r="CZ41" s="75">
        <v>0.015</v>
      </c>
      <c r="DA41" s="75">
        <v>0.015</v>
      </c>
      <c r="DB41" s="75">
        <v>0.015</v>
      </c>
    </row>
    <row r="42" spans="1:106" x14ac:dyDescent="0.25">
      <c r="A42" s="36" t="s">
        <v>275</v>
      </c>
      <c r="C42" s="46"/>
      <c r="D42" s="41">
        <f>=IFERROR(C19*C41,0)</f>
        <v>0.04</v>
      </c>
      <c r="E42" s="41">
        <f>=IFERROR(D19*D41,0)</f>
        <v>0.04</v>
      </c>
      <c r="F42" s="41">
        <f>=IFERROR(E19*E41,0)</f>
        <v>0.04</v>
      </c>
      <c r="G42" s="41">
        <f>=IFERROR(F19*F41,0)</f>
        <v>0.08</v>
      </c>
      <c r="H42" s="41">
        <f>=IFERROR(G19*G41,0)</f>
        <v>0.08</v>
      </c>
      <c r="I42" s="41">
        <f>=IFERROR(H19*H41,0)</f>
        <v>0.08</v>
      </c>
      <c r="J42" s="41">
        <f>=IFERROR(I19*I41,0)</f>
        <v>0.08</v>
      </c>
      <c r="K42" s="41">
        <f>=IFERROR(J19*J41,0)</f>
        <v>0.08</v>
      </c>
      <c r="L42" s="41">
        <f>=IFERROR(K19*K41,0)</f>
        <v>0.08</v>
      </c>
      <c r="M42" s="41">
        <f>=IFERROR(L19*L41,0)</f>
        <v>0.08</v>
      </c>
      <c r="N42" s="41">
        <f>=IFERROR(M19*M41,0)</f>
        <v>0.08</v>
      </c>
      <c r="O42" s="41">
        <f>=IFERROR(N19*N41,0)</f>
        <v>0.08</v>
      </c>
      <c r="P42" s="41">
        <f>=IFERROR(O19*O41,0)</f>
        <v>0.08</v>
      </c>
      <c r="Q42" s="41">
        <f>=IFERROR(P19*P41,0)</f>
        <v>0.08</v>
      </c>
      <c r="R42" s="41">
        <f>=IFERROR(Q19*Q41,0)</f>
        <v>0.08</v>
      </c>
      <c r="S42" s="41">
        <f>=IFERROR(R19*R41,0)</f>
        <v>0.08</v>
      </c>
      <c r="T42" s="41">
        <f>=IFERROR(S19*S41,0)</f>
        <v>0.08</v>
      </c>
      <c r="U42" s="41">
        <f>=IFERROR(T19*T41,0)</f>
        <v>0.08</v>
      </c>
      <c r="V42" s="41">
        <f>=IFERROR(U19*U41,0)</f>
        <v>0.04</v>
      </c>
      <c r="W42" s="41">
        <f>=IFERROR(V19*V41,0)</f>
        <v>0.04</v>
      </c>
      <c r="X42" s="41">
        <f>=IFERROR(W19*W41,0)</f>
        <v>0.04</v>
      </c>
      <c r="Y42" s="41">
        <f>=IFERROR(X19*X41,0)</f>
        <v>0.04</v>
      </c>
      <c r="Z42" s="41">
        <f>=IFERROR(Y19*Y41,0)</f>
        <v>0.04</v>
      </c>
      <c r="AA42" s="41">
        <f>=IFERROR(Z19*Z41,0)</f>
        <v>0.04</v>
      </c>
      <c r="AB42" s="41">
        <f>=IFERROR(AA19*AA41,0)</f>
        <v>0.04</v>
      </c>
      <c r="AC42" s="41">
        <f>=IFERROR(AB19*AB41,0)</f>
        <v>0.04</v>
      </c>
      <c r="AD42" s="41">
        <f>=IFERROR(AC19*AC41,0)</f>
        <v>0.04</v>
      </c>
      <c r="AE42" s="41">
        <f>=IFERROR(AD19*AD41,0)</f>
        <v>0.04</v>
      </c>
      <c r="AF42" s="41">
        <f>=IFERROR(AE19*AE41,0)</f>
        <v>0.06</v>
      </c>
      <c r="AG42" s="41">
        <f>=IFERROR(AF19*AF41,0)</f>
        <v>0.09</v>
      </c>
      <c r="AH42" s="41">
        <f>=IFERROR(AG19*AG41,0)</f>
        <v>0.09</v>
      </c>
      <c r="AI42" s="41">
        <f>=IFERROR(AH19*AH41,0)</f>
        <v>0.04</v>
      </c>
      <c r="AJ42" s="41">
        <f>=IFERROR(AI19*AI41,0)</f>
        <v>0.04</v>
      </c>
      <c r="AK42" s="41">
        <f>=IFERROR(AJ19*AJ41,0)</f>
        <v>0.04</v>
      </c>
      <c r="AL42" s="41">
        <f>=IFERROR(AK19*AK41,0)</f>
        <v>0.05</v>
      </c>
      <c r="AM42" s="41">
        <f>=IFERROR(AL19*AL41,0)</f>
        <v>0.1</v>
      </c>
      <c r="AN42" s="41">
        <f>=IFERROR(AM19*AM41,0)</f>
        <v>0.1</v>
      </c>
      <c r="AO42" s="41">
        <f>=IFERROR(AN19*AN41,0)</f>
        <v>0.1</v>
      </c>
      <c r="AP42" s="41">
        <f>=IFERROR(AO19*AO41,0)</f>
        <v>0.08</v>
      </c>
      <c r="AQ42" s="41">
        <f>=IFERROR(AP19*AP41,0)</f>
        <v>0.08</v>
      </c>
      <c r="AR42" s="41">
        <f>=IFERROR(AQ19*AQ41,0)</f>
        <v>0.08</v>
      </c>
      <c r="AS42" s="41">
        <f>=IFERROR(AR19*AR41,0)</f>
        <v>0.08</v>
      </c>
      <c r="AT42" s="41">
        <f>=IFERROR(AS19*AS41,0)</f>
        <v>0.05</v>
      </c>
      <c r="AU42" s="41">
        <f>=IFERROR(AT19*AT41,0)</f>
        <v>0.05</v>
      </c>
      <c r="AV42" s="41">
        <f>=IFERROR(AU19*AU41,0)</f>
        <v>0.05</v>
      </c>
      <c r="AW42" s="41">
        <f>=IFERROR(AV19*AV41,0)</f>
        <v>0.05</v>
      </c>
      <c r="AX42" s="41">
        <f>=IFERROR(AW19*AW41,0)</f>
        <v>0.05</v>
      </c>
      <c r="AY42" s="41">
        <f>=IFERROR(AX19*AX41,0)</f>
        <v>0.05</v>
      </c>
      <c r="AZ42" s="41">
        <f>=IFERROR(AY19*AY41,0)</f>
        <v>0.05</v>
      </c>
      <c r="BA42" s="41">
        <f>=IFERROR(AZ19*AZ41,0)</f>
        <v>0.05</v>
      </c>
      <c r="BB42" s="41">
        <f>=IFERROR(BA19*BA41,0)</f>
        <v>0.05</v>
      </c>
      <c r="BC42" s="41">
        <f>=IFERROR(BB19*BB41,0)</f>
        <v>0.05</v>
      </c>
      <c r="BD42" s="41">
        <f>=IFERROR(BC19*BC41,0)</f>
        <v>0.075</v>
      </c>
      <c r="BE42" s="41">
        <f>=IFERROR(BD19*BD41,0)</f>
        <v>0.075</v>
      </c>
      <c r="BF42" s="41">
        <f>=IFERROR(BE19*BE41,0)</f>
        <v>0.075</v>
      </c>
      <c r="BG42" s="41">
        <f>=IFERROR(BF19*BF41,0)</f>
        <v>0.075</v>
      </c>
      <c r="BH42" s="41">
        <f>=IFERROR(BG19*BG41,0)</f>
        <v>0.075</v>
      </c>
      <c r="BI42" s="41">
        <f>=IFERROR(BH19*BH41,0)</f>
        <v>0.075</v>
      </c>
      <c r="BJ42" s="41">
        <f>=IFERROR(BI19*BI41,0)</f>
        <v>0.075</v>
      </c>
      <c r="BK42" s="41">
        <f>=IFERROR(BJ19*BJ41,0)</f>
        <v>0.075</v>
      </c>
      <c r="BL42" s="41">
        <f>=IFERROR(BK19*BK41,0)</f>
        <v>0.075</v>
      </c>
      <c r="BM42" s="41">
        <f>=IFERROR(BL19*BL41,0)</f>
        <v>0.075</v>
      </c>
      <c r="BN42" s="41">
        <f>=IFERROR(BM19*BM41,0)</f>
        <v>0.075</v>
      </c>
      <c r="BO42" s="41">
        <f>=IFERROR(BN19*BN41,0)</f>
        <v>0.073875</v>
      </c>
      <c r="BP42" s="41">
        <f>=IFERROR(BO19*BO41,0)</f>
        <v>0.072766875</v>
      </c>
      <c r="BQ42" s="41">
        <f>=IFERROR(BP19*BP41,0)</f>
        <v>0.071675371875</v>
      </c>
      <c r="BR42" s="41">
        <f>=IFERROR(BQ19*BQ41,0)</f>
        <v>0.07060024129687499</v>
      </c>
      <c r="BS42" s="41">
        <f>=IFERROR(BR19*BR41,0)</f>
        <v>0.06954123767742186</v>
      </c>
      <c r="BT42" s="41">
        <f>=IFERROR(BS19*BS41,0)</f>
        <v>0.06849811911226053</v>
      </c>
      <c r="BU42" s="41">
        <f>=IFERROR(BT19*BT41,0)</f>
        <v>0.06747064732557663</v>
      </c>
      <c r="BV42" s="41">
        <f>=IFERROR(BU19*BU41,0)</f>
        <v>0.066458587615693</v>
      </c>
      <c r="BW42" s="41">
        <f>=IFERROR(BV19*BV41,0)</f>
        <v>0.06546170880145759</v>
      </c>
      <c r="BX42" s="41">
        <f>=IFERROR(BW19*BW41,0)</f>
        <v>0.06447978316943573</v>
      </c>
      <c r="BY42" s="41">
        <f>=IFERROR(BX19*BX41,0)</f>
        <v>0.06351258642189421</v>
      </c>
      <c r="BZ42" s="41">
        <f>=IFERROR(BY19*BY41,0)</f>
        <v>0.06255989762556578</v>
      </c>
      <c r="CA42" s="41">
        <f>=IFERROR(BZ19*BZ41,0)</f>
        <v>0.061621499161182314</v>
      </c>
      <c r="CB42" s="41">
        <f>=IFERROR(CA19*CA41,0)</f>
        <v>0.060697176673764584</v>
      </c>
      <c r="CC42" s="41">
        <f>=IFERROR(CB19*CB41,0)</f>
        <v>0.05978671902365811</v>
      </c>
      <c r="CD42" s="41">
        <f>=IFERROR(CC19*CC41,0)</f>
        <v>0.05888991823830323</v>
      </c>
      <c r="CE42" s="41">
        <f>=IFERROR(CD19*CD41,0)</f>
        <v>0.05800656946472868</v>
      </c>
      <c r="CF42" s="41">
        <f>=IFERROR(CE19*CE41,0)</f>
        <v>0.05713647092275775</v>
      </c>
      <c r="CG42" s="41">
        <f>=IFERROR(CF19*CF41,0)</f>
        <v>0.05627942385891639</v>
      </c>
      <c r="CH42" s="41">
        <f>=IFERROR(CG19*CG41,0)</f>
        <v>0.05543523250103263</v>
      </c>
      <c r="CI42" s="41">
        <f>=IFERROR(CH19*CH41,0)</f>
        <v>0.05460370401351715</v>
      </c>
      <c r="CJ42" s="41">
        <f>=IFERROR(CI19*CI41,0)</f>
        <v>0.05378464845331438</v>
      </c>
      <c r="CK42" s="41">
        <f>=IFERROR(CJ19*CJ41,0)</f>
        <v>0.05297787872651466</v>
      </c>
      <c r="CL42" s="41">
        <f>=IFERROR(CK19*CK41,0)</f>
        <v>0.052183210545616934</v>
      </c>
      <c r="CM42" s="41">
        <f>=IFERROR(CL19*CL41,0)</f>
        <v>0.051400462387432684</v>
      </c>
      <c r="CN42" s="41">
        <f>=IFERROR(CM19*CM41,0)</f>
        <v>0.05062945545162118</v>
      </c>
      <c r="CO42" s="41">
        <f>=IFERROR(CN19*CN41,0)</f>
        <v>0.049870013619846866</v>
      </c>
      <c r="CP42" s="41">
        <f>=IFERROR(CO19*CO41,0)</f>
        <v>0.04912196341554916</v>
      </c>
      <c r="CQ42" s="41">
        <f>=IFERROR(CP19*CP41,0)</f>
        <v>0.048385133964315916</v>
      </c>
      <c r="CR42" s="41">
        <f>=IFERROR(CQ19*CQ41,0)</f>
        <v>0.04765935695485118</v>
      </c>
      <c r="CS42" s="41">
        <f>=IFERROR(CR19*CR41,0)</f>
        <v>0.04694446660052841</v>
      </c>
      <c r="CT42" s="41">
        <f>=IFERROR(CS19*CS41,0)</f>
        <v>0.046240299601520485</v>
      </c>
      <c r="CU42" s="41">
        <f>=IFERROR(CT19*CT41,0)</f>
        <v>0.04554669510749767</v>
      </c>
      <c r="CV42" s="41">
        <f>=IFERROR(CU19*CU41,0)</f>
        <v>0.04486349468088519</v>
      </c>
      <c r="CW42" s="41">
        <f>=IFERROR(CV19*CV41,0)</f>
        <v>0.04419054226067191</v>
      </c>
      <c r="CX42" s="41">
        <f>=IFERROR(CW19*CW41,0)</f>
        <v>0.04352768412676182</v>
      </c>
      <c r="CY42" s="41">
        <f>=IFERROR(CX19*CX41,0)</f>
        <v>0.042874768864860385</v>
      </c>
      <c r="CZ42" s="41">
        <f>=IFERROR(CY19*CY41,0)</f>
        <v>0.04223164733188747</v>
      </c>
      <c r="DA42" s="41">
        <f>=IFERROR(CZ19*CZ41,0)</f>
        <v>0.04159817262190916</v>
      </c>
      <c r="DB42" s="41">
        <f>=IFERROR(DA19*DA41,0)</f>
        <v>0.040974200032580524</v>
      </c>
    </row>
    <row r="43" ht="16" customHeight="1" spans="1:106" x14ac:dyDescent="0.25">
      <c r="A43" s="20" t="s">
        <v>276</v>
      </c>
      <c r="B43" s="17"/>
      <c r="C43" s="75">
        <v>0.03</v>
      </c>
      <c r="D43" s="75">
        <v>0.03</v>
      </c>
      <c r="E43" s="75">
        <v>0.03</v>
      </c>
      <c r="F43" s="75">
        <v>0.03</v>
      </c>
      <c r="G43" s="75">
        <v>0.03</v>
      </c>
      <c r="H43" s="75">
        <v>0.03</v>
      </c>
      <c r="I43" s="75">
        <v>0.03</v>
      </c>
      <c r="J43" s="75">
        <v>0.03</v>
      </c>
      <c r="K43" s="75">
        <v>0.03</v>
      </c>
      <c r="L43" s="75">
        <v>0.03</v>
      </c>
      <c r="M43" s="75">
        <v>0.03</v>
      </c>
      <c r="N43" s="75">
        <v>0.03</v>
      </c>
      <c r="O43" s="75">
        <v>0.03</v>
      </c>
      <c r="P43" s="75">
        <v>0.03</v>
      </c>
      <c r="Q43" s="75">
        <v>0.03</v>
      </c>
      <c r="R43" s="75">
        <v>0.03</v>
      </c>
      <c r="S43" s="75">
        <v>0.03</v>
      </c>
      <c r="T43" s="75">
        <v>0.03</v>
      </c>
      <c r="U43" s="75">
        <v>0.03</v>
      </c>
      <c r="V43" s="75">
        <v>0.03</v>
      </c>
      <c r="W43" s="75">
        <v>0.03</v>
      </c>
      <c r="X43" s="75">
        <v>0.03</v>
      </c>
      <c r="Y43" s="75">
        <v>0.03</v>
      </c>
      <c r="Z43" s="75">
        <v>0.03</v>
      </c>
      <c r="AA43" s="75">
        <v>0.03</v>
      </c>
      <c r="AB43" s="75">
        <v>0.03</v>
      </c>
      <c r="AC43" s="75">
        <v>0.03</v>
      </c>
      <c r="AD43" s="75">
        <v>0.03</v>
      </c>
      <c r="AE43" s="75">
        <v>0.03</v>
      </c>
      <c r="AF43" s="75">
        <v>0.03</v>
      </c>
      <c r="AG43" s="75">
        <v>0.03</v>
      </c>
      <c r="AH43" s="75">
        <v>0.03</v>
      </c>
      <c r="AI43" s="75">
        <v>0.03</v>
      </c>
      <c r="AJ43" s="75">
        <v>0.03</v>
      </c>
      <c r="AK43" s="75">
        <v>0.03</v>
      </c>
      <c r="AL43" s="75">
        <v>0.03</v>
      </c>
      <c r="AM43" s="75">
        <v>0.03</v>
      </c>
      <c r="AN43" s="75">
        <v>0.03</v>
      </c>
      <c r="AO43" s="75">
        <v>0.03</v>
      </c>
      <c r="AP43" s="75">
        <v>0.03</v>
      </c>
      <c r="AQ43" s="75">
        <v>0.03</v>
      </c>
      <c r="AR43" s="75">
        <v>0.03</v>
      </c>
      <c r="AS43" s="75">
        <v>0.03</v>
      </c>
      <c r="AT43" s="75">
        <v>0.03</v>
      </c>
      <c r="AU43" s="75">
        <v>0.03</v>
      </c>
      <c r="AV43" s="75">
        <v>0.03</v>
      </c>
      <c r="AW43" s="75">
        <v>0.03</v>
      </c>
      <c r="AX43" s="75">
        <v>0.03</v>
      </c>
      <c r="AY43" s="75">
        <v>0.03</v>
      </c>
      <c r="AZ43" s="75">
        <v>0.03</v>
      </c>
      <c r="BA43" s="75">
        <v>0.03</v>
      </c>
      <c r="BB43" s="75">
        <v>0.03</v>
      </c>
      <c r="BC43" s="75">
        <v>0.03</v>
      </c>
      <c r="BD43" s="75">
        <v>0.03</v>
      </c>
      <c r="BE43" s="75">
        <v>0.03</v>
      </c>
      <c r="BF43" s="75">
        <v>0.03</v>
      </c>
      <c r="BG43" s="75">
        <v>0.03</v>
      </c>
      <c r="BH43" s="75">
        <v>0.03</v>
      </c>
      <c r="BI43" s="75">
        <v>0.03</v>
      </c>
      <c r="BJ43" s="75">
        <v>0.03</v>
      </c>
      <c r="BK43" s="75">
        <v>0.03</v>
      </c>
      <c r="BL43" s="75">
        <v>0.03</v>
      </c>
      <c r="BM43" s="75">
        <v>0.03</v>
      </c>
      <c r="BN43" s="75">
        <v>0.03</v>
      </c>
      <c r="BO43" s="75">
        <v>0.03</v>
      </c>
      <c r="BP43" s="75">
        <v>0.03</v>
      </c>
      <c r="BQ43" s="75">
        <v>0.03</v>
      </c>
      <c r="BR43" s="75">
        <v>0.03</v>
      </c>
      <c r="BS43" s="75">
        <v>0.03</v>
      </c>
      <c r="BT43" s="75">
        <v>0.03</v>
      </c>
      <c r="BU43" s="75">
        <v>0.03</v>
      </c>
      <c r="BV43" s="75">
        <v>0.03</v>
      </c>
      <c r="BW43" s="75">
        <v>0.03</v>
      </c>
      <c r="BX43" s="75">
        <v>0.03</v>
      </c>
      <c r="BY43" s="75">
        <v>0.03</v>
      </c>
      <c r="BZ43" s="75">
        <v>0.03</v>
      </c>
      <c r="CA43" s="75">
        <v>0.03</v>
      </c>
      <c r="CB43" s="75">
        <v>0.03</v>
      </c>
      <c r="CC43" s="75">
        <v>0.03</v>
      </c>
      <c r="CD43" s="75">
        <v>0.03</v>
      </c>
      <c r="CE43" s="75">
        <v>0.03</v>
      </c>
      <c r="CF43" s="75">
        <v>0.03</v>
      </c>
      <c r="CG43" s="75">
        <v>0.03</v>
      </c>
      <c r="CH43" s="75">
        <v>0.03</v>
      </c>
      <c r="CI43" s="75">
        <v>0.03</v>
      </c>
      <c r="CJ43" s="75">
        <v>0.03</v>
      </c>
      <c r="CK43" s="75">
        <v>0.03</v>
      </c>
      <c r="CL43" s="75">
        <v>0.03</v>
      </c>
      <c r="CM43" s="75">
        <v>0.03</v>
      </c>
      <c r="CN43" s="75">
        <v>0.03</v>
      </c>
      <c r="CO43" s="75">
        <v>0.03</v>
      </c>
      <c r="CP43" s="75">
        <v>0.03</v>
      </c>
      <c r="CQ43" s="75">
        <v>0.03</v>
      </c>
      <c r="CR43" s="75">
        <v>0.03</v>
      </c>
      <c r="CS43" s="75">
        <v>0.03</v>
      </c>
      <c r="CT43" s="75">
        <v>0.03</v>
      </c>
      <c r="CU43" s="75">
        <v>0.03</v>
      </c>
      <c r="CV43" s="75">
        <v>0.03</v>
      </c>
      <c r="CW43" s="75">
        <v>0.03</v>
      </c>
      <c r="CX43" s="75">
        <v>0.03</v>
      </c>
      <c r="CY43" s="75">
        <v>0.03</v>
      </c>
      <c r="CZ43" s="75">
        <v>0.03</v>
      </c>
      <c r="DA43" s="75">
        <v>0.03</v>
      </c>
      <c r="DB43" s="75">
        <v>0.03</v>
      </c>
    </row>
    <row r="44" spans="1:106" x14ac:dyDescent="0.25">
      <c r="A44" s="36" t="s">
        <v>277</v>
      </c>
      <c r="C44" s="43">
        <f>=IFERROR(SUM(C116:C122)*C43,0)</f>
        <v>0</v>
      </c>
      <c r="D44" s="43">
        <f>=IFERROR(SUM(D114:D125)*C43,0)</f>
        <v>0</v>
      </c>
      <c r="E44" s="43">
        <f>=IFERROR(SUM(E114:E125)*D43,0)</f>
        <v>0</v>
      </c>
      <c r="F44" s="43">
        <f>=IFERROR(SUM(F114:F125)*E43,0)</f>
        <v>0</v>
      </c>
      <c r="G44" s="43">
        <f>=IFERROR(SUM(G114:G125)*F43,0)</f>
        <v>0</v>
      </c>
      <c r="H44" s="43">
        <f>=IFERROR(SUM(H114:H125)*G43,0)</f>
        <v>0</v>
      </c>
      <c r="I44" s="43">
        <f>=IFERROR(SUM(I114:I125)*H43,0)</f>
        <v>0</v>
      </c>
      <c r="J44" s="43">
        <f>=IFERROR(SUM(J114:J125)*I43,0)</f>
        <v>0</v>
      </c>
      <c r="K44" s="43">
        <f>=IFERROR(SUM(K114:K125)*J43,0)</f>
        <v>0</v>
      </c>
      <c r="L44" s="43">
        <f>=IFERROR(SUM(L114:L125)*K43,0)</f>
        <v>0</v>
      </c>
      <c r="M44" s="43">
        <f>=IFERROR(SUM(M114:M125)*L43,0)</f>
        <v>0</v>
      </c>
      <c r="N44" s="43">
        <f>=IFERROR(SUM(N114:N125)*M43,0)</f>
        <v>0</v>
      </c>
      <c r="O44" s="43">
        <f>=IFERROR(SUM(O114:O125)*N43,0)</f>
        <v>0</v>
      </c>
      <c r="P44" s="43">
        <f>=IFERROR(SUM(P114:P125)*O43,0)</f>
        <v>0</v>
      </c>
      <c r="Q44" s="43">
        <f>=IFERROR(SUM(Q114:Q125)*P43,0)</f>
        <v>0</v>
      </c>
      <c r="R44" s="43">
        <f>=IFERROR(SUM(R114:R125)*Q43,0)</f>
        <v>0</v>
      </c>
      <c r="S44" s="43">
        <f>=IFERROR(SUM(S114:S125)*R43,0)</f>
        <v>0</v>
      </c>
      <c r="T44" s="43">
        <f>=IFERROR(SUM(T114:T125)*S43,0)</f>
        <v>0</v>
      </c>
      <c r="U44" s="43">
        <f>=IFERROR(SUM(U114:U125)*T43,0)</f>
        <v>0</v>
      </c>
      <c r="V44" s="43">
        <f>=IFERROR(SUM(V114:V125)*U43,0)</f>
        <v>0</v>
      </c>
      <c r="W44" s="43">
        <f>=IFERROR(SUM(W114:W125)*V43,0)</f>
        <v>0</v>
      </c>
      <c r="X44" s="43">
        <f>=IFERROR(SUM(X114:X125)*W43,0)</f>
        <v>0</v>
      </c>
      <c r="Y44" s="43">
        <f>=IFERROR(SUM(Y114:Y125)*X43,0)</f>
        <v>0</v>
      </c>
      <c r="Z44" s="43">
        <f>=IFERROR(SUM(Z114:Z125)*Y43,0)</f>
        <v>0</v>
      </c>
      <c r="AA44" s="43">
        <f>=IFERROR(SUM(AA114:AA125)*Z43,0)</f>
        <v>0</v>
      </c>
      <c r="AB44" s="43">
        <f>=IFERROR(SUM(AB114:AB125)*AA43,0)</f>
        <v>0</v>
      </c>
      <c r="AC44" s="43">
        <f>=IFERROR(SUM(AC114:AC125)*AB43,0)</f>
        <v>0</v>
      </c>
      <c r="AD44" s="43">
        <f>=IFERROR(SUM(AD114:AD125)*AC43,0)</f>
        <v>0</v>
      </c>
      <c r="AE44" s="43">
        <f>=IFERROR(SUM(AE114:AE125)*AD43,0)</f>
        <v>0</v>
      </c>
      <c r="AF44" s="43">
        <f>=IFERROR(SUM(AF114:AF125)*AE43,0)</f>
        <v>0</v>
      </c>
      <c r="AG44" s="43">
        <f>=IFERROR(SUM(AG114:AG125)*AF43,0)</f>
        <v>0</v>
      </c>
      <c r="AH44" s="43">
        <f>=IFERROR(SUM(AH114:AH125)*AG43,0)</f>
        <v>0</v>
      </c>
      <c r="AI44" s="43">
        <f>=IFERROR(SUM(AI114:AI125)*AH43,0)</f>
        <v>0</v>
      </c>
      <c r="AJ44" s="43">
        <f>=IFERROR(SUM(AJ114:AJ125)*AI43,0)</f>
        <v>0</v>
      </c>
      <c r="AK44" s="43">
        <f>=IFERROR(SUM(AK114:AK125)*AJ43,0)</f>
        <v>0</v>
      </c>
      <c r="AL44" s="43">
        <f>=IFERROR(SUM(AL114:AL125)*AK43,0)</f>
        <v>0</v>
      </c>
      <c r="AM44" s="43">
        <f>=IFERROR(SUM(AM114:AM125)*AL43,0)</f>
        <v>0</v>
      </c>
      <c r="AN44" s="43">
        <f>=IFERROR(SUM(AN114:AN125)*AM43,0)</f>
        <v>0</v>
      </c>
      <c r="AO44" s="43">
        <f>=IFERROR(SUM(AO114:AO125)*AN43,0)</f>
        <v>0</v>
      </c>
      <c r="AP44" s="43">
        <f>=IFERROR(SUM(AP114:AP125)*AO43,0)</f>
        <v>0</v>
      </c>
      <c r="AQ44" s="43">
        <f>=IFERROR(SUM(AQ114:AQ125)*AP43,0)</f>
        <v>0</v>
      </c>
      <c r="AR44" s="43">
        <f>=IFERROR(SUM(AR114:AR125)*AQ43,0)</f>
        <v>0</v>
      </c>
      <c r="AS44" s="43">
        <f>=IFERROR(SUM(AS114:AS125)*AR43,0)</f>
        <v>0</v>
      </c>
      <c r="AT44" s="43">
        <f>=IFERROR(SUM(AT114:AT125)*AS43,0)</f>
        <v>0</v>
      </c>
      <c r="AU44" s="43">
        <f>=IFERROR(SUM(AU114:AU125)*AT43,0)</f>
        <v>0</v>
      </c>
      <c r="AV44" s="43">
        <f>=IFERROR(SUM(AV114:AV125)*AU43,0)</f>
        <v>0</v>
      </c>
      <c r="AW44" s="43">
        <f>=IFERROR(SUM(AW114:AW125)*AV43,0)</f>
        <v>0</v>
      </c>
      <c r="AX44" s="43">
        <f>=IFERROR(SUM(AX114:AX125)*AW43,0)</f>
        <v>0</v>
      </c>
      <c r="AY44" s="43">
        <f>=IFERROR(SUM(AY114:AY125)*AX43,0)</f>
        <v>0</v>
      </c>
      <c r="AZ44" s="43">
        <f>=IFERROR(SUM(AZ114:AZ125)*AY43,0)</f>
        <v>0</v>
      </c>
      <c r="BA44" s="43">
        <f>=IFERROR(SUM(BA114:BA125)*AZ43,0)</f>
        <v>0</v>
      </c>
      <c r="BB44" s="43">
        <f>=IFERROR(SUM(BB114:BB125)*BA43,0)</f>
        <v>0</v>
      </c>
      <c r="BC44" s="43">
        <f>=IFERROR(SUM(BC114:BC125)*BB43,0)</f>
        <v>0</v>
      </c>
      <c r="BD44" s="43">
        <f>=IFERROR(SUM(BD114:BD125)*BC43,0)</f>
        <v>0</v>
      </c>
      <c r="BE44" s="43">
        <f>=IFERROR(SUM(BE114:BE125)*BD43,0)</f>
        <v>0</v>
      </c>
      <c r="BF44" s="43">
        <f>=IFERROR(SUM(BF114:BF125)*BE43,0)</f>
        <v>0</v>
      </c>
      <c r="BG44" s="43">
        <f>=IFERROR(SUM(BG114:BG125)*BF43,0)</f>
        <v>0</v>
      </c>
      <c r="BH44" s="43">
        <f>=IFERROR(SUM(BH114:BH125)*BG43,0)</f>
        <v>0</v>
      </c>
      <c r="BI44" s="43">
        <f>=IFERROR(SUM(BI114:BI125)*BH43,0)</f>
        <v>0</v>
      </c>
      <c r="BJ44" s="43">
        <f>=IFERROR(SUM(BJ114:BJ125)*BI43,0)</f>
        <v>0</v>
      </c>
      <c r="BK44" s="43">
        <f>=IFERROR(SUM(BK114:BK125)*BJ43,0)</f>
        <v>0</v>
      </c>
      <c r="BL44" s="43">
        <f>=IFERROR(SUM(BL114:BL125)*BK43,0)</f>
        <v>0</v>
      </c>
      <c r="BM44" s="43">
        <f>=IFERROR(SUM(BM114:BM125)*BL43,0)</f>
        <v>0</v>
      </c>
      <c r="BN44" s="43">
        <f>=IFERROR(SUM(BN114:BN125)*BM43,0)</f>
        <v>0</v>
      </c>
      <c r="BO44" s="43">
        <f>=IFERROR(SUM(BO114:BO125)*BN43,0)</f>
        <v>0</v>
      </c>
      <c r="BP44" s="43">
        <f>=IFERROR(SUM(BP114:BP125)*BO43,0)</f>
        <v>0</v>
      </c>
      <c r="BQ44" s="43">
        <f>=IFERROR(SUM(BQ114:BQ125)*BP43,0)</f>
        <v>0</v>
      </c>
      <c r="BR44" s="43">
        <f>=IFERROR(SUM(BR114:BR125)*BQ43,0)</f>
        <v>0</v>
      </c>
      <c r="BS44" s="43">
        <f>=IFERROR(SUM(BS114:BS125)*BR43,0)</f>
        <v>0</v>
      </c>
      <c r="BT44" s="43">
        <f>=IFERROR(SUM(BT114:BT125)*BS43,0)</f>
        <v>0</v>
      </c>
      <c r="BU44" s="43">
        <f>=IFERROR(SUM(BU114:BU125)*BT43,0)</f>
        <v>0</v>
      </c>
      <c r="BV44" s="43">
        <f>=IFERROR(SUM(BV114:BV125)*BU43,0)</f>
        <v>0</v>
      </c>
      <c r="BW44" s="43">
        <f>=IFERROR(SUM(BW114:BW125)*BV43,0)</f>
        <v>0</v>
      </c>
      <c r="BX44" s="43">
        <f>=IFERROR(SUM(BX114:BX125)*BW43,0)</f>
        <v>0</v>
      </c>
      <c r="BY44" s="43">
        <f>=IFERROR(SUM(BY114:BY125)*BX43,0)</f>
        <v>0</v>
      </c>
      <c r="BZ44" s="43">
        <f>=IFERROR(SUM(BZ114:BZ125)*BY43,0)</f>
        <v>0</v>
      </c>
      <c r="CA44" s="43">
        <f>=IFERROR(SUM(CA114:CA125)*BZ43,0)</f>
        <v>0</v>
      </c>
      <c r="CB44" s="43">
        <f>=IFERROR(SUM(CB114:CB125)*CA43,0)</f>
        <v>0</v>
      </c>
      <c r="CC44" s="43">
        <f>=IFERROR(SUM(CC114:CC125)*CB43,0)</f>
        <v>0</v>
      </c>
      <c r="CD44" s="43">
        <f>=IFERROR(SUM(CD114:CD125)*CC43,0)</f>
        <v>0</v>
      </c>
      <c r="CE44" s="43">
        <f>=IFERROR(SUM(CE114:CE125)*CD43,0)</f>
        <v>0</v>
      </c>
      <c r="CF44" s="43">
        <f>=IFERROR(SUM(CF114:CF125)*CE43,0)</f>
        <v>0</v>
      </c>
      <c r="CG44" s="43">
        <f>=IFERROR(SUM(CG114:CG125)*CF43,0)</f>
        <v>0</v>
      </c>
      <c r="CH44" s="43">
        <f>=IFERROR(SUM(CH114:CH125)*CG43,0)</f>
        <v>0</v>
      </c>
      <c r="CI44" s="43">
        <f>=IFERROR(SUM(CI114:CI125)*CH43,0)</f>
        <v>0</v>
      </c>
      <c r="CJ44" s="43">
        <f>=IFERROR(SUM(CJ114:CJ125)*CI43,0)</f>
        <v>0</v>
      </c>
      <c r="CK44" s="43">
        <f>=IFERROR(SUM(CK114:CK125)*CJ43,0)</f>
        <v>0</v>
      </c>
      <c r="CL44" s="43">
        <f>=IFERROR(SUM(CL114:CL125)*CK43,0)</f>
        <v>0</v>
      </c>
      <c r="CM44" s="43">
        <f>=IFERROR(SUM(CM114:CM125)*CL43,0)</f>
        <v>0</v>
      </c>
      <c r="CN44" s="43">
        <f>=IFERROR(SUM(CN114:CN125)*CM43,0)</f>
        <v>0</v>
      </c>
      <c r="CO44" s="43">
        <f>=IFERROR(SUM(CO114:CO125)*CN43,0)</f>
        <v>0</v>
      </c>
      <c r="CP44" s="43">
        <f>=IFERROR(SUM(CP114:CP125)*CO43,0)</f>
        <v>0</v>
      </c>
      <c r="CQ44" s="43">
        <f>=IFERROR(SUM(CQ114:CQ125)*CP43,0)</f>
        <v>0</v>
      </c>
      <c r="CR44" s="43">
        <f>=IFERROR(SUM(CR114:CR125)*CQ43,0)</f>
        <v>0</v>
      </c>
      <c r="CS44" s="43">
        <f>=IFERROR(SUM(CS114:CS125)*CR43,0)</f>
        <v>0</v>
      </c>
      <c r="CT44" s="43">
        <f>=IFERROR(SUM(CT114:CT125)*CS43,0)</f>
        <v>0</v>
      </c>
      <c r="CU44" s="43">
        <f>=IFERROR(SUM(CU114:CU125)*CT43,0)</f>
        <v>0</v>
      </c>
      <c r="CV44" s="43">
        <f>=IFERROR(SUM(CV114:CV125)*CU43,0)</f>
        <v>0</v>
      </c>
      <c r="CW44" s="43">
        <f>=IFERROR(SUM(CW114:CW125)*CV43,0)</f>
        <v>0</v>
      </c>
      <c r="CX44" s="43">
        <f>=IFERROR(SUM(CX114:CX125)*CW43,0)</f>
        <v>0</v>
      </c>
      <c r="CY44" s="43">
        <f>=IFERROR(SUM(CY114:CY125)*CX43,0)</f>
        <v>0</v>
      </c>
      <c r="CZ44" s="43">
        <f>=IFERROR(SUM(CZ114:CZ125)*CY43,0)</f>
        <v>0</v>
      </c>
      <c r="DA44" s="43">
        <f>=IFERROR(SUM(DA114:DA125)*CZ43,0)</f>
        <v>0</v>
      </c>
      <c r="DB44" s="43">
        <f>=IFERROR(SUM(DB114:DB125)*DA43,0)</f>
        <v>0</v>
      </c>
    </row>
    <row r="45" spans="1:106" x14ac:dyDescent="0.25">
      <c r="A45" s="16" t="s">
        <v>278</v>
      </c>
      <c r="C45" s="44">
        <v>1</v>
      </c>
      <c r="D45" s="44">
        <v>1</v>
      </c>
      <c r="E45" s="44">
        <v>1</v>
      </c>
      <c r="F45" s="44">
        <v>1</v>
      </c>
      <c r="G45" s="44">
        <v>1</v>
      </c>
      <c r="H45" s="44">
        <v>1</v>
      </c>
      <c r="I45" s="44">
        <v>1</v>
      </c>
      <c r="J45" s="44">
        <v>1</v>
      </c>
      <c r="K45" s="44">
        <v>1</v>
      </c>
      <c r="L45" s="44">
        <v>1</v>
      </c>
      <c r="M45" s="44">
        <v>1</v>
      </c>
      <c r="N45" s="44">
        <v>1</v>
      </c>
      <c r="O45" s="44">
        <v>1</v>
      </c>
      <c r="P45" s="44">
        <v>1</v>
      </c>
      <c r="Q45" s="44">
        <v>1</v>
      </c>
      <c r="R45" s="44">
        <v>1</v>
      </c>
      <c r="S45" s="44">
        <v>1</v>
      </c>
      <c r="T45" s="44">
        <v>1</v>
      </c>
      <c r="U45" s="44">
        <v>1</v>
      </c>
      <c r="V45" s="44">
        <v>1</v>
      </c>
      <c r="W45" s="44">
        <v>1</v>
      </c>
      <c r="X45" s="44">
        <v>1</v>
      </c>
      <c r="Y45" s="44">
        <v>1</v>
      </c>
      <c r="Z45" s="44">
        <v>1</v>
      </c>
      <c r="AA45" s="44">
        <v>1</v>
      </c>
      <c r="AB45" s="44">
        <v>1</v>
      </c>
      <c r="AC45" s="44">
        <v>1</v>
      </c>
      <c r="AD45" s="44">
        <v>1</v>
      </c>
      <c r="AE45" s="44">
        <v>1</v>
      </c>
      <c r="AF45" s="44">
        <v>1</v>
      </c>
      <c r="AG45" s="44">
        <v>1</v>
      </c>
      <c r="AH45" s="44">
        <v>1</v>
      </c>
      <c r="AI45" s="44">
        <v>1</v>
      </c>
      <c r="AJ45" s="44">
        <v>1</v>
      </c>
      <c r="AK45" s="44">
        <v>1</v>
      </c>
      <c r="AL45" s="44">
        <v>1</v>
      </c>
      <c r="AM45" s="44">
        <v>1</v>
      </c>
      <c r="AN45" s="44">
        <v>1</v>
      </c>
      <c r="AO45" s="44">
        <v>1</v>
      </c>
      <c r="AP45" s="44">
        <v>1</v>
      </c>
      <c r="AQ45" s="44">
        <v>1</v>
      </c>
      <c r="AR45" s="44">
        <v>1</v>
      </c>
      <c r="AS45" s="44">
        <v>1</v>
      </c>
      <c r="AT45" s="44">
        <v>1</v>
      </c>
      <c r="AU45" s="44">
        <v>1</v>
      </c>
      <c r="AV45" s="44">
        <v>1</v>
      </c>
      <c r="AW45" s="44">
        <v>1</v>
      </c>
      <c r="AX45" s="44">
        <v>1</v>
      </c>
      <c r="AY45" s="44">
        <v>1</v>
      </c>
      <c r="AZ45" s="44">
        <v>1</v>
      </c>
      <c r="BA45" s="44">
        <v>1</v>
      </c>
      <c r="BB45" s="44">
        <v>1</v>
      </c>
      <c r="BC45" s="44">
        <v>1</v>
      </c>
      <c r="BD45" s="44">
        <v>1</v>
      </c>
      <c r="BE45" s="44">
        <v>1</v>
      </c>
      <c r="BF45" s="44">
        <v>1</v>
      </c>
      <c r="BG45" s="44">
        <v>1</v>
      </c>
      <c r="BH45" s="44">
        <v>1</v>
      </c>
      <c r="BI45" s="44">
        <v>1</v>
      </c>
      <c r="BJ45" s="44">
        <v>1</v>
      </c>
      <c r="BK45" s="44">
        <v>1</v>
      </c>
      <c r="BL45" s="44">
        <v>1</v>
      </c>
      <c r="BM45" s="44">
        <v>1</v>
      </c>
      <c r="BN45" s="44">
        <v>1</v>
      </c>
      <c r="BO45" s="44">
        <v>1</v>
      </c>
      <c r="BP45" s="44">
        <v>1</v>
      </c>
      <c r="BQ45" s="44">
        <v>1</v>
      </c>
      <c r="BR45" s="44">
        <v>1</v>
      </c>
      <c r="BS45" s="44">
        <v>1</v>
      </c>
      <c r="BT45" s="44">
        <v>1</v>
      </c>
      <c r="BU45" s="44">
        <v>1</v>
      </c>
      <c r="BV45" s="44">
        <v>1</v>
      </c>
      <c r="BW45" s="44">
        <v>1</v>
      </c>
      <c r="BX45" s="44">
        <v>1</v>
      </c>
      <c r="BY45" s="44">
        <v>1</v>
      </c>
      <c r="BZ45" s="44">
        <v>1</v>
      </c>
      <c r="CA45" s="44">
        <v>1</v>
      </c>
      <c r="CB45" s="44">
        <v>1</v>
      </c>
      <c r="CC45" s="44">
        <v>1</v>
      </c>
      <c r="CD45" s="44">
        <v>1</v>
      </c>
      <c r="CE45" s="44">
        <v>1</v>
      </c>
      <c r="CF45" s="44">
        <v>1</v>
      </c>
      <c r="CG45" s="44">
        <v>1</v>
      </c>
      <c r="CH45" s="44">
        <v>1</v>
      </c>
      <c r="CI45" s="44">
        <v>1</v>
      </c>
      <c r="CJ45" s="44">
        <v>1</v>
      </c>
      <c r="CK45" s="44">
        <v>1</v>
      </c>
      <c r="CL45" s="44">
        <v>1</v>
      </c>
      <c r="CM45" s="44">
        <v>1</v>
      </c>
      <c r="CN45" s="44">
        <v>1</v>
      </c>
      <c r="CO45" s="44">
        <v>1</v>
      </c>
      <c r="CP45" s="44">
        <v>1</v>
      </c>
      <c r="CQ45" s="44">
        <v>1</v>
      </c>
      <c r="CR45" s="44">
        <v>1</v>
      </c>
      <c r="CS45" s="44">
        <v>1</v>
      </c>
      <c r="CT45" s="44">
        <v>1</v>
      </c>
      <c r="CU45" s="44">
        <v>1</v>
      </c>
      <c r="CV45" s="44">
        <v>1</v>
      </c>
      <c r="CW45" s="44">
        <v>1</v>
      </c>
      <c r="CX45" s="44">
        <v>1</v>
      </c>
      <c r="CY45" s="44">
        <v>1</v>
      </c>
      <c r="CZ45" s="44">
        <v>1</v>
      </c>
      <c r="DA45" s="44">
        <v>1</v>
      </c>
      <c r="DB45" s="44">
        <v>1</v>
      </c>
    </row>
    <row r="46" ht="15" customHeight="1" spans="1:106" x14ac:dyDescent="0.25">
      <c r="A46" s="16" t="s">
        <v>279</v>
      </c>
      <c r="B46" s="17"/>
      <c r="C46" s="45">
        <v>0</v>
      </c>
      <c r="D46" s="45">
        <v>0</v>
      </c>
      <c r="E46" s="45">
        <v>0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v>0</v>
      </c>
      <c r="O46" s="45">
        <v>0</v>
      </c>
      <c r="P46" s="45">
        <v>0</v>
      </c>
      <c r="Q46" s="45">
        <v>0</v>
      </c>
      <c r="R46" s="45">
        <v>0</v>
      </c>
      <c r="S46" s="45">
        <v>0</v>
      </c>
      <c r="T46" s="45">
        <v>0</v>
      </c>
      <c r="U46" s="45">
        <v>0</v>
      </c>
      <c r="V46" s="45">
        <v>0</v>
      </c>
      <c r="W46" s="45">
        <v>0</v>
      </c>
      <c r="X46" s="45">
        <v>0</v>
      </c>
      <c r="Y46" s="45">
        <v>0</v>
      </c>
      <c r="Z46" s="45">
        <v>0</v>
      </c>
      <c r="AA46" s="45">
        <v>0</v>
      </c>
      <c r="AB46" s="45">
        <v>0</v>
      </c>
      <c r="AC46" s="45">
        <v>0</v>
      </c>
      <c r="AD46" s="45">
        <v>0</v>
      </c>
      <c r="AE46" s="45">
        <v>0</v>
      </c>
      <c r="AF46" s="45">
        <v>0</v>
      </c>
      <c r="AG46" s="45">
        <v>0</v>
      </c>
      <c r="AH46" s="45">
        <v>0</v>
      </c>
      <c r="AI46" s="45">
        <v>0</v>
      </c>
      <c r="AJ46" s="45">
        <v>0</v>
      </c>
      <c r="AK46" s="45">
        <v>0</v>
      </c>
      <c r="AL46" s="45">
        <v>0</v>
      </c>
      <c r="AM46" s="45">
        <v>0</v>
      </c>
      <c r="AN46" s="45">
        <v>0</v>
      </c>
      <c r="AO46" s="45">
        <v>0</v>
      </c>
      <c r="AP46" s="45">
        <v>0</v>
      </c>
      <c r="AQ46" s="45">
        <v>0</v>
      </c>
      <c r="AR46" s="45">
        <v>0</v>
      </c>
      <c r="AS46" s="45">
        <v>0</v>
      </c>
      <c r="AT46" s="45">
        <v>0</v>
      </c>
      <c r="AU46" s="45">
        <v>0</v>
      </c>
      <c r="AV46" s="45">
        <v>0</v>
      </c>
      <c r="AW46" s="45">
        <v>0</v>
      </c>
      <c r="AX46" s="45">
        <v>0</v>
      </c>
      <c r="AY46" s="45">
        <v>0</v>
      </c>
      <c r="AZ46" s="45">
        <v>0</v>
      </c>
      <c r="BA46" s="45">
        <v>0</v>
      </c>
      <c r="BB46" s="45">
        <v>0</v>
      </c>
      <c r="BC46" s="45">
        <v>0</v>
      </c>
      <c r="BD46" s="45">
        <v>0</v>
      </c>
      <c r="BE46" s="45">
        <v>0</v>
      </c>
      <c r="BF46" s="45">
        <v>0</v>
      </c>
      <c r="BG46" s="45">
        <v>0</v>
      </c>
      <c r="BH46" s="45">
        <v>0</v>
      </c>
      <c r="BI46" s="45">
        <v>0</v>
      </c>
      <c r="BJ46" s="45">
        <v>0</v>
      </c>
      <c r="BK46" s="45">
        <v>0</v>
      </c>
      <c r="BL46" s="45">
        <v>0</v>
      </c>
      <c r="BM46" s="45">
        <v>0</v>
      </c>
      <c r="BN46" s="45">
        <v>0</v>
      </c>
      <c r="BO46" s="45">
        <v>0</v>
      </c>
      <c r="BP46" s="45">
        <v>0</v>
      </c>
      <c r="BQ46" s="45">
        <v>0</v>
      </c>
      <c r="BR46" s="45">
        <v>0</v>
      </c>
      <c r="BS46" s="45">
        <v>0</v>
      </c>
      <c r="BT46" s="45">
        <v>0</v>
      </c>
      <c r="BU46" s="45">
        <v>0</v>
      </c>
      <c r="BV46" s="45">
        <v>0</v>
      </c>
      <c r="BW46" s="45">
        <v>0</v>
      </c>
      <c r="BX46" s="45">
        <v>0</v>
      </c>
      <c r="BY46" s="45">
        <v>0</v>
      </c>
      <c r="BZ46" s="45">
        <v>0</v>
      </c>
      <c r="CA46" s="45">
        <v>0</v>
      </c>
      <c r="CB46" s="45">
        <v>0</v>
      </c>
      <c r="CC46" s="45">
        <v>0</v>
      </c>
      <c r="CD46" s="45">
        <v>0</v>
      </c>
      <c r="CE46" s="45">
        <v>0</v>
      </c>
      <c r="CF46" s="45">
        <v>0</v>
      </c>
      <c r="CG46" s="45">
        <v>0</v>
      </c>
      <c r="CH46" s="45">
        <v>0</v>
      </c>
      <c r="CI46" s="45">
        <v>0</v>
      </c>
      <c r="CJ46" s="45">
        <v>0</v>
      </c>
      <c r="CK46" s="45">
        <v>0</v>
      </c>
      <c r="CL46" s="45">
        <v>0</v>
      </c>
      <c r="CM46" s="45">
        <v>0</v>
      </c>
      <c r="CN46" s="45">
        <v>0</v>
      </c>
      <c r="CO46" s="45">
        <v>0</v>
      </c>
      <c r="CP46" s="45">
        <v>0</v>
      </c>
      <c r="CQ46" s="45">
        <v>0</v>
      </c>
      <c r="CR46" s="45">
        <v>0</v>
      </c>
      <c r="CS46" s="45">
        <v>0</v>
      </c>
      <c r="CT46" s="45">
        <v>0</v>
      </c>
      <c r="CU46" s="45">
        <v>0</v>
      </c>
      <c r="CV46" s="45">
        <v>0</v>
      </c>
      <c r="CW46" s="45">
        <v>0</v>
      </c>
      <c r="CX46" s="45">
        <v>0</v>
      </c>
      <c r="CY46" s="45">
        <v>0</v>
      </c>
      <c r="CZ46" s="45">
        <v>0</v>
      </c>
      <c r="DA46" s="45">
        <v>0</v>
      </c>
      <c r="DB46" s="45">
        <v>0</v>
      </c>
    </row>
    <row r="47" ht="15" customHeight="1" spans="1:106" x14ac:dyDescent="0.25">
      <c r="A47" s="16" t="s">
        <v>280</v>
      </c>
      <c r="B47" s="17"/>
      <c r="C47" s="46">
        <v>5</v>
      </c>
      <c r="D47" s="46">
        <v>5</v>
      </c>
      <c r="E47" s="46">
        <v>5</v>
      </c>
      <c r="F47" s="46">
        <v>5</v>
      </c>
      <c r="G47" s="46">
        <v>5</v>
      </c>
      <c r="H47" s="46">
        <v>5</v>
      </c>
      <c r="I47" s="46">
        <v>5</v>
      </c>
      <c r="J47" s="46">
        <v>5</v>
      </c>
      <c r="K47" s="46">
        <v>5</v>
      </c>
      <c r="L47" s="46">
        <v>5</v>
      </c>
      <c r="M47" s="46">
        <v>5</v>
      </c>
      <c r="N47" s="46">
        <v>5</v>
      </c>
      <c r="O47" s="46">
        <v>5</v>
      </c>
      <c r="P47" s="46">
        <v>5</v>
      </c>
      <c r="Q47" s="46">
        <v>5</v>
      </c>
      <c r="R47" s="46">
        <v>5</v>
      </c>
      <c r="S47" s="46">
        <v>5</v>
      </c>
      <c r="T47" s="46">
        <v>5</v>
      </c>
      <c r="U47" s="46">
        <v>5</v>
      </c>
      <c r="V47" s="46">
        <v>5</v>
      </c>
      <c r="W47" s="46">
        <v>5</v>
      </c>
      <c r="X47" s="46">
        <v>5</v>
      </c>
      <c r="Y47" s="46">
        <v>5</v>
      </c>
      <c r="Z47" s="46">
        <v>5</v>
      </c>
      <c r="AA47" s="46">
        <v>5</v>
      </c>
      <c r="AB47" s="46">
        <v>5</v>
      </c>
      <c r="AC47" s="46">
        <v>5</v>
      </c>
      <c r="AD47" s="46">
        <v>5</v>
      </c>
      <c r="AE47" s="46">
        <v>5</v>
      </c>
      <c r="AF47" s="46">
        <v>5</v>
      </c>
      <c r="AG47" s="46">
        <v>5</v>
      </c>
      <c r="AH47" s="46">
        <v>5</v>
      </c>
      <c r="AI47" s="46">
        <v>5</v>
      </c>
      <c r="AJ47" s="46">
        <v>5</v>
      </c>
      <c r="AK47" s="46">
        <v>5</v>
      </c>
      <c r="AL47" s="46">
        <v>5</v>
      </c>
      <c r="AM47" s="46">
        <v>5</v>
      </c>
      <c r="AN47" s="46">
        <v>5</v>
      </c>
      <c r="AO47" s="46">
        <v>5</v>
      </c>
      <c r="AP47" s="46">
        <v>5</v>
      </c>
      <c r="AQ47" s="46">
        <v>5</v>
      </c>
      <c r="AR47" s="46">
        <v>5</v>
      </c>
      <c r="AS47" s="46">
        <v>5</v>
      </c>
      <c r="AT47" s="46">
        <v>5</v>
      </c>
      <c r="AU47" s="46">
        <v>5</v>
      </c>
      <c r="AV47" s="46">
        <v>5</v>
      </c>
      <c r="AW47" s="46">
        <v>5</v>
      </c>
      <c r="AX47" s="46">
        <v>5</v>
      </c>
      <c r="AY47" s="46">
        <v>5</v>
      </c>
      <c r="AZ47" s="46">
        <v>5</v>
      </c>
      <c r="BA47" s="46">
        <v>5</v>
      </c>
      <c r="BB47" s="46">
        <v>5</v>
      </c>
      <c r="BC47" s="46">
        <v>5</v>
      </c>
      <c r="BD47" s="46">
        <v>5</v>
      </c>
      <c r="BE47" s="46">
        <v>5</v>
      </c>
      <c r="BF47" s="46">
        <v>5</v>
      </c>
      <c r="BG47" s="46">
        <v>5</v>
      </c>
      <c r="BH47" s="46">
        <v>5</v>
      </c>
      <c r="BI47" s="46">
        <v>5</v>
      </c>
      <c r="BJ47" s="46">
        <v>5</v>
      </c>
      <c r="BK47" s="46">
        <v>5</v>
      </c>
      <c r="BL47" s="46">
        <v>5</v>
      </c>
      <c r="BM47" s="46">
        <v>5</v>
      </c>
      <c r="BN47" s="46">
        <v>5</v>
      </c>
      <c r="BO47" s="46">
        <v>5</v>
      </c>
      <c r="BP47" s="46">
        <v>5</v>
      </c>
      <c r="BQ47" s="46">
        <v>5</v>
      </c>
      <c r="BR47" s="46">
        <v>5</v>
      </c>
      <c r="BS47" s="46">
        <v>5</v>
      </c>
      <c r="BT47" s="46">
        <v>5</v>
      </c>
      <c r="BU47" s="46">
        <v>5</v>
      </c>
      <c r="BV47" s="46">
        <v>5</v>
      </c>
      <c r="BW47" s="46">
        <v>5</v>
      </c>
      <c r="BX47" s="46">
        <v>5</v>
      </c>
      <c r="BY47" s="46">
        <v>5</v>
      </c>
      <c r="BZ47" s="46">
        <v>5</v>
      </c>
      <c r="CA47" s="46">
        <v>5</v>
      </c>
      <c r="CB47" s="46">
        <v>5</v>
      </c>
      <c r="CC47" s="46">
        <v>5</v>
      </c>
      <c r="CD47" s="46">
        <v>5</v>
      </c>
      <c r="CE47" s="46">
        <v>5</v>
      </c>
      <c r="CF47" s="46">
        <v>5</v>
      </c>
      <c r="CG47" s="46">
        <v>5</v>
      </c>
      <c r="CH47" s="46">
        <v>5</v>
      </c>
      <c r="CI47" s="46">
        <v>5</v>
      </c>
      <c r="CJ47" s="46">
        <v>5</v>
      </c>
      <c r="CK47" s="46">
        <v>5</v>
      </c>
      <c r="CL47" s="46">
        <v>5</v>
      </c>
      <c r="CM47" s="46">
        <v>5</v>
      </c>
      <c r="CN47" s="46">
        <v>5</v>
      </c>
      <c r="CO47" s="46">
        <v>5</v>
      </c>
      <c r="CP47" s="46">
        <v>5</v>
      </c>
      <c r="CQ47" s="46">
        <v>5</v>
      </c>
      <c r="CR47" s="46">
        <v>5</v>
      </c>
      <c r="CS47" s="46">
        <v>5</v>
      </c>
      <c r="CT47" s="46">
        <v>5</v>
      </c>
      <c r="CU47" s="46">
        <v>5</v>
      </c>
      <c r="CV47" s="46">
        <v>5</v>
      </c>
      <c r="CW47" s="46">
        <v>5</v>
      </c>
      <c r="CX47" s="46">
        <v>5</v>
      </c>
      <c r="CY47" s="46">
        <v>5</v>
      </c>
      <c r="CZ47" s="46">
        <v>5</v>
      </c>
      <c r="DA47" s="46">
        <v>5</v>
      </c>
      <c r="DB47" s="46">
        <v>5</v>
      </c>
    </row>
    <row r="48" ht="16" customHeight="1" spans="1:106" x14ac:dyDescent="0.25">
      <c r="A48" s="16" t="s">
        <v>281</v>
      </c>
      <c r="B48" s="17"/>
      <c r="C48" s="46">
        <v>8</v>
      </c>
      <c r="D48" s="46">
        <v>8</v>
      </c>
      <c r="E48" s="46">
        <v>8</v>
      </c>
      <c r="F48" s="46">
        <v>8</v>
      </c>
      <c r="G48" s="46">
        <v>8</v>
      </c>
      <c r="H48" s="46">
        <v>8</v>
      </c>
      <c r="I48" s="46">
        <v>8</v>
      </c>
      <c r="J48" s="46">
        <v>8</v>
      </c>
      <c r="K48" s="46">
        <v>8</v>
      </c>
      <c r="L48" s="46">
        <v>8</v>
      </c>
      <c r="M48" s="46">
        <v>8</v>
      </c>
      <c r="N48" s="46">
        <v>8</v>
      </c>
      <c r="O48" s="46">
        <v>8</v>
      </c>
      <c r="P48" s="46">
        <v>8</v>
      </c>
      <c r="Q48" s="46">
        <v>8</v>
      </c>
      <c r="R48" s="46">
        <v>8</v>
      </c>
      <c r="S48" s="46">
        <v>8</v>
      </c>
      <c r="T48" s="46">
        <v>8</v>
      </c>
      <c r="U48" s="46">
        <v>8</v>
      </c>
      <c r="V48" s="46">
        <v>8</v>
      </c>
      <c r="W48" s="46">
        <v>8</v>
      </c>
      <c r="X48" s="46">
        <v>8</v>
      </c>
      <c r="Y48" s="46">
        <v>8</v>
      </c>
      <c r="Z48" s="46">
        <v>8</v>
      </c>
      <c r="AA48" s="46">
        <v>8</v>
      </c>
      <c r="AB48" s="46">
        <v>8</v>
      </c>
      <c r="AC48" s="46">
        <v>8</v>
      </c>
      <c r="AD48" s="46">
        <v>8</v>
      </c>
      <c r="AE48" s="46">
        <v>8</v>
      </c>
      <c r="AF48" s="46">
        <v>8</v>
      </c>
      <c r="AG48" s="46">
        <v>8</v>
      </c>
      <c r="AH48" s="46">
        <v>8</v>
      </c>
      <c r="AI48" s="46">
        <v>8</v>
      </c>
      <c r="AJ48" s="46">
        <v>8</v>
      </c>
      <c r="AK48" s="46">
        <v>8</v>
      </c>
      <c r="AL48" s="46">
        <v>8</v>
      </c>
      <c r="AM48" s="46">
        <v>8</v>
      </c>
      <c r="AN48" s="46">
        <v>8</v>
      </c>
      <c r="AO48" s="46">
        <v>8</v>
      </c>
      <c r="AP48" s="46">
        <v>8</v>
      </c>
      <c r="AQ48" s="46">
        <v>8</v>
      </c>
      <c r="AR48" s="46">
        <v>8</v>
      </c>
      <c r="AS48" s="46">
        <v>8</v>
      </c>
      <c r="AT48" s="46">
        <v>8</v>
      </c>
      <c r="AU48" s="46">
        <v>8</v>
      </c>
      <c r="AV48" s="46">
        <v>8</v>
      </c>
      <c r="AW48" s="46">
        <v>8</v>
      </c>
      <c r="AX48" s="46">
        <v>8</v>
      </c>
      <c r="AY48" s="46">
        <v>8</v>
      </c>
      <c r="AZ48" s="46">
        <v>8</v>
      </c>
      <c r="BA48" s="46">
        <v>8</v>
      </c>
      <c r="BB48" s="46">
        <v>8</v>
      </c>
      <c r="BC48" s="46">
        <v>8</v>
      </c>
      <c r="BD48" s="46">
        <v>8</v>
      </c>
      <c r="BE48" s="46">
        <v>8</v>
      </c>
      <c r="BF48" s="46">
        <v>8</v>
      </c>
      <c r="BG48" s="46">
        <v>8</v>
      </c>
      <c r="BH48" s="46">
        <v>8</v>
      </c>
      <c r="BI48" s="46">
        <v>8</v>
      </c>
      <c r="BJ48" s="46">
        <v>8</v>
      </c>
      <c r="BK48" s="46">
        <v>8</v>
      </c>
      <c r="BL48" s="46">
        <v>8</v>
      </c>
      <c r="BM48" s="46">
        <v>8</v>
      </c>
      <c r="BN48" s="46">
        <v>8</v>
      </c>
      <c r="BO48" s="46">
        <v>8</v>
      </c>
      <c r="BP48" s="46">
        <v>8</v>
      </c>
      <c r="BQ48" s="46">
        <v>8</v>
      </c>
      <c r="BR48" s="46">
        <v>8</v>
      </c>
      <c r="BS48" s="46">
        <v>8</v>
      </c>
      <c r="BT48" s="46">
        <v>8</v>
      </c>
      <c r="BU48" s="46">
        <v>8</v>
      </c>
      <c r="BV48" s="46">
        <v>8</v>
      </c>
      <c r="BW48" s="46">
        <v>8</v>
      </c>
      <c r="BX48" s="46">
        <v>8</v>
      </c>
      <c r="BY48" s="46">
        <v>8</v>
      </c>
      <c r="BZ48" s="46">
        <v>8</v>
      </c>
      <c r="CA48" s="46">
        <v>8</v>
      </c>
      <c r="CB48" s="46">
        <v>8</v>
      </c>
      <c r="CC48" s="46">
        <v>8</v>
      </c>
      <c r="CD48" s="46">
        <v>8</v>
      </c>
      <c r="CE48" s="46">
        <v>8</v>
      </c>
      <c r="CF48" s="46">
        <v>8</v>
      </c>
      <c r="CG48" s="46">
        <v>8</v>
      </c>
      <c r="CH48" s="46">
        <v>8</v>
      </c>
      <c r="CI48" s="46">
        <v>8</v>
      </c>
      <c r="CJ48" s="46">
        <v>8</v>
      </c>
      <c r="CK48" s="46">
        <v>8</v>
      </c>
      <c r="CL48" s="46">
        <v>8</v>
      </c>
      <c r="CM48" s="46">
        <v>8</v>
      </c>
      <c r="CN48" s="46">
        <v>8</v>
      </c>
      <c r="CO48" s="46">
        <v>8</v>
      </c>
      <c r="CP48" s="46">
        <v>8</v>
      </c>
      <c r="CQ48" s="46">
        <v>8</v>
      </c>
      <c r="CR48" s="46">
        <v>8</v>
      </c>
      <c r="CS48" s="46">
        <v>8</v>
      </c>
      <c r="CT48" s="46">
        <v>8</v>
      </c>
      <c r="CU48" s="46">
        <v>8</v>
      </c>
      <c r="CV48" s="46">
        <v>8</v>
      </c>
      <c r="CW48" s="46">
        <v>8</v>
      </c>
      <c r="CX48" s="46">
        <v>8</v>
      </c>
      <c r="CY48" s="46">
        <v>8</v>
      </c>
      <c r="CZ48" s="46">
        <v>8</v>
      </c>
      <c r="DA48" s="46">
        <v>8</v>
      </c>
      <c r="DB48" s="46">
        <v>8</v>
      </c>
    </row>
    <row r="49" ht="15" customHeight="1" spans="1:106" x14ac:dyDescent="0.25">
      <c r="A49" s="16" t="s">
        <v>282</v>
      </c>
      <c r="B49" s="17"/>
      <c r="C49" s="46">
        <v>0</v>
      </c>
      <c r="D49" s="46">
        <v>0</v>
      </c>
      <c r="E49" s="46">
        <v>0</v>
      </c>
      <c r="F49" s="46">
        <v>0</v>
      </c>
      <c r="G49" s="46">
        <v>0</v>
      </c>
      <c r="H49" s="46">
        <v>0</v>
      </c>
      <c r="I49" s="46">
        <v>0</v>
      </c>
      <c r="J49" s="46">
        <v>0</v>
      </c>
      <c r="K49" s="46">
        <v>0</v>
      </c>
      <c r="L49" s="46">
        <v>0</v>
      </c>
      <c r="M49" s="46">
        <v>0</v>
      </c>
      <c r="N49" s="46">
        <v>0</v>
      </c>
      <c r="O49" s="46">
        <v>0</v>
      </c>
      <c r="P49" s="46">
        <v>0</v>
      </c>
      <c r="Q49" s="46">
        <v>0</v>
      </c>
      <c r="R49" s="46">
        <v>0</v>
      </c>
      <c r="S49" s="46">
        <v>0</v>
      </c>
      <c r="T49" s="46">
        <v>0</v>
      </c>
      <c r="U49" s="46">
        <v>0</v>
      </c>
      <c r="V49" s="46">
        <v>0</v>
      </c>
      <c r="W49" s="46">
        <v>0</v>
      </c>
      <c r="X49" s="46">
        <v>0</v>
      </c>
      <c r="Y49" s="46">
        <v>0</v>
      </c>
      <c r="Z49" s="46">
        <v>0</v>
      </c>
      <c r="AA49" s="46">
        <v>0</v>
      </c>
      <c r="AB49" s="46">
        <v>0</v>
      </c>
      <c r="AC49" s="46">
        <v>0</v>
      </c>
      <c r="AD49" s="46">
        <v>0</v>
      </c>
      <c r="AE49" s="46">
        <v>0</v>
      </c>
      <c r="AF49" s="46">
        <v>0</v>
      </c>
      <c r="AG49" s="46">
        <v>0</v>
      </c>
      <c r="AH49" s="46">
        <v>0</v>
      </c>
      <c r="AI49" s="46">
        <v>0</v>
      </c>
      <c r="AJ49" s="46">
        <v>0</v>
      </c>
      <c r="AK49" s="46">
        <v>0</v>
      </c>
      <c r="AL49" s="46">
        <v>0</v>
      </c>
      <c r="AM49" s="46">
        <v>0</v>
      </c>
      <c r="AN49" s="46">
        <v>0</v>
      </c>
      <c r="AO49" s="46">
        <v>0</v>
      </c>
      <c r="AP49" s="46">
        <v>0</v>
      </c>
      <c r="AQ49" s="46">
        <v>0</v>
      </c>
      <c r="AR49" s="46">
        <v>0</v>
      </c>
      <c r="AS49" s="46">
        <v>0</v>
      </c>
      <c r="AT49" s="46">
        <v>0</v>
      </c>
      <c r="AU49" s="46">
        <v>0</v>
      </c>
      <c r="AV49" s="46">
        <v>0</v>
      </c>
      <c r="AW49" s="46">
        <v>0</v>
      </c>
      <c r="AX49" s="46">
        <v>0</v>
      </c>
      <c r="AY49" s="46">
        <v>0</v>
      </c>
      <c r="AZ49" s="46">
        <v>0</v>
      </c>
      <c r="BA49" s="46">
        <v>0</v>
      </c>
      <c r="BB49" s="46">
        <v>0</v>
      </c>
      <c r="BC49" s="46">
        <v>0</v>
      </c>
      <c r="BD49" s="46">
        <v>0</v>
      </c>
      <c r="BE49" s="46">
        <v>0</v>
      </c>
      <c r="BF49" s="46">
        <v>0</v>
      </c>
      <c r="BG49" s="46">
        <v>0</v>
      </c>
      <c r="BH49" s="46">
        <v>0</v>
      </c>
      <c r="BI49" s="46">
        <v>0</v>
      </c>
      <c r="BJ49" s="46">
        <v>0</v>
      </c>
      <c r="BK49" s="46">
        <v>0</v>
      </c>
      <c r="BL49" s="46">
        <v>0</v>
      </c>
      <c r="BM49" s="46">
        <v>0</v>
      </c>
      <c r="BN49" s="46">
        <v>0</v>
      </c>
      <c r="BO49" s="46">
        <v>0</v>
      </c>
      <c r="BP49" s="46">
        <v>0</v>
      </c>
      <c r="BQ49" s="46">
        <v>0</v>
      </c>
      <c r="BR49" s="46">
        <v>0</v>
      </c>
      <c r="BS49" s="46">
        <v>0</v>
      </c>
      <c r="BT49" s="46">
        <v>0</v>
      </c>
      <c r="BU49" s="46">
        <v>0</v>
      </c>
      <c r="BV49" s="46">
        <v>0</v>
      </c>
      <c r="BW49" s="46">
        <v>0</v>
      </c>
      <c r="BX49" s="46">
        <v>0</v>
      </c>
      <c r="BY49" s="46">
        <v>0</v>
      </c>
      <c r="BZ49" s="46">
        <v>0</v>
      </c>
      <c r="CA49" s="46">
        <v>0</v>
      </c>
      <c r="CB49" s="46">
        <v>0</v>
      </c>
      <c r="CC49" s="46">
        <v>0</v>
      </c>
      <c r="CD49" s="46">
        <v>0</v>
      </c>
      <c r="CE49" s="46">
        <v>0</v>
      </c>
      <c r="CF49" s="46">
        <v>0</v>
      </c>
      <c r="CG49" s="46">
        <v>0</v>
      </c>
      <c r="CH49" s="46">
        <v>0</v>
      </c>
      <c r="CI49" s="46">
        <v>0</v>
      </c>
      <c r="CJ49" s="46">
        <v>0</v>
      </c>
      <c r="CK49" s="46">
        <v>0</v>
      </c>
      <c r="CL49" s="46">
        <v>0</v>
      </c>
      <c r="CM49" s="46">
        <v>0</v>
      </c>
      <c r="CN49" s="46">
        <v>0</v>
      </c>
      <c r="CO49" s="46">
        <v>0</v>
      </c>
      <c r="CP49" s="46">
        <v>0</v>
      </c>
      <c r="CQ49" s="46">
        <v>0</v>
      </c>
      <c r="CR49" s="46">
        <v>0</v>
      </c>
      <c r="CS49" s="46">
        <v>0</v>
      </c>
      <c r="CT49" s="46">
        <v>0</v>
      </c>
      <c r="CU49" s="46">
        <v>0</v>
      </c>
      <c r="CV49" s="46">
        <v>0</v>
      </c>
      <c r="CW49" s="46">
        <v>0</v>
      </c>
      <c r="CX49" s="46">
        <v>0</v>
      </c>
      <c r="CY49" s="46">
        <v>0</v>
      </c>
      <c r="CZ49" s="46">
        <v>0</v>
      </c>
      <c r="DA49" s="46">
        <v>0</v>
      </c>
      <c r="DB49" s="46">
        <v>0</v>
      </c>
    </row>
    <row r="50" spans="3:106" x14ac:dyDescent="0.25"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0"/>
      <c r="CI50" s="30"/>
      <c r="CJ50" s="30"/>
      <c r="CK50" s="30"/>
      <c r="CL50" s="30"/>
      <c r="CM50" s="30"/>
      <c r="CN50" s="30"/>
      <c r="CO50" s="30"/>
      <c r="CP50" s="30"/>
      <c r="CQ50" s="30"/>
      <c r="CR50" s="30"/>
      <c r="CS50" s="30"/>
      <c r="CT50" s="30"/>
      <c r="CU50" s="30"/>
      <c r="CV50" s="30"/>
      <c r="CW50" s="30"/>
      <c r="CX50" s="30"/>
      <c r="CY50" s="30"/>
      <c r="CZ50" s="30"/>
      <c r="DA50" s="30"/>
      <c r="DB50" s="30"/>
    </row>
    <row r="51" spans="1:106" x14ac:dyDescent="0.25">
      <c r="A51" s="9" t="s">
        <v>283</v>
      </c>
      <c r="B51" s="17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  <c r="CQ51" s="32"/>
      <c r="CR51" s="32"/>
      <c r="CS51" s="32"/>
      <c r="CT51" s="32"/>
      <c r="CU51" s="32"/>
      <c r="CV51" s="32"/>
      <c r="CW51" s="32"/>
      <c r="CX51" s="32"/>
      <c r="CY51" s="32"/>
      <c r="CZ51" s="32"/>
      <c r="DA51" s="32"/>
      <c r="DB51" s="32"/>
    </row>
    <row r="52" ht="15" customHeight="1" spans="1:106" x14ac:dyDescent="0.25">
      <c r="A52" s="33" t="s">
        <v>284</v>
      </c>
      <c r="B52" s="17"/>
      <c r="C52" s="34">
        <f>=IFERROR(1-((1-C53)*(1-C58)),0)</f>
        <v>0</v>
      </c>
      <c r="D52" s="34">
        <f>=IFERROR(1-((1-D53)*(1-D58)),0)</f>
        <v>0</v>
      </c>
      <c r="E52" s="34">
        <f>=IFERROR(1-((1-E53)*(1-E58)),0)</f>
        <v>0</v>
      </c>
      <c r="F52" s="34">
        <f>=IFERROR(1-((1-F53)*(1-F58)),0)</f>
        <v>0</v>
      </c>
      <c r="G52" s="34">
        <f>=IFERROR(1-((1-G53)*(1-G58)),0)</f>
        <v>0</v>
      </c>
      <c r="H52" s="34">
        <f>=IFERROR(1-((1-H53)*(1-H58)),0)</f>
        <v>0</v>
      </c>
      <c r="I52" s="34">
        <f>=IFERROR(1-((1-I53)*(1-I58)),0)</f>
        <v>0</v>
      </c>
      <c r="J52" s="34">
        <f>=IFERROR(1-((1-J53)*(1-J58)),0)</f>
        <v>0</v>
      </c>
      <c r="K52" s="34">
        <f>=IFERROR(1-((1-K53)*(1-K58)),0)</f>
        <v>0</v>
      </c>
      <c r="L52" s="34">
        <f>=IFERROR(1-((1-L53)*(1-L58)),0)</f>
        <v>0</v>
      </c>
      <c r="M52" s="34">
        <f>=IFERROR(1-((1-M53)*(1-M58)),0)</f>
        <v>0</v>
      </c>
      <c r="N52" s="34">
        <f>=IFERROR(1-((1-N53)*(1-N58)),0)</f>
        <v>0</v>
      </c>
      <c r="O52" s="34">
        <f>=IFERROR(1-((1-O53)*(1-O58)),0)</f>
        <v>0</v>
      </c>
      <c r="P52" s="34">
        <f>=IFERROR(1-((1-P53)*(1-P58)),0)</f>
        <v>0</v>
      </c>
      <c r="Q52" s="34">
        <f>=IFERROR(1-((1-Q53)*(1-Q58)),0)</f>
        <v>0</v>
      </c>
      <c r="R52" s="34">
        <f>=IFERROR(1-((1-R53)*(1-R58)),0)</f>
        <v>0</v>
      </c>
      <c r="S52" s="34">
        <f>=IFERROR(1-((1-S53)*(1-S58)),0)</f>
        <v>0</v>
      </c>
      <c r="T52" s="34">
        <f>=IFERROR(1-((1-T53)*(1-T58)),0)</f>
        <v>0</v>
      </c>
      <c r="U52" s="34">
        <f>=IFERROR(1-((1-U53)*(1-U58)),0)</f>
        <v>0</v>
      </c>
      <c r="V52" s="34">
        <f>=IFERROR(1-((1-V53)*(1-V58)),0)</f>
        <v>0</v>
      </c>
      <c r="W52" s="34">
        <f>=IFERROR(1-((1-W53)*(1-W58)),0)</f>
        <v>0</v>
      </c>
      <c r="X52" s="34">
        <f>=IFERROR(1-((1-X53)*(1-X58)),0)</f>
        <v>0</v>
      </c>
      <c r="Y52" s="34">
        <f>=IFERROR(1-((1-Y53)*(1-Y58)),0)</f>
        <v>0</v>
      </c>
      <c r="Z52" s="34">
        <f>=IFERROR(1-((1-Z53)*(1-Z58)),0)</f>
        <v>0</v>
      </c>
      <c r="AA52" s="34">
        <f>=IFERROR(1-((1-AA53)*(1-AA58)),0)</f>
        <v>0</v>
      </c>
      <c r="AB52" s="34">
        <f>=IFERROR(1-((1-AB53)*(1-AB58)),0)</f>
        <v>0</v>
      </c>
      <c r="AC52" s="34">
        <f>=IFERROR(1-((1-AC53)*(1-AC58)),0)</f>
        <v>0</v>
      </c>
      <c r="AD52" s="34">
        <f>=IFERROR(1-((1-AD53)*(1-AD58)),0)</f>
        <v>0</v>
      </c>
      <c r="AE52" s="34">
        <f>=IFERROR(1-((1-AE53)*(1-AE58)),0)</f>
        <v>0</v>
      </c>
      <c r="AF52" s="34">
        <f>=IFERROR(1-((1-AF53)*(1-AF58)),0)</f>
        <v>0</v>
      </c>
      <c r="AG52" s="34">
        <f>=IFERROR(1-((1-AG53)*(1-AG58)),0)</f>
        <v>0</v>
      </c>
      <c r="AH52" s="34">
        <f>=IFERROR(1-((1-AH53)*(1-AH58)),0)</f>
        <v>0</v>
      </c>
      <c r="AI52" s="34">
        <f>=IFERROR(1-((1-AI53)*(1-AI58)),0)</f>
        <v>0</v>
      </c>
      <c r="AJ52" s="34">
        <f>=IFERROR(1-((1-AJ53)*(1-AJ58)),0)</f>
        <v>0</v>
      </c>
      <c r="AK52" s="34">
        <f>=IFERROR(1-((1-AK53)*(1-AK58)),0)</f>
        <v>0</v>
      </c>
      <c r="AL52" s="34">
        <f>=IFERROR(1-((1-AL53)*(1-AL58)),0)</f>
        <v>0</v>
      </c>
      <c r="AM52" s="34">
        <f>=IFERROR(1-((1-AM53)*(1-AM58)),0)</f>
        <v>0</v>
      </c>
      <c r="AN52" s="34">
        <f>=IFERROR(1-((1-AN53)*(1-AN58)),0)</f>
        <v>0</v>
      </c>
      <c r="AO52" s="34">
        <f>=IFERROR(1-((1-AO53)*(1-AO58)),0)</f>
        <v>0</v>
      </c>
      <c r="AP52" s="34">
        <f>=IFERROR(1-((1-AP53)*(1-AP58)),0)</f>
        <v>0</v>
      </c>
      <c r="AQ52" s="34">
        <f>=IFERROR(1-((1-AQ53)*(1-AQ58)),0)</f>
        <v>0</v>
      </c>
      <c r="AR52" s="34">
        <f>=IFERROR(1-((1-AR53)*(1-AR58)),0)</f>
        <v>0</v>
      </c>
      <c r="AS52" s="34">
        <f>=IFERROR(1-((1-AS53)*(1-AS58)),0)</f>
        <v>0</v>
      </c>
      <c r="AT52" s="34">
        <f>=IFERROR(1-((1-AT53)*(1-AT58)),0)</f>
        <v>0</v>
      </c>
      <c r="AU52" s="34">
        <f>=IFERROR(1-((1-AU53)*(1-AU58)),0)</f>
        <v>0</v>
      </c>
      <c r="AV52" s="34">
        <f>=IFERROR(1-((1-AV53)*(1-AV58)),0)</f>
        <v>0</v>
      </c>
      <c r="AW52" s="34">
        <f>=IFERROR(1-((1-AW53)*(1-AW58)),0)</f>
        <v>0</v>
      </c>
      <c r="AX52" s="34">
        <f>=IFERROR(1-((1-AX53)*(1-AX58)),0)</f>
        <v>0</v>
      </c>
      <c r="AY52" s="34">
        <f>=IFERROR(1-((1-AY53)*(1-AY58)),0)</f>
        <v>0</v>
      </c>
      <c r="AZ52" s="34">
        <f>=IFERROR(1-((1-AZ53)*(1-AZ58)),0)</f>
        <v>0</v>
      </c>
      <c r="BA52" s="34">
        <f>=IFERROR(1-((1-BA53)*(1-BA58)),0)</f>
        <v>0</v>
      </c>
      <c r="BB52" s="34">
        <f>=IFERROR(1-((1-BB53)*(1-BB58)),0)</f>
        <v>0</v>
      </c>
      <c r="BC52" s="34">
        <f>=IFERROR(1-((1-BC53)*(1-BC58)),0)</f>
        <v>0</v>
      </c>
      <c r="BD52" s="34">
        <f>=IFERROR(1-((1-BD53)*(1-BD58)),0)</f>
        <v>0</v>
      </c>
      <c r="BE52" s="34">
        <f>=IFERROR(1-((1-BE53)*(1-BE58)),0)</f>
        <v>0</v>
      </c>
      <c r="BF52" s="34">
        <f>=IFERROR(1-((1-BF53)*(1-BF58)),0)</f>
        <v>0</v>
      </c>
      <c r="BG52" s="34">
        <f>=IFERROR(1-((1-BG53)*(1-BG58)),0)</f>
        <v>0</v>
      </c>
      <c r="BH52" s="34">
        <f>=IFERROR(1-((1-BH53)*(1-BH58)),0)</f>
        <v>0</v>
      </c>
      <c r="BI52" s="34">
        <f>=IFERROR(1-((1-BI53)*(1-BI58)),0)</f>
        <v>0</v>
      </c>
      <c r="BJ52" s="34">
        <f>=IFERROR(1-((1-BJ53)*(1-BJ58)),0)</f>
        <v>0</v>
      </c>
      <c r="BK52" s="34">
        <f>=IFERROR(1-((1-BK53)*(1-BK58)),0)</f>
        <v>0</v>
      </c>
      <c r="BL52" s="34">
        <f>=IFERROR(1-((1-BL53)*(1-BL58)),0)</f>
        <v>0</v>
      </c>
      <c r="BM52" s="34">
        <f>=IFERROR(1-((1-BM53)*(1-BM58)),0)</f>
        <v>0</v>
      </c>
      <c r="BN52" s="34">
        <f>=IFERROR(1-((1-BN53)*(1-BN58)),0)</f>
        <v>0</v>
      </c>
      <c r="BO52" s="34">
        <f>=IFERROR(1-((1-BO53)*(1-BO58)),0)</f>
        <v>0</v>
      </c>
      <c r="BP52" s="34">
        <f>=IFERROR(1-((1-BP53)*(1-BP58)),0)</f>
        <v>0</v>
      </c>
      <c r="BQ52" s="34">
        <f>=IFERROR(1-((1-BQ53)*(1-BQ58)),0)</f>
        <v>0</v>
      </c>
      <c r="BR52" s="34">
        <f>=IFERROR(1-((1-BR53)*(1-BR58)),0)</f>
        <v>0</v>
      </c>
      <c r="BS52" s="34">
        <f>=IFERROR(1-((1-BS53)*(1-BS58)),0)</f>
        <v>0</v>
      </c>
      <c r="BT52" s="34">
        <f>=IFERROR(1-((1-BT53)*(1-BT58)),0)</f>
        <v>0</v>
      </c>
      <c r="BU52" s="34">
        <f>=IFERROR(1-((1-BU53)*(1-BU58)),0)</f>
        <v>0</v>
      </c>
      <c r="BV52" s="34">
        <f>=IFERROR(1-((1-BV53)*(1-BV58)),0)</f>
        <v>0</v>
      </c>
      <c r="BW52" s="34">
        <f>=IFERROR(1-((1-BW53)*(1-BW58)),0)</f>
        <v>0</v>
      </c>
      <c r="BX52" s="34">
        <f>=IFERROR(1-((1-BX53)*(1-BX58)),0)</f>
        <v>0</v>
      </c>
      <c r="BY52" s="34">
        <f>=IFERROR(1-((1-BY53)*(1-BY58)),0)</f>
        <v>0</v>
      </c>
      <c r="BZ52" s="34">
        <f>=IFERROR(1-((1-BZ53)*(1-BZ58)),0)</f>
        <v>0</v>
      </c>
      <c r="CA52" s="34">
        <f>=IFERROR(1-((1-CA53)*(1-CA58)),0)</f>
        <v>0</v>
      </c>
      <c r="CB52" s="34">
        <f>=IFERROR(1-((1-CB53)*(1-CB58)),0)</f>
        <v>0</v>
      </c>
      <c r="CC52" s="34">
        <f>=IFERROR(1-((1-CC53)*(1-CC58)),0)</f>
        <v>0</v>
      </c>
      <c r="CD52" s="34">
        <f>=IFERROR(1-((1-CD53)*(1-CD58)),0)</f>
        <v>0</v>
      </c>
      <c r="CE52" s="34">
        <f>=IFERROR(1-((1-CE53)*(1-CE58)),0)</f>
        <v>0</v>
      </c>
      <c r="CF52" s="34">
        <f>=IFERROR(1-((1-CF53)*(1-CF58)),0)</f>
        <v>0</v>
      </c>
      <c r="CG52" s="34">
        <f>=IFERROR(1-((1-CG53)*(1-CG58)),0)</f>
        <v>0</v>
      </c>
      <c r="CH52" s="34">
        <f>=IFERROR(1-((1-CH53)*(1-CH58)),0)</f>
        <v>0</v>
      </c>
      <c r="CI52" s="34">
        <f>=IFERROR(1-((1-CI53)*(1-CI58)),0)</f>
        <v>0</v>
      </c>
      <c r="CJ52" s="34">
        <f>=IFERROR(1-((1-CJ53)*(1-CJ58)),0)</f>
        <v>0</v>
      </c>
      <c r="CK52" s="34">
        <f>=IFERROR(1-((1-CK53)*(1-CK58)),0)</f>
        <v>0</v>
      </c>
      <c r="CL52" s="34">
        <f>=IFERROR(1-((1-CL53)*(1-CL58)),0)</f>
        <v>0</v>
      </c>
      <c r="CM52" s="34">
        <f>=IFERROR(1-((1-CM53)*(1-CM58)),0)</f>
        <v>0</v>
      </c>
      <c r="CN52" s="34">
        <f>=IFERROR(1-((1-CN53)*(1-CN58)),0)</f>
        <v>0</v>
      </c>
      <c r="CO52" s="34">
        <f>=IFERROR(1-((1-CO53)*(1-CO58)),0)</f>
        <v>0</v>
      </c>
      <c r="CP52" s="34">
        <f>=IFERROR(1-((1-CP53)*(1-CP58)),0)</f>
        <v>0</v>
      </c>
      <c r="CQ52" s="34">
        <f>=IFERROR(1-((1-CQ53)*(1-CQ58)),0)</f>
        <v>0</v>
      </c>
      <c r="CR52" s="34">
        <f>=IFERROR(1-((1-CR53)*(1-CR58)),0)</f>
        <v>0</v>
      </c>
      <c r="CS52" s="34">
        <f>=IFERROR(1-((1-CS53)*(1-CS58)),0)</f>
        <v>0</v>
      </c>
      <c r="CT52" s="34">
        <f>=IFERROR(1-((1-CT53)*(1-CT58)),0)</f>
        <v>0</v>
      </c>
      <c r="CU52" s="34">
        <f>=IFERROR(1-((1-CU53)*(1-CU58)),0)</f>
        <v>0</v>
      </c>
      <c r="CV52" s="34">
        <f>=IFERROR(1-((1-CV53)*(1-CV58)),0)</f>
        <v>0</v>
      </c>
      <c r="CW52" s="34">
        <f>=IFERROR(1-((1-CW53)*(1-CW58)),0)</f>
        <v>0</v>
      </c>
      <c r="CX52" s="34">
        <f>=IFERROR(1-((1-CX53)*(1-CX58)),0)</f>
        <v>0</v>
      </c>
      <c r="CY52" s="34">
        <f>=IFERROR(1-((1-CY53)*(1-CY58)),0)</f>
        <v>0</v>
      </c>
      <c r="CZ52" s="34">
        <f>=IFERROR(1-((1-CZ53)*(1-CZ58)),0)</f>
        <v>0</v>
      </c>
      <c r="DA52" s="34">
        <f>=IFERROR(1-((1-DA53)*(1-DA58)),0)</f>
        <v>0</v>
      </c>
      <c r="DB52" s="34">
        <f>=IFERROR(1-((1-DB53)*(1-DB58)),0)</f>
        <v>0</v>
      </c>
    </row>
    <row r="53" ht="15" customHeight="1" spans="1:106" x14ac:dyDescent="0.25">
      <c r="A53" s="16" t="s">
        <v>285</v>
      </c>
      <c r="B53" s="17"/>
      <c r="C53" s="35">
        <f>=SUM(C54:C57)</f>
        <v>0</v>
      </c>
      <c r="D53" s="35">
        <f>=SUM(D54:D57)</f>
        <v>0</v>
      </c>
      <c r="E53" s="35">
        <f>=SUM(E54:E57)</f>
        <v>0</v>
      </c>
      <c r="F53" s="35">
        <f>=SUM(F54:F57)</f>
        <v>0</v>
      </c>
      <c r="G53" s="35">
        <f>=SUM(G54:G57)</f>
        <v>0</v>
      </c>
      <c r="H53" s="35">
        <f>=SUM(H54:H57)</f>
        <v>0</v>
      </c>
      <c r="I53" s="35">
        <f>=SUM(I54:I57)</f>
        <v>0</v>
      </c>
      <c r="J53" s="35">
        <f>=SUM(J54:J57)</f>
        <v>0</v>
      </c>
      <c r="K53" s="35">
        <f>=SUM(K54:K57)</f>
        <v>0</v>
      </c>
      <c r="L53" s="35">
        <f>=SUM(L54:L57)</f>
        <v>0</v>
      </c>
      <c r="M53" s="35">
        <f>=SUM(M54:M57)</f>
        <v>0</v>
      </c>
      <c r="N53" s="35">
        <f>=SUM(N54:N57)</f>
        <v>0</v>
      </c>
      <c r="O53" s="35">
        <f>=SUM(O54:O57)</f>
        <v>0</v>
      </c>
      <c r="P53" s="35">
        <f>=SUM(P54:P57)</f>
        <v>0</v>
      </c>
      <c r="Q53" s="35">
        <f>=SUM(Q54:Q57)</f>
        <v>0</v>
      </c>
      <c r="R53" s="35">
        <f>=SUM(R54:R57)</f>
        <v>0</v>
      </c>
      <c r="S53" s="35">
        <f>=SUM(S54:S57)</f>
        <v>0</v>
      </c>
      <c r="T53" s="35">
        <f>=SUM(T54:T57)</f>
        <v>0</v>
      </c>
      <c r="U53" s="35">
        <f>=SUM(U54:U57)</f>
        <v>0</v>
      </c>
      <c r="V53" s="35">
        <f>=SUM(V54:V57)</f>
        <v>0</v>
      </c>
      <c r="W53" s="35">
        <f>=SUM(W54:W57)</f>
        <v>0</v>
      </c>
      <c r="X53" s="35">
        <f>=SUM(X54:X57)</f>
        <v>0</v>
      </c>
      <c r="Y53" s="35">
        <f>=SUM(Y54:Y57)</f>
        <v>0</v>
      </c>
      <c r="Z53" s="35">
        <f>=SUM(Z54:Z57)</f>
        <v>0</v>
      </c>
      <c r="AA53" s="35">
        <f>=SUM(AA54:AA57)</f>
        <v>0</v>
      </c>
      <c r="AB53" s="35">
        <f>=SUM(AB54:AB57)</f>
        <v>0</v>
      </c>
      <c r="AC53" s="35">
        <f>=SUM(AC54:AC57)</f>
        <v>0</v>
      </c>
      <c r="AD53" s="35">
        <f>=SUM(AD54:AD57)</f>
        <v>0</v>
      </c>
      <c r="AE53" s="35">
        <f>=SUM(AE54:AE57)</f>
        <v>0</v>
      </c>
      <c r="AF53" s="35">
        <f>=SUM(AF54:AF57)</f>
        <v>0</v>
      </c>
      <c r="AG53" s="35">
        <f>=SUM(AG54:AG57)</f>
        <v>0</v>
      </c>
      <c r="AH53" s="35">
        <f>=SUM(AH54:AH57)</f>
        <v>0</v>
      </c>
      <c r="AI53" s="35">
        <f>=SUM(AI54:AI57)</f>
        <v>0</v>
      </c>
      <c r="AJ53" s="35">
        <f>=SUM(AJ54:AJ57)</f>
        <v>0</v>
      </c>
      <c r="AK53" s="35">
        <f>=SUM(AK54:AK57)</f>
        <v>0</v>
      </c>
      <c r="AL53" s="35">
        <f>=SUM(AL54:AL57)</f>
        <v>0</v>
      </c>
      <c r="AM53" s="35">
        <f>=SUM(AM54:AM57)</f>
        <v>0</v>
      </c>
      <c r="AN53" s="35">
        <f>=SUM(AN54:AN57)</f>
        <v>0</v>
      </c>
      <c r="AO53" s="35">
        <f>=SUM(AO54:AO57)</f>
        <v>0</v>
      </c>
      <c r="AP53" s="35">
        <f>=SUM(AP54:AP57)</f>
        <v>0</v>
      </c>
      <c r="AQ53" s="35">
        <f>=SUM(AQ54:AQ57)</f>
        <v>0</v>
      </c>
      <c r="AR53" s="35">
        <f>=SUM(AR54:AR57)</f>
        <v>0</v>
      </c>
      <c r="AS53" s="35">
        <f>=SUM(AS54:AS57)</f>
        <v>0</v>
      </c>
      <c r="AT53" s="35">
        <f>=SUM(AT54:AT57)</f>
        <v>0</v>
      </c>
      <c r="AU53" s="35">
        <f>=SUM(AU54:AU57)</f>
        <v>0</v>
      </c>
      <c r="AV53" s="35">
        <f>=SUM(AV54:AV57)</f>
        <v>0</v>
      </c>
      <c r="AW53" s="35">
        <f>=SUM(AW54:AW57)</f>
        <v>0</v>
      </c>
      <c r="AX53" s="35">
        <f>=SUM(AX54:AX57)</f>
        <v>0</v>
      </c>
      <c r="AY53" s="35">
        <f>=SUM(AY54:AY57)</f>
        <v>0</v>
      </c>
      <c r="AZ53" s="35">
        <f>=SUM(AZ54:AZ57)</f>
        <v>0</v>
      </c>
      <c r="BA53" s="35">
        <f>=SUM(BA54:BA57)</f>
        <v>0</v>
      </c>
      <c r="BB53" s="35">
        <f>=SUM(BB54:BB57)</f>
        <v>0</v>
      </c>
      <c r="BC53" s="35">
        <f>=SUM(BC54:BC57)</f>
        <v>0</v>
      </c>
      <c r="BD53" s="35">
        <f>=SUM(BD54:BD57)</f>
        <v>0</v>
      </c>
      <c r="BE53" s="35">
        <f>=SUM(BE54:BE57)</f>
        <v>0</v>
      </c>
      <c r="BF53" s="35">
        <f>=SUM(BF54:BF57)</f>
        <v>0</v>
      </c>
      <c r="BG53" s="35">
        <f>=SUM(BG54:BG57)</f>
        <v>0</v>
      </c>
      <c r="BH53" s="35">
        <f>=SUM(BH54:BH57)</f>
        <v>0</v>
      </c>
      <c r="BI53" s="35">
        <f>=SUM(BI54:BI57)</f>
        <v>0</v>
      </c>
      <c r="BJ53" s="35">
        <f>=SUM(BJ54:BJ57)</f>
        <v>0</v>
      </c>
      <c r="BK53" s="35">
        <f>=SUM(BK54:BK57)</f>
        <v>0</v>
      </c>
      <c r="BL53" s="35">
        <f>=SUM(BL54:BL57)</f>
        <v>0</v>
      </c>
      <c r="BM53" s="35">
        <f>=SUM(BM54:BM57)</f>
        <v>0</v>
      </c>
      <c r="BN53" s="35">
        <f>=SUM(BN54:BN57)</f>
        <v>0</v>
      </c>
      <c r="BO53" s="35">
        <f>=SUM(BO54:BO57)</f>
        <v>0</v>
      </c>
      <c r="BP53" s="35">
        <f>=SUM(BP54:BP57)</f>
        <v>0</v>
      </c>
      <c r="BQ53" s="35">
        <f>=SUM(BQ54:BQ57)</f>
        <v>0</v>
      </c>
      <c r="BR53" s="35">
        <f>=SUM(BR54:BR57)</f>
        <v>0</v>
      </c>
      <c r="BS53" s="35">
        <f>=SUM(BS54:BS57)</f>
        <v>0</v>
      </c>
      <c r="BT53" s="35">
        <f>=SUM(BT54:BT57)</f>
        <v>0</v>
      </c>
      <c r="BU53" s="35">
        <f>=SUM(BU54:BU57)</f>
        <v>0</v>
      </c>
      <c r="BV53" s="35">
        <f>=SUM(BV54:BV57)</f>
        <v>0</v>
      </c>
      <c r="BW53" s="35">
        <f>=SUM(BW54:BW57)</f>
        <v>0</v>
      </c>
      <c r="BX53" s="35">
        <f>=SUM(BX54:BX57)</f>
        <v>0</v>
      </c>
      <c r="BY53" s="35">
        <f>=SUM(BY54:BY57)</f>
        <v>0</v>
      </c>
      <c r="BZ53" s="35">
        <f>=SUM(BZ54:BZ57)</f>
        <v>0</v>
      </c>
      <c r="CA53" s="35">
        <f>=SUM(CA54:CA57)</f>
        <v>0</v>
      </c>
      <c r="CB53" s="35">
        <f>=SUM(CB54:CB57)</f>
        <v>0</v>
      </c>
      <c r="CC53" s="35">
        <f>=SUM(CC54:CC57)</f>
        <v>0</v>
      </c>
      <c r="CD53" s="35">
        <f>=SUM(CD54:CD57)</f>
        <v>0</v>
      </c>
      <c r="CE53" s="35">
        <f>=SUM(CE54:CE57)</f>
        <v>0</v>
      </c>
      <c r="CF53" s="35">
        <f>=SUM(CF54:CF57)</f>
        <v>0</v>
      </c>
      <c r="CG53" s="35">
        <f>=SUM(CG54:CG57)</f>
        <v>0</v>
      </c>
      <c r="CH53" s="35">
        <f>=SUM(CH54:CH57)</f>
        <v>0</v>
      </c>
      <c r="CI53" s="35">
        <f>=SUM(CI54:CI57)</f>
        <v>0</v>
      </c>
      <c r="CJ53" s="35">
        <f>=SUM(CJ54:CJ57)</f>
        <v>0</v>
      </c>
      <c r="CK53" s="35">
        <f>=SUM(CK54:CK57)</f>
        <v>0</v>
      </c>
      <c r="CL53" s="35">
        <f>=SUM(CL54:CL57)</f>
        <v>0</v>
      </c>
      <c r="CM53" s="35">
        <f>=SUM(CM54:CM57)</f>
        <v>0</v>
      </c>
      <c r="CN53" s="35">
        <f>=SUM(CN54:CN57)</f>
        <v>0</v>
      </c>
      <c r="CO53" s="35">
        <f>=SUM(CO54:CO57)</f>
        <v>0</v>
      </c>
      <c r="CP53" s="35">
        <f>=SUM(CP54:CP57)</f>
        <v>0</v>
      </c>
      <c r="CQ53" s="35">
        <f>=SUM(CQ54:CQ57)</f>
        <v>0</v>
      </c>
      <c r="CR53" s="35">
        <f>=SUM(CR54:CR57)</f>
        <v>0</v>
      </c>
      <c r="CS53" s="35">
        <f>=SUM(CS54:CS57)</f>
        <v>0</v>
      </c>
      <c r="CT53" s="35">
        <f>=SUM(CT54:CT57)</f>
        <v>0</v>
      </c>
      <c r="CU53" s="35">
        <f>=SUM(CU54:CU57)</f>
        <v>0</v>
      </c>
      <c r="CV53" s="35">
        <f>=SUM(CV54:CV57)</f>
        <v>0</v>
      </c>
      <c r="CW53" s="35">
        <f>=SUM(CW54:CW57)</f>
        <v>0</v>
      </c>
      <c r="CX53" s="35">
        <f>=SUM(CX54:CX57)</f>
        <v>0</v>
      </c>
      <c r="CY53" s="35">
        <f>=SUM(CY54:CY57)</f>
        <v>0</v>
      </c>
      <c r="CZ53" s="35">
        <f>=SUM(CZ54:CZ57)</f>
        <v>0</v>
      </c>
      <c r="DA53" s="35">
        <f>=SUM(DA54:DA57)</f>
        <v>0</v>
      </c>
      <c r="DB53" s="35">
        <f>=SUM(DB54:DB57)</f>
        <v>0</v>
      </c>
    </row>
    <row r="54" ht="18" customHeight="1" spans="1:106" x14ac:dyDescent="0.25">
      <c r="A54" s="36" t="s">
        <v>263</v>
      </c>
      <c r="B54" s="17"/>
      <c r="C54" s="37">
        <f>=IFERROR(C134/C129,0)</f>
        <v>0</v>
      </c>
      <c r="D54" s="37">
        <f>=IFERROR(D137/D129,0)</f>
        <v>0</v>
      </c>
      <c r="E54" s="37">
        <f>=IFERROR(E137/E129,0)</f>
        <v>0</v>
      </c>
      <c r="F54" s="37">
        <f>=IFERROR(F137/F129,0)</f>
        <v>0</v>
      </c>
      <c r="G54" s="37">
        <f>=IFERROR(G137/G129,0)</f>
        <v>0</v>
      </c>
      <c r="H54" s="37">
        <f>=IFERROR(H137/H129,0)</f>
        <v>0</v>
      </c>
      <c r="I54" s="37">
        <f>=IFERROR(I137/I129,0)</f>
        <v>0</v>
      </c>
      <c r="J54" s="37">
        <f>=IFERROR(J137/J129,0)</f>
        <v>0</v>
      </c>
      <c r="K54" s="37">
        <f>=IFERROR(K137/K129,0)</f>
        <v>0</v>
      </c>
      <c r="L54" s="37">
        <f>=IFERROR(L137/L129,0)</f>
        <v>0</v>
      </c>
      <c r="M54" s="37">
        <f>=IFERROR(M137/M129,0)</f>
        <v>0</v>
      </c>
      <c r="N54" s="37">
        <f>=IFERROR(N137/N129,0)</f>
        <v>0</v>
      </c>
      <c r="O54" s="37">
        <f>=IFERROR(O137/O129,0)</f>
        <v>0</v>
      </c>
      <c r="P54" s="37">
        <f>=IFERROR(P137/P129,0)</f>
        <v>0</v>
      </c>
      <c r="Q54" s="37">
        <f>=IFERROR(Q137/Q129,0)</f>
        <v>0</v>
      </c>
      <c r="R54" s="37">
        <f>=IFERROR(R137/R129,0)</f>
        <v>0</v>
      </c>
      <c r="S54" s="37">
        <f>=IFERROR(S137/S129,0)</f>
        <v>0</v>
      </c>
      <c r="T54" s="37">
        <f>=IFERROR(T137/T129,0)</f>
        <v>0</v>
      </c>
      <c r="U54" s="37">
        <f>=IFERROR(U137/U129,0)</f>
        <v>0</v>
      </c>
      <c r="V54" s="37">
        <f>=IFERROR(V137/V129,0)</f>
        <v>0</v>
      </c>
      <c r="W54" s="37">
        <f>=IFERROR(W137/W129,0)</f>
        <v>0</v>
      </c>
      <c r="X54" s="37">
        <f>=IFERROR(X137/X129,0)</f>
        <v>0</v>
      </c>
      <c r="Y54" s="37">
        <f>=IFERROR(Y137/Y129,0)</f>
        <v>0</v>
      </c>
      <c r="Z54" s="37">
        <f>=IFERROR(Z137/Z129,0)</f>
        <v>0</v>
      </c>
      <c r="AA54" s="37">
        <f>=IFERROR(AA137/AA129,0)</f>
        <v>0</v>
      </c>
      <c r="AB54" s="37">
        <f>=IFERROR(AB137/AB129,0)</f>
        <v>0</v>
      </c>
      <c r="AC54" s="37">
        <f>=IFERROR(AC137/AC129,0)</f>
        <v>0</v>
      </c>
      <c r="AD54" s="37">
        <f>=IFERROR(AD137/AD129,0)</f>
        <v>0</v>
      </c>
      <c r="AE54" s="37">
        <f>=IFERROR(AE137/AE129,0)</f>
        <v>0</v>
      </c>
      <c r="AF54" s="37">
        <f>=IFERROR(AF137/AF129,0)</f>
        <v>0</v>
      </c>
      <c r="AG54" s="37">
        <f>=IFERROR(AG137/AG129,0)</f>
        <v>0</v>
      </c>
      <c r="AH54" s="37">
        <f>=IFERROR(AH137/AH129,0)</f>
        <v>0</v>
      </c>
      <c r="AI54" s="37">
        <f>=IFERROR(AI137/AI129,0)</f>
        <v>0</v>
      </c>
      <c r="AJ54" s="37">
        <f>=IFERROR(AJ137/AJ129,0)</f>
        <v>0</v>
      </c>
      <c r="AK54" s="37">
        <f>=IFERROR(AK137/AK129,0)</f>
        <v>0</v>
      </c>
      <c r="AL54" s="37">
        <f>=IFERROR(AL137/AL129,0)</f>
        <v>0</v>
      </c>
      <c r="AM54" s="37">
        <f>=IFERROR(AM137/AM129,0)</f>
        <v>0</v>
      </c>
      <c r="AN54" s="37">
        <f>=IFERROR(AN137/AN129,0)</f>
        <v>0</v>
      </c>
      <c r="AO54" s="37">
        <f>=IFERROR(AO137/AO129,0)</f>
        <v>0</v>
      </c>
      <c r="AP54" s="37">
        <f>=IFERROR(AP137/AP129,0)</f>
        <v>0</v>
      </c>
      <c r="AQ54" s="37">
        <f>=IFERROR(AQ137/AQ129,0)</f>
        <v>0</v>
      </c>
      <c r="AR54" s="37">
        <f>=IFERROR(AR137/AR129,0)</f>
        <v>0</v>
      </c>
      <c r="AS54" s="37">
        <f>=IFERROR(AS137/AS129,0)</f>
        <v>0</v>
      </c>
      <c r="AT54" s="37">
        <f>=IFERROR(AT137/AT129,0)</f>
        <v>0</v>
      </c>
      <c r="AU54" s="37">
        <f>=IFERROR(AU137/AU129,0)</f>
        <v>0</v>
      </c>
      <c r="AV54" s="37">
        <f>=IFERROR(AV137/AV129,0)</f>
        <v>0</v>
      </c>
      <c r="AW54" s="37">
        <f>=IFERROR(AW137/AW129,0)</f>
        <v>0</v>
      </c>
      <c r="AX54" s="37">
        <f>=IFERROR(AX137/AX129,0)</f>
        <v>0</v>
      </c>
      <c r="AY54" s="37">
        <f>=IFERROR(AY137/AY129,0)</f>
        <v>0</v>
      </c>
      <c r="AZ54" s="37">
        <f>=IFERROR(AZ137/AZ129,0)</f>
        <v>0</v>
      </c>
      <c r="BA54" s="37">
        <f>=IFERROR(BA137/BA129,0)</f>
        <v>0</v>
      </c>
      <c r="BB54" s="37">
        <f>=IFERROR(BB137/BB129,0)</f>
        <v>0</v>
      </c>
      <c r="BC54" s="37">
        <f>=IFERROR(BC137/BC129,0)</f>
        <v>0</v>
      </c>
      <c r="BD54" s="37">
        <f>=IFERROR(BD137/BD129,0)</f>
        <v>0</v>
      </c>
      <c r="BE54" s="37">
        <f>=IFERROR(BE137/BE129,0)</f>
        <v>0</v>
      </c>
      <c r="BF54" s="37">
        <f>=IFERROR(BF137/BF129,0)</f>
        <v>0</v>
      </c>
      <c r="BG54" s="37">
        <f>=IFERROR(BG137/BG129,0)</f>
        <v>0</v>
      </c>
      <c r="BH54" s="37">
        <f>=IFERROR(BH137/BH129,0)</f>
        <v>0</v>
      </c>
      <c r="BI54" s="37">
        <f>=IFERROR(BI137/BI129,0)</f>
        <v>0</v>
      </c>
      <c r="BJ54" s="37">
        <f>=IFERROR(BJ137/BJ129,0)</f>
        <v>0</v>
      </c>
      <c r="BK54" s="37">
        <f>=IFERROR(BK137/BK129,0)</f>
        <v>0</v>
      </c>
      <c r="BL54" s="37">
        <f>=IFERROR(BL137/BL129,0)</f>
        <v>0</v>
      </c>
      <c r="BM54" s="37">
        <f>=IFERROR(BM137/BM129,0)</f>
        <v>0</v>
      </c>
      <c r="BN54" s="37">
        <f>=IFERROR(BN137/BN129,0)</f>
        <v>0</v>
      </c>
      <c r="BO54" s="37">
        <f>=IFERROR(BO137/BO129,0)</f>
        <v>0</v>
      </c>
      <c r="BP54" s="37">
        <f>=IFERROR(BP137/BP129,0)</f>
        <v>0</v>
      </c>
      <c r="BQ54" s="37">
        <f>=IFERROR(BQ137/BQ129,0)</f>
        <v>0</v>
      </c>
      <c r="BR54" s="37">
        <f>=IFERROR(BR137/BR129,0)</f>
        <v>0</v>
      </c>
      <c r="BS54" s="37">
        <f>=IFERROR(BS137/BS129,0)</f>
        <v>0</v>
      </c>
      <c r="BT54" s="37">
        <f>=IFERROR(BT137/BT129,0)</f>
        <v>0</v>
      </c>
      <c r="BU54" s="37">
        <f>=IFERROR(BU137/BU129,0)</f>
        <v>0</v>
      </c>
      <c r="BV54" s="37">
        <f>=IFERROR(BV137/BV129,0)</f>
        <v>0</v>
      </c>
      <c r="BW54" s="37">
        <f>=IFERROR(BW137/BW129,0)</f>
        <v>0</v>
      </c>
      <c r="BX54" s="37">
        <f>=IFERROR(BX137/BX129,0)</f>
        <v>0</v>
      </c>
      <c r="BY54" s="37">
        <f>=IFERROR(BY137/BY129,0)</f>
        <v>0</v>
      </c>
      <c r="BZ54" s="37">
        <f>=IFERROR(BZ137/BZ129,0)</f>
        <v>0</v>
      </c>
      <c r="CA54" s="37">
        <f>=IFERROR(CA137/CA129,0)</f>
        <v>0</v>
      </c>
      <c r="CB54" s="37">
        <f>=IFERROR(CB137/CB129,0)</f>
        <v>0</v>
      </c>
      <c r="CC54" s="37">
        <f>=IFERROR(CC137/CC129,0)</f>
        <v>0</v>
      </c>
      <c r="CD54" s="37">
        <f>=IFERROR(CD137/CD129,0)</f>
        <v>0</v>
      </c>
      <c r="CE54" s="37">
        <f>=IFERROR(CE137/CE129,0)</f>
        <v>0</v>
      </c>
      <c r="CF54" s="37">
        <f>=IFERROR(CF137/CF129,0)</f>
        <v>0</v>
      </c>
      <c r="CG54" s="37">
        <f>=IFERROR(CG137/CG129,0)</f>
        <v>0</v>
      </c>
      <c r="CH54" s="37">
        <f>=IFERROR(CH137/CH129,0)</f>
        <v>0</v>
      </c>
      <c r="CI54" s="37">
        <f>=IFERROR(CI137/CI129,0)</f>
        <v>0</v>
      </c>
      <c r="CJ54" s="37">
        <f>=IFERROR(CJ137/CJ129,0)</f>
        <v>0</v>
      </c>
      <c r="CK54" s="37">
        <f>=IFERROR(CK137/CK129,0)</f>
        <v>0</v>
      </c>
      <c r="CL54" s="37">
        <f>=IFERROR(CL137/CL129,0)</f>
        <v>0</v>
      </c>
      <c r="CM54" s="37">
        <f>=IFERROR(CM137/CM129,0)</f>
        <v>0</v>
      </c>
      <c r="CN54" s="37">
        <f>=IFERROR(CN137/CN129,0)</f>
        <v>0</v>
      </c>
      <c r="CO54" s="37">
        <f>=IFERROR(CO137/CO129,0)</f>
        <v>0</v>
      </c>
      <c r="CP54" s="37">
        <f>=IFERROR(CP137/CP129,0)</f>
        <v>0</v>
      </c>
      <c r="CQ54" s="37">
        <f>=IFERROR(CQ137/CQ129,0)</f>
        <v>0</v>
      </c>
      <c r="CR54" s="37">
        <f>=IFERROR(CR137/CR129,0)</f>
        <v>0</v>
      </c>
      <c r="CS54" s="37">
        <f>=IFERROR(CS137/CS129,0)</f>
        <v>0</v>
      </c>
      <c r="CT54" s="37">
        <f>=IFERROR(CT137/CT129,0)</f>
        <v>0</v>
      </c>
      <c r="CU54" s="37">
        <f>=IFERROR(CU137/CU129,0)</f>
        <v>0</v>
      </c>
      <c r="CV54" s="37">
        <f>=IFERROR(CV137/CV129,0)</f>
        <v>0</v>
      </c>
      <c r="CW54" s="37">
        <f>=IFERROR(CW137/CW129,0)</f>
        <v>0</v>
      </c>
      <c r="CX54" s="37">
        <f>=IFERROR(CX137/CX129,0)</f>
        <v>0</v>
      </c>
      <c r="CY54" s="37">
        <f>=IFERROR(CY137/CY129,0)</f>
        <v>0</v>
      </c>
      <c r="CZ54" s="37">
        <f>=IFERROR(CZ137/CZ129,0)</f>
        <v>0</v>
      </c>
      <c r="DA54" s="37">
        <f>=IFERROR(DA137/DA129,0)</f>
        <v>0</v>
      </c>
      <c r="DB54" s="37">
        <f>=IFERROR(DB137/DB129,0)</f>
        <v>0</v>
      </c>
    </row>
    <row r="55" ht="18" customHeight="1" spans="1:106" x14ac:dyDescent="0.25">
      <c r="A55" s="36" t="s">
        <v>264</v>
      </c>
      <c r="B55" s="17"/>
      <c r="C55" s="37">
        <f>=IFERROR(C135/C129,0)</f>
        <v>0</v>
      </c>
      <c r="D55" s="37">
        <f>=IFERROR(D138/D129,0)</f>
        <v>0</v>
      </c>
      <c r="E55" s="37">
        <f>=IFERROR(E138/E129,0)</f>
        <v>0</v>
      </c>
      <c r="F55" s="37">
        <f>=IFERROR(F138/F129,0)</f>
        <v>0</v>
      </c>
      <c r="G55" s="37">
        <f>=IFERROR(G138/G129,0)</f>
        <v>0</v>
      </c>
      <c r="H55" s="37">
        <f>=IFERROR(H138/H129,0)</f>
        <v>0</v>
      </c>
      <c r="I55" s="37">
        <f>=IFERROR(I138/I129,0)</f>
        <v>0</v>
      </c>
      <c r="J55" s="37">
        <f>=IFERROR(J138/J129,0)</f>
        <v>0</v>
      </c>
      <c r="K55" s="37">
        <f>=IFERROR(K138/K129,0)</f>
        <v>0</v>
      </c>
      <c r="L55" s="37">
        <f>=IFERROR(L138/L129,0)</f>
        <v>0</v>
      </c>
      <c r="M55" s="37">
        <f>=IFERROR(M138/M129,0)</f>
        <v>0</v>
      </c>
      <c r="N55" s="37">
        <f>=IFERROR(N138/N129,0)</f>
        <v>0</v>
      </c>
      <c r="O55" s="37">
        <f>=IFERROR(O138/O129,0)</f>
        <v>0</v>
      </c>
      <c r="P55" s="37">
        <f>=IFERROR(P138/P129,0)</f>
        <v>0</v>
      </c>
      <c r="Q55" s="37">
        <f>=IFERROR(Q138/Q129,0)</f>
        <v>0</v>
      </c>
      <c r="R55" s="37">
        <f>=IFERROR(R138/R129,0)</f>
        <v>0</v>
      </c>
      <c r="S55" s="37">
        <f>=IFERROR(S138/S129,0)</f>
        <v>0</v>
      </c>
      <c r="T55" s="37">
        <f>=IFERROR(T138/T129,0)</f>
        <v>0</v>
      </c>
      <c r="U55" s="37">
        <f>=IFERROR(U138/U129,0)</f>
        <v>0</v>
      </c>
      <c r="V55" s="37">
        <f>=IFERROR(V138/V129,0)</f>
        <v>0</v>
      </c>
      <c r="W55" s="37">
        <f>=IFERROR(W138/W129,0)</f>
        <v>0</v>
      </c>
      <c r="X55" s="37">
        <f>=IFERROR(X138/X129,0)</f>
        <v>0</v>
      </c>
      <c r="Y55" s="37">
        <f>=IFERROR(Y138/Y129,0)</f>
        <v>0</v>
      </c>
      <c r="Z55" s="37">
        <f>=IFERROR(Z138/Z129,0)</f>
        <v>0</v>
      </c>
      <c r="AA55" s="37">
        <f>=IFERROR(AA138/AA129,0)</f>
        <v>0</v>
      </c>
      <c r="AB55" s="37">
        <f>=IFERROR(AB138/AB129,0)</f>
        <v>0</v>
      </c>
      <c r="AC55" s="37">
        <f>=IFERROR(AC138/AC129,0)</f>
        <v>0</v>
      </c>
      <c r="AD55" s="37">
        <f>=IFERROR(AD138/AD129,0)</f>
        <v>0</v>
      </c>
      <c r="AE55" s="37">
        <f>=IFERROR(AE138/AE129,0)</f>
        <v>0</v>
      </c>
      <c r="AF55" s="37">
        <f>=IFERROR(AF138/AF129,0)</f>
        <v>0</v>
      </c>
      <c r="AG55" s="37">
        <f>=IFERROR(AG138/AG129,0)</f>
        <v>0</v>
      </c>
      <c r="AH55" s="37">
        <f>=IFERROR(AH138/AH129,0)</f>
        <v>0</v>
      </c>
      <c r="AI55" s="37">
        <f>=IFERROR(AI138/AI129,0)</f>
        <v>0</v>
      </c>
      <c r="AJ55" s="37">
        <f>=IFERROR(AJ138/AJ129,0)</f>
        <v>0</v>
      </c>
      <c r="AK55" s="37">
        <f>=IFERROR(AK138/AK129,0)</f>
        <v>0</v>
      </c>
      <c r="AL55" s="37">
        <f>=IFERROR(AL138/AL129,0)</f>
        <v>0</v>
      </c>
      <c r="AM55" s="37">
        <f>=IFERROR(AM138/AM129,0)</f>
        <v>0</v>
      </c>
      <c r="AN55" s="37">
        <f>=IFERROR(AN138/AN129,0)</f>
        <v>0</v>
      </c>
      <c r="AO55" s="37">
        <f>=IFERROR(AO138/AO129,0)</f>
        <v>0</v>
      </c>
      <c r="AP55" s="37">
        <f>=IFERROR(AP138/AP129,0)</f>
        <v>0</v>
      </c>
      <c r="AQ55" s="37">
        <f>=IFERROR(AQ138/AQ129,0)</f>
        <v>0</v>
      </c>
      <c r="AR55" s="37">
        <f>=IFERROR(AR138/AR129,0)</f>
        <v>0</v>
      </c>
      <c r="AS55" s="37">
        <f>=IFERROR(AS138/AS129,0)</f>
        <v>0</v>
      </c>
      <c r="AT55" s="37">
        <f>=IFERROR(AT138/AT129,0)</f>
        <v>0</v>
      </c>
      <c r="AU55" s="37">
        <f>=IFERROR(AU138/AU129,0)</f>
        <v>0</v>
      </c>
      <c r="AV55" s="37">
        <f>=IFERROR(AV138/AV129,0)</f>
        <v>0</v>
      </c>
      <c r="AW55" s="37">
        <f>=IFERROR(AW138/AW129,0)</f>
        <v>0</v>
      </c>
      <c r="AX55" s="37">
        <f>=IFERROR(AX138/AX129,0)</f>
        <v>0</v>
      </c>
      <c r="AY55" s="37">
        <f>=IFERROR(AY138/AY129,0)</f>
        <v>0</v>
      </c>
      <c r="AZ55" s="37">
        <f>=IFERROR(AZ138/AZ129,0)</f>
        <v>0</v>
      </c>
      <c r="BA55" s="37">
        <f>=IFERROR(BA138/BA129,0)</f>
        <v>0</v>
      </c>
      <c r="BB55" s="37">
        <f>=IFERROR(BB138/BB129,0)</f>
        <v>0</v>
      </c>
      <c r="BC55" s="37">
        <f>=IFERROR(BC138/BC129,0)</f>
        <v>0</v>
      </c>
      <c r="BD55" s="37">
        <f>=IFERROR(BD138/BD129,0)</f>
        <v>0</v>
      </c>
      <c r="BE55" s="37">
        <f>=IFERROR(BE138/BE129,0)</f>
        <v>0</v>
      </c>
      <c r="BF55" s="37">
        <f>=IFERROR(BF138/BF129,0)</f>
        <v>0</v>
      </c>
      <c r="BG55" s="37">
        <f>=IFERROR(BG138/BG129,0)</f>
        <v>0</v>
      </c>
      <c r="BH55" s="37">
        <f>=IFERROR(BH138/BH129,0)</f>
        <v>0</v>
      </c>
      <c r="BI55" s="37">
        <f>=IFERROR(BI138/BI129,0)</f>
        <v>0</v>
      </c>
      <c r="BJ55" s="37">
        <f>=IFERROR(BJ138/BJ129,0)</f>
        <v>0</v>
      </c>
      <c r="BK55" s="37">
        <f>=IFERROR(BK138/BK129,0)</f>
        <v>0</v>
      </c>
      <c r="BL55" s="37">
        <f>=IFERROR(BL138/BL129,0)</f>
        <v>0</v>
      </c>
      <c r="BM55" s="37">
        <f>=IFERROR(BM138/BM129,0)</f>
        <v>0</v>
      </c>
      <c r="BN55" s="37">
        <f>=IFERROR(BN138/BN129,0)</f>
        <v>0</v>
      </c>
      <c r="BO55" s="37">
        <f>=IFERROR(BO138/BO129,0)</f>
        <v>0</v>
      </c>
      <c r="BP55" s="37">
        <f>=IFERROR(BP138/BP129,0)</f>
        <v>0</v>
      </c>
      <c r="BQ55" s="37">
        <f>=IFERROR(BQ138/BQ129,0)</f>
        <v>0</v>
      </c>
      <c r="BR55" s="37">
        <f>=IFERROR(BR138/BR129,0)</f>
        <v>0</v>
      </c>
      <c r="BS55" s="37">
        <f>=IFERROR(BS138/BS129,0)</f>
        <v>0</v>
      </c>
      <c r="BT55" s="37">
        <f>=IFERROR(BT138/BT129,0)</f>
        <v>0</v>
      </c>
      <c r="BU55" s="37">
        <f>=IFERROR(BU138/BU129,0)</f>
        <v>0</v>
      </c>
      <c r="BV55" s="37">
        <f>=IFERROR(BV138/BV129,0)</f>
        <v>0</v>
      </c>
      <c r="BW55" s="37">
        <f>=IFERROR(BW138/BW129,0)</f>
        <v>0</v>
      </c>
      <c r="BX55" s="37">
        <f>=IFERROR(BX138/BX129,0)</f>
        <v>0</v>
      </c>
      <c r="BY55" s="37">
        <f>=IFERROR(BY138/BY129,0)</f>
        <v>0</v>
      </c>
      <c r="BZ55" s="37">
        <f>=IFERROR(BZ138/BZ129,0)</f>
        <v>0</v>
      </c>
      <c r="CA55" s="37">
        <f>=IFERROR(CA138/CA129,0)</f>
        <v>0</v>
      </c>
      <c r="CB55" s="37">
        <f>=IFERROR(CB138/CB129,0)</f>
        <v>0</v>
      </c>
      <c r="CC55" s="37">
        <f>=IFERROR(CC138/CC129,0)</f>
        <v>0</v>
      </c>
      <c r="CD55" s="37">
        <f>=IFERROR(CD138/CD129,0)</f>
        <v>0</v>
      </c>
      <c r="CE55" s="37">
        <f>=IFERROR(CE138/CE129,0)</f>
        <v>0</v>
      </c>
      <c r="CF55" s="37">
        <f>=IFERROR(CF138/CF129,0)</f>
        <v>0</v>
      </c>
      <c r="CG55" s="37">
        <f>=IFERROR(CG138/CG129,0)</f>
        <v>0</v>
      </c>
      <c r="CH55" s="37">
        <f>=IFERROR(CH138/CH129,0)</f>
        <v>0</v>
      </c>
      <c r="CI55" s="37">
        <f>=IFERROR(CI138/CI129,0)</f>
        <v>0</v>
      </c>
      <c r="CJ55" s="37">
        <f>=IFERROR(CJ138/CJ129,0)</f>
        <v>0</v>
      </c>
      <c r="CK55" s="37">
        <f>=IFERROR(CK138/CK129,0)</f>
        <v>0</v>
      </c>
      <c r="CL55" s="37">
        <f>=IFERROR(CL138/CL129,0)</f>
        <v>0</v>
      </c>
      <c r="CM55" s="37">
        <f>=IFERROR(CM138/CM129,0)</f>
        <v>0</v>
      </c>
      <c r="CN55" s="37">
        <f>=IFERROR(CN138/CN129,0)</f>
        <v>0</v>
      </c>
      <c r="CO55" s="37">
        <f>=IFERROR(CO138/CO129,0)</f>
        <v>0</v>
      </c>
      <c r="CP55" s="37">
        <f>=IFERROR(CP138/CP129,0)</f>
        <v>0</v>
      </c>
      <c r="CQ55" s="37">
        <f>=IFERROR(CQ138/CQ129,0)</f>
        <v>0</v>
      </c>
      <c r="CR55" s="37">
        <f>=IFERROR(CR138/CR129,0)</f>
        <v>0</v>
      </c>
      <c r="CS55" s="37">
        <f>=IFERROR(CS138/CS129,0)</f>
        <v>0</v>
      </c>
      <c r="CT55" s="37">
        <f>=IFERROR(CT138/CT129,0)</f>
        <v>0</v>
      </c>
      <c r="CU55" s="37">
        <f>=IFERROR(CU138/CU129,0)</f>
        <v>0</v>
      </c>
      <c r="CV55" s="37">
        <f>=IFERROR(CV138/CV129,0)</f>
        <v>0</v>
      </c>
      <c r="CW55" s="37">
        <f>=IFERROR(CW138/CW129,0)</f>
        <v>0</v>
      </c>
      <c r="CX55" s="37">
        <f>=IFERROR(CX138/CX129,0)</f>
        <v>0</v>
      </c>
      <c r="CY55" s="37">
        <f>=IFERROR(CY138/CY129,0)</f>
        <v>0</v>
      </c>
      <c r="CZ55" s="37">
        <f>=IFERROR(CZ138/CZ129,0)</f>
        <v>0</v>
      </c>
      <c r="DA55" s="37">
        <f>=IFERROR(DA138/DA129,0)</f>
        <v>0</v>
      </c>
      <c r="DB55" s="37">
        <f>=IFERROR(DB138/DB129,0)</f>
        <v>0</v>
      </c>
    </row>
    <row r="56" ht="15" customHeight="1" spans="1:106" x14ac:dyDescent="0.25">
      <c r="A56" s="36" t="s">
        <v>265</v>
      </c>
      <c r="B56" s="17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8"/>
      <c r="BG56" s="38"/>
      <c r="BH56" s="38"/>
      <c r="BI56" s="38"/>
      <c r="BJ56" s="38"/>
      <c r="BK56" s="38"/>
      <c r="BL56" s="38"/>
      <c r="BM56" s="38"/>
      <c r="BN56" s="38"/>
      <c r="BO56" s="38"/>
      <c r="BP56" s="38"/>
      <c r="BQ56" s="38"/>
      <c r="BR56" s="38"/>
      <c r="BS56" s="38"/>
      <c r="BT56" s="38"/>
      <c r="BU56" s="38"/>
      <c r="BV56" s="38"/>
      <c r="BW56" s="38"/>
      <c r="BX56" s="38"/>
      <c r="BY56" s="38"/>
      <c r="BZ56" s="38"/>
      <c r="CA56" s="38"/>
      <c r="CB56" s="38"/>
      <c r="CC56" s="38"/>
      <c r="CD56" s="38"/>
      <c r="CE56" s="38"/>
      <c r="CF56" s="38"/>
      <c r="CG56" s="38"/>
      <c r="CH56" s="38"/>
      <c r="CI56" s="38"/>
      <c r="CJ56" s="38"/>
      <c r="CK56" s="38"/>
      <c r="CL56" s="38"/>
      <c r="CM56" s="38"/>
      <c r="CN56" s="38"/>
      <c r="CO56" s="38"/>
      <c r="CP56" s="38"/>
      <c r="CQ56" s="38"/>
      <c r="CR56" s="38"/>
      <c r="CS56" s="38"/>
      <c r="CT56" s="38"/>
      <c r="CU56" s="38"/>
      <c r="CV56" s="38"/>
      <c r="CW56" s="38"/>
      <c r="CX56" s="38"/>
      <c r="CY56" s="38"/>
      <c r="CZ56" s="38"/>
      <c r="DA56" s="38"/>
      <c r="DB56" s="38"/>
    </row>
    <row r="57" ht="15" customHeight="1" spans="1:106" x14ac:dyDescent="0.25">
      <c r="A57" s="36" t="s">
        <v>286</v>
      </c>
      <c r="B57" s="17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  <c r="CG57" s="38"/>
      <c r="CH57" s="38"/>
      <c r="CI57" s="38"/>
      <c r="CJ57" s="38"/>
      <c r="CK57" s="38"/>
      <c r="CL57" s="38"/>
      <c r="CM57" s="38"/>
      <c r="CN57" s="38"/>
      <c r="CO57" s="38"/>
      <c r="CP57" s="38"/>
      <c r="CQ57" s="38"/>
      <c r="CR57" s="38"/>
      <c r="CS57" s="38"/>
      <c r="CT57" s="38"/>
      <c r="CU57" s="38"/>
      <c r="CV57" s="38"/>
      <c r="CW57" s="38"/>
      <c r="CX57" s="38"/>
      <c r="CY57" s="38"/>
      <c r="CZ57" s="38"/>
      <c r="DA57" s="38"/>
      <c r="DB57" s="38"/>
    </row>
    <row r="58" ht="15" customHeight="1" spans="1:106" x14ac:dyDescent="0.25">
      <c r="A58" s="16" t="s">
        <v>287</v>
      </c>
      <c r="B58" s="17"/>
      <c r="C58" s="35">
        <f>=SUM(C59:C64)</f>
        <v>0</v>
      </c>
      <c r="D58" s="35">
        <f>=SUM(D59:D61)</f>
        <v>0</v>
      </c>
      <c r="E58" s="35">
        <f>=SUM(E59:E61)</f>
        <v>0</v>
      </c>
      <c r="F58" s="35">
        <f>=SUM(F59:F61)</f>
        <v>0</v>
      </c>
      <c r="G58" s="35">
        <f>=SUM(G59:G61)</f>
        <v>0</v>
      </c>
      <c r="H58" s="35">
        <f>=SUM(H59:H61)</f>
        <v>0</v>
      </c>
      <c r="I58" s="35">
        <f>=SUM(I59:I61)</f>
        <v>0</v>
      </c>
      <c r="J58" s="35">
        <f>=SUM(J59:J61)</f>
        <v>0</v>
      </c>
      <c r="K58" s="35">
        <f>=SUM(K59:K61)</f>
        <v>0</v>
      </c>
      <c r="L58" s="35">
        <f>=SUM(L59:L61)</f>
        <v>0</v>
      </c>
      <c r="M58" s="35">
        <f>=SUM(M59:M61)</f>
        <v>0</v>
      </c>
      <c r="N58" s="35">
        <f>=SUM(N59:N61)</f>
        <v>0</v>
      </c>
      <c r="O58" s="35">
        <f>=SUM(O59:O61)</f>
        <v>0</v>
      </c>
      <c r="P58" s="35">
        <f>=SUM(P59:P61)</f>
        <v>0</v>
      </c>
      <c r="Q58" s="35">
        <f>=SUM(Q59:Q61)</f>
        <v>0</v>
      </c>
      <c r="R58" s="35">
        <f>=SUM(R59:R61)</f>
        <v>0</v>
      </c>
      <c r="S58" s="35">
        <f>=SUM(S59:S61)</f>
        <v>0</v>
      </c>
      <c r="T58" s="35">
        <f>=SUM(T59:T61)</f>
        <v>0</v>
      </c>
      <c r="U58" s="35">
        <f>=SUM(U59:U61)</f>
        <v>0</v>
      </c>
      <c r="V58" s="35">
        <f>=SUM(V59:V61)</f>
        <v>0</v>
      </c>
      <c r="W58" s="35">
        <f>=SUM(W59:W61)</f>
        <v>0</v>
      </c>
      <c r="X58" s="35">
        <f>=SUM(X59:X61)</f>
        <v>0</v>
      </c>
      <c r="Y58" s="35">
        <f>=SUM(Y59:Y61)</f>
        <v>0</v>
      </c>
      <c r="Z58" s="35">
        <f>=SUM(Z59:Z61)</f>
        <v>0</v>
      </c>
      <c r="AA58" s="35">
        <f>=SUM(AA59:AA61)</f>
        <v>0</v>
      </c>
      <c r="AB58" s="35">
        <f>=SUM(AB59:AB61)</f>
        <v>0</v>
      </c>
      <c r="AC58" s="35">
        <f>=SUM(AC59:AC61)</f>
        <v>0</v>
      </c>
      <c r="AD58" s="35">
        <f>=SUM(AD59:AD61)</f>
        <v>0</v>
      </c>
      <c r="AE58" s="35">
        <f>=SUM(AE59:AE61)</f>
        <v>0</v>
      </c>
      <c r="AF58" s="35">
        <f>=SUM(AF59:AF61)</f>
        <v>0</v>
      </c>
      <c r="AG58" s="35">
        <f>=SUM(AG59:AG61)</f>
        <v>0</v>
      </c>
      <c r="AH58" s="35">
        <f>=SUM(AH59:AH61)</f>
        <v>0</v>
      </c>
      <c r="AI58" s="35">
        <f>=SUM(AI59:AI61)</f>
        <v>0</v>
      </c>
      <c r="AJ58" s="35">
        <f>=SUM(AJ59:AJ61)</f>
        <v>0</v>
      </c>
      <c r="AK58" s="35">
        <f>=SUM(AK59:AK61)</f>
        <v>0</v>
      </c>
      <c r="AL58" s="35">
        <f>=SUM(AL59:AL61)</f>
        <v>0</v>
      </c>
      <c r="AM58" s="35">
        <f>=SUM(AM59:AM61)</f>
        <v>0</v>
      </c>
      <c r="AN58" s="35">
        <f>=SUM(AN59:AN61)</f>
        <v>0</v>
      </c>
      <c r="AO58" s="35">
        <f>=SUM(AO59:AO61)</f>
        <v>0</v>
      </c>
      <c r="AP58" s="35">
        <f>=SUM(AP59:AP61)</f>
        <v>0</v>
      </c>
      <c r="AQ58" s="35">
        <f>=SUM(AQ59:AQ61)</f>
        <v>0</v>
      </c>
      <c r="AR58" s="35">
        <f>=SUM(AR59:AR61)</f>
        <v>0</v>
      </c>
      <c r="AS58" s="35">
        <f>=SUM(AS59:AS61)</f>
        <v>0</v>
      </c>
      <c r="AT58" s="35">
        <f>=SUM(AT59:AT61)</f>
        <v>0</v>
      </c>
      <c r="AU58" s="35">
        <f>=SUM(AU59:AU61)</f>
        <v>0</v>
      </c>
      <c r="AV58" s="35">
        <f>=SUM(AV59:AV61)</f>
        <v>0</v>
      </c>
      <c r="AW58" s="35">
        <f>=SUM(AW59:AW61)</f>
        <v>0</v>
      </c>
      <c r="AX58" s="35">
        <f>=SUM(AX59:AX61)</f>
        <v>0</v>
      </c>
      <c r="AY58" s="35">
        <f>=SUM(AY59:AY61)</f>
        <v>0</v>
      </c>
      <c r="AZ58" s="35">
        <f>=SUM(AZ59:AZ61)</f>
        <v>0</v>
      </c>
      <c r="BA58" s="35">
        <f>=SUM(BA59:BA61)</f>
        <v>0</v>
      </c>
      <c r="BB58" s="35">
        <f>=SUM(BB59:BB61)</f>
        <v>0</v>
      </c>
      <c r="BC58" s="35">
        <f>=SUM(BC59:BC61)</f>
        <v>0</v>
      </c>
      <c r="BD58" s="35">
        <f>=SUM(BD59:BD61)</f>
        <v>0</v>
      </c>
      <c r="BE58" s="35">
        <f>=SUM(BE59:BE61)</f>
        <v>0</v>
      </c>
      <c r="BF58" s="35">
        <f>=SUM(BF59:BF61)</f>
        <v>0</v>
      </c>
      <c r="BG58" s="35">
        <f>=SUM(BG59:BG61)</f>
        <v>0</v>
      </c>
      <c r="BH58" s="35">
        <f>=SUM(BH59:BH61)</f>
        <v>0</v>
      </c>
      <c r="BI58" s="35">
        <f>=SUM(BI59:BI61)</f>
        <v>0</v>
      </c>
      <c r="BJ58" s="35">
        <f>=SUM(BJ59:BJ61)</f>
        <v>0</v>
      </c>
      <c r="BK58" s="35">
        <f>=SUM(BK59:BK61)</f>
        <v>0</v>
      </c>
      <c r="BL58" s="35">
        <f>=SUM(BL59:BL61)</f>
        <v>0</v>
      </c>
      <c r="BM58" s="35">
        <f>=SUM(BM59:BM61)</f>
        <v>0</v>
      </c>
      <c r="BN58" s="35">
        <f>=SUM(BN59:BN61)</f>
        <v>0</v>
      </c>
      <c r="BO58" s="35">
        <f>=SUM(BO59:BO61)</f>
        <v>0</v>
      </c>
      <c r="BP58" s="35">
        <f>=SUM(BP59:BP61)</f>
        <v>0</v>
      </c>
      <c r="BQ58" s="35">
        <f>=SUM(BQ59:BQ61)</f>
        <v>0</v>
      </c>
      <c r="BR58" s="35">
        <f>=SUM(BR59:BR61)</f>
        <v>0</v>
      </c>
      <c r="BS58" s="35">
        <f>=SUM(BS59:BS61)</f>
        <v>0</v>
      </c>
      <c r="BT58" s="35">
        <f>=SUM(BT59:BT61)</f>
        <v>0</v>
      </c>
      <c r="BU58" s="35">
        <f>=SUM(BU59:BU61)</f>
        <v>0</v>
      </c>
      <c r="BV58" s="35">
        <f>=SUM(BV59:BV61)</f>
        <v>0</v>
      </c>
      <c r="BW58" s="35">
        <f>=SUM(BW59:BW61)</f>
        <v>0</v>
      </c>
      <c r="BX58" s="35">
        <f>=SUM(BX59:BX61)</f>
        <v>0</v>
      </c>
      <c r="BY58" s="35">
        <f>=SUM(BY59:BY61)</f>
        <v>0</v>
      </c>
      <c r="BZ58" s="35">
        <f>=SUM(BZ59:BZ61)</f>
        <v>0</v>
      </c>
      <c r="CA58" s="35">
        <f>=SUM(CA59:CA61)</f>
        <v>0</v>
      </c>
      <c r="CB58" s="35">
        <f>=SUM(CB59:CB61)</f>
        <v>0</v>
      </c>
      <c r="CC58" s="35">
        <f>=SUM(CC59:CC61)</f>
        <v>0</v>
      </c>
      <c r="CD58" s="35">
        <f>=SUM(CD59:CD61)</f>
        <v>0</v>
      </c>
      <c r="CE58" s="35">
        <f>=SUM(CE59:CE61)</f>
        <v>0</v>
      </c>
      <c r="CF58" s="35">
        <f>=SUM(CF59:CF61)</f>
        <v>0</v>
      </c>
      <c r="CG58" s="35">
        <f>=SUM(CG59:CG61)</f>
        <v>0</v>
      </c>
      <c r="CH58" s="35">
        <f>=SUM(CH59:CH61)</f>
        <v>0</v>
      </c>
      <c r="CI58" s="35">
        <f>=SUM(CI59:CI61)</f>
        <v>0</v>
      </c>
      <c r="CJ58" s="35">
        <f>=SUM(CJ59:CJ61)</f>
        <v>0</v>
      </c>
      <c r="CK58" s="35">
        <f>=SUM(CK59:CK61)</f>
        <v>0</v>
      </c>
      <c r="CL58" s="35">
        <f>=SUM(CL59:CL61)</f>
        <v>0</v>
      </c>
      <c r="CM58" s="35">
        <f>=SUM(CM59:CM61)</f>
        <v>0</v>
      </c>
      <c r="CN58" s="35">
        <f>=SUM(CN59:CN61)</f>
        <v>0</v>
      </c>
      <c r="CO58" s="35">
        <f>=SUM(CO59:CO61)</f>
        <v>0</v>
      </c>
      <c r="CP58" s="35">
        <f>=SUM(CP59:CP61)</f>
        <v>0</v>
      </c>
      <c r="CQ58" s="35">
        <f>=SUM(CQ59:CQ61)</f>
        <v>0</v>
      </c>
      <c r="CR58" s="35">
        <f>=SUM(CR59:CR61)</f>
        <v>0</v>
      </c>
      <c r="CS58" s="35">
        <f>=SUM(CS59:CS61)</f>
        <v>0</v>
      </c>
      <c r="CT58" s="35">
        <f>=SUM(CT59:CT61)</f>
        <v>0</v>
      </c>
      <c r="CU58" s="35">
        <f>=SUM(CU59:CU61)</f>
        <v>0</v>
      </c>
      <c r="CV58" s="35">
        <f>=SUM(CV59:CV61)</f>
        <v>0</v>
      </c>
      <c r="CW58" s="35">
        <f>=SUM(CW59:CW61)</f>
        <v>0</v>
      </c>
      <c r="CX58" s="35">
        <f>=SUM(CX59:CX61)</f>
        <v>0</v>
      </c>
      <c r="CY58" s="35">
        <f>=SUM(CY59:CY61)</f>
        <v>0</v>
      </c>
      <c r="CZ58" s="35">
        <f>=SUM(CZ59:CZ61)</f>
        <v>0</v>
      </c>
      <c r="DA58" s="35">
        <f>=SUM(DA59:DA61)</f>
        <v>0</v>
      </c>
      <c r="DB58" s="35">
        <f>=SUM(DB59:DB61)</f>
        <v>0</v>
      </c>
    </row>
    <row r="59" ht="18" customHeight="1" spans="1:106" x14ac:dyDescent="0.25">
      <c r="A59" s="36" t="s">
        <v>268</v>
      </c>
      <c r="B59" s="17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BH59" s="38"/>
      <c r="BI59" s="38"/>
      <c r="BJ59" s="38"/>
      <c r="BK59" s="38"/>
      <c r="BL59" s="38"/>
      <c r="BM59" s="38"/>
      <c r="BN59" s="38"/>
      <c r="BO59" s="38"/>
      <c r="BP59" s="38"/>
      <c r="BQ59" s="38"/>
      <c r="BR59" s="38"/>
      <c r="BS59" s="38"/>
      <c r="BT59" s="38"/>
      <c r="BU59" s="38"/>
      <c r="BV59" s="38"/>
      <c r="BW59" s="38"/>
      <c r="BX59" s="38"/>
      <c r="BY59" s="38"/>
      <c r="BZ59" s="38"/>
      <c r="CA59" s="38"/>
      <c r="CB59" s="38"/>
      <c r="CC59" s="38"/>
      <c r="CD59" s="38"/>
      <c r="CE59" s="38"/>
      <c r="CF59" s="38"/>
      <c r="CG59" s="38"/>
      <c r="CH59" s="38"/>
      <c r="CI59" s="38"/>
      <c r="CJ59" s="38"/>
      <c r="CK59" s="38"/>
      <c r="CL59" s="38"/>
      <c r="CM59" s="38"/>
      <c r="CN59" s="38"/>
      <c r="CO59" s="38"/>
      <c r="CP59" s="38"/>
      <c r="CQ59" s="38"/>
      <c r="CR59" s="38"/>
      <c r="CS59" s="38"/>
      <c r="CT59" s="38"/>
      <c r="CU59" s="38"/>
      <c r="CV59" s="38"/>
      <c r="CW59" s="38"/>
      <c r="CX59" s="38"/>
      <c r="CY59" s="38"/>
      <c r="CZ59" s="38"/>
      <c r="DA59" s="38"/>
      <c r="DB59" s="38"/>
    </row>
    <row r="60" ht="18" customHeight="1" spans="1:106" x14ac:dyDescent="0.25">
      <c r="A60" s="36" t="s">
        <v>269</v>
      </c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8"/>
      <c r="BH60" s="38"/>
      <c r="BI60" s="38"/>
      <c r="BJ60" s="38"/>
      <c r="BK60" s="38"/>
      <c r="BL60" s="38"/>
      <c r="BM60" s="38"/>
      <c r="BN60" s="38"/>
      <c r="BO60" s="38"/>
      <c r="BP60" s="38"/>
      <c r="BQ60" s="38"/>
      <c r="BR60" s="38"/>
      <c r="BS60" s="38"/>
      <c r="BT60" s="38"/>
      <c r="BU60" s="38"/>
      <c r="BV60" s="38"/>
      <c r="BW60" s="38"/>
      <c r="BX60" s="38"/>
      <c r="BY60" s="38"/>
      <c r="BZ60" s="38"/>
      <c r="CA60" s="38"/>
      <c r="CB60" s="38"/>
      <c r="CC60" s="38"/>
      <c r="CD60" s="38"/>
      <c r="CE60" s="38"/>
      <c r="CF60" s="38"/>
      <c r="CG60" s="38"/>
      <c r="CH60" s="38"/>
      <c r="CI60" s="38"/>
      <c r="CJ60" s="38"/>
      <c r="CK60" s="38"/>
      <c r="CL60" s="38"/>
      <c r="CM60" s="38"/>
      <c r="CN60" s="38"/>
      <c r="CO60" s="38"/>
      <c r="CP60" s="38"/>
      <c r="CQ60" s="38"/>
      <c r="CR60" s="38"/>
      <c r="CS60" s="38"/>
      <c r="CT60" s="38"/>
      <c r="CU60" s="38"/>
      <c r="CV60" s="38"/>
      <c r="CW60" s="38"/>
      <c r="CX60" s="38"/>
      <c r="CY60" s="38"/>
      <c r="CZ60" s="38"/>
      <c r="DA60" s="38"/>
      <c r="DB60" s="38"/>
    </row>
    <row r="61" ht="18" customHeight="1" spans="1:106" x14ac:dyDescent="0.25">
      <c r="A61" s="36" t="s">
        <v>288</v>
      </c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38"/>
      <c r="BM61" s="38"/>
      <c r="BN61" s="38"/>
      <c r="BO61" s="38"/>
      <c r="BP61" s="38"/>
      <c r="BQ61" s="38"/>
      <c r="BR61" s="38"/>
      <c r="BS61" s="38"/>
      <c r="BT61" s="38"/>
      <c r="BU61" s="38"/>
      <c r="BV61" s="38"/>
      <c r="BW61" s="38"/>
      <c r="BX61" s="38"/>
      <c r="BY61" s="38"/>
      <c r="BZ61" s="38"/>
      <c r="CA61" s="38"/>
      <c r="CB61" s="38"/>
      <c r="CC61" s="38"/>
      <c r="CD61" s="38"/>
      <c r="CE61" s="38"/>
      <c r="CF61" s="38"/>
      <c r="CG61" s="38"/>
      <c r="CH61" s="38"/>
      <c r="CI61" s="38"/>
      <c r="CJ61" s="38"/>
      <c r="CK61" s="38"/>
      <c r="CL61" s="38"/>
      <c r="CM61" s="38"/>
      <c r="CN61" s="38"/>
      <c r="CO61" s="38"/>
      <c r="CP61" s="38"/>
      <c r="CQ61" s="38"/>
      <c r="CR61" s="38"/>
      <c r="CS61" s="38"/>
      <c r="CT61" s="38"/>
      <c r="CU61" s="38"/>
      <c r="CV61" s="38"/>
      <c r="CW61" s="38"/>
      <c r="CX61" s="38"/>
      <c r="CY61" s="38"/>
      <c r="CZ61" s="38"/>
      <c r="DA61" s="38"/>
      <c r="DB61" s="38"/>
    </row>
    <row r="62" spans="1:1" x14ac:dyDescent="0.25">
      <c r="A62" s="36" t="s">
        <v>272</v>
      </c>
    </row>
    <row r="63" ht="18" customHeight="1" spans="1:1" x14ac:dyDescent="0.25">
      <c r="A63" s="36" t="s">
        <v>289</v>
      </c>
    </row>
    <row r="64" ht="18" customHeight="1" spans="1:106" x14ac:dyDescent="0.25">
      <c r="A64" s="36" t="s">
        <v>271</v>
      </c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</row>
    <row r="65" spans="1:106" x14ac:dyDescent="0.25">
      <c r="A65" s="20" t="s">
        <v>290</v>
      </c>
      <c r="C65" s="31">
        <f>=IF(LEN(C66)&gt;0,C66/C19,"")</f>
        <v>0</v>
      </c>
      <c r="D65" s="31">
        <f>=IF(LEN(D66)&gt;0,D66/D19,"")</f>
        <v>0</v>
      </c>
      <c r="E65" s="31">
        <f>=IF(LEN(E66)&gt;0,E66/E19,"")</f>
        <v>0</v>
      </c>
      <c r="F65" s="31">
        <f>=IF(LEN(F66)&gt;0,F66/F19,"")</f>
        <v>0</v>
      </c>
      <c r="G65" s="31">
        <f>=IF(LEN(G66)&gt;0,G66/G19,"")</f>
        <v>0</v>
      </c>
      <c r="H65" s="31">
        <f>=IF(LEN(H66)&gt;0,H66/H19,"")</f>
        <v>0</v>
      </c>
      <c r="I65" s="31">
        <f>=IF(LEN(I66)&gt;0,I66/I19,"")</f>
        <v>0</v>
      </c>
      <c r="J65" s="31">
        <f>=IF(LEN(J66)&gt;0,J66/J19,"")</f>
        <v>0</v>
      </c>
      <c r="K65" s="31">
        <f>=IF(LEN(K66)&gt;0,K66/K19,"")</f>
        <v>0</v>
      </c>
      <c r="L65" s="31">
        <f>=IF(LEN(L66)&gt;0,L66/L19,"")</f>
        <v>0</v>
      </c>
      <c r="M65" s="31">
        <f>=IF(LEN(M66)&gt;0,M66/M19,"")</f>
        <v>0</v>
      </c>
      <c r="N65" s="31">
        <f>=IF(LEN(N66)&gt;0,N66/N19,"")</f>
        <v>0</v>
      </c>
      <c r="O65" s="31">
        <f>=IF(LEN(O66)&gt;0,O66/O19,"")</f>
        <v>0</v>
      </c>
      <c r="P65" s="31">
        <f>=IF(LEN(P66)&gt;0,P66/P19,"")</f>
        <v>0</v>
      </c>
      <c r="Q65" s="31">
        <f>=IF(LEN(Q66)&gt;0,Q66/Q19,"")</f>
        <v>0</v>
      </c>
      <c r="R65" s="31">
        <f>=IF(LEN(R66)&gt;0,R66/R19,"")</f>
        <v>0</v>
      </c>
      <c r="S65" s="31">
        <f>=IF(LEN(S66)&gt;0,S66/S19,"")</f>
        <v>0</v>
      </c>
      <c r="T65" s="31">
        <f>=IF(LEN(T66)&gt;0,T66/T19,"")</f>
        <v>0.25</v>
      </c>
      <c r="U65" s="31">
        <f>=IF(LEN(U66)&gt;0,U66/U19,"")</f>
        <v>0</v>
      </c>
      <c r="V65" s="31">
        <f>=IF(LEN(V66)&gt;0,V66/V19,"")</f>
        <v>0</v>
      </c>
      <c r="W65" s="31">
        <f>=IF(LEN(W66)&gt;0,W66/W19,"")</f>
        <v>0</v>
      </c>
      <c r="X65" s="31">
        <f>=IF(LEN(X66)&gt;0,X66/X19,"")</f>
        <v>0</v>
      </c>
      <c r="Y65" s="31">
        <f>=IF(LEN(Y66)&gt;0,Y66/Y19,"")</f>
        <v>0</v>
      </c>
      <c r="Z65" s="31">
        <f>=IF(LEN(Z66)&gt;0,Z66/Z19,"")</f>
        <v>0</v>
      </c>
      <c r="AA65" s="31">
        <f>=IF(LEN(AA66)&gt;0,AA66/AA19,"")</f>
        <v>0</v>
      </c>
      <c r="AB65" s="31">
        <f>=IF(LEN(AB66)&gt;0,AB66/AB19,"")</f>
        <v>0</v>
      </c>
      <c r="AC65" s="31">
        <f>=IF(LEN(AC66)&gt;0,AC66/AC19,"")</f>
        <v>0</v>
      </c>
      <c r="AD65" s="31">
        <f>=IF(LEN(AD66)&gt;0,AD66/AD19,"")</f>
        <v>0</v>
      </c>
      <c r="AE65" s="31">
        <f>=IF(LEN(AE66)&gt;0,AE66/AE19,"")</f>
        <v>0</v>
      </c>
      <c r="AF65" s="31">
        <f>=IF(LEN(AF66)&gt;0,AF66/AF19,"")</f>
        <v>0</v>
      </c>
      <c r="AG65" s="31">
        <f>=IF(LEN(AG66)&gt;0,AG66/AG19,"")</f>
        <v>0</v>
      </c>
      <c r="AH65" s="31">
        <f>=IF(LEN(AH66)&gt;0,AH66/AH19,"")</f>
        <v>0</v>
      </c>
      <c r="AI65" s="31">
        <f>=IF(LEN(AI66)&gt;0,AI66/AI19,"")</f>
        <v>0</v>
      </c>
      <c r="AJ65" s="31">
        <f>=IF(LEN(AJ66)&gt;0,AJ66/AJ19,"")</f>
        <v>0</v>
      </c>
      <c r="AK65" s="31">
        <f>=IF(LEN(AK66)&gt;0,AK66/AK19,"")</f>
        <v>0</v>
      </c>
      <c r="AL65" s="31">
        <f>=IF(LEN(AL66)&gt;0,AL66/AL19,"")</f>
        <v>0</v>
      </c>
      <c r="AM65" s="31">
        <f>=IF(LEN(AM66)&gt;0,AM66/AM19,"")</f>
        <v>0</v>
      </c>
      <c r="AN65" s="31">
        <f>=IF(LEN(AN66)&gt;0,AN66/AN19,"")</f>
        <v>0</v>
      </c>
      <c r="AO65" s="31">
        <f>=IF(LEN(AO66)&gt;0,AO66/AO19,"")</f>
        <v>0</v>
      </c>
      <c r="AP65" s="31">
        <f>=IF(LEN(AP66)&gt;0,AP66/AP19,"")</f>
        <v>0</v>
      </c>
      <c r="AQ65" s="31">
        <f>=IF(LEN(AQ66)&gt;0,AQ66/AQ19,"")</f>
        <v>0</v>
      </c>
      <c r="AR65" s="31">
        <f>=IF(LEN(AR66)&gt;0,AR66/AR19,"")</f>
        <v>0</v>
      </c>
      <c r="AS65" s="31">
        <f>=IF(LEN(AS66)&gt;0,AS66/AS19,"")</f>
        <v>0</v>
      </c>
      <c r="AT65" s="31">
        <f>=IF(LEN(AT66)&gt;0,AT66/AT19,"")</f>
        <v>0</v>
      </c>
      <c r="AU65" s="31">
        <f>=IF(LEN(AU66)&gt;0,AU66/AU19,"")</f>
        <v>0</v>
      </c>
      <c r="AV65" s="31">
        <f>=IF(LEN(AV66)&gt;0,AV66/AV19,"")</f>
        <v>0</v>
      </c>
      <c r="AW65" s="31">
        <f>=IF(LEN(AW66)&gt;0,AW66/AW19,"")</f>
        <v>0</v>
      </c>
      <c r="AX65" s="31">
        <f>=IF(LEN(AX66)&gt;0,AX66/AX19,"")</f>
        <v>0</v>
      </c>
      <c r="AY65" s="31">
        <f>=IF(LEN(AY66)&gt;0,AY66/AY19,"")</f>
        <v>0</v>
      </c>
      <c r="AZ65" s="31">
        <f>=IF(LEN(AZ66)&gt;0,AZ66/AZ19,"")</f>
        <v>0</v>
      </c>
      <c r="BA65" s="31">
        <f>=IF(LEN(BA66)&gt;0,BA66/BA19,"")</f>
        <v>0</v>
      </c>
      <c r="BB65" s="31">
        <f>=IF(LEN(BB66)&gt;0,BB66/BB19,"")</f>
        <v>0</v>
      </c>
      <c r="BC65" s="31">
        <f>=IF(LEN(BC66)&gt;0,BC66/BC19,"")</f>
        <v>0</v>
      </c>
      <c r="BD65" s="31">
        <f>=IF(LEN(BD66)&gt;0,BD66/BD19,"")</f>
        <v>0</v>
      </c>
      <c r="BE65" s="31">
        <f>=IF(LEN(BE66)&gt;0,BE66/BE19,"")</f>
        <v>0</v>
      </c>
      <c r="BF65" s="31">
        <f>=IF(LEN(BF66)&gt;0,BF66/BF19,"")</f>
        <v>0</v>
      </c>
      <c r="BG65" s="31">
        <f>=IF(LEN(BG66)&gt;0,BG66/BG19,"")</f>
        <v>0</v>
      </c>
      <c r="BH65" s="31">
        <f>=IF(LEN(BH66)&gt;0,BH66/BH19,"")</f>
        <v>0</v>
      </c>
      <c r="BI65" s="31">
        <f>=IF(LEN(BI66)&gt;0,BI66/BI19,"")</f>
        <v>0</v>
      </c>
      <c r="BJ65" s="31">
        <f>=IF(LEN(BJ66)&gt;0,BJ66/BJ19,"")</f>
        <v>0</v>
      </c>
      <c r="BK65" s="31">
        <f>=IF(LEN(BK66)&gt;0,BK66/BK19,"")</f>
        <v>0</v>
      </c>
      <c r="BL65" s="31">
        <f>=IF(LEN(BL66)&gt;0,BL66/BL19,"")</f>
        <v>0</v>
      </c>
      <c r="BM65" s="31">
        <f>=IF(LEN(BM66)&gt;0,BM66/BM19,"")</f>
        <v>0</v>
      </c>
      <c r="BN65" s="30" t="str">
        <f>=IF(LEN(BN66)&gt;0,BN66/BN19,"")</f>
        <v/>
      </c>
      <c r="BO65" s="30" t="str">
        <f>=IF(LEN(BO66)&gt;0,BO66/BO19,"")</f>
        <v/>
      </c>
      <c r="BP65" s="30" t="str">
        <f>=IF(LEN(BP66)&gt;0,BP66/BP19,"")</f>
        <v/>
      </c>
      <c r="BQ65" s="30" t="str">
        <f>=IF(LEN(BQ66)&gt;0,BQ66/BQ19,"")</f>
        <v/>
      </c>
      <c r="BR65" s="30" t="str">
        <f>=IF(LEN(BR66)&gt;0,BR66/BR19,"")</f>
        <v/>
      </c>
      <c r="BS65" s="30" t="str">
        <f>=IF(LEN(BS66)&gt;0,BS66/BS19,"")</f>
        <v/>
      </c>
      <c r="BT65" s="30" t="str">
        <f>=IF(LEN(BT66)&gt;0,BT66/BT19,"")</f>
        <v/>
      </c>
      <c r="BU65" s="30" t="str">
        <f>=IF(LEN(BU66)&gt;0,BU66/BU19,"")</f>
        <v/>
      </c>
      <c r="BV65" s="30" t="str">
        <f>=IF(LEN(BV66)&gt;0,BV66/BV19,"")</f>
        <v/>
      </c>
      <c r="BW65" s="30" t="str">
        <f>=IF(LEN(BW66)&gt;0,BW66/BW19,"")</f>
        <v/>
      </c>
      <c r="BX65" s="30" t="str">
        <f>=IF(LEN(BX66)&gt;0,BX66/BX19,"")</f>
        <v/>
      </c>
      <c r="BY65" s="30" t="str">
        <f>=IF(LEN(BY66)&gt;0,BY66/BY19,"")</f>
        <v/>
      </c>
      <c r="BZ65" s="30" t="str">
        <f>=IF(LEN(BZ66)&gt;0,BZ66/BZ19,"")</f>
        <v/>
      </c>
      <c r="CA65" s="30" t="str">
        <f>=IF(LEN(CA66)&gt;0,CA66/CA19,"")</f>
        <v/>
      </c>
      <c r="CB65" s="30" t="str">
        <f>=IF(LEN(CB66)&gt;0,CB66/CB19,"")</f>
        <v/>
      </c>
      <c r="CC65" s="30" t="str">
        <f>=IF(LEN(CC66)&gt;0,CC66/CC19,"")</f>
        <v/>
      </c>
      <c r="CD65" s="30" t="str">
        <f>=IF(LEN(CD66)&gt;0,CD66/CD19,"")</f>
        <v/>
      </c>
      <c r="CE65" s="30" t="str">
        <f>=IF(LEN(CE66)&gt;0,CE66/CE19,"")</f>
        <v/>
      </c>
      <c r="CF65" s="30" t="str">
        <f>=IF(LEN(CF66)&gt;0,CF66/CF19,"")</f>
        <v/>
      </c>
      <c r="CG65" s="30" t="str">
        <f>=IF(LEN(CG66)&gt;0,CG66/CG19,"")</f>
        <v/>
      </c>
      <c r="CH65" s="30" t="str">
        <f>=IF(LEN(CH66)&gt;0,CH66/CH19,"")</f>
        <v/>
      </c>
      <c r="CI65" s="30" t="str">
        <f>=IF(LEN(CI66)&gt;0,CI66/CI19,"")</f>
        <v/>
      </c>
      <c r="CJ65" s="30" t="str">
        <f>=IF(LEN(CJ66)&gt;0,CJ66/CJ19,"")</f>
        <v/>
      </c>
      <c r="CK65" s="30" t="str">
        <f>=IF(LEN(CK66)&gt;0,CK66/CK19,"")</f>
        <v/>
      </c>
      <c r="CL65" s="30" t="str">
        <f>=IF(LEN(CL66)&gt;0,CL66/CL19,"")</f>
        <v/>
      </c>
      <c r="CM65" s="30" t="str">
        <f>=IF(LEN(CM66)&gt;0,CM66/CM19,"")</f>
        <v/>
      </c>
      <c r="CN65" s="30" t="str">
        <f>=IF(LEN(CN66)&gt;0,CN66/CN19,"")</f>
        <v/>
      </c>
      <c r="CO65" s="30" t="str">
        <f>=IF(LEN(CO66)&gt;0,CO66/CO19,"")</f>
        <v/>
      </c>
      <c r="CP65" s="30" t="str">
        <f>=IF(LEN(CP66)&gt;0,CP66/CP19,"")</f>
        <v/>
      </c>
      <c r="CQ65" s="30" t="str">
        <f>=IF(LEN(CQ66)&gt;0,CQ66/CQ19,"")</f>
        <v/>
      </c>
      <c r="CR65" s="30" t="str">
        <f>=IF(LEN(CR66)&gt;0,CR66/CR19,"")</f>
        <v/>
      </c>
      <c r="CS65" s="30" t="str">
        <f>=IF(LEN(CS66)&gt;0,CS66/CS19,"")</f>
        <v/>
      </c>
      <c r="CT65" s="30" t="str">
        <f>=IF(LEN(CT66)&gt;0,CT66/CT19,"")</f>
        <v/>
      </c>
      <c r="CU65" s="30" t="str">
        <f>=IF(LEN(CU66)&gt;0,CU66/CU19,"")</f>
        <v/>
      </c>
      <c r="CV65" s="30" t="str">
        <f>=IF(LEN(CV66)&gt;0,CV66/CV19,"")</f>
        <v/>
      </c>
      <c r="CW65" s="30" t="str">
        <f>=IF(LEN(CW66)&gt;0,CW66/CW19,"")</f>
        <v/>
      </c>
      <c r="CX65" s="30" t="str">
        <f>=IF(LEN(CX66)&gt;0,CX66/CX19,"")</f>
        <v/>
      </c>
      <c r="CY65" s="30" t="str">
        <f>=IF(LEN(CY66)&gt;0,CY66/CY19,"")</f>
        <v/>
      </c>
      <c r="CZ65" s="30" t="str">
        <f>=IF(LEN(CZ66)&gt;0,CZ66/CZ19,"")</f>
        <v/>
      </c>
      <c r="DA65" s="30" t="str">
        <f>=IF(LEN(DA66)&gt;0,DA66/DA19,"")</f>
        <v/>
      </c>
      <c r="DB65" s="30" t="str">
        <f>=IF(LEN(DB66)&gt;0,DB66/DB19,"")</f>
        <v/>
      </c>
    </row>
    <row r="66" spans="1:106" x14ac:dyDescent="0.25">
      <c r="A66" s="36" t="s">
        <v>291</v>
      </c>
      <c r="C66" s="30">
        <f>=IF(Len(C82)&gt;0,C82,"")</f>
        <v>0</v>
      </c>
      <c r="D66" s="30">
        <f>=IF(Len(D82)&gt;0,D82,"")</f>
        <v>0</v>
      </c>
      <c r="E66" s="30">
        <f>=IF(Len(E82)&gt;0,E82,"")</f>
        <v>0</v>
      </c>
      <c r="F66" s="30">
        <f>=IF(Len(F82)&gt;0,F82,"")</f>
        <v>0</v>
      </c>
      <c r="G66" s="30">
        <f>=IF(Len(G82)&gt;0,G82,"")</f>
        <v>0</v>
      </c>
      <c r="H66" s="30">
        <f>=IF(Len(H82)&gt;0,H82,"")</f>
        <v>0</v>
      </c>
      <c r="I66" s="30">
        <f>=IF(Len(I82)&gt;0,I82,"")</f>
        <v>0</v>
      </c>
      <c r="J66" s="30">
        <f>=IF(Len(J82)&gt;0,J82,"")</f>
        <v>0</v>
      </c>
      <c r="K66" s="30">
        <f>=IF(Len(K82)&gt;0,K82,"")</f>
        <v>0</v>
      </c>
      <c r="L66" s="30">
        <f>=IF(Len(L82)&gt;0,L82,"")</f>
        <v>0</v>
      </c>
      <c r="M66" s="30">
        <f>=IF(Len(M82)&gt;0,M82,"")</f>
        <v>0</v>
      </c>
      <c r="N66" s="30">
        <f>=IF(Len(N82)&gt;0,N82,"")</f>
        <v>0</v>
      </c>
      <c r="O66" s="30">
        <f>=IF(Len(O82)&gt;0,O82,"")</f>
        <v>0</v>
      </c>
      <c r="P66" s="30">
        <f>=IF(Len(P82)&gt;0,P82,"")</f>
        <v>0</v>
      </c>
      <c r="Q66" s="30">
        <f>=IF(Len(Q82)&gt;0,Q82,"")</f>
        <v>0</v>
      </c>
      <c r="R66" s="30">
        <f>=IF(Len(R82)&gt;0,R82,"")</f>
        <v>0</v>
      </c>
      <c r="S66" s="30">
        <f>=IF(Len(S82)&gt;0,S82,"")</f>
        <v>0</v>
      </c>
      <c r="T66" s="30">
        <f>=IF(Len(T82)&gt;0,T82,"")</f>
        <v>1</v>
      </c>
      <c r="U66" s="30">
        <f>=IF(Len(U82)&gt;0,U82,"")</f>
        <v>0</v>
      </c>
      <c r="V66" s="30">
        <f>=IF(Len(V82)&gt;0,V82,"")</f>
        <v>0</v>
      </c>
      <c r="W66" s="30">
        <f>=IF(Len(W82)&gt;0,W82,"")</f>
        <v>0</v>
      </c>
      <c r="X66" s="30">
        <f>=IF(Len(X82)&gt;0,X82,"")</f>
        <v>0</v>
      </c>
      <c r="Y66" s="30">
        <f>=IF(Len(Y82)&gt;0,Y82,"")</f>
        <v>0</v>
      </c>
      <c r="Z66" s="30">
        <f>=IF(Len(Z82)&gt;0,Z82,"")</f>
        <v>0</v>
      </c>
      <c r="AA66" s="30">
        <f>=IF(Len(AA82)&gt;0,AA82,"")</f>
        <v>0</v>
      </c>
      <c r="AB66" s="30">
        <f>=IF(Len(AB82)&gt;0,AB82,"")</f>
        <v>0</v>
      </c>
      <c r="AC66" s="30">
        <f>=IF(Len(AC82)&gt;0,AC82,"")</f>
        <v>0</v>
      </c>
      <c r="AD66" s="30">
        <f>=IF(Len(AD82)&gt;0,AD82,"")</f>
        <v>0</v>
      </c>
      <c r="AE66" s="30">
        <f>=IF(Len(AE82)&gt;0,AE82,"")</f>
        <v>0</v>
      </c>
      <c r="AF66" s="30">
        <f>=IF(Len(AF82)&gt;0,AF82,"")</f>
        <v>0</v>
      </c>
      <c r="AG66" s="30">
        <f>=IF(Len(AG82)&gt;0,AG82,"")</f>
        <v>0</v>
      </c>
      <c r="AH66" s="30">
        <f>=IF(Len(AH82)&gt;0,AH82,"")</f>
        <v>0</v>
      </c>
      <c r="AI66" s="30">
        <f>=IF(Len(AI82)&gt;0,AI82,"")</f>
        <v>0</v>
      </c>
      <c r="AJ66" s="30">
        <f>=IF(Len(AJ82)&gt;0,AJ82,"")</f>
        <v>0</v>
      </c>
      <c r="AK66" s="30">
        <f>=IF(Len(AK82)&gt;0,AK82,"")</f>
        <v>0</v>
      </c>
      <c r="AL66" s="30">
        <f>=IF(Len(AL82)&gt;0,AL82,"")</f>
        <v>0</v>
      </c>
      <c r="AM66" s="30">
        <f>=IF(Len(AM82)&gt;0,AM82,"")</f>
        <v>0</v>
      </c>
      <c r="AN66" s="30">
        <f>=IF(Len(AN82)&gt;0,AN82,"")</f>
        <v>0</v>
      </c>
      <c r="AO66" s="30">
        <f>=IF(Len(AO82)&gt;0,AO82,"")</f>
        <v>0</v>
      </c>
      <c r="AP66" s="30">
        <f>=IF(Len(AP82)&gt;0,AP82,"")</f>
        <v>0</v>
      </c>
      <c r="AQ66" s="30">
        <f>=IF(Len(AQ82)&gt;0,AQ82,"")</f>
        <v>0</v>
      </c>
      <c r="AR66" s="30">
        <f>=IF(Len(AR82)&gt;0,AR82,"")</f>
        <v>0</v>
      </c>
      <c r="AS66" s="30">
        <f>=IF(Len(AS82)&gt;0,AS82,"")</f>
        <v>0</v>
      </c>
      <c r="AT66" s="30">
        <f>=IF(Len(AT82)&gt;0,AT82,"")</f>
        <v>0</v>
      </c>
      <c r="AU66" s="30">
        <f>=IF(Len(AU82)&gt;0,AU82,"")</f>
        <v>0</v>
      </c>
      <c r="AV66" s="30">
        <f>=IF(Len(AV82)&gt;0,AV82,"")</f>
        <v>0</v>
      </c>
      <c r="AW66" s="30">
        <f>=IF(Len(AW82)&gt;0,AW82,"")</f>
        <v>0</v>
      </c>
      <c r="AX66" s="30">
        <f>=IF(Len(AX82)&gt;0,AX82,"")</f>
        <v>0</v>
      </c>
      <c r="AY66" s="30">
        <f>=IF(Len(AY82)&gt;0,AY82,"")</f>
        <v>0</v>
      </c>
      <c r="AZ66" s="30">
        <f>=IF(Len(AZ82)&gt;0,AZ82,"")</f>
        <v>0</v>
      </c>
      <c r="BA66" s="30">
        <f>=IF(Len(BA82)&gt;0,BA82,"")</f>
        <v>0</v>
      </c>
      <c r="BB66" s="30">
        <f>=IF(Len(BB82)&gt;0,BB82,"")</f>
        <v>0</v>
      </c>
      <c r="BC66" s="30">
        <f>=IF(Len(BC82)&gt;0,BC82,"")</f>
        <v>0</v>
      </c>
      <c r="BD66" s="30">
        <f>=IF(Len(BD82)&gt;0,BD82,"")</f>
        <v>0</v>
      </c>
      <c r="BE66" s="30">
        <f>=IF(Len(BE82)&gt;0,BE82,"")</f>
        <v>0</v>
      </c>
      <c r="BF66" s="30">
        <f>=IF(Len(BF82)&gt;0,BF82,"")</f>
        <v>0</v>
      </c>
      <c r="BG66" s="30">
        <f>=IF(Len(BG82)&gt;0,BG82,"")</f>
        <v>0</v>
      </c>
      <c r="BH66" s="30">
        <f>=IF(Len(BH82)&gt;0,BH82,"")</f>
        <v>0</v>
      </c>
      <c r="BI66" s="30">
        <f>=IF(Len(BI82)&gt;0,BI82,"")</f>
        <v>0</v>
      </c>
      <c r="BJ66" s="30">
        <f>=IF(Len(BJ82)&gt;0,BJ82,"")</f>
        <v>0</v>
      </c>
      <c r="BK66" s="30">
        <f>=IF(Len(BK82)&gt;0,BK82,"")</f>
        <v>0</v>
      </c>
      <c r="BL66" s="30">
        <f>=IF(Len(BL82)&gt;0,BL82,"")</f>
        <v>0</v>
      </c>
      <c r="BM66" s="30">
        <f>=IF(Len(BM82)&gt;0,BM82,"")</f>
        <v>0</v>
      </c>
      <c r="BN66" s="30" t="str">
        <f>=IF(Len(BN82)&gt;0,BN82,"")</f>
        <v/>
      </c>
      <c r="BO66" s="30" t="str">
        <f>=IF(Len(BO82)&gt;0,BO82,"")</f>
        <v/>
      </c>
      <c r="BP66" s="30" t="str">
        <f>=IF(Len(BP82)&gt;0,BP82,"")</f>
        <v/>
      </c>
      <c r="BQ66" s="30" t="str">
        <f>=IF(Len(BQ82)&gt;0,BQ82,"")</f>
        <v/>
      </c>
      <c r="BR66" s="30" t="str">
        <f>=IF(Len(BR82)&gt;0,BR82,"")</f>
        <v/>
      </c>
      <c r="BS66" s="30" t="str">
        <f>=IF(Len(BS82)&gt;0,BS82,"")</f>
        <v/>
      </c>
      <c r="BT66" s="30" t="str">
        <f>=IF(Len(BT82)&gt;0,BT82,"")</f>
        <v/>
      </c>
      <c r="BU66" s="30" t="str">
        <f>=IF(Len(BU82)&gt;0,BU82,"")</f>
        <v/>
      </c>
      <c r="BV66" s="30" t="str">
        <f>=IF(Len(BV82)&gt;0,BV82,"")</f>
        <v/>
      </c>
      <c r="BW66" s="30" t="str">
        <f>=IF(Len(BW82)&gt;0,BW82,"")</f>
        <v/>
      </c>
      <c r="BX66" s="30" t="str">
        <f>=IF(Len(BX82)&gt;0,BX82,"")</f>
        <v/>
      </c>
      <c r="BY66" s="30" t="str">
        <f>=IF(Len(BY82)&gt;0,BY82,"")</f>
        <v/>
      </c>
      <c r="BZ66" s="30" t="str">
        <f>=IF(Len(BZ82)&gt;0,BZ82,"")</f>
        <v/>
      </c>
      <c r="CA66" s="30" t="str">
        <f>=IF(Len(CA82)&gt;0,CA82,"")</f>
        <v/>
      </c>
      <c r="CB66" s="30" t="str">
        <f>=IF(Len(CB82)&gt;0,CB82,"")</f>
        <v/>
      </c>
      <c r="CC66" s="30" t="str">
        <f>=IF(Len(CC82)&gt;0,CC82,"")</f>
        <v/>
      </c>
      <c r="CD66" s="30" t="str">
        <f>=IF(Len(CD82)&gt;0,CD82,"")</f>
        <v/>
      </c>
      <c r="CE66" s="30" t="str">
        <f>=IF(Len(CE82)&gt;0,CE82,"")</f>
        <v/>
      </c>
      <c r="CF66" s="30" t="str">
        <f>=IF(Len(CF82)&gt;0,CF82,"")</f>
        <v/>
      </c>
      <c r="CG66" s="30" t="str">
        <f>=IF(Len(CG82)&gt;0,CG82,"")</f>
        <v/>
      </c>
      <c r="CH66" s="30" t="str">
        <f>=IF(Len(CH82)&gt;0,CH82,"")</f>
        <v/>
      </c>
      <c r="CI66" s="30" t="str">
        <f>=IF(Len(CI82)&gt;0,CI82,"")</f>
        <v/>
      </c>
      <c r="CJ66" s="30" t="str">
        <f>=IF(Len(CJ82)&gt;0,CJ82,"")</f>
        <v/>
      </c>
      <c r="CK66" s="30" t="str">
        <f>=IF(Len(CK82)&gt;0,CK82,"")</f>
        <v/>
      </c>
      <c r="CL66" s="30" t="str">
        <f>=IF(Len(CL82)&gt;0,CL82,"")</f>
        <v/>
      </c>
      <c r="CM66" s="30" t="str">
        <f>=IF(Len(CM82)&gt;0,CM82,"")</f>
        <v/>
      </c>
      <c r="CN66" s="30" t="str">
        <f>=IF(Len(CN82)&gt;0,CN82,"")</f>
        <v/>
      </c>
      <c r="CO66" s="30" t="str">
        <f>=IF(Len(CO82)&gt;0,CO82,"")</f>
        <v/>
      </c>
      <c r="CP66" s="30" t="str">
        <f>=IF(Len(CP82)&gt;0,CP82,"")</f>
        <v/>
      </c>
      <c r="CQ66" s="30" t="str">
        <f>=IF(Len(CQ82)&gt;0,CQ82,"")</f>
        <v/>
      </c>
      <c r="CR66" s="30" t="str">
        <f>=IF(Len(CR82)&gt;0,CR82,"")</f>
        <v/>
      </c>
      <c r="CS66" s="30" t="str">
        <f>=IF(Len(CS82)&gt;0,CS82,"")</f>
        <v/>
      </c>
      <c r="CT66" s="30" t="str">
        <f>=IF(Len(CT82)&gt;0,CT82,"")</f>
        <v/>
      </c>
      <c r="CU66" s="30" t="str">
        <f>=IF(Len(CU82)&gt;0,CU82,"")</f>
        <v/>
      </c>
      <c r="CV66" s="30" t="str">
        <f>=IF(Len(CV82)&gt;0,CV82,"")</f>
        <v/>
      </c>
      <c r="CW66" s="30" t="str">
        <f>=IF(Len(CW82)&gt;0,CW82,"")</f>
        <v/>
      </c>
      <c r="CX66" s="30" t="str">
        <f>=IF(Len(CX82)&gt;0,CX82,"")</f>
        <v/>
      </c>
      <c r="CY66" s="30" t="str">
        <f>=IF(Len(CY82)&gt;0,CY82,"")</f>
        <v/>
      </c>
      <c r="CZ66" s="30" t="str">
        <f>=IF(Len(CZ82)&gt;0,CZ82,"")</f>
        <v/>
      </c>
      <c r="DA66" s="30" t="str">
        <f>=IF(Len(DA82)&gt;0,DA82,"")</f>
        <v/>
      </c>
      <c r="DB66" s="30" t="str">
        <f>=IF(Len(DB82)&gt;0,DB82,"")</f>
        <v/>
      </c>
    </row>
    <row r="67" spans="1:106" x14ac:dyDescent="0.25">
      <c r="A67" s="20" t="s">
        <v>292</v>
      </c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1">
        <f>=IF(LEN(BB68)&gt;0,IF(BB68&lt;=0,0,BB68/(((SUM(BA114:BA125)-BA125)+(SUM(BB114:BB125)-BB117)/2))),"")</f>
        <v>0</v>
      </c>
      <c r="BC67" s="31">
        <f>=IF(LEN(BC68)&gt;0,IF(BC68&lt;=0,0,BC68/(((SUM(BB114:BB125)-BB125)+(SUM(BC114:BC125)-BC117)/2))),"")</f>
        <v>0</v>
      </c>
      <c r="BD67" s="31">
        <f>=IF(LEN(BD68)&gt;0,IF(BD68&lt;=0,0,BD68/(((SUM(BC114:BC125)-BC125)+(SUM(BD114:BD125)-BD117)/2))),"")</f>
        <v>0</v>
      </c>
      <c r="BE67" s="31">
        <f>=IF(LEN(BE68)&gt;0,IF(BE68&lt;=0,0,BE68/(((SUM(BD114:BD125)-BD125)+(SUM(BE114:BE125)-BE117)/2))),"")</f>
        <v>0</v>
      </c>
      <c r="BF67" s="31">
        <f>=IF(LEN(BF68)&gt;0,IF(BF68&lt;=0,0,BF68/(((SUM(BE114:BE125)-BE125)+(SUM(BF114:BF125)-BF117)/2))),"")</f>
        <v>0</v>
      </c>
      <c r="BG67" s="31">
        <f>=IF(LEN(BG68)&gt;0,IF(BG68&lt;=0,0,BG68/(((SUM(BF114:BF125)-BF125)+(SUM(BG114:BG125)-BG117)/2))),"")</f>
        <v>0</v>
      </c>
      <c r="BH67" s="31">
        <f>=IF(LEN(BH68)&gt;0,IF(BH68&lt;=0,0,BH68/(((SUM(BG114:BG125)-BG125)+(SUM(BH114:BH125)-BH117)/2))),"")</f>
        <v>0</v>
      </c>
      <c r="BI67" s="31">
        <f>=IF(LEN(BI68)&gt;0,IF(BI68&lt;=0,0,BI68/(((SUM(BH114:BH125)-BH125)+(SUM(BI114:BI125)-BI117)/2))),"")</f>
        <v>0</v>
      </c>
      <c r="BJ67" s="31">
        <f>=IF(LEN(BJ68)&gt;0,IF(BJ68&lt;=0,0,BJ68/(((SUM(BI114:BI125)-BI125)+(SUM(BJ114:BJ125)-BJ117)/2))),"")</f>
        <v>0</v>
      </c>
      <c r="BK67" s="31">
        <f>=IF(LEN(BK68)&gt;0,IF(BK68&lt;=0,0,BK68/(((SUM(BJ114:BJ125)-BJ125)+(SUM(BK114:BK125)-BK117)/2))),"")</f>
        <v>0</v>
      </c>
      <c r="BL67" s="31">
        <f>=IF(LEN(BL68)&gt;0,IF(BL68&lt;=0,0,BL68/(((SUM(BK114:BK125)-BK125)+(SUM(BL114:BL125)-BL117)/2))),"")</f>
        <v>0</v>
      </c>
      <c r="BM67" s="31">
        <f>=IF(LEN(BM68)&gt;0,IF(BM68&lt;=0,0,BM68/(((SUM(BL114:BL125)-BL125)+(SUM(BM114:BM125)-BM117)/2))),"")</f>
        <v>0</v>
      </c>
      <c r="BN67" s="31">
        <f>=IF(LEN(BN68)&gt;0,IF(BN68&lt;=0,0,BN68/(((SUM(BM114:BM125)-BM125)+(SUM(BN114:BN125)-BN117)/2))),"")</f>
        <v>0</v>
      </c>
      <c r="BO67" s="31">
        <f>=IF(LEN(BO68)&gt;0,IF(BO68&lt;=0,0,BO68/(((SUM(BN114:BN125)-BN125)+(SUM(BO114:BO125)-BO117)/2))),"")</f>
        <v>0</v>
      </c>
      <c r="BP67" s="31">
        <f>=IF(LEN(BP68)&gt;0,IF(BP68&lt;=0,0,BP68/(((SUM(BO114:BO125)-BO125)+(SUM(BP114:BP125)-BP117)/2))),"")</f>
        <v>0</v>
      </c>
      <c r="BQ67" s="31">
        <f>=IF(LEN(BQ68)&gt;0,IF(BQ68&lt;=0,0,BQ68/(((SUM(BP114:BP125)-BP125)+(SUM(BQ114:BQ125)-BQ117)/2))),"")</f>
        <v>0</v>
      </c>
      <c r="BR67" s="31">
        <f>=IF(LEN(BR68)&gt;0,IF(BR68&lt;=0,0,BR68/(((SUM(BQ114:BQ125)-BQ125)+(SUM(BR114:BR125)-BR117)/2))),"")</f>
        <v>0</v>
      </c>
      <c r="BS67" s="31">
        <f>=IF(LEN(BS68)&gt;0,IF(BS68&lt;=0,0,BS68/(((SUM(BR114:BR125)-BR125)+(SUM(BS114:BS125)-BS117)/2))),"")</f>
        <v>0</v>
      </c>
      <c r="BT67" s="31">
        <f>=IF(LEN(BT68)&gt;0,IF(BT68&lt;=0,0,BT68/(((SUM(BS114:BS125)-BS125)+(SUM(BT114:BT125)-BT117)/2))),"")</f>
        <v>0</v>
      </c>
      <c r="BU67" s="31">
        <f>=IF(LEN(BU68)&gt;0,IF(BU68&lt;=0,0,BU68/(((SUM(BT114:BT125)-BT125)+(SUM(BU114:BU125)-BU117)/2))),"")</f>
        <v>0</v>
      </c>
      <c r="BV67" s="30">
        <f>=IF(LEN(BV68)&gt;0,IF(BV68&lt;=0,0,BV68/(((SUM(BU114:BU125)-BU125)+(SUM(BV114:BV125)-BV117)/2))),"")</f>
        <v>0</v>
      </c>
      <c r="BW67" s="30">
        <f>=IF(LEN(BW68)&gt;0,IF(BW68&lt;=0,0,BW68/(((SUM(BV114:BV125)-BV125)+(SUM(BW114:BW125)-BW117)/2))),"")</f>
        <v>0</v>
      </c>
      <c r="BX67" s="30">
        <f>=IF(LEN(BX68)&gt;0,IF(BX68&lt;=0,0,BX68/(((SUM(BW114:BW125)-BW125)+(SUM(BX114:BX125)-BX117)/2))),"")</f>
        <v>0</v>
      </c>
      <c r="BY67" s="30" t="str">
        <f>=IF(LEN(BY68)&gt;0,IF(BY68&lt;=0,0,BY68/(((SUM(BX114:BX125)-BX125)+(SUM(BY114:BY125)-BY117)/2))),"")</f>
        <v/>
      </c>
      <c r="BZ67" s="30" t="str">
        <f>=IF(LEN(BZ68)&gt;0,IF(BZ68&lt;=0,0,BZ68/(((SUM(BY114:BY125)-BY125)+(SUM(BZ114:BZ125)-BZ117)/2))),"")</f>
        <v/>
      </c>
      <c r="CA67" s="30" t="str">
        <f>=IF(LEN(CA68)&gt;0,IF(CA68&lt;=0,0,CA68/(((SUM(BZ114:BZ125)-BZ125)+(SUM(CA114:CA125)-CA117)/2))),"")</f>
        <v/>
      </c>
      <c r="CB67" s="30" t="str">
        <f>=IF(LEN(CB68)&gt;0,IF(CB68&lt;=0,0,CB68/(((SUM(CA114:CA125)-CA125)+(SUM(CB114:CB125)-CB117)/2))),"")</f>
        <v/>
      </c>
      <c r="CC67" s="30" t="str">
        <f>=IF(LEN(CC68)&gt;0,IF(CC68&lt;=0,0,CC68/(((SUM(CB114:CB125)-CB125)+(SUM(CC114:CC125)-CC117)/2))),"")</f>
        <v/>
      </c>
      <c r="CD67" s="30" t="str">
        <f>=IF(LEN(CD68)&gt;0,IF(CD68&lt;=0,0,CD68/(((SUM(CC114:CC125)-CC125)+(SUM(CD114:CD125)-CD117)/2))),"")</f>
        <v/>
      </c>
      <c r="CE67" s="30" t="str">
        <f>=IF(LEN(CE68)&gt;0,IF(CE68&lt;=0,0,CE68/(((SUM(CD114:CD125)-CD125)+(SUM(CE114:CE125)-CE117)/2))),"")</f>
        <v/>
      </c>
      <c r="CF67" s="30" t="str">
        <f>=IF(LEN(CF68)&gt;0,IF(CF68&lt;=0,0,CF68/(((SUM(CE114:CE125)-CE125)+(SUM(CF114:CF125)-CF117)/2))),"")</f>
        <v/>
      </c>
      <c r="CG67" s="30" t="str">
        <f>=IF(LEN(CG68)&gt;0,IF(CG68&lt;=0,0,CG68/(((SUM(CF114:CF125)-CF125)+(SUM(CG114:CG125)-CG117)/2))),"")</f>
        <v/>
      </c>
      <c r="CH67" s="30" t="str">
        <f>=IF(LEN(CH68)&gt;0,IF(CH68&lt;=0,0,CH68/(((SUM(CG114:CG125)-CG125)+(SUM(CH114:CH125)-CH117)/2))),"")</f>
        <v/>
      </c>
      <c r="CI67" s="30" t="str">
        <f>=IF(LEN(CI68)&gt;0,IF(CI68&lt;=0,0,CI68/(((SUM(CH114:CH125)-CH125)+(SUM(CI114:CI125)-CI117)/2))),"")</f>
        <v/>
      </c>
      <c r="CJ67" s="30" t="str">
        <f>=IF(LEN(CJ68)&gt;0,IF(CJ68&lt;=0,0,CJ68/(((SUM(CI114:CI125)-CI125)+(SUM(CJ114:CJ125)-CJ117)/2))),"")</f>
        <v/>
      </c>
      <c r="CK67" s="30" t="str">
        <f>=IF(LEN(CK68)&gt;0,IF(CK68&lt;=0,0,CK68/(((SUM(CJ114:CJ125)-CJ125)+(SUM(CK114:CK125)-CK117)/2))),"")</f>
        <v/>
      </c>
      <c r="CL67" s="30" t="str">
        <f>=IF(LEN(CL68)&gt;0,IF(CL68&lt;=0,0,CL68/(((SUM(CK114:CK125)-CK125)+(SUM(CL114:CL125)-CL117)/2))),"")</f>
        <v/>
      </c>
      <c r="CM67" s="30" t="str">
        <f>=IF(LEN(CM68)&gt;0,IF(CM68&lt;=0,0,CM68/(((SUM(CL114:CL125)-CL125)+(SUM(CM114:CM125)-CM117)/2))),"")</f>
        <v/>
      </c>
      <c r="CN67" s="30" t="str">
        <f>=IF(LEN(CN68)&gt;0,IF(CN68&lt;=0,0,CN68/(((SUM(CM114:CM125)-CM125)+(SUM(CN114:CN125)-CN117)/2))),"")</f>
        <v/>
      </c>
      <c r="CO67" s="30" t="str">
        <f>=IF(LEN(CO68)&gt;0,IF(CO68&lt;=0,0,CO68/(((SUM(CN114:CN125)-CN125)+(SUM(CO114:CO125)-CO117)/2))),"")</f>
        <v/>
      </c>
      <c r="CP67" s="30" t="str">
        <f>=IF(LEN(CP68)&gt;0,IF(CP68&lt;=0,0,CP68/(((SUM(CO114:CO125)-CO125)+(SUM(CP114:CP125)-CP117)/2))),"")</f>
        <v/>
      </c>
      <c r="CQ67" s="30" t="str">
        <f>=IF(LEN(CQ68)&gt;0,IF(CQ68&lt;=0,0,CQ68/(((SUM(CP114:CP125)-CP125)+(SUM(CQ114:CQ125)-CQ117)/2))),"")</f>
        <v/>
      </c>
      <c r="CR67" s="30" t="str">
        <f>=IF(LEN(CR68)&gt;0,IF(CR68&lt;=0,0,CR68/(((SUM(CQ114:CQ125)-CQ125)+(SUM(CR114:CR125)-CR117)/2))),"")</f>
        <v/>
      </c>
      <c r="CS67" s="30" t="str">
        <f>=IF(LEN(CS68)&gt;0,IF(CS68&lt;=0,0,CS68/(((SUM(CR114:CR125)-CR125)+(SUM(CS114:CS125)-CS117)/2))),"")</f>
        <v/>
      </c>
      <c r="CT67" s="30" t="str">
        <f>=IF(LEN(CT68)&gt;0,IF(CT68&lt;=0,0,CT68/(((SUM(CS114:CS125)-CS125)+(SUM(CT114:CT125)-CT117)/2))),"")</f>
        <v/>
      </c>
      <c r="CU67" s="30" t="str">
        <f>=IF(LEN(CU68)&gt;0,IF(CU68&lt;=0,0,CU68/(((SUM(CT114:CT125)-CT125)+(SUM(CU114:CU125)-CU117)/2))),"")</f>
        <v/>
      </c>
      <c r="CV67" s="30" t="str">
        <f>=IF(LEN(CV68)&gt;0,IF(CV68&lt;=0,0,CV68/(((SUM(CU114:CU125)-CU125)+(SUM(CV114:CV125)-CV117)/2))),"")</f>
        <v/>
      </c>
      <c r="CW67" s="30" t="str">
        <f>=IF(LEN(CW68)&gt;0,IF(CW68&lt;=0,0,CW68/(((SUM(CV114:CV125)-CV125)+(SUM(CW114:CW125)-CW117)/2))),"")</f>
        <v/>
      </c>
      <c r="CX67" s="30" t="str">
        <f>=IF(LEN(CX68)&gt;0,IF(CX68&lt;=0,0,CX68/(((SUM(CW114:CW125)-CW125)+(SUM(CX114:CX125)-CX117)/2))),"")</f>
        <v/>
      </c>
      <c r="CY67" s="30" t="str">
        <f>=IF(LEN(CY68)&gt;0,IF(CY68&lt;=0,0,CY68/(((SUM(CX114:CX125)-CX125)+(SUM(CY114:CY125)-CY117)/2))),"")</f>
        <v/>
      </c>
      <c r="CZ67" s="30" t="str">
        <f>=IF(LEN(CZ68)&gt;0,IF(CZ68&lt;=0,0,CZ68/(((SUM(CY114:CY125)-CY125)+(SUM(CZ114:CZ125)-CZ117)/2))),"")</f>
        <v/>
      </c>
      <c r="DA67" s="30" t="str">
        <f>=IF(LEN(DA68)&gt;0,IF(DA68&lt;=0,0,DA68/(((SUM(CZ114:CZ125)-CZ125)+(SUM(DA114:DA125)-DA117)/2))),"")</f>
        <v/>
      </c>
      <c r="DB67" s="30" t="str">
        <f>=IF(LEN(DB68)&gt;0,IF(DB68&lt;=0,0,DB68/(((SUM(DA114:DA125)-DA125)+(SUM(DB114:DB125)-DB117)/2))),"")</f>
        <v/>
      </c>
    </row>
    <row r="68" spans="1:106" x14ac:dyDescent="0.25">
      <c r="A68" s="36" t="s">
        <v>293</v>
      </c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>
        <f>=IF(DATEVALUE(BB4)&lt;=$C$2-WEEKDAY($C$2,1)+1,IF(SUM(BA114:BA125)&lt;=0,0,(SUM(BA114:BA125)-BA125)-(SUM(BB114:BB125)-BB117)),"")</f>
        <v>0</v>
      </c>
      <c r="BC68" s="30">
        <f>=IF(DATEVALUE(BC4)&lt;=$C$2-WEEKDAY($C$2,1)+1,IF(SUM(BB114:BB125)&lt;=0,0,(SUM(BB114:BB125)-BB125)-(SUM(BC114:BC125)-BC117)),"")</f>
        <v>0</v>
      </c>
      <c r="BD68" s="30">
        <f>=IF(DATEVALUE(BD4)&lt;=$C$2-WEEKDAY($C$2,1)+1,IF(SUM(BC114:BC125)&lt;=0,0,(SUM(BC114:BC125)-BC125)-(SUM(BD114:BD125)-BD117)),"")</f>
        <v>0</v>
      </c>
      <c r="BE68" s="30">
        <f>=IF(DATEVALUE(BE4)&lt;=$C$2-WEEKDAY($C$2,1)+1,IF(SUM(BD114:BD125)&lt;=0,0,(SUM(BD114:BD125)-BD125)-(SUM(BE114:BE125)-BE117)),"")</f>
        <v>0</v>
      </c>
      <c r="BF68" s="30">
        <f>=IF(DATEVALUE(BF4)&lt;=$C$2-WEEKDAY($C$2,1)+1,IF(SUM(BE114:BE125)&lt;=0,0,(SUM(BE114:BE125)-BE125)-(SUM(BF114:BF125)-BF117)),"")</f>
        <v>0</v>
      </c>
      <c r="BG68" s="30">
        <f>=IF(DATEVALUE(BG4)&lt;=$C$2-WEEKDAY($C$2,1)+1,IF(SUM(BF114:BF125)&lt;=0,0,(SUM(BF114:BF125)-BF125)-(SUM(BG114:BG125)-BG117)),"")</f>
        <v>0</v>
      </c>
      <c r="BH68" s="30">
        <f>=IF(DATEVALUE(BH4)&lt;=$C$2-WEEKDAY($C$2,1)+1,IF(SUM(BG114:BG125)&lt;=0,0,(SUM(BG114:BG125)-BG125)-(SUM(BH114:BH125)-BH117)),"")</f>
        <v>0</v>
      </c>
      <c r="BI68" s="30">
        <f>=IF(DATEVALUE(BI4)&lt;=$C$2-WEEKDAY($C$2,1)+1,IF(SUM(BH114:BH125)&lt;=0,0,(SUM(BH114:BH125)-BH125)-(SUM(BI114:BI125)-BI117)),"")</f>
        <v>0</v>
      </c>
      <c r="BJ68" s="30">
        <f>=IF(DATEVALUE(BJ4)&lt;=$C$2-WEEKDAY($C$2,1)+1,IF(SUM(BI114:BI125)&lt;=0,0,(SUM(BI114:BI125)-BI125)-(SUM(BJ114:BJ125)-BJ117)),"")</f>
        <v>0</v>
      </c>
      <c r="BK68" s="30">
        <f>=IF(DATEVALUE(BK4)&lt;=$C$2-WEEKDAY($C$2,1)+1,IF(SUM(BJ114:BJ125)&lt;=0,0,(SUM(BJ114:BJ125)-BJ125)-(SUM(BK114:BK125)-BK117)),"")</f>
        <v>0</v>
      </c>
      <c r="BL68" s="30">
        <f>=IF(DATEVALUE(BL4)&lt;=$C$2-WEEKDAY($C$2,1)+1,IF(SUM(BK114:BK125)&lt;=0,0,(SUM(BK114:BK125)-BK125)-(SUM(BL114:BL125)-BL117)),"")</f>
        <v>0</v>
      </c>
      <c r="BM68" s="30">
        <f>=IF(DATEVALUE(BM4)&lt;=$C$2-WEEKDAY($C$2,1)+1,IF(SUM(BL114:BL125)&lt;=0,0,(SUM(BL114:BL125)-BL125)-(SUM(BM114:BM125)-BM117)),"")</f>
        <v>0</v>
      </c>
      <c r="BN68" s="30">
        <f>=IF(DATEVALUE(BN4)&lt;=$C$2-WEEKDAY($C$2,1)+1,IF(SUM(BM114:BM125)&lt;=0,0,(SUM(BM114:BM125)-BM125)-(SUM(BN114:BN125)-BN117)),"")</f>
        <v>0</v>
      </c>
      <c r="BO68" s="30">
        <f>=IF(DATEVALUE(BO4)&lt;=$C$2-WEEKDAY($C$2,1)+1,IF(SUM(BN114:BN125)&lt;=0,0,(SUM(BN114:BN125)-BN125)-(SUM(BO114:BO125)-BO117)),"")</f>
        <v>0</v>
      </c>
      <c r="BP68" s="30">
        <f>=IF(DATEVALUE(BP4)&lt;=$C$2-WEEKDAY($C$2,1)+1,IF(SUM(BO114:BO125)&lt;=0,0,(SUM(BO114:BO125)-BO125)-(SUM(BP114:BP125)-BP117)),"")</f>
        <v>0</v>
      </c>
      <c r="BQ68" s="30">
        <f>=IF(DATEVALUE(BQ4)&lt;=$C$2-WEEKDAY($C$2,1)+1,IF(SUM(BP114:BP125)&lt;=0,0,(SUM(BP114:BP125)-BP125)-(SUM(BQ114:BQ125)-BQ117)),"")</f>
        <v>0</v>
      </c>
      <c r="BR68" s="30">
        <f>=IF(DATEVALUE(BR4)&lt;=$C$2-WEEKDAY($C$2,1)+1,IF(SUM(BQ114:BQ125)&lt;=0,0,(SUM(BQ114:BQ125)-BQ125)-(SUM(BR114:BR125)-BR117)),"")</f>
        <v>0</v>
      </c>
      <c r="BS68" s="30">
        <f>=IF(DATEVALUE(BS4)&lt;=$C$2-WEEKDAY($C$2,1)+1,IF(SUM(BR114:BR125)&lt;=0,0,(SUM(BR114:BR125)-BR125)-(SUM(BS114:BS125)-BS117)),"")</f>
        <v>0</v>
      </c>
      <c r="BT68" s="30">
        <f>=IF(DATEVALUE(BT4)&lt;=$C$2-WEEKDAY($C$2,1)+1,IF(SUM(BS114:BS125)&lt;=0,0,(SUM(BS114:BS125)-BS125)-(SUM(BT114:BT125)-BT117)),"")</f>
        <v>0</v>
      </c>
      <c r="BU68" s="30">
        <f>=IF(DATEVALUE(BU4)&lt;=$C$2-WEEKDAY($C$2,1)+1,IF(SUM(BT114:BT125)&lt;=0,0,(SUM(BT114:BT125)-BT125)-(SUM(BU114:BU125)-BU117)),"")</f>
        <v>0</v>
      </c>
      <c r="BV68" s="30">
        <f>=IF(DATEVALUE(BV4)&lt;=$C$2-WEEKDAY($C$2,1)+1,IF(SUM(BU114:BU125)&lt;=0,0,(SUM(BU114:BU125)-BU125)-(SUM(BV114:BV125)-BV117)),"")</f>
        <v>0</v>
      </c>
      <c r="BW68" s="30">
        <f>=IF(DATEVALUE(BW4)&lt;=$C$2-WEEKDAY($C$2,1)+1,IF(SUM(BV114:BV125)&lt;=0,0,(SUM(BV114:BV125)-BV125)-(SUM(BW114:BW125)-BW117)),"")</f>
        <v>0</v>
      </c>
      <c r="BX68" s="30">
        <f>=IF(DATEVALUE(BX4)&lt;=$C$2-WEEKDAY($C$2,1)+1,IF(SUM(BW114:BW125)&lt;=0,0,(SUM(BW114:BW125)-BW125)-(SUM(BX114:BX125)-BX117)),"")</f>
        <v>0</v>
      </c>
      <c r="BY68" s="30" t="str">
        <f>=IF(DATEVALUE(BY4)&lt;=$C$2-WEEKDAY($C$2,1)+1,IF(SUM(BX114:BX125)&lt;=0,0,(SUM(BX114:BX125)-BX125)-(SUM(BY114:BY125)-BY117)),"")</f>
        <v/>
      </c>
      <c r="BZ68" s="30" t="str">
        <f>=IF(DATEVALUE(BZ4)&lt;=$C$2-WEEKDAY($C$2,1)+1,IF(SUM(BY114:BY125)&lt;=0,0,(SUM(BY114:BY125)-BY125)-(SUM(BZ114:BZ125)-BZ117)),"")</f>
        <v/>
      </c>
      <c r="CA68" s="30" t="str">
        <f>=IF(DATEVALUE(CA4)&lt;=$C$2-WEEKDAY($C$2,1)+1,IF(SUM(BZ114:BZ125)&lt;=0,0,(SUM(BZ114:BZ125)-BZ125)-(SUM(CA114:CA125)-CA117)),"")</f>
        <v/>
      </c>
      <c r="CB68" s="30" t="str">
        <f>=IF(DATEVALUE(CB4)&lt;=$C$2-WEEKDAY($C$2,1)+1,IF(SUM(CA114:CA125)&lt;=0,0,(SUM(CA114:CA125)-CA125)-(SUM(CB114:CB125)-CB117)),"")</f>
        <v/>
      </c>
      <c r="CC68" s="30" t="str">
        <f>=IF(DATEVALUE(CC4)&lt;=$C$2-WEEKDAY($C$2,1)+1,IF(SUM(CB114:CB125)&lt;=0,0,(SUM(CB114:CB125)-CB125)-(SUM(CC114:CC125)-CC117)),"")</f>
        <v/>
      </c>
      <c r="CD68" s="30" t="str">
        <f>=IF(DATEVALUE(CD4)&lt;=$C$2-WEEKDAY($C$2,1)+1,IF(SUM(CC114:CC125)&lt;=0,0,(SUM(CC114:CC125)-CC125)-(SUM(CD114:CD125)-CD117)),"")</f>
        <v/>
      </c>
      <c r="CE68" s="30" t="str">
        <f>=IF(DATEVALUE(CE4)&lt;=$C$2-WEEKDAY($C$2,1)+1,IF(SUM(CD114:CD125)&lt;=0,0,(SUM(CD114:CD125)-CD125)-(SUM(CE114:CE125)-CE117)),"")</f>
        <v/>
      </c>
      <c r="CF68" s="30" t="str">
        <f>=IF(DATEVALUE(CF4)&lt;=$C$2-WEEKDAY($C$2,1)+1,IF(SUM(CE114:CE125)&lt;=0,0,(SUM(CE114:CE125)-CE125)-(SUM(CF114:CF125)-CF117)),"")</f>
        <v/>
      </c>
      <c r="CG68" s="30" t="str">
        <f>=IF(DATEVALUE(CG4)&lt;=$C$2-WEEKDAY($C$2,1)+1,IF(SUM(CF114:CF125)&lt;=0,0,(SUM(CF114:CF125)-CF125)-(SUM(CG114:CG125)-CG117)),"")</f>
        <v/>
      </c>
      <c r="CH68" s="30" t="str">
        <f>=IF(DATEVALUE(CH4)&lt;=$C$2-WEEKDAY($C$2,1)+1,IF(SUM(CG114:CG125)&lt;=0,0,(SUM(CG114:CG125)-CG125)-(SUM(CH114:CH125)-CH117)),"")</f>
        <v/>
      </c>
      <c r="CI68" s="30" t="str">
        <f>=IF(DATEVALUE(CI4)&lt;=$C$2-WEEKDAY($C$2,1)+1,IF(SUM(CH114:CH125)&lt;=0,0,(SUM(CH114:CH125)-CH125)-(SUM(CI114:CI125)-CI117)),"")</f>
        <v/>
      </c>
      <c r="CJ68" s="30" t="str">
        <f>=IF(DATEVALUE(CJ4)&lt;=$C$2-WEEKDAY($C$2,1)+1,IF(SUM(CI114:CI125)&lt;=0,0,(SUM(CI114:CI125)-CI125)-(SUM(CJ114:CJ125)-CJ117)),"")</f>
        <v/>
      </c>
      <c r="CK68" s="30" t="str">
        <f>=IF(DATEVALUE(CK4)&lt;=$C$2-WEEKDAY($C$2,1)+1,IF(SUM(CJ114:CJ125)&lt;=0,0,(SUM(CJ114:CJ125)-CJ125)-(SUM(CK114:CK125)-CK117)),"")</f>
        <v/>
      </c>
      <c r="CL68" s="30" t="str">
        <f>=IF(DATEVALUE(CL4)&lt;=$C$2-WEEKDAY($C$2,1)+1,IF(SUM(CK114:CK125)&lt;=0,0,(SUM(CK114:CK125)-CK125)-(SUM(CL114:CL125)-CL117)),"")</f>
        <v/>
      </c>
      <c r="CM68" s="30" t="str">
        <f>=IF(DATEVALUE(CM4)&lt;=$C$2-WEEKDAY($C$2,1)+1,IF(SUM(CL114:CL125)&lt;=0,0,(SUM(CL114:CL125)-CL125)-(SUM(CM114:CM125)-CM117)),"")</f>
        <v/>
      </c>
      <c r="CN68" s="30" t="str">
        <f>=IF(DATEVALUE(CN4)&lt;=$C$2-WEEKDAY($C$2,1)+1,IF(SUM(CM114:CM125)&lt;=0,0,(SUM(CM114:CM125)-CM125)-(SUM(CN114:CN125)-CN117)),"")</f>
        <v/>
      </c>
      <c r="CO68" s="30" t="str">
        <f>=IF(DATEVALUE(CO4)&lt;=$C$2-WEEKDAY($C$2,1)+1,IF(SUM(CN114:CN125)&lt;=0,0,(SUM(CN114:CN125)-CN125)-(SUM(CO114:CO125)-CO117)),"")</f>
        <v/>
      </c>
      <c r="CP68" s="30" t="str">
        <f>=IF(DATEVALUE(CP4)&lt;=$C$2-WEEKDAY($C$2,1)+1,IF(SUM(CO114:CO125)&lt;=0,0,(SUM(CO114:CO125)-CO125)-(SUM(CP114:CP125)-CP117)),"")</f>
        <v/>
      </c>
      <c r="CQ68" s="30" t="str">
        <f>=IF(DATEVALUE(CQ4)&lt;=$C$2-WEEKDAY($C$2,1)+1,IF(SUM(CP114:CP125)&lt;=0,0,(SUM(CP114:CP125)-CP125)-(SUM(CQ114:CQ125)-CQ117)),"")</f>
        <v/>
      </c>
      <c r="CR68" s="30" t="str">
        <f>=IF(DATEVALUE(CR4)&lt;=$C$2-WEEKDAY($C$2,1)+1,IF(SUM(CQ114:CQ125)&lt;=0,0,(SUM(CQ114:CQ125)-CQ125)-(SUM(CR114:CR125)-CR117)),"")</f>
        <v/>
      </c>
      <c r="CS68" s="30" t="str">
        <f>=IF(DATEVALUE(CS4)&lt;=$C$2-WEEKDAY($C$2,1)+1,IF(SUM(CR114:CR125)&lt;=0,0,(SUM(CR114:CR125)-CR125)-(SUM(CS114:CS125)-CS117)),"")</f>
        <v/>
      </c>
      <c r="CT68" s="30" t="str">
        <f>=IF(DATEVALUE(CT4)&lt;=$C$2-WEEKDAY($C$2,1)+1,IF(SUM(CS114:CS125)&lt;=0,0,(SUM(CS114:CS125)-CS125)-(SUM(CT114:CT125)-CT117)),"")</f>
        <v/>
      </c>
      <c r="CU68" s="30" t="str">
        <f>=IF(DATEVALUE(CU4)&lt;=$C$2-WEEKDAY($C$2,1)+1,IF(SUM(CT114:CT125)&lt;=0,0,(SUM(CT114:CT125)-CT125)-(SUM(CU114:CU125)-CU117)),"")</f>
        <v/>
      </c>
      <c r="CV68" s="30" t="str">
        <f>=IF(DATEVALUE(CV4)&lt;=$C$2-WEEKDAY($C$2,1)+1,IF(SUM(CU114:CU125)&lt;=0,0,(SUM(CU114:CU125)-CU125)-(SUM(CV114:CV125)-CV117)),"")</f>
        <v/>
      </c>
      <c r="CW68" s="30" t="str">
        <f>=IF(DATEVALUE(CW4)&lt;=$C$2-WEEKDAY($C$2,1)+1,IF(SUM(CV114:CV125)&lt;=0,0,(SUM(CV114:CV125)-CV125)-(SUM(CW114:CW125)-CW117)),"")</f>
        <v/>
      </c>
      <c r="CX68" s="30" t="str">
        <f>=IF(DATEVALUE(CX4)&lt;=$C$2-WEEKDAY($C$2,1)+1,IF(SUM(CW114:CW125)&lt;=0,0,(SUM(CW114:CW125)-CW125)-(SUM(CX114:CX125)-CX117)),"")</f>
        <v/>
      </c>
      <c r="CY68" s="30" t="str">
        <f>=IF(DATEVALUE(CY4)&lt;=$C$2-WEEKDAY($C$2,1)+1,IF(SUM(CX114:CX125)&lt;=0,0,(SUM(CX114:CX125)-CX125)-(SUM(CY114:CY125)-CY117)),"")</f>
        <v/>
      </c>
      <c r="CZ68" s="30" t="str">
        <f>=IF(DATEVALUE(CZ4)&lt;=$C$2-WEEKDAY($C$2,1)+1,IF(SUM(CY114:CY125)&lt;=0,0,(SUM(CY114:CY125)-CY125)-(SUM(CZ114:CZ125)-CZ117)),"")</f>
        <v/>
      </c>
      <c r="DA68" s="30" t="str">
        <f>=IF(DATEVALUE(DA4)&lt;=$C$2-WEEKDAY($C$2,1)+1,IF(SUM(CZ114:CZ125)&lt;=0,0,(SUM(CZ114:CZ125)-CZ125)-(SUM(DA114:DA125)-DA117)),"")</f>
        <v/>
      </c>
      <c r="DB68" s="30" t="str">
        <f>=IF(DATEVALUE(DB4)&lt;=$C$2-WEEKDAY($C$2,1)+1,IF(SUM(DA114:DA125)&lt;=0,0,(SUM(DA114:DA125)-DA125)-(SUM(DB114:DB125)-DB117)),"")</f>
        <v/>
      </c>
    </row>
    <row r="69" spans="1:106" x14ac:dyDescent="0.25">
      <c r="A69" s="16" t="s">
        <v>294</v>
      </c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  <c r="BP69" s="30"/>
      <c r="BQ69" s="30"/>
      <c r="BR69" s="30"/>
      <c r="BS69" s="30"/>
      <c r="BT69" s="30"/>
      <c r="BU69" s="30"/>
      <c r="BV69" s="30"/>
      <c r="BW69" s="30"/>
      <c r="BX69" s="30"/>
      <c r="BY69" s="30"/>
      <c r="BZ69" s="30"/>
      <c r="CA69" s="30"/>
      <c r="CB69" s="30"/>
      <c r="CC69" s="30"/>
      <c r="CD69" s="30"/>
      <c r="CE69" s="30"/>
      <c r="CF69" s="30"/>
      <c r="CG69" s="30"/>
      <c r="CH69" s="30"/>
      <c r="CI69" s="30"/>
      <c r="CJ69" s="30"/>
      <c r="CK69" s="30"/>
      <c r="CL69" s="30"/>
      <c r="CM69" s="30"/>
      <c r="CN69" s="30"/>
      <c r="CO69" s="30"/>
      <c r="CP69" s="30"/>
      <c r="CQ69" s="30"/>
      <c r="CR69" s="30"/>
      <c r="CS69" s="30"/>
      <c r="CT69" s="30"/>
      <c r="CU69" s="30"/>
      <c r="CV69" s="30"/>
      <c r="CW69" s="30"/>
      <c r="CX69" s="30"/>
      <c r="CY69" s="30"/>
      <c r="CZ69" s="30"/>
      <c r="DA69" s="30"/>
      <c r="DB69" s="30"/>
    </row>
    <row r="70" spans="1:106" x14ac:dyDescent="0.25">
      <c r="A70" s="16" t="s">
        <v>282</v>
      </c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/>
      <c r="BO70" s="30"/>
      <c r="BP70" s="30"/>
      <c r="BQ70" s="30"/>
      <c r="BR70" s="30"/>
      <c r="BS70" s="30"/>
      <c r="BT70" s="30"/>
      <c r="BU70" s="30"/>
      <c r="BV70" s="30"/>
      <c r="BW70" s="30"/>
      <c r="BX70" s="30"/>
      <c r="BY70" s="30"/>
      <c r="BZ70" s="30"/>
      <c r="CA70" s="30"/>
      <c r="CB70" s="30"/>
      <c r="CC70" s="30"/>
      <c r="CD70" s="30"/>
      <c r="CE70" s="30"/>
      <c r="CF70" s="30"/>
      <c r="CG70" s="30"/>
      <c r="CH70" s="30"/>
      <c r="CI70" s="30"/>
      <c r="CJ70" s="30"/>
      <c r="CK70" s="30"/>
      <c r="CL70" s="30"/>
      <c r="CM70" s="30"/>
      <c r="CN70" s="30"/>
      <c r="CO70" s="30"/>
      <c r="CP70" s="30"/>
      <c r="CQ70" s="30"/>
      <c r="CR70" s="30"/>
      <c r="CS70" s="30"/>
      <c r="CT70" s="30"/>
      <c r="CU70" s="30"/>
      <c r="CV70" s="30"/>
      <c r="CW70" s="30"/>
      <c r="CX70" s="30"/>
      <c r="CY70" s="30"/>
      <c r="CZ70" s="30"/>
      <c r="DA70" s="30"/>
      <c r="DB70" s="30"/>
    </row>
    <row r="71" spans="3:106" x14ac:dyDescent="0.25"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30"/>
      <c r="BN71" s="30"/>
      <c r="BO71" s="30"/>
      <c r="BP71" s="30"/>
      <c r="BQ71" s="30"/>
      <c r="BR71" s="30"/>
      <c r="BS71" s="30"/>
      <c r="BT71" s="30"/>
      <c r="BU71" s="30"/>
      <c r="BV71" s="30"/>
      <c r="BW71" s="30"/>
      <c r="BX71" s="30"/>
      <c r="BY71" s="30"/>
      <c r="BZ71" s="30"/>
      <c r="CA71" s="30"/>
      <c r="CB71" s="30"/>
      <c r="CC71" s="30"/>
      <c r="CD71" s="30"/>
      <c r="CE71" s="30"/>
      <c r="CF71" s="30"/>
      <c r="CG71" s="30"/>
      <c r="CH71" s="30"/>
      <c r="CI71" s="30"/>
      <c r="CJ71" s="30"/>
      <c r="CK71" s="30"/>
      <c r="CL71" s="30"/>
      <c r="CM71" s="30"/>
      <c r="CN71" s="30"/>
      <c r="CO71" s="30"/>
      <c r="CP71" s="30"/>
      <c r="CQ71" s="30"/>
      <c r="CR71" s="30"/>
      <c r="CS71" s="30"/>
      <c r="CT71" s="30"/>
      <c r="CU71" s="30"/>
      <c r="CV71" s="30"/>
      <c r="CW71" s="30"/>
      <c r="CX71" s="30"/>
      <c r="CY71" s="30"/>
      <c r="CZ71" s="30"/>
      <c r="DA71" s="30"/>
      <c r="DB71" s="30"/>
    </row>
    <row r="72" spans="1:106" x14ac:dyDescent="0.25">
      <c r="A72" s="49" t="s">
        <v>295</v>
      </c>
      <c r="B72" s="17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2"/>
      <c r="CH72" s="32"/>
      <c r="CI72" s="32"/>
      <c r="CJ72" s="32"/>
      <c r="CK72" s="32"/>
      <c r="CL72" s="32"/>
      <c r="CM72" s="32"/>
      <c r="CN72" s="32"/>
      <c r="CO72" s="32"/>
      <c r="CP72" s="32"/>
      <c r="CQ72" s="32"/>
      <c r="CR72" s="32"/>
      <c r="CS72" s="32"/>
      <c r="CT72" s="32"/>
      <c r="CU72" s="32"/>
      <c r="CV72" s="32"/>
      <c r="CW72" s="32"/>
      <c r="CX72" s="32"/>
      <c r="CY72" s="32"/>
      <c r="CZ72" s="32"/>
      <c r="DA72" s="32"/>
      <c r="DB72" s="32"/>
    </row>
    <row r="73" ht="15" customHeight="1" spans="1:106" x14ac:dyDescent="0.25">
      <c r="A73" s="16" t="s">
        <v>296</v>
      </c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</row>
    <row r="74" ht="15" customHeight="1" spans="1:106" x14ac:dyDescent="0.25">
      <c r="A74" s="16" t="s">
        <v>297</v>
      </c>
      <c r="B74" s="17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  <c r="BC74" s="50"/>
      <c r="BD74" s="50"/>
      <c r="BE74" s="50"/>
      <c r="BF74" s="50"/>
      <c r="BG74" s="50"/>
      <c r="BH74" s="50"/>
      <c r="BI74" s="50"/>
      <c r="BJ74" s="50"/>
      <c r="BK74" s="50"/>
      <c r="BL74" s="50"/>
      <c r="BM74" s="50"/>
      <c r="BN74" s="50"/>
      <c r="BO74" s="50"/>
      <c r="BP74" s="50"/>
      <c r="BQ74" s="50"/>
      <c r="BR74" s="50"/>
      <c r="BS74" s="50"/>
      <c r="BT74" s="50"/>
      <c r="BU74" s="50"/>
      <c r="BV74" s="50"/>
      <c r="BW74" s="50"/>
      <c r="BX74" s="50"/>
      <c r="BY74" s="50"/>
      <c r="BZ74" s="50"/>
      <c r="CA74" s="50"/>
      <c r="CB74" s="50"/>
      <c r="CC74" s="50"/>
      <c r="CD74" s="50"/>
      <c r="CE74" s="50"/>
      <c r="CF74" s="50"/>
      <c r="CG74" s="50"/>
      <c r="CH74" s="50"/>
      <c r="CI74" s="50"/>
      <c r="CJ74" s="50"/>
      <c r="CK74" s="50"/>
      <c r="CL74" s="50"/>
      <c r="CM74" s="50"/>
      <c r="CN74" s="50"/>
      <c r="CO74" s="50"/>
      <c r="CP74" s="50"/>
      <c r="CQ74" s="50"/>
      <c r="CR74" s="50"/>
      <c r="CS74" s="50"/>
      <c r="CT74" s="50"/>
      <c r="CU74" s="50"/>
      <c r="CV74" s="50"/>
      <c r="CW74" s="50"/>
      <c r="CX74" s="50"/>
      <c r="CY74" s="50"/>
      <c r="CZ74" s="50"/>
      <c r="DA74" s="50"/>
      <c r="DB74" s="50"/>
    </row>
    <row r="75" ht="15" customHeight="1" spans="1:106" x14ac:dyDescent="0.25">
      <c r="A75" s="51" t="s">
        <v>298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</row>
    <row r="76" ht="15" customHeight="1" spans="1:106" x14ac:dyDescent="0.25">
      <c r="A76" s="16" t="s">
        <v>299</v>
      </c>
      <c r="B76" s="17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50"/>
      <c r="AR76" s="50"/>
      <c r="AS76" s="50"/>
      <c r="AT76" s="50"/>
      <c r="AU76" s="50"/>
      <c r="AV76" s="50"/>
      <c r="AW76" s="50"/>
      <c r="AX76" s="50"/>
      <c r="AY76" s="50"/>
      <c r="AZ76" s="50"/>
      <c r="BA76" s="50"/>
      <c r="BB76" s="50"/>
      <c r="BC76" s="50"/>
      <c r="BD76" s="50"/>
      <c r="BE76" s="50"/>
      <c r="BF76" s="50"/>
      <c r="BG76" s="50"/>
      <c r="BH76" s="50"/>
      <c r="BI76" s="50"/>
      <c r="BJ76" s="50"/>
      <c r="BK76" s="50"/>
      <c r="BL76" s="50"/>
      <c r="BM76" s="50"/>
      <c r="BN76" s="50"/>
      <c r="BO76" s="50"/>
      <c r="BP76" s="50"/>
      <c r="BQ76" s="50"/>
      <c r="BR76" s="50"/>
      <c r="BS76" s="50"/>
      <c r="BT76" s="50"/>
      <c r="BU76" s="50"/>
      <c r="BV76" s="50"/>
      <c r="BW76" s="50"/>
      <c r="BX76" s="50"/>
      <c r="BY76" s="50"/>
      <c r="BZ76" s="50"/>
      <c r="CA76" s="50"/>
      <c r="CB76" s="50"/>
      <c r="CC76" s="50"/>
      <c r="CD76" s="50"/>
      <c r="CE76" s="50"/>
      <c r="CF76" s="50"/>
      <c r="CG76" s="50"/>
      <c r="CH76" s="50"/>
      <c r="CI76" s="50"/>
      <c r="CJ76" s="50"/>
      <c r="CK76" s="50"/>
      <c r="CL76" s="50"/>
      <c r="CM76" s="50"/>
      <c r="CN76" s="50"/>
      <c r="CO76" s="50"/>
      <c r="CP76" s="50"/>
      <c r="CQ76" s="50"/>
      <c r="CR76" s="50"/>
      <c r="CS76" s="50"/>
      <c r="CT76" s="50"/>
      <c r="CU76" s="50"/>
      <c r="CV76" s="50"/>
      <c r="CW76" s="50"/>
      <c r="CX76" s="50"/>
      <c r="CY76" s="50"/>
      <c r="CZ76" s="50"/>
      <c r="DA76" s="50"/>
      <c r="DB76" s="50"/>
    </row>
    <row r="77" ht="15" customHeight="1" spans="1:106" x14ac:dyDescent="0.25">
      <c r="A77" s="16" t="s">
        <v>300</v>
      </c>
      <c r="B77" s="17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50"/>
      <c r="BC77" s="50"/>
      <c r="BD77" s="50"/>
      <c r="BE77" s="50"/>
      <c r="BF77" s="50"/>
      <c r="BG77" s="50"/>
      <c r="BH77" s="50"/>
      <c r="BI77" s="50"/>
      <c r="BJ77" s="50"/>
      <c r="BK77" s="50"/>
      <c r="BL77" s="50"/>
      <c r="BM77" s="50"/>
      <c r="BN77" s="50"/>
      <c r="BO77" s="50"/>
      <c r="BP77" s="50"/>
      <c r="BQ77" s="50"/>
      <c r="BR77" s="50"/>
      <c r="BS77" s="50"/>
      <c r="BT77" s="50"/>
      <c r="BU77" s="50"/>
      <c r="BV77" s="50"/>
      <c r="BW77" s="50"/>
      <c r="BX77" s="50"/>
      <c r="BY77" s="50"/>
      <c r="BZ77" s="50"/>
      <c r="CA77" s="50"/>
      <c r="CB77" s="50"/>
      <c r="CC77" s="50"/>
      <c r="CD77" s="50"/>
      <c r="CE77" s="50"/>
      <c r="CF77" s="50"/>
      <c r="CG77" s="50"/>
      <c r="CH77" s="50"/>
      <c r="CI77" s="50"/>
      <c r="CJ77" s="50"/>
      <c r="CK77" s="50"/>
      <c r="CL77" s="50"/>
      <c r="CM77" s="50"/>
      <c r="CN77" s="50"/>
      <c r="CO77" s="50"/>
      <c r="CP77" s="50"/>
      <c r="CQ77" s="50"/>
      <c r="CR77" s="50"/>
      <c r="CS77" s="50"/>
      <c r="CT77" s="50"/>
      <c r="CU77" s="50"/>
      <c r="CV77" s="50"/>
      <c r="CW77" s="50"/>
      <c r="CX77" s="50"/>
      <c r="CY77" s="50"/>
      <c r="CZ77" s="50"/>
      <c r="DA77" s="50"/>
      <c r="DB77" s="50"/>
    </row>
    <row r="78" ht="15" customHeight="1" spans="1:106" x14ac:dyDescent="0.25">
      <c r="A78" s="16" t="s">
        <v>301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</row>
    <row r="79" spans="3:106" x14ac:dyDescent="0.25"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  <c r="BK79" s="30"/>
      <c r="BL79" s="30"/>
      <c r="BM79" s="30"/>
      <c r="BN79" s="30"/>
      <c r="BO79" s="30"/>
      <c r="BP79" s="30"/>
      <c r="BQ79" s="30"/>
      <c r="BR79" s="30"/>
      <c r="BS79" s="30"/>
      <c r="BT79" s="30"/>
      <c r="BU79" s="30"/>
      <c r="BV79" s="30"/>
      <c r="BW79" s="30"/>
      <c r="BX79" s="30"/>
      <c r="BY79" s="30"/>
      <c r="BZ79" s="30"/>
      <c r="CA79" s="30"/>
      <c r="CB79" s="30"/>
      <c r="CC79" s="30"/>
      <c r="CD79" s="30"/>
      <c r="CE79" s="30"/>
      <c r="CF79" s="30"/>
      <c r="CG79" s="30"/>
      <c r="CH79" s="30"/>
      <c r="CI79" s="30"/>
      <c r="CJ79" s="30"/>
      <c r="CK79" s="30"/>
      <c r="CL79" s="30"/>
      <c r="CM79" s="30"/>
      <c r="CN79" s="30"/>
      <c r="CO79" s="30"/>
      <c r="CP79" s="30"/>
      <c r="CQ79" s="30"/>
      <c r="CR79" s="30"/>
      <c r="CS79" s="30"/>
      <c r="CT79" s="30"/>
      <c r="CU79" s="30"/>
      <c r="CV79" s="30"/>
      <c r="CW79" s="30"/>
      <c r="CX79" s="30"/>
      <c r="CY79" s="30"/>
      <c r="CZ79" s="30"/>
      <c r="DA79" s="30"/>
      <c r="DB79" s="30"/>
    </row>
    <row r="80" spans="1:106" x14ac:dyDescent="0.25">
      <c r="A80" s="9" t="s">
        <v>302</v>
      </c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30"/>
      <c r="BN80" s="30"/>
      <c r="BO80" s="30"/>
      <c r="BP80" s="30"/>
      <c r="BQ80" s="30"/>
      <c r="BR80" s="30"/>
      <c r="BS80" s="30"/>
      <c r="BT80" s="30"/>
      <c r="BU80" s="30"/>
      <c r="BV80" s="30"/>
      <c r="BW80" s="30"/>
      <c r="BX80" s="30"/>
      <c r="BY80" s="30"/>
      <c r="BZ80" s="30"/>
      <c r="CA80" s="30"/>
      <c r="CB80" s="30"/>
      <c r="CC80" s="30"/>
      <c r="CD80" s="30"/>
      <c r="CE80" s="30"/>
      <c r="CF80" s="30"/>
      <c r="CG80" s="30"/>
      <c r="CH80" s="30"/>
      <c r="CI80" s="30"/>
      <c r="CJ80" s="30"/>
      <c r="CK80" s="30"/>
      <c r="CL80" s="30"/>
      <c r="CM80" s="30"/>
      <c r="CN80" s="30"/>
      <c r="CO80" s="30"/>
      <c r="CP80" s="30"/>
      <c r="CQ80" s="30"/>
      <c r="CR80" s="30"/>
      <c r="CS80" s="30"/>
      <c r="CT80" s="30"/>
      <c r="CU80" s="30"/>
      <c r="CV80" s="30"/>
      <c r="CW80" s="30"/>
      <c r="CX80" s="30"/>
      <c r="CY80" s="30"/>
      <c r="CZ80" s="30"/>
      <c r="DA80" s="30"/>
      <c r="DB80" s="30"/>
    </row>
    <row r="81" spans="1:106" x14ac:dyDescent="0.25">
      <c r="A81" s="33" t="s">
        <v>303</v>
      </c>
      <c r="B81" s="24"/>
      <c r="C81" s="52">
        <v>0</v>
      </c>
      <c r="D81" s="52">
        <v>0</v>
      </c>
      <c r="E81" s="52">
        <v>0</v>
      </c>
      <c r="F81" s="52">
        <v>0</v>
      </c>
      <c r="G81" s="52">
        <v>0</v>
      </c>
      <c r="H81" s="52">
        <v>0</v>
      </c>
      <c r="I81" s="52">
        <v>0</v>
      </c>
      <c r="J81" s="52">
        <v>0</v>
      </c>
      <c r="K81" s="52">
        <v>0</v>
      </c>
      <c r="L81" s="52">
        <v>0</v>
      </c>
      <c r="M81" s="52">
        <v>0</v>
      </c>
      <c r="N81" s="52">
        <v>0</v>
      </c>
      <c r="O81" s="52">
        <v>0</v>
      </c>
      <c r="P81" s="52">
        <v>0</v>
      </c>
      <c r="Q81" s="52">
        <v>0</v>
      </c>
      <c r="R81" s="52">
        <v>0</v>
      </c>
      <c r="S81" s="52">
        <v>0</v>
      </c>
      <c r="T81" s="52">
        <v>1</v>
      </c>
      <c r="U81" s="52">
        <v>0</v>
      </c>
      <c r="V81" s="52">
        <v>0</v>
      </c>
      <c r="W81" s="52">
        <v>0</v>
      </c>
      <c r="X81" s="52">
        <v>0</v>
      </c>
      <c r="Y81" s="52">
        <v>0</v>
      </c>
      <c r="Z81" s="52">
        <v>0</v>
      </c>
      <c r="AA81" s="52">
        <v>0</v>
      </c>
      <c r="AB81" s="52">
        <v>0</v>
      </c>
      <c r="AC81" s="52">
        <v>0</v>
      </c>
      <c r="AD81" s="52">
        <v>0</v>
      </c>
      <c r="AE81" s="52">
        <v>0</v>
      </c>
      <c r="AF81" s="52">
        <v>0</v>
      </c>
      <c r="AG81" s="52">
        <v>0</v>
      </c>
      <c r="AH81" s="52">
        <v>5</v>
      </c>
      <c r="AI81" s="52">
        <v>0</v>
      </c>
      <c r="AJ81" s="52">
        <v>0</v>
      </c>
      <c r="AK81" s="52">
        <v>0</v>
      </c>
      <c r="AL81" s="52">
        <v>1</v>
      </c>
      <c r="AM81" s="52">
        <v>0</v>
      </c>
      <c r="AN81" s="52">
        <v>0</v>
      </c>
      <c r="AO81" s="52">
        <v>2</v>
      </c>
      <c r="AP81" s="52">
        <v>0</v>
      </c>
      <c r="AQ81" s="52">
        <v>1</v>
      </c>
      <c r="AR81" s="52">
        <v>0</v>
      </c>
      <c r="AS81" s="52">
        <v>3</v>
      </c>
      <c r="AT81" s="52">
        <v>0</v>
      </c>
      <c r="AU81" s="52">
        <v>0</v>
      </c>
      <c r="AV81" s="52">
        <v>0</v>
      </c>
      <c r="AW81" s="52">
        <v>0</v>
      </c>
      <c r="AX81" s="52">
        <v>0</v>
      </c>
      <c r="AY81" s="52">
        <v>0</v>
      </c>
      <c r="AZ81" s="52">
        <v>0</v>
      </c>
      <c r="BA81" s="52">
        <v>0</v>
      </c>
      <c r="BB81" s="52">
        <v>0</v>
      </c>
      <c r="BC81" s="52">
        <v>0</v>
      </c>
      <c r="BD81" s="52">
        <v>0</v>
      </c>
      <c r="BE81" s="52">
        <v>0</v>
      </c>
      <c r="BF81" s="52">
        <v>0</v>
      </c>
      <c r="BG81" s="52">
        <v>0</v>
      </c>
      <c r="BH81" s="52">
        <v>0</v>
      </c>
      <c r="BI81" s="52">
        <v>0</v>
      </c>
      <c r="BJ81" s="52">
        <v>0</v>
      </c>
      <c r="BK81" s="52">
        <v>0</v>
      </c>
      <c r="BL81" s="52">
        <v>0</v>
      </c>
      <c r="BM81" s="52">
        <v>0</v>
      </c>
      <c r="BN81" s="53">
        <f>=SUM(BN82:BN96)</f>
        <v>0</v>
      </c>
      <c r="BO81" s="53">
        <f>=SUM(BO82:BO96)</f>
        <v>0</v>
      </c>
      <c r="BP81" s="53">
        <f>=SUM(BP82:BP96)</f>
        <v>0</v>
      </c>
      <c r="BQ81" s="53">
        <f>=SUM(BQ82:BQ96)</f>
        <v>0</v>
      </c>
      <c r="BR81" s="53">
        <f>=SUM(BR82:BR96)</f>
        <v>0</v>
      </c>
      <c r="BS81" s="53">
        <f>=SUM(BS82:BS96)</f>
        <v>0</v>
      </c>
      <c r="BT81" s="53">
        <f>=SUM(BT82:BT96)</f>
        <v>0</v>
      </c>
      <c r="BU81" s="53">
        <f>=SUM(BU82:BU96)</f>
        <v>0</v>
      </c>
      <c r="BV81" s="53">
        <f>=SUM(BV82:BV96)</f>
        <v>0</v>
      </c>
      <c r="BW81" s="53">
        <f>=SUM(BW82:BW96)</f>
        <v>0</v>
      </c>
      <c r="BX81" s="53">
        <f>=SUM(BX82:BX96)</f>
        <v>0</v>
      </c>
      <c r="BY81" s="53">
        <f>=SUM(BY82:BY96)</f>
        <v>0</v>
      </c>
      <c r="BZ81" s="53">
        <f>=SUM(BZ82:BZ96)</f>
        <v>0</v>
      </c>
      <c r="CA81" s="53">
        <f>=SUM(CA82:CA96)</f>
        <v>0</v>
      </c>
      <c r="CB81" s="53">
        <f>=SUM(CB82:CB96)</f>
        <v>0</v>
      </c>
      <c r="CC81" s="53">
        <f>=SUM(CC82:CC96)</f>
        <v>0</v>
      </c>
      <c r="CD81" s="53">
        <f>=SUM(CD82:CD96)</f>
        <v>0</v>
      </c>
      <c r="CE81" s="53">
        <f>=SUM(CE82:CE96)</f>
        <v>0</v>
      </c>
      <c r="CF81" s="53">
        <f>=SUM(CF82:CF96)</f>
        <v>0</v>
      </c>
      <c r="CG81" s="53">
        <f>=SUM(CG82:CG96)</f>
        <v>0</v>
      </c>
      <c r="CH81" s="53">
        <f>=SUM(CH82:CH96)</f>
        <v>0</v>
      </c>
      <c r="CI81" s="53">
        <f>=SUM(CI82:CI96)</f>
        <v>0</v>
      </c>
      <c r="CJ81" s="53">
        <f>=SUM(CJ82:CJ96)</f>
        <v>0</v>
      </c>
      <c r="CK81" s="53">
        <f>=SUM(CK82:CK96)</f>
        <v>0</v>
      </c>
      <c r="CL81" s="53">
        <f>=SUM(CL82:CL96)</f>
        <v>0</v>
      </c>
      <c r="CM81" s="53">
        <f>=SUM(CM82:CM96)</f>
        <v>0</v>
      </c>
      <c r="CN81" s="53">
        <f>=SUM(CN82:CN96)</f>
        <v>0</v>
      </c>
      <c r="CO81" s="53">
        <f>=SUM(CO82:CO96)</f>
        <v>0</v>
      </c>
      <c r="CP81" s="53">
        <f>=SUM(CP82:CP96)</f>
        <v>0</v>
      </c>
      <c r="CQ81" s="53">
        <f>=SUM(CQ82:CQ96)</f>
        <v>0</v>
      </c>
      <c r="CR81" s="53">
        <f>=SUM(CR82:CR96)</f>
        <v>0</v>
      </c>
      <c r="CS81" s="53">
        <f>=SUM(CS82:CS96)</f>
        <v>0</v>
      </c>
      <c r="CT81" s="53">
        <f>=SUM(CT82:CT96)</f>
        <v>0</v>
      </c>
      <c r="CU81" s="53">
        <f>=SUM(CU82:CU96)</f>
        <v>0</v>
      </c>
      <c r="CV81" s="53">
        <f>=SUM(CV82:CV96)</f>
        <v>0</v>
      </c>
      <c r="CW81" s="53">
        <f>=SUM(CW82:CW96)</f>
        <v>0</v>
      </c>
      <c r="CX81" s="53">
        <f>=SUM(CX82:CX96)</f>
        <v>0</v>
      </c>
      <c r="CY81" s="53">
        <f>=SUM(CY82:CY96)</f>
        <v>0</v>
      </c>
      <c r="CZ81" s="53">
        <f>=SUM(CZ82:CZ96)</f>
        <v>0</v>
      </c>
      <c r="DA81" s="53">
        <f>=SUM(DA82:DA96)</f>
        <v>0</v>
      </c>
      <c r="DB81" s="53">
        <f>=SUM(DB82:DB96)</f>
        <v>0</v>
      </c>
    </row>
    <row r="82" ht="16" customHeight="1" spans="1:111" x14ac:dyDescent="0.25">
      <c r="A82" s="50" t="s">
        <v>304</v>
      </c>
      <c r="C82" s="17">
        <v>0</v>
      </c>
      <c r="D82" s="17">
        <v>0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1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  <c r="AE82" s="17">
        <v>0</v>
      </c>
      <c r="AF82" s="17">
        <v>0</v>
      </c>
      <c r="AG82" s="17">
        <v>0</v>
      </c>
      <c r="AH82" s="17">
        <v>0</v>
      </c>
      <c r="AI82" s="17">
        <v>0</v>
      </c>
      <c r="AJ82" s="17">
        <v>0</v>
      </c>
      <c r="AK82" s="17">
        <v>0</v>
      </c>
      <c r="AL82" s="17">
        <v>0</v>
      </c>
      <c r="AM82" s="17">
        <v>0</v>
      </c>
      <c r="AN82" s="17">
        <v>0</v>
      </c>
      <c r="AO82" s="17">
        <v>0</v>
      </c>
      <c r="AP82" s="17">
        <v>0</v>
      </c>
      <c r="AQ82" s="17">
        <v>0</v>
      </c>
      <c r="AR82" s="17">
        <v>0</v>
      </c>
      <c r="AS82" s="17">
        <v>0</v>
      </c>
      <c r="AT82" s="17">
        <v>0</v>
      </c>
      <c r="AU82" s="17">
        <v>0</v>
      </c>
      <c r="AV82" s="17">
        <v>0</v>
      </c>
      <c r="AW82" s="17">
        <v>0</v>
      </c>
      <c r="AX82" s="17">
        <v>0</v>
      </c>
      <c r="AY82" s="17">
        <v>0</v>
      </c>
      <c r="AZ82" s="17">
        <v>0</v>
      </c>
      <c r="BA82" s="17">
        <v>0</v>
      </c>
      <c r="BB82" s="17">
        <v>0</v>
      </c>
      <c r="BC82" s="17">
        <v>0</v>
      </c>
      <c r="BD82" s="17">
        <v>0</v>
      </c>
      <c r="BE82" s="17">
        <v>0</v>
      </c>
      <c r="BF82" s="17">
        <v>0</v>
      </c>
      <c r="BG82" s="17">
        <v>0</v>
      </c>
      <c r="BH82" s="17">
        <v>0</v>
      </c>
      <c r="BI82" s="17">
        <v>0</v>
      </c>
      <c r="BJ82" s="17">
        <v>0</v>
      </c>
      <c r="BK82" s="17">
        <v>0</v>
      </c>
      <c r="BL82" s="17">
        <v>0</v>
      </c>
      <c r="BM82" s="17">
        <v>0</v>
      </c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</row>
    <row r="83" ht="16" customHeight="1" spans="1:111" x14ac:dyDescent="0.25">
      <c r="A83" s="50" t="s">
        <v>306</v>
      </c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</row>
    <row r="84" ht="16" customHeight="1" spans="1:111" x14ac:dyDescent="0.25">
      <c r="A84" s="50" t="s">
        <v>374</v>
      </c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</row>
    <row r="85" ht="16" customHeight="1" spans="1:111" x14ac:dyDescent="0.25">
      <c r="A85" s="50" t="s">
        <v>309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>
        <v>2</v>
      </c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</row>
    <row r="86" ht="16" customHeight="1" spans="1:111" x14ac:dyDescent="0.25">
      <c r="A86" s="59" t="s">
        <v>311</v>
      </c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</row>
    <row r="87" ht="16" customHeight="1" spans="1:111" x14ac:dyDescent="0.25">
      <c r="A87" s="59" t="s">
        <v>375</v>
      </c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>
        <v>1</v>
      </c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</row>
    <row r="88" ht="16" customHeight="1" spans="1:111" x14ac:dyDescent="0.25">
      <c r="A88" s="59" t="s">
        <v>313</v>
      </c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</row>
    <row r="89" ht="16" customHeight="1" spans="1:111" x14ac:dyDescent="0.25">
      <c r="A89" s="59" t="s">
        <v>0</v>
      </c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</row>
    <row r="90" ht="16" customHeight="1" spans="1:111" x14ac:dyDescent="0.25">
      <c r="A90" s="59" t="s">
        <v>314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>
        <v>1</v>
      </c>
      <c r="AR90" s="17"/>
      <c r="AS90" s="17">
        <v>2</v>
      </c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</row>
    <row r="91" ht="16" customHeight="1" spans="1:111" x14ac:dyDescent="0.25">
      <c r="A91" s="59" t="s">
        <v>315</v>
      </c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</row>
    <row r="92" ht="16" customHeight="1" spans="1:111" x14ac:dyDescent="0.25">
      <c r="A92" s="59" t="s">
        <v>317</v>
      </c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>
        <v>3</v>
      </c>
      <c r="AI92" s="17"/>
      <c r="AJ92" s="17"/>
      <c r="AK92" s="17"/>
      <c r="AL92" s="17">
        <v>1</v>
      </c>
      <c r="AM92" s="17"/>
      <c r="AN92" s="17"/>
      <c r="AO92" s="17"/>
      <c r="AP92" s="17"/>
      <c r="AQ92" s="17"/>
      <c r="AR92" s="17"/>
      <c r="AS92" s="17">
        <v>1</v>
      </c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</row>
    <row r="93" ht="16" customHeight="1" spans="1:111" x14ac:dyDescent="0.25">
      <c r="A93" s="59" t="s">
        <v>316</v>
      </c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>
        <v>1</v>
      </c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</row>
    <row r="94" ht="17" customHeight="1" spans="1:111" x14ac:dyDescent="0.25">
      <c r="A94" s="59" t="s">
        <v>266</v>
      </c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</row>
    <row r="95" ht="17" customHeight="1" spans="1:111" x14ac:dyDescent="0.25">
      <c r="A95" s="59" t="s">
        <v>266</v>
      </c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</row>
    <row r="96" ht="16" customHeight="1" spans="1:111" x14ac:dyDescent="0.25">
      <c r="A96" s="50" t="s">
        <v>320</v>
      </c>
      <c r="C96" s="17">
        <v>0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17">
        <v>2</v>
      </c>
      <c r="AG96" s="17">
        <v>0</v>
      </c>
      <c r="AH96" s="17">
        <v>5</v>
      </c>
      <c r="AI96" s="17">
        <v>0</v>
      </c>
      <c r="AJ96" s="17">
        <v>0</v>
      </c>
      <c r="AK96" s="17">
        <v>0</v>
      </c>
      <c r="AL96" s="17">
        <v>1</v>
      </c>
      <c r="AM96" s="17">
        <v>0</v>
      </c>
      <c r="AN96" s="17">
        <v>0</v>
      </c>
      <c r="AO96" s="17">
        <v>0</v>
      </c>
      <c r="AP96" s="17">
        <v>0</v>
      </c>
      <c r="AQ96" s="17">
        <v>1</v>
      </c>
      <c r="AR96" s="17">
        <v>0</v>
      </c>
      <c r="AS96" s="17">
        <v>3</v>
      </c>
      <c r="AT96" s="17">
        <v>0</v>
      </c>
      <c r="AU96" s="17">
        <v>0</v>
      </c>
      <c r="AV96" s="17">
        <v>0</v>
      </c>
      <c r="AW96" s="17">
        <v>0</v>
      </c>
      <c r="AX96" s="17">
        <v>0</v>
      </c>
      <c r="AY96" s="17">
        <v>0</v>
      </c>
      <c r="AZ96" s="17">
        <v>0</v>
      </c>
      <c r="BA96" s="17">
        <v>0</v>
      </c>
      <c r="BB96" s="17">
        <v>0</v>
      </c>
      <c r="BC96" s="17">
        <v>0</v>
      </c>
      <c r="BD96" s="17">
        <v>0</v>
      </c>
      <c r="BE96" s="17">
        <v>0</v>
      </c>
      <c r="BF96" s="17">
        <v>0</v>
      </c>
      <c r="BG96" s="17">
        <v>0</v>
      </c>
      <c r="BH96" s="17">
        <v>0</v>
      </c>
      <c r="BI96" s="17">
        <v>0</v>
      </c>
      <c r="BJ96" s="17">
        <v>0</v>
      </c>
      <c r="BK96" s="17">
        <v>0</v>
      </c>
      <c r="BL96" s="17">
        <v>0</v>
      </c>
      <c r="BM96" s="17">
        <v>0</v>
      </c>
      <c r="BN96" s="17">
        <v>0</v>
      </c>
      <c r="BO96" s="17">
        <v>0</v>
      </c>
      <c r="BP96" s="17">
        <v>0</v>
      </c>
      <c r="BQ96" s="17">
        <v>0</v>
      </c>
      <c r="BR96" s="17">
        <v>0</v>
      </c>
      <c r="BS96" s="17">
        <v>0</v>
      </c>
      <c r="BT96" s="17">
        <v>0</v>
      </c>
      <c r="BU96" s="17">
        <v>0</v>
      </c>
      <c r="BV96" s="17">
        <v>0</v>
      </c>
      <c r="BW96" s="17">
        <v>0</v>
      </c>
      <c r="BX96" s="17">
        <v>0</v>
      </c>
      <c r="BY96" s="17">
        <v>0</v>
      </c>
      <c r="BZ96" s="17">
        <v>0</v>
      </c>
      <c r="CA96" s="17">
        <v>0</v>
      </c>
      <c r="CB96" s="17">
        <v>0</v>
      </c>
      <c r="CC96" s="17">
        <v>0</v>
      </c>
      <c r="CD96" s="17">
        <v>0</v>
      </c>
      <c r="CE96" s="17">
        <v>0</v>
      </c>
      <c r="CF96" s="17">
        <v>0</v>
      </c>
      <c r="CG96" s="17">
        <v>0</v>
      </c>
      <c r="CH96" s="17">
        <v>0</v>
      </c>
      <c r="CI96" s="17">
        <v>0</v>
      </c>
      <c r="CJ96" s="17">
        <v>0</v>
      </c>
      <c r="CK96" s="17">
        <v>0</v>
      </c>
      <c r="CL96" s="17">
        <v>0</v>
      </c>
      <c r="CM96" s="17">
        <v>0</v>
      </c>
      <c r="CN96" s="17">
        <v>0</v>
      </c>
      <c r="CO96" s="17">
        <v>0</v>
      </c>
      <c r="CP96" s="17">
        <v>0</v>
      </c>
      <c r="CQ96" s="17">
        <v>0</v>
      </c>
      <c r="CR96" s="17">
        <v>0</v>
      </c>
      <c r="CS96" s="17">
        <v>0</v>
      </c>
      <c r="CT96" s="17">
        <v>0</v>
      </c>
      <c r="CU96" s="17">
        <v>0</v>
      </c>
      <c r="CV96" s="17">
        <v>0</v>
      </c>
      <c r="CW96" s="17">
        <v>0</v>
      </c>
      <c r="CX96" s="17">
        <v>0</v>
      </c>
      <c r="CY96" s="17">
        <v>0</v>
      </c>
      <c r="CZ96" s="17">
        <v>0</v>
      </c>
      <c r="DA96" s="17">
        <v>0</v>
      </c>
      <c r="DB96" s="17">
        <v>0</v>
      </c>
      <c r="DC96" s="17"/>
      <c r="DD96" s="17"/>
      <c r="DE96" s="17"/>
      <c r="DF96" s="17"/>
      <c r="DG96" s="17"/>
    </row>
    <row r="97" spans="1:106" x14ac:dyDescent="0.25">
      <c r="A97" s="33" t="s">
        <v>321</v>
      </c>
      <c r="B97" s="60"/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0</v>
      </c>
      <c r="S97" s="52">
        <v>0</v>
      </c>
      <c r="T97" s="52">
        <v>1</v>
      </c>
      <c r="U97" s="52">
        <v>0</v>
      </c>
      <c r="V97" s="52">
        <v>0</v>
      </c>
      <c r="W97" s="52">
        <v>0</v>
      </c>
      <c r="X97" s="52">
        <v>0</v>
      </c>
      <c r="Y97" s="52">
        <v>0</v>
      </c>
      <c r="Z97" s="52">
        <v>0</v>
      </c>
      <c r="AA97" s="52">
        <v>0</v>
      </c>
      <c r="AB97" s="52">
        <v>0</v>
      </c>
      <c r="AC97" s="52">
        <v>0</v>
      </c>
      <c r="AD97" s="52">
        <v>0</v>
      </c>
      <c r="AE97" s="52">
        <v>2</v>
      </c>
      <c r="AF97" s="52">
        <v>3</v>
      </c>
      <c r="AG97" s="52">
        <v>0</v>
      </c>
      <c r="AH97" s="52">
        <v>0</v>
      </c>
      <c r="AI97" s="52">
        <v>0</v>
      </c>
      <c r="AJ97" s="52">
        <v>0</v>
      </c>
      <c r="AK97" s="52">
        <v>1</v>
      </c>
      <c r="AL97" s="52">
        <v>6</v>
      </c>
      <c r="AM97" s="52">
        <v>0</v>
      </c>
      <c r="AN97" s="52">
        <v>0</v>
      </c>
      <c r="AO97" s="52">
        <v>0</v>
      </c>
      <c r="AP97" s="52">
        <v>0</v>
      </c>
      <c r="AQ97" s="52">
        <v>1</v>
      </c>
      <c r="AR97" s="52">
        <v>0</v>
      </c>
      <c r="AS97" s="52">
        <v>0</v>
      </c>
      <c r="AT97" s="52">
        <v>0</v>
      </c>
      <c r="AU97" s="52">
        <v>0</v>
      </c>
      <c r="AV97" s="52">
        <v>0</v>
      </c>
      <c r="AW97" s="52">
        <v>0</v>
      </c>
      <c r="AX97" s="52">
        <v>0</v>
      </c>
      <c r="AY97" s="52">
        <v>0</v>
      </c>
      <c r="AZ97" s="52">
        <v>0</v>
      </c>
      <c r="BA97" s="52">
        <v>0</v>
      </c>
      <c r="BB97" s="52">
        <v>0</v>
      </c>
      <c r="BC97" s="52">
        <v>0</v>
      </c>
      <c r="BD97" s="52">
        <v>0</v>
      </c>
      <c r="BE97" s="52">
        <v>0</v>
      </c>
      <c r="BF97" s="52">
        <v>0</v>
      </c>
      <c r="BG97" s="52">
        <v>0</v>
      </c>
      <c r="BH97" s="52">
        <v>0</v>
      </c>
      <c r="BI97" s="52">
        <v>0</v>
      </c>
      <c r="BJ97" s="52">
        <v>0</v>
      </c>
      <c r="BK97" s="52">
        <v>0</v>
      </c>
      <c r="BL97" s="52">
        <v>0</v>
      </c>
      <c r="BM97" s="52">
        <v>0</v>
      </c>
      <c r="BN97" s="53">
        <f>=SUM(BN98:BN103)</f>
        <v>0</v>
      </c>
      <c r="BO97" s="53">
        <f>=SUM(BO98:BO103)</f>
        <v>0</v>
      </c>
      <c r="BP97" s="53">
        <f>=SUM(BP98:BP103)</f>
        <v>0</v>
      </c>
      <c r="BQ97" s="53">
        <f>=SUM(BQ98:BQ103)</f>
        <v>0</v>
      </c>
      <c r="BR97" s="53">
        <f>=SUM(BR98:BR103)</f>
        <v>0</v>
      </c>
      <c r="BS97" s="53">
        <f>=SUM(BS98:BS103)</f>
        <v>0</v>
      </c>
      <c r="BT97" s="53">
        <f>=SUM(BT98:BT103)</f>
        <v>0</v>
      </c>
      <c r="BU97" s="53">
        <f>=SUM(BU98:BU103)</f>
        <v>0</v>
      </c>
      <c r="BV97" s="53">
        <f>=SUM(BV98:BV103)</f>
        <v>0</v>
      </c>
      <c r="BW97" s="53">
        <f>=SUM(BW98:BW103)</f>
        <v>0</v>
      </c>
      <c r="BX97" s="53">
        <f>=SUM(BX98:BX103)</f>
        <v>0</v>
      </c>
      <c r="BY97" s="53">
        <f>=SUM(BY98:BY103)</f>
        <v>0</v>
      </c>
      <c r="BZ97" s="53">
        <f>=SUM(BZ98:BZ103)</f>
        <v>0</v>
      </c>
      <c r="CA97" s="53">
        <f>=SUM(CA98:CA103)</f>
        <v>0</v>
      </c>
      <c r="CB97" s="53">
        <f>=SUM(CB98:CB103)</f>
        <v>0</v>
      </c>
      <c r="CC97" s="53">
        <f>=SUM(CC98:CC103)</f>
        <v>0</v>
      </c>
      <c r="CD97" s="53">
        <f>=SUM(CD98:CD103)</f>
        <v>0</v>
      </c>
      <c r="CE97" s="53">
        <f>=SUM(CE98:CE103)</f>
        <v>0</v>
      </c>
      <c r="CF97" s="53">
        <f>=SUM(CF98:CF103)</f>
        <v>0</v>
      </c>
      <c r="CG97" s="53">
        <f>=SUM(CG98:CG103)</f>
        <v>0</v>
      </c>
      <c r="CH97" s="53">
        <f>=SUM(CH98:CH103)</f>
        <v>0</v>
      </c>
      <c r="CI97" s="53">
        <f>=SUM(CI98:CI103)</f>
        <v>0</v>
      </c>
      <c r="CJ97" s="53">
        <f>=SUM(CJ98:CJ103)</f>
        <v>0</v>
      </c>
      <c r="CK97" s="53">
        <f>=SUM(CK98:CK103)</f>
        <v>0</v>
      </c>
      <c r="CL97" s="53">
        <f>=SUM(CL98:CL103)</f>
        <v>0</v>
      </c>
      <c r="CM97" s="53">
        <f>=SUM(CM98:CM103)</f>
        <v>0</v>
      </c>
      <c r="CN97" s="53">
        <f>=SUM(CN98:CN103)</f>
        <v>0</v>
      </c>
      <c r="CO97" s="53">
        <f>=SUM(CO98:CO103)</f>
        <v>0</v>
      </c>
      <c r="CP97" s="53">
        <f>=SUM(CP98:CP103)</f>
        <v>0</v>
      </c>
      <c r="CQ97" s="53">
        <f>=SUM(CQ98:CQ103)</f>
        <v>0</v>
      </c>
      <c r="CR97" s="53">
        <f>=SUM(CR98:CR103)</f>
        <v>0</v>
      </c>
      <c r="CS97" s="53">
        <f>=SUM(CS98:CS103)</f>
        <v>0</v>
      </c>
      <c r="CT97" s="53">
        <f>=SUM(CT98:CT103)</f>
        <v>0</v>
      </c>
      <c r="CU97" s="53">
        <f>=SUM(CU98:CU103)</f>
        <v>0</v>
      </c>
      <c r="CV97" s="53">
        <f>=SUM(CV98:CV103)</f>
        <v>0</v>
      </c>
      <c r="CW97" s="53">
        <f>=SUM(CW98:CW103)</f>
        <v>0</v>
      </c>
      <c r="CX97" s="53">
        <f>=SUM(CX98:CX103)</f>
        <v>0</v>
      </c>
      <c r="CY97" s="53">
        <f>=SUM(CY98:CY103)</f>
        <v>0</v>
      </c>
      <c r="CZ97" s="53">
        <f>=SUM(CZ98:CZ103)</f>
        <v>0</v>
      </c>
      <c r="DA97" s="53">
        <f>=SUM(DA98:DA103)</f>
        <v>0</v>
      </c>
      <c r="DB97" s="53">
        <f>=SUM(DB98:DB103)</f>
        <v>0</v>
      </c>
    </row>
    <row r="98" spans="1:111" x14ac:dyDescent="0.25">
      <c r="A98" s="57" t="s">
        <v>322</v>
      </c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</row>
    <row r="99" spans="1:111" x14ac:dyDescent="0.25">
      <c r="A99" s="57" t="s">
        <v>377</v>
      </c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</row>
    <row r="100" spans="1:111" x14ac:dyDescent="0.25">
      <c r="A100" s="57" t="s">
        <v>325</v>
      </c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>
        <v>1</v>
      </c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>
        <v>2</v>
      </c>
      <c r="AF100" s="17">
        <v>3</v>
      </c>
      <c r="AG100" s="17"/>
      <c r="AH100" s="17"/>
      <c r="AI100" s="17"/>
      <c r="AJ100" s="17"/>
      <c r="AK100" s="17">
        <v>1</v>
      </c>
      <c r="AL100" s="17">
        <v>6</v>
      </c>
      <c r="AM100" s="17"/>
      <c r="AN100" s="17"/>
      <c r="AO100" s="17"/>
      <c r="AP100" s="17"/>
      <c r="AQ100" s="17">
        <v>1</v>
      </c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</row>
    <row r="101" spans="1:111" x14ac:dyDescent="0.25">
      <c r="A101" s="57" t="s">
        <v>326</v>
      </c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</row>
    <row r="102" spans="1:106" x14ac:dyDescent="0.25">
      <c r="A102" s="57" t="s">
        <v>266</v>
      </c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30"/>
      <c r="BO102" s="30"/>
      <c r="BP102" s="30"/>
      <c r="BQ102" s="30"/>
      <c r="BR102" s="30"/>
      <c r="BS102" s="30"/>
      <c r="BT102" s="30"/>
      <c r="BU102" s="30"/>
      <c r="BV102" s="30"/>
      <c r="BW102" s="30"/>
      <c r="BX102" s="30"/>
      <c r="BY102" s="30"/>
      <c r="BZ102" s="30"/>
      <c r="CA102" s="30"/>
      <c r="CB102" s="30"/>
      <c r="CC102" s="30"/>
      <c r="CD102" s="30"/>
      <c r="CE102" s="30"/>
      <c r="CF102" s="30"/>
      <c r="CG102" s="30"/>
      <c r="CH102" s="30"/>
      <c r="CI102" s="30"/>
      <c r="CJ102" s="30"/>
      <c r="CK102" s="30"/>
      <c r="CL102" s="30"/>
      <c r="CM102" s="30"/>
      <c r="CN102" s="30"/>
      <c r="CO102" s="30"/>
      <c r="CP102" s="30"/>
      <c r="CQ102" s="30"/>
      <c r="CR102" s="30"/>
      <c r="CS102" s="30"/>
      <c r="CT102" s="30"/>
      <c r="CU102" s="30"/>
      <c r="CV102" s="30"/>
      <c r="CW102" s="30"/>
      <c r="CX102" s="30"/>
      <c r="CY102" s="30"/>
      <c r="CZ102" s="30"/>
      <c r="DA102" s="30"/>
      <c r="DB102" s="30"/>
    </row>
    <row r="103" spans="1:106" x14ac:dyDescent="0.25">
      <c r="A103" s="57" t="s">
        <v>266</v>
      </c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30"/>
      <c r="BO103" s="30"/>
      <c r="BP103" s="30"/>
      <c r="BQ103" s="30"/>
      <c r="BR103" s="30"/>
      <c r="BS103" s="30"/>
      <c r="BT103" s="30"/>
      <c r="BU103" s="30"/>
      <c r="BV103" s="30"/>
      <c r="BW103" s="30"/>
      <c r="BX103" s="30"/>
      <c r="BY103" s="30"/>
      <c r="BZ103" s="30"/>
      <c r="CA103" s="30"/>
      <c r="CB103" s="30"/>
      <c r="CC103" s="30"/>
      <c r="CD103" s="30"/>
      <c r="CE103" s="30"/>
      <c r="CF103" s="30"/>
      <c r="CG103" s="30"/>
      <c r="CH103" s="30"/>
      <c r="CI103" s="30"/>
      <c r="CJ103" s="30"/>
      <c r="CK103" s="30"/>
      <c r="CL103" s="30"/>
      <c r="CM103" s="30"/>
      <c r="CN103" s="30"/>
      <c r="CO103" s="30"/>
      <c r="CP103" s="30"/>
      <c r="CQ103" s="30"/>
      <c r="CR103" s="30"/>
      <c r="CS103" s="30"/>
      <c r="CT103" s="30"/>
      <c r="CU103" s="30"/>
      <c r="CV103" s="30"/>
      <c r="CW103" s="30"/>
      <c r="CX103" s="30"/>
      <c r="CY103" s="30"/>
      <c r="CZ103" s="30"/>
      <c r="DA103" s="30"/>
      <c r="DB103" s="30"/>
    </row>
    <row r="104" spans="3:106" x14ac:dyDescent="0.25"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30"/>
      <c r="BO104" s="30"/>
      <c r="BP104" s="30"/>
      <c r="BQ104" s="30"/>
      <c r="BR104" s="30"/>
      <c r="BS104" s="30"/>
      <c r="BT104" s="30"/>
      <c r="BU104" s="30"/>
      <c r="BV104" s="30"/>
      <c r="BW104" s="30"/>
      <c r="BX104" s="30"/>
      <c r="BY104" s="30"/>
      <c r="BZ104" s="30"/>
      <c r="CA104" s="30"/>
      <c r="CB104" s="30"/>
      <c r="CC104" s="30"/>
      <c r="CD104" s="30"/>
      <c r="CE104" s="30"/>
      <c r="CF104" s="30"/>
      <c r="CG104" s="30"/>
      <c r="CH104" s="30"/>
      <c r="CI104" s="30"/>
      <c r="CJ104" s="30"/>
      <c r="CK104" s="30"/>
      <c r="CL104" s="30"/>
      <c r="CM104" s="30"/>
      <c r="CN104" s="30"/>
      <c r="CO104" s="30"/>
      <c r="CP104" s="30"/>
      <c r="CQ104" s="30"/>
      <c r="CR104" s="30"/>
      <c r="CS104" s="30"/>
      <c r="CT104" s="30"/>
      <c r="CU104" s="30"/>
      <c r="CV104" s="30"/>
      <c r="CW104" s="30"/>
      <c r="CX104" s="30"/>
      <c r="CY104" s="30"/>
      <c r="CZ104" s="30"/>
      <c r="DA104" s="30"/>
      <c r="DB104" s="30"/>
    </row>
    <row r="105" ht="15" customHeight="1" spans="1:106" x14ac:dyDescent="0.25">
      <c r="A105" s="9" t="s">
        <v>327</v>
      </c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32"/>
      <c r="BO105" s="32"/>
      <c r="BP105" s="32"/>
      <c r="BQ105" s="32"/>
      <c r="BR105" s="32"/>
      <c r="BS105" s="32"/>
      <c r="BT105" s="32"/>
      <c r="BU105" s="32"/>
      <c r="BV105" s="32"/>
      <c r="BW105" s="32"/>
      <c r="BX105" s="32"/>
      <c r="BY105" s="32"/>
      <c r="BZ105" s="32"/>
      <c r="CA105" s="32"/>
      <c r="CB105" s="32"/>
      <c r="CC105" s="32"/>
      <c r="CD105" s="32"/>
      <c r="CE105" s="32"/>
      <c r="CF105" s="32"/>
      <c r="CG105" s="32"/>
      <c r="CH105" s="32"/>
      <c r="CI105" s="32"/>
      <c r="CJ105" s="32"/>
      <c r="CK105" s="32"/>
      <c r="CL105" s="32"/>
      <c r="CM105" s="32"/>
      <c r="CN105" s="32"/>
      <c r="CO105" s="32"/>
      <c r="CP105" s="32"/>
      <c r="CQ105" s="32"/>
      <c r="CR105" s="32"/>
      <c r="CS105" s="32"/>
      <c r="CT105" s="32"/>
      <c r="CU105" s="32"/>
      <c r="CV105" s="32"/>
      <c r="CW105" s="32"/>
      <c r="CX105" s="32"/>
      <c r="CY105" s="32"/>
      <c r="CZ105" s="32"/>
      <c r="DA105" s="32"/>
      <c r="DB105" s="32"/>
    </row>
    <row r="106" ht="16" customHeight="1" spans="1:106" x14ac:dyDescent="0.25">
      <c r="A106" s="61" t="s">
        <v>328</v>
      </c>
      <c r="B106" s="13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5"/>
    </row>
    <row r="107" ht="16" customHeight="1" spans="1:106" x14ac:dyDescent="0.25">
      <c r="A107" s="62" t="s">
        <v>329</v>
      </c>
      <c r="B107" s="24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  <c r="AA107" s="63"/>
      <c r="AB107" s="63"/>
      <c r="AC107" s="63"/>
      <c r="AD107" s="63"/>
      <c r="AE107" s="63"/>
      <c r="AF107" s="63"/>
      <c r="AG107" s="63"/>
      <c r="AH107" s="63"/>
      <c r="AI107" s="63"/>
      <c r="AJ107" s="63"/>
      <c r="AK107" s="63"/>
      <c r="AL107" s="63"/>
      <c r="AM107" s="63"/>
      <c r="AN107" s="63"/>
      <c r="AO107" s="63"/>
      <c r="AP107" s="63"/>
      <c r="AQ107" s="63"/>
      <c r="AR107" s="63"/>
      <c r="AS107" s="63"/>
      <c r="AT107" s="63"/>
      <c r="AU107" s="63"/>
      <c r="AV107" s="63"/>
      <c r="AW107" s="63"/>
      <c r="AX107" s="63"/>
      <c r="AY107" s="63"/>
      <c r="AZ107" s="63"/>
      <c r="BA107" s="63"/>
      <c r="BB107" s="63"/>
      <c r="BC107" s="63"/>
      <c r="BD107" s="63"/>
      <c r="BE107" s="63"/>
      <c r="BF107" s="63"/>
      <c r="BG107" s="63"/>
      <c r="BH107" s="63"/>
      <c r="BI107" s="63"/>
      <c r="BJ107" s="63"/>
      <c r="BK107" s="63"/>
      <c r="BL107" s="63"/>
      <c r="BM107" s="63"/>
      <c r="BN107" s="63"/>
      <c r="BO107" s="63"/>
      <c r="BP107" s="63"/>
      <c r="BQ107" s="63"/>
      <c r="BR107" s="63"/>
      <c r="BS107" s="63"/>
      <c r="BT107" s="63"/>
      <c r="BU107" s="63"/>
      <c r="BV107" s="63"/>
      <c r="BW107" s="63"/>
      <c r="BX107" s="63"/>
      <c r="BY107" s="63"/>
      <c r="BZ107" s="63"/>
      <c r="CA107" s="63"/>
      <c r="CB107" s="63"/>
      <c r="CC107" s="63"/>
      <c r="CD107" s="63"/>
      <c r="CE107" s="63"/>
      <c r="CF107" s="63"/>
      <c r="CG107" s="63"/>
      <c r="CH107" s="63"/>
      <c r="CI107" s="63"/>
      <c r="CJ107" s="63"/>
      <c r="CK107" s="63"/>
      <c r="CL107" s="63"/>
      <c r="CM107" s="63"/>
      <c r="CN107" s="63"/>
      <c r="CO107" s="63"/>
      <c r="CP107" s="63"/>
      <c r="CQ107" s="63"/>
      <c r="CR107" s="63"/>
      <c r="CS107" s="63"/>
      <c r="CT107" s="63"/>
      <c r="CU107" s="63"/>
      <c r="CV107" s="63"/>
      <c r="CW107" s="63"/>
      <c r="CX107" s="63"/>
      <c r="CY107" s="63"/>
      <c r="CZ107" s="63"/>
      <c r="DA107" s="63"/>
      <c r="DB107" s="63"/>
    </row>
    <row r="108" ht="15" customHeight="1" spans="1:106" x14ac:dyDescent="0.25">
      <c r="A108" s="16" t="s">
        <v>330</v>
      </c>
      <c r="B108" s="17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50"/>
      <c r="AL108" s="50"/>
      <c r="AM108" s="50"/>
      <c r="AN108" s="50"/>
      <c r="AO108" s="50"/>
      <c r="AP108" s="50"/>
      <c r="AQ108" s="50"/>
      <c r="AR108" s="50"/>
      <c r="AS108" s="50"/>
      <c r="AT108" s="50"/>
      <c r="AU108" s="50"/>
      <c r="AV108" s="50"/>
      <c r="AW108" s="50"/>
      <c r="AX108" s="50"/>
      <c r="AY108" s="50"/>
      <c r="AZ108" s="50"/>
      <c r="BA108" s="50"/>
      <c r="BB108" s="50"/>
      <c r="BC108" s="50"/>
      <c r="BD108" s="50"/>
      <c r="BE108" s="50"/>
      <c r="BF108" s="50"/>
      <c r="BG108" s="50"/>
      <c r="BH108" s="50"/>
      <c r="BI108" s="50"/>
      <c r="BJ108" s="50"/>
      <c r="BK108" s="50"/>
      <c r="BL108" s="50"/>
      <c r="BM108" s="50"/>
      <c r="BN108" s="50"/>
      <c r="BO108" s="50"/>
      <c r="BP108" s="50"/>
      <c r="BQ108" s="50"/>
      <c r="BR108" s="50"/>
      <c r="BS108" s="50"/>
      <c r="BT108" s="50"/>
      <c r="BU108" s="50"/>
      <c r="BV108" s="50"/>
      <c r="BW108" s="50"/>
      <c r="BX108" s="50"/>
      <c r="BY108" s="50"/>
      <c r="BZ108" s="50"/>
      <c r="CA108" s="50"/>
      <c r="CB108" s="50"/>
      <c r="CC108" s="50"/>
      <c r="CD108" s="50"/>
      <c r="CE108" s="50"/>
      <c r="CF108" s="50"/>
      <c r="CG108" s="50"/>
      <c r="CH108" s="50"/>
      <c r="CI108" s="50"/>
      <c r="CJ108" s="50"/>
      <c r="CK108" s="50"/>
      <c r="CL108" s="50"/>
      <c r="CM108" s="50"/>
      <c r="CN108" s="50"/>
      <c r="CO108" s="50"/>
      <c r="CP108" s="50"/>
      <c r="CQ108" s="50"/>
      <c r="CR108" s="50"/>
      <c r="CS108" s="50"/>
      <c r="CT108" s="50"/>
      <c r="CU108" s="50"/>
      <c r="CV108" s="50"/>
      <c r="CW108" s="50"/>
      <c r="CX108" s="50"/>
      <c r="CY108" s="50"/>
      <c r="CZ108" s="50"/>
      <c r="DA108" s="50"/>
      <c r="DB108" s="50"/>
    </row>
    <row r="109" ht="16" customHeight="1" spans="1:106" x14ac:dyDescent="0.25">
      <c r="A109" s="16" t="s">
        <v>331</v>
      </c>
      <c r="B109" s="17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  <c r="AL109" s="50"/>
      <c r="AM109" s="50"/>
      <c r="AN109" s="50"/>
      <c r="AO109" s="50"/>
      <c r="AP109" s="50"/>
      <c r="AQ109" s="50"/>
      <c r="AR109" s="50"/>
      <c r="AS109" s="50"/>
      <c r="AT109" s="50"/>
      <c r="AU109" s="50"/>
      <c r="AV109" s="50"/>
      <c r="AW109" s="50"/>
      <c r="AX109" s="50"/>
      <c r="AY109" s="50"/>
      <c r="AZ109" s="50"/>
      <c r="BA109" s="50"/>
      <c r="BB109" s="50"/>
      <c r="BC109" s="50"/>
      <c r="BD109" s="50"/>
      <c r="BE109" s="50"/>
      <c r="BF109" s="50"/>
      <c r="BG109" s="50"/>
      <c r="BH109" s="50"/>
      <c r="BI109" s="50"/>
      <c r="BJ109" s="50"/>
      <c r="BK109" s="50"/>
      <c r="BL109" s="50"/>
      <c r="BM109" s="50"/>
      <c r="BN109" s="50"/>
      <c r="BO109" s="50"/>
      <c r="BP109" s="50"/>
      <c r="BQ109" s="50"/>
      <c r="BR109" s="50"/>
      <c r="BS109" s="50"/>
      <c r="BT109" s="50"/>
      <c r="BU109" s="50"/>
      <c r="BV109" s="50"/>
      <c r="BW109" s="50"/>
      <c r="BX109" s="50"/>
      <c r="BY109" s="50"/>
      <c r="BZ109" s="50"/>
      <c r="CA109" s="50"/>
      <c r="CB109" s="50"/>
      <c r="CC109" s="50"/>
      <c r="CD109" s="50"/>
      <c r="CE109" s="50"/>
      <c r="CF109" s="50"/>
      <c r="CG109" s="50"/>
      <c r="CH109" s="50"/>
      <c r="CI109" s="50"/>
      <c r="CJ109" s="50"/>
      <c r="CK109" s="50"/>
      <c r="CL109" s="50"/>
      <c r="CM109" s="50"/>
      <c r="CN109" s="50"/>
      <c r="CO109" s="50"/>
      <c r="CP109" s="50"/>
      <c r="CQ109" s="50"/>
      <c r="CR109" s="50"/>
      <c r="CS109" s="50"/>
      <c r="CT109" s="50"/>
      <c r="CU109" s="50"/>
      <c r="CV109" s="50"/>
      <c r="CW109" s="50"/>
      <c r="CX109" s="50"/>
      <c r="CY109" s="50"/>
      <c r="CZ109" s="50"/>
      <c r="DA109" s="50"/>
      <c r="DB109" s="50"/>
    </row>
    <row r="110" ht="16" customHeight="1" spans="1:106" x14ac:dyDescent="0.25">
      <c r="A110" s="20" t="s">
        <v>332</v>
      </c>
      <c r="B110" s="13"/>
      <c r="C110" s="35">
        <f>=IFERROR(C109/C108,0)</f>
        <v>0</v>
      </c>
      <c r="D110" s="35">
        <f>=IFERROR(D109/D108,0)</f>
        <v>0</v>
      </c>
      <c r="E110" s="35">
        <f>=IFERROR(E109/E108,0)</f>
        <v>0</v>
      </c>
      <c r="F110" s="35">
        <f>=IFERROR(F109/F108,0)</f>
        <v>0</v>
      </c>
      <c r="G110" s="35">
        <f>=IFERROR(G109/G108,0)</f>
        <v>0</v>
      </c>
      <c r="H110" s="35">
        <f>=IFERROR(H109/H108,0)</f>
        <v>0</v>
      </c>
      <c r="I110" s="35">
        <f>=IFERROR(I109/I108,0)</f>
        <v>0</v>
      </c>
      <c r="J110" s="35">
        <f>=IFERROR(J109/J108,0)</f>
        <v>0</v>
      </c>
      <c r="K110" s="35">
        <f>=IFERROR(K109/K108,0)</f>
        <v>0</v>
      </c>
      <c r="L110" s="35">
        <f>=IFERROR(L109/L108,0)</f>
        <v>0</v>
      </c>
      <c r="M110" s="35">
        <f>=IFERROR(M109/M108,0)</f>
        <v>0</v>
      </c>
      <c r="N110" s="35">
        <f>=IFERROR(N109/N108,0)</f>
        <v>0</v>
      </c>
      <c r="O110" s="35">
        <f>=IFERROR(O109/O108,0)</f>
        <v>0</v>
      </c>
      <c r="P110" s="35">
        <f>=IFERROR(P109/P108,0)</f>
        <v>0</v>
      </c>
      <c r="Q110" s="35">
        <f>=IFERROR(Q109/Q108,0)</f>
        <v>0</v>
      </c>
      <c r="R110" s="35">
        <f>=IFERROR(R109/R108,0)</f>
        <v>0</v>
      </c>
      <c r="S110" s="35">
        <f>=IFERROR(S109/S108,0)</f>
        <v>0</v>
      </c>
      <c r="T110" s="35">
        <f>=IFERROR(T109/T108,0)</f>
        <v>0</v>
      </c>
      <c r="U110" s="35">
        <f>=IFERROR(U109/U108,0)</f>
        <v>0</v>
      </c>
      <c r="V110" s="35">
        <f>=IFERROR(V109/V108,0)</f>
        <v>0</v>
      </c>
      <c r="W110" s="35">
        <f>=IFERROR(W109/W108,0)</f>
        <v>0</v>
      </c>
      <c r="X110" s="35">
        <f>=IFERROR(X109/X108,0)</f>
        <v>0</v>
      </c>
      <c r="Y110" s="35">
        <f>=IFERROR(Y109/Y108,0)</f>
        <v>0</v>
      </c>
      <c r="Z110" s="35">
        <f>=IFERROR(Z109/Z108,0)</f>
        <v>0</v>
      </c>
      <c r="AA110" s="35">
        <f>=IFERROR(AA109/AA108,0)</f>
        <v>0</v>
      </c>
      <c r="AB110" s="35">
        <f>=IFERROR(AB109/AB108,0)</f>
        <v>0</v>
      </c>
      <c r="AC110" s="35">
        <f>=IFERROR(AC109/AC108,0)</f>
        <v>0</v>
      </c>
      <c r="AD110" s="35">
        <f>=IFERROR(AD109/AD108,0)</f>
        <v>0</v>
      </c>
      <c r="AE110" s="35">
        <f>=IFERROR(AE109/AE108,0)</f>
        <v>0</v>
      </c>
      <c r="AF110" s="35">
        <f>=IFERROR(AF109/AF108,0)</f>
        <v>0</v>
      </c>
      <c r="AG110" s="35">
        <f>=IFERROR(AG109/AG108,0)</f>
        <v>0</v>
      </c>
      <c r="AH110" s="35">
        <f>=IFERROR(AH109/AH108,0)</f>
        <v>0</v>
      </c>
      <c r="AI110" s="35">
        <f>=IFERROR(AI109/AI108,0)</f>
        <v>0</v>
      </c>
      <c r="AJ110" s="35">
        <f>=IFERROR(AJ109/AJ108,0)</f>
        <v>0</v>
      </c>
      <c r="AK110" s="35">
        <f>=IFERROR(AK109/AK108,0)</f>
        <v>0</v>
      </c>
      <c r="AL110" s="35">
        <f>=IFERROR(AL109/AL108,0)</f>
        <v>0</v>
      </c>
      <c r="AM110" s="35">
        <f>=IFERROR(AM109/AM108,0)</f>
        <v>0</v>
      </c>
      <c r="AN110" s="35">
        <f>=IFERROR(AN109/AN108,0)</f>
        <v>0</v>
      </c>
      <c r="AO110" s="35">
        <f>=IFERROR(AO109/AO108,0)</f>
        <v>0</v>
      </c>
      <c r="AP110" s="35">
        <f>=IFERROR(AP109/AP108,0)</f>
        <v>0</v>
      </c>
      <c r="AQ110" s="35">
        <f>=IFERROR(AQ109/AQ108,0)</f>
        <v>0</v>
      </c>
      <c r="AR110" s="35">
        <f>=IFERROR(AR109/AR108,0)</f>
        <v>0</v>
      </c>
      <c r="AS110" s="35">
        <f>=IFERROR(AS109/AS108,0)</f>
        <v>0</v>
      </c>
      <c r="AT110" s="35">
        <f>=IFERROR(AT109/AT108,0)</f>
        <v>0</v>
      </c>
      <c r="AU110" s="35">
        <f>=IFERROR(AU109/AU108,0)</f>
        <v>0</v>
      </c>
      <c r="AV110" s="35">
        <f>=IFERROR(AV109/AV108,0)</f>
        <v>0</v>
      </c>
      <c r="AW110" s="35">
        <f>=IFERROR(AW109/AW108,0)</f>
        <v>0</v>
      </c>
      <c r="AX110" s="35">
        <f>=IFERROR(AX109/AX108,0)</f>
        <v>0</v>
      </c>
      <c r="AY110" s="35">
        <f>=IFERROR(AY109/AY108,0)</f>
        <v>0</v>
      </c>
      <c r="AZ110" s="35">
        <f>=IFERROR(AZ109/AZ108,0)</f>
        <v>0</v>
      </c>
      <c r="BA110" s="35">
        <f>=IFERROR(BA109/BA108,0)</f>
        <v>0</v>
      </c>
      <c r="BB110" s="35">
        <f>=IFERROR(BB109/BB108,0)</f>
        <v>0</v>
      </c>
      <c r="BC110" s="35">
        <f>=IFERROR(BC109/BC108,0)</f>
        <v>0</v>
      </c>
      <c r="BD110" s="35">
        <f>=IFERROR(BD109/BD108,0)</f>
        <v>0</v>
      </c>
      <c r="BE110" s="35">
        <f>=IFERROR(BE109/BE108,0)</f>
        <v>0</v>
      </c>
      <c r="BF110" s="35">
        <f>=IFERROR(BF109/BF108,0)</f>
        <v>0</v>
      </c>
      <c r="BG110" s="35">
        <f>=IFERROR(BG109/BG108,0)</f>
        <v>0</v>
      </c>
      <c r="BH110" s="35">
        <f>=IFERROR(BH109/BH108,0)</f>
        <v>0</v>
      </c>
      <c r="BI110" s="35">
        <f>=IFERROR(BI109/BI108,0)</f>
        <v>0</v>
      </c>
      <c r="BJ110" s="35">
        <f>=IFERROR(BJ109/BJ108,0)</f>
        <v>0</v>
      </c>
      <c r="BK110" s="35">
        <f>=IFERROR(BK109/BK108,0)</f>
        <v>0</v>
      </c>
      <c r="BL110" s="35">
        <f>=IFERROR(BL109/BL108,0)</f>
        <v>0</v>
      </c>
      <c r="BM110" s="35">
        <f>=IFERROR(BM109/BM108,0)</f>
        <v>0</v>
      </c>
      <c r="BN110" s="35">
        <f>=IFERROR(BN109/BN108,0)</f>
        <v>0</v>
      </c>
      <c r="BO110" s="35">
        <f>=IFERROR(BO109/BO108,0)</f>
        <v>0</v>
      </c>
      <c r="BP110" s="35">
        <f>=IFERROR(BP109/BP108,0)</f>
        <v>0</v>
      </c>
      <c r="BQ110" s="35">
        <f>=IFERROR(BQ109/BQ108,0)</f>
        <v>0</v>
      </c>
      <c r="BR110" s="35">
        <f>=IFERROR(BR109/BR108,0)</f>
        <v>0</v>
      </c>
      <c r="BS110" s="35">
        <f>=IFERROR(BS109/BS108,0)</f>
        <v>0</v>
      </c>
      <c r="BT110" s="35">
        <f>=IFERROR(BT109/BT108,0)</f>
        <v>0</v>
      </c>
      <c r="BU110" s="35">
        <f>=IFERROR(BU109/BU108,0)</f>
        <v>0</v>
      </c>
      <c r="BV110" s="35">
        <f>=IFERROR(BV109/BV108,0)</f>
        <v>0</v>
      </c>
      <c r="BW110" s="35">
        <f>=IFERROR(BW109/BW108,0)</f>
        <v>0</v>
      </c>
      <c r="BX110" s="35">
        <f>=IFERROR(BX109/BX108,0)</f>
        <v>0</v>
      </c>
      <c r="BY110" s="35">
        <f>=IFERROR(BY109/BY108,0)</f>
        <v>0</v>
      </c>
      <c r="BZ110" s="35">
        <f>=IFERROR(BZ109/BZ108,0)</f>
        <v>0</v>
      </c>
      <c r="CA110" s="35">
        <f>=IFERROR(CA109/CA108,0)</f>
        <v>0</v>
      </c>
      <c r="CB110" s="35">
        <f>=IFERROR(CB109/CB108,0)</f>
        <v>0</v>
      </c>
      <c r="CC110" s="35">
        <f>=IFERROR(CC109/CC108,0)</f>
        <v>0</v>
      </c>
      <c r="CD110" s="35">
        <f>=IFERROR(CD109/CD108,0)</f>
        <v>0</v>
      </c>
      <c r="CE110" s="35">
        <f>=IFERROR(CE109/CE108,0)</f>
        <v>0</v>
      </c>
      <c r="CF110" s="35">
        <f>=IFERROR(CF109/CF108,0)</f>
        <v>0</v>
      </c>
      <c r="CG110" s="35">
        <f>=IFERROR(CG109/CG108,0)</f>
        <v>0</v>
      </c>
      <c r="CH110" s="35">
        <f>=IFERROR(CH109/CH108,0)</f>
        <v>0</v>
      </c>
      <c r="CI110" s="35">
        <f>=IFERROR(CI109/CI108,0)</f>
        <v>0</v>
      </c>
      <c r="CJ110" s="35">
        <f>=IFERROR(CJ109/CJ108,0)</f>
        <v>0</v>
      </c>
      <c r="CK110" s="35">
        <f>=IFERROR(CK109/CK108,0)</f>
        <v>0</v>
      </c>
      <c r="CL110" s="35">
        <f>=IFERROR(CL109/CL108,0)</f>
        <v>0</v>
      </c>
      <c r="CM110" s="35">
        <f>=IFERROR(CM109/CM108,0)</f>
        <v>0</v>
      </c>
      <c r="CN110" s="35">
        <f>=IFERROR(CN109/CN108,0)</f>
        <v>0</v>
      </c>
      <c r="CO110" s="35">
        <f>=IFERROR(CO109/CO108,0)</f>
        <v>0</v>
      </c>
      <c r="CP110" s="35">
        <f>=IFERROR(CP109/CP108,0)</f>
        <v>0</v>
      </c>
      <c r="CQ110" s="35">
        <f>=IFERROR(CQ109/CQ108,0)</f>
        <v>0</v>
      </c>
      <c r="CR110" s="35">
        <f>=IFERROR(CR109/CR108,0)</f>
        <v>0</v>
      </c>
      <c r="CS110" s="35">
        <f>=IFERROR(CS109/CS108,0)</f>
        <v>0</v>
      </c>
      <c r="CT110" s="35">
        <f>=IFERROR(CT109/CT108,0)</f>
        <v>0</v>
      </c>
      <c r="CU110" s="35">
        <f>=IFERROR(CU109/CU108,0)</f>
        <v>0</v>
      </c>
      <c r="CV110" s="35">
        <f>=IFERROR(CV109/CV108,0)</f>
        <v>0</v>
      </c>
      <c r="CW110" s="35">
        <f>=IFERROR(CW109/CW108,0)</f>
        <v>0</v>
      </c>
      <c r="CX110" s="35">
        <f>=IFERROR(CX109/CX108,0)</f>
        <v>0</v>
      </c>
      <c r="CY110" s="35">
        <f>=IFERROR(CY109/CY108,0)</f>
        <v>0</v>
      </c>
      <c r="CZ110" s="35">
        <f>=IFERROR(CZ109/CZ108,0)</f>
        <v>0</v>
      </c>
      <c r="DA110" s="35">
        <f>=IFERROR(DA109/DA108,0)</f>
        <v>0</v>
      </c>
      <c r="DB110" s="35">
        <f>=IFERROR(DB109/DB108,0)</f>
        <v>0</v>
      </c>
    </row>
    <row r="111" spans="1:106" x14ac:dyDescent="0.25">
      <c r="A111" s="17" t="s">
        <v>333</v>
      </c>
      <c r="B111" s="65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6"/>
      <c r="AT111" s="66"/>
      <c r="AU111" s="66"/>
      <c r="AV111" s="66"/>
      <c r="AW111" s="66"/>
      <c r="AX111" s="66"/>
      <c r="AY111" s="66"/>
      <c r="AZ111" s="66"/>
      <c r="BA111" s="66"/>
      <c r="BB111" s="66"/>
      <c r="BC111" s="66"/>
      <c r="BD111" s="66"/>
      <c r="BE111" s="66"/>
      <c r="BF111" s="66"/>
      <c r="BG111" s="66"/>
      <c r="BH111" s="66"/>
      <c r="BI111" s="66"/>
      <c r="BJ111" s="66"/>
      <c r="BK111" s="66"/>
      <c r="BL111" s="66"/>
      <c r="BM111" s="66"/>
      <c r="BN111" s="66"/>
      <c r="BO111" s="66"/>
      <c r="BP111" s="66"/>
      <c r="BQ111" s="66"/>
      <c r="BR111" s="66"/>
      <c r="BS111" s="66"/>
      <c r="BT111" s="66"/>
      <c r="BU111" s="66"/>
      <c r="BV111" s="66"/>
      <c r="BW111" s="66"/>
      <c r="BX111" s="66"/>
      <c r="BY111" s="66"/>
      <c r="BZ111" s="66"/>
      <c r="CA111" s="66"/>
      <c r="CB111" s="66"/>
      <c r="CC111" s="66"/>
      <c r="CD111" s="66"/>
      <c r="CE111" s="66"/>
      <c r="CF111" s="66"/>
      <c r="CG111" s="66"/>
      <c r="CH111" s="66"/>
      <c r="CI111" s="66"/>
      <c r="CJ111" s="66"/>
      <c r="CK111" s="66"/>
      <c r="CL111" s="66"/>
      <c r="CM111" s="66"/>
      <c r="CN111" s="66"/>
      <c r="CO111" s="66"/>
      <c r="CP111" s="66"/>
      <c r="CQ111" s="66"/>
      <c r="CR111" s="66"/>
      <c r="CS111" s="66"/>
      <c r="CT111" s="66"/>
      <c r="CU111" s="66"/>
      <c r="CV111" s="66"/>
      <c r="CW111" s="66"/>
      <c r="CX111" s="66"/>
      <c r="CY111" s="66"/>
      <c r="CZ111" s="66"/>
      <c r="DA111" s="66"/>
      <c r="DB111" s="66"/>
    </row>
    <row r="112" spans="1:106" x14ac:dyDescent="0.25">
      <c r="A112" s="17" t="s">
        <v>334</v>
      </c>
      <c r="B112" s="65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6"/>
      <c r="AT112" s="66"/>
      <c r="AU112" s="66"/>
      <c r="AV112" s="66"/>
      <c r="AW112" s="66"/>
      <c r="AX112" s="66"/>
      <c r="AY112" s="66"/>
      <c r="AZ112" s="66"/>
      <c r="BA112" s="66"/>
      <c r="BB112" s="66"/>
      <c r="BC112" s="66"/>
      <c r="BD112" s="66"/>
      <c r="BE112" s="66"/>
      <c r="BF112" s="66"/>
      <c r="BG112" s="66"/>
      <c r="BH112" s="66"/>
      <c r="BI112" s="66"/>
      <c r="BJ112" s="66"/>
      <c r="BK112" s="66"/>
      <c r="BL112" s="66"/>
      <c r="BM112" s="66"/>
      <c r="BN112" s="66"/>
      <c r="BO112" s="66"/>
      <c r="BP112" s="66"/>
      <c r="BQ112" s="66"/>
      <c r="BR112" s="66"/>
      <c r="BS112" s="66"/>
      <c r="BT112" s="66"/>
      <c r="BU112" s="66"/>
      <c r="BV112" s="66"/>
      <c r="BW112" s="66"/>
      <c r="BX112" s="66"/>
      <c r="BY112" s="66"/>
      <c r="BZ112" s="66"/>
      <c r="CA112" s="66"/>
      <c r="CB112" s="66"/>
      <c r="CC112" s="66"/>
      <c r="CD112" s="66"/>
      <c r="CE112" s="66"/>
      <c r="CF112" s="66"/>
      <c r="CG112" s="66"/>
      <c r="CH112" s="66"/>
      <c r="CI112" s="66"/>
      <c r="CJ112" s="66"/>
      <c r="CK112" s="66"/>
      <c r="CL112" s="66"/>
      <c r="CM112" s="66"/>
      <c r="CN112" s="66"/>
      <c r="CO112" s="66"/>
      <c r="CP112" s="66"/>
      <c r="CQ112" s="66"/>
      <c r="CR112" s="66"/>
      <c r="CS112" s="66"/>
      <c r="CT112" s="66"/>
      <c r="CU112" s="66"/>
      <c r="CV112" s="66"/>
      <c r="CW112" s="66"/>
      <c r="CX112" s="66"/>
      <c r="CY112" s="66"/>
      <c r="CZ112" s="66"/>
      <c r="DA112" s="66"/>
      <c r="DB112" s="66"/>
    </row>
    <row r="113" spans="1:106" x14ac:dyDescent="0.25">
      <c r="A113" s="17" t="s">
        <v>335</v>
      </c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30"/>
      <c r="BO113" s="30"/>
      <c r="BP113" s="30"/>
      <c r="BQ113" s="30"/>
      <c r="BR113" s="30"/>
      <c r="BS113" s="30"/>
      <c r="BT113" s="30"/>
      <c r="BU113" s="30"/>
      <c r="BV113" s="30"/>
      <c r="BW113" s="30"/>
      <c r="BX113" s="30"/>
      <c r="BY113" s="30"/>
      <c r="BZ113" s="30"/>
      <c r="CA113" s="30"/>
      <c r="CB113" s="30"/>
      <c r="CC113" s="30"/>
      <c r="CD113" s="30"/>
      <c r="CE113" s="30"/>
      <c r="CF113" s="30"/>
      <c r="CG113" s="30"/>
      <c r="CH113" s="30"/>
      <c r="CI113" s="30"/>
      <c r="CJ113" s="30"/>
      <c r="CK113" s="30"/>
      <c r="CL113" s="30"/>
      <c r="CM113" s="30"/>
      <c r="CN113" s="30"/>
      <c r="CO113" s="30"/>
      <c r="CP113" s="30"/>
      <c r="CQ113" s="30"/>
      <c r="CR113" s="30"/>
      <c r="CS113" s="30"/>
      <c r="CT113" s="30"/>
      <c r="CU113" s="30"/>
      <c r="CV113" s="30"/>
      <c r="CW113" s="30"/>
      <c r="CX113" s="30"/>
      <c r="CY113" s="30"/>
      <c r="CZ113" s="30"/>
      <c r="DA113" s="30"/>
      <c r="DB113" s="30"/>
    </row>
    <row r="114" spans="1:106" x14ac:dyDescent="0.25">
      <c r="A114" s="17" t="s">
        <v>369</v>
      </c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30"/>
      <c r="CD114" s="30"/>
      <c r="CE114" s="30"/>
      <c r="CF114" s="30"/>
      <c r="CG114" s="30"/>
      <c r="CH114" s="30"/>
      <c r="CI114" s="30"/>
      <c r="CJ114" s="30"/>
      <c r="CK114" s="30"/>
      <c r="CL114" s="30"/>
      <c r="CM114" s="30"/>
      <c r="CN114" s="30"/>
      <c r="CO114" s="30"/>
      <c r="CP114" s="30"/>
      <c r="CQ114" s="30"/>
      <c r="CR114" s="30"/>
      <c r="CS114" s="30"/>
      <c r="CT114" s="30"/>
      <c r="CU114" s="30"/>
      <c r="CV114" s="30"/>
      <c r="CW114" s="30"/>
      <c r="CX114" s="30"/>
      <c r="CY114" s="30"/>
      <c r="CZ114" s="30"/>
      <c r="DA114" s="30"/>
      <c r="DB114" s="30"/>
    </row>
    <row r="115" spans="1:106" x14ac:dyDescent="0.25">
      <c r="A115" s="17" t="s">
        <v>370</v>
      </c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30"/>
      <c r="CD115" s="30"/>
      <c r="CE115" s="30"/>
      <c r="CF115" s="30"/>
      <c r="CG115" s="30"/>
      <c r="CH115" s="30"/>
      <c r="CI115" s="30"/>
      <c r="CJ115" s="30"/>
      <c r="CK115" s="30"/>
      <c r="CL115" s="30"/>
      <c r="CM115" s="30"/>
      <c r="CN115" s="30"/>
      <c r="CO115" s="30"/>
      <c r="CP115" s="30"/>
      <c r="CQ115" s="30"/>
      <c r="CR115" s="30"/>
      <c r="CS115" s="30"/>
      <c r="CT115" s="30"/>
      <c r="CU115" s="30"/>
      <c r="CV115" s="30"/>
      <c r="CW115" s="30"/>
      <c r="CX115" s="30"/>
      <c r="CY115" s="30"/>
      <c r="CZ115" s="30"/>
      <c r="DA115" s="30"/>
      <c r="DB115" s="30"/>
    </row>
    <row r="116" spans="1:106" x14ac:dyDescent="0.25">
      <c r="A116" s="17" t="s">
        <v>336</v>
      </c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>
        <f>=SUM(BN111:BN112)</f>
        <v>0</v>
      </c>
      <c r="BO116" s="17">
        <f>=SUM(BO111:BO112)</f>
        <v>0</v>
      </c>
      <c r="BP116" s="17">
        <f>=SUM(BP111:BP112)</f>
        <v>0</v>
      </c>
      <c r="BQ116" s="17">
        <f>=SUM(BQ111:BQ112)</f>
        <v>0</v>
      </c>
      <c r="BR116" s="17">
        <f>=SUM(BR111:BR112)</f>
        <v>0</v>
      </c>
      <c r="BS116" s="17">
        <f>=SUM(BS111:BS112)</f>
        <v>0</v>
      </c>
      <c r="BT116" s="17">
        <f>=SUM(BT111:BT112)</f>
        <v>0</v>
      </c>
      <c r="BU116" s="17">
        <f>=SUM(BU111:BU112)</f>
        <v>0</v>
      </c>
      <c r="BV116" s="17">
        <f>=SUM(BV111:BV112)</f>
        <v>0</v>
      </c>
      <c r="BW116" s="17">
        <f>=SUM(BW111:BW112)</f>
        <v>0</v>
      </c>
      <c r="BX116" s="17">
        <f>=SUM(BX111:BX112)</f>
        <v>0</v>
      </c>
      <c r="BY116" s="17">
        <f>=SUM(BY111:BY112)</f>
        <v>0</v>
      </c>
      <c r="BZ116" s="17">
        <f>=SUM(BZ111:BZ112)</f>
        <v>0</v>
      </c>
      <c r="CA116" s="17">
        <f>=SUM(CA111:CA112)</f>
        <v>0</v>
      </c>
      <c r="CB116" s="17">
        <f>=SUM(CB111:CB112)</f>
        <v>0</v>
      </c>
      <c r="CC116" s="17">
        <f>=SUM(CC111:CC112)</f>
        <v>0</v>
      </c>
      <c r="CD116" s="17">
        <f>=SUM(CD111:CD112)</f>
        <v>0</v>
      </c>
      <c r="CE116" s="17">
        <f>=SUM(CE111:CE112)</f>
        <v>0</v>
      </c>
      <c r="CF116" s="17">
        <f>=SUM(CF111:CF112)</f>
        <v>0</v>
      </c>
      <c r="CG116" s="17">
        <f>=SUM(CG111:CG112)</f>
        <v>0</v>
      </c>
      <c r="CH116" s="17">
        <f>=SUM(CH111:CH112)</f>
        <v>0</v>
      </c>
      <c r="CI116" s="17">
        <f>=SUM(CI111:CI112)</f>
        <v>0</v>
      </c>
      <c r="CJ116" s="17">
        <f>=SUM(CJ111:CJ112)</f>
        <v>0</v>
      </c>
      <c r="CK116" s="17">
        <f>=SUM(CK111:CK112)</f>
        <v>0</v>
      </c>
      <c r="CL116" s="17">
        <f>=SUM(CL111:CL112)</f>
        <v>0</v>
      </c>
      <c r="CM116" s="17">
        <f>=SUM(CM111:CM112)</f>
        <v>0</v>
      </c>
      <c r="CN116" s="17">
        <f>=SUM(CN111:CN112)</f>
        <v>0</v>
      </c>
      <c r="CO116" s="17">
        <f>=SUM(CO111:CO112)</f>
        <v>0</v>
      </c>
      <c r="CP116" s="17">
        <f>=SUM(CP111:CP112)</f>
        <v>0</v>
      </c>
      <c r="CQ116" s="17">
        <f>=SUM(CQ111:CQ112)</f>
        <v>0</v>
      </c>
      <c r="CR116" s="17">
        <f>=SUM(CR111:CR112)</f>
        <v>0</v>
      </c>
      <c r="CS116" s="17">
        <f>=SUM(CS111:CS112)</f>
        <v>0</v>
      </c>
      <c r="CT116" s="17">
        <f>=SUM(CT111:CT112)</f>
        <v>0</v>
      </c>
      <c r="CU116" s="17">
        <f>=SUM(CU111:CU112)</f>
        <v>0</v>
      </c>
      <c r="CV116" s="17">
        <f>=SUM(CV111:CV112)</f>
        <v>0</v>
      </c>
      <c r="CW116" s="17">
        <f>=SUM(CW111:CW112)</f>
        <v>0</v>
      </c>
      <c r="CX116" s="17">
        <f>=SUM(CX111:CX112)</f>
        <v>0</v>
      </c>
      <c r="CY116" s="17">
        <f>=SUM(CY111:CY112)</f>
        <v>0</v>
      </c>
      <c r="CZ116" s="17">
        <f>=SUM(CZ111:CZ112)</f>
        <v>0</v>
      </c>
      <c r="DA116" s="17">
        <f>=SUM(DA111:DA112)</f>
        <v>0</v>
      </c>
      <c r="DB116" s="17">
        <f>=SUM(DB111:DB112)</f>
        <v>0</v>
      </c>
    </row>
    <row r="117" spans="1:106" x14ac:dyDescent="0.25">
      <c r="A117" s="17" t="s">
        <v>337</v>
      </c>
      <c r="C117" s="17">
        <v>0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>
        <v>0</v>
      </c>
      <c r="AG117" s="17">
        <v>0</v>
      </c>
      <c r="AH117" s="17">
        <v>0</v>
      </c>
      <c r="AI117" s="17">
        <v>0</v>
      </c>
      <c r="AJ117" s="17">
        <v>0</v>
      </c>
      <c r="AK117" s="17">
        <v>0</v>
      </c>
      <c r="AL117" s="17">
        <v>0</v>
      </c>
      <c r="AM117" s="17">
        <v>0</v>
      </c>
      <c r="AN117" s="17">
        <v>0</v>
      </c>
      <c r="AO117" s="17">
        <v>0</v>
      </c>
      <c r="AP117" s="17">
        <v>0</v>
      </c>
      <c r="AQ117" s="17">
        <v>0</v>
      </c>
      <c r="AR117" s="17">
        <v>0</v>
      </c>
      <c r="AS117" s="17">
        <v>0</v>
      </c>
      <c r="AT117" s="17">
        <v>0</v>
      </c>
      <c r="AU117" s="17">
        <v>0</v>
      </c>
      <c r="AV117" s="17">
        <v>0</v>
      </c>
      <c r="AW117" s="17">
        <v>0</v>
      </c>
      <c r="AX117" s="17">
        <v>0</v>
      </c>
      <c r="AY117" s="17">
        <v>0</v>
      </c>
      <c r="AZ117" s="17">
        <v>0</v>
      </c>
      <c r="BA117" s="17">
        <v>0</v>
      </c>
      <c r="BB117" s="17">
        <v>0</v>
      </c>
      <c r="BC117" s="17">
        <v>0</v>
      </c>
      <c r="BD117" s="17">
        <v>0</v>
      </c>
      <c r="BE117" s="17">
        <v>0</v>
      </c>
      <c r="BF117" s="17">
        <v>0</v>
      </c>
      <c r="BG117" s="17">
        <v>0</v>
      </c>
      <c r="BH117" s="17">
        <v>0</v>
      </c>
      <c r="BI117" s="17">
        <v>0</v>
      </c>
      <c r="BJ117" s="17">
        <v>0</v>
      </c>
      <c r="BK117" s="17">
        <v>0</v>
      </c>
      <c r="BL117" s="17">
        <v>0</v>
      </c>
      <c r="BM117" s="17">
        <v>0</v>
      </c>
      <c r="BN117" s="17">
        <f>=BM116*(1-BN$43)</f>
        <v>0</v>
      </c>
      <c r="BO117" s="17">
        <f>=BN116*(1-BO$43)</f>
        <v>0</v>
      </c>
      <c r="BP117" s="17">
        <f>=BO116*(1-BP$43)</f>
        <v>0</v>
      </c>
      <c r="BQ117" s="17">
        <f>=BP116*(1-BQ$43)</f>
        <v>0</v>
      </c>
      <c r="BR117" s="17">
        <f>=BQ116*(1-BR$43)</f>
        <v>0</v>
      </c>
      <c r="BS117" s="17">
        <f>=BR116*(1-BS$43)</f>
        <v>0</v>
      </c>
      <c r="BT117" s="17">
        <f>=BS116*(1-BT$43)</f>
        <v>0</v>
      </c>
      <c r="BU117" s="17">
        <f>=BT116*(1-BU$43)</f>
        <v>0</v>
      </c>
      <c r="BV117" s="17">
        <f>=BU116*(1-BV$43)</f>
        <v>0</v>
      </c>
      <c r="BW117" s="17">
        <f>=BV116*(1-BW$43)</f>
        <v>0</v>
      </c>
      <c r="BX117" s="17">
        <f>=BW116*(1-BX$43)</f>
        <v>0</v>
      </c>
      <c r="BY117" s="17">
        <f>=BX116*(1-BY$43)</f>
        <v>0</v>
      </c>
      <c r="BZ117" s="17">
        <f>=BY116*(1-BZ$43)</f>
        <v>0</v>
      </c>
      <c r="CA117" s="17">
        <f>=BZ116*(1-CA$43)</f>
        <v>0</v>
      </c>
      <c r="CB117" s="17">
        <f>=CA116*(1-CB$43)</f>
        <v>0</v>
      </c>
      <c r="CC117" s="17">
        <f>=CB116*(1-CC$43)</f>
        <v>0</v>
      </c>
      <c r="CD117" s="17">
        <f>=CC116*(1-CD$43)</f>
        <v>0</v>
      </c>
      <c r="CE117" s="17">
        <f>=CD116*(1-CE$43)</f>
        <v>0</v>
      </c>
      <c r="CF117" s="17">
        <f>=CE116*(1-CF$43)</f>
        <v>0</v>
      </c>
      <c r="CG117" s="17">
        <f>=CF116*(1-CG$43)</f>
        <v>0</v>
      </c>
      <c r="CH117" s="17">
        <f>=CG116*(1-CH$43)</f>
        <v>0</v>
      </c>
      <c r="CI117" s="17">
        <f>=CH116*(1-CI$43)</f>
        <v>0</v>
      </c>
      <c r="CJ117" s="17">
        <f>=CI116*(1-CJ$43)</f>
        <v>0</v>
      </c>
      <c r="CK117" s="17">
        <f>=CJ116*(1-CK$43)</f>
        <v>0</v>
      </c>
      <c r="CL117" s="17">
        <f>=CK116*(1-CL$43)</f>
        <v>0</v>
      </c>
      <c r="CM117" s="17">
        <f>=CL116*(1-CM$43)</f>
        <v>0</v>
      </c>
      <c r="CN117" s="17">
        <f>=CM116*(1-CN$43)</f>
        <v>0</v>
      </c>
      <c r="CO117" s="17">
        <f>=CN116*(1-CO$43)</f>
        <v>0</v>
      </c>
      <c r="CP117" s="17">
        <f>=CO116*(1-CP$43)</f>
        <v>0</v>
      </c>
      <c r="CQ117" s="17">
        <f>=CP116*(1-CQ$43)</f>
        <v>0</v>
      </c>
      <c r="CR117" s="17">
        <f>=CQ116*(1-CR$43)</f>
        <v>0</v>
      </c>
      <c r="CS117" s="17">
        <f>=CR116*(1-CS$43)</f>
        <v>0</v>
      </c>
      <c r="CT117" s="17">
        <f>=CS116*(1-CT$43)</f>
        <v>0</v>
      </c>
      <c r="CU117" s="17">
        <f>=CT116*(1-CU$43)</f>
        <v>0</v>
      </c>
      <c r="CV117" s="17">
        <f>=CU116*(1-CV$43)</f>
        <v>0</v>
      </c>
      <c r="CW117" s="17">
        <f>=CV116*(1-CW$43)</f>
        <v>0</v>
      </c>
      <c r="CX117" s="17">
        <f>=CW116*(1-CX$43)</f>
        <v>0</v>
      </c>
      <c r="CY117" s="17">
        <f>=CX116*(1-CY$43)</f>
        <v>0</v>
      </c>
      <c r="CZ117" s="17">
        <f>=CY116*(1-CZ$43)</f>
        <v>0</v>
      </c>
      <c r="DA117" s="17">
        <f>=CZ116*(1-DA$43)</f>
        <v>0</v>
      </c>
      <c r="DB117" s="17">
        <f>=DA116*(1-DB$43)</f>
        <v>0</v>
      </c>
    </row>
    <row r="118" spans="1:106" x14ac:dyDescent="0.25">
      <c r="A118" s="17" t="s">
        <v>338</v>
      </c>
      <c r="C118" s="17">
        <v>0</v>
      </c>
      <c r="D118" s="17">
        <v>0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7">
        <v>0</v>
      </c>
      <c r="T118" s="17">
        <v>0</v>
      </c>
      <c r="U118" s="17">
        <v>0</v>
      </c>
      <c r="V118" s="17">
        <v>0</v>
      </c>
      <c r="W118" s="17">
        <v>0</v>
      </c>
      <c r="X118" s="17">
        <v>0</v>
      </c>
      <c r="Y118" s="17">
        <v>0</v>
      </c>
      <c r="Z118" s="17">
        <v>0</v>
      </c>
      <c r="AA118" s="17">
        <v>0</v>
      </c>
      <c r="AB118" s="17">
        <v>0</v>
      </c>
      <c r="AC118" s="17">
        <v>0</v>
      </c>
      <c r="AD118" s="17">
        <v>0</v>
      </c>
      <c r="AE118" s="17">
        <v>0</v>
      </c>
      <c r="AF118" s="17">
        <v>0</v>
      </c>
      <c r="AG118" s="17">
        <v>0</v>
      </c>
      <c r="AH118" s="17">
        <v>0</v>
      </c>
      <c r="AI118" s="17">
        <v>0</v>
      </c>
      <c r="AJ118" s="17">
        <v>0</v>
      </c>
      <c r="AK118" s="17">
        <v>0</v>
      </c>
      <c r="AL118" s="17">
        <v>0</v>
      </c>
      <c r="AM118" s="17">
        <v>0</v>
      </c>
      <c r="AN118" s="17">
        <v>0</v>
      </c>
      <c r="AO118" s="17">
        <v>0</v>
      </c>
      <c r="AP118" s="17">
        <v>0</v>
      </c>
      <c r="AQ118" s="17">
        <v>0</v>
      </c>
      <c r="AR118" s="17">
        <v>0</v>
      </c>
      <c r="AS118" s="17">
        <v>0</v>
      </c>
      <c r="AT118" s="17">
        <v>0</v>
      </c>
      <c r="AU118" s="17">
        <v>0</v>
      </c>
      <c r="AV118" s="17">
        <v>0</v>
      </c>
      <c r="AW118" s="17">
        <v>0</v>
      </c>
      <c r="AX118" s="17">
        <v>0</v>
      </c>
      <c r="AY118" s="17">
        <v>0</v>
      </c>
      <c r="AZ118" s="17">
        <v>0</v>
      </c>
      <c r="BA118" s="17">
        <v>0</v>
      </c>
      <c r="BB118" s="17">
        <v>0</v>
      </c>
      <c r="BC118" s="17">
        <v>0</v>
      </c>
      <c r="BD118" s="17">
        <v>0</v>
      </c>
      <c r="BE118" s="17">
        <v>0</v>
      </c>
      <c r="BF118" s="17">
        <v>0</v>
      </c>
      <c r="BG118" s="17">
        <v>0</v>
      </c>
      <c r="BH118" s="17">
        <v>0</v>
      </c>
      <c r="BI118" s="17">
        <v>0</v>
      </c>
      <c r="BJ118" s="17">
        <v>0</v>
      </c>
      <c r="BK118" s="17">
        <v>0</v>
      </c>
      <c r="BL118" s="17">
        <v>0</v>
      </c>
      <c r="BM118" s="17">
        <v>0</v>
      </c>
      <c r="BN118" s="17">
        <f>=BM117*(1-BN$43)</f>
        <v>0</v>
      </c>
      <c r="BO118" s="17">
        <f>=BN117*(1-BO$43)</f>
        <v>0</v>
      </c>
      <c r="BP118" s="17">
        <f>=BO117*(1-BP$43)</f>
        <v>0</v>
      </c>
      <c r="BQ118" s="17">
        <f>=BP117*(1-BQ$43)</f>
        <v>0</v>
      </c>
      <c r="BR118" s="17">
        <f>=BQ117*(1-BR$43)</f>
        <v>0</v>
      </c>
      <c r="BS118" s="17">
        <f>=BR117*(1-BS$43)</f>
        <v>0</v>
      </c>
      <c r="BT118" s="17">
        <f>=BS117*(1-BT$43)</f>
        <v>0</v>
      </c>
      <c r="BU118" s="17">
        <f>=BT117*(1-BU$43)</f>
        <v>0</v>
      </c>
      <c r="BV118" s="17">
        <f>=BU117*(1-BV$43)</f>
        <v>0</v>
      </c>
      <c r="BW118" s="17">
        <f>=BV117*(1-BW$43)</f>
        <v>0</v>
      </c>
      <c r="BX118" s="17">
        <f>=BW117*(1-BX$43)</f>
        <v>0</v>
      </c>
      <c r="BY118" s="17">
        <f>=BX117*(1-BY$43)</f>
        <v>0</v>
      </c>
      <c r="BZ118" s="17">
        <f>=BY117*(1-BZ$43)</f>
        <v>0</v>
      </c>
      <c r="CA118" s="17">
        <f>=BZ117*(1-CA$43)</f>
        <v>0</v>
      </c>
      <c r="CB118" s="17">
        <f>=CA117*(1-CB$43)</f>
        <v>0</v>
      </c>
      <c r="CC118" s="17">
        <f>=CB117*(1-CC$43)</f>
        <v>0</v>
      </c>
      <c r="CD118" s="17">
        <f>=CC117*(1-CD$43)</f>
        <v>0</v>
      </c>
      <c r="CE118" s="17">
        <f>=CD117*(1-CE$43)</f>
        <v>0</v>
      </c>
      <c r="CF118" s="17">
        <f>=CE117*(1-CF$43)</f>
        <v>0</v>
      </c>
      <c r="CG118" s="17">
        <f>=CF117*(1-CG$43)</f>
        <v>0</v>
      </c>
      <c r="CH118" s="17">
        <f>=CG117*(1-CH$43)</f>
        <v>0</v>
      </c>
      <c r="CI118" s="17">
        <f>=CH117*(1-CI$43)</f>
        <v>0</v>
      </c>
      <c r="CJ118" s="17">
        <f>=CI117*(1-CJ$43)</f>
        <v>0</v>
      </c>
      <c r="CK118" s="17">
        <f>=CJ117*(1-CK$43)</f>
        <v>0</v>
      </c>
      <c r="CL118" s="17">
        <f>=CK117*(1-CL$43)</f>
        <v>0</v>
      </c>
      <c r="CM118" s="17">
        <f>=CL117*(1-CM$43)</f>
        <v>0</v>
      </c>
      <c r="CN118" s="17">
        <f>=CM117*(1-CN$43)</f>
        <v>0</v>
      </c>
      <c r="CO118" s="17">
        <f>=CN117*(1-CO$43)</f>
        <v>0</v>
      </c>
      <c r="CP118" s="17">
        <f>=CO117*(1-CP$43)</f>
        <v>0</v>
      </c>
      <c r="CQ118" s="17">
        <f>=CP117*(1-CQ$43)</f>
        <v>0</v>
      </c>
      <c r="CR118" s="17">
        <f>=CQ117*(1-CR$43)</f>
        <v>0</v>
      </c>
      <c r="CS118" s="17">
        <f>=CR117*(1-CS$43)</f>
        <v>0</v>
      </c>
      <c r="CT118" s="17">
        <f>=CS117*(1-CT$43)</f>
        <v>0</v>
      </c>
      <c r="CU118" s="17">
        <f>=CT117*(1-CU$43)</f>
        <v>0</v>
      </c>
      <c r="CV118" s="17">
        <f>=CU117*(1-CV$43)</f>
        <v>0</v>
      </c>
      <c r="CW118" s="17">
        <f>=CV117*(1-CW$43)</f>
        <v>0</v>
      </c>
      <c r="CX118" s="17">
        <f>=CW117*(1-CX$43)</f>
        <v>0</v>
      </c>
      <c r="CY118" s="17">
        <f>=CX117*(1-CY$43)</f>
        <v>0</v>
      </c>
      <c r="CZ118" s="17">
        <f>=CY117*(1-CZ$43)</f>
        <v>0</v>
      </c>
      <c r="DA118" s="17">
        <f>=CZ117*(1-DA$43)</f>
        <v>0</v>
      </c>
      <c r="DB118" s="17">
        <f>=DA117*(1-DB$43)</f>
        <v>0</v>
      </c>
    </row>
    <row r="119" spans="1:106" x14ac:dyDescent="0.25">
      <c r="A119" s="17" t="s">
        <v>339</v>
      </c>
      <c r="C119" s="17">
        <v>0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7">
        <v>0</v>
      </c>
      <c r="AI119" s="17">
        <v>0</v>
      </c>
      <c r="AJ119" s="17">
        <v>0</v>
      </c>
      <c r="AK119" s="17">
        <v>0</v>
      </c>
      <c r="AL119" s="17">
        <v>0</v>
      </c>
      <c r="AM119" s="17">
        <v>0</v>
      </c>
      <c r="AN119" s="17">
        <v>0</v>
      </c>
      <c r="AO119" s="17">
        <v>0</v>
      </c>
      <c r="AP119" s="17">
        <v>0</v>
      </c>
      <c r="AQ119" s="17">
        <v>0</v>
      </c>
      <c r="AR119" s="17">
        <v>0</v>
      </c>
      <c r="AS119" s="17">
        <v>0</v>
      </c>
      <c r="AT119" s="17">
        <v>0</v>
      </c>
      <c r="AU119" s="17">
        <v>0</v>
      </c>
      <c r="AV119" s="17">
        <v>0</v>
      </c>
      <c r="AW119" s="17">
        <v>0</v>
      </c>
      <c r="AX119" s="17">
        <v>0</v>
      </c>
      <c r="AY119" s="17">
        <v>0</v>
      </c>
      <c r="AZ119" s="17">
        <v>0</v>
      </c>
      <c r="BA119" s="17">
        <v>0</v>
      </c>
      <c r="BB119" s="17">
        <v>0</v>
      </c>
      <c r="BC119" s="17">
        <v>0</v>
      </c>
      <c r="BD119" s="17">
        <v>0</v>
      </c>
      <c r="BE119" s="17">
        <v>0</v>
      </c>
      <c r="BF119" s="17">
        <v>0</v>
      </c>
      <c r="BG119" s="17">
        <v>0</v>
      </c>
      <c r="BH119" s="17">
        <v>0</v>
      </c>
      <c r="BI119" s="17">
        <v>0</v>
      </c>
      <c r="BJ119" s="17">
        <v>0</v>
      </c>
      <c r="BK119" s="17">
        <v>0</v>
      </c>
      <c r="BL119" s="17">
        <v>0</v>
      </c>
      <c r="BM119" s="17">
        <v>0</v>
      </c>
      <c r="BN119" s="17">
        <f>=BM118*(1-BN$43)</f>
        <v>0</v>
      </c>
      <c r="BO119" s="17">
        <f>=BN118*(1-BO$43)</f>
        <v>0</v>
      </c>
      <c r="BP119" s="17">
        <f>=BO118*(1-BP$43)</f>
        <v>0</v>
      </c>
      <c r="BQ119" s="17">
        <f>=BP118*(1-BQ$43)</f>
        <v>0</v>
      </c>
      <c r="BR119" s="17">
        <f>=BQ118*(1-BR$43)</f>
        <v>0</v>
      </c>
      <c r="BS119" s="17">
        <f>=BR118*(1-BS$43)</f>
        <v>0</v>
      </c>
      <c r="BT119" s="17">
        <f>=BS118*(1-BT$43)</f>
        <v>0</v>
      </c>
      <c r="BU119" s="17">
        <f>=BT118*(1-BU$43)</f>
        <v>0</v>
      </c>
      <c r="BV119" s="17">
        <f>=BU118*(1-BV$43)</f>
        <v>0</v>
      </c>
      <c r="BW119" s="17">
        <f>=BV118*(1-BW$43)</f>
        <v>0</v>
      </c>
      <c r="BX119" s="17">
        <f>=BW118*(1-BX$43)</f>
        <v>0</v>
      </c>
      <c r="BY119" s="17">
        <f>=BX118*(1-BY$43)</f>
        <v>0</v>
      </c>
      <c r="BZ119" s="17">
        <f>=BY118*(1-BZ$43)</f>
        <v>0</v>
      </c>
      <c r="CA119" s="17">
        <f>=BZ118*(1-CA$43)</f>
        <v>0</v>
      </c>
      <c r="CB119" s="17">
        <f>=CA118*(1-CB$43)</f>
        <v>0</v>
      </c>
      <c r="CC119" s="17">
        <f>=CB118*(1-CC$43)</f>
        <v>0</v>
      </c>
      <c r="CD119" s="17">
        <f>=CC118*(1-CD$43)</f>
        <v>0</v>
      </c>
      <c r="CE119" s="17">
        <f>=CD118*(1-CE$43)</f>
        <v>0</v>
      </c>
      <c r="CF119" s="17">
        <f>=CE118*(1-CF$43)</f>
        <v>0</v>
      </c>
      <c r="CG119" s="17">
        <f>=CF118*(1-CG$43)</f>
        <v>0</v>
      </c>
      <c r="CH119" s="17">
        <f>=CG118*(1-CH$43)</f>
        <v>0</v>
      </c>
      <c r="CI119" s="17">
        <f>=CH118*(1-CI$43)</f>
        <v>0</v>
      </c>
      <c r="CJ119" s="17">
        <f>=CI118*(1-CJ$43)</f>
        <v>0</v>
      </c>
      <c r="CK119" s="17">
        <f>=CJ118*(1-CK$43)</f>
        <v>0</v>
      </c>
      <c r="CL119" s="17">
        <f>=CK118*(1-CL$43)</f>
        <v>0</v>
      </c>
      <c r="CM119" s="17">
        <f>=CL118*(1-CM$43)</f>
        <v>0</v>
      </c>
      <c r="CN119" s="17">
        <f>=CM118*(1-CN$43)</f>
        <v>0</v>
      </c>
      <c r="CO119" s="17">
        <f>=CN118*(1-CO$43)</f>
        <v>0</v>
      </c>
      <c r="CP119" s="17">
        <f>=CO118*(1-CP$43)</f>
        <v>0</v>
      </c>
      <c r="CQ119" s="17">
        <f>=CP118*(1-CQ$43)</f>
        <v>0</v>
      </c>
      <c r="CR119" s="17">
        <f>=CQ118*(1-CR$43)</f>
        <v>0</v>
      </c>
      <c r="CS119" s="17">
        <f>=CR118*(1-CS$43)</f>
        <v>0</v>
      </c>
      <c r="CT119" s="17">
        <f>=CS118*(1-CT$43)</f>
        <v>0</v>
      </c>
      <c r="CU119" s="17">
        <f>=CT118*(1-CU$43)</f>
        <v>0</v>
      </c>
      <c r="CV119" s="17">
        <f>=CU118*(1-CV$43)</f>
        <v>0</v>
      </c>
      <c r="CW119" s="17">
        <f>=CV118*(1-CW$43)</f>
        <v>0</v>
      </c>
      <c r="CX119" s="17">
        <f>=CW118*(1-CX$43)</f>
        <v>0</v>
      </c>
      <c r="CY119" s="17">
        <f>=CX118*(1-CY$43)</f>
        <v>0</v>
      </c>
      <c r="CZ119" s="17">
        <f>=CY118*(1-CZ$43)</f>
        <v>0</v>
      </c>
      <c r="DA119" s="17">
        <f>=CZ118*(1-DA$43)</f>
        <v>0</v>
      </c>
      <c r="DB119" s="17">
        <f>=DA118*(1-DB$43)</f>
        <v>0</v>
      </c>
    </row>
    <row r="120" spans="1:106" x14ac:dyDescent="0.25">
      <c r="A120" s="17" t="s">
        <v>266</v>
      </c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</row>
    <row r="121" spans="1:106" x14ac:dyDescent="0.25">
      <c r="A121" s="17" t="s">
        <v>340</v>
      </c>
      <c r="C121" s="17">
        <v>0</v>
      </c>
      <c r="D121" s="17">
        <v>0</v>
      </c>
      <c r="E121" s="17">
        <v>0</v>
      </c>
      <c r="F121" s="17">
        <v>0</v>
      </c>
      <c r="G121" s="17">
        <v>0</v>
      </c>
      <c r="H121" s="17">
        <v>0</v>
      </c>
      <c r="I121" s="17">
        <v>0</v>
      </c>
      <c r="J121" s="17">
        <v>0</v>
      </c>
      <c r="K121" s="17">
        <v>0</v>
      </c>
      <c r="L121" s="17">
        <v>0</v>
      </c>
      <c r="M121" s="17">
        <v>0</v>
      </c>
      <c r="N121" s="17">
        <v>0</v>
      </c>
      <c r="O121" s="17">
        <v>0</v>
      </c>
      <c r="P121" s="17">
        <v>0</v>
      </c>
      <c r="Q121" s="17">
        <v>0</v>
      </c>
      <c r="R121" s="17">
        <v>0</v>
      </c>
      <c r="S121" s="17">
        <v>0</v>
      </c>
      <c r="T121" s="17">
        <v>0</v>
      </c>
      <c r="U121" s="17">
        <v>0</v>
      </c>
      <c r="V121" s="17">
        <v>0</v>
      </c>
      <c r="W121" s="17">
        <v>0</v>
      </c>
      <c r="X121" s="17">
        <v>0</v>
      </c>
      <c r="Y121" s="17">
        <v>0</v>
      </c>
      <c r="Z121" s="17">
        <v>0</v>
      </c>
      <c r="AA121" s="17">
        <v>0</v>
      </c>
      <c r="AB121" s="17">
        <v>0</v>
      </c>
      <c r="AC121" s="17">
        <v>0</v>
      </c>
      <c r="AD121" s="17">
        <v>0</v>
      </c>
      <c r="AE121" s="17">
        <v>0</v>
      </c>
      <c r="AF121" s="17">
        <v>0</v>
      </c>
      <c r="AG121" s="17">
        <v>0</v>
      </c>
      <c r="AH121" s="17">
        <v>0</v>
      </c>
      <c r="AI121" s="17">
        <v>0</v>
      </c>
      <c r="AJ121" s="17">
        <v>0</v>
      </c>
      <c r="AK121" s="17">
        <v>0</v>
      </c>
      <c r="AL121" s="17">
        <v>0</v>
      </c>
      <c r="AM121" s="17">
        <v>0</v>
      </c>
      <c r="AN121" s="17">
        <v>0</v>
      </c>
      <c r="AO121" s="17">
        <v>0</v>
      </c>
      <c r="AP121" s="17">
        <v>0</v>
      </c>
      <c r="AQ121" s="17">
        <v>0</v>
      </c>
      <c r="AR121" s="17">
        <v>0</v>
      </c>
      <c r="AS121" s="17">
        <v>0</v>
      </c>
      <c r="AT121" s="17">
        <v>0</v>
      </c>
      <c r="AU121" s="17">
        <v>0</v>
      </c>
      <c r="AV121" s="17">
        <v>0</v>
      </c>
      <c r="AW121" s="17">
        <v>0</v>
      </c>
      <c r="AX121" s="17">
        <v>0</v>
      </c>
      <c r="AY121" s="17">
        <v>0</v>
      </c>
      <c r="AZ121" s="17">
        <v>0</v>
      </c>
      <c r="BA121" s="17">
        <v>0</v>
      </c>
      <c r="BB121" s="17">
        <v>0</v>
      </c>
      <c r="BC121" s="17">
        <v>0</v>
      </c>
      <c r="BD121" s="17">
        <v>0</v>
      </c>
      <c r="BE121" s="17">
        <v>0</v>
      </c>
      <c r="BF121" s="17">
        <v>0</v>
      </c>
      <c r="BG121" s="17">
        <v>0</v>
      </c>
      <c r="BH121" s="17">
        <v>0</v>
      </c>
      <c r="BI121" s="17">
        <v>0</v>
      </c>
      <c r="BJ121" s="17">
        <v>0</v>
      </c>
      <c r="BK121" s="17">
        <v>0</v>
      </c>
      <c r="BL121" s="17">
        <v>0</v>
      </c>
      <c r="BM121" s="17">
        <v>0</v>
      </c>
      <c r="BN121" s="17">
        <f>=BM119*(1-BN$43)</f>
        <v>0</v>
      </c>
      <c r="BO121" s="17">
        <f>=BN119*(1-BO$43)</f>
        <v>0</v>
      </c>
      <c r="BP121" s="17">
        <f>=BO119*(1-BP$43)</f>
        <v>0</v>
      </c>
      <c r="BQ121" s="17">
        <f>=BP119*(1-BQ$43)</f>
        <v>0</v>
      </c>
      <c r="BR121" s="17">
        <f>=BQ119*(1-BR$43)</f>
        <v>0</v>
      </c>
      <c r="BS121" s="17">
        <f>=BR119*(1-BS$43)</f>
        <v>0</v>
      </c>
      <c r="BT121" s="17">
        <f>=BS119*(1-BT$43)</f>
        <v>0</v>
      </c>
      <c r="BU121" s="17">
        <f>=BT119*(1-BU$43)</f>
        <v>0</v>
      </c>
      <c r="BV121" s="17">
        <f>=BU119*(1-BV$43)</f>
        <v>0</v>
      </c>
      <c r="BW121" s="17">
        <f>=BV119*(1-BW$43)</f>
        <v>0</v>
      </c>
      <c r="BX121" s="17">
        <f>=BW119*(1-BX$43)</f>
        <v>0</v>
      </c>
      <c r="BY121" s="17">
        <f>=BX119*(1-BY$43)</f>
        <v>0</v>
      </c>
      <c r="BZ121" s="17">
        <f>=BY119*(1-BZ$43)</f>
        <v>0</v>
      </c>
      <c r="CA121" s="17">
        <f>=BZ119*(1-CA$43)</f>
        <v>0</v>
      </c>
      <c r="CB121" s="17">
        <f>=CA119*(1-CB$43)</f>
        <v>0</v>
      </c>
      <c r="CC121" s="17">
        <f>=CB119*(1-CC$43)</f>
        <v>0</v>
      </c>
      <c r="CD121" s="17">
        <f>=CC119*(1-CD$43)</f>
        <v>0</v>
      </c>
      <c r="CE121" s="17">
        <f>=CD119*(1-CE$43)</f>
        <v>0</v>
      </c>
      <c r="CF121" s="17">
        <f>=CE119*(1-CF$43)</f>
        <v>0</v>
      </c>
      <c r="CG121" s="17">
        <f>=CF119*(1-CG$43)</f>
        <v>0</v>
      </c>
      <c r="CH121" s="17">
        <f>=CG119*(1-CH$43)</f>
        <v>0</v>
      </c>
      <c r="CI121" s="17">
        <f>=CH119*(1-CI$43)</f>
        <v>0</v>
      </c>
      <c r="CJ121" s="17">
        <f>=CI119*(1-CJ$43)</f>
        <v>0</v>
      </c>
      <c r="CK121" s="17">
        <f>=CJ119*(1-CK$43)</f>
        <v>0</v>
      </c>
      <c r="CL121" s="17">
        <f>=CK119*(1-CL$43)</f>
        <v>0</v>
      </c>
      <c r="CM121" s="17">
        <f>=CL119*(1-CM$43)</f>
        <v>0</v>
      </c>
      <c r="CN121" s="17">
        <f>=CM119*(1-CN$43)</f>
        <v>0</v>
      </c>
      <c r="CO121" s="17">
        <f>=CN119*(1-CO$43)</f>
        <v>0</v>
      </c>
      <c r="CP121" s="17">
        <f>=CO119*(1-CP$43)</f>
        <v>0</v>
      </c>
      <c r="CQ121" s="17">
        <f>=CP119*(1-CQ$43)</f>
        <v>0</v>
      </c>
      <c r="CR121" s="17">
        <f>=CQ119*(1-CR$43)</f>
        <v>0</v>
      </c>
      <c r="CS121" s="17">
        <f>=CR119*(1-CS$43)</f>
        <v>0</v>
      </c>
      <c r="CT121" s="17">
        <f>=CS119*(1-CT$43)</f>
        <v>0</v>
      </c>
      <c r="CU121" s="17">
        <f>=CT119*(1-CU$43)</f>
        <v>0</v>
      </c>
      <c r="CV121" s="17">
        <f>=CU119*(1-CV$43)</f>
        <v>0</v>
      </c>
      <c r="CW121" s="17">
        <f>=CV119*(1-CW$43)</f>
        <v>0</v>
      </c>
      <c r="CX121" s="17">
        <f>=CW119*(1-CX$43)</f>
        <v>0</v>
      </c>
      <c r="CY121" s="17">
        <f>=CX119*(1-CY$43)</f>
        <v>0</v>
      </c>
      <c r="CZ121" s="17">
        <f>=CY119*(1-CZ$43)</f>
        <v>0</v>
      </c>
      <c r="DA121" s="17">
        <f>=CZ119*(1-DA$43)</f>
        <v>0</v>
      </c>
      <c r="DB121" s="17">
        <f>=DA119*(1-DB$43)</f>
        <v>0</v>
      </c>
    </row>
    <row r="122" spans="1:106" x14ac:dyDescent="0.25">
      <c r="A122" s="17" t="s">
        <v>341</v>
      </c>
      <c r="C122" s="17">
        <v>0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7">
        <v>0</v>
      </c>
      <c r="AI122" s="17">
        <v>0</v>
      </c>
      <c r="AJ122" s="17">
        <v>0</v>
      </c>
      <c r="AK122" s="17">
        <v>0</v>
      </c>
      <c r="AL122" s="17">
        <v>0</v>
      </c>
      <c r="AM122" s="17">
        <v>0</v>
      </c>
      <c r="AN122" s="17">
        <v>0</v>
      </c>
      <c r="AO122" s="17">
        <v>0</v>
      </c>
      <c r="AP122" s="17">
        <v>0</v>
      </c>
      <c r="AQ122" s="17">
        <v>0</v>
      </c>
      <c r="AR122" s="17">
        <v>0</v>
      </c>
      <c r="AS122" s="17">
        <v>0</v>
      </c>
      <c r="AT122" s="17">
        <v>0</v>
      </c>
      <c r="AU122" s="17">
        <v>0</v>
      </c>
      <c r="AV122" s="17">
        <v>0</v>
      </c>
      <c r="AW122" s="17">
        <v>0</v>
      </c>
      <c r="AX122" s="17">
        <v>0</v>
      </c>
      <c r="AY122" s="17">
        <v>0</v>
      </c>
      <c r="AZ122" s="17">
        <v>0</v>
      </c>
      <c r="BA122" s="17">
        <v>0</v>
      </c>
      <c r="BB122" s="17">
        <v>0</v>
      </c>
      <c r="BC122" s="17">
        <v>0</v>
      </c>
      <c r="BD122" s="17">
        <v>0</v>
      </c>
      <c r="BE122" s="17">
        <v>0</v>
      </c>
      <c r="BF122" s="17">
        <v>0</v>
      </c>
      <c r="BG122" s="17">
        <v>0</v>
      </c>
      <c r="BH122" s="17">
        <v>0</v>
      </c>
      <c r="BI122" s="17">
        <v>0</v>
      </c>
      <c r="BJ122" s="17">
        <v>0</v>
      </c>
      <c r="BK122" s="17">
        <v>0</v>
      </c>
      <c r="BL122" s="17">
        <v>0</v>
      </c>
      <c r="BM122" s="17">
        <v>0</v>
      </c>
      <c r="BN122" s="17">
        <f>=BM121*(1-BN$43)</f>
        <v>0</v>
      </c>
      <c r="BO122" s="17">
        <f>=BN121*(1-BO$43)</f>
        <v>0</v>
      </c>
      <c r="BP122" s="17">
        <f>=BO121*(1-BP$43)</f>
        <v>0</v>
      </c>
      <c r="BQ122" s="17">
        <f>=BP121*(1-BQ$43)</f>
        <v>0</v>
      </c>
      <c r="BR122" s="17">
        <f>=BQ121*(1-BR$43)</f>
        <v>0</v>
      </c>
      <c r="BS122" s="17">
        <f>=BR121*(1-BS$43)</f>
        <v>0</v>
      </c>
      <c r="BT122" s="17">
        <f>=BS121*(1-BT$43)</f>
        <v>0</v>
      </c>
      <c r="BU122" s="17">
        <f>=BT121*(1-BU$43)</f>
        <v>0</v>
      </c>
      <c r="BV122" s="17">
        <f>=BU121*(1-BV$43)</f>
        <v>0</v>
      </c>
      <c r="BW122" s="17">
        <f>=BV121*(1-BW$43)</f>
        <v>0</v>
      </c>
      <c r="BX122" s="17">
        <f>=BW121*(1-BX$43)</f>
        <v>0</v>
      </c>
      <c r="BY122" s="17">
        <f>=BX121*(1-BY$43)</f>
        <v>0</v>
      </c>
      <c r="BZ122" s="17">
        <f>=BY121*(1-BZ$43)</f>
        <v>0</v>
      </c>
      <c r="CA122" s="17">
        <f>=BZ121*(1-CA$43)</f>
        <v>0</v>
      </c>
      <c r="CB122" s="17">
        <f>=CA121*(1-CB$43)</f>
        <v>0</v>
      </c>
      <c r="CC122" s="17">
        <f>=CB121*(1-CC$43)</f>
        <v>0</v>
      </c>
      <c r="CD122" s="17">
        <f>=CC121*(1-CD$43)</f>
        <v>0</v>
      </c>
      <c r="CE122" s="17">
        <f>=CD121*(1-CE$43)</f>
        <v>0</v>
      </c>
      <c r="CF122" s="17">
        <f>=CE121*(1-CF$43)</f>
        <v>0</v>
      </c>
      <c r="CG122" s="17">
        <f>=CF121*(1-CG$43)</f>
        <v>0</v>
      </c>
      <c r="CH122" s="17">
        <f>=CG121*(1-CH$43)</f>
        <v>0</v>
      </c>
      <c r="CI122" s="17">
        <f>=CH121*(1-CI$43)</f>
        <v>0</v>
      </c>
      <c r="CJ122" s="17">
        <f>=CI121*(1-CJ$43)</f>
        <v>0</v>
      </c>
      <c r="CK122" s="17">
        <f>=CJ121*(1-CK$43)</f>
        <v>0</v>
      </c>
      <c r="CL122" s="17">
        <f>=CK121*(1-CL$43)</f>
        <v>0</v>
      </c>
      <c r="CM122" s="17">
        <f>=CL121*(1-CM$43)</f>
        <v>0</v>
      </c>
      <c r="CN122" s="17">
        <f>=CM121*(1-CN$43)</f>
        <v>0</v>
      </c>
      <c r="CO122" s="17">
        <f>=CN121*(1-CO$43)</f>
        <v>0</v>
      </c>
      <c r="CP122" s="17">
        <f>=CO121*(1-CP$43)</f>
        <v>0</v>
      </c>
      <c r="CQ122" s="17">
        <f>=CP121*(1-CQ$43)</f>
        <v>0</v>
      </c>
      <c r="CR122" s="17">
        <f>=CQ121*(1-CR$43)</f>
        <v>0</v>
      </c>
      <c r="CS122" s="17">
        <f>=CR121*(1-CS$43)</f>
        <v>0</v>
      </c>
      <c r="CT122" s="17">
        <f>=CS121*(1-CT$43)</f>
        <v>0</v>
      </c>
      <c r="CU122" s="17">
        <f>=CT121*(1-CU$43)</f>
        <v>0</v>
      </c>
      <c r="CV122" s="17">
        <f>=CU121*(1-CV$43)</f>
        <v>0</v>
      </c>
      <c r="CW122" s="17">
        <f>=CV121*(1-CW$43)</f>
        <v>0</v>
      </c>
      <c r="CX122" s="17">
        <f>=CW121*(1-CX$43)</f>
        <v>0</v>
      </c>
      <c r="CY122" s="17">
        <f>=CX121*(1-CY$43)</f>
        <v>0</v>
      </c>
      <c r="CZ122" s="17">
        <f>=CY121*(1-CZ$43)</f>
        <v>0</v>
      </c>
      <c r="DA122" s="17">
        <f>=CZ121*(1-DA$43)</f>
        <v>0</v>
      </c>
      <c r="DB122" s="17">
        <f>=DA121*(1-DB$43)</f>
        <v>0</v>
      </c>
    </row>
    <row r="123" spans="1:106" x14ac:dyDescent="0.25">
      <c r="A123" s="17" t="s">
        <v>379</v>
      </c>
      <c r="C123" s="17">
        <v>0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7">
        <v>0</v>
      </c>
      <c r="AH123" s="17">
        <v>0</v>
      </c>
      <c r="AI123" s="17">
        <v>0</v>
      </c>
      <c r="AJ123" s="17">
        <v>0</v>
      </c>
      <c r="AK123" s="17">
        <v>0</v>
      </c>
      <c r="AL123" s="17">
        <v>0</v>
      </c>
      <c r="AM123" s="17">
        <v>0</v>
      </c>
      <c r="AN123" s="17">
        <v>0</v>
      </c>
      <c r="AO123" s="17">
        <v>0</v>
      </c>
      <c r="AP123" s="17">
        <v>0</v>
      </c>
      <c r="AQ123" s="17">
        <v>0</v>
      </c>
      <c r="AR123" s="17">
        <v>0</v>
      </c>
      <c r="AS123" s="17">
        <v>0</v>
      </c>
      <c r="AT123" s="17">
        <v>0</v>
      </c>
      <c r="AU123" s="17">
        <v>0</v>
      </c>
      <c r="AV123" s="17">
        <v>0</v>
      </c>
      <c r="AW123" s="17">
        <v>0</v>
      </c>
      <c r="AX123" s="17">
        <v>0</v>
      </c>
      <c r="AY123" s="17">
        <v>0</v>
      </c>
      <c r="AZ123" s="17">
        <v>0</v>
      </c>
      <c r="BA123" s="17">
        <v>0</v>
      </c>
      <c r="BB123" s="17">
        <v>0</v>
      </c>
      <c r="BC123" s="17">
        <v>0</v>
      </c>
      <c r="BD123" s="17">
        <v>0</v>
      </c>
      <c r="BE123" s="17">
        <v>0</v>
      </c>
      <c r="BF123" s="17">
        <v>0</v>
      </c>
      <c r="BG123" s="17">
        <v>0</v>
      </c>
      <c r="BH123" s="17">
        <v>0</v>
      </c>
      <c r="BI123" s="17">
        <v>0</v>
      </c>
      <c r="BJ123" s="17">
        <v>0</v>
      </c>
      <c r="BK123" s="17">
        <v>0</v>
      </c>
      <c r="BL123" s="17">
        <v>0</v>
      </c>
      <c r="BM123" s="17">
        <v>0</v>
      </c>
      <c r="BN123" s="17">
        <f>=BM122*(1-BN$43)</f>
        <v>0</v>
      </c>
      <c r="BO123" s="17">
        <f>=BN122*(1-BO$43)</f>
        <v>0</v>
      </c>
      <c r="BP123" s="17">
        <f>=BO122*(1-BP$43)</f>
        <v>0</v>
      </c>
      <c r="BQ123" s="17">
        <f>=BP122*(1-BQ$43)</f>
        <v>0</v>
      </c>
      <c r="BR123" s="17">
        <f>=BQ122*(1-BR$43)</f>
        <v>0</v>
      </c>
      <c r="BS123" s="17">
        <f>=BR122*(1-BS$43)</f>
        <v>0</v>
      </c>
      <c r="BT123" s="17">
        <f>=BS122*(1-BT$43)</f>
        <v>0</v>
      </c>
      <c r="BU123" s="17">
        <f>=BT122*(1-BU$43)</f>
        <v>0</v>
      </c>
      <c r="BV123" s="17">
        <f>=BU122*(1-BV$43)</f>
        <v>0</v>
      </c>
      <c r="BW123" s="17">
        <f>=BV122*(1-BW$43)</f>
        <v>0</v>
      </c>
      <c r="BX123" s="17">
        <f>=BW122*(1-BX$43)</f>
        <v>0</v>
      </c>
      <c r="BY123" s="17">
        <f>=BX122*(1-BY$43)</f>
        <v>0</v>
      </c>
      <c r="BZ123" s="17">
        <f>=BY122*(1-BZ$43)</f>
        <v>0</v>
      </c>
      <c r="CA123" s="17">
        <f>=BZ122*(1-CA$43)</f>
        <v>0</v>
      </c>
      <c r="CB123" s="17">
        <f>=CA122*(1-CB$43)</f>
        <v>0</v>
      </c>
      <c r="CC123" s="17">
        <f>=CB122*(1-CC$43)</f>
        <v>0</v>
      </c>
      <c r="CD123" s="17">
        <f>=CC122*(1-CD$43)</f>
        <v>0</v>
      </c>
      <c r="CE123" s="17">
        <f>=CD122*(1-CE$43)</f>
        <v>0</v>
      </c>
      <c r="CF123" s="17">
        <f>=CE122*(1-CF$43)</f>
        <v>0</v>
      </c>
      <c r="CG123" s="17">
        <f>=CF122*(1-CG$43)</f>
        <v>0</v>
      </c>
      <c r="CH123" s="17">
        <f>=CG122*(1-CH$43)</f>
        <v>0</v>
      </c>
      <c r="CI123" s="17">
        <f>=CH122*(1-CI$43)</f>
        <v>0</v>
      </c>
      <c r="CJ123" s="17">
        <f>=CI122*(1-CJ$43)</f>
        <v>0</v>
      </c>
      <c r="CK123" s="17">
        <f>=CJ122*(1-CK$43)</f>
        <v>0</v>
      </c>
      <c r="CL123" s="17">
        <f>=CK122*(1-CL$43)</f>
        <v>0</v>
      </c>
      <c r="CM123" s="17">
        <f>=CL122*(1-CM$43)</f>
        <v>0</v>
      </c>
      <c r="CN123" s="17">
        <f>=CM122*(1-CN$43)</f>
        <v>0</v>
      </c>
      <c r="CO123" s="17">
        <f>=CN122*(1-CO$43)</f>
        <v>0</v>
      </c>
      <c r="CP123" s="17">
        <f>=CO122*(1-CP$43)</f>
        <v>0</v>
      </c>
      <c r="CQ123" s="17">
        <f>=CP122*(1-CQ$43)</f>
        <v>0</v>
      </c>
      <c r="CR123" s="17">
        <f>=CQ122*(1-CR$43)</f>
        <v>0</v>
      </c>
      <c r="CS123" s="17">
        <f>=CR122*(1-CS$43)</f>
        <v>0</v>
      </c>
      <c r="CT123" s="17">
        <f>=CS122*(1-CT$43)</f>
        <v>0</v>
      </c>
      <c r="CU123" s="17">
        <f>=CT122*(1-CU$43)</f>
        <v>0</v>
      </c>
      <c r="CV123" s="17">
        <f>=CU122*(1-CV$43)</f>
        <v>0</v>
      </c>
      <c r="CW123" s="17">
        <f>=CV122*(1-CW$43)</f>
        <v>0</v>
      </c>
      <c r="CX123" s="17">
        <f>=CW122*(1-CX$43)</f>
        <v>0</v>
      </c>
      <c r="CY123" s="17">
        <f>=CX122*(1-CY$43)</f>
        <v>0</v>
      </c>
      <c r="CZ123" s="17">
        <f>=CY122*(1-CZ$43)</f>
        <v>0</v>
      </c>
      <c r="DA123" s="17">
        <f>=CZ122*(1-DA$43)</f>
        <v>0</v>
      </c>
      <c r="DB123" s="17">
        <f>=DA122*(1-DB$43)</f>
        <v>0</v>
      </c>
    </row>
    <row r="124" spans="1:106" x14ac:dyDescent="0.25">
      <c r="A124" s="17" t="s">
        <v>380</v>
      </c>
      <c r="C124" s="17">
        <v>0</v>
      </c>
      <c r="D124" s="17">
        <v>0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  <c r="AE124" s="17">
        <v>0</v>
      </c>
      <c r="AF124" s="17">
        <v>0</v>
      </c>
      <c r="AG124" s="17">
        <v>0</v>
      </c>
      <c r="AH124" s="17">
        <v>0</v>
      </c>
      <c r="AI124" s="17">
        <v>0</v>
      </c>
      <c r="AJ124" s="17">
        <v>0</v>
      </c>
      <c r="AK124" s="17">
        <v>0</v>
      </c>
      <c r="AL124" s="17">
        <v>0</v>
      </c>
      <c r="AM124" s="17">
        <v>0</v>
      </c>
      <c r="AN124" s="17">
        <v>0</v>
      </c>
      <c r="AO124" s="17">
        <v>0</v>
      </c>
      <c r="AP124" s="17">
        <v>0</v>
      </c>
      <c r="AQ124" s="17">
        <v>0</v>
      </c>
      <c r="AR124" s="17">
        <v>0</v>
      </c>
      <c r="AS124" s="17">
        <v>0</v>
      </c>
      <c r="AT124" s="17">
        <v>0</v>
      </c>
      <c r="AU124" s="17">
        <v>0</v>
      </c>
      <c r="AV124" s="17">
        <v>0</v>
      </c>
      <c r="AW124" s="17">
        <v>0</v>
      </c>
      <c r="AX124" s="17">
        <v>0</v>
      </c>
      <c r="AY124" s="17">
        <v>0</v>
      </c>
      <c r="AZ124" s="17">
        <v>0</v>
      </c>
      <c r="BA124" s="17">
        <v>0</v>
      </c>
      <c r="BB124" s="17">
        <v>0</v>
      </c>
      <c r="BC124" s="17">
        <v>0</v>
      </c>
      <c r="BD124" s="17">
        <v>0</v>
      </c>
      <c r="BE124" s="17">
        <v>0</v>
      </c>
      <c r="BF124" s="17">
        <v>0</v>
      </c>
      <c r="BG124" s="17">
        <v>0</v>
      </c>
      <c r="BH124" s="17">
        <v>0</v>
      </c>
      <c r="BI124" s="17">
        <v>0</v>
      </c>
      <c r="BJ124" s="17">
        <v>0</v>
      </c>
      <c r="BK124" s="17">
        <v>0</v>
      </c>
      <c r="BL124" s="17">
        <v>0</v>
      </c>
      <c r="BM124" s="17">
        <v>0</v>
      </c>
      <c r="BN124" s="17">
        <f>=BM123*(1-BN$43)</f>
        <v>0</v>
      </c>
      <c r="BO124" s="17">
        <f>=BN123*(1-BO$43)</f>
        <v>0</v>
      </c>
      <c r="BP124" s="17">
        <f>=BO123*(1-BP$43)</f>
        <v>0</v>
      </c>
      <c r="BQ124" s="17">
        <f>=BP123*(1-BQ$43)</f>
        <v>0</v>
      </c>
      <c r="BR124" s="17">
        <f>=BQ123*(1-BR$43)</f>
        <v>0</v>
      </c>
      <c r="BS124" s="17">
        <f>=BR123*(1-BS$43)</f>
        <v>0</v>
      </c>
      <c r="BT124" s="17">
        <f>=BS123*(1-BT$43)</f>
        <v>0</v>
      </c>
      <c r="BU124" s="17">
        <f>=BT123*(1-BU$43)</f>
        <v>0</v>
      </c>
      <c r="BV124" s="17">
        <f>=BU123*(1-BV$43)</f>
        <v>0</v>
      </c>
      <c r="BW124" s="17">
        <f>=BV123*(1-BW$43)</f>
        <v>0</v>
      </c>
      <c r="BX124" s="17">
        <f>=BW123*(1-BX$43)</f>
        <v>0</v>
      </c>
      <c r="BY124" s="17">
        <f>=BX123*(1-BY$43)</f>
        <v>0</v>
      </c>
      <c r="BZ124" s="17">
        <f>=BY123*(1-BZ$43)</f>
        <v>0</v>
      </c>
      <c r="CA124" s="17">
        <f>=BZ123*(1-CA$43)</f>
        <v>0</v>
      </c>
      <c r="CB124" s="17">
        <f>=CA123*(1-CB$43)</f>
        <v>0</v>
      </c>
      <c r="CC124" s="17">
        <f>=CB123*(1-CC$43)</f>
        <v>0</v>
      </c>
      <c r="CD124" s="17">
        <f>=CC123*(1-CD$43)</f>
        <v>0</v>
      </c>
      <c r="CE124" s="17">
        <f>=CD123*(1-CE$43)</f>
        <v>0</v>
      </c>
      <c r="CF124" s="17">
        <f>=CE123*(1-CF$43)</f>
        <v>0</v>
      </c>
      <c r="CG124" s="17">
        <f>=CF123*(1-CG$43)</f>
        <v>0</v>
      </c>
      <c r="CH124" s="17">
        <f>=CG123*(1-CH$43)</f>
        <v>0</v>
      </c>
      <c r="CI124" s="17">
        <f>=CH123*(1-CI$43)</f>
        <v>0</v>
      </c>
      <c r="CJ124" s="17">
        <f>=CI123*(1-CJ$43)</f>
        <v>0</v>
      </c>
      <c r="CK124" s="17">
        <f>=CJ123*(1-CK$43)</f>
        <v>0</v>
      </c>
      <c r="CL124" s="17">
        <f>=CK123*(1-CL$43)</f>
        <v>0</v>
      </c>
      <c r="CM124" s="17">
        <f>=CL123*(1-CM$43)</f>
        <v>0</v>
      </c>
      <c r="CN124" s="17">
        <f>=CM123*(1-CN$43)</f>
        <v>0</v>
      </c>
      <c r="CO124" s="17">
        <f>=CN123*(1-CO$43)</f>
        <v>0</v>
      </c>
      <c r="CP124" s="17">
        <f>=CO123*(1-CP$43)</f>
        <v>0</v>
      </c>
      <c r="CQ124" s="17">
        <f>=CP123*(1-CQ$43)</f>
        <v>0</v>
      </c>
      <c r="CR124" s="17">
        <f>=CQ123*(1-CR$43)</f>
        <v>0</v>
      </c>
      <c r="CS124" s="17">
        <f>=CR123*(1-CS$43)</f>
        <v>0</v>
      </c>
      <c r="CT124" s="17">
        <f>=CS123*(1-CT$43)</f>
        <v>0</v>
      </c>
      <c r="CU124" s="17">
        <f>=CT123*(1-CU$43)</f>
        <v>0</v>
      </c>
      <c r="CV124" s="17">
        <f>=CU123*(1-CV$43)</f>
        <v>0</v>
      </c>
      <c r="CW124" s="17">
        <f>=CV123*(1-CW$43)</f>
        <v>0</v>
      </c>
      <c r="CX124" s="17">
        <f>=CW123*(1-CX$43)</f>
        <v>0</v>
      </c>
      <c r="CY124" s="17">
        <f>=CX123*(1-CY$43)</f>
        <v>0</v>
      </c>
      <c r="CZ124" s="17">
        <f>=CY123*(1-CZ$43)</f>
        <v>0</v>
      </c>
      <c r="DA124" s="17">
        <f>=CZ123*(1-DA$43)</f>
        <v>0</v>
      </c>
      <c r="DB124" s="17">
        <f>=DA123*(1-DB$43)</f>
        <v>0</v>
      </c>
    </row>
    <row r="125" spans="1:106" x14ac:dyDescent="0.25">
      <c r="A125" s="17" t="s">
        <v>344</v>
      </c>
      <c r="C125" s="17">
        <v>0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7">
        <v>0</v>
      </c>
      <c r="AI125" s="17">
        <v>0</v>
      </c>
      <c r="AJ125" s="17">
        <v>0</v>
      </c>
      <c r="AK125" s="17">
        <v>0</v>
      </c>
      <c r="AL125" s="17">
        <v>0</v>
      </c>
      <c r="AM125" s="17">
        <v>0</v>
      </c>
      <c r="AN125" s="17">
        <v>0</v>
      </c>
      <c r="AO125" s="17">
        <v>0</v>
      </c>
      <c r="AP125" s="17">
        <v>0</v>
      </c>
      <c r="AQ125" s="17">
        <v>0</v>
      </c>
      <c r="AR125" s="17">
        <v>0</v>
      </c>
      <c r="AS125" s="17">
        <v>0</v>
      </c>
      <c r="AT125" s="17">
        <v>0</v>
      </c>
      <c r="AU125" s="17">
        <v>0</v>
      </c>
      <c r="AV125" s="17">
        <v>0</v>
      </c>
      <c r="AW125" s="17">
        <v>0</v>
      </c>
      <c r="AX125" s="17">
        <v>0</v>
      </c>
      <c r="AY125" s="17">
        <v>0</v>
      </c>
      <c r="AZ125" s="17">
        <v>0</v>
      </c>
      <c r="BA125" s="17">
        <v>0</v>
      </c>
      <c r="BB125" s="17">
        <v>0</v>
      </c>
      <c r="BC125" s="17">
        <v>0</v>
      </c>
      <c r="BD125" s="17">
        <v>0</v>
      </c>
      <c r="BE125" s="17">
        <v>0</v>
      </c>
      <c r="BF125" s="17">
        <v>0</v>
      </c>
      <c r="BG125" s="17">
        <v>0</v>
      </c>
      <c r="BH125" s="17">
        <v>0</v>
      </c>
      <c r="BI125" s="17">
        <v>0</v>
      </c>
      <c r="BJ125" s="17">
        <v>0</v>
      </c>
      <c r="BK125" s="17">
        <v>0</v>
      </c>
      <c r="BL125" s="17">
        <v>0</v>
      </c>
      <c r="BM125" s="17">
        <v>0</v>
      </c>
      <c r="BN125" s="17">
        <f>=BM124*(1-BN$43)</f>
        <v>0</v>
      </c>
      <c r="BO125" s="17">
        <f>=BN124*(1-BO$43)</f>
        <v>0</v>
      </c>
      <c r="BP125" s="17">
        <f>=BO124*(1-BP$43)</f>
        <v>0</v>
      </c>
      <c r="BQ125" s="17">
        <f>=BP124*(1-BQ$43)</f>
        <v>0</v>
      </c>
      <c r="BR125" s="17">
        <f>=BQ124*(1-BR$43)</f>
        <v>0</v>
      </c>
      <c r="BS125" s="17">
        <f>=BR124*(1-BS$43)</f>
        <v>0</v>
      </c>
      <c r="BT125" s="17">
        <f>=BS124*(1-BT$43)</f>
        <v>0</v>
      </c>
      <c r="BU125" s="17">
        <f>=BT124*(1-BU$43)</f>
        <v>0</v>
      </c>
      <c r="BV125" s="17">
        <f>=BU124*(1-BV$43)</f>
        <v>0</v>
      </c>
      <c r="BW125" s="17">
        <f>=BV124*(1-BW$43)</f>
        <v>0</v>
      </c>
      <c r="BX125" s="17">
        <f>=BW124*(1-BX$43)</f>
        <v>0</v>
      </c>
      <c r="BY125" s="17">
        <f>=BX124*(1-BY$43)</f>
        <v>0</v>
      </c>
      <c r="BZ125" s="17">
        <f>=BY124*(1-BZ$43)</f>
        <v>0</v>
      </c>
      <c r="CA125" s="17">
        <f>=BZ124*(1-CA$43)</f>
        <v>0</v>
      </c>
      <c r="CB125" s="17">
        <f>=CA124*(1-CB$43)</f>
        <v>0</v>
      </c>
      <c r="CC125" s="17">
        <f>=CB124*(1-CC$43)</f>
        <v>0</v>
      </c>
      <c r="CD125" s="17">
        <f>=CC124*(1-CD$43)</f>
        <v>0</v>
      </c>
      <c r="CE125" s="17">
        <f>=CD124*(1-CE$43)</f>
        <v>0</v>
      </c>
      <c r="CF125" s="17">
        <f>=CE124*(1-CF$43)</f>
        <v>0</v>
      </c>
      <c r="CG125" s="17">
        <f>=CF124*(1-CG$43)</f>
        <v>0</v>
      </c>
      <c r="CH125" s="17">
        <f>=CG124*(1-CH$43)</f>
        <v>0</v>
      </c>
      <c r="CI125" s="17">
        <f>=CH124*(1-CI$43)</f>
        <v>0</v>
      </c>
      <c r="CJ125" s="17">
        <f>=CI124*(1-CJ$43)</f>
        <v>0</v>
      </c>
      <c r="CK125" s="17">
        <f>=CJ124*(1-CK$43)</f>
        <v>0</v>
      </c>
      <c r="CL125" s="17">
        <f>=CK124*(1-CL$43)</f>
        <v>0</v>
      </c>
      <c r="CM125" s="17">
        <f>=CL124*(1-CM$43)</f>
        <v>0</v>
      </c>
      <c r="CN125" s="17">
        <f>=CM124*(1-CN$43)</f>
        <v>0</v>
      </c>
      <c r="CO125" s="17">
        <f>=CN124*(1-CO$43)</f>
        <v>0</v>
      </c>
      <c r="CP125" s="17">
        <f>=CO124*(1-CP$43)</f>
        <v>0</v>
      </c>
      <c r="CQ125" s="17">
        <f>=CP124*(1-CQ$43)</f>
        <v>0</v>
      </c>
      <c r="CR125" s="17">
        <f>=CQ124*(1-CR$43)</f>
        <v>0</v>
      </c>
      <c r="CS125" s="17">
        <f>=CR124*(1-CS$43)</f>
        <v>0</v>
      </c>
      <c r="CT125" s="17">
        <f>=CS124*(1-CT$43)</f>
        <v>0</v>
      </c>
      <c r="CU125" s="17">
        <f>=CT124*(1-CU$43)</f>
        <v>0</v>
      </c>
      <c r="CV125" s="17">
        <f>=CU124*(1-CV$43)</f>
        <v>0</v>
      </c>
      <c r="CW125" s="17">
        <f>=CV124*(1-CW$43)</f>
        <v>0</v>
      </c>
      <c r="CX125" s="17">
        <f>=CW124*(1-CX$43)</f>
        <v>0</v>
      </c>
      <c r="CY125" s="17">
        <f>=CX124*(1-CY$43)</f>
        <v>0</v>
      </c>
      <c r="CZ125" s="17">
        <f>=CY124*(1-CZ$43)</f>
        <v>0</v>
      </c>
      <c r="DA125" s="17">
        <f>=CZ124*(1-DA$43)</f>
        <v>0</v>
      </c>
      <c r="DB125" s="17">
        <f>=DA124*(1-DB$43)</f>
        <v>0</v>
      </c>
    </row>
    <row r="126" spans="3:106" x14ac:dyDescent="0.25"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  <c r="BA126" s="30"/>
      <c r="BB126" s="30"/>
      <c r="BC126" s="30"/>
      <c r="BD126" s="30"/>
      <c r="BE126" s="30"/>
      <c r="BF126" s="30"/>
      <c r="BG126" s="30"/>
      <c r="BH126" s="30"/>
      <c r="BI126" s="30"/>
      <c r="BJ126" s="30"/>
      <c r="BK126" s="30"/>
      <c r="BL126" s="30"/>
      <c r="BM126" s="30"/>
      <c r="BN126" s="30"/>
      <c r="BO126" s="30"/>
      <c r="BP126" s="30"/>
      <c r="BQ126" s="30"/>
      <c r="BR126" s="30"/>
      <c r="BS126" s="30"/>
      <c r="BT126" s="30"/>
      <c r="BU126" s="30"/>
      <c r="BV126" s="30"/>
      <c r="BW126" s="30"/>
      <c r="BX126" s="30"/>
      <c r="BY126" s="30"/>
      <c r="BZ126" s="30"/>
      <c r="CA126" s="30"/>
      <c r="CB126" s="30"/>
      <c r="CC126" s="30"/>
      <c r="CD126" s="30"/>
      <c r="CE126" s="30"/>
      <c r="CF126" s="30"/>
      <c r="CG126" s="30"/>
      <c r="CH126" s="30"/>
      <c r="CI126" s="30"/>
      <c r="CJ126" s="30"/>
      <c r="CK126" s="30"/>
      <c r="CL126" s="30"/>
      <c r="CM126" s="30"/>
      <c r="CN126" s="30"/>
      <c r="CO126" s="30"/>
      <c r="CP126" s="30"/>
      <c r="CQ126" s="30"/>
      <c r="CR126" s="30"/>
      <c r="CS126" s="30"/>
      <c r="CT126" s="30"/>
      <c r="CU126" s="30"/>
      <c r="CV126" s="30"/>
      <c r="CW126" s="30"/>
      <c r="CX126" s="30"/>
      <c r="CY126" s="30"/>
      <c r="CZ126" s="30"/>
      <c r="DA126" s="30"/>
      <c r="DB126" s="30"/>
    </row>
    <row r="127" spans="1:106" x14ac:dyDescent="0.25">
      <c r="A127" s="9" t="s">
        <v>345</v>
      </c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  <c r="AV127" s="30"/>
      <c r="AW127" s="30"/>
      <c r="AX127" s="30"/>
      <c r="AY127" s="30"/>
      <c r="AZ127" s="30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30"/>
      <c r="BO127" s="30"/>
      <c r="BP127" s="30"/>
      <c r="BQ127" s="30"/>
      <c r="BR127" s="30"/>
      <c r="BS127" s="30"/>
      <c r="BT127" s="30"/>
      <c r="BU127" s="30"/>
      <c r="BV127" s="30"/>
      <c r="BW127" s="30"/>
      <c r="BX127" s="30"/>
      <c r="BY127" s="30"/>
      <c r="BZ127" s="30"/>
      <c r="CA127" s="30"/>
      <c r="CB127" s="30"/>
      <c r="CC127" s="30"/>
      <c r="CD127" s="30"/>
      <c r="CE127" s="30"/>
      <c r="CF127" s="30"/>
      <c r="CG127" s="30"/>
      <c r="CH127" s="30"/>
      <c r="CI127" s="30"/>
      <c r="CJ127" s="30"/>
      <c r="CK127" s="30"/>
      <c r="CL127" s="30"/>
      <c r="CM127" s="30"/>
      <c r="CN127" s="30"/>
      <c r="CO127" s="30"/>
      <c r="CP127" s="30"/>
      <c r="CQ127" s="30"/>
      <c r="CR127" s="30"/>
      <c r="CS127" s="30"/>
      <c r="CT127" s="30"/>
      <c r="CU127" s="30"/>
      <c r="CV127" s="30"/>
      <c r="CW127" s="30"/>
      <c r="CX127" s="30"/>
      <c r="CY127" s="30"/>
      <c r="CZ127" s="30"/>
      <c r="DA127" s="30"/>
      <c r="DB127" s="30"/>
    </row>
    <row r="128" ht="16" customHeight="1" spans="1:106" x14ac:dyDescent="0.25">
      <c r="A128" s="68" t="s">
        <v>346</v>
      </c>
      <c r="C128" s="30">
        <f>=C8</f>
        <v>134</v>
      </c>
      <c r="D128" s="30">
        <f>=D8</f>
        <v>134</v>
      </c>
      <c r="E128" s="30">
        <f>=E8</f>
        <v>134</v>
      </c>
      <c r="F128" s="30">
        <f>=F8</f>
        <v>134</v>
      </c>
      <c r="G128" s="30">
        <f>=G8</f>
        <v>134</v>
      </c>
      <c r="H128" s="30">
        <f>=H8</f>
        <v>134</v>
      </c>
      <c r="I128" s="30">
        <f>=I8</f>
        <v>134</v>
      </c>
      <c r="J128" s="30">
        <f>=J8</f>
        <v>134</v>
      </c>
      <c r="K128" s="30">
        <f>=K8</f>
        <v>134</v>
      </c>
      <c r="L128" s="30">
        <f>=L8</f>
        <v>134</v>
      </c>
      <c r="M128" s="30">
        <f>=M8</f>
        <v>134</v>
      </c>
      <c r="N128" s="30">
        <f>=N8</f>
        <v>134</v>
      </c>
      <c r="O128" s="30">
        <f>=O8</f>
        <v>134</v>
      </c>
      <c r="P128" s="30">
        <f>=P8</f>
        <v>134</v>
      </c>
      <c r="Q128" s="30">
        <f>=Q8</f>
        <v>134</v>
      </c>
      <c r="R128" s="30">
        <f>=R8</f>
        <v>134</v>
      </c>
      <c r="S128" s="30">
        <f>=S8</f>
        <v>134</v>
      </c>
      <c r="T128" s="30">
        <f>=T8</f>
        <v>134</v>
      </c>
      <c r="U128" s="30">
        <f>=U8</f>
        <v>134</v>
      </c>
      <c r="V128" s="30">
        <f>=V8</f>
        <v>134</v>
      </c>
      <c r="W128" s="30">
        <f>=W8</f>
        <v>134</v>
      </c>
      <c r="X128" s="30">
        <f>=X8</f>
        <v>134</v>
      </c>
      <c r="Y128" s="30">
        <f>=Y8</f>
        <v>134</v>
      </c>
      <c r="Z128" s="30">
        <f>=Z8</f>
        <v>134</v>
      </c>
      <c r="AA128" s="30">
        <f>=AA8</f>
        <v>134</v>
      </c>
      <c r="AB128" s="30">
        <f>=AB8</f>
        <v>134</v>
      </c>
      <c r="AC128" s="30">
        <f>=AC8</f>
        <v>134</v>
      </c>
      <c r="AD128" s="30">
        <f>=AD8</f>
        <v>134</v>
      </c>
      <c r="AE128" s="30">
        <f>=AE8</f>
        <v>134</v>
      </c>
      <c r="AF128" s="30">
        <f>=AF8</f>
        <v>134</v>
      </c>
      <c r="AG128" s="30">
        <f>=AG8</f>
        <v>134</v>
      </c>
      <c r="AH128" s="30">
        <f>=AH8</f>
        <v>134</v>
      </c>
      <c r="AI128" s="30">
        <f>=AI8</f>
        <v>134</v>
      </c>
      <c r="AJ128" s="30">
        <f>=AJ8</f>
        <v>134</v>
      </c>
      <c r="AK128" s="30">
        <f>=AK8</f>
        <v>168</v>
      </c>
      <c r="AL128" s="30">
        <f>=AL8</f>
        <v>168</v>
      </c>
      <c r="AM128" s="30">
        <f>=AM8</f>
        <v>168</v>
      </c>
      <c r="AN128" s="30">
        <f>=AN8</f>
        <v>168</v>
      </c>
      <c r="AO128" s="30">
        <f>=AO8</f>
        <v>168</v>
      </c>
      <c r="AP128" s="30">
        <f>=AP8</f>
        <v>168</v>
      </c>
      <c r="AQ128" s="30">
        <f>=AQ8</f>
        <v>168</v>
      </c>
      <c r="AR128" s="30">
        <f>=AR8</f>
        <v>168</v>
      </c>
      <c r="AS128" s="30">
        <f>=AS8</f>
        <v>168</v>
      </c>
      <c r="AT128" s="30">
        <f>=AT8</f>
        <v>168</v>
      </c>
      <c r="AU128" s="30">
        <f>=AU8</f>
        <v>168</v>
      </c>
      <c r="AV128" s="30">
        <f>=AV8</f>
        <v>168</v>
      </c>
      <c r="AW128" s="30">
        <f>=AW8</f>
        <v>168</v>
      </c>
      <c r="AX128" s="30">
        <f>=AX8</f>
        <v>168</v>
      </c>
      <c r="AY128" s="30">
        <f>=AY8</f>
        <v>168</v>
      </c>
      <c r="AZ128" s="30">
        <f>=AZ8</f>
        <v>168</v>
      </c>
      <c r="BA128" s="30">
        <f>=BA8</f>
        <v>168</v>
      </c>
      <c r="BB128" s="30">
        <f>=BB8</f>
        <v>168</v>
      </c>
      <c r="BC128" s="30">
        <f>=BC8</f>
        <v>168</v>
      </c>
      <c r="BD128" s="30">
        <f>=BD8</f>
        <v>168</v>
      </c>
      <c r="BE128" s="30">
        <f>=BE8</f>
        <v>168</v>
      </c>
      <c r="BF128" s="30">
        <f>=BF8</f>
        <v>168</v>
      </c>
      <c r="BG128" s="30">
        <f>=BG8</f>
        <v>168</v>
      </c>
      <c r="BH128" s="30">
        <f>=BH8</f>
        <v>168</v>
      </c>
      <c r="BI128" s="30">
        <f>=BI8</f>
        <v>168</v>
      </c>
      <c r="BJ128" s="30">
        <f>=BJ8</f>
        <v>168</v>
      </c>
      <c r="BK128" s="30">
        <f>=BK8</f>
        <v>168</v>
      </c>
      <c r="BL128" s="30">
        <f>=BL8</f>
        <v>168</v>
      </c>
      <c r="BM128" s="30">
        <f>=BM8</f>
        <v>168</v>
      </c>
      <c r="BN128" s="30">
        <f>=BN8</f>
        <v>168</v>
      </c>
      <c r="BO128" s="30">
        <f>=BO8</f>
        <v>168</v>
      </c>
      <c r="BP128" s="30">
        <f>=BP8</f>
        <v>134</v>
      </c>
      <c r="BQ128" s="30">
        <f>=BQ8</f>
        <v>134</v>
      </c>
      <c r="BR128" s="30">
        <f>=BR8</f>
        <v>134</v>
      </c>
      <c r="BS128" s="30">
        <f>=BS8</f>
        <v>134</v>
      </c>
      <c r="BT128" s="30">
        <f>=BT8</f>
        <v>134</v>
      </c>
      <c r="BU128" s="30">
        <f>=BU8</f>
        <v>134</v>
      </c>
      <c r="BV128" s="30">
        <f>=BV8</f>
        <v>134</v>
      </c>
      <c r="BW128" s="30">
        <f>=BW8</f>
        <v>134</v>
      </c>
      <c r="BX128" s="30">
        <f>=BX8</f>
        <v>134</v>
      </c>
      <c r="BY128" s="30">
        <f>=BY8</f>
        <v>134</v>
      </c>
      <c r="BZ128" s="30">
        <f>=BZ8</f>
        <v>134</v>
      </c>
      <c r="CA128" s="30">
        <f>=CA8</f>
        <v>134</v>
      </c>
      <c r="CB128" s="30">
        <f>=CB8</f>
        <v>134</v>
      </c>
      <c r="CC128" s="30">
        <f>=CC8</f>
        <v>134</v>
      </c>
      <c r="CD128" s="30">
        <f>=CD8</f>
        <v>134</v>
      </c>
      <c r="CE128" s="30">
        <f>=CE8</f>
        <v>134</v>
      </c>
      <c r="CF128" s="30">
        <f>=CF8</f>
        <v>134</v>
      </c>
      <c r="CG128" s="30">
        <f>=CG8</f>
        <v>134</v>
      </c>
      <c r="CH128" s="30">
        <f>=CH8</f>
        <v>134</v>
      </c>
      <c r="CI128" s="30">
        <f>=CI8</f>
        <v>134</v>
      </c>
      <c r="CJ128" s="30">
        <f>=CJ8</f>
        <v>134</v>
      </c>
      <c r="CK128" s="30">
        <f>=CK8</f>
        <v>134</v>
      </c>
      <c r="CL128" s="30">
        <f>=CL8</f>
        <v>134</v>
      </c>
      <c r="CM128" s="30">
        <f>=CM8</f>
        <v>134</v>
      </c>
      <c r="CN128" s="30">
        <f>=CN8</f>
        <v>134</v>
      </c>
      <c r="CO128" s="30">
        <f>=CO8</f>
        <v>134</v>
      </c>
      <c r="CP128" s="30">
        <f>=CP8</f>
        <v>134</v>
      </c>
      <c r="CQ128" s="30">
        <f>=CQ8</f>
        <v>134</v>
      </c>
      <c r="CR128" s="30">
        <f>=CR8</f>
        <v>134</v>
      </c>
      <c r="CS128" s="30">
        <f>=CS8</f>
        <v>134</v>
      </c>
      <c r="CT128" s="30">
        <f>=CT8</f>
        <v>134</v>
      </c>
      <c r="CU128" s="30">
        <f>=CU8</f>
        <v>134</v>
      </c>
      <c r="CV128" s="30">
        <f>=CV8</f>
        <v>134</v>
      </c>
      <c r="CW128" s="30">
        <f>=CW8</f>
        <v>134</v>
      </c>
      <c r="CX128" s="30">
        <f>=CX8</f>
        <v>134</v>
      </c>
      <c r="CY128" s="30">
        <f>=CY8</f>
        <v>134</v>
      </c>
      <c r="CZ128" s="30">
        <f>=CZ8</f>
        <v>134</v>
      </c>
      <c r="DA128" s="30">
        <f>=DA8</f>
        <v>134</v>
      </c>
      <c r="DB128" s="30">
        <f>=DB8</f>
        <v>134</v>
      </c>
    </row>
    <row r="129" ht="16" customHeight="1" spans="1:106" x14ac:dyDescent="0.25">
      <c r="A129" s="68" t="s">
        <v>347</v>
      </c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  <c r="BA129" s="30"/>
      <c r="BB129" s="30"/>
      <c r="BC129" s="30"/>
      <c r="BD129" s="30"/>
      <c r="BE129" s="30"/>
      <c r="BF129" s="30"/>
      <c r="BG129" s="30"/>
      <c r="BH129" s="30"/>
      <c r="BI129" s="30"/>
      <c r="BJ129" s="30"/>
      <c r="BK129" s="30"/>
      <c r="BL129" s="30"/>
      <c r="BM129" s="30"/>
      <c r="BN129" s="30"/>
      <c r="BO129" s="30"/>
      <c r="BP129" s="30"/>
      <c r="BQ129" s="30"/>
      <c r="BR129" s="30"/>
      <c r="BS129" s="30"/>
      <c r="BT129" s="30"/>
      <c r="BU129" s="30"/>
      <c r="BV129" s="30"/>
      <c r="BW129" s="30"/>
      <c r="BX129" s="30"/>
      <c r="BY129" s="30"/>
      <c r="BZ129" s="30"/>
      <c r="CA129" s="30"/>
      <c r="CB129" s="30"/>
      <c r="CC129" s="30"/>
      <c r="CD129" s="30"/>
      <c r="CE129" s="30"/>
      <c r="CF129" s="30"/>
      <c r="CG129" s="30"/>
      <c r="CH129" s="30"/>
      <c r="CI129" s="30"/>
      <c r="CJ129" s="30"/>
      <c r="CK129" s="30"/>
      <c r="CL129" s="30"/>
      <c r="CM129" s="30"/>
      <c r="CN129" s="30"/>
      <c r="CO129" s="30"/>
      <c r="CP129" s="30"/>
      <c r="CQ129" s="30"/>
      <c r="CR129" s="30"/>
      <c r="CS129" s="30"/>
      <c r="CT129" s="30"/>
      <c r="CU129" s="30"/>
      <c r="CV129" s="30"/>
      <c r="CW129" s="30"/>
      <c r="CX129" s="30"/>
      <c r="CY129" s="30"/>
      <c r="CZ129" s="30"/>
      <c r="DA129" s="30"/>
      <c r="DB129" s="30"/>
    </row>
    <row r="130" ht="16" customHeight="1" spans="1:106" x14ac:dyDescent="0.25">
      <c r="A130" s="68" t="s">
        <v>348</v>
      </c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  <c r="AV130" s="30"/>
      <c r="AW130" s="30"/>
      <c r="AX130" s="30"/>
      <c r="AY130" s="30"/>
      <c r="AZ130" s="30"/>
      <c r="BA130" s="30"/>
      <c r="BB130" s="30"/>
      <c r="BC130" s="30"/>
      <c r="BD130" s="30"/>
      <c r="BE130" s="30"/>
      <c r="BF130" s="30"/>
      <c r="BG130" s="30"/>
      <c r="BH130" s="30"/>
      <c r="BI130" s="30"/>
      <c r="BJ130" s="30"/>
      <c r="BK130" s="30"/>
      <c r="BL130" s="30"/>
      <c r="BM130" s="30"/>
      <c r="BN130" s="30"/>
      <c r="BO130" s="30"/>
      <c r="BP130" s="30"/>
      <c r="BQ130" s="30"/>
      <c r="BR130" s="30"/>
      <c r="BS130" s="30"/>
      <c r="BT130" s="30"/>
      <c r="BU130" s="30"/>
      <c r="BV130" s="30"/>
      <c r="BW130" s="30"/>
      <c r="BX130" s="30"/>
      <c r="BY130" s="30"/>
      <c r="BZ130" s="30"/>
      <c r="CA130" s="30"/>
      <c r="CB130" s="30"/>
      <c r="CC130" s="30"/>
      <c r="CD130" s="30"/>
      <c r="CE130" s="30"/>
      <c r="CF130" s="30"/>
      <c r="CG130" s="30"/>
      <c r="CH130" s="30"/>
      <c r="CI130" s="30"/>
      <c r="CJ130" s="30"/>
      <c r="CK130" s="30"/>
      <c r="CL130" s="30"/>
      <c r="CM130" s="30"/>
      <c r="CN130" s="30"/>
      <c r="CO130" s="30"/>
      <c r="CP130" s="30"/>
      <c r="CQ130" s="30"/>
      <c r="CR130" s="30"/>
      <c r="CS130" s="30"/>
      <c r="CT130" s="30"/>
      <c r="CU130" s="30"/>
      <c r="CV130" s="30"/>
      <c r="CW130" s="30"/>
      <c r="CX130" s="30"/>
      <c r="CY130" s="30"/>
      <c r="CZ130" s="30"/>
      <c r="DA130" s="30"/>
      <c r="DB130" s="30"/>
    </row>
    <row r="131" ht="16" customHeight="1" spans="1:106" x14ac:dyDescent="0.25">
      <c r="A131" s="70" t="s">
        <v>349</v>
      </c>
      <c r="C131" s="31">
        <f>=IFERROR(C130/C128,0)</f>
        <v>0</v>
      </c>
      <c r="D131" s="31">
        <f>=IFERROR(D130/D128,0)</f>
        <v>0</v>
      </c>
      <c r="E131" s="31">
        <f>=IFERROR(E130/E128,0)</f>
        <v>0</v>
      </c>
      <c r="F131" s="31">
        <f>=IFERROR(F130/F128,0)</f>
        <v>0</v>
      </c>
      <c r="G131" s="31">
        <f>=IFERROR(G130/G128,0)</f>
        <v>0</v>
      </c>
      <c r="H131" s="31">
        <f>=IFERROR(H130/H128,0)</f>
        <v>0</v>
      </c>
      <c r="I131" s="31">
        <f>=IFERROR(I130/I128,0)</f>
        <v>0</v>
      </c>
      <c r="J131" s="31">
        <f>=IFERROR(J130/J128,0)</f>
        <v>0</v>
      </c>
      <c r="K131" s="31">
        <f>=IFERROR(K130/K128,0)</f>
        <v>0</v>
      </c>
      <c r="L131" s="31">
        <f>=IFERROR(L130/L128,0)</f>
        <v>0</v>
      </c>
      <c r="M131" s="31">
        <f>=IFERROR(M130/M128,0)</f>
        <v>0</v>
      </c>
      <c r="N131" s="31">
        <f>=IFERROR(N130/N128,0)</f>
        <v>0</v>
      </c>
      <c r="O131" s="31">
        <f>=IFERROR(O130/O128,0)</f>
        <v>0</v>
      </c>
      <c r="P131" s="31">
        <f>=IFERROR(P130/P128,0)</f>
        <v>0</v>
      </c>
      <c r="Q131" s="31">
        <f>=IFERROR(Q130/Q128,0)</f>
        <v>0</v>
      </c>
      <c r="R131" s="31">
        <f>=IFERROR(R130/R128,0)</f>
        <v>0</v>
      </c>
      <c r="S131" s="31">
        <f>=IFERROR(S130/S128,0)</f>
        <v>0</v>
      </c>
      <c r="T131" s="31">
        <f>=IFERROR(T130/T128,0)</f>
        <v>0</v>
      </c>
      <c r="U131" s="31">
        <f>=IFERROR(U130/U128,0)</f>
        <v>0</v>
      </c>
      <c r="V131" s="31">
        <f>=IFERROR(V130/V128,0)</f>
        <v>0</v>
      </c>
      <c r="W131" s="31">
        <f>=IFERROR(W130/W128,0)</f>
        <v>0</v>
      </c>
      <c r="X131" s="31">
        <f>=IFERROR(X130/X128,0)</f>
        <v>0</v>
      </c>
      <c r="Y131" s="31">
        <f>=IFERROR(Y130/Y128,0)</f>
        <v>0</v>
      </c>
      <c r="Z131" s="31">
        <f>=IFERROR(Z130/Z128,0)</f>
        <v>0</v>
      </c>
      <c r="AA131" s="31">
        <f>=IFERROR(AA130/AA128,0)</f>
        <v>0</v>
      </c>
      <c r="AB131" s="31">
        <f>=IFERROR(AB130/AB128,0)</f>
        <v>0</v>
      </c>
      <c r="AC131" s="31">
        <f>=IFERROR(AC130/AC128,0)</f>
        <v>0</v>
      </c>
      <c r="AD131" s="31">
        <f>=IFERROR(AD130/AD128,0)</f>
        <v>0</v>
      </c>
      <c r="AE131" s="31">
        <f>=IFERROR(AE130/AE128,0)</f>
        <v>0</v>
      </c>
      <c r="AF131" s="31">
        <f>=IFERROR(AF130/AF128,0)</f>
        <v>0</v>
      </c>
      <c r="AG131" s="31">
        <f>=IFERROR(AG130/AG128,0)</f>
        <v>0</v>
      </c>
      <c r="AH131" s="31">
        <f>=IFERROR(AH130/AH128,0)</f>
        <v>0</v>
      </c>
      <c r="AI131" s="31">
        <f>=IFERROR(AI130/AI128,0)</f>
        <v>0</v>
      </c>
      <c r="AJ131" s="31">
        <f>=IFERROR(AJ130/AJ128,0)</f>
        <v>0</v>
      </c>
      <c r="AK131" s="31">
        <f>=IFERROR(AK130/AK128,0)</f>
        <v>0</v>
      </c>
      <c r="AL131" s="31">
        <f>=IFERROR(AL130/AL128,0)</f>
        <v>0</v>
      </c>
      <c r="AM131" s="31">
        <f>=IFERROR(AM130/AM128,0)</f>
        <v>0</v>
      </c>
      <c r="AN131" s="31">
        <f>=IFERROR(AN130/AN128,0)</f>
        <v>0</v>
      </c>
      <c r="AO131" s="31">
        <f>=IFERROR(AO130/AO128,0)</f>
        <v>0</v>
      </c>
      <c r="AP131" s="31">
        <f>=IFERROR(AP130/AP128,0)</f>
        <v>0</v>
      </c>
      <c r="AQ131" s="31">
        <f>=IFERROR(AQ130/AQ128,0)</f>
        <v>0</v>
      </c>
      <c r="AR131" s="31">
        <f>=IFERROR(AR130/AR128,0)</f>
        <v>0</v>
      </c>
      <c r="AS131" s="31">
        <f>=IFERROR(AS130/AS128,0)</f>
        <v>0</v>
      </c>
      <c r="AT131" s="31">
        <f>=IFERROR(AT130/AT128,0)</f>
        <v>0</v>
      </c>
      <c r="AU131" s="31">
        <f>=IFERROR(AU130/AU128,0)</f>
        <v>0</v>
      </c>
      <c r="AV131" s="31">
        <f>=IFERROR(AV130/AV128,0)</f>
        <v>0</v>
      </c>
      <c r="AW131" s="31">
        <f>=IFERROR(AW130/AW128,0)</f>
        <v>0</v>
      </c>
      <c r="AX131" s="31">
        <f>=IFERROR(AX130/AX128,0)</f>
        <v>0</v>
      </c>
      <c r="AY131" s="31">
        <f>=IFERROR(AY130/AY128,0)</f>
        <v>0</v>
      </c>
      <c r="AZ131" s="31">
        <f>=IFERROR(AZ130/AZ128,0)</f>
        <v>0</v>
      </c>
      <c r="BA131" s="31">
        <f>=IFERROR(BA130/BA128,0)</f>
        <v>0</v>
      </c>
      <c r="BB131" s="31">
        <f>=IFERROR(BB130/BB128,0)</f>
        <v>0</v>
      </c>
      <c r="BC131" s="31">
        <f>=IFERROR(BC130/BC128,0)</f>
        <v>0</v>
      </c>
      <c r="BD131" s="31">
        <f>=IFERROR(BD130/BD128,0)</f>
        <v>0</v>
      </c>
      <c r="BE131" s="31">
        <f>=IFERROR(BE130/BE128,0)</f>
        <v>0</v>
      </c>
      <c r="BF131" s="31">
        <f>=IFERROR(BF130/BF128,0)</f>
        <v>0</v>
      </c>
      <c r="BG131" s="31">
        <f>=IFERROR(BG130/BG128,0)</f>
        <v>0</v>
      </c>
      <c r="BH131" s="31">
        <f>=IFERROR(BH130/BH128,0)</f>
        <v>0</v>
      </c>
      <c r="BI131" s="31">
        <f>=IFERROR(BI130/BI128,0)</f>
        <v>0</v>
      </c>
      <c r="BJ131" s="31">
        <f>=IFERROR(BJ130/BJ128,0)</f>
        <v>0</v>
      </c>
      <c r="BK131" s="31">
        <f>=IFERROR(BK130/BK128,0)</f>
        <v>0</v>
      </c>
      <c r="BL131" s="31">
        <f>=IFERROR(BL130/BL128,0)</f>
        <v>0</v>
      </c>
      <c r="BM131" s="31">
        <f>=IFERROR(BM130/BM128,0)</f>
        <v>0</v>
      </c>
      <c r="BN131" s="31">
        <f>=IFERROR(BN130/BN128,0)</f>
        <v>0</v>
      </c>
      <c r="BO131" s="31">
        <f>=IFERROR(BO130/BO128,0)</f>
        <v>0</v>
      </c>
      <c r="BP131" s="31">
        <f>=IFERROR(BP130/BP128,0)</f>
        <v>0</v>
      </c>
      <c r="BQ131" s="31">
        <f>=IFERROR(BQ130/BQ128,0)</f>
        <v>0</v>
      </c>
      <c r="BR131" s="31">
        <f>=IFERROR(BR130/BR128,0)</f>
        <v>0</v>
      </c>
      <c r="BS131" s="31">
        <f>=IFERROR(BS130/BS128,0)</f>
        <v>0</v>
      </c>
      <c r="BT131" s="31">
        <f>=IFERROR(BT130/BT128,0)</f>
        <v>0</v>
      </c>
      <c r="BU131" s="31">
        <f>=IFERROR(BU130/BU128,0)</f>
        <v>0</v>
      </c>
      <c r="BV131" s="31">
        <f>=IFERROR(BV130/BV128,0)</f>
        <v>0</v>
      </c>
      <c r="BW131" s="31">
        <f>=IFERROR(BW130/BW128,0)</f>
        <v>0</v>
      </c>
      <c r="BX131" s="31">
        <f>=IFERROR(BX130/BX128,0)</f>
        <v>0</v>
      </c>
      <c r="BY131" s="31">
        <f>=IFERROR(BY130/BY128,0)</f>
        <v>0</v>
      </c>
      <c r="BZ131" s="31">
        <f>=IFERROR(BZ130/BZ128,0)</f>
        <v>0</v>
      </c>
      <c r="CA131" s="31">
        <f>=IFERROR(CA130/CA128,0)</f>
        <v>0</v>
      </c>
      <c r="CB131" s="31">
        <f>=IFERROR(CB130/CB128,0)</f>
        <v>0</v>
      </c>
      <c r="CC131" s="31">
        <f>=IFERROR(CC130/CC128,0)</f>
        <v>0</v>
      </c>
      <c r="CD131" s="31">
        <f>=IFERROR(CD130/CD128,0)</f>
        <v>0</v>
      </c>
      <c r="CE131" s="31">
        <f>=IFERROR(CE130/CE128,0)</f>
        <v>0</v>
      </c>
      <c r="CF131" s="31">
        <f>=IFERROR(CF130/CF128,0)</f>
        <v>0</v>
      </c>
      <c r="CG131" s="31">
        <f>=IFERROR(CG130/CG128,0)</f>
        <v>0</v>
      </c>
      <c r="CH131" s="31">
        <f>=IFERROR(CH130/CH128,0)</f>
        <v>0</v>
      </c>
      <c r="CI131" s="31">
        <f>=IFERROR(CI130/CI128,0)</f>
        <v>0</v>
      </c>
      <c r="CJ131" s="31">
        <f>=IFERROR(CJ130/CJ128,0)</f>
        <v>0</v>
      </c>
      <c r="CK131" s="31">
        <f>=IFERROR(CK130/CK128,0)</f>
        <v>0</v>
      </c>
      <c r="CL131" s="31">
        <f>=IFERROR(CL130/CL128,0)</f>
        <v>0</v>
      </c>
      <c r="CM131" s="31">
        <f>=IFERROR(CM130/CM128,0)</f>
        <v>0</v>
      </c>
      <c r="CN131" s="31">
        <f>=IFERROR(CN130/CN128,0)</f>
        <v>0</v>
      </c>
      <c r="CO131" s="31">
        <f>=IFERROR(CO130/CO128,0)</f>
        <v>0</v>
      </c>
      <c r="CP131" s="31">
        <f>=IFERROR(CP130/CP128,0)</f>
        <v>0</v>
      </c>
      <c r="CQ131" s="31">
        <f>=IFERROR(CQ130/CQ128,0)</f>
        <v>0</v>
      </c>
      <c r="CR131" s="31">
        <f>=IFERROR(CR130/CR128,0)</f>
        <v>0</v>
      </c>
      <c r="CS131" s="31">
        <f>=IFERROR(CS130/CS128,0)</f>
        <v>0</v>
      </c>
      <c r="CT131" s="31">
        <f>=IFERROR(CT130/CT128,0)</f>
        <v>0</v>
      </c>
      <c r="CU131" s="31">
        <f>=IFERROR(CU130/CU128,0)</f>
        <v>0</v>
      </c>
      <c r="CV131" s="31">
        <f>=IFERROR(CV130/CV128,0)</f>
        <v>0</v>
      </c>
      <c r="CW131" s="31">
        <f>=IFERROR(CW130/CW128,0)</f>
        <v>0</v>
      </c>
      <c r="CX131" s="31">
        <f>=IFERROR(CX130/CX128,0)</f>
        <v>0</v>
      </c>
      <c r="CY131" s="31">
        <f>=IFERROR(CY130/CY128,0)</f>
        <v>0</v>
      </c>
      <c r="CZ131" s="31">
        <f>=IFERROR(CZ130/CZ128,0)</f>
        <v>0</v>
      </c>
      <c r="DA131" s="31">
        <f>=IFERROR(DA130/DA128,0)</f>
        <v>0</v>
      </c>
      <c r="DB131" s="31">
        <f>=IFERROR(DB130/DB128,0)</f>
        <v>0</v>
      </c>
    </row>
    <row r="132" spans="1:106" x14ac:dyDescent="0.25">
      <c r="A132" s="68" t="s">
        <v>350</v>
      </c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  <c r="AZ132" s="30"/>
      <c r="BA132" s="30"/>
      <c r="BB132" s="30"/>
      <c r="BC132" s="30"/>
      <c r="BD132" s="30"/>
      <c r="BE132" s="30"/>
      <c r="BF132" s="30"/>
      <c r="BG132" s="30"/>
      <c r="BH132" s="30"/>
      <c r="BI132" s="30"/>
      <c r="BJ132" s="30"/>
      <c r="BK132" s="30"/>
      <c r="BL132" s="30"/>
      <c r="BM132" s="30"/>
      <c r="BN132" s="30"/>
      <c r="BO132" s="30"/>
      <c r="BP132" s="30"/>
      <c r="BQ132" s="30"/>
      <c r="BR132" s="30"/>
      <c r="BS132" s="30"/>
      <c r="BT132" s="30"/>
      <c r="BU132" s="30"/>
      <c r="BV132" s="30"/>
      <c r="BW132" s="30"/>
      <c r="BX132" s="30"/>
      <c r="BY132" s="30"/>
      <c r="BZ132" s="30"/>
      <c r="CA132" s="30"/>
      <c r="CB132" s="30"/>
      <c r="CC132" s="30"/>
      <c r="CD132" s="30"/>
      <c r="CE132" s="30"/>
      <c r="CF132" s="30"/>
      <c r="CG132" s="30"/>
      <c r="CH132" s="30"/>
      <c r="CI132" s="30"/>
      <c r="CJ132" s="30"/>
      <c r="CK132" s="30"/>
      <c r="CL132" s="30"/>
      <c r="CM132" s="30"/>
      <c r="CN132" s="30"/>
      <c r="CO132" s="30"/>
      <c r="CP132" s="30"/>
      <c r="CQ132" s="30"/>
      <c r="CR132" s="30"/>
      <c r="CS132" s="30"/>
      <c r="CT132" s="30"/>
      <c r="CU132" s="30"/>
      <c r="CV132" s="30"/>
      <c r="CW132" s="30"/>
      <c r="CX132" s="30"/>
      <c r="CY132" s="30"/>
      <c r="CZ132" s="30"/>
      <c r="DA132" s="30"/>
      <c r="DB132" s="30"/>
    </row>
    <row r="133" ht="16" customHeight="1" spans="1:106" x14ac:dyDescent="0.25">
      <c r="A133" s="68" t="s">
        <v>351</v>
      </c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  <c r="AW133" s="30"/>
      <c r="AX133" s="30"/>
      <c r="AY133" s="30"/>
      <c r="AZ133" s="30"/>
      <c r="BA133" s="30"/>
      <c r="BB133" s="30"/>
      <c r="BC133" s="30"/>
      <c r="BD133" s="30"/>
      <c r="BE133" s="30"/>
      <c r="BF133" s="30"/>
      <c r="BG133" s="30"/>
      <c r="BH133" s="30"/>
      <c r="BI133" s="30"/>
      <c r="BJ133" s="30"/>
      <c r="BK133" s="30"/>
      <c r="BL133" s="30"/>
      <c r="BM133" s="30"/>
      <c r="BN133" s="30"/>
      <c r="BO133" s="30"/>
      <c r="BP133" s="30"/>
      <c r="BQ133" s="30"/>
      <c r="BR133" s="30"/>
      <c r="BS133" s="30"/>
      <c r="BT133" s="30"/>
      <c r="BU133" s="30"/>
      <c r="BV133" s="30"/>
      <c r="BW133" s="30"/>
      <c r="BX133" s="30"/>
      <c r="BY133" s="30"/>
      <c r="BZ133" s="30"/>
      <c r="CA133" s="30"/>
      <c r="CB133" s="30"/>
      <c r="CC133" s="30"/>
      <c r="CD133" s="30"/>
      <c r="CE133" s="30"/>
      <c r="CF133" s="30"/>
      <c r="CG133" s="30"/>
      <c r="CH133" s="30"/>
      <c r="CI133" s="30"/>
      <c r="CJ133" s="30"/>
      <c r="CK133" s="30"/>
      <c r="CL133" s="30"/>
      <c r="CM133" s="30"/>
      <c r="CN133" s="30"/>
      <c r="CO133" s="30"/>
      <c r="CP133" s="30"/>
      <c r="CQ133" s="30"/>
      <c r="CR133" s="30"/>
      <c r="CS133" s="30"/>
      <c r="CT133" s="30"/>
      <c r="CU133" s="30"/>
      <c r="CV133" s="30"/>
      <c r="CW133" s="30"/>
      <c r="CX133" s="30"/>
      <c r="CY133" s="30"/>
      <c r="CZ133" s="30"/>
      <c r="DA133" s="30"/>
      <c r="DB133" s="30"/>
    </row>
    <row r="134" ht="16" customHeight="1" spans="1:1" x14ac:dyDescent="0.25">
      <c r="A134" s="72" t="s">
        <v>263</v>
      </c>
    </row>
    <row r="135" ht="16" customHeight="1" spans="1:1" x14ac:dyDescent="0.25">
      <c r="A135" s="72" t="s">
        <v>264</v>
      </c>
    </row>
    <row r="136" ht="16" customHeight="1" spans="1:106" x14ac:dyDescent="0.25">
      <c r="A136" s="72" t="s">
        <v>265</v>
      </c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30"/>
      <c r="BD136" s="30"/>
      <c r="BE136" s="30"/>
      <c r="BF136" s="30"/>
      <c r="BG136" s="30"/>
      <c r="BH136" s="30"/>
      <c r="BI136" s="30"/>
      <c r="BJ136" s="30"/>
      <c r="BK136" s="30"/>
      <c r="BL136" s="30"/>
      <c r="BM136" s="30"/>
      <c r="BN136" s="30"/>
      <c r="BO136" s="30"/>
      <c r="BP136" s="30"/>
      <c r="BQ136" s="30"/>
      <c r="BR136" s="30"/>
      <c r="BS136" s="30"/>
      <c r="BT136" s="30"/>
      <c r="BU136" s="30"/>
      <c r="BV136" s="30"/>
      <c r="BW136" s="30"/>
      <c r="BX136" s="30"/>
      <c r="BY136" s="30"/>
      <c r="BZ136" s="30"/>
      <c r="CA136" s="30"/>
      <c r="CB136" s="30"/>
      <c r="CC136" s="30"/>
      <c r="CD136" s="30"/>
      <c r="CE136" s="30"/>
      <c r="CF136" s="30"/>
      <c r="CG136" s="30"/>
      <c r="CH136" s="30"/>
      <c r="CI136" s="30"/>
      <c r="CJ136" s="30"/>
      <c r="CK136" s="30"/>
      <c r="CL136" s="30"/>
      <c r="CM136" s="30"/>
      <c r="CN136" s="30"/>
      <c r="CO136" s="30"/>
      <c r="CP136" s="30"/>
      <c r="CQ136" s="30"/>
      <c r="CR136" s="30"/>
      <c r="CS136" s="30"/>
      <c r="CT136" s="30"/>
      <c r="CU136" s="30"/>
      <c r="CV136" s="30"/>
      <c r="CW136" s="30"/>
      <c r="CX136" s="30"/>
      <c r="CY136" s="30"/>
      <c r="CZ136" s="30"/>
      <c r="DA136" s="30"/>
      <c r="DB136" s="30"/>
    </row>
    <row r="137" ht="16" customHeight="1" spans="1:106" x14ac:dyDescent="0.25">
      <c r="A137" s="72" t="s">
        <v>266</v>
      </c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  <c r="BA137" s="30"/>
      <c r="BB137" s="30"/>
      <c r="BC137" s="30"/>
      <c r="BD137" s="30"/>
      <c r="BE137" s="30"/>
      <c r="BF137" s="30"/>
      <c r="BG137" s="30"/>
      <c r="BH137" s="30"/>
      <c r="BI137" s="30"/>
      <c r="BJ137" s="30"/>
      <c r="BK137" s="30"/>
      <c r="BL137" s="30"/>
      <c r="BM137" s="30"/>
      <c r="BN137" s="30"/>
      <c r="BO137" s="30"/>
      <c r="BP137" s="30"/>
      <c r="BQ137" s="30"/>
      <c r="BR137" s="30"/>
      <c r="BS137" s="30"/>
      <c r="BT137" s="30"/>
      <c r="BU137" s="30"/>
      <c r="BV137" s="30"/>
      <c r="BW137" s="30"/>
      <c r="BX137" s="30"/>
      <c r="BY137" s="30"/>
      <c r="BZ137" s="30"/>
      <c r="CA137" s="30"/>
      <c r="CB137" s="30"/>
      <c r="CC137" s="30"/>
      <c r="CD137" s="30"/>
      <c r="CE137" s="30"/>
      <c r="CF137" s="30"/>
      <c r="CG137" s="30"/>
      <c r="CH137" s="30"/>
      <c r="CI137" s="30"/>
      <c r="CJ137" s="30"/>
      <c r="CK137" s="30"/>
      <c r="CL137" s="30"/>
      <c r="CM137" s="30"/>
      <c r="CN137" s="30"/>
      <c r="CO137" s="30"/>
      <c r="CP137" s="30"/>
      <c r="CQ137" s="30"/>
      <c r="CR137" s="30"/>
      <c r="CS137" s="30"/>
      <c r="CT137" s="30"/>
      <c r="CU137" s="30"/>
      <c r="CV137" s="30"/>
      <c r="CW137" s="30"/>
      <c r="CX137" s="30"/>
      <c r="CY137" s="30"/>
      <c r="CZ137" s="30"/>
      <c r="DA137" s="30"/>
      <c r="DB137" s="30"/>
    </row>
    <row r="138" ht="16" customHeight="1" spans="1:106" x14ac:dyDescent="0.25">
      <c r="A138" s="68" t="s">
        <v>352</v>
      </c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  <c r="BA138" s="30"/>
      <c r="BB138" s="30"/>
      <c r="BC138" s="30"/>
      <c r="BD138" s="30"/>
      <c r="BE138" s="30"/>
      <c r="BF138" s="30"/>
      <c r="BG138" s="30"/>
      <c r="BH138" s="30"/>
      <c r="BI138" s="30"/>
      <c r="BJ138" s="30"/>
      <c r="BK138" s="30"/>
      <c r="BL138" s="30"/>
      <c r="BM138" s="30"/>
      <c r="BN138" s="30"/>
      <c r="BO138" s="30"/>
      <c r="BP138" s="30"/>
      <c r="BQ138" s="30"/>
      <c r="BR138" s="30"/>
      <c r="BS138" s="30"/>
      <c r="BT138" s="30"/>
      <c r="BU138" s="30"/>
      <c r="BV138" s="30"/>
      <c r="BW138" s="30"/>
      <c r="BX138" s="30"/>
      <c r="BY138" s="30"/>
      <c r="BZ138" s="30"/>
      <c r="CA138" s="30"/>
      <c r="CB138" s="30"/>
      <c r="CC138" s="30"/>
      <c r="CD138" s="30"/>
      <c r="CE138" s="30"/>
      <c r="CF138" s="30"/>
      <c r="CG138" s="30"/>
      <c r="CH138" s="30"/>
      <c r="CI138" s="30"/>
      <c r="CJ138" s="30"/>
      <c r="CK138" s="30"/>
      <c r="CL138" s="30"/>
      <c r="CM138" s="30"/>
      <c r="CN138" s="30"/>
      <c r="CO138" s="30"/>
      <c r="CP138" s="30"/>
      <c r="CQ138" s="30"/>
      <c r="CR138" s="30"/>
      <c r="CS138" s="30"/>
      <c r="CT138" s="30"/>
      <c r="CU138" s="30"/>
      <c r="CV138" s="30"/>
      <c r="CW138" s="30"/>
      <c r="CX138" s="30"/>
      <c r="CY138" s="30"/>
      <c r="CZ138" s="30"/>
      <c r="DA138" s="30"/>
      <c r="DB138" s="30"/>
    </row>
    <row r="139" ht="18" customHeight="1" spans="1:106" x14ac:dyDescent="0.25">
      <c r="A139" s="36" t="s">
        <v>268</v>
      </c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  <c r="BA139" s="30"/>
      <c r="BB139" s="30"/>
      <c r="BC139" s="30"/>
      <c r="BD139" s="30"/>
      <c r="BE139" s="30"/>
      <c r="BF139" s="30"/>
      <c r="BG139" s="30"/>
      <c r="BH139" s="30"/>
      <c r="BI139" s="30"/>
      <c r="BJ139" s="30"/>
      <c r="BK139" s="30"/>
      <c r="BL139" s="30"/>
      <c r="BM139" s="30"/>
      <c r="BN139" s="30"/>
      <c r="BO139" s="30"/>
      <c r="BP139" s="30"/>
      <c r="BQ139" s="30"/>
      <c r="BR139" s="30"/>
      <c r="BS139" s="30"/>
      <c r="BT139" s="30"/>
      <c r="BU139" s="30"/>
      <c r="BV139" s="30"/>
      <c r="BW139" s="30"/>
      <c r="BX139" s="30"/>
      <c r="BY139" s="30"/>
      <c r="BZ139" s="30"/>
      <c r="CA139" s="30"/>
      <c r="CB139" s="30"/>
      <c r="CC139" s="30"/>
      <c r="CD139" s="30"/>
      <c r="CE139" s="30"/>
      <c r="CF139" s="30"/>
      <c r="CG139" s="30"/>
      <c r="CH139" s="30"/>
      <c r="CI139" s="30"/>
      <c r="CJ139" s="30"/>
      <c r="CK139" s="30"/>
      <c r="CL139" s="30"/>
      <c r="CM139" s="30"/>
      <c r="CN139" s="30"/>
      <c r="CO139" s="30"/>
      <c r="CP139" s="30"/>
      <c r="CQ139" s="30"/>
      <c r="CR139" s="30"/>
      <c r="CS139" s="30"/>
      <c r="CT139" s="30"/>
      <c r="CU139" s="30"/>
      <c r="CV139" s="30"/>
      <c r="CW139" s="30"/>
      <c r="CX139" s="30"/>
      <c r="CY139" s="30"/>
      <c r="CZ139" s="30"/>
      <c r="DA139" s="30"/>
      <c r="DB139" s="30"/>
    </row>
    <row r="140" ht="18" customHeight="1" spans="1:106" x14ac:dyDescent="0.25">
      <c r="A140" s="36" t="s">
        <v>269</v>
      </c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  <c r="BA140" s="30"/>
      <c r="BB140" s="30"/>
      <c r="BC140" s="30"/>
      <c r="BD140" s="30"/>
      <c r="BE140" s="30"/>
      <c r="BF140" s="30"/>
      <c r="BG140" s="30"/>
      <c r="BH140" s="30"/>
      <c r="BI140" s="30"/>
      <c r="BJ140" s="30"/>
      <c r="BK140" s="30"/>
      <c r="BL140" s="30"/>
      <c r="BM140" s="30"/>
      <c r="BN140" s="30"/>
      <c r="BO140" s="30"/>
      <c r="BP140" s="30"/>
      <c r="BQ140" s="30"/>
      <c r="BR140" s="30"/>
      <c r="BS140" s="30"/>
      <c r="BT140" s="30"/>
      <c r="BU140" s="30"/>
      <c r="BV140" s="30"/>
      <c r="BW140" s="30"/>
      <c r="BX140" s="30"/>
      <c r="BY140" s="30"/>
      <c r="BZ140" s="30"/>
      <c r="CA140" s="30"/>
      <c r="CB140" s="30"/>
      <c r="CC140" s="30"/>
      <c r="CD140" s="30"/>
      <c r="CE140" s="30"/>
      <c r="CF140" s="30"/>
      <c r="CG140" s="30"/>
      <c r="CH140" s="30"/>
      <c r="CI140" s="30"/>
      <c r="CJ140" s="30"/>
      <c r="CK140" s="30"/>
      <c r="CL140" s="30"/>
      <c r="CM140" s="30"/>
      <c r="CN140" s="30"/>
      <c r="CO140" s="30"/>
      <c r="CP140" s="30"/>
      <c r="CQ140" s="30"/>
      <c r="CR140" s="30"/>
      <c r="CS140" s="30"/>
      <c r="CT140" s="30"/>
      <c r="CU140" s="30"/>
      <c r="CV140" s="30"/>
      <c r="CW140" s="30"/>
      <c r="CX140" s="30"/>
      <c r="CY140" s="30"/>
      <c r="CZ140" s="30"/>
      <c r="DA140" s="30"/>
      <c r="DB140" s="30"/>
    </row>
    <row r="141" ht="18" customHeight="1" spans="1:106" x14ac:dyDescent="0.25">
      <c r="A141" s="36" t="s">
        <v>288</v>
      </c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  <c r="BA141" s="30"/>
      <c r="BB141" s="30"/>
      <c r="BC141" s="30"/>
      <c r="BD141" s="30"/>
      <c r="BE141" s="30"/>
      <c r="BF141" s="30"/>
      <c r="BG141" s="30"/>
      <c r="BH141" s="30"/>
      <c r="BI141" s="30"/>
      <c r="BJ141" s="30"/>
      <c r="BK141" s="30"/>
      <c r="BL141" s="30"/>
      <c r="BM141" s="30"/>
      <c r="BN141" s="30"/>
      <c r="BO141" s="30"/>
      <c r="BP141" s="30"/>
      <c r="BQ141" s="30"/>
      <c r="BR141" s="30"/>
      <c r="BS141" s="30"/>
      <c r="BT141" s="30"/>
      <c r="BU141" s="30"/>
      <c r="BV141" s="30"/>
      <c r="BW141" s="30"/>
      <c r="BX141" s="30"/>
      <c r="BY141" s="30"/>
      <c r="BZ141" s="30"/>
      <c r="CA141" s="30"/>
      <c r="CB141" s="30"/>
      <c r="CC141" s="30"/>
      <c r="CD141" s="30"/>
      <c r="CE141" s="30"/>
      <c r="CF141" s="30"/>
      <c r="CG141" s="30"/>
      <c r="CH141" s="30"/>
      <c r="CI141" s="30"/>
      <c r="CJ141" s="30"/>
      <c r="CK141" s="30"/>
      <c r="CL141" s="30"/>
      <c r="CM141" s="30"/>
      <c r="CN141" s="30"/>
      <c r="CO141" s="30"/>
      <c r="CP141" s="30"/>
      <c r="CQ141" s="30"/>
      <c r="CR141" s="30"/>
      <c r="CS141" s="30"/>
      <c r="CT141" s="30"/>
      <c r="CU141" s="30"/>
      <c r="CV141" s="30"/>
      <c r="CW141" s="30"/>
      <c r="CX141" s="30"/>
      <c r="CY141" s="30"/>
      <c r="CZ141" s="30"/>
      <c r="DA141" s="30"/>
      <c r="DB141" s="30"/>
    </row>
    <row r="142" ht="18" customHeight="1" spans="1:1" x14ac:dyDescent="0.25">
      <c r="A142" s="36" t="s">
        <v>272</v>
      </c>
    </row>
    <row r="143" ht="18" customHeight="1" spans="1:1" x14ac:dyDescent="0.25">
      <c r="A143" s="36" t="s">
        <v>289</v>
      </c>
    </row>
    <row r="144" ht="18" customHeight="1" spans="1:106" x14ac:dyDescent="0.25">
      <c r="A144" s="36" t="s">
        <v>271</v>
      </c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  <c r="AV144" s="30"/>
      <c r="AW144" s="30"/>
      <c r="AX144" s="30"/>
      <c r="AY144" s="30"/>
      <c r="AZ144" s="30"/>
      <c r="BA144" s="30"/>
      <c r="BB144" s="30"/>
      <c r="BC144" s="30"/>
      <c r="BD144" s="30"/>
      <c r="BE144" s="30"/>
      <c r="BF144" s="30"/>
      <c r="BG144" s="30"/>
      <c r="BH144" s="30"/>
      <c r="BI144" s="30"/>
      <c r="BJ144" s="30"/>
      <c r="BK144" s="30"/>
      <c r="BL144" s="30"/>
      <c r="BM144" s="30"/>
      <c r="BN144" s="30"/>
      <c r="BO144" s="30"/>
      <c r="BP144" s="30"/>
      <c r="BQ144" s="30"/>
      <c r="BR144" s="30"/>
      <c r="BS144" s="30"/>
      <c r="BT144" s="30"/>
      <c r="BU144" s="30"/>
      <c r="BV144" s="30"/>
      <c r="BW144" s="30"/>
      <c r="BX144" s="30"/>
      <c r="BY144" s="30"/>
      <c r="BZ144" s="30"/>
      <c r="CA144" s="30"/>
      <c r="CB144" s="30"/>
      <c r="CC144" s="30"/>
      <c r="CD144" s="30"/>
      <c r="CE144" s="30"/>
      <c r="CF144" s="30"/>
      <c r="CG144" s="30"/>
      <c r="CH144" s="30"/>
      <c r="CI144" s="30"/>
      <c r="CJ144" s="30"/>
      <c r="CK144" s="30"/>
      <c r="CL144" s="30"/>
      <c r="CM144" s="30"/>
      <c r="CN144" s="30"/>
      <c r="CO144" s="30"/>
      <c r="CP144" s="30"/>
      <c r="CQ144" s="30"/>
      <c r="CR144" s="30"/>
      <c r="CS144" s="30"/>
      <c r="CT144" s="30"/>
      <c r="CU144" s="30"/>
      <c r="CV144" s="30"/>
      <c r="CW144" s="30"/>
      <c r="CX144" s="30"/>
      <c r="CY144" s="30"/>
      <c r="CZ144" s="30"/>
      <c r="DA144" s="30"/>
      <c r="DB144" s="30"/>
    </row>
    <row r="145" spans="3:106" x14ac:dyDescent="0.25"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30"/>
      <c r="BI145" s="30"/>
      <c r="BJ145" s="30"/>
      <c r="BK145" s="30"/>
      <c r="BL145" s="30"/>
      <c r="BM145" s="30"/>
      <c r="BN145" s="30"/>
      <c r="BO145" s="30"/>
      <c r="BP145" s="30"/>
      <c r="BQ145" s="30"/>
      <c r="BR145" s="30"/>
      <c r="BS145" s="30"/>
      <c r="BT145" s="30"/>
      <c r="BU145" s="30"/>
      <c r="BV145" s="30"/>
      <c r="BW145" s="30"/>
      <c r="BX145" s="30"/>
      <c r="BY145" s="30"/>
      <c r="BZ145" s="30"/>
      <c r="CA145" s="30"/>
      <c r="CB145" s="30"/>
      <c r="CC145" s="30"/>
      <c r="CD145" s="30"/>
      <c r="CE145" s="30"/>
      <c r="CF145" s="30"/>
      <c r="CG145" s="30"/>
      <c r="CH145" s="30"/>
      <c r="CI145" s="30"/>
      <c r="CJ145" s="30"/>
      <c r="CK145" s="30"/>
      <c r="CL145" s="30"/>
      <c r="CM145" s="30"/>
      <c r="CN145" s="30"/>
      <c r="CO145" s="30"/>
      <c r="CP145" s="30"/>
      <c r="CQ145" s="30"/>
      <c r="CR145" s="30"/>
      <c r="CS145" s="30"/>
      <c r="CT145" s="30"/>
      <c r="CU145" s="30"/>
      <c r="CV145" s="30"/>
      <c r="CW145" s="30"/>
      <c r="CX145" s="30"/>
      <c r="CY145" s="30"/>
      <c r="CZ145" s="30"/>
      <c r="DA145" s="30"/>
      <c r="DB145" s="30"/>
    </row>
    <row r="146" spans="1:106" x14ac:dyDescent="0.25">
      <c r="A146" s="9" t="s">
        <v>353</v>
      </c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  <c r="BD146" s="30"/>
      <c r="BE146" s="30"/>
      <c r="BF146" s="30"/>
      <c r="BG146" s="30"/>
      <c r="BH146" s="30"/>
      <c r="BI146" s="30"/>
      <c r="BJ146" s="30"/>
      <c r="BK146" s="30"/>
      <c r="BL146" s="30"/>
      <c r="BM146" s="30"/>
      <c r="BN146" s="30"/>
      <c r="BO146" s="30"/>
      <c r="BP146" s="30"/>
      <c r="BQ146" s="30"/>
      <c r="BR146" s="30"/>
      <c r="BS146" s="30"/>
      <c r="BT146" s="30"/>
      <c r="BU146" s="30"/>
      <c r="BV146" s="30"/>
      <c r="BW146" s="30"/>
      <c r="BX146" s="30"/>
      <c r="BY146" s="30"/>
      <c r="BZ146" s="30"/>
      <c r="CA146" s="30"/>
      <c r="CB146" s="30"/>
      <c r="CC146" s="30"/>
      <c r="CD146" s="30"/>
      <c r="CE146" s="30"/>
      <c r="CF146" s="30"/>
      <c r="CG146" s="30"/>
      <c r="CH146" s="30"/>
      <c r="CI146" s="30"/>
      <c r="CJ146" s="30"/>
      <c r="CK146" s="30"/>
      <c r="CL146" s="30"/>
      <c r="CM146" s="30"/>
      <c r="CN146" s="30"/>
      <c r="CO146" s="30"/>
      <c r="CP146" s="30"/>
      <c r="CQ146" s="30"/>
      <c r="CR146" s="30"/>
      <c r="CS146" s="30"/>
      <c r="CT146" s="30"/>
      <c r="CU146" s="30"/>
      <c r="CV146" s="30"/>
      <c r="CW146" s="30"/>
      <c r="CX146" s="30"/>
      <c r="CY146" s="30"/>
      <c r="CZ146" s="30"/>
      <c r="DA146" s="30"/>
      <c r="DB146" s="30"/>
    </row>
    <row r="147" ht="14" customHeight="1" spans="1:106" x14ac:dyDescent="0.25">
      <c r="A147" s="33" t="s">
        <v>354</v>
      </c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30"/>
      <c r="BI147" s="30"/>
      <c r="BJ147" s="30"/>
      <c r="BK147" s="30"/>
      <c r="BL147" s="30"/>
      <c r="BM147" s="30"/>
      <c r="BN147" s="30"/>
      <c r="BO147" s="30"/>
      <c r="BP147" s="30"/>
      <c r="BQ147" s="30"/>
      <c r="BR147" s="30"/>
      <c r="BS147" s="30"/>
      <c r="BT147" s="30"/>
      <c r="BU147" s="30"/>
      <c r="BV147" s="30"/>
      <c r="BW147" s="30"/>
      <c r="BX147" s="30"/>
      <c r="BY147" s="30"/>
      <c r="BZ147" s="30"/>
      <c r="CA147" s="30"/>
      <c r="CB147" s="30"/>
      <c r="CC147" s="30"/>
      <c r="CD147" s="30"/>
      <c r="CE147" s="30"/>
      <c r="CF147" s="30"/>
      <c r="CG147" s="30"/>
      <c r="CH147" s="30"/>
      <c r="CI147" s="30"/>
      <c r="CJ147" s="30"/>
      <c r="CK147" s="30"/>
      <c r="CL147" s="30"/>
      <c r="CM147" s="30"/>
      <c r="CN147" s="30"/>
      <c r="CO147" s="30"/>
      <c r="CP147" s="30"/>
      <c r="CQ147" s="30"/>
      <c r="CR147" s="30"/>
      <c r="CS147" s="30"/>
      <c r="CT147" s="30"/>
      <c r="CU147" s="30"/>
      <c r="CV147" s="30"/>
      <c r="CW147" s="30"/>
      <c r="CX147" s="30"/>
      <c r="CY147" s="30"/>
      <c r="CZ147" s="30"/>
      <c r="DA147" s="30"/>
      <c r="DB147" s="30"/>
    </row>
    <row r="148" spans="1:106" x14ac:dyDescent="0.25">
      <c r="A148" s="17" t="s">
        <v>355</v>
      </c>
      <c r="B148" s="17">
        <v>15</v>
      </c>
      <c r="C148" s="46">
        <f>=IFERROR(ROUND((C19+C23)/$B148,0),0)</f>
        <v>0</v>
      </c>
      <c r="D148" s="46">
        <f>=IFERROR(ROUND((D19+D23)/$B148,0),0)</f>
        <v>0</v>
      </c>
      <c r="E148" s="46">
        <f>=IFERROR(ROUND((E19+E23)/$B148,0),0)</f>
        <v>0</v>
      </c>
      <c r="F148" s="46">
        <f>=IFERROR(ROUND((F19+F23)/$B148,0),0)</f>
        <v>0</v>
      </c>
      <c r="G148" s="46">
        <f>=IFERROR(ROUND((G19+G23)/$B148,0),0)</f>
        <v>0</v>
      </c>
      <c r="H148" s="46">
        <f>=IFERROR(ROUND((H19+H23)/$B148,0),0)</f>
        <v>0</v>
      </c>
      <c r="I148" s="46">
        <f>=IFERROR(ROUND((I19+I23)/$B148,0),0)</f>
        <v>0</v>
      </c>
      <c r="J148" s="46">
        <f>=IFERROR(ROUND((J19+J23)/$B148,0),0)</f>
        <v>0</v>
      </c>
      <c r="K148" s="46">
        <f>=IFERROR(ROUND((K19+K23)/$B148,0),0)</f>
        <v>0</v>
      </c>
      <c r="L148" s="46">
        <f>=IFERROR(ROUND((L19+L23)/$B148,0),0)</f>
        <v>0</v>
      </c>
      <c r="M148" s="46">
        <f>=IFERROR(ROUND((M19+M23)/$B148,0),0)</f>
        <v>0</v>
      </c>
      <c r="N148" s="46">
        <f>=IFERROR(ROUND((N19+N23)/$B148,0),0)</f>
        <v>0</v>
      </c>
      <c r="O148" s="46">
        <f>=IFERROR(ROUND((O19+O23)/$B148,0),0)</f>
        <v>0</v>
      </c>
      <c r="P148" s="46">
        <f>=IFERROR(ROUND((P19+P23)/$B148,0),0)</f>
        <v>0</v>
      </c>
      <c r="Q148" s="46">
        <f>=IFERROR(ROUND((Q19+Q23)/$B148,0),0)</f>
        <v>0</v>
      </c>
      <c r="R148" s="46">
        <f>=IFERROR(ROUND((R19+R23)/$B148,0),0)</f>
        <v>0</v>
      </c>
      <c r="S148" s="46">
        <f>=IFERROR(ROUND((S19+S23)/$B148,0),0)</f>
        <v>0</v>
      </c>
      <c r="T148" s="46">
        <f>=IFERROR(ROUND((T19+T23)/$B148,0),0)</f>
        <v>0</v>
      </c>
      <c r="U148" s="46">
        <f>=IFERROR(ROUND((U19+U23)/$B148,0),0)</f>
        <v>0</v>
      </c>
      <c r="V148" s="46">
        <f>=IFERROR(ROUND((V19+V23)/$B148,0),0)</f>
        <v>0</v>
      </c>
      <c r="W148" s="46">
        <f>=IFERROR(ROUND((W19+W23)/$B148,0),0)</f>
        <v>0</v>
      </c>
      <c r="X148" s="46">
        <f>=IFERROR(ROUND((X19+X23)/$B148,0),0)</f>
        <v>0</v>
      </c>
      <c r="Y148" s="46">
        <f>=IFERROR(ROUND((Y19+Y23)/$B148,0),0)</f>
        <v>0</v>
      </c>
      <c r="Z148" s="46">
        <f>=IFERROR(ROUND((Z19+Z23)/$B148,0),0)</f>
        <v>0</v>
      </c>
      <c r="AA148" s="46">
        <f>=IFERROR(ROUND((AA19+AA23)/$B148,0),0)</f>
        <v>0</v>
      </c>
      <c r="AB148" s="46">
        <f>=IFERROR(ROUND((AB19+AB23)/$B148,0),0)</f>
        <v>0</v>
      </c>
      <c r="AC148" s="46">
        <f>=IFERROR(ROUND((AC19+AC23)/$B148,0),0)</f>
        <v>0</v>
      </c>
      <c r="AD148" s="46">
        <f>=IFERROR(ROUND((AD19+AD23)/$B148,0),0)</f>
        <v>0</v>
      </c>
      <c r="AE148" s="46">
        <f>=IFERROR(ROUND((AE19+AE23)/$B148,0),0)</f>
        <v>0</v>
      </c>
      <c r="AF148" s="46">
        <f>=IFERROR(ROUND((AF19+AF23)/$B148,0),0)</f>
        <v>1</v>
      </c>
      <c r="AG148" s="46">
        <f>=IFERROR(ROUND((AG19+AG23)/$B148,0),0)</f>
        <v>1</v>
      </c>
      <c r="AH148" s="46">
        <f>=IFERROR(ROUND((AH19+AH23)/$B148,0),0)</f>
        <v>0</v>
      </c>
      <c r="AI148" s="46">
        <f>=IFERROR(ROUND((AI19+AI23)/$B148,0),0)</f>
        <v>0</v>
      </c>
      <c r="AJ148" s="46">
        <f>=IFERROR(ROUND((AJ19+AJ23)/$B148,0),0)</f>
        <v>0</v>
      </c>
      <c r="AK148" s="46">
        <f>=IFERROR(ROUND((AK19+AK23)/$B148,0),0)</f>
        <v>0</v>
      </c>
      <c r="AL148" s="46">
        <f>=IFERROR(ROUND((AL19+AL23)/$B148,0),0)</f>
        <v>1</v>
      </c>
      <c r="AM148" s="46">
        <f>=IFERROR(ROUND((AM19+AM23)/$B148,0),0)</f>
        <v>1</v>
      </c>
      <c r="AN148" s="46">
        <f>=IFERROR(ROUND((AN19+AN23)/$B148,0),0)</f>
        <v>1</v>
      </c>
      <c r="AO148" s="46">
        <f>=IFERROR(ROUND((AO19+AO23)/$B148,0),0)</f>
        <v>1</v>
      </c>
      <c r="AP148" s="46">
        <f>=IFERROR(ROUND((AP19+AP23)/$B148,0),0)</f>
        <v>1</v>
      </c>
      <c r="AQ148" s="46">
        <f>=IFERROR(ROUND((AQ19+AQ23)/$B148,0),0)</f>
        <v>1</v>
      </c>
      <c r="AR148" s="46">
        <f>=IFERROR(ROUND((AR19+AR23)/$B148,0),0)</f>
        <v>1</v>
      </c>
      <c r="AS148" s="46">
        <f>=IFERROR(ROUND((AS19+AS23)/$B148,0),0)</f>
        <v>0</v>
      </c>
      <c r="AT148" s="46">
        <f>=IFERROR(ROUND((AT19+AT23)/$B148,0),0)</f>
        <v>0</v>
      </c>
      <c r="AU148" s="46">
        <f>=IFERROR(ROUND((AU19+AU23)/$B148,0),0)</f>
        <v>0</v>
      </c>
      <c r="AV148" s="46">
        <f>=IFERROR(ROUND((AV19+AV23)/$B148,0),0)</f>
        <v>0</v>
      </c>
      <c r="AW148" s="46">
        <f>=IFERROR(ROUND((AW19+AW23)/$B148,0),0)</f>
        <v>0</v>
      </c>
      <c r="AX148" s="46">
        <f>=IFERROR(ROUND((AX19+AX23)/$B148,0),0)</f>
        <v>0</v>
      </c>
      <c r="AY148" s="46">
        <f>=IFERROR(ROUND((AY19+AY23)/$B148,0),0)</f>
        <v>0</v>
      </c>
      <c r="AZ148" s="46">
        <f>=IFERROR(ROUND((AZ19+AZ23)/$B148,0),0)</f>
        <v>0</v>
      </c>
      <c r="BA148" s="46">
        <f>=IFERROR(ROUND((BA19+BA23)/$B148,0),0)</f>
        <v>0</v>
      </c>
      <c r="BB148" s="46">
        <f>=IFERROR(ROUND((BB19+BB23)/$B148,0),0)</f>
        <v>0</v>
      </c>
      <c r="BC148" s="46">
        <f>=IFERROR(ROUND((BC19+BC23)/$B148,0),0)</f>
        <v>0</v>
      </c>
      <c r="BD148" s="73">
        <f>=IFERROR(ROUND((BD19+BD23)/$B148,0),0)</f>
        <v>0</v>
      </c>
      <c r="BE148" s="46">
        <f>=IFERROR(ROUND((BE19+BE23)/$B148,0),0)</f>
        <v>0</v>
      </c>
      <c r="BF148" s="46">
        <f>=IFERROR(ROUND((BF19+BF23)/$B148,0),0)</f>
        <v>0</v>
      </c>
      <c r="BG148" s="46">
        <f>=IFERROR(ROUND((BG19+BG23)/$B148,0),0)</f>
        <v>0</v>
      </c>
      <c r="BH148" s="46">
        <f>=IFERROR(ROUND((BH19+BH23)/$B148,0),0)</f>
        <v>0</v>
      </c>
      <c r="BI148" s="46">
        <f>=IFERROR(ROUND((BI19+BI23)/$B148,0),0)</f>
        <v>0</v>
      </c>
      <c r="BJ148" s="46">
        <f>=IFERROR(ROUND((BJ19+BJ23)/$B148,0),0)</f>
        <v>0</v>
      </c>
      <c r="BK148" s="46">
        <f>=IFERROR(ROUND((BK19+BK23)/$B148,0),0)</f>
        <v>0</v>
      </c>
      <c r="BL148" s="73">
        <f>=IFERROR(ROUND((BL19+BL23)/$B148,0),0)</f>
        <v>0</v>
      </c>
      <c r="BM148" s="46">
        <f>=IFERROR(ROUND((BM19+BM23)/$B148,0),0)</f>
        <v>0</v>
      </c>
      <c r="BN148" s="46">
        <f>=IFERROR(ROUND((BN19+BN23)/$B148,0),0)</f>
        <v>0</v>
      </c>
      <c r="BO148" s="46">
        <f>=IFERROR(ROUND((BO19+BO23)/$B148,0),0)</f>
        <v>0</v>
      </c>
      <c r="BP148" s="46">
        <f>=IFERROR(ROUND((BP19+BP23)/$B148,0),0)</f>
        <v>0</v>
      </c>
      <c r="BQ148" s="46">
        <f>=IFERROR(ROUND((BQ19+BQ23)/$B148,0),0)</f>
        <v>0</v>
      </c>
      <c r="BR148" s="46">
        <f>=IFERROR(ROUND((BR19+BR23)/$B148,0),0)</f>
        <v>0</v>
      </c>
      <c r="BS148" s="46">
        <f>=IFERROR(ROUND((BS19+BS23)/$B148,0),0)</f>
        <v>0</v>
      </c>
      <c r="BT148" s="46">
        <f>=IFERROR(ROUND((BT19+BT23)/$B148,0),0)</f>
        <v>0</v>
      </c>
      <c r="BU148" s="46">
        <f>=IFERROR(ROUND((BU19+BU23)/$B148,0),0)</f>
        <v>0</v>
      </c>
      <c r="BV148" s="46">
        <f>=IFERROR(ROUND((BV19+BV23)/$B148,0),0)</f>
        <v>0</v>
      </c>
      <c r="BW148" s="46">
        <f>=IFERROR(ROUND((BW19+BW23)/$B148,0),0)</f>
        <v>0</v>
      </c>
      <c r="BX148" s="46">
        <f>=IFERROR(ROUND((BX19+BX23)/$B148,0),0)</f>
        <v>0</v>
      </c>
      <c r="BY148" s="73">
        <f>=IFERROR(ROUND((BY19+BY23)/$B148,0),0)</f>
        <v>0</v>
      </c>
      <c r="BZ148" s="46">
        <f>=IFERROR(ROUND((BZ19+BZ23)/$B148,0),0)</f>
        <v>0</v>
      </c>
      <c r="CA148" s="46">
        <f>=IFERROR(ROUND((CA19+CA23)/$B148,0),0)</f>
        <v>0</v>
      </c>
      <c r="CB148" s="46">
        <f>=IFERROR(ROUND((CB19+CB23)/$B148,0),0)</f>
        <v>0</v>
      </c>
      <c r="CC148" s="46">
        <f>=IFERROR(ROUND((CC19+CC23)/$B148,0),0)</f>
        <v>0</v>
      </c>
      <c r="CD148" s="46">
        <f>=IFERROR(ROUND((CD19+CD23)/$B148,0),0)</f>
        <v>0</v>
      </c>
      <c r="CE148" s="46">
        <f>=IFERROR(ROUND((CE19+CE23)/$B148,0),0)</f>
        <v>0</v>
      </c>
      <c r="CF148" s="46">
        <f>=IFERROR(ROUND((CF19+CF23)/$B148,0),0)</f>
        <v>0</v>
      </c>
      <c r="CG148" s="46">
        <f>=IFERROR(ROUND((CG19+CG23)/$B148,0),0)</f>
        <v>0</v>
      </c>
      <c r="CH148" s="46">
        <f>=IFERROR(ROUND((CH19+CH23)/$B148,0),0)</f>
        <v>0</v>
      </c>
      <c r="CI148" s="46">
        <f>=IFERROR(ROUND((CI19+CI23)/$B148,0),0)</f>
        <v>0</v>
      </c>
      <c r="CJ148" s="46">
        <f>=IFERROR(ROUND((CJ19+CJ23)/$B148,0),0)</f>
        <v>0</v>
      </c>
      <c r="CK148" s="46">
        <f>=IFERROR(ROUND((CK19+CK23)/$B148,0),0)</f>
        <v>0</v>
      </c>
      <c r="CL148" s="46">
        <f>=IFERROR(ROUND((CL19+CL23)/$B148,0),0)</f>
        <v>0</v>
      </c>
      <c r="CM148" s="46">
        <f>=IFERROR(ROUND((CM19+CM23)/$B148,0),0)</f>
        <v>0</v>
      </c>
      <c r="CN148" s="46">
        <f>=IFERROR(ROUND((CN19+CN23)/$B148,0),0)</f>
        <v>0</v>
      </c>
      <c r="CO148" s="46">
        <f>=IFERROR(ROUND((CO19+CO23)/$B148,0),0)</f>
        <v>0</v>
      </c>
      <c r="CP148" s="46">
        <f>=IFERROR(ROUND((CP19+CP23)/$B148,0),0)</f>
        <v>0</v>
      </c>
      <c r="CQ148" s="46">
        <f>=IFERROR(ROUND((CQ19+CQ23)/$B148,0),0)</f>
        <v>0</v>
      </c>
      <c r="CR148" s="46">
        <f>=IFERROR(ROUND((CR19+CR23)/$B148,0),0)</f>
        <v>0</v>
      </c>
      <c r="CS148" s="46">
        <f>=IFERROR(ROUND((CS19+CS23)/$B148,0),0)</f>
        <v>0</v>
      </c>
      <c r="CT148" s="73">
        <f>=IFERROR(ROUND((CT19+CT23)/$B148,0),0)</f>
        <v>0</v>
      </c>
      <c r="CU148" s="46">
        <f>=IFERROR(ROUND((CU19+CU23)/$B148,0),0)</f>
        <v>0</v>
      </c>
      <c r="CV148" s="46">
        <f>=IFERROR(ROUND((CV19+CV23)/$B148,0),0)</f>
        <v>0</v>
      </c>
      <c r="CW148" s="73">
        <f>=IFERROR(ROUND((CW19+CW23)/$B148,0),0)</f>
        <v>0</v>
      </c>
      <c r="CX148" s="73">
        <f>=IFERROR(ROUND((CX19+CX23)/$B148,0),0)</f>
        <v>0</v>
      </c>
      <c r="CY148" s="46">
        <f>=IFERROR(ROUND((CY19+CY23)/$B148,0),0)</f>
        <v>0</v>
      </c>
      <c r="CZ148" s="46">
        <f>=IFERROR(ROUND((CZ19+CZ23)/$B148,0),0)</f>
        <v>0</v>
      </c>
      <c r="DA148" s="46">
        <f>=IFERROR(ROUND((DA19+DA23)/$B148,0),0)</f>
        <v>0</v>
      </c>
      <c r="DB148" s="46">
        <f>=IFERROR(ROUND((DB19+DB23)/$B148,0),0)</f>
        <v>0</v>
      </c>
    </row>
    <row r="149" spans="1:106" x14ac:dyDescent="0.25">
      <c r="A149" s="17" t="s">
        <v>356</v>
      </c>
      <c r="B149" s="17">
        <v>15</v>
      </c>
      <c r="C149" s="46">
        <f>=IFERROR(ROUND((C21+C22)/$B149,0),0)</f>
        <v>0</v>
      </c>
      <c r="D149" s="46">
        <f>=IFERROR(ROUND((D21+D22)/$B149,0),0)</f>
        <v>0</v>
      </c>
      <c r="E149" s="46">
        <f>=IFERROR(ROUND((E21+E22)/$B149,0),0)</f>
        <v>0</v>
      </c>
      <c r="F149" s="46">
        <f>=IFERROR(ROUND((F21+F22)/$B149,0),0)</f>
        <v>0</v>
      </c>
      <c r="G149" s="46">
        <f>=IFERROR(ROUND((G21+G22)/$B149,0),0)</f>
        <v>0</v>
      </c>
      <c r="H149" s="46">
        <f>=IFERROR(ROUND((H21+H22)/$B149,0),0)</f>
        <v>0</v>
      </c>
      <c r="I149" s="46">
        <f>=IFERROR(ROUND((I21+I22)/$B149,0),0)</f>
        <v>0</v>
      </c>
      <c r="J149" s="46">
        <f>=IFERROR(ROUND((J21+J22)/$B149,0),0)</f>
        <v>0</v>
      </c>
      <c r="K149" s="46">
        <f>=IFERROR(ROUND((K21+K22)/$B149,0),0)</f>
        <v>0</v>
      </c>
      <c r="L149" s="46">
        <f>=IFERROR(ROUND((L21+L22)/$B149,0),0)</f>
        <v>0</v>
      </c>
      <c r="M149" s="46">
        <f>=IFERROR(ROUND((M21+M22)/$B149,0),0)</f>
        <v>0</v>
      </c>
      <c r="N149" s="46">
        <f>=IFERROR(ROUND((N21+N22)/$B149,0),0)</f>
        <v>0</v>
      </c>
      <c r="O149" s="46">
        <f>=IFERROR(ROUND((O21+O22)/$B149,0),0)</f>
        <v>0</v>
      </c>
      <c r="P149" s="46">
        <f>=IFERROR(ROUND((P21+P22)/$B149,0),0)</f>
        <v>0</v>
      </c>
      <c r="Q149" s="46">
        <f>=IFERROR(ROUND((Q21+Q22)/$B149,0),0)</f>
        <v>0</v>
      </c>
      <c r="R149" s="46">
        <f>=IFERROR(ROUND((R21+R22)/$B149,0),0)</f>
        <v>0</v>
      </c>
      <c r="S149" s="46">
        <f>=IFERROR(ROUND((S21+S22)/$B149,0),0)</f>
        <v>0</v>
      </c>
      <c r="T149" s="46">
        <f>=IFERROR(ROUND((T21+T22)/$B149,0),0)</f>
        <v>0</v>
      </c>
      <c r="U149" s="46">
        <f>=IFERROR(ROUND((U21+U22)/$B149,0),0)</f>
        <v>0</v>
      </c>
      <c r="V149" s="46">
        <f>=IFERROR(ROUND((V21+V22)/$B149,0),0)</f>
        <v>0</v>
      </c>
      <c r="W149" s="46">
        <f>=IFERROR(ROUND((W21+W22)/$B149,0),0)</f>
        <v>0</v>
      </c>
      <c r="X149" s="46">
        <f>=IFERROR(ROUND((X21+X22)/$B149,0),0)</f>
        <v>0</v>
      </c>
      <c r="Y149" s="46">
        <f>=IFERROR(ROUND((Y21+Y22)/$B149,0),0)</f>
        <v>0</v>
      </c>
      <c r="Z149" s="46">
        <f>=IFERROR(ROUND((Z21+Z22)/$B149,0),0)</f>
        <v>0</v>
      </c>
      <c r="AA149" s="46">
        <f>=IFERROR(ROUND((AA21+AA22)/$B149,0),0)</f>
        <v>0</v>
      </c>
      <c r="AB149" s="46">
        <f>=IFERROR(ROUND((AB21+AB22)/$B149,0),0)</f>
        <v>0</v>
      </c>
      <c r="AC149" s="46">
        <f>=IFERROR(ROUND((AC21+AC22)/$B149,0),0)</f>
        <v>0</v>
      </c>
      <c r="AD149" s="46">
        <f>=IFERROR(ROUND((AD21+AD22)/$B149,0),0)</f>
        <v>0</v>
      </c>
      <c r="AE149" s="46">
        <f>=IFERROR(ROUND((AE21+AE22)/$B149,0),0)</f>
        <v>0</v>
      </c>
      <c r="AF149" s="46">
        <f>=IFERROR(ROUND((AF21+AF22)/$B149,0),0)</f>
        <v>0</v>
      </c>
      <c r="AG149" s="46">
        <f>=IFERROR(ROUND((AG21+AG22)/$B149,0),0)</f>
        <v>0</v>
      </c>
      <c r="AH149" s="46">
        <f>=IFERROR(ROUND((AH21+AH22)/$B149,0),0)</f>
        <v>0</v>
      </c>
      <c r="AI149" s="46">
        <f>=IFERROR(ROUND((AI21+AI22)/$B149,0),0)</f>
        <v>0</v>
      </c>
      <c r="AJ149" s="46">
        <f>=IFERROR(ROUND((AJ21+AJ22)/$B149,0),0)</f>
        <v>0</v>
      </c>
      <c r="AK149" s="46">
        <f>=IFERROR(ROUND((AK21+AK22)/$B149,0),0)</f>
        <v>0</v>
      </c>
      <c r="AL149" s="46">
        <f>=IFERROR(ROUND((AL21+AL22)/$B149,0),0)</f>
        <v>0</v>
      </c>
      <c r="AM149" s="46">
        <f>=IFERROR(ROUND((AM21+AM22)/$B149,0),0)</f>
        <v>0</v>
      </c>
      <c r="AN149" s="46">
        <f>=IFERROR(ROUND((AN21+AN22)/$B149,0),0)</f>
        <v>0</v>
      </c>
      <c r="AO149" s="46">
        <f>=IFERROR(ROUND((AO21+AO22)/$B149,0),0)</f>
        <v>0</v>
      </c>
      <c r="AP149" s="46">
        <f>=IFERROR(ROUND((AP21+AP22)/$B149,0),0)</f>
        <v>0</v>
      </c>
      <c r="AQ149" s="46">
        <f>=IFERROR(ROUND((AQ21+AQ22)/$B149,0),0)</f>
        <v>0</v>
      </c>
      <c r="AR149" s="46">
        <f>=IFERROR(ROUND((AR21+AR22)/$B149,0),0)</f>
        <v>0</v>
      </c>
      <c r="AS149" s="46">
        <f>=IFERROR(ROUND((AS21+AS22)/$B149,0),0)</f>
        <v>0</v>
      </c>
      <c r="AT149" s="46">
        <f>=IFERROR(ROUND((AT21+AT22)/$B149,0),0)</f>
        <v>0</v>
      </c>
      <c r="AU149" s="46">
        <f>=IFERROR(ROUND((AU21+AU22)/$B149,0),0)</f>
        <v>0</v>
      </c>
      <c r="AV149" s="46">
        <f>=IFERROR(ROUND((AV21+AV22)/$B149,0),0)</f>
        <v>0</v>
      </c>
      <c r="AW149" s="46">
        <f>=IFERROR(ROUND((AW21+AW22)/$B149,0),0)</f>
        <v>0</v>
      </c>
      <c r="AX149" s="46">
        <f>=IFERROR(ROUND((AX21+AX22)/$B149,0),0)</f>
        <v>0</v>
      </c>
      <c r="AY149" s="46">
        <f>=IFERROR(ROUND((AY21+AY22)/$B149,0),0)</f>
        <v>0</v>
      </c>
      <c r="AZ149" s="46">
        <f>=IFERROR(ROUND((AZ21+AZ22)/$B149,0),0)</f>
        <v>0</v>
      </c>
      <c r="BA149" s="46">
        <f>=IFERROR(ROUND((BA21+BA22)/$B149,0),0)</f>
        <v>0</v>
      </c>
      <c r="BB149" s="46">
        <f>=IFERROR(ROUND((BB21+BB22)/$B149,0),0)</f>
        <v>0</v>
      </c>
      <c r="BC149" s="46">
        <f>=IFERROR(ROUND((BC21+BC22)/$B149,0),0)</f>
        <v>0</v>
      </c>
      <c r="BD149" s="46">
        <f>=IFERROR(ROUND((BD21+BD22)/$B149,0),0)</f>
        <v>0</v>
      </c>
      <c r="BE149" s="46">
        <f>=IFERROR(ROUND((BE21+BE22)/$B149,0),0)</f>
        <v>0</v>
      </c>
      <c r="BF149" s="46">
        <f>=IFERROR(ROUND((BF21+BF22)/$B149,0),0)</f>
        <v>0</v>
      </c>
      <c r="BG149" s="46">
        <f>=IFERROR(ROUND((BG21+BG22)/$B149,0),0)</f>
        <v>0</v>
      </c>
      <c r="BH149" s="46">
        <f>=IFERROR(ROUND((BH21+BH22)/$B149,0),0)</f>
        <v>0</v>
      </c>
      <c r="BI149" s="46">
        <f>=IFERROR(ROUND((BI21+BI22)/$B149,0),0)</f>
        <v>0</v>
      </c>
      <c r="BJ149" s="46">
        <f>=IFERROR(ROUND((BJ21+BJ22)/$B149,0),0)</f>
        <v>0</v>
      </c>
      <c r="BK149" s="46">
        <f>=IFERROR(ROUND((BK21+BK22)/$B149,0),0)</f>
        <v>0</v>
      </c>
      <c r="BL149" s="46">
        <f>=IFERROR(ROUND((BL21+BL22)/$B149,0),0)</f>
        <v>0</v>
      </c>
      <c r="BM149" s="46">
        <f>=IFERROR(ROUND((BM21+BM22)/$B149,0),0)</f>
        <v>0</v>
      </c>
      <c r="BN149" s="46">
        <f>=IFERROR(ROUND((BN21+BN22)/$B149,0),0)</f>
        <v>0</v>
      </c>
      <c r="BO149" s="46">
        <f>=IFERROR(ROUND((BO21+BO22)/$B149,0),0)</f>
        <v>0</v>
      </c>
      <c r="BP149" s="46">
        <f>=IFERROR(ROUND((BP21+BP22)/$B149,0),0)</f>
        <v>0</v>
      </c>
      <c r="BQ149" s="46">
        <f>=IFERROR(ROUND((BQ21+BQ22)/$B149,0),0)</f>
        <v>0</v>
      </c>
      <c r="BR149" s="46">
        <f>=IFERROR(ROUND((BR21+BR22)/$B149,0),0)</f>
        <v>0</v>
      </c>
      <c r="BS149" s="46">
        <f>=IFERROR(ROUND((BS21+BS22)/$B149,0),0)</f>
        <v>0</v>
      </c>
      <c r="BT149" s="46">
        <f>=IFERROR(ROUND((BT21+BT22)/$B149,0),0)</f>
        <v>0</v>
      </c>
      <c r="BU149" s="46">
        <f>=IFERROR(ROUND((BU21+BU22)/$B149,0),0)</f>
        <v>0</v>
      </c>
      <c r="BV149" s="46">
        <f>=IFERROR(ROUND((BV21+BV22)/$B149,0),0)</f>
        <v>0</v>
      </c>
      <c r="BW149" s="46">
        <f>=IFERROR(ROUND((BW21+BW22)/$B149,0),0)</f>
        <v>0</v>
      </c>
      <c r="BX149" s="46">
        <f>=IFERROR(ROUND((BX21+BX22)/$B149,0),0)</f>
        <v>0</v>
      </c>
      <c r="BY149" s="46">
        <f>=IFERROR(ROUND((BY21+BY22)/$B149,0),0)</f>
        <v>0</v>
      </c>
      <c r="BZ149" s="46">
        <f>=IFERROR(ROUND((BZ21+BZ22)/$B149,0),0)</f>
        <v>0</v>
      </c>
      <c r="CA149" s="46">
        <f>=IFERROR(ROUND((CA21+CA22)/$B149,0),0)</f>
        <v>0</v>
      </c>
      <c r="CB149" s="46">
        <f>=IFERROR(ROUND((CB21+CB22)/$B149,0),0)</f>
        <v>0</v>
      </c>
      <c r="CC149" s="46">
        <f>=IFERROR(ROUND((CC21+CC22)/$B149,0),0)</f>
        <v>0</v>
      </c>
      <c r="CD149" s="46">
        <f>=IFERROR(ROUND((CD21+CD22)/$B149,0),0)</f>
        <v>0</v>
      </c>
      <c r="CE149" s="46">
        <f>=IFERROR(ROUND((CE21+CE22)/$B149,0),0)</f>
        <v>0</v>
      </c>
      <c r="CF149" s="46">
        <f>=IFERROR(ROUND((CF21+CF22)/$B149,0),0)</f>
        <v>0</v>
      </c>
      <c r="CG149" s="46">
        <f>=IFERROR(ROUND((CG21+CG22)/$B149,0),0)</f>
        <v>0</v>
      </c>
      <c r="CH149" s="46">
        <f>=IFERROR(ROUND((CH21+CH22)/$B149,0),0)</f>
        <v>0</v>
      </c>
      <c r="CI149" s="46">
        <f>=IFERROR(ROUND((CI21+CI22)/$B149,0),0)</f>
        <v>0</v>
      </c>
      <c r="CJ149" s="46">
        <f>=IFERROR(ROUND((CJ21+CJ22)/$B149,0),0)</f>
        <v>0</v>
      </c>
      <c r="CK149" s="46">
        <f>=IFERROR(ROUND((CK21+CK22)/$B149,0),0)</f>
        <v>0</v>
      </c>
      <c r="CL149" s="46">
        <f>=IFERROR(ROUND((CL21+CL22)/$B149,0),0)</f>
        <v>0</v>
      </c>
      <c r="CM149" s="46">
        <f>=IFERROR(ROUND((CM21+CM22)/$B149,0),0)</f>
        <v>0</v>
      </c>
      <c r="CN149" s="46">
        <f>=IFERROR(ROUND((CN21+CN22)/$B149,0),0)</f>
        <v>0</v>
      </c>
      <c r="CO149" s="46">
        <f>=IFERROR(ROUND((CO21+CO22)/$B149,0),0)</f>
        <v>0</v>
      </c>
      <c r="CP149" s="46">
        <f>=IFERROR(ROUND((CP21+CP22)/$B149,0),0)</f>
        <v>0</v>
      </c>
      <c r="CQ149" s="46">
        <f>=IFERROR(ROUND((CQ21+CQ22)/$B149,0),0)</f>
        <v>0</v>
      </c>
      <c r="CR149" s="46">
        <f>=IFERROR(ROUND((CR21+CR22)/$B149,0),0)</f>
        <v>0</v>
      </c>
      <c r="CS149" s="46">
        <f>=IFERROR(ROUND((CS21+CS22)/$B149,0),0)</f>
        <v>0</v>
      </c>
      <c r="CT149" s="46">
        <f>=IFERROR(ROUND((CT21+CT22)/$B149,0),0)</f>
        <v>0</v>
      </c>
      <c r="CU149" s="46">
        <f>=IFERROR(ROUND((CU21+CU22)/$B149,0),0)</f>
        <v>0</v>
      </c>
      <c r="CV149" s="46">
        <f>=IFERROR(ROUND((CV21+CV22)/$B149,0),0)</f>
        <v>0</v>
      </c>
      <c r="CW149" s="46">
        <f>=IFERROR(ROUND((CW21+CW22)/$B149,0),0)</f>
        <v>0</v>
      </c>
      <c r="CX149" s="46">
        <f>=IFERROR(ROUND((CX21+CX22)/$B149,0),0)</f>
        <v>0</v>
      </c>
      <c r="CY149" s="46">
        <f>=IFERROR(ROUND((CY21+CY22)/$B149,0),0)</f>
        <v>0</v>
      </c>
      <c r="CZ149" s="46">
        <f>=IFERROR(ROUND((CZ21+CZ22)/$B149,0),0)</f>
        <v>0</v>
      </c>
      <c r="DA149" s="46">
        <f>=IFERROR(ROUND((DA21+DA22)/$B149,0),0)</f>
        <v>0</v>
      </c>
      <c r="DB149" s="46">
        <f>=IFERROR(ROUND((DB21+DB22)/$B149,0),0)</f>
        <v>0</v>
      </c>
    </row>
    <row r="150" spans="1:106" x14ac:dyDescent="0.25">
      <c r="A150" s="17" t="s">
        <v>357</v>
      </c>
      <c r="B150" s="17">
        <v>15</v>
      </c>
      <c r="C150" s="46">
        <f>=IFERROR(ROUND((C19+C23)/$B150,0),0)</f>
        <v>0</v>
      </c>
      <c r="D150" s="46">
        <f>=IFERROR(ROUND((D19+D23)/$B150,0),0)</f>
        <v>0</v>
      </c>
      <c r="E150" s="46">
        <f>=IFERROR(ROUND((E19+E23)/$B150,0),0)</f>
        <v>0</v>
      </c>
      <c r="F150" s="46">
        <f>=IFERROR(ROUND((F19+F23)/$B150,0),0)</f>
        <v>0</v>
      </c>
      <c r="G150" s="46">
        <f>=IFERROR(ROUND((G19+G23)/$B150,0),0)</f>
        <v>0</v>
      </c>
      <c r="H150" s="46">
        <f>=IFERROR(ROUND((H19+H23)/$B150,0),0)</f>
        <v>0</v>
      </c>
      <c r="I150" s="46">
        <f>=IFERROR(ROUND((I19+I23)/$B150,0),0)</f>
        <v>0</v>
      </c>
      <c r="J150" s="46">
        <f>=IFERROR(ROUND((J19+J23)/$B150,0),0)</f>
        <v>0</v>
      </c>
      <c r="K150" s="46">
        <f>=IFERROR(ROUND((K19+K23)/$B150,0),0)</f>
        <v>0</v>
      </c>
      <c r="L150" s="46">
        <f>=IFERROR(ROUND((L19+L23)/$B150,0),0)</f>
        <v>0</v>
      </c>
      <c r="M150" s="46">
        <f>=IFERROR(ROUND((M19+M23)/$B150,0),0)</f>
        <v>0</v>
      </c>
      <c r="N150" s="46">
        <f>=IFERROR(ROUND((N19+N23)/$B150,0),0)</f>
        <v>0</v>
      </c>
      <c r="O150" s="46">
        <f>=IFERROR(ROUND((O19+O23)/$B150,0),0)</f>
        <v>0</v>
      </c>
      <c r="P150" s="46">
        <f>=IFERROR(ROUND((P19+P23)/$B150,0),0)</f>
        <v>0</v>
      </c>
      <c r="Q150" s="46">
        <f>=IFERROR(ROUND((Q19+Q23)/$B150,0),0)</f>
        <v>0</v>
      </c>
      <c r="R150" s="46">
        <f>=IFERROR(ROUND((R19+R23)/$B150,0),0)</f>
        <v>0</v>
      </c>
      <c r="S150" s="46">
        <f>=IFERROR(ROUND((S19+S23)/$B150,0),0)</f>
        <v>0</v>
      </c>
      <c r="T150" s="46">
        <f>=IFERROR(ROUND((T19+T23)/$B150,0),0)</f>
        <v>0</v>
      </c>
      <c r="U150" s="46">
        <f>=IFERROR(ROUND((U19+U23)/$B150,0),0)</f>
        <v>0</v>
      </c>
      <c r="V150" s="46">
        <f>=IFERROR(ROUND((V19+V23)/$B150,0),0)</f>
        <v>0</v>
      </c>
      <c r="W150" s="46">
        <f>=IFERROR(ROUND((W19+W23)/$B150,0),0)</f>
        <v>0</v>
      </c>
      <c r="X150" s="46">
        <f>=IFERROR(ROUND((X19+X23)/$B150,0),0)</f>
        <v>0</v>
      </c>
      <c r="Y150" s="46">
        <f>=IFERROR(ROUND((Y19+Y23)/$B150,0),0)</f>
        <v>0</v>
      </c>
      <c r="Z150" s="46">
        <f>=IFERROR(ROUND((Z19+Z23)/$B150,0),0)</f>
        <v>0</v>
      </c>
      <c r="AA150" s="46">
        <f>=IFERROR(ROUND((AA19+AA23)/$B150,0),0)</f>
        <v>0</v>
      </c>
      <c r="AB150" s="46">
        <f>=IFERROR(ROUND((AB19+AB23)/$B150,0),0)</f>
        <v>0</v>
      </c>
      <c r="AC150" s="46">
        <f>=IFERROR(ROUND((AC19+AC23)/$B150,0),0)</f>
        <v>0</v>
      </c>
      <c r="AD150" s="46">
        <f>=IFERROR(ROUND((AD19+AD23)/$B150,0),0)</f>
        <v>0</v>
      </c>
      <c r="AE150" s="46">
        <f>=IFERROR(ROUND((AE19+AE23)/$B150,0),0)</f>
        <v>0</v>
      </c>
      <c r="AF150" s="46">
        <f>=IFERROR(ROUND((AF19+AF23)/$B150,0),0)</f>
        <v>1</v>
      </c>
      <c r="AG150" s="46">
        <f>=IFERROR(ROUND((AG19+AG23)/$B150,0),0)</f>
        <v>1</v>
      </c>
      <c r="AH150" s="46">
        <f>=IFERROR(ROUND((AH19+AH23)/$B150,0),0)</f>
        <v>0</v>
      </c>
      <c r="AI150" s="46">
        <f>=IFERROR(ROUND((AI19+AI23)/$B150,0),0)</f>
        <v>0</v>
      </c>
      <c r="AJ150" s="46">
        <f>=IFERROR(ROUND((AJ19+AJ23)/$B150,0),0)</f>
        <v>0</v>
      </c>
      <c r="AK150" s="46">
        <f>=IFERROR(ROUND((AK19+AK23)/$B150,0),0)</f>
        <v>0</v>
      </c>
      <c r="AL150" s="46">
        <f>=IFERROR(ROUND((AL19+AL23)/$B150,0),0)</f>
        <v>1</v>
      </c>
      <c r="AM150" s="46">
        <f>=IFERROR(ROUND((AM19+AM23)/$B150,0),0)</f>
        <v>1</v>
      </c>
      <c r="AN150" s="46">
        <f>=IFERROR(ROUND((AN19+AN23)/$B150,0),0)</f>
        <v>1</v>
      </c>
      <c r="AO150" s="46">
        <f>=IFERROR(ROUND((AO19+AO23)/$B150,0),0)</f>
        <v>1</v>
      </c>
      <c r="AP150" s="46">
        <f>=IFERROR(ROUND((AP19+AP23)/$B150,0),0)</f>
        <v>1</v>
      </c>
      <c r="AQ150" s="46">
        <f>=IFERROR(ROUND((AQ19+AQ23)/$B150,0),0)</f>
        <v>1</v>
      </c>
      <c r="AR150" s="46">
        <f>=IFERROR(ROUND((AR19+AR23)/$B150,0),0)</f>
        <v>1</v>
      </c>
      <c r="AS150" s="46">
        <f>=IFERROR(ROUND((AS19+AS23)/$B150,0),0)</f>
        <v>0</v>
      </c>
      <c r="AT150" s="46">
        <f>=IFERROR(ROUND((AT19+AT23)/$B150,0),0)</f>
        <v>0</v>
      </c>
      <c r="AU150" s="46">
        <f>=IFERROR(ROUND((AU19+AU23)/$B150,0),0)</f>
        <v>0</v>
      </c>
      <c r="AV150" s="46">
        <f>=IFERROR(ROUND((AV19+AV23)/$B150,0),0)</f>
        <v>0</v>
      </c>
      <c r="AW150" s="46">
        <f>=IFERROR(ROUND((AW19+AW23)/$B150,0),0)</f>
        <v>0</v>
      </c>
      <c r="AX150" s="46">
        <f>=IFERROR(ROUND((AX19+AX23)/$B150,0),0)</f>
        <v>0</v>
      </c>
      <c r="AY150" s="46">
        <f>=IFERROR(ROUND((AY19+AY23)/$B150,0),0)</f>
        <v>0</v>
      </c>
      <c r="AZ150" s="46">
        <f>=IFERROR(ROUND((AZ19+AZ23)/$B150,0),0)</f>
        <v>0</v>
      </c>
      <c r="BA150" s="46">
        <f>=IFERROR(ROUND((BA19+BA23)/$B150,0),0)</f>
        <v>0</v>
      </c>
      <c r="BB150" s="46">
        <f>=IFERROR(ROUND((BB19+BB23)/$B150,0),0)</f>
        <v>0</v>
      </c>
      <c r="BC150" s="46">
        <f>=IFERROR(ROUND((BC19+BC23)/$B150,0),0)</f>
        <v>0</v>
      </c>
      <c r="BD150" s="73">
        <f>=IFERROR(ROUND((BD19+BD23)/$B150,0),0)</f>
        <v>0</v>
      </c>
      <c r="BE150" s="46">
        <f>=IFERROR(ROUND((BE19+BE23)/$B150,0),0)</f>
        <v>0</v>
      </c>
      <c r="BF150" s="46">
        <f>=IFERROR(ROUND((BF19+BF23)/$B150,0),0)</f>
        <v>0</v>
      </c>
      <c r="BG150" s="46">
        <f>=IFERROR(ROUND((BG19+BG23)/$B150,0),0)</f>
        <v>0</v>
      </c>
      <c r="BH150" s="46">
        <f>=IFERROR(ROUND((BH19+BH23)/$B150,0),0)</f>
        <v>0</v>
      </c>
      <c r="BI150" s="46">
        <f>=IFERROR(ROUND((BI19+BI23)/$B150,0),0)</f>
        <v>0</v>
      </c>
      <c r="BJ150" s="46">
        <f>=IFERROR(ROUND((BJ19+BJ23)/$B150,0),0)</f>
        <v>0</v>
      </c>
      <c r="BK150" s="46">
        <f>=IFERROR(ROUND((BK19+BK23)/$B150,0),0)</f>
        <v>0</v>
      </c>
      <c r="BL150" s="73">
        <f>=IFERROR(ROUND((BL19+BL23)/$B150,0),0)</f>
        <v>0</v>
      </c>
      <c r="BM150" s="46">
        <f>=IFERROR(ROUND((BM19+BM23)/$B150,0),0)</f>
        <v>0</v>
      </c>
      <c r="BN150" s="46">
        <f>=IFERROR(ROUND((BN19+BN23)/$B150,0),0)</f>
        <v>0</v>
      </c>
      <c r="BO150" s="46">
        <f>=IFERROR(ROUND((BO19+BO23)/$B150,0),0)</f>
        <v>0</v>
      </c>
      <c r="BP150" s="46">
        <f>=IFERROR(ROUND((BP19+BP23)/$B150,0),0)</f>
        <v>0</v>
      </c>
      <c r="BQ150" s="46">
        <f>=IFERROR(ROUND((BQ19+BQ23)/$B150,0),0)</f>
        <v>0</v>
      </c>
      <c r="BR150" s="46">
        <f>=IFERROR(ROUND((BR19+BR23)/$B150,0),0)</f>
        <v>0</v>
      </c>
      <c r="BS150" s="46">
        <f>=IFERROR(ROUND((BS19+BS23)/$B150,0),0)</f>
        <v>0</v>
      </c>
      <c r="BT150" s="46">
        <f>=IFERROR(ROUND((BT19+BT23)/$B150,0),0)</f>
        <v>0</v>
      </c>
      <c r="BU150" s="46">
        <f>=IFERROR(ROUND((BU19+BU23)/$B150,0),0)</f>
        <v>0</v>
      </c>
      <c r="BV150" s="46">
        <f>=IFERROR(ROUND((BV19+BV23)/$B150,0),0)</f>
        <v>0</v>
      </c>
      <c r="BW150" s="46">
        <f>=IFERROR(ROUND((BW19+BW23)/$B150,0),0)</f>
        <v>0</v>
      </c>
      <c r="BX150" s="46">
        <f>=IFERROR(ROUND((BX19+BX23)/$B150,0),0)</f>
        <v>0</v>
      </c>
      <c r="BY150" s="73">
        <f>=IFERROR(ROUND((BY19+BY23)/$B150,0),0)</f>
        <v>0</v>
      </c>
      <c r="BZ150" s="46">
        <f>=IFERROR(ROUND((BZ19+BZ23)/$B150,0),0)</f>
        <v>0</v>
      </c>
      <c r="CA150" s="46">
        <f>=IFERROR(ROUND((CA19+CA23)/$B150,0),0)</f>
        <v>0</v>
      </c>
      <c r="CB150" s="46">
        <f>=IFERROR(ROUND((CB19+CB23)/$B150,0),0)</f>
        <v>0</v>
      </c>
      <c r="CC150" s="46">
        <f>=IFERROR(ROUND((CC19+CC23)/$B150,0),0)</f>
        <v>0</v>
      </c>
      <c r="CD150" s="46">
        <f>=IFERROR(ROUND((CD19+CD23)/$B150,0),0)</f>
        <v>0</v>
      </c>
      <c r="CE150" s="46">
        <f>=IFERROR(ROUND((CE19+CE23)/$B150,0),0)</f>
        <v>0</v>
      </c>
      <c r="CF150" s="46">
        <f>=IFERROR(ROUND((CF19+CF23)/$B150,0),0)</f>
        <v>0</v>
      </c>
      <c r="CG150" s="46">
        <f>=IFERROR(ROUND((CG19+CG23)/$B150,0),0)</f>
        <v>0</v>
      </c>
      <c r="CH150" s="46">
        <f>=IFERROR(ROUND((CH19+CH23)/$B150,0),0)</f>
        <v>0</v>
      </c>
      <c r="CI150" s="46">
        <f>=IFERROR(ROUND((CI19+CI23)/$B150,0),0)</f>
        <v>0</v>
      </c>
      <c r="CJ150" s="46">
        <f>=IFERROR(ROUND((CJ19+CJ23)/$B150,0),0)</f>
        <v>0</v>
      </c>
      <c r="CK150" s="46">
        <f>=IFERROR(ROUND((CK19+CK23)/$B150,0),0)</f>
        <v>0</v>
      </c>
      <c r="CL150" s="46">
        <f>=IFERROR(ROUND((CL19+CL23)/$B150,0),0)</f>
        <v>0</v>
      </c>
      <c r="CM150" s="46">
        <f>=IFERROR(ROUND((CM19+CM23)/$B150,0),0)</f>
        <v>0</v>
      </c>
      <c r="CN150" s="46">
        <f>=IFERROR(ROUND((CN19+CN23)/$B150,0),0)</f>
        <v>0</v>
      </c>
      <c r="CO150" s="46">
        <f>=IFERROR(ROUND((CO19+CO23)/$B150,0),0)</f>
        <v>0</v>
      </c>
      <c r="CP150" s="46">
        <f>=IFERROR(ROUND((CP19+CP23)/$B150,0),0)</f>
        <v>0</v>
      </c>
      <c r="CQ150" s="46">
        <f>=IFERROR(ROUND((CQ19+CQ23)/$B150,0),0)</f>
        <v>0</v>
      </c>
      <c r="CR150" s="46">
        <f>=IFERROR(ROUND((CR19+CR23)/$B150,0),0)</f>
        <v>0</v>
      </c>
      <c r="CS150" s="46">
        <f>=IFERROR(ROUND((CS19+CS23)/$B150,0),0)</f>
        <v>0</v>
      </c>
      <c r="CT150" s="73">
        <f>=IFERROR(ROUND((CT19+CT23)/$B150,0),0)</f>
        <v>0</v>
      </c>
      <c r="CU150" s="46">
        <f>=IFERROR(ROUND((CU19+CU23)/$B150,0),0)</f>
        <v>0</v>
      </c>
      <c r="CV150" s="46">
        <f>=IFERROR(ROUND((CV19+CV23)/$B150,0),0)</f>
        <v>0</v>
      </c>
      <c r="CW150" s="73">
        <f>=IFERROR(ROUND((CW19+CW23)/$B150,0),0)</f>
        <v>0</v>
      </c>
      <c r="CX150" s="73">
        <f>=IFERROR(ROUND((CX19+CX23)/$B150,0),0)</f>
        <v>0</v>
      </c>
      <c r="CY150" s="46">
        <f>=IFERROR(ROUND((CY19+CY23)/$B150,0),0)</f>
        <v>0</v>
      </c>
      <c r="CZ150" s="46">
        <f>=IFERROR(ROUND((CZ19+CZ23)/$B150,0),0)</f>
        <v>0</v>
      </c>
      <c r="DA150" s="46">
        <f>=IFERROR(ROUND((DA19+DA23)/$B150,0),0)</f>
        <v>0</v>
      </c>
      <c r="DB150" s="46">
        <f>=IFERROR(ROUND((DB19+DB23)/$B150,0),0)</f>
        <v>0</v>
      </c>
    </row>
    <row r="151" spans="1:106" x14ac:dyDescent="0.25">
      <c r="A151" s="17" t="s">
        <v>358</v>
      </c>
      <c r="B151" s="17">
        <v>40</v>
      </c>
      <c r="C151" s="46">
        <f>=IFERROR(ROUND((C19+C23)/$B151,0),0)</f>
        <v>0</v>
      </c>
      <c r="D151" s="46">
        <f>=IFERROR(ROUND((D19+D23)/$B151,0),0)</f>
        <v>0</v>
      </c>
      <c r="E151" s="46">
        <f>=IFERROR(ROUND((E19+E23)/$B151,0),0)</f>
        <v>0</v>
      </c>
      <c r="F151" s="46">
        <f>=IFERROR(ROUND((F19+F23)/$B151,0),0)</f>
        <v>0</v>
      </c>
      <c r="G151" s="46">
        <f>=IFERROR(ROUND((G19+G23)/$B151,0),0)</f>
        <v>0</v>
      </c>
      <c r="H151" s="46">
        <f>=IFERROR(ROUND((H19+H23)/$B151,0),0)</f>
        <v>0</v>
      </c>
      <c r="I151" s="46">
        <f>=IFERROR(ROUND((I19+I23)/$B151,0),0)</f>
        <v>0</v>
      </c>
      <c r="J151" s="46">
        <f>=IFERROR(ROUND((J19+J23)/$B151,0),0)</f>
        <v>0</v>
      </c>
      <c r="K151" s="46">
        <f>=IFERROR(ROUND((K19+K23)/$B151,0),0)</f>
        <v>0</v>
      </c>
      <c r="L151" s="46">
        <f>=IFERROR(ROUND((L19+L23)/$B151,0),0)</f>
        <v>0</v>
      </c>
      <c r="M151" s="46">
        <f>=IFERROR(ROUND((M19+M23)/$B151,0),0)</f>
        <v>0</v>
      </c>
      <c r="N151" s="46">
        <f>=IFERROR(ROUND((N19+N23)/$B151,0),0)</f>
        <v>0</v>
      </c>
      <c r="O151" s="46">
        <f>=IFERROR(ROUND((O19+O23)/$B151,0),0)</f>
        <v>0</v>
      </c>
      <c r="P151" s="46">
        <f>=IFERROR(ROUND((P19+P23)/$B151,0),0)</f>
        <v>0</v>
      </c>
      <c r="Q151" s="46">
        <f>=IFERROR(ROUND((Q19+Q23)/$B151,0),0)</f>
        <v>0</v>
      </c>
      <c r="R151" s="46">
        <f>=IFERROR(ROUND((R19+R23)/$B151,0),0)</f>
        <v>0</v>
      </c>
      <c r="S151" s="46">
        <f>=IFERROR(ROUND((S19+S23)/$B151,0),0)</f>
        <v>0</v>
      </c>
      <c r="T151" s="46">
        <f>=IFERROR(ROUND((T19+T23)/$B151,0),0)</f>
        <v>0</v>
      </c>
      <c r="U151" s="46">
        <f>=IFERROR(ROUND((U19+U23)/$B151,0),0)</f>
        <v>0</v>
      </c>
      <c r="V151" s="46">
        <f>=IFERROR(ROUND((V19+V23)/$B151,0),0)</f>
        <v>0</v>
      </c>
      <c r="W151" s="46">
        <f>=IFERROR(ROUND((W19+W23)/$B151,0),0)</f>
        <v>0</v>
      </c>
      <c r="X151" s="46">
        <f>=IFERROR(ROUND((X19+X23)/$B151,0),0)</f>
        <v>0</v>
      </c>
      <c r="Y151" s="46">
        <f>=IFERROR(ROUND((Y19+Y23)/$B151,0),0)</f>
        <v>0</v>
      </c>
      <c r="Z151" s="46">
        <f>=IFERROR(ROUND((Z19+Z23)/$B151,0),0)</f>
        <v>0</v>
      </c>
      <c r="AA151" s="46">
        <f>=IFERROR(ROUND((AA19+AA23)/$B151,0),0)</f>
        <v>0</v>
      </c>
      <c r="AB151" s="46">
        <f>=IFERROR(ROUND((AB19+AB23)/$B151,0),0)</f>
        <v>0</v>
      </c>
      <c r="AC151" s="46">
        <f>=IFERROR(ROUND((AC19+AC23)/$B151,0),0)</f>
        <v>0</v>
      </c>
      <c r="AD151" s="46">
        <f>=IFERROR(ROUND((AD19+AD23)/$B151,0),0)</f>
        <v>0</v>
      </c>
      <c r="AE151" s="46">
        <f>=IFERROR(ROUND((AE19+AE23)/$B151,0),0)</f>
        <v>0</v>
      </c>
      <c r="AF151" s="46">
        <f>=IFERROR(ROUND((AF19+AF23)/$B151,0),0)</f>
        <v>0</v>
      </c>
      <c r="AG151" s="46">
        <f>=IFERROR(ROUND((AG19+AG23)/$B151,0),0)</f>
        <v>0</v>
      </c>
      <c r="AH151" s="46">
        <f>=IFERROR(ROUND((AH19+AH23)/$B151,0),0)</f>
        <v>0</v>
      </c>
      <c r="AI151" s="46">
        <f>=IFERROR(ROUND((AI19+AI23)/$B151,0),0)</f>
        <v>0</v>
      </c>
      <c r="AJ151" s="46">
        <f>=IFERROR(ROUND((AJ19+AJ23)/$B151,0),0)</f>
        <v>0</v>
      </c>
      <c r="AK151" s="46">
        <f>=IFERROR(ROUND((AK19+AK23)/$B151,0),0)</f>
        <v>0</v>
      </c>
      <c r="AL151" s="46">
        <f>=IFERROR(ROUND((AL19+AL23)/$B151,0),0)</f>
        <v>0</v>
      </c>
      <c r="AM151" s="46">
        <f>=IFERROR(ROUND((AM19+AM23)/$B151,0),0)</f>
        <v>0</v>
      </c>
      <c r="AN151" s="46">
        <f>=IFERROR(ROUND((AN19+AN23)/$B151,0),0)</f>
        <v>0</v>
      </c>
      <c r="AO151" s="46">
        <f>=IFERROR(ROUND((AO19+AO23)/$B151,0),0)</f>
        <v>0</v>
      </c>
      <c r="AP151" s="46">
        <f>=IFERROR(ROUND((AP19+AP23)/$B151,0),0)</f>
        <v>0</v>
      </c>
      <c r="AQ151" s="46">
        <f>=IFERROR(ROUND((AQ19+AQ23)/$B151,0),0)</f>
        <v>0</v>
      </c>
      <c r="AR151" s="46">
        <f>=IFERROR(ROUND((AR19+AR23)/$B151,0),0)</f>
        <v>0</v>
      </c>
      <c r="AS151" s="46">
        <f>=IFERROR(ROUND((AS19+AS23)/$B151,0),0)</f>
        <v>0</v>
      </c>
      <c r="AT151" s="46">
        <f>=IFERROR(ROUND((AT19+AT23)/$B151,0),0)</f>
        <v>0</v>
      </c>
      <c r="AU151" s="46">
        <f>=IFERROR(ROUND((AU19+AU23)/$B151,0),0)</f>
        <v>0</v>
      </c>
      <c r="AV151" s="46">
        <f>=IFERROR(ROUND((AV19+AV23)/$B151,0),0)</f>
        <v>0</v>
      </c>
      <c r="AW151" s="46">
        <f>=IFERROR(ROUND((AW19+AW23)/$B151,0),0)</f>
        <v>0</v>
      </c>
      <c r="AX151" s="46">
        <f>=IFERROR(ROUND((AX19+AX23)/$B151,0),0)</f>
        <v>0</v>
      </c>
      <c r="AY151" s="46">
        <f>=IFERROR(ROUND((AY19+AY23)/$B151,0),0)</f>
        <v>0</v>
      </c>
      <c r="AZ151" s="46">
        <f>=IFERROR(ROUND((AZ19+AZ23)/$B151,0),0)</f>
        <v>0</v>
      </c>
      <c r="BA151" s="46">
        <f>=IFERROR(ROUND((BA19+BA23)/$B151,0),0)</f>
        <v>0</v>
      </c>
      <c r="BB151" s="46">
        <f>=IFERROR(ROUND((BB19+BB23)/$B151,0),0)</f>
        <v>0</v>
      </c>
      <c r="BC151" s="73">
        <f>=IFERROR(ROUND((BC19+BC23)/$B151,0),0)</f>
        <v>0</v>
      </c>
      <c r="BD151" s="46">
        <f>=IFERROR(ROUND((BD19+BD23)/$B151,0),0)</f>
        <v>0</v>
      </c>
      <c r="BE151" s="46">
        <f>=IFERROR(ROUND((BE19+BE23)/$B151,0),0)</f>
        <v>0</v>
      </c>
      <c r="BF151" s="46">
        <f>=IFERROR(ROUND((BF19+BF23)/$B151,0),0)</f>
        <v>0</v>
      </c>
      <c r="BG151" s="46">
        <f>=IFERROR(ROUND((BG19+BG23)/$B151,0),0)</f>
        <v>0</v>
      </c>
      <c r="BH151" s="46">
        <f>=IFERROR(ROUND((BH19+BH23)/$B151,0),0)</f>
        <v>0</v>
      </c>
      <c r="BI151" s="46">
        <f>=IFERROR(ROUND((BI19+BI23)/$B151,0),0)</f>
        <v>0</v>
      </c>
      <c r="BJ151" s="46">
        <f>=IFERROR(ROUND((BJ19+BJ23)/$B151,0),0)</f>
        <v>0</v>
      </c>
      <c r="BK151" s="46">
        <f>=IFERROR(ROUND((BK19+BK23)/$B151,0),0)</f>
        <v>0</v>
      </c>
      <c r="BL151" s="46">
        <f>=IFERROR(ROUND((BL19+BL23)/$B151,0),0)</f>
        <v>0</v>
      </c>
      <c r="BM151" s="46">
        <f>=IFERROR(ROUND((BM19+BM23)/$B151,0),0)</f>
        <v>0</v>
      </c>
      <c r="BN151" s="46">
        <f>=IFERROR(ROUND((BN19+BN23)/$B151,0),0)</f>
        <v>0</v>
      </c>
      <c r="BO151" s="46">
        <f>=IFERROR(ROUND((BO19+BO23)/$B151,0),0)</f>
        <v>0</v>
      </c>
      <c r="BP151" s="46">
        <f>=IFERROR(ROUND((BP19+BP23)/$B151,0),0)</f>
        <v>0</v>
      </c>
      <c r="BQ151" s="46">
        <f>=IFERROR(ROUND((BQ19+BQ23)/$B151,0),0)</f>
        <v>0</v>
      </c>
      <c r="BR151" s="46">
        <f>=IFERROR(ROUND((BR19+BR23)/$B151,0),0)</f>
        <v>0</v>
      </c>
      <c r="BS151" s="46">
        <f>=IFERROR(ROUND((BS19+BS23)/$B151,0),0)</f>
        <v>0</v>
      </c>
      <c r="BT151" s="46">
        <f>=IFERROR(ROUND((BT19+BT23)/$B151,0),0)</f>
        <v>0</v>
      </c>
      <c r="BU151" s="46">
        <f>=IFERROR(ROUND((BU19+BU23)/$B151,0),0)</f>
        <v>0</v>
      </c>
      <c r="BV151" s="46">
        <f>=IFERROR(ROUND((BV19+BV23)/$B151,0),0)</f>
        <v>0</v>
      </c>
      <c r="BW151" s="46">
        <f>=IFERROR(ROUND((BW19+BW23)/$B151,0),0)</f>
        <v>0</v>
      </c>
      <c r="BX151" s="46">
        <f>=IFERROR(ROUND((BX19+BX23)/$B151,0),0)</f>
        <v>0</v>
      </c>
      <c r="BY151" s="46">
        <f>=IFERROR(ROUND((BY19+BY23)/$B151,0),0)</f>
        <v>0</v>
      </c>
      <c r="BZ151" s="46">
        <f>=IFERROR(ROUND((BZ19+BZ23)/$B151,0),0)</f>
        <v>0</v>
      </c>
      <c r="CA151" s="46">
        <f>=IFERROR(ROUND((CA19+CA23)/$B151,0),0)</f>
        <v>0</v>
      </c>
      <c r="CB151" s="46">
        <f>=IFERROR(ROUND((CB19+CB23)/$B151,0),0)</f>
        <v>0</v>
      </c>
      <c r="CC151" s="46">
        <f>=IFERROR(ROUND((CC19+CC23)/$B151,0),0)</f>
        <v>0</v>
      </c>
      <c r="CD151" s="46">
        <f>=IFERROR(ROUND((CD19+CD23)/$B151,0),0)</f>
        <v>0</v>
      </c>
      <c r="CE151" s="46">
        <f>=IFERROR(ROUND((CE19+CE23)/$B151,0),0)</f>
        <v>0</v>
      </c>
      <c r="CF151" s="46">
        <f>=IFERROR(ROUND((CF19+CF23)/$B151,0),0)</f>
        <v>0</v>
      </c>
      <c r="CG151" s="46">
        <f>=IFERROR(ROUND((CG19+CG23)/$B151,0),0)</f>
        <v>0</v>
      </c>
      <c r="CH151" s="46">
        <f>=IFERROR(ROUND((CH19+CH23)/$B151,0),0)</f>
        <v>0</v>
      </c>
      <c r="CI151" s="46">
        <f>=IFERROR(ROUND((CI19+CI23)/$B151,0),0)</f>
        <v>0</v>
      </c>
      <c r="CJ151" s="73">
        <f>=IFERROR(ROUND((CJ19+CJ23)/$B151,0),0)</f>
        <v>0</v>
      </c>
      <c r="CK151" s="46">
        <f>=IFERROR(ROUND((CK19+CK23)/$B151,0),0)</f>
        <v>0</v>
      </c>
      <c r="CL151" s="73">
        <f>=IFERROR(ROUND((CL19+CL23)/$B151,0),0)</f>
        <v>0</v>
      </c>
      <c r="CM151" s="46">
        <f>=IFERROR(ROUND((CM19+CM23)/$B151,0),0)</f>
        <v>0</v>
      </c>
      <c r="CN151" s="46">
        <f>=IFERROR(ROUND((CN19+CN23)/$B151,0),0)</f>
        <v>0</v>
      </c>
      <c r="CO151" s="46">
        <f>=IFERROR(ROUND((CO19+CO23)/$B151,0),0)</f>
        <v>0</v>
      </c>
      <c r="CP151" s="46">
        <f>=IFERROR(ROUND((CP19+CP23)/$B151,0),0)</f>
        <v>0</v>
      </c>
      <c r="CQ151" s="46">
        <f>=IFERROR(ROUND((CQ19+CQ23)/$B151,0),0)</f>
        <v>0</v>
      </c>
      <c r="CR151" s="46">
        <f>=IFERROR(ROUND((CR19+CR23)/$B151,0),0)</f>
        <v>0</v>
      </c>
      <c r="CS151" s="46">
        <f>=IFERROR(ROUND((CS19+CS23)/$B151,0),0)</f>
        <v>0</v>
      </c>
      <c r="CT151" s="46">
        <f>=IFERROR(ROUND((CT19+CT23)/$B151,0),0)</f>
        <v>0</v>
      </c>
      <c r="CU151" s="46">
        <f>=IFERROR(ROUND((CU19+CU23)/$B151,0),0)</f>
        <v>0</v>
      </c>
      <c r="CV151" s="46">
        <f>=IFERROR(ROUND((CV19+CV23)/$B151,0),0)</f>
        <v>0</v>
      </c>
      <c r="CW151" s="46">
        <f>=IFERROR(ROUND((CW19+CW23)/$B151,0),0)</f>
        <v>0</v>
      </c>
      <c r="CX151" s="46">
        <f>=IFERROR(ROUND((CX19+CX23)/$B151,0),0)</f>
        <v>0</v>
      </c>
      <c r="CY151" s="46">
        <f>=IFERROR(ROUND((CY19+CY23)/$B151,0),0)</f>
        <v>0</v>
      </c>
      <c r="CZ151" s="46">
        <f>=IFERROR(ROUND((CZ19+CZ23)/$B151,0),0)</f>
        <v>0</v>
      </c>
      <c r="DA151" s="46">
        <f>=IFERROR(ROUND((DA19+DA23)/$B151,0),0)</f>
        <v>0</v>
      </c>
      <c r="DB151" s="46">
        <f>=IFERROR(ROUND((DB19+DB23)/$B151,0),0)</f>
        <v>0</v>
      </c>
    </row>
    <row r="152" spans="1:106" x14ac:dyDescent="0.25">
      <c r="A152" s="17" t="s">
        <v>359</v>
      </c>
      <c r="B152" s="17">
        <v>30</v>
      </c>
      <c r="C152" s="46">
        <f>=IFERROR(ROUND(C19/$B152,0),0)</f>
        <v>0</v>
      </c>
      <c r="D152" s="46">
        <f>=IFERROR(ROUND(D19/$B152,0),0)</f>
        <v>0</v>
      </c>
      <c r="E152" s="46">
        <f>=IFERROR(ROUND(E19/$B152,0),0)</f>
        <v>0</v>
      </c>
      <c r="F152" s="46">
        <f>=IFERROR(ROUND(F19/$B152,0),0)</f>
        <v>0</v>
      </c>
      <c r="G152" s="46">
        <f>=IFERROR(ROUND(G19/$B152,0),0)</f>
        <v>0</v>
      </c>
      <c r="H152" s="46">
        <f>=IFERROR(ROUND(H19/$B152,0),0)</f>
        <v>0</v>
      </c>
      <c r="I152" s="46">
        <f>=IFERROR(ROUND(I19/$B152,0),0)</f>
        <v>0</v>
      </c>
      <c r="J152" s="46">
        <f>=IFERROR(ROUND(J19/$B152,0),0)</f>
        <v>0</v>
      </c>
      <c r="K152" s="46">
        <f>=IFERROR(ROUND(K19/$B152,0),0)</f>
        <v>0</v>
      </c>
      <c r="L152" s="46">
        <f>=IFERROR(ROUND(L19/$B152,0),0)</f>
        <v>0</v>
      </c>
      <c r="M152" s="46">
        <f>=IFERROR(ROUND(M19/$B152,0),0)</f>
        <v>0</v>
      </c>
      <c r="N152" s="46">
        <f>=IFERROR(ROUND(N19/$B152,0),0)</f>
        <v>0</v>
      </c>
      <c r="O152" s="46">
        <f>=IFERROR(ROUND(O19/$B152,0),0)</f>
        <v>0</v>
      </c>
      <c r="P152" s="46">
        <f>=IFERROR(ROUND(P19/$B152,0),0)</f>
        <v>0</v>
      </c>
      <c r="Q152" s="46">
        <f>=IFERROR(ROUND(Q19/$B152,0),0)</f>
        <v>0</v>
      </c>
      <c r="R152" s="46">
        <f>=IFERROR(ROUND(R19/$B152,0),0)</f>
        <v>0</v>
      </c>
      <c r="S152" s="46">
        <f>=IFERROR(ROUND(S19/$B152,0),0)</f>
        <v>0</v>
      </c>
      <c r="T152" s="46">
        <f>=IFERROR(ROUND(T19/$B152,0),0)</f>
        <v>0</v>
      </c>
      <c r="U152" s="46">
        <f>=IFERROR(ROUND(U19/$B152,0),0)</f>
        <v>0</v>
      </c>
      <c r="V152" s="46">
        <f>=IFERROR(ROUND(V19/$B152,0),0)</f>
        <v>0</v>
      </c>
      <c r="W152" s="46">
        <f>=IFERROR(ROUND(W19/$B152,0),0)</f>
        <v>0</v>
      </c>
      <c r="X152" s="46">
        <f>=IFERROR(ROUND(X19/$B152,0),0)</f>
        <v>0</v>
      </c>
      <c r="Y152" s="46">
        <f>=IFERROR(ROUND(Y19/$B152,0),0)</f>
        <v>0</v>
      </c>
      <c r="Z152" s="46">
        <f>=IFERROR(ROUND(Z19/$B152,0),0)</f>
        <v>0</v>
      </c>
      <c r="AA152" s="46">
        <f>=IFERROR(ROUND(AA19/$B152,0),0)</f>
        <v>0</v>
      </c>
      <c r="AB152" s="46">
        <f>=IFERROR(ROUND(AB19/$B152,0),0)</f>
        <v>0</v>
      </c>
      <c r="AC152" s="46">
        <f>=IFERROR(ROUND(AC19/$B152,0),0)</f>
        <v>0</v>
      </c>
      <c r="AD152" s="46">
        <f>=IFERROR(ROUND(AD19/$B152,0),0)</f>
        <v>0</v>
      </c>
      <c r="AE152" s="46">
        <f>=IFERROR(ROUND(AE19/$B152,0),0)</f>
        <v>0</v>
      </c>
      <c r="AF152" s="46">
        <f>=IFERROR(ROUND(AF19/$B152,0),0)</f>
        <v>0</v>
      </c>
      <c r="AG152" s="46">
        <f>=IFERROR(ROUND(AG19/$B152,0),0)</f>
        <v>0</v>
      </c>
      <c r="AH152" s="46">
        <f>=IFERROR(ROUND(AH19/$B152,0),0)</f>
        <v>0</v>
      </c>
      <c r="AI152" s="46">
        <f>=IFERROR(ROUND(AI19/$B152,0),0)</f>
        <v>0</v>
      </c>
      <c r="AJ152" s="46">
        <f>=IFERROR(ROUND(AJ19/$B152,0),0)</f>
        <v>0</v>
      </c>
      <c r="AK152" s="46">
        <f>=IFERROR(ROUND(AK19/$B152,0),0)</f>
        <v>0</v>
      </c>
      <c r="AL152" s="46">
        <f>=IFERROR(ROUND(AL19/$B152,0),0)</f>
        <v>0</v>
      </c>
      <c r="AM152" s="46">
        <f>=IFERROR(ROUND(AM19/$B152,0),0)</f>
        <v>0</v>
      </c>
      <c r="AN152" s="46">
        <f>=IFERROR(ROUND(AN19/$B152,0),0)</f>
        <v>0</v>
      </c>
      <c r="AO152" s="46">
        <f>=IFERROR(ROUND(AO19/$B152,0),0)</f>
        <v>0</v>
      </c>
      <c r="AP152" s="46">
        <f>=IFERROR(ROUND(AP19/$B152,0),0)</f>
        <v>0</v>
      </c>
      <c r="AQ152" s="46">
        <f>=IFERROR(ROUND(AQ19/$B152,0),0)</f>
        <v>0</v>
      </c>
      <c r="AR152" s="46">
        <f>=IFERROR(ROUND(AR19/$B152,0),0)</f>
        <v>0</v>
      </c>
      <c r="AS152" s="46">
        <f>=IFERROR(ROUND(AS19/$B152,0),0)</f>
        <v>0</v>
      </c>
      <c r="AT152" s="46">
        <f>=IFERROR(ROUND(AT19/$B152,0),0)</f>
        <v>0</v>
      </c>
      <c r="AU152" s="46">
        <f>=IFERROR(ROUND(AU19/$B152,0),0)</f>
        <v>0</v>
      </c>
      <c r="AV152" s="46">
        <f>=IFERROR(ROUND(AV19/$B152,0),0)</f>
        <v>0</v>
      </c>
      <c r="AW152" s="46">
        <f>=IFERROR(ROUND(AW19/$B152,0),0)</f>
        <v>0</v>
      </c>
      <c r="AX152" s="46">
        <f>=IFERROR(ROUND(AX19/$B152,0),0)</f>
        <v>0</v>
      </c>
      <c r="AY152" s="46">
        <f>=IFERROR(ROUND(AY19/$B152,0),0)</f>
        <v>0</v>
      </c>
      <c r="AZ152" s="46">
        <f>=IFERROR(ROUND(AZ19/$B152,0),0)</f>
        <v>0</v>
      </c>
      <c r="BA152" s="46">
        <f>=IFERROR(ROUND(BA19/$B152,0),0)</f>
        <v>0</v>
      </c>
      <c r="BB152" s="46">
        <f>=IFERROR(ROUND(BB19/$B152,0),0)</f>
        <v>0</v>
      </c>
      <c r="BC152" s="46">
        <f>=IFERROR(ROUND(BC19/$B152,0),0)</f>
        <v>0</v>
      </c>
      <c r="BD152" s="46">
        <f>=IFERROR(ROUND(BD19/$B152,0),0)</f>
        <v>0</v>
      </c>
      <c r="BE152" s="46">
        <f>=IFERROR(ROUND(BE19/$B152,0),0)</f>
        <v>0</v>
      </c>
      <c r="BF152" s="46">
        <f>=IFERROR(ROUND(BF19/$B152,0),0)</f>
        <v>0</v>
      </c>
      <c r="BG152" s="46">
        <f>=IFERROR(ROUND(BG19/$B152,0),0)</f>
        <v>0</v>
      </c>
      <c r="BH152" s="46">
        <f>=IFERROR(ROUND(BH19/$B152,0),0)</f>
        <v>0</v>
      </c>
      <c r="BI152" s="46">
        <f>=IFERROR(ROUND(BI19/$B152,0),0)</f>
        <v>0</v>
      </c>
      <c r="BJ152" s="46">
        <f>=IFERROR(ROUND(BJ19/$B152,0),0)</f>
        <v>0</v>
      </c>
      <c r="BK152" s="46">
        <f>=IFERROR(ROUND(BK19/$B152,0),0)</f>
        <v>0</v>
      </c>
      <c r="BL152" s="73">
        <f>=IFERROR(ROUND(BL19/$B152,0),0)</f>
        <v>0</v>
      </c>
      <c r="BM152" s="46">
        <f>=IFERROR(ROUND(BM19/$B152,0),0)</f>
        <v>0</v>
      </c>
      <c r="BN152" s="46">
        <f>=IFERROR(ROUND(BN19/$B152,0),0)</f>
        <v>0</v>
      </c>
      <c r="BO152" s="46">
        <f>=IFERROR(ROUND(BO19/$B152,0),0)</f>
        <v>0</v>
      </c>
      <c r="BP152" s="46">
        <f>=IFERROR(ROUND(BP19/$B152,0),0)</f>
        <v>0</v>
      </c>
      <c r="BQ152" s="46">
        <f>=IFERROR(ROUND(BQ19/$B152,0),0)</f>
        <v>0</v>
      </c>
      <c r="BR152" s="46">
        <f>=IFERROR(ROUND(BR19/$B152,0),0)</f>
        <v>0</v>
      </c>
      <c r="BS152" s="46">
        <f>=IFERROR(ROUND(BS19/$B152,0),0)</f>
        <v>0</v>
      </c>
      <c r="BT152" s="46">
        <f>=IFERROR(ROUND(BT19/$B152,0),0)</f>
        <v>0</v>
      </c>
      <c r="BU152" s="46">
        <f>=IFERROR(ROUND(BU19/$B152,0),0)</f>
        <v>0</v>
      </c>
      <c r="BV152" s="46">
        <f>=IFERROR(ROUND(BV19/$B152,0),0)</f>
        <v>0</v>
      </c>
      <c r="BW152" s="46">
        <f>=IFERROR(ROUND(BW19/$B152,0),0)</f>
        <v>0</v>
      </c>
      <c r="BX152" s="46">
        <f>=IFERROR(ROUND(BX19/$B152,0),0)</f>
        <v>0</v>
      </c>
      <c r="BY152" s="73">
        <f>=IFERROR(ROUND(BY19/$B152,0),0)</f>
        <v>0</v>
      </c>
      <c r="BZ152" s="46">
        <f>=IFERROR(ROUND(BZ19/$B152,0),0)</f>
        <v>0</v>
      </c>
      <c r="CA152" s="46">
        <f>=IFERROR(ROUND(CA19/$B152,0),0)</f>
        <v>0</v>
      </c>
      <c r="CB152" s="46">
        <f>=IFERROR(ROUND(CB19/$B152,0),0)</f>
        <v>0</v>
      </c>
      <c r="CC152" s="46">
        <f>=IFERROR(ROUND(CC19/$B152,0),0)</f>
        <v>0</v>
      </c>
      <c r="CD152" s="46">
        <f>=IFERROR(ROUND(CD19/$B152,0),0)</f>
        <v>0</v>
      </c>
      <c r="CE152" s="46">
        <f>=IFERROR(ROUND(CE19/$B152,0),0)</f>
        <v>0</v>
      </c>
      <c r="CF152" s="46">
        <f>=IFERROR(ROUND(CF19/$B152,0),0)</f>
        <v>0</v>
      </c>
      <c r="CG152" s="46">
        <f>=IFERROR(ROUND(CG19/$B152,0),0)</f>
        <v>0</v>
      </c>
      <c r="CH152" s="46">
        <f>=IFERROR(ROUND(CH19/$B152,0),0)</f>
        <v>0</v>
      </c>
      <c r="CI152" s="46">
        <f>=IFERROR(ROUND(CI19/$B152,0),0)</f>
        <v>0</v>
      </c>
      <c r="CJ152" s="46">
        <f>=IFERROR(ROUND(CJ19/$B152,0),0)</f>
        <v>0</v>
      </c>
      <c r="CK152" s="46">
        <f>=IFERROR(ROUND(CK19/$B152,0),0)</f>
        <v>0</v>
      </c>
      <c r="CL152" s="46">
        <f>=IFERROR(ROUND(CL19/$B152,0),0)</f>
        <v>0</v>
      </c>
      <c r="CM152" s="46">
        <f>=IFERROR(ROUND(CM19/$B152,0),0)</f>
        <v>0</v>
      </c>
      <c r="CN152" s="46">
        <f>=IFERROR(ROUND(CN19/$B152,0),0)</f>
        <v>0</v>
      </c>
      <c r="CO152" s="46">
        <f>=IFERROR(ROUND(CO19/$B152,0),0)</f>
        <v>0</v>
      </c>
      <c r="CP152" s="46">
        <f>=IFERROR(ROUND(CP19/$B152,0),0)</f>
        <v>0</v>
      </c>
      <c r="CQ152" s="46">
        <f>=IFERROR(ROUND(CQ19/$B152,0),0)</f>
        <v>0</v>
      </c>
      <c r="CR152" s="46">
        <f>=IFERROR(ROUND(CR19/$B152,0),0)</f>
        <v>0</v>
      </c>
      <c r="CS152" s="46">
        <f>=IFERROR(ROUND(CS19/$B152,0),0)</f>
        <v>0</v>
      </c>
      <c r="CT152" s="73">
        <f>=IFERROR(ROUND(CT19/$B152,0),0)</f>
        <v>0</v>
      </c>
      <c r="CU152" s="46">
        <f>=IFERROR(ROUND(CU19/$B152,0),0)</f>
        <v>0</v>
      </c>
      <c r="CV152" s="46">
        <f>=IFERROR(ROUND(CV19/$B152,0),0)</f>
        <v>0</v>
      </c>
      <c r="CW152" s="73">
        <f>=IFERROR(ROUND(CW19/$B152,0),0)</f>
        <v>0</v>
      </c>
      <c r="CX152" s="73">
        <f>=IFERROR(ROUND(CX19/$B152,0),0)</f>
        <v>0</v>
      </c>
      <c r="CY152" s="46">
        <f>=IFERROR(ROUND(CY19/$B152,0),0)</f>
        <v>0</v>
      </c>
      <c r="CZ152" s="46">
        <f>=IFERROR(ROUND(CZ19/$B152,0),0)</f>
        <v>0</v>
      </c>
      <c r="DA152" s="46">
        <f>=IFERROR(ROUND(DA19/$B152,0),0)</f>
        <v>0</v>
      </c>
      <c r="DB152" s="46">
        <f>=IFERROR(ROUND(DB19/$B152,0),0)</f>
        <v>0</v>
      </c>
    </row>
    <row r="153" spans="1:106" x14ac:dyDescent="0.25">
      <c r="A153" s="17" t="s">
        <v>360</v>
      </c>
      <c r="B153" s="17">
        <v>100</v>
      </c>
      <c r="C153" s="46">
        <f>=IFERROR(ROUND(C10/$B153,0),0)</f>
        <v>0</v>
      </c>
      <c r="D153" s="46">
        <f>=IFERROR(ROUND(D10/$B153,0),0)</f>
        <v>0</v>
      </c>
      <c r="E153" s="46">
        <f>=IFERROR(ROUND(E10/$B153,0),0)</f>
        <v>0</v>
      </c>
      <c r="F153" s="46">
        <f>=IFERROR(ROUND(F10/$B153,0),0)</f>
        <v>0</v>
      </c>
      <c r="G153" s="46">
        <f>=IFERROR(ROUND(G10/$B153,0),0)</f>
        <v>0</v>
      </c>
      <c r="H153" s="46">
        <f>=IFERROR(ROUND(H10/$B153,0),0)</f>
        <v>0</v>
      </c>
      <c r="I153" s="46">
        <f>=IFERROR(ROUND(I10/$B153,0),0)</f>
        <v>0</v>
      </c>
      <c r="J153" s="46">
        <f>=IFERROR(ROUND(J10/$B153,0),0)</f>
        <v>0</v>
      </c>
      <c r="K153" s="46">
        <f>=IFERROR(ROUND(K10/$B153,0),0)</f>
        <v>0</v>
      </c>
      <c r="L153" s="46">
        <f>=IFERROR(ROUND(L10/$B153,0),0)</f>
        <v>0</v>
      </c>
      <c r="M153" s="46">
        <f>=IFERROR(ROUND(M10/$B153,0),0)</f>
        <v>0</v>
      </c>
      <c r="N153" s="46">
        <f>=IFERROR(ROUND(N10/$B153,0),0)</f>
        <v>0</v>
      </c>
      <c r="O153" s="46">
        <f>=IFERROR(ROUND(O10/$B153,0),0)</f>
        <v>0</v>
      </c>
      <c r="P153" s="46">
        <f>=IFERROR(ROUND(P10/$B153,0),0)</f>
        <v>0</v>
      </c>
      <c r="Q153" s="46">
        <f>=IFERROR(ROUND(Q10/$B153,0),0)</f>
        <v>0</v>
      </c>
      <c r="R153" s="46">
        <f>=IFERROR(ROUND(R10/$B153,0),0)</f>
        <v>0</v>
      </c>
      <c r="S153" s="46">
        <f>=IFERROR(ROUND(S10/$B153,0),0)</f>
        <v>0</v>
      </c>
      <c r="T153" s="46">
        <f>=IFERROR(ROUND(T10/$B153,0),0)</f>
        <v>0</v>
      </c>
      <c r="U153" s="46">
        <f>=IFERROR(ROUND(U10/$B153,0),0)</f>
        <v>0</v>
      </c>
      <c r="V153" s="46">
        <f>=IFERROR(ROUND(V10/$B153,0),0)</f>
        <v>0</v>
      </c>
      <c r="W153" s="46">
        <f>=IFERROR(ROUND(W10/$B153,0),0)</f>
        <v>0</v>
      </c>
      <c r="X153" s="46">
        <f>=IFERROR(ROUND(X10/$B153,0),0)</f>
        <v>0</v>
      </c>
      <c r="Y153" s="46">
        <f>=IFERROR(ROUND(Y10/$B153,0),0)</f>
        <v>0</v>
      </c>
      <c r="Z153" s="46">
        <f>=IFERROR(ROUND(Z10/$B153,0),0)</f>
        <v>0</v>
      </c>
      <c r="AA153" s="46">
        <f>=IFERROR(ROUND(AA10/$B153,0),0)</f>
        <v>0</v>
      </c>
      <c r="AB153" s="46">
        <f>=IFERROR(ROUND(AB10/$B153,0),0)</f>
        <v>0</v>
      </c>
      <c r="AC153" s="46">
        <f>=IFERROR(ROUND(AC10/$B153,0),0)</f>
        <v>0</v>
      </c>
      <c r="AD153" s="46">
        <f>=IFERROR(ROUND(AD10/$B153,0),0)</f>
        <v>0</v>
      </c>
      <c r="AE153" s="46">
        <f>=IFERROR(ROUND(AE10/$B153,0),0)</f>
        <v>0</v>
      </c>
      <c r="AF153" s="46">
        <f>=IFERROR(ROUND(AF10/$B153,0),0)</f>
        <v>0</v>
      </c>
      <c r="AG153" s="46">
        <f>=IFERROR(ROUND(AG10/$B153,0),0)</f>
        <v>0</v>
      </c>
      <c r="AH153" s="46">
        <f>=IFERROR(ROUND(AH10/$B153,0),0)</f>
        <v>0</v>
      </c>
      <c r="AI153" s="46">
        <f>=IFERROR(ROUND(AI10/$B153,0),0)</f>
        <v>0</v>
      </c>
      <c r="AJ153" s="46">
        <f>=IFERROR(ROUND(AJ10/$B153,0),0)</f>
        <v>0</v>
      </c>
      <c r="AK153" s="46">
        <f>=IFERROR(ROUND(AK10/$B153,0),0)</f>
        <v>0</v>
      </c>
      <c r="AL153" s="46">
        <f>=IFERROR(ROUND(AL10/$B153,0),0)</f>
        <v>0</v>
      </c>
      <c r="AM153" s="46">
        <f>=IFERROR(ROUND(AM10/$B153,0),0)</f>
        <v>0</v>
      </c>
      <c r="AN153" s="46">
        <f>=IFERROR(ROUND(AN10/$B153,0),0)</f>
        <v>0</v>
      </c>
      <c r="AO153" s="46">
        <f>=IFERROR(ROUND(AO10/$B153,0),0)</f>
        <v>0</v>
      </c>
      <c r="AP153" s="46">
        <f>=IFERROR(ROUND(AP10/$B153,0),0)</f>
        <v>0</v>
      </c>
      <c r="AQ153" s="46">
        <f>=IFERROR(ROUND(AQ10/$B153,0),0)</f>
        <v>0</v>
      </c>
      <c r="AR153" s="46">
        <f>=IFERROR(ROUND(AR10/$B153,0),0)</f>
        <v>0</v>
      </c>
      <c r="AS153" s="46">
        <f>=IFERROR(ROUND(AS10/$B153,0),0)</f>
        <v>0</v>
      </c>
      <c r="AT153" s="46">
        <f>=IFERROR(ROUND(AT10/$B153,0),0)</f>
        <v>0</v>
      </c>
      <c r="AU153" s="46">
        <f>=IFERROR(ROUND(AU10/$B153,0),0)</f>
        <v>0</v>
      </c>
      <c r="AV153" s="46">
        <f>=IFERROR(ROUND(AV10/$B153,0),0)</f>
        <v>0</v>
      </c>
      <c r="AW153" s="46">
        <f>=IFERROR(ROUND(AW10/$B153,0),0)</f>
        <v>0</v>
      </c>
      <c r="AX153" s="46">
        <f>=IFERROR(ROUND(AX10/$B153,0),0)</f>
        <v>0</v>
      </c>
      <c r="AY153" s="46">
        <f>=IFERROR(ROUND(AY10/$B153,0),0)</f>
        <v>0</v>
      </c>
      <c r="AZ153" s="46">
        <f>=IFERROR(ROUND(AZ10/$B153,0),0)</f>
        <v>0</v>
      </c>
      <c r="BA153" s="46">
        <f>=IFERROR(ROUND(BA10/$B153,0),0)</f>
        <v>0</v>
      </c>
      <c r="BB153" s="46">
        <f>=IFERROR(ROUND(BB10/$B153,0),0)</f>
        <v>0</v>
      </c>
      <c r="BC153" s="46">
        <f>=IFERROR(ROUND(BC10/$B153,0),0)</f>
        <v>0</v>
      </c>
      <c r="BD153" s="46">
        <f>=IFERROR(ROUND(BD10/$B153,0),0)</f>
        <v>0</v>
      </c>
      <c r="BE153" s="46">
        <f>=IFERROR(ROUND(BE10/$B153,0),0)</f>
        <v>0</v>
      </c>
      <c r="BF153" s="46">
        <f>=IFERROR(ROUND(BF10/$B153,0),0)</f>
        <v>0</v>
      </c>
      <c r="BG153" s="46">
        <f>=IFERROR(ROUND(BG10/$B153,0),0)</f>
        <v>0</v>
      </c>
      <c r="BH153" s="73">
        <f>=IFERROR(ROUND(BH10/$B153,0),0)</f>
        <v>0</v>
      </c>
      <c r="BI153" s="46">
        <f>=IFERROR(ROUND(BI10/$B153,0),0)</f>
        <v>0</v>
      </c>
      <c r="BJ153" s="46">
        <f>=IFERROR(ROUND(BJ10/$B153,0),0)</f>
        <v>0</v>
      </c>
      <c r="BK153" s="46">
        <f>=IFERROR(ROUND(BK10/$B153,0),0)</f>
        <v>0</v>
      </c>
      <c r="BL153" s="73">
        <f>=IFERROR(ROUND(BL10/$B153,0),0)</f>
        <v>0</v>
      </c>
      <c r="BM153" s="46">
        <f>=IFERROR(ROUND(BM10/$B153,0),0)</f>
        <v>0</v>
      </c>
      <c r="BN153" s="46">
        <f>=IFERROR(ROUND(BN10/$B153,0),0)</f>
        <v>0</v>
      </c>
      <c r="BO153" s="73">
        <f>=IFERROR(ROUND(BO10/$B153,0),0)</f>
        <v>0</v>
      </c>
      <c r="BP153" s="46">
        <f>=IFERROR(ROUND(BP10/$B153,0),0)</f>
        <v>0</v>
      </c>
      <c r="BQ153" s="46">
        <f>=IFERROR(ROUND(BQ10/$B153,0),0)</f>
        <v>0</v>
      </c>
      <c r="BR153" s="46">
        <f>=IFERROR(ROUND(BR10/$B153,0),0)</f>
        <v>0</v>
      </c>
      <c r="BS153" s="46">
        <f>=IFERROR(ROUND(BS10/$B153,0),0)</f>
        <v>0</v>
      </c>
      <c r="BT153" s="46">
        <f>=IFERROR(ROUND(BT10/$B153,0),0)</f>
        <v>0</v>
      </c>
      <c r="BU153" s="46">
        <f>=IFERROR(ROUND(BU10/$B153,0),0)</f>
        <v>0</v>
      </c>
      <c r="BV153" s="46">
        <f>=IFERROR(ROUND(BV10/$B153,0),0)</f>
        <v>0</v>
      </c>
      <c r="BW153" s="46">
        <f>=IFERROR(ROUND(BW10/$B153,0),0)</f>
        <v>0</v>
      </c>
      <c r="BX153" s="46">
        <f>=IFERROR(ROUND(BX10/$B153,0),0)</f>
        <v>0</v>
      </c>
      <c r="BY153" s="46">
        <f>=IFERROR(ROUND(BY10/$B153,0),0)</f>
        <v>0</v>
      </c>
      <c r="BZ153" s="46">
        <f>=IFERROR(ROUND(BZ10/$B153,0),0)</f>
        <v>0</v>
      </c>
      <c r="CA153" s="46">
        <f>=IFERROR(ROUND(CA10/$B153,0),0)</f>
        <v>0</v>
      </c>
      <c r="CB153" s="46">
        <f>=IFERROR(ROUND(CB10/$B153,0),0)</f>
        <v>0</v>
      </c>
      <c r="CC153" s="46">
        <f>=IFERROR(ROUND(CC10/$B153,0),0)</f>
        <v>0</v>
      </c>
      <c r="CD153" s="73">
        <f>=IFERROR(ROUND(CD10/$B153,0),0)</f>
        <v>0</v>
      </c>
      <c r="CE153" s="73">
        <f>=IFERROR(ROUND(CE10/$B153,0),0)</f>
        <v>0</v>
      </c>
      <c r="CF153" s="46">
        <f>=IFERROR(ROUND(CF10/$B153,0),0)</f>
        <v>0</v>
      </c>
      <c r="CG153" s="46">
        <f>=IFERROR(ROUND(CG10/$B153,0),0)</f>
        <v>0</v>
      </c>
      <c r="CH153" s="46">
        <f>=IFERROR(ROUND(CH10/$B153,0),0)</f>
        <v>0</v>
      </c>
      <c r="CI153" s="46">
        <f>=IFERROR(ROUND(CI10/$B153,0),0)</f>
        <v>0</v>
      </c>
      <c r="CJ153" s="46">
        <f>=IFERROR(ROUND(CJ10/$B153,0),0)</f>
        <v>0</v>
      </c>
      <c r="CK153" s="46">
        <f>=IFERROR(ROUND(CK10/$B153,0),0)</f>
        <v>0</v>
      </c>
      <c r="CL153" s="46">
        <f>=IFERROR(ROUND(CL10/$B153,0),0)</f>
        <v>0</v>
      </c>
      <c r="CM153" s="46">
        <f>=IFERROR(ROUND(CM10/$B153,0),0)</f>
        <v>0</v>
      </c>
      <c r="CN153" s="46">
        <f>=IFERROR(ROUND(CN10/$B153,0),0)</f>
        <v>0</v>
      </c>
      <c r="CO153" s="46">
        <f>=IFERROR(ROUND(CO10/$B153,0),0)</f>
        <v>0</v>
      </c>
      <c r="CP153" s="46">
        <f>=IFERROR(ROUND(CP10/$B153,0),0)</f>
        <v>0</v>
      </c>
      <c r="CQ153" s="46">
        <f>=IFERROR(ROUND(CQ10/$B153,0),0)</f>
        <v>0</v>
      </c>
      <c r="CR153" s="46">
        <f>=IFERROR(ROUND(CR10/$B153,0),0)</f>
        <v>0</v>
      </c>
      <c r="CS153" s="46">
        <f>=IFERROR(ROUND(CS10/$B153,0),0)</f>
        <v>0</v>
      </c>
      <c r="CT153" s="46">
        <f>=IFERROR(ROUND(CT10/$B153,0),0)</f>
        <v>0</v>
      </c>
      <c r="CU153" s="46">
        <f>=IFERROR(ROUND(CU10/$B153,0),0)</f>
        <v>0</v>
      </c>
      <c r="CV153" s="46">
        <f>=IFERROR(ROUND(CV10/$B153,0),0)</f>
        <v>0</v>
      </c>
      <c r="CW153" s="73">
        <f>=IFERROR(ROUND(CW10/$B153,0),0)</f>
        <v>0</v>
      </c>
      <c r="CX153" s="46">
        <f>=IFERROR(ROUND(CX10/$B153,0),0)</f>
        <v>0</v>
      </c>
      <c r="CY153" s="46">
        <f>=IFERROR(ROUND(CY10/$B153,0),0)</f>
        <v>0</v>
      </c>
      <c r="CZ153" s="46">
        <f>=IFERROR(ROUND(CZ10/$B153,0),0)</f>
        <v>0</v>
      </c>
      <c r="DA153" s="46">
        <f>=IFERROR(ROUND(DA10/$B153,0),0)</f>
        <v>0</v>
      </c>
      <c r="DB153" s="46">
        <f>=IFERROR(ROUND(DB10/$B153,0),0)</f>
        <v>0</v>
      </c>
    </row>
    <row r="154" spans="1:106" x14ac:dyDescent="0.25">
      <c r="A154" s="17" t="s">
        <v>361</v>
      </c>
      <c r="B154" s="17">
        <v>5</v>
      </c>
      <c r="C154" s="46">
        <f>=IFERROR(ROUND((C21+C22)/$B154,0),0)</f>
        <v>0</v>
      </c>
      <c r="D154" s="46">
        <f>=IFERROR(ROUND((D21+D22)/$B154,0),0)</f>
        <v>0</v>
      </c>
      <c r="E154" s="46">
        <f>=IFERROR(ROUND((E21+E22)/$B154,0),0)</f>
        <v>0</v>
      </c>
      <c r="F154" s="46">
        <f>=IFERROR(ROUND((F21+F22)/$B154,0),0)</f>
        <v>0</v>
      </c>
      <c r="G154" s="46">
        <f>=IFERROR(ROUND((G21+G22)/$B154,0),0)</f>
        <v>0</v>
      </c>
      <c r="H154" s="46">
        <f>=IFERROR(ROUND((H21+H22)/$B154,0),0)</f>
        <v>0</v>
      </c>
      <c r="I154" s="46">
        <f>=IFERROR(ROUND((I21+I22)/$B154,0),0)</f>
        <v>0</v>
      </c>
      <c r="J154" s="46">
        <f>=IFERROR(ROUND((J21+J22)/$B154,0),0)</f>
        <v>0</v>
      </c>
      <c r="K154" s="46">
        <f>=IFERROR(ROUND((K21+K22)/$B154,0),0)</f>
        <v>0</v>
      </c>
      <c r="L154" s="46">
        <f>=IFERROR(ROUND((L21+L22)/$B154,0),0)</f>
        <v>0</v>
      </c>
      <c r="M154" s="46">
        <f>=IFERROR(ROUND((M21+M22)/$B154,0),0)</f>
        <v>0</v>
      </c>
      <c r="N154" s="46">
        <f>=IFERROR(ROUND((N21+N22)/$B154,0),0)</f>
        <v>0</v>
      </c>
      <c r="O154" s="46">
        <f>=IFERROR(ROUND((O21+O22)/$B154,0),0)</f>
        <v>0</v>
      </c>
      <c r="P154" s="46">
        <f>=IFERROR(ROUND((P21+P22)/$B154,0),0)</f>
        <v>0</v>
      </c>
      <c r="Q154" s="46">
        <f>=IFERROR(ROUND((Q21+Q22)/$B154,0),0)</f>
        <v>0</v>
      </c>
      <c r="R154" s="46">
        <f>=IFERROR(ROUND((R21+R22)/$B154,0),0)</f>
        <v>0</v>
      </c>
      <c r="S154" s="46">
        <f>=IFERROR(ROUND((S21+S22)/$B154,0),0)</f>
        <v>0</v>
      </c>
      <c r="T154" s="46">
        <f>=IFERROR(ROUND((T21+T22)/$B154,0),0)</f>
        <v>0</v>
      </c>
      <c r="U154" s="46">
        <f>=IFERROR(ROUND((U21+U22)/$B154,0),0)</f>
        <v>0</v>
      </c>
      <c r="V154" s="46">
        <f>=IFERROR(ROUND((V21+V22)/$B154,0),0)</f>
        <v>0</v>
      </c>
      <c r="W154" s="46">
        <f>=IFERROR(ROUND((W21+W22)/$B154,0),0)</f>
        <v>0</v>
      </c>
      <c r="X154" s="46">
        <f>=IFERROR(ROUND((X21+X22)/$B154,0),0)</f>
        <v>0</v>
      </c>
      <c r="Y154" s="46">
        <f>=IFERROR(ROUND((Y21+Y22)/$B154,0),0)</f>
        <v>0</v>
      </c>
      <c r="Z154" s="46">
        <f>=IFERROR(ROUND((Z21+Z22)/$B154,0),0)</f>
        <v>0</v>
      </c>
      <c r="AA154" s="46">
        <f>=IFERROR(ROUND((AA21+AA22)/$B154,0),0)</f>
        <v>0</v>
      </c>
      <c r="AB154" s="46">
        <f>=IFERROR(ROUND((AB21+AB22)/$B154,0),0)</f>
        <v>0</v>
      </c>
      <c r="AC154" s="46">
        <f>=IFERROR(ROUND((AC21+AC22)/$B154,0),0)</f>
        <v>0</v>
      </c>
      <c r="AD154" s="46">
        <f>=IFERROR(ROUND((AD21+AD22)/$B154,0),0)</f>
        <v>0</v>
      </c>
      <c r="AE154" s="46">
        <f>=IFERROR(ROUND((AE21+AE22)/$B154,0),0)</f>
        <v>0</v>
      </c>
      <c r="AF154" s="46">
        <f>=IFERROR(ROUND((AF21+AF22)/$B154,0),0)</f>
        <v>0</v>
      </c>
      <c r="AG154" s="46">
        <f>=IFERROR(ROUND((AG21+AG22)/$B154,0),0)</f>
        <v>0</v>
      </c>
      <c r="AH154" s="46">
        <f>=IFERROR(ROUND((AH21+AH22)/$B154,0),0)</f>
        <v>0</v>
      </c>
      <c r="AI154" s="46">
        <f>=IFERROR(ROUND((AI21+AI22)/$B154,0),0)</f>
        <v>0</v>
      </c>
      <c r="AJ154" s="46">
        <f>=IFERROR(ROUND((AJ21+AJ22)/$B154,0),0)</f>
        <v>0</v>
      </c>
      <c r="AK154" s="46">
        <f>=IFERROR(ROUND((AK21+AK22)/$B154,0),0)</f>
        <v>0</v>
      </c>
      <c r="AL154" s="46">
        <f>=IFERROR(ROUND((AL21+AL22)/$B154,0),0)</f>
        <v>0</v>
      </c>
      <c r="AM154" s="46">
        <f>=IFERROR(ROUND((AM21+AM22)/$B154,0),0)</f>
        <v>0</v>
      </c>
      <c r="AN154" s="46">
        <f>=IFERROR(ROUND((AN21+AN22)/$B154,0),0)</f>
        <v>0</v>
      </c>
      <c r="AO154" s="46">
        <f>=IFERROR(ROUND((AO21+AO22)/$B154,0),0)</f>
        <v>0</v>
      </c>
      <c r="AP154" s="46">
        <f>=IFERROR(ROUND((AP21+AP22)/$B154,0),0)</f>
        <v>0</v>
      </c>
      <c r="AQ154" s="46">
        <f>=IFERROR(ROUND((AQ21+AQ22)/$B154,0),0)</f>
        <v>0</v>
      </c>
      <c r="AR154" s="46">
        <f>=IFERROR(ROUND((AR21+AR22)/$B154,0),0)</f>
        <v>0</v>
      </c>
      <c r="AS154" s="46">
        <f>=IFERROR(ROUND((AS21+AS22)/$B154,0),0)</f>
        <v>0</v>
      </c>
      <c r="AT154" s="46">
        <f>=IFERROR(ROUND((AT21+AT22)/$B154,0),0)</f>
        <v>0</v>
      </c>
      <c r="AU154" s="46">
        <f>=IFERROR(ROUND((AU21+AU22)/$B154,0),0)</f>
        <v>0</v>
      </c>
      <c r="AV154" s="46">
        <f>=IFERROR(ROUND((AV21+AV22)/$B154,0),0)</f>
        <v>0</v>
      </c>
      <c r="AW154" s="46">
        <f>=IFERROR(ROUND((AW21+AW22)/$B154,0),0)</f>
        <v>0</v>
      </c>
      <c r="AX154" s="46">
        <f>=IFERROR(ROUND((AX21+AX22)/$B154,0),0)</f>
        <v>0</v>
      </c>
      <c r="AY154" s="46">
        <f>=IFERROR(ROUND((AY21+AY22)/$B154,0),0)</f>
        <v>0</v>
      </c>
      <c r="AZ154" s="46">
        <f>=IFERROR(ROUND((AZ21+AZ22)/$B154,0),0)</f>
        <v>0</v>
      </c>
      <c r="BA154" s="46">
        <f>=IFERROR(ROUND((BA21+BA22)/$B154,0),0)</f>
        <v>0</v>
      </c>
      <c r="BB154" s="46">
        <f>=IFERROR(ROUND((BB21+BB22)/$B154,0),0)</f>
        <v>0</v>
      </c>
      <c r="BC154" s="46">
        <f>=IFERROR(ROUND((BC21+BC22)/$B154,0),0)</f>
        <v>0</v>
      </c>
      <c r="BD154" s="46">
        <f>=IFERROR(ROUND((BD21+BD22)/$B154,0),0)</f>
        <v>0</v>
      </c>
      <c r="BE154" s="46">
        <f>=IFERROR(ROUND((BE21+BE22)/$B154,0),0)</f>
        <v>0</v>
      </c>
      <c r="BF154" s="46">
        <f>=IFERROR(ROUND((BF21+BF22)/$B154,0),0)</f>
        <v>0</v>
      </c>
      <c r="BG154" s="46">
        <f>=IFERROR(ROUND((BG21+BG22)/$B154,0),0)</f>
        <v>0</v>
      </c>
      <c r="BH154" s="46">
        <f>=IFERROR(ROUND((BH21+BH22)/$B154,0),0)</f>
        <v>0</v>
      </c>
      <c r="BI154" s="46">
        <f>=IFERROR(ROUND((BI21+BI22)/$B154,0),0)</f>
        <v>0</v>
      </c>
      <c r="BJ154" s="46">
        <f>=IFERROR(ROUND((BJ21+BJ22)/$B154,0),0)</f>
        <v>0</v>
      </c>
      <c r="BK154" s="46">
        <f>=IFERROR(ROUND((BK21+BK22)/$B154,0),0)</f>
        <v>0</v>
      </c>
      <c r="BL154" s="46">
        <f>=IFERROR(ROUND((BL21+BL22)/$B154,0),0)</f>
        <v>0</v>
      </c>
      <c r="BM154" s="46">
        <f>=IFERROR(ROUND((BM21+BM22)/$B154,0),0)</f>
        <v>0</v>
      </c>
      <c r="BN154" s="46">
        <f>=IFERROR(ROUND((BN21+BN22)/$B154,0),0)</f>
        <v>0</v>
      </c>
      <c r="BO154" s="46">
        <f>=IFERROR(ROUND((BO21+BO22)/$B154,0),0)</f>
        <v>0</v>
      </c>
      <c r="BP154" s="46">
        <f>=IFERROR(ROUND((BP21+BP22)/$B154,0),0)</f>
        <v>0</v>
      </c>
      <c r="BQ154" s="46">
        <f>=IFERROR(ROUND((BQ21+BQ22)/$B154,0),0)</f>
        <v>0</v>
      </c>
      <c r="BR154" s="46">
        <f>=IFERROR(ROUND((BR21+BR22)/$B154,0),0)</f>
        <v>0</v>
      </c>
      <c r="BS154" s="46">
        <f>=IFERROR(ROUND((BS21+BS22)/$B154,0),0)</f>
        <v>0</v>
      </c>
      <c r="BT154" s="46">
        <f>=IFERROR(ROUND((BT21+BT22)/$B154,0),0)</f>
        <v>0</v>
      </c>
      <c r="BU154" s="46">
        <f>=IFERROR(ROUND((BU21+BU22)/$B154,0),0)</f>
        <v>0</v>
      </c>
      <c r="BV154" s="46">
        <f>=IFERROR(ROUND((BV21+BV22)/$B154,0),0)</f>
        <v>0</v>
      </c>
      <c r="BW154" s="46">
        <f>=IFERROR(ROUND((BW21+BW22)/$B154,0),0)</f>
        <v>0</v>
      </c>
      <c r="BX154" s="46">
        <f>=IFERROR(ROUND((BX21+BX22)/$B154,0),0)</f>
        <v>0</v>
      </c>
      <c r="BY154" s="46">
        <f>=IFERROR(ROUND((BY21+BY22)/$B154,0),0)</f>
        <v>0</v>
      </c>
      <c r="BZ154" s="46">
        <f>=IFERROR(ROUND((BZ21+BZ22)/$B154,0),0)</f>
        <v>0</v>
      </c>
      <c r="CA154" s="46">
        <f>=IFERROR(ROUND((CA21+CA22)/$B154,0),0)</f>
        <v>0</v>
      </c>
      <c r="CB154" s="46">
        <f>=IFERROR(ROUND((CB21+CB22)/$B154,0),0)</f>
        <v>0</v>
      </c>
      <c r="CC154" s="46">
        <f>=IFERROR(ROUND((CC21+CC22)/$B154,0),0)</f>
        <v>0</v>
      </c>
      <c r="CD154" s="46">
        <f>=IFERROR(ROUND((CD21+CD22)/$B154,0),0)</f>
        <v>0</v>
      </c>
      <c r="CE154" s="46">
        <f>=IFERROR(ROUND((CE21+CE22)/$B154,0),0)</f>
        <v>0</v>
      </c>
      <c r="CF154" s="46">
        <f>=IFERROR(ROUND((CF21+CF22)/$B154,0),0)</f>
        <v>0</v>
      </c>
      <c r="CG154" s="46">
        <f>=IFERROR(ROUND((CG21+CG22)/$B154,0),0)</f>
        <v>0</v>
      </c>
      <c r="CH154" s="46">
        <f>=IFERROR(ROUND((CH21+CH22)/$B154,0),0)</f>
        <v>0</v>
      </c>
      <c r="CI154" s="46">
        <f>=IFERROR(ROUND((CI21+CI22)/$B154,0),0)</f>
        <v>0</v>
      </c>
      <c r="CJ154" s="46">
        <f>=IFERROR(ROUND((CJ21+CJ22)/$B154,0),0)</f>
        <v>0</v>
      </c>
      <c r="CK154" s="46">
        <f>=IFERROR(ROUND((CK21+CK22)/$B154,0),0)</f>
        <v>0</v>
      </c>
      <c r="CL154" s="46">
        <f>=IFERROR(ROUND((CL21+CL22)/$B154,0),0)</f>
        <v>0</v>
      </c>
      <c r="CM154" s="46">
        <f>=IFERROR(ROUND((CM21+CM22)/$B154,0),0)</f>
        <v>0</v>
      </c>
      <c r="CN154" s="46">
        <f>=IFERROR(ROUND((CN21+CN22)/$B154,0),0)</f>
        <v>0</v>
      </c>
      <c r="CO154" s="46">
        <f>=IFERROR(ROUND((CO21+CO22)/$B154,0),0)</f>
        <v>0</v>
      </c>
      <c r="CP154" s="46">
        <f>=IFERROR(ROUND((CP21+CP22)/$B154,0),0)</f>
        <v>0</v>
      </c>
      <c r="CQ154" s="46">
        <f>=IFERROR(ROUND((CQ21+CQ22)/$B154,0),0)</f>
        <v>0</v>
      </c>
      <c r="CR154" s="46">
        <f>=IFERROR(ROUND((CR21+CR22)/$B154,0),0)</f>
        <v>0</v>
      </c>
      <c r="CS154" s="46">
        <f>=IFERROR(ROUND((CS21+CS22)/$B154,0),0)</f>
        <v>0</v>
      </c>
      <c r="CT154" s="46">
        <f>=IFERROR(ROUND((CT21+CT22)/$B154,0),0)</f>
        <v>0</v>
      </c>
      <c r="CU154" s="46">
        <f>=IFERROR(ROUND((CU21+CU22)/$B154,0),0)</f>
        <v>0</v>
      </c>
      <c r="CV154" s="46">
        <f>=IFERROR(ROUND((CV21+CV22)/$B154,0),0)</f>
        <v>0</v>
      </c>
      <c r="CW154" s="46">
        <f>=IFERROR(ROUND((CW21+CW22)/$B154,0),0)</f>
        <v>0</v>
      </c>
      <c r="CX154" s="46">
        <f>=IFERROR(ROUND((CX21+CX22)/$B154,0),0)</f>
        <v>0</v>
      </c>
      <c r="CY154" s="46">
        <f>=IFERROR(ROUND((CY21+CY22)/$B154,0),0)</f>
        <v>0</v>
      </c>
      <c r="CZ154" s="46">
        <f>=IFERROR(ROUND((CZ21+CZ22)/$B154,0),0)</f>
        <v>0</v>
      </c>
      <c r="DA154" s="46">
        <f>=IFERROR(ROUND((DA21+DA22)/$B154,0),0)</f>
        <v>0</v>
      </c>
      <c r="DB154" s="46">
        <f>=IFERROR(ROUND((DB21+DB22)/$B154,0),0)</f>
        <v>0</v>
      </c>
    </row>
    <row r="155" spans="1:106" x14ac:dyDescent="0.25">
      <c r="A155" s="17" t="s">
        <v>362</v>
      </c>
      <c r="B155" s="17">
        <v>15</v>
      </c>
      <c r="C155" s="46">
        <f>=IFERROR(ROUND(C23/$B155,0),0)</f>
        <v>0</v>
      </c>
      <c r="D155" s="46">
        <f>=IFERROR(ROUND(D23/$B155,0),0)</f>
        <v>0</v>
      </c>
      <c r="E155" s="46">
        <f>=IFERROR(ROUND(E23/$B155,0),0)</f>
        <v>0</v>
      </c>
      <c r="F155" s="46">
        <f>=IFERROR(ROUND(F23/$B155,0),0)</f>
        <v>0</v>
      </c>
      <c r="G155" s="46">
        <f>=IFERROR(ROUND(G23/$B155,0),0)</f>
        <v>0</v>
      </c>
      <c r="H155" s="46">
        <f>=IFERROR(ROUND(H23/$B155,0),0)</f>
        <v>0</v>
      </c>
      <c r="I155" s="46">
        <f>=IFERROR(ROUND(I23/$B155,0),0)</f>
        <v>0</v>
      </c>
      <c r="J155" s="46">
        <f>=IFERROR(ROUND(J23/$B155,0),0)</f>
        <v>0</v>
      </c>
      <c r="K155" s="46">
        <f>=IFERROR(ROUND(K23/$B155,0),0)</f>
        <v>0</v>
      </c>
      <c r="L155" s="46">
        <f>=IFERROR(ROUND(L23/$B155,0),0)</f>
        <v>0</v>
      </c>
      <c r="M155" s="46">
        <f>=IFERROR(ROUND(M23/$B155,0),0)</f>
        <v>0</v>
      </c>
      <c r="N155" s="46">
        <f>=IFERROR(ROUND(N23/$B155,0),0)</f>
        <v>0</v>
      </c>
      <c r="O155" s="46">
        <f>=IFERROR(ROUND(O23/$B155,0),0)</f>
        <v>0</v>
      </c>
      <c r="P155" s="46">
        <f>=IFERROR(ROUND(P23/$B155,0),0)</f>
        <v>0</v>
      </c>
      <c r="Q155" s="46">
        <f>=IFERROR(ROUND(Q23/$B155,0),0)</f>
        <v>0</v>
      </c>
      <c r="R155" s="46">
        <f>=IFERROR(ROUND(R23/$B155,0),0)</f>
        <v>0</v>
      </c>
      <c r="S155" s="46">
        <f>=IFERROR(ROUND(S23/$B155,0),0)</f>
        <v>0</v>
      </c>
      <c r="T155" s="46">
        <f>=IFERROR(ROUND(T23/$B155,0),0)</f>
        <v>0</v>
      </c>
      <c r="U155" s="46">
        <f>=IFERROR(ROUND(U23/$B155,0),0)</f>
        <v>0</v>
      </c>
      <c r="V155" s="46">
        <f>=IFERROR(ROUND(V23/$B155,0),0)</f>
        <v>0</v>
      </c>
      <c r="W155" s="46">
        <f>=IFERROR(ROUND(W23/$B155,0),0)</f>
        <v>0</v>
      </c>
      <c r="X155" s="46">
        <f>=IFERROR(ROUND(X23/$B155,0),0)</f>
        <v>0</v>
      </c>
      <c r="Y155" s="46">
        <f>=IFERROR(ROUND(Y23/$B155,0),0)</f>
        <v>0</v>
      </c>
      <c r="Z155" s="46">
        <f>=IFERROR(ROUND(Z23/$B155,0),0)</f>
        <v>0</v>
      </c>
      <c r="AA155" s="46">
        <f>=IFERROR(ROUND(AA23/$B155,0),0)</f>
        <v>0</v>
      </c>
      <c r="AB155" s="46">
        <f>=IFERROR(ROUND(AB23/$B155,0),0)</f>
        <v>0</v>
      </c>
      <c r="AC155" s="46">
        <f>=IFERROR(ROUND(AC23/$B155,0),0)</f>
        <v>0</v>
      </c>
      <c r="AD155" s="46">
        <f>=IFERROR(ROUND(AD23/$B155,0),0)</f>
        <v>0</v>
      </c>
      <c r="AE155" s="46">
        <f>=IFERROR(ROUND(AE23/$B155,0),0)</f>
        <v>0</v>
      </c>
      <c r="AF155" s="46">
        <f>=IFERROR(ROUND(AF23/$B155,0),0)</f>
        <v>0</v>
      </c>
      <c r="AG155" s="46">
        <f>=IFERROR(ROUND(AG23/$B155,0),0)</f>
        <v>0</v>
      </c>
      <c r="AH155" s="46">
        <f>=IFERROR(ROUND(AH23/$B155,0),0)</f>
        <v>0</v>
      </c>
      <c r="AI155" s="46">
        <f>=IFERROR(ROUND(AI23/$B155,0),0)</f>
        <v>0</v>
      </c>
      <c r="AJ155" s="46">
        <f>=IFERROR(ROUND(AJ23/$B155,0),0)</f>
        <v>0</v>
      </c>
      <c r="AK155" s="46">
        <f>=IFERROR(ROUND(AK23/$B155,0),0)</f>
        <v>0</v>
      </c>
      <c r="AL155" s="46">
        <f>=IFERROR(ROUND(AL23/$B155,0),0)</f>
        <v>0</v>
      </c>
      <c r="AM155" s="46">
        <f>=IFERROR(ROUND(AM23/$B155,0),0)</f>
        <v>0</v>
      </c>
      <c r="AN155" s="46">
        <f>=IFERROR(ROUND(AN23/$B155,0),0)</f>
        <v>0</v>
      </c>
      <c r="AO155" s="46">
        <f>=IFERROR(ROUND(AO23/$B155,0),0)</f>
        <v>0</v>
      </c>
      <c r="AP155" s="46">
        <f>=IFERROR(ROUND(AP23/$B155,0),0)</f>
        <v>0</v>
      </c>
      <c r="AQ155" s="46">
        <f>=IFERROR(ROUND(AQ23/$B155,0),0)</f>
        <v>0</v>
      </c>
      <c r="AR155" s="46">
        <f>=IFERROR(ROUND(AR23/$B155,0),0)</f>
        <v>0</v>
      </c>
      <c r="AS155" s="46">
        <f>=IFERROR(ROUND(AS23/$B155,0),0)</f>
        <v>0</v>
      </c>
      <c r="AT155" s="46">
        <f>=IFERROR(ROUND(AT23/$B155,0),0)</f>
        <v>0</v>
      </c>
      <c r="AU155" s="46">
        <f>=IFERROR(ROUND(AU23/$B155,0),0)</f>
        <v>0</v>
      </c>
      <c r="AV155" s="46">
        <f>=IFERROR(ROUND(AV23/$B155,0),0)</f>
        <v>0</v>
      </c>
      <c r="AW155" s="46">
        <f>=IFERROR(ROUND(AW23/$B155,0),0)</f>
        <v>0</v>
      </c>
      <c r="AX155" s="46">
        <f>=IFERROR(ROUND(AX23/$B155,0),0)</f>
        <v>0</v>
      </c>
      <c r="AY155" s="46">
        <f>=IFERROR(ROUND(AY23/$B155,0),0)</f>
        <v>0</v>
      </c>
      <c r="AZ155" s="46">
        <f>=IFERROR(ROUND(AZ23/$B155,0),0)</f>
        <v>0</v>
      </c>
      <c r="BA155" s="46">
        <f>=IFERROR(ROUND(BA23/$B155,0),0)</f>
        <v>0</v>
      </c>
      <c r="BB155" s="46">
        <f>=IFERROR(ROUND(BB23/$B155,0),0)</f>
        <v>0</v>
      </c>
      <c r="BC155" s="46">
        <f>=IFERROR(ROUND(BC23/$B155,0),0)</f>
        <v>0</v>
      </c>
      <c r="BD155" s="46">
        <f>=IFERROR(ROUND(BD23/$B155,0),0)</f>
        <v>0</v>
      </c>
      <c r="BE155" s="46">
        <f>=IFERROR(ROUND(BE23/$B155,0),0)</f>
        <v>0</v>
      </c>
      <c r="BF155" s="46">
        <f>=IFERROR(ROUND(BF23/$B155,0),0)</f>
        <v>0</v>
      </c>
      <c r="BG155" s="46">
        <f>=IFERROR(ROUND(BG23/$B155,0),0)</f>
        <v>0</v>
      </c>
      <c r="BH155" s="46">
        <f>=IFERROR(ROUND(BH23/$B155,0),0)</f>
        <v>0</v>
      </c>
      <c r="BI155" s="46">
        <f>=IFERROR(ROUND(BI23/$B155,0),0)</f>
        <v>0</v>
      </c>
      <c r="BJ155" s="46">
        <f>=IFERROR(ROUND(BJ23/$B155,0),0)</f>
        <v>0</v>
      </c>
      <c r="BK155" s="46">
        <f>=IFERROR(ROUND(BK23/$B155,0),0)</f>
        <v>0</v>
      </c>
      <c r="BL155" s="46">
        <f>=IFERROR(ROUND(BL23/$B155,0),0)</f>
        <v>0</v>
      </c>
      <c r="BM155" s="46">
        <f>=IFERROR(ROUND(BM23/$B155,0),0)</f>
        <v>0</v>
      </c>
      <c r="BN155" s="46">
        <f>=IFERROR(ROUND(BN23/$B155,0),0)</f>
        <v>0</v>
      </c>
      <c r="BO155" s="46">
        <f>=IFERROR(ROUND(BO23/$B155,0),0)</f>
        <v>0</v>
      </c>
      <c r="BP155" s="46">
        <f>=IFERROR(ROUND(BP23/$B155,0),0)</f>
        <v>0</v>
      </c>
      <c r="BQ155" s="46">
        <f>=IFERROR(ROUND(BQ23/$B155,0),0)</f>
        <v>0</v>
      </c>
      <c r="BR155" s="46">
        <f>=IFERROR(ROUND(BR23/$B155,0),0)</f>
        <v>0</v>
      </c>
      <c r="BS155" s="46">
        <f>=IFERROR(ROUND(BS23/$B155,0),0)</f>
        <v>0</v>
      </c>
      <c r="BT155" s="46">
        <f>=IFERROR(ROUND(BT23/$B155,0),0)</f>
        <v>0</v>
      </c>
      <c r="BU155" s="46">
        <f>=IFERROR(ROUND(BU23/$B155,0),0)</f>
        <v>0</v>
      </c>
      <c r="BV155" s="46">
        <f>=IFERROR(ROUND(BV23/$B155,0),0)</f>
        <v>0</v>
      </c>
      <c r="BW155" s="46">
        <f>=IFERROR(ROUND(BW23/$B155,0),0)</f>
        <v>0</v>
      </c>
      <c r="BX155" s="46">
        <f>=IFERROR(ROUND(BX23/$B155,0),0)</f>
        <v>0</v>
      </c>
      <c r="BY155" s="46">
        <f>=IFERROR(ROUND(BY23/$B155,0),0)</f>
        <v>0</v>
      </c>
      <c r="BZ155" s="46">
        <f>=IFERROR(ROUND(BZ23/$B155,0),0)</f>
        <v>0</v>
      </c>
      <c r="CA155" s="46">
        <f>=IFERROR(ROUND(CA23/$B155,0),0)</f>
        <v>0</v>
      </c>
      <c r="CB155" s="46">
        <f>=IFERROR(ROUND(CB23/$B155,0),0)</f>
        <v>0</v>
      </c>
      <c r="CC155" s="46">
        <f>=IFERROR(ROUND(CC23/$B155,0),0)</f>
        <v>0</v>
      </c>
      <c r="CD155" s="46">
        <f>=IFERROR(ROUND(CD23/$B155,0),0)</f>
        <v>0</v>
      </c>
      <c r="CE155" s="46">
        <f>=IFERROR(ROUND(CE23/$B155,0),0)</f>
        <v>0</v>
      </c>
      <c r="CF155" s="46">
        <f>=IFERROR(ROUND(CF23/$B155,0),0)</f>
        <v>0</v>
      </c>
      <c r="CG155" s="46">
        <f>=IFERROR(ROUND(CG23/$B155,0),0)</f>
        <v>0</v>
      </c>
      <c r="CH155" s="46">
        <f>=IFERROR(ROUND(CH23/$B155,0),0)</f>
        <v>0</v>
      </c>
      <c r="CI155" s="46">
        <f>=IFERROR(ROUND(CI23/$B155,0),0)</f>
        <v>0</v>
      </c>
      <c r="CJ155" s="46">
        <f>=IFERROR(ROUND(CJ23/$B155,0),0)</f>
        <v>0</v>
      </c>
      <c r="CK155" s="46">
        <f>=IFERROR(ROUND(CK23/$B155,0),0)</f>
        <v>0</v>
      </c>
      <c r="CL155" s="46">
        <f>=IFERROR(ROUND(CL23/$B155,0),0)</f>
        <v>0</v>
      </c>
      <c r="CM155" s="46">
        <f>=IFERROR(ROUND(CM23/$B155,0),0)</f>
        <v>0</v>
      </c>
      <c r="CN155" s="46">
        <f>=IFERROR(ROUND(CN23/$B155,0),0)</f>
        <v>0</v>
      </c>
      <c r="CO155" s="46">
        <f>=IFERROR(ROUND(CO23/$B155,0),0)</f>
        <v>0</v>
      </c>
      <c r="CP155" s="46">
        <f>=IFERROR(ROUND(CP23/$B155,0),0)</f>
        <v>0</v>
      </c>
      <c r="CQ155" s="46">
        <f>=IFERROR(ROUND(CQ23/$B155,0),0)</f>
        <v>0</v>
      </c>
      <c r="CR155" s="46">
        <f>=IFERROR(ROUND(CR23/$B155,0),0)</f>
        <v>0</v>
      </c>
      <c r="CS155" s="46">
        <f>=IFERROR(ROUND(CS23/$B155,0),0)</f>
        <v>0</v>
      </c>
      <c r="CT155" s="46">
        <f>=IFERROR(ROUND(CT23/$B155,0),0)</f>
        <v>0</v>
      </c>
      <c r="CU155" s="46">
        <f>=IFERROR(ROUND(CU23/$B155,0),0)</f>
        <v>0</v>
      </c>
      <c r="CV155" s="46">
        <f>=IFERROR(ROUND(CV23/$B155,0),0)</f>
        <v>0</v>
      </c>
      <c r="CW155" s="46">
        <f>=IFERROR(ROUND(CW23/$B155,0),0)</f>
        <v>0</v>
      </c>
      <c r="CX155" s="46">
        <f>=IFERROR(ROUND(CX23/$B155,0),0)</f>
        <v>0</v>
      </c>
      <c r="CY155" s="46">
        <f>=IFERROR(ROUND(CY23/$B155,0),0)</f>
        <v>0</v>
      </c>
      <c r="CZ155" s="46">
        <f>=IFERROR(ROUND(CZ23/$B155,0),0)</f>
        <v>0</v>
      </c>
      <c r="DA155" s="46">
        <f>=IFERROR(ROUND(DA23/$B155,0),0)</f>
        <v>0</v>
      </c>
      <c r="DB155" s="46">
        <f>=IFERROR(ROUND(DB23/$B155,0),0)</f>
        <v>0</v>
      </c>
    </row>
    <row r="156" spans="1:106" x14ac:dyDescent="0.25">
      <c r="A156" s="17" t="s">
        <v>363</v>
      </c>
      <c r="B156" s="17">
        <v>15</v>
      </c>
      <c r="C156" s="46">
        <f>=IFERROR(ROUND(C24/$B156,0),0)</f>
        <v>0</v>
      </c>
      <c r="D156" s="46">
        <f>=IFERROR(ROUND(D24/$B156,0),0)</f>
        <v>0</v>
      </c>
      <c r="E156" s="46">
        <f>=IFERROR(ROUND(E24/$B156,0),0)</f>
        <v>0</v>
      </c>
      <c r="F156" s="46">
        <f>=IFERROR(ROUND(F24/$B156,0),0)</f>
        <v>0</v>
      </c>
      <c r="G156" s="46">
        <f>=IFERROR(ROUND(G24/$B156,0),0)</f>
        <v>0</v>
      </c>
      <c r="H156" s="46">
        <f>=IFERROR(ROUND(H24/$B156,0),0)</f>
        <v>0</v>
      </c>
      <c r="I156" s="46">
        <f>=IFERROR(ROUND(I24/$B156,0),0)</f>
        <v>0</v>
      </c>
      <c r="J156" s="46">
        <f>=IFERROR(ROUND(J24/$B156,0),0)</f>
        <v>0</v>
      </c>
      <c r="K156" s="46">
        <f>=IFERROR(ROUND(K24/$B156,0),0)</f>
        <v>0</v>
      </c>
      <c r="L156" s="46">
        <f>=IFERROR(ROUND(L24/$B156,0),0)</f>
        <v>0</v>
      </c>
      <c r="M156" s="46">
        <f>=IFERROR(ROUND(M24/$B156,0),0)</f>
        <v>0</v>
      </c>
      <c r="N156" s="46">
        <f>=IFERROR(ROUND(N24/$B156,0),0)</f>
        <v>0</v>
      </c>
      <c r="O156" s="46">
        <f>=IFERROR(ROUND(O24/$B156,0),0)</f>
        <v>0</v>
      </c>
      <c r="P156" s="46">
        <f>=IFERROR(ROUND(P24/$B156,0),0)</f>
        <v>0</v>
      </c>
      <c r="Q156" s="46">
        <f>=IFERROR(ROUND(Q24/$B156,0),0)</f>
        <v>0</v>
      </c>
      <c r="R156" s="46">
        <f>=IFERROR(ROUND(R24/$B156,0),0)</f>
        <v>0</v>
      </c>
      <c r="S156" s="46">
        <f>=IFERROR(ROUND(S24/$B156,0),0)</f>
        <v>0</v>
      </c>
      <c r="T156" s="46">
        <f>=IFERROR(ROUND(T24/$B156,0),0)</f>
        <v>0</v>
      </c>
      <c r="U156" s="46">
        <f>=IFERROR(ROUND(U24/$B156,0),0)</f>
        <v>0</v>
      </c>
      <c r="V156" s="46">
        <f>=IFERROR(ROUND(V24/$B156,0),0)</f>
        <v>0</v>
      </c>
      <c r="W156" s="46">
        <f>=IFERROR(ROUND(W24/$B156,0),0)</f>
        <v>0</v>
      </c>
      <c r="X156" s="46">
        <f>=IFERROR(ROUND(X24/$B156,0),0)</f>
        <v>0</v>
      </c>
      <c r="Y156" s="46">
        <f>=IFERROR(ROUND(Y24/$B156,0),0)</f>
        <v>0</v>
      </c>
      <c r="Z156" s="46">
        <f>=IFERROR(ROUND(Z24/$B156,0),0)</f>
        <v>0</v>
      </c>
      <c r="AA156" s="46">
        <f>=IFERROR(ROUND(AA24/$B156,0),0)</f>
        <v>0</v>
      </c>
      <c r="AB156" s="46">
        <f>=IFERROR(ROUND(AB24/$B156,0),0)</f>
        <v>0</v>
      </c>
      <c r="AC156" s="46">
        <f>=IFERROR(ROUND(AC24/$B156,0),0)</f>
        <v>0</v>
      </c>
      <c r="AD156" s="46">
        <f>=IFERROR(ROUND(AD24/$B156,0),0)</f>
        <v>0</v>
      </c>
      <c r="AE156" s="46">
        <f>=IFERROR(ROUND(AE24/$B156,0),0)</f>
        <v>0</v>
      </c>
      <c r="AF156" s="46">
        <f>=IFERROR(ROUND(AF24/$B156,0),0)</f>
        <v>0</v>
      </c>
      <c r="AG156" s="46">
        <f>=IFERROR(ROUND(AG24/$B156,0),0)</f>
        <v>0</v>
      </c>
      <c r="AH156" s="46">
        <f>=IFERROR(ROUND(AH24/$B156,0),0)</f>
        <v>0</v>
      </c>
      <c r="AI156" s="46">
        <f>=IFERROR(ROUND(AI24/$B156,0),0)</f>
        <v>0</v>
      </c>
      <c r="AJ156" s="46">
        <f>=IFERROR(ROUND(AJ24/$B156,0),0)</f>
        <v>0</v>
      </c>
      <c r="AK156" s="46">
        <f>=IFERROR(ROUND(AK24/$B156,0),0)</f>
        <v>0</v>
      </c>
      <c r="AL156" s="46">
        <f>=IFERROR(ROUND(AL24/$B156,0),0)</f>
        <v>0</v>
      </c>
      <c r="AM156" s="46">
        <f>=IFERROR(ROUND(AM24/$B156,0),0)</f>
        <v>0</v>
      </c>
      <c r="AN156" s="46">
        <f>=IFERROR(ROUND(AN24/$B156,0),0)</f>
        <v>0</v>
      </c>
      <c r="AO156" s="46">
        <f>=IFERROR(ROUND(AO24/$B156,0),0)</f>
        <v>0</v>
      </c>
      <c r="AP156" s="46">
        <f>=IFERROR(ROUND(AP24/$B156,0),0)</f>
        <v>0</v>
      </c>
      <c r="AQ156" s="46">
        <f>=IFERROR(ROUND(AQ24/$B156,0),0)</f>
        <v>0</v>
      </c>
      <c r="AR156" s="46">
        <f>=IFERROR(ROUND(AR24/$B156,0),0)</f>
        <v>0</v>
      </c>
      <c r="AS156" s="46">
        <f>=IFERROR(ROUND(AS24/$B156,0),0)</f>
        <v>0</v>
      </c>
      <c r="AT156" s="46">
        <f>=IFERROR(ROUND(AT24/$B156,0),0)</f>
        <v>0</v>
      </c>
      <c r="AU156" s="46">
        <f>=IFERROR(ROUND(AU24/$B156,0),0)</f>
        <v>0</v>
      </c>
      <c r="AV156" s="46">
        <f>=IFERROR(ROUND(AV24/$B156,0),0)</f>
        <v>0</v>
      </c>
      <c r="AW156" s="46">
        <f>=IFERROR(ROUND(AW24/$B156,0),0)</f>
        <v>0</v>
      </c>
      <c r="AX156" s="46">
        <f>=IFERROR(ROUND(AX24/$B156,0),0)</f>
        <v>0</v>
      </c>
      <c r="AY156" s="46">
        <f>=IFERROR(ROUND(AY24/$B156,0),0)</f>
        <v>0</v>
      </c>
      <c r="AZ156" s="46">
        <f>=IFERROR(ROUND(AZ24/$B156,0),0)</f>
        <v>0</v>
      </c>
      <c r="BA156" s="46">
        <f>=IFERROR(ROUND(BA24/$B156,0),0)</f>
        <v>0</v>
      </c>
      <c r="BB156" s="46">
        <f>=IFERROR(ROUND(BB24/$B156,0),0)</f>
        <v>0</v>
      </c>
      <c r="BC156" s="46">
        <f>=IFERROR(ROUND(BC24/$B156,0),0)</f>
        <v>0</v>
      </c>
      <c r="BD156" s="46">
        <f>=IFERROR(ROUND(BD24/$B156,0),0)</f>
        <v>0</v>
      </c>
      <c r="BE156" s="46">
        <f>=IFERROR(ROUND(BE24/$B156,0),0)</f>
        <v>0</v>
      </c>
      <c r="BF156" s="46">
        <f>=IFERROR(ROUND(BF24/$B156,0),0)</f>
        <v>0</v>
      </c>
      <c r="BG156" s="46">
        <f>=IFERROR(ROUND(BG24/$B156,0),0)</f>
        <v>0</v>
      </c>
      <c r="BH156" s="46">
        <f>=IFERROR(ROUND(BH24/$B156,0),0)</f>
        <v>0</v>
      </c>
      <c r="BI156" s="46">
        <f>=IFERROR(ROUND(BI24/$B156,0),0)</f>
        <v>0</v>
      </c>
      <c r="BJ156" s="46">
        <f>=IFERROR(ROUND(BJ24/$B156,0),0)</f>
        <v>0</v>
      </c>
      <c r="BK156" s="46">
        <f>=IFERROR(ROUND(BK24/$B156,0),0)</f>
        <v>0</v>
      </c>
      <c r="BL156" s="46">
        <f>=IFERROR(ROUND(BL24/$B156,0),0)</f>
        <v>0</v>
      </c>
      <c r="BM156" s="46">
        <f>=IFERROR(ROUND(BM24/$B156,0),0)</f>
        <v>0</v>
      </c>
      <c r="BN156" s="46">
        <f>=IFERROR(ROUND(BN24/$B156,0),0)</f>
        <v>0</v>
      </c>
      <c r="BO156" s="46">
        <f>=IFERROR(ROUND(BO24/$B156,0),0)</f>
        <v>0</v>
      </c>
      <c r="BP156" s="46">
        <f>=IFERROR(ROUND(BP24/$B156,0),0)</f>
        <v>0</v>
      </c>
      <c r="BQ156" s="46">
        <f>=IFERROR(ROUND(BQ24/$B156,0),0)</f>
        <v>0</v>
      </c>
      <c r="BR156" s="46">
        <f>=IFERROR(ROUND(BR24/$B156,0),0)</f>
        <v>0</v>
      </c>
      <c r="BS156" s="46">
        <f>=IFERROR(ROUND(BS24/$B156,0),0)</f>
        <v>0</v>
      </c>
      <c r="BT156" s="46">
        <f>=IFERROR(ROUND(BT24/$B156,0),0)</f>
        <v>0</v>
      </c>
      <c r="BU156" s="46">
        <f>=IFERROR(ROUND(BU24/$B156,0),0)</f>
        <v>0</v>
      </c>
      <c r="BV156" s="46">
        <f>=IFERROR(ROUND(BV24/$B156,0),0)</f>
        <v>0</v>
      </c>
      <c r="BW156" s="46">
        <f>=IFERROR(ROUND(BW24/$B156,0),0)</f>
        <v>0</v>
      </c>
      <c r="BX156" s="46">
        <f>=IFERROR(ROUND(BX24/$B156,0),0)</f>
        <v>0</v>
      </c>
      <c r="BY156" s="46">
        <f>=IFERROR(ROUND(BY24/$B156,0),0)</f>
        <v>0</v>
      </c>
      <c r="BZ156" s="46">
        <f>=IFERROR(ROUND(BZ24/$B156,0),0)</f>
        <v>0</v>
      </c>
      <c r="CA156" s="46">
        <f>=IFERROR(ROUND(CA24/$B156,0),0)</f>
        <v>0</v>
      </c>
      <c r="CB156" s="46">
        <f>=IFERROR(ROUND(CB24/$B156,0),0)</f>
        <v>0</v>
      </c>
      <c r="CC156" s="46">
        <f>=IFERROR(ROUND(CC24/$B156,0),0)</f>
        <v>0</v>
      </c>
      <c r="CD156" s="46">
        <f>=IFERROR(ROUND(CD24/$B156,0),0)</f>
        <v>0</v>
      </c>
      <c r="CE156" s="46">
        <f>=IFERROR(ROUND(CE24/$B156,0),0)</f>
        <v>0</v>
      </c>
      <c r="CF156" s="46">
        <f>=IFERROR(ROUND(CF24/$B156,0),0)</f>
        <v>0</v>
      </c>
      <c r="CG156" s="46">
        <f>=IFERROR(ROUND(CG24/$B156,0),0)</f>
        <v>0</v>
      </c>
      <c r="CH156" s="46">
        <f>=IFERROR(ROUND(CH24/$B156,0),0)</f>
        <v>0</v>
      </c>
      <c r="CI156" s="46">
        <f>=IFERROR(ROUND(CI24/$B156,0),0)</f>
        <v>0</v>
      </c>
      <c r="CJ156" s="46">
        <f>=IFERROR(ROUND(CJ24/$B156,0),0)</f>
        <v>0</v>
      </c>
      <c r="CK156" s="46">
        <f>=IFERROR(ROUND(CK24/$B156,0),0)</f>
        <v>0</v>
      </c>
      <c r="CL156" s="46">
        <f>=IFERROR(ROUND(CL24/$B156,0),0)</f>
        <v>0</v>
      </c>
      <c r="CM156" s="46">
        <f>=IFERROR(ROUND(CM24/$B156,0),0)</f>
        <v>0</v>
      </c>
      <c r="CN156" s="46">
        <f>=IFERROR(ROUND(CN24/$B156,0),0)</f>
        <v>0</v>
      </c>
      <c r="CO156" s="46">
        <f>=IFERROR(ROUND(CO24/$B156,0),0)</f>
        <v>0</v>
      </c>
      <c r="CP156" s="46">
        <f>=IFERROR(ROUND(CP24/$B156,0),0)</f>
        <v>0</v>
      </c>
      <c r="CQ156" s="46">
        <f>=IFERROR(ROUND(CQ24/$B156,0),0)</f>
        <v>0</v>
      </c>
      <c r="CR156" s="46">
        <f>=IFERROR(ROUND(CR24/$B156,0),0)</f>
        <v>0</v>
      </c>
      <c r="CS156" s="46">
        <f>=IFERROR(ROUND(CS24/$B156,0),0)</f>
        <v>0</v>
      </c>
      <c r="CT156" s="46">
        <f>=IFERROR(ROUND(CT24/$B156,0),0)</f>
        <v>0</v>
      </c>
      <c r="CU156" s="46">
        <f>=IFERROR(ROUND(CU24/$B156,0),0)</f>
        <v>0</v>
      </c>
      <c r="CV156" s="46">
        <f>=IFERROR(ROUND(CV24/$B156,0),0)</f>
        <v>0</v>
      </c>
      <c r="CW156" s="46">
        <f>=IFERROR(ROUND(CW24/$B156,0),0)</f>
        <v>0</v>
      </c>
      <c r="CX156" s="46">
        <f>=IFERROR(ROUND(CX24/$B156,0),0)</f>
        <v>0</v>
      </c>
      <c r="CY156" s="46">
        <f>=IFERROR(ROUND(CY24/$B156,0),0)</f>
        <v>0</v>
      </c>
      <c r="CZ156" s="46">
        <f>=IFERROR(ROUND(CZ24/$B156,0),0)</f>
        <v>0</v>
      </c>
      <c r="DA156" s="46">
        <f>=IFERROR(ROUND(DA24/$B156,0),0)</f>
        <v>0</v>
      </c>
      <c r="DB156" s="46">
        <f>=IFERROR(ROUND(DB24/$B156,0),0)</f>
        <v>0</v>
      </c>
    </row>
    <row r="157" spans="1:106" x14ac:dyDescent="0.25">
      <c r="A157" s="17" t="s">
        <v>364</v>
      </c>
      <c r="B157" s="17">
        <v>30</v>
      </c>
      <c r="C157" s="46">
        <f>=IFERROR(ROUND(C23/$B157,0),0)</f>
        <v>0</v>
      </c>
      <c r="D157" s="46">
        <f>=IFERROR(ROUND(D23/$B157,0),0)</f>
        <v>0</v>
      </c>
      <c r="E157" s="46">
        <f>=IFERROR(ROUND(E23/$B157,0),0)</f>
        <v>0</v>
      </c>
      <c r="F157" s="46">
        <f>=IFERROR(ROUND(F23/$B157,0),0)</f>
        <v>0</v>
      </c>
      <c r="G157" s="46">
        <f>=IFERROR(ROUND(G23/$B157,0),0)</f>
        <v>0</v>
      </c>
      <c r="H157" s="46">
        <f>=IFERROR(ROUND(H23/$B157,0),0)</f>
        <v>0</v>
      </c>
      <c r="I157" s="46">
        <f>=IFERROR(ROUND(I23/$B157,0),0)</f>
        <v>0</v>
      </c>
      <c r="J157" s="46">
        <f>=IFERROR(ROUND(J23/$B157,0),0)</f>
        <v>0</v>
      </c>
      <c r="K157" s="46">
        <f>=IFERROR(ROUND(K23/$B157,0),0)</f>
        <v>0</v>
      </c>
      <c r="L157" s="46">
        <f>=IFERROR(ROUND(L23/$B157,0),0)</f>
        <v>0</v>
      </c>
      <c r="M157" s="46">
        <f>=IFERROR(ROUND(M23/$B157,0),0)</f>
        <v>0</v>
      </c>
      <c r="N157" s="46">
        <f>=IFERROR(ROUND(N23/$B157,0),0)</f>
        <v>0</v>
      </c>
      <c r="O157" s="46">
        <f>=IFERROR(ROUND(O23/$B157,0),0)</f>
        <v>0</v>
      </c>
      <c r="P157" s="46">
        <f>=IFERROR(ROUND(P23/$B157,0),0)</f>
        <v>0</v>
      </c>
      <c r="Q157" s="46">
        <f>=IFERROR(ROUND(Q23/$B157,0),0)</f>
        <v>0</v>
      </c>
      <c r="R157" s="46">
        <f>=IFERROR(ROUND(R23/$B157,0),0)</f>
        <v>0</v>
      </c>
      <c r="S157" s="46">
        <f>=IFERROR(ROUND(S23/$B157,0),0)</f>
        <v>0</v>
      </c>
      <c r="T157" s="46">
        <f>=IFERROR(ROUND(T23/$B157,0),0)</f>
        <v>0</v>
      </c>
      <c r="U157" s="46">
        <f>=IFERROR(ROUND(U23/$B157,0),0)</f>
        <v>0</v>
      </c>
      <c r="V157" s="46">
        <f>=IFERROR(ROUND(V23/$B157,0),0)</f>
        <v>0</v>
      </c>
      <c r="W157" s="46">
        <f>=IFERROR(ROUND(W23/$B157,0),0)</f>
        <v>0</v>
      </c>
      <c r="X157" s="46">
        <f>=IFERROR(ROUND(X23/$B157,0),0)</f>
        <v>0</v>
      </c>
      <c r="Y157" s="46">
        <f>=IFERROR(ROUND(Y23/$B157,0),0)</f>
        <v>0</v>
      </c>
      <c r="Z157" s="46">
        <f>=IFERROR(ROUND(Z23/$B157,0),0)</f>
        <v>0</v>
      </c>
      <c r="AA157" s="46">
        <f>=IFERROR(ROUND(AA23/$B157,0),0)</f>
        <v>0</v>
      </c>
      <c r="AB157" s="46">
        <f>=IFERROR(ROUND(AB23/$B157,0),0)</f>
        <v>0</v>
      </c>
      <c r="AC157" s="46">
        <f>=IFERROR(ROUND(AC23/$B157,0),0)</f>
        <v>0</v>
      </c>
      <c r="AD157" s="46">
        <f>=IFERROR(ROUND(AD23/$B157,0),0)</f>
        <v>0</v>
      </c>
      <c r="AE157" s="46">
        <f>=IFERROR(ROUND(AE23/$B157,0),0)</f>
        <v>0</v>
      </c>
      <c r="AF157" s="46">
        <f>=IFERROR(ROUND(AF23/$B157,0),0)</f>
        <v>0</v>
      </c>
      <c r="AG157" s="46">
        <f>=IFERROR(ROUND(AG23/$B157,0),0)</f>
        <v>0</v>
      </c>
      <c r="AH157" s="46">
        <f>=IFERROR(ROUND(AH23/$B157,0),0)</f>
        <v>0</v>
      </c>
      <c r="AI157" s="46">
        <f>=IFERROR(ROUND(AI23/$B157,0),0)</f>
        <v>0</v>
      </c>
      <c r="AJ157" s="46">
        <f>=IFERROR(ROUND(AJ23/$B157,0),0)</f>
        <v>0</v>
      </c>
      <c r="AK157" s="46">
        <f>=IFERROR(ROUND(AK23/$B157,0),0)</f>
        <v>0</v>
      </c>
      <c r="AL157" s="46">
        <f>=IFERROR(ROUND(AL23/$B157,0),0)</f>
        <v>0</v>
      </c>
      <c r="AM157" s="46">
        <f>=IFERROR(ROUND(AM23/$B157,0),0)</f>
        <v>0</v>
      </c>
      <c r="AN157" s="46">
        <f>=IFERROR(ROUND(AN23/$B157,0),0)</f>
        <v>0</v>
      </c>
      <c r="AO157" s="46">
        <f>=IFERROR(ROUND(AO23/$B157,0),0)</f>
        <v>0</v>
      </c>
      <c r="AP157" s="46">
        <f>=IFERROR(ROUND(AP23/$B157,0),0)</f>
        <v>0</v>
      </c>
      <c r="AQ157" s="46">
        <f>=IFERROR(ROUND(AQ23/$B157,0),0)</f>
        <v>0</v>
      </c>
      <c r="AR157" s="46">
        <f>=IFERROR(ROUND(AR23/$B157,0),0)</f>
        <v>0</v>
      </c>
      <c r="AS157" s="46">
        <f>=IFERROR(ROUND(AS23/$B157,0),0)</f>
        <v>0</v>
      </c>
      <c r="AT157" s="46">
        <f>=IFERROR(ROUND(AT23/$B157,0),0)</f>
        <v>0</v>
      </c>
      <c r="AU157" s="46">
        <f>=IFERROR(ROUND(AU23/$B157,0),0)</f>
        <v>0</v>
      </c>
      <c r="AV157" s="46">
        <f>=IFERROR(ROUND(AV23/$B157,0),0)</f>
        <v>0</v>
      </c>
      <c r="AW157" s="46">
        <f>=IFERROR(ROUND(AW23/$B157,0),0)</f>
        <v>0</v>
      </c>
      <c r="AX157" s="46">
        <f>=IFERROR(ROUND(AX23/$B157,0),0)</f>
        <v>0</v>
      </c>
      <c r="AY157" s="46">
        <f>=IFERROR(ROUND(AY23/$B157,0),0)</f>
        <v>0</v>
      </c>
      <c r="AZ157" s="46">
        <f>=IFERROR(ROUND(AZ23/$B157,0),0)</f>
        <v>0</v>
      </c>
      <c r="BA157" s="46">
        <f>=IFERROR(ROUND(BA23/$B157,0),0)</f>
        <v>0</v>
      </c>
      <c r="BB157" s="46">
        <f>=IFERROR(ROUND(BB23/$B157,0),0)</f>
        <v>0</v>
      </c>
      <c r="BC157" s="46">
        <f>=IFERROR(ROUND(BC23/$B157,0),0)</f>
        <v>0</v>
      </c>
      <c r="BD157" s="46">
        <f>=IFERROR(ROUND(BD23/$B157,0),0)</f>
        <v>0</v>
      </c>
      <c r="BE157" s="46">
        <f>=IFERROR(ROUND(BE23/$B157,0),0)</f>
        <v>0</v>
      </c>
      <c r="BF157" s="46">
        <f>=IFERROR(ROUND(BF23/$B157,0),0)</f>
        <v>0</v>
      </c>
      <c r="BG157" s="46">
        <f>=IFERROR(ROUND(BG23/$B157,0),0)</f>
        <v>0</v>
      </c>
      <c r="BH157" s="46">
        <f>=IFERROR(ROUND(BH23/$B157,0),0)</f>
        <v>0</v>
      </c>
      <c r="BI157" s="46">
        <f>=IFERROR(ROUND(BI23/$B157,0),0)</f>
        <v>0</v>
      </c>
      <c r="BJ157" s="46">
        <f>=IFERROR(ROUND(BJ23/$B157,0),0)</f>
        <v>0</v>
      </c>
      <c r="BK157" s="46">
        <f>=IFERROR(ROUND(BK23/$B157,0),0)</f>
        <v>0</v>
      </c>
      <c r="BL157" s="46">
        <f>=IFERROR(ROUND(BL23/$B157,0),0)</f>
        <v>0</v>
      </c>
      <c r="BM157" s="46">
        <f>=IFERROR(ROUND(BM23/$B157,0),0)</f>
        <v>0</v>
      </c>
      <c r="BN157" s="46">
        <f>=IFERROR(ROUND(BN23/$B157,0),0)</f>
        <v>0</v>
      </c>
      <c r="BO157" s="46">
        <f>=IFERROR(ROUND(BO23/$B157,0),0)</f>
        <v>0</v>
      </c>
      <c r="BP157" s="46">
        <f>=IFERROR(ROUND(BP23/$B157,0),0)</f>
        <v>0</v>
      </c>
      <c r="BQ157" s="46">
        <f>=IFERROR(ROUND(BQ23/$B157,0),0)</f>
        <v>0</v>
      </c>
      <c r="BR157" s="46">
        <f>=IFERROR(ROUND(BR23/$B157,0),0)</f>
        <v>0</v>
      </c>
      <c r="BS157" s="46">
        <f>=IFERROR(ROUND(BS23/$B157,0),0)</f>
        <v>0</v>
      </c>
      <c r="BT157" s="46">
        <f>=IFERROR(ROUND(BT23/$B157,0),0)</f>
        <v>0</v>
      </c>
      <c r="BU157" s="46">
        <f>=IFERROR(ROUND(BU23/$B157,0),0)</f>
        <v>0</v>
      </c>
      <c r="BV157" s="46">
        <f>=IFERROR(ROUND(BV23/$B157,0),0)</f>
        <v>0</v>
      </c>
      <c r="BW157" s="46">
        <f>=IFERROR(ROUND(BW23/$B157,0),0)</f>
        <v>0</v>
      </c>
      <c r="BX157" s="46">
        <f>=IFERROR(ROUND(BX23/$B157,0),0)</f>
        <v>0</v>
      </c>
      <c r="BY157" s="46">
        <f>=IFERROR(ROUND(BY23/$B157,0),0)</f>
        <v>0</v>
      </c>
      <c r="BZ157" s="46">
        <f>=IFERROR(ROUND(BZ23/$B157,0),0)</f>
        <v>0</v>
      </c>
      <c r="CA157" s="46">
        <f>=IFERROR(ROUND(CA23/$B157,0),0)</f>
        <v>0</v>
      </c>
      <c r="CB157" s="46">
        <f>=IFERROR(ROUND(CB23/$B157,0),0)</f>
        <v>0</v>
      </c>
      <c r="CC157" s="46">
        <f>=IFERROR(ROUND(CC23/$B157,0),0)</f>
        <v>0</v>
      </c>
      <c r="CD157" s="46">
        <f>=IFERROR(ROUND(CD23/$B157,0),0)</f>
        <v>0</v>
      </c>
      <c r="CE157" s="46">
        <f>=IFERROR(ROUND(CE23/$B157,0),0)</f>
        <v>0</v>
      </c>
      <c r="CF157" s="46">
        <f>=IFERROR(ROUND(CF23/$B157,0),0)</f>
        <v>0</v>
      </c>
      <c r="CG157" s="46">
        <f>=IFERROR(ROUND(CG23/$B157,0),0)</f>
        <v>0</v>
      </c>
      <c r="CH157" s="46">
        <f>=IFERROR(ROUND(CH23/$B157,0),0)</f>
        <v>0</v>
      </c>
      <c r="CI157" s="46">
        <f>=IFERROR(ROUND(CI23/$B157,0),0)</f>
        <v>0</v>
      </c>
      <c r="CJ157" s="46">
        <f>=IFERROR(ROUND(CJ23/$B157,0),0)</f>
        <v>0</v>
      </c>
      <c r="CK157" s="46">
        <f>=IFERROR(ROUND(CK23/$B157,0),0)</f>
        <v>0</v>
      </c>
      <c r="CL157" s="46">
        <f>=IFERROR(ROUND(CL23/$B157,0),0)</f>
        <v>0</v>
      </c>
      <c r="CM157" s="46">
        <f>=IFERROR(ROUND(CM23/$B157,0),0)</f>
        <v>0</v>
      </c>
      <c r="CN157" s="46">
        <f>=IFERROR(ROUND(CN23/$B157,0),0)</f>
        <v>0</v>
      </c>
      <c r="CO157" s="46">
        <f>=IFERROR(ROUND(CO23/$B157,0),0)</f>
        <v>0</v>
      </c>
      <c r="CP157" s="46">
        <f>=IFERROR(ROUND(CP23/$B157,0),0)</f>
        <v>0</v>
      </c>
      <c r="CQ157" s="46">
        <f>=IFERROR(ROUND(CQ23/$B157,0),0)</f>
        <v>0</v>
      </c>
      <c r="CR157" s="46">
        <f>=IFERROR(ROUND(CR23/$B157,0),0)</f>
        <v>0</v>
      </c>
      <c r="CS157" s="46">
        <f>=IFERROR(ROUND(CS23/$B157,0),0)</f>
        <v>0</v>
      </c>
      <c r="CT157" s="46">
        <f>=IFERROR(ROUND(CT23/$B157,0),0)</f>
        <v>0</v>
      </c>
      <c r="CU157" s="46">
        <f>=IFERROR(ROUND(CU23/$B157,0),0)</f>
        <v>0</v>
      </c>
      <c r="CV157" s="46">
        <f>=IFERROR(ROUND(CV23/$B157,0),0)</f>
        <v>0</v>
      </c>
      <c r="CW157" s="46">
        <f>=IFERROR(ROUND(CW23/$B157,0),0)</f>
        <v>0</v>
      </c>
      <c r="CX157" s="46">
        <f>=IFERROR(ROUND(CX23/$B157,0),0)</f>
        <v>0</v>
      </c>
      <c r="CY157" s="46">
        <f>=IFERROR(ROUND(CY23/$B157,0),0)</f>
        <v>0</v>
      </c>
      <c r="CZ157" s="46">
        <f>=IFERROR(ROUND(CZ23/$B157,0),0)</f>
        <v>0</v>
      </c>
      <c r="DA157" s="46">
        <f>=IFERROR(ROUND(DA23/$B157,0),0)</f>
        <v>0</v>
      </c>
      <c r="DB157" s="46">
        <f>=IFERROR(ROUND(DB23/$B157,0),0)</f>
        <v>0</v>
      </c>
    </row>
    <row r="158" spans="1:106" x14ac:dyDescent="0.25">
      <c r="A158" s="17" t="s">
        <v>365</v>
      </c>
      <c r="B158" s="17">
        <v>15</v>
      </c>
      <c r="C158" s="46">
        <f>=IFERROR(ROUND(C22/$B158,0),0)</f>
        <v>0</v>
      </c>
      <c r="D158" s="46">
        <f>=IFERROR(ROUND(D22/$B158,0),0)</f>
        <v>0</v>
      </c>
      <c r="E158" s="46">
        <f>=IFERROR(ROUND(E22/$B158,0),0)</f>
        <v>0</v>
      </c>
      <c r="F158" s="46">
        <f>=IFERROR(ROUND(F22/$B158,0),0)</f>
        <v>0</v>
      </c>
      <c r="G158" s="46">
        <f>=IFERROR(ROUND(G22/$B158,0),0)</f>
        <v>0</v>
      </c>
      <c r="H158" s="46">
        <f>=IFERROR(ROUND(H22/$B158,0),0)</f>
        <v>0</v>
      </c>
      <c r="I158" s="46">
        <f>=IFERROR(ROUND(I22/$B158,0),0)</f>
        <v>0</v>
      </c>
      <c r="J158" s="46">
        <f>=IFERROR(ROUND(J22/$B158,0),0)</f>
        <v>0</v>
      </c>
      <c r="K158" s="46">
        <f>=IFERROR(ROUND(K22/$B158,0),0)</f>
        <v>0</v>
      </c>
      <c r="L158" s="46">
        <f>=IFERROR(ROUND(L22/$B158,0),0)</f>
        <v>0</v>
      </c>
      <c r="M158" s="46">
        <f>=IFERROR(ROUND(M22/$B158,0),0)</f>
        <v>0</v>
      </c>
      <c r="N158" s="46">
        <f>=IFERROR(ROUND(N22/$B158,0),0)</f>
        <v>0</v>
      </c>
      <c r="O158" s="46">
        <f>=IFERROR(ROUND(O22/$B158,0),0)</f>
        <v>0</v>
      </c>
      <c r="P158" s="46">
        <f>=IFERROR(ROUND(P22/$B158,0),0)</f>
        <v>0</v>
      </c>
      <c r="Q158" s="46">
        <f>=IFERROR(ROUND(Q22/$B158,0),0)</f>
        <v>0</v>
      </c>
      <c r="R158" s="46">
        <f>=IFERROR(ROUND(R22/$B158,0),0)</f>
        <v>0</v>
      </c>
      <c r="S158" s="46">
        <f>=IFERROR(ROUND(S22/$B158,0),0)</f>
        <v>0</v>
      </c>
      <c r="T158" s="46">
        <f>=IFERROR(ROUND(T22/$B158,0),0)</f>
        <v>0</v>
      </c>
      <c r="U158" s="46">
        <f>=IFERROR(ROUND(U22/$B158,0),0)</f>
        <v>0</v>
      </c>
      <c r="V158" s="46">
        <f>=IFERROR(ROUND(V22/$B158,0),0)</f>
        <v>0</v>
      </c>
      <c r="W158" s="46">
        <f>=IFERROR(ROUND(W22/$B158,0),0)</f>
        <v>0</v>
      </c>
      <c r="X158" s="46">
        <f>=IFERROR(ROUND(X22/$B158,0),0)</f>
        <v>0</v>
      </c>
      <c r="Y158" s="46">
        <f>=IFERROR(ROUND(Y22/$B158,0),0)</f>
        <v>0</v>
      </c>
      <c r="Z158" s="46">
        <f>=IFERROR(ROUND(Z22/$B158,0),0)</f>
        <v>0</v>
      </c>
      <c r="AA158" s="46">
        <f>=IFERROR(ROUND(AA22/$B158,0),0)</f>
        <v>0</v>
      </c>
      <c r="AB158" s="46">
        <f>=IFERROR(ROUND(AB22/$B158,0),0)</f>
        <v>0</v>
      </c>
      <c r="AC158" s="46">
        <f>=IFERROR(ROUND(AC22/$B158,0),0)</f>
        <v>0</v>
      </c>
      <c r="AD158" s="46">
        <f>=IFERROR(ROUND(AD22/$B158,0),0)</f>
        <v>0</v>
      </c>
      <c r="AE158" s="46">
        <f>=IFERROR(ROUND(AE22/$B158,0),0)</f>
        <v>0</v>
      </c>
      <c r="AF158" s="46">
        <f>=IFERROR(ROUND(AF22/$B158,0),0)</f>
        <v>0</v>
      </c>
      <c r="AG158" s="46">
        <f>=IFERROR(ROUND(AG22/$B158,0),0)</f>
        <v>0</v>
      </c>
      <c r="AH158" s="46">
        <f>=IFERROR(ROUND(AH22/$B158,0),0)</f>
        <v>0</v>
      </c>
      <c r="AI158" s="46">
        <f>=IFERROR(ROUND(AI22/$B158,0),0)</f>
        <v>0</v>
      </c>
      <c r="AJ158" s="46">
        <f>=IFERROR(ROUND(AJ22/$B158,0),0)</f>
        <v>0</v>
      </c>
      <c r="AK158" s="46">
        <f>=IFERROR(ROUND(AK22/$B158,0),0)</f>
        <v>0</v>
      </c>
      <c r="AL158" s="46">
        <f>=IFERROR(ROUND(AL22/$B158,0),0)</f>
        <v>0</v>
      </c>
      <c r="AM158" s="46">
        <f>=IFERROR(ROUND(AM22/$B158,0),0)</f>
        <v>0</v>
      </c>
      <c r="AN158" s="46">
        <f>=IFERROR(ROUND(AN22/$B158,0),0)</f>
        <v>0</v>
      </c>
      <c r="AO158" s="46">
        <f>=IFERROR(ROUND(AO22/$B158,0),0)</f>
        <v>0</v>
      </c>
      <c r="AP158" s="46">
        <f>=IFERROR(ROUND(AP22/$B158,0),0)</f>
        <v>0</v>
      </c>
      <c r="AQ158" s="46">
        <f>=IFERROR(ROUND(AQ22/$B158,0),0)</f>
        <v>0</v>
      </c>
      <c r="AR158" s="46">
        <f>=IFERROR(ROUND(AR22/$B158,0),0)</f>
        <v>0</v>
      </c>
      <c r="AS158" s="46">
        <f>=IFERROR(ROUND(AS22/$B158,0),0)</f>
        <v>0</v>
      </c>
      <c r="AT158" s="46">
        <f>=IFERROR(ROUND(AT22/$B158,0),0)</f>
        <v>0</v>
      </c>
      <c r="AU158" s="46">
        <f>=IFERROR(ROUND(AU22/$B158,0),0)</f>
        <v>0</v>
      </c>
      <c r="AV158" s="46">
        <f>=IFERROR(ROUND(AV22/$B158,0),0)</f>
        <v>0</v>
      </c>
      <c r="AW158" s="46">
        <f>=IFERROR(ROUND(AW22/$B158,0),0)</f>
        <v>0</v>
      </c>
      <c r="AX158" s="46">
        <f>=IFERROR(ROUND(AX22/$B158,0),0)</f>
        <v>0</v>
      </c>
      <c r="AY158" s="46">
        <f>=IFERROR(ROUND(AY22/$B158,0),0)</f>
        <v>0</v>
      </c>
      <c r="AZ158" s="46">
        <f>=IFERROR(ROUND(AZ22/$B158,0),0)</f>
        <v>0</v>
      </c>
      <c r="BA158" s="46">
        <f>=IFERROR(ROUND(BA22/$B158,0),0)</f>
        <v>0</v>
      </c>
      <c r="BB158" s="46">
        <f>=IFERROR(ROUND(BB22/$B158,0),0)</f>
        <v>0</v>
      </c>
      <c r="BC158" s="46">
        <f>=IFERROR(ROUND(BC22/$B158,0),0)</f>
        <v>0</v>
      </c>
      <c r="BD158" s="46">
        <f>=IFERROR(ROUND(BD22/$B158,0),0)</f>
        <v>0</v>
      </c>
      <c r="BE158" s="46">
        <f>=IFERROR(ROUND(BE22/$B158,0),0)</f>
        <v>0</v>
      </c>
      <c r="BF158" s="46">
        <f>=IFERROR(ROUND(BF22/$B158,0),0)</f>
        <v>0</v>
      </c>
      <c r="BG158" s="46">
        <f>=IFERROR(ROUND(BG22/$B158,0),0)</f>
        <v>0</v>
      </c>
      <c r="BH158" s="46">
        <f>=IFERROR(ROUND(BH22/$B158,0),0)</f>
        <v>0</v>
      </c>
      <c r="BI158" s="46">
        <f>=IFERROR(ROUND(BI22/$B158,0),0)</f>
        <v>0</v>
      </c>
      <c r="BJ158" s="46">
        <f>=IFERROR(ROUND(BJ22/$B158,0),0)</f>
        <v>0</v>
      </c>
      <c r="BK158" s="46">
        <f>=IFERROR(ROUND(BK22/$B158,0),0)</f>
        <v>0</v>
      </c>
      <c r="BL158" s="46">
        <f>=IFERROR(ROUND(BL22/$B158,0),0)</f>
        <v>0</v>
      </c>
      <c r="BM158" s="46">
        <f>=IFERROR(ROUND(BM22/$B158,0),0)</f>
        <v>0</v>
      </c>
      <c r="BN158" s="46">
        <f>=IFERROR(ROUND(BN22/$B158,0),0)</f>
        <v>0</v>
      </c>
      <c r="BO158" s="46">
        <f>=IFERROR(ROUND(BO22/$B158,0),0)</f>
        <v>0</v>
      </c>
      <c r="BP158" s="46">
        <f>=IFERROR(ROUND(BP22/$B158,0),0)</f>
        <v>0</v>
      </c>
      <c r="BQ158" s="46">
        <f>=IFERROR(ROUND(BQ22/$B158,0),0)</f>
        <v>0</v>
      </c>
      <c r="BR158" s="46">
        <f>=IFERROR(ROUND(BR22/$B158,0),0)</f>
        <v>0</v>
      </c>
      <c r="BS158" s="46">
        <f>=IFERROR(ROUND(BS22/$B158,0),0)</f>
        <v>0</v>
      </c>
      <c r="BT158" s="46">
        <f>=IFERROR(ROUND(BT22/$B158,0),0)</f>
        <v>0</v>
      </c>
      <c r="BU158" s="46">
        <f>=IFERROR(ROUND(BU22/$B158,0),0)</f>
        <v>0</v>
      </c>
      <c r="BV158" s="46">
        <f>=IFERROR(ROUND(BV22/$B158,0),0)</f>
        <v>0</v>
      </c>
      <c r="BW158" s="46">
        <f>=IFERROR(ROUND(BW22/$B158,0),0)</f>
        <v>0</v>
      </c>
      <c r="BX158" s="46">
        <f>=IFERROR(ROUND(BX22/$B158,0),0)</f>
        <v>0</v>
      </c>
      <c r="BY158" s="46">
        <f>=IFERROR(ROUND(BY22/$B158,0),0)</f>
        <v>0</v>
      </c>
      <c r="BZ158" s="46">
        <f>=IFERROR(ROUND(BZ22/$B158,0),0)</f>
        <v>0</v>
      </c>
      <c r="CA158" s="46">
        <f>=IFERROR(ROUND(CA22/$B158,0),0)</f>
        <v>0</v>
      </c>
      <c r="CB158" s="46">
        <f>=IFERROR(ROUND(CB22/$B158,0),0)</f>
        <v>0</v>
      </c>
      <c r="CC158" s="46">
        <f>=IFERROR(ROUND(CC22/$B158,0),0)</f>
        <v>0</v>
      </c>
      <c r="CD158" s="46">
        <f>=IFERROR(ROUND(CD22/$B158,0),0)</f>
        <v>0</v>
      </c>
      <c r="CE158" s="46">
        <f>=IFERROR(ROUND(CE22/$B158,0),0)</f>
        <v>0</v>
      </c>
      <c r="CF158" s="46">
        <f>=IFERROR(ROUND(CF22/$B158,0),0)</f>
        <v>0</v>
      </c>
      <c r="CG158" s="46">
        <f>=IFERROR(ROUND(CG22/$B158,0),0)</f>
        <v>0</v>
      </c>
      <c r="CH158" s="46">
        <f>=IFERROR(ROUND(CH22/$B158,0),0)</f>
        <v>0</v>
      </c>
      <c r="CI158" s="46">
        <f>=IFERROR(ROUND(CI22/$B158,0),0)</f>
        <v>0</v>
      </c>
      <c r="CJ158" s="46">
        <f>=IFERROR(ROUND(CJ22/$B158,0),0)</f>
        <v>0</v>
      </c>
      <c r="CK158" s="46">
        <f>=IFERROR(ROUND(CK22/$B158,0),0)</f>
        <v>0</v>
      </c>
      <c r="CL158" s="46">
        <f>=IFERROR(ROUND(CL22/$B158,0),0)</f>
        <v>0</v>
      </c>
      <c r="CM158" s="46">
        <f>=IFERROR(ROUND(CM22/$B158,0),0)</f>
        <v>0</v>
      </c>
      <c r="CN158" s="46">
        <f>=IFERROR(ROUND(CN22/$B158,0),0)</f>
        <v>0</v>
      </c>
      <c r="CO158" s="46">
        <f>=IFERROR(ROUND(CO22/$B158,0),0)</f>
        <v>0</v>
      </c>
      <c r="CP158" s="46">
        <f>=IFERROR(ROUND(CP22/$B158,0),0)</f>
        <v>0</v>
      </c>
      <c r="CQ158" s="46">
        <f>=IFERROR(ROUND(CQ22/$B158,0),0)</f>
        <v>0</v>
      </c>
      <c r="CR158" s="46">
        <f>=IFERROR(ROUND(CR22/$B158,0),0)</f>
        <v>0</v>
      </c>
      <c r="CS158" s="46">
        <f>=IFERROR(ROUND(CS22/$B158,0),0)</f>
        <v>0</v>
      </c>
      <c r="CT158" s="46">
        <f>=IFERROR(ROUND(CT22/$B158,0),0)</f>
        <v>0</v>
      </c>
      <c r="CU158" s="46">
        <f>=IFERROR(ROUND(CU22/$B158,0),0)</f>
        <v>0</v>
      </c>
      <c r="CV158" s="46">
        <f>=IFERROR(ROUND(CV22/$B158,0),0)</f>
        <v>0</v>
      </c>
      <c r="CW158" s="46">
        <f>=IFERROR(ROUND(CW22/$B158,0),0)</f>
        <v>0</v>
      </c>
      <c r="CX158" s="46">
        <f>=IFERROR(ROUND(CX22/$B158,0),0)</f>
        <v>0</v>
      </c>
      <c r="CY158" s="46">
        <f>=IFERROR(ROUND(CY22/$B158,0),0)</f>
        <v>0</v>
      </c>
      <c r="CZ158" s="46">
        <f>=IFERROR(ROUND(CZ22/$B158,0),0)</f>
        <v>0</v>
      </c>
      <c r="DA158" s="46">
        <f>=IFERROR(ROUND(DA22/$B158,0),0)</f>
        <v>0</v>
      </c>
      <c r="DB158" s="46">
        <f>=IFERROR(ROUND(DB22/$B158,0),0)</f>
        <v>0</v>
      </c>
    </row>
    <row r="159" spans="3:106" x14ac:dyDescent="0.25"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  <c r="BP159" s="30"/>
      <c r="BQ159" s="30"/>
      <c r="BR159" s="30"/>
      <c r="BS159" s="30"/>
      <c r="BT159" s="30"/>
      <c r="BU159" s="30"/>
      <c r="BV159" s="30"/>
      <c r="BW159" s="30"/>
      <c r="BX159" s="30"/>
      <c r="BY159" s="30"/>
      <c r="BZ159" s="30"/>
      <c r="CA159" s="30"/>
      <c r="CB159" s="30"/>
      <c r="CC159" s="30"/>
      <c r="CD159" s="30"/>
      <c r="CE159" s="30"/>
      <c r="CF159" s="30"/>
      <c r="CG159" s="30"/>
      <c r="CH159" s="30"/>
      <c r="CI159" s="30"/>
      <c r="CJ159" s="30"/>
      <c r="CK159" s="30"/>
      <c r="CL159" s="30"/>
      <c r="CM159" s="30"/>
      <c r="CN159" s="30"/>
      <c r="CO159" s="30"/>
      <c r="CP159" s="30"/>
      <c r="CQ159" s="30"/>
      <c r="CR159" s="30"/>
      <c r="CS159" s="30"/>
      <c r="CT159" s="30"/>
      <c r="CU159" s="30"/>
      <c r="CV159" s="30"/>
      <c r="CW159" s="30"/>
      <c r="CX159" s="30"/>
      <c r="CY159" s="30"/>
      <c r="CZ159" s="30"/>
      <c r="DA159" s="30"/>
      <c r="DB159" s="30"/>
    </row>
    <row r="160" spans="1:106" x14ac:dyDescent="0.25">
      <c r="A160" s="33" t="s">
        <v>366</v>
      </c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  <c r="BF160" s="30"/>
      <c r="BG160" s="30"/>
      <c r="BH160" s="30"/>
      <c r="BI160" s="30"/>
      <c r="BJ160" s="30"/>
      <c r="BK160" s="30"/>
      <c r="BL160" s="30"/>
      <c r="BM160" s="30"/>
      <c r="BN160" s="30"/>
      <c r="BO160" s="30"/>
      <c r="BP160" s="30"/>
      <c r="BQ160" s="30"/>
      <c r="BR160" s="30"/>
      <c r="BS160" s="30"/>
      <c r="BT160" s="30"/>
      <c r="BU160" s="30"/>
      <c r="BV160" s="30"/>
      <c r="BW160" s="30"/>
      <c r="BX160" s="30"/>
      <c r="BY160" s="30"/>
      <c r="BZ160" s="30"/>
      <c r="CA160" s="30"/>
      <c r="CB160" s="30"/>
      <c r="CC160" s="30"/>
      <c r="CD160" s="30"/>
      <c r="CE160" s="30"/>
      <c r="CF160" s="30"/>
      <c r="CG160" s="30"/>
      <c r="CH160" s="30"/>
      <c r="CI160" s="30"/>
      <c r="CJ160" s="30"/>
      <c r="CK160" s="30"/>
      <c r="CL160" s="30"/>
      <c r="CM160" s="30"/>
      <c r="CN160" s="30"/>
      <c r="CO160" s="30"/>
      <c r="CP160" s="30"/>
      <c r="CQ160" s="30"/>
      <c r="CR160" s="30"/>
      <c r="CS160" s="30"/>
      <c r="CT160" s="30"/>
      <c r="CU160" s="30"/>
      <c r="CV160" s="30"/>
      <c r="CW160" s="30"/>
      <c r="CX160" s="30"/>
      <c r="CY160" s="30"/>
      <c r="CZ160" s="30"/>
      <c r="DA160" s="30"/>
      <c r="DB160" s="30"/>
    </row>
    <row r="161" spans="1:106" x14ac:dyDescent="0.25">
      <c r="A161" s="17" t="s">
        <v>367</v>
      </c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0"/>
      <c r="BK161" s="30"/>
      <c r="BL161" s="30"/>
      <c r="BM161" s="30"/>
      <c r="BN161" s="30"/>
      <c r="BO161" s="30"/>
      <c r="BP161" s="30"/>
      <c r="BQ161" s="30"/>
      <c r="BR161" s="30"/>
      <c r="BS161" s="30"/>
      <c r="BT161" s="30"/>
      <c r="BU161" s="30"/>
      <c r="BV161" s="30"/>
      <c r="BW161" s="30"/>
      <c r="BX161" s="30"/>
      <c r="BY161" s="30"/>
      <c r="BZ161" s="30"/>
      <c r="CA161" s="30"/>
      <c r="CB161" s="30"/>
      <c r="CC161" s="30"/>
      <c r="CD161" s="30"/>
      <c r="CE161" s="30"/>
      <c r="CF161" s="30"/>
      <c r="CG161" s="30"/>
      <c r="CH161" s="30"/>
      <c r="CI161" s="30"/>
      <c r="CJ161" s="30"/>
      <c r="CK161" s="30"/>
      <c r="CL161" s="30"/>
      <c r="CM161" s="30"/>
      <c r="CN161" s="30"/>
      <c r="CO161" s="30"/>
      <c r="CP161" s="30"/>
      <c r="CQ161" s="30"/>
      <c r="CR161" s="30"/>
      <c r="CS161" s="30"/>
      <c r="CT161" s="30"/>
      <c r="CU161" s="30"/>
      <c r="CV161" s="30"/>
      <c r="CW161" s="30"/>
      <c r="CX161" s="30"/>
      <c r="CY161" s="30"/>
      <c r="CZ161" s="30"/>
      <c r="DA161" s="30"/>
      <c r="DB161" s="30"/>
    </row>
    <row r="162" spans="1:106" x14ac:dyDescent="0.25">
      <c r="A162" s="17" t="s">
        <v>357</v>
      </c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30"/>
      <c r="BP162" s="30"/>
      <c r="BQ162" s="30"/>
      <c r="BR162" s="30"/>
      <c r="BS162" s="30"/>
      <c r="BT162" s="30"/>
      <c r="BU162" s="30"/>
      <c r="BV162" s="30"/>
      <c r="BW162" s="30"/>
      <c r="BX162" s="30"/>
      <c r="BY162" s="30"/>
      <c r="BZ162" s="30"/>
      <c r="CA162" s="30"/>
      <c r="CB162" s="30"/>
      <c r="CC162" s="30"/>
      <c r="CD162" s="30"/>
      <c r="CE162" s="30"/>
      <c r="CF162" s="30"/>
      <c r="CG162" s="30"/>
      <c r="CH162" s="30"/>
      <c r="CI162" s="30"/>
      <c r="CJ162" s="30"/>
      <c r="CK162" s="30"/>
      <c r="CL162" s="30"/>
      <c r="CM162" s="30"/>
      <c r="CN162" s="30"/>
      <c r="CO162" s="30"/>
      <c r="CP162" s="30"/>
      <c r="CQ162" s="30"/>
      <c r="CR162" s="30"/>
      <c r="CS162" s="30"/>
      <c r="CT162" s="30"/>
      <c r="CU162" s="30"/>
      <c r="CV162" s="30"/>
      <c r="CW162" s="30"/>
      <c r="CX162" s="30"/>
      <c r="CY162" s="30"/>
      <c r="CZ162" s="30"/>
      <c r="DA162" s="30"/>
      <c r="DB162" s="30"/>
    </row>
    <row r="163" spans="1:106" x14ac:dyDescent="0.25">
      <c r="A163" s="17" t="s">
        <v>358</v>
      </c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/>
      <c r="BE163" s="30"/>
      <c r="BF163" s="30"/>
      <c r="BG163" s="30"/>
      <c r="BH163" s="30"/>
      <c r="BI163" s="30"/>
      <c r="BJ163" s="30"/>
      <c r="BK163" s="30"/>
      <c r="BL163" s="30"/>
      <c r="BM163" s="30"/>
      <c r="BN163" s="30"/>
      <c r="BO163" s="30"/>
      <c r="BP163" s="30"/>
      <c r="BQ163" s="30"/>
      <c r="BR163" s="30"/>
      <c r="BS163" s="30"/>
      <c r="BT163" s="30"/>
      <c r="BU163" s="30"/>
      <c r="BV163" s="30"/>
      <c r="BW163" s="30"/>
      <c r="BX163" s="30"/>
      <c r="BY163" s="30"/>
      <c r="BZ163" s="30"/>
      <c r="CA163" s="30"/>
      <c r="CB163" s="30"/>
      <c r="CC163" s="30"/>
      <c r="CD163" s="30"/>
      <c r="CE163" s="30"/>
      <c r="CF163" s="30"/>
      <c r="CG163" s="30"/>
      <c r="CH163" s="30"/>
      <c r="CI163" s="30"/>
      <c r="CJ163" s="30"/>
      <c r="CK163" s="30"/>
      <c r="CL163" s="30"/>
      <c r="CM163" s="30"/>
      <c r="CN163" s="30"/>
      <c r="CO163" s="30"/>
      <c r="CP163" s="30"/>
      <c r="CQ163" s="30"/>
      <c r="CR163" s="30"/>
      <c r="CS163" s="30"/>
      <c r="CT163" s="30"/>
      <c r="CU163" s="30"/>
      <c r="CV163" s="30"/>
      <c r="CW163" s="30"/>
      <c r="CX163" s="30"/>
      <c r="CY163" s="30"/>
      <c r="CZ163" s="30"/>
      <c r="DA163" s="30"/>
      <c r="DB163" s="30"/>
    </row>
    <row r="164" spans="1:106" x14ac:dyDescent="0.25">
      <c r="A164" s="17" t="s">
        <v>359</v>
      </c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30"/>
      <c r="BD164" s="30"/>
      <c r="BE164" s="30"/>
      <c r="BF164" s="30"/>
      <c r="BG164" s="30"/>
      <c r="BH164" s="30"/>
      <c r="BI164" s="30"/>
      <c r="BJ164" s="30"/>
      <c r="BK164" s="30"/>
      <c r="BL164" s="30"/>
      <c r="BM164" s="30"/>
      <c r="BN164" s="30"/>
      <c r="BO164" s="30"/>
      <c r="BP164" s="30"/>
      <c r="BQ164" s="30"/>
      <c r="BR164" s="30"/>
      <c r="BS164" s="30"/>
      <c r="BT164" s="30"/>
      <c r="BU164" s="30"/>
      <c r="BV164" s="30"/>
      <c r="BW164" s="30"/>
      <c r="BX164" s="30"/>
      <c r="BY164" s="30"/>
      <c r="BZ164" s="30"/>
      <c r="CA164" s="30"/>
      <c r="CB164" s="30"/>
      <c r="CC164" s="30"/>
      <c r="CD164" s="30"/>
      <c r="CE164" s="30"/>
      <c r="CF164" s="30"/>
      <c r="CG164" s="30"/>
      <c r="CH164" s="30"/>
      <c r="CI164" s="30"/>
      <c r="CJ164" s="30"/>
      <c r="CK164" s="30"/>
      <c r="CL164" s="30"/>
      <c r="CM164" s="30"/>
      <c r="CN164" s="30"/>
      <c r="CO164" s="30"/>
      <c r="CP164" s="30"/>
      <c r="CQ164" s="30"/>
      <c r="CR164" s="30"/>
      <c r="CS164" s="30"/>
      <c r="CT164" s="30"/>
      <c r="CU164" s="30"/>
      <c r="CV164" s="30"/>
      <c r="CW164" s="30"/>
      <c r="CX164" s="30"/>
      <c r="CY164" s="30"/>
      <c r="CZ164" s="30"/>
      <c r="DA164" s="30"/>
      <c r="DB164" s="30"/>
    </row>
    <row r="165" spans="1:106" x14ac:dyDescent="0.25">
      <c r="A165" s="17" t="s">
        <v>360</v>
      </c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30"/>
      <c r="BD165" s="30"/>
      <c r="BE165" s="30"/>
      <c r="BF165" s="30"/>
      <c r="BG165" s="30"/>
      <c r="BH165" s="30"/>
      <c r="BI165" s="30"/>
      <c r="BJ165" s="30"/>
      <c r="BK165" s="30"/>
      <c r="BL165" s="30"/>
      <c r="BM165" s="30"/>
      <c r="BN165" s="30"/>
      <c r="BO165" s="30"/>
      <c r="BP165" s="30"/>
      <c r="BQ165" s="30"/>
      <c r="BR165" s="30"/>
      <c r="BS165" s="30"/>
      <c r="BT165" s="30"/>
      <c r="BU165" s="30"/>
      <c r="BV165" s="30"/>
      <c r="BW165" s="30"/>
      <c r="BX165" s="30"/>
      <c r="BY165" s="30"/>
      <c r="BZ165" s="30"/>
      <c r="CA165" s="30"/>
      <c r="CB165" s="30"/>
      <c r="CC165" s="30"/>
      <c r="CD165" s="30"/>
      <c r="CE165" s="30"/>
      <c r="CF165" s="30"/>
      <c r="CG165" s="30"/>
      <c r="CH165" s="30"/>
      <c r="CI165" s="30"/>
      <c r="CJ165" s="30"/>
      <c r="CK165" s="30"/>
      <c r="CL165" s="30"/>
      <c r="CM165" s="30"/>
      <c r="CN165" s="30"/>
      <c r="CO165" s="30"/>
      <c r="CP165" s="30"/>
      <c r="CQ165" s="30"/>
      <c r="CR165" s="30"/>
      <c r="CS165" s="30"/>
      <c r="CT165" s="30"/>
      <c r="CU165" s="30"/>
      <c r="CV165" s="30"/>
      <c r="CW165" s="30"/>
      <c r="CX165" s="30"/>
      <c r="CY165" s="30"/>
      <c r="CZ165" s="30"/>
      <c r="DA165" s="30"/>
      <c r="DB165" s="30"/>
    </row>
    <row r="166" spans="1:106" x14ac:dyDescent="0.25">
      <c r="A166" s="17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  <c r="BA166" s="30"/>
      <c r="BB166" s="30"/>
      <c r="BC166" s="30"/>
      <c r="BD166" s="30"/>
      <c r="BE166" s="30"/>
      <c r="BF166" s="30"/>
      <c r="BG166" s="30"/>
      <c r="BH166" s="30"/>
      <c r="BI166" s="30"/>
      <c r="BJ166" s="30"/>
      <c r="BK166" s="30"/>
      <c r="BL166" s="30"/>
      <c r="BM166" s="30"/>
      <c r="BN166" s="30"/>
      <c r="BO166" s="30"/>
      <c r="BP166" s="30"/>
      <c r="BQ166" s="30"/>
      <c r="BR166" s="30"/>
      <c r="BS166" s="30"/>
      <c r="BT166" s="30"/>
      <c r="BU166" s="30"/>
      <c r="BV166" s="30"/>
      <c r="BW166" s="30"/>
      <c r="BX166" s="30"/>
      <c r="BY166" s="30"/>
      <c r="BZ166" s="30"/>
      <c r="CA166" s="30"/>
      <c r="CB166" s="30"/>
      <c r="CC166" s="30"/>
      <c r="CD166" s="30"/>
      <c r="CE166" s="30"/>
      <c r="CF166" s="30"/>
      <c r="CG166" s="30"/>
      <c r="CH166" s="30"/>
      <c r="CI166" s="30"/>
      <c r="CJ166" s="30"/>
      <c r="CK166" s="30"/>
      <c r="CL166" s="30"/>
      <c r="CM166" s="30"/>
      <c r="CN166" s="30"/>
      <c r="CO166" s="30"/>
      <c r="CP166" s="30"/>
      <c r="CQ166" s="30"/>
      <c r="CR166" s="30"/>
      <c r="CS166" s="30"/>
      <c r="CT166" s="30"/>
      <c r="CU166" s="30"/>
      <c r="CV166" s="30"/>
      <c r="CW166" s="30"/>
      <c r="CX166" s="30"/>
      <c r="CY166" s="30"/>
      <c r="CZ166" s="30"/>
      <c r="DA166" s="30"/>
      <c r="DB166" s="30"/>
    </row>
    <row r="167" spans="1:106" x14ac:dyDescent="0.25">
      <c r="A167" s="33" t="s">
        <v>368</v>
      </c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  <c r="BC167" s="30"/>
      <c r="BD167" s="30"/>
      <c r="BE167" s="30"/>
      <c r="BF167" s="30"/>
      <c r="BG167" s="30"/>
      <c r="BH167" s="30"/>
      <c r="BI167" s="30"/>
      <c r="BJ167" s="30"/>
      <c r="BK167" s="30"/>
      <c r="BL167" s="30"/>
      <c r="BM167" s="30"/>
      <c r="BN167" s="30"/>
      <c r="BO167" s="30"/>
      <c r="BP167" s="30"/>
      <c r="BQ167" s="30"/>
      <c r="BR167" s="30"/>
      <c r="BS167" s="30"/>
      <c r="BT167" s="30"/>
      <c r="BU167" s="30"/>
      <c r="BV167" s="30"/>
      <c r="BW167" s="30"/>
      <c r="BX167" s="30"/>
      <c r="BY167" s="30"/>
      <c r="BZ167" s="30"/>
      <c r="CA167" s="30"/>
      <c r="CB167" s="30"/>
      <c r="CC167" s="30"/>
      <c r="CD167" s="30"/>
      <c r="CE167" s="30"/>
      <c r="CF167" s="30"/>
      <c r="CG167" s="30"/>
      <c r="CH167" s="30"/>
      <c r="CI167" s="30"/>
      <c r="CJ167" s="30"/>
      <c r="CK167" s="30"/>
      <c r="CL167" s="30"/>
      <c r="CM167" s="30"/>
      <c r="CN167" s="30"/>
      <c r="CO167" s="30"/>
      <c r="CP167" s="30"/>
      <c r="CQ167" s="30"/>
      <c r="CR167" s="30"/>
      <c r="CS167" s="30"/>
      <c r="CT167" s="30"/>
      <c r="CU167" s="30"/>
      <c r="CV167" s="30"/>
      <c r="CW167" s="30"/>
      <c r="CX167" s="30"/>
      <c r="CY167" s="30"/>
      <c r="CZ167" s="30"/>
      <c r="DA167" s="30"/>
      <c r="DB167" s="30"/>
    </row>
    <row r="168" spans="1:106" x14ac:dyDescent="0.25">
      <c r="A168" s="17" t="s">
        <v>367</v>
      </c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  <c r="BA168" s="30"/>
      <c r="BB168" s="30"/>
      <c r="BC168" s="30"/>
      <c r="BD168" s="30"/>
      <c r="BE168" s="30"/>
      <c r="BF168" s="30"/>
      <c r="BG168" s="30"/>
      <c r="BH168" s="30"/>
      <c r="BI168" s="30"/>
      <c r="BJ168" s="30"/>
      <c r="BK168" s="30"/>
      <c r="BL168" s="30"/>
      <c r="BM168" s="30"/>
      <c r="BN168" s="30"/>
      <c r="BO168" s="30"/>
      <c r="BP168" s="30"/>
      <c r="BQ168" s="30"/>
      <c r="BR168" s="30"/>
      <c r="BS168" s="30"/>
      <c r="BT168" s="30"/>
      <c r="BU168" s="30"/>
      <c r="BV168" s="30"/>
      <c r="BW168" s="30"/>
      <c r="BX168" s="30"/>
      <c r="BY168" s="30"/>
      <c r="BZ168" s="30"/>
      <c r="CA168" s="30"/>
      <c r="CB168" s="30"/>
      <c r="CC168" s="30"/>
      <c r="CD168" s="30"/>
      <c r="CE168" s="30"/>
      <c r="CF168" s="30"/>
      <c r="CG168" s="30"/>
      <c r="CH168" s="30"/>
      <c r="CI168" s="30"/>
      <c r="CJ168" s="30"/>
      <c r="CK168" s="30"/>
      <c r="CL168" s="30"/>
      <c r="CM168" s="30"/>
      <c r="CN168" s="30"/>
      <c r="CO168" s="30"/>
      <c r="CP168" s="30"/>
      <c r="CQ168" s="30"/>
      <c r="CR168" s="30"/>
      <c r="CS168" s="30"/>
      <c r="CT168" s="30"/>
      <c r="CU168" s="30"/>
      <c r="CV168" s="30"/>
      <c r="CW168" s="30"/>
      <c r="CX168" s="30"/>
      <c r="CY168" s="30"/>
      <c r="CZ168" s="30"/>
      <c r="DA168" s="30"/>
      <c r="DB168" s="30"/>
    </row>
    <row r="169" spans="1:106" x14ac:dyDescent="0.25">
      <c r="A169" s="17" t="s">
        <v>357</v>
      </c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  <c r="BA169" s="30"/>
      <c r="BB169" s="30"/>
      <c r="BC169" s="30"/>
      <c r="BD169" s="30"/>
      <c r="BE169" s="30"/>
      <c r="BF169" s="30"/>
      <c r="BG169" s="30"/>
      <c r="BH169" s="30"/>
      <c r="BI169" s="30"/>
      <c r="BJ169" s="30"/>
      <c r="BK169" s="30"/>
      <c r="BL169" s="30"/>
      <c r="BM169" s="30"/>
      <c r="BN169" s="30"/>
      <c r="BO169" s="30"/>
      <c r="BP169" s="30"/>
      <c r="BQ169" s="30"/>
      <c r="BR169" s="30"/>
      <c r="BS169" s="30"/>
      <c r="BT169" s="30"/>
      <c r="BU169" s="30"/>
      <c r="BV169" s="30"/>
      <c r="BW169" s="30"/>
      <c r="BX169" s="30"/>
      <c r="BY169" s="30"/>
      <c r="BZ169" s="30"/>
      <c r="CA169" s="30"/>
      <c r="CB169" s="30"/>
      <c r="CC169" s="30"/>
      <c r="CD169" s="30"/>
      <c r="CE169" s="30"/>
      <c r="CF169" s="30"/>
      <c r="CG169" s="30"/>
      <c r="CH169" s="30"/>
      <c r="CI169" s="30"/>
      <c r="CJ169" s="30"/>
      <c r="CK169" s="30"/>
      <c r="CL169" s="30"/>
      <c r="CM169" s="30"/>
      <c r="CN169" s="30"/>
      <c r="CO169" s="30"/>
      <c r="CP169" s="30"/>
      <c r="CQ169" s="30"/>
      <c r="CR169" s="30"/>
      <c r="CS169" s="30"/>
      <c r="CT169" s="30"/>
      <c r="CU169" s="30"/>
      <c r="CV169" s="30"/>
      <c r="CW169" s="30"/>
      <c r="CX169" s="30"/>
      <c r="CY169" s="30"/>
      <c r="CZ169" s="30"/>
      <c r="DA169" s="30"/>
      <c r="DB169" s="30"/>
    </row>
    <row r="170" spans="1:106" x14ac:dyDescent="0.25">
      <c r="A170" s="17" t="s">
        <v>358</v>
      </c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  <c r="BF170" s="30"/>
      <c r="BG170" s="30"/>
      <c r="BH170" s="30"/>
      <c r="BI170" s="30"/>
      <c r="BJ170" s="30"/>
      <c r="BK170" s="30"/>
      <c r="BL170" s="30"/>
      <c r="BM170" s="30"/>
      <c r="BN170" s="30"/>
      <c r="BO170" s="30"/>
      <c r="BP170" s="30"/>
      <c r="BQ170" s="30"/>
      <c r="BR170" s="30"/>
      <c r="BS170" s="30"/>
      <c r="BT170" s="30"/>
      <c r="BU170" s="30"/>
      <c r="BV170" s="30"/>
      <c r="BW170" s="30"/>
      <c r="BX170" s="30"/>
      <c r="BY170" s="30"/>
      <c r="BZ170" s="30"/>
      <c r="CA170" s="30"/>
      <c r="CB170" s="30"/>
      <c r="CC170" s="30"/>
      <c r="CD170" s="30"/>
      <c r="CE170" s="30"/>
      <c r="CF170" s="30"/>
      <c r="CG170" s="30"/>
      <c r="CH170" s="30"/>
      <c r="CI170" s="30"/>
      <c r="CJ170" s="30"/>
      <c r="CK170" s="30"/>
      <c r="CL170" s="30"/>
      <c r="CM170" s="30"/>
      <c r="CN170" s="30"/>
      <c r="CO170" s="30"/>
      <c r="CP170" s="30"/>
      <c r="CQ170" s="30"/>
      <c r="CR170" s="30"/>
      <c r="CS170" s="30"/>
      <c r="CT170" s="30"/>
      <c r="CU170" s="30"/>
      <c r="CV170" s="30"/>
      <c r="CW170" s="30"/>
      <c r="CX170" s="30"/>
      <c r="CY170" s="30"/>
      <c r="CZ170" s="30"/>
      <c r="DA170" s="30"/>
      <c r="DB170" s="30"/>
    </row>
    <row r="171" spans="1:106" x14ac:dyDescent="0.25">
      <c r="A171" s="17" t="s">
        <v>359</v>
      </c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  <c r="BA171" s="30"/>
      <c r="BB171" s="30"/>
      <c r="BC171" s="30"/>
      <c r="BD171" s="30"/>
      <c r="BE171" s="30"/>
      <c r="BF171" s="30"/>
      <c r="BG171" s="30"/>
      <c r="BH171" s="30"/>
      <c r="BI171" s="30"/>
      <c r="BJ171" s="30"/>
      <c r="BK171" s="30"/>
      <c r="BL171" s="30"/>
      <c r="BM171" s="30"/>
      <c r="BN171" s="30"/>
      <c r="BO171" s="30"/>
      <c r="BP171" s="30"/>
      <c r="BQ171" s="30"/>
      <c r="BR171" s="30"/>
      <c r="BS171" s="30"/>
      <c r="BT171" s="30"/>
      <c r="BU171" s="30"/>
      <c r="BV171" s="30"/>
      <c r="BW171" s="30"/>
      <c r="BX171" s="30"/>
      <c r="BY171" s="30"/>
      <c r="BZ171" s="30"/>
      <c r="CA171" s="30"/>
      <c r="CB171" s="30"/>
      <c r="CC171" s="30"/>
      <c r="CD171" s="30"/>
      <c r="CE171" s="30"/>
      <c r="CF171" s="30"/>
      <c r="CG171" s="30"/>
      <c r="CH171" s="30"/>
      <c r="CI171" s="30"/>
      <c r="CJ171" s="30"/>
      <c r="CK171" s="30"/>
      <c r="CL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</row>
    <row r="172" spans="1:106" x14ac:dyDescent="0.25">
      <c r="A172" s="17" t="s">
        <v>360</v>
      </c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  <c r="BA172" s="30"/>
      <c r="BB172" s="30"/>
      <c r="BC172" s="30"/>
      <c r="BD172" s="30"/>
      <c r="BE172" s="30"/>
      <c r="BF172" s="30"/>
      <c r="BG172" s="30"/>
      <c r="BH172" s="30"/>
      <c r="BI172" s="30"/>
      <c r="BJ172" s="30"/>
      <c r="BK172" s="30"/>
      <c r="BL172" s="30"/>
      <c r="BM172" s="30"/>
      <c r="BN172" s="30"/>
      <c r="BO172" s="30"/>
      <c r="BP172" s="30"/>
      <c r="BQ172" s="30"/>
      <c r="BR172" s="30"/>
      <c r="BS172" s="30"/>
      <c r="BT172" s="30"/>
      <c r="BU172" s="30"/>
      <c r="BV172" s="30"/>
      <c r="BW172" s="30"/>
      <c r="BX172" s="30"/>
      <c r="BY172" s="30"/>
      <c r="BZ172" s="30"/>
      <c r="CA172" s="30"/>
      <c r="CB172" s="30"/>
      <c r="CC172" s="30"/>
      <c r="CD172" s="30"/>
      <c r="CE172" s="30"/>
      <c r="CF172" s="30"/>
      <c r="CG172" s="30"/>
      <c r="CH172" s="30"/>
      <c r="CI172" s="30"/>
      <c r="CJ172" s="30"/>
      <c r="CK172" s="30"/>
      <c r="CL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</row>
    <row r="173" spans="3:106" x14ac:dyDescent="0.25"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  <c r="BA173" s="30"/>
      <c r="BB173" s="30"/>
      <c r="BC173" s="30"/>
      <c r="BD173" s="30"/>
      <c r="BE173" s="30"/>
      <c r="BF173" s="30"/>
      <c r="BG173" s="30"/>
      <c r="BH173" s="30"/>
      <c r="BI173" s="30"/>
      <c r="BJ173" s="30"/>
      <c r="BK173" s="30"/>
      <c r="BL173" s="30"/>
      <c r="BM173" s="30"/>
      <c r="BN173" s="30"/>
      <c r="BO173" s="30"/>
      <c r="BP173" s="30"/>
      <c r="BQ173" s="30"/>
      <c r="BR173" s="30"/>
      <c r="BS173" s="30"/>
      <c r="BT173" s="30"/>
      <c r="BU173" s="30"/>
      <c r="BV173" s="30"/>
      <c r="BW173" s="30"/>
      <c r="BX173" s="30"/>
      <c r="BY173" s="30"/>
      <c r="BZ173" s="30"/>
      <c r="CA173" s="30"/>
      <c r="CB173" s="30"/>
      <c r="CC173" s="30"/>
      <c r="CD173" s="30"/>
      <c r="CE173" s="30"/>
      <c r="CF173" s="30"/>
      <c r="CG173" s="30"/>
      <c r="CH173" s="30"/>
      <c r="CI173" s="30"/>
      <c r="CJ173" s="30"/>
      <c r="CK173" s="30"/>
      <c r="CL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</row>
    <row r="174" spans="3:106" x14ac:dyDescent="0.25"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  <c r="BA174" s="30"/>
      <c r="BB174" s="30"/>
      <c r="BC174" s="30"/>
      <c r="BD174" s="30"/>
      <c r="BE174" s="30"/>
      <c r="BF174" s="30"/>
      <c r="BG174" s="30"/>
      <c r="BH174" s="30"/>
      <c r="BI174" s="30"/>
      <c r="BJ174" s="30"/>
      <c r="BK174" s="30"/>
      <c r="BL174" s="30"/>
      <c r="BM174" s="30"/>
      <c r="BN174" s="30"/>
      <c r="BO174" s="30"/>
      <c r="BP174" s="30"/>
      <c r="BQ174" s="30"/>
      <c r="BR174" s="30"/>
      <c r="BS174" s="30"/>
      <c r="BT174" s="30"/>
      <c r="BU174" s="30"/>
      <c r="BV174" s="30"/>
      <c r="BW174" s="30"/>
      <c r="BX174" s="30"/>
      <c r="BY174" s="30"/>
      <c r="BZ174" s="30"/>
      <c r="CA174" s="30"/>
      <c r="CB174" s="30"/>
      <c r="CC174" s="30"/>
      <c r="CD174" s="30"/>
      <c r="CE174" s="30"/>
      <c r="CF174" s="30"/>
      <c r="CG174" s="30"/>
      <c r="CH174" s="30"/>
      <c r="CI174" s="30"/>
      <c r="CJ174" s="30"/>
      <c r="CK174" s="30"/>
      <c r="CL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</row>
    <row r="175" spans="3:106" x14ac:dyDescent="0.25"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  <c r="BA175" s="30"/>
      <c r="BB175" s="30"/>
      <c r="BC175" s="30"/>
      <c r="BD175" s="30"/>
      <c r="BE175" s="30"/>
      <c r="BF175" s="30"/>
      <c r="BG175" s="30"/>
      <c r="BH175" s="30"/>
      <c r="BI175" s="30"/>
      <c r="BJ175" s="30"/>
      <c r="BK175" s="30"/>
      <c r="BL175" s="30"/>
      <c r="BM175" s="30"/>
      <c r="BN175" s="30"/>
      <c r="BO175" s="30"/>
      <c r="BP175" s="30"/>
      <c r="BQ175" s="30"/>
      <c r="BR175" s="30"/>
      <c r="BS175" s="30"/>
      <c r="BT175" s="30"/>
      <c r="BU175" s="30"/>
      <c r="BV175" s="30"/>
      <c r="BW175" s="30"/>
      <c r="BX175" s="30"/>
      <c r="BY175" s="30"/>
      <c r="BZ175" s="30"/>
      <c r="CA175" s="30"/>
      <c r="CB175" s="30"/>
      <c r="CC175" s="30"/>
      <c r="CD175" s="30"/>
      <c r="CE175" s="30"/>
      <c r="CF175" s="30"/>
      <c r="CG175" s="30"/>
      <c r="CH175" s="30"/>
      <c r="CI175" s="30"/>
      <c r="CJ175" s="30"/>
      <c r="CK175" s="30"/>
      <c r="CL175" s="30"/>
      <c r="CM175" s="30"/>
      <c r="CN175" s="30"/>
      <c r="CO175" s="30"/>
      <c r="CP175" s="30"/>
      <c r="CQ175" s="30"/>
      <c r="CR175" s="30"/>
      <c r="CS175" s="30"/>
      <c r="CT175" s="30"/>
      <c r="CU175" s="30"/>
      <c r="CV175" s="30"/>
      <c r="CW175" s="30"/>
      <c r="CX175" s="30"/>
      <c r="CY175" s="30"/>
      <c r="CZ175" s="30"/>
      <c r="DA175" s="30"/>
      <c r="DB175" s="30"/>
    </row>
    <row r="176" spans="1:106" x14ac:dyDescent="0.25">
      <c r="A176" s="17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  <c r="BA176" s="30"/>
      <c r="BB176" s="30"/>
      <c r="BC176" s="30"/>
      <c r="BD176" s="30"/>
      <c r="BE176" s="30"/>
      <c r="BF176" s="30"/>
      <c r="BG176" s="30"/>
      <c r="BH176" s="30"/>
      <c r="BI176" s="30"/>
      <c r="BJ176" s="30"/>
      <c r="BK176" s="30"/>
      <c r="BL176" s="30"/>
      <c r="BM176" s="30"/>
      <c r="BN176" s="30"/>
      <c r="BO176" s="30"/>
      <c r="BP176" s="30"/>
      <c r="BQ176" s="30"/>
      <c r="BR176" s="30"/>
      <c r="BS176" s="30"/>
      <c r="BT176" s="30"/>
      <c r="BU176" s="30"/>
      <c r="BV176" s="30"/>
      <c r="BW176" s="30"/>
      <c r="BX176" s="30"/>
      <c r="BY176" s="30"/>
      <c r="BZ176" s="30"/>
      <c r="CA176" s="30"/>
      <c r="CB176" s="30"/>
      <c r="CC176" s="30"/>
      <c r="CD176" s="30"/>
      <c r="CE176" s="30"/>
      <c r="CF176" s="30"/>
      <c r="CG176" s="30"/>
      <c r="CH176" s="30"/>
      <c r="CI176" s="30"/>
      <c r="CJ176" s="30"/>
      <c r="CK176" s="30"/>
      <c r="CL176" s="30"/>
      <c r="CM176" s="30"/>
      <c r="CN176" s="30"/>
      <c r="CO176" s="30"/>
      <c r="CP176" s="30"/>
      <c r="CQ176" s="30"/>
      <c r="CR176" s="30"/>
      <c r="CS176" s="30"/>
      <c r="CT176" s="30"/>
      <c r="CU176" s="30"/>
      <c r="CV176" s="30"/>
      <c r="CW176" s="30"/>
      <c r="CX176" s="30"/>
      <c r="CY176" s="30"/>
      <c r="CZ176" s="30"/>
      <c r="DA176" s="30"/>
      <c r="DB176" s="30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179"/>
  <sheetFormatPr defaultRowHeight="15" outlineLevelRow="0" outlineLevelCol="0" x14ac:dyDescent="55"/>
  <cols>
    <col min="1" max="1" width="33" customWidth="1"/>
    <col min="2" max="2" width="17" customWidth="1"/>
    <col min="3" max="3" width="11" customWidth="1"/>
  </cols>
  <sheetData>
    <row r="1" ht="17" customHeight="1" spans="1:106" x14ac:dyDescent="0.25">
      <c r="A1" s="1" t="s">
        <v>381</v>
      </c>
      <c r="B1" t="s">
        <v>1</v>
      </c>
      <c r="C1" t="s">
        <v>2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2</v>
      </c>
      <c r="X1" t="s">
        <v>2</v>
      </c>
      <c r="Y1" t="s">
        <v>2</v>
      </c>
      <c r="Z1" t="s">
        <v>2</v>
      </c>
      <c r="AA1" t="s">
        <v>2</v>
      </c>
      <c r="AB1" t="s">
        <v>2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 t="s">
        <v>2</v>
      </c>
      <c r="AI1" t="s">
        <v>2</v>
      </c>
      <c r="AJ1" t="s">
        <v>2</v>
      </c>
      <c r="AK1" t="s">
        <v>2</v>
      </c>
      <c r="AL1" t="s">
        <v>2</v>
      </c>
      <c r="AM1" t="s">
        <v>2</v>
      </c>
      <c r="AN1" t="s">
        <v>2</v>
      </c>
      <c r="AO1" t="s">
        <v>2</v>
      </c>
      <c r="AP1" t="s">
        <v>2</v>
      </c>
      <c r="AQ1" t="s">
        <v>2</v>
      </c>
      <c r="AR1" t="s">
        <v>2</v>
      </c>
      <c r="AS1" t="s">
        <v>2</v>
      </c>
      <c r="AT1" t="s">
        <v>2</v>
      </c>
      <c r="AU1" t="s">
        <v>2</v>
      </c>
      <c r="AV1" t="s">
        <v>2</v>
      </c>
      <c r="AW1" t="s">
        <v>2</v>
      </c>
      <c r="AX1" t="s">
        <v>2</v>
      </c>
      <c r="AY1" t="s">
        <v>2</v>
      </c>
      <c r="AZ1" t="s">
        <v>2</v>
      </c>
      <c r="BA1" t="s">
        <v>2</v>
      </c>
      <c r="BB1" t="s">
        <v>2</v>
      </c>
      <c r="BC1" t="s">
        <v>2</v>
      </c>
      <c r="BD1" t="s">
        <v>2</v>
      </c>
      <c r="BE1" t="s">
        <v>2</v>
      </c>
      <c r="BF1" t="s">
        <v>2</v>
      </c>
      <c r="BG1" t="s">
        <v>2</v>
      </c>
      <c r="BH1" t="s">
        <v>2</v>
      </c>
      <c r="BI1" t="s">
        <v>2</v>
      </c>
      <c r="BJ1" t="s">
        <v>2</v>
      </c>
      <c r="BK1" t="s">
        <v>2</v>
      </c>
      <c r="BL1" t="s">
        <v>2</v>
      </c>
      <c r="BM1" t="s">
        <v>2</v>
      </c>
      <c r="BN1" t="s">
        <v>2</v>
      </c>
      <c r="BO1" t="s">
        <v>2</v>
      </c>
      <c r="BP1" t="s">
        <v>2</v>
      </c>
      <c r="BQ1" t="s">
        <v>2</v>
      </c>
      <c r="BR1" t="s">
        <v>2</v>
      </c>
      <c r="BS1" t="s">
        <v>2</v>
      </c>
      <c r="BT1" t="s">
        <v>2</v>
      </c>
      <c r="BU1" t="s">
        <v>2</v>
      </c>
      <c r="BV1" t="s">
        <v>2</v>
      </c>
      <c r="BW1" t="s">
        <v>2</v>
      </c>
      <c r="BX1" t="s">
        <v>2</v>
      </c>
      <c r="BY1" t="s">
        <v>2</v>
      </c>
      <c r="BZ1" t="s">
        <v>2</v>
      </c>
      <c r="CA1" t="s">
        <v>2</v>
      </c>
      <c r="CB1" t="s">
        <v>2</v>
      </c>
      <c r="CC1" t="s">
        <v>2</v>
      </c>
      <c r="CD1" t="s">
        <v>2</v>
      </c>
      <c r="CE1" t="s">
        <v>2</v>
      </c>
      <c r="CF1" t="s">
        <v>2</v>
      </c>
      <c r="CG1" t="s">
        <v>2</v>
      </c>
      <c r="CH1" t="s">
        <v>2</v>
      </c>
      <c r="CI1" t="s">
        <v>2</v>
      </c>
      <c r="CJ1" t="s">
        <v>2</v>
      </c>
      <c r="CK1" t="s">
        <v>2</v>
      </c>
      <c r="CL1" t="s">
        <v>2</v>
      </c>
      <c r="CM1" t="s">
        <v>2</v>
      </c>
      <c r="CN1" t="s">
        <v>2</v>
      </c>
      <c r="CO1" t="s">
        <v>2</v>
      </c>
      <c r="CP1" t="s">
        <v>2</v>
      </c>
      <c r="CQ1" t="s">
        <v>2</v>
      </c>
      <c r="CR1" t="s">
        <v>2</v>
      </c>
      <c r="CS1" t="s">
        <v>2</v>
      </c>
      <c r="CT1" t="s">
        <v>2</v>
      </c>
      <c r="CU1" t="s">
        <v>2</v>
      </c>
      <c r="CV1" t="s">
        <v>2</v>
      </c>
      <c r="CW1" t="s">
        <v>2</v>
      </c>
      <c r="CX1" t="s">
        <v>2</v>
      </c>
      <c r="CY1" t="s">
        <v>2</v>
      </c>
      <c r="CZ1" t="s">
        <v>2</v>
      </c>
      <c r="DA1" t="s">
        <v>2</v>
      </c>
      <c r="DB1" t="s">
        <v>2</v>
      </c>
    </row>
    <row r="2" ht="14" customHeight="1" spans="1:2" x14ac:dyDescent="0.25">
      <c r="B2" t="s">
        <v>3</v>
      </c>
    </row>
    <row r="3" spans="1:106" x14ac:dyDescent="0.25">
      <c r="A3" s="1"/>
      <c r="B3" s="5" t="s">
        <v>4</v>
      </c>
      <c r="C3" t="s">
        <v>5</v>
      </c>
      <c r="D3" t="s">
        <v>6</v>
      </c>
      <c r="E3" t="s">
        <v>6</v>
      </c>
      <c r="F3" s="6" t="s">
        <v>6</v>
      </c>
      <c r="G3" t="s">
        <v>6</v>
      </c>
      <c r="H3" t="s">
        <v>7</v>
      </c>
      <c r="I3" t="s">
        <v>7</v>
      </c>
      <c r="J3" t="s">
        <v>7</v>
      </c>
      <c r="K3" t="s">
        <v>7</v>
      </c>
      <c r="L3" t="s">
        <v>8</v>
      </c>
      <c r="M3" t="s">
        <v>8</v>
      </c>
      <c r="N3" t="s">
        <v>8</v>
      </c>
      <c r="O3" t="s">
        <v>8</v>
      </c>
      <c r="P3" t="s">
        <v>8</v>
      </c>
      <c r="Q3" t="s">
        <v>9</v>
      </c>
      <c r="R3" t="s">
        <v>9</v>
      </c>
      <c r="S3" t="s">
        <v>9</v>
      </c>
      <c r="T3" t="s">
        <v>9</v>
      </c>
      <c r="U3" t="s">
        <v>10</v>
      </c>
      <c r="V3" t="s">
        <v>10</v>
      </c>
      <c r="W3" t="s">
        <v>10</v>
      </c>
      <c r="X3" t="s">
        <v>10</v>
      </c>
      <c r="Y3" t="s">
        <v>11</v>
      </c>
      <c r="Z3" t="s">
        <v>11</v>
      </c>
      <c r="AA3" t="s">
        <v>11</v>
      </c>
      <c r="AB3" t="s">
        <v>11</v>
      </c>
      <c r="AC3" t="s">
        <v>11</v>
      </c>
      <c r="AD3" t="s">
        <v>12</v>
      </c>
      <c r="AE3" t="s">
        <v>12</v>
      </c>
      <c r="AF3" t="s">
        <v>12</v>
      </c>
      <c r="AG3" t="s">
        <v>12</v>
      </c>
      <c r="AH3" t="s">
        <v>13</v>
      </c>
      <c r="AI3" t="s">
        <v>13</v>
      </c>
      <c r="AJ3" t="s">
        <v>13</v>
      </c>
      <c r="AK3" t="s">
        <v>13</v>
      </c>
      <c r="AL3" t="s">
        <v>14</v>
      </c>
      <c r="AM3" t="s">
        <v>14</v>
      </c>
      <c r="AN3" t="s">
        <v>14</v>
      </c>
      <c r="AO3" t="s">
        <v>14</v>
      </c>
      <c r="AP3" t="s">
        <v>14</v>
      </c>
      <c r="AQ3" t="s">
        <v>15</v>
      </c>
      <c r="AR3" t="s">
        <v>15</v>
      </c>
      <c r="AS3" t="s">
        <v>15</v>
      </c>
      <c r="AT3" t="s">
        <v>15</v>
      </c>
      <c r="AU3" t="s">
        <v>16</v>
      </c>
      <c r="AV3" t="s">
        <v>16</v>
      </c>
      <c r="AW3" t="s">
        <v>16</v>
      </c>
      <c r="AX3" t="s">
        <v>16</v>
      </c>
      <c r="AY3" t="s">
        <v>17</v>
      </c>
      <c r="AZ3" t="s">
        <v>17</v>
      </c>
      <c r="BA3" t="s">
        <v>17</v>
      </c>
      <c r="BB3" t="s">
        <v>17</v>
      </c>
      <c r="BC3" t="s">
        <v>17</v>
      </c>
      <c r="BD3" t="s">
        <v>18</v>
      </c>
      <c r="BE3" t="s">
        <v>18</v>
      </c>
      <c r="BF3" t="s">
        <v>18</v>
      </c>
      <c r="BG3" t="s">
        <v>18</v>
      </c>
      <c r="BH3" t="s">
        <v>19</v>
      </c>
      <c r="BI3" t="s">
        <v>19</v>
      </c>
      <c r="BJ3" t="s">
        <v>19</v>
      </c>
      <c r="BK3" t="s">
        <v>19</v>
      </c>
      <c r="BL3" t="s">
        <v>19</v>
      </c>
      <c r="BM3" t="s">
        <v>20</v>
      </c>
      <c r="BN3" t="s">
        <v>20</v>
      </c>
      <c r="BO3" t="s">
        <v>20</v>
      </c>
      <c r="BP3" t="s">
        <v>20</v>
      </c>
      <c r="BQ3" t="s">
        <v>21</v>
      </c>
      <c r="BR3" t="s">
        <v>21</v>
      </c>
      <c r="BS3" t="s">
        <v>21</v>
      </c>
      <c r="BT3" t="s">
        <v>21</v>
      </c>
      <c r="BU3" t="s">
        <v>22</v>
      </c>
      <c r="BV3" t="s">
        <v>22</v>
      </c>
      <c r="BW3" t="s">
        <v>22</v>
      </c>
      <c r="BX3" t="s">
        <v>22</v>
      </c>
      <c r="BY3" t="s">
        <v>22</v>
      </c>
      <c r="BZ3" t="s">
        <v>23</v>
      </c>
      <c r="CA3" t="s">
        <v>23</v>
      </c>
      <c r="CB3" t="s">
        <v>23</v>
      </c>
      <c r="CC3" t="s">
        <v>23</v>
      </c>
      <c r="CD3" t="s">
        <v>24</v>
      </c>
      <c r="CE3" t="s">
        <v>24</v>
      </c>
      <c r="CF3" t="s">
        <v>24</v>
      </c>
      <c r="CG3" t="s">
        <v>24</v>
      </c>
      <c r="CH3" t="s">
        <v>25</v>
      </c>
      <c r="CI3" t="s">
        <v>25</v>
      </c>
      <c r="CJ3" t="s">
        <v>25</v>
      </c>
      <c r="CK3" t="s">
        <v>25</v>
      </c>
      <c r="CL3" t="s">
        <v>26</v>
      </c>
      <c r="CM3" t="s">
        <v>26</v>
      </c>
      <c r="CN3" t="s">
        <v>26</v>
      </c>
      <c r="CO3" t="s">
        <v>26</v>
      </c>
      <c r="CP3" t="s">
        <v>26</v>
      </c>
      <c r="CQ3" t="s">
        <v>27</v>
      </c>
      <c r="CR3" t="s">
        <v>27</v>
      </c>
      <c r="CS3" t="s">
        <v>27</v>
      </c>
      <c r="CT3" t="s">
        <v>27</v>
      </c>
      <c r="CU3" t="s">
        <v>28</v>
      </c>
      <c r="CV3" t="s">
        <v>28</v>
      </c>
      <c r="CW3" t="s">
        <v>28</v>
      </c>
      <c r="CX3" t="s">
        <v>28</v>
      </c>
      <c r="CY3" t="s">
        <v>28</v>
      </c>
      <c r="CZ3" t="s">
        <v>29</v>
      </c>
      <c r="DA3" t="s">
        <v>29</v>
      </c>
      <c r="DB3" t="s">
        <v>29</v>
      </c>
    </row>
    <row r="4" spans="1:106" x14ac:dyDescent="0.25">
      <c r="A4" s="1"/>
      <c r="B4" s="5" t="s">
        <v>30</v>
      </c>
      <c r="C4" s="7" t="s">
        <v>31</v>
      </c>
      <c r="D4" s="7" t="s">
        <v>32</v>
      </c>
      <c r="E4" s="7" t="s">
        <v>33</v>
      </c>
      <c r="F4" s="7" t="s">
        <v>34</v>
      </c>
      <c r="G4" s="7" t="s">
        <v>35</v>
      </c>
      <c r="H4" s="7" t="s">
        <v>36</v>
      </c>
      <c r="I4" s="7" t="s">
        <v>37</v>
      </c>
      <c r="J4" s="7" t="s">
        <v>38</v>
      </c>
      <c r="K4" s="7" t="s">
        <v>39</v>
      </c>
      <c r="L4" s="7" t="s">
        <v>40</v>
      </c>
      <c r="M4" s="7" t="s">
        <v>41</v>
      </c>
      <c r="N4" s="7" t="s">
        <v>42</v>
      </c>
      <c r="O4" s="7" t="s">
        <v>43</v>
      </c>
      <c r="P4" s="7" t="s">
        <v>44</v>
      </c>
      <c r="Q4" s="7" t="s">
        <v>45</v>
      </c>
      <c r="R4" s="7" t="s">
        <v>46</v>
      </c>
      <c r="S4" s="7" t="s">
        <v>47</v>
      </c>
      <c r="T4" s="7" t="s">
        <v>48</v>
      </c>
      <c r="U4" s="7" t="s">
        <v>49</v>
      </c>
      <c r="V4" s="7" t="s">
        <v>50</v>
      </c>
      <c r="W4" s="7" t="s">
        <v>51</v>
      </c>
      <c r="X4" s="7" t="s">
        <v>52</v>
      </c>
      <c r="Y4" s="7" t="s">
        <v>53</v>
      </c>
      <c r="Z4" s="7" t="s">
        <v>54</v>
      </c>
      <c r="AA4" s="7" t="s">
        <v>55</v>
      </c>
      <c r="AB4" s="7" t="s">
        <v>56</v>
      </c>
      <c r="AC4" s="7" t="s">
        <v>57</v>
      </c>
      <c r="AD4" s="7" t="s">
        <v>58</v>
      </c>
      <c r="AE4" s="7" t="s">
        <v>59</v>
      </c>
      <c r="AF4" s="7" t="s">
        <v>60</v>
      </c>
      <c r="AG4" s="7" t="s">
        <v>61</v>
      </c>
      <c r="AH4" s="7" t="s">
        <v>62</v>
      </c>
      <c r="AI4" s="7" t="s">
        <v>63</v>
      </c>
      <c r="AJ4" s="7" t="s">
        <v>64</v>
      </c>
      <c r="AK4" s="7" t="s">
        <v>65</v>
      </c>
      <c r="AL4" s="7" t="s">
        <v>66</v>
      </c>
      <c r="AM4" s="7" t="s">
        <v>67</v>
      </c>
      <c r="AN4" s="7" t="s">
        <v>68</v>
      </c>
      <c r="AO4" s="7" t="s">
        <v>69</v>
      </c>
      <c r="AP4" s="7" t="s">
        <v>70</v>
      </c>
      <c r="AQ4" s="7" t="s">
        <v>71</v>
      </c>
      <c r="AR4" s="7" t="s">
        <v>72</v>
      </c>
      <c r="AS4" s="7" t="s">
        <v>73</v>
      </c>
      <c r="AT4" s="7" t="s">
        <v>74</v>
      </c>
      <c r="AU4" s="7" t="s">
        <v>75</v>
      </c>
      <c r="AV4" s="7" t="s">
        <v>76</v>
      </c>
      <c r="AW4" s="7" t="s">
        <v>77</v>
      </c>
      <c r="AX4" s="7" t="s">
        <v>78</v>
      </c>
      <c r="AY4" s="7" t="s">
        <v>79</v>
      </c>
      <c r="AZ4" s="7" t="s">
        <v>80</v>
      </c>
      <c r="BA4" s="7" t="s">
        <v>81</v>
      </c>
      <c r="BB4" s="7" t="s">
        <v>82</v>
      </c>
      <c r="BC4" s="7" t="s">
        <v>83</v>
      </c>
      <c r="BD4" s="7" t="s">
        <v>84</v>
      </c>
      <c r="BE4" s="7" t="s">
        <v>85</v>
      </c>
      <c r="BF4" s="7" t="s">
        <v>86</v>
      </c>
      <c r="BG4" s="7" t="s">
        <v>87</v>
      </c>
      <c r="BH4" s="7" t="s">
        <v>88</v>
      </c>
      <c r="BI4" s="7" t="s">
        <v>89</v>
      </c>
      <c r="BJ4" s="7" t="s">
        <v>90</v>
      </c>
      <c r="BK4" s="7" t="s">
        <v>91</v>
      </c>
      <c r="BL4" s="7" t="s">
        <v>92</v>
      </c>
      <c r="BM4" s="7" t="s">
        <v>93</v>
      </c>
      <c r="BN4" s="7" t="s">
        <v>94</v>
      </c>
      <c r="BO4" s="7" t="s">
        <v>95</v>
      </c>
      <c r="BP4" s="7" t="s">
        <v>96</v>
      </c>
      <c r="BQ4" s="7" t="s">
        <v>97</v>
      </c>
      <c r="BR4" s="7" t="s">
        <v>98</v>
      </c>
      <c r="BS4" s="7" t="s">
        <v>99</v>
      </c>
      <c r="BT4" s="7" t="s">
        <v>100</v>
      </c>
      <c r="BU4" s="7" t="s">
        <v>101</v>
      </c>
      <c r="BV4" s="7" t="s">
        <v>102</v>
      </c>
      <c r="BW4" s="7" t="s">
        <v>103</v>
      </c>
      <c r="BX4" s="7" t="s">
        <v>104</v>
      </c>
      <c r="BY4" s="7" t="s">
        <v>105</v>
      </c>
      <c r="BZ4" s="7" t="s">
        <v>106</v>
      </c>
      <c r="CA4" s="7" t="s">
        <v>107</v>
      </c>
      <c r="CB4" s="7" t="s">
        <v>108</v>
      </c>
      <c r="CC4" s="7" t="s">
        <v>109</v>
      </c>
      <c r="CD4" s="7" t="s">
        <v>110</v>
      </c>
      <c r="CE4" s="7" t="s">
        <v>111</v>
      </c>
      <c r="CF4" s="7" t="s">
        <v>112</v>
      </c>
      <c r="CG4" s="7" t="s">
        <v>113</v>
      </c>
      <c r="CH4" s="7" t="s">
        <v>114</v>
      </c>
      <c r="CI4" s="7" t="s">
        <v>115</v>
      </c>
      <c r="CJ4" s="7" t="s">
        <v>116</v>
      </c>
      <c r="CK4" s="7" t="s">
        <v>117</v>
      </c>
      <c r="CL4" s="7" t="s">
        <v>118</v>
      </c>
      <c r="CM4" s="7" t="s">
        <v>119</v>
      </c>
      <c r="CN4" s="7" t="s">
        <v>120</v>
      </c>
      <c r="CO4" s="7" t="s">
        <v>121</v>
      </c>
      <c r="CP4" s="7" t="s">
        <v>122</v>
      </c>
      <c r="CQ4" s="7" t="s">
        <v>123</v>
      </c>
      <c r="CR4" s="7" t="s">
        <v>124</v>
      </c>
      <c r="CS4" s="7" t="s">
        <v>125</v>
      </c>
      <c r="CT4" s="7" t="s">
        <v>126</v>
      </c>
      <c r="CU4" s="7" t="s">
        <v>127</v>
      </c>
      <c r="CV4" s="7" t="s">
        <v>128</v>
      </c>
      <c r="CW4" s="7" t="s">
        <v>129</v>
      </c>
      <c r="CX4" s="7" t="s">
        <v>130</v>
      </c>
      <c r="CY4" s="7" t="s">
        <v>131</v>
      </c>
      <c r="CZ4" s="7" t="s">
        <v>132</v>
      </c>
      <c r="DA4" s="7" t="s">
        <v>133</v>
      </c>
      <c r="DB4" s="7" t="s">
        <v>134</v>
      </c>
    </row>
    <row r="5" spans="1:106" x14ac:dyDescent="0.25">
      <c r="A5" s="1"/>
      <c r="B5" s="5" t="s">
        <v>135</v>
      </c>
      <c r="C5" s="8" t="s">
        <v>136</v>
      </c>
      <c r="D5" s="8" t="s">
        <v>137</v>
      </c>
      <c r="E5" s="8" t="s">
        <v>138</v>
      </c>
      <c r="F5" s="8" t="s">
        <v>139</v>
      </c>
      <c r="G5" s="8" t="s">
        <v>140</v>
      </c>
      <c r="H5" s="8" t="s">
        <v>141</v>
      </c>
      <c r="I5" s="8" t="s">
        <v>142</v>
      </c>
      <c r="J5" s="8" t="s">
        <v>143</v>
      </c>
      <c r="K5" s="8" t="s">
        <v>144</v>
      </c>
      <c r="L5" s="8" t="s">
        <v>145</v>
      </c>
      <c r="M5" s="8" t="s">
        <v>146</v>
      </c>
      <c r="N5" s="8" t="s">
        <v>147</v>
      </c>
      <c r="O5" s="8" t="s">
        <v>148</v>
      </c>
      <c r="P5" s="8" t="s">
        <v>149</v>
      </c>
      <c r="Q5" s="8" t="s">
        <v>150</v>
      </c>
      <c r="R5" s="8" t="s">
        <v>151</v>
      </c>
      <c r="S5" s="8" t="s">
        <v>152</v>
      </c>
      <c r="T5" s="8" t="s">
        <v>153</v>
      </c>
      <c r="U5" s="8" t="s">
        <v>154</v>
      </c>
      <c r="V5" s="8" t="s">
        <v>155</v>
      </c>
      <c r="W5" s="8" t="s">
        <v>156</v>
      </c>
      <c r="X5" s="8" t="s">
        <v>157</v>
      </c>
      <c r="Y5" s="8" t="s">
        <v>158</v>
      </c>
      <c r="Z5" s="8" t="s">
        <v>159</v>
      </c>
      <c r="AA5" s="8" t="s">
        <v>160</v>
      </c>
      <c r="AB5" s="8" t="s">
        <v>161</v>
      </c>
      <c r="AC5" s="8" t="s">
        <v>162</v>
      </c>
      <c r="AD5" s="8" t="s">
        <v>163</v>
      </c>
      <c r="AE5" s="8" t="s">
        <v>164</v>
      </c>
      <c r="AF5" s="8" t="s">
        <v>165</v>
      </c>
      <c r="AG5" s="8" t="s">
        <v>166</v>
      </c>
      <c r="AH5" s="8" t="s">
        <v>167</v>
      </c>
      <c r="AI5" s="8" t="s">
        <v>168</v>
      </c>
      <c r="AJ5" s="8" t="s">
        <v>169</v>
      </c>
      <c r="AK5" s="8" t="s">
        <v>170</v>
      </c>
      <c r="AL5" s="8" t="s">
        <v>171</v>
      </c>
      <c r="AM5" s="8" t="s">
        <v>172</v>
      </c>
      <c r="AN5" s="8" t="s">
        <v>173</v>
      </c>
      <c r="AO5" s="8" t="s">
        <v>174</v>
      </c>
      <c r="AP5" s="8" t="s">
        <v>175</v>
      </c>
      <c r="AQ5" s="8" t="s">
        <v>176</v>
      </c>
      <c r="AR5" s="8" t="s">
        <v>177</v>
      </c>
      <c r="AS5" s="8" t="s">
        <v>178</v>
      </c>
      <c r="AT5" s="8" t="s">
        <v>179</v>
      </c>
      <c r="AU5" s="8" t="s">
        <v>180</v>
      </c>
      <c r="AV5" s="8" t="s">
        <v>181</v>
      </c>
      <c r="AW5" s="8" t="s">
        <v>182</v>
      </c>
      <c r="AX5" s="8" t="s">
        <v>183</v>
      </c>
      <c r="AY5" s="8" t="s">
        <v>184</v>
      </c>
      <c r="AZ5" s="8" t="s">
        <v>185</v>
      </c>
      <c r="BA5" s="8" t="s">
        <v>186</v>
      </c>
      <c r="BB5" s="8" t="s">
        <v>187</v>
      </c>
      <c r="BC5" s="8" t="s">
        <v>188</v>
      </c>
      <c r="BD5" s="8" t="s">
        <v>189</v>
      </c>
      <c r="BE5" s="8" t="s">
        <v>190</v>
      </c>
      <c r="BF5" s="8" t="s">
        <v>191</v>
      </c>
      <c r="BG5" s="8" t="s">
        <v>192</v>
      </c>
      <c r="BH5" s="8" t="s">
        <v>193</v>
      </c>
      <c r="BI5" s="8" t="s">
        <v>194</v>
      </c>
      <c r="BJ5" s="8" t="s">
        <v>195</v>
      </c>
      <c r="BK5" s="8" t="s">
        <v>196</v>
      </c>
      <c r="BL5" s="8" t="s">
        <v>197</v>
      </c>
      <c r="BM5" s="8" t="s">
        <v>198</v>
      </c>
      <c r="BN5" s="8" t="s">
        <v>199</v>
      </c>
      <c r="BO5" s="8" t="s">
        <v>200</v>
      </c>
      <c r="BP5" s="8" t="s">
        <v>201</v>
      </c>
      <c r="BQ5" s="8" t="s">
        <v>202</v>
      </c>
      <c r="BR5" s="8" t="s">
        <v>203</v>
      </c>
      <c r="BS5" s="8" t="s">
        <v>204</v>
      </c>
      <c r="BT5" s="8" t="s">
        <v>205</v>
      </c>
      <c r="BU5" s="8" t="s">
        <v>206</v>
      </c>
      <c r="BV5" s="8" t="s">
        <v>207</v>
      </c>
      <c r="BW5" s="8" t="s">
        <v>208</v>
      </c>
      <c r="BX5" s="8" t="s">
        <v>209</v>
      </c>
      <c r="BY5" s="8" t="s">
        <v>210</v>
      </c>
      <c r="BZ5" s="8" t="s">
        <v>211</v>
      </c>
      <c r="CA5" s="8" t="s">
        <v>212</v>
      </c>
      <c r="CB5" s="8" t="s">
        <v>213</v>
      </c>
      <c r="CC5" s="8" t="s">
        <v>214</v>
      </c>
      <c r="CD5" s="8" t="s">
        <v>215</v>
      </c>
      <c r="CE5" s="8" t="s">
        <v>216</v>
      </c>
      <c r="CF5" s="8" t="s">
        <v>217</v>
      </c>
      <c r="CG5" s="8" t="s">
        <v>218</v>
      </c>
      <c r="CH5" s="8" t="s">
        <v>219</v>
      </c>
      <c r="CI5" s="8" t="s">
        <v>220</v>
      </c>
      <c r="CJ5" s="8" t="s">
        <v>221</v>
      </c>
      <c r="CK5" s="8" t="s">
        <v>222</v>
      </c>
      <c r="CL5" s="8" t="s">
        <v>223</v>
      </c>
      <c r="CM5" s="8" t="s">
        <v>224</v>
      </c>
      <c r="CN5" s="8" t="s">
        <v>225</v>
      </c>
      <c r="CO5" s="8" t="s">
        <v>226</v>
      </c>
      <c r="CP5" s="8" t="s">
        <v>227</v>
      </c>
      <c r="CQ5" s="8" t="s">
        <v>228</v>
      </c>
      <c r="CR5" s="8" t="s">
        <v>229</v>
      </c>
      <c r="CS5" s="8" t="s">
        <v>230</v>
      </c>
      <c r="CT5" s="8" t="s">
        <v>231</v>
      </c>
      <c r="CU5" s="8" t="s">
        <v>232</v>
      </c>
      <c r="CV5" s="8" t="s">
        <v>233</v>
      </c>
      <c r="CW5" s="8" t="s">
        <v>234</v>
      </c>
      <c r="CX5" s="8" t="s">
        <v>235</v>
      </c>
      <c r="CY5" s="8" t="s">
        <v>236</v>
      </c>
      <c r="CZ5" s="8" t="s">
        <v>237</v>
      </c>
      <c r="DA5" s="8" t="s">
        <v>238</v>
      </c>
      <c r="DB5" s="8" t="s">
        <v>239</v>
      </c>
    </row>
    <row r="6" spans="1:106" x14ac:dyDescent="0.25">
      <c r="A6" s="9" t="s">
        <v>240</v>
      </c>
      <c r="B6" s="10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</row>
    <row r="7" ht="15" customHeight="1" spans="1:106" x14ac:dyDescent="0.25">
      <c r="A7" s="12" t="s">
        <v>241</v>
      </c>
      <c r="B7" s="13"/>
      <c r="C7" s="74">
        <v>7</v>
      </c>
      <c r="D7" s="74">
        <v>7</v>
      </c>
      <c r="E7" s="74">
        <v>7</v>
      </c>
      <c r="F7" s="74">
        <v>7</v>
      </c>
      <c r="G7" s="74">
        <v>7</v>
      </c>
      <c r="H7" s="74">
        <v>7</v>
      </c>
      <c r="I7" s="74">
        <v>7</v>
      </c>
      <c r="J7" s="74">
        <v>7</v>
      </c>
      <c r="K7" s="74">
        <v>7</v>
      </c>
      <c r="L7" s="74">
        <v>7</v>
      </c>
      <c r="M7" s="74">
        <v>7</v>
      </c>
      <c r="N7" s="74">
        <v>7</v>
      </c>
      <c r="O7" s="74">
        <v>7</v>
      </c>
      <c r="P7" s="74">
        <v>7</v>
      </c>
      <c r="Q7" s="74">
        <v>7</v>
      </c>
      <c r="R7" s="74">
        <v>7</v>
      </c>
      <c r="S7" s="74">
        <v>7</v>
      </c>
      <c r="T7" s="74">
        <v>7</v>
      </c>
      <c r="U7" s="74">
        <v>7</v>
      </c>
      <c r="V7" s="74">
        <v>7</v>
      </c>
      <c r="W7" s="74">
        <v>7</v>
      </c>
      <c r="X7" s="74">
        <v>7</v>
      </c>
      <c r="Y7" s="74">
        <v>7</v>
      </c>
      <c r="Z7" s="74">
        <v>7</v>
      </c>
      <c r="AA7" s="74">
        <v>7</v>
      </c>
      <c r="AB7" s="74">
        <v>7</v>
      </c>
      <c r="AC7" s="74">
        <v>7</v>
      </c>
      <c r="AD7" s="74">
        <v>7</v>
      </c>
      <c r="AE7" s="74">
        <v>7</v>
      </c>
      <c r="AF7" s="74">
        <v>7</v>
      </c>
      <c r="AG7" s="74">
        <v>7</v>
      </c>
      <c r="AH7" s="74">
        <v>7</v>
      </c>
      <c r="AI7" s="74">
        <v>7</v>
      </c>
      <c r="AJ7" s="74">
        <v>7</v>
      </c>
      <c r="AK7" s="74">
        <v>7</v>
      </c>
      <c r="AL7" s="74">
        <v>7</v>
      </c>
      <c r="AM7" s="74">
        <v>7</v>
      </c>
      <c r="AN7" s="74">
        <v>7</v>
      </c>
      <c r="AO7" s="74">
        <v>7</v>
      </c>
      <c r="AP7" s="74">
        <v>7</v>
      </c>
      <c r="AQ7" s="74">
        <v>7</v>
      </c>
      <c r="AR7" s="74">
        <v>7</v>
      </c>
      <c r="AS7" s="74">
        <v>7</v>
      </c>
      <c r="AT7" s="74">
        <v>7</v>
      </c>
      <c r="AU7" s="74">
        <v>7</v>
      </c>
      <c r="AV7" s="74">
        <v>7</v>
      </c>
      <c r="AW7" s="74">
        <v>7</v>
      </c>
      <c r="AX7" s="74">
        <v>7</v>
      </c>
      <c r="AY7" s="74">
        <v>7</v>
      </c>
      <c r="AZ7" s="74">
        <v>7</v>
      </c>
      <c r="BA7" s="74">
        <v>7</v>
      </c>
      <c r="BB7" s="74">
        <v>7</v>
      </c>
      <c r="BC7" s="74">
        <v>7</v>
      </c>
      <c r="BD7" s="74">
        <v>7</v>
      </c>
      <c r="BE7" s="74">
        <v>7</v>
      </c>
      <c r="BF7" s="74">
        <v>7</v>
      </c>
      <c r="BG7" s="74">
        <v>7</v>
      </c>
      <c r="BH7" s="74">
        <v>7</v>
      </c>
      <c r="BI7" s="74">
        <v>7</v>
      </c>
      <c r="BJ7" s="74">
        <v>7</v>
      </c>
      <c r="BK7" s="74">
        <v>7</v>
      </c>
      <c r="BL7" s="74">
        <v>4</v>
      </c>
      <c r="BM7" s="74">
        <v>4</v>
      </c>
      <c r="BN7" s="74">
        <v>4</v>
      </c>
      <c r="BO7" s="74">
        <v>4</v>
      </c>
      <c r="BP7" s="74">
        <v>0</v>
      </c>
      <c r="BQ7" s="74">
        <v>0</v>
      </c>
      <c r="BR7" s="74">
        <v>0</v>
      </c>
      <c r="BS7" s="74">
        <v>0</v>
      </c>
      <c r="BT7" s="74">
        <v>0</v>
      </c>
      <c r="BU7" s="74">
        <v>0</v>
      </c>
      <c r="BV7" s="74">
        <v>0</v>
      </c>
      <c r="BW7" s="74">
        <v>0</v>
      </c>
      <c r="BX7" s="74">
        <v>0</v>
      </c>
      <c r="BY7" s="74">
        <v>0</v>
      </c>
      <c r="BZ7" s="74">
        <v>0</v>
      </c>
      <c r="CA7" s="74">
        <v>0</v>
      </c>
      <c r="CB7" s="74">
        <v>0</v>
      </c>
      <c r="CC7" s="74">
        <v>0</v>
      </c>
      <c r="CD7" s="74">
        <v>0</v>
      </c>
      <c r="CE7" s="74">
        <v>0</v>
      </c>
      <c r="CF7" s="74">
        <v>0</v>
      </c>
      <c r="CG7" s="74">
        <v>0</v>
      </c>
      <c r="CH7" s="74">
        <v>0</v>
      </c>
      <c r="CI7" s="74">
        <v>0</v>
      </c>
      <c r="CJ7" s="74">
        <v>0</v>
      </c>
      <c r="CK7" s="74">
        <v>0</v>
      </c>
      <c r="CL7" s="74">
        <v>0</v>
      </c>
      <c r="CM7" s="74">
        <v>0</v>
      </c>
      <c r="CN7" s="74">
        <v>0</v>
      </c>
      <c r="CO7" s="74">
        <v>0</v>
      </c>
      <c r="CP7" s="74">
        <v>0</v>
      </c>
      <c r="CQ7" s="74">
        <v>0</v>
      </c>
      <c r="CR7" s="74">
        <v>0</v>
      </c>
      <c r="CS7" s="74">
        <v>0</v>
      </c>
      <c r="CT7" s="74">
        <v>0</v>
      </c>
      <c r="CU7" s="74">
        <v>0</v>
      </c>
      <c r="CV7" s="74">
        <v>0</v>
      </c>
      <c r="CW7" s="74">
        <v>0</v>
      </c>
      <c r="CX7" s="74">
        <v>0</v>
      </c>
      <c r="CY7" s="74">
        <v>0</v>
      </c>
      <c r="CZ7" s="74">
        <v>0</v>
      </c>
      <c r="DA7" s="74">
        <v>0</v>
      </c>
      <c r="DB7" s="74">
        <v>0</v>
      </c>
    </row>
    <row r="8" ht="15" customHeight="1" spans="1:106" x14ac:dyDescent="0.25">
      <c r="A8" s="12" t="s">
        <v>242</v>
      </c>
      <c r="B8" s="13"/>
      <c r="C8" s="74">
        <v>240</v>
      </c>
      <c r="D8" s="74">
        <v>240</v>
      </c>
      <c r="E8" s="74">
        <v>240</v>
      </c>
      <c r="F8" s="74">
        <v>240</v>
      </c>
      <c r="G8" s="74">
        <v>240</v>
      </c>
      <c r="H8" s="74">
        <v>196</v>
      </c>
      <c r="I8" s="74">
        <v>196</v>
      </c>
      <c r="J8" s="74">
        <v>196</v>
      </c>
      <c r="K8" s="74">
        <v>196</v>
      </c>
      <c r="L8" s="74">
        <v>196</v>
      </c>
      <c r="M8" s="74">
        <v>196</v>
      </c>
      <c r="N8" s="74">
        <v>196</v>
      </c>
      <c r="O8" s="74">
        <v>196</v>
      </c>
      <c r="P8" s="74">
        <v>196</v>
      </c>
      <c r="Q8" s="74">
        <v>196</v>
      </c>
      <c r="R8" s="74">
        <v>196</v>
      </c>
      <c r="S8" s="74">
        <v>196</v>
      </c>
      <c r="T8" s="74">
        <v>196</v>
      </c>
      <c r="U8" s="74">
        <v>196</v>
      </c>
      <c r="V8" s="74">
        <v>196</v>
      </c>
      <c r="W8" s="74">
        <v>196</v>
      </c>
      <c r="X8" s="74">
        <v>196</v>
      </c>
      <c r="Y8" s="74">
        <v>196</v>
      </c>
      <c r="Z8" s="74">
        <v>196</v>
      </c>
      <c r="AA8" s="74">
        <v>196</v>
      </c>
      <c r="AB8" s="74">
        <v>196</v>
      </c>
      <c r="AC8" s="74">
        <v>196</v>
      </c>
      <c r="AD8" s="74">
        <v>196</v>
      </c>
      <c r="AE8" s="74">
        <v>196</v>
      </c>
      <c r="AF8" s="74">
        <v>196</v>
      </c>
      <c r="AG8" s="74">
        <v>196</v>
      </c>
      <c r="AH8" s="74">
        <v>196</v>
      </c>
      <c r="AI8" s="74">
        <v>196</v>
      </c>
      <c r="AJ8" s="74">
        <v>196</v>
      </c>
      <c r="AK8" s="74">
        <v>196</v>
      </c>
      <c r="AL8" s="74">
        <v>196</v>
      </c>
      <c r="AM8" s="74">
        <v>196</v>
      </c>
      <c r="AN8" s="74">
        <v>196</v>
      </c>
      <c r="AO8" s="74">
        <v>196</v>
      </c>
      <c r="AP8" s="74">
        <v>196</v>
      </c>
      <c r="AQ8" s="74">
        <v>196</v>
      </c>
      <c r="AR8" s="74">
        <v>196</v>
      </c>
      <c r="AS8" s="74">
        <v>196</v>
      </c>
      <c r="AT8" s="74">
        <v>196</v>
      </c>
      <c r="AU8" s="74">
        <v>196</v>
      </c>
      <c r="AV8" s="74">
        <v>196</v>
      </c>
      <c r="AW8" s="74">
        <v>196</v>
      </c>
      <c r="AX8" s="74">
        <v>196</v>
      </c>
      <c r="AY8" s="74">
        <v>196</v>
      </c>
      <c r="AZ8" s="74">
        <v>196</v>
      </c>
      <c r="BA8" s="74">
        <v>196</v>
      </c>
      <c r="BB8" s="74">
        <v>196</v>
      </c>
      <c r="BC8" s="74">
        <v>196</v>
      </c>
      <c r="BD8" s="74">
        <v>196</v>
      </c>
      <c r="BE8" s="74">
        <v>196</v>
      </c>
      <c r="BF8" s="74">
        <v>196</v>
      </c>
      <c r="BG8" s="74">
        <v>196</v>
      </c>
      <c r="BH8" s="74">
        <v>196</v>
      </c>
      <c r="BI8" s="74">
        <v>196</v>
      </c>
      <c r="BJ8" s="74">
        <v>196</v>
      </c>
      <c r="BK8" s="74">
        <v>196</v>
      </c>
      <c r="BL8" s="74">
        <v>112</v>
      </c>
      <c r="BM8" s="74">
        <v>112</v>
      </c>
      <c r="BN8" s="74">
        <v>112</v>
      </c>
      <c r="BO8" s="74">
        <v>112</v>
      </c>
      <c r="BP8" s="74">
        <v>0</v>
      </c>
      <c r="BQ8" s="74">
        <v>0</v>
      </c>
      <c r="BR8" s="74">
        <v>0</v>
      </c>
      <c r="BS8" s="74">
        <v>0</v>
      </c>
      <c r="BT8" s="74">
        <v>0</v>
      </c>
      <c r="BU8" s="74">
        <v>0</v>
      </c>
      <c r="BV8" s="74">
        <v>0</v>
      </c>
      <c r="BW8" s="74">
        <v>0</v>
      </c>
      <c r="BX8" s="74">
        <v>0</v>
      </c>
      <c r="BY8" s="74">
        <v>0</v>
      </c>
      <c r="BZ8" s="74">
        <v>0</v>
      </c>
      <c r="CA8" s="74">
        <v>0</v>
      </c>
      <c r="CB8" s="74">
        <v>0</v>
      </c>
      <c r="CC8" s="74">
        <v>0</v>
      </c>
      <c r="CD8" s="74">
        <v>0</v>
      </c>
      <c r="CE8" s="74">
        <v>0</v>
      </c>
      <c r="CF8" s="74">
        <v>0</v>
      </c>
      <c r="CG8" s="74">
        <v>0</v>
      </c>
      <c r="CH8" s="74">
        <v>0</v>
      </c>
      <c r="CI8" s="74">
        <v>0</v>
      </c>
      <c r="CJ8" s="74">
        <v>0</v>
      </c>
      <c r="CK8" s="74">
        <v>0</v>
      </c>
      <c r="CL8" s="74">
        <v>0</v>
      </c>
      <c r="CM8" s="74">
        <v>0</v>
      </c>
      <c r="CN8" s="74">
        <v>0</v>
      </c>
      <c r="CO8" s="74">
        <v>0</v>
      </c>
      <c r="CP8" s="74">
        <v>0</v>
      </c>
      <c r="CQ8" s="74">
        <v>0</v>
      </c>
      <c r="CR8" s="74">
        <v>0</v>
      </c>
      <c r="CS8" s="74">
        <v>0</v>
      </c>
      <c r="CT8" s="74">
        <v>0</v>
      </c>
      <c r="CU8" s="74">
        <v>0</v>
      </c>
      <c r="CV8" s="74">
        <v>0</v>
      </c>
      <c r="CW8" s="74">
        <v>0</v>
      </c>
      <c r="CX8" s="74">
        <v>0</v>
      </c>
      <c r="CY8" s="74">
        <v>0</v>
      </c>
      <c r="CZ8" s="74">
        <v>0</v>
      </c>
      <c r="DA8" s="74">
        <v>0</v>
      </c>
      <c r="DB8" s="74">
        <v>0</v>
      </c>
    </row>
    <row r="9" ht="18" customHeight="1" spans="1:106" x14ac:dyDescent="0.25">
      <c r="A9" s="12" t="s">
        <v>243</v>
      </c>
      <c r="B9" s="13"/>
      <c r="C9" s="15">
        <f>=IFERROR(ROUND((C8/(C47*C48))/(1-C29)/C45,0),"")</f>
        <v>7</v>
      </c>
      <c r="D9" s="15">
        <f>=IFERROR(ROUND((D8/(D47*D48))/(1-D29)/D45,0),"")</f>
        <v>7</v>
      </c>
      <c r="E9" s="15">
        <f>=IFERROR(ROUND((E8/(E47*E48))/(1-E29)/E45,0),"")</f>
        <v>7</v>
      </c>
      <c r="F9" s="15">
        <f>=IFERROR(ROUND((F8/(F47*F48))/(1-F29)/F45,0),"")</f>
        <v>7</v>
      </c>
      <c r="G9" s="15">
        <f>=IFERROR(ROUND((G8/(G47*G48))/(1-G29)/G45,0),"")</f>
        <v>7</v>
      </c>
      <c r="H9" s="15">
        <f>=IFERROR(ROUND((H8/(H47*H48))/(1-H29)/H45,0),"")</f>
        <v>6</v>
      </c>
      <c r="I9" s="15">
        <f>=IFERROR(ROUND((I8/(I47*I48))/(1-I29)/I45,0),"")</f>
        <v>6</v>
      </c>
      <c r="J9" s="15">
        <f>=IFERROR(ROUND((J8/(J47*J48))/(1-J29)/J45,0),"")</f>
        <v>6</v>
      </c>
      <c r="K9" s="15">
        <f>=IFERROR(ROUND((K8/(K47*K48))/(1-K29)/K45,0),"")</f>
        <v>6</v>
      </c>
      <c r="L9" s="15">
        <f>=IFERROR(ROUND((L8/(L47*L48))/(1-L29)/L45,0),"")</f>
        <v>6</v>
      </c>
      <c r="M9" s="15">
        <f>=IFERROR(ROUND((M8/(M47*M48))/(1-M29)/M45,0),"")</f>
        <v>6</v>
      </c>
      <c r="N9" s="15">
        <f>=IFERROR(ROUND((N8/(N47*N48))/(1-N29)/N45,0),"")</f>
        <v>6</v>
      </c>
      <c r="O9" s="15">
        <f>=IFERROR(ROUND((O8/(O47*O48))/(1-O29)/O45,0),"")</f>
        <v>6</v>
      </c>
      <c r="P9" s="15">
        <f>=IFERROR(ROUND((P8/(P47*P48))/(1-P29)/P45,0),"")</f>
        <v>6</v>
      </c>
      <c r="Q9" s="15">
        <f>=IFERROR(ROUND((Q8/(Q47*Q48))/(1-Q29)/Q45,0),"")</f>
        <v>6</v>
      </c>
      <c r="R9" s="15">
        <f>=IFERROR(ROUND((R8/(R47*R48))/(1-R29)/R45,0),"")</f>
        <v>6</v>
      </c>
      <c r="S9" s="15">
        <f>=IFERROR(ROUND((S8/(S47*S48))/(1-S29)/S45,0),"")</f>
        <v>6</v>
      </c>
      <c r="T9" s="15">
        <f>=IFERROR(ROUND((T8/(T47*T48))/(1-T29)/T45,0),"")</f>
        <v>6</v>
      </c>
      <c r="U9" s="15">
        <f>=IFERROR(ROUND((U8/(U47*U48))/(1-U29)/U45,0),"")</f>
        <v>6</v>
      </c>
      <c r="V9" s="15">
        <f>=IFERROR(ROUND((V8/(V47*V48))/(1-V29)/V45,0),"")</f>
        <v>6</v>
      </c>
      <c r="W9" s="15">
        <f>=IFERROR(ROUND((W8/(W47*W48))/(1-W29)/W45,0),"")</f>
        <v>6</v>
      </c>
      <c r="X9" s="15">
        <f>=IFERROR(ROUND((X8/(X47*X48))/(1-X29)/X45,0),"")</f>
        <v>6</v>
      </c>
      <c r="Y9" s="15">
        <f>=IFERROR(ROUND((Y8/(Y47*Y48))/(1-Y29)/Y45,0),"")</f>
        <v>6</v>
      </c>
      <c r="Z9" s="15">
        <f>=IFERROR(ROUND((Z8/(Z47*Z48))/(1-Z29)/Z45,0),"")</f>
        <v>6</v>
      </c>
      <c r="AA9" s="15">
        <f>=IFERROR(ROUND((AA8/(AA47*AA48))/(1-AA29)/AA45,0),"")</f>
        <v>6</v>
      </c>
      <c r="AB9" s="15">
        <f>=IFERROR(ROUND((AB8/(AB47*AB48))/(1-AB29)/AB45,0),"")</f>
        <v>6</v>
      </c>
      <c r="AC9" s="15">
        <f>=IFERROR(ROUND((AC8/(AC47*AC48))/(1-AC29)/AC45,0),"")</f>
        <v>6</v>
      </c>
      <c r="AD9" s="15">
        <f>=IFERROR(ROUND((AD8/(AD47*AD48))/(1-AD29)/AD45,0),"")</f>
        <v>6</v>
      </c>
      <c r="AE9" s="15">
        <f>=IFERROR(ROUND((AE8/(AE47*AE48))/(1-AE29)/AE45,0),"")</f>
        <v>6</v>
      </c>
      <c r="AF9" s="15">
        <f>=IFERROR(ROUND((AF8/(AF47*AF48))/(1-AF29)/AF45,0),"")</f>
        <v>6</v>
      </c>
      <c r="AG9" s="15">
        <f>=IFERROR(ROUND((AG8/(AG47*AG48))/(1-AG29)/AG45,0),"")</f>
        <v>6</v>
      </c>
      <c r="AH9" s="15">
        <f>=IFERROR(ROUND((AH8/(AH47*AH48))/(1-AH29)/AH45,0),"")</f>
        <v>6</v>
      </c>
      <c r="AI9" s="15">
        <f>=IFERROR(ROUND((AI8/(AI47*AI48))/(1-AI29)/AI45,0),"")</f>
        <v>6</v>
      </c>
      <c r="AJ9" s="15">
        <f>=IFERROR(ROUND((AJ8/(AJ47*AJ48))/(1-AJ29)/AJ45,0),"")</f>
        <v>6</v>
      </c>
      <c r="AK9" s="15">
        <f>=IFERROR(ROUND((AK8/(AK47*AK48))/(1-AK29)/AK45,0),"")</f>
        <v>6</v>
      </c>
      <c r="AL9" s="15">
        <f>=IFERROR(ROUND((AL8/(AL47*AL48))/(1-AL29)/AL45,0),"")</f>
        <v>6</v>
      </c>
      <c r="AM9" s="15">
        <f>=IFERROR(ROUND((AM8/(AM47*AM48))/(1-AM29)/AM45,0),"")</f>
        <v>6</v>
      </c>
      <c r="AN9" s="15">
        <f>=IFERROR(ROUND((AN8/(AN47*AN48))/(1-AN29)/AN45,0),"")</f>
        <v>6</v>
      </c>
      <c r="AO9" s="15">
        <f>=IFERROR(ROUND((AO8/(AO47*AO48))/(1-AO29)/AO45,0),"")</f>
        <v>6</v>
      </c>
      <c r="AP9" s="15">
        <f>=IFERROR(ROUND((AP8/(AP47*AP48))/(1-AP29)/AP45,0),"")</f>
        <v>6</v>
      </c>
      <c r="AQ9" s="15">
        <f>=IFERROR(ROUND((AQ8/(AQ47*AQ48))/(1-AQ29)/AQ45,0),"")</f>
        <v>6</v>
      </c>
      <c r="AR9" s="15">
        <f>=IFERROR(ROUND((AR8/(AR47*AR48))/(1-AR29)/AR45,0),"")</f>
        <v>6</v>
      </c>
      <c r="AS9" s="15">
        <f>=IFERROR(ROUND((AS8/(AS47*AS48))/(1-AS29)/AS45,0),"")</f>
        <v>6</v>
      </c>
      <c r="AT9" s="15">
        <f>=IFERROR(ROUND((AT8/(AT47*AT48))/(1-AT29)/AT45,0),"")</f>
        <v>6</v>
      </c>
      <c r="AU9" s="15">
        <f>=IFERROR(ROUND((AU8/(AU47*AU48))/(1-AU29)/AU45,0),"")</f>
        <v>6</v>
      </c>
      <c r="AV9" s="15">
        <f>=IFERROR(ROUND((AV8/(AV47*AV48))/(1-AV29)/AV45,0),"")</f>
        <v>6</v>
      </c>
      <c r="AW9" s="15">
        <f>=IFERROR(ROUND((AW8/(AW47*AW48))/(1-AW29)/AW45,0),"")</f>
        <v>6</v>
      </c>
      <c r="AX9" s="15">
        <f>=IFERROR(ROUND((AX8/(AX47*AX48))/(1-AX29)/AX45,0),"")</f>
        <v>6</v>
      </c>
      <c r="AY9" s="15">
        <f>=IFERROR(ROUND((AY8/(AY47*AY48))/(1-AY29)/AY45,0),"")</f>
        <v>6</v>
      </c>
      <c r="AZ9" s="15">
        <f>=IFERROR(ROUND((AZ8/(AZ47*AZ48))/(1-AZ29)/AZ45,0),"")</f>
        <v>6</v>
      </c>
      <c r="BA9" s="15">
        <f>=IFERROR(ROUND((BA8/(BA47*BA48))/(1-BA29)/BA45,0),"")</f>
        <v>6</v>
      </c>
      <c r="BB9" s="15">
        <f>=IFERROR(ROUND((BB8/(BB47*BB48))/(1-BB29)/BB45,0),"")</f>
        <v>6</v>
      </c>
      <c r="BC9" s="15">
        <f>=IFERROR(ROUND((BC8/(BC47*BC48))/(1-BC29)/BC45,0),"")</f>
        <v>6</v>
      </c>
      <c r="BD9" s="15">
        <f>=IFERROR(ROUND((BD8/(BD47*BD48))/(1-BD29)/BD45,0),"")</f>
        <v>6</v>
      </c>
      <c r="BE9" s="15">
        <f>=IFERROR(ROUND((BE8/(BE47*BE48))/(1-BE29)/BE45,0),"")</f>
        <v>6</v>
      </c>
      <c r="BF9" s="15">
        <f>=IFERROR(ROUND((BF8/(BF47*BF48))/(1-BF29)/BF45,0),"")</f>
        <v>6</v>
      </c>
      <c r="BG9" s="15">
        <f>=IFERROR(ROUND((BG8/(BG47*BG48))/(1-BG29)/BG45,0),"")</f>
        <v>6</v>
      </c>
      <c r="BH9" s="15">
        <f>=IFERROR(ROUND((BH8/(BH47*BH48))/(1-BH29)/BH45,0),"")</f>
        <v>6</v>
      </c>
      <c r="BI9" s="15">
        <f>=IFERROR(ROUND((BI8/(BI47*BI48))/(1-BI29)/BI45,0),"")</f>
        <v>6</v>
      </c>
      <c r="BJ9" s="15">
        <f>=IFERROR(ROUND((BJ8/(BJ47*BJ48))/(1-BJ29)/BJ45,0),"")</f>
        <v>6</v>
      </c>
      <c r="BK9" s="15">
        <f>=IFERROR(ROUND((BK8/(BK47*BK48))/(1-BK29)/BK45,0),"")</f>
        <v>6</v>
      </c>
      <c r="BL9" s="15">
        <f>=IFERROR(ROUND((BL8/(BL47*BL48))/(1-BL29)/BL45,0),"")</f>
        <v>3</v>
      </c>
      <c r="BM9" s="15">
        <f>=IFERROR(ROUND((BM8/(BM47*BM48))/(1-BM29)/BM45,0),"")</f>
        <v>3</v>
      </c>
      <c r="BN9" s="15">
        <f>=IFERROR(ROUND((BN8/(BN47*BN48))/(1-BN29)/BN45,0),"")</f>
        <v>3</v>
      </c>
      <c r="BO9" s="15">
        <f>=IFERROR(ROUND((BO8/(BO47*BO48))/(1-BO29)/BO45,0),"")</f>
        <v>3</v>
      </c>
      <c r="BP9" s="15">
        <f>=IFERROR(ROUND((BP8/(BP47*BP48))/(1-BP29)/BP45,0),"")</f>
        <v>0</v>
      </c>
      <c r="BQ9" s="15">
        <f>=IFERROR(ROUND((BQ8/(BQ47*BQ48))/(1-BQ29)/BQ45,0),"")</f>
        <v>0</v>
      </c>
      <c r="BR9" s="15">
        <f>=IFERROR(ROUND((BR8/(BR47*BR48))/(1-BR29)/BR45,0),"")</f>
        <v>0</v>
      </c>
      <c r="BS9" s="15">
        <f>=IFERROR(ROUND((BS8/(BS47*BS48))/(1-BS29)/BS45,0),"")</f>
        <v>0</v>
      </c>
      <c r="BT9" s="15">
        <f>=IFERROR(ROUND((BT8/(BT47*BT48))/(1-BT29)/BT45,0),"")</f>
        <v>0</v>
      </c>
      <c r="BU9" s="15">
        <f>=IFERROR(ROUND((BU8/(BU47*BU48))/(1-BU29)/BU45,0),"")</f>
        <v>0</v>
      </c>
      <c r="BV9" s="15">
        <f>=IFERROR(ROUND((BV8/(BV47*BV48))/(1-BV29)/BV45,0),"")</f>
        <v>0</v>
      </c>
      <c r="BW9" s="15">
        <f>=IFERROR(ROUND((BW8/(BW47*BW48))/(1-BW29)/BW45,0),"")</f>
        <v>0</v>
      </c>
      <c r="BX9" s="15">
        <f>=IFERROR(ROUND((BX8/(BX47*BX48))/(1-BX29)/BX45,0),"")</f>
        <v>0</v>
      </c>
      <c r="BY9" s="15">
        <f>=IFERROR(ROUND((BY8/(BY47*BY48))/(1-BY29)/BY45,0),"")</f>
        <v>0</v>
      </c>
      <c r="BZ9" s="15">
        <f>=IFERROR(ROUND((BZ8/(BZ47*BZ48))/(1-BZ29)/BZ45,0),"")</f>
        <v>0</v>
      </c>
      <c r="CA9" s="15">
        <f>=IFERROR(ROUND((CA8/(CA47*CA48))/(1-CA29)/CA45,0),"")</f>
        <v>0</v>
      </c>
      <c r="CB9" s="15">
        <f>=IFERROR(ROUND((CB8/(CB47*CB48))/(1-CB29)/CB45,0),"")</f>
        <v>0</v>
      </c>
      <c r="CC9" s="15">
        <f>=IFERROR(ROUND((CC8/(CC47*CC48))/(1-CC29)/CC45,0),"")</f>
        <v>0</v>
      </c>
      <c r="CD9" s="15">
        <f>=IFERROR(ROUND((CD8/(CD47*CD48))/(1-CD29)/CD45,0),"")</f>
        <v>0</v>
      </c>
      <c r="CE9" s="15">
        <f>=IFERROR(ROUND((CE8/(CE47*CE48))/(1-CE29)/CE45,0),"")</f>
        <v>0</v>
      </c>
      <c r="CF9" s="15">
        <f>=IFERROR(ROUND((CF8/(CF47*CF48))/(1-CF29)/CF45,0),"")</f>
        <v>0</v>
      </c>
      <c r="CG9" s="15">
        <f>=IFERROR(ROUND((CG8/(CG47*CG48))/(1-CG29)/CG45,0),"")</f>
        <v>0</v>
      </c>
      <c r="CH9" s="15">
        <f>=IFERROR(ROUND((CH8/(CH47*CH48))/(1-CH29)/CH45,0),"")</f>
        <v>0</v>
      </c>
      <c r="CI9" s="15">
        <f>=IFERROR(ROUND((CI8/(CI47*CI48))/(1-CI29)/CI45,0),"")</f>
        <v>0</v>
      </c>
      <c r="CJ9" s="15">
        <f>=IFERROR(ROUND((CJ8/(CJ47*CJ48))/(1-CJ29)/CJ45,0),"")</f>
        <v>0</v>
      </c>
      <c r="CK9" s="15">
        <f>=IFERROR(ROUND((CK8/(CK47*CK48))/(1-CK29)/CK45,0),"")</f>
        <v>0</v>
      </c>
      <c r="CL9" s="15">
        <f>=IFERROR(ROUND((CL8/(CL47*CL48))/(1-CL29)/CL45,0),"")</f>
        <v>0</v>
      </c>
      <c r="CM9" s="15">
        <f>=IFERROR(ROUND((CM8/(CM47*CM48))/(1-CM29)/CM45,0),"")</f>
        <v>0</v>
      </c>
      <c r="CN9" s="15">
        <f>=IFERROR(ROUND((CN8/(CN47*CN48))/(1-CN29)/CN45,0),"")</f>
        <v>0</v>
      </c>
      <c r="CO9" s="15">
        <f>=IFERROR(ROUND((CO8/(CO47*CO48))/(1-CO29)/CO45,0),"")</f>
        <v>0</v>
      </c>
      <c r="CP9" s="15">
        <f>=IFERROR(ROUND((CP8/(CP47*CP48))/(1-CP29)/CP45,0),"")</f>
        <v>0</v>
      </c>
      <c r="CQ9" s="15">
        <f>=IFERROR(ROUND((CQ8/(CQ47*CQ48))/(1-CQ29)/CQ45,0),"")</f>
        <v>0</v>
      </c>
      <c r="CR9" s="15">
        <f>=IFERROR(ROUND((CR8/(CR47*CR48))/(1-CR29)/CR45,0),"")</f>
        <v>0</v>
      </c>
      <c r="CS9" s="15">
        <f>=IFERROR(ROUND((CS8/(CS47*CS48))/(1-CS29)/CS45,0),"")</f>
        <v>0</v>
      </c>
      <c r="CT9" s="15">
        <f>=IFERROR(ROUND((CT8/(CT47*CT48))/(1-CT29)/CT45,0),"")</f>
        <v>0</v>
      </c>
      <c r="CU9" s="15">
        <f>=IFERROR(ROUND((CU8/(CU47*CU48))/(1-CU29)/CU45,0),"")</f>
        <v>0</v>
      </c>
      <c r="CV9" s="15">
        <f>=IFERROR(ROUND((CV8/(CV47*CV48))/(1-CV29)/CV45,0),"")</f>
        <v>0</v>
      </c>
      <c r="CW9" s="15">
        <f>=IFERROR(ROUND((CW8/(CW47*CW48))/(1-CW29)/CW45,0),"")</f>
        <v>0</v>
      </c>
      <c r="CX9" s="15">
        <f>=IFERROR(ROUND((CX8/(CX47*CX48))/(1-CX29)/CX45,0),"")</f>
        <v>0</v>
      </c>
      <c r="CY9" s="15">
        <f>=IFERROR(ROUND((CY8/(CY47*CY48))/(1-CY29)/CY45,0),"")</f>
        <v>0</v>
      </c>
      <c r="CZ9" s="15">
        <f>=IFERROR(ROUND((CZ8/(CZ47*CZ48))/(1-CZ29)/CZ45,0),"")</f>
        <v>0</v>
      </c>
      <c r="DA9" s="15">
        <f>=IFERROR(ROUND((DA8/(DA47*DA48))/(1-DA29)/DA45,0),"")</f>
        <v>0</v>
      </c>
      <c r="DB9" s="15">
        <f>=IFERROR(ROUND((DB8/(DB47*DB48))/(1-DB29)/DB45,0),"")</f>
        <v>0</v>
      </c>
    </row>
    <row r="10" ht="15" customHeight="1" spans="1:106" x14ac:dyDescent="0.25">
      <c r="A10" s="16" t="s">
        <v>244</v>
      </c>
      <c r="B10" s="17"/>
      <c r="C10" s="18">
        <f>=IFERROR(C19+C22+C23,0)</f>
        <v>7</v>
      </c>
      <c r="D10" s="18">
        <f>=IFERROR(D19+D22+D23,0)</f>
        <v>7</v>
      </c>
      <c r="E10" s="18">
        <f>=IFERROR(E19+E22+E23,0)</f>
        <v>7</v>
      </c>
      <c r="F10" s="18">
        <f>=IFERROR(F19+F22+F23,0)</f>
        <v>7</v>
      </c>
      <c r="G10" s="18">
        <f>=IFERROR(G19+G22+G23,0)</f>
        <v>7</v>
      </c>
      <c r="H10" s="18">
        <f>=IFERROR(H19+H22+H23,0)</f>
        <v>7</v>
      </c>
      <c r="I10" s="18">
        <f>=IFERROR(I19+I22+I23,0)</f>
        <v>7</v>
      </c>
      <c r="J10" s="18">
        <f>=IFERROR(J19+J22+J23,0)</f>
        <v>7</v>
      </c>
      <c r="K10" s="18">
        <f>=IFERROR(K19+K22+K23,0)</f>
        <v>7</v>
      </c>
      <c r="L10" s="18">
        <f>=IFERROR(L19+L22+L23,0)</f>
        <v>7</v>
      </c>
      <c r="M10" s="18">
        <f>=IFERROR(M19+M22+M23,0)</f>
        <v>7</v>
      </c>
      <c r="N10" s="18">
        <f>=IFERROR(N19+N22+N23,0)</f>
        <v>7</v>
      </c>
      <c r="O10" s="18">
        <f>=IFERROR(O19+O22+O23,0)</f>
        <v>7</v>
      </c>
      <c r="P10" s="18">
        <f>=IFERROR(P19+P22+P23,0)</f>
        <v>7</v>
      </c>
      <c r="Q10" s="18">
        <f>=IFERROR(Q19+Q22+Q23,0)</f>
        <v>7</v>
      </c>
      <c r="R10" s="18">
        <f>=IFERROR(R19+R22+R23,0)</f>
        <v>7</v>
      </c>
      <c r="S10" s="18">
        <f>=IFERROR(S19+S22+S23,0)</f>
        <v>7</v>
      </c>
      <c r="T10" s="18">
        <f>=IFERROR(T19+T22+T23,0)</f>
        <v>7</v>
      </c>
      <c r="U10" s="18">
        <f>=IFERROR(U19+U22+U23,0)</f>
        <v>7</v>
      </c>
      <c r="V10" s="18">
        <f>=IFERROR(V19+V22+V23,0)</f>
        <v>7</v>
      </c>
      <c r="W10" s="18">
        <f>=IFERROR(W19+W22+W23,0)</f>
        <v>7</v>
      </c>
      <c r="X10" s="18">
        <f>=IFERROR(X19+X22+X23,0)</f>
        <v>7</v>
      </c>
      <c r="Y10" s="18">
        <f>=IFERROR(Y19+Y22+Y23,0)</f>
        <v>7</v>
      </c>
      <c r="Z10" s="18">
        <f>=IFERROR(Z19+Z22+Z23,0)</f>
        <v>7</v>
      </c>
      <c r="AA10" s="18">
        <f>=IFERROR(AA19+AA22+AA23,0)</f>
        <v>7</v>
      </c>
      <c r="AB10" s="18">
        <f>=IFERROR(AB19+AB22+AB23,0)</f>
        <v>7</v>
      </c>
      <c r="AC10" s="18">
        <f>=IFERROR(AC19+AC22+AC23,0)</f>
        <v>7</v>
      </c>
      <c r="AD10" s="18">
        <f>=IFERROR(AD19+AD22+AD23,0)</f>
        <v>7</v>
      </c>
      <c r="AE10" s="18">
        <f>=IFERROR(AE19+AE22+AE23,0)</f>
        <v>7</v>
      </c>
      <c r="AF10" s="18">
        <f>=IFERROR(AF19+AF22+AF23,0)</f>
        <v>7</v>
      </c>
      <c r="AG10" s="18">
        <f>=IFERROR(AG19+AG22+AG23,0)</f>
        <v>7</v>
      </c>
      <c r="AH10" s="18">
        <f>=IFERROR(AH19+AH22+AH23,0)</f>
        <v>7</v>
      </c>
      <c r="AI10" s="18">
        <f>=IFERROR(AI19+AI22+AI23,0)</f>
        <v>6</v>
      </c>
      <c r="AJ10" s="18">
        <f>=IFERROR(AJ19+AJ22+AJ23,0)</f>
        <v>6</v>
      </c>
      <c r="AK10" s="18">
        <f>=IFERROR(AK19+AK22+AK23,0)</f>
        <v>6</v>
      </c>
      <c r="AL10" s="18">
        <f>=IFERROR(AL19+AL22+AL23,0)</f>
        <v>6</v>
      </c>
      <c r="AM10" s="18">
        <f>=IFERROR(AM19+AM22+AM23,0)</f>
        <v>6</v>
      </c>
      <c r="AN10" s="18">
        <f>=IFERROR(AN19+AN22+AN23,0)</f>
        <v>6</v>
      </c>
      <c r="AO10" s="18">
        <f>=IFERROR(AO19+AO22+AO23,0)</f>
        <v>6</v>
      </c>
      <c r="AP10" s="18">
        <f>=IFERROR(AP19+AP22+AP23,0)</f>
        <v>6</v>
      </c>
      <c r="AQ10" s="18">
        <f>=IFERROR(AQ19+AQ22+AQ23,0)</f>
        <v>5</v>
      </c>
      <c r="AR10" s="18">
        <f>=IFERROR(AR19+AR22+AR23,0)</f>
        <v>5</v>
      </c>
      <c r="AS10" s="18">
        <f>=IFERROR(AS19+AS22+AS23,0)</f>
        <v>5</v>
      </c>
      <c r="AT10" s="18">
        <f>=IFERROR(AT19+AT22+AT23,0)</f>
        <v>5</v>
      </c>
      <c r="AU10" s="18">
        <f>=IFERROR(AU19+AU22+AU23,0)</f>
        <v>5</v>
      </c>
      <c r="AV10" s="18">
        <f>=IFERROR(AV19+AV22+AV23,0)</f>
        <v>5</v>
      </c>
      <c r="AW10" s="18">
        <f>=IFERROR(AW19+AW22+AW23,0)</f>
        <v>5</v>
      </c>
      <c r="AX10" s="18">
        <f>=IFERROR(AX19+AX22+AX23,0)</f>
        <v>5</v>
      </c>
      <c r="AY10" s="18">
        <f>=IFERROR(AY19+AY22+AY23,0)</f>
        <v>5</v>
      </c>
      <c r="AZ10" s="18">
        <f>=IFERROR(AZ19+AZ22+AZ23,0)</f>
        <v>5</v>
      </c>
      <c r="BA10" s="18">
        <f>=IFERROR(BA19+BA22+BA23,0)</f>
        <v>5</v>
      </c>
      <c r="BB10" s="18">
        <f>=IFERROR(BB19+BB22+BB23,0)</f>
        <v>5</v>
      </c>
      <c r="BC10" s="18">
        <f>=IFERROR(BC19+BC22+BC23,0)</f>
        <v>4</v>
      </c>
      <c r="BD10" s="18">
        <f>=IFERROR(BD19+BD22+BD23,0)</f>
        <v>4</v>
      </c>
      <c r="BE10" s="18">
        <f>=IFERROR(BE19+BE22+BE23,0)</f>
        <v>4</v>
      </c>
      <c r="BF10" s="18">
        <f>=IFERROR(BF19+BF22+BF23,0)</f>
        <v>4</v>
      </c>
      <c r="BG10" s="18">
        <f>=IFERROR(BG19+BG22+BG23,0)</f>
        <v>4</v>
      </c>
      <c r="BH10" s="18">
        <f>=IFERROR(BH19+BH22+BH23,0)</f>
        <v>4</v>
      </c>
      <c r="BI10" s="18">
        <f>=IFERROR(BI19+BI22+BI23,0)</f>
        <v>4</v>
      </c>
      <c r="BJ10" s="18">
        <f>=IFERROR(BJ19+BJ22+BJ23,0)</f>
        <v>4</v>
      </c>
      <c r="BK10" s="18">
        <f>=IFERROR(BK19+BK22+BK23,0)</f>
        <v>4</v>
      </c>
      <c r="BL10" s="18">
        <f>=IFERROR(BL19+BL22+BL23,0)</f>
        <v>4</v>
      </c>
      <c r="BM10" s="18">
        <f>=IFERROR(BM19+BM22+BM23,0)</f>
        <v>4</v>
      </c>
      <c r="BN10" s="18">
        <f>=IFERROR(BN19+BN22+BN23,0)</f>
        <v>4</v>
      </c>
      <c r="BO10" s="18">
        <f>=IFERROR(BO19+BO22+BO23,0)</f>
        <v>4</v>
      </c>
      <c r="BP10" s="18">
        <f>=IFERROR(BP19+BP22+BP23,0)</f>
        <v>0</v>
      </c>
      <c r="BQ10" s="18">
        <f>=IFERROR(BQ19+BQ22+BQ23,0)</f>
        <v>0</v>
      </c>
      <c r="BR10" s="18">
        <f>=IFERROR(BR19+BR22+BR23,0)</f>
        <v>0</v>
      </c>
      <c r="BS10" s="18">
        <f>=IFERROR(BS19+BS22+BS23,0)</f>
        <v>0</v>
      </c>
      <c r="BT10" s="18">
        <f>=IFERROR(BT19+BT22+BT23,0)</f>
        <v>0</v>
      </c>
      <c r="BU10" s="18">
        <f>=IFERROR(BU19+BU22+BU23,0)</f>
        <v>0</v>
      </c>
      <c r="BV10" s="18">
        <f>=IFERROR(BV19+BV22+BV23,0)</f>
        <v>0</v>
      </c>
      <c r="BW10" s="18">
        <f>=IFERROR(BW19+BW22+BW23,0)</f>
        <v>0</v>
      </c>
      <c r="BX10" s="18">
        <f>=IFERROR(BX19+BX22+BX23,0)</f>
        <v>0</v>
      </c>
      <c r="BY10" s="18">
        <f>=IFERROR(BY19+BY22+BY23,0)</f>
        <v>0</v>
      </c>
      <c r="BZ10" s="18">
        <f>=IFERROR(BZ19+BZ22+BZ23,0)</f>
        <v>0</v>
      </c>
      <c r="CA10" s="18">
        <f>=IFERROR(CA19+CA22+CA23,0)</f>
        <v>0</v>
      </c>
      <c r="CB10" s="18">
        <f>=IFERROR(CB19+CB22+CB23,0)</f>
        <v>0</v>
      </c>
      <c r="CC10" s="18">
        <f>=IFERROR(CC19+CC22+CC23,0)</f>
        <v>0</v>
      </c>
      <c r="CD10" s="18">
        <f>=IFERROR(CD19+CD22+CD23,0)</f>
        <v>0</v>
      </c>
      <c r="CE10" s="18">
        <f>=IFERROR(CE19+CE22+CE23,0)</f>
        <v>0</v>
      </c>
      <c r="CF10" s="18">
        <f>=IFERROR(CF19+CF22+CF23,0)</f>
        <v>0</v>
      </c>
      <c r="CG10" s="18">
        <f>=IFERROR(CG19+CG22+CG23,0)</f>
        <v>0</v>
      </c>
      <c r="CH10" s="18">
        <f>=IFERROR(CH19+CH22+CH23,0)</f>
        <v>0</v>
      </c>
      <c r="CI10" s="18">
        <f>=IFERROR(CI19+CI22+CI23,0)</f>
        <v>0</v>
      </c>
      <c r="CJ10" s="18">
        <f>=IFERROR(CJ19+CJ22+CJ23,0)</f>
        <v>0</v>
      </c>
      <c r="CK10" s="18">
        <f>=IFERROR(CK19+CK22+CK23,0)</f>
        <v>0</v>
      </c>
      <c r="CL10" s="18">
        <f>=IFERROR(CL19+CL22+CL23,0)</f>
        <v>0</v>
      </c>
      <c r="CM10" s="18">
        <f>=IFERROR(CM19+CM22+CM23,0)</f>
        <v>0</v>
      </c>
      <c r="CN10" s="18">
        <f>=IFERROR(CN19+CN22+CN23,0)</f>
        <v>0</v>
      </c>
      <c r="CO10" s="18">
        <f>=IFERROR(CO19+CO22+CO23,0)</f>
        <v>0</v>
      </c>
      <c r="CP10" s="18">
        <f>=IFERROR(CP19+CP22+CP23,0)</f>
        <v>0</v>
      </c>
      <c r="CQ10" s="18">
        <f>=IFERROR(CQ19+CQ22+CQ23,0)</f>
        <v>0</v>
      </c>
      <c r="CR10" s="18">
        <f>=IFERROR(CR19+CR22+CR23,0)</f>
        <v>0</v>
      </c>
      <c r="CS10" s="18">
        <f>=IFERROR(CS19+CS22+CS23,0)</f>
        <v>0</v>
      </c>
      <c r="CT10" s="18">
        <f>=IFERROR(CT19+CT22+CT23,0)</f>
        <v>0</v>
      </c>
      <c r="CU10" s="18">
        <f>=IFERROR(CU19+CU22+CU23,0)</f>
        <v>0</v>
      </c>
      <c r="CV10" s="18">
        <f>=IFERROR(CV19+CV22+CV23,0)</f>
        <v>0</v>
      </c>
      <c r="CW10" s="18">
        <f>=IFERROR(CW19+CW22+CW23,0)</f>
        <v>0</v>
      </c>
      <c r="CX10" s="18">
        <f>=IFERROR(CX19+CX22+CX23,0)</f>
        <v>0</v>
      </c>
      <c r="CY10" s="18">
        <f>=IFERROR(CY19+CY22+CY23,0)</f>
        <v>0</v>
      </c>
      <c r="CZ10" s="18">
        <f>=IFERROR(CZ19+CZ22+CZ23,0)</f>
        <v>0</v>
      </c>
      <c r="DA10" s="18">
        <f>=IFERROR(DA19+DA22+DA23,0)</f>
        <v>0</v>
      </c>
      <c r="DB10" s="18">
        <f>=IFERROR(DB19+DB22+DB23,0)</f>
        <v>0</v>
      </c>
    </row>
    <row r="11" ht="15" customHeight="1" spans="1:106" x14ac:dyDescent="0.25">
      <c r="A11" s="16" t="s">
        <v>245</v>
      </c>
      <c r="B11" s="17"/>
      <c r="C11" s="18">
        <f>=C10*(C47*C48*(1-C29)*(1-C46))</f>
        <v>235.2</v>
      </c>
      <c r="D11" s="18">
        <f>=D10*(D47*D48*(1-D29)*(1-D46))</f>
        <v>235.2</v>
      </c>
      <c r="E11" s="18">
        <f>=E10*(E47*E48*(1-E29)*(1-E46))</f>
        <v>235.2</v>
      </c>
      <c r="F11" s="18">
        <f>=F10*(F47*F48*(1-F29)*(1-F46))</f>
        <v>235.2</v>
      </c>
      <c r="G11" s="18">
        <f>=G10*(G47*G48*(1-G29)*(1-G46))</f>
        <v>235.2</v>
      </c>
      <c r="H11" s="18">
        <f>=H10*(H47*H48*(1-H29)*(1-H46))</f>
        <v>235.2</v>
      </c>
      <c r="I11" s="18">
        <f>=I10*(I47*I48*(1-I29)*(1-I46))</f>
        <v>235.2</v>
      </c>
      <c r="J11" s="18">
        <f>=J10*(J47*J48*(1-J29)*(1-J46))</f>
        <v>235.2</v>
      </c>
      <c r="K11" s="18">
        <f>=K10*(K47*K48*(1-K29)*(1-K46))</f>
        <v>235.2</v>
      </c>
      <c r="L11" s="18">
        <f>=L10*(L47*L48*(1-L29)*(1-L46))</f>
        <v>235.2</v>
      </c>
      <c r="M11" s="18">
        <f>=M10*(M47*M48*(1-M29)*(1-M46))</f>
        <v>235.2</v>
      </c>
      <c r="N11" s="18">
        <f>=N10*(N47*N48*(1-N29)*(1-N46))</f>
        <v>235.2</v>
      </c>
      <c r="O11" s="18">
        <f>=O10*(O47*O48*(1-O29)*(1-O46))</f>
        <v>235.2</v>
      </c>
      <c r="P11" s="18">
        <f>=P10*(P47*P48*(1-P29)*(1-P46))</f>
        <v>235.2</v>
      </c>
      <c r="Q11" s="18">
        <f>=Q10*(Q47*Q48*(1-Q29)*(1-Q46))</f>
        <v>235.2</v>
      </c>
      <c r="R11" s="18">
        <f>=R10*(R47*R48*(1-R29)*(1-R46))</f>
        <v>235.2</v>
      </c>
      <c r="S11" s="18">
        <f>=S10*(S47*S48*(1-S29)*(1-S46))</f>
        <v>235.2</v>
      </c>
      <c r="T11" s="18">
        <f>=T10*(T47*T48*(1-T29)*(1-T46))</f>
        <v>235.2</v>
      </c>
      <c r="U11" s="18">
        <f>=U10*(U47*U48*(1-U29)*(1-U46))</f>
        <v>235.2</v>
      </c>
      <c r="V11" s="18">
        <f>=V10*(V47*V48*(1-V29)*(1-V46))</f>
        <v>235.2</v>
      </c>
      <c r="W11" s="18">
        <f>=W10*(W47*W48*(1-W29)*(1-W46))</f>
        <v>235.2</v>
      </c>
      <c r="X11" s="18">
        <f>=X10*(X47*X48*(1-X29)*(1-X46))</f>
        <v>235.2</v>
      </c>
      <c r="Y11" s="18">
        <f>=Y10*(Y47*Y48*(1-Y29)*(1-Y46))</f>
        <v>235.2</v>
      </c>
      <c r="Z11" s="18">
        <f>=Z10*(Z47*Z48*(1-Z29)*(1-Z46))</f>
        <v>235.2</v>
      </c>
      <c r="AA11" s="18">
        <f>=AA10*(AA47*AA48*(1-AA29)*(1-AA46))</f>
        <v>235.2</v>
      </c>
      <c r="AB11" s="18">
        <f>=AB10*(AB47*AB48*(1-AB29)*(1-AB46))</f>
        <v>235.2</v>
      </c>
      <c r="AC11" s="18">
        <f>=AC10*(AC47*AC48*(1-AC29)*(1-AC46))</f>
        <v>235.2</v>
      </c>
      <c r="AD11" s="18">
        <f>=AD10*(AD47*AD48*(1-AD29)*(1-AD46))</f>
        <v>235.2</v>
      </c>
      <c r="AE11" s="18">
        <f>=AE10*(AE47*AE48*(1-AE29)*(1-AE46))</f>
        <v>235.2</v>
      </c>
      <c r="AF11" s="18">
        <f>=AF10*(AF47*AF48*(1-AF29)*(1-AF46))</f>
        <v>235.2</v>
      </c>
      <c r="AG11" s="18">
        <f>=AG10*(AG47*AG48*(1-AG29)*(1-AG46))</f>
        <v>235.2</v>
      </c>
      <c r="AH11" s="18">
        <f>=AH10*(AH47*AH48*(1-AH29)*(1-AH46))</f>
        <v>235.2</v>
      </c>
      <c r="AI11" s="18">
        <f>=AI10*(AI47*AI48*(1-AI29)*(1-AI46))</f>
        <v>201.6</v>
      </c>
      <c r="AJ11" s="18">
        <f>=AJ10*(AJ47*AJ48*(1-AJ29)*(1-AJ46))</f>
        <v>201.6</v>
      </c>
      <c r="AK11" s="18">
        <f>=AK10*(AK47*AK48*(1-AK29)*(1-AK46))</f>
        <v>201.6</v>
      </c>
      <c r="AL11" s="18">
        <f>=AL10*(AL47*AL48*(1-AL29)*(1-AL46))</f>
        <v>201.6</v>
      </c>
      <c r="AM11" s="18">
        <f>=AM10*(AM47*AM48*(1-AM29)*(1-AM46))</f>
        <v>201.6</v>
      </c>
      <c r="AN11" s="18">
        <f>=AN10*(AN47*AN48*(1-AN29)*(1-AN46))</f>
        <v>201.6</v>
      </c>
      <c r="AO11" s="18">
        <f>=AO10*(AO47*AO48*(1-AO29)*(1-AO46))</f>
        <v>201.6</v>
      </c>
      <c r="AP11" s="18">
        <f>=AP10*(AP47*AP48*(1-AP29)*(1-AP46))</f>
        <v>208.8</v>
      </c>
      <c r="AQ11" s="18">
        <f>=AQ10*(AQ47*AQ48*(1-AQ29)*(1-AQ46))</f>
        <v>174</v>
      </c>
      <c r="AR11" s="18">
        <f>=AR10*(AR47*AR48*(1-AR29)*(1-AR46))</f>
        <v>174</v>
      </c>
      <c r="AS11" s="18">
        <f>=AS10*(AS47*AS48*(1-AS29)*(1-AS46))</f>
        <v>174</v>
      </c>
      <c r="AT11" s="18">
        <f>=AT10*(AT47*AT48*(1-AT29)*(1-AT46))</f>
        <v>174</v>
      </c>
      <c r="AU11" s="18">
        <f>=AU10*(AU47*AU48*(1-AU29)*(1-AU46))</f>
        <v>174</v>
      </c>
      <c r="AV11" s="18">
        <f>=AV10*(AV47*AV48*(1-AV29)*(1-AV46))</f>
        <v>174</v>
      </c>
      <c r="AW11" s="18">
        <f>=AW10*(AW47*AW48*(1-AW29)*(1-AW46))</f>
        <v>174</v>
      </c>
      <c r="AX11" s="18">
        <f>=AX10*(AX47*AX48*(1-AX29)*(1-AX46))</f>
        <v>174</v>
      </c>
      <c r="AY11" s="18">
        <f>=AY10*(AY47*AY48*(1-AY29)*(1-AY46))</f>
        <v>174</v>
      </c>
      <c r="AZ11" s="18">
        <f>=AZ10*(AZ47*AZ48*(1-AZ29)*(1-AZ46))</f>
        <v>174</v>
      </c>
      <c r="BA11" s="18">
        <f>=BA10*(BA47*BA48*(1-BA29)*(1-BA46))</f>
        <v>174</v>
      </c>
      <c r="BB11" s="18">
        <f>=BB10*(BB47*BB48*(1-BB29)*(1-BB46))</f>
        <v>174</v>
      </c>
      <c r="BC11" s="18">
        <f>=BC10*(BC47*BC48*(1-BC29)*(1-BC46))</f>
        <v>137.6</v>
      </c>
      <c r="BD11" s="18">
        <f>=BD10*(BD47*BD48*(1-BD29)*(1-BD46))</f>
        <v>137.6</v>
      </c>
      <c r="BE11" s="18">
        <f>=BE10*(BE47*BE48*(1-BE29)*(1-BE46))</f>
        <v>137.6</v>
      </c>
      <c r="BF11" s="18">
        <f>=BF10*(BF47*BF48*(1-BF29)*(1-BF46))</f>
        <v>137.6</v>
      </c>
      <c r="BG11" s="18">
        <f>=BG10*(BG47*BG48*(1-BG29)*(1-BG46))</f>
        <v>137.6</v>
      </c>
      <c r="BH11" s="18">
        <f>=BH10*(BH47*BH48*(1-BH29)*(1-BH46))</f>
        <v>137.6</v>
      </c>
      <c r="BI11" s="18">
        <f>=BI10*(BI47*BI48*(1-BI29)*(1-BI46))</f>
        <v>137.6</v>
      </c>
      <c r="BJ11" s="18">
        <f>=BJ10*(BJ47*BJ48*(1-BJ29)*(1-BJ46))</f>
        <v>137.6</v>
      </c>
      <c r="BK11" s="18">
        <f>=BK10*(BK47*BK48*(1-BK29)*(1-BK46))</f>
        <v>137.6</v>
      </c>
      <c r="BL11" s="18">
        <f>=BL10*(BL47*BL48*(1-BL29)*(1-BL46))</f>
        <v>137.6</v>
      </c>
      <c r="BM11" s="18">
        <f>=BM10*(BM47*BM48*(1-BM29)*(1-BM46))</f>
        <v>137.6</v>
      </c>
      <c r="BN11" s="18">
        <f>=BN10*(BN47*BN48*(1-BN29)*(1-BN46))</f>
        <v>137.6</v>
      </c>
      <c r="BO11" s="18">
        <f>=BO10*(BO47*BO48*(1-BO29)*(1-BO46))</f>
        <v>137.6</v>
      </c>
      <c r="BP11" s="18">
        <f>=BP10*(BP47*BP48*(1-BP29)*(1-BP46))</f>
        <v>0</v>
      </c>
      <c r="BQ11" s="18">
        <f>=BQ10*(BQ47*BQ48*(1-BQ29)*(1-BQ46))</f>
        <v>0</v>
      </c>
      <c r="BR11" s="18">
        <f>=BR10*(BR47*BR48*(1-BR29)*(1-BR46))</f>
        <v>0</v>
      </c>
      <c r="BS11" s="18">
        <f>=BS10*(BS47*BS48*(1-BS29)*(1-BS46))</f>
        <v>0</v>
      </c>
      <c r="BT11" s="18">
        <f>=BT10*(BT47*BT48*(1-BT29)*(1-BT46))</f>
        <v>0</v>
      </c>
      <c r="BU11" s="18">
        <f>=BU10*(BU47*BU48*(1-BU29)*(1-BU46))</f>
        <v>0</v>
      </c>
      <c r="BV11" s="18">
        <f>=BV10*(BV47*BV48*(1-BV29)*(1-BV46))</f>
        <v>0</v>
      </c>
      <c r="BW11" s="18">
        <f>=BW10*(BW47*BW48*(1-BW29)*(1-BW46))</f>
        <v>0</v>
      </c>
      <c r="BX11" s="18">
        <f>=BX10*(BX47*BX48*(1-BX29)*(1-BX46))</f>
        <v>0</v>
      </c>
      <c r="BY11" s="18">
        <f>=BY10*(BY47*BY48*(1-BY29)*(1-BY46))</f>
        <v>0</v>
      </c>
      <c r="BZ11" s="18">
        <f>=BZ10*(BZ47*BZ48*(1-BZ29)*(1-BZ46))</f>
        <v>0</v>
      </c>
      <c r="CA11" s="18">
        <f>=CA10*(CA47*CA48*(1-CA29)*(1-CA46))</f>
        <v>0</v>
      </c>
      <c r="CB11" s="18">
        <f>=CB10*(CB47*CB48*(1-CB29)*(1-CB46))</f>
        <v>0</v>
      </c>
      <c r="CC11" s="18">
        <f>=CC10*(CC47*CC48*(1-CC29)*(1-CC46))</f>
        <v>0</v>
      </c>
      <c r="CD11" s="18">
        <f>=CD10*(CD47*CD48*(1-CD29)*(1-CD46))</f>
        <v>0</v>
      </c>
      <c r="CE11" s="18">
        <f>=CE10*(CE47*CE48*(1-CE29)*(1-CE46))</f>
        <v>0</v>
      </c>
      <c r="CF11" s="18">
        <f>=CF10*(CF47*CF48*(1-CF29)*(1-CF46))</f>
        <v>0</v>
      </c>
      <c r="CG11" s="18">
        <f>=CG10*(CG47*CG48*(1-CG29)*(1-CG46))</f>
        <v>0</v>
      </c>
      <c r="CH11" s="18">
        <f>=CH10*(CH47*CH48*(1-CH29)*(1-CH46))</f>
        <v>0</v>
      </c>
      <c r="CI11" s="18">
        <f>=CI10*(CI47*CI48*(1-CI29)*(1-CI46))</f>
        <v>0</v>
      </c>
      <c r="CJ11" s="18">
        <f>=CJ10*(CJ47*CJ48*(1-CJ29)*(1-CJ46))</f>
        <v>0</v>
      </c>
      <c r="CK11" s="18">
        <f>=CK10*(CK47*CK48*(1-CK29)*(1-CK46))</f>
        <v>0</v>
      </c>
      <c r="CL11" s="18">
        <f>=CL10*(CL47*CL48*(1-CL29)*(1-CL46))</f>
        <v>0</v>
      </c>
      <c r="CM11" s="18">
        <f>=CM10*(CM47*CM48*(1-CM29)*(1-CM46))</f>
        <v>0</v>
      </c>
      <c r="CN11" s="18">
        <f>=CN10*(CN47*CN48*(1-CN29)*(1-CN46))</f>
        <v>0</v>
      </c>
      <c r="CO11" s="18">
        <f>=CO10*(CO47*CO48*(1-CO29)*(1-CO46))</f>
        <v>0</v>
      </c>
      <c r="CP11" s="18">
        <f>=CP10*(CP47*CP48*(1-CP29)*(1-CP46))</f>
        <v>0</v>
      </c>
      <c r="CQ11" s="18">
        <f>=CQ10*(CQ47*CQ48*(1-CQ29)*(1-CQ46))</f>
        <v>0</v>
      </c>
      <c r="CR11" s="18">
        <f>=CR10*(CR47*CR48*(1-CR29)*(1-CR46))</f>
        <v>0</v>
      </c>
      <c r="CS11" s="18">
        <f>=CS10*(CS47*CS48*(1-CS29)*(1-CS46))</f>
        <v>0</v>
      </c>
      <c r="CT11" s="18">
        <f>=CT10*(CT47*CT48*(1-CT29)*(1-CT46))</f>
        <v>0</v>
      </c>
      <c r="CU11" s="18">
        <f>=CU10*(CU47*CU48*(1-CU29)*(1-CU46))</f>
        <v>0</v>
      </c>
      <c r="CV11" s="18">
        <f>=CV10*(CV47*CV48*(1-CV29)*(1-CV46))</f>
        <v>0</v>
      </c>
      <c r="CW11" s="18">
        <f>=CW10*(CW47*CW48*(1-CW29)*(1-CW46))</f>
        <v>0</v>
      </c>
      <c r="CX11" s="18">
        <f>=CX10*(CX47*CX48*(1-CX29)*(1-CX46))</f>
        <v>0</v>
      </c>
      <c r="CY11" s="18">
        <f>=CY10*(CY47*CY48*(1-CY29)*(1-CY46))</f>
        <v>0</v>
      </c>
      <c r="CZ11" s="18">
        <f>=CZ10*(CZ47*CZ48*(1-CZ29)*(1-CZ46))</f>
        <v>0</v>
      </c>
      <c r="DA11" s="18">
        <f>=DA10*(DA47*DA48*(1-DA29)*(1-DA46))</f>
        <v>0</v>
      </c>
      <c r="DB11" s="18">
        <f>=DB10*(DB47*DB48*(1-DB29)*(1-DB46))</f>
        <v>0</v>
      </c>
    </row>
    <row r="12" spans="1:106" x14ac:dyDescent="0.25">
      <c r="A12" s="16" t="s">
        <v>246</v>
      </c>
      <c r="C12" s="28">
        <f>=IFERROR(C10-C7,0)</f>
        <v>0</v>
      </c>
      <c r="D12" s="28">
        <f>=IFERROR(D10-D7,0)</f>
        <v>0</v>
      </c>
      <c r="E12" s="28">
        <f>=IFERROR(E10-E7,0)</f>
        <v>0</v>
      </c>
      <c r="F12" s="28">
        <f>=IFERROR(F10-F7,0)</f>
        <v>0</v>
      </c>
      <c r="G12" s="28">
        <f>=IFERROR(G10-G7,0)</f>
        <v>0</v>
      </c>
      <c r="H12" s="28">
        <f>=IFERROR(H10-H7,0)</f>
        <v>0</v>
      </c>
      <c r="I12" s="28">
        <f>=IFERROR(I10-I7,0)</f>
        <v>0</v>
      </c>
      <c r="J12" s="28">
        <f>=IFERROR(J10-J7,0)</f>
        <v>0</v>
      </c>
      <c r="K12" s="28">
        <f>=IFERROR(K10-K7,0)</f>
        <v>0</v>
      </c>
      <c r="L12" s="28">
        <f>=IFERROR(L10-L7,0)</f>
        <v>0</v>
      </c>
      <c r="M12" s="28">
        <f>=IFERROR(M10-M7,0)</f>
        <v>0</v>
      </c>
      <c r="N12" s="28">
        <f>=IFERROR(N10-N7,0)</f>
        <v>0</v>
      </c>
      <c r="O12" s="28">
        <f>=IFERROR(O10-O7,0)</f>
        <v>0</v>
      </c>
      <c r="P12" s="28">
        <f>=IFERROR(P10-P7,0)</f>
        <v>0</v>
      </c>
      <c r="Q12" s="28">
        <f>=IFERROR(Q10-Q7,0)</f>
        <v>0</v>
      </c>
      <c r="R12" s="28">
        <f>=IFERROR(R10-R7,0)</f>
        <v>0</v>
      </c>
      <c r="S12" s="28">
        <f>=IFERROR(S10-S7,0)</f>
        <v>0</v>
      </c>
      <c r="T12" s="28">
        <f>=IFERROR(T10-T7,0)</f>
        <v>0</v>
      </c>
      <c r="U12" s="28">
        <f>=IFERROR(U10-U7,0)</f>
        <v>0</v>
      </c>
      <c r="V12" s="28">
        <f>=IFERROR(V10-V7,0)</f>
        <v>0</v>
      </c>
      <c r="W12" s="28">
        <f>=IFERROR(W10-W7,0)</f>
        <v>0</v>
      </c>
      <c r="X12" s="28">
        <f>=IFERROR(X10-X7,0)</f>
        <v>0</v>
      </c>
      <c r="Y12" s="28">
        <f>=IFERROR(Y10-Y7,0)</f>
        <v>0</v>
      </c>
      <c r="Z12" s="28">
        <f>=IFERROR(Z10-Z7,0)</f>
        <v>0</v>
      </c>
      <c r="AA12" s="28">
        <f>=IFERROR(AA10-AA7,0)</f>
        <v>0</v>
      </c>
      <c r="AB12" s="28">
        <f>=IFERROR(AB10-AB7,0)</f>
        <v>0</v>
      </c>
      <c r="AC12" s="28">
        <f>=IFERROR(AC10-AC7,0)</f>
        <v>0</v>
      </c>
      <c r="AD12" s="28">
        <f>=IFERROR(AD10-AD7,0)</f>
        <v>0</v>
      </c>
      <c r="AE12" s="28">
        <f>=IFERROR(AE10-AE7,0)</f>
        <v>0</v>
      </c>
      <c r="AF12" s="28">
        <f>=IFERROR(AF10-AF7,0)</f>
        <v>0</v>
      </c>
      <c r="AG12" s="28">
        <f>=IFERROR(AG10-AG7,0)</f>
        <v>0</v>
      </c>
      <c r="AH12" s="28">
        <f>=IFERROR(AH10-AH7,0)</f>
        <v>0</v>
      </c>
      <c r="AI12" s="28">
        <f>=IFERROR(AI10-AI7,0)</f>
        <v>-1</v>
      </c>
      <c r="AJ12" s="28">
        <f>=IFERROR(AJ10-AJ7,0)</f>
        <v>-1</v>
      </c>
      <c r="AK12" s="28">
        <f>=IFERROR(AK10-AK7,0)</f>
        <v>-1</v>
      </c>
      <c r="AL12" s="28">
        <f>=IFERROR(AL10-AL7,0)</f>
        <v>-1</v>
      </c>
      <c r="AM12" s="28">
        <f>=IFERROR(AM10-AM7,0)</f>
        <v>-1</v>
      </c>
      <c r="AN12" s="28">
        <f>=IFERROR(AN10-AN7,0)</f>
        <v>-1</v>
      </c>
      <c r="AO12" s="28">
        <f>=IFERROR(AO10-AO7,0)</f>
        <v>-1</v>
      </c>
      <c r="AP12" s="28">
        <f>=IFERROR(AP10-AP7,0)</f>
        <v>-1</v>
      </c>
      <c r="AQ12" s="28">
        <f>=IFERROR(AQ10-AQ7,0)</f>
        <v>-2</v>
      </c>
      <c r="AR12" s="28">
        <f>=IFERROR(AR10-AR7,0)</f>
        <v>-2</v>
      </c>
      <c r="AS12" s="28">
        <f>=IFERROR(AS10-AS7,0)</f>
        <v>-2</v>
      </c>
      <c r="AT12" s="28">
        <f>=IFERROR(AT10-AT7,0)</f>
        <v>-2</v>
      </c>
      <c r="AU12" s="28">
        <f>=IFERROR(AU10-AU7,0)</f>
        <v>-2</v>
      </c>
      <c r="AV12" s="28">
        <f>=IFERROR(AV10-AV7,0)</f>
        <v>-2</v>
      </c>
      <c r="AW12" s="28">
        <f>=IFERROR(AW10-AW7,0)</f>
        <v>-2</v>
      </c>
      <c r="AX12" s="28">
        <f>=IFERROR(AX10-AX7,0)</f>
        <v>-2</v>
      </c>
      <c r="AY12" s="28">
        <f>=IFERROR(AY10-AY7,0)</f>
        <v>-2</v>
      </c>
      <c r="AZ12" s="28">
        <f>=IFERROR(AZ10-AZ7,0)</f>
        <v>-2</v>
      </c>
      <c r="BA12" s="28">
        <f>=IFERROR(BA10-BA7,0)</f>
        <v>-2</v>
      </c>
      <c r="BB12" s="28">
        <f>=IFERROR(BB10-BB7,0)</f>
        <v>-2</v>
      </c>
      <c r="BC12" s="28">
        <f>=IFERROR(BC10-BC7,0)</f>
        <v>-3</v>
      </c>
      <c r="BD12" s="28">
        <f>=IFERROR(BD10-BD7,0)</f>
        <v>-3</v>
      </c>
      <c r="BE12" s="28">
        <f>=IFERROR(BE10-BE7,0)</f>
        <v>-3</v>
      </c>
      <c r="BF12" s="28">
        <f>=IFERROR(BF10-BF7,0)</f>
        <v>-3</v>
      </c>
      <c r="BG12" s="28">
        <f>=IFERROR(BG10-BG7,0)</f>
        <v>-3</v>
      </c>
      <c r="BH12" s="28">
        <f>=IFERROR(BH10-BH7,0)</f>
        <v>-3</v>
      </c>
      <c r="BI12" s="28">
        <f>=IFERROR(BI10-BI7,0)</f>
        <v>-3</v>
      </c>
      <c r="BJ12" s="28">
        <f>=IFERROR(BJ10-BJ7,0)</f>
        <v>-3</v>
      </c>
      <c r="BK12" s="28">
        <f>=IFERROR(BK10-BK7,0)</f>
        <v>-3</v>
      </c>
      <c r="BL12" s="28">
        <f>=IFERROR(BL10-BL7,0)</f>
        <v>0</v>
      </c>
      <c r="BM12" s="28">
        <f>=IFERROR(BM10-BM7,0)</f>
        <v>0</v>
      </c>
      <c r="BN12" s="28">
        <f>=IFERROR(BN10-BN7,0)</f>
        <v>0</v>
      </c>
      <c r="BO12" s="28">
        <f>=IFERROR(BO10-BO7,0)</f>
        <v>0</v>
      </c>
      <c r="BP12" s="28">
        <f>=IFERROR(BP10-BP7,0)</f>
        <v>0</v>
      </c>
      <c r="BQ12" s="28">
        <f>=IFERROR(BQ10-BQ7,0)</f>
        <v>0</v>
      </c>
      <c r="BR12" s="28">
        <f>=IFERROR(BR10-BR7,0)</f>
        <v>0</v>
      </c>
      <c r="BS12" s="28">
        <f>=IFERROR(BS10-BS7,0)</f>
        <v>0</v>
      </c>
      <c r="BT12" s="28">
        <f>=IFERROR(BT10-BT7,0)</f>
        <v>0</v>
      </c>
      <c r="BU12" s="28">
        <f>=IFERROR(BU10-BU7,0)</f>
        <v>0</v>
      </c>
      <c r="BV12" s="28">
        <f>=IFERROR(BV10-BV7,0)</f>
        <v>0</v>
      </c>
      <c r="BW12" s="28">
        <f>=IFERROR(BW10-BW7,0)</f>
        <v>0</v>
      </c>
      <c r="BX12" s="28">
        <f>=IFERROR(BX10-BX7,0)</f>
        <v>0</v>
      </c>
      <c r="BY12" s="28">
        <f>=IFERROR(BY10-BY7,0)</f>
        <v>0</v>
      </c>
      <c r="BZ12" s="28">
        <f>=IFERROR(BZ10-BZ7,0)</f>
        <v>0</v>
      </c>
      <c r="CA12" s="28">
        <f>=IFERROR(CA10-CA7,0)</f>
        <v>0</v>
      </c>
      <c r="CB12" s="28">
        <f>=IFERROR(CB10-CB7,0)</f>
        <v>0</v>
      </c>
      <c r="CC12" s="28">
        <f>=IFERROR(CC10-CC7,0)</f>
        <v>0</v>
      </c>
      <c r="CD12" s="28">
        <f>=IFERROR(CD10-CD7,0)</f>
        <v>0</v>
      </c>
      <c r="CE12" s="28">
        <f>=IFERROR(CE10-CE7,0)</f>
        <v>0</v>
      </c>
      <c r="CF12" s="28">
        <f>=IFERROR(CF10-CF7,0)</f>
        <v>0</v>
      </c>
      <c r="CG12" s="28">
        <f>=IFERROR(CG10-CG7,0)</f>
        <v>0</v>
      </c>
      <c r="CH12" s="28">
        <f>=IFERROR(CH10-CH7,0)</f>
        <v>0</v>
      </c>
      <c r="CI12" s="28">
        <f>=IFERROR(CI10-CI7,0)</f>
        <v>0</v>
      </c>
      <c r="CJ12" s="28">
        <f>=IFERROR(CJ10-CJ7,0)</f>
        <v>0</v>
      </c>
      <c r="CK12" s="28">
        <f>=IFERROR(CK10-CK7,0)</f>
        <v>0</v>
      </c>
      <c r="CL12" s="28">
        <f>=IFERROR(CL10-CL7,0)</f>
        <v>0</v>
      </c>
      <c r="CM12" s="28">
        <f>=IFERROR(CM10-CM7,0)</f>
        <v>0</v>
      </c>
      <c r="CN12" s="28">
        <f>=IFERROR(CN10-CN7,0)</f>
        <v>0</v>
      </c>
      <c r="CO12" s="28">
        <f>=IFERROR(CO10-CO7,0)</f>
        <v>0</v>
      </c>
      <c r="CP12" s="28">
        <f>=IFERROR(CP10-CP7,0)</f>
        <v>0</v>
      </c>
      <c r="CQ12" s="28">
        <f>=IFERROR(CQ10-CQ7,0)</f>
        <v>0</v>
      </c>
      <c r="CR12" s="28">
        <f>=IFERROR(CR10-CR7,0)</f>
        <v>0</v>
      </c>
      <c r="CS12" s="28">
        <f>=IFERROR(CS10-CS7,0)</f>
        <v>0</v>
      </c>
      <c r="CT12" s="28">
        <f>=IFERROR(CT10-CT7,0)</f>
        <v>0</v>
      </c>
      <c r="CU12" s="28">
        <f>=IFERROR(CU10-CU7,0)</f>
        <v>0</v>
      </c>
      <c r="CV12" s="28">
        <f>=IFERROR(CV10-CV7,0)</f>
        <v>0</v>
      </c>
      <c r="CW12" s="28">
        <f>=IFERROR(CW10-CW7,0)</f>
        <v>0</v>
      </c>
      <c r="CX12" s="28">
        <f>=IFERROR(CX10-CX7,0)</f>
        <v>0</v>
      </c>
      <c r="CY12" s="28">
        <f>=IFERROR(CY10-CY7,0)</f>
        <v>0</v>
      </c>
      <c r="CZ12" s="28">
        <f>=IFERROR(CZ10-CZ7,0)</f>
        <v>0</v>
      </c>
      <c r="DA12" s="28">
        <f>=IFERROR(DA10-DA7,0)</f>
        <v>0</v>
      </c>
      <c r="DB12" s="28">
        <f>=IFERROR(DB10-DB7,0)</f>
        <v>0</v>
      </c>
    </row>
    <row r="13" ht="15" customHeight="1" spans="1:106" x14ac:dyDescent="0.25">
      <c r="A13" s="20" t="s">
        <v>247</v>
      </c>
      <c r="B13" s="17"/>
      <c r="C13" s="18">
        <f>=IFERROR(C10-C9,0)</f>
        <v>0</v>
      </c>
      <c r="D13" s="18">
        <f>=IFERROR(D10-D9,0)</f>
        <v>0</v>
      </c>
      <c r="E13" s="18">
        <f>=IFERROR(E10-E9,0)</f>
        <v>0</v>
      </c>
      <c r="F13" s="18">
        <f>=IFERROR(F10-F9,0)</f>
        <v>0</v>
      </c>
      <c r="G13" s="18">
        <f>=IFERROR(G10-G9,0)</f>
        <v>0</v>
      </c>
      <c r="H13" s="18">
        <f>=IFERROR(H10-H9,0)</f>
        <v>1</v>
      </c>
      <c r="I13" s="18">
        <f>=IFERROR(I10-I9,0)</f>
        <v>1</v>
      </c>
      <c r="J13" s="18">
        <f>=IFERROR(J10-J9,0)</f>
        <v>1</v>
      </c>
      <c r="K13" s="18">
        <f>=IFERROR(K10-K9,0)</f>
        <v>1</v>
      </c>
      <c r="L13" s="18">
        <f>=IFERROR(L10-L9,0)</f>
        <v>1</v>
      </c>
      <c r="M13" s="18">
        <f>=IFERROR(M10-M9,0)</f>
        <v>1</v>
      </c>
      <c r="N13" s="18">
        <f>=IFERROR(N10-N9,0)</f>
        <v>1</v>
      </c>
      <c r="O13" s="18">
        <f>=IFERROR(O10-O9,0)</f>
        <v>1</v>
      </c>
      <c r="P13" s="18">
        <f>=IFERROR(P10-P9,0)</f>
        <v>1</v>
      </c>
      <c r="Q13" s="18">
        <f>=IFERROR(Q10-Q9,0)</f>
        <v>1</v>
      </c>
      <c r="R13" s="18">
        <f>=IFERROR(R10-R9,0)</f>
        <v>1</v>
      </c>
      <c r="S13" s="18">
        <f>=IFERROR(S10-S9,0)</f>
        <v>1</v>
      </c>
      <c r="T13" s="18">
        <f>=IFERROR(T10-T9,0)</f>
        <v>1</v>
      </c>
      <c r="U13" s="18">
        <f>=IFERROR(U10-U9,0)</f>
        <v>1</v>
      </c>
      <c r="V13" s="18">
        <f>=IFERROR(V10-V9,0)</f>
        <v>1</v>
      </c>
      <c r="W13" s="18">
        <f>=IFERROR(W10-W9,0)</f>
        <v>1</v>
      </c>
      <c r="X13" s="18">
        <f>=IFERROR(X10-X9,0)</f>
        <v>1</v>
      </c>
      <c r="Y13" s="18">
        <f>=IFERROR(Y10-Y9,0)</f>
        <v>1</v>
      </c>
      <c r="Z13" s="18">
        <f>=IFERROR(Z10-Z9,0)</f>
        <v>1</v>
      </c>
      <c r="AA13" s="18">
        <f>=IFERROR(AA10-AA9,0)</f>
        <v>1</v>
      </c>
      <c r="AB13" s="18">
        <f>=IFERROR(AB10-AB9,0)</f>
        <v>1</v>
      </c>
      <c r="AC13" s="18">
        <f>=IFERROR(AC10-AC9,0)</f>
        <v>1</v>
      </c>
      <c r="AD13" s="18">
        <f>=IFERROR(AD10-AD9,0)</f>
        <v>1</v>
      </c>
      <c r="AE13" s="18">
        <f>=IFERROR(AE10-AE9,0)</f>
        <v>1</v>
      </c>
      <c r="AF13" s="18">
        <f>=IFERROR(AF10-AF9,0)</f>
        <v>1</v>
      </c>
      <c r="AG13" s="18">
        <f>=IFERROR(AG10-AG9,0)</f>
        <v>1</v>
      </c>
      <c r="AH13" s="18">
        <f>=IFERROR(AH10-AH9,0)</f>
        <v>1</v>
      </c>
      <c r="AI13" s="18">
        <f>=IFERROR(AI10-AI9,0)</f>
        <v>0</v>
      </c>
      <c r="AJ13" s="18">
        <f>=IFERROR(AJ10-AJ9,0)</f>
        <v>0</v>
      </c>
      <c r="AK13" s="18">
        <f>=IFERROR(AK10-AK9,0)</f>
        <v>0</v>
      </c>
      <c r="AL13" s="18">
        <f>=IFERROR(AL10-AL9,0)</f>
        <v>0</v>
      </c>
      <c r="AM13" s="18">
        <f>=IFERROR(AM10-AM9,0)</f>
        <v>0</v>
      </c>
      <c r="AN13" s="18">
        <f>=IFERROR(AN10-AN9,0)</f>
        <v>0</v>
      </c>
      <c r="AO13" s="18">
        <f>=IFERROR(AO10-AO9,0)</f>
        <v>0</v>
      </c>
      <c r="AP13" s="18">
        <f>=IFERROR(AP10-AP9,0)</f>
        <v>0</v>
      </c>
      <c r="AQ13" s="18">
        <f>=IFERROR(AQ10-AQ9,0)</f>
        <v>-1</v>
      </c>
      <c r="AR13" s="18">
        <f>=IFERROR(AR10-AR9,0)</f>
        <v>-1</v>
      </c>
      <c r="AS13" s="18">
        <f>=IFERROR(AS10-AS9,0)</f>
        <v>-1</v>
      </c>
      <c r="AT13" s="18">
        <f>=IFERROR(AT10-AT9,0)</f>
        <v>-1</v>
      </c>
      <c r="AU13" s="18">
        <f>=IFERROR(AU10-AU9,0)</f>
        <v>-1</v>
      </c>
      <c r="AV13" s="18">
        <f>=IFERROR(AV10-AV9,0)</f>
        <v>-1</v>
      </c>
      <c r="AW13" s="18">
        <f>=IFERROR(AW10-AW9,0)</f>
        <v>-1</v>
      </c>
      <c r="AX13" s="18">
        <f>=IFERROR(AX10-AX9,0)</f>
        <v>-1</v>
      </c>
      <c r="AY13" s="18">
        <f>=IFERROR(AY10-AY9,0)</f>
        <v>-1</v>
      </c>
      <c r="AZ13" s="18">
        <f>=IFERROR(AZ10-AZ9,0)</f>
        <v>-1</v>
      </c>
      <c r="BA13" s="18">
        <f>=IFERROR(BA10-BA9,0)</f>
        <v>-1</v>
      </c>
      <c r="BB13" s="18">
        <f>=IFERROR(BB10-BB9,0)</f>
        <v>-1</v>
      </c>
      <c r="BC13" s="18">
        <f>=IFERROR(BC10-BC9,0)</f>
        <v>-2</v>
      </c>
      <c r="BD13" s="18">
        <f>=IFERROR(BD10-BD9,0)</f>
        <v>-2</v>
      </c>
      <c r="BE13" s="18">
        <f>=IFERROR(BE10-BE9,0)</f>
        <v>-2</v>
      </c>
      <c r="BF13" s="18">
        <f>=IFERROR(BF10-BF9,0)</f>
        <v>-2</v>
      </c>
      <c r="BG13" s="18">
        <f>=IFERROR(BG10-BG9,0)</f>
        <v>-2</v>
      </c>
      <c r="BH13" s="18">
        <f>=IFERROR(BH10-BH9,0)</f>
        <v>-2</v>
      </c>
      <c r="BI13" s="18">
        <f>=IFERROR(BI10-BI9,0)</f>
        <v>-2</v>
      </c>
      <c r="BJ13" s="18">
        <f>=IFERROR(BJ10-BJ9,0)</f>
        <v>-2</v>
      </c>
      <c r="BK13" s="18">
        <f>=IFERROR(BK10-BK9,0)</f>
        <v>-2</v>
      </c>
      <c r="BL13" s="18">
        <f>=IFERROR(BL10-BL9,0)</f>
        <v>1</v>
      </c>
      <c r="BM13" s="18">
        <f>=IFERROR(BM10-BM9,0)</f>
        <v>1</v>
      </c>
      <c r="BN13" s="18">
        <f>=IFERROR(BN10-BN9,0)</f>
        <v>1</v>
      </c>
      <c r="BO13" s="18">
        <f>=IFERROR(BO10-BO9,0)</f>
        <v>1</v>
      </c>
      <c r="BP13" s="18">
        <f>=IFERROR(BP10-BP9,0)</f>
        <v>0</v>
      </c>
      <c r="BQ13" s="18">
        <f>=IFERROR(BQ10-BQ9,0)</f>
        <v>0</v>
      </c>
      <c r="BR13" s="18">
        <f>=IFERROR(BR10-BR9,0)</f>
        <v>0</v>
      </c>
      <c r="BS13" s="18">
        <f>=IFERROR(BS10-BS9,0)</f>
        <v>0</v>
      </c>
      <c r="BT13" s="18">
        <f>=IFERROR(BT10-BT9,0)</f>
        <v>0</v>
      </c>
      <c r="BU13" s="18">
        <f>=IFERROR(BU10-BU9,0)</f>
        <v>0</v>
      </c>
      <c r="BV13" s="18">
        <f>=IFERROR(BV10-BV9,0)</f>
        <v>0</v>
      </c>
      <c r="BW13" s="18">
        <f>=IFERROR(BW10-BW9,0)</f>
        <v>0</v>
      </c>
      <c r="BX13" s="18">
        <f>=IFERROR(BX10-BX9,0)</f>
        <v>0</v>
      </c>
      <c r="BY13" s="18">
        <f>=IFERROR(BY10-BY9,0)</f>
        <v>0</v>
      </c>
      <c r="BZ13" s="18">
        <f>=IFERROR(BZ10-BZ9,0)</f>
        <v>0</v>
      </c>
      <c r="CA13" s="18">
        <f>=IFERROR(CA10-CA9,0)</f>
        <v>0</v>
      </c>
      <c r="CB13" s="18">
        <f>=IFERROR(CB10-CB9,0)</f>
        <v>0</v>
      </c>
      <c r="CC13" s="18">
        <f>=IFERROR(CC10-CC9,0)</f>
        <v>0</v>
      </c>
      <c r="CD13" s="18">
        <f>=IFERROR(CD10-CD9,0)</f>
        <v>0</v>
      </c>
      <c r="CE13" s="18">
        <f>=IFERROR(CE10-CE9,0)</f>
        <v>0</v>
      </c>
      <c r="CF13" s="18">
        <f>=IFERROR(CF10-CF9,0)</f>
        <v>0</v>
      </c>
      <c r="CG13" s="18">
        <f>=IFERROR(CG10-CG9,0)</f>
        <v>0</v>
      </c>
      <c r="CH13" s="18">
        <f>=IFERROR(CH10-CH9,0)</f>
        <v>0</v>
      </c>
      <c r="CI13" s="18">
        <f>=IFERROR(CI10-CI9,0)</f>
        <v>0</v>
      </c>
      <c r="CJ13" s="18">
        <f>=IFERROR(CJ10-CJ9,0)</f>
        <v>0</v>
      </c>
      <c r="CK13" s="18">
        <f>=IFERROR(CK10-CK9,0)</f>
        <v>0</v>
      </c>
      <c r="CL13" s="18">
        <f>=IFERROR(CL10-CL9,0)</f>
        <v>0</v>
      </c>
      <c r="CM13" s="18">
        <f>=IFERROR(CM10-CM9,0)</f>
        <v>0</v>
      </c>
      <c r="CN13" s="18">
        <f>=IFERROR(CN10-CN9,0)</f>
        <v>0</v>
      </c>
      <c r="CO13" s="18">
        <f>=IFERROR(CO10-CO9,0)</f>
        <v>0</v>
      </c>
      <c r="CP13" s="18">
        <f>=IFERROR(CP10-CP9,0)</f>
        <v>0</v>
      </c>
      <c r="CQ13" s="18">
        <f>=IFERROR(CQ10-CQ9,0)</f>
        <v>0</v>
      </c>
      <c r="CR13" s="18">
        <f>=IFERROR(CR10-CR9,0)</f>
        <v>0</v>
      </c>
      <c r="CS13" s="18">
        <f>=IFERROR(CS10-CS9,0)</f>
        <v>0</v>
      </c>
      <c r="CT13" s="18">
        <f>=IFERROR(CT10-CT9,0)</f>
        <v>0</v>
      </c>
      <c r="CU13" s="18">
        <f>=IFERROR(CU10-CU9,0)</f>
        <v>0</v>
      </c>
      <c r="CV13" s="18">
        <f>=IFERROR(CV10-CV9,0)</f>
        <v>0</v>
      </c>
      <c r="CW13" s="18">
        <f>=IFERROR(CW10-CW9,0)</f>
        <v>0</v>
      </c>
      <c r="CX13" s="18">
        <f>=IFERROR(CX10-CX9,0)</f>
        <v>0</v>
      </c>
      <c r="CY13" s="18">
        <f>=IFERROR(CY10-CY9,0)</f>
        <v>0</v>
      </c>
      <c r="CZ13" s="18">
        <f>=IFERROR(CZ10-CZ9,0)</f>
        <v>0</v>
      </c>
      <c r="DA13" s="18">
        <f>=IFERROR(DA10-DA9,0)</f>
        <v>0</v>
      </c>
      <c r="DB13" s="18">
        <f>=IFERROR(DB10-DB9,0)</f>
        <v>0</v>
      </c>
    </row>
    <row r="14" ht="15" customHeight="1" spans="1:106" x14ac:dyDescent="0.25">
      <c r="A14" s="22" t="s">
        <v>248</v>
      </c>
      <c r="B14" s="17"/>
      <c r="C14" s="18">
        <f>=Round(C11-C8,0)</f>
        <v>-5</v>
      </c>
      <c r="D14" s="18">
        <f>=Round(D11-D8,0)</f>
        <v>-5</v>
      </c>
      <c r="E14" s="18">
        <f>=Round(E11-E8,0)</f>
        <v>-5</v>
      </c>
      <c r="F14" s="18">
        <f>=Round(F11-F8,0)</f>
        <v>-5</v>
      </c>
      <c r="G14" s="18">
        <f>=Round(G11-G8,0)</f>
        <v>-5</v>
      </c>
      <c r="H14" s="18">
        <f>=Round(H11-H8,0)</f>
        <v>39</v>
      </c>
      <c r="I14" s="18">
        <f>=Round(I11-I8,0)</f>
        <v>39</v>
      </c>
      <c r="J14" s="18">
        <f>=Round(J11-J8,0)</f>
        <v>39</v>
      </c>
      <c r="K14" s="18">
        <f>=Round(K11-K8,0)</f>
        <v>39</v>
      </c>
      <c r="L14" s="18">
        <f>=Round(L11-L8,0)</f>
        <v>39</v>
      </c>
      <c r="M14" s="18">
        <f>=Round(M11-M8,0)</f>
        <v>39</v>
      </c>
      <c r="N14" s="18">
        <f>=Round(N11-N8,0)</f>
        <v>39</v>
      </c>
      <c r="O14" s="18">
        <f>=Round(O11-O8,0)</f>
        <v>39</v>
      </c>
      <c r="P14" s="18">
        <f>=Round(P11-P8,0)</f>
        <v>39</v>
      </c>
      <c r="Q14" s="18">
        <f>=Round(Q11-Q8,0)</f>
        <v>39</v>
      </c>
      <c r="R14" s="18">
        <f>=Round(R11-R8,0)</f>
        <v>39</v>
      </c>
      <c r="S14" s="18">
        <f>=Round(S11-S8,0)</f>
        <v>39</v>
      </c>
      <c r="T14" s="18">
        <f>=Round(T11-T8,0)</f>
        <v>39</v>
      </c>
      <c r="U14" s="18">
        <f>=Round(U11-U8,0)</f>
        <v>39</v>
      </c>
      <c r="V14" s="18">
        <f>=Round(V11-V8,0)</f>
        <v>39</v>
      </c>
      <c r="W14" s="18">
        <f>=Round(W11-W8,0)</f>
        <v>39</v>
      </c>
      <c r="X14" s="18">
        <f>=Round(X11-X8,0)</f>
        <v>39</v>
      </c>
      <c r="Y14" s="18">
        <f>=Round(Y11-Y8,0)</f>
        <v>39</v>
      </c>
      <c r="Z14" s="18">
        <f>=Round(Z11-Z8,0)</f>
        <v>39</v>
      </c>
      <c r="AA14" s="18">
        <f>=Round(AA11-AA8,0)</f>
        <v>39</v>
      </c>
      <c r="AB14" s="18">
        <f>=Round(AB11-AB8,0)</f>
        <v>39</v>
      </c>
      <c r="AC14" s="18">
        <f>=Round(AC11-AC8,0)</f>
        <v>39</v>
      </c>
      <c r="AD14" s="18">
        <f>=Round(AD11-AD8,0)</f>
        <v>39</v>
      </c>
      <c r="AE14" s="18">
        <f>=Round(AE11-AE8,0)</f>
        <v>39</v>
      </c>
      <c r="AF14" s="18">
        <f>=Round(AF11-AF8,0)</f>
        <v>39</v>
      </c>
      <c r="AG14" s="18">
        <f>=Round(AG11-AG8,0)</f>
        <v>39</v>
      </c>
      <c r="AH14" s="18">
        <f>=Round(AH11-AH8,0)</f>
        <v>39</v>
      </c>
      <c r="AI14" s="18">
        <f>=Round(AI11-AI8,0)</f>
        <v>6</v>
      </c>
      <c r="AJ14" s="18">
        <f>=Round(AJ11-AJ8,0)</f>
        <v>6</v>
      </c>
      <c r="AK14" s="18">
        <f>=Round(AK11-AK8,0)</f>
        <v>6</v>
      </c>
      <c r="AL14" s="18">
        <f>=Round(AL11-AL8,0)</f>
        <v>6</v>
      </c>
      <c r="AM14" s="18">
        <f>=Round(AM11-AM8,0)</f>
        <v>6</v>
      </c>
      <c r="AN14" s="18">
        <f>=Round(AN11-AN8,0)</f>
        <v>6</v>
      </c>
      <c r="AO14" s="18">
        <f>=Round(AO11-AO8,0)</f>
        <v>6</v>
      </c>
      <c r="AP14" s="18">
        <f>=Round(AP11-AP8,0)</f>
        <v>13</v>
      </c>
      <c r="AQ14" s="18">
        <f>=Round(AQ11-AQ8,0)</f>
        <v>-22</v>
      </c>
      <c r="AR14" s="18">
        <f>=Round(AR11-AR8,0)</f>
        <v>-22</v>
      </c>
      <c r="AS14" s="18">
        <f>=Round(AS11-AS8,0)</f>
        <v>-22</v>
      </c>
      <c r="AT14" s="18">
        <f>=Round(AT11-AT8,0)</f>
        <v>-22</v>
      </c>
      <c r="AU14" s="18">
        <f>=Round(AU11-AU8,0)</f>
        <v>-22</v>
      </c>
      <c r="AV14" s="18">
        <f>=Round(AV11-AV8,0)</f>
        <v>-22</v>
      </c>
      <c r="AW14" s="18">
        <f>=Round(AW11-AW8,0)</f>
        <v>-22</v>
      </c>
      <c r="AX14" s="18">
        <f>=Round(AX11-AX8,0)</f>
        <v>-22</v>
      </c>
      <c r="AY14" s="18">
        <f>=Round(AY11-AY8,0)</f>
        <v>-22</v>
      </c>
      <c r="AZ14" s="18">
        <f>=Round(AZ11-AZ8,0)</f>
        <v>-22</v>
      </c>
      <c r="BA14" s="18">
        <f>=Round(BA11-BA8,0)</f>
        <v>-22</v>
      </c>
      <c r="BB14" s="18">
        <f>=Round(BB11-BB8,0)</f>
        <v>-22</v>
      </c>
      <c r="BC14" s="18">
        <f>=Round(BC11-BC8,0)</f>
        <v>-58</v>
      </c>
      <c r="BD14" s="18">
        <f>=Round(BD11-BD8,0)</f>
        <v>-58</v>
      </c>
      <c r="BE14" s="18">
        <f>=Round(BE11-BE8,0)</f>
        <v>-58</v>
      </c>
      <c r="BF14" s="18">
        <f>=Round(BF11-BF8,0)</f>
        <v>-58</v>
      </c>
      <c r="BG14" s="18">
        <f>=Round(BG11-BG8,0)</f>
        <v>-58</v>
      </c>
      <c r="BH14" s="18">
        <f>=Round(BH11-BH8,0)</f>
        <v>-58</v>
      </c>
      <c r="BI14" s="18">
        <f>=Round(BI11-BI8,0)</f>
        <v>-58</v>
      </c>
      <c r="BJ14" s="18">
        <f>=Round(BJ11-BJ8,0)</f>
        <v>-58</v>
      </c>
      <c r="BK14" s="18">
        <f>=Round(BK11-BK8,0)</f>
        <v>-58</v>
      </c>
      <c r="BL14" s="18">
        <f>=Round(BL11-BL8,0)</f>
        <v>26</v>
      </c>
      <c r="BM14" s="18">
        <f>=Round(BM11-BM8,0)</f>
        <v>26</v>
      </c>
      <c r="BN14" s="18">
        <f>=Round(BN11-BN8,0)</f>
        <v>26</v>
      </c>
      <c r="BO14" s="18">
        <f>=Round(BO11-BO8,0)</f>
        <v>26</v>
      </c>
      <c r="BP14" s="18">
        <f>=Round(BP11-BP8,0)</f>
        <v>0</v>
      </c>
      <c r="BQ14" s="18">
        <f>=Round(BQ11-BQ8,0)</f>
        <v>0</v>
      </c>
      <c r="BR14" s="18">
        <f>=Round(BR11-BR8,0)</f>
        <v>0</v>
      </c>
      <c r="BS14" s="18">
        <f>=Round(BS11-BS8,0)</f>
        <v>0</v>
      </c>
      <c r="BT14" s="18">
        <f>=Round(BT11-BT8,0)</f>
        <v>0</v>
      </c>
      <c r="BU14" s="18">
        <f>=Round(BU11-BU8,0)</f>
        <v>0</v>
      </c>
      <c r="BV14" s="18">
        <f>=Round(BV11-BV8,0)</f>
        <v>0</v>
      </c>
      <c r="BW14" s="18">
        <f>=Round(BW11-BW8,0)</f>
        <v>0</v>
      </c>
      <c r="BX14" s="18">
        <f>=Round(BX11-BX8,0)</f>
        <v>0</v>
      </c>
      <c r="BY14" s="18">
        <f>=Round(BY11-BY8,0)</f>
        <v>0</v>
      </c>
      <c r="BZ14" s="18">
        <f>=Round(BZ11-BZ8,0)</f>
        <v>0</v>
      </c>
      <c r="CA14" s="18">
        <f>=Round(CA11-CA8,0)</f>
        <v>0</v>
      </c>
      <c r="CB14" s="18">
        <f>=Round(CB11-CB8,0)</f>
        <v>0</v>
      </c>
      <c r="CC14" s="18">
        <f>=Round(CC11-CC8,0)</f>
        <v>0</v>
      </c>
      <c r="CD14" s="18">
        <f>=Round(CD11-CD8,0)</f>
        <v>0</v>
      </c>
      <c r="CE14" s="18">
        <f>=Round(CE11-CE8,0)</f>
        <v>0</v>
      </c>
      <c r="CF14" s="18">
        <f>=Round(CF11-CF8,0)</f>
        <v>0</v>
      </c>
      <c r="CG14" s="18">
        <f>=Round(CG11-CG8,0)</f>
        <v>0</v>
      </c>
      <c r="CH14" s="18">
        <f>=Round(CH11-CH8,0)</f>
        <v>0</v>
      </c>
      <c r="CI14" s="18">
        <f>=Round(CI11-CI8,0)</f>
        <v>0</v>
      </c>
      <c r="CJ14" s="18">
        <f>=Round(CJ11-CJ8,0)</f>
        <v>0</v>
      </c>
      <c r="CK14" s="18">
        <f>=Round(CK11-CK8,0)</f>
        <v>0</v>
      </c>
      <c r="CL14" s="18">
        <f>=Round(CL11-CL8,0)</f>
        <v>0</v>
      </c>
      <c r="CM14" s="18">
        <f>=Round(CM11-CM8,0)</f>
        <v>0</v>
      </c>
      <c r="CN14" s="18">
        <f>=Round(CN11-CN8,0)</f>
        <v>0</v>
      </c>
      <c r="CO14" s="18">
        <f>=Round(CO11-CO8,0)</f>
        <v>0</v>
      </c>
      <c r="CP14" s="18">
        <f>=Round(CP11-CP8,0)</f>
        <v>0</v>
      </c>
      <c r="CQ14" s="18">
        <f>=Round(CQ11-CQ8,0)</f>
        <v>0</v>
      </c>
      <c r="CR14" s="18">
        <f>=Round(CR11-CR8,0)</f>
        <v>0</v>
      </c>
      <c r="CS14" s="18">
        <f>=Round(CS11-CS8,0)</f>
        <v>0</v>
      </c>
      <c r="CT14" s="18">
        <f>=Round(CT11-CT8,0)</f>
        <v>0</v>
      </c>
      <c r="CU14" s="18">
        <f>=Round(CU11-CU8,0)</f>
        <v>0</v>
      </c>
      <c r="CV14" s="18">
        <f>=Round(CV11-CV8,0)</f>
        <v>0</v>
      </c>
      <c r="CW14" s="18">
        <f>=Round(CW11-CW8,0)</f>
        <v>0</v>
      </c>
      <c r="CX14" s="18">
        <f>=Round(CX11-CX8,0)</f>
        <v>0</v>
      </c>
      <c r="CY14" s="18">
        <f>=Round(CY11-CY8,0)</f>
        <v>0</v>
      </c>
      <c r="CZ14" s="18">
        <f>=Round(CZ11-CZ8,0)</f>
        <v>0</v>
      </c>
      <c r="DA14" s="18">
        <f>=Round(DA11-DA8,0)</f>
        <v>0</v>
      </c>
      <c r="DB14" s="18">
        <f>=Round(DB11-DB8,0)</f>
        <v>0</v>
      </c>
    </row>
    <row r="15" ht="14" customHeight="1" spans="1:106" x14ac:dyDescent="0.25">
      <c r="A15" s="23" t="s">
        <v>249</v>
      </c>
      <c r="B15" s="24"/>
      <c r="C15" s="25">
        <f>=Round(IFERROR(C10/C7,0),2)</f>
        <v>1</v>
      </c>
      <c r="D15" s="25">
        <f>=Round(IFERROR(D10/D7,0),2)</f>
        <v>1</v>
      </c>
      <c r="E15" s="25">
        <f>=Round(IFERROR(E10/E7,0),2)</f>
        <v>1</v>
      </c>
      <c r="F15" s="25">
        <f>=Round(IFERROR(F10/F7,0),2)</f>
        <v>1</v>
      </c>
      <c r="G15" s="25">
        <f>=Round(IFERROR(G10/G7,0),2)</f>
        <v>1</v>
      </c>
      <c r="H15" s="25">
        <f>=Round(IFERROR(H10/H7,0),2)</f>
        <v>1</v>
      </c>
      <c r="I15" s="25">
        <f>=Round(IFERROR(I10/I7,0),2)</f>
        <v>1</v>
      </c>
      <c r="J15" s="25">
        <f>=Round(IFERROR(J10/J7,0),2)</f>
        <v>1</v>
      </c>
      <c r="K15" s="25">
        <f>=Round(IFERROR(K10/K7,0),2)</f>
        <v>1</v>
      </c>
      <c r="L15" s="25">
        <f>=Round(IFERROR(L10/L7,0),2)</f>
        <v>1</v>
      </c>
      <c r="M15" s="25">
        <f>=Round(IFERROR(M10/M7,0),2)</f>
        <v>1</v>
      </c>
      <c r="N15" s="25">
        <f>=Round(IFERROR(N10/N7,0),2)</f>
        <v>1</v>
      </c>
      <c r="O15" s="25">
        <f>=Round(IFERROR(O10/O7,0),2)</f>
        <v>1</v>
      </c>
      <c r="P15" s="25">
        <f>=Round(IFERROR(P10/P7,0),2)</f>
        <v>1</v>
      </c>
      <c r="Q15" s="25">
        <f>=Round(IFERROR(Q10/Q7,0),2)</f>
        <v>1</v>
      </c>
      <c r="R15" s="25">
        <f>=Round(IFERROR(R10/R7,0),2)</f>
        <v>1</v>
      </c>
      <c r="S15" s="25">
        <f>=Round(IFERROR(S10/S7,0),2)</f>
        <v>1</v>
      </c>
      <c r="T15" s="25">
        <f>=Round(IFERROR(T10/T7,0),2)</f>
        <v>1</v>
      </c>
      <c r="U15" s="25">
        <f>=Round(IFERROR(U10/U7,0),2)</f>
        <v>1</v>
      </c>
      <c r="V15" s="25">
        <f>=Round(IFERROR(V10/V7,0),2)</f>
        <v>1</v>
      </c>
      <c r="W15" s="25">
        <f>=Round(IFERROR(W10/W7,0),2)</f>
        <v>1</v>
      </c>
      <c r="X15" s="25">
        <f>=Round(IFERROR(X10/X7,0),2)</f>
        <v>1</v>
      </c>
      <c r="Y15" s="25">
        <f>=Round(IFERROR(Y10/Y7,0),2)</f>
        <v>1</v>
      </c>
      <c r="Z15" s="25">
        <f>=Round(IFERROR(Z10/Z7,0),2)</f>
        <v>1</v>
      </c>
      <c r="AA15" s="25">
        <f>=Round(IFERROR(AA10/AA7,0),2)</f>
        <v>1</v>
      </c>
      <c r="AB15" s="25">
        <f>=Round(IFERROR(AB10/AB7,0),2)</f>
        <v>1</v>
      </c>
      <c r="AC15" s="25">
        <f>=Round(IFERROR(AC10/AC7,0),2)</f>
        <v>1</v>
      </c>
      <c r="AD15" s="25">
        <f>=Round(IFERROR(AD10/AD7,0),2)</f>
        <v>1</v>
      </c>
      <c r="AE15" s="25">
        <f>=Round(IFERROR(AE10/AE7,0),2)</f>
        <v>1</v>
      </c>
      <c r="AF15" s="25">
        <f>=Round(IFERROR(AF10/AF7,0),2)</f>
        <v>1</v>
      </c>
      <c r="AG15" s="25">
        <f>=Round(IFERROR(AG10/AG7,0),2)</f>
        <v>1</v>
      </c>
      <c r="AH15" s="25">
        <f>=Round(IFERROR(AH10/AH7,0),2)</f>
        <v>1</v>
      </c>
      <c r="AI15" s="25">
        <f>=Round(IFERROR(AI10/AI7,0),2)</f>
        <v>0.86</v>
      </c>
      <c r="AJ15" s="25">
        <f>=Round(IFERROR(AJ10/AJ7,0),2)</f>
        <v>0.86</v>
      </c>
      <c r="AK15" s="25">
        <f>=Round(IFERROR(AK10/AK7,0),2)</f>
        <v>0.86</v>
      </c>
      <c r="AL15" s="25">
        <f>=Round(IFERROR(AL10/AL7,0),2)</f>
        <v>0.86</v>
      </c>
      <c r="AM15" s="25">
        <f>=Round(IFERROR(AM10/AM7,0),2)</f>
        <v>0.86</v>
      </c>
      <c r="AN15" s="25">
        <f>=Round(IFERROR(AN10/AN7,0),2)</f>
        <v>0.86</v>
      </c>
      <c r="AO15" s="25">
        <f>=Round(IFERROR(AO10/AO7,0),2)</f>
        <v>0.86</v>
      </c>
      <c r="AP15" s="25">
        <f>=Round(IFERROR(AP10/AP7,0),2)</f>
        <v>0.86</v>
      </c>
      <c r="AQ15" s="25">
        <f>=Round(IFERROR(AQ10/AQ7,0),2)</f>
        <v>0.71</v>
      </c>
      <c r="AR15" s="25">
        <f>=Round(IFERROR(AR10/AR7,0),2)</f>
        <v>0.71</v>
      </c>
      <c r="AS15" s="25">
        <f>=Round(IFERROR(AS10/AS7,0),2)</f>
        <v>0.71</v>
      </c>
      <c r="AT15" s="25">
        <f>=Round(IFERROR(AT10/AT7,0),2)</f>
        <v>0.71</v>
      </c>
      <c r="AU15" s="25">
        <f>=Round(IFERROR(AU10/AU7,0),2)</f>
        <v>0.71</v>
      </c>
      <c r="AV15" s="25">
        <f>=Round(IFERROR(AV10/AV7,0),2)</f>
        <v>0.71</v>
      </c>
      <c r="AW15" s="25">
        <f>=Round(IFERROR(AW10/AW7,0),2)</f>
        <v>0.71</v>
      </c>
      <c r="AX15" s="25">
        <f>=Round(IFERROR(AX10/AX7,0),2)</f>
        <v>0.71</v>
      </c>
      <c r="AY15" s="25">
        <f>=Round(IFERROR(AY10/AY7,0),2)</f>
        <v>0.71</v>
      </c>
      <c r="AZ15" s="25">
        <f>=Round(IFERROR(AZ10/AZ7,0),2)</f>
        <v>0.71</v>
      </c>
      <c r="BA15" s="25">
        <f>=Round(IFERROR(BA10/BA7,0),2)</f>
        <v>0.71</v>
      </c>
      <c r="BB15" s="25">
        <f>=Round(IFERROR(BB10/BB7,0),2)</f>
        <v>0.71</v>
      </c>
      <c r="BC15" s="25">
        <f>=Round(IFERROR(BC10/BC7,0),2)</f>
        <v>0.57</v>
      </c>
      <c r="BD15" s="25">
        <f>=Round(IFERROR(BD10/BD7,0),2)</f>
        <v>0.57</v>
      </c>
      <c r="BE15" s="25">
        <f>=Round(IFERROR(BE10/BE7,0),2)</f>
        <v>0.57</v>
      </c>
      <c r="BF15" s="25">
        <f>=Round(IFERROR(BF10/BF7,0),2)</f>
        <v>0.57</v>
      </c>
      <c r="BG15" s="25">
        <f>=Round(IFERROR(BG10/BG7,0),2)</f>
        <v>0.57</v>
      </c>
      <c r="BH15" s="25">
        <f>=Round(IFERROR(BH10/BH7,0),2)</f>
        <v>0.57</v>
      </c>
      <c r="BI15" s="25">
        <f>=Round(IFERROR(BI10/BI7,0),2)</f>
        <v>0.57</v>
      </c>
      <c r="BJ15" s="25">
        <f>=Round(IFERROR(BJ10/BJ7,0),2)</f>
        <v>0.57</v>
      </c>
      <c r="BK15" s="25">
        <f>=Round(IFERROR(BK10/BK7,0),2)</f>
        <v>0.57</v>
      </c>
      <c r="BL15" s="25">
        <f>=Round(IFERROR(BL10/BL7,0),2)</f>
        <v>1</v>
      </c>
      <c r="BM15" s="25">
        <f>=Round(IFERROR(BM10/BM7,0),2)</f>
        <v>1</v>
      </c>
      <c r="BN15" s="25">
        <f>=Round(IFERROR(BN10/BN7,0),2)</f>
        <v>1</v>
      </c>
      <c r="BO15" s="25">
        <f>=Round(IFERROR(BO10/BO7,0),2)</f>
        <v>1</v>
      </c>
      <c r="BP15" s="25">
        <f>=Round(IFERROR(BP10/BP7,0),2)</f>
        <v>0</v>
      </c>
      <c r="BQ15" s="25">
        <f>=Round(IFERROR(BQ10/BQ7,0),2)</f>
        <v>0</v>
      </c>
      <c r="BR15" s="25">
        <f>=Round(IFERROR(BR10/BR7,0),2)</f>
        <v>0</v>
      </c>
      <c r="BS15" s="25">
        <f>=Round(IFERROR(BS10/BS7,0),2)</f>
        <v>0</v>
      </c>
      <c r="BT15" s="25">
        <f>=Round(IFERROR(BT10/BT7,0),2)</f>
        <v>0</v>
      </c>
      <c r="BU15" s="25">
        <f>=Round(IFERROR(BU10/BU7,0),2)</f>
        <v>0</v>
      </c>
      <c r="BV15" s="25">
        <f>=Round(IFERROR(BV10/BV7,0),2)</f>
        <v>0</v>
      </c>
      <c r="BW15" s="25">
        <f>=Round(IFERROR(BW10/BW7,0),2)</f>
        <v>0</v>
      </c>
      <c r="BX15" s="25">
        <f>=Round(IFERROR(BX10/BX7,0),2)</f>
        <v>0</v>
      </c>
      <c r="BY15" s="25">
        <f>=Round(IFERROR(BY10/BY7,0),2)</f>
        <v>0</v>
      </c>
      <c r="BZ15" s="25">
        <f>=Round(IFERROR(BZ10/BZ7,0),2)</f>
        <v>0</v>
      </c>
      <c r="CA15" s="25">
        <f>=Round(IFERROR(CA10/CA7,0),2)</f>
        <v>0</v>
      </c>
      <c r="CB15" s="25">
        <f>=Round(IFERROR(CB10/CB7,0),2)</f>
        <v>0</v>
      </c>
      <c r="CC15" s="25">
        <f>=Round(IFERROR(CC10/CC7,0),2)</f>
        <v>0</v>
      </c>
      <c r="CD15" s="25">
        <f>=Round(IFERROR(CD10/CD7,0),2)</f>
        <v>0</v>
      </c>
      <c r="CE15" s="25">
        <f>=Round(IFERROR(CE10/CE7,0),2)</f>
        <v>0</v>
      </c>
      <c r="CF15" s="25">
        <f>=Round(IFERROR(CF10/CF7,0),2)</f>
        <v>0</v>
      </c>
      <c r="CG15" s="25">
        <f>=Round(IFERROR(CG10/CG7,0),2)</f>
        <v>0</v>
      </c>
      <c r="CH15" s="25">
        <f>=Round(IFERROR(CH10/CH7,0),2)</f>
        <v>0</v>
      </c>
      <c r="CI15" s="25">
        <f>=Round(IFERROR(CI10/CI7,0),2)</f>
        <v>0</v>
      </c>
      <c r="CJ15" s="25">
        <f>=Round(IFERROR(CJ10/CJ7,0),2)</f>
        <v>0</v>
      </c>
      <c r="CK15" s="25">
        <f>=Round(IFERROR(CK10/CK7,0),2)</f>
        <v>0</v>
      </c>
      <c r="CL15" s="25">
        <f>=Round(IFERROR(CL10/CL7,0),2)</f>
        <v>0</v>
      </c>
      <c r="CM15" s="25">
        <f>=Round(IFERROR(CM10/CM7,0),2)</f>
        <v>0</v>
      </c>
      <c r="CN15" s="25">
        <f>=Round(IFERROR(CN10/CN7,0),2)</f>
        <v>0</v>
      </c>
      <c r="CO15" s="25">
        <f>=Round(IFERROR(CO10/CO7,0),2)</f>
        <v>0</v>
      </c>
      <c r="CP15" s="25">
        <f>=Round(IFERROR(CP10/CP7,0),2)</f>
        <v>0</v>
      </c>
      <c r="CQ15" s="25">
        <f>=Round(IFERROR(CQ10/CQ7,0),2)</f>
        <v>0</v>
      </c>
      <c r="CR15" s="25">
        <f>=Round(IFERROR(CR10/CR7,0),2)</f>
        <v>0</v>
      </c>
      <c r="CS15" s="25">
        <f>=Round(IFERROR(CS10/CS7,0),2)</f>
        <v>0</v>
      </c>
      <c r="CT15" s="25">
        <f>=Round(IFERROR(CT10/CT7,0),2)</f>
        <v>0</v>
      </c>
      <c r="CU15" s="25">
        <f>=Round(IFERROR(CU10/CU7,0),2)</f>
        <v>0</v>
      </c>
      <c r="CV15" s="25">
        <f>=Round(IFERROR(CV10/CV7,0),2)</f>
        <v>0</v>
      </c>
      <c r="CW15" s="25">
        <f>=Round(IFERROR(CW10/CW7,0),2)</f>
        <v>0</v>
      </c>
      <c r="CX15" s="25">
        <f>=Round(IFERROR(CX10/CX7,0),2)</f>
        <v>0</v>
      </c>
      <c r="CY15" s="25">
        <f>=Round(IFERROR(CY10/CY7,0),2)</f>
        <v>0</v>
      </c>
      <c r="CZ15" s="25">
        <f>=Round(IFERROR(CZ10/CZ7,0),2)</f>
        <v>0</v>
      </c>
      <c r="DA15" s="25">
        <f>=Round(IFERROR(DA10/DA7,0),2)</f>
        <v>0</v>
      </c>
      <c r="DB15" s="25">
        <f>=Round(IFERROR(DB10/DB7,0),2)</f>
        <v>0</v>
      </c>
    </row>
    <row r="16" spans="1:106" x14ac:dyDescent="0.25">
      <c r="A16" s="23" t="s">
        <v>250</v>
      </c>
      <c r="B16" s="24"/>
      <c r="C16" s="25">
        <f>=Round(IFERROR(C10/C9,0),2)</f>
        <v>1</v>
      </c>
      <c r="D16" s="25">
        <f>=Round(IFERROR(D10/D9,0),2)</f>
        <v>1</v>
      </c>
      <c r="E16" s="25">
        <f>=Round(IFERROR(E10/E9,0),2)</f>
        <v>1</v>
      </c>
      <c r="F16" s="25">
        <f>=Round(IFERROR(F10/F9,0),2)</f>
        <v>1</v>
      </c>
      <c r="G16" s="25">
        <f>=Round(IFERROR(G10/G9,0),2)</f>
        <v>1</v>
      </c>
      <c r="H16" s="25">
        <f>=Round(IFERROR(H10/H9,0),2)</f>
        <v>1.17</v>
      </c>
      <c r="I16" s="25">
        <f>=Round(IFERROR(I10/I9,0),2)</f>
        <v>1.17</v>
      </c>
      <c r="J16" s="25">
        <f>=Round(IFERROR(J10/J9,0),2)</f>
        <v>1.17</v>
      </c>
      <c r="K16" s="25">
        <f>=Round(IFERROR(K10/K9,0),2)</f>
        <v>1.17</v>
      </c>
      <c r="L16" s="25">
        <f>=Round(IFERROR(L10/L9,0),2)</f>
        <v>1.17</v>
      </c>
      <c r="M16" s="25">
        <f>=Round(IFERROR(M10/M9,0),2)</f>
        <v>1.17</v>
      </c>
      <c r="N16" s="25">
        <f>=Round(IFERROR(N10/N9,0),2)</f>
        <v>1.17</v>
      </c>
      <c r="O16" s="25">
        <f>=Round(IFERROR(O10/O9,0),2)</f>
        <v>1.17</v>
      </c>
      <c r="P16" s="25">
        <f>=Round(IFERROR(P10/P9,0),2)</f>
        <v>1.17</v>
      </c>
      <c r="Q16" s="25">
        <f>=Round(IFERROR(Q10/Q9,0),2)</f>
        <v>1.17</v>
      </c>
      <c r="R16" s="25">
        <f>=Round(IFERROR(R10/R9,0),2)</f>
        <v>1.17</v>
      </c>
      <c r="S16" s="25">
        <f>=Round(IFERROR(S10/S9,0),2)</f>
        <v>1.17</v>
      </c>
      <c r="T16" s="25">
        <f>=Round(IFERROR(T10/T9,0),2)</f>
        <v>1.17</v>
      </c>
      <c r="U16" s="25">
        <f>=Round(IFERROR(U10/U9,0),2)</f>
        <v>1.17</v>
      </c>
      <c r="V16" s="25">
        <f>=Round(IFERROR(V10/V9,0),2)</f>
        <v>1.17</v>
      </c>
      <c r="W16" s="25">
        <f>=Round(IFERROR(W10/W9,0),2)</f>
        <v>1.17</v>
      </c>
      <c r="X16" s="25">
        <f>=Round(IFERROR(X10/X9,0),2)</f>
        <v>1.17</v>
      </c>
      <c r="Y16" s="25">
        <f>=Round(IFERROR(Y10/Y9,0),2)</f>
        <v>1.17</v>
      </c>
      <c r="Z16" s="25">
        <f>=Round(IFERROR(Z10/Z9,0),2)</f>
        <v>1.17</v>
      </c>
      <c r="AA16" s="25">
        <f>=Round(IFERROR(AA10/AA9,0),2)</f>
        <v>1.17</v>
      </c>
      <c r="AB16" s="25">
        <f>=Round(IFERROR(AB10/AB9,0),2)</f>
        <v>1.17</v>
      </c>
      <c r="AC16" s="25">
        <f>=Round(IFERROR(AC10/AC9,0),2)</f>
        <v>1.17</v>
      </c>
      <c r="AD16" s="25">
        <f>=Round(IFERROR(AD10/AD9,0),2)</f>
        <v>1.17</v>
      </c>
      <c r="AE16" s="25">
        <f>=Round(IFERROR(AE10/AE9,0),2)</f>
        <v>1.17</v>
      </c>
      <c r="AF16" s="25">
        <f>=Round(IFERROR(AF10/AF9,0),2)</f>
        <v>1.17</v>
      </c>
      <c r="AG16" s="25">
        <f>=Round(IFERROR(AG10/AG9,0),2)</f>
        <v>1.17</v>
      </c>
      <c r="AH16" s="25">
        <f>=Round(IFERROR(AH10/AH9,0),2)</f>
        <v>1.17</v>
      </c>
      <c r="AI16" s="25">
        <f>=Round(IFERROR(AI10/AI9,0),2)</f>
        <v>1</v>
      </c>
      <c r="AJ16" s="25">
        <f>=Round(IFERROR(AJ10/AJ9,0),2)</f>
        <v>1</v>
      </c>
      <c r="AK16" s="25">
        <f>=Round(IFERROR(AK10/AK9,0),2)</f>
        <v>1</v>
      </c>
      <c r="AL16" s="25">
        <f>=Round(IFERROR(AL10/AL9,0),2)</f>
        <v>1</v>
      </c>
      <c r="AM16" s="25">
        <f>=Round(IFERROR(AM10/AM9,0),2)</f>
        <v>1</v>
      </c>
      <c r="AN16" s="25">
        <f>=Round(IFERROR(AN10/AN9,0),2)</f>
        <v>1</v>
      </c>
      <c r="AO16" s="25">
        <f>=Round(IFERROR(AO10/AO9,0),2)</f>
        <v>1</v>
      </c>
      <c r="AP16" s="25">
        <f>=Round(IFERROR(AP10/AP9,0),2)</f>
        <v>1</v>
      </c>
      <c r="AQ16" s="25">
        <f>=Round(IFERROR(AQ10/AQ9,0),2)</f>
        <v>0.83</v>
      </c>
      <c r="AR16" s="25">
        <f>=Round(IFERROR(AR10/AR9,0),2)</f>
        <v>0.83</v>
      </c>
      <c r="AS16" s="25">
        <f>=Round(IFERROR(AS10/AS9,0),2)</f>
        <v>0.83</v>
      </c>
      <c r="AT16" s="25">
        <f>=Round(IFERROR(AT10/AT9,0),2)</f>
        <v>0.83</v>
      </c>
      <c r="AU16" s="25">
        <f>=Round(IFERROR(AU10/AU9,0),2)</f>
        <v>0.83</v>
      </c>
      <c r="AV16" s="25">
        <f>=Round(IFERROR(AV10/AV9,0),2)</f>
        <v>0.83</v>
      </c>
      <c r="AW16" s="25">
        <f>=Round(IFERROR(AW10/AW9,0),2)</f>
        <v>0.83</v>
      </c>
      <c r="AX16" s="25">
        <f>=Round(IFERROR(AX10/AX9,0),2)</f>
        <v>0.83</v>
      </c>
      <c r="AY16" s="25">
        <f>=Round(IFERROR(AY10/AY9,0),2)</f>
        <v>0.83</v>
      </c>
      <c r="AZ16" s="25">
        <f>=Round(IFERROR(AZ10/AZ9,0),2)</f>
        <v>0.83</v>
      </c>
      <c r="BA16" s="25">
        <f>=Round(IFERROR(BA10/BA9,0),2)</f>
        <v>0.83</v>
      </c>
      <c r="BB16" s="25">
        <f>=Round(IFERROR(BB10/BB9,0),2)</f>
        <v>0.83</v>
      </c>
      <c r="BC16" s="25">
        <f>=Round(IFERROR(BC10/BC9,0),2)</f>
        <v>0.67</v>
      </c>
      <c r="BD16" s="25">
        <f>=Round(IFERROR(BD10/BD9,0),2)</f>
        <v>0.67</v>
      </c>
      <c r="BE16" s="25">
        <f>=Round(IFERROR(BE10/BE9,0),2)</f>
        <v>0.67</v>
      </c>
      <c r="BF16" s="25">
        <f>=Round(IFERROR(BF10/BF9,0),2)</f>
        <v>0.67</v>
      </c>
      <c r="BG16" s="25">
        <f>=Round(IFERROR(BG10/BG9,0),2)</f>
        <v>0.67</v>
      </c>
      <c r="BH16" s="25">
        <f>=Round(IFERROR(BH10/BH9,0),2)</f>
        <v>0.67</v>
      </c>
      <c r="BI16" s="25">
        <f>=Round(IFERROR(BI10/BI9,0),2)</f>
        <v>0.67</v>
      </c>
      <c r="BJ16" s="25">
        <f>=Round(IFERROR(BJ10/BJ9,0),2)</f>
        <v>0.67</v>
      </c>
      <c r="BK16" s="25">
        <f>=Round(IFERROR(BK10/BK9,0),2)</f>
        <v>0.67</v>
      </c>
      <c r="BL16" s="25">
        <f>=Round(IFERROR(BL10/BL9,0),2)</f>
        <v>1.33</v>
      </c>
      <c r="BM16" s="25">
        <f>=Round(IFERROR(BM10/BM9,0),2)</f>
        <v>1.33</v>
      </c>
      <c r="BN16" s="25">
        <f>=Round(IFERROR(BN10/BN9,0),2)</f>
        <v>1.33</v>
      </c>
      <c r="BO16" s="25">
        <f>=Round(IFERROR(BO10/BO9,0),2)</f>
        <v>1.33</v>
      </c>
      <c r="BP16" s="25">
        <f>=Round(IFERROR(BP10/BP9,0),2)</f>
        <v>0</v>
      </c>
      <c r="BQ16" s="25">
        <f>=Round(IFERROR(BQ10/BQ9,0),2)</f>
        <v>0</v>
      </c>
      <c r="BR16" s="25">
        <f>=Round(IFERROR(BR10/BR9,0),2)</f>
        <v>0</v>
      </c>
      <c r="BS16" s="25">
        <f>=Round(IFERROR(BS10/BS9,0),2)</f>
        <v>0</v>
      </c>
      <c r="BT16" s="25">
        <f>=Round(IFERROR(BT10/BT9,0),2)</f>
        <v>0</v>
      </c>
      <c r="BU16" s="25">
        <f>=Round(IFERROR(BU10/BU9,0),2)</f>
        <v>0</v>
      </c>
      <c r="BV16" s="25">
        <f>=Round(IFERROR(BV10/BV9,0),2)</f>
        <v>0</v>
      </c>
      <c r="BW16" s="25">
        <f>=Round(IFERROR(BW10/BW9,0),2)</f>
        <v>0</v>
      </c>
      <c r="BX16" s="25">
        <f>=Round(IFERROR(BX10/BX9,0),2)</f>
        <v>0</v>
      </c>
      <c r="BY16" s="25">
        <f>=Round(IFERROR(BY10/BY9,0),2)</f>
        <v>0</v>
      </c>
      <c r="BZ16" s="25">
        <f>=Round(IFERROR(BZ10/BZ9,0),2)</f>
        <v>0</v>
      </c>
      <c r="CA16" s="25">
        <f>=Round(IFERROR(CA10/CA9,0),2)</f>
        <v>0</v>
      </c>
      <c r="CB16" s="25">
        <f>=Round(IFERROR(CB10/CB9,0),2)</f>
        <v>0</v>
      </c>
      <c r="CC16" s="25">
        <f>=Round(IFERROR(CC10/CC9,0),2)</f>
        <v>0</v>
      </c>
      <c r="CD16" s="25">
        <f>=Round(IFERROR(CD10/CD9,0),2)</f>
        <v>0</v>
      </c>
      <c r="CE16" s="25">
        <f>=Round(IFERROR(CE10/CE9,0),2)</f>
        <v>0</v>
      </c>
      <c r="CF16" s="25">
        <f>=Round(IFERROR(CF10/CF9,0),2)</f>
        <v>0</v>
      </c>
      <c r="CG16" s="25">
        <f>=Round(IFERROR(CG10/CG9,0),2)</f>
        <v>0</v>
      </c>
      <c r="CH16" s="25">
        <f>=Round(IFERROR(CH10/CH9,0),2)</f>
        <v>0</v>
      </c>
      <c r="CI16" s="25">
        <f>=Round(IFERROR(CI10/CI9,0),2)</f>
        <v>0</v>
      </c>
      <c r="CJ16" s="25">
        <f>=Round(IFERROR(CJ10/CJ9,0),2)</f>
        <v>0</v>
      </c>
      <c r="CK16" s="25">
        <f>=Round(IFERROR(CK10/CK9,0),2)</f>
        <v>0</v>
      </c>
      <c r="CL16" s="25">
        <f>=Round(IFERROR(CL10/CL9,0),2)</f>
        <v>0</v>
      </c>
      <c r="CM16" s="25">
        <f>=Round(IFERROR(CM10/CM9,0),2)</f>
        <v>0</v>
      </c>
      <c r="CN16" s="25">
        <f>=Round(IFERROR(CN10/CN9,0),2)</f>
        <v>0</v>
      </c>
      <c r="CO16" s="25">
        <f>=Round(IFERROR(CO10/CO9,0),2)</f>
        <v>0</v>
      </c>
      <c r="CP16" s="25">
        <f>=Round(IFERROR(CP10/CP9,0),2)</f>
        <v>0</v>
      </c>
      <c r="CQ16" s="25">
        <f>=Round(IFERROR(CQ10/CQ9,0),2)</f>
        <v>0</v>
      </c>
      <c r="CR16" s="25">
        <f>=Round(IFERROR(CR10/CR9,0),2)</f>
        <v>0</v>
      </c>
      <c r="CS16" s="25">
        <f>=Round(IFERROR(CS10/CS9,0),2)</f>
        <v>0</v>
      </c>
      <c r="CT16" s="25">
        <f>=Round(IFERROR(CT10/CT9,0),2)</f>
        <v>0</v>
      </c>
      <c r="CU16" s="25">
        <f>=Round(IFERROR(CU10/CU9,0),2)</f>
        <v>0</v>
      </c>
      <c r="CV16" s="25">
        <f>=Round(IFERROR(CV10/CV9,0),2)</f>
        <v>0</v>
      </c>
      <c r="CW16" s="25">
        <f>=Round(IFERROR(CW10/CW9,0),2)</f>
        <v>0</v>
      </c>
      <c r="CX16" s="25">
        <f>=Round(IFERROR(CX10/CX9,0),2)</f>
        <v>0</v>
      </c>
      <c r="CY16" s="25">
        <f>=Round(IFERROR(CY10/CY9,0),2)</f>
        <v>0</v>
      </c>
      <c r="CZ16" s="25">
        <f>=Round(IFERROR(CZ10/CZ9,0),2)</f>
        <v>0</v>
      </c>
      <c r="DA16" s="25">
        <f>=Round(IFERROR(DA10/DA9,0),2)</f>
        <v>0</v>
      </c>
      <c r="DB16" s="25">
        <f>=Round(IFERROR(DB10/DB9,0),2)</f>
        <v>0</v>
      </c>
    </row>
    <row r="17" ht="14" customHeight="1" spans="1:106" x14ac:dyDescent="0.25">
      <c r="A17" s="23" t="s">
        <v>251</v>
      </c>
      <c r="B17" s="24"/>
      <c r="C17" s="26">
        <f>=IFERROR(C11/C8,0)</f>
        <v>0.98</v>
      </c>
      <c r="D17" s="26">
        <f>=IFERROR(D11/D8,0)</f>
        <v>0.98</v>
      </c>
      <c r="E17" s="25">
        <f>=IFERROR(E11/E8,0)</f>
        <v>0.98</v>
      </c>
      <c r="F17" s="25">
        <f>=IFERROR(F11/F8,0)</f>
        <v>0.98</v>
      </c>
      <c r="G17" s="25">
        <f>=IFERROR(G11/G8,0)</f>
        <v>0.98</v>
      </c>
      <c r="H17" s="25">
        <f>=IFERROR(H11/H8,0)</f>
        <v>1.2</v>
      </c>
      <c r="I17" s="25">
        <f>=IFERROR(I11/I8,0)</f>
        <v>1.2</v>
      </c>
      <c r="J17" s="25">
        <f>=IFERROR(J11/J8,0)</f>
        <v>1.2</v>
      </c>
      <c r="K17" s="25">
        <f>=IFERROR(K11/K8,0)</f>
        <v>1.2</v>
      </c>
      <c r="L17" s="25">
        <f>=IFERROR(L11/L8,0)</f>
        <v>1.2</v>
      </c>
      <c r="M17" s="25">
        <f>=IFERROR(M11/M8,0)</f>
        <v>1.2</v>
      </c>
      <c r="N17" s="25">
        <f>=IFERROR(N11/N8,0)</f>
        <v>1.2</v>
      </c>
      <c r="O17" s="25">
        <f>=IFERROR(O11/O8,0)</f>
        <v>1.2</v>
      </c>
      <c r="P17" s="25">
        <f>=IFERROR(P11/P8,0)</f>
        <v>1.2</v>
      </c>
      <c r="Q17" s="25">
        <f>=IFERROR(Q11/Q8,0)</f>
        <v>1.2</v>
      </c>
      <c r="R17" s="25">
        <f>=IFERROR(R11/R8,0)</f>
        <v>1.2</v>
      </c>
      <c r="S17" s="25">
        <f>=IFERROR(S11/S8,0)</f>
        <v>1.2</v>
      </c>
      <c r="T17" s="25">
        <f>=IFERROR(T11/T8,0)</f>
        <v>1.2</v>
      </c>
      <c r="U17" s="25">
        <f>=IFERROR(U11/U8,0)</f>
        <v>1.2</v>
      </c>
      <c r="V17" s="25">
        <f>=IFERROR(V11/V8,0)</f>
        <v>1.2</v>
      </c>
      <c r="W17" s="25">
        <f>=IFERROR(W11/W8,0)</f>
        <v>1.2</v>
      </c>
      <c r="X17" s="25">
        <f>=IFERROR(X11/X8,0)</f>
        <v>1.2</v>
      </c>
      <c r="Y17" s="25">
        <f>=IFERROR(Y11/Y8,0)</f>
        <v>1.2</v>
      </c>
      <c r="Z17" s="25">
        <f>=IFERROR(Z11/Z8,0)</f>
        <v>1.2</v>
      </c>
      <c r="AA17" s="25">
        <f>=IFERROR(AA11/AA8,0)</f>
        <v>1.2</v>
      </c>
      <c r="AB17" s="25">
        <f>=IFERROR(AB11/AB8,0)</f>
        <v>1.2</v>
      </c>
      <c r="AC17" s="25">
        <f>=IFERROR(AC11/AC8,0)</f>
        <v>1.2</v>
      </c>
      <c r="AD17" s="25">
        <f>=IFERROR(AD11/AD8,0)</f>
        <v>1.2</v>
      </c>
      <c r="AE17" s="25">
        <f>=IFERROR(AE11/AE8,0)</f>
        <v>1.2</v>
      </c>
      <c r="AF17" s="25">
        <f>=IFERROR(AF11/AF8,0)</f>
        <v>1.2</v>
      </c>
      <c r="AG17" s="25">
        <f>=IFERROR(AG11/AG8,0)</f>
        <v>1.2</v>
      </c>
      <c r="AH17" s="25">
        <f>=IFERROR(AH11/AH8,0)</f>
        <v>1.2</v>
      </c>
      <c r="AI17" s="25">
        <f>=IFERROR(AI11/AI8,0)</f>
        <v>1.0285714285714285</v>
      </c>
      <c r="AJ17" s="25">
        <f>=IFERROR(AJ11/AJ8,0)</f>
        <v>1.0285714285714285</v>
      </c>
      <c r="AK17" s="25">
        <f>=IFERROR(AK11/AK8,0)</f>
        <v>1.0285714285714285</v>
      </c>
      <c r="AL17" s="25">
        <f>=IFERROR(AL11/AL8,0)</f>
        <v>1.0285714285714285</v>
      </c>
      <c r="AM17" s="25">
        <f>=IFERROR(AM11/AM8,0)</f>
        <v>1.0285714285714285</v>
      </c>
      <c r="AN17" s="25">
        <f>=IFERROR(AN11/AN8,0)</f>
        <v>1.0285714285714285</v>
      </c>
      <c r="AO17" s="25">
        <f>=IFERROR(AO11/AO8,0)</f>
        <v>1.0285714285714285</v>
      </c>
      <c r="AP17" s="25">
        <f>=IFERROR(AP11/AP8,0)</f>
        <v>1.0653061224489795</v>
      </c>
      <c r="AQ17" s="25">
        <f>=IFERROR(AQ11/AQ8,0)</f>
        <v>0.8877551020408163</v>
      </c>
      <c r="AR17" s="25">
        <f>=IFERROR(AR11/AR8,0)</f>
        <v>0.8877551020408163</v>
      </c>
      <c r="AS17" s="25">
        <f>=IFERROR(AS11/AS8,0)</f>
        <v>0.8877551020408163</v>
      </c>
      <c r="AT17" s="25">
        <f>=IFERROR(AT11/AT8,0)</f>
        <v>0.8877551020408163</v>
      </c>
      <c r="AU17" s="25">
        <f>=IFERROR(AU11/AU8,0)</f>
        <v>0.8877551020408163</v>
      </c>
      <c r="AV17" s="25">
        <f>=IFERROR(AV11/AV8,0)</f>
        <v>0.8877551020408163</v>
      </c>
      <c r="AW17" s="25">
        <f>=IFERROR(AW11/AW8,0)</f>
        <v>0.8877551020408163</v>
      </c>
      <c r="AX17" s="25">
        <f>=IFERROR(AX11/AX8,0)</f>
        <v>0.8877551020408163</v>
      </c>
      <c r="AY17" s="25">
        <f>=IFERROR(AY11/AY8,0)</f>
        <v>0.8877551020408163</v>
      </c>
      <c r="AZ17" s="25">
        <f>=IFERROR(AZ11/AZ8,0)</f>
        <v>0.8877551020408163</v>
      </c>
      <c r="BA17" s="25">
        <f>=IFERROR(BA11/BA8,0)</f>
        <v>0.8877551020408163</v>
      </c>
      <c r="BB17" s="25">
        <f>=IFERROR(BB11/BB8,0)</f>
        <v>0.8877551020408163</v>
      </c>
      <c r="BC17" s="25">
        <f>=IFERROR(BC11/BC8,0)</f>
        <v>0.7020408163265306</v>
      </c>
      <c r="BD17" s="25">
        <f>=IFERROR(BD11/BD8,0)</f>
        <v>0.7020408163265306</v>
      </c>
      <c r="BE17" s="25">
        <f>=IFERROR(BE11/BE8,0)</f>
        <v>0.7020408163265306</v>
      </c>
      <c r="BF17" s="25">
        <f>=IFERROR(BF11/BF8,0)</f>
        <v>0.7020408163265306</v>
      </c>
      <c r="BG17" s="25">
        <f>=IFERROR(BG11/BG8,0)</f>
        <v>0.7020408163265306</v>
      </c>
      <c r="BH17" s="25">
        <f>=IFERROR(BH11/BH8,0)</f>
        <v>0.7020408163265306</v>
      </c>
      <c r="BI17" s="25">
        <f>=IFERROR(BI11/BI8,0)</f>
        <v>0.7020408163265306</v>
      </c>
      <c r="BJ17" s="25">
        <f>=IFERROR(BJ11/BJ8,0)</f>
        <v>0.7020408163265306</v>
      </c>
      <c r="BK17" s="25">
        <f>=IFERROR(BK11/BK8,0)</f>
        <v>0.7020408163265306</v>
      </c>
      <c r="BL17" s="25">
        <f>=IFERROR(BL11/BL8,0)</f>
        <v>1.2285714285714286</v>
      </c>
      <c r="BM17" s="25">
        <f>=IFERROR(BM11/BM8,0)</f>
        <v>1.2285714285714286</v>
      </c>
      <c r="BN17" s="25">
        <f>=IFERROR(BN11/BN8,0)</f>
        <v>1.2285714285714286</v>
      </c>
      <c r="BO17" s="25">
        <f>=IFERROR(BO11/BO8,0)</f>
        <v>1.2285714285714286</v>
      </c>
      <c r="BP17" s="25">
        <f>=IFERROR(BP11/BP8,0)</f>
        <v>0</v>
      </c>
      <c r="BQ17" s="25">
        <f>=IFERROR(BQ11/BQ8,0)</f>
        <v>0</v>
      </c>
      <c r="BR17" s="25">
        <f>=IFERROR(BR11/BR8,0)</f>
        <v>0</v>
      </c>
      <c r="BS17" s="25">
        <f>=IFERROR(BS11/BS8,0)</f>
        <v>0</v>
      </c>
      <c r="BT17" s="25">
        <f>=IFERROR(BT11/BT8,0)</f>
        <v>0</v>
      </c>
      <c r="BU17" s="25">
        <f>=IFERROR(BU11/BU8,0)</f>
        <v>0</v>
      </c>
      <c r="BV17" s="25">
        <f>=IFERROR(BV11/BV8,0)</f>
        <v>0</v>
      </c>
      <c r="BW17" s="25">
        <f>=IFERROR(BW11/BW8,0)</f>
        <v>0</v>
      </c>
      <c r="BX17" s="25">
        <f>=IFERROR(BX11/BX8,0)</f>
        <v>0</v>
      </c>
      <c r="BY17" s="25">
        <f>=IFERROR(BY11/BY8,0)</f>
        <v>0</v>
      </c>
      <c r="BZ17" s="25">
        <f>=IFERROR(BZ11/BZ8,0)</f>
        <v>0</v>
      </c>
      <c r="CA17" s="25">
        <f>=IFERROR(CA11/CA8,0)</f>
        <v>0</v>
      </c>
      <c r="CB17" s="25">
        <f>=IFERROR(CB11/CB8,0)</f>
        <v>0</v>
      </c>
      <c r="CC17" s="25">
        <f>=IFERROR(CC11/CC8,0)</f>
        <v>0</v>
      </c>
      <c r="CD17" s="25">
        <f>=IFERROR(CD11/CD8,0)</f>
        <v>0</v>
      </c>
      <c r="CE17" s="25">
        <f>=IFERROR(CE11/CE8,0)</f>
        <v>0</v>
      </c>
      <c r="CF17" s="25">
        <f>=IFERROR(CF11/CF8,0)</f>
        <v>0</v>
      </c>
      <c r="CG17" s="25">
        <f>=IFERROR(CG11/CG8,0)</f>
        <v>0</v>
      </c>
      <c r="CH17" s="25">
        <f>=IFERROR(CH11/CH8,0)</f>
        <v>0</v>
      </c>
      <c r="CI17" s="25">
        <f>=IFERROR(CI11/CI8,0)</f>
        <v>0</v>
      </c>
      <c r="CJ17" s="25">
        <f>=IFERROR(CJ11/CJ8,0)</f>
        <v>0</v>
      </c>
      <c r="CK17" s="25">
        <f>=IFERROR(CK11/CK8,0)</f>
        <v>0</v>
      </c>
      <c r="CL17" s="25">
        <f>=IFERROR(CL11/CL8,0)</f>
        <v>0</v>
      </c>
      <c r="CM17" s="25">
        <f>=IFERROR(CM11/CM8,0)</f>
        <v>0</v>
      </c>
      <c r="CN17" s="25">
        <f>=IFERROR(CN11/CN8,0)</f>
        <v>0</v>
      </c>
      <c r="CO17" s="25">
        <f>=IFERROR(CO11/CO8,0)</f>
        <v>0</v>
      </c>
      <c r="CP17" s="25">
        <f>=IFERROR(CP11/CP8,0)</f>
        <v>0</v>
      </c>
      <c r="CQ17" s="25">
        <f>=IFERROR(CQ11/CQ8,0)</f>
        <v>0</v>
      </c>
      <c r="CR17" s="25">
        <f>=IFERROR(CR11/CR8,0)</f>
        <v>0</v>
      </c>
      <c r="CS17" s="25">
        <f>=IFERROR(CS11/CS8,0)</f>
        <v>0</v>
      </c>
      <c r="CT17" s="25">
        <f>=IFERROR(CT11/CT8,0)</f>
        <v>0</v>
      </c>
      <c r="CU17" s="25">
        <f>=IFERROR(CU11/CU8,0)</f>
        <v>0</v>
      </c>
      <c r="CV17" s="25">
        <f>=IFERROR(CV11/CV8,0)</f>
        <v>0</v>
      </c>
      <c r="CW17" s="25">
        <f>=IFERROR(CW11/CW8,0)</f>
        <v>0</v>
      </c>
      <c r="CX17" s="25">
        <f>=IFERROR(CX11/CX8,0)</f>
        <v>0</v>
      </c>
      <c r="CY17" s="25">
        <f>=IFERROR(CY11/CY8,0)</f>
        <v>0</v>
      </c>
      <c r="CZ17" s="25">
        <f>=IFERROR(CZ11/CZ8,0)</f>
        <v>0</v>
      </c>
      <c r="DA17" s="25">
        <f>=IFERROR(DA11/DA8,0)</f>
        <v>0</v>
      </c>
      <c r="DB17" s="25">
        <f>=IFERROR(DB11/DB8,0)</f>
        <v>0</v>
      </c>
    </row>
    <row r="18" spans="1:106" x14ac:dyDescent="0.25">
      <c r="A18" s="27" t="s">
        <v>252</v>
      </c>
      <c r="C18" s="28">
        <f>=SUM(C19:C23)</f>
        <v>7</v>
      </c>
      <c r="D18" s="28">
        <f>=SUM(D19:D23)</f>
        <v>7</v>
      </c>
      <c r="E18" s="28">
        <f>=SUM(E19:E23)</f>
        <v>7</v>
      </c>
      <c r="F18" s="28">
        <f>=SUM(F19:F23)</f>
        <v>7</v>
      </c>
      <c r="G18" s="28">
        <f>=SUM(G19:G23)</f>
        <v>7</v>
      </c>
      <c r="H18" s="28">
        <f>=SUM(H19:H23)</f>
        <v>7</v>
      </c>
      <c r="I18" s="28">
        <f>=SUM(I19:I23)</f>
        <v>7</v>
      </c>
      <c r="J18" s="28">
        <f>=SUM(J19:J23)</f>
        <v>7</v>
      </c>
      <c r="K18" s="28">
        <f>=SUM(K19:K23)</f>
        <v>7</v>
      </c>
      <c r="L18" s="28">
        <f>=SUM(L19:L23)</f>
        <v>7</v>
      </c>
      <c r="M18" s="28">
        <f>=SUM(M19:M23)</f>
        <v>7</v>
      </c>
      <c r="N18" s="28">
        <f>=SUM(N19:N23)</f>
        <v>7</v>
      </c>
      <c r="O18" s="28">
        <f>=SUM(O19:O23)</f>
        <v>7</v>
      </c>
      <c r="P18" s="28">
        <f>=SUM(P19:P23)</f>
        <v>7</v>
      </c>
      <c r="Q18" s="28">
        <f>=SUM(Q19:Q23)</f>
        <v>7</v>
      </c>
      <c r="R18" s="28">
        <f>=SUM(R19:R23)</f>
        <v>7</v>
      </c>
      <c r="S18" s="28">
        <f>=SUM(S19:S23)</f>
        <v>7</v>
      </c>
      <c r="T18" s="28">
        <f>=SUM(T19:T23)</f>
        <v>7</v>
      </c>
      <c r="U18" s="28">
        <f>=SUM(U19:U23)</f>
        <v>7</v>
      </c>
      <c r="V18" s="28">
        <f>=SUM(V19:V23)</f>
        <v>7</v>
      </c>
      <c r="W18" s="28">
        <f>=SUM(W19:W23)</f>
        <v>7</v>
      </c>
      <c r="X18" s="28">
        <f>=SUM(X19:X23)</f>
        <v>7</v>
      </c>
      <c r="Y18" s="28">
        <f>=SUM(Y19:Y23)</f>
        <v>7</v>
      </c>
      <c r="Z18" s="28">
        <f>=SUM(Z19:Z23)</f>
        <v>7</v>
      </c>
      <c r="AA18" s="28">
        <f>=SUM(AA19:AA23)</f>
        <v>7</v>
      </c>
      <c r="AB18" s="28">
        <f>=SUM(AB19:AB23)</f>
        <v>7</v>
      </c>
      <c r="AC18" s="28">
        <f>=SUM(AC19:AC23)</f>
        <v>7</v>
      </c>
      <c r="AD18" s="28">
        <f>=SUM(AD19:AD23)</f>
        <v>7</v>
      </c>
      <c r="AE18" s="28">
        <f>=SUM(AE19:AE23)</f>
        <v>7</v>
      </c>
      <c r="AF18" s="28">
        <f>=SUM(AF19:AF23)</f>
        <v>7</v>
      </c>
      <c r="AG18" s="29">
        <f>=SUM(AG19:AG23)</f>
        <v>7</v>
      </c>
      <c r="AH18" s="28">
        <f>=SUM(AH19:AH23)</f>
        <v>7</v>
      </c>
      <c r="AI18" s="28">
        <f>=SUM(AI19:AI23)</f>
        <v>6</v>
      </c>
      <c r="AJ18" s="28">
        <f>=SUM(AJ19:AJ23)</f>
        <v>6</v>
      </c>
      <c r="AK18" s="28">
        <f>=SUM(AK19:AK23)</f>
        <v>6</v>
      </c>
      <c r="AL18" s="28">
        <f>=SUM(AL19:AL23)</f>
        <v>6</v>
      </c>
      <c r="AM18" s="28">
        <f>=SUM(AM19:AM23)</f>
        <v>6</v>
      </c>
      <c r="AN18" s="28">
        <f>=SUM(AN19:AN23)</f>
        <v>6</v>
      </c>
      <c r="AO18" s="28">
        <f>=SUM(AO19:AO23)</f>
        <v>6</v>
      </c>
      <c r="AP18" s="28">
        <f>=SUM(AP19:AP23)</f>
        <v>6</v>
      </c>
      <c r="AQ18" s="28">
        <f>=SUM(AQ19:AQ23)</f>
        <v>5</v>
      </c>
      <c r="AR18" s="28">
        <f>=SUM(AR19:AR23)</f>
        <v>5</v>
      </c>
      <c r="AS18" s="28">
        <f>=SUM(AS19:AS23)</f>
        <v>5</v>
      </c>
      <c r="AT18" s="28">
        <f>=SUM(AT19:AT23)</f>
        <v>5</v>
      </c>
      <c r="AU18" s="28">
        <f>=SUM(AU19:AU23)</f>
        <v>5</v>
      </c>
      <c r="AV18" s="28">
        <f>=SUM(AV19:AV23)</f>
        <v>5</v>
      </c>
      <c r="AW18" s="28">
        <f>=SUM(AW19:AW23)</f>
        <v>5</v>
      </c>
      <c r="AX18" s="28">
        <f>=SUM(AX19:AX23)</f>
        <v>5</v>
      </c>
      <c r="AY18" s="28">
        <f>=SUM(AY19:AY23)</f>
        <v>5</v>
      </c>
      <c r="AZ18" s="28">
        <f>=SUM(AZ19:AZ23)</f>
        <v>5</v>
      </c>
      <c r="BA18" s="28">
        <f>=SUM(BA19:BA23)</f>
        <v>5</v>
      </c>
      <c r="BB18" s="28">
        <f>=SUM(BB19:BB23)</f>
        <v>5</v>
      </c>
      <c r="BC18" s="28">
        <f>=SUM(BC19:BC23)</f>
        <v>4</v>
      </c>
      <c r="BD18" s="28">
        <f>=SUM(BD19:BD23)</f>
        <v>4</v>
      </c>
      <c r="BE18" s="28">
        <f>=SUM(BE19:BE23)</f>
        <v>4</v>
      </c>
      <c r="BF18" s="28">
        <f>=SUM(BF19:BF23)</f>
        <v>4</v>
      </c>
      <c r="BG18" s="28">
        <f>=SUM(BG19:BG23)</f>
        <v>4</v>
      </c>
      <c r="BH18" s="28">
        <f>=SUM(BH19:BH23)</f>
        <v>4</v>
      </c>
      <c r="BI18" s="28">
        <f>=SUM(BI19:BI23)</f>
        <v>4</v>
      </c>
      <c r="BJ18" s="28">
        <f>=SUM(BJ19:BJ23)</f>
        <v>4</v>
      </c>
      <c r="BK18" s="28">
        <f>=SUM(BK19:BK23)</f>
        <v>4</v>
      </c>
      <c r="BL18" s="28">
        <f>=SUM(BL19:BL23)</f>
        <v>4</v>
      </c>
      <c r="BM18" s="28">
        <f>=SUM(BM19:BM23)</f>
        <v>4</v>
      </c>
      <c r="BN18" s="28">
        <f>=SUM(BN19:BN23)</f>
        <v>4</v>
      </c>
      <c r="BO18" s="28">
        <f>=SUM(BO19:BO23)</f>
        <v>4</v>
      </c>
      <c r="BP18" s="28">
        <f>=SUM(BP19:BP23)</f>
        <v>0</v>
      </c>
      <c r="BQ18" s="28">
        <f>=SUM(BQ19:BQ23)</f>
        <v>0</v>
      </c>
      <c r="BR18" s="28">
        <f>=SUM(BR19:BR23)</f>
        <v>0</v>
      </c>
      <c r="BS18" s="28">
        <f>=SUM(BS19:BS23)</f>
        <v>0</v>
      </c>
      <c r="BT18" s="28">
        <f>=SUM(BT19:BT23)</f>
        <v>0</v>
      </c>
      <c r="BU18" s="28">
        <f>=SUM(BU19:BU23)</f>
        <v>0</v>
      </c>
      <c r="BV18" s="28">
        <f>=SUM(BV19:BV23)</f>
        <v>0</v>
      </c>
      <c r="BW18" s="28">
        <f>=SUM(BW19:BW23)</f>
        <v>0</v>
      </c>
      <c r="BX18" s="28">
        <f>=SUM(BX19:BX23)</f>
        <v>0</v>
      </c>
      <c r="BY18" s="28">
        <f>=SUM(BY19:BY23)</f>
        <v>0</v>
      </c>
      <c r="BZ18" s="28">
        <f>=SUM(BZ19:BZ23)</f>
        <v>0</v>
      </c>
      <c r="CA18" s="28">
        <f>=SUM(CA19:CA23)</f>
        <v>0</v>
      </c>
      <c r="CB18" s="28">
        <f>=SUM(CB19:CB23)</f>
        <v>0</v>
      </c>
      <c r="CC18" s="28">
        <f>=SUM(CC19:CC23)</f>
        <v>0</v>
      </c>
      <c r="CD18" s="28">
        <f>=SUM(CD19:CD23)</f>
        <v>0</v>
      </c>
      <c r="CE18" s="28">
        <f>=SUM(CE19:CE23)</f>
        <v>0</v>
      </c>
      <c r="CF18" s="28">
        <f>=SUM(CF19:CF23)</f>
        <v>0</v>
      </c>
      <c r="CG18" s="28">
        <f>=SUM(CG19:CG23)</f>
        <v>0</v>
      </c>
      <c r="CH18" s="28">
        <f>=SUM(CH19:CH23)</f>
        <v>0</v>
      </c>
      <c r="CI18" s="28">
        <f>=SUM(CI19:CI23)</f>
        <v>0</v>
      </c>
      <c r="CJ18" s="28">
        <f>=SUM(CJ19:CJ23)</f>
        <v>0</v>
      </c>
      <c r="CK18" s="28">
        <f>=SUM(CK19:CK23)</f>
        <v>0</v>
      </c>
      <c r="CL18" s="28">
        <f>=SUM(CL19:CL23)</f>
        <v>0</v>
      </c>
      <c r="CM18" s="28">
        <f>=SUM(CM19:CM23)</f>
        <v>0</v>
      </c>
      <c r="CN18" s="28">
        <f>=SUM(CN19:CN23)</f>
        <v>0</v>
      </c>
      <c r="CO18" s="28">
        <f>=SUM(CO19:CO23)</f>
        <v>0</v>
      </c>
      <c r="CP18" s="28">
        <f>=SUM(CP19:CP23)</f>
        <v>0</v>
      </c>
      <c r="CQ18" s="28">
        <f>=SUM(CQ19:CQ23)</f>
        <v>0</v>
      </c>
      <c r="CR18" s="28">
        <f>=SUM(CR19:CR23)</f>
        <v>0</v>
      </c>
      <c r="CS18" s="28">
        <f>=SUM(CS19:CS23)</f>
        <v>0</v>
      </c>
      <c r="CT18" s="28">
        <f>=SUM(CT19:CT23)</f>
        <v>0</v>
      </c>
      <c r="CU18" s="28">
        <f>=SUM(CU19:CU23)</f>
        <v>0</v>
      </c>
      <c r="CV18" s="28">
        <f>=SUM(CV19:CV23)</f>
        <v>0</v>
      </c>
      <c r="CW18" s="28">
        <f>=SUM(CW19:CW23)</f>
        <v>0</v>
      </c>
      <c r="CX18" s="28">
        <f>=SUM(CX19:CX23)</f>
        <v>0</v>
      </c>
      <c r="CY18" s="28">
        <f>=SUM(CY19:CY23)</f>
        <v>0</v>
      </c>
      <c r="CZ18" s="28">
        <f>=SUM(CZ19:CZ23)</f>
        <v>0</v>
      </c>
      <c r="DA18" s="28">
        <f>=SUM(DA19:DA23)</f>
        <v>0</v>
      </c>
      <c r="DB18" s="28">
        <f>=SUM(DB19:DB23)</f>
        <v>0</v>
      </c>
    </row>
    <row r="19" spans="1:106" x14ac:dyDescent="0.25">
      <c r="A19" s="27" t="s">
        <v>253</v>
      </c>
      <c r="C19" s="28">
        <f>=IF(LEN(C82)=0,(7*(1-B41))-C81+C99+C128,(7-C81+C99+C128))</f>
        <v>7</v>
      </c>
      <c r="D19" s="28">
        <f>=IF(LEN(D82)=0,(C19*(1-C41))-D81+D99+D128,(C19-D81+D99+D128))</f>
        <v>7</v>
      </c>
      <c r="E19" s="28">
        <f>=IF(LEN(E82)=0,(D19*(1-D41))-E81+E99+E128,(D19-E81+E99+E128))</f>
        <v>7</v>
      </c>
      <c r="F19" s="28">
        <f>=IF(LEN(F82)=0,(E19*(1-E41))-F81+F99+F128,(E19-F81+F99+F128))</f>
        <v>7</v>
      </c>
      <c r="G19" s="28">
        <f>=IF(LEN(G82)=0,(F19*(1-F41))-G81+G99+G128,(F19-G81+G99+G128))</f>
        <v>7</v>
      </c>
      <c r="H19" s="28">
        <f>=IF(LEN(H82)=0,(G19*(1-G41))-H81+H99+H128,(G19-H81+H99+H128))</f>
        <v>7</v>
      </c>
      <c r="I19" s="28">
        <f>=IF(LEN(I82)=0,(H19*(1-H41))-I81+I99+I128,(H19-I81+I99+I128))</f>
        <v>7</v>
      </c>
      <c r="J19" s="28">
        <f>=IF(LEN(J82)=0,(I19*(1-I41))-J81+J99+J128,(I19-J81+J99+J128))</f>
        <v>7</v>
      </c>
      <c r="K19" s="28">
        <f>=IF(LEN(K82)=0,(J19*(1-J41))-K81+K99+K128,(J19-K81+K99+K128))</f>
        <v>7</v>
      </c>
      <c r="L19" s="28">
        <f>=IF(LEN(L82)=0,(K19*(1-K41))-L81+L99+L128,(K19-L81+L99+L128))</f>
        <v>7</v>
      </c>
      <c r="M19" s="28">
        <f>=IF(LEN(M82)=0,(L19*(1-L41))-M81+M99+M128,(L19-M81+M99+M128))</f>
        <v>7</v>
      </c>
      <c r="N19" s="28">
        <f>=IF(LEN(N82)=0,(M19*(1-M41))-N81+N99+N128,(M19-N81+N99+N128))</f>
        <v>7</v>
      </c>
      <c r="O19" s="28">
        <f>=IF(LEN(O82)=0,(N19*(1-N41))-O81+O99+O128,(N19-O81+O99+O128))</f>
        <v>7</v>
      </c>
      <c r="P19" s="28">
        <f>=IF(LEN(P82)=0,(O19*(1-O41))-P81+P99+P128,(O19-P81+P99+P128))</f>
        <v>7</v>
      </c>
      <c r="Q19" s="28">
        <f>=IF(LEN(Q82)=0,(P19*(1-P41))-Q81+Q99+Q128,(P19-Q81+Q99+Q128))</f>
        <v>7</v>
      </c>
      <c r="R19" s="28">
        <f>=IF(LEN(R82)=0,(Q19*(1-Q41))-R81+R99+R128,(Q19-R81+R99+R128))</f>
        <v>7</v>
      </c>
      <c r="S19" s="28">
        <f>=IF(LEN(S82)=0,(R19*(1-R41))-S81+S99+S128,(R19-S81+S99+S128))</f>
        <v>7</v>
      </c>
      <c r="T19" s="28">
        <f>=IF(LEN(T82)=0,(S19*(1-S41))-T81+T99+T128,(S19-T81+T99+T128))</f>
        <v>7</v>
      </c>
      <c r="U19" s="28">
        <f>=IF(LEN(U82)=0,(T19*(1-T41))-U81+U99+U128,(T19-U81+U99+U128))</f>
        <v>7</v>
      </c>
      <c r="V19" s="28">
        <f>=IF(LEN(V82)=0,(U19*(1-U41))-V81+V99+V128,(U19-V81+V99+V128))</f>
        <v>7</v>
      </c>
      <c r="W19" s="28">
        <f>=IF(LEN(W82)=0,(V19*(1-V41))-W81+W99+W128,(V19-W81+W99+W128))</f>
        <v>7</v>
      </c>
      <c r="X19" s="28">
        <f>=IF(LEN(X82)=0,(W19*(1-W41))-X81+X99+X128,(W19-X81+X99+X128))</f>
        <v>7</v>
      </c>
      <c r="Y19" s="28">
        <f>=IF(LEN(Y82)=0,(X19*(1-X41))-Y81+Y99+Y128,(X19-Y81+Y99+Y128))</f>
        <v>7</v>
      </c>
      <c r="Z19" s="28">
        <f>=IF(LEN(Z82)=0,(Y19*(1-Y41))-Z81+Z99+Z128,(Y19-Z81+Z99+Z128))</f>
        <v>7</v>
      </c>
      <c r="AA19" s="28">
        <f>=IF(LEN(AA82)=0,(Z19*(1-Z41))-AA81+AA99+AA128,(Z19-AA81+AA99+AA128))</f>
        <v>7</v>
      </c>
      <c r="AB19" s="28">
        <f>=IF(LEN(AB82)=0,(AA19*(1-AA41))-AB81+AB99+AB128,(AA19-AB81+AB99+AB128))</f>
        <v>7</v>
      </c>
      <c r="AC19" s="28">
        <f>=IF(LEN(AC82)=0,(AB19*(1-AB41))-AC81+AC99+AC128,(AB19-AC81+AC99+AC128))</f>
        <v>7</v>
      </c>
      <c r="AD19" s="28">
        <f>=IF(LEN(AD82)=0,(AC19*(1-AC41))-AD81+AD99+AD128,(AC19-AD81+AD99+AD128))</f>
        <v>7</v>
      </c>
      <c r="AE19" s="28">
        <f>=IF(LEN(AE82)=0,(AD19*(1-AD41))-AE81+AE99+AE128,(AD19-AE81+AE99+AE128))</f>
        <v>7</v>
      </c>
      <c r="AF19" s="28">
        <f>=IF(LEN(AF82)=0,(AE19*(1-AE41))-AF81+AF99+AF128,(AE19-AF81+AF99+AF128))</f>
        <v>7</v>
      </c>
      <c r="AG19" s="28">
        <f>=IF(LEN(AG82)=0,(AF19*(1-AF41))-AG81+AG99+AG128,(AF19-AG81+AG99+AG128))</f>
        <v>7</v>
      </c>
      <c r="AH19" s="28">
        <f>=IF(LEN(AH82)=0,(AG19*(1-AG41))-AH81+AH99+AH128,(AG19-AH81+AH99+AH128))</f>
        <v>7</v>
      </c>
      <c r="AI19" s="28">
        <f>=IF(LEN(AI82)=0,(AH19*(1-AH41))-AI81+AI99+AI128,(AH19-AI81+AI99+AI128))</f>
        <v>6</v>
      </c>
      <c r="AJ19" s="28">
        <f>=IF(LEN(AJ82)=0,(AI19*(1-AI41))-AJ81+AJ99+AJ128,(AI19-AJ81+AJ99+AJ128))</f>
        <v>6</v>
      </c>
      <c r="AK19" s="28">
        <f>=IF(LEN(AK82)=0,(AJ19*(1-AJ41))-AK81+AK99+AK128,(AJ19-AK81+AK99+AK128))</f>
        <v>6</v>
      </c>
      <c r="AL19" s="28">
        <f>=IF(LEN(AL82)=0,(AK19*(1-AK41))-AL81+AL99+AL128,(AK19-AL81+AL99+AL128))</f>
        <v>6</v>
      </c>
      <c r="AM19" s="28">
        <f>=IF(LEN(AM82)=0,(AL19*(1-AL41))-AM81+AM99+AM128,(AL19-AM81+AM99+AM128))</f>
        <v>6</v>
      </c>
      <c r="AN19" s="28">
        <f>=IF(LEN(AN82)=0,(AM19*(1-AM41))-AN81+AN99+AN128,(AM19-AN81+AN99+AN128))</f>
        <v>6</v>
      </c>
      <c r="AO19" s="28">
        <f>=IF(LEN(AO82)=0,(AN19*(1-AN41))-AO81+AO99+AO128,(AN19-AO81+AO99+AO128))</f>
        <v>6</v>
      </c>
      <c r="AP19" s="28">
        <f>=IF(LEN(AP82)=0,(AO19*(1-AO41))-AP81+AP99+AP128,(AO19-AP81+AP99+AP128))</f>
        <v>6</v>
      </c>
      <c r="AQ19" s="28">
        <f>=IF(LEN(AQ82)=0,(AP19*(1-AP41))-AQ81+AQ99+AQ128,(AP19-AQ81+AQ99+AQ128))</f>
        <v>5</v>
      </c>
      <c r="AR19" s="28">
        <f>=IF(LEN(AR82)=0,(AQ19*(1-AQ41))-AR81+AR99+AR128,(AQ19-AR81+AR99+AR128))</f>
        <v>5</v>
      </c>
      <c r="AS19" s="28">
        <f>=IF(LEN(AS82)=0,(AR19*(1-AR41))-AS81+AS99+AS128,(AR19-AS81+AS99+AS128))</f>
        <v>5</v>
      </c>
      <c r="AT19" s="28">
        <f>=IF(LEN(AT82)=0,(AS19*(1-AS41))-AT81+AT99+AT128,(AS19-AT81+AT99+AT128))</f>
        <v>5</v>
      </c>
      <c r="AU19" s="28">
        <f>=IF(LEN(AU82)=0,(AT19*(1-AT41))-AU81+AU99+AU128,(AT19-AU81+AU99+AU128))</f>
        <v>5</v>
      </c>
      <c r="AV19" s="28">
        <f>=IF(LEN(AV82)=0,(AU19*(1-AU41))-AV81+AV99+AV128,(AU19-AV81+AV99+AV128))</f>
        <v>5</v>
      </c>
      <c r="AW19" s="28">
        <f>=IF(LEN(AW82)=0,(AV19*(1-AV41))-AW81+AW99+AW128,(AV19-AW81+AW99+AW128))</f>
        <v>5</v>
      </c>
      <c r="AX19" s="28">
        <f>=IF(LEN(AX82)=0,(AW19*(1-AW41))-AX81+AX99+AX128,(AW19-AX81+AX99+AX128))</f>
        <v>5</v>
      </c>
      <c r="AY19" s="28">
        <f>=IF(LEN(AY82)=0,(AX19*(1-AX41))-AY81+AY99+AY128,(AX19-AY81+AY99+AY128))</f>
        <v>5</v>
      </c>
      <c r="AZ19" s="28">
        <f>=IF(LEN(AZ82)=0,(AY19*(1-AY41))-AZ81+AZ99+AZ128,(AY19-AZ81+AZ99+AZ128))</f>
        <v>5</v>
      </c>
      <c r="BA19" s="28">
        <f>=IF(LEN(BA82)=0,(AZ19*(1-AZ41))-BA81+BA99+BA128,(AZ19-BA81+BA99+BA128))</f>
        <v>5</v>
      </c>
      <c r="BB19" s="28">
        <f>=IF(LEN(BB82)=0,(BA19*(1-BA41))-BB81+BB99+BB128,(BA19-BB81+BB99+BB128))</f>
        <v>5</v>
      </c>
      <c r="BC19" s="28">
        <f>=IF(LEN(BC82)=0,(BB19*(1-BB41))-BC81+BC99+BC128,(BB19-BC81+BC99+BC128))</f>
        <v>4</v>
      </c>
      <c r="BD19" s="28">
        <f>=IF(LEN(BD82)=0,(BC19*(1-BC41))-BD81+BD99+BD128,(BC19-BD81+BD99+BD128))</f>
        <v>4</v>
      </c>
      <c r="BE19" s="28">
        <f>=IF(LEN(BE82)=0,(BD19*(1-BD41))-BE81+BE99+BE128,(BD19-BE81+BE99+BE128))</f>
        <v>4</v>
      </c>
      <c r="BF19" s="28">
        <f>=IF(LEN(BF82)=0,(BE19*(1-BE41))-BF81+BF99+BF128,(BE19-BF81+BF99+BF128))</f>
        <v>4</v>
      </c>
      <c r="BG19" s="28">
        <f>=IF(LEN(BG82)=0,(BF19*(1-BF41))-BG81+BG99+BG128,(BF19-BG81+BG99+BG128))</f>
        <v>4</v>
      </c>
      <c r="BH19" s="28">
        <f>=IF(LEN(BH82)=0,(BG19*(1-BG41))-BH81+BH99+BH128,(BG19-BH81+BH99+BH128))</f>
        <v>4</v>
      </c>
      <c r="BI19" s="28">
        <f>=IF(LEN(BI82)=0,(BH19*(1-BH41))-BI81+BI99+BI128,(BH19-BI81+BI99+BI128))</f>
        <v>4</v>
      </c>
      <c r="BJ19" s="28">
        <f>=IF(LEN(BJ82)=0,(BI19*(1-BI41))-BJ81+BJ99+BJ128,(BI19-BJ81+BJ99+BJ128))</f>
        <v>4</v>
      </c>
      <c r="BK19" s="28">
        <f>=IF(LEN(BK82)=0,(BJ19*(1-BJ41))-BK81+BK99+BK128,(BJ19-BK81+BK99+BK128))</f>
        <v>4</v>
      </c>
      <c r="BL19" s="28">
        <f>=IF(LEN(BL82)=0,(BK19*(1-BK41))-BL81+BL99+BL128,(BK19-BL81+BL99+BL128))</f>
        <v>4</v>
      </c>
      <c r="BM19" s="28">
        <f>=IF(LEN(BM82)=0,(BL19*(1-BL41))-BM81+BM99+BM128,(BL19-BM81+BM99+BM128))</f>
        <v>4</v>
      </c>
      <c r="BN19" s="28">
        <f>=IF(LEN(BN82)=0,(BM19*(1-BM41))-BN81+BN99+BN128,(BM19-BN81+BN99+BN128))</f>
        <v>4</v>
      </c>
      <c r="BO19" s="28">
        <f>=IF(LEN(BO82)=0,(BN19*(1-BN41))-BO81+BO99+BO128,(BN19-BO81+BO99+BO128))</f>
        <v>4</v>
      </c>
      <c r="BP19" s="28">
        <f>=IF(LEN(BP82)=0,(BO19*(1-BO41))-BP81+BP99+BP128,(BO19-BP81+BP99+BP128))</f>
        <v>0</v>
      </c>
      <c r="BQ19" s="28">
        <f>=IF(LEN(BQ82)=0,(BP19*(1-BP41))-BQ81+BQ99+BQ128,(BP19-BQ81+BQ99+BQ128))</f>
        <v>0</v>
      </c>
      <c r="BR19" s="28">
        <f>=IF(LEN(BR82)=0,(BQ19*(1-BQ41))-BR81+BR99+BR128,(BQ19-BR81+BR99+BR128))</f>
        <v>0</v>
      </c>
      <c r="BS19" s="28">
        <f>=IF(LEN(BS82)=0,(BR19*(1-BR41))-BS81+BS99+BS128,(BR19-BS81+BS99+BS128))</f>
        <v>0</v>
      </c>
      <c r="BT19" s="28">
        <f>=IF(LEN(BT82)=0,(BS19*(1-BS41))-BT81+BT99+BT128,(BS19-BT81+BT99+BT128))</f>
        <v>0</v>
      </c>
      <c r="BU19" s="28">
        <f>=IF(LEN(BU82)=0,(BT19*(1-BT41))-BU81+BU99+BU128,(BT19-BU81+BU99+BU128))</f>
        <v>0</v>
      </c>
      <c r="BV19" s="28">
        <f>=IF(LEN(BV82)=0,(BU19*(1-BU41))-BV81+BV99+BV128,(BU19-BV81+BV99+BV128))</f>
        <v>0</v>
      </c>
      <c r="BW19" s="28">
        <f>=IF(LEN(BW82)=0,(BV19*(1-BV41))-BW81+BW99+BW128,(BV19-BW81+BW99+BW128))</f>
        <v>0</v>
      </c>
      <c r="BX19" s="28">
        <f>=IF(LEN(BX82)=0,(BW19*(1-BW41))-BX81+BX99+BX128,(BW19-BX81+BX99+BX128))</f>
        <v>0</v>
      </c>
      <c r="BY19" s="28">
        <f>=IF(LEN(BY82)=0,(BX19*(1-BX41))-BY81+BY99+BY128,(BX19-BY81+BY99+BY128))</f>
        <v>0</v>
      </c>
      <c r="BZ19" s="28">
        <f>=IF(LEN(BZ82)=0,(BY19*(1-BY41))-BZ81+BZ99+BZ128,(BY19-BZ81+BZ99+BZ128))</f>
        <v>0</v>
      </c>
      <c r="CA19" s="28">
        <f>=IF(LEN(CA82)=0,(BZ19*(1-BZ41))-CA81+CA99+CA128,(BZ19-CA81+CA99+CA128))</f>
        <v>0</v>
      </c>
      <c r="CB19" s="28">
        <f>=IF(LEN(CB82)=0,(CA19*(1-CA41))-CB81+CB99+CB128,(CA19-CB81+CB99+CB128))</f>
        <v>0</v>
      </c>
      <c r="CC19" s="28">
        <f>=IF(LEN(CC82)=0,(CB19*(1-CB41))-CC81+CC99+CC128,(CB19-CC81+CC99+CC128))</f>
        <v>0</v>
      </c>
      <c r="CD19" s="28">
        <f>=IF(LEN(CD82)=0,(CC19*(1-CC41))-CD81+CD99+CD128,(CC19-CD81+CD99+CD128))</f>
        <v>0</v>
      </c>
      <c r="CE19" s="28">
        <f>=IF(LEN(CE82)=0,(CD19*(1-CD41))-CE81+CE99+CE128,(CD19-CE81+CE99+CE128))</f>
        <v>0</v>
      </c>
      <c r="CF19" s="28">
        <f>=IF(LEN(CF82)=0,(CE19*(1-CE41))-CF81+CF99+CF128,(CE19-CF81+CF99+CF128))</f>
        <v>0</v>
      </c>
      <c r="CG19" s="28">
        <f>=IF(LEN(CG82)=0,(CF19*(1-CF41))-CG81+CG99+CG128,(CF19-CG81+CG99+CG128))</f>
        <v>0</v>
      </c>
      <c r="CH19" s="28">
        <f>=IF(LEN(CH82)=0,(CG19*(1-CG41))-CH81+CH99+CH128,(CG19-CH81+CH99+CH128))</f>
        <v>0</v>
      </c>
      <c r="CI19" s="28">
        <f>=IF(LEN(CI82)=0,(CH19*(1-CH41))-CI81+CI99+CI128,(CH19-CI81+CI99+CI128))</f>
        <v>0</v>
      </c>
      <c r="CJ19" s="28">
        <f>=IF(LEN(CJ82)=0,(CI19*(1-CI41))-CJ81+CJ99+CJ128,(CI19-CJ81+CJ99+CJ128))</f>
        <v>0</v>
      </c>
      <c r="CK19" s="28">
        <f>=IF(LEN(CK82)=0,(CJ19*(1-CJ41))-CK81+CK99+CK128,(CJ19-CK81+CK99+CK128))</f>
        <v>0</v>
      </c>
      <c r="CL19" s="28">
        <f>=IF(LEN(CL82)=0,(CK19*(1-CK41))-CL81+CL99+CL128,(CK19-CL81+CL99+CL128))</f>
        <v>0</v>
      </c>
      <c r="CM19" s="28">
        <f>=IF(LEN(CM82)=0,(CL19*(1-CL41))-CM81+CM99+CM128,(CL19-CM81+CM99+CM128))</f>
        <v>0</v>
      </c>
      <c r="CN19" s="28">
        <f>=IF(LEN(CN82)=0,(CM19*(1-CM41))-CN81+CN99+CN128,(CM19-CN81+CN99+CN128))</f>
        <v>0</v>
      </c>
      <c r="CO19" s="28">
        <f>=IF(LEN(CO82)=0,(CN19*(1-CN41))-CO81+CO99+CO128,(CN19-CO81+CO99+CO128))</f>
        <v>0</v>
      </c>
      <c r="CP19" s="28">
        <f>=IF(LEN(CP82)=0,(CO19*(1-CO41))-CP81+CP99+CP128,(CO19-CP81+CP99+CP128))</f>
        <v>0</v>
      </c>
      <c r="CQ19" s="28">
        <f>=IF(LEN(CQ82)=0,(CP19*(1-CP41))-CQ81+CQ99+CQ128,(CP19-CQ81+CQ99+CQ128))</f>
        <v>0</v>
      </c>
      <c r="CR19" s="28">
        <f>=IF(LEN(CR82)=0,(CQ19*(1-CQ41))-CR81+CR99+CR128,(CQ19-CR81+CR99+CR128))</f>
        <v>0</v>
      </c>
      <c r="CS19" s="28">
        <f>=IF(LEN(CS82)=0,(CR19*(1-CR41))-CS81+CS99+CS128,(CR19-CS81+CS99+CS128))</f>
        <v>0</v>
      </c>
      <c r="CT19" s="28">
        <f>=IF(LEN(CT82)=0,(CS19*(1-CS41))-CT81+CT99+CT128,(CS19-CT81+CT99+CT128))</f>
        <v>0</v>
      </c>
      <c r="CU19" s="28">
        <f>=IF(LEN(CU82)=0,(CT19*(1-CT41))-CU81+CU99+CU128,(CT19-CU81+CU99+CU128))</f>
        <v>0</v>
      </c>
      <c r="CV19" s="28">
        <f>=IF(LEN(CV82)=0,(CU19*(1-CU41))-CV81+CV99+CV128,(CU19-CV81+CV99+CV128))</f>
        <v>0</v>
      </c>
      <c r="CW19" s="28">
        <f>=IF(LEN(CW82)=0,(CV19*(1-CV41))-CW81+CW99+CW128,(CV19-CW81+CW99+CW128))</f>
        <v>0</v>
      </c>
      <c r="CX19" s="28">
        <f>=IF(LEN(CX82)=0,(CW19*(1-CW41))-CX81+CX99+CX128,(CW19-CX81+CX99+CX128))</f>
        <v>0</v>
      </c>
      <c r="CY19" s="28">
        <f>=IF(LEN(CY82)=0,(CX19*(1-CX41))-CY81+CY99+CY128,(CX19-CY81+CY99+CY128))</f>
        <v>0</v>
      </c>
      <c r="CZ19" s="28">
        <f>=IF(LEN(CZ82)=0,(CY19*(1-CY41))-CZ81+CZ99+CZ128,(CY19-CZ81+CZ99+CZ128))</f>
        <v>0</v>
      </c>
      <c r="DA19" s="28">
        <f>=IF(LEN(DA82)=0,(CZ19*(1-CZ41))-DA81+DA99+DA128,(CZ19-DA81+DA99+DA128))</f>
        <v>0</v>
      </c>
      <c r="DB19" s="28">
        <f>=IF(LEN(DB82)=0,(DA19*(1-DA41))-DB81+DB99+DB128,(DA19-DB81+DB99+DB128))</f>
        <v>0</v>
      </c>
    </row>
    <row r="20" spans="1:106" x14ac:dyDescent="0.25">
      <c r="A20" s="27" t="s">
        <v>254</v>
      </c>
      <c r="C20" s="28">
        <f>=SUM(C119:C121)</f>
        <v>0</v>
      </c>
      <c r="D20" s="28">
        <f>=SUM(D119:D121)</f>
        <v>0</v>
      </c>
      <c r="E20" s="28">
        <f>=SUM(E119:E121)</f>
        <v>0</v>
      </c>
      <c r="F20" s="28">
        <f>=SUM(F119:F121)</f>
        <v>0</v>
      </c>
      <c r="G20" s="28">
        <f>=SUM(G119:G121)</f>
        <v>0</v>
      </c>
      <c r="H20" s="28">
        <f>=SUM(H119:H121)</f>
        <v>0</v>
      </c>
      <c r="I20" s="28">
        <f>=SUM(I119:I121)</f>
        <v>0</v>
      </c>
      <c r="J20" s="28">
        <f>=SUM(J119:J121)</f>
        <v>0</v>
      </c>
      <c r="K20" s="28">
        <f>=SUM(K119:K121)</f>
        <v>0</v>
      </c>
      <c r="L20" s="28">
        <f>=SUM(L119:L121)</f>
        <v>0</v>
      </c>
      <c r="M20" s="28">
        <f>=SUM(M119:M121)</f>
        <v>0</v>
      </c>
      <c r="N20" s="28">
        <f>=SUM(N119:N121)</f>
        <v>0</v>
      </c>
      <c r="O20" s="28">
        <f>=SUM(O119:O121)</f>
        <v>0</v>
      </c>
      <c r="P20" s="28">
        <f>=SUM(P119:P121)</f>
        <v>0</v>
      </c>
      <c r="Q20" s="28">
        <f>=SUM(Q119:Q121)</f>
        <v>0</v>
      </c>
      <c r="R20" s="28">
        <f>=SUM(R119:R121)</f>
        <v>0</v>
      </c>
      <c r="S20" s="28">
        <f>=SUM(S119:S121)</f>
        <v>0</v>
      </c>
      <c r="T20" s="28">
        <f>=SUM(T119:T121)</f>
        <v>0</v>
      </c>
      <c r="U20" s="28">
        <f>=SUM(U119:U121)</f>
        <v>0</v>
      </c>
      <c r="V20" s="28">
        <f>=SUM(V119:V121)</f>
        <v>0</v>
      </c>
      <c r="W20" s="28">
        <f>=SUM(W119:W121)</f>
        <v>0</v>
      </c>
      <c r="X20" s="28">
        <f>=SUM(X119:X121)</f>
        <v>0</v>
      </c>
      <c r="Y20" s="28">
        <f>=SUM(Y119:Y121)</f>
        <v>0</v>
      </c>
      <c r="Z20" s="28">
        <f>=SUM(Z119:Z121)</f>
        <v>0</v>
      </c>
      <c r="AA20" s="28">
        <f>=SUM(AA119:AA121)</f>
        <v>0</v>
      </c>
      <c r="AB20" s="28">
        <f>=SUM(AB119:AB121)</f>
        <v>0</v>
      </c>
      <c r="AC20" s="28">
        <f>=SUM(AC119:AC121)</f>
        <v>0</v>
      </c>
      <c r="AD20" s="28">
        <f>=SUM(AD119:AD121)</f>
        <v>0</v>
      </c>
      <c r="AE20" s="28">
        <f>=SUM(AE119:AE121)</f>
        <v>0</v>
      </c>
      <c r="AF20" s="28">
        <f>=SUM(AF119:AF121)</f>
        <v>0</v>
      </c>
      <c r="AG20" s="28">
        <f>=SUM(AG119:AG121)</f>
        <v>0</v>
      </c>
      <c r="AH20" s="28">
        <f>=SUM(AH119:AH121)</f>
        <v>0</v>
      </c>
      <c r="AI20" s="28">
        <f>=SUM(AI119:AI121)</f>
        <v>0</v>
      </c>
      <c r="AJ20" s="28">
        <f>=SUM(AJ119:AJ121)</f>
        <v>0</v>
      </c>
      <c r="AK20" s="28">
        <f>=SUM(AK119:AK121)</f>
        <v>0</v>
      </c>
      <c r="AL20" s="28">
        <f>=SUM(AL119:AL121)</f>
        <v>0</v>
      </c>
      <c r="AM20" s="28">
        <f>=SUM(AM119:AM121)</f>
        <v>0</v>
      </c>
      <c r="AN20" s="28">
        <f>=SUM(AN119:AN121)</f>
        <v>0</v>
      </c>
      <c r="AO20" s="28">
        <f>=SUM(AO119:AO121)</f>
        <v>0</v>
      </c>
      <c r="AP20" s="28">
        <f>=SUM(AP119:AP121)</f>
        <v>0</v>
      </c>
      <c r="AQ20" s="28">
        <f>=SUM(AQ119:AQ121)</f>
        <v>0</v>
      </c>
      <c r="AR20" s="28">
        <f>=SUM(AR119:AR121)</f>
        <v>0</v>
      </c>
      <c r="AS20" s="28">
        <f>=SUM(AS119:AS121)</f>
        <v>0</v>
      </c>
      <c r="AT20" s="28">
        <f>=SUM(AT119:AT121)</f>
        <v>0</v>
      </c>
      <c r="AU20" s="28">
        <f>=SUM(AU119:AU121)</f>
        <v>0</v>
      </c>
      <c r="AV20" s="28">
        <f>=SUM(AV119:AV121)</f>
        <v>0</v>
      </c>
      <c r="AW20" s="28">
        <f>=SUM(AW119:AW121)</f>
        <v>0</v>
      </c>
      <c r="AX20" s="28">
        <f>=SUM(AX119:AX121)</f>
        <v>0</v>
      </c>
      <c r="AY20" s="28">
        <f>=SUM(AY119:AY121)</f>
        <v>0</v>
      </c>
      <c r="AZ20" s="28">
        <f>=SUM(AZ119:AZ121)</f>
        <v>0</v>
      </c>
      <c r="BA20" s="28">
        <f>=SUM(BA119:BA121)</f>
        <v>0</v>
      </c>
      <c r="BB20" s="28">
        <f>=SUM(BB119:BB121)</f>
        <v>0</v>
      </c>
      <c r="BC20" s="28">
        <f>=SUM(BC119:BC121)</f>
        <v>0</v>
      </c>
      <c r="BD20" s="28">
        <f>=SUM(BD119:BD121)</f>
        <v>0</v>
      </c>
      <c r="BE20" s="28">
        <f>=SUM(BE119:BE121)</f>
        <v>0</v>
      </c>
      <c r="BF20" s="28">
        <f>=SUM(BF119:BF121)</f>
        <v>0</v>
      </c>
      <c r="BG20" s="28">
        <f>=SUM(BG119:BG121)</f>
        <v>0</v>
      </c>
      <c r="BH20" s="28">
        <f>=SUM(BH119:BH121)</f>
        <v>0</v>
      </c>
      <c r="BI20" s="28">
        <f>=SUM(BI119:BI121)</f>
        <v>0</v>
      </c>
      <c r="BJ20" s="28">
        <f>=SUM(BJ119:BJ121)</f>
        <v>0</v>
      </c>
      <c r="BK20" s="28">
        <f>=SUM(BK119:BK121)</f>
        <v>0</v>
      </c>
      <c r="BL20" s="28">
        <f>=SUM(BL119:BL121)</f>
        <v>0</v>
      </c>
      <c r="BM20" s="28">
        <f>=SUM(BM119:BM121)</f>
        <v>0</v>
      </c>
      <c r="BN20" s="28">
        <f>=SUM(BN119:BN121)</f>
        <v>0</v>
      </c>
      <c r="BO20" s="28">
        <f>=SUM(BO119:BO121)</f>
        <v>0</v>
      </c>
      <c r="BP20" s="28">
        <f>=SUM(BP119:BP121)</f>
        <v>0</v>
      </c>
      <c r="BQ20" s="28">
        <f>=SUM(BQ119:BQ121)</f>
        <v>0</v>
      </c>
      <c r="BR20" s="28">
        <f>=SUM(BR119:BR121)</f>
        <v>0</v>
      </c>
      <c r="BS20" s="28">
        <f>=SUM(BS119:BS121)</f>
        <v>0</v>
      </c>
      <c r="BT20" s="28">
        <f>=SUM(BT119:BT121)</f>
        <v>0</v>
      </c>
      <c r="BU20" s="28">
        <f>=SUM(BU119:BU121)</f>
        <v>0</v>
      </c>
      <c r="BV20" s="28">
        <f>=SUM(BV119:BV121)</f>
        <v>0</v>
      </c>
      <c r="BW20" s="28">
        <f>=SUM(BW119:BW121)</f>
        <v>0</v>
      </c>
      <c r="BX20" s="28">
        <f>=SUM(BX119:BX121)</f>
        <v>0</v>
      </c>
      <c r="BY20" s="28">
        <f>=SUM(BY119:BY121)</f>
        <v>0</v>
      </c>
      <c r="BZ20" s="28">
        <f>=SUM(BZ119:BZ121)</f>
        <v>0</v>
      </c>
      <c r="CA20" s="28">
        <f>=SUM(CA119:CA121)</f>
        <v>0</v>
      </c>
      <c r="CB20" s="28">
        <f>=SUM(CB119:CB121)</f>
        <v>0</v>
      </c>
      <c r="CC20" s="28">
        <f>=SUM(CC119:CC121)</f>
        <v>0</v>
      </c>
      <c r="CD20" s="28">
        <f>=SUM(CD119:CD121)</f>
        <v>0</v>
      </c>
      <c r="CE20" s="28">
        <f>=SUM(CE119:CE121)</f>
        <v>0</v>
      </c>
      <c r="CF20" s="28">
        <f>=SUM(CF119:CF121)</f>
        <v>0</v>
      </c>
      <c r="CG20" s="28">
        <f>=SUM(CG119:CG121)</f>
        <v>0</v>
      </c>
      <c r="CH20" s="28">
        <f>=SUM(CH119:CH121)</f>
        <v>0</v>
      </c>
      <c r="CI20" s="28">
        <f>=SUM(CI119:CI121)</f>
        <v>0</v>
      </c>
      <c r="CJ20" s="28">
        <f>=SUM(CJ119:CJ121)</f>
        <v>0</v>
      </c>
      <c r="CK20" s="28">
        <f>=SUM(CK119:CK121)</f>
        <v>0</v>
      </c>
      <c r="CL20" s="28">
        <f>=SUM(CL119:CL121)</f>
        <v>0</v>
      </c>
      <c r="CM20" s="28">
        <f>=SUM(CM119:CM121)</f>
        <v>0</v>
      </c>
      <c r="CN20" s="28">
        <f>=SUM(CN119:CN121)</f>
        <v>0</v>
      </c>
      <c r="CO20" s="28">
        <f>=SUM(CO119:CO121)</f>
        <v>0</v>
      </c>
      <c r="CP20" s="28">
        <f>=SUM(CP119:CP121)</f>
        <v>0</v>
      </c>
      <c r="CQ20" s="28">
        <f>=SUM(CQ119:CQ121)</f>
        <v>0</v>
      </c>
      <c r="CR20" s="28">
        <f>=SUM(CR119:CR121)</f>
        <v>0</v>
      </c>
      <c r="CS20" s="28">
        <f>=SUM(CS119:CS121)</f>
        <v>0</v>
      </c>
      <c r="CT20" s="28">
        <f>=SUM(CT119:CT121)</f>
        <v>0</v>
      </c>
      <c r="CU20" s="28">
        <f>=SUM(CU119:CU121)</f>
        <v>0</v>
      </c>
      <c r="CV20" s="28">
        <f>=SUM(CV119:CV121)</f>
        <v>0</v>
      </c>
      <c r="CW20" s="28">
        <f>=SUM(CW119:CW121)</f>
        <v>0</v>
      </c>
      <c r="CX20" s="28">
        <f>=SUM(CX119:CX121)</f>
        <v>0</v>
      </c>
      <c r="CY20" s="28">
        <f>=SUM(CY119:CY121)</f>
        <v>0</v>
      </c>
      <c r="CZ20" s="28">
        <f>=SUM(CZ119:CZ121)</f>
        <v>0</v>
      </c>
      <c r="DA20" s="28">
        <f>=SUM(DA119:DA121)</f>
        <v>0</v>
      </c>
      <c r="DB20" s="28">
        <f>=SUM(DB119:DB121)</f>
        <v>0</v>
      </c>
    </row>
    <row r="21" spans="1:106" x14ac:dyDescent="0.25">
      <c r="A21" s="27" t="s">
        <v>255</v>
      </c>
      <c r="C21" s="28">
        <f>=SUM(C122:C123)</f>
        <v>0</v>
      </c>
      <c r="D21" s="28">
        <f>=SUM(D122:D123)</f>
        <v>0</v>
      </c>
      <c r="E21" s="28">
        <f>=SUM(E122:E123)</f>
        <v>0</v>
      </c>
      <c r="F21" s="28">
        <f>=SUM(F122:F123)</f>
        <v>0</v>
      </c>
      <c r="G21" s="28">
        <f>=SUM(G122:G123)</f>
        <v>0</v>
      </c>
      <c r="H21" s="28">
        <f>=SUM(H122:H123)</f>
        <v>0</v>
      </c>
      <c r="I21" s="28">
        <f>=SUM(I122:I123)</f>
        <v>0</v>
      </c>
      <c r="J21" s="28">
        <f>=SUM(J122:J123)</f>
        <v>0</v>
      </c>
      <c r="K21" s="28">
        <f>=SUM(K122:K123)</f>
        <v>0</v>
      </c>
      <c r="L21" s="28">
        <f>=SUM(L122:L123)</f>
        <v>0</v>
      </c>
      <c r="M21" s="28">
        <f>=SUM(M122:M123)</f>
        <v>0</v>
      </c>
      <c r="N21" s="28">
        <f>=SUM(N122:N123)</f>
        <v>0</v>
      </c>
      <c r="O21" s="28">
        <f>=SUM(O122:O123)</f>
        <v>0</v>
      </c>
      <c r="P21" s="28">
        <f>=SUM(P122:P123)</f>
        <v>0</v>
      </c>
      <c r="Q21" s="28">
        <f>=SUM(Q122:Q123)</f>
        <v>0</v>
      </c>
      <c r="R21" s="28">
        <f>=SUM(R122:R123)</f>
        <v>0</v>
      </c>
      <c r="S21" s="28">
        <f>=SUM(S122:S123)</f>
        <v>0</v>
      </c>
      <c r="T21" s="28">
        <f>=SUM(T122:T123)</f>
        <v>0</v>
      </c>
      <c r="U21" s="28">
        <f>=SUM(U122:U123)</f>
        <v>0</v>
      </c>
      <c r="V21" s="28">
        <f>=SUM(V122:V123)</f>
        <v>0</v>
      </c>
      <c r="W21" s="28">
        <f>=SUM(W122:W123)</f>
        <v>0</v>
      </c>
      <c r="X21" s="28">
        <f>=SUM(X122:X123)</f>
        <v>0</v>
      </c>
      <c r="Y21" s="28">
        <f>=SUM(Y122:Y123)</f>
        <v>0</v>
      </c>
      <c r="Z21" s="28">
        <f>=SUM(Z122:Z123)</f>
        <v>0</v>
      </c>
      <c r="AA21" s="28">
        <f>=SUM(AA122:AA123)</f>
        <v>0</v>
      </c>
      <c r="AB21" s="28">
        <f>=SUM(AB122:AB123)</f>
        <v>0</v>
      </c>
      <c r="AC21" s="28">
        <f>=SUM(AC122:AC123)</f>
        <v>0</v>
      </c>
      <c r="AD21" s="28">
        <f>=SUM(AD122:AD123)</f>
        <v>0</v>
      </c>
      <c r="AE21" s="28">
        <f>=SUM(AE122:AE123)</f>
        <v>0</v>
      </c>
      <c r="AF21" s="28">
        <f>=SUM(AF122:AF123)</f>
        <v>0</v>
      </c>
      <c r="AG21" s="28">
        <f>=SUM(AG122:AG123)</f>
        <v>0</v>
      </c>
      <c r="AH21" s="28">
        <f>=SUM(AH122:AH123)</f>
        <v>0</v>
      </c>
      <c r="AI21" s="28">
        <f>=SUM(AI122:AI123)</f>
        <v>0</v>
      </c>
      <c r="AJ21" s="28">
        <f>=SUM(AJ122:AJ123)</f>
        <v>0</v>
      </c>
      <c r="AK21" s="28">
        <f>=SUM(AK122:AK123)</f>
        <v>0</v>
      </c>
      <c r="AL21" s="28">
        <f>=SUM(AL122:AL123)</f>
        <v>0</v>
      </c>
      <c r="AM21" s="28">
        <f>=SUM(AM122:AM123)</f>
        <v>0</v>
      </c>
      <c r="AN21" s="28">
        <f>=SUM(AN122:AN123)</f>
        <v>0</v>
      </c>
      <c r="AO21" s="28">
        <f>=SUM(AO122:AO123)</f>
        <v>0</v>
      </c>
      <c r="AP21" s="28">
        <f>=SUM(AP122:AP123)</f>
        <v>0</v>
      </c>
      <c r="AQ21" s="28">
        <f>=SUM(AQ122:AQ123)</f>
        <v>0</v>
      </c>
      <c r="AR21" s="28">
        <f>=SUM(AR122:AR123)</f>
        <v>0</v>
      </c>
      <c r="AS21" s="28">
        <f>=SUM(AS122:AS123)</f>
        <v>0</v>
      </c>
      <c r="AT21" s="28">
        <f>=SUM(AT122:AT123)</f>
        <v>0</v>
      </c>
      <c r="AU21" s="28">
        <f>=SUM(AU122:AU123)</f>
        <v>0</v>
      </c>
      <c r="AV21" s="28">
        <f>=SUM(AV122:AV123)</f>
        <v>0</v>
      </c>
      <c r="AW21" s="28">
        <f>=SUM(AW122:AW123)</f>
        <v>0</v>
      </c>
      <c r="AX21" s="28">
        <f>=SUM(AX122:AX123)</f>
        <v>0</v>
      </c>
      <c r="AY21" s="28">
        <f>=SUM(AY122:AY123)</f>
        <v>0</v>
      </c>
      <c r="AZ21" s="28">
        <f>=SUM(AZ122:AZ123)</f>
        <v>0</v>
      </c>
      <c r="BA21" s="28">
        <f>=SUM(BA122:BA123)</f>
        <v>0</v>
      </c>
      <c r="BB21" s="28">
        <f>=SUM(BB122:BB123)</f>
        <v>0</v>
      </c>
      <c r="BC21" s="28">
        <f>=SUM(BC122:BC123)</f>
        <v>0</v>
      </c>
      <c r="BD21" s="28">
        <f>=SUM(BD122:BD123)</f>
        <v>0</v>
      </c>
      <c r="BE21" s="28">
        <f>=SUM(BE122:BE123)</f>
        <v>0</v>
      </c>
      <c r="BF21" s="28">
        <f>=SUM(BF122:BF123)</f>
        <v>0</v>
      </c>
      <c r="BG21" s="28">
        <f>=SUM(BG122:BG123)</f>
        <v>0</v>
      </c>
      <c r="BH21" s="28">
        <f>=SUM(BH122:BH123)</f>
        <v>0</v>
      </c>
      <c r="BI21" s="28">
        <f>=SUM(BI122:BI123)</f>
        <v>0</v>
      </c>
      <c r="BJ21" s="28">
        <f>=SUM(BJ122:BJ123)</f>
        <v>0</v>
      </c>
      <c r="BK21" s="28">
        <f>=SUM(BK122:BK123)</f>
        <v>0</v>
      </c>
      <c r="BL21" s="28">
        <f>=SUM(BL122:BL123)</f>
        <v>0</v>
      </c>
      <c r="BM21" s="28">
        <f>=SUM(BM122:BM123)</f>
        <v>0</v>
      </c>
      <c r="BN21" s="28">
        <f>=SUM(BN122:BN123)</f>
        <v>0</v>
      </c>
      <c r="BO21" s="28">
        <f>=SUM(BO122:BO123)</f>
        <v>0</v>
      </c>
      <c r="BP21" s="28">
        <f>=SUM(BP122:BP123)</f>
        <v>0</v>
      </c>
      <c r="BQ21" s="28">
        <f>=SUM(BQ122:BQ123)</f>
        <v>0</v>
      </c>
      <c r="BR21" s="28">
        <f>=SUM(BR122:BR123)</f>
        <v>0</v>
      </c>
      <c r="BS21" s="28">
        <f>=SUM(BS122:BS123)</f>
        <v>0</v>
      </c>
      <c r="BT21" s="28">
        <f>=SUM(BT122:BT123)</f>
        <v>0</v>
      </c>
      <c r="BU21" s="28">
        <f>=SUM(BU122:BU123)</f>
        <v>0</v>
      </c>
      <c r="BV21" s="28">
        <f>=SUM(BV122:BV123)</f>
        <v>0</v>
      </c>
      <c r="BW21" s="28">
        <f>=SUM(BW122:BW123)</f>
        <v>0</v>
      </c>
      <c r="BX21" s="28">
        <f>=SUM(BX122:BX123)</f>
        <v>0</v>
      </c>
      <c r="BY21" s="28">
        <f>=SUM(BY122:BY123)</f>
        <v>0</v>
      </c>
      <c r="BZ21" s="28">
        <f>=SUM(BZ122:BZ123)</f>
        <v>0</v>
      </c>
      <c r="CA21" s="28">
        <f>=SUM(CA122:CA123)</f>
        <v>0</v>
      </c>
      <c r="CB21" s="28">
        <f>=SUM(CB122:CB123)</f>
        <v>0</v>
      </c>
      <c r="CC21" s="28">
        <f>=SUM(CC122:CC123)</f>
        <v>0</v>
      </c>
      <c r="CD21" s="28">
        <f>=SUM(CD122:CD123)</f>
        <v>0</v>
      </c>
      <c r="CE21" s="28">
        <f>=SUM(CE122:CE123)</f>
        <v>0</v>
      </c>
      <c r="CF21" s="28">
        <f>=SUM(CF122:CF123)</f>
        <v>0</v>
      </c>
      <c r="CG21" s="28">
        <f>=SUM(CG122:CG123)</f>
        <v>0</v>
      </c>
      <c r="CH21" s="28">
        <f>=SUM(CH122:CH123)</f>
        <v>0</v>
      </c>
      <c r="CI21" s="28">
        <f>=SUM(CI122:CI123)</f>
        <v>0</v>
      </c>
      <c r="CJ21" s="28">
        <f>=SUM(CJ122:CJ123)</f>
        <v>0</v>
      </c>
      <c r="CK21" s="28">
        <f>=SUM(CK122:CK123)</f>
        <v>0</v>
      </c>
      <c r="CL21" s="28">
        <f>=SUM(CL122:CL123)</f>
        <v>0</v>
      </c>
      <c r="CM21" s="28">
        <f>=SUM(CM122:CM123)</f>
        <v>0</v>
      </c>
      <c r="CN21" s="28">
        <f>=SUM(CN122:CN123)</f>
        <v>0</v>
      </c>
      <c r="CO21" s="28">
        <f>=SUM(CO122:CO123)</f>
        <v>0</v>
      </c>
      <c r="CP21" s="28">
        <f>=SUM(CP122:CP123)</f>
        <v>0</v>
      </c>
      <c r="CQ21" s="28">
        <f>=SUM(CQ122:CQ123)</f>
        <v>0</v>
      </c>
      <c r="CR21" s="28">
        <f>=SUM(CR122:CR123)</f>
        <v>0</v>
      </c>
      <c r="CS21" s="28">
        <f>=SUM(CS122:CS123)</f>
        <v>0</v>
      </c>
      <c r="CT21" s="28">
        <f>=SUM(CT122:CT123)</f>
        <v>0</v>
      </c>
      <c r="CU21" s="28">
        <f>=SUM(CU122:CU123)</f>
        <v>0</v>
      </c>
      <c r="CV21" s="28">
        <f>=SUM(CV122:CV123)</f>
        <v>0</v>
      </c>
      <c r="CW21" s="28">
        <f>=SUM(CW122:CW123)</f>
        <v>0</v>
      </c>
      <c r="CX21" s="28">
        <f>=SUM(CX122:CX123)</f>
        <v>0</v>
      </c>
      <c r="CY21" s="28">
        <f>=SUM(CY122:CY123)</f>
        <v>0</v>
      </c>
      <c r="CZ21" s="28">
        <f>=SUM(CZ122:CZ123)</f>
        <v>0</v>
      </c>
      <c r="DA21" s="28">
        <f>=SUM(DA122:DA123)</f>
        <v>0</v>
      </c>
      <c r="DB21" s="28">
        <f>=SUM(DB122:DB123)</f>
        <v>0</v>
      </c>
    </row>
    <row r="22" spans="1:106" x14ac:dyDescent="0.25">
      <c r="A22" s="27" t="s">
        <v>256</v>
      </c>
      <c r="C22" s="28">
        <f>=SUM(C124:C125)</f>
        <v>0</v>
      </c>
      <c r="D22" s="28">
        <f>=SUM(D124:D125)</f>
        <v>0</v>
      </c>
      <c r="E22" s="28">
        <f>=SUM(E124:E125)</f>
        <v>0</v>
      </c>
      <c r="F22" s="28">
        <f>=SUM(F124:F125)</f>
        <v>0</v>
      </c>
      <c r="G22" s="28">
        <f>=SUM(G124:G125)</f>
        <v>0</v>
      </c>
      <c r="H22" s="28">
        <f>=SUM(H124:H125)</f>
        <v>0</v>
      </c>
      <c r="I22" s="28">
        <v>0</v>
      </c>
      <c r="J22" s="28">
        <f>=SUM(J124:J125)</f>
        <v>0</v>
      </c>
      <c r="K22" s="28">
        <f>=SUM(K124:K125)</f>
        <v>0</v>
      </c>
      <c r="L22" s="28">
        <f>=SUM(L124:L125)</f>
        <v>0</v>
      </c>
      <c r="M22" s="28">
        <f>=SUM(M124:M125)</f>
        <v>0</v>
      </c>
      <c r="N22" s="28">
        <f>=SUM(N124:N125)</f>
        <v>0</v>
      </c>
      <c r="O22" s="28">
        <f>=SUM(O124:O125)</f>
        <v>0</v>
      </c>
      <c r="P22" s="28">
        <f>=SUM(P124:P125)</f>
        <v>0</v>
      </c>
      <c r="Q22" s="28">
        <f>=SUM(Q124:Q125)</f>
        <v>0</v>
      </c>
      <c r="R22" s="28">
        <f>=SUM(R124:R125)</f>
        <v>0</v>
      </c>
      <c r="S22" s="28">
        <f>=SUM(S124:S125)</f>
        <v>0</v>
      </c>
      <c r="T22" s="28">
        <f>=SUM(T124:T125)</f>
        <v>0</v>
      </c>
      <c r="U22" s="28">
        <f>=SUM(U124:U125)</f>
        <v>0</v>
      </c>
      <c r="V22" s="28">
        <f>=SUM(V124:V125)</f>
        <v>0</v>
      </c>
      <c r="W22" s="28">
        <f>=SUM(W124:W125)</f>
        <v>0</v>
      </c>
      <c r="X22" s="28">
        <f>=SUM(X124:X125)</f>
        <v>0</v>
      </c>
      <c r="Y22" s="28">
        <f>=SUM(Y124:Y125)</f>
        <v>0</v>
      </c>
      <c r="Z22" s="28">
        <f>=SUM(Z124:Z125)</f>
        <v>0</v>
      </c>
      <c r="AA22" s="28">
        <f>=SUM(AA124:AA125)</f>
        <v>0</v>
      </c>
      <c r="AB22" s="28">
        <f>=SUM(AB124:AB125)</f>
        <v>0</v>
      </c>
      <c r="AC22" s="28">
        <f>=SUM(AC124:AC125)</f>
        <v>0</v>
      </c>
      <c r="AD22" s="28">
        <f>=SUM(AD124:AD125)</f>
        <v>0</v>
      </c>
      <c r="AE22" s="28">
        <f>=SUM(AE124:AE125)</f>
        <v>0</v>
      </c>
      <c r="AF22" s="28">
        <f>=SUM(AF124:AF125)</f>
        <v>0</v>
      </c>
      <c r="AG22" s="28">
        <f>=SUM(AG124:AG125)</f>
        <v>0</v>
      </c>
      <c r="AH22" s="28">
        <f>=SUM(AH124:AH125)</f>
        <v>0</v>
      </c>
      <c r="AI22" s="28">
        <f>=SUM(AI124:AI125)</f>
        <v>0</v>
      </c>
      <c r="AJ22" s="28">
        <f>=SUM(AJ124:AJ125)</f>
        <v>0</v>
      </c>
      <c r="AK22" s="28">
        <f>=SUM(AK124:AK125)</f>
        <v>0</v>
      </c>
      <c r="AL22" s="28">
        <f>=SUM(AL124:AL125)</f>
        <v>0</v>
      </c>
      <c r="AM22" s="28">
        <f>=SUM(AM124:AM125)</f>
        <v>0</v>
      </c>
      <c r="AN22" s="28">
        <f>=SUM(AN124:AN125)</f>
        <v>0</v>
      </c>
      <c r="AO22" s="28">
        <f>=SUM(AO124:AO125)</f>
        <v>0</v>
      </c>
      <c r="AP22" s="28">
        <f>=SUM(AP124:AP125)</f>
        <v>0</v>
      </c>
      <c r="AQ22" s="28">
        <f>=SUM(AQ124:AQ125)</f>
        <v>0</v>
      </c>
      <c r="AR22" s="28">
        <f>=SUM(AR124:AR125)</f>
        <v>0</v>
      </c>
      <c r="AS22" s="28">
        <f>=SUM(AS124:AS125)</f>
        <v>0</v>
      </c>
      <c r="AT22" s="28">
        <f>=SUM(AT124:AT125)</f>
        <v>0</v>
      </c>
      <c r="AU22" s="28">
        <f>=SUM(AU124:AU125)</f>
        <v>0</v>
      </c>
      <c r="AV22" s="28">
        <f>=SUM(AV124:AV125)</f>
        <v>0</v>
      </c>
      <c r="AW22" s="28">
        <f>=SUM(AW124:AW125)</f>
        <v>0</v>
      </c>
      <c r="AX22" s="28">
        <f>=SUM(AX124:AX125)</f>
        <v>0</v>
      </c>
      <c r="AY22" s="28">
        <f>=SUM(AY124:AY125)</f>
        <v>0</v>
      </c>
      <c r="AZ22" s="28">
        <f>=SUM(AZ124:AZ125)</f>
        <v>0</v>
      </c>
      <c r="BA22" s="28">
        <f>=SUM(BA124:BA125)</f>
        <v>0</v>
      </c>
      <c r="BB22" s="28">
        <f>=SUM(BB124:BB125)</f>
        <v>0</v>
      </c>
      <c r="BC22" s="28">
        <f>=SUM(BC124:BC125)</f>
        <v>0</v>
      </c>
      <c r="BD22" s="28">
        <f>=SUM(BD124:BD125)</f>
        <v>0</v>
      </c>
      <c r="BE22" s="28">
        <f>=SUM(BE124:BE125)</f>
        <v>0</v>
      </c>
      <c r="BF22" s="28">
        <f>=SUM(BF124:BF125)</f>
        <v>0</v>
      </c>
      <c r="BG22" s="28">
        <f>=SUM(BG124:BG125)</f>
        <v>0</v>
      </c>
      <c r="BH22" s="28">
        <f>=SUM(BH124:BH125)</f>
        <v>0</v>
      </c>
      <c r="BI22" s="28">
        <f>=SUM(BI124:BI125)</f>
        <v>0</v>
      </c>
      <c r="BJ22" s="28">
        <f>=SUM(BJ124:BJ125)</f>
        <v>0</v>
      </c>
      <c r="BK22" s="28">
        <f>=SUM(BK124:BK125)</f>
        <v>0</v>
      </c>
      <c r="BL22" s="28">
        <f>=SUM(BL124:BL125)</f>
        <v>0</v>
      </c>
      <c r="BM22" s="28">
        <f>=SUM(BM124:BM125)</f>
        <v>0</v>
      </c>
      <c r="BN22" s="28">
        <f>=SUM(BN124:BN125)</f>
        <v>0</v>
      </c>
      <c r="BO22" s="28">
        <f>=SUM(BO124:BO125)</f>
        <v>0</v>
      </c>
      <c r="BP22" s="28">
        <f>=SUM(BP124:BP125)</f>
        <v>0</v>
      </c>
      <c r="BQ22" s="28">
        <f>=SUM(BQ124:BQ125)</f>
        <v>0</v>
      </c>
      <c r="BR22" s="28">
        <f>=SUM(BR124:BR125)</f>
        <v>0</v>
      </c>
      <c r="BS22" s="28">
        <f>=SUM(BS124:BS125)</f>
        <v>0</v>
      </c>
      <c r="BT22" s="28">
        <f>=SUM(BT124:BT125)</f>
        <v>0</v>
      </c>
      <c r="BU22" s="28">
        <f>=SUM(BU124:BU125)</f>
        <v>0</v>
      </c>
      <c r="BV22" s="28">
        <f>=SUM(BV124:BV125)</f>
        <v>0</v>
      </c>
      <c r="BW22" s="28">
        <f>=SUM(BW124:BW125)</f>
        <v>0</v>
      </c>
      <c r="BX22" s="28">
        <f>=SUM(BX124:BX125)</f>
        <v>0</v>
      </c>
      <c r="BY22" s="28">
        <f>=SUM(BY124:BY125)</f>
        <v>0</v>
      </c>
      <c r="BZ22" s="28">
        <f>=SUM(BZ124:BZ125)</f>
        <v>0</v>
      </c>
      <c r="CA22" s="28">
        <f>=SUM(CA124:CA125)</f>
        <v>0</v>
      </c>
      <c r="CB22" s="28">
        <f>=SUM(CB124:CB125)</f>
        <v>0</v>
      </c>
      <c r="CC22" s="28">
        <f>=SUM(CC124:CC125)</f>
        <v>0</v>
      </c>
      <c r="CD22" s="28">
        <f>=SUM(CD124:CD125)</f>
        <v>0</v>
      </c>
      <c r="CE22" s="28">
        <f>=SUM(CE124:CE125)</f>
        <v>0</v>
      </c>
      <c r="CF22" s="28">
        <f>=SUM(CF124:CF125)</f>
        <v>0</v>
      </c>
      <c r="CG22" s="28">
        <f>=SUM(CG124:CG125)</f>
        <v>0</v>
      </c>
      <c r="CH22" s="28">
        <f>=SUM(CH124:CH125)</f>
        <v>0</v>
      </c>
      <c r="CI22" s="28">
        <f>=SUM(CI124:CI125)</f>
        <v>0</v>
      </c>
      <c r="CJ22" s="28">
        <f>=SUM(CJ124:CJ125)</f>
        <v>0</v>
      </c>
      <c r="CK22" s="28">
        <f>=SUM(CK124:CK125)</f>
        <v>0</v>
      </c>
      <c r="CL22" s="28">
        <f>=SUM(CL124:CL125)</f>
        <v>0</v>
      </c>
      <c r="CM22" s="28">
        <f>=SUM(CM124:CM125)</f>
        <v>0</v>
      </c>
      <c r="CN22" s="28">
        <f>=SUM(CN124:CN125)</f>
        <v>0</v>
      </c>
      <c r="CO22" s="28">
        <f>=SUM(CO124:CO125)</f>
        <v>0</v>
      </c>
      <c r="CP22" s="28">
        <f>=SUM(CP124:CP125)</f>
        <v>0</v>
      </c>
      <c r="CQ22" s="28">
        <f>=SUM(CQ124:CQ125)</f>
        <v>0</v>
      </c>
      <c r="CR22" s="28">
        <f>=SUM(CR124:CR125)</f>
        <v>0</v>
      </c>
      <c r="CS22" s="28">
        <f>=SUM(CS124:CS125)</f>
        <v>0</v>
      </c>
      <c r="CT22" s="28">
        <f>=SUM(CT124:CT125)</f>
        <v>0</v>
      </c>
      <c r="CU22" s="28">
        <f>=SUM(CU124:CU125)</f>
        <v>0</v>
      </c>
      <c r="CV22" s="28">
        <f>=SUM(CV124:CV125)</f>
        <v>0</v>
      </c>
      <c r="CW22" s="28">
        <f>=SUM(CW124:CW125)</f>
        <v>0</v>
      </c>
      <c r="CX22" s="28">
        <f>=SUM(CX124:CX125)</f>
        <v>0</v>
      </c>
      <c r="CY22" s="28">
        <f>=SUM(CY124:CY125)</f>
        <v>0</v>
      </c>
      <c r="CZ22" s="28">
        <f>=SUM(CZ124:CZ125)</f>
        <v>0</v>
      </c>
      <c r="DA22" s="28">
        <f>=SUM(DA124:DA125)</f>
        <v>0</v>
      </c>
      <c r="DB22" s="28">
        <f>=SUM(DB124:DB125)</f>
        <v>0</v>
      </c>
    </row>
    <row r="23" spans="1:106" x14ac:dyDescent="0.25">
      <c r="A23" s="27" t="s">
        <v>257</v>
      </c>
      <c r="C23" s="28">
        <f>=SUM(C126:C127)</f>
        <v>0</v>
      </c>
      <c r="D23" s="28">
        <f>=SUM(D126:D127)</f>
        <v>0</v>
      </c>
      <c r="E23" s="28">
        <f>=SUM(E126:E127)</f>
        <v>0</v>
      </c>
      <c r="F23" s="28">
        <f>=SUM(F126:F127)</f>
        <v>0</v>
      </c>
      <c r="G23" s="28">
        <f>=SUM(G126:G127)</f>
        <v>0</v>
      </c>
      <c r="H23" s="28">
        <f>=SUM(H126:H127)</f>
        <v>0</v>
      </c>
      <c r="I23" s="28">
        <f>=SUM(I126:I127)</f>
        <v>0</v>
      </c>
      <c r="J23" s="28">
        <f>=SUM(J126:J127)</f>
        <v>0</v>
      </c>
      <c r="K23" s="28">
        <f>=SUM(K126:K127)</f>
        <v>0</v>
      </c>
      <c r="L23" s="28">
        <f>=SUM(L126:L127)</f>
        <v>0</v>
      </c>
      <c r="M23" s="28">
        <f>=SUM(M126:M127)</f>
        <v>0</v>
      </c>
      <c r="N23" s="28">
        <f>=SUM(N126:N127)</f>
        <v>0</v>
      </c>
      <c r="O23" s="28">
        <f>=SUM(O126:O127)</f>
        <v>0</v>
      </c>
      <c r="P23" s="28">
        <f>=SUM(P126:P127)</f>
        <v>0</v>
      </c>
      <c r="Q23" s="28">
        <f>=SUM(Q126:Q127)</f>
        <v>0</v>
      </c>
      <c r="R23" s="28">
        <f>=SUM(R126:R127)</f>
        <v>0</v>
      </c>
      <c r="S23" s="28">
        <f>=SUM(S126:S127)</f>
        <v>0</v>
      </c>
      <c r="T23" s="28">
        <f>=SUM(T126:T127)</f>
        <v>0</v>
      </c>
      <c r="U23" s="28">
        <f>=SUM(U126:U127)</f>
        <v>0</v>
      </c>
      <c r="V23" s="28">
        <f>=SUM(V126:V127)</f>
        <v>0</v>
      </c>
      <c r="W23" s="28">
        <f>=SUM(W126:W127)</f>
        <v>0</v>
      </c>
      <c r="X23" s="28">
        <f>=SUM(X126:X127)</f>
        <v>0</v>
      </c>
      <c r="Y23" s="28">
        <f>=SUM(Y126:Y127)</f>
        <v>0</v>
      </c>
      <c r="Z23" s="28">
        <f>=SUM(Z126:Z127)</f>
        <v>0</v>
      </c>
      <c r="AA23" s="28">
        <f>=SUM(AA126:AA127)</f>
        <v>0</v>
      </c>
      <c r="AB23" s="28">
        <f>=SUM(AB126:AB127)</f>
        <v>0</v>
      </c>
      <c r="AC23" s="28">
        <f>=SUM(AC126:AC127)</f>
        <v>0</v>
      </c>
      <c r="AD23" s="28">
        <f>=SUM(AD126:AD127)</f>
        <v>0</v>
      </c>
      <c r="AE23" s="28">
        <f>=SUM(AE126:AE127)</f>
        <v>0</v>
      </c>
      <c r="AF23" s="28">
        <f>=SUM(AF126:AF127)</f>
        <v>0</v>
      </c>
      <c r="AG23" s="28">
        <f>=SUM(AG126:AG127)</f>
        <v>0</v>
      </c>
      <c r="AH23" s="28">
        <f>=SUM(AH126:AH127)</f>
        <v>0</v>
      </c>
      <c r="AI23" s="28">
        <f>=SUM(AI126:AI127)</f>
        <v>0</v>
      </c>
      <c r="AJ23" s="28">
        <f>=SUM(AJ126:AJ127)</f>
        <v>0</v>
      </c>
      <c r="AK23" s="28">
        <f>=SUM(AK126:AK127)</f>
        <v>0</v>
      </c>
      <c r="AL23" s="28">
        <f>=SUM(AL126:AL127)</f>
        <v>0</v>
      </c>
      <c r="AM23" s="28">
        <f>=SUM(AM126:AM127)</f>
        <v>0</v>
      </c>
      <c r="AN23" s="28">
        <f>=SUM(AN126:AN127)</f>
        <v>0</v>
      </c>
      <c r="AO23" s="28">
        <f>=SUM(AO126:AO127)</f>
        <v>0</v>
      </c>
      <c r="AP23" s="28">
        <f>=SUM(AP126:AP127)</f>
        <v>0</v>
      </c>
      <c r="AQ23" s="28">
        <f>=SUM(AQ126:AQ127)</f>
        <v>0</v>
      </c>
      <c r="AR23" s="28">
        <f>=SUM(AR126:AR127)</f>
        <v>0</v>
      </c>
      <c r="AS23" s="28">
        <f>=SUM(AS126:AS127)</f>
        <v>0</v>
      </c>
      <c r="AT23" s="28">
        <f>=SUM(AT126:AT127)</f>
        <v>0</v>
      </c>
      <c r="AU23" s="28">
        <f>=SUM(AU126:AU127)</f>
        <v>0</v>
      </c>
      <c r="AV23" s="28">
        <f>=SUM(AV126:AV127)</f>
        <v>0</v>
      </c>
      <c r="AW23" s="28">
        <f>=SUM(AW126:AW127)</f>
        <v>0</v>
      </c>
      <c r="AX23" s="28">
        <f>=SUM(AX126:AX127)</f>
        <v>0</v>
      </c>
      <c r="AY23" s="28">
        <f>=SUM(AY126:AY127)</f>
        <v>0</v>
      </c>
      <c r="AZ23" s="28">
        <f>=SUM(AZ126:AZ127)</f>
        <v>0</v>
      </c>
      <c r="BA23" s="28">
        <f>=SUM(BA126:BA127)</f>
        <v>0</v>
      </c>
      <c r="BB23" s="28">
        <f>=SUM(BB126:BB127)</f>
        <v>0</v>
      </c>
      <c r="BC23" s="28">
        <f>=SUM(BC126:BC127)</f>
        <v>0</v>
      </c>
      <c r="BD23" s="28">
        <f>=SUM(BD126:BD127)</f>
        <v>0</v>
      </c>
      <c r="BE23" s="28">
        <f>=SUM(BE126:BE127)</f>
        <v>0</v>
      </c>
      <c r="BF23" s="28">
        <f>=SUM(BF126:BF127)</f>
        <v>0</v>
      </c>
      <c r="BG23" s="28">
        <f>=SUM(BG126:BG127)</f>
        <v>0</v>
      </c>
      <c r="BH23" s="28">
        <f>=SUM(BH126:BH127)</f>
        <v>0</v>
      </c>
      <c r="BI23" s="28">
        <f>=SUM(BI126:BI127)</f>
        <v>0</v>
      </c>
      <c r="BJ23" s="28">
        <f>=SUM(BJ126:BJ127)</f>
        <v>0</v>
      </c>
      <c r="BK23" s="28">
        <f>=SUM(BK126:BK127)</f>
        <v>0</v>
      </c>
      <c r="BL23" s="28">
        <f>=SUM(BL126:BL127)</f>
        <v>0</v>
      </c>
      <c r="BM23" s="28">
        <f>=SUM(BM126:BM127)</f>
        <v>0</v>
      </c>
      <c r="BN23" s="28">
        <f>=SUM(BN126:BN127)</f>
        <v>0</v>
      </c>
      <c r="BO23" s="28">
        <f>=SUM(BO126:BO127)</f>
        <v>0</v>
      </c>
      <c r="BP23" s="28">
        <f>=SUM(BP126:BP127)</f>
        <v>0</v>
      </c>
      <c r="BQ23" s="28">
        <f>=SUM(BQ126:BQ127)</f>
        <v>0</v>
      </c>
      <c r="BR23" s="28">
        <f>=SUM(BR126:BR127)</f>
        <v>0</v>
      </c>
      <c r="BS23" s="28">
        <f>=SUM(BS126:BS127)</f>
        <v>0</v>
      </c>
      <c r="BT23" s="28">
        <f>=SUM(BT126:BT127)</f>
        <v>0</v>
      </c>
      <c r="BU23" s="28">
        <f>=SUM(BU126:BU127)</f>
        <v>0</v>
      </c>
      <c r="BV23" s="28">
        <f>=SUM(BV126:BV127)</f>
        <v>0</v>
      </c>
      <c r="BW23" s="28">
        <f>=SUM(BW126:BW127)</f>
        <v>0</v>
      </c>
      <c r="BX23" s="28">
        <f>=SUM(BX126:BX127)</f>
        <v>0</v>
      </c>
      <c r="BY23" s="28">
        <f>=SUM(BY126:BY127)</f>
        <v>0</v>
      </c>
      <c r="BZ23" s="28">
        <f>=SUM(BZ126:BZ127)</f>
        <v>0</v>
      </c>
      <c r="CA23" s="28">
        <f>=SUM(CA126:CA127)</f>
        <v>0</v>
      </c>
      <c r="CB23" s="28">
        <f>=SUM(CB126:CB127)</f>
        <v>0</v>
      </c>
      <c r="CC23" s="28">
        <f>=SUM(CC126:CC127)</f>
        <v>0</v>
      </c>
      <c r="CD23" s="28">
        <f>=SUM(CD126:CD127)</f>
        <v>0</v>
      </c>
      <c r="CE23" s="28">
        <f>=SUM(CE126:CE127)</f>
        <v>0</v>
      </c>
      <c r="CF23" s="28">
        <f>=SUM(CF126:CF127)</f>
        <v>0</v>
      </c>
      <c r="CG23" s="28">
        <f>=SUM(CG126:CG127)</f>
        <v>0</v>
      </c>
      <c r="CH23" s="28">
        <f>=SUM(CH126:CH127)</f>
        <v>0</v>
      </c>
      <c r="CI23" s="28">
        <f>=SUM(CI126:CI127)</f>
        <v>0</v>
      </c>
      <c r="CJ23" s="28">
        <f>=SUM(CJ126:CJ127)</f>
        <v>0</v>
      </c>
      <c r="CK23" s="28">
        <f>=SUM(CK126:CK127)</f>
        <v>0</v>
      </c>
      <c r="CL23" s="28">
        <f>=SUM(CL126:CL127)</f>
        <v>0</v>
      </c>
      <c r="CM23" s="28">
        <f>=SUM(CM126:CM127)</f>
        <v>0</v>
      </c>
      <c r="CN23" s="28">
        <f>=SUM(CN126:CN127)</f>
        <v>0</v>
      </c>
      <c r="CO23" s="28">
        <f>=SUM(CO126:CO127)</f>
        <v>0</v>
      </c>
      <c r="CP23" s="28">
        <f>=SUM(CP126:CP127)</f>
        <v>0</v>
      </c>
      <c r="CQ23" s="28">
        <f>=SUM(CQ126:CQ127)</f>
        <v>0</v>
      </c>
      <c r="CR23" s="28">
        <f>=SUM(CR126:CR127)</f>
        <v>0</v>
      </c>
      <c r="CS23" s="28">
        <f>=SUM(CS126:CS127)</f>
        <v>0</v>
      </c>
      <c r="CT23" s="28">
        <f>=SUM(CT126:CT127)</f>
        <v>0</v>
      </c>
      <c r="CU23" s="28">
        <f>=SUM(CU126:CU127)</f>
        <v>0</v>
      </c>
      <c r="CV23" s="28">
        <f>=SUM(CV126:CV127)</f>
        <v>0</v>
      </c>
      <c r="CW23" s="28">
        <f>=SUM(CW126:CW127)</f>
        <v>0</v>
      </c>
      <c r="CX23" s="28">
        <f>=SUM(CX126:CX127)</f>
        <v>0</v>
      </c>
      <c r="CY23" s="28">
        <f>=SUM(CY126:CY127)</f>
        <v>0</v>
      </c>
      <c r="CZ23" s="28">
        <f>=SUM(CZ126:CZ127)</f>
        <v>0</v>
      </c>
      <c r="DA23" s="28">
        <f>=SUM(DA126:DA127)</f>
        <v>0</v>
      </c>
      <c r="DB23" s="28">
        <f>=SUM(DB126:DB127)</f>
        <v>0</v>
      </c>
    </row>
    <row r="24" spans="1:106" x14ac:dyDescent="0.25">
      <c r="A24" s="27" t="s">
        <v>258</v>
      </c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0"/>
      <c r="CI24" s="30"/>
      <c r="CJ24" s="30"/>
      <c r="CK24" s="30"/>
      <c r="CL24" s="30"/>
      <c r="CM24" s="30"/>
      <c r="CN24" s="30"/>
      <c r="CO24" s="30"/>
      <c r="CP24" s="30"/>
      <c r="CQ24" s="30"/>
      <c r="CR24" s="30"/>
      <c r="CS24" s="30"/>
      <c r="CT24" s="30"/>
      <c r="CU24" s="30"/>
      <c r="CV24" s="30"/>
      <c r="CW24" s="30"/>
      <c r="CX24" s="30"/>
      <c r="CY24" s="30"/>
      <c r="CZ24" s="30"/>
      <c r="DA24" s="30"/>
      <c r="DB24" s="30"/>
    </row>
    <row r="25" spans="1:106" x14ac:dyDescent="0.25">
      <c r="A25" s="22" t="s">
        <v>259</v>
      </c>
      <c r="C25" s="48">
        <f>=IFERROR(C19/C10,0)</f>
        <v>1</v>
      </c>
      <c r="D25" s="48">
        <f>=IFERROR(D19/D10,0)</f>
        <v>1</v>
      </c>
      <c r="E25" s="48">
        <f>=IFERROR(E19/E10,0)</f>
        <v>1</v>
      </c>
      <c r="F25" s="48">
        <f>=IFERROR(F19/F10,0)</f>
        <v>1</v>
      </c>
      <c r="G25" s="48">
        <f>=IFERROR(G19/G10,0)</f>
        <v>1</v>
      </c>
      <c r="H25" s="48">
        <f>=IFERROR(H19/H10,0)</f>
        <v>1</v>
      </c>
      <c r="I25" s="48">
        <f>=IFERROR(I19/I10,0)</f>
        <v>1</v>
      </c>
      <c r="J25" s="48">
        <f>=IFERROR(J19/J10,0)</f>
        <v>1</v>
      </c>
      <c r="K25" s="48">
        <f>=IFERROR(K19/K10,0)</f>
        <v>1</v>
      </c>
      <c r="L25" s="48">
        <f>=IFERROR(L19/L10,0)</f>
        <v>1</v>
      </c>
      <c r="M25" s="48">
        <f>=IFERROR(M19/M10,0)</f>
        <v>1</v>
      </c>
      <c r="N25" s="48">
        <f>=IFERROR(N19/N10,0)</f>
        <v>1</v>
      </c>
      <c r="O25" s="48">
        <f>=IFERROR(O19/O10,0)</f>
        <v>1</v>
      </c>
      <c r="P25" s="48">
        <f>=IFERROR(P19/P10,0)</f>
        <v>1</v>
      </c>
      <c r="Q25" s="48">
        <f>=IFERROR(Q19/Q10,0)</f>
        <v>1</v>
      </c>
      <c r="R25" s="48">
        <f>=IFERROR(R19/R10,0)</f>
        <v>1</v>
      </c>
      <c r="S25" s="48">
        <f>=IFERROR(S19/S10,0)</f>
        <v>1</v>
      </c>
      <c r="T25" s="48">
        <f>=IFERROR(T19/T10,0)</f>
        <v>1</v>
      </c>
      <c r="U25" s="48">
        <f>=IFERROR(U19/U10,0)</f>
        <v>1</v>
      </c>
      <c r="V25" s="48">
        <f>=IFERROR(V19/V10,0)</f>
        <v>1</v>
      </c>
      <c r="W25" s="48">
        <f>=IFERROR(W19/W10,0)</f>
        <v>1</v>
      </c>
      <c r="X25" s="48">
        <f>=IFERROR(X19/X10,0)</f>
        <v>1</v>
      </c>
      <c r="Y25" s="48">
        <f>=IFERROR(Y19/Y10,0)</f>
        <v>1</v>
      </c>
      <c r="Z25" s="48">
        <f>=IFERROR(Z19/Z10,0)</f>
        <v>1</v>
      </c>
      <c r="AA25" s="48">
        <f>=IFERROR(AA19/AA10,0)</f>
        <v>1</v>
      </c>
      <c r="AB25" s="48">
        <f>=IFERROR(AB19/AB10,0)</f>
        <v>1</v>
      </c>
      <c r="AC25" s="48">
        <f>=IFERROR(AC19/AC10,0)</f>
        <v>1</v>
      </c>
      <c r="AD25" s="48">
        <f>=IFERROR(AD19/AD10,0)</f>
        <v>1</v>
      </c>
      <c r="AE25" s="48">
        <f>=IFERROR(AE19/AE10,0)</f>
        <v>1</v>
      </c>
      <c r="AF25" s="48">
        <f>=IFERROR(AF19/AF10,0)</f>
        <v>1</v>
      </c>
      <c r="AG25" s="48">
        <f>=IFERROR(AG19/AG10,0)</f>
        <v>1</v>
      </c>
      <c r="AH25" s="48">
        <f>=IFERROR(AH19/AH10,0)</f>
        <v>1</v>
      </c>
      <c r="AI25" s="48">
        <f>=IFERROR(AI19/AI10,0)</f>
        <v>1</v>
      </c>
      <c r="AJ25" s="48">
        <f>=IFERROR(AJ19/AJ10,0)</f>
        <v>1</v>
      </c>
      <c r="AK25" s="48">
        <f>=IFERROR(AK19/AK10,0)</f>
        <v>1</v>
      </c>
      <c r="AL25" s="48">
        <f>=IFERROR(AL19/AL10,0)</f>
        <v>1</v>
      </c>
      <c r="AM25" s="48">
        <f>=IFERROR(AM19/AM10,0)</f>
        <v>1</v>
      </c>
      <c r="AN25" s="48">
        <f>=IFERROR(AN19/AN10,0)</f>
        <v>1</v>
      </c>
      <c r="AO25" s="48">
        <f>=IFERROR(AO19/AO10,0)</f>
        <v>1</v>
      </c>
      <c r="AP25" s="48">
        <f>=IFERROR(AP19/AP10,0)</f>
        <v>1</v>
      </c>
      <c r="AQ25" s="48">
        <f>=IFERROR(AQ19/AQ10,0)</f>
        <v>1</v>
      </c>
      <c r="AR25" s="48">
        <f>=IFERROR(AR19/AR10,0)</f>
        <v>1</v>
      </c>
      <c r="AS25" s="48">
        <f>=IFERROR(AS19/AS10,0)</f>
        <v>1</v>
      </c>
      <c r="AT25" s="48">
        <f>=IFERROR(AT19/AT10,0)</f>
        <v>1</v>
      </c>
      <c r="AU25" s="48">
        <f>=IFERROR(AU19/AU10,0)</f>
        <v>1</v>
      </c>
      <c r="AV25" s="48">
        <f>=IFERROR(AV19/AV10,0)</f>
        <v>1</v>
      </c>
      <c r="AW25" s="48">
        <f>=IFERROR(AW19/AW10,0)</f>
        <v>1</v>
      </c>
      <c r="AX25" s="48">
        <f>=IFERROR(AX19/AX10,0)</f>
        <v>1</v>
      </c>
      <c r="AY25" s="48">
        <f>=IFERROR(AY19/AY10,0)</f>
        <v>1</v>
      </c>
      <c r="AZ25" s="48">
        <f>=IFERROR(AZ19/AZ10,0)</f>
        <v>1</v>
      </c>
      <c r="BA25" s="48">
        <f>=IFERROR(BA19/BA10,0)</f>
        <v>1</v>
      </c>
      <c r="BB25" s="48">
        <f>=IFERROR(BB19/BB10,0)</f>
        <v>1</v>
      </c>
      <c r="BC25" s="48">
        <f>=IFERROR(BC19/BC10,0)</f>
        <v>1</v>
      </c>
      <c r="BD25" s="48">
        <f>=IFERROR(BD19/BD10,0)</f>
        <v>1</v>
      </c>
      <c r="BE25" s="48">
        <f>=IFERROR(BE19/BE10,0)</f>
        <v>1</v>
      </c>
      <c r="BF25" s="48">
        <f>=IFERROR(BF19/BF10,0)</f>
        <v>1</v>
      </c>
      <c r="BG25" s="48">
        <f>=IFERROR(BG19/BG10,0)</f>
        <v>1</v>
      </c>
      <c r="BH25" s="48">
        <f>=IFERROR(BH19/BH10,0)</f>
        <v>1</v>
      </c>
      <c r="BI25" s="48">
        <f>=IFERROR(BI19/BI10,0)</f>
        <v>1</v>
      </c>
      <c r="BJ25" s="48">
        <f>=IFERROR(BJ19/BJ10,0)</f>
        <v>1</v>
      </c>
      <c r="BK25" s="48">
        <f>=IFERROR(BK19/BK10,0)</f>
        <v>1</v>
      </c>
      <c r="BL25" s="48">
        <f>=IFERROR(BL19/BL10,0)</f>
        <v>1</v>
      </c>
      <c r="BM25" s="48">
        <f>=IFERROR(BM19/BM10,0)</f>
        <v>1</v>
      </c>
      <c r="BN25" s="48">
        <f>=IFERROR(BN19/BN10,0)</f>
        <v>1</v>
      </c>
      <c r="BO25" s="48">
        <f>=IFERROR(BO19/BO10,0)</f>
        <v>1</v>
      </c>
      <c r="BP25" s="48">
        <f>=IFERROR(BP19/BP10,0)</f>
        <v>0</v>
      </c>
      <c r="BQ25" s="48">
        <f>=IFERROR(BQ19/BQ10,0)</f>
        <v>0</v>
      </c>
      <c r="BR25" s="48">
        <f>=IFERROR(BR19/BR10,0)</f>
        <v>0</v>
      </c>
      <c r="BS25" s="48">
        <f>=IFERROR(BS19/BS10,0)</f>
        <v>0</v>
      </c>
      <c r="BT25" s="48">
        <f>=IFERROR(BT19/BT10,0)</f>
        <v>0</v>
      </c>
      <c r="BU25" s="48">
        <f>=IFERROR(BU19/BU10,0)</f>
        <v>0</v>
      </c>
      <c r="BV25" s="48">
        <f>=IFERROR(BV19/BV10,0)</f>
        <v>0</v>
      </c>
      <c r="BW25" s="48">
        <f>=IFERROR(BW19/BW10,0)</f>
        <v>0</v>
      </c>
      <c r="BX25" s="48">
        <f>=IFERROR(BX19/BX10,0)</f>
        <v>0</v>
      </c>
      <c r="BY25" s="48">
        <f>=IFERROR(BY19/BY10,0)</f>
        <v>0</v>
      </c>
      <c r="BZ25" s="48">
        <f>=IFERROR(BZ19/BZ10,0)</f>
        <v>0</v>
      </c>
      <c r="CA25" s="48">
        <f>=IFERROR(CA19/CA10,0)</f>
        <v>0</v>
      </c>
      <c r="CB25" s="48">
        <f>=IFERROR(CB19/CB10,0)</f>
        <v>0</v>
      </c>
      <c r="CC25" s="48">
        <f>=IFERROR(CC19/CC10,0)</f>
        <v>0</v>
      </c>
      <c r="CD25" s="48">
        <f>=IFERROR(CD19/CD10,0)</f>
        <v>0</v>
      </c>
      <c r="CE25" s="48">
        <f>=IFERROR(CE19/CE10,0)</f>
        <v>0</v>
      </c>
      <c r="CF25" s="48">
        <f>=IFERROR(CF19/CF10,0)</f>
        <v>0</v>
      </c>
      <c r="CG25" s="48">
        <f>=IFERROR(CG19/CG10,0)</f>
        <v>0</v>
      </c>
      <c r="CH25" s="48">
        <f>=IFERROR(CH19/CH10,0)</f>
        <v>0</v>
      </c>
      <c r="CI25" s="48">
        <f>=IFERROR(CI19/CI10,0)</f>
        <v>0</v>
      </c>
      <c r="CJ25" s="48">
        <f>=IFERROR(CJ19/CJ10,0)</f>
        <v>0</v>
      </c>
      <c r="CK25" s="48">
        <f>=IFERROR(CK19/CK10,0)</f>
        <v>0</v>
      </c>
      <c r="CL25" s="48">
        <f>=IFERROR(CL19/CL10,0)</f>
        <v>0</v>
      </c>
      <c r="CM25" s="48">
        <f>=IFERROR(CM19/CM10,0)</f>
        <v>0</v>
      </c>
      <c r="CN25" s="48">
        <f>=IFERROR(CN19/CN10,0)</f>
        <v>0</v>
      </c>
      <c r="CO25" s="48">
        <f>=IFERROR(CO19/CO10,0)</f>
        <v>0</v>
      </c>
      <c r="CP25" s="48">
        <f>=IFERROR(CP19/CP10,0)</f>
        <v>0</v>
      </c>
      <c r="CQ25" s="48">
        <f>=IFERROR(CQ19/CQ10,0)</f>
        <v>0</v>
      </c>
      <c r="CR25" s="48">
        <f>=IFERROR(CR19/CR10,0)</f>
        <v>0</v>
      </c>
      <c r="CS25" s="48">
        <f>=IFERROR(CS19/CS10,0)</f>
        <v>0</v>
      </c>
      <c r="CT25" s="48">
        <f>=IFERROR(CT19/CT10,0)</f>
        <v>0</v>
      </c>
      <c r="CU25" s="48">
        <f>=IFERROR(CU19/CU10,0)</f>
        <v>0</v>
      </c>
      <c r="CV25" s="48">
        <f>=IFERROR(CV19/CV10,0)</f>
        <v>0</v>
      </c>
      <c r="CW25" s="48">
        <f>=IFERROR(CW19/CW10,0)</f>
        <v>0</v>
      </c>
      <c r="CX25" s="48">
        <f>=IFERROR(CX19/CX10,0)</f>
        <v>0</v>
      </c>
      <c r="CY25" s="48">
        <f>=IFERROR(CY19/CY10,0)</f>
        <v>0</v>
      </c>
      <c r="CZ25" s="48">
        <f>=IFERROR(CZ19/CZ10,0)</f>
        <v>0</v>
      </c>
      <c r="DA25" s="48">
        <f>=IFERROR(DA19/DA10,0)</f>
        <v>0</v>
      </c>
      <c r="DB25" s="48">
        <f>=IFERROR(DB19/DB10,0)</f>
        <v>0</v>
      </c>
    </row>
    <row r="26" spans="3:106" x14ac:dyDescent="0.25"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0"/>
      <c r="CG26" s="30"/>
      <c r="CH26" s="30"/>
      <c r="CI26" s="30"/>
      <c r="CJ26" s="30"/>
      <c r="CK26" s="30"/>
      <c r="CL26" s="30"/>
      <c r="CM26" s="30"/>
      <c r="CN26" s="30"/>
      <c r="CO26" s="30"/>
      <c r="CP26" s="30"/>
      <c r="CQ26" s="30"/>
      <c r="CR26" s="30"/>
      <c r="CS26" s="30"/>
      <c r="CT26" s="30"/>
      <c r="CU26" s="30"/>
      <c r="CV26" s="30"/>
      <c r="CW26" s="30"/>
      <c r="CX26" s="30"/>
      <c r="CY26" s="30"/>
      <c r="CZ26" s="30"/>
      <c r="DA26" s="30"/>
      <c r="DB26" s="30"/>
    </row>
    <row r="27" ht="14" customHeight="1" spans="1:106" x14ac:dyDescent="0.25">
      <c r="A27" s="9" t="s">
        <v>260</v>
      </c>
      <c r="B27" s="17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</row>
    <row r="28" ht="15" customHeight="1" spans="1:106" x14ac:dyDescent="0.25">
      <c r="A28" s="33" t="s">
        <v>261</v>
      </c>
      <c r="B28" s="13"/>
      <c r="C28" s="34">
        <f>=IFERROR(1-((1-C29)*(1-C34)),0)</f>
        <v>0.328</v>
      </c>
      <c r="D28" s="34">
        <f>=IFERROR(1-((1-D29)*(1-D34)),0)</f>
        <v>0.328</v>
      </c>
      <c r="E28" s="34">
        <f>=IFERROR(1-((1-E29)*(1-E34)),0)</f>
        <v>0.328</v>
      </c>
      <c r="F28" s="34">
        <f>=IFERROR(1-((1-F29)*(1-F34)),0)</f>
        <v>0.328</v>
      </c>
      <c r="G28" s="34">
        <f>=IFERROR(1-((1-G29)*(1-G34)),0)</f>
        <v>0.328</v>
      </c>
      <c r="H28" s="34">
        <f>=IFERROR(1-((1-H29)*(1-H34)),0)</f>
        <v>0.328</v>
      </c>
      <c r="I28" s="34">
        <f>=IFERROR(1-((1-I29)*(1-I34)),0)</f>
        <v>0.328</v>
      </c>
      <c r="J28" s="34">
        <f>=IFERROR(1-((1-J29)*(1-J34)),0)</f>
        <v>0.328</v>
      </c>
      <c r="K28" s="34">
        <f>=IFERROR(1-((1-K29)*(1-K34)),0)</f>
        <v>0.328</v>
      </c>
      <c r="L28" s="34">
        <f>=IFERROR(1-((1-L29)*(1-L34)),0)</f>
        <v>0.328</v>
      </c>
      <c r="M28" s="34">
        <f>=IFERROR(1-((1-M29)*(1-M34)),0)</f>
        <v>0.328</v>
      </c>
      <c r="N28" s="34">
        <f>=IFERROR(1-((1-N29)*(1-N34)),0)</f>
        <v>0.328</v>
      </c>
      <c r="O28" s="34">
        <f>=IFERROR(1-((1-O29)*(1-O34)),0)</f>
        <v>0.328</v>
      </c>
      <c r="P28" s="34">
        <f>=IFERROR(1-((1-P29)*(1-P34)),0)</f>
        <v>0.328</v>
      </c>
      <c r="Q28" s="34">
        <f>=IFERROR(1-((1-Q29)*(1-Q34)),0)</f>
        <v>0.328</v>
      </c>
      <c r="R28" s="34">
        <f>=IFERROR(1-((1-R29)*(1-R34)),0)</f>
        <v>0.328</v>
      </c>
      <c r="S28" s="34">
        <f>=IFERROR(1-((1-S29)*(1-S34)),0)</f>
        <v>0.328</v>
      </c>
      <c r="T28" s="34">
        <f>=IFERROR(1-((1-T29)*(1-T34)),0)</f>
        <v>0.328</v>
      </c>
      <c r="U28" s="34">
        <f>=IFERROR(1-((1-U29)*(1-U34)),0)</f>
        <v>0.328</v>
      </c>
      <c r="V28" s="34">
        <f>=IFERROR(1-((1-V29)*(1-V34)),0)</f>
        <v>0.328</v>
      </c>
      <c r="W28" s="34">
        <f>=IFERROR(1-((1-W29)*(1-W34)),0)</f>
        <v>0.328</v>
      </c>
      <c r="X28" s="34">
        <f>=IFERROR(1-((1-X29)*(1-X34)),0)</f>
        <v>0.328</v>
      </c>
      <c r="Y28" s="34">
        <f>=IFERROR(1-((1-Y29)*(1-Y34)),0)</f>
        <v>0.328</v>
      </c>
      <c r="Z28" s="34">
        <f>=IFERROR(1-((1-Z29)*(1-Z34)),0)</f>
        <v>0.328</v>
      </c>
      <c r="AA28" s="34">
        <f>=IFERROR(1-((1-AA29)*(1-AA34)),0)</f>
        <v>0.328</v>
      </c>
      <c r="AB28" s="34">
        <f>=IFERROR(1-((1-AB29)*(1-AB34)),0)</f>
        <v>0.328</v>
      </c>
      <c r="AC28" s="34">
        <f>=IFERROR(1-((1-AC29)*(1-AC34)),0)</f>
        <v>0.328</v>
      </c>
      <c r="AD28" s="34">
        <f>=IFERROR(1-((1-AD29)*(1-AD34)),0)</f>
        <v>0.328</v>
      </c>
      <c r="AE28" s="34">
        <f>=IFERROR(1-((1-AE29)*(1-AE34)),0)</f>
        <v>0.328</v>
      </c>
      <c r="AF28" s="34">
        <f>=IFERROR(1-((1-AF29)*(1-AF34)),0)</f>
        <v>0.328</v>
      </c>
      <c r="AG28" s="34">
        <f>=IFERROR(1-((1-AG29)*(1-AG34)),0)</f>
        <v>0.328</v>
      </c>
      <c r="AH28" s="34">
        <f>=IFERROR(1-((1-AH29)*(1-AH34)),0)</f>
        <v>0.328</v>
      </c>
      <c r="AI28" s="34">
        <f>=IFERROR(1-((1-AI29)*(1-AI34)),0)</f>
        <v>0.328</v>
      </c>
      <c r="AJ28" s="34">
        <f>=IFERROR(1-((1-AJ29)*(1-AJ34)),0)</f>
        <v>0.328</v>
      </c>
      <c r="AK28" s="34">
        <f>=IFERROR(1-((1-AK29)*(1-AK34)),0)</f>
        <v>0.328</v>
      </c>
      <c r="AL28" s="34">
        <f>=IFERROR(1-((1-AL29)*(1-AL34)),0)</f>
        <v>0.328</v>
      </c>
      <c r="AM28" s="34">
        <f>=IFERROR(1-((1-AM29)*(1-AM34)),0)</f>
        <v>0.328</v>
      </c>
      <c r="AN28" s="34">
        <f>=IFERROR(1-((1-AN29)*(1-AN34)),0)</f>
        <v>0.328</v>
      </c>
      <c r="AO28" s="34">
        <f>=IFERROR(1-((1-AO29)*(1-AO34)),0)</f>
        <v>0.328</v>
      </c>
      <c r="AP28" s="34">
        <f>=IFERROR(1-((1-AP29)*(1-AP34)),0)</f>
        <v>0.304</v>
      </c>
      <c r="AQ28" s="34">
        <f>=IFERROR(1-((1-AQ29)*(1-AQ34)),0)</f>
        <v>0.304</v>
      </c>
      <c r="AR28" s="34">
        <f>=IFERROR(1-((1-AR29)*(1-AR34)),0)</f>
        <v>0.304</v>
      </c>
      <c r="AS28" s="34">
        <f>=IFERROR(1-((1-AS29)*(1-AS34)),0)</f>
        <v>0.304</v>
      </c>
      <c r="AT28" s="34">
        <f>=IFERROR(1-((1-AT29)*(1-AT34)),0)</f>
        <v>0.304</v>
      </c>
      <c r="AU28" s="34">
        <f>=IFERROR(1-((1-AU29)*(1-AU34)),0)</f>
        <v>0.304</v>
      </c>
      <c r="AV28" s="34">
        <f>=IFERROR(1-((1-AV29)*(1-AV34)),0)</f>
        <v>0.304</v>
      </c>
      <c r="AW28" s="34">
        <f>=IFERROR(1-((1-AW29)*(1-AW34)),0)</f>
        <v>0.304</v>
      </c>
      <c r="AX28" s="34">
        <f>=IFERROR(1-((1-AX29)*(1-AX34)),0)</f>
        <v>0.304</v>
      </c>
      <c r="AY28" s="34">
        <f>=IFERROR(1-((1-AY29)*(1-AY34)),0)</f>
        <v>0.304</v>
      </c>
      <c r="AZ28" s="34">
        <f>=IFERROR(1-((1-AZ29)*(1-AZ34)),0)</f>
        <v>0.304</v>
      </c>
      <c r="BA28" s="34">
        <f>=IFERROR(1-((1-BA29)*(1-BA34)),0)</f>
        <v>0.304</v>
      </c>
      <c r="BB28" s="34">
        <f>=IFERROR(1-((1-BB29)*(1-BB34)),0)</f>
        <v>0.304</v>
      </c>
      <c r="BC28" s="34">
        <f>=IFERROR(1-((1-BC29)*(1-BC34)),0)</f>
        <v>0.312</v>
      </c>
      <c r="BD28" s="34">
        <f>=IFERROR(1-((1-BD29)*(1-BD34)),0)</f>
        <v>0.312</v>
      </c>
      <c r="BE28" s="34">
        <f>=IFERROR(1-((1-BE29)*(1-BE34)),0)</f>
        <v>0.312</v>
      </c>
      <c r="BF28" s="34">
        <f>=IFERROR(1-((1-BF29)*(1-BF34)),0)</f>
        <v>0.312</v>
      </c>
      <c r="BG28" s="34">
        <f>=IFERROR(1-((1-BG29)*(1-BG34)),0)</f>
        <v>0.312</v>
      </c>
      <c r="BH28" s="34">
        <f>=IFERROR(1-((1-BH29)*(1-BH34)),0)</f>
        <v>0.312</v>
      </c>
      <c r="BI28" s="34">
        <f>=IFERROR(1-((1-BI29)*(1-BI34)),0)</f>
        <v>0.312</v>
      </c>
      <c r="BJ28" s="34">
        <f>=IFERROR(1-((1-BJ29)*(1-BJ34)),0)</f>
        <v>0.312</v>
      </c>
      <c r="BK28" s="34">
        <f>=IFERROR(1-((1-BK29)*(1-BK34)),0)</f>
        <v>0.312</v>
      </c>
      <c r="BL28" s="34">
        <f>=IFERROR(1-((1-BL29)*(1-BL34)),0)</f>
        <v>0.312</v>
      </c>
      <c r="BM28" s="34">
        <f>=IFERROR(1-((1-BM29)*(1-BM34)),0)</f>
        <v>0.312</v>
      </c>
      <c r="BN28" s="34">
        <f>=IFERROR(1-((1-BN29)*(1-BN34)),0)</f>
        <v>0.312</v>
      </c>
      <c r="BO28" s="34">
        <f>=IFERROR(1-((1-BO29)*(1-BO34)),0)</f>
        <v>0.312</v>
      </c>
      <c r="BP28" s="34">
        <f>=IFERROR(1-((1-BP29)*(1-BP34)),0)</f>
        <v>0.312</v>
      </c>
      <c r="BQ28" s="34">
        <f>=IFERROR(1-((1-BQ29)*(1-BQ34)),0)</f>
        <v>0.312</v>
      </c>
      <c r="BR28" s="34">
        <f>=IFERROR(1-((1-BR29)*(1-BR34)),0)</f>
        <v>0.312</v>
      </c>
      <c r="BS28" s="34">
        <f>=IFERROR(1-((1-BS29)*(1-BS34)),0)</f>
        <v>0.312</v>
      </c>
      <c r="BT28" s="34">
        <f>=IFERROR(1-((1-BT29)*(1-BT34)),0)</f>
        <v>0.312</v>
      </c>
      <c r="BU28" s="34">
        <f>=IFERROR(1-((1-BU29)*(1-BU34)),0)</f>
        <v>0.312</v>
      </c>
      <c r="BV28" s="34">
        <f>=IFERROR(1-((1-BV29)*(1-BV34)),0)</f>
        <v>0.312</v>
      </c>
      <c r="BW28" s="34">
        <f>=IFERROR(1-((1-BW29)*(1-BW34)),0)</f>
        <v>0.312</v>
      </c>
      <c r="BX28" s="34">
        <f>=IFERROR(1-((1-BX29)*(1-BX34)),0)</f>
        <v>0.312</v>
      </c>
      <c r="BY28" s="34">
        <f>=IFERROR(1-((1-BY29)*(1-BY34)),0)</f>
        <v>0.312</v>
      </c>
      <c r="BZ28" s="34">
        <f>=IFERROR(1-((1-BZ29)*(1-BZ34)),0)</f>
        <v>0.312</v>
      </c>
      <c r="CA28" s="34">
        <f>=IFERROR(1-((1-CA29)*(1-CA34)),0)</f>
        <v>0.312</v>
      </c>
      <c r="CB28" s="34">
        <f>=IFERROR(1-((1-CB29)*(1-CB34)),0)</f>
        <v>0.312</v>
      </c>
      <c r="CC28" s="34">
        <f>=IFERROR(1-((1-CC29)*(1-CC34)),0)</f>
        <v>0.312</v>
      </c>
      <c r="CD28" s="34">
        <f>=IFERROR(1-((1-CD29)*(1-CD34)),0)</f>
        <v>0.312</v>
      </c>
      <c r="CE28" s="34">
        <f>=IFERROR(1-((1-CE29)*(1-CE34)),0)</f>
        <v>0.312</v>
      </c>
      <c r="CF28" s="34">
        <f>=IFERROR(1-((1-CF29)*(1-CF34)),0)</f>
        <v>0.312</v>
      </c>
      <c r="CG28" s="34">
        <f>=IFERROR(1-((1-CG29)*(1-CG34)),0)</f>
        <v>0.312</v>
      </c>
      <c r="CH28" s="34">
        <f>=IFERROR(1-((1-CH29)*(1-CH34)),0)</f>
        <v>0.312</v>
      </c>
      <c r="CI28" s="34">
        <f>=IFERROR(1-((1-CI29)*(1-CI34)),0)</f>
        <v>0.312</v>
      </c>
      <c r="CJ28" s="34">
        <f>=IFERROR(1-((1-CJ29)*(1-CJ34)),0)</f>
        <v>0.312</v>
      </c>
      <c r="CK28" s="34">
        <f>=IFERROR(1-((1-CK29)*(1-CK34)),0)</f>
        <v>0.312</v>
      </c>
      <c r="CL28" s="34">
        <f>=IFERROR(1-((1-CL29)*(1-CL34)),0)</f>
        <v>0.312</v>
      </c>
      <c r="CM28" s="34">
        <f>=IFERROR(1-((1-CM29)*(1-CM34)),0)</f>
        <v>0.312</v>
      </c>
      <c r="CN28" s="34">
        <f>=IFERROR(1-((1-CN29)*(1-CN34)),0)</f>
        <v>0.312</v>
      </c>
      <c r="CO28" s="34">
        <f>=IFERROR(1-((1-CO29)*(1-CO34)),0)</f>
        <v>0.312</v>
      </c>
      <c r="CP28" s="34">
        <f>=IFERROR(1-((1-CP29)*(1-CP34)),0)</f>
        <v>0.312</v>
      </c>
      <c r="CQ28" s="34">
        <f>=IFERROR(1-((1-CQ29)*(1-CQ34)),0)</f>
        <v>0.312</v>
      </c>
      <c r="CR28" s="34">
        <f>=IFERROR(1-((1-CR29)*(1-CR34)),0)</f>
        <v>0.312</v>
      </c>
      <c r="CS28" s="34">
        <f>=IFERROR(1-((1-CS29)*(1-CS34)),0)</f>
        <v>0.312</v>
      </c>
      <c r="CT28" s="34">
        <f>=IFERROR(1-((1-CT29)*(1-CT34)),0)</f>
        <v>0.312</v>
      </c>
      <c r="CU28" s="34">
        <f>=IFERROR(1-((1-CU29)*(1-CU34)),0)</f>
        <v>0.312</v>
      </c>
      <c r="CV28" s="34">
        <f>=IFERROR(1-((1-CV29)*(1-CV34)),0)</f>
        <v>0.312</v>
      </c>
      <c r="CW28" s="34">
        <f>=IFERROR(1-((1-CW29)*(1-CW34)),0)</f>
        <v>0.312</v>
      </c>
      <c r="CX28" s="34">
        <f>=IFERROR(1-((1-CX29)*(1-CX34)),0)</f>
        <v>0.312</v>
      </c>
      <c r="CY28" s="34">
        <f>=IFERROR(1-((1-CY29)*(1-CY34)),0)</f>
        <v>0.312</v>
      </c>
      <c r="CZ28" s="34">
        <f>=IFERROR(1-((1-CZ29)*(1-CZ34)),0)</f>
        <v>0.312</v>
      </c>
      <c r="DA28" s="34">
        <f>=IFERROR(1-((1-DA29)*(1-DA34)),0)</f>
        <v>0.312</v>
      </c>
      <c r="DB28" s="34">
        <f>=IFERROR(1-((1-DB29)*(1-DB34)),0)</f>
        <v>0.312</v>
      </c>
    </row>
    <row r="29" ht="15" customHeight="1" spans="1:106" x14ac:dyDescent="0.25">
      <c r="A29" s="16" t="s">
        <v>262</v>
      </c>
      <c r="B29" s="17"/>
      <c r="C29" s="35">
        <f>=SUM(C30:C33)</f>
        <v>0.16</v>
      </c>
      <c r="D29" s="35">
        <f>=SUM(D30:D33)</f>
        <v>0.16</v>
      </c>
      <c r="E29" s="35">
        <f>=SUM(E30:E33)</f>
        <v>0.16</v>
      </c>
      <c r="F29" s="35">
        <f>=SUM(F30:F33)</f>
        <v>0.16</v>
      </c>
      <c r="G29" s="35">
        <f>=SUM(G30:G33)</f>
        <v>0.16</v>
      </c>
      <c r="H29" s="35">
        <f>=SUM(H30:H33)</f>
        <v>0.16</v>
      </c>
      <c r="I29" s="35">
        <f>=SUM(I30:I33)</f>
        <v>0.16</v>
      </c>
      <c r="J29" s="35">
        <f>=SUM(J30:J33)</f>
        <v>0.16</v>
      </c>
      <c r="K29" s="35">
        <f>=SUM(K30:K33)</f>
        <v>0.16</v>
      </c>
      <c r="L29" s="35">
        <f>=SUM(L30:L33)</f>
        <v>0.16</v>
      </c>
      <c r="M29" s="35">
        <f>=SUM(M30:M33)</f>
        <v>0.16</v>
      </c>
      <c r="N29" s="35">
        <f>=SUM(N30:N33)</f>
        <v>0.16</v>
      </c>
      <c r="O29" s="35">
        <f>=SUM(O30:O33)</f>
        <v>0.16</v>
      </c>
      <c r="P29" s="35">
        <f>=SUM(P30:P33)</f>
        <v>0.16</v>
      </c>
      <c r="Q29" s="35">
        <f>=SUM(Q30:Q33)</f>
        <v>0.16</v>
      </c>
      <c r="R29" s="35">
        <f>=SUM(R30:R33)</f>
        <v>0.16</v>
      </c>
      <c r="S29" s="35">
        <f>=SUM(S30:S33)</f>
        <v>0.16</v>
      </c>
      <c r="T29" s="35">
        <f>=SUM(T30:T33)</f>
        <v>0.16</v>
      </c>
      <c r="U29" s="35">
        <f>=SUM(U30:U33)</f>
        <v>0.16</v>
      </c>
      <c r="V29" s="35">
        <f>=SUM(V30:V33)</f>
        <v>0.16</v>
      </c>
      <c r="W29" s="35">
        <f>=SUM(W30:W33)</f>
        <v>0.16</v>
      </c>
      <c r="X29" s="35">
        <f>=SUM(X30:X33)</f>
        <v>0.16</v>
      </c>
      <c r="Y29" s="35">
        <f>=SUM(Y30:Y33)</f>
        <v>0.16</v>
      </c>
      <c r="Z29" s="35">
        <f>=SUM(Z30:Z33)</f>
        <v>0.16</v>
      </c>
      <c r="AA29" s="35">
        <f>=SUM(AA30:AA33)</f>
        <v>0.16</v>
      </c>
      <c r="AB29" s="35">
        <f>=SUM(AB30:AB33)</f>
        <v>0.16</v>
      </c>
      <c r="AC29" s="35">
        <f>=SUM(AC30:AC33)</f>
        <v>0.16</v>
      </c>
      <c r="AD29" s="35">
        <f>=SUM(AD30:AD33)</f>
        <v>0.16</v>
      </c>
      <c r="AE29" s="35">
        <f>=SUM(AE30:AE33)</f>
        <v>0.16</v>
      </c>
      <c r="AF29" s="35">
        <f>=SUM(AF30:AF33)</f>
        <v>0.16</v>
      </c>
      <c r="AG29" s="35">
        <f>=SUM(AG30:AG33)</f>
        <v>0.16</v>
      </c>
      <c r="AH29" s="35">
        <f>=SUM(AH30:AH33)</f>
        <v>0.16</v>
      </c>
      <c r="AI29" s="35">
        <f>=SUM(AI30:AI33)</f>
        <v>0.16</v>
      </c>
      <c r="AJ29" s="35">
        <f>=SUM(AJ30:AJ33)</f>
        <v>0.16</v>
      </c>
      <c r="AK29" s="35">
        <f>=SUM(AK30:AK33)</f>
        <v>0.16</v>
      </c>
      <c r="AL29" s="35">
        <f>=SUM(AL30:AL33)</f>
        <v>0.16</v>
      </c>
      <c r="AM29" s="35">
        <f>=SUM(AM30:AM33)</f>
        <v>0.16</v>
      </c>
      <c r="AN29" s="35">
        <f>=SUM(AN30:AN33)</f>
        <v>0.16</v>
      </c>
      <c r="AO29" s="35">
        <f>=SUM(AO30:AO33)</f>
        <v>0.16</v>
      </c>
      <c r="AP29" s="35">
        <f>=SUM(AP30:AP33)</f>
        <v>0.13</v>
      </c>
      <c r="AQ29" s="35">
        <f>=SUM(AQ30:AQ33)</f>
        <v>0.13</v>
      </c>
      <c r="AR29" s="35">
        <f>=SUM(AR30:AR33)</f>
        <v>0.13</v>
      </c>
      <c r="AS29" s="35">
        <f>=SUM(AS30:AS33)</f>
        <v>0.13</v>
      </c>
      <c r="AT29" s="35">
        <f>=SUM(AT30:AT33)</f>
        <v>0.13</v>
      </c>
      <c r="AU29" s="35">
        <f>=SUM(AU30:AU33)</f>
        <v>0.13</v>
      </c>
      <c r="AV29" s="35">
        <f>=SUM(AV30:AV33)</f>
        <v>0.13</v>
      </c>
      <c r="AW29" s="35">
        <f>=SUM(AW30:AW33)</f>
        <v>0.13</v>
      </c>
      <c r="AX29" s="35">
        <f>=SUM(AX30:AX33)</f>
        <v>0.13</v>
      </c>
      <c r="AY29" s="35">
        <f>=SUM(AY30:AY33)</f>
        <v>0.13</v>
      </c>
      <c r="AZ29" s="35">
        <f>=SUM(AZ30:AZ33)</f>
        <v>0.13</v>
      </c>
      <c r="BA29" s="35">
        <f>=SUM(BA30:BA33)</f>
        <v>0.13</v>
      </c>
      <c r="BB29" s="35">
        <f>=SUM(BB30:BB33)</f>
        <v>0.13</v>
      </c>
      <c r="BC29" s="35">
        <f>=SUM(BC30:BC33)</f>
        <v>0.14</v>
      </c>
      <c r="BD29" s="35">
        <f>=SUM(BD30:BD33)</f>
        <v>0.14</v>
      </c>
      <c r="BE29" s="35">
        <f>=SUM(BE30:BE33)</f>
        <v>0.14</v>
      </c>
      <c r="BF29" s="35">
        <f>=SUM(BF30:BF33)</f>
        <v>0.14</v>
      </c>
      <c r="BG29" s="35">
        <f>=SUM(BG30:BG33)</f>
        <v>0.14</v>
      </c>
      <c r="BH29" s="35">
        <f>=SUM(BH30:BH33)</f>
        <v>0.14</v>
      </c>
      <c r="BI29" s="35">
        <f>=SUM(BI30:BI33)</f>
        <v>0.14</v>
      </c>
      <c r="BJ29" s="35">
        <f>=SUM(BJ30:BJ33)</f>
        <v>0.14</v>
      </c>
      <c r="BK29" s="35">
        <f>=SUM(BK30:BK33)</f>
        <v>0.14</v>
      </c>
      <c r="BL29" s="35">
        <f>=SUM(BL30:BL33)</f>
        <v>0.14</v>
      </c>
      <c r="BM29" s="35">
        <f>=SUM(BM30:BM33)</f>
        <v>0.14</v>
      </c>
      <c r="BN29" s="35">
        <f>=SUM(BN30:BN33)</f>
        <v>0.14</v>
      </c>
      <c r="BO29" s="35">
        <f>=SUM(BO30:BO33)</f>
        <v>0.14</v>
      </c>
      <c r="BP29" s="35">
        <f>=SUM(BP30:BP33)</f>
        <v>0.14</v>
      </c>
      <c r="BQ29" s="35">
        <f>=SUM(BQ30:BQ33)</f>
        <v>0.14</v>
      </c>
      <c r="BR29" s="35">
        <f>=SUM(BR30:BR33)</f>
        <v>0.14</v>
      </c>
      <c r="BS29" s="35">
        <f>=SUM(BS30:BS33)</f>
        <v>0.14</v>
      </c>
      <c r="BT29" s="35">
        <f>=SUM(BT30:BT33)</f>
        <v>0.14</v>
      </c>
      <c r="BU29" s="35">
        <f>=SUM(BU30:BU33)</f>
        <v>0.14</v>
      </c>
      <c r="BV29" s="35">
        <f>=SUM(BV30:BV33)</f>
        <v>0.14</v>
      </c>
      <c r="BW29" s="35">
        <f>=SUM(BW30:BW33)</f>
        <v>0.14</v>
      </c>
      <c r="BX29" s="35">
        <f>=SUM(BX30:BX33)</f>
        <v>0.14</v>
      </c>
      <c r="BY29" s="35">
        <f>=SUM(BY30:BY33)</f>
        <v>0.14</v>
      </c>
      <c r="BZ29" s="35">
        <f>=SUM(BZ30:BZ33)</f>
        <v>0.14</v>
      </c>
      <c r="CA29" s="35">
        <f>=SUM(CA30:CA33)</f>
        <v>0.14</v>
      </c>
      <c r="CB29" s="35">
        <f>=SUM(CB30:CB33)</f>
        <v>0.14</v>
      </c>
      <c r="CC29" s="35">
        <f>=SUM(CC30:CC33)</f>
        <v>0.14</v>
      </c>
      <c r="CD29" s="35">
        <f>=SUM(CD30:CD33)</f>
        <v>0.14</v>
      </c>
      <c r="CE29" s="35">
        <f>=SUM(CE30:CE33)</f>
        <v>0.14</v>
      </c>
      <c r="CF29" s="35">
        <f>=SUM(CF30:CF33)</f>
        <v>0.14</v>
      </c>
      <c r="CG29" s="35">
        <f>=SUM(CG30:CG33)</f>
        <v>0.14</v>
      </c>
      <c r="CH29" s="35">
        <f>=SUM(CH30:CH33)</f>
        <v>0.14</v>
      </c>
      <c r="CI29" s="35">
        <f>=SUM(CI30:CI33)</f>
        <v>0.14</v>
      </c>
      <c r="CJ29" s="35">
        <f>=SUM(CJ30:CJ33)</f>
        <v>0.14</v>
      </c>
      <c r="CK29" s="35">
        <f>=SUM(CK30:CK33)</f>
        <v>0.14</v>
      </c>
      <c r="CL29" s="35">
        <f>=SUM(CL30:CL33)</f>
        <v>0.14</v>
      </c>
      <c r="CM29" s="35">
        <f>=SUM(CM30:CM33)</f>
        <v>0.14</v>
      </c>
      <c r="CN29" s="35">
        <f>=SUM(CN30:CN33)</f>
        <v>0.14</v>
      </c>
      <c r="CO29" s="35">
        <f>=SUM(CO30:CO33)</f>
        <v>0.14</v>
      </c>
      <c r="CP29" s="35">
        <f>=SUM(CP30:CP33)</f>
        <v>0.14</v>
      </c>
      <c r="CQ29" s="35">
        <f>=SUM(CQ30:CQ33)</f>
        <v>0.14</v>
      </c>
      <c r="CR29" s="35">
        <f>=SUM(CR30:CR33)</f>
        <v>0.14</v>
      </c>
      <c r="CS29" s="35">
        <f>=SUM(CS30:CS33)</f>
        <v>0.14</v>
      </c>
      <c r="CT29" s="35">
        <f>=SUM(CT30:CT33)</f>
        <v>0.14</v>
      </c>
      <c r="CU29" s="35">
        <f>=SUM(CU30:CU33)</f>
        <v>0.14</v>
      </c>
      <c r="CV29" s="35">
        <f>=SUM(CV30:CV33)</f>
        <v>0.14</v>
      </c>
      <c r="CW29" s="35">
        <f>=SUM(CW30:CW33)</f>
        <v>0.14</v>
      </c>
      <c r="CX29" s="35">
        <f>=SUM(CX30:CX33)</f>
        <v>0.14</v>
      </c>
      <c r="CY29" s="35">
        <f>=SUM(CY30:CY33)</f>
        <v>0.14</v>
      </c>
      <c r="CZ29" s="35">
        <f>=SUM(CZ30:CZ33)</f>
        <v>0.14</v>
      </c>
      <c r="DA29" s="35">
        <f>=SUM(DA30:DA33)</f>
        <v>0.14</v>
      </c>
      <c r="DB29" s="35">
        <f>=SUM(DB30:DB33)</f>
        <v>0.14</v>
      </c>
    </row>
    <row r="30" ht="16" customHeight="1" spans="1:106" x14ac:dyDescent="0.25">
      <c r="A30" s="36" t="s">
        <v>263</v>
      </c>
      <c r="C30" s="80">
        <v>0.08</v>
      </c>
      <c r="D30" s="80">
        <v>0.08</v>
      </c>
      <c r="E30" s="80">
        <v>0.08</v>
      </c>
      <c r="F30" s="80">
        <v>0.08</v>
      </c>
      <c r="G30" s="80">
        <v>0.08</v>
      </c>
      <c r="H30" s="80">
        <v>0.08</v>
      </c>
      <c r="I30" s="80">
        <v>0.08</v>
      </c>
      <c r="J30" s="80">
        <v>0.08</v>
      </c>
      <c r="K30" s="80">
        <v>0.08</v>
      </c>
      <c r="L30" s="80">
        <v>0.08</v>
      </c>
      <c r="M30" s="80">
        <v>0.08</v>
      </c>
      <c r="N30" s="80">
        <v>0.08</v>
      </c>
      <c r="O30" s="80">
        <v>0.08</v>
      </c>
      <c r="P30" s="80">
        <v>0.08</v>
      </c>
      <c r="Q30" s="80">
        <v>0.08</v>
      </c>
      <c r="R30" s="80">
        <v>0.08</v>
      </c>
      <c r="S30" s="80">
        <v>0.08</v>
      </c>
      <c r="T30" s="80">
        <v>0.08</v>
      </c>
      <c r="U30" s="80">
        <v>0.08</v>
      </c>
      <c r="V30" s="80">
        <v>0.08</v>
      </c>
      <c r="W30" s="80">
        <v>0.08</v>
      </c>
      <c r="X30" s="80">
        <v>0.08</v>
      </c>
      <c r="Y30" s="80">
        <v>0.08</v>
      </c>
      <c r="Z30" s="80">
        <v>0.08</v>
      </c>
      <c r="AA30" s="80">
        <v>0.08</v>
      </c>
      <c r="AB30" s="80">
        <v>0.08</v>
      </c>
      <c r="AC30" s="80">
        <v>0.08</v>
      </c>
      <c r="AD30" s="80">
        <v>0.08</v>
      </c>
      <c r="AE30" s="80">
        <v>0.08</v>
      </c>
      <c r="AF30" s="80">
        <v>0.08</v>
      </c>
      <c r="AG30" s="80">
        <v>0.08</v>
      </c>
      <c r="AH30" s="80">
        <v>0.08</v>
      </c>
      <c r="AI30" s="80">
        <v>0.08</v>
      </c>
      <c r="AJ30" s="80">
        <v>0.08</v>
      </c>
      <c r="AK30" s="80">
        <v>0.08</v>
      </c>
      <c r="AL30" s="80">
        <v>0.08</v>
      </c>
      <c r="AM30" s="80">
        <v>0.08</v>
      </c>
      <c r="AN30" s="80">
        <v>0.08</v>
      </c>
      <c r="AO30" s="80">
        <v>0.08</v>
      </c>
      <c r="AP30" s="80">
        <v>0.065</v>
      </c>
      <c r="AQ30" s="80">
        <v>0.065</v>
      </c>
      <c r="AR30" s="80">
        <v>0.065</v>
      </c>
      <c r="AS30" s="80">
        <v>0.065</v>
      </c>
      <c r="AT30" s="80">
        <v>0.065</v>
      </c>
      <c r="AU30" s="80">
        <v>0.065</v>
      </c>
      <c r="AV30" s="80">
        <v>0.065</v>
      </c>
      <c r="AW30" s="80">
        <v>0.065</v>
      </c>
      <c r="AX30" s="80">
        <v>0.065</v>
      </c>
      <c r="AY30" s="80">
        <v>0.065</v>
      </c>
      <c r="AZ30" s="80">
        <v>0.065</v>
      </c>
      <c r="BA30" s="80">
        <v>0.065</v>
      </c>
      <c r="BB30" s="80">
        <v>0.065</v>
      </c>
      <c r="BC30" s="80">
        <v>0.07</v>
      </c>
      <c r="BD30" s="80">
        <v>0.07</v>
      </c>
      <c r="BE30" s="80">
        <v>0.07</v>
      </c>
      <c r="BF30" s="80">
        <v>0.07</v>
      </c>
      <c r="BG30" s="80">
        <v>0.07</v>
      </c>
      <c r="BH30" s="80">
        <v>0.07</v>
      </c>
      <c r="BI30" s="80">
        <v>0.07</v>
      </c>
      <c r="BJ30" s="80">
        <v>0.07</v>
      </c>
      <c r="BK30" s="80">
        <v>0.07</v>
      </c>
      <c r="BL30" s="80">
        <v>0.07</v>
      </c>
      <c r="BM30" s="80">
        <v>0.07</v>
      </c>
      <c r="BN30" s="80">
        <v>0.07</v>
      </c>
      <c r="BO30" s="80">
        <v>0.07</v>
      </c>
      <c r="BP30" s="80">
        <v>0.07</v>
      </c>
      <c r="BQ30" s="80">
        <v>0.07</v>
      </c>
      <c r="BR30" s="80">
        <v>0.07</v>
      </c>
      <c r="BS30" s="80">
        <v>0.07</v>
      </c>
      <c r="BT30" s="80">
        <v>0.07</v>
      </c>
      <c r="BU30" s="80">
        <v>0.07</v>
      </c>
      <c r="BV30" s="80">
        <v>0.07</v>
      </c>
      <c r="BW30" s="80">
        <v>0.07</v>
      </c>
      <c r="BX30" s="80">
        <v>0.07</v>
      </c>
      <c r="BY30" s="80">
        <v>0.07</v>
      </c>
      <c r="BZ30" s="80">
        <v>0.07</v>
      </c>
      <c r="CA30" s="80">
        <v>0.07</v>
      </c>
      <c r="CB30" s="80">
        <v>0.07</v>
      </c>
      <c r="CC30" s="80">
        <v>0.07</v>
      </c>
      <c r="CD30" s="80">
        <v>0.07</v>
      </c>
      <c r="CE30" s="80">
        <v>0.07</v>
      </c>
      <c r="CF30" s="80">
        <v>0.07</v>
      </c>
      <c r="CG30" s="80">
        <v>0.07</v>
      </c>
      <c r="CH30" s="80">
        <v>0.07</v>
      </c>
      <c r="CI30" s="80">
        <v>0.07</v>
      </c>
      <c r="CJ30" s="80">
        <v>0.07</v>
      </c>
      <c r="CK30" s="80">
        <v>0.07</v>
      </c>
      <c r="CL30" s="80">
        <v>0.07</v>
      </c>
      <c r="CM30" s="80">
        <v>0.07</v>
      </c>
      <c r="CN30" s="80">
        <v>0.07</v>
      </c>
      <c r="CO30" s="80">
        <v>0.07</v>
      </c>
      <c r="CP30" s="80">
        <v>0.07</v>
      </c>
      <c r="CQ30" s="80">
        <v>0.07</v>
      </c>
      <c r="CR30" s="80">
        <v>0.07</v>
      </c>
      <c r="CS30" s="80">
        <v>0.07</v>
      </c>
      <c r="CT30" s="80">
        <v>0.07</v>
      </c>
      <c r="CU30" s="80">
        <v>0.07</v>
      </c>
      <c r="CV30" s="80">
        <v>0.07</v>
      </c>
      <c r="CW30" s="80">
        <v>0.07</v>
      </c>
      <c r="CX30" s="80">
        <v>0.07</v>
      </c>
      <c r="CY30" s="80">
        <v>0.07</v>
      </c>
      <c r="CZ30" s="80">
        <v>0.07</v>
      </c>
      <c r="DA30" s="80">
        <v>0.07</v>
      </c>
      <c r="DB30" s="80">
        <v>0.07</v>
      </c>
    </row>
    <row r="31" ht="16" customHeight="1" spans="1:106" x14ac:dyDescent="0.25">
      <c r="A31" s="36" t="s">
        <v>264</v>
      </c>
      <c r="C31" s="80">
        <v>0.08</v>
      </c>
      <c r="D31" s="80">
        <v>0.08</v>
      </c>
      <c r="E31" s="80">
        <v>0.08</v>
      </c>
      <c r="F31" s="80">
        <v>0.08</v>
      </c>
      <c r="G31" s="80">
        <v>0.08</v>
      </c>
      <c r="H31" s="80">
        <v>0.08</v>
      </c>
      <c r="I31" s="80">
        <v>0.08</v>
      </c>
      <c r="J31" s="80">
        <v>0.08</v>
      </c>
      <c r="K31" s="80">
        <v>0.08</v>
      </c>
      <c r="L31" s="80">
        <v>0.08</v>
      </c>
      <c r="M31" s="80">
        <v>0.08</v>
      </c>
      <c r="N31" s="80">
        <v>0.08</v>
      </c>
      <c r="O31" s="80">
        <v>0.08</v>
      </c>
      <c r="P31" s="80">
        <v>0.08</v>
      </c>
      <c r="Q31" s="80">
        <v>0.08</v>
      </c>
      <c r="R31" s="80">
        <v>0.08</v>
      </c>
      <c r="S31" s="80">
        <v>0.08</v>
      </c>
      <c r="T31" s="80">
        <v>0.08</v>
      </c>
      <c r="U31" s="80">
        <v>0.08</v>
      </c>
      <c r="V31" s="80">
        <v>0.08</v>
      </c>
      <c r="W31" s="80">
        <v>0.08</v>
      </c>
      <c r="X31" s="80">
        <v>0.08</v>
      </c>
      <c r="Y31" s="80">
        <v>0.08</v>
      </c>
      <c r="Z31" s="80">
        <v>0.08</v>
      </c>
      <c r="AA31" s="80">
        <v>0.08</v>
      </c>
      <c r="AB31" s="80">
        <v>0.08</v>
      </c>
      <c r="AC31" s="80">
        <v>0.08</v>
      </c>
      <c r="AD31" s="80">
        <v>0.08</v>
      </c>
      <c r="AE31" s="80">
        <v>0.08</v>
      </c>
      <c r="AF31" s="80">
        <v>0.08</v>
      </c>
      <c r="AG31" s="80">
        <v>0.08</v>
      </c>
      <c r="AH31" s="80">
        <v>0.08</v>
      </c>
      <c r="AI31" s="80">
        <v>0.08</v>
      </c>
      <c r="AJ31" s="80">
        <v>0.08</v>
      </c>
      <c r="AK31" s="80">
        <v>0.08</v>
      </c>
      <c r="AL31" s="80">
        <v>0.08</v>
      </c>
      <c r="AM31" s="80">
        <v>0.08</v>
      </c>
      <c r="AN31" s="80">
        <v>0.08</v>
      </c>
      <c r="AO31" s="80">
        <v>0.08</v>
      </c>
      <c r="AP31" s="80">
        <v>0.065</v>
      </c>
      <c r="AQ31" s="80">
        <v>0.065</v>
      </c>
      <c r="AR31" s="80">
        <v>0.065</v>
      </c>
      <c r="AS31" s="80">
        <v>0.065</v>
      </c>
      <c r="AT31" s="80">
        <v>0.065</v>
      </c>
      <c r="AU31" s="80">
        <v>0.065</v>
      </c>
      <c r="AV31" s="80">
        <v>0.065</v>
      </c>
      <c r="AW31" s="80">
        <v>0.065</v>
      </c>
      <c r="AX31" s="80">
        <v>0.065</v>
      </c>
      <c r="AY31" s="80">
        <v>0.065</v>
      </c>
      <c r="AZ31" s="80">
        <v>0.065</v>
      </c>
      <c r="BA31" s="80">
        <v>0.065</v>
      </c>
      <c r="BB31" s="80">
        <v>0.065</v>
      </c>
      <c r="BC31" s="80">
        <v>0.07</v>
      </c>
      <c r="BD31" s="80">
        <v>0.07</v>
      </c>
      <c r="BE31" s="80">
        <v>0.07</v>
      </c>
      <c r="BF31" s="80">
        <v>0.07</v>
      </c>
      <c r="BG31" s="80">
        <v>0.07</v>
      </c>
      <c r="BH31" s="80">
        <v>0.07</v>
      </c>
      <c r="BI31" s="80">
        <v>0.07</v>
      </c>
      <c r="BJ31" s="80">
        <v>0.07</v>
      </c>
      <c r="BK31" s="80">
        <v>0.07</v>
      </c>
      <c r="BL31" s="80">
        <v>0.07</v>
      </c>
      <c r="BM31" s="80">
        <v>0.07</v>
      </c>
      <c r="BN31" s="80">
        <v>0.07</v>
      </c>
      <c r="BO31" s="80">
        <v>0.07</v>
      </c>
      <c r="BP31" s="80">
        <v>0.07</v>
      </c>
      <c r="BQ31" s="80">
        <v>0.07</v>
      </c>
      <c r="BR31" s="80">
        <v>0.07</v>
      </c>
      <c r="BS31" s="80">
        <v>0.07</v>
      </c>
      <c r="BT31" s="80">
        <v>0.07</v>
      </c>
      <c r="BU31" s="80">
        <v>0.07</v>
      </c>
      <c r="BV31" s="80">
        <v>0.07</v>
      </c>
      <c r="BW31" s="80">
        <v>0.07</v>
      </c>
      <c r="BX31" s="80">
        <v>0.07</v>
      </c>
      <c r="BY31" s="80">
        <v>0.07</v>
      </c>
      <c r="BZ31" s="80">
        <v>0.07</v>
      </c>
      <c r="CA31" s="80">
        <v>0.07</v>
      </c>
      <c r="CB31" s="80">
        <v>0.07</v>
      </c>
      <c r="CC31" s="80">
        <v>0.07</v>
      </c>
      <c r="CD31" s="80">
        <v>0.07</v>
      </c>
      <c r="CE31" s="80">
        <v>0.07</v>
      </c>
      <c r="CF31" s="80">
        <v>0.07</v>
      </c>
      <c r="CG31" s="80">
        <v>0.07</v>
      </c>
      <c r="CH31" s="80">
        <v>0.07</v>
      </c>
      <c r="CI31" s="80">
        <v>0.07</v>
      </c>
      <c r="CJ31" s="80">
        <v>0.07</v>
      </c>
      <c r="CK31" s="80">
        <v>0.07</v>
      </c>
      <c r="CL31" s="80">
        <v>0.07</v>
      </c>
      <c r="CM31" s="80">
        <v>0.07</v>
      </c>
      <c r="CN31" s="80">
        <v>0.07</v>
      </c>
      <c r="CO31" s="80">
        <v>0.07</v>
      </c>
      <c r="CP31" s="80">
        <v>0.07</v>
      </c>
      <c r="CQ31" s="80">
        <v>0.07</v>
      </c>
      <c r="CR31" s="80">
        <v>0.07</v>
      </c>
      <c r="CS31" s="80">
        <v>0.07</v>
      </c>
      <c r="CT31" s="80">
        <v>0.07</v>
      </c>
      <c r="CU31" s="80">
        <v>0.07</v>
      </c>
      <c r="CV31" s="80">
        <v>0.07</v>
      </c>
      <c r="CW31" s="80">
        <v>0.07</v>
      </c>
      <c r="CX31" s="80">
        <v>0.07</v>
      </c>
      <c r="CY31" s="80">
        <v>0.07</v>
      </c>
      <c r="CZ31" s="80">
        <v>0.07</v>
      </c>
      <c r="DA31" s="80">
        <v>0.07</v>
      </c>
      <c r="DB31" s="80">
        <v>0.07</v>
      </c>
    </row>
    <row r="32" spans="1:106" x14ac:dyDescent="0.25">
      <c r="A32" s="36" t="s">
        <v>265</v>
      </c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38"/>
      <c r="BM32" s="38"/>
      <c r="BN32" s="38"/>
      <c r="BO32" s="38"/>
      <c r="BP32" s="38"/>
      <c r="BQ32" s="38"/>
      <c r="BR32" s="38"/>
      <c r="BS32" s="38"/>
      <c r="BT32" s="38"/>
      <c r="BU32" s="38"/>
      <c r="BV32" s="38"/>
      <c r="BW32" s="38"/>
      <c r="BX32" s="38"/>
      <c r="BY32" s="38"/>
      <c r="BZ32" s="38"/>
      <c r="CA32" s="38"/>
      <c r="CB32" s="38"/>
      <c r="CC32" s="38"/>
      <c r="CD32" s="38"/>
      <c r="CE32" s="38"/>
      <c r="CF32" s="38"/>
      <c r="CG32" s="38"/>
      <c r="CH32" s="38"/>
      <c r="CI32" s="38"/>
      <c r="CJ32" s="38"/>
      <c r="CK32" s="38"/>
      <c r="CL32" s="38"/>
      <c r="CM32" s="38"/>
      <c r="CN32" s="38"/>
      <c r="CO32" s="38"/>
      <c r="CP32" s="38"/>
      <c r="CQ32" s="38"/>
      <c r="CR32" s="38"/>
      <c r="CS32" s="38"/>
      <c r="CT32" s="38"/>
      <c r="CU32" s="38"/>
      <c r="CV32" s="38"/>
      <c r="CW32" s="38"/>
      <c r="CX32" s="38"/>
      <c r="CY32" s="38"/>
      <c r="CZ32" s="38"/>
      <c r="DA32" s="38"/>
      <c r="DB32" s="38"/>
    </row>
    <row r="33" spans="1:106" x14ac:dyDescent="0.25">
      <c r="A33" s="36" t="s">
        <v>266</v>
      </c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/>
      <c r="BK33" s="38"/>
      <c r="BL33" s="38"/>
      <c r="BM33" s="38"/>
      <c r="BN33" s="38"/>
      <c r="BO33" s="38"/>
      <c r="BP33" s="38"/>
      <c r="BQ33" s="38"/>
      <c r="BR33" s="38"/>
      <c r="BS33" s="38"/>
      <c r="BT33" s="38"/>
      <c r="BU33" s="38"/>
      <c r="BV33" s="38"/>
      <c r="BW33" s="38"/>
      <c r="BX33" s="38"/>
      <c r="BY33" s="38"/>
      <c r="BZ33" s="38"/>
      <c r="CA33" s="38"/>
      <c r="CB33" s="38"/>
      <c r="CC33" s="38"/>
      <c r="CD33" s="38"/>
      <c r="CE33" s="38"/>
      <c r="CF33" s="38"/>
      <c r="CG33" s="38"/>
      <c r="CH33" s="38"/>
      <c r="CI33" s="38"/>
      <c r="CJ33" s="38"/>
      <c r="CK33" s="38"/>
      <c r="CL33" s="38"/>
      <c r="CM33" s="38"/>
      <c r="CN33" s="38"/>
      <c r="CO33" s="38"/>
      <c r="CP33" s="38"/>
      <c r="CQ33" s="38"/>
      <c r="CR33" s="38"/>
      <c r="CS33" s="38"/>
      <c r="CT33" s="38"/>
      <c r="CU33" s="38"/>
      <c r="CV33" s="38"/>
      <c r="CW33" s="38"/>
      <c r="CX33" s="38"/>
      <c r="CY33" s="38"/>
      <c r="CZ33" s="38"/>
      <c r="DA33" s="38"/>
      <c r="DB33" s="38"/>
    </row>
    <row r="34" ht="15" customHeight="1" spans="1:106" x14ac:dyDescent="0.25">
      <c r="A34" s="16" t="s">
        <v>267</v>
      </c>
      <c r="B34" s="17"/>
      <c r="C34" s="35">
        <f>=SUM(C35:C40)</f>
        <v>0.2</v>
      </c>
      <c r="D34" s="35">
        <f>=SUM(D35:D40)</f>
        <v>0.2</v>
      </c>
      <c r="E34" s="35">
        <f>=SUM(E35:E40)</f>
        <v>0.2</v>
      </c>
      <c r="F34" s="35">
        <f>=SUM(F35:F40)</f>
        <v>0.2</v>
      </c>
      <c r="G34" s="35">
        <f>=SUM(G35:G40)</f>
        <v>0.2</v>
      </c>
      <c r="H34" s="35">
        <f>=SUM(H35:H40)</f>
        <v>0.2</v>
      </c>
      <c r="I34" s="35">
        <f>=SUM(I35:I40)</f>
        <v>0.2</v>
      </c>
      <c r="J34" s="35">
        <f>=SUM(J35:J40)</f>
        <v>0.2</v>
      </c>
      <c r="K34" s="35">
        <f>=SUM(K35:K40)</f>
        <v>0.2</v>
      </c>
      <c r="L34" s="35">
        <f>=SUM(L35:L40)</f>
        <v>0.2</v>
      </c>
      <c r="M34" s="35">
        <f>=SUM(M35:M40)</f>
        <v>0.2</v>
      </c>
      <c r="N34" s="35">
        <f>=SUM(N35:N40)</f>
        <v>0.2</v>
      </c>
      <c r="O34" s="35">
        <f>=SUM(O35:O40)</f>
        <v>0.2</v>
      </c>
      <c r="P34" s="35">
        <f>=SUM(P35:P40)</f>
        <v>0.2</v>
      </c>
      <c r="Q34" s="35">
        <f>=SUM(Q35:Q40)</f>
        <v>0.2</v>
      </c>
      <c r="R34" s="35">
        <f>=SUM(R35:R40)</f>
        <v>0.2</v>
      </c>
      <c r="S34" s="35">
        <f>=SUM(S35:S40)</f>
        <v>0.2</v>
      </c>
      <c r="T34" s="35">
        <f>=SUM(T35:T40)</f>
        <v>0.2</v>
      </c>
      <c r="U34" s="35">
        <f>=SUM(U35:U40)</f>
        <v>0.2</v>
      </c>
      <c r="V34" s="35">
        <f>=SUM(V35:V40)</f>
        <v>0.2</v>
      </c>
      <c r="W34" s="35">
        <f>=SUM(W35:W40)</f>
        <v>0.2</v>
      </c>
      <c r="X34" s="35">
        <f>=SUM(X35:X40)</f>
        <v>0.2</v>
      </c>
      <c r="Y34" s="35">
        <f>=SUM(Y35:Y40)</f>
        <v>0.2</v>
      </c>
      <c r="Z34" s="35">
        <f>=SUM(Z35:Z40)</f>
        <v>0.2</v>
      </c>
      <c r="AA34" s="35">
        <f>=SUM(AA35:AA40)</f>
        <v>0.2</v>
      </c>
      <c r="AB34" s="35">
        <f>=SUM(AB35:AB40)</f>
        <v>0.2</v>
      </c>
      <c r="AC34" s="35">
        <f>=SUM(AC35:AC40)</f>
        <v>0.2</v>
      </c>
      <c r="AD34" s="35">
        <f>=SUM(AD35:AD40)</f>
        <v>0.2</v>
      </c>
      <c r="AE34" s="35">
        <f>=SUM(AE35:AE40)</f>
        <v>0.2</v>
      </c>
      <c r="AF34" s="35">
        <f>=SUM(AF35:AF40)</f>
        <v>0.2</v>
      </c>
      <c r="AG34" s="35">
        <f>=SUM(AG35:AG40)</f>
        <v>0.2</v>
      </c>
      <c r="AH34" s="35">
        <f>=SUM(AH35:AH40)</f>
        <v>0.2</v>
      </c>
      <c r="AI34" s="35">
        <f>=SUM(AI35:AI40)</f>
        <v>0.2</v>
      </c>
      <c r="AJ34" s="35">
        <f>=SUM(AJ35:AJ40)</f>
        <v>0.2</v>
      </c>
      <c r="AK34" s="35">
        <f>=SUM(AK35:AK40)</f>
        <v>0.2</v>
      </c>
      <c r="AL34" s="35">
        <f>=SUM(AL35:AL40)</f>
        <v>0.2</v>
      </c>
      <c r="AM34" s="35">
        <f>=SUM(AM35:AM40)</f>
        <v>0.2</v>
      </c>
      <c r="AN34" s="35">
        <f>=SUM(AN35:AN40)</f>
        <v>0.2</v>
      </c>
      <c r="AO34" s="35">
        <f>=SUM(AO35:AO40)</f>
        <v>0.2</v>
      </c>
      <c r="AP34" s="35">
        <f>=SUM(AP35:AP40)</f>
        <v>0.2</v>
      </c>
      <c r="AQ34" s="35">
        <f>=SUM(AQ35:AQ40)</f>
        <v>0.2</v>
      </c>
      <c r="AR34" s="35">
        <f>=SUM(AR35:AR40)</f>
        <v>0.2</v>
      </c>
      <c r="AS34" s="35">
        <f>=SUM(AS35:AS40)</f>
        <v>0.2</v>
      </c>
      <c r="AT34" s="35">
        <f>=SUM(AT35:AT40)</f>
        <v>0.2</v>
      </c>
      <c r="AU34" s="35">
        <f>=SUM(AU35:AU40)</f>
        <v>0.2</v>
      </c>
      <c r="AV34" s="35">
        <f>=SUM(AV35:AV40)</f>
        <v>0.2</v>
      </c>
      <c r="AW34" s="35">
        <f>=SUM(AW35:AW40)</f>
        <v>0.2</v>
      </c>
      <c r="AX34" s="35">
        <f>=SUM(AX35:AX40)</f>
        <v>0.2</v>
      </c>
      <c r="AY34" s="35">
        <f>=SUM(AY35:AY40)</f>
        <v>0.2</v>
      </c>
      <c r="AZ34" s="35">
        <f>=SUM(AZ35:AZ40)</f>
        <v>0.2</v>
      </c>
      <c r="BA34" s="35">
        <f>=SUM(BA35:BA40)</f>
        <v>0.2</v>
      </c>
      <c r="BB34" s="35">
        <f>=SUM(BB35:BB40)</f>
        <v>0.2</v>
      </c>
      <c r="BC34" s="35">
        <f>=SUM(BC35:BC40)</f>
        <v>0.2</v>
      </c>
      <c r="BD34" s="35">
        <f>=SUM(BD35:BD40)</f>
        <v>0.2</v>
      </c>
      <c r="BE34" s="35">
        <f>=SUM(BE35:BE40)</f>
        <v>0.2</v>
      </c>
      <c r="BF34" s="35">
        <f>=SUM(BF35:BF40)</f>
        <v>0.2</v>
      </c>
      <c r="BG34" s="35">
        <f>=SUM(BG35:BG40)</f>
        <v>0.2</v>
      </c>
      <c r="BH34" s="35">
        <f>=SUM(BH35:BH40)</f>
        <v>0.2</v>
      </c>
      <c r="BI34" s="35">
        <f>=SUM(BI35:BI40)</f>
        <v>0.2</v>
      </c>
      <c r="BJ34" s="35">
        <f>=SUM(BJ35:BJ40)</f>
        <v>0.2</v>
      </c>
      <c r="BK34" s="35">
        <f>=SUM(BK35:BK40)</f>
        <v>0.2</v>
      </c>
      <c r="BL34" s="35">
        <f>=SUM(BL35:BL40)</f>
        <v>0.2</v>
      </c>
      <c r="BM34" s="35">
        <f>=SUM(BM35:BM40)</f>
        <v>0.2</v>
      </c>
      <c r="BN34" s="35">
        <f>=SUM(BN35:BN40)</f>
        <v>0.2</v>
      </c>
      <c r="BO34" s="35">
        <f>=SUM(BO35:BO40)</f>
        <v>0.2</v>
      </c>
      <c r="BP34" s="35">
        <f>=SUM(BP35:BP40)</f>
        <v>0.2</v>
      </c>
      <c r="BQ34" s="35">
        <f>=SUM(BQ35:BQ40)</f>
        <v>0.2</v>
      </c>
      <c r="BR34" s="35">
        <f>=SUM(BR35:BR40)</f>
        <v>0.2</v>
      </c>
      <c r="BS34" s="35">
        <f>=SUM(BS35:BS40)</f>
        <v>0.2</v>
      </c>
      <c r="BT34" s="35">
        <f>=SUM(BT35:BT40)</f>
        <v>0.2</v>
      </c>
      <c r="BU34" s="35">
        <f>=SUM(BU35:BU40)</f>
        <v>0.2</v>
      </c>
      <c r="BV34" s="35">
        <f>=SUM(BV35:BV40)</f>
        <v>0.2</v>
      </c>
      <c r="BW34" s="35">
        <f>=SUM(BW35:BW40)</f>
        <v>0.2</v>
      </c>
      <c r="BX34" s="35">
        <f>=SUM(BX35:BX40)</f>
        <v>0.2</v>
      </c>
      <c r="BY34" s="35">
        <f>=SUM(BY35:BY40)</f>
        <v>0.2</v>
      </c>
      <c r="BZ34" s="35">
        <f>=SUM(BZ35:BZ40)</f>
        <v>0.2</v>
      </c>
      <c r="CA34" s="35">
        <f>=SUM(CA35:CA40)</f>
        <v>0.2</v>
      </c>
      <c r="CB34" s="35">
        <f>=SUM(CB35:CB40)</f>
        <v>0.2</v>
      </c>
      <c r="CC34" s="35">
        <f>=SUM(CC35:CC40)</f>
        <v>0.2</v>
      </c>
      <c r="CD34" s="35">
        <f>=SUM(CD35:CD40)</f>
        <v>0.2</v>
      </c>
      <c r="CE34" s="35">
        <f>=SUM(CE35:CE40)</f>
        <v>0.2</v>
      </c>
      <c r="CF34" s="35">
        <f>=SUM(CF35:CF40)</f>
        <v>0.2</v>
      </c>
      <c r="CG34" s="35">
        <f>=SUM(CG35:CG40)</f>
        <v>0.2</v>
      </c>
      <c r="CH34" s="35">
        <f>=SUM(CH35:CH40)</f>
        <v>0.2</v>
      </c>
      <c r="CI34" s="35">
        <f>=SUM(CI35:CI40)</f>
        <v>0.2</v>
      </c>
      <c r="CJ34" s="35">
        <f>=SUM(CJ35:CJ40)</f>
        <v>0.2</v>
      </c>
      <c r="CK34" s="35">
        <f>=SUM(CK35:CK40)</f>
        <v>0.2</v>
      </c>
      <c r="CL34" s="35">
        <f>=SUM(CL35:CL40)</f>
        <v>0.2</v>
      </c>
      <c r="CM34" s="35">
        <f>=SUM(CM35:CM40)</f>
        <v>0.2</v>
      </c>
      <c r="CN34" s="35">
        <f>=SUM(CN35:CN40)</f>
        <v>0.2</v>
      </c>
      <c r="CO34" s="35">
        <f>=SUM(CO35:CO40)</f>
        <v>0.2</v>
      </c>
      <c r="CP34" s="35">
        <f>=SUM(CP35:CP40)</f>
        <v>0.2</v>
      </c>
      <c r="CQ34" s="35">
        <f>=SUM(CQ35:CQ40)</f>
        <v>0.2</v>
      </c>
      <c r="CR34" s="35">
        <f>=SUM(CR35:CR40)</f>
        <v>0.2</v>
      </c>
      <c r="CS34" s="35">
        <f>=SUM(CS35:CS40)</f>
        <v>0.2</v>
      </c>
      <c r="CT34" s="35">
        <f>=SUM(CT35:CT40)</f>
        <v>0.2</v>
      </c>
      <c r="CU34" s="35">
        <f>=SUM(CU35:CU40)</f>
        <v>0.2</v>
      </c>
      <c r="CV34" s="35">
        <f>=SUM(CV35:CV40)</f>
        <v>0.2</v>
      </c>
      <c r="CW34" s="35">
        <f>=SUM(CW35:CW40)</f>
        <v>0.2</v>
      </c>
      <c r="CX34" s="35">
        <f>=SUM(CX35:CX40)</f>
        <v>0.2</v>
      </c>
      <c r="CY34" s="35">
        <f>=SUM(CY35:CY40)</f>
        <v>0.2</v>
      </c>
      <c r="CZ34" s="35">
        <f>=SUM(CZ35:CZ40)</f>
        <v>0.2</v>
      </c>
      <c r="DA34" s="35">
        <f>=SUM(DA35:DA40)</f>
        <v>0.2</v>
      </c>
      <c r="DB34" s="35">
        <f>=SUM(DB35:DB40)</f>
        <v>0.2</v>
      </c>
    </row>
    <row r="35" ht="16" customHeight="1" spans="1:106" x14ac:dyDescent="0.25">
      <c r="A35" s="36" t="s">
        <v>268</v>
      </c>
      <c r="B35" s="17"/>
      <c r="C35" s="81">
        <v>0.12</v>
      </c>
      <c r="D35" s="81">
        <v>0.12</v>
      </c>
      <c r="E35" s="81">
        <v>0.12</v>
      </c>
      <c r="F35" s="81">
        <v>0.12</v>
      </c>
      <c r="G35" s="81">
        <v>0.12</v>
      </c>
      <c r="H35" s="81">
        <v>0.12</v>
      </c>
      <c r="I35" s="81">
        <v>0.12</v>
      </c>
      <c r="J35" s="81">
        <v>0.12</v>
      </c>
      <c r="K35" s="81">
        <v>0.12</v>
      </c>
      <c r="L35" s="81">
        <v>0.12</v>
      </c>
      <c r="M35" s="81">
        <v>0.12</v>
      </c>
      <c r="N35" s="81">
        <v>0.12</v>
      </c>
      <c r="O35" s="81">
        <v>0.12</v>
      </c>
      <c r="P35" s="81">
        <v>0.12</v>
      </c>
      <c r="Q35" s="81">
        <v>0.12</v>
      </c>
      <c r="R35" s="81">
        <v>0.12</v>
      </c>
      <c r="S35" s="81">
        <v>0.12</v>
      </c>
      <c r="T35" s="81">
        <v>0.12</v>
      </c>
      <c r="U35" s="81">
        <v>0.12</v>
      </c>
      <c r="V35" s="81">
        <v>0.12</v>
      </c>
      <c r="W35" s="81">
        <v>0.12</v>
      </c>
      <c r="X35" s="81">
        <v>0.12</v>
      </c>
      <c r="Y35" s="81">
        <v>0.12</v>
      </c>
      <c r="Z35" s="81">
        <v>0.12</v>
      </c>
      <c r="AA35" s="81">
        <v>0.12</v>
      </c>
      <c r="AB35" s="81">
        <v>0.12</v>
      </c>
      <c r="AC35" s="81">
        <v>0.12</v>
      </c>
      <c r="AD35" s="81">
        <v>0.12</v>
      </c>
      <c r="AE35" s="81">
        <v>0.12</v>
      </c>
      <c r="AF35" s="81">
        <v>0.12</v>
      </c>
      <c r="AG35" s="81">
        <v>0.12</v>
      </c>
      <c r="AH35" s="81">
        <v>0.12</v>
      </c>
      <c r="AI35" s="81">
        <v>0.12</v>
      </c>
      <c r="AJ35" s="81">
        <v>0.12</v>
      </c>
      <c r="AK35" s="81">
        <v>0.12</v>
      </c>
      <c r="AL35" s="81">
        <v>0.12</v>
      </c>
      <c r="AM35" s="81">
        <v>0.12</v>
      </c>
      <c r="AN35" s="81">
        <v>0.12</v>
      </c>
      <c r="AO35" s="81">
        <v>0.12</v>
      </c>
      <c r="AP35" s="81">
        <v>0.12</v>
      </c>
      <c r="AQ35" s="81">
        <v>0.12</v>
      </c>
      <c r="AR35" s="81">
        <v>0.12</v>
      </c>
      <c r="AS35" s="81">
        <v>0.12</v>
      </c>
      <c r="AT35" s="81">
        <v>0.12</v>
      </c>
      <c r="AU35" s="81">
        <v>0.12</v>
      </c>
      <c r="AV35" s="81">
        <v>0.12</v>
      </c>
      <c r="AW35" s="81">
        <v>0.12</v>
      </c>
      <c r="AX35" s="81">
        <v>0.12</v>
      </c>
      <c r="AY35" s="81">
        <v>0.12</v>
      </c>
      <c r="AZ35" s="81">
        <v>0.12</v>
      </c>
      <c r="BA35" s="81">
        <v>0.12</v>
      </c>
      <c r="BB35" s="81">
        <v>0.12</v>
      </c>
      <c r="BC35" s="81">
        <v>0.12</v>
      </c>
      <c r="BD35" s="81">
        <v>0.12</v>
      </c>
      <c r="BE35" s="81">
        <v>0.12</v>
      </c>
      <c r="BF35" s="81">
        <v>0.12</v>
      </c>
      <c r="BG35" s="81">
        <v>0.12</v>
      </c>
      <c r="BH35" s="81">
        <v>0.12</v>
      </c>
      <c r="BI35" s="81">
        <v>0.12</v>
      </c>
      <c r="BJ35" s="81">
        <v>0.12</v>
      </c>
      <c r="BK35" s="81">
        <v>0.12</v>
      </c>
      <c r="BL35" s="81">
        <v>0.12</v>
      </c>
      <c r="BM35" s="81">
        <v>0.12</v>
      </c>
      <c r="BN35" s="81">
        <v>0.12</v>
      </c>
      <c r="BO35" s="81">
        <v>0.12</v>
      </c>
      <c r="BP35" s="81">
        <v>0.12</v>
      </c>
      <c r="BQ35" s="81">
        <v>0.12</v>
      </c>
      <c r="BR35" s="81">
        <v>0.12</v>
      </c>
      <c r="BS35" s="81">
        <v>0.12</v>
      </c>
      <c r="BT35" s="81">
        <v>0.12</v>
      </c>
      <c r="BU35" s="81">
        <v>0.12</v>
      </c>
      <c r="BV35" s="81">
        <v>0.12</v>
      </c>
      <c r="BW35" s="81">
        <v>0.12</v>
      </c>
      <c r="BX35" s="81">
        <v>0.12</v>
      </c>
      <c r="BY35" s="81">
        <v>0.12</v>
      </c>
      <c r="BZ35" s="81">
        <v>0.12</v>
      </c>
      <c r="CA35" s="81">
        <v>0.12</v>
      </c>
      <c r="CB35" s="81">
        <v>0.12</v>
      </c>
      <c r="CC35" s="81">
        <v>0.12</v>
      </c>
      <c r="CD35" s="81">
        <v>0.12</v>
      </c>
      <c r="CE35" s="81">
        <v>0.12</v>
      </c>
      <c r="CF35" s="81">
        <v>0.12</v>
      </c>
      <c r="CG35" s="81">
        <v>0.12</v>
      </c>
      <c r="CH35" s="81">
        <v>0.12</v>
      </c>
      <c r="CI35" s="81">
        <v>0.12</v>
      </c>
      <c r="CJ35" s="81">
        <v>0.12</v>
      </c>
      <c r="CK35" s="81">
        <v>0.12</v>
      </c>
      <c r="CL35" s="81">
        <v>0.12</v>
      </c>
      <c r="CM35" s="81">
        <v>0.12</v>
      </c>
      <c r="CN35" s="81">
        <v>0.12</v>
      </c>
      <c r="CO35" s="81">
        <v>0.12</v>
      </c>
      <c r="CP35" s="81">
        <v>0.12</v>
      </c>
      <c r="CQ35" s="81">
        <v>0.12</v>
      </c>
      <c r="CR35" s="81">
        <v>0.12</v>
      </c>
      <c r="CS35" s="81">
        <v>0.12</v>
      </c>
      <c r="CT35" s="81">
        <v>0.12</v>
      </c>
      <c r="CU35" s="81">
        <v>0.12</v>
      </c>
      <c r="CV35" s="81">
        <v>0.12</v>
      </c>
      <c r="CW35" s="81">
        <v>0.12</v>
      </c>
      <c r="CX35" s="81">
        <v>0.12</v>
      </c>
      <c r="CY35" s="81">
        <v>0.12</v>
      </c>
      <c r="CZ35" s="81">
        <v>0.12</v>
      </c>
      <c r="DA35" s="81">
        <v>0.12</v>
      </c>
      <c r="DB35" s="81">
        <v>0.12</v>
      </c>
    </row>
    <row r="36" ht="15" customHeight="1" spans="1:106" x14ac:dyDescent="0.25">
      <c r="A36" s="36" t="s">
        <v>382</v>
      </c>
      <c r="B36" s="17"/>
      <c r="C36" s="37">
        <v>0.08</v>
      </c>
      <c r="D36" s="37">
        <v>0.08</v>
      </c>
      <c r="E36" s="37">
        <v>0.08</v>
      </c>
      <c r="F36" s="37">
        <v>0.08</v>
      </c>
      <c r="G36" s="37">
        <v>0.08</v>
      </c>
      <c r="H36" s="37">
        <v>0.08</v>
      </c>
      <c r="I36" s="37">
        <v>0.08</v>
      </c>
      <c r="J36" s="37">
        <v>0.08</v>
      </c>
      <c r="K36" s="37">
        <v>0.08</v>
      </c>
      <c r="L36" s="37">
        <v>0.08</v>
      </c>
      <c r="M36" s="37">
        <v>0.08</v>
      </c>
      <c r="N36" s="37">
        <v>0.08</v>
      </c>
      <c r="O36" s="37">
        <v>0.08</v>
      </c>
      <c r="P36" s="37">
        <v>0.08</v>
      </c>
      <c r="Q36" s="37">
        <v>0.08</v>
      </c>
      <c r="R36" s="37">
        <v>0.08</v>
      </c>
      <c r="S36" s="37">
        <v>0.08</v>
      </c>
      <c r="T36" s="37">
        <v>0.08</v>
      </c>
      <c r="U36" s="37">
        <v>0.08</v>
      </c>
      <c r="V36" s="37">
        <v>0.08</v>
      </c>
      <c r="W36" s="37">
        <v>0.08</v>
      </c>
      <c r="X36" s="37">
        <v>0.08</v>
      </c>
      <c r="Y36" s="37">
        <v>0.08</v>
      </c>
      <c r="Z36" s="37">
        <v>0.08</v>
      </c>
      <c r="AA36" s="37">
        <v>0.08</v>
      </c>
      <c r="AB36" s="37">
        <v>0.08</v>
      </c>
      <c r="AC36" s="37">
        <v>0.08</v>
      </c>
      <c r="AD36" s="37">
        <v>0.08</v>
      </c>
      <c r="AE36" s="37">
        <v>0.08</v>
      </c>
      <c r="AF36" s="37">
        <v>0.08</v>
      </c>
      <c r="AG36" s="37">
        <v>0.08</v>
      </c>
      <c r="AH36" s="37">
        <v>0.08</v>
      </c>
      <c r="AI36" s="37">
        <v>0.08</v>
      </c>
      <c r="AJ36" s="37">
        <v>0.08</v>
      </c>
      <c r="AK36" s="37">
        <v>0.08</v>
      </c>
      <c r="AL36" s="37">
        <v>0.08</v>
      </c>
      <c r="AM36" s="37">
        <v>0.08</v>
      </c>
      <c r="AN36" s="37">
        <v>0.08</v>
      </c>
      <c r="AO36" s="37">
        <v>0.08</v>
      </c>
      <c r="AP36" s="37">
        <v>0.08</v>
      </c>
      <c r="AQ36" s="37">
        <v>0.08</v>
      </c>
      <c r="AR36" s="37">
        <v>0.08</v>
      </c>
      <c r="AS36" s="37">
        <v>0.08</v>
      </c>
      <c r="AT36" s="37">
        <v>0.08</v>
      </c>
      <c r="AU36" s="37">
        <v>0.08</v>
      </c>
      <c r="AV36" s="37">
        <v>0.08</v>
      </c>
      <c r="AW36" s="37">
        <v>0.08</v>
      </c>
      <c r="AX36" s="37">
        <v>0.08</v>
      </c>
      <c r="AY36" s="37">
        <v>0.08</v>
      </c>
      <c r="AZ36" s="37">
        <v>0.08</v>
      </c>
      <c r="BA36" s="37">
        <v>0.08</v>
      </c>
      <c r="BB36" s="37">
        <v>0.08</v>
      </c>
      <c r="BC36" s="37">
        <v>0.08</v>
      </c>
      <c r="BD36" s="37">
        <v>0.08</v>
      </c>
      <c r="BE36" s="37">
        <v>0.08</v>
      </c>
      <c r="BF36" s="37">
        <v>0.08</v>
      </c>
      <c r="BG36" s="37">
        <v>0.08</v>
      </c>
      <c r="BH36" s="37">
        <v>0.08</v>
      </c>
      <c r="BI36" s="37">
        <v>0.08</v>
      </c>
      <c r="BJ36" s="37">
        <v>0.08</v>
      </c>
      <c r="BK36" s="37">
        <v>0.08</v>
      </c>
      <c r="BL36" s="37">
        <v>0.08</v>
      </c>
      <c r="BM36" s="37">
        <v>0.08</v>
      </c>
      <c r="BN36" s="37">
        <v>0.08</v>
      </c>
      <c r="BO36" s="37">
        <v>0.08</v>
      </c>
      <c r="BP36" s="37">
        <v>0.08</v>
      </c>
      <c r="BQ36" s="37">
        <v>0.08</v>
      </c>
      <c r="BR36" s="37">
        <v>0.08</v>
      </c>
      <c r="BS36" s="37">
        <v>0.08</v>
      </c>
      <c r="BT36" s="37">
        <v>0.08</v>
      </c>
      <c r="BU36" s="37">
        <v>0.08</v>
      </c>
      <c r="BV36" s="37">
        <v>0.08</v>
      </c>
      <c r="BW36" s="37">
        <v>0.08</v>
      </c>
      <c r="BX36" s="37">
        <v>0.08</v>
      </c>
      <c r="BY36" s="37">
        <v>0.08</v>
      </c>
      <c r="BZ36" s="37">
        <v>0.08</v>
      </c>
      <c r="CA36" s="37">
        <v>0.08</v>
      </c>
      <c r="CB36" s="37">
        <v>0.08</v>
      </c>
      <c r="CC36" s="37">
        <v>0.08</v>
      </c>
      <c r="CD36" s="37">
        <v>0.08</v>
      </c>
      <c r="CE36" s="37">
        <v>0.08</v>
      </c>
      <c r="CF36" s="37">
        <v>0.08</v>
      </c>
      <c r="CG36" s="37">
        <v>0.08</v>
      </c>
      <c r="CH36" s="37">
        <v>0.08</v>
      </c>
      <c r="CI36" s="37">
        <v>0.08</v>
      </c>
      <c r="CJ36" s="37">
        <v>0.08</v>
      </c>
      <c r="CK36" s="37">
        <v>0.08</v>
      </c>
      <c r="CL36" s="37">
        <v>0.08</v>
      </c>
      <c r="CM36" s="37">
        <v>0.08</v>
      </c>
      <c r="CN36" s="37">
        <v>0.08</v>
      </c>
      <c r="CO36" s="37">
        <v>0.08</v>
      </c>
      <c r="CP36" s="37">
        <v>0.08</v>
      </c>
      <c r="CQ36" s="37">
        <v>0.08</v>
      </c>
      <c r="CR36" s="37">
        <v>0.08</v>
      </c>
      <c r="CS36" s="37">
        <v>0.08</v>
      </c>
      <c r="CT36" s="37">
        <v>0.08</v>
      </c>
      <c r="CU36" s="37">
        <v>0.08</v>
      </c>
      <c r="CV36" s="37">
        <v>0.08</v>
      </c>
      <c r="CW36" s="37">
        <v>0.08</v>
      </c>
      <c r="CX36" s="37">
        <v>0.08</v>
      </c>
      <c r="CY36" s="37">
        <v>0.08</v>
      </c>
      <c r="CZ36" s="37">
        <v>0.08</v>
      </c>
      <c r="DA36" s="37">
        <v>0.08</v>
      </c>
      <c r="DB36" s="37">
        <v>0.08</v>
      </c>
    </row>
    <row r="37" spans="1:106" x14ac:dyDescent="0.25">
      <c r="A37" s="36" t="s">
        <v>383</v>
      </c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8"/>
      <c r="BO37" s="38"/>
      <c r="BP37" s="38"/>
      <c r="BQ37" s="38"/>
      <c r="BR37" s="38"/>
      <c r="BS37" s="38"/>
      <c r="BT37" s="38"/>
      <c r="BU37" s="38"/>
      <c r="BV37" s="38"/>
      <c r="BW37" s="38"/>
      <c r="BX37" s="38"/>
      <c r="BY37" s="38"/>
      <c r="BZ37" s="38"/>
      <c r="CA37" s="38"/>
      <c r="CB37" s="38"/>
      <c r="CC37" s="38"/>
      <c r="CD37" s="38"/>
      <c r="CE37" s="38"/>
      <c r="CF37" s="38"/>
      <c r="CG37" s="38"/>
      <c r="CH37" s="38"/>
      <c r="CI37" s="38"/>
      <c r="CJ37" s="38"/>
      <c r="CK37" s="38"/>
      <c r="CL37" s="38"/>
      <c r="CM37" s="38"/>
      <c r="CN37" s="38"/>
      <c r="CO37" s="38"/>
      <c r="CP37" s="38"/>
      <c r="CQ37" s="38"/>
      <c r="CR37" s="38"/>
      <c r="CS37" s="38"/>
      <c r="CT37" s="38"/>
      <c r="CU37" s="38"/>
      <c r="CV37" s="38"/>
      <c r="CW37" s="38"/>
      <c r="CX37" s="38"/>
      <c r="CY37" s="38"/>
      <c r="CZ37" s="38"/>
      <c r="DA37" s="38"/>
      <c r="DB37" s="38"/>
    </row>
    <row r="38" spans="1:1" x14ac:dyDescent="0.25">
      <c r="A38" s="36" t="s">
        <v>266</v>
      </c>
    </row>
    <row r="39" spans="1:1" x14ac:dyDescent="0.25">
      <c r="A39" s="36" t="s">
        <v>266</v>
      </c>
    </row>
    <row r="40" spans="1:106" x14ac:dyDescent="0.25">
      <c r="A40" s="36" t="s">
        <v>266</v>
      </c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  <c r="BL40" s="38"/>
      <c r="BM40" s="38"/>
      <c r="BN40" s="38"/>
      <c r="BO40" s="38"/>
      <c r="BP40" s="38"/>
      <c r="BQ40" s="38"/>
      <c r="BR40" s="38"/>
      <c r="BS40" s="38"/>
      <c r="BT40" s="38"/>
      <c r="BU40" s="38"/>
      <c r="BV40" s="38"/>
      <c r="BW40" s="38"/>
      <c r="BX40" s="38"/>
      <c r="BY40" s="38"/>
      <c r="BZ40" s="38"/>
      <c r="CA40" s="38"/>
      <c r="CB40" s="38"/>
      <c r="CC40" s="38"/>
      <c r="CD40" s="38"/>
      <c r="CE40" s="38"/>
      <c r="CF40" s="38"/>
      <c r="CG40" s="38"/>
      <c r="CH40" s="38"/>
      <c r="CI40" s="38"/>
      <c r="CJ40" s="38"/>
      <c r="CK40" s="38"/>
      <c r="CL40" s="38"/>
      <c r="CM40" s="38"/>
      <c r="CN40" s="38"/>
      <c r="CO40" s="38"/>
      <c r="CP40" s="38"/>
      <c r="CQ40" s="38"/>
      <c r="CR40" s="38"/>
      <c r="CS40" s="38"/>
      <c r="CT40" s="38"/>
      <c r="CU40" s="38"/>
      <c r="CV40" s="38"/>
      <c r="CW40" s="38"/>
      <c r="CX40" s="38"/>
      <c r="CY40" s="38"/>
      <c r="CZ40" s="38"/>
      <c r="DA40" s="38"/>
      <c r="DB40" s="38"/>
    </row>
    <row r="41" ht="16" customHeight="1" spans="1:106" x14ac:dyDescent="0.25">
      <c r="A41" s="20" t="s">
        <v>274</v>
      </c>
      <c r="B41" s="17"/>
      <c r="C41" s="76">
        <v>0.01</v>
      </c>
      <c r="D41" s="76">
        <v>0.01</v>
      </c>
      <c r="E41" s="76">
        <v>0.01</v>
      </c>
      <c r="F41" s="76">
        <v>0.01</v>
      </c>
      <c r="G41" s="76">
        <v>0.01</v>
      </c>
      <c r="H41" s="76">
        <v>0.01</v>
      </c>
      <c r="I41" s="76">
        <v>0.01</v>
      </c>
      <c r="J41" s="76">
        <v>0.01</v>
      </c>
      <c r="K41" s="76">
        <v>0.01</v>
      </c>
      <c r="L41" s="76">
        <v>0.01</v>
      </c>
      <c r="M41" s="76">
        <v>0.01</v>
      </c>
      <c r="N41" s="76">
        <v>0.01</v>
      </c>
      <c r="O41" s="76">
        <v>0.01</v>
      </c>
      <c r="P41" s="76">
        <v>0.01</v>
      </c>
      <c r="Q41" s="76">
        <v>0.01</v>
      </c>
      <c r="R41" s="76">
        <v>0.01</v>
      </c>
      <c r="S41" s="76">
        <v>0.01</v>
      </c>
      <c r="T41" s="76">
        <v>0.01</v>
      </c>
      <c r="U41" s="76">
        <v>0.01</v>
      </c>
      <c r="V41" s="76">
        <v>0.01</v>
      </c>
      <c r="W41" s="76">
        <v>0.01</v>
      </c>
      <c r="X41" s="76">
        <v>0.01</v>
      </c>
      <c r="Y41" s="76">
        <v>0.01</v>
      </c>
      <c r="Z41" s="76">
        <v>0.01</v>
      </c>
      <c r="AA41" s="76">
        <v>0.01</v>
      </c>
      <c r="AB41" s="76">
        <v>0.01</v>
      </c>
      <c r="AC41" s="76">
        <v>0.01</v>
      </c>
      <c r="AD41" s="76">
        <v>0.01</v>
      </c>
      <c r="AE41" s="76">
        <v>0.01</v>
      </c>
      <c r="AF41" s="76">
        <v>0.01</v>
      </c>
      <c r="AG41" s="76">
        <v>0.01</v>
      </c>
      <c r="AH41" s="76">
        <v>0.01</v>
      </c>
      <c r="AI41" s="76">
        <v>0.01</v>
      </c>
      <c r="AJ41" s="76">
        <v>0.01</v>
      </c>
      <c r="AK41" s="76">
        <v>0.01</v>
      </c>
      <c r="AL41" s="76">
        <v>0.01</v>
      </c>
      <c r="AM41" s="76">
        <v>0.01</v>
      </c>
      <c r="AN41" s="76">
        <v>0.01</v>
      </c>
      <c r="AO41" s="76">
        <v>0.01</v>
      </c>
      <c r="AP41" s="76">
        <v>0.01</v>
      </c>
      <c r="AQ41" s="76">
        <v>0.01</v>
      </c>
      <c r="AR41" s="76">
        <v>0.01</v>
      </c>
      <c r="AS41" s="76">
        <v>0.01</v>
      </c>
      <c r="AT41" s="76">
        <v>0.01</v>
      </c>
      <c r="AU41" s="76">
        <v>0.01</v>
      </c>
      <c r="AV41" s="76">
        <v>0.01</v>
      </c>
      <c r="AW41" s="76">
        <v>0.01</v>
      </c>
      <c r="AX41" s="76">
        <v>0.01</v>
      </c>
      <c r="AY41" s="76">
        <v>0.01</v>
      </c>
      <c r="AZ41" s="76">
        <v>0.01</v>
      </c>
      <c r="BA41" s="76">
        <v>0.01</v>
      </c>
      <c r="BB41" s="76">
        <v>0.01</v>
      </c>
      <c r="BC41" s="76">
        <v>0.01</v>
      </c>
      <c r="BD41" s="76">
        <v>0.01</v>
      </c>
      <c r="BE41" s="76">
        <v>0.01</v>
      </c>
      <c r="BF41" s="76">
        <v>0.01</v>
      </c>
      <c r="BG41" s="76">
        <v>0.01</v>
      </c>
      <c r="BH41" s="76">
        <v>0.0125</v>
      </c>
      <c r="BI41" s="76">
        <v>0.0125</v>
      </c>
      <c r="BJ41" s="76">
        <v>0.0125</v>
      </c>
      <c r="BK41" s="76">
        <v>0.0125</v>
      </c>
      <c r="BL41" s="76">
        <v>0.0125</v>
      </c>
      <c r="BM41" s="76">
        <v>0.0125</v>
      </c>
      <c r="BN41" s="76">
        <v>0.0125</v>
      </c>
      <c r="BO41" s="76">
        <v>0.0125</v>
      </c>
      <c r="BP41" s="76">
        <v>0.01</v>
      </c>
      <c r="BQ41" s="76">
        <v>0.01</v>
      </c>
      <c r="BR41" s="76">
        <v>0.01</v>
      </c>
      <c r="BS41" s="76">
        <v>0.01</v>
      </c>
      <c r="BT41" s="76">
        <v>0.01</v>
      </c>
      <c r="BU41" s="76">
        <v>0.0125</v>
      </c>
      <c r="BV41" s="76">
        <v>0.0125</v>
      </c>
      <c r="BW41" s="76">
        <v>0.0125</v>
      </c>
      <c r="BX41" s="76">
        <v>0.0125</v>
      </c>
      <c r="BY41" s="76">
        <v>0.0125</v>
      </c>
      <c r="BZ41" s="76">
        <v>0.0125</v>
      </c>
      <c r="CA41" s="76">
        <v>0.0125</v>
      </c>
      <c r="CB41" s="76">
        <v>0.0125</v>
      </c>
      <c r="CC41" s="76">
        <v>0.01</v>
      </c>
      <c r="CD41" s="76">
        <v>0.01</v>
      </c>
      <c r="CE41" s="76">
        <v>0.01</v>
      </c>
      <c r="CF41" s="76">
        <v>0.01</v>
      </c>
      <c r="CG41" s="76">
        <v>0.01</v>
      </c>
      <c r="CH41" s="76">
        <v>0.0125</v>
      </c>
      <c r="CI41" s="76">
        <v>0.0125</v>
      </c>
      <c r="CJ41" s="76">
        <v>0.0125</v>
      </c>
      <c r="CK41" s="76">
        <v>0.0125</v>
      </c>
      <c r="CL41" s="76">
        <v>0.0125</v>
      </c>
      <c r="CM41" s="76">
        <v>0.0125</v>
      </c>
      <c r="CN41" s="76">
        <v>0.0125</v>
      </c>
      <c r="CO41" s="76">
        <v>0.0125</v>
      </c>
      <c r="CP41" s="76">
        <v>0.01</v>
      </c>
      <c r="CQ41" s="76">
        <v>0.01</v>
      </c>
      <c r="CR41" s="76">
        <v>0.01</v>
      </c>
      <c r="CS41" s="76">
        <v>0.01</v>
      </c>
      <c r="CT41" s="76">
        <v>0.01</v>
      </c>
      <c r="CU41" s="76">
        <v>0.0125</v>
      </c>
      <c r="CV41" s="76">
        <v>0.0125</v>
      </c>
      <c r="CW41" s="76">
        <v>0.0125</v>
      </c>
      <c r="CX41" s="76">
        <v>0.0125</v>
      </c>
      <c r="CY41" s="76">
        <v>0.0125</v>
      </c>
      <c r="CZ41" s="76">
        <v>0.0125</v>
      </c>
      <c r="DA41" s="76">
        <v>0.0125</v>
      </c>
      <c r="DB41" s="76">
        <v>0.0125</v>
      </c>
    </row>
    <row r="42" spans="1:106" x14ac:dyDescent="0.25">
      <c r="A42" s="36" t="s">
        <v>275</v>
      </c>
      <c r="C42" s="82">
        <f>=IFERROR(C19*C41,0)</f>
        <v>0.07</v>
      </c>
      <c r="D42" s="82">
        <f>=IFERROR(D19*D41,0)</f>
        <v>0.07</v>
      </c>
      <c r="E42" s="82">
        <f>=IFERROR(E19*E41,0)</f>
        <v>0.07</v>
      </c>
      <c r="F42" s="82">
        <f>=IFERROR(F19*F41,0)</f>
        <v>0.07</v>
      </c>
      <c r="G42" s="82">
        <f>=IFERROR(G19*G41,0)</f>
        <v>0.07</v>
      </c>
      <c r="H42" s="82">
        <f>=IFERROR(H19*H41,0)</f>
        <v>0.07</v>
      </c>
      <c r="I42" s="82">
        <f>=IFERROR(I19*I41,0)</f>
        <v>0.07</v>
      </c>
      <c r="J42" s="82">
        <f>=IFERROR(J19*J41,0)</f>
        <v>0.07</v>
      </c>
      <c r="K42" s="82">
        <f>=IFERROR(K19*K41,0)</f>
        <v>0.07</v>
      </c>
      <c r="L42" s="82">
        <f>=IFERROR(L19*L41,0)</f>
        <v>0.07</v>
      </c>
      <c r="M42" s="82">
        <f>=IFERROR(M19*M41,0)</f>
        <v>0.07</v>
      </c>
      <c r="N42" s="82">
        <f>=IFERROR(N19*N41,0)</f>
        <v>0.07</v>
      </c>
      <c r="O42" s="82">
        <f>=IFERROR(O19*O41,0)</f>
        <v>0.07</v>
      </c>
      <c r="P42" s="82">
        <f>=IFERROR(P19*P41,0)</f>
        <v>0.07</v>
      </c>
      <c r="Q42" s="82">
        <f>=IFERROR(Q19*Q41,0)</f>
        <v>0.07</v>
      </c>
      <c r="R42" s="82">
        <f>=IFERROR(R19*R41,0)</f>
        <v>0.07</v>
      </c>
      <c r="S42" s="82">
        <f>=IFERROR(S19*S41,0)</f>
        <v>0.07</v>
      </c>
      <c r="T42" s="82">
        <f>=IFERROR(T19*T41,0)</f>
        <v>0.07</v>
      </c>
      <c r="U42" s="82">
        <f>=IFERROR(U19*U41,0)</f>
        <v>0.07</v>
      </c>
      <c r="V42" s="82">
        <f>=IFERROR(V19*V41,0)</f>
        <v>0.07</v>
      </c>
      <c r="W42" s="82">
        <f>=IFERROR(W19*W41,0)</f>
        <v>0.07</v>
      </c>
      <c r="X42" s="82">
        <f>=IFERROR(X19*X41,0)</f>
        <v>0.07</v>
      </c>
      <c r="Y42" s="82">
        <f>=IFERROR(Y19*Y41,0)</f>
        <v>0.07</v>
      </c>
      <c r="Z42" s="82">
        <f>=IFERROR(Z19*Z41,0)</f>
        <v>0.07</v>
      </c>
      <c r="AA42" s="82">
        <f>=IFERROR(AA19*AA41,0)</f>
        <v>0.07</v>
      </c>
      <c r="AB42" s="82">
        <f>=IFERROR(AB19*AB41,0)</f>
        <v>0.07</v>
      </c>
      <c r="AC42" s="41">
        <f>=IFERROR(AC19*AC41,0)</f>
        <v>0.07</v>
      </c>
      <c r="AD42" s="41">
        <f>=IFERROR(AD19*AD41,0)</f>
        <v>0.07</v>
      </c>
      <c r="AE42" s="41">
        <f>=IFERROR(AE19*AE41,0)</f>
        <v>0.07</v>
      </c>
      <c r="AF42" s="41">
        <f>=IFERROR(AF19*AF41,0)</f>
        <v>0.07</v>
      </c>
      <c r="AG42" s="41">
        <f>=IFERROR(AG19*AG41,0)</f>
        <v>0.07</v>
      </c>
      <c r="AH42" s="41">
        <f>=IFERROR(AH19*AH41,0)</f>
        <v>0.07</v>
      </c>
      <c r="AI42" s="41">
        <f>=IFERROR(AI19*AI41,0)</f>
        <v>0.06</v>
      </c>
      <c r="AJ42" s="41">
        <f>=IFERROR(AJ19*AJ41,0)</f>
        <v>0.06</v>
      </c>
      <c r="AK42" s="41">
        <f>=IFERROR(AK19*AK41,0)</f>
        <v>0.06</v>
      </c>
      <c r="AL42" s="41">
        <f>=IFERROR(AL19*AL41,0)</f>
        <v>0.06</v>
      </c>
      <c r="AM42" s="41">
        <f>=IFERROR(AM19*AM41,0)</f>
        <v>0.06</v>
      </c>
      <c r="AN42" s="41">
        <f>=IFERROR(AN19*AN41,0)</f>
        <v>0.06</v>
      </c>
      <c r="AO42" s="41">
        <f>=IFERROR(AO19*AO41,0)</f>
        <v>0.06</v>
      </c>
      <c r="AP42" s="41">
        <f>=IFERROR(AP19*AP41,0)</f>
        <v>0.06</v>
      </c>
      <c r="AQ42" s="41">
        <f>=IFERROR(AQ19*AQ41,0)</f>
        <v>0.05</v>
      </c>
      <c r="AR42" s="41">
        <f>=IFERROR(AR19*AR41,0)</f>
        <v>0.05</v>
      </c>
      <c r="AS42" s="41">
        <f>=IFERROR(AS19*AS41,0)</f>
        <v>0.05</v>
      </c>
      <c r="AT42" s="41">
        <f>=IFERROR(AT19*AT41,0)</f>
        <v>0.05</v>
      </c>
      <c r="AU42" s="41">
        <f>=IFERROR(AU19*AU41,0)</f>
        <v>0.05</v>
      </c>
      <c r="AV42" s="41">
        <f>=IFERROR(AV19*AV41,0)</f>
        <v>0.05</v>
      </c>
      <c r="AW42" s="41">
        <f>=IFERROR(AW19*AW41,0)</f>
        <v>0.05</v>
      </c>
      <c r="AX42" s="41">
        <f>=IFERROR(AX19*AX41,0)</f>
        <v>0.05</v>
      </c>
      <c r="AY42" s="41">
        <f>=IFERROR(AY19*AY41,0)</f>
        <v>0.05</v>
      </c>
      <c r="AZ42" s="41">
        <f>=IFERROR(AZ19*AZ41,0)</f>
        <v>0.05</v>
      </c>
      <c r="BA42" s="41">
        <f>=IFERROR(BA19*BA41,0)</f>
        <v>0.05</v>
      </c>
      <c r="BB42" s="41">
        <f>=IFERROR(BB19*BB41,0)</f>
        <v>0.05</v>
      </c>
      <c r="BC42" s="41">
        <f>=IFERROR(BC19*BC41,0)</f>
        <v>0.04</v>
      </c>
      <c r="BD42" s="41">
        <f>=IFERROR(BD19*BD41,0)</f>
        <v>0.04</v>
      </c>
      <c r="BE42" s="41">
        <f>=IFERROR(BE19*BE41,0)</f>
        <v>0.04</v>
      </c>
      <c r="BF42" s="41">
        <f>=IFERROR(BF19*BF41,0)</f>
        <v>0.04</v>
      </c>
      <c r="BG42" s="41">
        <f>=IFERROR(BG19*BG41,0)</f>
        <v>0.04</v>
      </c>
      <c r="BH42" s="41">
        <f>=IFERROR(BH19*BH41,0)</f>
        <v>0.05</v>
      </c>
      <c r="BI42" s="41">
        <f>=IFERROR(BI19*BI41,0)</f>
        <v>0.05</v>
      </c>
      <c r="BJ42" s="41">
        <f>=IFERROR(BJ19*BJ41,0)</f>
        <v>0.05</v>
      </c>
      <c r="BK42" s="41">
        <f>=IFERROR(BK19*BK41,0)</f>
        <v>0.05</v>
      </c>
      <c r="BL42" s="41">
        <f>=IFERROR(BL19*BL41,0)</f>
        <v>0.05</v>
      </c>
      <c r="BM42" s="41">
        <f>=IFERROR(BM19*BM41,0)</f>
        <v>0.05</v>
      </c>
      <c r="BN42" s="41">
        <f>=IFERROR(BN19*BN41,0)</f>
        <v>0.05</v>
      </c>
      <c r="BO42" s="41">
        <f>=IFERROR(BO19*BO41,0)</f>
        <v>0.05</v>
      </c>
      <c r="BP42" s="41">
        <f>=IFERROR(BP19*BP41,0)</f>
        <v>0</v>
      </c>
      <c r="BQ42" s="41">
        <f>=IFERROR(BQ19*BQ41,0)</f>
        <v>0</v>
      </c>
      <c r="BR42" s="41">
        <f>=IFERROR(BR19*BR41,0)</f>
        <v>0</v>
      </c>
      <c r="BS42" s="41">
        <f>=IFERROR(BS19*BS41,0)</f>
        <v>0</v>
      </c>
      <c r="BT42" s="41">
        <f>=IFERROR(BT19*BT41,0)</f>
        <v>0</v>
      </c>
      <c r="BU42" s="41">
        <f>=IFERROR(BU19*BU41,0)</f>
        <v>0</v>
      </c>
      <c r="BV42" s="41">
        <f>=IFERROR(BV19*BV41,0)</f>
        <v>0</v>
      </c>
      <c r="BW42" s="41">
        <f>=IFERROR(BW19*BW41,0)</f>
        <v>0</v>
      </c>
      <c r="BX42" s="41">
        <f>=IFERROR(BX19*BX41,0)</f>
        <v>0</v>
      </c>
      <c r="BY42" s="41">
        <f>=IFERROR(BY19*BY41,0)</f>
        <v>0</v>
      </c>
      <c r="BZ42" s="41">
        <f>=IFERROR(BZ19*BZ41,0)</f>
        <v>0</v>
      </c>
      <c r="CA42" s="41">
        <f>=IFERROR(CA19*CA41,0)</f>
        <v>0</v>
      </c>
      <c r="CB42" s="41">
        <f>=IFERROR(CB19*CB41,0)</f>
        <v>0</v>
      </c>
      <c r="CC42" s="41">
        <f>=IFERROR(CC19*CC41,0)</f>
        <v>0</v>
      </c>
      <c r="CD42" s="41">
        <f>=IFERROR(CD19*CD41,0)</f>
        <v>0</v>
      </c>
      <c r="CE42" s="41">
        <f>=IFERROR(CE19*CE41,0)</f>
        <v>0</v>
      </c>
      <c r="CF42" s="41">
        <f>=IFERROR(CF19*CF41,0)</f>
        <v>0</v>
      </c>
      <c r="CG42" s="41">
        <f>=IFERROR(CG19*CG41,0)</f>
        <v>0</v>
      </c>
      <c r="CH42" s="41">
        <f>=IFERROR(CH19*CH41,0)</f>
        <v>0</v>
      </c>
      <c r="CI42" s="41">
        <f>=IFERROR(CI19*CI41,0)</f>
        <v>0</v>
      </c>
      <c r="CJ42" s="41">
        <f>=IFERROR(CJ19*CJ41,0)</f>
        <v>0</v>
      </c>
      <c r="CK42" s="41">
        <f>=IFERROR(CK19*CK41,0)</f>
        <v>0</v>
      </c>
      <c r="CL42" s="41">
        <f>=IFERROR(CL19*CL41,0)</f>
        <v>0</v>
      </c>
      <c r="CM42" s="41">
        <f>=IFERROR(CM19*CM41,0)</f>
        <v>0</v>
      </c>
      <c r="CN42" s="41">
        <f>=IFERROR(CN19*CN41,0)</f>
        <v>0</v>
      </c>
      <c r="CO42" s="41">
        <f>=IFERROR(CO19*CO41,0)</f>
        <v>0</v>
      </c>
      <c r="CP42" s="41">
        <f>=IFERROR(CP19*CP41,0)</f>
        <v>0</v>
      </c>
      <c r="CQ42" s="41">
        <f>=IFERROR(CQ19*CQ41,0)</f>
        <v>0</v>
      </c>
      <c r="CR42" s="41">
        <f>=IFERROR(CR19*CR41,0)</f>
        <v>0</v>
      </c>
      <c r="CS42" s="41">
        <f>=IFERROR(CS19*CS41,0)</f>
        <v>0</v>
      </c>
      <c r="CT42" s="41">
        <f>=IFERROR(CT19*CT41,0)</f>
        <v>0</v>
      </c>
      <c r="CU42" s="41">
        <f>=IFERROR(CU19*CU41,0)</f>
        <v>0</v>
      </c>
      <c r="CV42" s="41">
        <f>=IFERROR(CV19*CV41,0)</f>
        <v>0</v>
      </c>
      <c r="CW42" s="41">
        <f>=IFERROR(CW19*CW41,0)</f>
        <v>0</v>
      </c>
      <c r="CX42" s="41">
        <f>=IFERROR(CX19*CX41,0)</f>
        <v>0</v>
      </c>
      <c r="CY42" s="41">
        <f>=IFERROR(CY19*CY41,0)</f>
        <v>0</v>
      </c>
      <c r="CZ42" s="41">
        <f>=IFERROR(CZ19*CZ41,0)</f>
        <v>0</v>
      </c>
      <c r="DA42" s="41">
        <f>=IFERROR(DA19*DA41,0)</f>
        <v>0</v>
      </c>
      <c r="DB42" s="41">
        <f>=IFERROR(DB19*DB41,0)</f>
        <v>0</v>
      </c>
    </row>
    <row r="43" ht="16" customHeight="1" spans="1:106" x14ac:dyDescent="0.25">
      <c r="A43" s="20" t="s">
        <v>276</v>
      </c>
      <c r="B43" s="17"/>
      <c r="C43" s="76">
        <v>0.03</v>
      </c>
      <c r="D43" s="76">
        <v>0.03</v>
      </c>
      <c r="E43" s="76">
        <v>0.03</v>
      </c>
      <c r="F43" s="76">
        <v>0.03</v>
      </c>
      <c r="G43" s="76">
        <v>0.03</v>
      </c>
      <c r="H43" s="76">
        <v>0.03</v>
      </c>
      <c r="I43" s="76">
        <v>0.03</v>
      </c>
      <c r="J43" s="76">
        <v>0.03</v>
      </c>
      <c r="K43" s="76">
        <v>0.03</v>
      </c>
      <c r="L43" s="76">
        <v>0.03</v>
      </c>
      <c r="M43" s="76">
        <v>0.03</v>
      </c>
      <c r="N43" s="76">
        <v>0.03</v>
      </c>
      <c r="O43" s="76">
        <v>0.03</v>
      </c>
      <c r="P43" s="76">
        <v>0.03</v>
      </c>
      <c r="Q43" s="76">
        <v>0.03</v>
      </c>
      <c r="R43" s="76">
        <v>0.03</v>
      </c>
      <c r="S43" s="76">
        <v>0.03</v>
      </c>
      <c r="T43" s="76">
        <v>0.03</v>
      </c>
      <c r="U43" s="76">
        <v>0.03</v>
      </c>
      <c r="V43" s="76">
        <v>0.03</v>
      </c>
      <c r="W43" s="76">
        <v>0.03</v>
      </c>
      <c r="X43" s="76">
        <v>0.03</v>
      </c>
      <c r="Y43" s="76">
        <v>0.03</v>
      </c>
      <c r="Z43" s="76">
        <v>0.03</v>
      </c>
      <c r="AA43" s="76">
        <v>0.03</v>
      </c>
      <c r="AB43" s="76">
        <v>0.03</v>
      </c>
      <c r="AC43" s="76">
        <v>0.03</v>
      </c>
      <c r="AD43" s="76">
        <v>0.03</v>
      </c>
      <c r="AE43" s="76">
        <v>0.03</v>
      </c>
      <c r="AF43" s="76">
        <v>0.03</v>
      </c>
      <c r="AG43" s="76">
        <v>0.03</v>
      </c>
      <c r="AH43" s="76">
        <v>0.03</v>
      </c>
      <c r="AI43" s="76">
        <v>0.03</v>
      </c>
      <c r="AJ43" s="76">
        <v>0.03</v>
      </c>
      <c r="AK43" s="76">
        <v>0.03</v>
      </c>
      <c r="AL43" s="76">
        <v>0.03</v>
      </c>
      <c r="AM43" s="76">
        <v>0.03</v>
      </c>
      <c r="AN43" s="76">
        <v>0.03</v>
      </c>
      <c r="AO43" s="76">
        <v>0.03</v>
      </c>
      <c r="AP43" s="76">
        <v>0.03</v>
      </c>
      <c r="AQ43" s="76">
        <v>0.03</v>
      </c>
      <c r="AR43" s="76">
        <v>0.03</v>
      </c>
      <c r="AS43" s="76">
        <v>0.03</v>
      </c>
      <c r="AT43" s="76">
        <v>0.03</v>
      </c>
      <c r="AU43" s="76">
        <v>0.03</v>
      </c>
      <c r="AV43" s="76">
        <v>0.03</v>
      </c>
      <c r="AW43" s="76">
        <v>0.03</v>
      </c>
      <c r="AX43" s="76">
        <v>0.03</v>
      </c>
      <c r="AY43" s="76">
        <v>0.03</v>
      </c>
      <c r="AZ43" s="76">
        <v>0.03</v>
      </c>
      <c r="BA43" s="76">
        <v>0.03</v>
      </c>
      <c r="BB43" s="76">
        <v>0.03</v>
      </c>
      <c r="BC43" s="76">
        <v>0.03</v>
      </c>
      <c r="BD43" s="76">
        <v>0.03</v>
      </c>
      <c r="BE43" s="76">
        <v>0.03</v>
      </c>
      <c r="BF43" s="76">
        <v>0.03</v>
      </c>
      <c r="BG43" s="76">
        <v>0.03</v>
      </c>
      <c r="BH43" s="76">
        <v>0.03</v>
      </c>
      <c r="BI43" s="76">
        <v>0.03</v>
      </c>
      <c r="BJ43" s="76">
        <v>0.03</v>
      </c>
      <c r="BK43" s="76">
        <v>0.03</v>
      </c>
      <c r="BL43" s="76">
        <v>0.03</v>
      </c>
      <c r="BM43" s="76">
        <v>0.03</v>
      </c>
      <c r="BN43" s="76">
        <v>0.03</v>
      </c>
      <c r="BO43" s="76">
        <v>0.03</v>
      </c>
      <c r="BP43" s="76">
        <v>0.03</v>
      </c>
      <c r="BQ43" s="76">
        <v>0.03</v>
      </c>
      <c r="BR43" s="76">
        <v>0.03</v>
      </c>
      <c r="BS43" s="76">
        <v>0.03</v>
      </c>
      <c r="BT43" s="76">
        <v>0.03</v>
      </c>
      <c r="BU43" s="76">
        <v>0.03</v>
      </c>
      <c r="BV43" s="76">
        <v>0.03</v>
      </c>
      <c r="BW43" s="76">
        <v>0.03</v>
      </c>
      <c r="BX43" s="76">
        <v>0.03</v>
      </c>
      <c r="BY43" s="76">
        <v>0.03</v>
      </c>
      <c r="BZ43" s="76">
        <v>0.03</v>
      </c>
      <c r="CA43" s="76">
        <v>0.03</v>
      </c>
      <c r="CB43" s="76">
        <v>0.03</v>
      </c>
      <c r="CC43" s="76">
        <v>0.03</v>
      </c>
      <c r="CD43" s="76">
        <v>0.03</v>
      </c>
      <c r="CE43" s="76">
        <v>0.03</v>
      </c>
      <c r="CF43" s="76">
        <v>0.03</v>
      </c>
      <c r="CG43" s="76">
        <v>0.03</v>
      </c>
      <c r="CH43" s="76">
        <v>0.03</v>
      </c>
      <c r="CI43" s="76">
        <v>0.03</v>
      </c>
      <c r="CJ43" s="76">
        <v>0.03</v>
      </c>
      <c r="CK43" s="76">
        <v>0.03</v>
      </c>
      <c r="CL43" s="76">
        <v>0.03</v>
      </c>
      <c r="CM43" s="76">
        <v>0.03</v>
      </c>
      <c r="CN43" s="76">
        <v>0.03</v>
      </c>
      <c r="CO43" s="76">
        <v>0.03</v>
      </c>
      <c r="CP43" s="76">
        <v>0.03</v>
      </c>
      <c r="CQ43" s="76">
        <v>0.03</v>
      </c>
      <c r="CR43" s="76">
        <v>0.03</v>
      </c>
      <c r="CS43" s="76">
        <v>0.03</v>
      </c>
      <c r="CT43" s="76">
        <v>0.03</v>
      </c>
      <c r="CU43" s="76">
        <v>0.03</v>
      </c>
      <c r="CV43" s="76">
        <v>0.03</v>
      </c>
      <c r="CW43" s="76">
        <v>0.03</v>
      </c>
      <c r="CX43" s="76">
        <v>0.03</v>
      </c>
      <c r="CY43" s="76">
        <v>0.03</v>
      </c>
      <c r="CZ43" s="76">
        <v>0.03</v>
      </c>
      <c r="DA43" s="76">
        <v>0.03</v>
      </c>
      <c r="DB43" s="76">
        <v>0.03</v>
      </c>
    </row>
    <row r="44" spans="1:106" x14ac:dyDescent="0.25">
      <c r="A44" s="36" t="s">
        <v>277</v>
      </c>
      <c r="C44" s="83">
        <f>=IFERROR(SUM(C119:C125)*C43,0)</f>
        <v>0</v>
      </c>
      <c r="D44" s="83">
        <f>=IFERROR(SUM(D119:D125)*D43,0)</f>
        <v>0</v>
      </c>
      <c r="E44" s="83">
        <f>=IFERROR(SUM(E119:E125)*E43,0)</f>
        <v>0</v>
      </c>
      <c r="F44" s="83">
        <f>=IFERROR(SUM(F119:F125)*F43,0)</f>
        <v>0</v>
      </c>
      <c r="G44" s="83">
        <f>=IFERROR(SUM(G119:G125)*G43,0)</f>
        <v>0</v>
      </c>
      <c r="H44" s="83">
        <f>=IFERROR(SUM(H119:H125)*H43,0)</f>
        <v>0</v>
      </c>
      <c r="I44" s="83">
        <f>=IFERROR(SUM(I119:I125)*I43,0)</f>
        <v>0</v>
      </c>
      <c r="J44" s="83">
        <f>=IFERROR(SUM(J119:J125)*J43,0)</f>
        <v>0</v>
      </c>
      <c r="K44" s="83">
        <f>=IFERROR(SUM(K119:K125)*K43,0)</f>
        <v>0</v>
      </c>
      <c r="L44" s="83">
        <f>=IFERROR(SUM(L119:L125)*L43,0)</f>
        <v>0</v>
      </c>
      <c r="M44" s="83">
        <f>=IFERROR(SUM(M119:M125)*M43,0)</f>
        <v>0</v>
      </c>
      <c r="N44" s="83">
        <f>=IFERROR(SUM(N119:N125)*N43,0)</f>
        <v>0</v>
      </c>
      <c r="O44" s="83">
        <f>=IFERROR(SUM(O119:O125)*O43,0)</f>
        <v>0</v>
      </c>
      <c r="P44" s="83">
        <f>=IFERROR(SUM(P119:P125)*P43,0)</f>
        <v>0</v>
      </c>
      <c r="Q44" s="83">
        <f>=IFERROR(SUM(Q119:Q125)*Q43,0)</f>
        <v>0</v>
      </c>
      <c r="R44" s="83">
        <f>=IFERROR(SUM(R119:R125)*R43,0)</f>
        <v>0</v>
      </c>
      <c r="S44" s="83">
        <f>=IFERROR(SUM(S119:S125)*S43,0)</f>
        <v>0</v>
      </c>
      <c r="T44" s="83">
        <f>=IFERROR(SUM(T119:T125)*T43,0)</f>
        <v>0</v>
      </c>
      <c r="U44" s="83">
        <f>=IFERROR(SUM(U119:U125)*U43,0)</f>
        <v>0</v>
      </c>
      <c r="V44" s="83">
        <f>=IFERROR(SUM(V119:V125)*V43,0)</f>
        <v>0</v>
      </c>
      <c r="W44" s="83">
        <f>=IFERROR(SUM(W119:W125)*W43,0)</f>
        <v>0</v>
      </c>
      <c r="X44" s="83">
        <f>=IFERROR(SUM(X119:X125)*X43,0)</f>
        <v>0</v>
      </c>
      <c r="Y44" s="83">
        <f>=IFERROR(SUM(Y119:Y125)*Y43,0)</f>
        <v>0</v>
      </c>
      <c r="Z44" s="83">
        <f>=IFERROR(SUM(Z119:Z125)*Z43,0)</f>
        <v>0</v>
      </c>
      <c r="AA44" s="83">
        <f>=IFERROR(SUM(AA119:AA125)*AA43,0)</f>
        <v>0</v>
      </c>
      <c r="AB44" s="83">
        <f>=IFERROR(SUM(AB119:AB125)*AB43,0)</f>
        <v>0</v>
      </c>
      <c r="AC44" s="83">
        <f>=IFERROR(SUM(AC119:AC125)*AC43,0)</f>
        <v>0</v>
      </c>
      <c r="AD44" s="83">
        <f>=IFERROR(SUM(AD119:AD125)*AD43,0)</f>
        <v>0</v>
      </c>
      <c r="AE44" s="83">
        <f>=IFERROR(SUM(AE119:AE125)*AE43,0)</f>
        <v>0</v>
      </c>
      <c r="AF44" s="83">
        <f>=IFERROR(SUM(AF119:AF125)*AF43,0)</f>
        <v>0</v>
      </c>
      <c r="AG44" s="83">
        <f>=IFERROR(SUM(AG119:AG125)*AG43,0)</f>
        <v>0</v>
      </c>
      <c r="AH44" s="83">
        <f>=IFERROR(SUM(AH119:AH125)*AH43,0)</f>
        <v>0</v>
      </c>
      <c r="AI44" s="83">
        <f>=IFERROR(SUM(AI119:AI125)*AI43,0)</f>
        <v>0</v>
      </c>
      <c r="AJ44" s="83">
        <f>=IFERROR(SUM(AJ119:AJ125)*AJ43,0)</f>
        <v>0</v>
      </c>
      <c r="AK44" s="83">
        <f>=IFERROR(SUM(AK119:AK125)*AK43,0)</f>
        <v>0</v>
      </c>
      <c r="AL44" s="83">
        <f>=IFERROR(SUM(AL119:AL125)*AL43,0)</f>
        <v>0</v>
      </c>
      <c r="AM44" s="83">
        <f>=IFERROR(SUM(AM119:AM125)*AM43,0)</f>
        <v>0</v>
      </c>
      <c r="AN44" s="83">
        <f>=IFERROR(SUM(AN119:AN125)*AN43,0)</f>
        <v>0</v>
      </c>
      <c r="AO44" s="83">
        <f>=IFERROR(SUM(AO119:AO125)*AO43,0)</f>
        <v>0</v>
      </c>
      <c r="AP44" s="83">
        <f>=IFERROR(SUM(AP119:AP125)*AP43,0)</f>
        <v>0</v>
      </c>
      <c r="AQ44" s="83">
        <f>=IFERROR(SUM(AQ119:AQ125)*AQ43,0)</f>
        <v>0</v>
      </c>
      <c r="AR44" s="83">
        <f>=IFERROR(SUM(AR119:AR125)*AR43,0)</f>
        <v>0</v>
      </c>
      <c r="AS44" s="83">
        <f>=IFERROR(SUM(AS119:AS125)*AS43,0)</f>
        <v>0</v>
      </c>
      <c r="AT44" s="83">
        <f>=IFERROR(SUM(AT119:AT125)*AT43,0)</f>
        <v>0</v>
      </c>
      <c r="AU44" s="83">
        <f>=IFERROR(SUM(AU119:AU125)*AU43,0)</f>
        <v>0</v>
      </c>
      <c r="AV44" s="83">
        <f>=IFERROR(SUM(AV119:AV125)*AV43,0)</f>
        <v>0</v>
      </c>
      <c r="AW44" s="83">
        <f>=IFERROR(SUM(AW119:AW125)*AW43,0)</f>
        <v>0</v>
      </c>
      <c r="AX44" s="83">
        <f>=IFERROR(SUM(AX119:AX125)*AX43,0)</f>
        <v>0</v>
      </c>
      <c r="AY44" s="83">
        <f>=IFERROR(SUM(AY119:AY125)*AY43,0)</f>
        <v>0</v>
      </c>
      <c r="AZ44" s="83">
        <f>=IFERROR(SUM(AZ119:AZ125)*AZ43,0)</f>
        <v>0</v>
      </c>
      <c r="BA44" s="83">
        <f>=IFERROR(SUM(BA119:BA125)*BA43,0)</f>
        <v>0</v>
      </c>
      <c r="BB44" s="83">
        <f>=IFERROR(SUM(BB119:BB125)*BB43,0)</f>
        <v>0</v>
      </c>
      <c r="BC44" s="83">
        <f>=IFERROR(SUM(BC119:BC125)*BC43,0)</f>
        <v>0</v>
      </c>
      <c r="BD44" s="83">
        <f>=IFERROR(SUM(BD119:BD125)*BD43,0)</f>
        <v>0</v>
      </c>
      <c r="BE44" s="83">
        <f>=IFERROR(SUM(BE119:BE125)*BE43,0)</f>
        <v>0</v>
      </c>
      <c r="BF44" s="83">
        <f>=IFERROR(SUM(BF119:BF125)*BF43,0)</f>
        <v>0</v>
      </c>
      <c r="BG44" s="83">
        <f>=IFERROR(SUM(BG119:BG125)*BG43,0)</f>
        <v>0</v>
      </c>
      <c r="BH44" s="83">
        <f>=IFERROR(SUM(BH119:BH125)*BH43,0)</f>
        <v>0</v>
      </c>
      <c r="BI44" s="83">
        <f>=IFERROR(SUM(BI119:BI125)*BI43,0)</f>
        <v>0</v>
      </c>
      <c r="BJ44" s="83">
        <f>=IFERROR(SUM(BJ119:BJ125)*BJ43,0)</f>
        <v>0</v>
      </c>
      <c r="BK44" s="83">
        <f>=IFERROR(SUM(BK119:BK125)*BK43,0)</f>
        <v>0</v>
      </c>
      <c r="BL44" s="83">
        <f>=IFERROR(SUM(BL119:BL125)*BL43,0)</f>
        <v>0</v>
      </c>
      <c r="BM44" s="83">
        <f>=IFERROR(SUM(BM119:BM125)*BM43,0)</f>
        <v>0</v>
      </c>
      <c r="BN44" s="83">
        <f>=IFERROR(SUM(BN119:BN125)*BN43,0)</f>
        <v>0</v>
      </c>
      <c r="BO44" s="83">
        <f>=IFERROR(SUM(BO119:BO125)*BO43,0)</f>
        <v>0</v>
      </c>
      <c r="BP44" s="83">
        <f>=IFERROR(SUM(BP119:BP125)*BP43,0)</f>
        <v>0</v>
      </c>
      <c r="BQ44" s="83">
        <f>=IFERROR(SUM(BQ119:BQ125)*BQ43,0)</f>
        <v>0</v>
      </c>
      <c r="BR44" s="83">
        <f>=IFERROR(SUM(BR119:BR125)*BR43,0)</f>
        <v>0</v>
      </c>
      <c r="BS44" s="83">
        <f>=IFERROR(SUM(BS119:BS125)*BS43,0)</f>
        <v>0</v>
      </c>
      <c r="BT44" s="83">
        <f>=IFERROR(SUM(BT119:BT125)*BT43,0)</f>
        <v>0</v>
      </c>
      <c r="BU44" s="83">
        <f>=IFERROR(SUM(BU119:BU125)*BU43,0)</f>
        <v>0</v>
      </c>
      <c r="BV44" s="83">
        <f>=IFERROR(SUM(BV119:BV125)*BV43,0)</f>
        <v>0</v>
      </c>
      <c r="BW44" s="83">
        <f>=IFERROR(SUM(BW119:BW125)*BW43,0)</f>
        <v>0</v>
      </c>
      <c r="BX44" s="83">
        <f>=IFERROR(SUM(BX119:BX125)*BX43,0)</f>
        <v>0</v>
      </c>
      <c r="BY44" s="83">
        <f>=IFERROR(SUM(BY119:BY125)*BY43,0)</f>
        <v>0</v>
      </c>
      <c r="BZ44" s="83">
        <f>=IFERROR(SUM(BZ119:BZ125)*BZ43,0)</f>
        <v>0</v>
      </c>
      <c r="CA44" s="83">
        <f>=IFERROR(SUM(CA119:CA125)*CA43,0)</f>
        <v>0</v>
      </c>
      <c r="CB44" s="83">
        <f>=IFERROR(SUM(CB119:CB125)*CB43,0)</f>
        <v>0</v>
      </c>
      <c r="CC44" s="83">
        <f>=IFERROR(SUM(CC119:CC125)*CC43,0)</f>
        <v>0</v>
      </c>
      <c r="CD44" s="83">
        <f>=IFERROR(SUM(CD119:CD125)*CD43,0)</f>
        <v>0</v>
      </c>
      <c r="CE44" s="83">
        <f>=IFERROR(SUM(CE119:CE125)*CE43,0)</f>
        <v>0</v>
      </c>
      <c r="CF44" s="83">
        <f>=IFERROR(SUM(CF119:CF125)*CF43,0)</f>
        <v>0</v>
      </c>
      <c r="CG44" s="83">
        <f>=IFERROR(SUM(CG119:CG125)*CG43,0)</f>
        <v>0</v>
      </c>
      <c r="CH44" s="83">
        <f>=IFERROR(SUM(CH119:CH125)*CH43,0)</f>
        <v>0</v>
      </c>
      <c r="CI44" s="83">
        <f>=IFERROR(SUM(CI119:CI125)*CI43,0)</f>
        <v>0</v>
      </c>
      <c r="CJ44" s="83">
        <f>=IFERROR(SUM(CJ119:CJ125)*CJ43,0)</f>
        <v>0</v>
      </c>
      <c r="CK44" s="83">
        <f>=IFERROR(SUM(CK119:CK125)*CK43,0)</f>
        <v>0</v>
      </c>
      <c r="CL44" s="83">
        <f>=IFERROR(SUM(CL119:CL125)*CL43,0)</f>
        <v>0</v>
      </c>
      <c r="CM44" s="83">
        <f>=IFERROR(SUM(CM119:CM125)*CM43,0)</f>
        <v>0</v>
      </c>
      <c r="CN44" s="83">
        <f>=IFERROR(SUM(CN119:CN125)*CN43,0)</f>
        <v>0</v>
      </c>
      <c r="CO44" s="83">
        <f>=IFERROR(SUM(CO119:CO125)*CO43,0)</f>
        <v>0</v>
      </c>
      <c r="CP44" s="83">
        <f>=IFERROR(SUM(CP119:CP125)*CP43,0)</f>
        <v>0</v>
      </c>
      <c r="CQ44" s="83">
        <f>=IFERROR(SUM(CQ119:CQ125)*CQ43,0)</f>
        <v>0</v>
      </c>
      <c r="CR44" s="83">
        <f>=IFERROR(SUM(CR119:CR125)*CR43,0)</f>
        <v>0</v>
      </c>
      <c r="CS44" s="83">
        <f>=IFERROR(SUM(CS119:CS125)*CS43,0)</f>
        <v>0</v>
      </c>
      <c r="CT44" s="83">
        <f>=IFERROR(SUM(CT119:CT125)*CT43,0)</f>
        <v>0</v>
      </c>
      <c r="CU44" s="83">
        <f>=IFERROR(SUM(CU119:CU125)*CU43,0)</f>
        <v>0</v>
      </c>
      <c r="CV44" s="83">
        <f>=IFERROR(SUM(CV119:CV125)*CV43,0)</f>
        <v>0</v>
      </c>
      <c r="CW44" s="83">
        <f>=IFERROR(SUM(CW119:CW125)*CW43,0)</f>
        <v>0</v>
      </c>
      <c r="CX44" s="83">
        <f>=IFERROR(SUM(CX119:CX125)*CX43,0)</f>
        <v>0</v>
      </c>
      <c r="CY44" s="83">
        <f>=IFERROR(SUM(CY119:CY125)*CY43,0)</f>
        <v>0</v>
      </c>
      <c r="CZ44" s="83">
        <f>=IFERROR(SUM(CZ119:CZ125)*CZ43,0)</f>
        <v>0</v>
      </c>
      <c r="DA44" s="83">
        <f>=IFERROR(SUM(DA119:DA125)*DA43,0)</f>
        <v>0</v>
      </c>
      <c r="DB44" s="83">
        <f>=IFERROR(SUM(DB119:DB125)*DB43,0)</f>
        <v>0</v>
      </c>
    </row>
    <row r="45" spans="1:106" x14ac:dyDescent="0.25">
      <c r="A45" s="16" t="s">
        <v>278</v>
      </c>
      <c r="C45" s="44">
        <v>1</v>
      </c>
      <c r="D45" s="44">
        <v>1</v>
      </c>
      <c r="E45" s="44">
        <v>1</v>
      </c>
      <c r="F45" s="44">
        <v>1</v>
      </c>
      <c r="G45" s="44">
        <v>1</v>
      </c>
      <c r="H45" s="44">
        <v>1</v>
      </c>
      <c r="I45" s="44">
        <v>1</v>
      </c>
      <c r="J45" s="44">
        <v>1</v>
      </c>
      <c r="K45" s="44">
        <v>1</v>
      </c>
      <c r="L45" s="44">
        <v>1</v>
      </c>
      <c r="M45" s="44">
        <v>1</v>
      </c>
      <c r="N45" s="44">
        <v>1</v>
      </c>
      <c r="O45" s="44">
        <v>1</v>
      </c>
      <c r="P45" s="44">
        <v>1</v>
      </c>
      <c r="Q45" s="44">
        <v>1</v>
      </c>
      <c r="R45" s="44">
        <v>1</v>
      </c>
      <c r="S45" s="44">
        <v>1</v>
      </c>
      <c r="T45" s="44">
        <v>1</v>
      </c>
      <c r="U45" s="44">
        <v>1</v>
      </c>
      <c r="V45" s="44">
        <v>1</v>
      </c>
      <c r="W45" s="44">
        <v>1</v>
      </c>
      <c r="X45" s="44">
        <v>1</v>
      </c>
      <c r="Y45" s="44">
        <v>1</v>
      </c>
      <c r="Z45" s="44">
        <v>1</v>
      </c>
      <c r="AA45" s="44">
        <v>1</v>
      </c>
      <c r="AB45" s="44">
        <v>1</v>
      </c>
      <c r="AC45" s="44">
        <v>1</v>
      </c>
      <c r="AD45" s="44">
        <v>1</v>
      </c>
      <c r="AE45" s="44">
        <v>1</v>
      </c>
      <c r="AF45" s="44">
        <v>1</v>
      </c>
      <c r="AG45" s="44">
        <v>1</v>
      </c>
      <c r="AH45" s="44">
        <v>1</v>
      </c>
      <c r="AI45" s="44">
        <v>1</v>
      </c>
      <c r="AJ45" s="44">
        <v>1</v>
      </c>
      <c r="AK45" s="44">
        <v>1</v>
      </c>
      <c r="AL45" s="44">
        <v>1</v>
      </c>
      <c r="AM45" s="44">
        <v>1</v>
      </c>
      <c r="AN45" s="44">
        <v>1</v>
      </c>
      <c r="AO45" s="44">
        <v>1</v>
      </c>
      <c r="AP45" s="44">
        <v>1</v>
      </c>
      <c r="AQ45" s="44">
        <v>1</v>
      </c>
      <c r="AR45" s="44">
        <v>1</v>
      </c>
      <c r="AS45" s="44">
        <v>1</v>
      </c>
      <c r="AT45" s="44">
        <v>1</v>
      </c>
      <c r="AU45" s="44">
        <v>1</v>
      </c>
      <c r="AV45" s="44">
        <v>1</v>
      </c>
      <c r="AW45" s="44">
        <v>1</v>
      </c>
      <c r="AX45" s="44">
        <v>1</v>
      </c>
      <c r="AY45" s="44">
        <v>1</v>
      </c>
      <c r="AZ45" s="44">
        <v>1</v>
      </c>
      <c r="BA45" s="44">
        <v>1</v>
      </c>
      <c r="BB45" s="44">
        <v>1</v>
      </c>
      <c r="BC45" s="44">
        <v>1</v>
      </c>
      <c r="BD45" s="44">
        <v>1</v>
      </c>
      <c r="BE45" s="44">
        <v>1</v>
      </c>
      <c r="BF45" s="44">
        <v>1</v>
      </c>
      <c r="BG45" s="44">
        <v>1</v>
      </c>
      <c r="BH45" s="44">
        <v>1</v>
      </c>
      <c r="BI45" s="44">
        <v>1</v>
      </c>
      <c r="BJ45" s="44">
        <v>1</v>
      </c>
      <c r="BK45" s="44">
        <v>1</v>
      </c>
      <c r="BL45" s="44">
        <v>1</v>
      </c>
      <c r="BM45" s="44">
        <v>1</v>
      </c>
      <c r="BN45" s="44">
        <v>1</v>
      </c>
      <c r="BO45" s="44">
        <v>1</v>
      </c>
      <c r="BP45" s="44">
        <v>1</v>
      </c>
      <c r="BQ45" s="44">
        <v>1</v>
      </c>
      <c r="BR45" s="44">
        <v>1</v>
      </c>
      <c r="BS45" s="44">
        <v>1</v>
      </c>
      <c r="BT45" s="44">
        <v>1</v>
      </c>
      <c r="BU45" s="44">
        <v>1</v>
      </c>
      <c r="BV45" s="44">
        <v>1</v>
      </c>
      <c r="BW45" s="44">
        <v>1</v>
      </c>
      <c r="BX45" s="44">
        <v>1</v>
      </c>
      <c r="BY45" s="44">
        <v>1</v>
      </c>
      <c r="BZ45" s="44">
        <v>1</v>
      </c>
      <c r="CA45" s="44">
        <v>1</v>
      </c>
      <c r="CB45" s="44">
        <v>1</v>
      </c>
      <c r="CC45" s="44">
        <v>1</v>
      </c>
      <c r="CD45" s="44">
        <v>1</v>
      </c>
      <c r="CE45" s="44">
        <v>1</v>
      </c>
      <c r="CF45" s="44">
        <v>1</v>
      </c>
      <c r="CG45" s="44">
        <v>1</v>
      </c>
      <c r="CH45" s="44">
        <v>1</v>
      </c>
      <c r="CI45" s="44">
        <v>1</v>
      </c>
      <c r="CJ45" s="44">
        <v>1</v>
      </c>
      <c r="CK45" s="44">
        <v>1</v>
      </c>
      <c r="CL45" s="44">
        <v>1</v>
      </c>
      <c r="CM45" s="44">
        <v>1</v>
      </c>
      <c r="CN45" s="44">
        <v>1</v>
      </c>
      <c r="CO45" s="44">
        <v>1</v>
      </c>
      <c r="CP45" s="44">
        <v>1</v>
      </c>
      <c r="CQ45" s="44">
        <v>1</v>
      </c>
      <c r="CR45" s="44">
        <v>1</v>
      </c>
      <c r="CS45" s="44">
        <v>1</v>
      </c>
      <c r="CT45" s="44">
        <v>1</v>
      </c>
      <c r="CU45" s="44">
        <v>1</v>
      </c>
      <c r="CV45" s="44">
        <v>1</v>
      </c>
      <c r="CW45" s="44">
        <v>1</v>
      </c>
      <c r="CX45" s="44">
        <v>1</v>
      </c>
      <c r="CY45" s="44">
        <v>1</v>
      </c>
      <c r="CZ45" s="44">
        <v>1</v>
      </c>
      <c r="DA45" s="44">
        <v>1</v>
      </c>
      <c r="DB45" s="44">
        <v>1</v>
      </c>
    </row>
    <row r="46" ht="17" customHeight="1" spans="1:106" x14ac:dyDescent="0.25">
      <c r="A46" s="16" t="s">
        <v>279</v>
      </c>
      <c r="B46" s="17"/>
      <c r="C46" s="45">
        <v>0</v>
      </c>
      <c r="D46" s="45">
        <v>0</v>
      </c>
      <c r="E46" s="45">
        <v>0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v>0</v>
      </c>
      <c r="O46" s="45">
        <v>0</v>
      </c>
      <c r="P46" s="45">
        <v>0</v>
      </c>
      <c r="Q46" s="45">
        <v>0</v>
      </c>
      <c r="R46" s="45">
        <v>0</v>
      </c>
      <c r="S46" s="45">
        <v>0</v>
      </c>
      <c r="T46" s="45">
        <v>0</v>
      </c>
      <c r="U46" s="45">
        <v>0</v>
      </c>
      <c r="V46" s="45">
        <v>0</v>
      </c>
      <c r="W46" s="45">
        <v>0</v>
      </c>
      <c r="X46" s="45">
        <v>0</v>
      </c>
      <c r="Y46" s="45">
        <v>0</v>
      </c>
      <c r="Z46" s="45">
        <v>0</v>
      </c>
      <c r="AA46" s="45">
        <v>0</v>
      </c>
      <c r="AB46" s="45">
        <v>0</v>
      </c>
      <c r="AC46" s="45">
        <v>0</v>
      </c>
      <c r="AD46" s="45">
        <v>0</v>
      </c>
      <c r="AE46" s="45">
        <v>0</v>
      </c>
      <c r="AF46" s="45">
        <v>0</v>
      </c>
      <c r="AG46" s="45">
        <v>0</v>
      </c>
      <c r="AH46" s="45">
        <v>0</v>
      </c>
      <c r="AI46" s="45">
        <v>0</v>
      </c>
      <c r="AJ46" s="45">
        <v>0</v>
      </c>
      <c r="AK46" s="45">
        <v>0</v>
      </c>
      <c r="AL46" s="45">
        <v>0</v>
      </c>
      <c r="AM46" s="45">
        <v>0</v>
      </c>
      <c r="AN46" s="45">
        <v>0</v>
      </c>
      <c r="AO46" s="45">
        <v>0</v>
      </c>
      <c r="AP46" s="45">
        <v>0</v>
      </c>
      <c r="AQ46" s="45">
        <v>0</v>
      </c>
      <c r="AR46" s="45">
        <v>0</v>
      </c>
      <c r="AS46" s="45">
        <v>0</v>
      </c>
      <c r="AT46" s="45">
        <v>0</v>
      </c>
      <c r="AU46" s="45">
        <v>0</v>
      </c>
      <c r="AV46" s="45">
        <v>0</v>
      </c>
      <c r="AW46" s="45">
        <v>0</v>
      </c>
      <c r="AX46" s="45">
        <v>0</v>
      </c>
      <c r="AY46" s="45">
        <v>0</v>
      </c>
      <c r="AZ46" s="45">
        <v>0</v>
      </c>
      <c r="BA46" s="45">
        <v>0</v>
      </c>
      <c r="BB46" s="45">
        <v>0</v>
      </c>
      <c r="BC46" s="45">
        <v>0</v>
      </c>
      <c r="BD46" s="45">
        <v>0</v>
      </c>
      <c r="BE46" s="45">
        <v>0</v>
      </c>
      <c r="BF46" s="45">
        <v>0</v>
      </c>
      <c r="BG46" s="45">
        <v>0</v>
      </c>
      <c r="BH46" s="45">
        <v>0</v>
      </c>
      <c r="BI46" s="45">
        <v>0</v>
      </c>
      <c r="BJ46" s="45">
        <v>0</v>
      </c>
      <c r="BK46" s="45">
        <v>0</v>
      </c>
      <c r="BL46" s="45">
        <v>0</v>
      </c>
      <c r="BM46" s="45">
        <v>0</v>
      </c>
      <c r="BN46" s="45">
        <v>0</v>
      </c>
      <c r="BO46" s="45">
        <v>0</v>
      </c>
      <c r="BP46" s="45">
        <v>0</v>
      </c>
      <c r="BQ46" s="45">
        <v>0</v>
      </c>
      <c r="BR46" s="45">
        <v>0</v>
      </c>
      <c r="BS46" s="45">
        <v>0</v>
      </c>
      <c r="BT46" s="45">
        <v>0</v>
      </c>
      <c r="BU46" s="45">
        <v>0</v>
      </c>
      <c r="BV46" s="45">
        <v>0</v>
      </c>
      <c r="BW46" s="45">
        <v>0</v>
      </c>
      <c r="BX46" s="45">
        <v>0</v>
      </c>
      <c r="BY46" s="45">
        <v>0</v>
      </c>
      <c r="BZ46" s="45">
        <v>0</v>
      </c>
      <c r="CA46" s="45">
        <v>0</v>
      </c>
      <c r="CB46" s="45">
        <v>0</v>
      </c>
      <c r="CC46" s="45">
        <v>0</v>
      </c>
      <c r="CD46" s="45">
        <v>0</v>
      </c>
      <c r="CE46" s="45">
        <v>0</v>
      </c>
      <c r="CF46" s="45">
        <v>0</v>
      </c>
      <c r="CG46" s="45">
        <v>0</v>
      </c>
      <c r="CH46" s="45">
        <v>0</v>
      </c>
      <c r="CI46" s="45">
        <v>0</v>
      </c>
      <c r="CJ46" s="45">
        <v>0</v>
      </c>
      <c r="CK46" s="45">
        <v>0</v>
      </c>
      <c r="CL46" s="45">
        <v>0</v>
      </c>
      <c r="CM46" s="45">
        <v>0</v>
      </c>
      <c r="CN46" s="45">
        <v>0</v>
      </c>
      <c r="CO46" s="45">
        <v>0</v>
      </c>
      <c r="CP46" s="45">
        <v>0</v>
      </c>
      <c r="CQ46" s="45">
        <v>0</v>
      </c>
      <c r="CR46" s="45">
        <v>0</v>
      </c>
      <c r="CS46" s="45">
        <v>0</v>
      </c>
      <c r="CT46" s="45">
        <v>0</v>
      </c>
      <c r="CU46" s="45">
        <v>0</v>
      </c>
      <c r="CV46" s="45">
        <v>0</v>
      </c>
      <c r="CW46" s="45">
        <v>0</v>
      </c>
      <c r="CX46" s="45">
        <v>0</v>
      </c>
      <c r="CY46" s="45">
        <v>0</v>
      </c>
      <c r="CZ46" s="45">
        <v>0</v>
      </c>
      <c r="DA46" s="45">
        <v>0</v>
      </c>
      <c r="DB46" s="45">
        <v>0</v>
      </c>
    </row>
    <row r="47" ht="15" customHeight="1" spans="1:106" x14ac:dyDescent="0.25">
      <c r="A47" s="16" t="s">
        <v>280</v>
      </c>
      <c r="B47" s="17"/>
      <c r="C47" s="46">
        <v>5</v>
      </c>
      <c r="D47" s="46">
        <v>5</v>
      </c>
      <c r="E47" s="46">
        <v>5</v>
      </c>
      <c r="F47" s="46">
        <v>5</v>
      </c>
      <c r="G47" s="46">
        <v>5</v>
      </c>
      <c r="H47" s="46">
        <v>5</v>
      </c>
      <c r="I47" s="46">
        <v>5</v>
      </c>
      <c r="J47" s="46">
        <v>5</v>
      </c>
      <c r="K47" s="46">
        <v>5</v>
      </c>
      <c r="L47" s="46">
        <v>5</v>
      </c>
      <c r="M47" s="46">
        <v>5</v>
      </c>
      <c r="N47" s="46">
        <v>5</v>
      </c>
      <c r="O47" s="46">
        <v>5</v>
      </c>
      <c r="P47" s="46">
        <v>5</v>
      </c>
      <c r="Q47" s="46">
        <v>5</v>
      </c>
      <c r="R47" s="46">
        <v>5</v>
      </c>
      <c r="S47" s="46">
        <v>5</v>
      </c>
      <c r="T47" s="46">
        <v>5</v>
      </c>
      <c r="U47" s="46">
        <v>5</v>
      </c>
      <c r="V47" s="46">
        <v>5</v>
      </c>
      <c r="W47" s="46">
        <v>5</v>
      </c>
      <c r="X47" s="46">
        <v>5</v>
      </c>
      <c r="Y47" s="46">
        <v>5</v>
      </c>
      <c r="Z47" s="46">
        <v>5</v>
      </c>
      <c r="AA47" s="46">
        <v>5</v>
      </c>
      <c r="AB47" s="46">
        <v>5</v>
      </c>
      <c r="AC47" s="46">
        <v>5</v>
      </c>
      <c r="AD47" s="46">
        <v>5</v>
      </c>
      <c r="AE47" s="46">
        <v>5</v>
      </c>
      <c r="AF47" s="46">
        <v>5</v>
      </c>
      <c r="AG47" s="46">
        <v>5</v>
      </c>
      <c r="AH47" s="46">
        <v>5</v>
      </c>
      <c r="AI47" s="46">
        <v>5</v>
      </c>
      <c r="AJ47" s="46">
        <v>5</v>
      </c>
      <c r="AK47" s="46">
        <v>5</v>
      </c>
      <c r="AL47" s="46">
        <v>5</v>
      </c>
      <c r="AM47" s="46">
        <v>5</v>
      </c>
      <c r="AN47" s="46">
        <v>5</v>
      </c>
      <c r="AO47" s="46">
        <v>5</v>
      </c>
      <c r="AP47" s="46">
        <v>5</v>
      </c>
      <c r="AQ47" s="46">
        <v>5</v>
      </c>
      <c r="AR47" s="46">
        <v>5</v>
      </c>
      <c r="AS47" s="46">
        <v>5</v>
      </c>
      <c r="AT47" s="46">
        <v>5</v>
      </c>
      <c r="AU47" s="46">
        <v>5</v>
      </c>
      <c r="AV47" s="46">
        <v>5</v>
      </c>
      <c r="AW47" s="46">
        <v>5</v>
      </c>
      <c r="AX47" s="46">
        <v>5</v>
      </c>
      <c r="AY47" s="46">
        <v>5</v>
      </c>
      <c r="AZ47" s="46">
        <v>5</v>
      </c>
      <c r="BA47" s="46">
        <v>5</v>
      </c>
      <c r="BB47" s="46">
        <v>5</v>
      </c>
      <c r="BC47" s="46">
        <v>5</v>
      </c>
      <c r="BD47" s="46">
        <v>5</v>
      </c>
      <c r="BE47" s="46">
        <v>5</v>
      </c>
      <c r="BF47" s="46">
        <v>5</v>
      </c>
      <c r="BG47" s="46">
        <v>5</v>
      </c>
      <c r="BH47" s="46">
        <v>5</v>
      </c>
      <c r="BI47" s="46">
        <v>5</v>
      </c>
      <c r="BJ47" s="46">
        <v>5</v>
      </c>
      <c r="BK47" s="46">
        <v>5</v>
      </c>
      <c r="BL47" s="46">
        <v>5</v>
      </c>
      <c r="BM47" s="46">
        <v>5</v>
      </c>
      <c r="BN47" s="46">
        <v>5</v>
      </c>
      <c r="BO47" s="46">
        <v>5</v>
      </c>
      <c r="BP47" s="46">
        <v>5</v>
      </c>
      <c r="BQ47" s="46">
        <v>5</v>
      </c>
      <c r="BR47" s="46">
        <v>5</v>
      </c>
      <c r="BS47" s="46">
        <v>5</v>
      </c>
      <c r="BT47" s="46">
        <v>5</v>
      </c>
      <c r="BU47" s="46">
        <v>5</v>
      </c>
      <c r="BV47" s="46">
        <v>5</v>
      </c>
      <c r="BW47" s="46">
        <v>5</v>
      </c>
      <c r="BX47" s="46">
        <v>5</v>
      </c>
      <c r="BY47" s="46">
        <v>5</v>
      </c>
      <c r="BZ47" s="46">
        <v>5</v>
      </c>
      <c r="CA47" s="46">
        <v>5</v>
      </c>
      <c r="CB47" s="46">
        <v>5</v>
      </c>
      <c r="CC47" s="46">
        <v>5</v>
      </c>
      <c r="CD47" s="46">
        <v>5</v>
      </c>
      <c r="CE47" s="46">
        <v>5</v>
      </c>
      <c r="CF47" s="46">
        <v>5</v>
      </c>
      <c r="CG47" s="46">
        <v>5</v>
      </c>
      <c r="CH47" s="46">
        <v>5</v>
      </c>
      <c r="CI47" s="46">
        <v>5</v>
      </c>
      <c r="CJ47" s="46">
        <v>5</v>
      </c>
      <c r="CK47" s="46">
        <v>5</v>
      </c>
      <c r="CL47" s="46">
        <v>5</v>
      </c>
      <c r="CM47" s="46">
        <v>5</v>
      </c>
      <c r="CN47" s="46">
        <v>5</v>
      </c>
      <c r="CO47" s="46">
        <v>5</v>
      </c>
      <c r="CP47" s="46">
        <v>5</v>
      </c>
      <c r="CQ47" s="46">
        <v>5</v>
      </c>
      <c r="CR47" s="46">
        <v>5</v>
      </c>
      <c r="CS47" s="46">
        <v>5</v>
      </c>
      <c r="CT47" s="46">
        <v>5</v>
      </c>
      <c r="CU47" s="46">
        <v>5</v>
      </c>
      <c r="CV47" s="46">
        <v>5</v>
      </c>
      <c r="CW47" s="46">
        <v>5</v>
      </c>
      <c r="CX47" s="46">
        <v>5</v>
      </c>
      <c r="CY47" s="46">
        <v>5</v>
      </c>
      <c r="CZ47" s="46">
        <v>5</v>
      </c>
      <c r="DA47" s="46">
        <v>5</v>
      </c>
      <c r="DB47" s="46">
        <v>5</v>
      </c>
    </row>
    <row r="48" ht="16" customHeight="1" spans="1:106" x14ac:dyDescent="0.25">
      <c r="A48" s="16" t="s">
        <v>281</v>
      </c>
      <c r="B48" s="17"/>
      <c r="C48" s="46">
        <v>8</v>
      </c>
      <c r="D48" s="46">
        <v>8</v>
      </c>
      <c r="E48" s="46">
        <v>8</v>
      </c>
      <c r="F48" s="46">
        <v>8</v>
      </c>
      <c r="G48" s="46">
        <v>8</v>
      </c>
      <c r="H48" s="46">
        <v>8</v>
      </c>
      <c r="I48" s="46">
        <v>8</v>
      </c>
      <c r="J48" s="46">
        <v>8</v>
      </c>
      <c r="K48" s="46">
        <v>8</v>
      </c>
      <c r="L48" s="46">
        <v>8</v>
      </c>
      <c r="M48" s="46">
        <v>8</v>
      </c>
      <c r="N48" s="46">
        <v>8</v>
      </c>
      <c r="O48" s="46">
        <v>8</v>
      </c>
      <c r="P48" s="46">
        <v>8</v>
      </c>
      <c r="Q48" s="46">
        <v>8</v>
      </c>
      <c r="R48" s="46">
        <v>8</v>
      </c>
      <c r="S48" s="46">
        <v>8</v>
      </c>
      <c r="T48" s="46">
        <v>8</v>
      </c>
      <c r="U48" s="46">
        <v>8</v>
      </c>
      <c r="V48" s="46">
        <v>8</v>
      </c>
      <c r="W48" s="46">
        <v>8</v>
      </c>
      <c r="X48" s="46">
        <v>8</v>
      </c>
      <c r="Y48" s="46">
        <v>8</v>
      </c>
      <c r="Z48" s="46">
        <v>8</v>
      </c>
      <c r="AA48" s="46">
        <v>8</v>
      </c>
      <c r="AB48" s="46">
        <v>8</v>
      </c>
      <c r="AC48" s="46">
        <v>8</v>
      </c>
      <c r="AD48" s="46">
        <v>8</v>
      </c>
      <c r="AE48" s="46">
        <v>8</v>
      </c>
      <c r="AF48" s="46">
        <v>8</v>
      </c>
      <c r="AG48" s="46">
        <v>8</v>
      </c>
      <c r="AH48" s="46">
        <v>8</v>
      </c>
      <c r="AI48" s="46">
        <v>8</v>
      </c>
      <c r="AJ48" s="46">
        <v>8</v>
      </c>
      <c r="AK48" s="46">
        <v>8</v>
      </c>
      <c r="AL48" s="46">
        <v>8</v>
      </c>
      <c r="AM48" s="46">
        <v>8</v>
      </c>
      <c r="AN48" s="46">
        <v>8</v>
      </c>
      <c r="AO48" s="46">
        <v>8</v>
      </c>
      <c r="AP48" s="46">
        <v>8</v>
      </c>
      <c r="AQ48" s="46">
        <v>8</v>
      </c>
      <c r="AR48" s="46">
        <v>8</v>
      </c>
      <c r="AS48" s="46">
        <v>8</v>
      </c>
      <c r="AT48" s="46">
        <v>8</v>
      </c>
      <c r="AU48" s="46">
        <v>8</v>
      </c>
      <c r="AV48" s="46">
        <v>8</v>
      </c>
      <c r="AW48" s="46">
        <v>8</v>
      </c>
      <c r="AX48" s="46">
        <v>8</v>
      </c>
      <c r="AY48" s="46">
        <v>8</v>
      </c>
      <c r="AZ48" s="46">
        <v>8</v>
      </c>
      <c r="BA48" s="46">
        <v>8</v>
      </c>
      <c r="BB48" s="46">
        <v>8</v>
      </c>
      <c r="BC48" s="46">
        <v>8</v>
      </c>
      <c r="BD48" s="46">
        <v>8</v>
      </c>
      <c r="BE48" s="46">
        <v>8</v>
      </c>
      <c r="BF48" s="46">
        <v>8</v>
      </c>
      <c r="BG48" s="46">
        <v>8</v>
      </c>
      <c r="BH48" s="46">
        <v>8</v>
      </c>
      <c r="BI48" s="46">
        <v>8</v>
      </c>
      <c r="BJ48" s="46">
        <v>8</v>
      </c>
      <c r="BK48" s="46">
        <v>8</v>
      </c>
      <c r="BL48" s="46">
        <v>8</v>
      </c>
      <c r="BM48" s="46">
        <v>8</v>
      </c>
      <c r="BN48" s="46">
        <v>8</v>
      </c>
      <c r="BO48" s="46">
        <v>8</v>
      </c>
      <c r="BP48" s="46">
        <v>8</v>
      </c>
      <c r="BQ48" s="46">
        <v>8</v>
      </c>
      <c r="BR48" s="46">
        <v>8</v>
      </c>
      <c r="BS48" s="46">
        <v>8</v>
      </c>
      <c r="BT48" s="46">
        <v>8</v>
      </c>
      <c r="BU48" s="46">
        <v>8</v>
      </c>
      <c r="BV48" s="46">
        <v>8</v>
      </c>
      <c r="BW48" s="46">
        <v>8</v>
      </c>
      <c r="BX48" s="46">
        <v>8</v>
      </c>
      <c r="BY48" s="46">
        <v>8</v>
      </c>
      <c r="BZ48" s="46">
        <v>8</v>
      </c>
      <c r="CA48" s="46">
        <v>8</v>
      </c>
      <c r="CB48" s="46">
        <v>8</v>
      </c>
      <c r="CC48" s="46">
        <v>8</v>
      </c>
      <c r="CD48" s="46">
        <v>8</v>
      </c>
      <c r="CE48" s="46">
        <v>8</v>
      </c>
      <c r="CF48" s="46">
        <v>8</v>
      </c>
      <c r="CG48" s="46">
        <v>8</v>
      </c>
      <c r="CH48" s="46">
        <v>8</v>
      </c>
      <c r="CI48" s="46">
        <v>8</v>
      </c>
      <c r="CJ48" s="46">
        <v>8</v>
      </c>
      <c r="CK48" s="46">
        <v>8</v>
      </c>
      <c r="CL48" s="46">
        <v>8</v>
      </c>
      <c r="CM48" s="46">
        <v>8</v>
      </c>
      <c r="CN48" s="46">
        <v>8</v>
      </c>
      <c r="CO48" s="46">
        <v>8</v>
      </c>
      <c r="CP48" s="46">
        <v>8</v>
      </c>
      <c r="CQ48" s="46">
        <v>8</v>
      </c>
      <c r="CR48" s="46">
        <v>8</v>
      </c>
      <c r="CS48" s="46">
        <v>8</v>
      </c>
      <c r="CT48" s="46">
        <v>8</v>
      </c>
      <c r="CU48" s="46">
        <v>8</v>
      </c>
      <c r="CV48" s="46">
        <v>8</v>
      </c>
      <c r="CW48" s="46">
        <v>8</v>
      </c>
      <c r="CX48" s="46">
        <v>8</v>
      </c>
      <c r="CY48" s="46">
        <v>8</v>
      </c>
      <c r="CZ48" s="46">
        <v>8</v>
      </c>
      <c r="DA48" s="46">
        <v>8</v>
      </c>
      <c r="DB48" s="46">
        <v>8</v>
      </c>
    </row>
    <row r="49" ht="15" customHeight="1" spans="1:106" x14ac:dyDescent="0.25">
      <c r="A49" s="16" t="s">
        <v>282</v>
      </c>
      <c r="B49" s="17"/>
      <c r="C49" s="46">
        <v>0</v>
      </c>
      <c r="D49" s="46">
        <v>0</v>
      </c>
      <c r="E49" s="46">
        <v>0</v>
      </c>
      <c r="F49" s="46">
        <v>0</v>
      </c>
      <c r="G49" s="46">
        <v>0</v>
      </c>
      <c r="H49" s="46">
        <v>0</v>
      </c>
      <c r="I49" s="46">
        <v>0</v>
      </c>
      <c r="J49" s="46">
        <v>0</v>
      </c>
      <c r="K49" s="46">
        <v>0</v>
      </c>
      <c r="L49" s="46">
        <v>0</v>
      </c>
      <c r="M49" s="46">
        <v>0</v>
      </c>
      <c r="N49" s="46">
        <v>0</v>
      </c>
      <c r="O49" s="46">
        <v>0</v>
      </c>
      <c r="P49" s="46">
        <v>0</v>
      </c>
      <c r="Q49" s="46">
        <v>0</v>
      </c>
      <c r="R49" s="46">
        <v>0</v>
      </c>
      <c r="S49" s="46">
        <v>0</v>
      </c>
      <c r="T49" s="46">
        <v>0</v>
      </c>
      <c r="U49" s="46">
        <v>0</v>
      </c>
      <c r="V49" s="46">
        <v>0</v>
      </c>
      <c r="W49" s="46">
        <v>0</v>
      </c>
      <c r="X49" s="46">
        <v>0</v>
      </c>
      <c r="Y49" s="46">
        <v>0</v>
      </c>
      <c r="Z49" s="46">
        <v>0</v>
      </c>
      <c r="AA49" s="46">
        <v>0</v>
      </c>
      <c r="AB49" s="46">
        <v>0</v>
      </c>
      <c r="AC49" s="46">
        <v>0</v>
      </c>
      <c r="AD49" s="46">
        <v>0</v>
      </c>
      <c r="AE49" s="46">
        <v>0</v>
      </c>
      <c r="AF49" s="46">
        <v>0</v>
      </c>
      <c r="AG49" s="46">
        <v>0</v>
      </c>
      <c r="AH49" s="46">
        <v>0</v>
      </c>
      <c r="AI49" s="46">
        <v>0</v>
      </c>
      <c r="AJ49" s="46">
        <v>0</v>
      </c>
      <c r="AK49" s="46">
        <v>0</v>
      </c>
      <c r="AL49" s="46">
        <v>0</v>
      </c>
      <c r="AM49" s="46">
        <v>0</v>
      </c>
      <c r="AN49" s="46">
        <v>0</v>
      </c>
      <c r="AO49" s="46">
        <v>0</v>
      </c>
      <c r="AP49" s="46">
        <v>0</v>
      </c>
      <c r="AQ49" s="46">
        <v>0</v>
      </c>
      <c r="AR49" s="46">
        <v>0</v>
      </c>
      <c r="AS49" s="46">
        <v>0</v>
      </c>
      <c r="AT49" s="46">
        <v>0</v>
      </c>
      <c r="AU49" s="46">
        <v>0</v>
      </c>
      <c r="AV49" s="46">
        <v>0</v>
      </c>
      <c r="AW49" s="46">
        <v>0</v>
      </c>
      <c r="AX49" s="46">
        <v>0</v>
      </c>
      <c r="AY49" s="46">
        <v>0</v>
      </c>
      <c r="AZ49" s="46">
        <v>0</v>
      </c>
      <c r="BA49" s="46">
        <v>0</v>
      </c>
      <c r="BB49" s="46">
        <v>0</v>
      </c>
      <c r="BC49" s="46">
        <v>0</v>
      </c>
      <c r="BD49" s="46">
        <v>0</v>
      </c>
      <c r="BE49" s="46">
        <v>0</v>
      </c>
      <c r="BF49" s="46">
        <v>0</v>
      </c>
      <c r="BG49" s="46">
        <v>0</v>
      </c>
      <c r="BH49" s="46">
        <v>0</v>
      </c>
      <c r="BI49" s="46">
        <v>0</v>
      </c>
      <c r="BJ49" s="46">
        <v>0</v>
      </c>
      <c r="BK49" s="46">
        <v>0</v>
      </c>
      <c r="BL49" s="46">
        <v>0</v>
      </c>
      <c r="BM49" s="46">
        <v>0</v>
      </c>
      <c r="BN49" s="46">
        <v>0</v>
      </c>
      <c r="BO49" s="46">
        <v>0</v>
      </c>
      <c r="BP49" s="46">
        <v>0</v>
      </c>
      <c r="BQ49" s="46">
        <v>0</v>
      </c>
      <c r="BR49" s="46">
        <v>0</v>
      </c>
      <c r="BS49" s="46">
        <v>0</v>
      </c>
      <c r="BT49" s="46">
        <v>0</v>
      </c>
      <c r="BU49" s="46">
        <v>0</v>
      </c>
      <c r="BV49" s="46">
        <v>0</v>
      </c>
      <c r="BW49" s="46">
        <v>0</v>
      </c>
      <c r="BX49" s="46">
        <v>0</v>
      </c>
      <c r="BY49" s="46">
        <v>0</v>
      </c>
      <c r="BZ49" s="46">
        <v>0</v>
      </c>
      <c r="CA49" s="46">
        <v>0</v>
      </c>
      <c r="CB49" s="46">
        <v>0</v>
      </c>
      <c r="CC49" s="46">
        <v>0</v>
      </c>
      <c r="CD49" s="46">
        <v>0</v>
      </c>
      <c r="CE49" s="46">
        <v>0</v>
      </c>
      <c r="CF49" s="46">
        <v>0</v>
      </c>
      <c r="CG49" s="46">
        <v>0</v>
      </c>
      <c r="CH49" s="46">
        <v>0</v>
      </c>
      <c r="CI49" s="46">
        <v>0</v>
      </c>
      <c r="CJ49" s="46">
        <v>0</v>
      </c>
      <c r="CK49" s="46">
        <v>0</v>
      </c>
      <c r="CL49" s="46">
        <v>0</v>
      </c>
      <c r="CM49" s="46">
        <v>0</v>
      </c>
      <c r="CN49" s="46">
        <v>0</v>
      </c>
      <c r="CO49" s="46">
        <v>0</v>
      </c>
      <c r="CP49" s="46">
        <v>0</v>
      </c>
      <c r="CQ49" s="46">
        <v>0</v>
      </c>
      <c r="CR49" s="46">
        <v>0</v>
      </c>
      <c r="CS49" s="46">
        <v>0</v>
      </c>
      <c r="CT49" s="46">
        <v>0</v>
      </c>
      <c r="CU49" s="46">
        <v>0</v>
      </c>
      <c r="CV49" s="46">
        <v>0</v>
      </c>
      <c r="CW49" s="46">
        <v>0</v>
      </c>
      <c r="CX49" s="46">
        <v>0</v>
      </c>
      <c r="CY49" s="46">
        <v>0</v>
      </c>
      <c r="CZ49" s="46">
        <v>0</v>
      </c>
      <c r="DA49" s="46">
        <v>0</v>
      </c>
      <c r="DB49" s="46">
        <v>0</v>
      </c>
    </row>
    <row r="50" spans="3:106" x14ac:dyDescent="0.25"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0"/>
      <c r="CI50" s="30"/>
      <c r="CJ50" s="30"/>
      <c r="CK50" s="30"/>
      <c r="CL50" s="30"/>
      <c r="CM50" s="30"/>
      <c r="CN50" s="30"/>
      <c r="CO50" s="30"/>
      <c r="CP50" s="30"/>
      <c r="CQ50" s="30"/>
      <c r="CR50" s="30"/>
      <c r="CS50" s="30"/>
      <c r="CT50" s="30"/>
      <c r="CU50" s="30"/>
      <c r="CV50" s="30"/>
      <c r="CW50" s="30"/>
      <c r="CX50" s="30"/>
      <c r="CY50" s="30"/>
      <c r="CZ50" s="30"/>
      <c r="DA50" s="30"/>
      <c r="DB50" s="30"/>
    </row>
    <row r="51" spans="1:106" x14ac:dyDescent="0.25">
      <c r="A51" s="9" t="s">
        <v>283</v>
      </c>
      <c r="B51" s="17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  <c r="CQ51" s="32"/>
      <c r="CR51" s="32"/>
      <c r="CS51" s="32"/>
      <c r="CT51" s="32"/>
      <c r="CU51" s="32"/>
      <c r="CV51" s="32"/>
      <c r="CW51" s="32"/>
      <c r="CX51" s="32"/>
      <c r="CY51" s="32"/>
      <c r="CZ51" s="32"/>
      <c r="DA51" s="32"/>
      <c r="DB51" s="32"/>
    </row>
    <row r="52" ht="15" customHeight="1" spans="1:106" x14ac:dyDescent="0.25">
      <c r="A52" s="33" t="s">
        <v>284</v>
      </c>
      <c r="B52" s="17"/>
      <c r="C52" s="34">
        <f>=IFERROR(1-((1-C53)*(1-C58)),0)</f>
        <v>0</v>
      </c>
      <c r="D52" s="34">
        <f>=IFERROR(1-((1-D53)*(1-D58)),0)</f>
        <v>0</v>
      </c>
      <c r="E52" s="34">
        <f>=IFERROR(1-((1-E53)*(1-E58)),0)</f>
        <v>0</v>
      </c>
      <c r="F52" s="34">
        <f>=IFERROR(1-((1-F53)*(1-F58)),0)</f>
        <v>0</v>
      </c>
      <c r="G52" s="34">
        <f>=IFERROR(1-((1-G53)*(1-G58)),0)</f>
        <v>0</v>
      </c>
      <c r="H52" s="34">
        <f>=IFERROR(1-((1-H53)*(1-H58)),0)</f>
        <v>0</v>
      </c>
      <c r="I52" s="34">
        <f>=IFERROR(1-((1-I53)*(1-I58)),0)</f>
        <v>0</v>
      </c>
      <c r="J52" s="34">
        <f>=IFERROR(1-((1-J53)*(1-J58)),0)</f>
        <v>0</v>
      </c>
      <c r="K52" s="34">
        <f>=IFERROR(1-((1-K53)*(1-K58)),0)</f>
        <v>0</v>
      </c>
      <c r="L52" s="34">
        <f>=IFERROR(1-((1-L53)*(1-L58)),0)</f>
        <v>0</v>
      </c>
      <c r="M52" s="34">
        <f>=IFERROR(1-((1-M53)*(1-M58)),0)</f>
        <v>0</v>
      </c>
      <c r="N52" s="34">
        <f>=IFERROR(1-((1-N53)*(1-N58)),0)</f>
        <v>0</v>
      </c>
      <c r="O52" s="34">
        <f>=IFERROR(1-((1-O53)*(1-O58)),0)</f>
        <v>0</v>
      </c>
      <c r="P52" s="34">
        <f>=IFERROR(1-((1-P53)*(1-P58)),0)</f>
        <v>0</v>
      </c>
      <c r="Q52" s="34">
        <f>=IFERROR(1-((1-Q53)*(1-Q58)),0)</f>
        <v>0</v>
      </c>
      <c r="R52" s="34">
        <f>=IFERROR(1-((1-R53)*(1-R58)),0)</f>
        <v>0</v>
      </c>
      <c r="S52" s="34">
        <f>=IFERROR(1-((1-S53)*(1-S58)),0)</f>
        <v>0</v>
      </c>
      <c r="T52" s="34">
        <f>=IFERROR(1-((1-T53)*(1-T58)),0)</f>
        <v>0</v>
      </c>
      <c r="U52" s="34">
        <f>=IFERROR(1-((1-U53)*(1-U58)),0)</f>
        <v>0</v>
      </c>
      <c r="V52" s="34">
        <f>=IFERROR(1-((1-V53)*(1-V58)),0)</f>
        <v>0</v>
      </c>
      <c r="W52" s="34">
        <f>=IFERROR(1-((1-W53)*(1-W58)),0)</f>
        <v>0</v>
      </c>
      <c r="X52" s="34">
        <f>=IFERROR(1-((1-X53)*(1-X58)),0)</f>
        <v>0</v>
      </c>
      <c r="Y52" s="34">
        <f>=IFERROR(1-((1-Y53)*(1-Y58)),0)</f>
        <v>0</v>
      </c>
      <c r="Z52" s="34">
        <f>=IFERROR(1-((1-Z53)*(1-Z58)),0)</f>
        <v>0</v>
      </c>
      <c r="AA52" s="34">
        <f>=IFERROR(1-((1-AA53)*(1-AA58)),0)</f>
        <v>0</v>
      </c>
      <c r="AB52" s="34">
        <f>=IFERROR(1-((1-AB53)*(1-AB58)),0)</f>
        <v>0</v>
      </c>
      <c r="AC52" s="34">
        <f>=IFERROR(1-((1-AC53)*(1-AC58)),0)</f>
        <v>0.1918238993710695</v>
      </c>
      <c r="AD52" s="34">
        <f>=IFERROR(1-((1-AD53)*(1-AD58)),0)</f>
        <v>0.2253968253968256</v>
      </c>
      <c r="AE52" s="34">
        <f>=IFERROR(1-((1-AE53)*(1-AE58)),0)</f>
        <v>0</v>
      </c>
      <c r="AF52" s="34">
        <f>=IFERROR(1-((1-AF53)*(1-AF58)),0)</f>
        <v>0.1269841269841271</v>
      </c>
      <c r="AG52" s="34">
        <f>=IFERROR(1-((1-AG53)*(1-AG58)),0)</f>
        <v>0.1269841269841271</v>
      </c>
      <c r="AH52" s="34">
        <f>=IFERROR(1-((1-AH53)*(1-AH58)),0)</f>
        <v>0.1293375394321766</v>
      </c>
      <c r="AI52" s="34">
        <f>=IFERROR(1-((1-AI53)*(1-AI58)),0)</f>
        <v>0.1555555555555557</v>
      </c>
      <c r="AJ52" s="34">
        <f>=IFERROR(1-((1-AJ53)*(1-AJ58)),0)</f>
        <v>0.0329218106995886</v>
      </c>
      <c r="AK52" s="34">
        <f>=IFERROR(1-((1-AK53)*(1-AK58)),0)</f>
        <v>0.088888888888889</v>
      </c>
      <c r="AL52" s="34">
        <f>=IFERROR(1-((1-AL53)*(1-AL58)),0)</f>
        <v>0.1512915129151291</v>
      </c>
      <c r="AM52" s="34">
        <f>=IFERROR(1-((1-AM53)*(1-AM58)),0)</f>
        <v>0.2074074074074075</v>
      </c>
      <c r="AN52" s="34">
        <f>=IFERROR(1-((1-AN53)*(1-AN58)),0)</f>
        <v>0.1555555555555557</v>
      </c>
      <c r="AO52" s="34">
        <f>=IFERROR(1-((1-AO53)*(1-AO58)),0)</f>
        <v>0.1622641509433963</v>
      </c>
      <c r="AP52" s="34">
        <f>=IFERROR(1-((1-AP53)*(1-AP58)),0)</f>
        <v>0.0755555555555554</v>
      </c>
      <c r="AQ52" s="34">
        <f>=IFERROR(1-((1-AQ53)*(1-AQ58)),0)</f>
        <v>0.0355555555555556</v>
      </c>
      <c r="AR52" s="34">
        <f>=IFERROR(1-((1-AR53)*(1-AR58)),0)</f>
        <v>0.0355555555555556</v>
      </c>
      <c r="AS52" s="34">
        <f>=IFERROR(1-((1-AS53)*(1-AS58)),0)</f>
        <v>0.1066666666666668</v>
      </c>
      <c r="AT52" s="34">
        <f>=IFERROR(1-((1-AT53)*(1-AT58)),0)</f>
        <v>0.1777777777777778</v>
      </c>
      <c r="AU52" s="34">
        <f>=IFERROR(1-((1-AU53)*(1-AU58)),0)</f>
        <v>0.0257510729613734</v>
      </c>
      <c r="AV52" s="34">
        <f>=IFERROR(1-((1-AV53)*(1-AV58)),0)</f>
        <v>0.1338912133891212</v>
      </c>
      <c r="AW52" s="34">
        <f>=IFERROR(1-((1-AW53)*(1-AW58)),0)</f>
        <v>0.1762114537444934</v>
      </c>
      <c r="AX52" s="34">
        <f>=IFERROR(1-((1-AX53)*(1-AX58)),0)</f>
        <v>0.0157728706624606</v>
      </c>
      <c r="AY52" s="34">
        <f>=IFERROR(1-((1-AY53)*(1-AY58)),0)</f>
        <v>0.1355932203389831</v>
      </c>
      <c r="AZ52" s="34">
        <f>=IFERROR(1-((1-AZ53)*(1-AZ58)),0)</f>
        <v>0.1890756302521008</v>
      </c>
      <c r="BA52" s="34">
        <f>=IFERROR(1-((1-BA53)*(1-BA58)),0)</f>
        <v>0.1842105263157895</v>
      </c>
      <c r="BB52" s="34">
        <f>=IFERROR(1-((1-BB53)*(1-BB58)),0)</f>
        <v>0.1777777777777778</v>
      </c>
      <c r="BC52" s="34">
        <f>=IFERROR(1-((1-BC53)*(1-BC58)),0)</f>
        <v>0.2150537634408602</v>
      </c>
      <c r="BD52" s="34">
        <f>=IFERROR(1-((1-BD53)*(1-BD58)),0)</f>
        <v>0</v>
      </c>
      <c r="BE52" s="34">
        <f>=IFERROR(1-((1-BE53)*(1-BE58)),0)</f>
        <v>0.1202185792349727</v>
      </c>
      <c r="BF52" s="34">
        <f>=IFERROR(1-((1-BF53)*(1-BF58)),0)</f>
        <v>0.0212765957446808</v>
      </c>
      <c r="BG52" s="34">
        <f>=IFERROR(1-((1-BG53)*(1-BG58)),0)</f>
        <v>0.005524861878453</v>
      </c>
      <c r="BH52" s="34">
        <f>=IFERROR(1-((1-BH53)*(1-BH58)),0)</f>
        <v>0.005524861878453</v>
      </c>
      <c r="BI52" s="34">
        <f>=IFERROR(1-((1-BI53)*(1-BI58)),0)</f>
        <v>0.038888888888889</v>
      </c>
      <c r="BJ52" s="34">
        <f>=IFERROR(1-((1-BJ53)*(1-BJ58)),0)</f>
        <v>0.1436464088397791</v>
      </c>
      <c r="BK52" s="34">
        <f>=IFERROR(1-((1-BK53)*(1-BK58)),0)</f>
        <v>0</v>
      </c>
      <c r="BL52" s="34">
        <f>=IFERROR(1-((1-BL53)*(1-BL58)),0)</f>
        <v>0.05</v>
      </c>
      <c r="BM52" s="34">
        <f>=IFERROR(1-((1-BM53)*(1-BM58)),0)</f>
        <v>0.0444444444444444</v>
      </c>
      <c r="BN52" s="34">
        <f>=IFERROR(1-((1-BN53)*(1-BN58)),0)</f>
        <v>0.1333333333333334</v>
      </c>
      <c r="BO52" s="34">
        <f>=IFERROR(1-((1-BO53)*(1-BO58)),0)</f>
        <v>0</v>
      </c>
      <c r="BP52" s="34">
        <f>=IFERROR(1-((1-BP53)*(1-BP58)),0)</f>
        <v>0</v>
      </c>
      <c r="BQ52" s="34">
        <f>=IFERROR(1-((1-BQ53)*(1-BQ58)),0)</f>
        <v>0</v>
      </c>
      <c r="BR52" s="34">
        <f>=IFERROR(1-((1-BR53)*(1-BR58)),0)</f>
        <v>0</v>
      </c>
      <c r="BS52" s="34">
        <f>=IFERROR(1-((1-BS53)*(1-BS58)),0)</f>
        <v>0</v>
      </c>
      <c r="BT52" s="34">
        <f>=IFERROR(1-((1-BT53)*(1-BT58)),0)</f>
        <v>0</v>
      </c>
      <c r="BU52" s="34">
        <f>=IFERROR(1-((1-BU53)*(1-BU58)),0)</f>
        <v>0</v>
      </c>
      <c r="BV52" s="34">
        <f>=IFERROR(1-((1-BV53)*(1-BV58)),0)</f>
        <v>0</v>
      </c>
      <c r="BW52" s="34">
        <f>=IFERROR(1-((1-BW53)*(1-BW58)),0)</f>
        <v>0</v>
      </c>
      <c r="BX52" s="34">
        <f>=IFERROR(1-((1-BX53)*(1-BX58)),0)</f>
        <v>0</v>
      </c>
      <c r="BY52" s="34">
        <f>=IFERROR(1-((1-BY53)*(1-BY58)),0)</f>
        <v>0</v>
      </c>
      <c r="BZ52" s="34">
        <f>=IFERROR(1-((1-BZ53)*(1-BZ58)),0)</f>
        <v>0</v>
      </c>
      <c r="CA52" s="34">
        <f>=IFERROR(1-((1-CA53)*(1-CA58)),0)</f>
        <v>0</v>
      </c>
      <c r="CB52" s="34">
        <f>=IFERROR(1-((1-CB53)*(1-CB58)),0)</f>
        <v>0</v>
      </c>
      <c r="CC52" s="34">
        <f>=IFERROR(1-((1-CC53)*(1-CC58)),0)</f>
        <v>0</v>
      </c>
      <c r="CD52" s="34">
        <f>=IFERROR(1-((1-CD53)*(1-CD58)),0)</f>
        <v>0</v>
      </c>
      <c r="CE52" s="34">
        <f>=IFERROR(1-((1-CE53)*(1-CE58)),0)</f>
        <v>0</v>
      </c>
      <c r="CF52" s="34">
        <f>=IFERROR(1-((1-CF53)*(1-CF58)),0)</f>
        <v>0</v>
      </c>
      <c r="CG52" s="34">
        <f>=IFERROR(1-((1-CG53)*(1-CG58)),0)</f>
        <v>0</v>
      </c>
      <c r="CH52" s="34">
        <f>=IFERROR(1-((1-CH53)*(1-CH58)),0)</f>
        <v>0</v>
      </c>
      <c r="CI52" s="34">
        <f>=IFERROR(1-((1-CI53)*(1-CI58)),0)</f>
        <v>0</v>
      </c>
      <c r="CJ52" s="34">
        <f>=IFERROR(1-((1-CJ53)*(1-CJ58)),0)</f>
        <v>0</v>
      </c>
      <c r="CK52" s="34">
        <f>=IFERROR(1-((1-CK53)*(1-CK58)),0)</f>
        <v>0</v>
      </c>
      <c r="CL52" s="34">
        <f>=IFERROR(1-((1-CL53)*(1-CL58)),0)</f>
        <v>0</v>
      </c>
      <c r="CM52" s="34">
        <f>=IFERROR(1-((1-CM53)*(1-CM58)),0)</f>
        <v>0</v>
      </c>
      <c r="CN52" s="34">
        <f>=IFERROR(1-((1-CN53)*(1-CN58)),0)</f>
        <v>0</v>
      </c>
      <c r="CO52" s="34">
        <f>=IFERROR(1-((1-CO53)*(1-CO58)),0)</f>
        <v>0</v>
      </c>
      <c r="CP52" s="34">
        <f>=IFERROR(1-((1-CP53)*(1-CP58)),0)</f>
        <v>0</v>
      </c>
      <c r="CQ52" s="34">
        <f>=IFERROR(1-((1-CQ53)*(1-CQ58)),0)</f>
        <v>0</v>
      </c>
      <c r="CR52" s="34">
        <f>=IFERROR(1-((1-CR53)*(1-CR58)),0)</f>
        <v>0</v>
      </c>
      <c r="CS52" s="34">
        <f>=IFERROR(1-((1-CS53)*(1-CS58)),0)</f>
        <v>0</v>
      </c>
      <c r="CT52" s="34">
        <f>=IFERROR(1-((1-CT53)*(1-CT58)),0)</f>
        <v>0</v>
      </c>
      <c r="CU52" s="34">
        <f>=IFERROR(1-((1-CU53)*(1-CU58)),0)</f>
        <v>0</v>
      </c>
      <c r="CV52" s="34">
        <f>=IFERROR(1-((1-CV53)*(1-CV58)),0)</f>
        <v>0</v>
      </c>
      <c r="CW52" s="34">
        <f>=IFERROR(1-((1-CW53)*(1-CW58)),0)</f>
        <v>0</v>
      </c>
      <c r="CX52" s="34">
        <f>=IFERROR(1-((1-CX53)*(1-CX58)),0)</f>
        <v>0</v>
      </c>
      <c r="CY52" s="34">
        <f>=IFERROR(1-((1-CY53)*(1-CY58)),0)</f>
        <v>0</v>
      </c>
      <c r="CZ52" s="34">
        <f>=IFERROR(1-((1-CZ53)*(1-CZ58)),0)</f>
        <v>0</v>
      </c>
      <c r="DA52" s="34">
        <f>=IFERROR(1-((1-DA53)*(1-DA58)),0)</f>
        <v>0</v>
      </c>
      <c r="DB52" s="34">
        <f>=IFERROR(1-((1-DB53)*(1-DB58)),0)</f>
        <v>0</v>
      </c>
    </row>
    <row r="53" ht="15" customHeight="1" spans="1:106" x14ac:dyDescent="0.25">
      <c r="A53" s="16" t="s">
        <v>285</v>
      </c>
      <c r="B53" s="17"/>
      <c r="C53" s="35">
        <f>=SUM(C54:C57)</f>
        <v>0</v>
      </c>
      <c r="D53" s="35">
        <f>=SUM(D54:D57)</f>
        <v>0</v>
      </c>
      <c r="E53" s="35">
        <f>=SUM(E54:E57)</f>
        <v>0</v>
      </c>
      <c r="F53" s="35">
        <f>=SUM(F54:F57)</f>
        <v>0</v>
      </c>
      <c r="G53" s="35">
        <f>=SUM(G54:G57)</f>
        <v>0</v>
      </c>
      <c r="H53" s="35">
        <f>=SUM(H54:H57)</f>
        <v>0</v>
      </c>
      <c r="I53" s="35">
        <f>=SUM(I54:I57)</f>
        <v>0</v>
      </c>
      <c r="J53" s="35">
        <f>=SUM(J54:J57)</f>
        <v>0</v>
      </c>
      <c r="K53" s="35">
        <f>=SUM(K54:K57)</f>
        <v>0</v>
      </c>
      <c r="L53" s="35">
        <f>=SUM(L54:L57)</f>
        <v>0</v>
      </c>
      <c r="M53" s="35">
        <f>=SUM(M54:M57)</f>
        <v>0</v>
      </c>
      <c r="N53" s="35">
        <f>=SUM(N54:N57)</f>
        <v>0</v>
      </c>
      <c r="O53" s="35">
        <f>=SUM(O54:O57)</f>
        <v>0</v>
      </c>
      <c r="P53" s="35">
        <f>=SUM(P54:P57)</f>
        <v>0</v>
      </c>
      <c r="Q53" s="35">
        <f>=SUM(Q54:Q57)</f>
        <v>0</v>
      </c>
      <c r="R53" s="35">
        <f>=SUM(R54:R57)</f>
        <v>0</v>
      </c>
      <c r="S53" s="35">
        <f>=SUM(S54:S57)</f>
        <v>0</v>
      </c>
      <c r="T53" s="35">
        <f>=SUM(T54:T57)</f>
        <v>0</v>
      </c>
      <c r="U53" s="35">
        <f>=SUM(U54:U57)</f>
        <v>0</v>
      </c>
      <c r="V53" s="35">
        <f>=SUM(V54:V57)</f>
        <v>0</v>
      </c>
      <c r="W53" s="35">
        <f>=SUM(W54:W57)</f>
        <v>0</v>
      </c>
      <c r="X53" s="35">
        <f>=SUM(X54:X57)</f>
        <v>0</v>
      </c>
      <c r="Y53" s="35">
        <f>=SUM(Y54:Y57)</f>
        <v>0</v>
      </c>
      <c r="Z53" s="35">
        <f>=SUM(Z54:Z57)</f>
        <v>0</v>
      </c>
      <c r="AA53" s="35">
        <f>=SUM(AA54:AA57)</f>
        <v>0</v>
      </c>
      <c r="AB53" s="35">
        <f>=SUM(AB54:AB57)</f>
        <v>0</v>
      </c>
      <c r="AC53" s="35">
        <f>=SUM(AC54:AC57)</f>
        <v>0.1918238993710692</v>
      </c>
      <c r="AD53" s="35">
        <f>=SUM(AD54:AD57)</f>
        <v>0.2253968253968254</v>
      </c>
      <c r="AE53" s="35">
        <f>=SUM(AE54:AE57)</f>
        <v>0</v>
      </c>
      <c r="AF53" s="35">
        <f>=SUM(AF54:AF57)</f>
        <v>0.12698412698412698</v>
      </c>
      <c r="AG53" s="35">
        <f>=SUM(AG54:AG57)</f>
        <v>0.12698412698412698</v>
      </c>
      <c r="AH53" s="35">
        <f>=SUM(AH54:AH57)</f>
        <v>0.12933753943217663</v>
      </c>
      <c r="AI53" s="35">
        <f>=SUM(AI54:AI57)</f>
        <v>0.15555555555555553</v>
      </c>
      <c r="AJ53" s="35">
        <f>=SUM(AJ54:AJ57)</f>
        <v>0.03292181069958848</v>
      </c>
      <c r="AK53" s="35">
        <f>=SUM(AK54:AK57)</f>
        <v>0.08888888888888889</v>
      </c>
      <c r="AL53" s="35">
        <f>=SUM(AL54:AL57)</f>
        <v>0.15129151291512913</v>
      </c>
      <c r="AM53" s="35">
        <f>=SUM(AM54:AM57)</f>
        <v>0.2074074074074074</v>
      </c>
      <c r="AN53" s="35">
        <f>=SUM(AN54:AN57)</f>
        <v>0.15555555555555553</v>
      </c>
      <c r="AO53" s="35">
        <f>=SUM(AO54:AO57)</f>
        <v>0.16226415094339625</v>
      </c>
      <c r="AP53" s="35">
        <f>=SUM(AP54:AP57)</f>
        <v>0.07555555555555556</v>
      </c>
      <c r="AQ53" s="35">
        <f>=SUM(AQ54:AQ57)</f>
        <v>0.035555555555555556</v>
      </c>
      <c r="AR53" s="35">
        <f>=SUM(AR54:AR57)</f>
        <v>0.03555555555555556</v>
      </c>
      <c r="AS53" s="35">
        <f>=SUM(AS54:AS57)</f>
        <v>0.10666666666666667</v>
      </c>
      <c r="AT53" s="35">
        <f>=SUM(AT54:AT57)</f>
        <v>0.17777777777777778</v>
      </c>
      <c r="AU53" s="35">
        <f>=SUM(AU54:AU57)</f>
        <v>0.02575107296137339</v>
      </c>
      <c r="AV53" s="35">
        <f>=SUM(AV54:AV57)</f>
        <v>0.13389121338912133</v>
      </c>
      <c r="AW53" s="35">
        <f>=SUM(AW54:AW57)</f>
        <v>0.1762114537444934</v>
      </c>
      <c r="AX53" s="35">
        <f>=SUM(AX54:AX57)</f>
        <v>0.015772870662460567</v>
      </c>
      <c r="AY53" s="35">
        <f>=SUM(AY54:AY57)</f>
        <v>0.13559322033898305</v>
      </c>
      <c r="AZ53" s="35">
        <f>=SUM(AZ54:AZ57)</f>
        <v>0.18907563025210083</v>
      </c>
      <c r="BA53" s="35">
        <f>=SUM(BA54:BA57)</f>
        <v>0.18421052631578946</v>
      </c>
      <c r="BB53" s="35">
        <f>=SUM(BB54:BB57)</f>
        <v>0.17777777777777778</v>
      </c>
      <c r="BC53" s="35">
        <f>=SUM(BC54:BC57)</f>
        <v>0.2150537634408602</v>
      </c>
      <c r="BD53" s="35">
        <f>=SUM(BD54:BD57)</f>
        <v>0</v>
      </c>
      <c r="BE53" s="35">
        <f>=SUM(BE54:BE57)</f>
        <v>0.12021857923497269</v>
      </c>
      <c r="BF53" s="35">
        <f>=SUM(BF54:BF57)</f>
        <v>0.02127659574468085</v>
      </c>
      <c r="BG53" s="35">
        <f>=SUM(BG54:BG57)</f>
        <v>0.0055248618784530384</v>
      </c>
      <c r="BH53" s="35">
        <f>=SUM(BH54:BH57)</f>
        <v>0.0055248618784530384</v>
      </c>
      <c r="BI53" s="35">
        <f>=SUM(BI54:BI57)</f>
        <v>0.03888888888888889</v>
      </c>
      <c r="BJ53" s="35">
        <f>=SUM(BJ54:BJ57)</f>
        <v>0.14364640883977903</v>
      </c>
      <c r="BK53" s="35">
        <f>=SUM(BK54:BK57)</f>
        <v>0</v>
      </c>
      <c r="BL53" s="35">
        <f>=SUM(BL54:BL57)</f>
        <v>0.05</v>
      </c>
      <c r="BM53" s="35">
        <f>=SUM(BM54:BM57)</f>
        <v>0.044444444444444446</v>
      </c>
      <c r="BN53" s="35">
        <f>=SUM(BN54:BN57)</f>
        <v>0.13333333333333333</v>
      </c>
      <c r="BO53" s="35">
        <f>=SUM(BO54:BO57)</f>
        <v>0</v>
      </c>
      <c r="BP53" s="35">
        <f>=SUM(BP54:BP57)</f>
        <v>0</v>
      </c>
      <c r="BQ53" s="35">
        <f>=SUM(BQ54:BQ57)</f>
        <v>0</v>
      </c>
      <c r="BR53" s="35">
        <f>=SUM(BR54:BR57)</f>
        <v>0</v>
      </c>
      <c r="BS53" s="35">
        <f>=SUM(BS54:BS57)</f>
        <v>0</v>
      </c>
      <c r="BT53" s="35">
        <f>=SUM(BT54:BT57)</f>
        <v>0</v>
      </c>
      <c r="BU53" s="35">
        <f>=SUM(BU54:BU57)</f>
        <v>0</v>
      </c>
      <c r="BV53" s="35">
        <f>=SUM(BV54:BV57)</f>
        <v>0</v>
      </c>
      <c r="BW53" s="35">
        <f>=SUM(BW54:BW57)</f>
        <v>0</v>
      </c>
      <c r="BX53" s="35">
        <f>=SUM(BX54:BX57)</f>
        <v>0</v>
      </c>
      <c r="BY53" s="35">
        <f>=SUM(BY54:BY57)</f>
        <v>0</v>
      </c>
      <c r="BZ53" s="35">
        <f>=SUM(BZ54:BZ57)</f>
        <v>0</v>
      </c>
      <c r="CA53" s="35">
        <f>=SUM(CA54:CA57)</f>
        <v>0</v>
      </c>
      <c r="CB53" s="35">
        <f>=SUM(CB54:CB57)</f>
        <v>0</v>
      </c>
      <c r="CC53" s="35">
        <f>=SUM(CC54:CC57)</f>
        <v>0</v>
      </c>
      <c r="CD53" s="35">
        <f>=SUM(CD54:CD57)</f>
        <v>0</v>
      </c>
      <c r="CE53" s="35">
        <f>=SUM(CE54:CE57)</f>
        <v>0</v>
      </c>
      <c r="CF53" s="35">
        <f>=SUM(CF54:CF57)</f>
        <v>0</v>
      </c>
      <c r="CG53" s="35">
        <f>=SUM(CG54:CG57)</f>
        <v>0</v>
      </c>
      <c r="CH53" s="35">
        <f>=SUM(CH54:CH57)</f>
        <v>0</v>
      </c>
      <c r="CI53" s="35">
        <f>=SUM(CI54:CI57)</f>
        <v>0</v>
      </c>
      <c r="CJ53" s="35">
        <f>=SUM(CJ54:CJ57)</f>
        <v>0</v>
      </c>
      <c r="CK53" s="35">
        <f>=SUM(CK54:CK57)</f>
        <v>0</v>
      </c>
      <c r="CL53" s="35">
        <f>=SUM(CL54:CL57)</f>
        <v>0</v>
      </c>
      <c r="CM53" s="35">
        <f>=SUM(CM54:CM57)</f>
        <v>0</v>
      </c>
      <c r="CN53" s="35">
        <f>=SUM(CN54:CN57)</f>
        <v>0</v>
      </c>
      <c r="CO53" s="35">
        <f>=SUM(CO54:CO57)</f>
        <v>0</v>
      </c>
      <c r="CP53" s="35">
        <f>=SUM(CP54:CP57)</f>
        <v>0</v>
      </c>
      <c r="CQ53" s="35">
        <f>=SUM(CQ54:CQ57)</f>
        <v>0</v>
      </c>
      <c r="CR53" s="35">
        <f>=SUM(CR54:CR57)</f>
        <v>0</v>
      </c>
      <c r="CS53" s="35">
        <f>=SUM(CS54:CS57)</f>
        <v>0</v>
      </c>
      <c r="CT53" s="35">
        <f>=SUM(CT54:CT57)</f>
        <v>0</v>
      </c>
      <c r="CU53" s="35">
        <f>=SUM(CU54:CU57)</f>
        <v>0</v>
      </c>
      <c r="CV53" s="35">
        <f>=SUM(CV54:CV57)</f>
        <v>0</v>
      </c>
      <c r="CW53" s="35">
        <f>=SUM(CW54:CW57)</f>
        <v>0</v>
      </c>
      <c r="CX53" s="35">
        <f>=SUM(CX54:CX57)</f>
        <v>0</v>
      </c>
      <c r="CY53" s="35">
        <f>=SUM(CY54:CY57)</f>
        <v>0</v>
      </c>
      <c r="CZ53" s="35">
        <f>=SUM(CZ54:CZ57)</f>
        <v>0</v>
      </c>
      <c r="DA53" s="35">
        <f>=SUM(DA54:DA57)</f>
        <v>0</v>
      </c>
      <c r="DB53" s="35">
        <f>=SUM(DB54:DB57)</f>
        <v>0</v>
      </c>
    </row>
    <row r="54" ht="18" customHeight="1" spans="1:106" x14ac:dyDescent="0.25">
      <c r="A54" s="36" t="s">
        <v>263</v>
      </c>
      <c r="B54" s="17"/>
      <c r="C54" s="47">
        <f>=IFERROR(C137/C132,0)</f>
        <v>0</v>
      </c>
      <c r="D54" s="47">
        <f>=IFERROR(D137/D132,0)</f>
        <v>0</v>
      </c>
      <c r="E54" s="47">
        <f>=IFERROR(E137/E132,0)</f>
        <v>0</v>
      </c>
      <c r="F54" s="47">
        <f>=IFERROR(F137/F132,0)</f>
        <v>0</v>
      </c>
      <c r="G54" s="47">
        <f>=IFERROR(G137/G132,0)</f>
        <v>0</v>
      </c>
      <c r="H54" s="47">
        <f>=IFERROR(H137/H132,0)</f>
        <v>0</v>
      </c>
      <c r="I54" s="47">
        <f>=IFERROR(I137/I132,0)</f>
        <v>0</v>
      </c>
      <c r="J54" s="47">
        <f>=IFERROR(J137/J132,0)</f>
        <v>0</v>
      </c>
      <c r="K54" s="47">
        <f>=IFERROR(K137/K132,0)</f>
        <v>0</v>
      </c>
      <c r="L54" s="47">
        <f>=IFERROR(L137/L132,0)</f>
        <v>0</v>
      </c>
      <c r="M54" s="47">
        <f>=IFERROR(M137/M132,0)</f>
        <v>0</v>
      </c>
      <c r="N54" s="47">
        <f>=IFERROR(N137/N132,0)</f>
        <v>0</v>
      </c>
      <c r="O54" s="47">
        <f>=IFERROR(O137/O132,0)</f>
        <v>0</v>
      </c>
      <c r="P54" s="47">
        <f>=IFERROR(P137/P132,0)</f>
        <v>0</v>
      </c>
      <c r="Q54" s="47">
        <f>=IFERROR(Q137/Q132,0)</f>
        <v>0</v>
      </c>
      <c r="R54" s="47">
        <f>=IFERROR(R137/R132,0)</f>
        <v>0</v>
      </c>
      <c r="S54" s="47">
        <f>=IFERROR(S137/S132,0)</f>
        <v>0</v>
      </c>
      <c r="T54" s="47">
        <f>=IFERROR(T137/T132,0)</f>
        <v>0</v>
      </c>
      <c r="U54" s="47">
        <f>=IFERROR(U137/U132,0)</f>
        <v>0</v>
      </c>
      <c r="V54" s="47">
        <f>=IFERROR(V137/V132,0)</f>
        <v>0</v>
      </c>
      <c r="W54" s="47">
        <f>=IFERROR(W137/W132,0)</f>
        <v>0</v>
      </c>
      <c r="X54" s="47">
        <f>=IFERROR(X137/X132,0)</f>
        <v>0</v>
      </c>
      <c r="Y54" s="47">
        <f>=IFERROR(Y137/Y132,0)</f>
        <v>0</v>
      </c>
      <c r="Z54" s="47">
        <f>=IFERROR(Z137/Z132,0)</f>
        <v>0</v>
      </c>
      <c r="AA54" s="47">
        <f>=IFERROR(AA137/AA132,0)</f>
        <v>0</v>
      </c>
      <c r="AB54" s="47">
        <f>=IFERROR(AB137/AB132,0)</f>
        <v>0</v>
      </c>
      <c r="AC54" s="47">
        <f>=IFERROR(AC137/AC132,0)</f>
        <v>0.14150943396226415</v>
      </c>
      <c r="AD54" s="47">
        <f>=IFERROR(AD137/AD132,0)</f>
        <v>0.12698412698412698</v>
      </c>
      <c r="AE54" s="47">
        <f>=IFERROR(AE137/AE132,0)</f>
        <v>0</v>
      </c>
      <c r="AF54" s="47">
        <f>=IFERROR(AF137/AF132,0)</f>
        <v>0.12698412698412698</v>
      </c>
      <c r="AG54" s="47">
        <f>=IFERROR(AG137/AG132,0)</f>
        <v>0.12698412698412698</v>
      </c>
      <c r="AH54" s="47">
        <f>=IFERROR(AH137/AH132,0)</f>
        <v>0.12618296529968454</v>
      </c>
      <c r="AI54" s="47">
        <f>=IFERROR(AI137/AI132,0)</f>
        <v>0.14814814814814814</v>
      </c>
      <c r="AJ54" s="47">
        <f>=IFERROR(AJ137/AJ132,0)</f>
        <v>0</v>
      </c>
      <c r="AK54" s="47">
        <f>=IFERROR(AK137/AK132,0)</f>
        <v>0.08888888888888889</v>
      </c>
      <c r="AL54" s="47">
        <f>=IFERROR(AL137/AL132,0)</f>
        <v>0.14760147601476015</v>
      </c>
      <c r="AM54" s="47">
        <f>=IFERROR(AM137/AM132,0)</f>
        <v>0.2074074074074074</v>
      </c>
      <c r="AN54" s="47">
        <f>=IFERROR(AN137/AN132,0)</f>
        <v>0.14814814814814814</v>
      </c>
      <c r="AO54" s="47">
        <f>=IFERROR(AO137/AO132,0)</f>
        <v>0.09056603773584905</v>
      </c>
      <c r="AP54" s="47">
        <f>=IFERROR(AP137/AP132,0)</f>
        <v>0.07111111111111111</v>
      </c>
      <c r="AQ54" s="47">
        <f>=IFERROR(AQ137/AQ132,0)</f>
        <v>0</v>
      </c>
      <c r="AR54" s="47">
        <f>=IFERROR(AR137/AR132,0)</f>
        <v>0.022222222222222223</v>
      </c>
      <c r="AS54" s="47">
        <f>=IFERROR(AS137/AS132,0)</f>
        <v>0.10666666666666667</v>
      </c>
      <c r="AT54" s="47">
        <f>=IFERROR(AT137/AT132,0)</f>
        <v>0.17777777777777778</v>
      </c>
      <c r="AU54" s="47">
        <f>=IFERROR(AU137/AU132,0)</f>
        <v>0.02145922746781116</v>
      </c>
      <c r="AV54" s="47">
        <f>=IFERROR(AV137/AV132,0)</f>
        <v>0.13389121338912133</v>
      </c>
      <c r="AW54" s="47">
        <f>=IFERROR(AW137/AW132,0)</f>
        <v>0.1762114537444934</v>
      </c>
      <c r="AX54" s="47">
        <f>=IFERROR(AX137/AX132,0)</f>
        <v>0.015772870662460567</v>
      </c>
      <c r="AY54" s="47">
        <f>=IFERROR(AY137/AY132,0)</f>
        <v>0.13559322033898305</v>
      </c>
      <c r="AZ54" s="47">
        <f>=IFERROR(AZ137/AZ132,0)</f>
        <v>0.18907563025210083</v>
      </c>
      <c r="BA54" s="47">
        <f>=IFERROR(BA137/BA132,0)</f>
        <v>0.17543859649122806</v>
      </c>
      <c r="BB54" s="47">
        <f>=IFERROR(BB137/BB132,0)</f>
        <v>0.17777777777777778</v>
      </c>
      <c r="BC54" s="47">
        <f>=IFERROR(BC137/BC132,0)</f>
        <v>0.21505376344086022</v>
      </c>
      <c r="BD54" s="47">
        <f>=IFERROR(BD137/BD132,0)</f>
        <v>0</v>
      </c>
      <c r="BE54" s="47">
        <f>=IFERROR(BE137/BE132,0)</f>
        <v>0.08743169398907104</v>
      </c>
      <c r="BF54" s="47">
        <f>=IFERROR(BF137/BF132,0)</f>
        <v>0</v>
      </c>
      <c r="BG54" s="47">
        <f>=IFERROR(BG137/BG132,0)</f>
        <v>0</v>
      </c>
      <c r="BH54" s="47">
        <f>=IFERROR(BH137/BH132,0)</f>
        <v>0</v>
      </c>
      <c r="BI54" s="47">
        <f>=IFERROR(BI137/BI132,0)</f>
        <v>0.03888888888888889</v>
      </c>
      <c r="BJ54" s="47">
        <f>=IFERROR(BJ137/BJ132,0)</f>
        <v>0.13812154696132597</v>
      </c>
      <c r="BK54" s="47">
        <f>=IFERROR(BK137/BK132,0)</f>
        <v>0</v>
      </c>
      <c r="BL54" s="47">
        <f>=IFERROR(BL137/BL132,0)</f>
        <v>0</v>
      </c>
      <c r="BM54" s="47">
        <f>=IFERROR(BM137/BM132,0)</f>
        <v>0.044444444444444446</v>
      </c>
      <c r="BN54" s="47">
        <f>=IFERROR(BN137/BN132,0)</f>
        <v>0.13333333333333333</v>
      </c>
      <c r="BO54" s="47">
        <f>=IFERROR(BO137/BO132,0)</f>
        <v>0</v>
      </c>
      <c r="BP54" s="47">
        <f>=IFERROR(BP137/BP132,0)</f>
        <v>0</v>
      </c>
      <c r="BQ54" s="47">
        <f>=IFERROR(BQ137/BQ132,0)</f>
        <v>0</v>
      </c>
      <c r="BR54" s="47">
        <f>=IFERROR(BR137/BR132,0)</f>
        <v>0</v>
      </c>
      <c r="BS54" s="47">
        <f>=IFERROR(BS137/BS132,0)</f>
        <v>0</v>
      </c>
      <c r="BT54" s="47">
        <f>=IFERROR(BT137/BT132,0)</f>
        <v>0</v>
      </c>
      <c r="BU54" s="47">
        <f>=IFERROR(BU137/BU132,0)</f>
        <v>0</v>
      </c>
      <c r="BV54" s="47">
        <f>=IFERROR(BV137/BV132,0)</f>
        <v>0</v>
      </c>
      <c r="BW54" s="47">
        <f>=IFERROR(BW137/BW132,0)</f>
        <v>0</v>
      </c>
      <c r="BX54" s="47">
        <f>=IFERROR(BX137/BX132,0)</f>
        <v>0</v>
      </c>
      <c r="BY54" s="47">
        <f>=IFERROR(BY137/BY132,0)</f>
        <v>0</v>
      </c>
      <c r="BZ54" s="47">
        <f>=IFERROR(BZ137/BZ132,0)</f>
        <v>0</v>
      </c>
      <c r="CA54" s="47">
        <f>=IFERROR(CA137/CA132,0)</f>
        <v>0</v>
      </c>
      <c r="CB54" s="47">
        <f>=IFERROR(CB137/CB132,0)</f>
        <v>0</v>
      </c>
      <c r="CC54" s="47">
        <f>=IFERROR(CC137/CC132,0)</f>
        <v>0</v>
      </c>
      <c r="CD54" s="47">
        <f>=IFERROR(CD137/CD132,0)</f>
        <v>0</v>
      </c>
      <c r="CE54" s="47">
        <f>=IFERROR(CE137/CE132,0)</f>
        <v>0</v>
      </c>
      <c r="CF54" s="47">
        <f>=IFERROR(CF137/CF132,0)</f>
        <v>0</v>
      </c>
      <c r="CG54" s="47">
        <f>=IFERROR(CG137/CG132,0)</f>
        <v>0</v>
      </c>
      <c r="CH54" s="47">
        <f>=IFERROR(CH137/CH132,0)</f>
        <v>0</v>
      </c>
      <c r="CI54" s="47">
        <f>=IFERROR(CI137/CI132,0)</f>
        <v>0</v>
      </c>
      <c r="CJ54" s="47">
        <f>=IFERROR(CJ137/CJ132,0)</f>
        <v>0</v>
      </c>
      <c r="CK54" s="47">
        <f>=IFERROR(CK137/CK132,0)</f>
        <v>0</v>
      </c>
      <c r="CL54" s="47">
        <f>=IFERROR(CL137/CL132,0)</f>
        <v>0</v>
      </c>
      <c r="CM54" s="47">
        <f>=IFERROR(CM137/CM132,0)</f>
        <v>0</v>
      </c>
      <c r="CN54" s="47">
        <f>=IFERROR(CN137/CN132,0)</f>
        <v>0</v>
      </c>
      <c r="CO54" s="47">
        <f>=IFERROR(CO137/CO132,0)</f>
        <v>0</v>
      </c>
      <c r="CP54" s="47">
        <f>=IFERROR(CP137/CP132,0)</f>
        <v>0</v>
      </c>
      <c r="CQ54" s="47">
        <f>=IFERROR(CQ137/CQ132,0)</f>
        <v>0</v>
      </c>
      <c r="CR54" s="47">
        <f>=IFERROR(CR137/CR132,0)</f>
        <v>0</v>
      </c>
      <c r="CS54" s="47">
        <f>=IFERROR(CS137/CS132,0)</f>
        <v>0</v>
      </c>
      <c r="CT54" s="47">
        <f>=IFERROR(CT137/CT132,0)</f>
        <v>0</v>
      </c>
      <c r="CU54" s="47">
        <f>=IFERROR(CU137/CU132,0)</f>
        <v>0</v>
      </c>
      <c r="CV54" s="47">
        <f>=IFERROR(CV137/CV132,0)</f>
        <v>0</v>
      </c>
      <c r="CW54" s="47">
        <f>=IFERROR(CW137/CW132,0)</f>
        <v>0</v>
      </c>
      <c r="CX54" s="47">
        <f>=IFERROR(CX137/CX132,0)</f>
        <v>0</v>
      </c>
      <c r="CY54" s="47">
        <f>=IFERROR(CY137/CY132,0)</f>
        <v>0</v>
      </c>
      <c r="CZ54" s="47">
        <f>=IFERROR(CZ137/CZ132,0)</f>
        <v>0</v>
      </c>
      <c r="DA54" s="47">
        <f>=IFERROR(DA137/DA132,0)</f>
        <v>0</v>
      </c>
      <c r="DB54" s="47">
        <f>=IFERROR(DB137/DB132,0)</f>
        <v>0</v>
      </c>
    </row>
    <row r="55" ht="18" customHeight="1" spans="1:106" x14ac:dyDescent="0.25">
      <c r="A55" s="36" t="s">
        <v>264</v>
      </c>
      <c r="B55" s="17"/>
      <c r="C55" s="47">
        <f>=IFERROR(C138/C132,0)</f>
        <v>0</v>
      </c>
      <c r="D55" s="47">
        <f>=IFERROR(D138/D132,0)</f>
        <v>0</v>
      </c>
      <c r="E55" s="47">
        <f>=IFERROR(E138/E132,0)</f>
        <v>0</v>
      </c>
      <c r="F55" s="47">
        <f>=IFERROR(F138/F132,0)</f>
        <v>0</v>
      </c>
      <c r="G55" s="47">
        <f>=IFERROR(G138/G132,0)</f>
        <v>0</v>
      </c>
      <c r="H55" s="47">
        <f>=IFERROR(H138/H132,0)</f>
        <v>0</v>
      </c>
      <c r="I55" s="47">
        <f>=IFERROR(I138/I132,0)</f>
        <v>0</v>
      </c>
      <c r="J55" s="47">
        <f>=IFERROR(J138/J132,0)</f>
        <v>0</v>
      </c>
      <c r="K55" s="47">
        <f>=IFERROR(K138/K132,0)</f>
        <v>0</v>
      </c>
      <c r="L55" s="47">
        <f>=IFERROR(L138/L132,0)</f>
        <v>0</v>
      </c>
      <c r="M55" s="47">
        <f>=IFERROR(M138/M132,0)</f>
        <v>0</v>
      </c>
      <c r="N55" s="47">
        <f>=IFERROR(N138/N132,0)</f>
        <v>0</v>
      </c>
      <c r="O55" s="47">
        <f>=IFERROR(O138/O132,0)</f>
        <v>0</v>
      </c>
      <c r="P55" s="47">
        <f>=IFERROR(P138/P132,0)</f>
        <v>0</v>
      </c>
      <c r="Q55" s="47">
        <f>=IFERROR(Q138/Q132,0)</f>
        <v>0</v>
      </c>
      <c r="R55" s="47">
        <f>=IFERROR(R138/R132,0)</f>
        <v>0</v>
      </c>
      <c r="S55" s="47">
        <f>=IFERROR(S138/S132,0)</f>
        <v>0</v>
      </c>
      <c r="T55" s="47">
        <f>=IFERROR(T138/T132,0)</f>
        <v>0</v>
      </c>
      <c r="U55" s="47">
        <f>=IFERROR(U138/U132,0)</f>
        <v>0</v>
      </c>
      <c r="V55" s="47">
        <f>=IFERROR(V138/V132,0)</f>
        <v>0</v>
      </c>
      <c r="W55" s="47">
        <f>=IFERROR(W138/W132,0)</f>
        <v>0</v>
      </c>
      <c r="X55" s="47">
        <f>=IFERROR(X138/X132,0)</f>
        <v>0</v>
      </c>
      <c r="Y55" s="47">
        <f>=IFERROR(Y138/Y132,0)</f>
        <v>0</v>
      </c>
      <c r="Z55" s="47">
        <f>=IFERROR(Z138/Z132,0)</f>
        <v>0</v>
      </c>
      <c r="AA55" s="47">
        <f>=IFERROR(AA138/AA132,0)</f>
        <v>0</v>
      </c>
      <c r="AB55" s="47">
        <f>=IFERROR(AB138/AB132,0)</f>
        <v>0</v>
      </c>
      <c r="AC55" s="47">
        <f>=IFERROR(AC138/AC132,0)</f>
        <v>0.050314465408805034</v>
      </c>
      <c r="AD55" s="47">
        <f>=IFERROR(AD138/AD132,0)</f>
        <v>0.09841269841269841</v>
      </c>
      <c r="AE55" s="47">
        <f>=IFERROR(AE138/AE132,0)</f>
        <v>0</v>
      </c>
      <c r="AF55" s="47">
        <f>=IFERROR(AF138/AF132,0)</f>
        <v>0</v>
      </c>
      <c r="AG55" s="47">
        <f>=IFERROR(AG138/AG132,0)</f>
        <v>0</v>
      </c>
      <c r="AH55" s="47">
        <f>=IFERROR(AH138/AH132,0)</f>
        <v>0.0031545741324921135</v>
      </c>
      <c r="AI55" s="47">
        <f>=IFERROR(AI138/AI132,0)</f>
        <v>0.007407407407407408</v>
      </c>
      <c r="AJ55" s="47">
        <f>=IFERROR(AJ138/AJ132,0)</f>
        <v>0.03292181069958848</v>
      </c>
      <c r="AK55" s="47">
        <f>=IFERROR(AK138/AK132,0)</f>
        <v>0</v>
      </c>
      <c r="AL55" s="47">
        <f>=IFERROR(AL138/AL132,0)</f>
        <v>0.0036900369003690036</v>
      </c>
      <c r="AM55" s="47">
        <f>=IFERROR(AM138/AM132,0)</f>
        <v>0</v>
      </c>
      <c r="AN55" s="47">
        <f>=IFERROR(AN138/AN132,0)</f>
        <v>0.007407407407407408</v>
      </c>
      <c r="AO55" s="47">
        <f>=IFERROR(AO138/AO132,0)</f>
        <v>0.07169811320754717</v>
      </c>
      <c r="AP55" s="47">
        <f>=IFERROR(AP138/AP132,0)</f>
        <v>0.0044444444444444444</v>
      </c>
      <c r="AQ55" s="47">
        <f>=IFERROR(AQ138/AQ132,0)</f>
        <v>0.035555555555555556</v>
      </c>
      <c r="AR55" s="47">
        <f>=IFERROR(AR138/AR132,0)</f>
        <v>0.013333333333333334</v>
      </c>
      <c r="AS55" s="47">
        <f>=IFERROR(AS138/AS132,0)</f>
        <v>0</v>
      </c>
      <c r="AT55" s="47">
        <f>=IFERROR(AT138/AT132,0)</f>
        <v>0</v>
      </c>
      <c r="AU55" s="47">
        <f>=IFERROR(AU138/AU132,0)</f>
        <v>0.004291845493562232</v>
      </c>
      <c r="AV55" s="47">
        <f>=IFERROR(AV138/AV132,0)</f>
        <v>0</v>
      </c>
      <c r="AW55" s="47">
        <f>=IFERROR(AW138/AW132,0)</f>
        <v>0</v>
      </c>
      <c r="AX55" s="47">
        <f>=IFERROR(AX138/AX132,0)</f>
        <v>0</v>
      </c>
      <c r="AY55" s="47">
        <f>=IFERROR(AY138/AY132,0)</f>
        <v>0</v>
      </c>
      <c r="AZ55" s="47">
        <f>=IFERROR(AZ138/AZ132,0)</f>
        <v>0</v>
      </c>
      <c r="BA55" s="47">
        <f>=IFERROR(BA138/BA132,0)</f>
        <v>0.008771929824561403</v>
      </c>
      <c r="BB55" s="47">
        <f>=IFERROR(BB138/BB132,0)</f>
        <v>0</v>
      </c>
      <c r="BC55" s="47">
        <f>=IFERROR(BC138/BC132,0)</f>
        <v>0</v>
      </c>
      <c r="BD55" s="47">
        <f>=IFERROR(BD138/BD132,0)</f>
        <v>0</v>
      </c>
      <c r="BE55" s="47">
        <f>=IFERROR(BE138/BE132,0)</f>
        <v>0.03278688524590164</v>
      </c>
      <c r="BF55" s="47">
        <f>=IFERROR(BF138/BF132,0)</f>
        <v>0.02127659574468085</v>
      </c>
      <c r="BG55" s="47">
        <f>=IFERROR(BG138/BG132,0)</f>
        <v>0.0055248618784530384</v>
      </c>
      <c r="BH55" s="47">
        <f>=IFERROR(BH138/BH132,0)</f>
        <v>0.0055248618784530384</v>
      </c>
      <c r="BI55" s="47">
        <f>=IFERROR(BI138/BI132,0)</f>
        <v>0</v>
      </c>
      <c r="BJ55" s="47">
        <f>=IFERROR(BJ138/BJ132,0)</f>
        <v>0.0055248618784530384</v>
      </c>
      <c r="BK55" s="47">
        <f>=IFERROR(BK138/BK132,0)</f>
        <v>0</v>
      </c>
      <c r="BL55" s="47">
        <f>=IFERROR(BL138/BL132,0)</f>
        <v>0.05</v>
      </c>
      <c r="BM55" s="47">
        <f>=IFERROR(BM138/BM132,0)</f>
        <v>0</v>
      </c>
      <c r="BN55" s="47">
        <f>=IFERROR(BN138/BN132,0)</f>
        <v>0</v>
      </c>
      <c r="BO55" s="47">
        <f>=IFERROR(BO138/BO132,0)</f>
        <v>0</v>
      </c>
      <c r="BP55" s="47">
        <f>=IFERROR(BP138/BP132,0)</f>
        <v>0</v>
      </c>
      <c r="BQ55" s="47">
        <f>=IFERROR(BQ138/BQ132,0)</f>
        <v>0</v>
      </c>
      <c r="BR55" s="47">
        <f>=IFERROR(BR138/BR132,0)</f>
        <v>0</v>
      </c>
      <c r="BS55" s="47">
        <f>=IFERROR(BS138/BS132,0)</f>
        <v>0</v>
      </c>
      <c r="BT55" s="47">
        <f>=IFERROR(BT138/BT132,0)</f>
        <v>0</v>
      </c>
      <c r="BU55" s="47">
        <f>=IFERROR(BU138/BU132,0)</f>
        <v>0</v>
      </c>
      <c r="BV55" s="47">
        <f>=IFERROR(BV138/BV132,0)</f>
        <v>0</v>
      </c>
      <c r="BW55" s="47">
        <f>=IFERROR(BW138/BW132,0)</f>
        <v>0</v>
      </c>
      <c r="BX55" s="47">
        <f>=IFERROR(BX138/BX132,0)</f>
        <v>0</v>
      </c>
      <c r="BY55" s="47">
        <f>=IFERROR(BY138/BY132,0)</f>
        <v>0</v>
      </c>
      <c r="BZ55" s="47">
        <f>=IFERROR(BZ138/BZ132,0)</f>
        <v>0</v>
      </c>
      <c r="CA55" s="47">
        <f>=IFERROR(CA138/CA132,0)</f>
        <v>0</v>
      </c>
      <c r="CB55" s="47">
        <f>=IFERROR(CB138/CB132,0)</f>
        <v>0</v>
      </c>
      <c r="CC55" s="47">
        <f>=IFERROR(CC138/CC132,0)</f>
        <v>0</v>
      </c>
      <c r="CD55" s="47">
        <f>=IFERROR(CD138/CD132,0)</f>
        <v>0</v>
      </c>
      <c r="CE55" s="47">
        <f>=IFERROR(CE138/CE132,0)</f>
        <v>0</v>
      </c>
      <c r="CF55" s="47">
        <f>=IFERROR(CF138/CF132,0)</f>
        <v>0</v>
      </c>
      <c r="CG55" s="47">
        <f>=IFERROR(CG138/CG132,0)</f>
        <v>0</v>
      </c>
      <c r="CH55" s="47">
        <f>=IFERROR(CH138/CH132,0)</f>
        <v>0</v>
      </c>
      <c r="CI55" s="47">
        <f>=IFERROR(CI138/CI132,0)</f>
        <v>0</v>
      </c>
      <c r="CJ55" s="47">
        <f>=IFERROR(CJ138/CJ132,0)</f>
        <v>0</v>
      </c>
      <c r="CK55" s="47">
        <f>=IFERROR(CK138/CK132,0)</f>
        <v>0</v>
      </c>
      <c r="CL55" s="47">
        <f>=IFERROR(CL138/CL132,0)</f>
        <v>0</v>
      </c>
      <c r="CM55" s="47">
        <f>=IFERROR(CM138/CM132,0)</f>
        <v>0</v>
      </c>
      <c r="CN55" s="47">
        <f>=IFERROR(CN138/CN132,0)</f>
        <v>0</v>
      </c>
      <c r="CO55" s="47">
        <f>=IFERROR(CO138/CO132,0)</f>
        <v>0</v>
      </c>
      <c r="CP55" s="47">
        <f>=IFERROR(CP138/CP132,0)</f>
        <v>0</v>
      </c>
      <c r="CQ55" s="47">
        <f>=IFERROR(CQ138/CQ132,0)</f>
        <v>0</v>
      </c>
      <c r="CR55" s="47">
        <f>=IFERROR(CR138/CR132,0)</f>
        <v>0</v>
      </c>
      <c r="CS55" s="47">
        <f>=IFERROR(CS138/CS132,0)</f>
        <v>0</v>
      </c>
      <c r="CT55" s="47">
        <f>=IFERROR(CT138/CT132,0)</f>
        <v>0</v>
      </c>
      <c r="CU55" s="47">
        <f>=IFERROR(CU138/CU132,0)</f>
        <v>0</v>
      </c>
      <c r="CV55" s="47">
        <f>=IFERROR(CV138/CV132,0)</f>
        <v>0</v>
      </c>
      <c r="CW55" s="47">
        <f>=IFERROR(CW138/CW132,0)</f>
        <v>0</v>
      </c>
      <c r="CX55" s="47">
        <f>=IFERROR(CX138/CX132,0)</f>
        <v>0</v>
      </c>
      <c r="CY55" s="47">
        <f>=IFERROR(CY138/CY132,0)</f>
        <v>0</v>
      </c>
      <c r="CZ55" s="47">
        <f>=IFERROR(CZ138/CZ132,0)</f>
        <v>0</v>
      </c>
      <c r="DA55" s="47">
        <f>=IFERROR(DA138/DA132,0)</f>
        <v>0</v>
      </c>
      <c r="DB55" s="47">
        <f>=IFERROR(DB138/DB132,0)</f>
        <v>0</v>
      </c>
    </row>
    <row r="56" ht="15" customHeight="1" spans="1:106" x14ac:dyDescent="0.25">
      <c r="A56" s="36" t="s">
        <v>265</v>
      </c>
      <c r="B56" s="17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8"/>
      <c r="BG56" s="38"/>
      <c r="BH56" s="38"/>
      <c r="BI56" s="38"/>
      <c r="BJ56" s="38"/>
      <c r="BK56" s="38"/>
      <c r="BL56" s="38"/>
      <c r="BM56" s="38"/>
      <c r="BN56" s="38"/>
      <c r="BO56" s="38"/>
      <c r="BP56" s="38"/>
      <c r="BQ56" s="38"/>
      <c r="BR56" s="38"/>
      <c r="BS56" s="38"/>
      <c r="BT56" s="38"/>
      <c r="BU56" s="38"/>
      <c r="BV56" s="38"/>
      <c r="BW56" s="38"/>
      <c r="BX56" s="38"/>
      <c r="BY56" s="38"/>
      <c r="BZ56" s="38"/>
      <c r="CA56" s="38"/>
      <c r="CB56" s="38"/>
      <c r="CC56" s="38"/>
      <c r="CD56" s="38"/>
      <c r="CE56" s="38"/>
      <c r="CF56" s="38"/>
      <c r="CG56" s="38"/>
      <c r="CH56" s="38"/>
      <c r="CI56" s="38"/>
      <c r="CJ56" s="38"/>
      <c r="CK56" s="38"/>
      <c r="CL56" s="38"/>
      <c r="CM56" s="38"/>
      <c r="CN56" s="38"/>
      <c r="CO56" s="38"/>
      <c r="CP56" s="38"/>
      <c r="CQ56" s="38"/>
      <c r="CR56" s="38"/>
      <c r="CS56" s="38"/>
      <c r="CT56" s="38"/>
      <c r="CU56" s="38"/>
      <c r="CV56" s="38"/>
      <c r="CW56" s="38"/>
      <c r="CX56" s="38"/>
      <c r="CY56" s="38"/>
      <c r="CZ56" s="38"/>
      <c r="DA56" s="38"/>
      <c r="DB56" s="38"/>
    </row>
    <row r="57" ht="15" customHeight="1" spans="1:106" x14ac:dyDescent="0.25">
      <c r="A57" s="36" t="s">
        <v>286</v>
      </c>
      <c r="B57" s="17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  <c r="CG57" s="38"/>
      <c r="CH57" s="38"/>
      <c r="CI57" s="38"/>
      <c r="CJ57" s="38"/>
      <c r="CK57" s="38"/>
      <c r="CL57" s="38"/>
      <c r="CM57" s="38"/>
      <c r="CN57" s="38"/>
      <c r="CO57" s="38"/>
      <c r="CP57" s="38"/>
      <c r="CQ57" s="38"/>
      <c r="CR57" s="38"/>
      <c r="CS57" s="38"/>
      <c r="CT57" s="38"/>
      <c r="CU57" s="38"/>
      <c r="CV57" s="38"/>
      <c r="CW57" s="38"/>
      <c r="CX57" s="38"/>
      <c r="CY57" s="38"/>
      <c r="CZ57" s="38"/>
      <c r="DA57" s="38"/>
      <c r="DB57" s="38"/>
    </row>
    <row r="58" ht="15" customHeight="1" spans="1:106" x14ac:dyDescent="0.25">
      <c r="A58" s="16" t="s">
        <v>287</v>
      </c>
      <c r="B58" s="17"/>
      <c r="C58" s="35">
        <f>=SUM(C59:C64)</f>
        <v>0</v>
      </c>
      <c r="D58" s="35">
        <f>=SUM(D59:D61)</f>
        <v>0</v>
      </c>
      <c r="E58" s="35">
        <f>=SUM(E59:E61)</f>
        <v>0</v>
      </c>
      <c r="F58" s="35">
        <f>=SUM(F59:F61)</f>
        <v>0</v>
      </c>
      <c r="G58" s="35">
        <f>=SUM(G59:G61)</f>
        <v>0</v>
      </c>
      <c r="H58" s="35">
        <f>=SUM(H59:H61)</f>
        <v>0</v>
      </c>
      <c r="I58" s="35">
        <f>=SUM(I59:I61)</f>
        <v>0</v>
      </c>
      <c r="J58" s="35">
        <f>=SUM(J59:J61)</f>
        <v>0</v>
      </c>
      <c r="K58" s="35">
        <f>=SUM(K59:K61)</f>
        <v>0</v>
      </c>
      <c r="L58" s="35">
        <f>=SUM(L59:L61)</f>
        <v>0</v>
      </c>
      <c r="M58" s="35">
        <f>=SUM(M59:M61)</f>
        <v>0</v>
      </c>
      <c r="N58" s="35">
        <f>=SUM(N59:N61)</f>
        <v>0</v>
      </c>
      <c r="O58" s="35">
        <f>=SUM(O59:O61)</f>
        <v>0</v>
      </c>
      <c r="P58" s="35">
        <f>=SUM(P59:P61)</f>
        <v>0</v>
      </c>
      <c r="Q58" s="35">
        <f>=SUM(Q59:Q61)</f>
        <v>0</v>
      </c>
      <c r="R58" s="35">
        <f>=SUM(R59:R61)</f>
        <v>0</v>
      </c>
      <c r="S58" s="35">
        <f>=SUM(S59:S61)</f>
        <v>0</v>
      </c>
      <c r="T58" s="35">
        <f>=SUM(T59:T61)</f>
        <v>0</v>
      </c>
      <c r="U58" s="35">
        <f>=SUM(U59:U61)</f>
        <v>0</v>
      </c>
      <c r="V58" s="35">
        <f>=SUM(V59:V61)</f>
        <v>0</v>
      </c>
      <c r="W58" s="35">
        <f>=SUM(W59:W61)</f>
        <v>0</v>
      </c>
      <c r="X58" s="35">
        <f>=SUM(X59:X61)</f>
        <v>0</v>
      </c>
      <c r="Y58" s="35">
        <f>=SUM(Y59:Y61)</f>
        <v>0</v>
      </c>
      <c r="Z58" s="35">
        <f>=SUM(Z59:Z61)</f>
        <v>0</v>
      </c>
      <c r="AA58" s="35">
        <f>=SUM(AA59:AA61)</f>
        <v>0</v>
      </c>
      <c r="AB58" s="35">
        <f>=SUM(AB59:AB61)</f>
        <v>0</v>
      </c>
      <c r="AC58" s="35">
        <f>=SUM(AC59:AC61)</f>
        <v>0</v>
      </c>
      <c r="AD58" s="35">
        <f>=SUM(AD59:AD61)</f>
        <v>0</v>
      </c>
      <c r="AE58" s="35">
        <f>=SUM(AE59:AE61)</f>
        <v>0</v>
      </c>
      <c r="AF58" s="35">
        <f>=SUM(AF59:AF61)</f>
        <v>0</v>
      </c>
      <c r="AG58" s="35">
        <f>=SUM(AG59:AG61)</f>
        <v>0</v>
      </c>
      <c r="AH58" s="35">
        <f>=SUM(AH59:AH61)</f>
        <v>0</v>
      </c>
      <c r="AI58" s="35">
        <f>=SUM(AI59:AI61)</f>
        <v>0</v>
      </c>
      <c r="AJ58" s="35">
        <f>=SUM(AJ59:AJ61)</f>
        <v>0</v>
      </c>
      <c r="AK58" s="35">
        <f>=SUM(AK59:AK61)</f>
        <v>0</v>
      </c>
      <c r="AL58" s="35">
        <f>=SUM(AL59:AL61)</f>
        <v>0</v>
      </c>
      <c r="AM58" s="35">
        <f>=SUM(AM59:AM61)</f>
        <v>0</v>
      </c>
      <c r="AN58" s="35">
        <f>=SUM(AN59:AN61)</f>
        <v>0</v>
      </c>
      <c r="AO58" s="35">
        <f>=SUM(AO59:AO61)</f>
        <v>0</v>
      </c>
      <c r="AP58" s="35">
        <f>=SUM(AP59:AP61)</f>
        <v>0</v>
      </c>
      <c r="AQ58" s="35">
        <f>=SUM(AQ59:AQ61)</f>
        <v>0</v>
      </c>
      <c r="AR58" s="35">
        <f>=SUM(AR59:AR61)</f>
        <v>0</v>
      </c>
      <c r="AS58" s="35">
        <f>=SUM(AS59:AS61)</f>
        <v>0</v>
      </c>
      <c r="AT58" s="35">
        <f>=SUM(AT59:AT61)</f>
        <v>0</v>
      </c>
      <c r="AU58" s="35">
        <f>=SUM(AU59:AU61)</f>
        <v>0</v>
      </c>
      <c r="AV58" s="35">
        <f>=SUM(AV59:AV61)</f>
        <v>0</v>
      </c>
      <c r="AW58" s="35">
        <f>=SUM(AW59:AW61)</f>
        <v>0</v>
      </c>
      <c r="AX58" s="35">
        <f>=SUM(AX59:AX61)</f>
        <v>0</v>
      </c>
      <c r="AY58" s="35">
        <f>=SUM(AY59:AY61)</f>
        <v>0</v>
      </c>
      <c r="AZ58" s="35">
        <f>=SUM(AZ59:AZ61)</f>
        <v>0</v>
      </c>
      <c r="BA58" s="35">
        <f>=SUM(BA59:BA61)</f>
        <v>0</v>
      </c>
      <c r="BB58" s="35">
        <f>=SUM(BB59:BB61)</f>
        <v>0</v>
      </c>
      <c r="BC58" s="35">
        <f>=SUM(BC59:BC61)</f>
        <v>0</v>
      </c>
      <c r="BD58" s="35">
        <f>=SUM(BD59:BD61)</f>
        <v>0</v>
      </c>
      <c r="BE58" s="35">
        <f>=SUM(BE59:BE61)</f>
        <v>0</v>
      </c>
      <c r="BF58" s="35">
        <f>=SUM(BF59:BF61)</f>
        <v>0</v>
      </c>
      <c r="BG58" s="35">
        <f>=SUM(BG59:BG61)</f>
        <v>0</v>
      </c>
      <c r="BH58" s="35">
        <f>=SUM(BH59:BH61)</f>
        <v>0</v>
      </c>
      <c r="BI58" s="35">
        <f>=SUM(BI59:BI61)</f>
        <v>0</v>
      </c>
      <c r="BJ58" s="35">
        <f>=SUM(BJ59:BJ61)</f>
        <v>0</v>
      </c>
      <c r="BK58" s="35">
        <f>=SUM(BK59:BK61)</f>
        <v>0</v>
      </c>
      <c r="BL58" s="35">
        <f>=SUM(BL59:BL61)</f>
        <v>0</v>
      </c>
      <c r="BM58" s="35">
        <f>=SUM(BM59:BM61)</f>
        <v>0</v>
      </c>
      <c r="BN58" s="35">
        <f>=SUM(BN59:BN61)</f>
        <v>0</v>
      </c>
      <c r="BO58" s="35">
        <f>=SUM(BO59:BO61)</f>
        <v>0</v>
      </c>
      <c r="BP58" s="35">
        <f>=SUM(BP59:BP61)</f>
        <v>0</v>
      </c>
      <c r="BQ58" s="35">
        <f>=SUM(BQ59:BQ61)</f>
        <v>0</v>
      </c>
      <c r="BR58" s="35">
        <f>=SUM(BR59:BR61)</f>
        <v>0</v>
      </c>
      <c r="BS58" s="35">
        <f>=SUM(BS59:BS61)</f>
        <v>0</v>
      </c>
      <c r="BT58" s="35">
        <f>=SUM(BT59:BT61)</f>
        <v>0</v>
      </c>
      <c r="BU58" s="35">
        <f>=SUM(BU59:BU61)</f>
        <v>0</v>
      </c>
      <c r="BV58" s="35">
        <f>=SUM(BV59:BV61)</f>
        <v>0</v>
      </c>
      <c r="BW58" s="35">
        <f>=SUM(BW59:BW61)</f>
        <v>0</v>
      </c>
      <c r="BX58" s="35">
        <f>=SUM(BX59:BX61)</f>
        <v>0</v>
      </c>
      <c r="BY58" s="35">
        <f>=SUM(BY59:BY61)</f>
        <v>0</v>
      </c>
      <c r="BZ58" s="35">
        <f>=SUM(BZ59:BZ61)</f>
        <v>0</v>
      </c>
      <c r="CA58" s="35">
        <f>=SUM(CA59:CA61)</f>
        <v>0</v>
      </c>
      <c r="CB58" s="35">
        <f>=SUM(CB59:CB61)</f>
        <v>0</v>
      </c>
      <c r="CC58" s="35">
        <f>=SUM(CC59:CC61)</f>
        <v>0</v>
      </c>
      <c r="CD58" s="35">
        <f>=SUM(CD59:CD61)</f>
        <v>0</v>
      </c>
      <c r="CE58" s="35">
        <f>=SUM(CE59:CE61)</f>
        <v>0</v>
      </c>
      <c r="CF58" s="35">
        <f>=SUM(CF59:CF61)</f>
        <v>0</v>
      </c>
      <c r="CG58" s="35">
        <f>=SUM(CG59:CG61)</f>
        <v>0</v>
      </c>
      <c r="CH58" s="35">
        <f>=SUM(CH59:CH61)</f>
        <v>0</v>
      </c>
      <c r="CI58" s="35">
        <f>=SUM(CI59:CI61)</f>
        <v>0</v>
      </c>
      <c r="CJ58" s="35">
        <f>=SUM(CJ59:CJ61)</f>
        <v>0</v>
      </c>
      <c r="CK58" s="35">
        <f>=SUM(CK59:CK61)</f>
        <v>0</v>
      </c>
      <c r="CL58" s="35">
        <f>=SUM(CL59:CL61)</f>
        <v>0</v>
      </c>
      <c r="CM58" s="35">
        <f>=SUM(CM59:CM61)</f>
        <v>0</v>
      </c>
      <c r="CN58" s="35">
        <f>=SUM(CN59:CN61)</f>
        <v>0</v>
      </c>
      <c r="CO58" s="35">
        <f>=SUM(CO59:CO61)</f>
        <v>0</v>
      </c>
      <c r="CP58" s="35">
        <f>=SUM(CP59:CP61)</f>
        <v>0</v>
      </c>
      <c r="CQ58" s="35">
        <f>=SUM(CQ59:CQ61)</f>
        <v>0</v>
      </c>
      <c r="CR58" s="35">
        <f>=SUM(CR59:CR61)</f>
        <v>0</v>
      </c>
      <c r="CS58" s="35">
        <f>=SUM(CS59:CS61)</f>
        <v>0</v>
      </c>
      <c r="CT58" s="35">
        <f>=SUM(CT59:CT61)</f>
        <v>0</v>
      </c>
      <c r="CU58" s="35">
        <f>=SUM(CU59:CU61)</f>
        <v>0</v>
      </c>
      <c r="CV58" s="35">
        <f>=SUM(CV59:CV61)</f>
        <v>0</v>
      </c>
      <c r="CW58" s="35">
        <f>=SUM(CW59:CW61)</f>
        <v>0</v>
      </c>
      <c r="CX58" s="35">
        <f>=SUM(CX59:CX61)</f>
        <v>0</v>
      </c>
      <c r="CY58" s="35">
        <f>=SUM(CY59:CY61)</f>
        <v>0</v>
      </c>
      <c r="CZ58" s="35">
        <f>=SUM(CZ59:CZ61)</f>
        <v>0</v>
      </c>
      <c r="DA58" s="35">
        <f>=SUM(DA59:DA61)</f>
        <v>0</v>
      </c>
      <c r="DB58" s="35">
        <f>=SUM(DB59:DB61)</f>
        <v>0</v>
      </c>
    </row>
    <row r="59" ht="18" customHeight="1" spans="1:106" x14ac:dyDescent="0.25">
      <c r="A59" s="36" t="s">
        <v>268</v>
      </c>
      <c r="B59" s="17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BH59" s="38"/>
      <c r="BI59" s="38"/>
      <c r="BJ59" s="38"/>
      <c r="BK59" s="38"/>
      <c r="BL59" s="38"/>
      <c r="BM59" s="38"/>
      <c r="BN59" s="38"/>
      <c r="BO59" s="38"/>
      <c r="BP59" s="38"/>
      <c r="BQ59" s="38"/>
      <c r="BR59" s="38"/>
      <c r="BS59" s="38"/>
      <c r="BT59" s="38"/>
      <c r="BU59" s="38"/>
      <c r="BV59" s="38"/>
      <c r="BW59" s="38"/>
      <c r="BX59" s="38"/>
      <c r="BY59" s="38"/>
      <c r="BZ59" s="38"/>
      <c r="CA59" s="38"/>
      <c r="CB59" s="38"/>
      <c r="CC59" s="38"/>
      <c r="CD59" s="38"/>
      <c r="CE59" s="38"/>
      <c r="CF59" s="38"/>
      <c r="CG59" s="38"/>
      <c r="CH59" s="38"/>
      <c r="CI59" s="38"/>
      <c r="CJ59" s="38"/>
      <c r="CK59" s="38"/>
      <c r="CL59" s="38"/>
      <c r="CM59" s="38"/>
      <c r="CN59" s="38"/>
      <c r="CO59" s="38"/>
      <c r="CP59" s="38"/>
      <c r="CQ59" s="38"/>
      <c r="CR59" s="38"/>
      <c r="CS59" s="38"/>
      <c r="CT59" s="38"/>
      <c r="CU59" s="38"/>
      <c r="CV59" s="38"/>
      <c r="CW59" s="38"/>
      <c r="CX59" s="38"/>
      <c r="CY59" s="38"/>
      <c r="CZ59" s="38"/>
      <c r="DA59" s="38"/>
      <c r="DB59" s="38"/>
    </row>
    <row r="60" ht="18" customHeight="1" spans="1:106" x14ac:dyDescent="0.25">
      <c r="A60" s="36" t="s">
        <v>269</v>
      </c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8"/>
      <c r="BH60" s="38"/>
      <c r="BI60" s="38"/>
      <c r="BJ60" s="38"/>
      <c r="BK60" s="38"/>
      <c r="BL60" s="38"/>
      <c r="BM60" s="38"/>
      <c r="BN60" s="38"/>
      <c r="BO60" s="38"/>
      <c r="BP60" s="38"/>
      <c r="BQ60" s="38"/>
      <c r="BR60" s="38"/>
      <c r="BS60" s="38"/>
      <c r="BT60" s="38"/>
      <c r="BU60" s="38"/>
      <c r="BV60" s="38"/>
      <c r="BW60" s="38"/>
      <c r="BX60" s="38"/>
      <c r="BY60" s="38"/>
      <c r="BZ60" s="38"/>
      <c r="CA60" s="38"/>
      <c r="CB60" s="38"/>
      <c r="CC60" s="38"/>
      <c r="CD60" s="38"/>
      <c r="CE60" s="38"/>
      <c r="CF60" s="38"/>
      <c r="CG60" s="38"/>
      <c r="CH60" s="38"/>
      <c r="CI60" s="38"/>
      <c r="CJ60" s="38"/>
      <c r="CK60" s="38"/>
      <c r="CL60" s="38"/>
      <c r="CM60" s="38"/>
      <c r="CN60" s="38"/>
      <c r="CO60" s="38"/>
      <c r="CP60" s="38"/>
      <c r="CQ60" s="38"/>
      <c r="CR60" s="38"/>
      <c r="CS60" s="38"/>
      <c r="CT60" s="38"/>
      <c r="CU60" s="38"/>
      <c r="CV60" s="38"/>
      <c r="CW60" s="38"/>
      <c r="CX60" s="38"/>
      <c r="CY60" s="38"/>
      <c r="CZ60" s="38"/>
      <c r="DA60" s="38"/>
      <c r="DB60" s="38"/>
    </row>
    <row r="61" ht="18" customHeight="1" spans="1:106" x14ac:dyDescent="0.25">
      <c r="A61" s="36" t="s">
        <v>288</v>
      </c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38"/>
      <c r="BM61" s="38"/>
      <c r="BN61" s="38"/>
      <c r="BO61" s="38"/>
      <c r="BP61" s="38"/>
      <c r="BQ61" s="38"/>
      <c r="BR61" s="38"/>
      <c r="BS61" s="38"/>
      <c r="BT61" s="38"/>
      <c r="BU61" s="38"/>
      <c r="BV61" s="38"/>
      <c r="BW61" s="38"/>
      <c r="BX61" s="38"/>
      <c r="BY61" s="38"/>
      <c r="BZ61" s="38"/>
      <c r="CA61" s="38"/>
      <c r="CB61" s="38"/>
      <c r="CC61" s="38"/>
      <c r="CD61" s="38"/>
      <c r="CE61" s="38"/>
      <c r="CF61" s="38"/>
      <c r="CG61" s="38"/>
      <c r="CH61" s="38"/>
      <c r="CI61" s="38"/>
      <c r="CJ61" s="38"/>
      <c r="CK61" s="38"/>
      <c r="CL61" s="38"/>
      <c r="CM61" s="38"/>
      <c r="CN61" s="38"/>
      <c r="CO61" s="38"/>
      <c r="CP61" s="38"/>
      <c r="CQ61" s="38"/>
      <c r="CR61" s="38"/>
      <c r="CS61" s="38"/>
      <c r="CT61" s="38"/>
      <c r="CU61" s="38"/>
      <c r="CV61" s="38"/>
      <c r="CW61" s="38"/>
      <c r="CX61" s="38"/>
      <c r="CY61" s="38"/>
      <c r="CZ61" s="38"/>
      <c r="DA61" s="38"/>
      <c r="DB61" s="38"/>
    </row>
    <row r="62" spans="1:1" x14ac:dyDescent="0.25">
      <c r="A62" s="36" t="s">
        <v>272</v>
      </c>
    </row>
    <row r="63" ht="18" customHeight="1" spans="1:1" x14ac:dyDescent="0.25">
      <c r="A63" s="36" t="s">
        <v>289</v>
      </c>
    </row>
    <row r="64" ht="18" customHeight="1" spans="1:106" x14ac:dyDescent="0.25">
      <c r="A64" s="36" t="s">
        <v>266</v>
      </c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</row>
    <row r="65" spans="1:106" x14ac:dyDescent="0.25">
      <c r="A65" s="20" t="s">
        <v>290</v>
      </c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48">
        <f>=IFERROR(AC66/AC19,0)</f>
        <v>0</v>
      </c>
      <c r="AD65" s="48">
        <f>=IFERROR(AD66/AD19,0)</f>
        <v>0</v>
      </c>
      <c r="AE65" s="48">
        <f>=IFERROR(AE66/AE19,0)</f>
        <v>0</v>
      </c>
      <c r="AF65" s="48">
        <f>=IFERROR(AF66/AF19,0)</f>
        <v>0</v>
      </c>
      <c r="AG65" s="48">
        <f>=IFERROR(AG66/AG19,0)</f>
        <v>0</v>
      </c>
      <c r="AH65" s="48">
        <f>=IFERROR(AH66/AH19,0)</f>
        <v>0</v>
      </c>
      <c r="AI65" s="48">
        <f>=IFERROR(AI66/AI19,0)</f>
        <v>0.16666666666666666</v>
      </c>
      <c r="AJ65" s="48">
        <f>=IFERROR(AJ66/AJ19,0)</f>
        <v>0</v>
      </c>
      <c r="AK65" s="48">
        <f>=IFERROR(AK66/AK19,0)</f>
        <v>0</v>
      </c>
      <c r="AL65" s="48">
        <f>=IFERROR(AL66/AL19,0)</f>
        <v>0</v>
      </c>
      <c r="AM65" s="48">
        <f>=IFERROR(AM66/AM19,0)</f>
        <v>0</v>
      </c>
      <c r="AN65" s="48">
        <f>=IFERROR(AN66/AN19,0)</f>
        <v>0</v>
      </c>
      <c r="AO65" s="48">
        <f>=IFERROR(AO66/AO19,0)</f>
        <v>0</v>
      </c>
      <c r="AP65" s="48">
        <f>=IFERROR(AP66/AP19,0)</f>
        <v>0</v>
      </c>
      <c r="AQ65" s="48">
        <f>=IFERROR(AQ66/AQ19,0)</f>
        <v>0.2</v>
      </c>
      <c r="AR65" s="48">
        <f>=IFERROR(AR66/AR19,0)</f>
        <v>0</v>
      </c>
      <c r="AS65" s="48">
        <f>=IFERROR(AS66/AS19,0)</f>
        <v>0</v>
      </c>
      <c r="AT65" s="48">
        <f>=IFERROR(AT66/AT19,0)</f>
        <v>0</v>
      </c>
      <c r="AU65" s="48">
        <f>=IFERROR(AU66/AU19,0)</f>
        <v>0</v>
      </c>
      <c r="AV65" s="48">
        <f>=IFERROR(AV66/AV19,0)</f>
        <v>0</v>
      </c>
      <c r="AW65" s="48">
        <f>=IFERROR(AW66/AW19,0)</f>
        <v>0</v>
      </c>
      <c r="AX65" s="48">
        <f>=IFERROR(AX66/AX19,0)</f>
        <v>0</v>
      </c>
      <c r="AY65" s="48">
        <f>=IFERROR(AY66/AY19,0)</f>
        <v>0</v>
      </c>
      <c r="AZ65" s="48">
        <f>=IFERROR(AZ66/AZ19,0)</f>
        <v>0</v>
      </c>
      <c r="BA65" s="48">
        <f>=IFERROR(BA66/BA19,0)</f>
        <v>0</v>
      </c>
      <c r="BB65" s="48">
        <f>=IFERROR(BB66/BB19,0)</f>
        <v>0</v>
      </c>
      <c r="BC65" s="48">
        <f>=IFERROR(BC66/BC19,0)</f>
        <v>0.25</v>
      </c>
      <c r="BD65" s="48">
        <f>=IFERROR(BD66/BD19,0)</f>
        <v>0</v>
      </c>
      <c r="BE65" s="48">
        <f>=IFERROR(BE66/BE19,0)</f>
        <v>0</v>
      </c>
      <c r="BF65" s="48">
        <f>=IFERROR(BF66/BF19,0)</f>
        <v>0</v>
      </c>
      <c r="BG65" s="48">
        <f>=IFERROR(BG66/BG19,0)</f>
        <v>0</v>
      </c>
      <c r="BH65" s="48">
        <f>=IFERROR(BH66/BH19,0)</f>
        <v>0</v>
      </c>
      <c r="BI65" s="48">
        <f>=IFERROR(BI66/BI19,0)</f>
        <v>0</v>
      </c>
      <c r="BJ65" s="48">
        <f>=IFERROR(BJ66/BJ19,0)</f>
        <v>0</v>
      </c>
      <c r="BK65" s="48">
        <f>=IFERROR(BK66/BK19,0)</f>
        <v>0</v>
      </c>
      <c r="BL65" s="48">
        <f>=IFERROR(BL66/BL19,0)</f>
        <v>0</v>
      </c>
      <c r="BM65" s="48">
        <f>=IFERROR(BM66/BM19,0)</f>
        <v>0</v>
      </c>
      <c r="BN65" s="48">
        <f>=IFERROR(BN66/BN19,0)</f>
        <v>0</v>
      </c>
      <c r="BO65" s="48">
        <f>=IFERROR(BO66/BO19,0)</f>
        <v>0</v>
      </c>
      <c r="BP65" s="48">
        <f>=IFERROR(BP66/BP19,0)</f>
        <v>0</v>
      </c>
      <c r="BQ65" s="48">
        <f>=IFERROR(BQ66/BQ19,0)</f>
        <v>0</v>
      </c>
      <c r="BR65" s="48">
        <f>=IFERROR(BR66/BR19,0)</f>
        <v>0</v>
      </c>
      <c r="BS65" s="48">
        <f>=IFERROR(BS66/BS19,0)</f>
        <v>0</v>
      </c>
      <c r="BT65" s="48">
        <f>=IFERROR(BT66/BT19,0)</f>
        <v>0</v>
      </c>
      <c r="BU65" s="48">
        <f>=IFERROR(BU66/BU19,0)</f>
        <v>0</v>
      </c>
      <c r="BV65" s="48">
        <f>=IFERROR(BV66/BV19,0)</f>
        <v>0</v>
      </c>
      <c r="BW65" s="48">
        <f>=IFERROR(BW66/BW19,0)</f>
        <v>0</v>
      </c>
      <c r="BX65" s="48">
        <f>=IFERROR(BX66/BX19,0)</f>
        <v>0</v>
      </c>
      <c r="BY65" s="48">
        <f>=IFERROR(BY66/BY19,0)</f>
        <v>0</v>
      </c>
      <c r="BZ65" s="48">
        <f>=IFERROR(BZ66/BZ19,0)</f>
        <v>0</v>
      </c>
      <c r="CA65" s="48">
        <f>=IFERROR(CA66/CA19,0)</f>
        <v>0</v>
      </c>
      <c r="CB65" s="48">
        <f>=IFERROR(CB66/CB19,0)</f>
        <v>0</v>
      </c>
      <c r="CC65" s="48">
        <f>=IFERROR(CC66/CC19,0)</f>
        <v>0</v>
      </c>
      <c r="CD65" s="48">
        <f>=IFERROR(CD66/CD19,0)</f>
        <v>0</v>
      </c>
      <c r="CE65" s="48">
        <f>=IFERROR(CE66/CE19,0)</f>
        <v>0</v>
      </c>
      <c r="CF65" s="48">
        <f>=IFERROR(CF66/CF19,0)</f>
        <v>0</v>
      </c>
      <c r="CG65" s="48">
        <f>=IFERROR(CG66/CG19,0)</f>
        <v>0</v>
      </c>
      <c r="CH65" s="48">
        <f>=IFERROR(CH66/CH19,0)</f>
        <v>0</v>
      </c>
      <c r="CI65" s="48">
        <f>=IFERROR(CI66/CI19,0)</f>
        <v>0</v>
      </c>
      <c r="CJ65" s="48">
        <f>=IFERROR(CJ66/CJ19,0)</f>
        <v>0</v>
      </c>
      <c r="CK65" s="48">
        <f>=IFERROR(CK66/CK19,0)</f>
        <v>0</v>
      </c>
      <c r="CL65" s="48">
        <f>=IFERROR(CL66/CL19,0)</f>
        <v>0</v>
      </c>
      <c r="CM65" s="48">
        <f>=IFERROR(CM66/CM19,0)</f>
        <v>0</v>
      </c>
      <c r="CN65" s="48">
        <f>=IFERROR(CN66/CN19,0)</f>
        <v>0</v>
      </c>
      <c r="CO65" s="48">
        <f>=IFERROR(CO66/CO19,0)</f>
        <v>0</v>
      </c>
      <c r="CP65" s="48">
        <f>=IFERROR(CP66/CP19,0)</f>
        <v>0</v>
      </c>
      <c r="CQ65" s="48">
        <f>=IFERROR(CQ66/CQ19,0)</f>
        <v>0</v>
      </c>
      <c r="CR65" s="48">
        <f>=IFERROR(CR66/CR19,0)</f>
        <v>0</v>
      </c>
      <c r="CS65" s="48">
        <f>=IFERROR(CS66/CS19,0)</f>
        <v>0</v>
      </c>
      <c r="CT65" s="48">
        <f>=IFERROR(CT66/CT19,0)</f>
        <v>0</v>
      </c>
      <c r="CU65" s="48">
        <f>=IFERROR(CU66/CU19,0)</f>
        <v>0</v>
      </c>
      <c r="CV65" s="48">
        <f>=IFERROR(CV66/CV19,0)</f>
        <v>0</v>
      </c>
      <c r="CW65" s="48">
        <f>=IFERROR(CW66/CW19,0)</f>
        <v>0</v>
      </c>
      <c r="CX65" s="48">
        <f>=IFERROR(CX66/CX19,0)</f>
        <v>0</v>
      </c>
      <c r="CY65" s="48">
        <f>=IFERROR(CY66/CY19,0)</f>
        <v>0</v>
      </c>
      <c r="CZ65" s="48">
        <f>=IFERROR(CZ66/CZ19,0)</f>
        <v>0</v>
      </c>
      <c r="DA65" s="48">
        <f>=IFERROR(DA66/DA19,0)</f>
        <v>0</v>
      </c>
      <c r="DB65" s="48">
        <f>=IFERROR(DB66/DB19,0)</f>
        <v>0</v>
      </c>
    </row>
    <row r="66" spans="1:106" x14ac:dyDescent="0.25">
      <c r="A66" s="36" t="s">
        <v>291</v>
      </c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>
        <f>=AC82</f>
        <v>0</v>
      </c>
      <c r="AD66" s="30">
        <f>=AD82</f>
        <v>0</v>
      </c>
      <c r="AE66" s="30">
        <f>=AE82</f>
        <v>0</v>
      </c>
      <c r="AF66" s="30">
        <f>=AF82</f>
        <v>0</v>
      </c>
      <c r="AG66" s="30">
        <f>=AG82</f>
        <v>0</v>
      </c>
      <c r="AH66" s="30">
        <f>=AH82</f>
        <v>0</v>
      </c>
      <c r="AI66" s="30">
        <f>=AI82</f>
        <v>1</v>
      </c>
      <c r="AJ66" s="30">
        <f>=AJ82</f>
        <v>0</v>
      </c>
      <c r="AK66" s="30">
        <f>=AK82</f>
        <v>0</v>
      </c>
      <c r="AL66" s="30">
        <f>=AL82</f>
        <v>0</v>
      </c>
      <c r="AM66" s="30">
        <f>=AM82</f>
        <v>0</v>
      </c>
      <c r="AN66" s="30">
        <f>=AN82</f>
        <v>0</v>
      </c>
      <c r="AO66" s="30">
        <f>=AO82</f>
        <v>0</v>
      </c>
      <c r="AP66" s="30">
        <f>=AP82</f>
        <v>0</v>
      </c>
      <c r="AQ66" s="30">
        <f>=AQ82</f>
        <v>1</v>
      </c>
      <c r="AR66" s="30">
        <f>=AR82</f>
        <v>0</v>
      </c>
      <c r="AS66" s="30">
        <f>=AS82</f>
        <v>0</v>
      </c>
      <c r="AT66" s="30">
        <f>=AT82</f>
        <v>0</v>
      </c>
      <c r="AU66" s="30">
        <f>=AU82</f>
        <v>0</v>
      </c>
      <c r="AV66" s="30">
        <f>=AV82</f>
        <v>0</v>
      </c>
      <c r="AW66" s="30">
        <f>=AW82</f>
        <v>0</v>
      </c>
      <c r="AX66" s="30">
        <f>=AX82</f>
        <v>0</v>
      </c>
      <c r="AY66" s="30">
        <f>=AY82</f>
        <v>0</v>
      </c>
      <c r="AZ66" s="30">
        <f>=AZ82</f>
        <v>0</v>
      </c>
      <c r="BA66" s="30">
        <f>=BA82</f>
        <v>0</v>
      </c>
      <c r="BB66" s="30">
        <f>=BB82</f>
        <v>0</v>
      </c>
      <c r="BC66" s="30">
        <f>=BC82</f>
        <v>1</v>
      </c>
      <c r="BD66" s="30">
        <f>=BD82</f>
        <v>0</v>
      </c>
      <c r="BE66" s="30">
        <f>=BE82</f>
        <v>0</v>
      </c>
      <c r="BF66" s="30">
        <f>=BF82</f>
        <v>0</v>
      </c>
      <c r="BG66" s="30">
        <f>=BG82</f>
        <v>0</v>
      </c>
      <c r="BH66" s="30">
        <f>=BH82</f>
        <v>0</v>
      </c>
      <c r="BI66" s="30">
        <f>=BI82</f>
        <v>0</v>
      </c>
      <c r="BJ66" s="30">
        <f>=BJ82</f>
        <v>0</v>
      </c>
      <c r="BK66" s="30">
        <f>=BK82</f>
        <v>0</v>
      </c>
      <c r="BL66" s="30">
        <f>=BL82</f>
        <v>0</v>
      </c>
      <c r="BM66" s="30">
        <f>=BM82</f>
        <v>0</v>
      </c>
      <c r="BN66" s="30">
        <f>=BN82</f>
        <v>0</v>
      </c>
      <c r="BO66" s="30">
        <f>=BO82</f>
        <v>0</v>
      </c>
      <c r="BP66" s="30">
        <f>=BP82</f>
        <v>0</v>
      </c>
      <c r="BQ66" s="30">
        <f>=BQ82</f>
        <v>0</v>
      </c>
      <c r="BR66" s="30">
        <f>=BR82</f>
        <v>0</v>
      </c>
      <c r="BS66" s="30">
        <f>=BS82</f>
        <v>0</v>
      </c>
      <c r="BT66" s="30">
        <f>=BT82</f>
        <v>0</v>
      </c>
      <c r="BU66" s="30">
        <f>=BU82</f>
        <v>0</v>
      </c>
      <c r="BV66" s="30">
        <f>=BV82</f>
        <v>0</v>
      </c>
      <c r="BW66" s="30">
        <f>=BW82</f>
        <v>0</v>
      </c>
      <c r="BX66" s="30">
        <f>=BX82</f>
        <v>0</v>
      </c>
      <c r="BY66" s="30">
        <f>=BY82</f>
        <v>0</v>
      </c>
      <c r="BZ66" s="30">
        <f>=BZ82</f>
        <v>0</v>
      </c>
      <c r="CA66" s="30">
        <f>=CA82</f>
        <v>0</v>
      </c>
      <c r="CB66" s="30">
        <f>=CB82</f>
        <v>0</v>
      </c>
      <c r="CC66" s="30">
        <f>=CC82</f>
        <v>0</v>
      </c>
      <c r="CD66" s="30">
        <f>=CD82</f>
        <v>0</v>
      </c>
      <c r="CE66" s="30">
        <f>=CE82</f>
        <v>0</v>
      </c>
      <c r="CF66" s="30">
        <f>=CF82</f>
        <v>0</v>
      </c>
      <c r="CG66" s="30">
        <f>=CG82</f>
        <v>0</v>
      </c>
      <c r="CH66" s="30">
        <f>=CH82</f>
        <v>0</v>
      </c>
      <c r="CI66" s="30">
        <f>=CI82</f>
        <v>0</v>
      </c>
      <c r="CJ66" s="30">
        <f>=CJ82</f>
        <v>0</v>
      </c>
      <c r="CK66" s="30">
        <f>=CK82</f>
        <v>0</v>
      </c>
      <c r="CL66" s="30">
        <f>=CL82</f>
        <v>0</v>
      </c>
      <c r="CM66" s="30">
        <f>=CM82</f>
        <v>0</v>
      </c>
      <c r="CN66" s="30">
        <f>=CN82</f>
        <v>0</v>
      </c>
      <c r="CO66" s="30">
        <f>=CO82</f>
        <v>0</v>
      </c>
      <c r="CP66" s="30">
        <f>=CP82</f>
        <v>0</v>
      </c>
      <c r="CQ66" s="30">
        <f>=CQ82</f>
        <v>0</v>
      </c>
      <c r="CR66" s="30">
        <f>=CR82</f>
        <v>0</v>
      </c>
      <c r="CS66" s="30">
        <f>=CS82</f>
        <v>0</v>
      </c>
      <c r="CT66" s="30">
        <f>=CT82</f>
        <v>0</v>
      </c>
      <c r="CU66" s="30">
        <f>=CU82</f>
        <v>0</v>
      </c>
      <c r="CV66" s="30">
        <f>=CV82</f>
        <v>0</v>
      </c>
      <c r="CW66" s="30">
        <f>=CW82</f>
        <v>0</v>
      </c>
      <c r="CX66" s="30">
        <f>=CX82</f>
        <v>0</v>
      </c>
      <c r="CY66" s="30">
        <f>=CY82</f>
        <v>0</v>
      </c>
      <c r="CZ66" s="30">
        <f>=CZ82</f>
        <v>0</v>
      </c>
      <c r="DA66" s="30">
        <f>=DA82</f>
        <v>0</v>
      </c>
      <c r="DB66" s="30">
        <f>=DB82</f>
        <v>0</v>
      </c>
    </row>
    <row r="67" spans="1:106" x14ac:dyDescent="0.25">
      <c r="A67" s="20" t="s">
        <v>292</v>
      </c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J67" s="30"/>
      <c r="BK67" s="30"/>
      <c r="BL67" s="30"/>
      <c r="BM67" s="30"/>
      <c r="BN67" s="30"/>
      <c r="BO67" s="30"/>
      <c r="BP67" s="30"/>
      <c r="BQ67" s="30"/>
      <c r="BR67" s="30"/>
      <c r="BS67" s="30"/>
      <c r="BT67" s="30"/>
      <c r="BU67" s="30"/>
      <c r="BV67" s="30"/>
      <c r="BW67" s="30"/>
      <c r="BX67" s="30"/>
      <c r="BY67" s="30"/>
      <c r="BZ67" s="30"/>
      <c r="CA67" s="30"/>
      <c r="CB67" s="30"/>
      <c r="CC67" s="30"/>
      <c r="CD67" s="30"/>
      <c r="CE67" s="30"/>
      <c r="CF67" s="30"/>
      <c r="CG67" s="30"/>
      <c r="CH67" s="30"/>
      <c r="CI67" s="30"/>
      <c r="CJ67" s="30"/>
      <c r="CK67" s="30"/>
      <c r="CL67" s="30"/>
      <c r="CM67" s="30"/>
      <c r="CN67" s="30"/>
      <c r="CO67" s="30"/>
      <c r="CP67" s="30"/>
      <c r="CQ67" s="30"/>
      <c r="CR67" s="30"/>
      <c r="CS67" s="30"/>
      <c r="CT67" s="30"/>
      <c r="CU67" s="30"/>
      <c r="CV67" s="30"/>
      <c r="CW67" s="30"/>
      <c r="CX67" s="30"/>
      <c r="CY67" s="30"/>
      <c r="CZ67" s="30"/>
      <c r="DA67" s="30"/>
      <c r="DB67" s="30"/>
    </row>
    <row r="68" spans="1:106" x14ac:dyDescent="0.25">
      <c r="A68" s="36" t="s">
        <v>293</v>
      </c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30"/>
      <c r="BK68" s="30"/>
      <c r="BL68" s="30"/>
      <c r="BM68" s="30"/>
      <c r="BN68" s="30"/>
      <c r="BO68" s="30"/>
      <c r="BP68" s="30"/>
      <c r="BQ68" s="30"/>
      <c r="BR68" s="30"/>
      <c r="BS68" s="30"/>
      <c r="BT68" s="30"/>
      <c r="BU68" s="30"/>
      <c r="BV68" s="30"/>
      <c r="BW68" s="30"/>
      <c r="BX68" s="30"/>
      <c r="BY68" s="30"/>
      <c r="BZ68" s="30"/>
      <c r="CA68" s="30"/>
      <c r="CB68" s="30"/>
      <c r="CC68" s="30"/>
      <c r="CD68" s="30"/>
      <c r="CE68" s="30"/>
      <c r="CF68" s="30"/>
      <c r="CG68" s="30"/>
      <c r="CH68" s="30"/>
      <c r="CI68" s="30"/>
      <c r="CJ68" s="30"/>
      <c r="CK68" s="30"/>
      <c r="CL68" s="30"/>
      <c r="CM68" s="30"/>
      <c r="CN68" s="30"/>
      <c r="CO68" s="30"/>
      <c r="CP68" s="30"/>
      <c r="CQ68" s="30"/>
      <c r="CR68" s="30"/>
      <c r="CS68" s="30"/>
      <c r="CT68" s="30"/>
      <c r="CU68" s="30"/>
      <c r="CV68" s="30"/>
      <c r="CW68" s="30"/>
      <c r="CX68" s="30"/>
      <c r="CY68" s="30"/>
      <c r="CZ68" s="30"/>
      <c r="DA68" s="30"/>
      <c r="DB68" s="30"/>
    </row>
    <row r="69" spans="1:106" x14ac:dyDescent="0.25">
      <c r="A69" s="16" t="s">
        <v>294</v>
      </c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  <c r="BP69" s="30"/>
      <c r="BQ69" s="30"/>
      <c r="BR69" s="30"/>
      <c r="BS69" s="30"/>
      <c r="BT69" s="30"/>
      <c r="BU69" s="30"/>
      <c r="BV69" s="30"/>
      <c r="BW69" s="30"/>
      <c r="BX69" s="30"/>
      <c r="BY69" s="30"/>
      <c r="BZ69" s="30"/>
      <c r="CA69" s="30"/>
      <c r="CB69" s="30"/>
      <c r="CC69" s="30"/>
      <c r="CD69" s="30"/>
      <c r="CE69" s="30"/>
      <c r="CF69" s="30"/>
      <c r="CG69" s="30"/>
      <c r="CH69" s="30"/>
      <c r="CI69" s="30"/>
      <c r="CJ69" s="30"/>
      <c r="CK69" s="30"/>
      <c r="CL69" s="30"/>
      <c r="CM69" s="30"/>
      <c r="CN69" s="30"/>
      <c r="CO69" s="30"/>
      <c r="CP69" s="30"/>
      <c r="CQ69" s="30"/>
      <c r="CR69" s="30"/>
      <c r="CS69" s="30"/>
      <c r="CT69" s="30"/>
      <c r="CU69" s="30"/>
      <c r="CV69" s="30"/>
      <c r="CW69" s="30"/>
      <c r="CX69" s="30"/>
      <c r="CY69" s="30"/>
      <c r="CZ69" s="30"/>
      <c r="DA69" s="30"/>
      <c r="DB69" s="30"/>
    </row>
    <row r="70" spans="1:106" x14ac:dyDescent="0.25">
      <c r="A70" s="16" t="s">
        <v>282</v>
      </c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/>
      <c r="BO70" s="30"/>
      <c r="BP70" s="30"/>
      <c r="BQ70" s="30"/>
      <c r="BR70" s="30"/>
      <c r="BS70" s="30"/>
      <c r="BT70" s="30"/>
      <c r="BU70" s="30"/>
      <c r="BV70" s="30"/>
      <c r="BW70" s="30"/>
      <c r="BX70" s="30"/>
      <c r="BY70" s="30"/>
      <c r="BZ70" s="30"/>
      <c r="CA70" s="30"/>
      <c r="CB70" s="30"/>
      <c r="CC70" s="30"/>
      <c r="CD70" s="30"/>
      <c r="CE70" s="30"/>
      <c r="CF70" s="30"/>
      <c r="CG70" s="30"/>
      <c r="CH70" s="30"/>
      <c r="CI70" s="30"/>
      <c r="CJ70" s="30"/>
      <c r="CK70" s="30"/>
      <c r="CL70" s="30"/>
      <c r="CM70" s="30"/>
      <c r="CN70" s="30"/>
      <c r="CO70" s="30"/>
      <c r="CP70" s="30"/>
      <c r="CQ70" s="30"/>
      <c r="CR70" s="30"/>
      <c r="CS70" s="30"/>
      <c r="CT70" s="30"/>
      <c r="CU70" s="30"/>
      <c r="CV70" s="30"/>
      <c r="CW70" s="30"/>
      <c r="CX70" s="30"/>
      <c r="CY70" s="30"/>
      <c r="CZ70" s="30"/>
      <c r="DA70" s="30"/>
      <c r="DB70" s="30"/>
    </row>
    <row r="71" spans="3:106" x14ac:dyDescent="0.25"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30"/>
      <c r="BN71" s="30"/>
      <c r="BO71" s="30"/>
      <c r="BP71" s="30"/>
      <c r="BQ71" s="30"/>
      <c r="BR71" s="30"/>
      <c r="BS71" s="30"/>
      <c r="BT71" s="30"/>
      <c r="BU71" s="30"/>
      <c r="BV71" s="30"/>
      <c r="BW71" s="30"/>
      <c r="BX71" s="30"/>
      <c r="BY71" s="30"/>
      <c r="BZ71" s="30"/>
      <c r="CA71" s="30"/>
      <c r="CB71" s="30"/>
      <c r="CC71" s="30"/>
      <c r="CD71" s="30"/>
      <c r="CE71" s="30"/>
      <c r="CF71" s="30"/>
      <c r="CG71" s="30"/>
      <c r="CH71" s="30"/>
      <c r="CI71" s="30"/>
      <c r="CJ71" s="30"/>
      <c r="CK71" s="30"/>
      <c r="CL71" s="30"/>
      <c r="CM71" s="30"/>
      <c r="CN71" s="30"/>
      <c r="CO71" s="30"/>
      <c r="CP71" s="30"/>
      <c r="CQ71" s="30"/>
      <c r="CR71" s="30"/>
      <c r="CS71" s="30"/>
      <c r="CT71" s="30"/>
      <c r="CU71" s="30"/>
      <c r="CV71" s="30"/>
      <c r="CW71" s="30"/>
      <c r="CX71" s="30"/>
      <c r="CY71" s="30"/>
      <c r="CZ71" s="30"/>
      <c r="DA71" s="30"/>
      <c r="DB71" s="30"/>
    </row>
    <row r="72" spans="1:106" x14ac:dyDescent="0.25">
      <c r="A72" s="49" t="s">
        <v>295</v>
      </c>
      <c r="B72" s="17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2"/>
      <c r="CH72" s="32"/>
      <c r="CI72" s="32"/>
      <c r="CJ72" s="32"/>
      <c r="CK72" s="32"/>
      <c r="CL72" s="32"/>
      <c r="CM72" s="32"/>
      <c r="CN72" s="32"/>
      <c r="CO72" s="32"/>
      <c r="CP72" s="32"/>
      <c r="CQ72" s="32"/>
      <c r="CR72" s="32"/>
      <c r="CS72" s="32"/>
      <c r="CT72" s="32"/>
      <c r="CU72" s="32"/>
      <c r="CV72" s="32"/>
      <c r="CW72" s="32"/>
      <c r="CX72" s="32"/>
      <c r="CY72" s="32"/>
      <c r="CZ72" s="32"/>
      <c r="DA72" s="32"/>
      <c r="DB72" s="32"/>
    </row>
    <row r="73" ht="15" customHeight="1" spans="1:106" x14ac:dyDescent="0.25">
      <c r="A73" s="16" t="s">
        <v>296</v>
      </c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</row>
    <row r="74" ht="15" customHeight="1" spans="1:106" x14ac:dyDescent="0.25">
      <c r="A74" s="16" t="s">
        <v>297</v>
      </c>
      <c r="B74" s="17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  <c r="BC74" s="50"/>
      <c r="BD74" s="50"/>
      <c r="BE74" s="50"/>
      <c r="BF74" s="50"/>
      <c r="BG74" s="50"/>
      <c r="BH74" s="50"/>
      <c r="BI74" s="50"/>
      <c r="BJ74" s="50"/>
      <c r="BK74" s="50"/>
      <c r="BL74" s="50"/>
      <c r="BM74" s="50"/>
      <c r="BN74" s="50"/>
      <c r="BO74" s="50"/>
      <c r="BP74" s="50"/>
      <c r="BQ74" s="50"/>
      <c r="BR74" s="50"/>
      <c r="BS74" s="50"/>
      <c r="BT74" s="50"/>
      <c r="BU74" s="50"/>
      <c r="BV74" s="50"/>
      <c r="BW74" s="50"/>
      <c r="BX74" s="50"/>
      <c r="BY74" s="50"/>
      <c r="BZ74" s="50"/>
      <c r="CA74" s="50"/>
      <c r="CB74" s="50"/>
      <c r="CC74" s="50"/>
      <c r="CD74" s="50"/>
      <c r="CE74" s="50"/>
      <c r="CF74" s="50"/>
      <c r="CG74" s="50"/>
      <c r="CH74" s="50"/>
      <c r="CI74" s="50"/>
      <c r="CJ74" s="50"/>
      <c r="CK74" s="50"/>
      <c r="CL74" s="50"/>
      <c r="CM74" s="50"/>
      <c r="CN74" s="50"/>
      <c r="CO74" s="50"/>
      <c r="CP74" s="50"/>
      <c r="CQ74" s="50"/>
      <c r="CR74" s="50"/>
      <c r="CS74" s="50"/>
      <c r="CT74" s="50"/>
      <c r="CU74" s="50"/>
      <c r="CV74" s="50"/>
      <c r="CW74" s="50"/>
      <c r="CX74" s="50"/>
      <c r="CY74" s="50"/>
      <c r="CZ74" s="50"/>
      <c r="DA74" s="50"/>
      <c r="DB74" s="50"/>
    </row>
    <row r="75" ht="15" customHeight="1" spans="1:106" x14ac:dyDescent="0.25">
      <c r="A75" s="51" t="s">
        <v>298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</row>
    <row r="76" ht="15" customHeight="1" spans="1:106" x14ac:dyDescent="0.25">
      <c r="A76" s="16" t="s">
        <v>299</v>
      </c>
      <c r="B76" s="17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50"/>
      <c r="AR76" s="50"/>
      <c r="AS76" s="50"/>
      <c r="AT76" s="50"/>
      <c r="AU76" s="50"/>
      <c r="AV76" s="50"/>
      <c r="AW76" s="50"/>
      <c r="AX76" s="50"/>
      <c r="AY76" s="50"/>
      <c r="AZ76" s="50"/>
      <c r="BA76" s="50"/>
      <c r="BB76" s="50"/>
      <c r="BC76" s="50"/>
      <c r="BD76" s="50"/>
      <c r="BE76" s="50"/>
      <c r="BF76" s="50"/>
      <c r="BG76" s="50"/>
      <c r="BH76" s="50"/>
      <c r="BI76" s="50"/>
      <c r="BJ76" s="50"/>
      <c r="BK76" s="50"/>
      <c r="BL76" s="50"/>
      <c r="BM76" s="50"/>
      <c r="BN76" s="50"/>
      <c r="BO76" s="50"/>
      <c r="BP76" s="50"/>
      <c r="BQ76" s="50"/>
      <c r="BR76" s="50"/>
      <c r="BS76" s="50"/>
      <c r="BT76" s="50"/>
      <c r="BU76" s="50"/>
      <c r="BV76" s="50"/>
      <c r="BW76" s="50"/>
      <c r="BX76" s="50"/>
      <c r="BY76" s="50"/>
      <c r="BZ76" s="50"/>
      <c r="CA76" s="50"/>
      <c r="CB76" s="50"/>
      <c r="CC76" s="50"/>
      <c r="CD76" s="50"/>
      <c r="CE76" s="50"/>
      <c r="CF76" s="50"/>
      <c r="CG76" s="50"/>
      <c r="CH76" s="50"/>
      <c r="CI76" s="50"/>
      <c r="CJ76" s="50"/>
      <c r="CK76" s="50"/>
      <c r="CL76" s="50"/>
      <c r="CM76" s="50"/>
      <c r="CN76" s="50"/>
      <c r="CO76" s="50"/>
      <c r="CP76" s="50"/>
      <c r="CQ76" s="50"/>
      <c r="CR76" s="50"/>
      <c r="CS76" s="50"/>
      <c r="CT76" s="50"/>
      <c r="CU76" s="50"/>
      <c r="CV76" s="50"/>
      <c r="CW76" s="50"/>
      <c r="CX76" s="50"/>
      <c r="CY76" s="50"/>
      <c r="CZ76" s="50"/>
      <c r="DA76" s="50"/>
      <c r="DB76" s="50"/>
    </row>
    <row r="77" ht="15" customHeight="1" spans="1:106" x14ac:dyDescent="0.25">
      <c r="A77" s="16" t="s">
        <v>300</v>
      </c>
      <c r="B77" s="17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50"/>
      <c r="BC77" s="50"/>
      <c r="BD77" s="50"/>
      <c r="BE77" s="50"/>
      <c r="BF77" s="50"/>
      <c r="BG77" s="50"/>
      <c r="BH77" s="50"/>
      <c r="BI77" s="50"/>
      <c r="BJ77" s="50"/>
      <c r="BK77" s="50"/>
      <c r="BL77" s="50"/>
      <c r="BM77" s="50"/>
      <c r="BN77" s="50"/>
      <c r="BO77" s="50"/>
      <c r="BP77" s="50"/>
      <c r="BQ77" s="50"/>
      <c r="BR77" s="50"/>
      <c r="BS77" s="50"/>
      <c r="BT77" s="50"/>
      <c r="BU77" s="50"/>
      <c r="BV77" s="50"/>
      <c r="BW77" s="50"/>
      <c r="BX77" s="50"/>
      <c r="BY77" s="50"/>
      <c r="BZ77" s="50"/>
      <c r="CA77" s="50"/>
      <c r="CB77" s="50"/>
      <c r="CC77" s="50"/>
      <c r="CD77" s="50"/>
      <c r="CE77" s="50"/>
      <c r="CF77" s="50"/>
      <c r="CG77" s="50"/>
      <c r="CH77" s="50"/>
      <c r="CI77" s="50"/>
      <c r="CJ77" s="50"/>
      <c r="CK77" s="50"/>
      <c r="CL77" s="50"/>
      <c r="CM77" s="50"/>
      <c r="CN77" s="50"/>
      <c r="CO77" s="50"/>
      <c r="CP77" s="50"/>
      <c r="CQ77" s="50"/>
      <c r="CR77" s="50"/>
      <c r="CS77" s="50"/>
      <c r="CT77" s="50"/>
      <c r="CU77" s="50"/>
      <c r="CV77" s="50"/>
      <c r="CW77" s="50"/>
      <c r="CX77" s="50"/>
      <c r="CY77" s="50"/>
      <c r="CZ77" s="50"/>
      <c r="DA77" s="50"/>
      <c r="DB77" s="50"/>
    </row>
    <row r="78" ht="15" customHeight="1" spans="1:106" x14ac:dyDescent="0.25">
      <c r="A78" s="16" t="s">
        <v>301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</row>
    <row r="79" spans="3:106" x14ac:dyDescent="0.25"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  <c r="BK79" s="30"/>
      <c r="BL79" s="30"/>
      <c r="BM79" s="30"/>
      <c r="BN79" s="30"/>
      <c r="BO79" s="30"/>
      <c r="BP79" s="30"/>
      <c r="BQ79" s="30"/>
      <c r="BR79" s="30"/>
      <c r="BS79" s="30"/>
      <c r="BT79" s="30"/>
      <c r="BU79" s="30"/>
      <c r="BV79" s="30"/>
      <c r="BW79" s="30"/>
      <c r="BX79" s="30"/>
      <c r="BY79" s="30"/>
      <c r="BZ79" s="30"/>
      <c r="CA79" s="30"/>
      <c r="CB79" s="30"/>
      <c r="CC79" s="30"/>
      <c r="CD79" s="30"/>
      <c r="CE79" s="30"/>
      <c r="CF79" s="30"/>
      <c r="CG79" s="30"/>
      <c r="CH79" s="30"/>
      <c r="CI79" s="30"/>
      <c r="CJ79" s="30"/>
      <c r="CK79" s="30"/>
      <c r="CL79" s="30"/>
      <c r="CM79" s="30"/>
      <c r="CN79" s="30"/>
      <c r="CO79" s="30"/>
      <c r="CP79" s="30"/>
      <c r="CQ79" s="30"/>
      <c r="CR79" s="30"/>
      <c r="CS79" s="30"/>
      <c r="CT79" s="30"/>
      <c r="CU79" s="30"/>
      <c r="CV79" s="30"/>
      <c r="CW79" s="30"/>
      <c r="CX79" s="30"/>
      <c r="CY79" s="30"/>
      <c r="CZ79" s="30"/>
      <c r="DA79" s="30"/>
      <c r="DB79" s="30"/>
    </row>
    <row r="80" spans="1:106" x14ac:dyDescent="0.25">
      <c r="A80" s="9" t="s">
        <v>302</v>
      </c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30"/>
      <c r="BN80" s="30"/>
      <c r="BO80" s="30"/>
      <c r="BP80" s="30"/>
      <c r="BQ80" s="30"/>
      <c r="BR80" s="30"/>
      <c r="BS80" s="30"/>
      <c r="BT80" s="30"/>
      <c r="BU80" s="30"/>
      <c r="BV80" s="30"/>
      <c r="BW80" s="30"/>
      <c r="BX80" s="30"/>
      <c r="BY80" s="30"/>
      <c r="BZ80" s="30"/>
      <c r="CA80" s="30"/>
      <c r="CB80" s="30"/>
      <c r="CC80" s="30"/>
      <c r="CD80" s="30"/>
      <c r="CE80" s="30"/>
      <c r="CF80" s="30"/>
      <c r="CG80" s="30"/>
      <c r="CH80" s="30"/>
      <c r="CI80" s="30"/>
      <c r="CJ80" s="30"/>
      <c r="CK80" s="30"/>
      <c r="CL80" s="30"/>
      <c r="CM80" s="30"/>
      <c r="CN80" s="30"/>
      <c r="CO80" s="30"/>
      <c r="CP80" s="30"/>
      <c r="CQ80" s="30"/>
      <c r="CR80" s="30"/>
      <c r="CS80" s="30"/>
      <c r="CT80" s="30"/>
      <c r="CU80" s="30"/>
      <c r="CV80" s="30"/>
      <c r="CW80" s="30"/>
      <c r="CX80" s="30"/>
      <c r="CY80" s="30"/>
      <c r="CZ80" s="30"/>
      <c r="DA80" s="30"/>
      <c r="DB80" s="30"/>
    </row>
    <row r="81" spans="1:106" x14ac:dyDescent="0.25">
      <c r="A81" s="33" t="s">
        <v>303</v>
      </c>
      <c r="B81" s="24"/>
      <c r="C81" s="52">
        <v>0</v>
      </c>
      <c r="D81" s="52">
        <v>0</v>
      </c>
      <c r="E81" s="52">
        <v>0</v>
      </c>
      <c r="F81" s="52">
        <v>0</v>
      </c>
      <c r="G81" s="52">
        <v>0</v>
      </c>
      <c r="H81" s="52">
        <v>0</v>
      </c>
      <c r="I81" s="52">
        <v>0</v>
      </c>
      <c r="J81" s="52">
        <v>0</v>
      </c>
      <c r="K81" s="52">
        <v>0</v>
      </c>
      <c r="L81" s="52">
        <v>0</v>
      </c>
      <c r="M81" s="52">
        <v>0</v>
      </c>
      <c r="N81" s="52">
        <v>0</v>
      </c>
      <c r="O81" s="52">
        <v>0</v>
      </c>
      <c r="P81" s="52">
        <v>0</v>
      </c>
      <c r="Q81" s="52">
        <v>0</v>
      </c>
      <c r="R81" s="52">
        <v>0</v>
      </c>
      <c r="S81" s="52">
        <v>0</v>
      </c>
      <c r="T81" s="52">
        <v>0</v>
      </c>
      <c r="U81" s="52">
        <v>0</v>
      </c>
      <c r="V81" s="52">
        <v>0</v>
      </c>
      <c r="W81" s="52">
        <v>0</v>
      </c>
      <c r="X81" s="52">
        <v>0</v>
      </c>
      <c r="Y81" s="52">
        <v>0</v>
      </c>
      <c r="Z81" s="52">
        <v>0</v>
      </c>
      <c r="AA81" s="52">
        <v>0</v>
      </c>
      <c r="AB81" s="52">
        <v>0</v>
      </c>
      <c r="AC81" s="52">
        <v>0</v>
      </c>
      <c r="AD81" s="52">
        <v>0</v>
      </c>
      <c r="AE81" s="52">
        <v>0</v>
      </c>
      <c r="AF81" s="52">
        <v>0</v>
      </c>
      <c r="AG81" s="52">
        <v>0</v>
      </c>
      <c r="AH81" s="52">
        <v>0</v>
      </c>
      <c r="AI81" s="52">
        <v>1</v>
      </c>
      <c r="AJ81" s="52">
        <v>0</v>
      </c>
      <c r="AK81" s="52">
        <v>0</v>
      </c>
      <c r="AL81" s="52">
        <v>0</v>
      </c>
      <c r="AM81" s="52">
        <v>0</v>
      </c>
      <c r="AN81" s="52">
        <v>0</v>
      </c>
      <c r="AO81" s="52">
        <v>0</v>
      </c>
      <c r="AP81" s="52">
        <v>0</v>
      </c>
      <c r="AQ81" s="52">
        <v>1</v>
      </c>
      <c r="AR81" s="52">
        <v>0</v>
      </c>
      <c r="AS81" s="52">
        <v>0</v>
      </c>
      <c r="AT81" s="52">
        <v>0</v>
      </c>
      <c r="AU81" s="52">
        <v>0</v>
      </c>
      <c r="AV81" s="52">
        <v>0</v>
      </c>
      <c r="AW81" s="52">
        <v>0</v>
      </c>
      <c r="AX81" s="52">
        <v>0</v>
      </c>
      <c r="AY81" s="52">
        <v>0</v>
      </c>
      <c r="AZ81" s="52">
        <v>0</v>
      </c>
      <c r="BA81" s="52">
        <v>0</v>
      </c>
      <c r="BB81" s="52">
        <v>0</v>
      </c>
      <c r="BC81" s="52">
        <v>1</v>
      </c>
      <c r="BD81" s="52">
        <v>0</v>
      </c>
      <c r="BE81" s="52">
        <v>0</v>
      </c>
      <c r="BF81" s="52">
        <v>0</v>
      </c>
      <c r="BG81" s="52">
        <v>0</v>
      </c>
      <c r="BH81" s="52">
        <v>0</v>
      </c>
      <c r="BI81" s="52">
        <v>0</v>
      </c>
      <c r="BJ81" s="52">
        <v>0</v>
      </c>
      <c r="BK81" s="52">
        <v>0</v>
      </c>
      <c r="BL81" s="52">
        <v>0</v>
      </c>
      <c r="BM81" s="52">
        <v>0</v>
      </c>
      <c r="BN81" s="53">
        <f>=SUM(BN82:BN98)</f>
        <v>0</v>
      </c>
      <c r="BO81" s="53">
        <f>=SUM(BO82:BO98)</f>
        <v>0</v>
      </c>
      <c r="BP81" s="53">
        <f>=SUM(BP82:BP98)</f>
        <v>4</v>
      </c>
      <c r="BQ81" s="53">
        <f>=SUM(BQ82:BQ98)</f>
        <v>0</v>
      </c>
      <c r="BR81" s="53">
        <f>=SUM(BR82:BR98)</f>
        <v>0</v>
      </c>
      <c r="BS81" s="53">
        <f>=SUM(BS82:BS98)</f>
        <v>0</v>
      </c>
      <c r="BT81" s="53">
        <f>=SUM(BT82:BT98)</f>
        <v>0</v>
      </c>
      <c r="BU81" s="53">
        <f>=SUM(BU82:BU98)</f>
        <v>0</v>
      </c>
      <c r="BV81" s="53">
        <f>=SUM(BV82:BV98)</f>
        <v>0</v>
      </c>
      <c r="BW81" s="53">
        <f>=SUM(BW82:BW98)</f>
        <v>0</v>
      </c>
      <c r="BX81" s="53">
        <f>=SUM(BX82:BX98)</f>
        <v>0</v>
      </c>
      <c r="BY81" s="53">
        <f>=SUM(BY82:BY98)</f>
        <v>0</v>
      </c>
      <c r="BZ81" s="53">
        <f>=SUM(BZ82:BZ98)</f>
        <v>0</v>
      </c>
      <c r="CA81" s="53">
        <f>=SUM(CA82:CA98)</f>
        <v>0</v>
      </c>
      <c r="CB81" s="53">
        <f>=SUM(CB82:CB98)</f>
        <v>0</v>
      </c>
      <c r="CC81" s="53">
        <f>=SUM(CC82:CC98)</f>
        <v>0</v>
      </c>
      <c r="CD81" s="53">
        <f>=SUM(CD82:CD98)</f>
        <v>0</v>
      </c>
      <c r="CE81" s="53">
        <f>=SUM(CE82:CE98)</f>
        <v>0</v>
      </c>
      <c r="CF81" s="53">
        <f>=SUM(CF82:CF98)</f>
        <v>0</v>
      </c>
      <c r="CG81" s="53">
        <f>=SUM(CG82:CG98)</f>
        <v>0</v>
      </c>
      <c r="CH81" s="53">
        <f>=SUM(CH82:CH98)</f>
        <v>0</v>
      </c>
      <c r="CI81" s="53">
        <f>=SUM(CI82:CI98)</f>
        <v>0</v>
      </c>
      <c r="CJ81" s="53">
        <f>=SUM(CJ82:CJ98)</f>
        <v>0</v>
      </c>
      <c r="CK81" s="53">
        <f>=SUM(CK82:CK98)</f>
        <v>0</v>
      </c>
      <c r="CL81" s="53">
        <f>=SUM(CL82:CL98)</f>
        <v>0</v>
      </c>
      <c r="CM81" s="53">
        <f>=SUM(CM82:CM98)</f>
        <v>0</v>
      </c>
      <c r="CN81" s="53">
        <f>=SUM(CN82:CN98)</f>
        <v>0</v>
      </c>
      <c r="CO81" s="53">
        <f>=SUM(CO82:CO98)</f>
        <v>0</v>
      </c>
      <c r="CP81" s="53">
        <f>=SUM(CP82:CP98)</f>
        <v>0</v>
      </c>
      <c r="CQ81" s="53">
        <f>=SUM(CQ82:CQ98)</f>
        <v>0</v>
      </c>
      <c r="CR81" s="53">
        <f>=SUM(CR82:CR98)</f>
        <v>0</v>
      </c>
      <c r="CS81" s="53">
        <f>=SUM(CS82:CS98)</f>
        <v>0</v>
      </c>
      <c r="CT81" s="53">
        <f>=SUM(CT82:CT98)</f>
        <v>0</v>
      </c>
      <c r="CU81" s="53">
        <f>=SUM(CU82:CU98)</f>
        <v>0</v>
      </c>
      <c r="CV81" s="53">
        <f>=SUM(CV82:CV98)</f>
        <v>0</v>
      </c>
      <c r="CW81" s="53">
        <f>=SUM(CW82:CW98)</f>
        <v>0</v>
      </c>
      <c r="CX81" s="53">
        <f>=SUM(CX82:CX98)</f>
        <v>0</v>
      </c>
      <c r="CY81" s="53">
        <f>=SUM(CY82:CY98)</f>
        <v>0</v>
      </c>
      <c r="CZ81" s="53">
        <f>=SUM(CZ82:CZ98)</f>
        <v>0</v>
      </c>
      <c r="DA81" s="53">
        <f>=SUM(DA82:DA98)</f>
        <v>0</v>
      </c>
      <c r="DB81" s="53">
        <f>=SUM(DB82:DB98)</f>
        <v>0</v>
      </c>
    </row>
    <row r="82" ht="16" customHeight="1" spans="1:106" x14ac:dyDescent="0.25">
      <c r="A82" s="50" t="s">
        <v>304</v>
      </c>
      <c r="C82" s="17">
        <v>0</v>
      </c>
      <c r="D82" s="17">
        <v>0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  <c r="AE82" s="17">
        <v>0</v>
      </c>
      <c r="AF82" s="17">
        <v>0</v>
      </c>
      <c r="AG82" s="17">
        <v>0</v>
      </c>
      <c r="AH82" s="17">
        <v>0</v>
      </c>
      <c r="AI82" s="17">
        <v>1</v>
      </c>
      <c r="AJ82" s="17">
        <v>0</v>
      </c>
      <c r="AK82" s="17">
        <v>0</v>
      </c>
      <c r="AL82" s="17">
        <v>0</v>
      </c>
      <c r="AM82" s="17">
        <v>0</v>
      </c>
      <c r="AN82" s="17">
        <v>0</v>
      </c>
      <c r="AO82" s="17">
        <v>0</v>
      </c>
      <c r="AP82" s="17">
        <v>0</v>
      </c>
      <c r="AQ82" s="17">
        <v>1</v>
      </c>
      <c r="AR82" s="17">
        <v>0</v>
      </c>
      <c r="AS82" s="17">
        <v>0</v>
      </c>
      <c r="AT82" s="17">
        <v>0</v>
      </c>
      <c r="AU82" s="17">
        <v>0</v>
      </c>
      <c r="AV82" s="17">
        <v>0</v>
      </c>
      <c r="AW82" s="17">
        <v>0</v>
      </c>
      <c r="AX82" s="17">
        <v>0</v>
      </c>
      <c r="AY82" s="17">
        <v>0</v>
      </c>
      <c r="AZ82" s="17">
        <v>0</v>
      </c>
      <c r="BA82" s="17">
        <v>0</v>
      </c>
      <c r="BB82" s="17">
        <v>0</v>
      </c>
      <c r="BC82" s="17">
        <v>1</v>
      </c>
      <c r="BD82" s="17">
        <v>0</v>
      </c>
      <c r="BE82" s="17">
        <v>0</v>
      </c>
      <c r="BF82" s="17">
        <v>0</v>
      </c>
      <c r="BG82" s="17">
        <v>0</v>
      </c>
      <c r="BH82" s="17">
        <v>0</v>
      </c>
      <c r="BI82" s="17">
        <v>0</v>
      </c>
      <c r="BJ82" s="17">
        <v>0</v>
      </c>
      <c r="BK82" s="17">
        <v>0</v>
      </c>
      <c r="BL82" s="17">
        <v>0</v>
      </c>
      <c r="BM82" s="17">
        <v>0</v>
      </c>
      <c r="BN82" s="17">
        <v>0</v>
      </c>
      <c r="BO82" s="17">
        <v>0</v>
      </c>
      <c r="BP82" s="17">
        <v>0</v>
      </c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</row>
    <row r="83" ht="16" customHeight="1" spans="1:106" x14ac:dyDescent="0.25">
      <c r="A83" s="50" t="s">
        <v>305</v>
      </c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</row>
    <row r="84" ht="16" customHeight="1" spans="1:106" x14ac:dyDescent="0.25">
      <c r="A84" s="50" t="s">
        <v>306</v>
      </c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>
        <v>0</v>
      </c>
      <c r="AD84" s="17">
        <v>0</v>
      </c>
      <c r="AE84" s="17"/>
      <c r="AF84" s="17"/>
      <c r="AG84" s="17"/>
      <c r="AH84" s="17"/>
      <c r="AI84" s="17">
        <v>0</v>
      </c>
      <c r="AJ84" s="17">
        <v>0</v>
      </c>
      <c r="AK84" s="17">
        <v>0</v>
      </c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</row>
    <row r="85" ht="16" customHeight="1" spans="1:106" x14ac:dyDescent="0.25">
      <c r="A85" s="50" t="s">
        <v>307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</row>
    <row r="86" ht="16" customHeight="1" spans="1:106" x14ac:dyDescent="0.25">
      <c r="A86" s="50" t="s">
        <v>308</v>
      </c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</row>
    <row r="87" ht="16" customHeight="1" spans="1:106" x14ac:dyDescent="0.25">
      <c r="A87" s="50" t="s">
        <v>309</v>
      </c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</row>
    <row r="88" ht="16" customHeight="1" spans="1:106" x14ac:dyDescent="0.25">
      <c r="A88" s="59" t="s">
        <v>311</v>
      </c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</row>
    <row r="89" ht="16" customHeight="1" spans="1:106" x14ac:dyDescent="0.25">
      <c r="A89" s="59" t="s">
        <v>312</v>
      </c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</row>
    <row r="90" ht="16" customHeight="1" spans="1:106" x14ac:dyDescent="0.25">
      <c r="A90" s="59" t="s">
        <v>313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</row>
    <row r="91" ht="16" customHeight="1" spans="1:106" x14ac:dyDescent="0.25">
      <c r="A91" s="59" t="s">
        <v>0</v>
      </c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</row>
    <row r="92" ht="16" customHeight="1" spans="1:106" x14ac:dyDescent="0.25">
      <c r="A92" s="59" t="s">
        <v>314</v>
      </c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</row>
    <row r="93" ht="16" customHeight="1" spans="1:106" x14ac:dyDescent="0.25">
      <c r="A93" s="59" t="s">
        <v>315</v>
      </c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</row>
    <row r="94" ht="16" customHeight="1" spans="1:106" x14ac:dyDescent="0.25">
      <c r="A94" s="59" t="s">
        <v>316</v>
      </c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</row>
    <row r="95" ht="16" customHeight="1" spans="1:106" x14ac:dyDescent="0.25">
      <c r="A95" s="59" t="s">
        <v>372</v>
      </c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</row>
    <row r="96" ht="16" customHeight="1" spans="1:106" x14ac:dyDescent="0.25">
      <c r="A96" s="59" t="s">
        <v>317</v>
      </c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>
        <v>4</v>
      </c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</row>
    <row r="97" ht="16" customHeight="1" spans="1:106" x14ac:dyDescent="0.25">
      <c r="A97" s="59" t="s">
        <v>266</v>
      </c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</row>
    <row r="98" ht="16" customHeight="1" spans="1:106" x14ac:dyDescent="0.25">
      <c r="A98" s="50" t="s">
        <v>320</v>
      </c>
      <c r="C98" s="17">
        <v>0</v>
      </c>
      <c r="D98" s="17">
        <v>0</v>
      </c>
      <c r="E98" s="17">
        <v>0</v>
      </c>
      <c r="F98" s="17">
        <v>0</v>
      </c>
      <c r="G98" s="17">
        <v>0</v>
      </c>
      <c r="H98" s="17">
        <v>0</v>
      </c>
      <c r="I98" s="17">
        <v>0</v>
      </c>
      <c r="J98" s="17">
        <v>0</v>
      </c>
      <c r="K98" s="17">
        <v>0</v>
      </c>
      <c r="L98" s="17">
        <v>0</v>
      </c>
      <c r="M98" s="17">
        <v>0</v>
      </c>
      <c r="N98" s="17">
        <v>0</v>
      </c>
      <c r="O98" s="17">
        <v>0</v>
      </c>
      <c r="P98" s="17">
        <v>0</v>
      </c>
      <c r="Q98" s="17">
        <v>0</v>
      </c>
      <c r="R98" s="17">
        <v>0</v>
      </c>
      <c r="S98" s="17">
        <v>0</v>
      </c>
      <c r="T98" s="17">
        <v>0</v>
      </c>
      <c r="U98" s="17">
        <v>0</v>
      </c>
      <c r="V98" s="17">
        <v>0</v>
      </c>
      <c r="W98" s="17">
        <v>0</v>
      </c>
      <c r="X98" s="17">
        <v>0</v>
      </c>
      <c r="Y98" s="17">
        <v>0</v>
      </c>
      <c r="Z98" s="17">
        <v>0</v>
      </c>
      <c r="AA98" s="17">
        <v>0</v>
      </c>
      <c r="AB98" s="17">
        <v>0</v>
      </c>
      <c r="AC98" s="17">
        <v>0</v>
      </c>
      <c r="AD98" s="17">
        <v>0</v>
      </c>
      <c r="AE98" s="17">
        <v>0</v>
      </c>
      <c r="AF98" s="17">
        <v>0</v>
      </c>
      <c r="AG98" s="17">
        <v>0</v>
      </c>
      <c r="AH98" s="17">
        <v>0</v>
      </c>
      <c r="AI98" s="17">
        <v>0</v>
      </c>
      <c r="AJ98" s="17">
        <v>0</v>
      </c>
      <c r="AK98" s="17">
        <v>0</v>
      </c>
      <c r="AL98" s="17">
        <v>0</v>
      </c>
      <c r="AM98" s="17">
        <v>0</v>
      </c>
      <c r="AN98" s="17">
        <v>0</v>
      </c>
      <c r="AO98" s="17">
        <v>0</v>
      </c>
      <c r="AP98" s="17">
        <v>0</v>
      </c>
      <c r="AQ98" s="17">
        <v>0</v>
      </c>
      <c r="AR98" s="17">
        <v>0</v>
      </c>
      <c r="AS98" s="17">
        <v>0</v>
      </c>
      <c r="AT98" s="17">
        <v>0</v>
      </c>
      <c r="AU98" s="17">
        <v>0</v>
      </c>
      <c r="AV98" s="17">
        <v>0</v>
      </c>
      <c r="AW98" s="17">
        <v>0</v>
      </c>
      <c r="AX98" s="17">
        <v>0</v>
      </c>
      <c r="AY98" s="17">
        <v>0</v>
      </c>
      <c r="AZ98" s="17">
        <v>0</v>
      </c>
      <c r="BA98" s="17">
        <v>0</v>
      </c>
      <c r="BB98" s="17">
        <v>0</v>
      </c>
      <c r="BC98" s="17">
        <v>0</v>
      </c>
      <c r="BD98" s="17">
        <v>0</v>
      </c>
      <c r="BE98" s="17">
        <v>0</v>
      </c>
      <c r="BF98" s="17">
        <v>0</v>
      </c>
      <c r="BG98" s="17">
        <v>0</v>
      </c>
      <c r="BH98" s="17">
        <v>0</v>
      </c>
      <c r="BI98" s="17">
        <v>0</v>
      </c>
      <c r="BJ98" s="17">
        <v>0</v>
      </c>
      <c r="BK98" s="17">
        <v>0</v>
      </c>
      <c r="BL98" s="17">
        <v>0</v>
      </c>
      <c r="BM98" s="17">
        <v>0</v>
      </c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</row>
    <row r="99" spans="1:106" x14ac:dyDescent="0.25">
      <c r="A99" s="33" t="s">
        <v>321</v>
      </c>
      <c r="B99" s="60"/>
      <c r="C99" s="52">
        <v>0</v>
      </c>
      <c r="D99" s="52">
        <v>0</v>
      </c>
      <c r="E99" s="52">
        <v>0</v>
      </c>
      <c r="F99" s="52">
        <v>0</v>
      </c>
      <c r="G99" s="52">
        <v>0</v>
      </c>
      <c r="H99" s="52">
        <v>0</v>
      </c>
      <c r="I99" s="52">
        <v>0</v>
      </c>
      <c r="J99" s="52">
        <v>0</v>
      </c>
      <c r="K99" s="52">
        <v>0</v>
      </c>
      <c r="L99" s="52">
        <v>0</v>
      </c>
      <c r="M99" s="52">
        <v>0</v>
      </c>
      <c r="N99" s="52">
        <v>0</v>
      </c>
      <c r="O99" s="52">
        <v>0</v>
      </c>
      <c r="P99" s="52">
        <v>0</v>
      </c>
      <c r="Q99" s="52">
        <v>0</v>
      </c>
      <c r="R99" s="52">
        <v>0</v>
      </c>
      <c r="S99" s="52">
        <v>0</v>
      </c>
      <c r="T99" s="52">
        <v>0</v>
      </c>
      <c r="U99" s="52">
        <v>0</v>
      </c>
      <c r="V99" s="52">
        <v>0</v>
      </c>
      <c r="W99" s="52">
        <v>0</v>
      </c>
      <c r="X99" s="52">
        <v>0</v>
      </c>
      <c r="Y99" s="52">
        <v>0</v>
      </c>
      <c r="Z99" s="52">
        <v>0</v>
      </c>
      <c r="AA99" s="52">
        <v>0</v>
      </c>
      <c r="AB99" s="52">
        <v>0</v>
      </c>
      <c r="AC99" s="52">
        <v>0</v>
      </c>
      <c r="AD99" s="52">
        <v>0</v>
      </c>
      <c r="AE99" s="52">
        <v>0</v>
      </c>
      <c r="AF99" s="52">
        <v>0</v>
      </c>
      <c r="AG99" s="52">
        <v>0</v>
      </c>
      <c r="AH99" s="52">
        <v>0</v>
      </c>
      <c r="AI99" s="52">
        <v>0</v>
      </c>
      <c r="AJ99" s="52">
        <v>0</v>
      </c>
      <c r="AK99" s="52">
        <v>0</v>
      </c>
      <c r="AL99" s="52">
        <v>0</v>
      </c>
      <c r="AM99" s="52">
        <v>0</v>
      </c>
      <c r="AN99" s="52">
        <v>0</v>
      </c>
      <c r="AO99" s="52">
        <v>0</v>
      </c>
      <c r="AP99" s="52">
        <v>0</v>
      </c>
      <c r="AQ99" s="52">
        <v>0</v>
      </c>
      <c r="AR99" s="52">
        <v>0</v>
      </c>
      <c r="AS99" s="52">
        <v>0</v>
      </c>
      <c r="AT99" s="52">
        <v>0</v>
      </c>
      <c r="AU99" s="52">
        <v>0</v>
      </c>
      <c r="AV99" s="52">
        <v>0</v>
      </c>
      <c r="AW99" s="52">
        <v>0</v>
      </c>
      <c r="AX99" s="52">
        <v>0</v>
      </c>
      <c r="AY99" s="52">
        <v>0</v>
      </c>
      <c r="AZ99" s="52">
        <v>0</v>
      </c>
      <c r="BA99" s="52">
        <v>0</v>
      </c>
      <c r="BB99" s="52">
        <v>0</v>
      </c>
      <c r="BC99" s="52">
        <v>0</v>
      </c>
      <c r="BD99" s="52">
        <v>0</v>
      </c>
      <c r="BE99" s="52">
        <v>0</v>
      </c>
      <c r="BF99" s="52">
        <v>0</v>
      </c>
      <c r="BG99" s="52">
        <v>0</v>
      </c>
      <c r="BH99" s="52">
        <v>0</v>
      </c>
      <c r="BI99" s="52">
        <v>0</v>
      </c>
      <c r="BJ99" s="52">
        <v>0</v>
      </c>
      <c r="BK99" s="52">
        <v>0</v>
      </c>
      <c r="BL99" s="52">
        <v>0</v>
      </c>
      <c r="BM99" s="52">
        <v>0</v>
      </c>
      <c r="BN99" s="53">
        <f>=SUM(BN100:BN106)</f>
        <v>0</v>
      </c>
      <c r="BO99" s="53">
        <f>=SUM(BO100:BO106)</f>
        <v>0</v>
      </c>
      <c r="BP99" s="53">
        <f>=SUM(BP100:BP106)</f>
        <v>0</v>
      </c>
      <c r="BQ99" s="53">
        <f>=SUM(BQ100:BQ106)</f>
        <v>0</v>
      </c>
      <c r="BR99" s="53">
        <f>=SUM(BR100:BR106)</f>
        <v>0</v>
      </c>
      <c r="BS99" s="53">
        <f>=SUM(BS100:BS106)</f>
        <v>0</v>
      </c>
      <c r="BT99" s="53">
        <f>=SUM(BT100:BT106)</f>
        <v>0</v>
      </c>
      <c r="BU99" s="53">
        <f>=SUM(BU100:BU106)</f>
        <v>0</v>
      </c>
      <c r="BV99" s="53">
        <f>=SUM(BV100:BV106)</f>
        <v>0</v>
      </c>
      <c r="BW99" s="53">
        <f>=SUM(BW100:BW106)</f>
        <v>0</v>
      </c>
      <c r="BX99" s="53">
        <f>=SUM(BX100:BX106)</f>
        <v>0</v>
      </c>
      <c r="BY99" s="53">
        <f>=SUM(BY100:BY106)</f>
        <v>0</v>
      </c>
      <c r="BZ99" s="53">
        <f>=SUM(BZ100:BZ106)</f>
        <v>0</v>
      </c>
      <c r="CA99" s="53">
        <f>=SUM(CA100:CA106)</f>
        <v>0</v>
      </c>
      <c r="CB99" s="53">
        <f>=SUM(CB100:CB106)</f>
        <v>0</v>
      </c>
      <c r="CC99" s="53">
        <f>=SUM(CC100:CC106)</f>
        <v>0</v>
      </c>
      <c r="CD99" s="53">
        <f>=SUM(CD100:CD106)</f>
        <v>0</v>
      </c>
      <c r="CE99" s="53">
        <f>=SUM(CE100:CE106)</f>
        <v>0</v>
      </c>
      <c r="CF99" s="53">
        <f>=SUM(CF100:CF106)</f>
        <v>0</v>
      </c>
      <c r="CG99" s="53">
        <f>=SUM(CG100:CG106)</f>
        <v>0</v>
      </c>
      <c r="CH99" s="53">
        <f>=SUM(CH100:CH106)</f>
        <v>0</v>
      </c>
      <c r="CI99" s="53">
        <f>=SUM(CI100:CI106)</f>
        <v>0</v>
      </c>
      <c r="CJ99" s="53">
        <f>=SUM(CJ100:CJ106)</f>
        <v>0</v>
      </c>
      <c r="CK99" s="53">
        <f>=SUM(CK100:CK106)</f>
        <v>0</v>
      </c>
      <c r="CL99" s="53">
        <f>=SUM(CL100:CL106)</f>
        <v>0</v>
      </c>
      <c r="CM99" s="53">
        <f>=SUM(CM100:CM106)</f>
        <v>0</v>
      </c>
      <c r="CN99" s="53">
        <f>=SUM(CN100:CN106)</f>
        <v>0</v>
      </c>
      <c r="CO99" s="53">
        <f>=SUM(CO100:CO106)</f>
        <v>0</v>
      </c>
      <c r="CP99" s="53">
        <f>=SUM(CP100:CP106)</f>
        <v>0</v>
      </c>
      <c r="CQ99" s="53">
        <f>=SUM(CQ100:CQ106)</f>
        <v>0</v>
      </c>
      <c r="CR99" s="53">
        <f>=SUM(CR100:CR106)</f>
        <v>0</v>
      </c>
      <c r="CS99" s="53">
        <f>=SUM(CS100:CS106)</f>
        <v>0</v>
      </c>
      <c r="CT99" s="53">
        <f>=SUM(CT100:CT106)</f>
        <v>0</v>
      </c>
      <c r="CU99" s="53">
        <f>=SUM(CU100:CU106)</f>
        <v>0</v>
      </c>
      <c r="CV99" s="53">
        <f>=SUM(CV100:CV106)</f>
        <v>0</v>
      </c>
      <c r="CW99" s="53">
        <f>=SUM(CW100:CW106)</f>
        <v>0</v>
      </c>
      <c r="CX99" s="53">
        <f>=SUM(CX100:CX106)</f>
        <v>0</v>
      </c>
      <c r="CY99" s="53">
        <f>=SUM(CY100:CY106)</f>
        <v>0</v>
      </c>
      <c r="CZ99" s="53">
        <f>=SUM(CZ100:CZ106)</f>
        <v>0</v>
      </c>
      <c r="DA99" s="53">
        <f>=SUM(DA100:DA106)</f>
        <v>0</v>
      </c>
      <c r="DB99" s="53">
        <f>=SUM(DB100:DB106)</f>
        <v>0</v>
      </c>
    </row>
    <row r="100" spans="1:106" x14ac:dyDescent="0.25">
      <c r="A100" s="57" t="s">
        <v>322</v>
      </c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</row>
    <row r="101" spans="1:106" x14ac:dyDescent="0.25">
      <c r="A101" s="57" t="s">
        <v>323</v>
      </c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</row>
    <row r="102" spans="1:106" x14ac:dyDescent="0.25">
      <c r="A102" s="57" t="s">
        <v>324</v>
      </c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</row>
    <row r="103" spans="1:106" x14ac:dyDescent="0.25">
      <c r="A103" s="57" t="s">
        <v>325</v>
      </c>
      <c r="C103" s="17">
        <v>0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7">
        <v>0</v>
      </c>
      <c r="AH103" s="17">
        <v>0</v>
      </c>
      <c r="AI103" s="17">
        <v>0</v>
      </c>
      <c r="AJ103" s="17">
        <v>0</v>
      </c>
      <c r="AK103" s="17">
        <v>0</v>
      </c>
      <c r="AL103" s="17">
        <v>0</v>
      </c>
      <c r="AM103" s="17">
        <v>0</v>
      </c>
      <c r="AN103" s="17">
        <v>0</v>
      </c>
      <c r="AO103" s="17">
        <v>0</v>
      </c>
      <c r="AP103" s="17">
        <v>0</v>
      </c>
      <c r="AQ103" s="17">
        <v>0</v>
      </c>
      <c r="AR103" s="17">
        <v>0</v>
      </c>
      <c r="AS103" s="17">
        <v>0</v>
      </c>
      <c r="AT103" s="17">
        <v>0</v>
      </c>
      <c r="AU103" s="17">
        <v>0</v>
      </c>
      <c r="AV103" s="17">
        <v>0</v>
      </c>
      <c r="AW103" s="17">
        <v>0</v>
      </c>
      <c r="AX103" s="17">
        <v>0</v>
      </c>
      <c r="AY103" s="17">
        <v>0</v>
      </c>
      <c r="AZ103" s="17">
        <v>0</v>
      </c>
      <c r="BA103" s="17">
        <v>0</v>
      </c>
      <c r="BB103" s="17">
        <v>0</v>
      </c>
      <c r="BC103" s="17">
        <v>0</v>
      </c>
      <c r="BD103" s="17">
        <v>0</v>
      </c>
      <c r="BE103" s="17">
        <v>0</v>
      </c>
      <c r="BF103" s="17">
        <v>0</v>
      </c>
      <c r="BG103" s="17">
        <v>0</v>
      </c>
      <c r="BH103" s="17">
        <v>0</v>
      </c>
      <c r="BI103" s="17">
        <v>0</v>
      </c>
      <c r="BJ103" s="17">
        <v>0</v>
      </c>
      <c r="BK103" s="17">
        <v>0</v>
      </c>
      <c r="BL103" s="17">
        <v>0</v>
      </c>
      <c r="BM103" s="17">
        <v>0</v>
      </c>
      <c r="BN103" s="17">
        <v>0</v>
      </c>
      <c r="BO103" s="17">
        <v>0</v>
      </c>
      <c r="BP103" s="17">
        <v>0</v>
      </c>
      <c r="BQ103" s="17">
        <v>0</v>
      </c>
      <c r="BR103" s="17">
        <v>0</v>
      </c>
      <c r="BS103" s="17">
        <v>0</v>
      </c>
      <c r="BT103" s="17">
        <v>0</v>
      </c>
      <c r="BU103" s="17">
        <v>0</v>
      </c>
      <c r="BV103" s="17">
        <v>0</v>
      </c>
      <c r="BW103" s="17">
        <v>0</v>
      </c>
      <c r="BX103" s="17">
        <v>0</v>
      </c>
      <c r="BY103" s="17">
        <v>0</v>
      </c>
      <c r="BZ103" s="17">
        <v>0</v>
      </c>
      <c r="CA103" s="17">
        <v>0</v>
      </c>
      <c r="CB103" s="17">
        <v>0</v>
      </c>
      <c r="CC103" s="17">
        <v>0</v>
      </c>
      <c r="CD103" s="17">
        <v>0</v>
      </c>
      <c r="CE103" s="17">
        <v>0</v>
      </c>
      <c r="CF103" s="17">
        <v>0</v>
      </c>
      <c r="CG103" s="17">
        <v>0</v>
      </c>
      <c r="CH103" s="17">
        <v>0</v>
      </c>
      <c r="CI103" s="17">
        <v>0</v>
      </c>
      <c r="CJ103" s="17">
        <v>0</v>
      </c>
      <c r="CK103" s="17">
        <v>0</v>
      </c>
      <c r="CL103" s="17">
        <v>0</v>
      </c>
      <c r="CM103" s="17">
        <v>0</v>
      </c>
      <c r="CN103" s="17">
        <v>0</v>
      </c>
      <c r="CO103" s="17">
        <v>0</v>
      </c>
      <c r="CP103" s="17">
        <v>0</v>
      </c>
      <c r="CQ103" s="17">
        <v>0</v>
      </c>
      <c r="CR103" s="17">
        <v>0</v>
      </c>
      <c r="CS103" s="17">
        <v>0</v>
      </c>
      <c r="CT103" s="17">
        <v>0</v>
      </c>
      <c r="CU103" s="17">
        <v>0</v>
      </c>
      <c r="CV103" s="17">
        <v>0</v>
      </c>
      <c r="CW103" s="17">
        <v>0</v>
      </c>
      <c r="CX103" s="17">
        <v>0</v>
      </c>
      <c r="CY103" s="17">
        <v>0</v>
      </c>
      <c r="CZ103" s="17">
        <v>0</v>
      </c>
      <c r="DA103" s="17">
        <v>0</v>
      </c>
      <c r="DB103" s="17">
        <v>0</v>
      </c>
    </row>
    <row r="104" spans="1:106" x14ac:dyDescent="0.25">
      <c r="A104" s="57" t="s">
        <v>326</v>
      </c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</row>
    <row r="105" spans="1:106" x14ac:dyDescent="0.25">
      <c r="A105" s="57" t="s">
        <v>266</v>
      </c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30"/>
      <c r="BO105" s="30"/>
      <c r="BP105" s="30"/>
      <c r="BQ105" s="30"/>
      <c r="BR105" s="30"/>
      <c r="BS105" s="30"/>
      <c r="BT105" s="30"/>
      <c r="BU105" s="30"/>
      <c r="BV105" s="30"/>
      <c r="BW105" s="30"/>
      <c r="BX105" s="30"/>
      <c r="BY105" s="30"/>
      <c r="BZ105" s="30"/>
      <c r="CA105" s="30"/>
      <c r="CB105" s="30"/>
      <c r="CC105" s="30"/>
      <c r="CD105" s="30"/>
      <c r="CE105" s="30"/>
      <c r="CF105" s="30"/>
      <c r="CG105" s="30"/>
      <c r="CH105" s="30"/>
      <c r="CI105" s="30"/>
      <c r="CJ105" s="30"/>
      <c r="CK105" s="30"/>
      <c r="CL105" s="30"/>
      <c r="CM105" s="30"/>
      <c r="CN105" s="30"/>
      <c r="CO105" s="30"/>
      <c r="CP105" s="30"/>
      <c r="CQ105" s="30"/>
      <c r="CR105" s="30"/>
      <c r="CS105" s="30"/>
      <c r="CT105" s="30"/>
      <c r="CU105" s="30"/>
      <c r="CV105" s="30"/>
      <c r="CW105" s="30"/>
      <c r="CX105" s="30"/>
      <c r="CY105" s="30"/>
      <c r="CZ105" s="30"/>
      <c r="DA105" s="30"/>
      <c r="DB105" s="30"/>
    </row>
    <row r="106" spans="1:106" x14ac:dyDescent="0.25">
      <c r="A106" s="57" t="s">
        <v>266</v>
      </c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30"/>
      <c r="BO106" s="30"/>
      <c r="BP106" s="30"/>
      <c r="BQ106" s="30"/>
      <c r="BR106" s="30"/>
      <c r="BS106" s="30"/>
      <c r="BT106" s="30"/>
      <c r="BU106" s="30"/>
      <c r="BV106" s="30"/>
      <c r="BW106" s="30"/>
      <c r="BX106" s="30"/>
      <c r="BY106" s="30"/>
      <c r="BZ106" s="30"/>
      <c r="CA106" s="30"/>
      <c r="CB106" s="30"/>
      <c r="CC106" s="30"/>
      <c r="CD106" s="30"/>
      <c r="CE106" s="30"/>
      <c r="CF106" s="30"/>
      <c r="CG106" s="30"/>
      <c r="CH106" s="30"/>
      <c r="CI106" s="30"/>
      <c r="CJ106" s="30"/>
      <c r="CK106" s="30"/>
      <c r="CL106" s="30"/>
      <c r="CM106" s="30"/>
      <c r="CN106" s="30"/>
      <c r="CO106" s="30"/>
      <c r="CP106" s="30"/>
      <c r="CQ106" s="30"/>
      <c r="CR106" s="30"/>
      <c r="CS106" s="30"/>
      <c r="CT106" s="30"/>
      <c r="CU106" s="30"/>
      <c r="CV106" s="30"/>
      <c r="CW106" s="30"/>
      <c r="CX106" s="30"/>
      <c r="CY106" s="30"/>
      <c r="CZ106" s="30"/>
      <c r="DA106" s="30"/>
      <c r="DB106" s="30"/>
    </row>
    <row r="107" spans="3:106" x14ac:dyDescent="0.25"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30"/>
      <c r="BO107" s="30"/>
      <c r="BP107" s="30"/>
      <c r="BQ107" s="30"/>
      <c r="BR107" s="30"/>
      <c r="BS107" s="30"/>
      <c r="BT107" s="30"/>
      <c r="BU107" s="30"/>
      <c r="BV107" s="30"/>
      <c r="BW107" s="30"/>
      <c r="BX107" s="30"/>
      <c r="BY107" s="30"/>
      <c r="BZ107" s="30"/>
      <c r="CA107" s="30"/>
      <c r="CB107" s="30"/>
      <c r="CC107" s="30"/>
      <c r="CD107" s="30"/>
      <c r="CE107" s="30"/>
      <c r="CF107" s="30"/>
      <c r="CG107" s="30"/>
      <c r="CH107" s="30"/>
      <c r="CI107" s="30"/>
      <c r="CJ107" s="30"/>
      <c r="CK107" s="30"/>
      <c r="CL107" s="30"/>
      <c r="CM107" s="30"/>
      <c r="CN107" s="30"/>
      <c r="CO107" s="30"/>
      <c r="CP107" s="30"/>
      <c r="CQ107" s="30"/>
      <c r="CR107" s="30"/>
      <c r="CS107" s="30"/>
      <c r="CT107" s="30"/>
      <c r="CU107" s="30"/>
      <c r="CV107" s="30"/>
      <c r="CW107" s="30"/>
      <c r="CX107" s="30"/>
      <c r="CY107" s="30"/>
      <c r="CZ107" s="30"/>
      <c r="DA107" s="30"/>
      <c r="DB107" s="30"/>
    </row>
    <row r="108" ht="15" customHeight="1" spans="1:106" x14ac:dyDescent="0.25">
      <c r="A108" s="9" t="s">
        <v>327</v>
      </c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32"/>
      <c r="BO108" s="32"/>
      <c r="BP108" s="32"/>
      <c r="BQ108" s="32"/>
      <c r="BR108" s="32"/>
      <c r="BS108" s="32"/>
      <c r="BT108" s="32"/>
      <c r="BU108" s="32"/>
      <c r="BV108" s="32"/>
      <c r="BW108" s="32"/>
      <c r="BX108" s="32"/>
      <c r="BY108" s="32"/>
      <c r="BZ108" s="32"/>
      <c r="CA108" s="32"/>
      <c r="CB108" s="32"/>
      <c r="CC108" s="32"/>
      <c r="CD108" s="32"/>
      <c r="CE108" s="32"/>
      <c r="CF108" s="32"/>
      <c r="CG108" s="32"/>
      <c r="CH108" s="32"/>
      <c r="CI108" s="32"/>
      <c r="CJ108" s="32"/>
      <c r="CK108" s="32"/>
      <c r="CL108" s="32"/>
      <c r="CM108" s="32"/>
      <c r="CN108" s="32"/>
      <c r="CO108" s="32"/>
      <c r="CP108" s="32"/>
      <c r="CQ108" s="32"/>
      <c r="CR108" s="32"/>
      <c r="CS108" s="32"/>
      <c r="CT108" s="32"/>
      <c r="CU108" s="32"/>
      <c r="CV108" s="32"/>
      <c r="CW108" s="32"/>
      <c r="CX108" s="32"/>
      <c r="CY108" s="32"/>
      <c r="CZ108" s="32"/>
      <c r="DA108" s="32"/>
      <c r="DB108" s="32"/>
    </row>
    <row r="109" ht="15" customHeight="1" spans="1:106" x14ac:dyDescent="0.25">
      <c r="A109" s="61" t="s">
        <v>328</v>
      </c>
      <c r="B109" s="13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  <c r="AA109" s="74"/>
      <c r="AB109" s="74"/>
      <c r="AC109" s="74"/>
      <c r="AD109" s="74">
        <v>3</v>
      </c>
      <c r="AE109" s="74"/>
      <c r="AF109" s="74"/>
      <c r="AG109" s="74"/>
      <c r="AH109" s="74"/>
      <c r="AI109" s="74"/>
      <c r="AJ109" s="74"/>
      <c r="AK109" s="74"/>
      <c r="AL109" s="74"/>
      <c r="AM109" s="74"/>
      <c r="AN109" s="74"/>
      <c r="AO109" s="74"/>
      <c r="AP109" s="74"/>
      <c r="AQ109" s="74"/>
      <c r="AR109" s="74"/>
      <c r="AS109" s="74"/>
      <c r="AT109" s="74"/>
      <c r="AU109" s="74"/>
      <c r="AV109" s="74"/>
      <c r="AW109" s="74"/>
      <c r="AX109" s="74"/>
      <c r="AY109" s="74"/>
      <c r="AZ109" s="74"/>
      <c r="BA109" s="74"/>
      <c r="BB109" s="74"/>
      <c r="BC109" s="74"/>
      <c r="BD109" s="74"/>
      <c r="BE109" s="74"/>
      <c r="BF109" s="74"/>
      <c r="BG109" s="74"/>
      <c r="BH109" s="74"/>
      <c r="BI109" s="74"/>
      <c r="BJ109" s="74"/>
      <c r="BK109" s="74"/>
      <c r="BL109" s="74"/>
      <c r="BM109" s="7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14"/>
      <c r="CS109" s="14"/>
      <c r="CT109" s="14"/>
      <c r="CU109" s="14"/>
      <c r="CV109" s="14"/>
      <c r="CW109" s="14"/>
      <c r="CX109" s="14"/>
      <c r="CY109" s="14"/>
      <c r="CZ109" s="14"/>
      <c r="DA109" s="14"/>
      <c r="DB109" s="14"/>
    </row>
    <row r="110" spans="1:106" x14ac:dyDescent="0.25">
      <c r="A110" s="62" t="s">
        <v>329</v>
      </c>
      <c r="B110" s="2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  <c r="AA110" s="74"/>
      <c r="AB110" s="74"/>
      <c r="AC110" s="74"/>
      <c r="AD110" s="74"/>
      <c r="AE110" s="74"/>
      <c r="AF110" s="74"/>
      <c r="AG110" s="74"/>
      <c r="AH110" s="74"/>
      <c r="AI110" s="74"/>
      <c r="AJ110" s="74"/>
      <c r="AK110" s="74"/>
      <c r="AL110" s="74"/>
      <c r="AM110" s="74"/>
      <c r="AN110" s="74"/>
      <c r="AO110" s="74"/>
      <c r="AP110" s="74"/>
      <c r="AQ110" s="74"/>
      <c r="AR110" s="74"/>
      <c r="AS110" s="74"/>
      <c r="AT110" s="74"/>
      <c r="AU110" s="74"/>
      <c r="AV110" s="74"/>
      <c r="AW110" s="74"/>
      <c r="AX110" s="74"/>
      <c r="AY110" s="74"/>
      <c r="AZ110" s="74"/>
      <c r="BA110" s="74"/>
      <c r="BB110" s="74"/>
      <c r="BC110" s="74"/>
      <c r="BD110" s="74"/>
      <c r="BE110" s="74"/>
      <c r="BF110" s="74"/>
      <c r="BG110" s="74"/>
      <c r="BH110" s="74"/>
      <c r="BI110" s="74"/>
      <c r="BJ110" s="74"/>
      <c r="BK110" s="74"/>
      <c r="BL110" s="74"/>
      <c r="BM110" s="74"/>
      <c r="BN110" s="84"/>
      <c r="BO110" s="84"/>
      <c r="BP110" s="84"/>
      <c r="BQ110" s="84"/>
      <c r="BR110" s="84"/>
      <c r="BS110" s="84"/>
      <c r="BT110" s="84"/>
      <c r="BU110" s="84"/>
      <c r="BV110" s="84"/>
      <c r="BW110" s="84"/>
      <c r="BX110" s="84"/>
      <c r="BY110" s="84"/>
      <c r="BZ110" s="84"/>
      <c r="CA110" s="84"/>
      <c r="CB110" s="84"/>
      <c r="CC110" s="84"/>
      <c r="CD110" s="84"/>
      <c r="CE110" s="84"/>
      <c r="CF110" s="84"/>
      <c r="CG110" s="84"/>
      <c r="CH110" s="84"/>
      <c r="CI110" s="84"/>
      <c r="CJ110" s="84"/>
      <c r="CK110" s="84"/>
      <c r="CL110" s="84"/>
      <c r="CM110" s="84"/>
      <c r="CN110" s="84"/>
      <c r="CO110" s="84"/>
      <c r="CP110" s="84"/>
      <c r="CQ110" s="84"/>
      <c r="CR110" s="84"/>
      <c r="CS110" s="84"/>
      <c r="CT110" s="84"/>
      <c r="CU110" s="84"/>
      <c r="CV110" s="84"/>
      <c r="CW110" s="84"/>
      <c r="CX110" s="84"/>
      <c r="CY110" s="84"/>
      <c r="CZ110" s="84"/>
      <c r="DA110" s="84"/>
      <c r="DB110" s="84"/>
    </row>
    <row r="111" ht="15" customHeight="1" spans="1:106" x14ac:dyDescent="0.25">
      <c r="A111" s="16" t="s">
        <v>330</v>
      </c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50"/>
      <c r="BO111" s="50"/>
      <c r="BP111" s="50"/>
      <c r="BQ111" s="50"/>
      <c r="BR111" s="50"/>
      <c r="BS111" s="50"/>
      <c r="BT111" s="50"/>
      <c r="BU111" s="50"/>
      <c r="BV111" s="50"/>
      <c r="BW111" s="50"/>
      <c r="BX111" s="50"/>
      <c r="BY111" s="50"/>
      <c r="BZ111" s="50"/>
      <c r="CA111" s="50"/>
      <c r="CB111" s="50"/>
      <c r="CC111" s="50"/>
      <c r="CD111" s="50"/>
      <c r="CE111" s="50"/>
      <c r="CF111" s="50"/>
      <c r="CG111" s="50"/>
      <c r="CH111" s="50"/>
      <c r="CI111" s="50"/>
      <c r="CJ111" s="50"/>
      <c r="CK111" s="50"/>
      <c r="CL111" s="50"/>
      <c r="CM111" s="50"/>
      <c r="CN111" s="50"/>
      <c r="CO111" s="50"/>
      <c r="CP111" s="50"/>
      <c r="CQ111" s="50"/>
      <c r="CR111" s="50"/>
      <c r="CS111" s="50"/>
      <c r="CT111" s="50"/>
      <c r="CU111" s="50"/>
      <c r="CV111" s="50"/>
      <c r="CW111" s="50"/>
      <c r="CX111" s="50"/>
      <c r="CY111" s="50"/>
      <c r="CZ111" s="50"/>
      <c r="DA111" s="50"/>
      <c r="DB111" s="50"/>
    </row>
    <row r="112" ht="15" customHeight="1" spans="1:106" x14ac:dyDescent="0.25">
      <c r="A112" s="16" t="s">
        <v>331</v>
      </c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50"/>
      <c r="BO112" s="50"/>
      <c r="BP112" s="50"/>
      <c r="BQ112" s="50"/>
      <c r="BR112" s="50"/>
      <c r="BS112" s="50"/>
      <c r="BT112" s="50"/>
      <c r="BU112" s="50"/>
      <c r="BV112" s="50"/>
      <c r="BW112" s="50"/>
      <c r="BX112" s="50"/>
      <c r="BY112" s="50"/>
      <c r="BZ112" s="50"/>
      <c r="CA112" s="50"/>
      <c r="CB112" s="50"/>
      <c r="CC112" s="50"/>
      <c r="CD112" s="50"/>
      <c r="CE112" s="50"/>
      <c r="CF112" s="50"/>
      <c r="CG112" s="50"/>
      <c r="CH112" s="50"/>
      <c r="CI112" s="50"/>
      <c r="CJ112" s="50"/>
      <c r="CK112" s="50"/>
      <c r="CL112" s="50"/>
      <c r="CM112" s="50"/>
      <c r="CN112" s="50"/>
      <c r="CO112" s="50"/>
      <c r="CP112" s="50"/>
      <c r="CQ112" s="50"/>
      <c r="CR112" s="50"/>
      <c r="CS112" s="50"/>
      <c r="CT112" s="50"/>
      <c r="CU112" s="50"/>
      <c r="CV112" s="50"/>
      <c r="CW112" s="50"/>
      <c r="CX112" s="50"/>
      <c r="CY112" s="50"/>
      <c r="CZ112" s="50"/>
      <c r="DA112" s="50"/>
      <c r="DB112" s="50"/>
    </row>
    <row r="113" ht="16" customHeight="1" spans="1:106" x14ac:dyDescent="0.25">
      <c r="A113" s="20" t="s">
        <v>332</v>
      </c>
      <c r="B113" s="13"/>
      <c r="C113" s="64">
        <f>=IFERROR(C112/C111,0)</f>
        <v>0</v>
      </c>
      <c r="D113" s="64">
        <f>=IFERROR(D112/D111,0)</f>
        <v>0</v>
      </c>
      <c r="E113" s="64">
        <f>=IFERROR(E112/E111,0)</f>
        <v>0</v>
      </c>
      <c r="F113" s="64">
        <f>=IFERROR(F112/F111,0)</f>
        <v>0</v>
      </c>
      <c r="G113" s="64">
        <f>=IFERROR(G112/G111,0)</f>
        <v>0</v>
      </c>
      <c r="H113" s="64">
        <f>=IFERROR(H112/H111,0)</f>
        <v>0</v>
      </c>
      <c r="I113" s="64">
        <f>=IFERROR(I112/I111,0)</f>
        <v>0</v>
      </c>
      <c r="J113" s="64">
        <f>=IFERROR(J112/J111,0)</f>
        <v>0</v>
      </c>
      <c r="K113" s="64">
        <f>=IFERROR(K112/K111,0)</f>
        <v>0</v>
      </c>
      <c r="L113" s="64">
        <f>=IFERROR(L112/L111,0)</f>
        <v>0</v>
      </c>
      <c r="M113" s="64">
        <f>=IFERROR(M112/M111,0)</f>
        <v>0</v>
      </c>
      <c r="N113" s="64">
        <f>=IFERROR(N112/N111,0)</f>
        <v>0</v>
      </c>
      <c r="O113" s="64">
        <f>=IFERROR(O112/O111,0)</f>
        <v>0</v>
      </c>
      <c r="P113" s="64">
        <f>=IFERROR(P112/P111,0)</f>
        <v>0</v>
      </c>
      <c r="Q113" s="64">
        <f>=IFERROR(Q112/Q111,0)</f>
        <v>0</v>
      </c>
      <c r="R113" s="64">
        <f>=IFERROR(R112/R111,0)</f>
        <v>0</v>
      </c>
      <c r="S113" s="64">
        <f>=IFERROR(S112/S111,0)</f>
        <v>0</v>
      </c>
      <c r="T113" s="64">
        <f>=IFERROR(T112/T111,0)</f>
        <v>0</v>
      </c>
      <c r="U113" s="64">
        <f>=IFERROR(U112/U111,0)</f>
        <v>0</v>
      </c>
      <c r="V113" s="64">
        <f>=IFERROR(V112/V111,0)</f>
        <v>0</v>
      </c>
      <c r="W113" s="64">
        <f>=IFERROR(W112/W111,0)</f>
        <v>0</v>
      </c>
      <c r="X113" s="64">
        <f>=IFERROR(X112/X111,0)</f>
        <v>0</v>
      </c>
      <c r="Y113" s="64">
        <f>=IFERROR(Y112/Y111,0)</f>
        <v>0</v>
      </c>
      <c r="Z113" s="64">
        <f>=IFERROR(Z112/Z111,0)</f>
        <v>0</v>
      </c>
      <c r="AA113" s="64">
        <f>=IFERROR(AA112/AA111,0)</f>
        <v>0</v>
      </c>
      <c r="AB113" s="64">
        <f>=IFERROR(AB112/AB111,0)</f>
        <v>0</v>
      </c>
      <c r="AC113" s="64">
        <f>=IFERROR(AC112/AC111,0)</f>
        <v>0</v>
      </c>
      <c r="AD113" s="64">
        <f>=IFERROR(AD112/AD111,0)</f>
        <v>0</v>
      </c>
      <c r="AE113" s="64">
        <f>=IFERROR(AE112/AE111,0)</f>
        <v>0</v>
      </c>
      <c r="AF113" s="64">
        <f>=IFERROR(AF112/AF111,0)</f>
        <v>0</v>
      </c>
      <c r="AG113" s="64">
        <f>=IFERROR(AG112/AG111,0)</f>
        <v>0</v>
      </c>
      <c r="AH113" s="64">
        <f>=IFERROR(AH112/AH111,0)</f>
        <v>0</v>
      </c>
      <c r="AI113" s="64">
        <f>=IFERROR(AI112/AI111,0)</f>
        <v>0</v>
      </c>
      <c r="AJ113" s="64">
        <f>=IFERROR(AJ112/AJ111,0)</f>
        <v>0</v>
      </c>
      <c r="AK113" s="64">
        <f>=IFERROR(AK112/AK111,0)</f>
        <v>0</v>
      </c>
      <c r="AL113" s="64">
        <f>=IFERROR(AL112/AL111,0)</f>
        <v>0</v>
      </c>
      <c r="AM113" s="64">
        <f>=IFERROR(AM112/AM111,0)</f>
        <v>0</v>
      </c>
      <c r="AN113" s="64">
        <f>=IFERROR(AN112/AN111,0)</f>
        <v>0</v>
      </c>
      <c r="AO113" s="64">
        <f>=IFERROR(AO112/AO111,0)</f>
        <v>0</v>
      </c>
      <c r="AP113" s="64">
        <f>=IFERROR(AP112/AP111,0)</f>
        <v>0</v>
      </c>
      <c r="AQ113" s="64">
        <f>=IFERROR(AQ112/AQ111,0)</f>
        <v>0</v>
      </c>
      <c r="AR113" s="64">
        <f>=IFERROR(AR112/AR111,0)</f>
        <v>0</v>
      </c>
      <c r="AS113" s="64">
        <f>=IFERROR(AS112/AS111,0)</f>
        <v>0</v>
      </c>
      <c r="AT113" s="64">
        <f>=IFERROR(AT112/AT111,0)</f>
        <v>0</v>
      </c>
      <c r="AU113" s="64">
        <f>=IFERROR(AU112/AU111,0)</f>
        <v>0</v>
      </c>
      <c r="AV113" s="64">
        <f>=IFERROR(AV112/AV111,0)</f>
        <v>0</v>
      </c>
      <c r="AW113" s="64">
        <f>=IFERROR(AW112/AW111,0)</f>
        <v>0</v>
      </c>
      <c r="AX113" s="64">
        <f>=IFERROR(AX112/AX111,0)</f>
        <v>0</v>
      </c>
      <c r="AY113" s="64">
        <f>=IFERROR(AY112/AY111,0)</f>
        <v>0</v>
      </c>
      <c r="AZ113" s="64">
        <f>=IFERROR(AZ112/AZ111,0)</f>
        <v>0</v>
      </c>
      <c r="BA113" s="64">
        <f>=IFERROR(BA112/BA111,0)</f>
        <v>0</v>
      </c>
      <c r="BB113" s="64">
        <f>=IFERROR(BB112/BB111,0)</f>
        <v>0</v>
      </c>
      <c r="BC113" s="64">
        <f>=IFERROR(BC112/BC111,0)</f>
        <v>0</v>
      </c>
      <c r="BD113" s="64">
        <f>=IFERROR(BD112/BD111,0)</f>
        <v>0</v>
      </c>
      <c r="BE113" s="64">
        <f>=IFERROR(BE112/BE111,0)</f>
        <v>0</v>
      </c>
      <c r="BF113" s="64">
        <f>=IFERROR(BF112/BF111,0)</f>
        <v>0</v>
      </c>
      <c r="BG113" s="64">
        <f>=IFERROR(BG112/BG111,0)</f>
        <v>0</v>
      </c>
      <c r="BH113" s="64">
        <f>=IFERROR(BH112/BH111,0)</f>
        <v>0</v>
      </c>
      <c r="BI113" s="64">
        <f>=IFERROR(BI112/BI111,0)</f>
        <v>0</v>
      </c>
      <c r="BJ113" s="64">
        <f>=IFERROR(BJ112/BJ111,0)</f>
        <v>0</v>
      </c>
      <c r="BK113" s="64">
        <f>=IFERROR(BK112/BK111,0)</f>
        <v>0</v>
      </c>
      <c r="BL113" s="64">
        <f>=IFERROR(BL112/BL111,0)</f>
        <v>0</v>
      </c>
      <c r="BM113" s="64">
        <f>=IFERROR(BM112/BM111,0)</f>
        <v>0</v>
      </c>
      <c r="BN113" s="64">
        <f>=IFERROR(BN112/BN111,0)</f>
        <v>0</v>
      </c>
      <c r="BO113" s="64">
        <f>=IFERROR(BO112/BO111,0)</f>
        <v>0</v>
      </c>
      <c r="BP113" s="64">
        <f>=IFERROR(BP112/BP111,0)</f>
        <v>0</v>
      </c>
      <c r="BQ113" s="64">
        <f>=IFERROR(BQ112/BQ111,0)</f>
        <v>0</v>
      </c>
      <c r="BR113" s="64">
        <f>=IFERROR(BR112/BR111,0)</f>
        <v>0</v>
      </c>
      <c r="BS113" s="64">
        <f>=IFERROR(BS112/BS111,0)</f>
        <v>0</v>
      </c>
      <c r="BT113" s="64">
        <f>=IFERROR(BT112/BT111,0)</f>
        <v>0</v>
      </c>
      <c r="BU113" s="64">
        <f>=IFERROR(BU112/BU111,0)</f>
        <v>0</v>
      </c>
      <c r="BV113" s="64">
        <f>=IFERROR(BV112/BV111,0)</f>
        <v>0</v>
      </c>
      <c r="BW113" s="64">
        <f>=IFERROR(BW112/BW111,0)</f>
        <v>0</v>
      </c>
      <c r="BX113" s="64">
        <f>=IFERROR(BX112/BX111,0)</f>
        <v>0</v>
      </c>
      <c r="BY113" s="64">
        <f>=IFERROR(BY112/BY111,0)</f>
        <v>0</v>
      </c>
      <c r="BZ113" s="64">
        <f>=IFERROR(BZ112/BZ111,0)</f>
        <v>0</v>
      </c>
      <c r="CA113" s="64">
        <f>=IFERROR(CA112/CA111,0)</f>
        <v>0</v>
      </c>
      <c r="CB113" s="64">
        <f>=IFERROR(CB112/CB111,0)</f>
        <v>0</v>
      </c>
      <c r="CC113" s="64">
        <f>=IFERROR(CC112/CC111,0)</f>
        <v>0</v>
      </c>
      <c r="CD113" s="64">
        <f>=IFERROR(CD112/CD111,0)</f>
        <v>0</v>
      </c>
      <c r="CE113" s="64">
        <f>=IFERROR(CE112/CE111,0)</f>
        <v>0</v>
      </c>
      <c r="CF113" s="64">
        <f>=IFERROR(CF112/CF111,0)</f>
        <v>0</v>
      </c>
      <c r="CG113" s="64">
        <f>=IFERROR(CG112/CG111,0)</f>
        <v>0</v>
      </c>
      <c r="CH113" s="64">
        <f>=IFERROR(CH112/CH111,0)</f>
        <v>0</v>
      </c>
      <c r="CI113" s="64">
        <f>=IFERROR(CI112/CI111,0)</f>
        <v>0</v>
      </c>
      <c r="CJ113" s="64">
        <f>=IFERROR(CJ112/CJ111,0)</f>
        <v>0</v>
      </c>
      <c r="CK113" s="64">
        <f>=IFERROR(CK112/CK111,0)</f>
        <v>0</v>
      </c>
      <c r="CL113" s="64">
        <f>=IFERROR(CL112/CL111,0)</f>
        <v>0</v>
      </c>
      <c r="CM113" s="64">
        <f>=IFERROR(CM112/CM111,0)</f>
        <v>0</v>
      </c>
      <c r="CN113" s="64">
        <f>=IFERROR(CN112/CN111,0)</f>
        <v>0</v>
      </c>
      <c r="CO113" s="64">
        <f>=IFERROR(CO112/CO111,0)</f>
        <v>0</v>
      </c>
      <c r="CP113" s="64">
        <f>=IFERROR(CP112/CP111,0)</f>
        <v>0</v>
      </c>
      <c r="CQ113" s="64">
        <f>=IFERROR(CQ112/CQ111,0)</f>
        <v>0</v>
      </c>
      <c r="CR113" s="64">
        <f>=IFERROR(CR112/CR111,0)</f>
        <v>0</v>
      </c>
      <c r="CS113" s="64">
        <f>=IFERROR(CS112/CS111,0)</f>
        <v>0</v>
      </c>
      <c r="CT113" s="64">
        <f>=IFERROR(CT112/CT111,0)</f>
        <v>0</v>
      </c>
      <c r="CU113" s="64">
        <f>=IFERROR(CU112/CU111,0)</f>
        <v>0</v>
      </c>
      <c r="CV113" s="64">
        <f>=IFERROR(CV112/CV111,0)</f>
        <v>0</v>
      </c>
      <c r="CW113" s="64">
        <f>=IFERROR(CW112/CW111,0)</f>
        <v>0</v>
      </c>
      <c r="CX113" s="64">
        <f>=IFERROR(CX112/CX111,0)</f>
        <v>0</v>
      </c>
      <c r="CY113" s="64">
        <f>=IFERROR(CY112/CY111,0)</f>
        <v>0</v>
      </c>
      <c r="CZ113" s="64">
        <f>=IFERROR(CZ112/CZ111,0)</f>
        <v>0</v>
      </c>
      <c r="DA113" s="64">
        <f>=IFERROR(DA112/DA111,0)</f>
        <v>0</v>
      </c>
      <c r="DB113" s="64">
        <f>=IFERROR(DB112/DB111,0)</f>
        <v>0</v>
      </c>
    </row>
    <row r="114" spans="1:106" x14ac:dyDescent="0.25">
      <c r="A114" s="17" t="s">
        <v>333</v>
      </c>
      <c r="B114" s="65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6"/>
      <c r="AR114" s="66"/>
      <c r="AS114" s="66"/>
      <c r="AT114" s="66"/>
      <c r="AU114" s="66"/>
      <c r="AV114" s="66"/>
      <c r="AW114" s="66"/>
      <c r="AX114" s="66"/>
      <c r="AY114" s="66"/>
      <c r="AZ114" s="66"/>
      <c r="BA114" s="66"/>
      <c r="BB114" s="66"/>
      <c r="BC114" s="66"/>
      <c r="BD114" s="66"/>
      <c r="BE114" s="66"/>
      <c r="BF114" s="66"/>
      <c r="BG114" s="66"/>
      <c r="BH114" s="66"/>
      <c r="BI114" s="66"/>
      <c r="BJ114" s="66"/>
      <c r="BK114" s="66"/>
      <c r="BL114" s="66"/>
      <c r="BM114" s="66"/>
      <c r="BN114" s="66"/>
      <c r="BO114" s="66"/>
      <c r="BP114" s="66"/>
      <c r="BQ114" s="66"/>
      <c r="BR114" s="66"/>
      <c r="BS114" s="66"/>
      <c r="BT114" s="66"/>
      <c r="BU114" s="66"/>
      <c r="BV114" s="66"/>
      <c r="BW114" s="66"/>
      <c r="BX114" s="66"/>
      <c r="BY114" s="66"/>
      <c r="BZ114" s="66"/>
      <c r="CA114" s="66"/>
      <c r="CB114" s="66"/>
      <c r="CC114" s="66"/>
      <c r="CD114" s="66"/>
      <c r="CE114" s="66"/>
      <c r="CF114" s="66"/>
      <c r="CG114" s="66"/>
      <c r="CH114" s="66"/>
      <c r="CI114" s="66"/>
      <c r="CJ114" s="66"/>
      <c r="CK114" s="66"/>
      <c r="CL114" s="66"/>
      <c r="CM114" s="66"/>
      <c r="CN114" s="66"/>
      <c r="CO114" s="66"/>
      <c r="CP114" s="66"/>
      <c r="CQ114" s="66"/>
      <c r="CR114" s="66"/>
      <c r="CS114" s="66"/>
      <c r="CT114" s="66"/>
      <c r="CU114" s="66"/>
      <c r="CV114" s="66"/>
      <c r="CW114" s="66"/>
      <c r="CX114" s="66"/>
      <c r="CY114" s="66"/>
      <c r="CZ114" s="66"/>
      <c r="DA114" s="66"/>
      <c r="DB114" s="66"/>
    </row>
    <row r="115" spans="1:106" x14ac:dyDescent="0.25">
      <c r="A115" s="17" t="s">
        <v>334</v>
      </c>
      <c r="B115" s="65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6"/>
      <c r="AT115" s="66"/>
      <c r="AU115" s="66"/>
      <c r="AV115" s="66"/>
      <c r="AW115" s="66"/>
      <c r="AX115" s="66"/>
      <c r="AY115" s="66"/>
      <c r="AZ115" s="66"/>
      <c r="BA115" s="66"/>
      <c r="BB115" s="66"/>
      <c r="BC115" s="66"/>
      <c r="BD115" s="66"/>
      <c r="BE115" s="66"/>
      <c r="BF115" s="66"/>
      <c r="BG115" s="66"/>
      <c r="BH115" s="66"/>
      <c r="BI115" s="66"/>
      <c r="BJ115" s="66"/>
      <c r="BK115" s="66"/>
      <c r="BL115" s="66"/>
      <c r="BM115" s="66"/>
      <c r="BN115" s="66"/>
      <c r="BO115" s="66"/>
      <c r="BP115" s="66"/>
      <c r="BQ115" s="66"/>
      <c r="BR115" s="66"/>
      <c r="BS115" s="66"/>
      <c r="BT115" s="66"/>
      <c r="BU115" s="66"/>
      <c r="BV115" s="66"/>
      <c r="BW115" s="66"/>
      <c r="BX115" s="66"/>
      <c r="BY115" s="66"/>
      <c r="BZ115" s="66"/>
      <c r="CA115" s="66"/>
      <c r="CB115" s="66"/>
      <c r="CC115" s="66"/>
      <c r="CD115" s="66"/>
      <c r="CE115" s="66"/>
      <c r="CF115" s="66"/>
      <c r="CG115" s="66"/>
      <c r="CH115" s="66"/>
      <c r="CI115" s="66"/>
      <c r="CJ115" s="66"/>
      <c r="CK115" s="66"/>
      <c r="CL115" s="66"/>
      <c r="CM115" s="66"/>
      <c r="CN115" s="66"/>
      <c r="CO115" s="66"/>
      <c r="CP115" s="66"/>
      <c r="CQ115" s="66"/>
      <c r="CR115" s="66"/>
      <c r="CS115" s="66"/>
      <c r="CT115" s="66"/>
      <c r="CU115" s="66"/>
      <c r="CV115" s="66"/>
      <c r="CW115" s="66"/>
      <c r="CX115" s="66"/>
      <c r="CY115" s="66"/>
      <c r="CZ115" s="66"/>
      <c r="DA115" s="66"/>
      <c r="DB115" s="66"/>
    </row>
    <row r="116" spans="1:106" x14ac:dyDescent="0.25">
      <c r="A116" s="17" t="s">
        <v>335</v>
      </c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30"/>
      <c r="BO116" s="30"/>
      <c r="BP116" s="30"/>
      <c r="BQ116" s="30"/>
      <c r="BR116" s="30"/>
      <c r="BS116" s="30"/>
      <c r="BT116" s="30"/>
      <c r="BU116" s="30"/>
      <c r="BV116" s="30"/>
      <c r="BW116" s="30"/>
      <c r="BX116" s="30"/>
      <c r="BY116" s="30"/>
      <c r="BZ116" s="30"/>
      <c r="CA116" s="30"/>
      <c r="CB116" s="30"/>
      <c r="CC116" s="30"/>
      <c r="CD116" s="30"/>
      <c r="CE116" s="30"/>
      <c r="CF116" s="30"/>
      <c r="CG116" s="30"/>
      <c r="CH116" s="30"/>
      <c r="CI116" s="30"/>
      <c r="CJ116" s="30"/>
      <c r="CK116" s="30"/>
      <c r="CL116" s="30"/>
      <c r="CM116" s="30"/>
      <c r="CN116" s="30"/>
      <c r="CO116" s="30"/>
      <c r="CP116" s="30"/>
      <c r="CQ116" s="30"/>
      <c r="CR116" s="30"/>
      <c r="CS116" s="30"/>
      <c r="CT116" s="30"/>
      <c r="CU116" s="30"/>
      <c r="CV116" s="30"/>
      <c r="CW116" s="30"/>
      <c r="CX116" s="30"/>
      <c r="CY116" s="30"/>
      <c r="CZ116" s="30"/>
      <c r="DA116" s="30"/>
      <c r="DB116" s="30"/>
    </row>
    <row r="117" spans="1:106" x14ac:dyDescent="0.25">
      <c r="A117" s="17" t="s">
        <v>369</v>
      </c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30"/>
      <c r="CD117" s="30"/>
      <c r="CE117" s="30"/>
      <c r="CF117" s="30"/>
      <c r="CG117" s="30"/>
      <c r="CH117" s="30"/>
      <c r="CI117" s="30"/>
      <c r="CJ117" s="30"/>
      <c r="CK117" s="30"/>
      <c r="CL117" s="30"/>
      <c r="CM117" s="30"/>
      <c r="CN117" s="30"/>
      <c r="CO117" s="30"/>
      <c r="CP117" s="30"/>
      <c r="CQ117" s="30"/>
      <c r="CR117" s="30"/>
      <c r="CS117" s="30"/>
      <c r="CT117" s="30"/>
      <c r="CU117" s="30"/>
      <c r="CV117" s="30"/>
      <c r="CW117" s="30"/>
      <c r="CX117" s="30"/>
      <c r="CY117" s="30"/>
      <c r="CZ117" s="30"/>
      <c r="DA117" s="30"/>
      <c r="DB117" s="30"/>
    </row>
    <row r="118" spans="1:106" x14ac:dyDescent="0.25">
      <c r="A118" s="17" t="s">
        <v>370</v>
      </c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30"/>
      <c r="CD118" s="30"/>
      <c r="CE118" s="30"/>
      <c r="CF118" s="30"/>
      <c r="CG118" s="30"/>
      <c r="CH118" s="30"/>
      <c r="CI118" s="30"/>
      <c r="CJ118" s="30"/>
      <c r="CK118" s="30"/>
      <c r="CL118" s="30"/>
      <c r="CM118" s="30"/>
      <c r="CN118" s="30"/>
      <c r="CO118" s="30"/>
      <c r="CP118" s="30"/>
      <c r="CQ118" s="30"/>
      <c r="CR118" s="30"/>
      <c r="CS118" s="30"/>
      <c r="CT118" s="30"/>
      <c r="CU118" s="30"/>
      <c r="CV118" s="30"/>
      <c r="CW118" s="30"/>
      <c r="CX118" s="30"/>
      <c r="CY118" s="30"/>
      <c r="CZ118" s="30"/>
      <c r="DA118" s="30"/>
      <c r="DB118" s="30"/>
    </row>
    <row r="119" spans="1:106" x14ac:dyDescent="0.25">
      <c r="A119" s="17" t="s">
        <v>336</v>
      </c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>
        <v>0</v>
      </c>
      <c r="AM119" s="17">
        <v>0</v>
      </c>
      <c r="AN119" s="17">
        <v>0</v>
      </c>
      <c r="AO119" s="17">
        <v>0</v>
      </c>
      <c r="AP119" s="17">
        <v>0</v>
      </c>
      <c r="AQ119" s="17">
        <v>0</v>
      </c>
      <c r="AR119" s="17">
        <v>0</v>
      </c>
      <c r="AS119" s="17">
        <v>0</v>
      </c>
      <c r="AT119" s="17">
        <v>0</v>
      </c>
      <c r="AU119" s="17">
        <v>0</v>
      </c>
      <c r="AV119" s="17">
        <v>0</v>
      </c>
      <c r="AW119" s="17">
        <v>0</v>
      </c>
      <c r="AX119" s="17">
        <v>0</v>
      </c>
      <c r="AY119" s="17">
        <v>0</v>
      </c>
      <c r="AZ119" s="17">
        <v>0</v>
      </c>
      <c r="BA119" s="17">
        <v>0</v>
      </c>
      <c r="BB119" s="17">
        <v>0</v>
      </c>
      <c r="BC119" s="17">
        <v>0</v>
      </c>
      <c r="BD119" s="17">
        <v>0</v>
      </c>
      <c r="BE119" s="17">
        <v>0</v>
      </c>
      <c r="BF119" s="17">
        <v>0</v>
      </c>
      <c r="BG119" s="17">
        <v>0</v>
      </c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</row>
    <row r="120" spans="1:106" x14ac:dyDescent="0.25">
      <c r="A120" s="17" t="s">
        <v>337</v>
      </c>
      <c r="C120" s="17">
        <v>0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7">
        <v>0</v>
      </c>
      <c r="AI120" s="17">
        <v>0</v>
      </c>
      <c r="AJ120" s="17">
        <v>0</v>
      </c>
      <c r="AK120" s="17">
        <v>0</v>
      </c>
      <c r="AL120" s="17">
        <v>0</v>
      </c>
      <c r="AM120" s="17">
        <v>0</v>
      </c>
      <c r="AN120" s="17">
        <v>0</v>
      </c>
      <c r="AO120" s="17">
        <v>0</v>
      </c>
      <c r="AP120" s="17">
        <v>0</v>
      </c>
      <c r="AQ120" s="17">
        <v>0</v>
      </c>
      <c r="AR120" s="17">
        <v>0</v>
      </c>
      <c r="AS120" s="17">
        <v>0</v>
      </c>
      <c r="AT120" s="17">
        <v>0</v>
      </c>
      <c r="AU120" s="17">
        <v>0</v>
      </c>
      <c r="AV120" s="17">
        <v>0</v>
      </c>
      <c r="AW120" s="17">
        <v>0</v>
      </c>
      <c r="AX120" s="17">
        <v>0</v>
      </c>
      <c r="AY120" s="17">
        <v>0</v>
      </c>
      <c r="AZ120" s="17">
        <v>0</v>
      </c>
      <c r="BA120" s="17">
        <v>0</v>
      </c>
      <c r="BB120" s="17">
        <v>0</v>
      </c>
      <c r="BC120" s="17">
        <v>0</v>
      </c>
      <c r="BD120" s="17">
        <v>0</v>
      </c>
      <c r="BE120" s="17">
        <v>0</v>
      </c>
      <c r="BF120" s="17">
        <v>0</v>
      </c>
      <c r="BG120" s="17">
        <v>0</v>
      </c>
      <c r="BH120" s="17">
        <v>0</v>
      </c>
      <c r="BI120" s="17">
        <v>0</v>
      </c>
      <c r="BJ120" s="17">
        <v>0</v>
      </c>
      <c r="BK120" s="17">
        <v>0</v>
      </c>
      <c r="BL120" s="17">
        <v>0</v>
      </c>
      <c r="BM120" s="17">
        <v>0</v>
      </c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</row>
    <row r="121" spans="1:106" x14ac:dyDescent="0.25">
      <c r="A121" s="17" t="s">
        <v>338</v>
      </c>
      <c r="C121" s="17">
        <v>0</v>
      </c>
      <c r="D121" s="17">
        <v>0</v>
      </c>
      <c r="E121" s="17">
        <v>0</v>
      </c>
      <c r="F121" s="17">
        <v>0</v>
      </c>
      <c r="G121" s="17">
        <v>0</v>
      </c>
      <c r="H121" s="17">
        <v>0</v>
      </c>
      <c r="I121" s="17">
        <v>0</v>
      </c>
      <c r="J121" s="17">
        <v>0</v>
      </c>
      <c r="K121" s="17">
        <v>0</v>
      </c>
      <c r="L121" s="17">
        <v>0</v>
      </c>
      <c r="M121" s="17">
        <v>0</v>
      </c>
      <c r="N121" s="17">
        <v>0</v>
      </c>
      <c r="O121" s="17">
        <v>0</v>
      </c>
      <c r="P121" s="17">
        <v>0</v>
      </c>
      <c r="Q121" s="17">
        <v>0</v>
      </c>
      <c r="R121" s="17">
        <v>0</v>
      </c>
      <c r="S121" s="17">
        <v>0</v>
      </c>
      <c r="T121" s="17">
        <v>0</v>
      </c>
      <c r="U121" s="17">
        <v>0</v>
      </c>
      <c r="V121" s="17">
        <v>0</v>
      </c>
      <c r="W121" s="17">
        <v>0</v>
      </c>
      <c r="X121" s="17">
        <v>0</v>
      </c>
      <c r="Y121" s="17">
        <v>0</v>
      </c>
      <c r="Z121" s="17">
        <v>0</v>
      </c>
      <c r="AA121" s="17">
        <v>0</v>
      </c>
      <c r="AB121" s="17">
        <v>0</v>
      </c>
      <c r="AC121" s="17">
        <v>0</v>
      </c>
      <c r="AD121" s="17">
        <v>0</v>
      </c>
      <c r="AE121" s="17">
        <v>0</v>
      </c>
      <c r="AF121" s="17">
        <v>0</v>
      </c>
      <c r="AG121" s="17">
        <v>0</v>
      </c>
      <c r="AH121" s="17">
        <v>0</v>
      </c>
      <c r="AI121" s="17">
        <v>0</v>
      </c>
      <c r="AJ121" s="17">
        <v>0</v>
      </c>
      <c r="AK121" s="17">
        <v>0</v>
      </c>
      <c r="AL121" s="17">
        <v>0</v>
      </c>
      <c r="AM121" s="17">
        <v>0</v>
      </c>
      <c r="AN121" s="17">
        <v>0</v>
      </c>
      <c r="AO121" s="17">
        <v>0</v>
      </c>
      <c r="AP121" s="17">
        <v>0</v>
      </c>
      <c r="AQ121" s="17">
        <v>0</v>
      </c>
      <c r="AR121" s="17">
        <v>0</v>
      </c>
      <c r="AS121" s="17">
        <v>0</v>
      </c>
      <c r="AT121" s="17">
        <v>0</v>
      </c>
      <c r="AU121" s="17">
        <v>0</v>
      </c>
      <c r="AV121" s="17">
        <v>0</v>
      </c>
      <c r="AW121" s="17">
        <v>0</v>
      </c>
      <c r="AX121" s="17">
        <v>0</v>
      </c>
      <c r="AY121" s="17">
        <v>0</v>
      </c>
      <c r="AZ121" s="17">
        <v>0</v>
      </c>
      <c r="BA121" s="17">
        <v>0</v>
      </c>
      <c r="BB121" s="17">
        <v>0</v>
      </c>
      <c r="BC121" s="17">
        <v>0</v>
      </c>
      <c r="BD121" s="17">
        <v>0</v>
      </c>
      <c r="BE121" s="17">
        <v>0</v>
      </c>
      <c r="BF121" s="17">
        <v>0</v>
      </c>
      <c r="BG121" s="17">
        <v>0</v>
      </c>
      <c r="BH121" s="17">
        <v>0</v>
      </c>
      <c r="BI121" s="17">
        <v>0</v>
      </c>
      <c r="BJ121" s="17">
        <v>0</v>
      </c>
      <c r="BK121" s="17">
        <v>0</v>
      </c>
      <c r="BL121" s="17">
        <v>0</v>
      </c>
      <c r="BM121" s="17">
        <v>0</v>
      </c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</row>
    <row r="122" spans="1:106" x14ac:dyDescent="0.25">
      <c r="A122" s="17" t="s">
        <v>339</v>
      </c>
      <c r="C122" s="17">
        <v>0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7">
        <v>0</v>
      </c>
      <c r="AI122" s="17">
        <v>0</v>
      </c>
      <c r="AJ122" s="17">
        <v>0</v>
      </c>
      <c r="AK122" s="17">
        <v>0</v>
      </c>
      <c r="AL122" s="17">
        <v>0</v>
      </c>
      <c r="AM122" s="17">
        <v>0</v>
      </c>
      <c r="AN122" s="17">
        <v>0</v>
      </c>
      <c r="AO122" s="17">
        <v>0</v>
      </c>
      <c r="AP122" s="17">
        <v>0</v>
      </c>
      <c r="AQ122" s="17">
        <v>0</v>
      </c>
      <c r="AR122" s="17">
        <v>0</v>
      </c>
      <c r="AS122" s="17">
        <v>0</v>
      </c>
      <c r="AT122" s="17">
        <v>0</v>
      </c>
      <c r="AU122" s="17">
        <v>0</v>
      </c>
      <c r="AV122" s="17">
        <v>0</v>
      </c>
      <c r="AW122" s="17">
        <v>0</v>
      </c>
      <c r="AX122" s="17">
        <v>0</v>
      </c>
      <c r="AY122" s="17">
        <v>0</v>
      </c>
      <c r="AZ122" s="17">
        <v>0</v>
      </c>
      <c r="BA122" s="17">
        <v>0</v>
      </c>
      <c r="BB122" s="17">
        <v>0</v>
      </c>
      <c r="BC122" s="17">
        <v>0</v>
      </c>
      <c r="BD122" s="17">
        <v>0</v>
      </c>
      <c r="BE122" s="17">
        <v>0</v>
      </c>
      <c r="BF122" s="17">
        <v>0</v>
      </c>
      <c r="BG122" s="17">
        <v>0</v>
      </c>
      <c r="BH122" s="17">
        <v>0</v>
      </c>
      <c r="BI122" s="17">
        <v>0</v>
      </c>
      <c r="BJ122" s="17">
        <v>0</v>
      </c>
      <c r="BK122" s="17">
        <v>0</v>
      </c>
      <c r="BL122" s="17">
        <v>0</v>
      </c>
      <c r="BM122" s="17">
        <v>0</v>
      </c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</row>
    <row r="123" spans="1:106" x14ac:dyDescent="0.25">
      <c r="A123" s="17" t="s">
        <v>266</v>
      </c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</row>
    <row r="124" spans="1:106" x14ac:dyDescent="0.25">
      <c r="A124" s="17" t="s">
        <v>340</v>
      </c>
      <c r="C124" s="17">
        <v>0</v>
      </c>
      <c r="D124" s="17">
        <v>0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  <c r="AE124" s="17">
        <v>0</v>
      </c>
      <c r="AF124" s="17">
        <v>0</v>
      </c>
      <c r="AG124" s="17">
        <v>0</v>
      </c>
      <c r="AH124" s="17">
        <v>0</v>
      </c>
      <c r="AI124" s="17">
        <v>0</v>
      </c>
      <c r="AJ124" s="17">
        <v>0</v>
      </c>
      <c r="AK124" s="17">
        <v>0</v>
      </c>
      <c r="AL124" s="17">
        <v>0</v>
      </c>
      <c r="AM124" s="17">
        <v>0</v>
      </c>
      <c r="AN124" s="17">
        <v>0</v>
      </c>
      <c r="AO124" s="17">
        <v>0</v>
      </c>
      <c r="AP124" s="17">
        <v>0</v>
      </c>
      <c r="AQ124" s="17">
        <v>0</v>
      </c>
      <c r="AR124" s="17">
        <v>0</v>
      </c>
      <c r="AS124" s="17">
        <v>0</v>
      </c>
      <c r="AT124" s="17">
        <v>0</v>
      </c>
      <c r="AU124" s="17">
        <v>0</v>
      </c>
      <c r="AV124" s="17">
        <v>0</v>
      </c>
      <c r="AW124" s="17">
        <v>0</v>
      </c>
      <c r="AX124" s="17">
        <v>0</v>
      </c>
      <c r="AY124" s="17">
        <v>0</v>
      </c>
      <c r="AZ124" s="17">
        <v>0</v>
      </c>
      <c r="BA124" s="17">
        <v>0</v>
      </c>
      <c r="BB124" s="17">
        <v>0</v>
      </c>
      <c r="BC124" s="17">
        <v>0</v>
      </c>
      <c r="BD124" s="17">
        <v>0</v>
      </c>
      <c r="BE124" s="17">
        <v>0</v>
      </c>
      <c r="BF124" s="17">
        <v>0</v>
      </c>
      <c r="BG124" s="17">
        <v>0</v>
      </c>
      <c r="BH124" s="17">
        <v>0</v>
      </c>
      <c r="BI124" s="17">
        <v>0</v>
      </c>
      <c r="BJ124" s="17">
        <v>0</v>
      </c>
      <c r="BK124" s="17">
        <v>0</v>
      </c>
      <c r="BL124" s="17">
        <v>0</v>
      </c>
      <c r="BM124" s="17">
        <v>0</v>
      </c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</row>
    <row r="125" spans="1:106" x14ac:dyDescent="0.25">
      <c r="A125" s="17" t="s">
        <v>341</v>
      </c>
      <c r="C125" s="17">
        <v>0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7">
        <v>0</v>
      </c>
      <c r="AI125" s="17">
        <v>0</v>
      </c>
      <c r="AJ125" s="17">
        <v>0</v>
      </c>
      <c r="AK125" s="17">
        <v>0</v>
      </c>
      <c r="AL125" s="17">
        <v>0</v>
      </c>
      <c r="AM125" s="17">
        <v>0</v>
      </c>
      <c r="AN125" s="17">
        <v>0</v>
      </c>
      <c r="AO125" s="17">
        <v>0</v>
      </c>
      <c r="AP125" s="17">
        <v>0</v>
      </c>
      <c r="AQ125" s="17">
        <v>0</v>
      </c>
      <c r="AR125" s="17">
        <v>0</v>
      </c>
      <c r="AS125" s="17">
        <v>0</v>
      </c>
      <c r="AT125" s="17">
        <v>0</v>
      </c>
      <c r="AU125" s="17">
        <v>0</v>
      </c>
      <c r="AV125" s="17">
        <v>0</v>
      </c>
      <c r="AW125" s="17">
        <v>0</v>
      </c>
      <c r="AX125" s="17">
        <v>0</v>
      </c>
      <c r="AY125" s="17">
        <v>0</v>
      </c>
      <c r="AZ125" s="17">
        <v>0</v>
      </c>
      <c r="BA125" s="17">
        <v>0</v>
      </c>
      <c r="BB125" s="17">
        <v>0</v>
      </c>
      <c r="BC125" s="17">
        <v>0</v>
      </c>
      <c r="BD125" s="17">
        <v>0</v>
      </c>
      <c r="BE125" s="17">
        <v>0</v>
      </c>
      <c r="BF125" s="17">
        <v>0</v>
      </c>
      <c r="BG125" s="17">
        <v>0</v>
      </c>
      <c r="BH125" s="17">
        <v>0</v>
      </c>
      <c r="BI125" s="17">
        <v>0</v>
      </c>
      <c r="BJ125" s="17">
        <v>0</v>
      </c>
      <c r="BK125" s="17">
        <v>0</v>
      </c>
      <c r="BL125" s="17">
        <v>0</v>
      </c>
      <c r="BM125" s="17">
        <v>0</v>
      </c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</row>
    <row r="126" spans="1:106" x14ac:dyDescent="0.25">
      <c r="A126" s="17" t="s">
        <v>342</v>
      </c>
      <c r="C126" s="17">
        <v>0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7">
        <v>0</v>
      </c>
      <c r="AH126" s="17">
        <v>0</v>
      </c>
      <c r="AI126" s="17">
        <v>0</v>
      </c>
      <c r="AJ126" s="17">
        <v>0</v>
      </c>
      <c r="AK126" s="17">
        <v>0</v>
      </c>
      <c r="AL126" s="17">
        <v>0</v>
      </c>
      <c r="AM126" s="17">
        <v>0</v>
      </c>
      <c r="AN126" s="17">
        <v>0</v>
      </c>
      <c r="AO126" s="17">
        <v>0</v>
      </c>
      <c r="AP126" s="17">
        <v>0</v>
      </c>
      <c r="AQ126" s="17">
        <v>0</v>
      </c>
      <c r="AR126" s="17">
        <v>0</v>
      </c>
      <c r="AS126" s="17">
        <v>0</v>
      </c>
      <c r="AT126" s="17">
        <v>0</v>
      </c>
      <c r="AU126" s="17">
        <v>0</v>
      </c>
      <c r="AV126" s="17">
        <v>0</v>
      </c>
      <c r="AW126" s="17">
        <v>0</v>
      </c>
      <c r="AX126" s="17">
        <v>0</v>
      </c>
      <c r="AY126" s="17">
        <v>0</v>
      </c>
      <c r="AZ126" s="17">
        <v>0</v>
      </c>
      <c r="BA126" s="17">
        <v>0</v>
      </c>
      <c r="BB126" s="17">
        <v>0</v>
      </c>
      <c r="BC126" s="17">
        <v>0</v>
      </c>
      <c r="BD126" s="17">
        <v>0</v>
      </c>
      <c r="BE126" s="17">
        <v>0</v>
      </c>
      <c r="BF126" s="17">
        <v>0</v>
      </c>
      <c r="BG126" s="17">
        <v>0</v>
      </c>
      <c r="BH126" s="17">
        <v>0</v>
      </c>
      <c r="BI126" s="17">
        <v>0</v>
      </c>
      <c r="BJ126" s="17">
        <v>0</v>
      </c>
      <c r="BK126" s="17">
        <v>0</v>
      </c>
      <c r="BL126" s="17">
        <v>0</v>
      </c>
      <c r="BM126" s="17">
        <v>0</v>
      </c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</row>
    <row r="127" spans="1:106" x14ac:dyDescent="0.25">
      <c r="A127" s="17" t="s">
        <v>343</v>
      </c>
      <c r="C127" s="17">
        <v>0</v>
      </c>
      <c r="D127" s="17">
        <v>0</v>
      </c>
      <c r="E127" s="17">
        <v>0</v>
      </c>
      <c r="F127" s="17">
        <v>0</v>
      </c>
      <c r="G127" s="17">
        <v>0</v>
      </c>
      <c r="H127" s="17">
        <v>0</v>
      </c>
      <c r="I127" s="17">
        <v>0</v>
      </c>
      <c r="J127" s="17">
        <v>0</v>
      </c>
      <c r="K127" s="17">
        <v>0</v>
      </c>
      <c r="L127" s="17">
        <v>0</v>
      </c>
      <c r="M127" s="17">
        <v>0</v>
      </c>
      <c r="N127" s="17">
        <v>0</v>
      </c>
      <c r="O127" s="17">
        <v>0</v>
      </c>
      <c r="P127" s="17">
        <v>0</v>
      </c>
      <c r="Q127" s="17">
        <v>0</v>
      </c>
      <c r="R127" s="17">
        <v>0</v>
      </c>
      <c r="S127" s="17">
        <v>0</v>
      </c>
      <c r="T127" s="17">
        <v>0</v>
      </c>
      <c r="U127" s="17">
        <v>0</v>
      </c>
      <c r="V127" s="17">
        <v>0</v>
      </c>
      <c r="W127" s="17">
        <v>0</v>
      </c>
      <c r="X127" s="17">
        <v>0</v>
      </c>
      <c r="Y127" s="17">
        <v>0</v>
      </c>
      <c r="Z127" s="17">
        <v>0</v>
      </c>
      <c r="AA127" s="17">
        <v>0</v>
      </c>
      <c r="AB127" s="17">
        <v>0</v>
      </c>
      <c r="AC127" s="17">
        <v>0</v>
      </c>
      <c r="AD127" s="17">
        <v>0</v>
      </c>
      <c r="AE127" s="17">
        <v>0</v>
      </c>
      <c r="AF127" s="17">
        <v>0</v>
      </c>
      <c r="AG127" s="17">
        <v>0</v>
      </c>
      <c r="AH127" s="17">
        <v>0</v>
      </c>
      <c r="AI127" s="17">
        <v>0</v>
      </c>
      <c r="AJ127" s="17">
        <v>0</v>
      </c>
      <c r="AK127" s="17">
        <v>0</v>
      </c>
      <c r="AL127" s="17">
        <v>0</v>
      </c>
      <c r="AM127" s="17">
        <v>0</v>
      </c>
      <c r="AN127" s="17">
        <v>0</v>
      </c>
      <c r="AO127" s="17">
        <v>0</v>
      </c>
      <c r="AP127" s="17">
        <v>0</v>
      </c>
      <c r="AQ127" s="17">
        <v>0</v>
      </c>
      <c r="AR127" s="17">
        <v>0</v>
      </c>
      <c r="AS127" s="17">
        <v>0</v>
      </c>
      <c r="AT127" s="17">
        <v>0</v>
      </c>
      <c r="AU127" s="17">
        <v>0</v>
      </c>
      <c r="AV127" s="17">
        <v>0</v>
      </c>
      <c r="AW127" s="17">
        <v>0</v>
      </c>
      <c r="AX127" s="17">
        <v>0</v>
      </c>
      <c r="AY127" s="17">
        <v>0</v>
      </c>
      <c r="AZ127" s="17">
        <v>0</v>
      </c>
      <c r="BA127" s="17">
        <v>0</v>
      </c>
      <c r="BB127" s="17">
        <v>0</v>
      </c>
      <c r="BC127" s="17">
        <v>0</v>
      </c>
      <c r="BD127" s="17">
        <v>0</v>
      </c>
      <c r="BE127" s="17">
        <v>0</v>
      </c>
      <c r="BF127" s="17">
        <v>0</v>
      </c>
      <c r="BG127" s="17">
        <v>0</v>
      </c>
      <c r="BH127" s="17">
        <v>0</v>
      </c>
      <c r="BI127" s="17">
        <v>0</v>
      </c>
      <c r="BJ127" s="17">
        <v>0</v>
      </c>
      <c r="BK127" s="17">
        <v>0</v>
      </c>
      <c r="BL127" s="17">
        <v>0</v>
      </c>
      <c r="BM127" s="17">
        <v>0</v>
      </c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</row>
    <row r="128" spans="1:106" x14ac:dyDescent="0.25">
      <c r="A128" s="17" t="s">
        <v>344</v>
      </c>
      <c r="C128" s="17">
        <v>0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7">
        <v>0</v>
      </c>
      <c r="AI128" s="17">
        <v>0</v>
      </c>
      <c r="AJ128" s="17">
        <v>0</v>
      </c>
      <c r="AK128" s="17">
        <v>0</v>
      </c>
      <c r="AL128" s="17">
        <v>0</v>
      </c>
      <c r="AM128" s="17">
        <v>0</v>
      </c>
      <c r="AN128" s="17">
        <v>0</v>
      </c>
      <c r="AO128" s="17">
        <v>0</v>
      </c>
      <c r="AP128" s="17">
        <v>0</v>
      </c>
      <c r="AQ128" s="17">
        <v>0</v>
      </c>
      <c r="AR128" s="17">
        <v>0</v>
      </c>
      <c r="AS128" s="17">
        <v>0</v>
      </c>
      <c r="AT128" s="17">
        <v>0</v>
      </c>
      <c r="AU128" s="17">
        <v>0</v>
      </c>
      <c r="AV128" s="17">
        <v>0</v>
      </c>
      <c r="AW128" s="17">
        <v>0</v>
      </c>
      <c r="AX128" s="17">
        <v>0</v>
      </c>
      <c r="AY128" s="17">
        <v>0</v>
      </c>
      <c r="AZ128" s="17">
        <v>0</v>
      </c>
      <c r="BA128" s="17">
        <v>0</v>
      </c>
      <c r="BB128" s="17">
        <v>0</v>
      </c>
      <c r="BC128" s="17">
        <v>0</v>
      </c>
      <c r="BD128" s="17">
        <v>0</v>
      </c>
      <c r="BE128" s="17">
        <v>0</v>
      </c>
      <c r="BF128" s="17">
        <v>0</v>
      </c>
      <c r="BG128" s="17">
        <v>0</v>
      </c>
      <c r="BH128" s="17">
        <v>0</v>
      </c>
      <c r="BI128" s="17">
        <v>0</v>
      </c>
      <c r="BJ128" s="17">
        <v>0</v>
      </c>
      <c r="BK128" s="17">
        <v>0</v>
      </c>
      <c r="BL128" s="17">
        <v>0</v>
      </c>
      <c r="BM128" s="17">
        <v>0</v>
      </c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</row>
    <row r="129" spans="3:106" x14ac:dyDescent="0.25"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  <c r="BA129" s="30"/>
      <c r="BB129" s="30"/>
      <c r="BC129" s="30"/>
      <c r="BD129" s="30"/>
      <c r="BE129" s="30"/>
      <c r="BF129" s="30"/>
      <c r="BG129" s="30"/>
      <c r="BH129" s="30"/>
      <c r="BI129" s="30"/>
      <c r="BJ129" s="30"/>
      <c r="BK129" s="30"/>
      <c r="BL129" s="30"/>
      <c r="BM129" s="30"/>
      <c r="BN129" s="30"/>
      <c r="BO129" s="30"/>
      <c r="BP129" s="30"/>
      <c r="BQ129" s="30"/>
      <c r="BR129" s="30"/>
      <c r="BS129" s="30"/>
      <c r="BT129" s="30"/>
      <c r="BU129" s="30"/>
      <c r="BV129" s="30"/>
      <c r="BW129" s="30"/>
      <c r="BX129" s="30"/>
      <c r="BY129" s="30"/>
      <c r="BZ129" s="30"/>
      <c r="CA129" s="30"/>
      <c r="CB129" s="30"/>
      <c r="CC129" s="30"/>
      <c r="CD129" s="30"/>
      <c r="CE129" s="30"/>
      <c r="CF129" s="30"/>
      <c r="CG129" s="30"/>
      <c r="CH129" s="30"/>
      <c r="CI129" s="30"/>
      <c r="CJ129" s="30"/>
      <c r="CK129" s="30"/>
      <c r="CL129" s="30"/>
      <c r="CM129" s="30"/>
      <c r="CN129" s="30"/>
      <c r="CO129" s="30"/>
      <c r="CP129" s="30"/>
      <c r="CQ129" s="30"/>
      <c r="CR129" s="30"/>
      <c r="CS129" s="30"/>
      <c r="CT129" s="30"/>
      <c r="CU129" s="30"/>
      <c r="CV129" s="30"/>
      <c r="CW129" s="30"/>
      <c r="CX129" s="30"/>
      <c r="CY129" s="30"/>
      <c r="CZ129" s="30"/>
      <c r="DA129" s="30"/>
      <c r="DB129" s="30"/>
    </row>
    <row r="130" spans="1:106" x14ac:dyDescent="0.25">
      <c r="A130" s="9" t="s">
        <v>345</v>
      </c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  <c r="AV130" s="30"/>
      <c r="AW130" s="30"/>
      <c r="AX130" s="30"/>
      <c r="AY130" s="30"/>
      <c r="AZ130" s="30"/>
      <c r="BA130" s="30"/>
      <c r="BB130" s="30"/>
      <c r="BC130" s="30"/>
      <c r="BD130" s="30"/>
      <c r="BE130" s="30"/>
      <c r="BF130" s="30"/>
      <c r="BG130" s="30"/>
      <c r="BH130" s="30"/>
      <c r="BI130" s="30"/>
      <c r="BJ130" s="30"/>
      <c r="BK130" s="30"/>
      <c r="BL130" s="30"/>
      <c r="BM130" s="30"/>
      <c r="BN130" s="30"/>
      <c r="BO130" s="30"/>
      <c r="BP130" s="30"/>
      <c r="BQ130" s="30"/>
      <c r="BR130" s="30"/>
      <c r="BS130" s="30"/>
      <c r="BT130" s="30"/>
      <c r="BU130" s="30"/>
      <c r="BV130" s="30"/>
      <c r="BW130" s="30"/>
      <c r="BX130" s="30"/>
      <c r="BY130" s="30"/>
      <c r="BZ130" s="30"/>
      <c r="CA130" s="30"/>
      <c r="CB130" s="30"/>
      <c r="CC130" s="30"/>
      <c r="CD130" s="30"/>
      <c r="CE130" s="30"/>
      <c r="CF130" s="30"/>
      <c r="CG130" s="30"/>
      <c r="CH130" s="30"/>
      <c r="CI130" s="30"/>
      <c r="CJ130" s="30"/>
      <c r="CK130" s="30"/>
      <c r="CL130" s="30"/>
      <c r="CM130" s="30"/>
      <c r="CN130" s="30"/>
      <c r="CO130" s="30"/>
      <c r="CP130" s="30"/>
      <c r="CQ130" s="30"/>
      <c r="CR130" s="30"/>
      <c r="CS130" s="30"/>
      <c r="CT130" s="30"/>
      <c r="CU130" s="30"/>
      <c r="CV130" s="30"/>
      <c r="CW130" s="30"/>
      <c r="CX130" s="30"/>
      <c r="CY130" s="30"/>
      <c r="CZ130" s="30"/>
      <c r="DA130" s="30"/>
      <c r="DB130" s="30"/>
    </row>
    <row r="131" ht="16" customHeight="1" spans="1:106" x14ac:dyDescent="0.25">
      <c r="A131" s="68" t="s">
        <v>346</v>
      </c>
      <c r="C131" s="30">
        <f>=C8</f>
        <v>240</v>
      </c>
      <c r="D131" s="30">
        <f>=D8</f>
        <v>240</v>
      </c>
      <c r="E131" s="30">
        <f>=E8</f>
        <v>240</v>
      </c>
      <c r="F131" s="30">
        <f>=F8</f>
        <v>240</v>
      </c>
      <c r="G131" s="30">
        <f>=G8</f>
        <v>240</v>
      </c>
      <c r="H131" s="30">
        <f>=H8</f>
        <v>196</v>
      </c>
      <c r="I131" s="30">
        <f>=I8</f>
        <v>196</v>
      </c>
      <c r="J131" s="30">
        <f>=J8</f>
        <v>196</v>
      </c>
      <c r="K131" s="30">
        <f>=K8</f>
        <v>196</v>
      </c>
      <c r="L131" s="30">
        <f>=L8</f>
        <v>196</v>
      </c>
      <c r="M131" s="30">
        <f>=M8</f>
        <v>196</v>
      </c>
      <c r="N131" s="30">
        <f>=N8</f>
        <v>196</v>
      </c>
      <c r="O131" s="30">
        <f>=O8</f>
        <v>196</v>
      </c>
      <c r="P131" s="30">
        <f>=P8</f>
        <v>196</v>
      </c>
      <c r="Q131" s="30">
        <f>=Q8</f>
        <v>196</v>
      </c>
      <c r="R131" s="30">
        <f>=R8</f>
        <v>196</v>
      </c>
      <c r="S131" s="30">
        <f>=S8</f>
        <v>196</v>
      </c>
      <c r="T131" s="30">
        <f>=T8</f>
        <v>196</v>
      </c>
      <c r="U131" s="30">
        <f>=U8</f>
        <v>196</v>
      </c>
      <c r="V131" s="30">
        <f>=V8</f>
        <v>196</v>
      </c>
      <c r="W131" s="30">
        <f>=W8</f>
        <v>196</v>
      </c>
      <c r="X131" s="30">
        <f>=X8</f>
        <v>196</v>
      </c>
      <c r="Y131" s="30">
        <f>=Y8</f>
        <v>196</v>
      </c>
      <c r="Z131" s="30">
        <f>=Z8</f>
        <v>196</v>
      </c>
      <c r="AA131" s="30">
        <f>=AA8</f>
        <v>196</v>
      </c>
      <c r="AB131" s="30">
        <f>=AB8</f>
        <v>196</v>
      </c>
      <c r="AC131" s="30">
        <f>=AC8</f>
        <v>196</v>
      </c>
      <c r="AD131" s="30">
        <f>=AD8</f>
        <v>196</v>
      </c>
      <c r="AE131" s="30">
        <f>=AE8</f>
        <v>196</v>
      </c>
      <c r="AF131" s="30">
        <f>=AF8</f>
        <v>196</v>
      </c>
      <c r="AG131" s="30">
        <f>=AG8</f>
        <v>196</v>
      </c>
      <c r="AH131" s="30">
        <f>=AH8</f>
        <v>196</v>
      </c>
      <c r="AI131" s="30">
        <f>=AI8</f>
        <v>196</v>
      </c>
      <c r="AJ131" s="30">
        <f>=AJ8</f>
        <v>196</v>
      </c>
      <c r="AK131" s="30">
        <f>=AK8</f>
        <v>196</v>
      </c>
      <c r="AL131" s="30">
        <f>=AL8</f>
        <v>196</v>
      </c>
      <c r="AM131" s="30">
        <f>=AM8</f>
        <v>196</v>
      </c>
      <c r="AN131" s="30">
        <f>=AN8</f>
        <v>196</v>
      </c>
      <c r="AO131" s="30">
        <f>=AO8</f>
        <v>196</v>
      </c>
      <c r="AP131" s="30">
        <f>=AP8</f>
        <v>196</v>
      </c>
      <c r="AQ131" s="30">
        <f>=AQ8</f>
        <v>196</v>
      </c>
      <c r="AR131" s="30">
        <f>=AR8</f>
        <v>196</v>
      </c>
      <c r="AS131" s="30">
        <f>=AS8</f>
        <v>196</v>
      </c>
      <c r="AT131" s="30">
        <f>=AT8</f>
        <v>196</v>
      </c>
      <c r="AU131" s="30">
        <f>=AU8</f>
        <v>196</v>
      </c>
      <c r="AV131" s="30">
        <f>=AV8</f>
        <v>196</v>
      </c>
      <c r="AW131" s="30">
        <f>=AW8</f>
        <v>196</v>
      </c>
      <c r="AX131" s="30">
        <f>=AX8</f>
        <v>196</v>
      </c>
      <c r="AY131" s="30">
        <f>=AY8</f>
        <v>196</v>
      </c>
      <c r="AZ131" s="30">
        <f>=AZ8</f>
        <v>196</v>
      </c>
      <c r="BA131" s="30">
        <f>=BA8</f>
        <v>196</v>
      </c>
      <c r="BB131" s="30">
        <f>=BB8</f>
        <v>196</v>
      </c>
      <c r="BC131" s="30">
        <f>=BC8</f>
        <v>196</v>
      </c>
      <c r="BD131" s="30">
        <f>=BD8</f>
        <v>196</v>
      </c>
      <c r="BE131" s="30">
        <f>=BE8</f>
        <v>196</v>
      </c>
      <c r="BF131" s="30">
        <f>=BF8</f>
        <v>196</v>
      </c>
      <c r="BG131" s="30">
        <f>=BG8</f>
        <v>196</v>
      </c>
      <c r="BH131" s="30">
        <f>=BH8</f>
        <v>196</v>
      </c>
      <c r="BI131" s="30">
        <f>=BI8</f>
        <v>196</v>
      </c>
      <c r="BJ131" s="30">
        <f>=BJ8</f>
        <v>196</v>
      </c>
      <c r="BK131" s="30">
        <f>=BK8</f>
        <v>196</v>
      </c>
      <c r="BL131" s="30">
        <f>=BL8</f>
        <v>112</v>
      </c>
      <c r="BM131" s="30">
        <f>=BM8</f>
        <v>112</v>
      </c>
      <c r="BN131" s="30">
        <f>=BN8</f>
        <v>112</v>
      </c>
      <c r="BO131" s="30">
        <f>=BO8</f>
        <v>112</v>
      </c>
      <c r="BP131" s="30">
        <f>=BP8</f>
        <v>0</v>
      </c>
      <c r="BQ131" s="30">
        <f>=BQ8</f>
        <v>0</v>
      </c>
      <c r="BR131" s="30">
        <f>=BR8</f>
        <v>0</v>
      </c>
      <c r="BS131" s="30">
        <f>=BS8</f>
        <v>0</v>
      </c>
      <c r="BT131" s="30">
        <f>=BT8</f>
        <v>0</v>
      </c>
      <c r="BU131" s="30">
        <f>=BU8</f>
        <v>0</v>
      </c>
      <c r="BV131" s="30">
        <f>=BV8</f>
        <v>0</v>
      </c>
      <c r="BW131" s="30">
        <f>=BW8</f>
        <v>0</v>
      </c>
      <c r="BX131" s="30">
        <f>=BX8</f>
        <v>0</v>
      </c>
      <c r="BY131" s="30">
        <f>=BY8</f>
        <v>0</v>
      </c>
      <c r="BZ131" s="30">
        <f>=BZ8</f>
        <v>0</v>
      </c>
      <c r="CA131" s="30">
        <f>=CA8</f>
        <v>0</v>
      </c>
      <c r="CB131" s="30">
        <f>=CB8</f>
        <v>0</v>
      </c>
      <c r="CC131" s="30">
        <f>=CC8</f>
        <v>0</v>
      </c>
      <c r="CD131" s="30">
        <f>=CD8</f>
        <v>0</v>
      </c>
      <c r="CE131" s="30">
        <f>=CE8</f>
        <v>0</v>
      </c>
      <c r="CF131" s="30">
        <f>=CF8</f>
        <v>0</v>
      </c>
      <c r="CG131" s="30">
        <f>=CG8</f>
        <v>0</v>
      </c>
      <c r="CH131" s="30">
        <f>=CH8</f>
        <v>0</v>
      </c>
      <c r="CI131" s="30">
        <f>=CI8</f>
        <v>0</v>
      </c>
      <c r="CJ131" s="30">
        <f>=CJ8</f>
        <v>0</v>
      </c>
      <c r="CK131" s="30">
        <f>=CK8</f>
        <v>0</v>
      </c>
      <c r="CL131" s="30">
        <f>=CL8</f>
        <v>0</v>
      </c>
      <c r="CM131" s="30">
        <f>=CM8</f>
        <v>0</v>
      </c>
      <c r="CN131" s="30">
        <f>=CN8</f>
        <v>0</v>
      </c>
      <c r="CO131" s="30">
        <f>=CO8</f>
        <v>0</v>
      </c>
      <c r="CP131" s="30">
        <f>=CP8</f>
        <v>0</v>
      </c>
      <c r="CQ131" s="30">
        <f>=CQ8</f>
        <v>0</v>
      </c>
      <c r="CR131" s="30">
        <f>=CR8</f>
        <v>0</v>
      </c>
      <c r="CS131" s="30">
        <f>=CS8</f>
        <v>0</v>
      </c>
      <c r="CT131" s="30">
        <f>=CT8</f>
        <v>0</v>
      </c>
      <c r="CU131" s="30">
        <f>=CU8</f>
        <v>0</v>
      </c>
      <c r="CV131" s="30">
        <f>=CV8</f>
        <v>0</v>
      </c>
      <c r="CW131" s="30">
        <f>=CW8</f>
        <v>0</v>
      </c>
      <c r="CX131" s="30">
        <f>=CX8</f>
        <v>0</v>
      </c>
      <c r="CY131" s="30">
        <f>=CY8</f>
        <v>0</v>
      </c>
      <c r="CZ131" s="30">
        <f>=CZ8</f>
        <v>0</v>
      </c>
      <c r="DA131" s="30">
        <f>=DA8</f>
        <v>0</v>
      </c>
      <c r="DB131" s="30">
        <f>=DB8</f>
        <v>0</v>
      </c>
    </row>
    <row r="132" ht="18" customHeight="1" spans="1:106" x14ac:dyDescent="0.25">
      <c r="A132" s="68" t="s">
        <v>347</v>
      </c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50">
        <v>318</v>
      </c>
      <c r="AD132" s="50">
        <v>315</v>
      </c>
      <c r="AE132" s="50">
        <v>315</v>
      </c>
      <c r="AF132" s="50">
        <v>315</v>
      </c>
      <c r="AG132" s="50">
        <v>315</v>
      </c>
      <c r="AH132" s="50">
        <v>317</v>
      </c>
      <c r="AI132" s="50">
        <v>270</v>
      </c>
      <c r="AJ132" s="50">
        <v>243</v>
      </c>
      <c r="AK132" s="50">
        <v>270</v>
      </c>
      <c r="AL132" s="50">
        <v>271</v>
      </c>
      <c r="AM132" s="50">
        <v>270</v>
      </c>
      <c r="AN132" s="50">
        <v>270</v>
      </c>
      <c r="AO132" s="50">
        <v>265</v>
      </c>
      <c r="AP132" s="50">
        <v>225</v>
      </c>
      <c r="AQ132" s="50">
        <v>225</v>
      </c>
      <c r="AR132" s="50">
        <v>225</v>
      </c>
      <c r="AS132" s="50">
        <v>225</v>
      </c>
      <c r="AT132" s="50">
        <v>225</v>
      </c>
      <c r="AU132" s="50">
        <v>233</v>
      </c>
      <c r="AV132" s="50">
        <v>239</v>
      </c>
      <c r="AW132" s="50">
        <v>227</v>
      </c>
      <c r="AX132" s="50">
        <v>317</v>
      </c>
      <c r="AY132" s="50">
        <v>236</v>
      </c>
      <c r="AZ132" s="50">
        <v>238</v>
      </c>
      <c r="BA132" s="50">
        <v>228</v>
      </c>
      <c r="BB132" s="50">
        <v>225</v>
      </c>
      <c r="BC132" s="50">
        <v>186</v>
      </c>
      <c r="BD132" s="50">
        <v>180</v>
      </c>
      <c r="BE132" s="50">
        <v>183</v>
      </c>
      <c r="BF132" s="50">
        <v>188</v>
      </c>
      <c r="BG132" s="50">
        <v>181</v>
      </c>
      <c r="BH132" s="50">
        <v>181</v>
      </c>
      <c r="BI132" s="50">
        <v>180</v>
      </c>
      <c r="BJ132" s="50">
        <v>181</v>
      </c>
      <c r="BK132" s="50">
        <v>180</v>
      </c>
      <c r="BL132" s="50">
        <v>180</v>
      </c>
      <c r="BM132" s="50">
        <v>180</v>
      </c>
      <c r="BN132" s="69">
        <v>180</v>
      </c>
      <c r="BO132" s="69">
        <v>180</v>
      </c>
      <c r="BP132" s="30"/>
      <c r="BQ132" s="30"/>
      <c r="BR132" s="30"/>
      <c r="BS132" s="30"/>
      <c r="BT132" s="30"/>
      <c r="BU132" s="30"/>
      <c r="BV132" s="30"/>
      <c r="BW132" s="30"/>
      <c r="BX132" s="30"/>
      <c r="BY132" s="30"/>
      <c r="BZ132" s="30"/>
      <c r="CA132" s="30"/>
      <c r="CB132" s="30"/>
      <c r="CC132" s="30"/>
      <c r="CD132" s="30"/>
      <c r="CE132" s="30"/>
      <c r="CF132" s="30"/>
      <c r="CG132" s="30"/>
      <c r="CH132" s="30"/>
      <c r="CI132" s="30"/>
      <c r="CJ132" s="30"/>
      <c r="CK132" s="30"/>
      <c r="CL132" s="30"/>
      <c r="CM132" s="30"/>
      <c r="CN132" s="30"/>
      <c r="CO132" s="30"/>
      <c r="CP132" s="30"/>
      <c r="CQ132" s="30"/>
      <c r="CR132" s="30"/>
      <c r="CS132" s="30"/>
      <c r="CT132" s="30"/>
      <c r="CU132" s="30"/>
      <c r="CV132" s="30"/>
      <c r="CW132" s="30"/>
      <c r="CX132" s="30"/>
      <c r="CY132" s="30"/>
      <c r="CZ132" s="30"/>
      <c r="DA132" s="30"/>
      <c r="DB132" s="30"/>
    </row>
    <row r="133" ht="18" customHeight="1" spans="1:106" x14ac:dyDescent="0.25">
      <c r="A133" s="68" t="s">
        <v>348</v>
      </c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50">
        <v>219</v>
      </c>
      <c r="AD133" s="50">
        <v>218</v>
      </c>
      <c r="AE133" s="50">
        <v>280</v>
      </c>
      <c r="AF133" s="50">
        <v>237</v>
      </c>
      <c r="AG133" s="50">
        <v>235</v>
      </c>
      <c r="AH133" s="50">
        <v>240</v>
      </c>
      <c r="AI133" s="50">
        <v>196</v>
      </c>
      <c r="AJ133" s="50">
        <v>201</v>
      </c>
      <c r="AK133" s="50">
        <v>215</v>
      </c>
      <c r="AL133" s="50">
        <v>197</v>
      </c>
      <c r="AM133" s="50">
        <v>183</v>
      </c>
      <c r="AN133" s="50">
        <v>198</v>
      </c>
      <c r="AO133" s="50">
        <v>183</v>
      </c>
      <c r="AP133" s="50">
        <v>151</v>
      </c>
      <c r="AQ133" s="50">
        <v>108</v>
      </c>
      <c r="AR133" s="50">
        <v>193</v>
      </c>
      <c r="AS133" s="50">
        <v>181</v>
      </c>
      <c r="AT133" s="50">
        <v>173</v>
      </c>
      <c r="AU133" s="50">
        <v>198</v>
      </c>
      <c r="AV133" s="50">
        <v>168</v>
      </c>
      <c r="AW133" s="50">
        <v>160</v>
      </c>
      <c r="AX133" s="50">
        <v>198</v>
      </c>
      <c r="AY133" s="50">
        <v>176</v>
      </c>
      <c r="AZ133" s="50">
        <v>190</v>
      </c>
      <c r="BA133" s="50">
        <v>157</v>
      </c>
      <c r="BB133" s="50">
        <v>150</v>
      </c>
      <c r="BC133" s="50">
        <v>124</v>
      </c>
      <c r="BD133" s="50">
        <v>151</v>
      </c>
      <c r="BE133" s="50">
        <v>140</v>
      </c>
      <c r="BF133" s="50">
        <v>164</v>
      </c>
      <c r="BG133" s="50">
        <v>159</v>
      </c>
      <c r="BH133" s="50">
        <v>160</v>
      </c>
      <c r="BI133" s="50">
        <v>150</v>
      </c>
      <c r="BJ133" s="50">
        <v>131</v>
      </c>
      <c r="BK133" s="50">
        <v>159</v>
      </c>
      <c r="BL133" s="50">
        <v>149</v>
      </c>
      <c r="BM133" s="50">
        <v>150</v>
      </c>
      <c r="BN133" s="69">
        <v>135</v>
      </c>
      <c r="BO133" s="69">
        <v>160</v>
      </c>
      <c r="BP133" s="30"/>
      <c r="BQ133" s="30"/>
      <c r="BR133" s="30"/>
      <c r="BS133" s="30"/>
      <c r="BT133" s="30"/>
      <c r="BU133" s="30"/>
      <c r="BV133" s="30"/>
      <c r="BW133" s="30"/>
      <c r="BX133" s="30"/>
      <c r="BY133" s="30"/>
      <c r="BZ133" s="30"/>
      <c r="CA133" s="30"/>
      <c r="CB133" s="30"/>
      <c r="CC133" s="30"/>
      <c r="CD133" s="30"/>
      <c r="CE133" s="30"/>
      <c r="CF133" s="30"/>
      <c r="CG133" s="30"/>
      <c r="CH133" s="30"/>
      <c r="CI133" s="30"/>
      <c r="CJ133" s="30"/>
      <c r="CK133" s="30"/>
      <c r="CL133" s="30"/>
      <c r="CM133" s="30"/>
      <c r="CN133" s="30"/>
      <c r="CO133" s="30"/>
      <c r="CP133" s="30"/>
      <c r="CQ133" s="30"/>
      <c r="CR133" s="30"/>
      <c r="CS133" s="30"/>
      <c r="CT133" s="30"/>
      <c r="CU133" s="30"/>
      <c r="CV133" s="30"/>
      <c r="CW133" s="30"/>
      <c r="CX133" s="30"/>
      <c r="CY133" s="30"/>
      <c r="CZ133" s="30"/>
      <c r="DA133" s="30"/>
      <c r="DB133" s="30"/>
    </row>
    <row r="134" ht="18" customHeight="1" spans="1:106" x14ac:dyDescent="0.25">
      <c r="A134" s="70" t="s">
        <v>349</v>
      </c>
      <c r="C134" s="48">
        <f>=IFERROR(C133/C131,0)</f>
        <v>0</v>
      </c>
      <c r="D134" s="48">
        <f>=IFERROR(D133/D131,0)</f>
        <v>0</v>
      </c>
      <c r="E134" s="48">
        <f>=IFERROR(E133/E131,0)</f>
        <v>0</v>
      </c>
      <c r="F134" s="48">
        <f>=IFERROR(F133/F131,0)</f>
        <v>0</v>
      </c>
      <c r="G134" s="48">
        <f>=IFERROR(G133/G131,0)</f>
        <v>0</v>
      </c>
      <c r="H134" s="48">
        <f>=IFERROR(H133/H131,0)</f>
        <v>0</v>
      </c>
      <c r="I134" s="48">
        <f>=IFERROR(I133/I131,0)</f>
        <v>0</v>
      </c>
      <c r="J134" s="48">
        <f>=IFERROR(J133/J131,0)</f>
        <v>0</v>
      </c>
      <c r="K134" s="48">
        <f>=IFERROR(K133/K131,0)</f>
        <v>0</v>
      </c>
      <c r="L134" s="48">
        <f>=IFERROR(L133/L131,0)</f>
        <v>0</v>
      </c>
      <c r="M134" s="48">
        <f>=IFERROR(M133/M131,0)</f>
        <v>0</v>
      </c>
      <c r="N134" s="48">
        <f>=IFERROR(N133/N131,0)</f>
        <v>0</v>
      </c>
      <c r="O134" s="48">
        <f>=IFERROR(O133/O131,0)</f>
        <v>0</v>
      </c>
      <c r="P134" s="48">
        <f>=IFERROR(P133/P131,0)</f>
        <v>0</v>
      </c>
      <c r="Q134" s="48">
        <f>=IFERROR(Q133/Q131,0)</f>
        <v>0</v>
      </c>
      <c r="R134" s="48">
        <f>=IFERROR(R133/R131,0)</f>
        <v>0</v>
      </c>
      <c r="S134" s="48">
        <f>=IFERROR(S133/S131,0)</f>
        <v>0</v>
      </c>
      <c r="T134" s="48">
        <f>=IFERROR(T133/T131,0)</f>
        <v>0</v>
      </c>
      <c r="U134" s="48">
        <f>=IFERROR(U133/U131,0)</f>
        <v>0</v>
      </c>
      <c r="V134" s="48">
        <f>=IFERROR(V133/V131,0)</f>
        <v>0</v>
      </c>
      <c r="W134" s="48">
        <f>=IFERROR(W133/W131,0)</f>
        <v>0</v>
      </c>
      <c r="X134" s="48">
        <f>=IFERROR(X133/X131,0)</f>
        <v>0</v>
      </c>
      <c r="Y134" s="48">
        <f>=IFERROR(Y133/Y131,0)</f>
        <v>0</v>
      </c>
      <c r="Z134" s="48">
        <f>=IFERROR(Z133/Z131,0)</f>
        <v>0</v>
      </c>
      <c r="AA134" s="48">
        <f>=IFERROR(AA133/AA131,0)</f>
        <v>0</v>
      </c>
      <c r="AB134" s="48">
        <f>=IFERROR(AB133/AB131,0)</f>
        <v>0</v>
      </c>
      <c r="AC134" s="48">
        <f>=IFERROR(AC133/AC131,0)</f>
        <v>1.1173469387755102</v>
      </c>
      <c r="AD134" s="48">
        <f>=IFERROR(AD133/AD131,0)</f>
        <v>1.1122448979591837</v>
      </c>
      <c r="AE134" s="48">
        <f>=IFERROR(AE133/AE131,0)</f>
        <v>1.4285714285714286</v>
      </c>
      <c r="AF134" s="48">
        <f>=IFERROR(AF133/AF131,0)</f>
        <v>1.2091836734693877</v>
      </c>
      <c r="AG134" s="48">
        <f>=IFERROR(AG133/AG131,0)</f>
        <v>1.1989795918367347</v>
      </c>
      <c r="AH134" s="48">
        <f>=IFERROR(AH133/AH131,0)</f>
        <v>1.2244897959183674</v>
      </c>
      <c r="AI134" s="48">
        <f>=IFERROR(AI133/AI131,0)</f>
        <v>1</v>
      </c>
      <c r="AJ134" s="48">
        <f>=IFERROR(AJ133/AJ131,0)</f>
        <v>1.0255102040816326</v>
      </c>
      <c r="AK134" s="48">
        <f>=IFERROR(AK133/AK131,0)</f>
        <v>1.096938775510204</v>
      </c>
      <c r="AL134" s="48">
        <f>=IFERROR(AL133/AL131,0)</f>
        <v>1.0051020408163265</v>
      </c>
      <c r="AM134" s="48">
        <f>=IFERROR(AM133/AM131,0)</f>
        <v>0.9336734693877551</v>
      </c>
      <c r="AN134" s="48">
        <f>=IFERROR(AN133/AN131,0)</f>
        <v>1.010204081632653</v>
      </c>
      <c r="AO134" s="48">
        <f>=IFERROR(AO133/AO131,0)</f>
        <v>0.9336734693877551</v>
      </c>
      <c r="AP134" s="48">
        <f>=IFERROR(AP133/AP131,0)</f>
        <v>0.7704081632653061</v>
      </c>
      <c r="AQ134" s="48">
        <f>=IFERROR(AQ133/AQ131,0)</f>
        <v>0.5510204081632653</v>
      </c>
      <c r="AR134" s="48">
        <f>=IFERROR(AR133/AR131,0)</f>
        <v>0.9846938775510204</v>
      </c>
      <c r="AS134" s="48">
        <f>=IFERROR(AS133/AS131,0)</f>
        <v>0.923469387755102</v>
      </c>
      <c r="AT134" s="48">
        <f>=IFERROR(AT133/AT131,0)</f>
        <v>0.8826530612244898</v>
      </c>
      <c r="AU134" s="48">
        <f>=IFERROR(AU133/AU131,0)</f>
        <v>1.010204081632653</v>
      </c>
      <c r="AV134" s="48">
        <f>=IFERROR(AV133/AV131,0)</f>
        <v>0.8571428571428571</v>
      </c>
      <c r="AW134" s="48">
        <f>=IFERROR(AW133/AW131,0)</f>
        <v>0.8163265306122449</v>
      </c>
      <c r="AX134" s="48">
        <f>=IFERROR(AX133/AX131,0)</f>
        <v>1.010204081632653</v>
      </c>
      <c r="AY134" s="48">
        <f>=IFERROR(AY133/AY131,0)</f>
        <v>0.8979591836734694</v>
      </c>
      <c r="AZ134" s="48">
        <f>=IFERROR(AZ133/AZ131,0)</f>
        <v>0.9693877551020408</v>
      </c>
      <c r="BA134" s="48">
        <f>=IFERROR(BA133/BA131,0)</f>
        <v>0.8010204081632653</v>
      </c>
      <c r="BB134" s="48">
        <f>=IFERROR(BB133/BB131,0)</f>
        <v>0.7653061224489796</v>
      </c>
      <c r="BC134" s="48">
        <f>=IFERROR(BC133/BC131,0)</f>
        <v>0.6326530612244898</v>
      </c>
      <c r="BD134" s="48">
        <f>=IFERROR(BD133/BD131,0)</f>
        <v>0.7704081632653061</v>
      </c>
      <c r="BE134" s="48">
        <f>=IFERROR(BE133/BE131,0)</f>
        <v>0.7142857142857143</v>
      </c>
      <c r="BF134" s="48">
        <f>=IFERROR(BF133/BF131,0)</f>
        <v>0.8367346938775511</v>
      </c>
      <c r="BG134" s="48">
        <f>=IFERROR(BG133/BG131,0)</f>
        <v>0.8112244897959183</v>
      </c>
      <c r="BH134" s="48">
        <f>=IFERROR(BH133/BH131,0)</f>
        <v>0.8163265306122449</v>
      </c>
      <c r="BI134" s="48">
        <f>=IFERROR(BI133/BI131,0)</f>
        <v>0.7653061224489796</v>
      </c>
      <c r="BJ134" s="48">
        <f>=IFERROR(BJ133/BJ131,0)</f>
        <v>0.6683673469387755</v>
      </c>
      <c r="BK134" s="48">
        <f>=IFERROR(BK133/BK131,0)</f>
        <v>0.8112244897959183</v>
      </c>
      <c r="BL134" s="48">
        <f>=IFERROR(BL133/BL131,0)</f>
        <v>1.3303571428571428</v>
      </c>
      <c r="BM134" s="48">
        <f>=IFERROR(BM133/BM131,0)</f>
        <v>1.3392857142857142</v>
      </c>
      <c r="BN134" s="48">
        <f>=IFERROR(BN133/BN131,0)</f>
        <v>1.2053571428571428</v>
      </c>
      <c r="BO134" s="48">
        <f>=IFERROR(BO133/BO131,0)</f>
        <v>1.4285714285714286</v>
      </c>
      <c r="BP134" s="48">
        <f>=IFERROR(BP133/BP131,0)</f>
        <v>0</v>
      </c>
      <c r="BQ134" s="48">
        <f>=IFERROR(BQ133/BQ131,0)</f>
        <v>0</v>
      </c>
      <c r="BR134" s="48">
        <f>=IFERROR(BR133/BR131,0)</f>
        <v>0</v>
      </c>
      <c r="BS134" s="48">
        <f>=IFERROR(BS133/BS131,0)</f>
        <v>0</v>
      </c>
      <c r="BT134" s="48">
        <f>=IFERROR(BT133/BT131,0)</f>
        <v>0</v>
      </c>
      <c r="BU134" s="48">
        <f>=IFERROR(BU133/BU131,0)</f>
        <v>0</v>
      </c>
      <c r="BV134" s="48">
        <f>=IFERROR(BV133/BV131,0)</f>
        <v>0</v>
      </c>
      <c r="BW134" s="48">
        <f>=IFERROR(BW133/BW131,0)</f>
        <v>0</v>
      </c>
      <c r="BX134" s="48">
        <f>=IFERROR(BX133/BX131,0)</f>
        <v>0</v>
      </c>
      <c r="BY134" s="48">
        <f>=IFERROR(BY133/BY131,0)</f>
        <v>0</v>
      </c>
      <c r="BZ134" s="48">
        <f>=IFERROR(BZ133/BZ131,0)</f>
        <v>0</v>
      </c>
      <c r="CA134" s="48">
        <f>=IFERROR(CA133/CA131,0)</f>
        <v>0</v>
      </c>
      <c r="CB134" s="48">
        <f>=IFERROR(CB133/CB131,0)</f>
        <v>0</v>
      </c>
      <c r="CC134" s="48">
        <f>=IFERROR(CC133/CC131,0)</f>
        <v>0</v>
      </c>
      <c r="CD134" s="48">
        <f>=IFERROR(CD133/CD131,0)</f>
        <v>0</v>
      </c>
      <c r="CE134" s="48">
        <f>=IFERROR(CE133/CE131,0)</f>
        <v>0</v>
      </c>
      <c r="CF134" s="48">
        <f>=IFERROR(CF133/CF131,0)</f>
        <v>0</v>
      </c>
      <c r="CG134" s="48">
        <f>=IFERROR(CG133/CG131,0)</f>
        <v>0</v>
      </c>
      <c r="CH134" s="48">
        <f>=IFERROR(CH133/CH131,0)</f>
        <v>0</v>
      </c>
      <c r="CI134" s="48">
        <f>=IFERROR(CI133/CI131,0)</f>
        <v>0</v>
      </c>
      <c r="CJ134" s="48">
        <f>=IFERROR(CJ133/CJ131,0)</f>
        <v>0</v>
      </c>
      <c r="CK134" s="48">
        <f>=IFERROR(CK133/CK131,0)</f>
        <v>0</v>
      </c>
      <c r="CL134" s="48">
        <f>=IFERROR(CL133/CL131,0)</f>
        <v>0</v>
      </c>
      <c r="CM134" s="48">
        <f>=IFERROR(CM133/CM131,0)</f>
        <v>0</v>
      </c>
      <c r="CN134" s="48">
        <f>=IFERROR(CN133/CN131,0)</f>
        <v>0</v>
      </c>
      <c r="CO134" s="48">
        <f>=IFERROR(CO133/CO131,0)</f>
        <v>0</v>
      </c>
      <c r="CP134" s="48">
        <f>=IFERROR(CP133/CP131,0)</f>
        <v>0</v>
      </c>
      <c r="CQ134" s="48">
        <f>=IFERROR(CQ133/CQ131,0)</f>
        <v>0</v>
      </c>
      <c r="CR134" s="48">
        <f>=IFERROR(CR133/CR131,0)</f>
        <v>0</v>
      </c>
      <c r="CS134" s="48">
        <f>=IFERROR(CS133/CS131,0)</f>
        <v>0</v>
      </c>
      <c r="CT134" s="48">
        <f>=IFERROR(CT133/CT131,0)</f>
        <v>0</v>
      </c>
      <c r="CU134" s="48">
        <f>=IFERROR(CU133/CU131,0)</f>
        <v>0</v>
      </c>
      <c r="CV134" s="48">
        <f>=IFERROR(CV133/CV131,0)</f>
        <v>0</v>
      </c>
      <c r="CW134" s="48">
        <f>=IFERROR(CW133/CW131,0)</f>
        <v>0</v>
      </c>
      <c r="CX134" s="48">
        <f>=IFERROR(CX133/CX131,0)</f>
        <v>0</v>
      </c>
      <c r="CY134" s="48">
        <f>=IFERROR(CY133/CY131,0)</f>
        <v>0</v>
      </c>
      <c r="CZ134" s="48">
        <f>=IFERROR(CZ133/CZ131,0)</f>
        <v>0</v>
      </c>
      <c r="DA134" s="48">
        <f>=IFERROR(DA133/DA131,0)</f>
        <v>0</v>
      </c>
      <c r="DB134" s="48">
        <f>=IFERROR(DB133/DB131,0)</f>
        <v>0</v>
      </c>
    </row>
    <row r="135" ht="18" customHeight="1" spans="1:106" x14ac:dyDescent="0.25">
      <c r="A135" s="68" t="s">
        <v>350</v>
      </c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50">
        <v>193</v>
      </c>
      <c r="AD135" s="50">
        <v>194</v>
      </c>
      <c r="AE135" s="50">
        <v>249</v>
      </c>
      <c r="AF135" s="50">
        <v>212</v>
      </c>
      <c r="AG135" s="50">
        <v>210</v>
      </c>
      <c r="AH135" s="50">
        <v>215</v>
      </c>
      <c r="AI135" s="50">
        <v>175</v>
      </c>
      <c r="AJ135" s="50">
        <v>177</v>
      </c>
      <c r="AK135" s="50">
        <v>190</v>
      </c>
      <c r="AL135" s="50">
        <v>176</v>
      </c>
      <c r="AM135" s="50">
        <v>164</v>
      </c>
      <c r="AN135" s="50">
        <v>178</v>
      </c>
      <c r="AO135" s="50">
        <v>164</v>
      </c>
      <c r="AP135" s="50">
        <v>134</v>
      </c>
      <c r="AQ135" s="50">
        <v>93</v>
      </c>
      <c r="AR135" s="50">
        <v>171</v>
      </c>
      <c r="AS135" s="50">
        <v>163</v>
      </c>
      <c r="AT135" s="50">
        <v>153</v>
      </c>
      <c r="AU135" s="50">
        <v>176</v>
      </c>
      <c r="AV135" s="50">
        <v>151</v>
      </c>
      <c r="AW135" s="50">
        <v>138</v>
      </c>
      <c r="AX135" s="50">
        <v>174</v>
      </c>
      <c r="AY135" s="50">
        <v>159</v>
      </c>
      <c r="AZ135" s="50">
        <v>174</v>
      </c>
      <c r="BA135" s="50">
        <v>140</v>
      </c>
      <c r="BB135" s="50">
        <v>134</v>
      </c>
      <c r="BC135" s="50">
        <v>113</v>
      </c>
      <c r="BD135" s="50">
        <v>134</v>
      </c>
      <c r="BE135" s="50">
        <v>124</v>
      </c>
      <c r="BF135" s="50">
        <v>147</v>
      </c>
      <c r="BG135" s="50">
        <v>140</v>
      </c>
      <c r="BH135" s="50">
        <v>142</v>
      </c>
      <c r="BI135" s="50">
        <v>134</v>
      </c>
      <c r="BJ135" s="50">
        <v>116</v>
      </c>
      <c r="BK135" s="50">
        <v>142</v>
      </c>
      <c r="BL135" s="50">
        <v>133</v>
      </c>
      <c r="BM135" s="50">
        <v>133</v>
      </c>
      <c r="BN135" s="69">
        <v>119</v>
      </c>
      <c r="BO135" s="69">
        <v>141</v>
      </c>
      <c r="BP135" s="30"/>
      <c r="BQ135" s="30"/>
      <c r="BR135" s="30"/>
      <c r="BS135" s="30"/>
      <c r="BT135" s="30"/>
      <c r="BU135" s="30"/>
      <c r="BV135" s="30"/>
      <c r="BW135" s="30"/>
      <c r="BX135" s="30"/>
      <c r="BY135" s="30"/>
      <c r="BZ135" s="30"/>
      <c r="CA135" s="30"/>
      <c r="CB135" s="30"/>
      <c r="CC135" s="30"/>
      <c r="CD135" s="30"/>
      <c r="CE135" s="30"/>
      <c r="CF135" s="30"/>
      <c r="CG135" s="30"/>
      <c r="CH135" s="30"/>
      <c r="CI135" s="30"/>
      <c r="CJ135" s="30"/>
      <c r="CK135" s="30"/>
      <c r="CL135" s="30"/>
      <c r="CM135" s="30"/>
      <c r="CN135" s="30"/>
      <c r="CO135" s="30"/>
      <c r="CP135" s="30"/>
      <c r="CQ135" s="30"/>
      <c r="CR135" s="30"/>
      <c r="CS135" s="30"/>
      <c r="CT135" s="30"/>
      <c r="CU135" s="30"/>
      <c r="CV135" s="30"/>
      <c r="CW135" s="30"/>
      <c r="CX135" s="30"/>
      <c r="CY135" s="30"/>
      <c r="CZ135" s="30"/>
      <c r="DA135" s="30"/>
      <c r="DB135" s="30"/>
    </row>
    <row r="136" ht="16" customHeight="1" spans="1:106" x14ac:dyDescent="0.25">
      <c r="A136" s="68" t="s">
        <v>351</v>
      </c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30"/>
      <c r="BD136" s="30"/>
      <c r="BE136" s="30"/>
      <c r="BF136" s="30"/>
      <c r="BG136" s="30"/>
      <c r="BH136" s="30"/>
      <c r="BI136" s="30"/>
      <c r="BJ136" s="30"/>
      <c r="BK136" s="30"/>
      <c r="BL136" s="30"/>
      <c r="BM136" s="30"/>
      <c r="BN136" s="30"/>
      <c r="BO136" s="30"/>
      <c r="BP136" s="30"/>
      <c r="BQ136" s="30"/>
      <c r="BR136" s="30"/>
      <c r="BS136" s="30"/>
      <c r="BT136" s="30"/>
      <c r="BU136" s="30"/>
      <c r="BV136" s="30"/>
      <c r="BW136" s="30"/>
      <c r="BX136" s="30"/>
      <c r="BY136" s="30"/>
      <c r="BZ136" s="30"/>
      <c r="CA136" s="30"/>
      <c r="CB136" s="30"/>
      <c r="CC136" s="30"/>
      <c r="CD136" s="30"/>
      <c r="CE136" s="30"/>
      <c r="CF136" s="30"/>
      <c r="CG136" s="30"/>
      <c r="CH136" s="30"/>
      <c r="CI136" s="30"/>
      <c r="CJ136" s="30"/>
      <c r="CK136" s="30"/>
      <c r="CL136" s="30"/>
      <c r="CM136" s="30"/>
      <c r="CN136" s="30"/>
      <c r="CO136" s="30"/>
      <c r="CP136" s="30"/>
      <c r="CQ136" s="30"/>
      <c r="CR136" s="30"/>
      <c r="CS136" s="30"/>
      <c r="CT136" s="30"/>
      <c r="CU136" s="30"/>
      <c r="CV136" s="30"/>
      <c r="CW136" s="30"/>
      <c r="CX136" s="30"/>
      <c r="CY136" s="30"/>
      <c r="CZ136" s="30"/>
      <c r="DA136" s="30"/>
      <c r="DB136" s="30"/>
    </row>
    <row r="137" ht="18" customHeight="1" spans="1:67" x14ac:dyDescent="0.25">
      <c r="A137" s="72" t="s">
        <v>263</v>
      </c>
      <c r="AC137" s="50">
        <v>45</v>
      </c>
      <c r="AD137" s="50">
        <v>40</v>
      </c>
      <c r="AE137" s="50">
        <v>0</v>
      </c>
      <c r="AF137" s="50">
        <v>40</v>
      </c>
      <c r="AG137" s="50">
        <v>40</v>
      </c>
      <c r="AH137" s="50">
        <v>40</v>
      </c>
      <c r="AI137" s="50">
        <v>40</v>
      </c>
      <c r="AJ137" s="50">
        <v>0</v>
      </c>
      <c r="AK137" s="50">
        <v>24</v>
      </c>
      <c r="AL137" s="50">
        <v>40</v>
      </c>
      <c r="AM137" s="50">
        <v>56</v>
      </c>
      <c r="AN137" s="50">
        <v>40</v>
      </c>
      <c r="AO137" s="50">
        <v>24</v>
      </c>
      <c r="AP137" s="50">
        <v>16</v>
      </c>
      <c r="AQ137" s="50">
        <v>0</v>
      </c>
      <c r="AR137" s="50">
        <v>5</v>
      </c>
      <c r="AS137" s="50">
        <v>24</v>
      </c>
      <c r="AT137" s="50">
        <v>40</v>
      </c>
      <c r="AU137" s="50">
        <v>5</v>
      </c>
      <c r="AV137" s="50">
        <v>32</v>
      </c>
      <c r="AW137" s="50">
        <v>40</v>
      </c>
      <c r="AX137" s="50">
        <v>5</v>
      </c>
      <c r="AY137" s="50">
        <v>32</v>
      </c>
      <c r="AZ137" s="50">
        <v>45</v>
      </c>
      <c r="BA137" s="50">
        <v>40</v>
      </c>
      <c r="BB137" s="50">
        <v>40</v>
      </c>
      <c r="BC137" s="50">
        <v>40</v>
      </c>
      <c r="BD137" s="50">
        <v>0</v>
      </c>
      <c r="BE137" s="50">
        <v>16</v>
      </c>
      <c r="BF137" s="50">
        <v>0</v>
      </c>
      <c r="BG137" s="50">
        <v>0</v>
      </c>
      <c r="BH137" s="50">
        <v>0</v>
      </c>
      <c r="BI137" s="50">
        <v>7</v>
      </c>
      <c r="BJ137" s="50">
        <v>25</v>
      </c>
      <c r="BK137" s="50">
        <v>0</v>
      </c>
      <c r="BL137" s="50">
        <v>0</v>
      </c>
      <c r="BM137" s="50">
        <v>8</v>
      </c>
      <c r="BN137" s="69">
        <v>24</v>
      </c>
      <c r="BO137" s="69">
        <v>0</v>
      </c>
    </row>
    <row r="138" ht="18" customHeight="1" spans="1:67" x14ac:dyDescent="0.25">
      <c r="A138" s="72" t="s">
        <v>264</v>
      </c>
      <c r="AC138" s="50">
        <v>16</v>
      </c>
      <c r="AD138" s="50">
        <v>31</v>
      </c>
      <c r="AE138" s="50">
        <v>0</v>
      </c>
      <c r="AF138" s="50">
        <v>0</v>
      </c>
      <c r="AG138" s="50">
        <v>0</v>
      </c>
      <c r="AH138" s="50">
        <v>1</v>
      </c>
      <c r="AI138" s="50">
        <v>2</v>
      </c>
      <c r="AJ138" s="50">
        <v>8</v>
      </c>
      <c r="AK138" s="50">
        <v>0</v>
      </c>
      <c r="AL138" s="50">
        <v>1</v>
      </c>
      <c r="AM138" s="50">
        <v>0</v>
      </c>
      <c r="AN138" s="50">
        <v>2</v>
      </c>
      <c r="AO138" s="50">
        <v>19</v>
      </c>
      <c r="AP138" s="50">
        <v>1</v>
      </c>
      <c r="AQ138" s="50">
        <v>8</v>
      </c>
      <c r="AR138" s="50">
        <v>3</v>
      </c>
      <c r="AS138" s="50">
        <v>0</v>
      </c>
      <c r="AT138" s="50">
        <v>0</v>
      </c>
      <c r="AU138" s="50">
        <v>1</v>
      </c>
      <c r="AV138" s="50">
        <v>0</v>
      </c>
      <c r="AW138" s="50">
        <v>0</v>
      </c>
      <c r="AX138" s="50">
        <v>0</v>
      </c>
      <c r="AY138" s="50">
        <v>0</v>
      </c>
      <c r="AZ138" s="50">
        <v>0</v>
      </c>
      <c r="BA138" s="50">
        <v>2</v>
      </c>
      <c r="BB138" s="50">
        <v>0</v>
      </c>
      <c r="BC138" s="50">
        <v>0</v>
      </c>
      <c r="BD138" s="50">
        <v>0</v>
      </c>
      <c r="BE138" s="50">
        <v>6</v>
      </c>
      <c r="BF138" s="50">
        <v>4</v>
      </c>
      <c r="BG138" s="50">
        <v>1</v>
      </c>
      <c r="BH138" s="50">
        <v>1</v>
      </c>
      <c r="BI138" s="50">
        <v>0</v>
      </c>
      <c r="BJ138" s="50">
        <v>1</v>
      </c>
      <c r="BK138" s="50">
        <v>0</v>
      </c>
      <c r="BL138" s="50">
        <v>9</v>
      </c>
      <c r="BM138" s="50">
        <v>0</v>
      </c>
      <c r="BN138" s="69">
        <v>0</v>
      </c>
      <c r="BO138" s="69">
        <v>0</v>
      </c>
    </row>
    <row r="139" ht="16" customHeight="1" spans="1:106" x14ac:dyDescent="0.25">
      <c r="A139" s="72" t="s">
        <v>265</v>
      </c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  <c r="BA139" s="30"/>
      <c r="BB139" s="30"/>
      <c r="BC139" s="30"/>
      <c r="BD139" s="30"/>
      <c r="BE139" s="30"/>
      <c r="BF139" s="30"/>
      <c r="BG139" s="30"/>
      <c r="BH139" s="30"/>
      <c r="BI139" s="30"/>
      <c r="BJ139" s="30"/>
      <c r="BK139" s="30"/>
      <c r="BL139" s="30"/>
      <c r="BM139" s="30"/>
      <c r="BN139" s="30"/>
      <c r="BO139" s="30"/>
      <c r="BP139" s="30"/>
      <c r="BQ139" s="30"/>
      <c r="BR139" s="30"/>
      <c r="BS139" s="30"/>
      <c r="BT139" s="30"/>
      <c r="BU139" s="30"/>
      <c r="BV139" s="30"/>
      <c r="BW139" s="30"/>
      <c r="BX139" s="30"/>
      <c r="BY139" s="30"/>
      <c r="BZ139" s="30"/>
      <c r="CA139" s="30"/>
      <c r="CB139" s="30"/>
      <c r="CC139" s="30"/>
      <c r="CD139" s="30"/>
      <c r="CE139" s="30"/>
      <c r="CF139" s="30"/>
      <c r="CG139" s="30"/>
      <c r="CH139" s="30"/>
      <c r="CI139" s="30"/>
      <c r="CJ139" s="30"/>
      <c r="CK139" s="30"/>
      <c r="CL139" s="30"/>
      <c r="CM139" s="30"/>
      <c r="CN139" s="30"/>
      <c r="CO139" s="30"/>
      <c r="CP139" s="30"/>
      <c r="CQ139" s="30"/>
      <c r="CR139" s="30"/>
      <c r="CS139" s="30"/>
      <c r="CT139" s="30"/>
      <c r="CU139" s="30"/>
      <c r="CV139" s="30"/>
      <c r="CW139" s="30"/>
      <c r="CX139" s="30"/>
      <c r="CY139" s="30"/>
      <c r="CZ139" s="30"/>
      <c r="DA139" s="30"/>
      <c r="DB139" s="30"/>
    </row>
    <row r="140" ht="16" customHeight="1" spans="1:106" x14ac:dyDescent="0.25">
      <c r="A140" s="72" t="s">
        <v>266</v>
      </c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  <c r="BA140" s="30"/>
      <c r="BB140" s="30"/>
      <c r="BC140" s="30"/>
      <c r="BD140" s="30"/>
      <c r="BE140" s="30"/>
      <c r="BF140" s="30"/>
      <c r="BG140" s="30"/>
      <c r="BH140" s="30"/>
      <c r="BI140" s="30"/>
      <c r="BJ140" s="30"/>
      <c r="BK140" s="30"/>
      <c r="BL140" s="30"/>
      <c r="BM140" s="30"/>
      <c r="BN140" s="30"/>
      <c r="BO140" s="30"/>
      <c r="BP140" s="30"/>
      <c r="BQ140" s="30"/>
      <c r="BR140" s="30"/>
      <c r="BS140" s="30"/>
      <c r="BT140" s="30"/>
      <c r="BU140" s="30"/>
      <c r="BV140" s="30"/>
      <c r="BW140" s="30"/>
      <c r="BX140" s="30"/>
      <c r="BY140" s="30"/>
      <c r="BZ140" s="30"/>
      <c r="CA140" s="30"/>
      <c r="CB140" s="30"/>
      <c r="CC140" s="30"/>
      <c r="CD140" s="30"/>
      <c r="CE140" s="30"/>
      <c r="CF140" s="30"/>
      <c r="CG140" s="30"/>
      <c r="CH140" s="30"/>
      <c r="CI140" s="30"/>
      <c r="CJ140" s="30"/>
      <c r="CK140" s="30"/>
      <c r="CL140" s="30"/>
      <c r="CM140" s="30"/>
      <c r="CN140" s="30"/>
      <c r="CO140" s="30"/>
      <c r="CP140" s="30"/>
      <c r="CQ140" s="30"/>
      <c r="CR140" s="30"/>
      <c r="CS140" s="30"/>
      <c r="CT140" s="30"/>
      <c r="CU140" s="30"/>
      <c r="CV140" s="30"/>
      <c r="CW140" s="30"/>
      <c r="CX140" s="30"/>
      <c r="CY140" s="30"/>
      <c r="CZ140" s="30"/>
      <c r="DA140" s="30"/>
      <c r="DB140" s="30"/>
    </row>
    <row r="141" ht="16" customHeight="1" spans="1:106" x14ac:dyDescent="0.25">
      <c r="A141" s="68" t="s">
        <v>352</v>
      </c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  <c r="BA141" s="30"/>
      <c r="BB141" s="30"/>
      <c r="BC141" s="30"/>
      <c r="BD141" s="30"/>
      <c r="BE141" s="30"/>
      <c r="BF141" s="30"/>
      <c r="BG141" s="30"/>
      <c r="BH141" s="30"/>
      <c r="BI141" s="30"/>
      <c r="BJ141" s="30"/>
      <c r="BK141" s="30"/>
      <c r="BL141" s="30"/>
      <c r="BM141" s="30"/>
      <c r="BN141" s="30"/>
      <c r="BO141" s="30"/>
      <c r="BP141" s="30"/>
      <c r="BQ141" s="30"/>
      <c r="BR141" s="30"/>
      <c r="BS141" s="30"/>
      <c r="BT141" s="30"/>
      <c r="BU141" s="30"/>
      <c r="BV141" s="30"/>
      <c r="BW141" s="30"/>
      <c r="BX141" s="30"/>
      <c r="BY141" s="30"/>
      <c r="BZ141" s="30"/>
      <c r="CA141" s="30"/>
      <c r="CB141" s="30"/>
      <c r="CC141" s="30"/>
      <c r="CD141" s="30"/>
      <c r="CE141" s="30"/>
      <c r="CF141" s="30"/>
      <c r="CG141" s="30"/>
      <c r="CH141" s="30"/>
      <c r="CI141" s="30"/>
      <c r="CJ141" s="30"/>
      <c r="CK141" s="30"/>
      <c r="CL141" s="30"/>
      <c r="CM141" s="30"/>
      <c r="CN141" s="30"/>
      <c r="CO141" s="30"/>
      <c r="CP141" s="30"/>
      <c r="CQ141" s="30"/>
      <c r="CR141" s="30"/>
      <c r="CS141" s="30"/>
      <c r="CT141" s="30"/>
      <c r="CU141" s="30"/>
      <c r="CV141" s="30"/>
      <c r="CW141" s="30"/>
      <c r="CX141" s="30"/>
      <c r="CY141" s="30"/>
      <c r="CZ141" s="30"/>
      <c r="DA141" s="30"/>
      <c r="DB141" s="30"/>
    </row>
    <row r="142" ht="18" customHeight="1" spans="1:106" x14ac:dyDescent="0.25">
      <c r="A142" s="36" t="s">
        <v>268</v>
      </c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  <c r="BA142" s="30"/>
      <c r="BB142" s="30"/>
      <c r="BC142" s="30"/>
      <c r="BD142" s="30"/>
      <c r="BE142" s="30"/>
      <c r="BF142" s="30"/>
      <c r="BG142" s="30"/>
      <c r="BH142" s="30"/>
      <c r="BI142" s="30"/>
      <c r="BJ142" s="30"/>
      <c r="BK142" s="30"/>
      <c r="BL142" s="30"/>
      <c r="BM142" s="30"/>
      <c r="BN142" s="30"/>
      <c r="BO142" s="30"/>
      <c r="BP142" s="30"/>
      <c r="BQ142" s="30"/>
      <c r="BR142" s="30"/>
      <c r="BS142" s="30"/>
      <c r="BT142" s="30"/>
      <c r="BU142" s="30"/>
      <c r="BV142" s="30"/>
      <c r="BW142" s="30"/>
      <c r="BX142" s="30"/>
      <c r="BY142" s="30"/>
      <c r="BZ142" s="30"/>
      <c r="CA142" s="30"/>
      <c r="CB142" s="30"/>
      <c r="CC142" s="30"/>
      <c r="CD142" s="30"/>
      <c r="CE142" s="30"/>
      <c r="CF142" s="30"/>
      <c r="CG142" s="30"/>
      <c r="CH142" s="30"/>
      <c r="CI142" s="30"/>
      <c r="CJ142" s="30"/>
      <c r="CK142" s="30"/>
      <c r="CL142" s="30"/>
      <c r="CM142" s="30"/>
      <c r="CN142" s="30"/>
      <c r="CO142" s="30"/>
      <c r="CP142" s="30"/>
      <c r="CQ142" s="30"/>
      <c r="CR142" s="30"/>
      <c r="CS142" s="30"/>
      <c r="CT142" s="30"/>
      <c r="CU142" s="30"/>
      <c r="CV142" s="30"/>
      <c r="CW142" s="30"/>
      <c r="CX142" s="30"/>
      <c r="CY142" s="30"/>
      <c r="CZ142" s="30"/>
      <c r="DA142" s="30"/>
      <c r="DB142" s="30"/>
    </row>
    <row r="143" ht="18" customHeight="1" spans="1:106" x14ac:dyDescent="0.25">
      <c r="A143" s="36" t="s">
        <v>269</v>
      </c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  <c r="AX143" s="30"/>
      <c r="AY143" s="30"/>
      <c r="AZ143" s="30"/>
      <c r="BA143" s="30"/>
      <c r="BB143" s="30"/>
      <c r="BC143" s="30"/>
      <c r="BD143" s="30"/>
      <c r="BE143" s="30"/>
      <c r="BF143" s="30"/>
      <c r="BG143" s="30"/>
      <c r="BH143" s="30"/>
      <c r="BI143" s="30"/>
      <c r="BJ143" s="30"/>
      <c r="BK143" s="30"/>
      <c r="BL143" s="30"/>
      <c r="BM143" s="30"/>
      <c r="BN143" s="30"/>
      <c r="BO143" s="30"/>
      <c r="BP143" s="30"/>
      <c r="BQ143" s="30"/>
      <c r="BR143" s="30"/>
      <c r="BS143" s="30"/>
      <c r="BT143" s="30"/>
      <c r="BU143" s="30"/>
      <c r="BV143" s="30"/>
      <c r="BW143" s="30"/>
      <c r="BX143" s="30"/>
      <c r="BY143" s="30"/>
      <c r="BZ143" s="30"/>
      <c r="CA143" s="30"/>
      <c r="CB143" s="30"/>
      <c r="CC143" s="30"/>
      <c r="CD143" s="30"/>
      <c r="CE143" s="30"/>
      <c r="CF143" s="30"/>
      <c r="CG143" s="30"/>
      <c r="CH143" s="30"/>
      <c r="CI143" s="30"/>
      <c r="CJ143" s="30"/>
      <c r="CK143" s="30"/>
      <c r="CL143" s="30"/>
      <c r="CM143" s="30"/>
      <c r="CN143" s="30"/>
      <c r="CO143" s="30"/>
      <c r="CP143" s="30"/>
      <c r="CQ143" s="30"/>
      <c r="CR143" s="30"/>
      <c r="CS143" s="30"/>
      <c r="CT143" s="30"/>
      <c r="CU143" s="30"/>
      <c r="CV143" s="30"/>
      <c r="CW143" s="30"/>
      <c r="CX143" s="30"/>
      <c r="CY143" s="30"/>
      <c r="CZ143" s="30"/>
      <c r="DA143" s="30"/>
      <c r="DB143" s="30"/>
    </row>
    <row r="144" ht="18" customHeight="1" spans="1:1" x14ac:dyDescent="0.25">
      <c r="A144" s="36" t="s">
        <v>288</v>
      </c>
    </row>
    <row r="145" ht="18" customHeight="1" spans="1:1" x14ac:dyDescent="0.25">
      <c r="A145" s="36" t="s">
        <v>272</v>
      </c>
    </row>
    <row r="146" ht="18" customHeight="1" spans="1:106" x14ac:dyDescent="0.25">
      <c r="A146" s="36" t="s">
        <v>289</v>
      </c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  <c r="BD146" s="30"/>
      <c r="BE146" s="30"/>
      <c r="BF146" s="30"/>
      <c r="BG146" s="30"/>
      <c r="BH146" s="30"/>
      <c r="BI146" s="30"/>
      <c r="BJ146" s="30"/>
      <c r="BK146" s="30"/>
      <c r="BL146" s="30"/>
      <c r="BM146" s="30"/>
      <c r="BN146" s="30"/>
      <c r="BO146" s="30"/>
      <c r="BP146" s="30"/>
      <c r="BQ146" s="30"/>
      <c r="BR146" s="30"/>
      <c r="BS146" s="30"/>
      <c r="BT146" s="30"/>
      <c r="BU146" s="30"/>
      <c r="BV146" s="30"/>
      <c r="BW146" s="30"/>
      <c r="BX146" s="30"/>
      <c r="BY146" s="30"/>
      <c r="BZ146" s="30"/>
      <c r="CA146" s="30"/>
      <c r="CB146" s="30"/>
      <c r="CC146" s="30"/>
      <c r="CD146" s="30"/>
      <c r="CE146" s="30"/>
      <c r="CF146" s="30"/>
      <c r="CG146" s="30"/>
      <c r="CH146" s="30"/>
      <c r="CI146" s="30"/>
      <c r="CJ146" s="30"/>
      <c r="CK146" s="30"/>
      <c r="CL146" s="30"/>
      <c r="CM146" s="30"/>
      <c r="CN146" s="30"/>
      <c r="CO146" s="30"/>
      <c r="CP146" s="30"/>
      <c r="CQ146" s="30"/>
      <c r="CR146" s="30"/>
      <c r="CS146" s="30"/>
      <c r="CT146" s="30"/>
      <c r="CU146" s="30"/>
      <c r="CV146" s="30"/>
      <c r="CW146" s="30"/>
      <c r="CX146" s="30"/>
      <c r="CY146" s="30"/>
      <c r="CZ146" s="30"/>
      <c r="DA146" s="30"/>
      <c r="DB146" s="30"/>
    </row>
    <row r="147" ht="18" customHeight="1" spans="1:106" x14ac:dyDescent="0.25">
      <c r="A147" s="36" t="s">
        <v>266</v>
      </c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30"/>
      <c r="BI147" s="30"/>
      <c r="BJ147" s="30"/>
      <c r="BK147" s="30"/>
      <c r="BL147" s="30"/>
      <c r="BM147" s="30"/>
      <c r="BN147" s="30"/>
      <c r="BO147" s="30"/>
      <c r="BP147" s="30"/>
      <c r="BQ147" s="30"/>
      <c r="BR147" s="30"/>
      <c r="BS147" s="30"/>
      <c r="BT147" s="30"/>
      <c r="BU147" s="30"/>
      <c r="BV147" s="30"/>
      <c r="BW147" s="30"/>
      <c r="BX147" s="30"/>
      <c r="BY147" s="30"/>
      <c r="BZ147" s="30"/>
      <c r="CA147" s="30"/>
      <c r="CB147" s="30"/>
      <c r="CC147" s="30"/>
      <c r="CD147" s="30"/>
      <c r="CE147" s="30"/>
      <c r="CF147" s="30"/>
      <c r="CG147" s="30"/>
      <c r="CH147" s="30"/>
      <c r="CI147" s="30"/>
      <c r="CJ147" s="30"/>
      <c r="CK147" s="30"/>
      <c r="CL147" s="30"/>
      <c r="CM147" s="30"/>
      <c r="CN147" s="30"/>
      <c r="CO147" s="30"/>
      <c r="CP147" s="30"/>
      <c r="CQ147" s="30"/>
      <c r="CR147" s="30"/>
      <c r="CS147" s="30"/>
      <c r="CT147" s="30"/>
      <c r="CU147" s="30"/>
      <c r="CV147" s="30"/>
      <c r="CW147" s="30"/>
      <c r="CX147" s="30"/>
      <c r="CY147" s="30"/>
      <c r="CZ147" s="30"/>
      <c r="DA147" s="30"/>
      <c r="DB147" s="30"/>
    </row>
    <row r="148" spans="3:106" x14ac:dyDescent="0.25"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  <c r="AU148" s="30"/>
      <c r="AV148" s="30"/>
      <c r="AW148" s="30"/>
      <c r="AX148" s="30"/>
      <c r="AY148" s="30"/>
      <c r="AZ148" s="30"/>
      <c r="BA148" s="30"/>
      <c r="BB148" s="30"/>
      <c r="BC148" s="30"/>
      <c r="BD148" s="30"/>
      <c r="BE148" s="30"/>
      <c r="BF148" s="30"/>
      <c r="BG148" s="30"/>
      <c r="BH148" s="30"/>
      <c r="BI148" s="30"/>
      <c r="BJ148" s="30"/>
      <c r="BK148" s="30"/>
      <c r="BL148" s="30"/>
      <c r="BM148" s="30"/>
      <c r="BN148" s="30"/>
      <c r="BO148" s="30"/>
      <c r="BP148" s="30"/>
      <c r="BQ148" s="30"/>
      <c r="BR148" s="30"/>
      <c r="BS148" s="30"/>
      <c r="BT148" s="30"/>
      <c r="BU148" s="30"/>
      <c r="BV148" s="30"/>
      <c r="BW148" s="30"/>
      <c r="BX148" s="30"/>
      <c r="BY148" s="30"/>
      <c r="BZ148" s="30"/>
      <c r="CA148" s="30"/>
      <c r="CB148" s="30"/>
      <c r="CC148" s="30"/>
      <c r="CD148" s="30"/>
      <c r="CE148" s="30"/>
      <c r="CF148" s="30"/>
      <c r="CG148" s="30"/>
      <c r="CH148" s="30"/>
      <c r="CI148" s="30"/>
      <c r="CJ148" s="30"/>
      <c r="CK148" s="30"/>
      <c r="CL148" s="30"/>
      <c r="CM148" s="30"/>
      <c r="CN148" s="30"/>
      <c r="CO148" s="30"/>
      <c r="CP148" s="30"/>
      <c r="CQ148" s="30"/>
      <c r="CR148" s="30"/>
      <c r="CS148" s="30"/>
      <c r="CT148" s="30"/>
      <c r="CU148" s="30"/>
      <c r="CV148" s="30"/>
      <c r="CW148" s="30"/>
      <c r="CX148" s="30"/>
      <c r="CY148" s="30"/>
      <c r="CZ148" s="30"/>
      <c r="DA148" s="30"/>
      <c r="DB148" s="30"/>
    </row>
    <row r="149" spans="1:106" x14ac:dyDescent="0.25">
      <c r="A149" s="9" t="s">
        <v>353</v>
      </c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0"/>
      <c r="AV149" s="30"/>
      <c r="AW149" s="30"/>
      <c r="AX149" s="30"/>
      <c r="AY149" s="30"/>
      <c r="AZ149" s="30"/>
      <c r="BA149" s="30"/>
      <c r="BB149" s="30"/>
      <c r="BC149" s="30"/>
      <c r="BD149" s="30"/>
      <c r="BE149" s="30"/>
      <c r="BF149" s="30"/>
      <c r="BG149" s="30"/>
      <c r="BH149" s="30"/>
      <c r="BI149" s="30"/>
      <c r="BJ149" s="30"/>
      <c r="BK149" s="30"/>
      <c r="BL149" s="30"/>
      <c r="BM149" s="30"/>
      <c r="BN149" s="30"/>
      <c r="BO149" s="30"/>
      <c r="BP149" s="30"/>
      <c r="BQ149" s="30"/>
      <c r="BR149" s="30"/>
      <c r="BS149" s="30"/>
      <c r="BT149" s="30"/>
      <c r="BU149" s="30"/>
      <c r="BV149" s="30"/>
      <c r="BW149" s="30"/>
      <c r="BX149" s="30"/>
      <c r="BY149" s="30"/>
      <c r="BZ149" s="30"/>
      <c r="CA149" s="30"/>
      <c r="CB149" s="30"/>
      <c r="CC149" s="30"/>
      <c r="CD149" s="30"/>
      <c r="CE149" s="30"/>
      <c r="CF149" s="30"/>
      <c r="CG149" s="30"/>
      <c r="CH149" s="30"/>
      <c r="CI149" s="30"/>
      <c r="CJ149" s="30"/>
      <c r="CK149" s="30"/>
      <c r="CL149" s="30"/>
      <c r="CM149" s="30"/>
      <c r="CN149" s="30"/>
      <c r="CO149" s="30"/>
      <c r="CP149" s="30"/>
      <c r="CQ149" s="30"/>
      <c r="CR149" s="30"/>
      <c r="CS149" s="30"/>
      <c r="CT149" s="30"/>
      <c r="CU149" s="30"/>
      <c r="CV149" s="30"/>
      <c r="CW149" s="30"/>
      <c r="CX149" s="30"/>
      <c r="CY149" s="30"/>
      <c r="CZ149" s="30"/>
      <c r="DA149" s="30"/>
      <c r="DB149" s="30"/>
    </row>
    <row r="150" ht="14" customHeight="1" spans="1:106" x14ac:dyDescent="0.25">
      <c r="A150" s="33" t="s">
        <v>354</v>
      </c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  <c r="AX150" s="30"/>
      <c r="AY150" s="30"/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  <c r="BN150" s="30"/>
      <c r="BO150" s="30"/>
      <c r="BP150" s="30"/>
      <c r="BQ150" s="30"/>
      <c r="BR150" s="30"/>
      <c r="BS150" s="30"/>
      <c r="BT150" s="30"/>
      <c r="BU150" s="30"/>
      <c r="BV150" s="30"/>
      <c r="BW150" s="30"/>
      <c r="BX150" s="30"/>
      <c r="BY150" s="30"/>
      <c r="BZ150" s="30"/>
      <c r="CA150" s="30"/>
      <c r="CB150" s="30"/>
      <c r="CC150" s="30"/>
      <c r="CD150" s="30"/>
      <c r="CE150" s="30"/>
      <c r="CF150" s="30"/>
      <c r="CG150" s="30"/>
      <c r="CH150" s="30"/>
      <c r="CI150" s="30"/>
      <c r="CJ150" s="30"/>
      <c r="CK150" s="30"/>
      <c r="CL150" s="30"/>
      <c r="CM150" s="30"/>
      <c r="CN150" s="30"/>
      <c r="CO150" s="30"/>
      <c r="CP150" s="30"/>
      <c r="CQ150" s="30"/>
      <c r="CR150" s="30"/>
      <c r="CS150" s="30"/>
      <c r="CT150" s="30"/>
      <c r="CU150" s="30"/>
      <c r="CV150" s="30"/>
      <c r="CW150" s="30"/>
      <c r="CX150" s="30"/>
      <c r="CY150" s="30"/>
      <c r="CZ150" s="30"/>
      <c r="DA150" s="30"/>
      <c r="DB150" s="30"/>
    </row>
    <row r="151" spans="1:106" x14ac:dyDescent="0.25">
      <c r="A151" s="17" t="s">
        <v>355</v>
      </c>
      <c r="B151" s="17">
        <v>15</v>
      </c>
      <c r="C151" s="46">
        <f>=IFERROR(ROUND((C19+C23)/$B151,0),0)</f>
        <v>0</v>
      </c>
      <c r="D151" s="46">
        <f>=IFERROR(ROUND((D19+D23)/$B151,0),0)</f>
        <v>0</v>
      </c>
      <c r="E151" s="46">
        <f>=IFERROR(ROUND((E19+E23)/$B151,0),0)</f>
        <v>0</v>
      </c>
      <c r="F151" s="46">
        <f>=IFERROR(ROUND((F19+F23)/$B151,0),0)</f>
        <v>0</v>
      </c>
      <c r="G151" s="46">
        <f>=IFERROR(ROUND((G19+G23)/$B151,0),0)</f>
        <v>0</v>
      </c>
      <c r="H151" s="46">
        <f>=IFERROR(ROUND((H19+H23)/$B151,0),0)</f>
        <v>0</v>
      </c>
      <c r="I151" s="46">
        <f>=IFERROR(ROUND((I19+I23)/$B151,0),0)</f>
        <v>0</v>
      </c>
      <c r="J151" s="46">
        <f>=IFERROR(ROUND((J19+J23)/$B151,0),0)</f>
        <v>0</v>
      </c>
      <c r="K151" s="46">
        <f>=IFERROR(ROUND((K19+K23)/$B151,0),0)</f>
        <v>0</v>
      </c>
      <c r="L151" s="46">
        <f>=IFERROR(ROUND((L19+L23)/$B151,0),0)</f>
        <v>0</v>
      </c>
      <c r="M151" s="46">
        <f>=IFERROR(ROUND((M19+M23)/$B151,0),0)</f>
        <v>0</v>
      </c>
      <c r="N151" s="46">
        <f>=IFERROR(ROUND((N19+N23)/$B151,0),0)</f>
        <v>0</v>
      </c>
      <c r="O151" s="46">
        <f>=IFERROR(ROUND((O19+O23)/$B151,0),0)</f>
        <v>0</v>
      </c>
      <c r="P151" s="46">
        <f>=IFERROR(ROUND((P19+P23)/$B151,0),0)</f>
        <v>0</v>
      </c>
      <c r="Q151" s="46">
        <f>=IFERROR(ROUND((Q19+Q23)/$B151,0),0)</f>
        <v>0</v>
      </c>
      <c r="R151" s="46">
        <f>=IFERROR(ROUND((R19+R23)/$B151,0),0)</f>
        <v>0</v>
      </c>
      <c r="S151" s="46">
        <f>=IFERROR(ROUND((S19+S23)/$B151,0),0)</f>
        <v>0</v>
      </c>
      <c r="T151" s="46">
        <f>=IFERROR(ROUND((T19+T23)/$B151,0),0)</f>
        <v>0</v>
      </c>
      <c r="U151" s="46">
        <f>=IFERROR(ROUND((U19+U23)/$B151,0),0)</f>
        <v>0</v>
      </c>
      <c r="V151" s="46">
        <f>=IFERROR(ROUND((V19+V23)/$B151,0),0)</f>
        <v>0</v>
      </c>
      <c r="W151" s="46">
        <f>=IFERROR(ROUND((W19+W23)/$B151,0),0)</f>
        <v>0</v>
      </c>
      <c r="X151" s="46">
        <f>=IFERROR(ROUND((X19+X23)/$B151,0),0)</f>
        <v>0</v>
      </c>
      <c r="Y151" s="46">
        <f>=IFERROR(ROUND((Y19+Y23)/$B151,0),0)</f>
        <v>0</v>
      </c>
      <c r="Z151" s="46">
        <f>=IFERROR(ROUND((Z19+Z23)/$B151,0),0)</f>
        <v>0</v>
      </c>
      <c r="AA151" s="46">
        <f>=IFERROR(ROUND((AA19+AA23)/$B151,0),0)</f>
        <v>0</v>
      </c>
      <c r="AB151" s="46">
        <f>=IFERROR(ROUND((AB19+AB23)/$B151,0),0)</f>
        <v>0</v>
      </c>
      <c r="AC151" s="46">
        <f>=IFERROR(ROUND((AC19+AC23)/$B151,0),0)</f>
        <v>0</v>
      </c>
      <c r="AD151" s="46">
        <f>=IFERROR(ROUND((AD19+AD23)/$B151,0),0)</f>
        <v>0</v>
      </c>
      <c r="AE151" s="46">
        <f>=IFERROR(ROUND((AE19+AE23)/$B151,0),0)</f>
        <v>0</v>
      </c>
      <c r="AF151" s="46">
        <f>=IFERROR(ROUND((AF19+AF23)/$B151,0),0)</f>
        <v>0</v>
      </c>
      <c r="AG151" s="46">
        <f>=IFERROR(ROUND((AG19+AG23)/$B151,0),0)</f>
        <v>0</v>
      </c>
      <c r="AH151" s="46">
        <f>=IFERROR(ROUND((AH19+AH23)/$B151,0),0)</f>
        <v>0</v>
      </c>
      <c r="AI151" s="46">
        <f>=IFERROR(ROUND((AI19+AI23)/$B151,0),0)</f>
        <v>0</v>
      </c>
      <c r="AJ151" s="46">
        <f>=IFERROR(ROUND((AJ19+AJ23)/$B151,0),0)</f>
        <v>0</v>
      </c>
      <c r="AK151" s="46">
        <f>=IFERROR(ROUND((AK19+AK23)/$B151,0),0)</f>
        <v>0</v>
      </c>
      <c r="AL151" s="46">
        <f>=IFERROR(ROUND((AL19+AL23)/$B151,0),0)</f>
        <v>0</v>
      </c>
      <c r="AM151" s="46">
        <f>=IFERROR(ROUND((AM19+AM23)/$B151,0),0)</f>
        <v>0</v>
      </c>
      <c r="AN151" s="46">
        <f>=IFERROR(ROUND((AN19+AN23)/$B151,0),0)</f>
        <v>0</v>
      </c>
      <c r="AO151" s="46">
        <f>=IFERROR(ROUND((AO19+AO23)/$B151,0),0)</f>
        <v>0</v>
      </c>
      <c r="AP151" s="46">
        <f>=IFERROR(ROUND((AP19+AP23)/$B151,0),0)</f>
        <v>0</v>
      </c>
      <c r="AQ151" s="46">
        <f>=IFERROR(ROUND((AQ19+AQ23)/$B151,0),0)</f>
        <v>0</v>
      </c>
      <c r="AR151" s="46">
        <f>=IFERROR(ROUND((AR19+AR23)/$B151,0),0)</f>
        <v>0</v>
      </c>
      <c r="AS151" s="46">
        <f>=IFERROR(ROUND((AS19+AS23)/$B151,0),0)</f>
        <v>0</v>
      </c>
      <c r="AT151" s="46">
        <f>=IFERROR(ROUND((AT19+AT23)/$B151,0),0)</f>
        <v>0</v>
      </c>
      <c r="AU151" s="46">
        <f>=IFERROR(ROUND((AU19+AU23)/$B151,0),0)</f>
        <v>0</v>
      </c>
      <c r="AV151" s="46">
        <f>=IFERROR(ROUND((AV19+AV23)/$B151,0),0)</f>
        <v>0</v>
      </c>
      <c r="AW151" s="46">
        <f>=IFERROR(ROUND((AW19+AW23)/$B151,0),0)</f>
        <v>0</v>
      </c>
      <c r="AX151" s="46">
        <f>=IFERROR(ROUND((AX19+AX23)/$B151,0),0)</f>
        <v>0</v>
      </c>
      <c r="AY151" s="46">
        <f>=IFERROR(ROUND((AY19+AY23)/$B151,0),0)</f>
        <v>0</v>
      </c>
      <c r="AZ151" s="46">
        <f>=IFERROR(ROUND((AZ19+AZ23)/$B151,0),0)</f>
        <v>0</v>
      </c>
      <c r="BA151" s="46">
        <f>=IFERROR(ROUND((BA19+BA23)/$B151,0),0)</f>
        <v>0</v>
      </c>
      <c r="BB151" s="46">
        <f>=IFERROR(ROUND((BB19+BB23)/$B151,0),0)</f>
        <v>0</v>
      </c>
      <c r="BC151" s="46">
        <f>=IFERROR(ROUND((BC19+BC23)/$B151,0),0)</f>
        <v>0</v>
      </c>
      <c r="BD151" s="73">
        <f>=IFERROR(ROUND((BD19+BD23)/$B151,0),0)</f>
        <v>0</v>
      </c>
      <c r="BE151" s="46">
        <f>=IFERROR(ROUND((BE19+BE23)/$B151,0),0)</f>
        <v>0</v>
      </c>
      <c r="BF151" s="46">
        <f>=IFERROR(ROUND((BF19+BF23)/$B151,0),0)</f>
        <v>0</v>
      </c>
      <c r="BG151" s="46">
        <f>=IFERROR(ROUND((BG19+BG23)/$B151,0),0)</f>
        <v>0</v>
      </c>
      <c r="BH151" s="46">
        <f>=IFERROR(ROUND((BH19+BH23)/$B151,0),0)</f>
        <v>0</v>
      </c>
      <c r="BI151" s="46">
        <f>=IFERROR(ROUND((BI19+BI23)/$B151,0),0)</f>
        <v>0</v>
      </c>
      <c r="BJ151" s="46">
        <f>=IFERROR(ROUND((BJ19+BJ23)/$B151,0),0)</f>
        <v>0</v>
      </c>
      <c r="BK151" s="46">
        <f>=IFERROR(ROUND((BK19+BK23)/$B151,0),0)</f>
        <v>0</v>
      </c>
      <c r="BL151" s="73">
        <f>=IFERROR(ROUND((BL19+BL23)/$B151,0),0)</f>
        <v>0</v>
      </c>
      <c r="BM151" s="46">
        <f>=IFERROR(ROUND((BM19+BM23)/$B151,0),0)</f>
        <v>0</v>
      </c>
      <c r="BN151" s="46">
        <f>=IFERROR(ROUND((BN19+BN23)/$B151,0),0)</f>
        <v>0</v>
      </c>
      <c r="BO151" s="46">
        <f>=IFERROR(ROUND((BO19+BO23)/$B151,0),0)</f>
        <v>0</v>
      </c>
      <c r="BP151" s="46">
        <f>=IFERROR(ROUND((BP19+BP23)/$B151,0),0)</f>
        <v>0</v>
      </c>
      <c r="BQ151" s="46">
        <f>=IFERROR(ROUND((BQ19+BQ23)/$B151,0),0)</f>
        <v>0</v>
      </c>
      <c r="BR151" s="46">
        <f>=IFERROR(ROUND((BR19+BR23)/$B151,0),0)</f>
        <v>0</v>
      </c>
      <c r="BS151" s="46">
        <f>=IFERROR(ROUND((BS19+BS23)/$B151,0),0)</f>
        <v>0</v>
      </c>
      <c r="BT151" s="46">
        <f>=IFERROR(ROUND((BT19+BT23)/$B151,0),0)</f>
        <v>0</v>
      </c>
      <c r="BU151" s="46">
        <f>=IFERROR(ROUND((BU19+BU23)/$B151,0),0)</f>
        <v>0</v>
      </c>
      <c r="BV151" s="46">
        <f>=IFERROR(ROUND((BV19+BV23)/$B151,0),0)</f>
        <v>0</v>
      </c>
      <c r="BW151" s="46">
        <f>=IFERROR(ROUND((BW19+BW23)/$B151,0),0)</f>
        <v>0</v>
      </c>
      <c r="BX151" s="46">
        <f>=IFERROR(ROUND((BX19+BX23)/$B151,0),0)</f>
        <v>0</v>
      </c>
      <c r="BY151" s="73">
        <f>=IFERROR(ROUND((BY19+BY23)/$B151,0),0)</f>
        <v>0</v>
      </c>
      <c r="BZ151" s="46">
        <f>=IFERROR(ROUND((BZ19+BZ23)/$B151,0),0)</f>
        <v>0</v>
      </c>
      <c r="CA151" s="46">
        <f>=IFERROR(ROUND((CA19+CA23)/$B151,0),0)</f>
        <v>0</v>
      </c>
      <c r="CB151" s="46">
        <f>=IFERROR(ROUND((CB19+CB23)/$B151,0),0)</f>
        <v>0</v>
      </c>
      <c r="CC151" s="46">
        <f>=IFERROR(ROUND((CC19+CC23)/$B151,0),0)</f>
        <v>0</v>
      </c>
      <c r="CD151" s="46">
        <f>=IFERROR(ROUND((CD19+CD23)/$B151,0),0)</f>
        <v>0</v>
      </c>
      <c r="CE151" s="46">
        <f>=IFERROR(ROUND((CE19+CE23)/$B151,0),0)</f>
        <v>0</v>
      </c>
      <c r="CF151" s="46">
        <f>=IFERROR(ROUND((CF19+CF23)/$B151,0),0)</f>
        <v>0</v>
      </c>
      <c r="CG151" s="46">
        <f>=IFERROR(ROUND((CG19+CG23)/$B151,0),0)</f>
        <v>0</v>
      </c>
      <c r="CH151" s="46">
        <f>=IFERROR(ROUND((CH19+CH23)/$B151,0),0)</f>
        <v>0</v>
      </c>
      <c r="CI151" s="46">
        <f>=IFERROR(ROUND((CI19+CI23)/$B151,0),0)</f>
        <v>0</v>
      </c>
      <c r="CJ151" s="46">
        <f>=IFERROR(ROUND((CJ19+CJ23)/$B151,0),0)</f>
        <v>0</v>
      </c>
      <c r="CK151" s="46">
        <f>=IFERROR(ROUND((CK19+CK23)/$B151,0),0)</f>
        <v>0</v>
      </c>
      <c r="CL151" s="46">
        <f>=IFERROR(ROUND((CL19+CL23)/$B151,0),0)</f>
        <v>0</v>
      </c>
      <c r="CM151" s="46">
        <f>=IFERROR(ROUND((CM19+CM23)/$B151,0),0)</f>
        <v>0</v>
      </c>
      <c r="CN151" s="46">
        <f>=IFERROR(ROUND((CN19+CN23)/$B151,0),0)</f>
        <v>0</v>
      </c>
      <c r="CO151" s="46">
        <f>=IFERROR(ROUND((CO19+CO23)/$B151,0),0)</f>
        <v>0</v>
      </c>
      <c r="CP151" s="46">
        <f>=IFERROR(ROUND((CP19+CP23)/$B151,0),0)</f>
        <v>0</v>
      </c>
      <c r="CQ151" s="46">
        <f>=IFERROR(ROUND((CQ19+CQ23)/$B151,0),0)</f>
        <v>0</v>
      </c>
      <c r="CR151" s="46">
        <f>=IFERROR(ROUND((CR19+CR23)/$B151,0),0)</f>
        <v>0</v>
      </c>
      <c r="CS151" s="46">
        <f>=IFERROR(ROUND((CS19+CS23)/$B151,0),0)</f>
        <v>0</v>
      </c>
      <c r="CT151" s="73">
        <f>=IFERROR(ROUND((CT19+CT23)/$B151,0),0)</f>
        <v>0</v>
      </c>
      <c r="CU151" s="46">
        <f>=IFERROR(ROUND((CU19+CU23)/$B151,0),0)</f>
        <v>0</v>
      </c>
      <c r="CV151" s="46">
        <f>=IFERROR(ROUND((CV19+CV23)/$B151,0),0)</f>
        <v>0</v>
      </c>
      <c r="CW151" s="73">
        <f>=IFERROR(ROUND((CW19+CW23)/$B151,0),0)</f>
        <v>0</v>
      </c>
      <c r="CX151" s="73">
        <f>=IFERROR(ROUND((CX19+CX23)/$B151,0),0)</f>
        <v>0</v>
      </c>
      <c r="CY151" s="46">
        <f>=IFERROR(ROUND((CY19+CY23)/$B151,0),0)</f>
        <v>0</v>
      </c>
      <c r="CZ151" s="46">
        <f>=IFERROR(ROUND((CZ19+CZ23)/$B151,0),0)</f>
        <v>0</v>
      </c>
      <c r="DA151" s="46">
        <f>=IFERROR(ROUND((DA19+DA23)/$B151,0),0)</f>
        <v>0</v>
      </c>
      <c r="DB151" s="46">
        <f>=IFERROR(ROUND((DB19+DB23)/$B151,0),0)</f>
        <v>0</v>
      </c>
    </row>
    <row r="152" spans="1:106" x14ac:dyDescent="0.25">
      <c r="A152" s="17" t="s">
        <v>356</v>
      </c>
      <c r="B152" s="17">
        <v>15</v>
      </c>
      <c r="C152" s="46">
        <f>=IFERROR(ROUND((C21+C22)/$B152,0),0)</f>
        <v>0</v>
      </c>
      <c r="D152" s="46">
        <f>=IFERROR(ROUND((D21+D22)/$B152,0),0)</f>
        <v>0</v>
      </c>
      <c r="E152" s="46">
        <f>=IFERROR(ROUND((E21+E22)/$B152,0),0)</f>
        <v>0</v>
      </c>
      <c r="F152" s="46">
        <f>=IFERROR(ROUND((F21+F22)/$B152,0),0)</f>
        <v>0</v>
      </c>
      <c r="G152" s="46">
        <f>=IFERROR(ROUND((G21+G22)/$B152,0),0)</f>
        <v>0</v>
      </c>
      <c r="H152" s="46">
        <f>=IFERROR(ROUND((H21+H22)/$B152,0),0)</f>
        <v>0</v>
      </c>
      <c r="I152" s="46">
        <f>=IFERROR(ROUND((I21+I22)/$B152,0),0)</f>
        <v>0</v>
      </c>
      <c r="J152" s="46">
        <f>=IFERROR(ROUND((J21+J22)/$B152,0),0)</f>
        <v>0</v>
      </c>
      <c r="K152" s="46">
        <f>=IFERROR(ROUND((K21+K22)/$B152,0),0)</f>
        <v>0</v>
      </c>
      <c r="L152" s="46">
        <f>=IFERROR(ROUND((L21+L22)/$B152,0),0)</f>
        <v>0</v>
      </c>
      <c r="M152" s="46">
        <f>=IFERROR(ROUND((M21+M22)/$B152,0),0)</f>
        <v>0</v>
      </c>
      <c r="N152" s="46">
        <f>=IFERROR(ROUND((N21+N22)/$B152,0),0)</f>
        <v>0</v>
      </c>
      <c r="O152" s="46">
        <f>=IFERROR(ROUND((O21+O22)/$B152,0),0)</f>
        <v>0</v>
      </c>
      <c r="P152" s="46">
        <f>=IFERROR(ROUND((P21+P22)/$B152,0),0)</f>
        <v>0</v>
      </c>
      <c r="Q152" s="46">
        <f>=IFERROR(ROUND((Q21+Q22)/$B152,0),0)</f>
        <v>0</v>
      </c>
      <c r="R152" s="46">
        <f>=IFERROR(ROUND((R21+R22)/$B152,0),0)</f>
        <v>0</v>
      </c>
      <c r="S152" s="46">
        <f>=IFERROR(ROUND((S21+S22)/$B152,0),0)</f>
        <v>0</v>
      </c>
      <c r="T152" s="46">
        <f>=IFERROR(ROUND((T21+T22)/$B152,0),0)</f>
        <v>0</v>
      </c>
      <c r="U152" s="46">
        <f>=IFERROR(ROUND((U21+U22)/$B152,0),0)</f>
        <v>0</v>
      </c>
      <c r="V152" s="46">
        <f>=IFERROR(ROUND((V21+V22)/$B152,0),0)</f>
        <v>0</v>
      </c>
      <c r="W152" s="46">
        <f>=IFERROR(ROUND((W21+W22)/$B152,0),0)</f>
        <v>0</v>
      </c>
      <c r="X152" s="46">
        <f>=IFERROR(ROUND((X21+X22)/$B152,0),0)</f>
        <v>0</v>
      </c>
      <c r="Y152" s="46">
        <f>=IFERROR(ROUND((Y21+Y22)/$B152,0),0)</f>
        <v>0</v>
      </c>
      <c r="Z152" s="46">
        <f>=IFERROR(ROUND((Z21+Z22)/$B152,0),0)</f>
        <v>0</v>
      </c>
      <c r="AA152" s="46">
        <f>=IFERROR(ROUND((AA21+AA22)/$B152,0),0)</f>
        <v>0</v>
      </c>
      <c r="AB152" s="46">
        <f>=IFERROR(ROUND((AB21+AB22)/$B152,0),0)</f>
        <v>0</v>
      </c>
      <c r="AC152" s="46">
        <f>=IFERROR(ROUND((AC21+AC22)/$B152,0),0)</f>
        <v>0</v>
      </c>
      <c r="AD152" s="46">
        <f>=IFERROR(ROUND((AD21+AD22)/$B152,0),0)</f>
        <v>0</v>
      </c>
      <c r="AE152" s="46">
        <f>=IFERROR(ROUND((AE21+AE22)/$B152,0),0)</f>
        <v>0</v>
      </c>
      <c r="AF152" s="46">
        <f>=IFERROR(ROUND((AF21+AF22)/$B152,0),0)</f>
        <v>0</v>
      </c>
      <c r="AG152" s="46">
        <f>=IFERROR(ROUND((AG21+AG22)/$B152,0),0)</f>
        <v>0</v>
      </c>
      <c r="AH152" s="46">
        <f>=IFERROR(ROUND((AH21+AH22)/$B152,0),0)</f>
        <v>0</v>
      </c>
      <c r="AI152" s="46">
        <f>=IFERROR(ROUND((AI21+AI22)/$B152,0),0)</f>
        <v>0</v>
      </c>
      <c r="AJ152" s="46">
        <f>=IFERROR(ROUND((AJ21+AJ22)/$B152,0),0)</f>
        <v>0</v>
      </c>
      <c r="AK152" s="46">
        <f>=IFERROR(ROUND((AK21+AK22)/$B152,0),0)</f>
        <v>0</v>
      </c>
      <c r="AL152" s="46">
        <f>=IFERROR(ROUND((AL21+AL22)/$B152,0),0)</f>
        <v>0</v>
      </c>
      <c r="AM152" s="46">
        <f>=IFERROR(ROUND((AM21+AM22)/$B152,0),0)</f>
        <v>0</v>
      </c>
      <c r="AN152" s="46">
        <f>=IFERROR(ROUND((AN21+AN22)/$B152,0),0)</f>
        <v>0</v>
      </c>
      <c r="AO152" s="46">
        <f>=IFERROR(ROUND((AO21+AO22)/$B152,0),0)</f>
        <v>0</v>
      </c>
      <c r="AP152" s="46">
        <f>=IFERROR(ROUND((AP21+AP22)/$B152,0),0)</f>
        <v>0</v>
      </c>
      <c r="AQ152" s="46">
        <f>=IFERROR(ROUND((AQ21+AQ22)/$B152,0),0)</f>
        <v>0</v>
      </c>
      <c r="AR152" s="46">
        <f>=IFERROR(ROUND((AR21+AR22)/$B152,0),0)</f>
        <v>0</v>
      </c>
      <c r="AS152" s="46">
        <f>=IFERROR(ROUND((AS21+AS22)/$B152,0),0)</f>
        <v>0</v>
      </c>
      <c r="AT152" s="46">
        <f>=IFERROR(ROUND((AT21+AT22)/$B152,0),0)</f>
        <v>0</v>
      </c>
      <c r="AU152" s="46">
        <f>=IFERROR(ROUND((AU21+AU22)/$B152,0),0)</f>
        <v>0</v>
      </c>
      <c r="AV152" s="46">
        <f>=IFERROR(ROUND((AV21+AV22)/$B152,0),0)</f>
        <v>0</v>
      </c>
      <c r="AW152" s="46">
        <f>=IFERROR(ROUND((AW21+AW22)/$B152,0),0)</f>
        <v>0</v>
      </c>
      <c r="AX152" s="46">
        <f>=IFERROR(ROUND((AX21+AX22)/$B152,0),0)</f>
        <v>0</v>
      </c>
      <c r="AY152" s="46">
        <f>=IFERROR(ROUND((AY21+AY22)/$B152,0),0)</f>
        <v>0</v>
      </c>
      <c r="AZ152" s="46">
        <f>=IFERROR(ROUND((AZ21+AZ22)/$B152,0),0)</f>
        <v>0</v>
      </c>
      <c r="BA152" s="46">
        <f>=IFERROR(ROUND((BA21+BA22)/$B152,0),0)</f>
        <v>0</v>
      </c>
      <c r="BB152" s="46">
        <f>=IFERROR(ROUND((BB21+BB22)/$B152,0),0)</f>
        <v>0</v>
      </c>
      <c r="BC152" s="46">
        <f>=IFERROR(ROUND((BC21+BC22)/$B152,0),0)</f>
        <v>0</v>
      </c>
      <c r="BD152" s="46">
        <f>=IFERROR(ROUND((BD21+BD22)/$B152,0),0)</f>
        <v>0</v>
      </c>
      <c r="BE152" s="46">
        <f>=IFERROR(ROUND((BE21+BE22)/$B152,0),0)</f>
        <v>0</v>
      </c>
      <c r="BF152" s="46">
        <f>=IFERROR(ROUND((BF21+BF22)/$B152,0),0)</f>
        <v>0</v>
      </c>
      <c r="BG152" s="46">
        <f>=IFERROR(ROUND((BG21+BG22)/$B152,0),0)</f>
        <v>0</v>
      </c>
      <c r="BH152" s="46">
        <f>=IFERROR(ROUND((BH21+BH22)/$B152,0),0)</f>
        <v>0</v>
      </c>
      <c r="BI152" s="46">
        <f>=IFERROR(ROUND((BI21+BI22)/$B152,0),0)</f>
        <v>0</v>
      </c>
      <c r="BJ152" s="46">
        <f>=IFERROR(ROUND((BJ21+BJ22)/$B152,0),0)</f>
        <v>0</v>
      </c>
      <c r="BK152" s="46">
        <f>=IFERROR(ROUND((BK21+BK22)/$B152,0),0)</f>
        <v>0</v>
      </c>
      <c r="BL152" s="46">
        <f>=IFERROR(ROUND((BL21+BL22)/$B152,0),0)</f>
        <v>0</v>
      </c>
      <c r="BM152" s="46">
        <f>=IFERROR(ROUND((BM21+BM22)/$B152,0),0)</f>
        <v>0</v>
      </c>
      <c r="BN152" s="46">
        <f>=IFERROR(ROUND((BN21+BN22)/$B152,0),0)</f>
        <v>0</v>
      </c>
      <c r="BO152" s="46">
        <f>=IFERROR(ROUND((BO21+BO22)/$B152,0),0)</f>
        <v>0</v>
      </c>
      <c r="BP152" s="46">
        <f>=IFERROR(ROUND((BP21+BP22)/$B152,0),0)</f>
        <v>0</v>
      </c>
      <c r="BQ152" s="46">
        <f>=IFERROR(ROUND((BQ21+BQ22)/$B152,0),0)</f>
        <v>0</v>
      </c>
      <c r="BR152" s="46">
        <f>=IFERROR(ROUND((BR21+BR22)/$B152,0),0)</f>
        <v>0</v>
      </c>
      <c r="BS152" s="46">
        <f>=IFERROR(ROUND((BS21+BS22)/$B152,0),0)</f>
        <v>0</v>
      </c>
      <c r="BT152" s="46">
        <f>=IFERROR(ROUND((BT21+BT22)/$B152,0),0)</f>
        <v>0</v>
      </c>
      <c r="BU152" s="46">
        <f>=IFERROR(ROUND((BU21+BU22)/$B152,0),0)</f>
        <v>0</v>
      </c>
      <c r="BV152" s="46">
        <f>=IFERROR(ROUND((BV21+BV22)/$B152,0),0)</f>
        <v>0</v>
      </c>
      <c r="BW152" s="46">
        <f>=IFERROR(ROUND((BW21+BW22)/$B152,0),0)</f>
        <v>0</v>
      </c>
      <c r="BX152" s="46">
        <f>=IFERROR(ROUND((BX21+BX22)/$B152,0),0)</f>
        <v>0</v>
      </c>
      <c r="BY152" s="46">
        <f>=IFERROR(ROUND((BY21+BY22)/$B152,0),0)</f>
        <v>0</v>
      </c>
      <c r="BZ152" s="46">
        <f>=IFERROR(ROUND((BZ21+BZ22)/$B152,0),0)</f>
        <v>0</v>
      </c>
      <c r="CA152" s="46">
        <f>=IFERROR(ROUND((CA21+CA22)/$B152,0),0)</f>
        <v>0</v>
      </c>
      <c r="CB152" s="46">
        <f>=IFERROR(ROUND((CB21+CB22)/$B152,0),0)</f>
        <v>0</v>
      </c>
      <c r="CC152" s="46">
        <f>=IFERROR(ROUND((CC21+CC22)/$B152,0),0)</f>
        <v>0</v>
      </c>
      <c r="CD152" s="46">
        <f>=IFERROR(ROUND((CD21+CD22)/$B152,0),0)</f>
        <v>0</v>
      </c>
      <c r="CE152" s="46">
        <f>=IFERROR(ROUND((CE21+CE22)/$B152,0),0)</f>
        <v>0</v>
      </c>
      <c r="CF152" s="46">
        <f>=IFERROR(ROUND((CF21+CF22)/$B152,0),0)</f>
        <v>0</v>
      </c>
      <c r="CG152" s="46">
        <f>=IFERROR(ROUND((CG21+CG22)/$B152,0),0)</f>
        <v>0</v>
      </c>
      <c r="CH152" s="46">
        <f>=IFERROR(ROUND((CH21+CH22)/$B152,0),0)</f>
        <v>0</v>
      </c>
      <c r="CI152" s="46">
        <f>=IFERROR(ROUND((CI21+CI22)/$B152,0),0)</f>
        <v>0</v>
      </c>
      <c r="CJ152" s="46">
        <f>=IFERROR(ROUND((CJ21+CJ22)/$B152,0),0)</f>
        <v>0</v>
      </c>
      <c r="CK152" s="46">
        <f>=IFERROR(ROUND((CK21+CK22)/$B152,0),0)</f>
        <v>0</v>
      </c>
      <c r="CL152" s="46">
        <f>=IFERROR(ROUND((CL21+CL22)/$B152,0),0)</f>
        <v>0</v>
      </c>
      <c r="CM152" s="46">
        <f>=IFERROR(ROUND((CM21+CM22)/$B152,0),0)</f>
        <v>0</v>
      </c>
      <c r="CN152" s="46">
        <f>=IFERROR(ROUND((CN21+CN22)/$B152,0),0)</f>
        <v>0</v>
      </c>
      <c r="CO152" s="46">
        <f>=IFERROR(ROUND((CO21+CO22)/$B152,0),0)</f>
        <v>0</v>
      </c>
      <c r="CP152" s="46">
        <f>=IFERROR(ROUND((CP21+CP22)/$B152,0),0)</f>
        <v>0</v>
      </c>
      <c r="CQ152" s="46">
        <f>=IFERROR(ROUND((CQ21+CQ22)/$B152,0),0)</f>
        <v>0</v>
      </c>
      <c r="CR152" s="46">
        <f>=IFERROR(ROUND((CR21+CR22)/$B152,0),0)</f>
        <v>0</v>
      </c>
      <c r="CS152" s="46">
        <f>=IFERROR(ROUND((CS21+CS22)/$B152,0),0)</f>
        <v>0</v>
      </c>
      <c r="CT152" s="46">
        <f>=IFERROR(ROUND((CT21+CT22)/$B152,0),0)</f>
        <v>0</v>
      </c>
      <c r="CU152" s="46">
        <f>=IFERROR(ROUND((CU21+CU22)/$B152,0),0)</f>
        <v>0</v>
      </c>
      <c r="CV152" s="46">
        <f>=IFERROR(ROUND((CV21+CV22)/$B152,0),0)</f>
        <v>0</v>
      </c>
      <c r="CW152" s="46">
        <f>=IFERROR(ROUND((CW21+CW22)/$B152,0),0)</f>
        <v>0</v>
      </c>
      <c r="CX152" s="46">
        <f>=IFERROR(ROUND((CX21+CX22)/$B152,0),0)</f>
        <v>0</v>
      </c>
      <c r="CY152" s="46">
        <f>=IFERROR(ROUND((CY21+CY22)/$B152,0),0)</f>
        <v>0</v>
      </c>
      <c r="CZ152" s="46">
        <f>=IFERROR(ROUND((CZ21+CZ22)/$B152,0),0)</f>
        <v>0</v>
      </c>
      <c r="DA152" s="46">
        <f>=IFERROR(ROUND((DA21+DA22)/$B152,0),0)</f>
        <v>0</v>
      </c>
      <c r="DB152" s="46">
        <f>=IFERROR(ROUND((DB21+DB22)/$B152,0),0)</f>
        <v>0</v>
      </c>
    </row>
    <row r="153" spans="1:106" x14ac:dyDescent="0.25">
      <c r="A153" s="17" t="s">
        <v>357</v>
      </c>
      <c r="B153" s="17">
        <v>15</v>
      </c>
      <c r="C153" s="46">
        <f>=IFERROR(ROUND((C19+C23)/$B153,0),0)</f>
        <v>0</v>
      </c>
      <c r="D153" s="46">
        <f>=IFERROR(ROUND((D19+D23)/$B153,0),0)</f>
        <v>0</v>
      </c>
      <c r="E153" s="46">
        <f>=IFERROR(ROUND((E19+E23)/$B153,0),0)</f>
        <v>0</v>
      </c>
      <c r="F153" s="46">
        <f>=IFERROR(ROUND((F19+F23)/$B153,0),0)</f>
        <v>0</v>
      </c>
      <c r="G153" s="46">
        <f>=IFERROR(ROUND((G19+G23)/$B153,0),0)</f>
        <v>0</v>
      </c>
      <c r="H153" s="46">
        <f>=IFERROR(ROUND((H19+H23)/$B153,0),0)</f>
        <v>0</v>
      </c>
      <c r="I153" s="46">
        <f>=IFERROR(ROUND((I19+I23)/$B153,0),0)</f>
        <v>0</v>
      </c>
      <c r="J153" s="46">
        <f>=IFERROR(ROUND((J19+J23)/$B153,0),0)</f>
        <v>0</v>
      </c>
      <c r="K153" s="46">
        <f>=IFERROR(ROUND((K19+K23)/$B153,0),0)</f>
        <v>0</v>
      </c>
      <c r="L153" s="46">
        <f>=IFERROR(ROUND((L19+L23)/$B153,0),0)</f>
        <v>0</v>
      </c>
      <c r="M153" s="46">
        <f>=IFERROR(ROUND((M19+M23)/$B153,0),0)</f>
        <v>0</v>
      </c>
      <c r="N153" s="46">
        <f>=IFERROR(ROUND((N19+N23)/$B153,0),0)</f>
        <v>0</v>
      </c>
      <c r="O153" s="46">
        <f>=IFERROR(ROUND((O19+O23)/$B153,0),0)</f>
        <v>0</v>
      </c>
      <c r="P153" s="46">
        <f>=IFERROR(ROUND((P19+P23)/$B153,0),0)</f>
        <v>0</v>
      </c>
      <c r="Q153" s="46">
        <f>=IFERROR(ROUND((Q19+Q23)/$B153,0),0)</f>
        <v>0</v>
      </c>
      <c r="R153" s="46">
        <f>=IFERROR(ROUND((R19+R23)/$B153,0),0)</f>
        <v>0</v>
      </c>
      <c r="S153" s="46">
        <f>=IFERROR(ROUND((S19+S23)/$B153,0),0)</f>
        <v>0</v>
      </c>
      <c r="T153" s="46">
        <f>=IFERROR(ROUND((T19+T23)/$B153,0),0)</f>
        <v>0</v>
      </c>
      <c r="U153" s="46">
        <f>=IFERROR(ROUND((U19+U23)/$B153,0),0)</f>
        <v>0</v>
      </c>
      <c r="V153" s="46">
        <f>=IFERROR(ROUND((V19+V23)/$B153,0),0)</f>
        <v>0</v>
      </c>
      <c r="W153" s="46">
        <f>=IFERROR(ROUND((W19+W23)/$B153,0),0)</f>
        <v>0</v>
      </c>
      <c r="X153" s="46">
        <f>=IFERROR(ROUND((X19+X23)/$B153,0),0)</f>
        <v>0</v>
      </c>
      <c r="Y153" s="46">
        <f>=IFERROR(ROUND((Y19+Y23)/$B153,0),0)</f>
        <v>0</v>
      </c>
      <c r="Z153" s="46">
        <f>=IFERROR(ROUND((Z19+Z23)/$B153,0),0)</f>
        <v>0</v>
      </c>
      <c r="AA153" s="46">
        <f>=IFERROR(ROUND((AA19+AA23)/$B153,0),0)</f>
        <v>0</v>
      </c>
      <c r="AB153" s="46">
        <f>=IFERROR(ROUND((AB19+AB23)/$B153,0),0)</f>
        <v>0</v>
      </c>
      <c r="AC153" s="46">
        <f>=IFERROR(ROUND((AC19+AC23)/$B153,0),0)</f>
        <v>0</v>
      </c>
      <c r="AD153" s="46">
        <f>=IFERROR(ROUND((AD19+AD23)/$B153,0),0)</f>
        <v>0</v>
      </c>
      <c r="AE153" s="46">
        <f>=IFERROR(ROUND((AE19+AE23)/$B153,0),0)</f>
        <v>0</v>
      </c>
      <c r="AF153" s="46">
        <f>=IFERROR(ROUND((AF19+AF23)/$B153,0),0)</f>
        <v>0</v>
      </c>
      <c r="AG153" s="46">
        <f>=IFERROR(ROUND((AG19+AG23)/$B153,0),0)</f>
        <v>0</v>
      </c>
      <c r="AH153" s="46">
        <f>=IFERROR(ROUND((AH19+AH23)/$B153,0),0)</f>
        <v>0</v>
      </c>
      <c r="AI153" s="46">
        <f>=IFERROR(ROUND((AI19+AI23)/$B153,0),0)</f>
        <v>0</v>
      </c>
      <c r="AJ153" s="46">
        <f>=IFERROR(ROUND((AJ19+AJ23)/$B153,0),0)</f>
        <v>0</v>
      </c>
      <c r="AK153" s="46">
        <f>=IFERROR(ROUND((AK19+AK23)/$B153,0),0)</f>
        <v>0</v>
      </c>
      <c r="AL153" s="46">
        <f>=IFERROR(ROUND((AL19+AL23)/$B153,0),0)</f>
        <v>0</v>
      </c>
      <c r="AM153" s="46">
        <f>=IFERROR(ROUND((AM19+AM23)/$B153,0),0)</f>
        <v>0</v>
      </c>
      <c r="AN153" s="46">
        <f>=IFERROR(ROUND((AN19+AN23)/$B153,0),0)</f>
        <v>0</v>
      </c>
      <c r="AO153" s="46">
        <f>=IFERROR(ROUND((AO19+AO23)/$B153,0),0)</f>
        <v>0</v>
      </c>
      <c r="AP153" s="46">
        <f>=IFERROR(ROUND((AP19+AP23)/$B153,0),0)</f>
        <v>0</v>
      </c>
      <c r="AQ153" s="46">
        <f>=IFERROR(ROUND((AQ19+AQ23)/$B153,0),0)</f>
        <v>0</v>
      </c>
      <c r="AR153" s="46">
        <f>=IFERROR(ROUND((AR19+AR23)/$B153,0),0)</f>
        <v>0</v>
      </c>
      <c r="AS153" s="46">
        <f>=IFERROR(ROUND((AS19+AS23)/$B153,0),0)</f>
        <v>0</v>
      </c>
      <c r="AT153" s="46">
        <f>=IFERROR(ROUND((AT19+AT23)/$B153,0),0)</f>
        <v>0</v>
      </c>
      <c r="AU153" s="46">
        <f>=IFERROR(ROUND((AU19+AU23)/$B153,0),0)</f>
        <v>0</v>
      </c>
      <c r="AV153" s="46">
        <f>=IFERROR(ROUND((AV19+AV23)/$B153,0),0)</f>
        <v>0</v>
      </c>
      <c r="AW153" s="46">
        <f>=IFERROR(ROUND((AW19+AW23)/$B153,0),0)</f>
        <v>0</v>
      </c>
      <c r="AX153" s="46">
        <f>=IFERROR(ROUND((AX19+AX23)/$B153,0),0)</f>
        <v>0</v>
      </c>
      <c r="AY153" s="46">
        <f>=IFERROR(ROUND((AY19+AY23)/$B153,0),0)</f>
        <v>0</v>
      </c>
      <c r="AZ153" s="46">
        <f>=IFERROR(ROUND((AZ19+AZ23)/$B153,0),0)</f>
        <v>0</v>
      </c>
      <c r="BA153" s="46">
        <f>=IFERROR(ROUND((BA19+BA23)/$B153,0),0)</f>
        <v>0</v>
      </c>
      <c r="BB153" s="46">
        <f>=IFERROR(ROUND((BB19+BB23)/$B153,0),0)</f>
        <v>0</v>
      </c>
      <c r="BC153" s="46">
        <f>=IFERROR(ROUND((BC19+BC23)/$B153,0),0)</f>
        <v>0</v>
      </c>
      <c r="BD153" s="73">
        <f>=IFERROR(ROUND((BD19+BD23)/$B153,0),0)</f>
        <v>0</v>
      </c>
      <c r="BE153" s="46">
        <f>=IFERROR(ROUND((BE19+BE23)/$B153,0),0)</f>
        <v>0</v>
      </c>
      <c r="BF153" s="46">
        <f>=IFERROR(ROUND((BF19+BF23)/$B153,0),0)</f>
        <v>0</v>
      </c>
      <c r="BG153" s="46">
        <f>=IFERROR(ROUND((BG19+BG23)/$B153,0),0)</f>
        <v>0</v>
      </c>
      <c r="BH153" s="46">
        <f>=IFERROR(ROUND((BH19+BH23)/$B153,0),0)</f>
        <v>0</v>
      </c>
      <c r="BI153" s="46">
        <f>=IFERROR(ROUND((BI19+BI23)/$B153,0),0)</f>
        <v>0</v>
      </c>
      <c r="BJ153" s="46">
        <f>=IFERROR(ROUND((BJ19+BJ23)/$B153,0),0)</f>
        <v>0</v>
      </c>
      <c r="BK153" s="46">
        <f>=IFERROR(ROUND((BK19+BK23)/$B153,0),0)</f>
        <v>0</v>
      </c>
      <c r="BL153" s="73">
        <f>=IFERROR(ROUND((BL19+BL23)/$B153,0),0)</f>
        <v>0</v>
      </c>
      <c r="BM153" s="46">
        <f>=IFERROR(ROUND((BM19+BM23)/$B153,0),0)</f>
        <v>0</v>
      </c>
      <c r="BN153" s="46">
        <f>=IFERROR(ROUND((BN19+BN23)/$B153,0),0)</f>
        <v>0</v>
      </c>
      <c r="BO153" s="46">
        <f>=IFERROR(ROUND((BO19+BO23)/$B153,0),0)</f>
        <v>0</v>
      </c>
      <c r="BP153" s="46">
        <f>=IFERROR(ROUND((BP19+BP23)/$B153,0),0)</f>
        <v>0</v>
      </c>
      <c r="BQ153" s="46">
        <f>=IFERROR(ROUND((BQ19+BQ23)/$B153,0),0)</f>
        <v>0</v>
      </c>
      <c r="BR153" s="46">
        <f>=IFERROR(ROUND((BR19+BR23)/$B153,0),0)</f>
        <v>0</v>
      </c>
      <c r="BS153" s="46">
        <f>=IFERROR(ROUND((BS19+BS23)/$B153,0),0)</f>
        <v>0</v>
      </c>
      <c r="BT153" s="46">
        <f>=IFERROR(ROUND((BT19+BT23)/$B153,0),0)</f>
        <v>0</v>
      </c>
      <c r="BU153" s="46">
        <f>=IFERROR(ROUND((BU19+BU23)/$B153,0),0)</f>
        <v>0</v>
      </c>
      <c r="BV153" s="46">
        <f>=IFERROR(ROUND((BV19+BV23)/$B153,0),0)</f>
        <v>0</v>
      </c>
      <c r="BW153" s="46">
        <f>=IFERROR(ROUND((BW19+BW23)/$B153,0),0)</f>
        <v>0</v>
      </c>
      <c r="BX153" s="46">
        <f>=IFERROR(ROUND((BX19+BX23)/$B153,0),0)</f>
        <v>0</v>
      </c>
      <c r="BY153" s="73">
        <f>=IFERROR(ROUND((BY19+BY23)/$B153,0),0)</f>
        <v>0</v>
      </c>
      <c r="BZ153" s="46">
        <f>=IFERROR(ROUND((BZ19+BZ23)/$B153,0),0)</f>
        <v>0</v>
      </c>
      <c r="CA153" s="46">
        <f>=IFERROR(ROUND((CA19+CA23)/$B153,0),0)</f>
        <v>0</v>
      </c>
      <c r="CB153" s="46">
        <f>=IFERROR(ROUND((CB19+CB23)/$B153,0),0)</f>
        <v>0</v>
      </c>
      <c r="CC153" s="46">
        <f>=IFERROR(ROUND((CC19+CC23)/$B153,0),0)</f>
        <v>0</v>
      </c>
      <c r="CD153" s="46">
        <f>=IFERROR(ROUND((CD19+CD23)/$B153,0),0)</f>
        <v>0</v>
      </c>
      <c r="CE153" s="46">
        <f>=IFERROR(ROUND((CE19+CE23)/$B153,0),0)</f>
        <v>0</v>
      </c>
      <c r="CF153" s="46">
        <f>=IFERROR(ROUND((CF19+CF23)/$B153,0),0)</f>
        <v>0</v>
      </c>
      <c r="CG153" s="46">
        <f>=IFERROR(ROUND((CG19+CG23)/$B153,0),0)</f>
        <v>0</v>
      </c>
      <c r="CH153" s="46">
        <f>=IFERROR(ROUND((CH19+CH23)/$B153,0),0)</f>
        <v>0</v>
      </c>
      <c r="CI153" s="46">
        <f>=IFERROR(ROUND((CI19+CI23)/$B153,0),0)</f>
        <v>0</v>
      </c>
      <c r="CJ153" s="46">
        <f>=IFERROR(ROUND((CJ19+CJ23)/$B153,0),0)</f>
        <v>0</v>
      </c>
      <c r="CK153" s="46">
        <f>=IFERROR(ROUND((CK19+CK23)/$B153,0),0)</f>
        <v>0</v>
      </c>
      <c r="CL153" s="46">
        <f>=IFERROR(ROUND((CL19+CL23)/$B153,0),0)</f>
        <v>0</v>
      </c>
      <c r="CM153" s="46">
        <f>=IFERROR(ROUND((CM19+CM23)/$B153,0),0)</f>
        <v>0</v>
      </c>
      <c r="CN153" s="46">
        <f>=IFERROR(ROUND((CN19+CN23)/$B153,0),0)</f>
        <v>0</v>
      </c>
      <c r="CO153" s="46">
        <f>=IFERROR(ROUND((CO19+CO23)/$B153,0),0)</f>
        <v>0</v>
      </c>
      <c r="CP153" s="46">
        <f>=IFERROR(ROUND((CP19+CP23)/$B153,0),0)</f>
        <v>0</v>
      </c>
      <c r="CQ153" s="46">
        <f>=IFERROR(ROUND((CQ19+CQ23)/$B153,0),0)</f>
        <v>0</v>
      </c>
      <c r="CR153" s="46">
        <f>=IFERROR(ROUND((CR19+CR23)/$B153,0),0)</f>
        <v>0</v>
      </c>
      <c r="CS153" s="46">
        <f>=IFERROR(ROUND((CS19+CS23)/$B153,0),0)</f>
        <v>0</v>
      </c>
      <c r="CT153" s="73">
        <f>=IFERROR(ROUND((CT19+CT23)/$B153,0),0)</f>
        <v>0</v>
      </c>
      <c r="CU153" s="46">
        <f>=IFERROR(ROUND((CU19+CU23)/$B153,0),0)</f>
        <v>0</v>
      </c>
      <c r="CV153" s="46">
        <f>=IFERROR(ROUND((CV19+CV23)/$B153,0),0)</f>
        <v>0</v>
      </c>
      <c r="CW153" s="73">
        <f>=IFERROR(ROUND((CW19+CW23)/$B153,0),0)</f>
        <v>0</v>
      </c>
      <c r="CX153" s="73">
        <f>=IFERROR(ROUND((CX19+CX23)/$B153,0),0)</f>
        <v>0</v>
      </c>
      <c r="CY153" s="46">
        <f>=IFERROR(ROUND((CY19+CY23)/$B153,0),0)</f>
        <v>0</v>
      </c>
      <c r="CZ153" s="46">
        <f>=IFERROR(ROUND((CZ19+CZ23)/$B153,0),0)</f>
        <v>0</v>
      </c>
      <c r="DA153" s="46">
        <f>=IFERROR(ROUND((DA19+DA23)/$B153,0),0)</f>
        <v>0</v>
      </c>
      <c r="DB153" s="46">
        <f>=IFERROR(ROUND((DB19+DB23)/$B153,0),0)</f>
        <v>0</v>
      </c>
    </row>
    <row r="154" spans="1:106" x14ac:dyDescent="0.25">
      <c r="A154" s="17" t="s">
        <v>358</v>
      </c>
      <c r="B154" s="17">
        <v>40</v>
      </c>
      <c r="C154" s="46">
        <f>=IFERROR(ROUND((C19+C23)/$B154,0),0)</f>
        <v>0</v>
      </c>
      <c r="D154" s="46">
        <f>=IFERROR(ROUND((D19+D23)/$B154,0),0)</f>
        <v>0</v>
      </c>
      <c r="E154" s="46">
        <f>=IFERROR(ROUND((E19+E23)/$B154,0),0)</f>
        <v>0</v>
      </c>
      <c r="F154" s="46">
        <f>=IFERROR(ROUND((F19+F23)/$B154,0),0)</f>
        <v>0</v>
      </c>
      <c r="G154" s="46">
        <f>=IFERROR(ROUND((G19+G23)/$B154,0),0)</f>
        <v>0</v>
      </c>
      <c r="H154" s="46">
        <f>=IFERROR(ROUND((H19+H23)/$B154,0),0)</f>
        <v>0</v>
      </c>
      <c r="I154" s="46">
        <f>=IFERROR(ROUND((I19+I23)/$B154,0),0)</f>
        <v>0</v>
      </c>
      <c r="J154" s="46">
        <f>=IFERROR(ROUND((J19+J23)/$B154,0),0)</f>
        <v>0</v>
      </c>
      <c r="K154" s="46">
        <f>=IFERROR(ROUND((K19+K23)/$B154,0),0)</f>
        <v>0</v>
      </c>
      <c r="L154" s="46">
        <f>=IFERROR(ROUND((L19+L23)/$B154,0),0)</f>
        <v>0</v>
      </c>
      <c r="M154" s="46">
        <f>=IFERROR(ROUND((M19+M23)/$B154,0),0)</f>
        <v>0</v>
      </c>
      <c r="N154" s="46">
        <f>=IFERROR(ROUND((N19+N23)/$B154,0),0)</f>
        <v>0</v>
      </c>
      <c r="O154" s="46">
        <f>=IFERROR(ROUND((O19+O23)/$B154,0),0)</f>
        <v>0</v>
      </c>
      <c r="P154" s="46">
        <f>=IFERROR(ROUND((P19+P23)/$B154,0),0)</f>
        <v>0</v>
      </c>
      <c r="Q154" s="46">
        <f>=IFERROR(ROUND((Q19+Q23)/$B154,0),0)</f>
        <v>0</v>
      </c>
      <c r="R154" s="46">
        <f>=IFERROR(ROUND((R19+R23)/$B154,0),0)</f>
        <v>0</v>
      </c>
      <c r="S154" s="46">
        <f>=IFERROR(ROUND((S19+S23)/$B154,0),0)</f>
        <v>0</v>
      </c>
      <c r="T154" s="46">
        <f>=IFERROR(ROUND((T19+T23)/$B154,0),0)</f>
        <v>0</v>
      </c>
      <c r="U154" s="46">
        <f>=IFERROR(ROUND((U19+U23)/$B154,0),0)</f>
        <v>0</v>
      </c>
      <c r="V154" s="46">
        <f>=IFERROR(ROUND((V19+V23)/$B154,0),0)</f>
        <v>0</v>
      </c>
      <c r="W154" s="46">
        <f>=IFERROR(ROUND((W19+W23)/$B154,0),0)</f>
        <v>0</v>
      </c>
      <c r="X154" s="46">
        <f>=IFERROR(ROUND((X19+X23)/$B154,0),0)</f>
        <v>0</v>
      </c>
      <c r="Y154" s="46">
        <f>=IFERROR(ROUND((Y19+Y23)/$B154,0),0)</f>
        <v>0</v>
      </c>
      <c r="Z154" s="46">
        <f>=IFERROR(ROUND((Z19+Z23)/$B154,0),0)</f>
        <v>0</v>
      </c>
      <c r="AA154" s="46">
        <f>=IFERROR(ROUND((AA19+AA23)/$B154,0),0)</f>
        <v>0</v>
      </c>
      <c r="AB154" s="46">
        <f>=IFERROR(ROUND((AB19+AB23)/$B154,0),0)</f>
        <v>0</v>
      </c>
      <c r="AC154" s="46">
        <f>=IFERROR(ROUND((AC19+AC23)/$B154,0),0)</f>
        <v>0</v>
      </c>
      <c r="AD154" s="46">
        <f>=IFERROR(ROUND((AD19+AD23)/$B154,0),0)</f>
        <v>0</v>
      </c>
      <c r="AE154" s="46">
        <f>=IFERROR(ROUND((AE19+AE23)/$B154,0),0)</f>
        <v>0</v>
      </c>
      <c r="AF154" s="46">
        <f>=IFERROR(ROUND((AF19+AF23)/$B154,0),0)</f>
        <v>0</v>
      </c>
      <c r="AG154" s="46">
        <f>=IFERROR(ROUND((AG19+AG23)/$B154,0),0)</f>
        <v>0</v>
      </c>
      <c r="AH154" s="46">
        <f>=IFERROR(ROUND((AH19+AH23)/$B154,0),0)</f>
        <v>0</v>
      </c>
      <c r="AI154" s="46">
        <f>=IFERROR(ROUND((AI19+AI23)/$B154,0),0)</f>
        <v>0</v>
      </c>
      <c r="AJ154" s="46">
        <f>=IFERROR(ROUND((AJ19+AJ23)/$B154,0),0)</f>
        <v>0</v>
      </c>
      <c r="AK154" s="46">
        <f>=IFERROR(ROUND((AK19+AK23)/$B154,0),0)</f>
        <v>0</v>
      </c>
      <c r="AL154" s="46">
        <f>=IFERROR(ROUND((AL19+AL23)/$B154,0),0)</f>
        <v>0</v>
      </c>
      <c r="AM154" s="46">
        <f>=IFERROR(ROUND((AM19+AM23)/$B154,0),0)</f>
        <v>0</v>
      </c>
      <c r="AN154" s="46">
        <f>=IFERROR(ROUND((AN19+AN23)/$B154,0),0)</f>
        <v>0</v>
      </c>
      <c r="AO154" s="46">
        <f>=IFERROR(ROUND((AO19+AO23)/$B154,0),0)</f>
        <v>0</v>
      </c>
      <c r="AP154" s="46">
        <f>=IFERROR(ROUND((AP19+AP23)/$B154,0),0)</f>
        <v>0</v>
      </c>
      <c r="AQ154" s="46">
        <f>=IFERROR(ROUND((AQ19+AQ23)/$B154,0),0)</f>
        <v>0</v>
      </c>
      <c r="AR154" s="46">
        <f>=IFERROR(ROUND((AR19+AR23)/$B154,0),0)</f>
        <v>0</v>
      </c>
      <c r="AS154" s="46">
        <f>=IFERROR(ROUND((AS19+AS23)/$B154,0),0)</f>
        <v>0</v>
      </c>
      <c r="AT154" s="46">
        <f>=IFERROR(ROUND((AT19+AT23)/$B154,0),0)</f>
        <v>0</v>
      </c>
      <c r="AU154" s="46">
        <f>=IFERROR(ROUND((AU19+AU23)/$B154,0),0)</f>
        <v>0</v>
      </c>
      <c r="AV154" s="46">
        <f>=IFERROR(ROUND((AV19+AV23)/$B154,0),0)</f>
        <v>0</v>
      </c>
      <c r="AW154" s="46">
        <f>=IFERROR(ROUND((AW19+AW23)/$B154,0),0)</f>
        <v>0</v>
      </c>
      <c r="AX154" s="46">
        <f>=IFERROR(ROUND((AX19+AX23)/$B154,0),0)</f>
        <v>0</v>
      </c>
      <c r="AY154" s="46">
        <f>=IFERROR(ROUND((AY19+AY23)/$B154,0),0)</f>
        <v>0</v>
      </c>
      <c r="AZ154" s="46">
        <f>=IFERROR(ROUND((AZ19+AZ23)/$B154,0),0)</f>
        <v>0</v>
      </c>
      <c r="BA154" s="46">
        <f>=IFERROR(ROUND((BA19+BA23)/$B154,0),0)</f>
        <v>0</v>
      </c>
      <c r="BB154" s="46">
        <f>=IFERROR(ROUND((BB19+BB23)/$B154,0),0)</f>
        <v>0</v>
      </c>
      <c r="BC154" s="73">
        <f>=IFERROR(ROUND((BC19+BC23)/$B154,0),0)</f>
        <v>0</v>
      </c>
      <c r="BD154" s="46">
        <f>=IFERROR(ROUND((BD19+BD23)/$B154,0),0)</f>
        <v>0</v>
      </c>
      <c r="BE154" s="46">
        <f>=IFERROR(ROUND((BE19+BE23)/$B154,0),0)</f>
        <v>0</v>
      </c>
      <c r="BF154" s="46">
        <f>=IFERROR(ROUND((BF19+BF23)/$B154,0),0)</f>
        <v>0</v>
      </c>
      <c r="BG154" s="46">
        <f>=IFERROR(ROUND((BG19+BG23)/$B154,0),0)</f>
        <v>0</v>
      </c>
      <c r="BH154" s="46">
        <f>=IFERROR(ROUND((BH19+BH23)/$B154,0),0)</f>
        <v>0</v>
      </c>
      <c r="BI154" s="46">
        <f>=IFERROR(ROUND((BI19+BI23)/$B154,0),0)</f>
        <v>0</v>
      </c>
      <c r="BJ154" s="46">
        <f>=IFERROR(ROUND((BJ19+BJ23)/$B154,0),0)</f>
        <v>0</v>
      </c>
      <c r="BK154" s="46">
        <f>=IFERROR(ROUND((BK19+BK23)/$B154,0),0)</f>
        <v>0</v>
      </c>
      <c r="BL154" s="46">
        <f>=IFERROR(ROUND((BL19+BL23)/$B154,0),0)</f>
        <v>0</v>
      </c>
      <c r="BM154" s="46">
        <f>=IFERROR(ROUND((BM19+BM23)/$B154,0),0)</f>
        <v>0</v>
      </c>
      <c r="BN154" s="46">
        <f>=IFERROR(ROUND((BN19+BN23)/$B154,0),0)</f>
        <v>0</v>
      </c>
      <c r="BO154" s="46">
        <f>=IFERROR(ROUND((BO19+BO23)/$B154,0),0)</f>
        <v>0</v>
      </c>
      <c r="BP154" s="46">
        <f>=IFERROR(ROUND((BP19+BP23)/$B154,0),0)</f>
        <v>0</v>
      </c>
      <c r="BQ154" s="46">
        <f>=IFERROR(ROUND((BQ19+BQ23)/$B154,0),0)</f>
        <v>0</v>
      </c>
      <c r="BR154" s="46">
        <f>=IFERROR(ROUND((BR19+BR23)/$B154,0),0)</f>
        <v>0</v>
      </c>
      <c r="BS154" s="46">
        <f>=IFERROR(ROUND((BS19+BS23)/$B154,0),0)</f>
        <v>0</v>
      </c>
      <c r="BT154" s="46">
        <f>=IFERROR(ROUND((BT19+BT23)/$B154,0),0)</f>
        <v>0</v>
      </c>
      <c r="BU154" s="46">
        <f>=IFERROR(ROUND((BU19+BU23)/$B154,0),0)</f>
        <v>0</v>
      </c>
      <c r="BV154" s="46">
        <f>=IFERROR(ROUND((BV19+BV23)/$B154,0),0)</f>
        <v>0</v>
      </c>
      <c r="BW154" s="46">
        <f>=IFERROR(ROUND((BW19+BW23)/$B154,0),0)</f>
        <v>0</v>
      </c>
      <c r="BX154" s="46">
        <f>=IFERROR(ROUND((BX19+BX23)/$B154,0),0)</f>
        <v>0</v>
      </c>
      <c r="BY154" s="46">
        <f>=IFERROR(ROUND((BY19+BY23)/$B154,0),0)</f>
        <v>0</v>
      </c>
      <c r="BZ154" s="46">
        <f>=IFERROR(ROUND((BZ19+BZ23)/$B154,0),0)</f>
        <v>0</v>
      </c>
      <c r="CA154" s="46">
        <f>=IFERROR(ROUND((CA19+CA23)/$B154,0),0)</f>
        <v>0</v>
      </c>
      <c r="CB154" s="46">
        <f>=IFERROR(ROUND((CB19+CB23)/$B154,0),0)</f>
        <v>0</v>
      </c>
      <c r="CC154" s="46">
        <f>=IFERROR(ROUND((CC19+CC23)/$B154,0),0)</f>
        <v>0</v>
      </c>
      <c r="CD154" s="46">
        <f>=IFERROR(ROUND((CD19+CD23)/$B154,0),0)</f>
        <v>0</v>
      </c>
      <c r="CE154" s="46">
        <f>=IFERROR(ROUND((CE19+CE23)/$B154,0),0)</f>
        <v>0</v>
      </c>
      <c r="CF154" s="46">
        <f>=IFERROR(ROUND((CF19+CF23)/$B154,0),0)</f>
        <v>0</v>
      </c>
      <c r="CG154" s="46">
        <f>=IFERROR(ROUND((CG19+CG23)/$B154,0),0)</f>
        <v>0</v>
      </c>
      <c r="CH154" s="46">
        <f>=IFERROR(ROUND((CH19+CH23)/$B154,0),0)</f>
        <v>0</v>
      </c>
      <c r="CI154" s="46">
        <f>=IFERROR(ROUND((CI19+CI23)/$B154,0),0)</f>
        <v>0</v>
      </c>
      <c r="CJ154" s="73">
        <f>=IFERROR(ROUND((CJ19+CJ23)/$B154,0),0)</f>
        <v>0</v>
      </c>
      <c r="CK154" s="46">
        <f>=IFERROR(ROUND((CK19+CK23)/$B154,0),0)</f>
        <v>0</v>
      </c>
      <c r="CL154" s="73">
        <f>=IFERROR(ROUND((CL19+CL23)/$B154,0),0)</f>
        <v>0</v>
      </c>
      <c r="CM154" s="46">
        <f>=IFERROR(ROUND((CM19+CM23)/$B154,0),0)</f>
        <v>0</v>
      </c>
      <c r="CN154" s="46">
        <f>=IFERROR(ROUND((CN19+CN23)/$B154,0),0)</f>
        <v>0</v>
      </c>
      <c r="CO154" s="46">
        <f>=IFERROR(ROUND((CO19+CO23)/$B154,0),0)</f>
        <v>0</v>
      </c>
      <c r="CP154" s="46">
        <f>=IFERROR(ROUND((CP19+CP23)/$B154,0),0)</f>
        <v>0</v>
      </c>
      <c r="CQ154" s="46">
        <f>=IFERROR(ROUND((CQ19+CQ23)/$B154,0),0)</f>
        <v>0</v>
      </c>
      <c r="CR154" s="46">
        <f>=IFERROR(ROUND((CR19+CR23)/$B154,0),0)</f>
        <v>0</v>
      </c>
      <c r="CS154" s="46">
        <f>=IFERROR(ROUND((CS19+CS23)/$B154,0),0)</f>
        <v>0</v>
      </c>
      <c r="CT154" s="46">
        <f>=IFERROR(ROUND((CT19+CT23)/$B154,0),0)</f>
        <v>0</v>
      </c>
      <c r="CU154" s="46">
        <f>=IFERROR(ROUND((CU19+CU23)/$B154,0),0)</f>
        <v>0</v>
      </c>
      <c r="CV154" s="46">
        <f>=IFERROR(ROUND((CV19+CV23)/$B154,0),0)</f>
        <v>0</v>
      </c>
      <c r="CW154" s="46">
        <f>=IFERROR(ROUND((CW19+CW23)/$B154,0),0)</f>
        <v>0</v>
      </c>
      <c r="CX154" s="46">
        <f>=IFERROR(ROUND((CX19+CX23)/$B154,0),0)</f>
        <v>0</v>
      </c>
      <c r="CY154" s="46">
        <f>=IFERROR(ROUND((CY19+CY23)/$B154,0),0)</f>
        <v>0</v>
      </c>
      <c r="CZ154" s="46">
        <f>=IFERROR(ROUND((CZ19+CZ23)/$B154,0),0)</f>
        <v>0</v>
      </c>
      <c r="DA154" s="46">
        <f>=IFERROR(ROUND((DA19+DA23)/$B154,0),0)</f>
        <v>0</v>
      </c>
      <c r="DB154" s="46">
        <f>=IFERROR(ROUND((DB19+DB23)/$B154,0),0)</f>
        <v>0</v>
      </c>
    </row>
    <row r="155" spans="1:106" x14ac:dyDescent="0.25">
      <c r="A155" s="17" t="s">
        <v>359</v>
      </c>
      <c r="B155" s="17">
        <v>30</v>
      </c>
      <c r="C155" s="46">
        <f>=IFERROR(ROUND(C19/$B155,0),0)</f>
        <v>0</v>
      </c>
      <c r="D155" s="46">
        <f>=IFERROR(ROUND(D19/$B155,0),0)</f>
        <v>0</v>
      </c>
      <c r="E155" s="46">
        <f>=IFERROR(ROUND(E19/$B155,0),0)</f>
        <v>0</v>
      </c>
      <c r="F155" s="46">
        <f>=IFERROR(ROUND(F19/$B155,0),0)</f>
        <v>0</v>
      </c>
      <c r="G155" s="46">
        <f>=IFERROR(ROUND(G19/$B155,0),0)</f>
        <v>0</v>
      </c>
      <c r="H155" s="46">
        <f>=IFERROR(ROUND(H19/$B155,0),0)</f>
        <v>0</v>
      </c>
      <c r="I155" s="46">
        <f>=IFERROR(ROUND(I19/$B155,0),0)</f>
        <v>0</v>
      </c>
      <c r="J155" s="46">
        <f>=IFERROR(ROUND(J19/$B155,0),0)</f>
        <v>0</v>
      </c>
      <c r="K155" s="46">
        <f>=IFERROR(ROUND(K19/$B155,0),0)</f>
        <v>0</v>
      </c>
      <c r="L155" s="46">
        <f>=IFERROR(ROUND(L19/$B155,0),0)</f>
        <v>0</v>
      </c>
      <c r="M155" s="46">
        <f>=IFERROR(ROUND(M19/$B155,0),0)</f>
        <v>0</v>
      </c>
      <c r="N155" s="46">
        <f>=IFERROR(ROUND(N19/$B155,0),0)</f>
        <v>0</v>
      </c>
      <c r="O155" s="46">
        <f>=IFERROR(ROUND(O19/$B155,0),0)</f>
        <v>0</v>
      </c>
      <c r="P155" s="46">
        <f>=IFERROR(ROUND(P19/$B155,0),0)</f>
        <v>0</v>
      </c>
      <c r="Q155" s="46">
        <f>=IFERROR(ROUND(Q19/$B155,0),0)</f>
        <v>0</v>
      </c>
      <c r="R155" s="46">
        <f>=IFERROR(ROUND(R19/$B155,0),0)</f>
        <v>0</v>
      </c>
      <c r="S155" s="46">
        <f>=IFERROR(ROUND(S19/$B155,0),0)</f>
        <v>0</v>
      </c>
      <c r="T155" s="46">
        <f>=IFERROR(ROUND(T19/$B155,0),0)</f>
        <v>0</v>
      </c>
      <c r="U155" s="46">
        <f>=IFERROR(ROUND(U19/$B155,0),0)</f>
        <v>0</v>
      </c>
      <c r="V155" s="46">
        <f>=IFERROR(ROUND(V19/$B155,0),0)</f>
        <v>0</v>
      </c>
      <c r="W155" s="46">
        <f>=IFERROR(ROUND(W19/$B155,0),0)</f>
        <v>0</v>
      </c>
      <c r="X155" s="46">
        <f>=IFERROR(ROUND(X19/$B155,0),0)</f>
        <v>0</v>
      </c>
      <c r="Y155" s="46">
        <f>=IFERROR(ROUND(Y19/$B155,0),0)</f>
        <v>0</v>
      </c>
      <c r="Z155" s="46">
        <f>=IFERROR(ROUND(Z19/$B155,0),0)</f>
        <v>0</v>
      </c>
      <c r="AA155" s="46">
        <f>=IFERROR(ROUND(AA19/$B155,0),0)</f>
        <v>0</v>
      </c>
      <c r="AB155" s="46">
        <f>=IFERROR(ROUND(AB19/$B155,0),0)</f>
        <v>0</v>
      </c>
      <c r="AC155" s="46">
        <f>=IFERROR(ROUND(AC19/$B155,0),0)</f>
        <v>0</v>
      </c>
      <c r="AD155" s="46">
        <f>=IFERROR(ROUND(AD19/$B155,0),0)</f>
        <v>0</v>
      </c>
      <c r="AE155" s="46">
        <f>=IFERROR(ROUND(AE19/$B155,0),0)</f>
        <v>0</v>
      </c>
      <c r="AF155" s="46">
        <f>=IFERROR(ROUND(AF19/$B155,0),0)</f>
        <v>0</v>
      </c>
      <c r="AG155" s="46">
        <f>=IFERROR(ROUND(AG19/$B155,0),0)</f>
        <v>0</v>
      </c>
      <c r="AH155" s="46">
        <f>=IFERROR(ROUND(AH19/$B155,0),0)</f>
        <v>0</v>
      </c>
      <c r="AI155" s="46">
        <f>=IFERROR(ROUND(AI19/$B155,0),0)</f>
        <v>0</v>
      </c>
      <c r="AJ155" s="46">
        <f>=IFERROR(ROUND(AJ19/$B155,0),0)</f>
        <v>0</v>
      </c>
      <c r="AK155" s="46">
        <f>=IFERROR(ROUND(AK19/$B155,0),0)</f>
        <v>0</v>
      </c>
      <c r="AL155" s="46">
        <f>=IFERROR(ROUND(AL19/$B155,0),0)</f>
        <v>0</v>
      </c>
      <c r="AM155" s="46">
        <f>=IFERROR(ROUND(AM19/$B155,0),0)</f>
        <v>0</v>
      </c>
      <c r="AN155" s="46">
        <f>=IFERROR(ROUND(AN19/$B155,0),0)</f>
        <v>0</v>
      </c>
      <c r="AO155" s="46">
        <f>=IFERROR(ROUND(AO19/$B155,0),0)</f>
        <v>0</v>
      </c>
      <c r="AP155" s="46">
        <f>=IFERROR(ROUND(AP19/$B155,0),0)</f>
        <v>0</v>
      </c>
      <c r="AQ155" s="46">
        <f>=IFERROR(ROUND(AQ19/$B155,0),0)</f>
        <v>0</v>
      </c>
      <c r="AR155" s="46">
        <f>=IFERROR(ROUND(AR19/$B155,0),0)</f>
        <v>0</v>
      </c>
      <c r="AS155" s="46">
        <f>=IFERROR(ROUND(AS19/$B155,0),0)</f>
        <v>0</v>
      </c>
      <c r="AT155" s="46">
        <f>=IFERROR(ROUND(AT19/$B155,0),0)</f>
        <v>0</v>
      </c>
      <c r="AU155" s="46">
        <f>=IFERROR(ROUND(AU19/$B155,0),0)</f>
        <v>0</v>
      </c>
      <c r="AV155" s="46">
        <f>=IFERROR(ROUND(AV19/$B155,0),0)</f>
        <v>0</v>
      </c>
      <c r="AW155" s="46">
        <f>=IFERROR(ROUND(AW19/$B155,0),0)</f>
        <v>0</v>
      </c>
      <c r="AX155" s="46">
        <f>=IFERROR(ROUND(AX19/$B155,0),0)</f>
        <v>0</v>
      </c>
      <c r="AY155" s="46">
        <f>=IFERROR(ROUND(AY19/$B155,0),0)</f>
        <v>0</v>
      </c>
      <c r="AZ155" s="46">
        <f>=IFERROR(ROUND(AZ19/$B155,0),0)</f>
        <v>0</v>
      </c>
      <c r="BA155" s="46">
        <f>=IFERROR(ROUND(BA19/$B155,0),0)</f>
        <v>0</v>
      </c>
      <c r="BB155" s="46">
        <f>=IFERROR(ROUND(BB19/$B155,0),0)</f>
        <v>0</v>
      </c>
      <c r="BC155" s="46">
        <f>=IFERROR(ROUND(BC19/$B155,0),0)</f>
        <v>0</v>
      </c>
      <c r="BD155" s="46">
        <f>=IFERROR(ROUND(BD19/$B155,0),0)</f>
        <v>0</v>
      </c>
      <c r="BE155" s="46">
        <f>=IFERROR(ROUND(BE19/$B155,0),0)</f>
        <v>0</v>
      </c>
      <c r="BF155" s="46">
        <f>=IFERROR(ROUND(BF19/$B155,0),0)</f>
        <v>0</v>
      </c>
      <c r="BG155" s="46">
        <f>=IFERROR(ROUND(BG19/$B155,0),0)</f>
        <v>0</v>
      </c>
      <c r="BH155" s="46">
        <f>=IFERROR(ROUND(BH19/$B155,0),0)</f>
        <v>0</v>
      </c>
      <c r="BI155" s="46">
        <f>=IFERROR(ROUND(BI19/$B155,0),0)</f>
        <v>0</v>
      </c>
      <c r="BJ155" s="46">
        <f>=IFERROR(ROUND(BJ19/$B155,0),0)</f>
        <v>0</v>
      </c>
      <c r="BK155" s="46">
        <f>=IFERROR(ROUND(BK19/$B155,0),0)</f>
        <v>0</v>
      </c>
      <c r="BL155" s="73">
        <f>=IFERROR(ROUND(BL19/$B155,0),0)</f>
        <v>0</v>
      </c>
      <c r="BM155" s="46">
        <f>=IFERROR(ROUND(BM19/$B155,0),0)</f>
        <v>0</v>
      </c>
      <c r="BN155" s="46">
        <f>=IFERROR(ROUND(BN19/$B155,0),0)</f>
        <v>0</v>
      </c>
      <c r="BO155" s="46">
        <f>=IFERROR(ROUND(BO19/$B155,0),0)</f>
        <v>0</v>
      </c>
      <c r="BP155" s="46">
        <f>=IFERROR(ROUND(BP19/$B155,0),0)</f>
        <v>0</v>
      </c>
      <c r="BQ155" s="46">
        <f>=IFERROR(ROUND(BQ19/$B155,0),0)</f>
        <v>0</v>
      </c>
      <c r="BR155" s="46">
        <f>=IFERROR(ROUND(BR19/$B155,0),0)</f>
        <v>0</v>
      </c>
      <c r="BS155" s="46">
        <f>=IFERROR(ROUND(BS19/$B155,0),0)</f>
        <v>0</v>
      </c>
      <c r="BT155" s="46">
        <f>=IFERROR(ROUND(BT19/$B155,0),0)</f>
        <v>0</v>
      </c>
      <c r="BU155" s="46">
        <f>=IFERROR(ROUND(BU19/$B155,0),0)</f>
        <v>0</v>
      </c>
      <c r="BV155" s="46">
        <f>=IFERROR(ROUND(BV19/$B155,0),0)</f>
        <v>0</v>
      </c>
      <c r="BW155" s="46">
        <f>=IFERROR(ROUND(BW19/$B155,0),0)</f>
        <v>0</v>
      </c>
      <c r="BX155" s="46">
        <f>=IFERROR(ROUND(BX19/$B155,0),0)</f>
        <v>0</v>
      </c>
      <c r="BY155" s="73">
        <f>=IFERROR(ROUND(BY19/$B155,0),0)</f>
        <v>0</v>
      </c>
      <c r="BZ155" s="46">
        <f>=IFERROR(ROUND(BZ19/$B155,0),0)</f>
        <v>0</v>
      </c>
      <c r="CA155" s="46">
        <f>=IFERROR(ROUND(CA19/$B155,0),0)</f>
        <v>0</v>
      </c>
      <c r="CB155" s="46">
        <f>=IFERROR(ROUND(CB19/$B155,0),0)</f>
        <v>0</v>
      </c>
      <c r="CC155" s="46">
        <f>=IFERROR(ROUND(CC19/$B155,0),0)</f>
        <v>0</v>
      </c>
      <c r="CD155" s="46">
        <f>=IFERROR(ROUND(CD19/$B155,0),0)</f>
        <v>0</v>
      </c>
      <c r="CE155" s="46">
        <f>=IFERROR(ROUND(CE19/$B155,0),0)</f>
        <v>0</v>
      </c>
      <c r="CF155" s="46">
        <f>=IFERROR(ROUND(CF19/$B155,0),0)</f>
        <v>0</v>
      </c>
      <c r="CG155" s="46">
        <f>=IFERROR(ROUND(CG19/$B155,0),0)</f>
        <v>0</v>
      </c>
      <c r="CH155" s="46">
        <f>=IFERROR(ROUND(CH19/$B155,0),0)</f>
        <v>0</v>
      </c>
      <c r="CI155" s="46">
        <f>=IFERROR(ROUND(CI19/$B155,0),0)</f>
        <v>0</v>
      </c>
      <c r="CJ155" s="46">
        <f>=IFERROR(ROUND(CJ19/$B155,0),0)</f>
        <v>0</v>
      </c>
      <c r="CK155" s="46">
        <f>=IFERROR(ROUND(CK19/$B155,0),0)</f>
        <v>0</v>
      </c>
      <c r="CL155" s="46">
        <f>=IFERROR(ROUND(CL19/$B155,0),0)</f>
        <v>0</v>
      </c>
      <c r="CM155" s="46">
        <f>=IFERROR(ROUND(CM19/$B155,0),0)</f>
        <v>0</v>
      </c>
      <c r="CN155" s="46">
        <f>=IFERROR(ROUND(CN19/$B155,0),0)</f>
        <v>0</v>
      </c>
      <c r="CO155" s="46">
        <f>=IFERROR(ROUND(CO19/$B155,0),0)</f>
        <v>0</v>
      </c>
      <c r="CP155" s="46">
        <f>=IFERROR(ROUND(CP19/$B155,0),0)</f>
        <v>0</v>
      </c>
      <c r="CQ155" s="46">
        <f>=IFERROR(ROUND(CQ19/$B155,0),0)</f>
        <v>0</v>
      </c>
      <c r="CR155" s="46">
        <f>=IFERROR(ROUND(CR19/$B155,0),0)</f>
        <v>0</v>
      </c>
      <c r="CS155" s="46">
        <f>=IFERROR(ROUND(CS19/$B155,0),0)</f>
        <v>0</v>
      </c>
      <c r="CT155" s="73">
        <f>=IFERROR(ROUND(CT19/$B155,0),0)</f>
        <v>0</v>
      </c>
      <c r="CU155" s="46">
        <f>=IFERROR(ROUND(CU19/$B155,0),0)</f>
        <v>0</v>
      </c>
      <c r="CV155" s="46">
        <f>=IFERROR(ROUND(CV19/$B155,0),0)</f>
        <v>0</v>
      </c>
      <c r="CW155" s="73">
        <f>=IFERROR(ROUND(CW19/$B155,0),0)</f>
        <v>0</v>
      </c>
      <c r="CX155" s="73">
        <f>=IFERROR(ROUND(CX19/$B155,0),0)</f>
        <v>0</v>
      </c>
      <c r="CY155" s="46">
        <f>=IFERROR(ROUND(CY19/$B155,0),0)</f>
        <v>0</v>
      </c>
      <c r="CZ155" s="46">
        <f>=IFERROR(ROUND(CZ19/$B155,0),0)</f>
        <v>0</v>
      </c>
      <c r="DA155" s="46">
        <f>=IFERROR(ROUND(DA19/$B155,0),0)</f>
        <v>0</v>
      </c>
      <c r="DB155" s="46">
        <f>=IFERROR(ROUND(DB19/$B155,0),0)</f>
        <v>0</v>
      </c>
    </row>
    <row r="156" spans="1:106" x14ac:dyDescent="0.25">
      <c r="A156" s="17" t="s">
        <v>360</v>
      </c>
      <c r="B156" s="17">
        <v>100</v>
      </c>
      <c r="C156" s="46">
        <f>=IFERROR(ROUND(C10/$B156,0),0)</f>
        <v>0</v>
      </c>
      <c r="D156" s="46">
        <f>=IFERROR(ROUND(D10/$B156,0),0)</f>
        <v>0</v>
      </c>
      <c r="E156" s="46">
        <f>=IFERROR(ROUND(E10/$B156,0),0)</f>
        <v>0</v>
      </c>
      <c r="F156" s="46">
        <f>=IFERROR(ROUND(F10/$B156,0),0)</f>
        <v>0</v>
      </c>
      <c r="G156" s="46">
        <f>=IFERROR(ROUND(G10/$B156,0),0)</f>
        <v>0</v>
      </c>
      <c r="H156" s="46">
        <f>=IFERROR(ROUND(H10/$B156,0),0)</f>
        <v>0</v>
      </c>
      <c r="I156" s="46">
        <f>=IFERROR(ROUND(I10/$B156,0),0)</f>
        <v>0</v>
      </c>
      <c r="J156" s="46">
        <f>=IFERROR(ROUND(J10/$B156,0),0)</f>
        <v>0</v>
      </c>
      <c r="K156" s="46">
        <f>=IFERROR(ROUND(K10/$B156,0),0)</f>
        <v>0</v>
      </c>
      <c r="L156" s="46">
        <f>=IFERROR(ROUND(L10/$B156,0),0)</f>
        <v>0</v>
      </c>
      <c r="M156" s="46">
        <f>=IFERROR(ROUND(M10/$B156,0),0)</f>
        <v>0</v>
      </c>
      <c r="N156" s="46">
        <f>=IFERROR(ROUND(N10/$B156,0),0)</f>
        <v>0</v>
      </c>
      <c r="O156" s="46">
        <f>=IFERROR(ROUND(O10/$B156,0),0)</f>
        <v>0</v>
      </c>
      <c r="P156" s="46">
        <f>=IFERROR(ROUND(P10/$B156,0),0)</f>
        <v>0</v>
      </c>
      <c r="Q156" s="46">
        <f>=IFERROR(ROUND(Q10/$B156,0),0)</f>
        <v>0</v>
      </c>
      <c r="R156" s="46">
        <f>=IFERROR(ROUND(R10/$B156,0),0)</f>
        <v>0</v>
      </c>
      <c r="S156" s="46">
        <f>=IFERROR(ROUND(S10/$B156,0),0)</f>
        <v>0</v>
      </c>
      <c r="T156" s="46">
        <f>=IFERROR(ROUND(T10/$B156,0),0)</f>
        <v>0</v>
      </c>
      <c r="U156" s="46">
        <f>=IFERROR(ROUND(U10/$B156,0),0)</f>
        <v>0</v>
      </c>
      <c r="V156" s="46">
        <f>=IFERROR(ROUND(V10/$B156,0),0)</f>
        <v>0</v>
      </c>
      <c r="W156" s="46">
        <f>=IFERROR(ROUND(W10/$B156,0),0)</f>
        <v>0</v>
      </c>
      <c r="X156" s="46">
        <f>=IFERROR(ROUND(X10/$B156,0),0)</f>
        <v>0</v>
      </c>
      <c r="Y156" s="46">
        <f>=IFERROR(ROUND(Y10/$B156,0),0)</f>
        <v>0</v>
      </c>
      <c r="Z156" s="46">
        <f>=IFERROR(ROUND(Z10/$B156,0),0)</f>
        <v>0</v>
      </c>
      <c r="AA156" s="46">
        <f>=IFERROR(ROUND(AA10/$B156,0),0)</f>
        <v>0</v>
      </c>
      <c r="AB156" s="46">
        <f>=IFERROR(ROUND(AB10/$B156,0),0)</f>
        <v>0</v>
      </c>
      <c r="AC156" s="46">
        <f>=IFERROR(ROUND(AC10/$B156,0),0)</f>
        <v>0</v>
      </c>
      <c r="AD156" s="46">
        <f>=IFERROR(ROUND(AD10/$B156,0),0)</f>
        <v>0</v>
      </c>
      <c r="AE156" s="46">
        <f>=IFERROR(ROUND(AE10/$B156,0),0)</f>
        <v>0</v>
      </c>
      <c r="AF156" s="46">
        <f>=IFERROR(ROUND(AF10/$B156,0),0)</f>
        <v>0</v>
      </c>
      <c r="AG156" s="46">
        <f>=IFERROR(ROUND(AG10/$B156,0),0)</f>
        <v>0</v>
      </c>
      <c r="AH156" s="46">
        <f>=IFERROR(ROUND(AH10/$B156,0),0)</f>
        <v>0</v>
      </c>
      <c r="AI156" s="46">
        <f>=IFERROR(ROUND(AI10/$B156,0),0)</f>
        <v>0</v>
      </c>
      <c r="AJ156" s="46">
        <f>=IFERROR(ROUND(AJ10/$B156,0),0)</f>
        <v>0</v>
      </c>
      <c r="AK156" s="46">
        <f>=IFERROR(ROUND(AK10/$B156,0),0)</f>
        <v>0</v>
      </c>
      <c r="AL156" s="46">
        <f>=IFERROR(ROUND(AL10/$B156,0),0)</f>
        <v>0</v>
      </c>
      <c r="AM156" s="46">
        <f>=IFERROR(ROUND(AM10/$B156,0),0)</f>
        <v>0</v>
      </c>
      <c r="AN156" s="46">
        <f>=IFERROR(ROUND(AN10/$B156,0),0)</f>
        <v>0</v>
      </c>
      <c r="AO156" s="46">
        <f>=IFERROR(ROUND(AO10/$B156,0),0)</f>
        <v>0</v>
      </c>
      <c r="AP156" s="46">
        <f>=IFERROR(ROUND(AP10/$B156,0),0)</f>
        <v>0</v>
      </c>
      <c r="AQ156" s="46">
        <f>=IFERROR(ROUND(AQ10/$B156,0),0)</f>
        <v>0</v>
      </c>
      <c r="AR156" s="46">
        <f>=IFERROR(ROUND(AR10/$B156,0),0)</f>
        <v>0</v>
      </c>
      <c r="AS156" s="46">
        <f>=IFERROR(ROUND(AS10/$B156,0),0)</f>
        <v>0</v>
      </c>
      <c r="AT156" s="46">
        <f>=IFERROR(ROUND(AT10/$B156,0),0)</f>
        <v>0</v>
      </c>
      <c r="AU156" s="46">
        <f>=IFERROR(ROUND(AU10/$B156,0),0)</f>
        <v>0</v>
      </c>
      <c r="AV156" s="46">
        <f>=IFERROR(ROUND(AV10/$B156,0),0)</f>
        <v>0</v>
      </c>
      <c r="AW156" s="46">
        <f>=IFERROR(ROUND(AW10/$B156,0),0)</f>
        <v>0</v>
      </c>
      <c r="AX156" s="46">
        <f>=IFERROR(ROUND(AX10/$B156,0),0)</f>
        <v>0</v>
      </c>
      <c r="AY156" s="46">
        <f>=IFERROR(ROUND(AY10/$B156,0),0)</f>
        <v>0</v>
      </c>
      <c r="AZ156" s="46">
        <f>=IFERROR(ROUND(AZ10/$B156,0),0)</f>
        <v>0</v>
      </c>
      <c r="BA156" s="46">
        <f>=IFERROR(ROUND(BA10/$B156,0),0)</f>
        <v>0</v>
      </c>
      <c r="BB156" s="46">
        <f>=IFERROR(ROUND(BB10/$B156,0),0)</f>
        <v>0</v>
      </c>
      <c r="BC156" s="46">
        <f>=IFERROR(ROUND(BC10/$B156,0),0)</f>
        <v>0</v>
      </c>
      <c r="BD156" s="46">
        <f>=IFERROR(ROUND(BD10/$B156,0),0)</f>
        <v>0</v>
      </c>
      <c r="BE156" s="46">
        <f>=IFERROR(ROUND(BE10/$B156,0),0)</f>
        <v>0</v>
      </c>
      <c r="BF156" s="46">
        <f>=IFERROR(ROUND(BF10/$B156,0),0)</f>
        <v>0</v>
      </c>
      <c r="BG156" s="46">
        <f>=IFERROR(ROUND(BG10/$B156,0),0)</f>
        <v>0</v>
      </c>
      <c r="BH156" s="73">
        <f>=IFERROR(ROUND(BH10/$B156,0),0)</f>
        <v>0</v>
      </c>
      <c r="BI156" s="46">
        <f>=IFERROR(ROUND(BI10/$B156,0),0)</f>
        <v>0</v>
      </c>
      <c r="BJ156" s="46">
        <f>=IFERROR(ROUND(BJ10/$B156,0),0)</f>
        <v>0</v>
      </c>
      <c r="BK156" s="46">
        <f>=IFERROR(ROUND(BK10/$B156,0),0)</f>
        <v>0</v>
      </c>
      <c r="BL156" s="73">
        <f>=IFERROR(ROUND(BL10/$B156,0),0)</f>
        <v>0</v>
      </c>
      <c r="BM156" s="46">
        <f>=IFERROR(ROUND(BM10/$B156,0),0)</f>
        <v>0</v>
      </c>
      <c r="BN156" s="46">
        <f>=IFERROR(ROUND(BN10/$B156,0),0)</f>
        <v>0</v>
      </c>
      <c r="BO156" s="73">
        <f>=IFERROR(ROUND(BO10/$B156,0),0)</f>
        <v>0</v>
      </c>
      <c r="BP156" s="46">
        <f>=IFERROR(ROUND(BP10/$B156,0),0)</f>
        <v>0</v>
      </c>
      <c r="BQ156" s="46">
        <f>=IFERROR(ROUND(BQ10/$B156,0),0)</f>
        <v>0</v>
      </c>
      <c r="BR156" s="46">
        <f>=IFERROR(ROUND(BR10/$B156,0),0)</f>
        <v>0</v>
      </c>
      <c r="BS156" s="46">
        <f>=IFERROR(ROUND(BS10/$B156,0),0)</f>
        <v>0</v>
      </c>
      <c r="BT156" s="46">
        <f>=IFERROR(ROUND(BT10/$B156,0),0)</f>
        <v>0</v>
      </c>
      <c r="BU156" s="46">
        <f>=IFERROR(ROUND(BU10/$B156,0),0)</f>
        <v>0</v>
      </c>
      <c r="BV156" s="46">
        <f>=IFERROR(ROUND(BV10/$B156,0),0)</f>
        <v>0</v>
      </c>
      <c r="BW156" s="46">
        <f>=IFERROR(ROUND(BW10/$B156,0),0)</f>
        <v>0</v>
      </c>
      <c r="BX156" s="46">
        <f>=IFERROR(ROUND(BX10/$B156,0),0)</f>
        <v>0</v>
      </c>
      <c r="BY156" s="46">
        <f>=IFERROR(ROUND(BY10/$B156,0),0)</f>
        <v>0</v>
      </c>
      <c r="BZ156" s="46">
        <f>=IFERROR(ROUND(BZ10/$B156,0),0)</f>
        <v>0</v>
      </c>
      <c r="CA156" s="46">
        <f>=IFERROR(ROUND(CA10/$B156,0),0)</f>
        <v>0</v>
      </c>
      <c r="CB156" s="46">
        <f>=IFERROR(ROUND(CB10/$B156,0),0)</f>
        <v>0</v>
      </c>
      <c r="CC156" s="46">
        <f>=IFERROR(ROUND(CC10/$B156,0),0)</f>
        <v>0</v>
      </c>
      <c r="CD156" s="73">
        <f>=IFERROR(ROUND(CD10/$B156,0),0)</f>
        <v>0</v>
      </c>
      <c r="CE156" s="73">
        <f>=IFERROR(ROUND(CE10/$B156,0),0)</f>
        <v>0</v>
      </c>
      <c r="CF156" s="46">
        <f>=IFERROR(ROUND(CF10/$B156,0),0)</f>
        <v>0</v>
      </c>
      <c r="CG156" s="46">
        <f>=IFERROR(ROUND(CG10/$B156,0),0)</f>
        <v>0</v>
      </c>
      <c r="CH156" s="46">
        <f>=IFERROR(ROUND(CH10/$B156,0),0)</f>
        <v>0</v>
      </c>
      <c r="CI156" s="46">
        <f>=IFERROR(ROUND(CI10/$B156,0),0)</f>
        <v>0</v>
      </c>
      <c r="CJ156" s="46">
        <f>=IFERROR(ROUND(CJ10/$B156,0),0)</f>
        <v>0</v>
      </c>
      <c r="CK156" s="46">
        <f>=IFERROR(ROUND(CK10/$B156,0),0)</f>
        <v>0</v>
      </c>
      <c r="CL156" s="46">
        <f>=IFERROR(ROUND(CL10/$B156,0),0)</f>
        <v>0</v>
      </c>
      <c r="CM156" s="46">
        <f>=IFERROR(ROUND(CM10/$B156,0),0)</f>
        <v>0</v>
      </c>
      <c r="CN156" s="46">
        <f>=IFERROR(ROUND(CN10/$B156,0),0)</f>
        <v>0</v>
      </c>
      <c r="CO156" s="46">
        <f>=IFERROR(ROUND(CO10/$B156,0),0)</f>
        <v>0</v>
      </c>
      <c r="CP156" s="46">
        <f>=IFERROR(ROUND(CP10/$B156,0),0)</f>
        <v>0</v>
      </c>
      <c r="CQ156" s="46">
        <f>=IFERROR(ROUND(CQ10/$B156,0),0)</f>
        <v>0</v>
      </c>
      <c r="CR156" s="46">
        <f>=IFERROR(ROUND(CR10/$B156,0),0)</f>
        <v>0</v>
      </c>
      <c r="CS156" s="46">
        <f>=IFERROR(ROUND(CS10/$B156,0),0)</f>
        <v>0</v>
      </c>
      <c r="CT156" s="46">
        <f>=IFERROR(ROUND(CT10/$B156,0),0)</f>
        <v>0</v>
      </c>
      <c r="CU156" s="46">
        <f>=IFERROR(ROUND(CU10/$B156,0),0)</f>
        <v>0</v>
      </c>
      <c r="CV156" s="46">
        <f>=IFERROR(ROUND(CV10/$B156,0),0)</f>
        <v>0</v>
      </c>
      <c r="CW156" s="73">
        <f>=IFERROR(ROUND(CW10/$B156,0),0)</f>
        <v>0</v>
      </c>
      <c r="CX156" s="46">
        <f>=IFERROR(ROUND(CX10/$B156,0),0)</f>
        <v>0</v>
      </c>
      <c r="CY156" s="46">
        <f>=IFERROR(ROUND(CY10/$B156,0),0)</f>
        <v>0</v>
      </c>
      <c r="CZ156" s="46">
        <f>=IFERROR(ROUND(CZ10/$B156,0),0)</f>
        <v>0</v>
      </c>
      <c r="DA156" s="46">
        <f>=IFERROR(ROUND(DA10/$B156,0),0)</f>
        <v>0</v>
      </c>
      <c r="DB156" s="46">
        <f>=IFERROR(ROUND(DB10/$B156,0),0)</f>
        <v>0</v>
      </c>
    </row>
    <row r="157" spans="1:106" x14ac:dyDescent="0.25">
      <c r="A157" s="17" t="s">
        <v>361</v>
      </c>
      <c r="B157" s="17">
        <v>5</v>
      </c>
      <c r="C157" s="46">
        <f>=IFERROR(ROUND((C21+C22)/$B157,0),0)</f>
        <v>0</v>
      </c>
      <c r="D157" s="46">
        <f>=IFERROR(ROUND((D21+D22)/$B157,0),0)</f>
        <v>0</v>
      </c>
      <c r="E157" s="46">
        <f>=IFERROR(ROUND((E21+E22)/$B157,0),0)</f>
        <v>0</v>
      </c>
      <c r="F157" s="46">
        <f>=IFERROR(ROUND((F21+F22)/$B157,0),0)</f>
        <v>0</v>
      </c>
      <c r="G157" s="46">
        <f>=IFERROR(ROUND((G21+G22)/$B157,0),0)</f>
        <v>0</v>
      </c>
      <c r="H157" s="46">
        <f>=IFERROR(ROUND((H21+H22)/$B157,0),0)</f>
        <v>0</v>
      </c>
      <c r="I157" s="46">
        <f>=IFERROR(ROUND((I21+I22)/$B157,0),0)</f>
        <v>0</v>
      </c>
      <c r="J157" s="46">
        <f>=IFERROR(ROUND((J21+J22)/$B157,0),0)</f>
        <v>0</v>
      </c>
      <c r="K157" s="46">
        <f>=IFERROR(ROUND((K21+K22)/$B157,0),0)</f>
        <v>0</v>
      </c>
      <c r="L157" s="46">
        <f>=IFERROR(ROUND((L21+L22)/$B157,0),0)</f>
        <v>0</v>
      </c>
      <c r="M157" s="46">
        <f>=IFERROR(ROUND((M21+M22)/$B157,0),0)</f>
        <v>0</v>
      </c>
      <c r="N157" s="46">
        <f>=IFERROR(ROUND((N21+N22)/$B157,0),0)</f>
        <v>0</v>
      </c>
      <c r="O157" s="46">
        <f>=IFERROR(ROUND((O21+O22)/$B157,0),0)</f>
        <v>0</v>
      </c>
      <c r="P157" s="46">
        <f>=IFERROR(ROUND((P21+P22)/$B157,0),0)</f>
        <v>0</v>
      </c>
      <c r="Q157" s="46">
        <f>=IFERROR(ROUND((Q21+Q22)/$B157,0),0)</f>
        <v>0</v>
      </c>
      <c r="R157" s="46">
        <f>=IFERROR(ROUND((R21+R22)/$B157,0),0)</f>
        <v>0</v>
      </c>
      <c r="S157" s="46">
        <f>=IFERROR(ROUND((S21+S22)/$B157,0),0)</f>
        <v>0</v>
      </c>
      <c r="T157" s="46">
        <f>=IFERROR(ROUND((T21+T22)/$B157,0),0)</f>
        <v>0</v>
      </c>
      <c r="U157" s="46">
        <f>=IFERROR(ROUND((U21+U22)/$B157,0),0)</f>
        <v>0</v>
      </c>
      <c r="V157" s="46">
        <f>=IFERROR(ROUND((V21+V22)/$B157,0),0)</f>
        <v>0</v>
      </c>
      <c r="W157" s="46">
        <f>=IFERROR(ROUND((W21+W22)/$B157,0),0)</f>
        <v>0</v>
      </c>
      <c r="X157" s="46">
        <f>=IFERROR(ROUND((X21+X22)/$B157,0),0)</f>
        <v>0</v>
      </c>
      <c r="Y157" s="46">
        <f>=IFERROR(ROUND((Y21+Y22)/$B157,0),0)</f>
        <v>0</v>
      </c>
      <c r="Z157" s="46">
        <f>=IFERROR(ROUND((Z21+Z22)/$B157,0),0)</f>
        <v>0</v>
      </c>
      <c r="AA157" s="46">
        <f>=IFERROR(ROUND((AA21+AA22)/$B157,0),0)</f>
        <v>0</v>
      </c>
      <c r="AB157" s="46">
        <f>=IFERROR(ROUND((AB21+AB22)/$B157,0),0)</f>
        <v>0</v>
      </c>
      <c r="AC157" s="46">
        <f>=IFERROR(ROUND((AC21+AC22)/$B157,0),0)</f>
        <v>0</v>
      </c>
      <c r="AD157" s="46">
        <f>=IFERROR(ROUND((AD21+AD22)/$B157,0),0)</f>
        <v>0</v>
      </c>
      <c r="AE157" s="46">
        <f>=IFERROR(ROUND((AE21+AE22)/$B157,0),0)</f>
        <v>0</v>
      </c>
      <c r="AF157" s="46">
        <f>=IFERROR(ROUND((AF21+AF22)/$B157,0),0)</f>
        <v>0</v>
      </c>
      <c r="AG157" s="46">
        <f>=IFERROR(ROUND((AG21+AG22)/$B157,0),0)</f>
        <v>0</v>
      </c>
      <c r="AH157" s="46">
        <f>=IFERROR(ROUND((AH21+AH22)/$B157,0),0)</f>
        <v>0</v>
      </c>
      <c r="AI157" s="46">
        <f>=IFERROR(ROUND((AI21+AI22)/$B157,0),0)</f>
        <v>0</v>
      </c>
      <c r="AJ157" s="46">
        <f>=IFERROR(ROUND((AJ21+AJ22)/$B157,0),0)</f>
        <v>0</v>
      </c>
      <c r="AK157" s="46">
        <f>=IFERROR(ROUND((AK21+AK22)/$B157,0),0)</f>
        <v>0</v>
      </c>
      <c r="AL157" s="46">
        <f>=IFERROR(ROUND((AL21+AL22)/$B157,0),0)</f>
        <v>0</v>
      </c>
      <c r="AM157" s="46">
        <f>=IFERROR(ROUND((AM21+AM22)/$B157,0),0)</f>
        <v>0</v>
      </c>
      <c r="AN157" s="46">
        <f>=IFERROR(ROUND((AN21+AN22)/$B157,0),0)</f>
        <v>0</v>
      </c>
      <c r="AO157" s="46">
        <f>=IFERROR(ROUND((AO21+AO22)/$B157,0),0)</f>
        <v>0</v>
      </c>
      <c r="AP157" s="46">
        <f>=IFERROR(ROUND((AP21+AP22)/$B157,0),0)</f>
        <v>0</v>
      </c>
      <c r="AQ157" s="46">
        <f>=IFERROR(ROUND((AQ21+AQ22)/$B157,0),0)</f>
        <v>0</v>
      </c>
      <c r="AR157" s="46">
        <f>=IFERROR(ROUND((AR21+AR22)/$B157,0),0)</f>
        <v>0</v>
      </c>
      <c r="AS157" s="46">
        <f>=IFERROR(ROUND((AS21+AS22)/$B157,0),0)</f>
        <v>0</v>
      </c>
      <c r="AT157" s="46">
        <f>=IFERROR(ROUND((AT21+AT22)/$B157,0),0)</f>
        <v>0</v>
      </c>
      <c r="AU157" s="46">
        <f>=IFERROR(ROUND((AU21+AU22)/$B157,0),0)</f>
        <v>0</v>
      </c>
      <c r="AV157" s="46">
        <f>=IFERROR(ROUND((AV21+AV22)/$B157,0),0)</f>
        <v>0</v>
      </c>
      <c r="AW157" s="46">
        <f>=IFERROR(ROUND((AW21+AW22)/$B157,0),0)</f>
        <v>0</v>
      </c>
      <c r="AX157" s="46">
        <f>=IFERROR(ROUND((AX21+AX22)/$B157,0),0)</f>
        <v>0</v>
      </c>
      <c r="AY157" s="46">
        <f>=IFERROR(ROUND((AY21+AY22)/$B157,0),0)</f>
        <v>0</v>
      </c>
      <c r="AZ157" s="46">
        <f>=IFERROR(ROUND((AZ21+AZ22)/$B157,0),0)</f>
        <v>0</v>
      </c>
      <c r="BA157" s="46">
        <f>=IFERROR(ROUND((BA21+BA22)/$B157,0),0)</f>
        <v>0</v>
      </c>
      <c r="BB157" s="46">
        <f>=IFERROR(ROUND((BB21+BB22)/$B157,0),0)</f>
        <v>0</v>
      </c>
      <c r="BC157" s="46">
        <f>=IFERROR(ROUND((BC21+BC22)/$B157,0),0)</f>
        <v>0</v>
      </c>
      <c r="BD157" s="46">
        <f>=IFERROR(ROUND((BD21+BD22)/$B157,0),0)</f>
        <v>0</v>
      </c>
      <c r="BE157" s="46">
        <f>=IFERROR(ROUND((BE21+BE22)/$B157,0),0)</f>
        <v>0</v>
      </c>
      <c r="BF157" s="46">
        <f>=IFERROR(ROUND((BF21+BF22)/$B157,0),0)</f>
        <v>0</v>
      </c>
      <c r="BG157" s="46">
        <f>=IFERROR(ROUND((BG21+BG22)/$B157,0),0)</f>
        <v>0</v>
      </c>
      <c r="BH157" s="46">
        <f>=IFERROR(ROUND((BH21+BH22)/$B157,0),0)</f>
        <v>0</v>
      </c>
      <c r="BI157" s="46">
        <f>=IFERROR(ROUND((BI21+BI22)/$B157,0),0)</f>
        <v>0</v>
      </c>
      <c r="BJ157" s="46">
        <f>=IFERROR(ROUND((BJ21+BJ22)/$B157,0),0)</f>
        <v>0</v>
      </c>
      <c r="BK157" s="46">
        <f>=IFERROR(ROUND((BK21+BK22)/$B157,0),0)</f>
        <v>0</v>
      </c>
      <c r="BL157" s="46">
        <f>=IFERROR(ROUND((BL21+BL22)/$B157,0),0)</f>
        <v>0</v>
      </c>
      <c r="BM157" s="46">
        <f>=IFERROR(ROUND((BM21+BM22)/$B157,0),0)</f>
        <v>0</v>
      </c>
      <c r="BN157" s="46">
        <f>=IFERROR(ROUND((BN21+BN22)/$B157,0),0)</f>
        <v>0</v>
      </c>
      <c r="BO157" s="46">
        <f>=IFERROR(ROUND((BO21+BO22)/$B157,0),0)</f>
        <v>0</v>
      </c>
      <c r="BP157" s="46">
        <f>=IFERROR(ROUND((BP21+BP22)/$B157,0),0)</f>
        <v>0</v>
      </c>
      <c r="BQ157" s="46">
        <f>=IFERROR(ROUND((BQ21+BQ22)/$B157,0),0)</f>
        <v>0</v>
      </c>
      <c r="BR157" s="46">
        <f>=IFERROR(ROUND((BR21+BR22)/$B157,0),0)</f>
        <v>0</v>
      </c>
      <c r="BS157" s="46">
        <f>=IFERROR(ROUND((BS21+BS22)/$B157,0),0)</f>
        <v>0</v>
      </c>
      <c r="BT157" s="46">
        <f>=IFERROR(ROUND((BT21+BT22)/$B157,0),0)</f>
        <v>0</v>
      </c>
      <c r="BU157" s="46">
        <f>=IFERROR(ROUND((BU21+BU22)/$B157,0),0)</f>
        <v>0</v>
      </c>
      <c r="BV157" s="46">
        <f>=IFERROR(ROUND((BV21+BV22)/$B157,0),0)</f>
        <v>0</v>
      </c>
      <c r="BW157" s="46">
        <f>=IFERROR(ROUND((BW21+BW22)/$B157,0),0)</f>
        <v>0</v>
      </c>
      <c r="BX157" s="46">
        <f>=IFERROR(ROUND((BX21+BX22)/$B157,0),0)</f>
        <v>0</v>
      </c>
      <c r="BY157" s="46">
        <f>=IFERROR(ROUND((BY21+BY22)/$B157,0),0)</f>
        <v>0</v>
      </c>
      <c r="BZ157" s="46">
        <f>=IFERROR(ROUND((BZ21+BZ22)/$B157,0),0)</f>
        <v>0</v>
      </c>
      <c r="CA157" s="46">
        <f>=IFERROR(ROUND((CA21+CA22)/$B157,0),0)</f>
        <v>0</v>
      </c>
      <c r="CB157" s="46">
        <f>=IFERROR(ROUND((CB21+CB22)/$B157,0),0)</f>
        <v>0</v>
      </c>
      <c r="CC157" s="46">
        <f>=IFERROR(ROUND((CC21+CC22)/$B157,0),0)</f>
        <v>0</v>
      </c>
      <c r="CD157" s="46">
        <f>=IFERROR(ROUND((CD21+CD22)/$B157,0),0)</f>
        <v>0</v>
      </c>
      <c r="CE157" s="46">
        <f>=IFERROR(ROUND((CE21+CE22)/$B157,0),0)</f>
        <v>0</v>
      </c>
      <c r="CF157" s="46">
        <f>=IFERROR(ROUND((CF21+CF22)/$B157,0),0)</f>
        <v>0</v>
      </c>
      <c r="CG157" s="46">
        <f>=IFERROR(ROUND((CG21+CG22)/$B157,0),0)</f>
        <v>0</v>
      </c>
      <c r="CH157" s="46">
        <f>=IFERROR(ROUND((CH21+CH22)/$B157,0),0)</f>
        <v>0</v>
      </c>
      <c r="CI157" s="46">
        <f>=IFERROR(ROUND((CI21+CI22)/$B157,0),0)</f>
        <v>0</v>
      </c>
      <c r="CJ157" s="46">
        <f>=IFERROR(ROUND((CJ21+CJ22)/$B157,0),0)</f>
        <v>0</v>
      </c>
      <c r="CK157" s="46">
        <f>=IFERROR(ROUND((CK21+CK22)/$B157,0),0)</f>
        <v>0</v>
      </c>
      <c r="CL157" s="46">
        <f>=IFERROR(ROUND((CL21+CL22)/$B157,0),0)</f>
        <v>0</v>
      </c>
      <c r="CM157" s="46">
        <f>=IFERROR(ROUND((CM21+CM22)/$B157,0),0)</f>
        <v>0</v>
      </c>
      <c r="CN157" s="46">
        <f>=IFERROR(ROUND((CN21+CN22)/$B157,0),0)</f>
        <v>0</v>
      </c>
      <c r="CO157" s="46">
        <f>=IFERROR(ROUND((CO21+CO22)/$B157,0),0)</f>
        <v>0</v>
      </c>
      <c r="CP157" s="46">
        <f>=IFERROR(ROUND((CP21+CP22)/$B157,0),0)</f>
        <v>0</v>
      </c>
      <c r="CQ157" s="46">
        <f>=IFERROR(ROUND((CQ21+CQ22)/$B157,0),0)</f>
        <v>0</v>
      </c>
      <c r="CR157" s="46">
        <f>=IFERROR(ROUND((CR21+CR22)/$B157,0),0)</f>
        <v>0</v>
      </c>
      <c r="CS157" s="46">
        <f>=IFERROR(ROUND((CS21+CS22)/$B157,0),0)</f>
        <v>0</v>
      </c>
      <c r="CT157" s="46">
        <f>=IFERROR(ROUND((CT21+CT22)/$B157,0),0)</f>
        <v>0</v>
      </c>
      <c r="CU157" s="46">
        <f>=IFERROR(ROUND((CU21+CU22)/$B157,0),0)</f>
        <v>0</v>
      </c>
      <c r="CV157" s="46">
        <f>=IFERROR(ROUND((CV21+CV22)/$B157,0),0)</f>
        <v>0</v>
      </c>
      <c r="CW157" s="46">
        <f>=IFERROR(ROUND((CW21+CW22)/$B157,0),0)</f>
        <v>0</v>
      </c>
      <c r="CX157" s="46">
        <f>=IFERROR(ROUND((CX21+CX22)/$B157,0),0)</f>
        <v>0</v>
      </c>
      <c r="CY157" s="46">
        <f>=IFERROR(ROUND((CY21+CY22)/$B157,0),0)</f>
        <v>0</v>
      </c>
      <c r="CZ157" s="46">
        <f>=IFERROR(ROUND((CZ21+CZ22)/$B157,0),0)</f>
        <v>0</v>
      </c>
      <c r="DA157" s="46">
        <f>=IFERROR(ROUND((DA21+DA22)/$B157,0),0)</f>
        <v>0</v>
      </c>
      <c r="DB157" s="46">
        <f>=IFERROR(ROUND((DB21+DB22)/$B157,0),0)</f>
        <v>0</v>
      </c>
    </row>
    <row r="158" spans="1:106" x14ac:dyDescent="0.25">
      <c r="A158" s="17" t="s">
        <v>362</v>
      </c>
      <c r="B158" s="17">
        <v>15</v>
      </c>
      <c r="C158" s="46">
        <f>=IFERROR(ROUND(C23/$B158,0),0)</f>
        <v>0</v>
      </c>
      <c r="D158" s="46">
        <f>=IFERROR(ROUND(D23/$B158,0),0)</f>
        <v>0</v>
      </c>
      <c r="E158" s="46">
        <f>=IFERROR(ROUND(E23/$B158,0),0)</f>
        <v>0</v>
      </c>
      <c r="F158" s="46">
        <f>=IFERROR(ROUND(F23/$B158,0),0)</f>
        <v>0</v>
      </c>
      <c r="G158" s="46">
        <f>=IFERROR(ROUND(G23/$B158,0),0)</f>
        <v>0</v>
      </c>
      <c r="H158" s="46">
        <f>=IFERROR(ROUND(H23/$B158,0),0)</f>
        <v>0</v>
      </c>
      <c r="I158" s="46">
        <f>=IFERROR(ROUND(I23/$B158,0),0)</f>
        <v>0</v>
      </c>
      <c r="J158" s="46">
        <f>=IFERROR(ROUND(J23/$B158,0),0)</f>
        <v>0</v>
      </c>
      <c r="K158" s="46">
        <f>=IFERROR(ROUND(K23/$B158,0),0)</f>
        <v>0</v>
      </c>
      <c r="L158" s="46">
        <f>=IFERROR(ROUND(L23/$B158,0),0)</f>
        <v>0</v>
      </c>
      <c r="M158" s="46">
        <f>=IFERROR(ROUND(M23/$B158,0),0)</f>
        <v>0</v>
      </c>
      <c r="N158" s="46">
        <f>=IFERROR(ROUND(N23/$B158,0),0)</f>
        <v>0</v>
      </c>
      <c r="O158" s="46">
        <f>=IFERROR(ROUND(O23/$B158,0),0)</f>
        <v>0</v>
      </c>
      <c r="P158" s="46">
        <f>=IFERROR(ROUND(P23/$B158,0),0)</f>
        <v>0</v>
      </c>
      <c r="Q158" s="46">
        <f>=IFERROR(ROUND(Q23/$B158,0),0)</f>
        <v>0</v>
      </c>
      <c r="R158" s="46">
        <f>=IFERROR(ROUND(R23/$B158,0),0)</f>
        <v>0</v>
      </c>
      <c r="S158" s="46">
        <f>=IFERROR(ROUND(S23/$B158,0),0)</f>
        <v>0</v>
      </c>
      <c r="T158" s="46">
        <f>=IFERROR(ROUND(T23/$B158,0),0)</f>
        <v>0</v>
      </c>
      <c r="U158" s="46">
        <f>=IFERROR(ROUND(U23/$B158,0),0)</f>
        <v>0</v>
      </c>
      <c r="V158" s="46">
        <f>=IFERROR(ROUND(V23/$B158,0),0)</f>
        <v>0</v>
      </c>
      <c r="W158" s="46">
        <f>=IFERROR(ROUND(W23/$B158,0),0)</f>
        <v>0</v>
      </c>
      <c r="X158" s="46">
        <f>=IFERROR(ROUND(X23/$B158,0),0)</f>
        <v>0</v>
      </c>
      <c r="Y158" s="46">
        <f>=IFERROR(ROUND(Y23/$B158,0),0)</f>
        <v>0</v>
      </c>
      <c r="Z158" s="46">
        <f>=IFERROR(ROUND(Z23/$B158,0),0)</f>
        <v>0</v>
      </c>
      <c r="AA158" s="46">
        <f>=IFERROR(ROUND(AA23/$B158,0),0)</f>
        <v>0</v>
      </c>
      <c r="AB158" s="46">
        <f>=IFERROR(ROUND(AB23/$B158,0),0)</f>
        <v>0</v>
      </c>
      <c r="AC158" s="46">
        <f>=IFERROR(ROUND(AC23/$B158,0),0)</f>
        <v>0</v>
      </c>
      <c r="AD158" s="46">
        <f>=IFERROR(ROUND(AD23/$B158,0),0)</f>
        <v>0</v>
      </c>
      <c r="AE158" s="46">
        <f>=IFERROR(ROUND(AE23/$B158,0),0)</f>
        <v>0</v>
      </c>
      <c r="AF158" s="46">
        <f>=IFERROR(ROUND(AF23/$B158,0),0)</f>
        <v>0</v>
      </c>
      <c r="AG158" s="46">
        <f>=IFERROR(ROUND(AG23/$B158,0),0)</f>
        <v>0</v>
      </c>
      <c r="AH158" s="46">
        <f>=IFERROR(ROUND(AH23/$B158,0),0)</f>
        <v>0</v>
      </c>
      <c r="AI158" s="46">
        <f>=IFERROR(ROUND(AI23/$B158,0),0)</f>
        <v>0</v>
      </c>
      <c r="AJ158" s="46">
        <f>=IFERROR(ROUND(AJ23/$B158,0),0)</f>
        <v>0</v>
      </c>
      <c r="AK158" s="46">
        <f>=IFERROR(ROUND(AK23/$B158,0),0)</f>
        <v>0</v>
      </c>
      <c r="AL158" s="46">
        <f>=IFERROR(ROUND(AL23/$B158,0),0)</f>
        <v>0</v>
      </c>
      <c r="AM158" s="46">
        <f>=IFERROR(ROUND(AM23/$B158,0),0)</f>
        <v>0</v>
      </c>
      <c r="AN158" s="46">
        <f>=IFERROR(ROUND(AN23/$B158,0),0)</f>
        <v>0</v>
      </c>
      <c r="AO158" s="46">
        <f>=IFERROR(ROUND(AO23/$B158,0),0)</f>
        <v>0</v>
      </c>
      <c r="AP158" s="46">
        <f>=IFERROR(ROUND(AP23/$B158,0),0)</f>
        <v>0</v>
      </c>
      <c r="AQ158" s="46">
        <f>=IFERROR(ROUND(AQ23/$B158,0),0)</f>
        <v>0</v>
      </c>
      <c r="AR158" s="46">
        <f>=IFERROR(ROUND(AR23/$B158,0),0)</f>
        <v>0</v>
      </c>
      <c r="AS158" s="46">
        <f>=IFERROR(ROUND(AS23/$B158,0),0)</f>
        <v>0</v>
      </c>
      <c r="AT158" s="46">
        <f>=IFERROR(ROUND(AT23/$B158,0),0)</f>
        <v>0</v>
      </c>
      <c r="AU158" s="46">
        <f>=IFERROR(ROUND(AU23/$B158,0),0)</f>
        <v>0</v>
      </c>
      <c r="AV158" s="46">
        <f>=IFERROR(ROUND(AV23/$B158,0),0)</f>
        <v>0</v>
      </c>
      <c r="AW158" s="46">
        <f>=IFERROR(ROUND(AW23/$B158,0),0)</f>
        <v>0</v>
      </c>
      <c r="AX158" s="46">
        <f>=IFERROR(ROUND(AX23/$B158,0),0)</f>
        <v>0</v>
      </c>
      <c r="AY158" s="46">
        <f>=IFERROR(ROUND(AY23/$B158,0),0)</f>
        <v>0</v>
      </c>
      <c r="AZ158" s="46">
        <f>=IFERROR(ROUND(AZ23/$B158,0),0)</f>
        <v>0</v>
      </c>
      <c r="BA158" s="46">
        <f>=IFERROR(ROUND(BA23/$B158,0),0)</f>
        <v>0</v>
      </c>
      <c r="BB158" s="46">
        <f>=IFERROR(ROUND(BB23/$B158,0),0)</f>
        <v>0</v>
      </c>
      <c r="BC158" s="46">
        <f>=IFERROR(ROUND(BC23/$B158,0),0)</f>
        <v>0</v>
      </c>
      <c r="BD158" s="46">
        <f>=IFERROR(ROUND(BD23/$B158,0),0)</f>
        <v>0</v>
      </c>
      <c r="BE158" s="46">
        <f>=IFERROR(ROUND(BE23/$B158,0),0)</f>
        <v>0</v>
      </c>
      <c r="BF158" s="46">
        <f>=IFERROR(ROUND(BF23/$B158,0),0)</f>
        <v>0</v>
      </c>
      <c r="BG158" s="46">
        <f>=IFERROR(ROUND(BG23/$B158,0),0)</f>
        <v>0</v>
      </c>
      <c r="BH158" s="46">
        <f>=IFERROR(ROUND(BH23/$B158,0),0)</f>
        <v>0</v>
      </c>
      <c r="BI158" s="46">
        <f>=IFERROR(ROUND(BI23/$B158,0),0)</f>
        <v>0</v>
      </c>
      <c r="BJ158" s="46">
        <f>=IFERROR(ROUND(BJ23/$B158,0),0)</f>
        <v>0</v>
      </c>
      <c r="BK158" s="46">
        <f>=IFERROR(ROUND(BK23/$B158,0),0)</f>
        <v>0</v>
      </c>
      <c r="BL158" s="46">
        <f>=IFERROR(ROUND(BL23/$B158,0),0)</f>
        <v>0</v>
      </c>
      <c r="BM158" s="46">
        <f>=IFERROR(ROUND(BM23/$B158,0),0)</f>
        <v>0</v>
      </c>
      <c r="BN158" s="46">
        <f>=IFERROR(ROUND(BN23/$B158,0),0)</f>
        <v>0</v>
      </c>
      <c r="BO158" s="46">
        <f>=IFERROR(ROUND(BO23/$B158,0),0)</f>
        <v>0</v>
      </c>
      <c r="BP158" s="46">
        <f>=IFERROR(ROUND(BP23/$B158,0),0)</f>
        <v>0</v>
      </c>
      <c r="BQ158" s="46">
        <f>=IFERROR(ROUND(BQ23/$B158,0),0)</f>
        <v>0</v>
      </c>
      <c r="BR158" s="46">
        <f>=IFERROR(ROUND(BR23/$B158,0),0)</f>
        <v>0</v>
      </c>
      <c r="BS158" s="46">
        <f>=IFERROR(ROUND(BS23/$B158,0),0)</f>
        <v>0</v>
      </c>
      <c r="BT158" s="46">
        <f>=IFERROR(ROUND(BT23/$B158,0),0)</f>
        <v>0</v>
      </c>
      <c r="BU158" s="46">
        <f>=IFERROR(ROUND(BU23/$B158,0),0)</f>
        <v>0</v>
      </c>
      <c r="BV158" s="46">
        <f>=IFERROR(ROUND(BV23/$B158,0),0)</f>
        <v>0</v>
      </c>
      <c r="BW158" s="46">
        <f>=IFERROR(ROUND(BW23/$B158,0),0)</f>
        <v>0</v>
      </c>
      <c r="BX158" s="46">
        <f>=IFERROR(ROUND(BX23/$B158,0),0)</f>
        <v>0</v>
      </c>
      <c r="BY158" s="46">
        <f>=IFERROR(ROUND(BY23/$B158,0),0)</f>
        <v>0</v>
      </c>
      <c r="BZ158" s="46">
        <f>=IFERROR(ROUND(BZ23/$B158,0),0)</f>
        <v>0</v>
      </c>
      <c r="CA158" s="46">
        <f>=IFERROR(ROUND(CA23/$B158,0),0)</f>
        <v>0</v>
      </c>
      <c r="CB158" s="46">
        <f>=IFERROR(ROUND(CB23/$B158,0),0)</f>
        <v>0</v>
      </c>
      <c r="CC158" s="46">
        <f>=IFERROR(ROUND(CC23/$B158,0),0)</f>
        <v>0</v>
      </c>
      <c r="CD158" s="46">
        <f>=IFERROR(ROUND(CD23/$B158,0),0)</f>
        <v>0</v>
      </c>
      <c r="CE158" s="46">
        <f>=IFERROR(ROUND(CE23/$B158,0),0)</f>
        <v>0</v>
      </c>
      <c r="CF158" s="46">
        <f>=IFERROR(ROUND(CF23/$B158,0),0)</f>
        <v>0</v>
      </c>
      <c r="CG158" s="46">
        <f>=IFERROR(ROUND(CG23/$B158,0),0)</f>
        <v>0</v>
      </c>
      <c r="CH158" s="46">
        <f>=IFERROR(ROUND(CH23/$B158,0),0)</f>
        <v>0</v>
      </c>
      <c r="CI158" s="46">
        <f>=IFERROR(ROUND(CI23/$B158,0),0)</f>
        <v>0</v>
      </c>
      <c r="CJ158" s="46">
        <f>=IFERROR(ROUND(CJ23/$B158,0),0)</f>
        <v>0</v>
      </c>
      <c r="CK158" s="46">
        <f>=IFERROR(ROUND(CK23/$B158,0),0)</f>
        <v>0</v>
      </c>
      <c r="CL158" s="46">
        <f>=IFERROR(ROUND(CL23/$B158,0),0)</f>
        <v>0</v>
      </c>
      <c r="CM158" s="46">
        <f>=IFERROR(ROUND(CM23/$B158,0),0)</f>
        <v>0</v>
      </c>
      <c r="CN158" s="46">
        <f>=IFERROR(ROUND(CN23/$B158,0),0)</f>
        <v>0</v>
      </c>
      <c r="CO158" s="46">
        <f>=IFERROR(ROUND(CO23/$B158,0),0)</f>
        <v>0</v>
      </c>
      <c r="CP158" s="46">
        <f>=IFERROR(ROUND(CP23/$B158,0),0)</f>
        <v>0</v>
      </c>
      <c r="CQ158" s="46">
        <f>=IFERROR(ROUND(CQ23/$B158,0),0)</f>
        <v>0</v>
      </c>
      <c r="CR158" s="46">
        <f>=IFERROR(ROUND(CR23/$B158,0),0)</f>
        <v>0</v>
      </c>
      <c r="CS158" s="46">
        <f>=IFERROR(ROUND(CS23/$B158,0),0)</f>
        <v>0</v>
      </c>
      <c r="CT158" s="46">
        <f>=IFERROR(ROUND(CT23/$B158,0),0)</f>
        <v>0</v>
      </c>
      <c r="CU158" s="46">
        <f>=IFERROR(ROUND(CU23/$B158,0),0)</f>
        <v>0</v>
      </c>
      <c r="CV158" s="46">
        <f>=IFERROR(ROUND(CV23/$B158,0),0)</f>
        <v>0</v>
      </c>
      <c r="CW158" s="46">
        <f>=IFERROR(ROUND(CW23/$B158,0),0)</f>
        <v>0</v>
      </c>
      <c r="CX158" s="46">
        <f>=IFERROR(ROUND(CX23/$B158,0),0)</f>
        <v>0</v>
      </c>
      <c r="CY158" s="46">
        <f>=IFERROR(ROUND(CY23/$B158,0),0)</f>
        <v>0</v>
      </c>
      <c r="CZ158" s="46">
        <f>=IFERROR(ROUND(CZ23/$B158,0),0)</f>
        <v>0</v>
      </c>
      <c r="DA158" s="46">
        <f>=IFERROR(ROUND(DA23/$B158,0),0)</f>
        <v>0</v>
      </c>
      <c r="DB158" s="46">
        <f>=IFERROR(ROUND(DB23/$B158,0),0)</f>
        <v>0</v>
      </c>
    </row>
    <row r="159" spans="1:106" x14ac:dyDescent="0.25">
      <c r="A159" s="17" t="s">
        <v>363</v>
      </c>
      <c r="B159" s="17">
        <v>15</v>
      </c>
      <c r="C159" s="46">
        <f>=IFERROR(ROUND(C24/$B159,0),0)</f>
        <v>0</v>
      </c>
      <c r="D159" s="46">
        <f>=IFERROR(ROUND(D24/$B159,0),0)</f>
        <v>0</v>
      </c>
      <c r="E159" s="46">
        <f>=IFERROR(ROUND(E24/$B159,0),0)</f>
        <v>0</v>
      </c>
      <c r="F159" s="46">
        <f>=IFERROR(ROUND(F24/$B159,0),0)</f>
        <v>0</v>
      </c>
      <c r="G159" s="46">
        <f>=IFERROR(ROUND(G24/$B159,0),0)</f>
        <v>0</v>
      </c>
      <c r="H159" s="46">
        <f>=IFERROR(ROUND(H24/$B159,0),0)</f>
        <v>0</v>
      </c>
      <c r="I159" s="46">
        <f>=IFERROR(ROUND(I24/$B159,0),0)</f>
        <v>0</v>
      </c>
      <c r="J159" s="46">
        <f>=IFERROR(ROUND(J24/$B159,0),0)</f>
        <v>0</v>
      </c>
      <c r="K159" s="46">
        <f>=IFERROR(ROUND(K24/$B159,0),0)</f>
        <v>0</v>
      </c>
      <c r="L159" s="46">
        <f>=IFERROR(ROUND(L24/$B159,0),0)</f>
        <v>0</v>
      </c>
      <c r="M159" s="46">
        <f>=IFERROR(ROUND(M24/$B159,0),0)</f>
        <v>0</v>
      </c>
      <c r="N159" s="46">
        <f>=IFERROR(ROUND(N24/$B159,0),0)</f>
        <v>0</v>
      </c>
      <c r="O159" s="46">
        <f>=IFERROR(ROUND(O24/$B159,0),0)</f>
        <v>0</v>
      </c>
      <c r="P159" s="46">
        <f>=IFERROR(ROUND(P24/$B159,0),0)</f>
        <v>0</v>
      </c>
      <c r="Q159" s="46">
        <f>=IFERROR(ROUND(Q24/$B159,0),0)</f>
        <v>0</v>
      </c>
      <c r="R159" s="46">
        <f>=IFERROR(ROUND(R24/$B159,0),0)</f>
        <v>0</v>
      </c>
      <c r="S159" s="46">
        <f>=IFERROR(ROUND(S24/$B159,0),0)</f>
        <v>0</v>
      </c>
      <c r="T159" s="46">
        <f>=IFERROR(ROUND(T24/$B159,0),0)</f>
        <v>0</v>
      </c>
      <c r="U159" s="46">
        <f>=IFERROR(ROUND(U24/$B159,0),0)</f>
        <v>0</v>
      </c>
      <c r="V159" s="46">
        <f>=IFERROR(ROUND(V24/$B159,0),0)</f>
        <v>0</v>
      </c>
      <c r="W159" s="46">
        <f>=IFERROR(ROUND(W24/$B159,0),0)</f>
        <v>0</v>
      </c>
      <c r="X159" s="46">
        <f>=IFERROR(ROUND(X24/$B159,0),0)</f>
        <v>0</v>
      </c>
      <c r="Y159" s="46">
        <f>=IFERROR(ROUND(Y24/$B159,0),0)</f>
        <v>0</v>
      </c>
      <c r="Z159" s="46">
        <f>=IFERROR(ROUND(Z24/$B159,0),0)</f>
        <v>0</v>
      </c>
      <c r="AA159" s="46">
        <f>=IFERROR(ROUND(AA24/$B159,0),0)</f>
        <v>0</v>
      </c>
      <c r="AB159" s="46">
        <f>=IFERROR(ROUND(AB24/$B159,0),0)</f>
        <v>0</v>
      </c>
      <c r="AC159" s="46">
        <f>=IFERROR(ROUND(AC24/$B159,0),0)</f>
        <v>0</v>
      </c>
      <c r="AD159" s="46">
        <f>=IFERROR(ROUND(AD24/$B159,0),0)</f>
        <v>0</v>
      </c>
      <c r="AE159" s="46">
        <f>=IFERROR(ROUND(AE24/$B159,0),0)</f>
        <v>0</v>
      </c>
      <c r="AF159" s="46">
        <f>=IFERROR(ROUND(AF24/$B159,0),0)</f>
        <v>0</v>
      </c>
      <c r="AG159" s="46">
        <f>=IFERROR(ROUND(AG24/$B159,0),0)</f>
        <v>0</v>
      </c>
      <c r="AH159" s="46">
        <f>=IFERROR(ROUND(AH24/$B159,0),0)</f>
        <v>0</v>
      </c>
      <c r="AI159" s="46">
        <f>=IFERROR(ROUND(AI24/$B159,0),0)</f>
        <v>0</v>
      </c>
      <c r="AJ159" s="46">
        <f>=IFERROR(ROUND(AJ24/$B159,0),0)</f>
        <v>0</v>
      </c>
      <c r="AK159" s="46">
        <f>=IFERROR(ROUND(AK24/$B159,0),0)</f>
        <v>0</v>
      </c>
      <c r="AL159" s="46">
        <f>=IFERROR(ROUND(AL24/$B159,0),0)</f>
        <v>0</v>
      </c>
      <c r="AM159" s="46">
        <f>=IFERROR(ROUND(AM24/$B159,0),0)</f>
        <v>0</v>
      </c>
      <c r="AN159" s="46">
        <f>=IFERROR(ROUND(AN24/$B159,0),0)</f>
        <v>0</v>
      </c>
      <c r="AO159" s="46">
        <f>=IFERROR(ROUND(AO24/$B159,0),0)</f>
        <v>0</v>
      </c>
      <c r="AP159" s="46">
        <f>=IFERROR(ROUND(AP24/$B159,0),0)</f>
        <v>0</v>
      </c>
      <c r="AQ159" s="46">
        <f>=IFERROR(ROUND(AQ24/$B159,0),0)</f>
        <v>0</v>
      </c>
      <c r="AR159" s="46">
        <f>=IFERROR(ROUND(AR24/$B159,0),0)</f>
        <v>0</v>
      </c>
      <c r="AS159" s="46">
        <f>=IFERROR(ROUND(AS24/$B159,0),0)</f>
        <v>0</v>
      </c>
      <c r="AT159" s="46">
        <f>=IFERROR(ROUND(AT24/$B159,0),0)</f>
        <v>0</v>
      </c>
      <c r="AU159" s="46">
        <f>=IFERROR(ROUND(AU24/$B159,0),0)</f>
        <v>0</v>
      </c>
      <c r="AV159" s="46">
        <f>=IFERROR(ROUND(AV24/$B159,0),0)</f>
        <v>0</v>
      </c>
      <c r="AW159" s="46">
        <f>=IFERROR(ROUND(AW24/$B159,0),0)</f>
        <v>0</v>
      </c>
      <c r="AX159" s="46">
        <f>=IFERROR(ROUND(AX24/$B159,0),0)</f>
        <v>0</v>
      </c>
      <c r="AY159" s="46">
        <f>=IFERROR(ROUND(AY24/$B159,0),0)</f>
        <v>0</v>
      </c>
      <c r="AZ159" s="46">
        <f>=IFERROR(ROUND(AZ24/$B159,0),0)</f>
        <v>0</v>
      </c>
      <c r="BA159" s="46">
        <f>=IFERROR(ROUND(BA24/$B159,0),0)</f>
        <v>0</v>
      </c>
      <c r="BB159" s="46">
        <f>=IFERROR(ROUND(BB24/$B159,0),0)</f>
        <v>0</v>
      </c>
      <c r="BC159" s="46">
        <f>=IFERROR(ROUND(BC24/$B159,0),0)</f>
        <v>0</v>
      </c>
      <c r="BD159" s="46">
        <f>=IFERROR(ROUND(BD24/$B159,0),0)</f>
        <v>0</v>
      </c>
      <c r="BE159" s="46">
        <f>=IFERROR(ROUND(BE24/$B159,0),0)</f>
        <v>0</v>
      </c>
      <c r="BF159" s="46">
        <f>=IFERROR(ROUND(BF24/$B159,0),0)</f>
        <v>0</v>
      </c>
      <c r="BG159" s="46">
        <f>=IFERROR(ROUND(BG24/$B159,0),0)</f>
        <v>0</v>
      </c>
      <c r="BH159" s="46">
        <f>=IFERROR(ROUND(BH24/$B159,0),0)</f>
        <v>0</v>
      </c>
      <c r="BI159" s="46">
        <f>=IFERROR(ROUND(BI24/$B159,0),0)</f>
        <v>0</v>
      </c>
      <c r="BJ159" s="46">
        <f>=IFERROR(ROUND(BJ24/$B159,0),0)</f>
        <v>0</v>
      </c>
      <c r="BK159" s="46">
        <f>=IFERROR(ROUND(BK24/$B159,0),0)</f>
        <v>0</v>
      </c>
      <c r="BL159" s="46">
        <f>=IFERROR(ROUND(BL24/$B159,0),0)</f>
        <v>0</v>
      </c>
      <c r="BM159" s="46">
        <f>=IFERROR(ROUND(BM24/$B159,0),0)</f>
        <v>0</v>
      </c>
      <c r="BN159" s="46">
        <f>=IFERROR(ROUND(BN24/$B159,0),0)</f>
        <v>0</v>
      </c>
      <c r="BO159" s="46">
        <f>=IFERROR(ROUND(BO24/$B159,0),0)</f>
        <v>0</v>
      </c>
      <c r="BP159" s="46">
        <f>=IFERROR(ROUND(BP24/$B159,0),0)</f>
        <v>0</v>
      </c>
      <c r="BQ159" s="46">
        <f>=IFERROR(ROUND(BQ24/$B159,0),0)</f>
        <v>0</v>
      </c>
      <c r="BR159" s="46">
        <f>=IFERROR(ROUND(BR24/$B159,0),0)</f>
        <v>0</v>
      </c>
      <c r="BS159" s="46">
        <f>=IFERROR(ROUND(BS24/$B159,0),0)</f>
        <v>0</v>
      </c>
      <c r="BT159" s="46">
        <f>=IFERROR(ROUND(BT24/$B159,0),0)</f>
        <v>0</v>
      </c>
      <c r="BU159" s="46">
        <f>=IFERROR(ROUND(BU24/$B159,0),0)</f>
        <v>0</v>
      </c>
      <c r="BV159" s="46">
        <f>=IFERROR(ROUND(BV24/$B159,0),0)</f>
        <v>0</v>
      </c>
      <c r="BW159" s="46">
        <f>=IFERROR(ROUND(BW24/$B159,0),0)</f>
        <v>0</v>
      </c>
      <c r="BX159" s="46">
        <f>=IFERROR(ROUND(BX24/$B159,0),0)</f>
        <v>0</v>
      </c>
      <c r="BY159" s="46">
        <f>=IFERROR(ROUND(BY24/$B159,0),0)</f>
        <v>0</v>
      </c>
      <c r="BZ159" s="46">
        <f>=IFERROR(ROUND(BZ24/$B159,0),0)</f>
        <v>0</v>
      </c>
      <c r="CA159" s="46">
        <f>=IFERROR(ROUND(CA24/$B159,0),0)</f>
        <v>0</v>
      </c>
      <c r="CB159" s="46">
        <f>=IFERROR(ROUND(CB24/$B159,0),0)</f>
        <v>0</v>
      </c>
      <c r="CC159" s="46">
        <f>=IFERROR(ROUND(CC24/$B159,0),0)</f>
        <v>0</v>
      </c>
      <c r="CD159" s="46">
        <f>=IFERROR(ROUND(CD24/$B159,0),0)</f>
        <v>0</v>
      </c>
      <c r="CE159" s="46">
        <f>=IFERROR(ROUND(CE24/$B159,0),0)</f>
        <v>0</v>
      </c>
      <c r="CF159" s="46">
        <f>=IFERROR(ROUND(CF24/$B159,0),0)</f>
        <v>0</v>
      </c>
      <c r="CG159" s="46">
        <f>=IFERROR(ROUND(CG24/$B159,0),0)</f>
        <v>0</v>
      </c>
      <c r="CH159" s="46">
        <f>=IFERROR(ROUND(CH24/$B159,0),0)</f>
        <v>0</v>
      </c>
      <c r="CI159" s="46">
        <f>=IFERROR(ROUND(CI24/$B159,0),0)</f>
        <v>0</v>
      </c>
      <c r="CJ159" s="46">
        <f>=IFERROR(ROUND(CJ24/$B159,0),0)</f>
        <v>0</v>
      </c>
      <c r="CK159" s="46">
        <f>=IFERROR(ROUND(CK24/$B159,0),0)</f>
        <v>0</v>
      </c>
      <c r="CL159" s="46">
        <f>=IFERROR(ROUND(CL24/$B159,0),0)</f>
        <v>0</v>
      </c>
      <c r="CM159" s="46">
        <f>=IFERROR(ROUND(CM24/$B159,0),0)</f>
        <v>0</v>
      </c>
      <c r="CN159" s="46">
        <f>=IFERROR(ROUND(CN24/$B159,0),0)</f>
        <v>0</v>
      </c>
      <c r="CO159" s="46">
        <f>=IFERROR(ROUND(CO24/$B159,0),0)</f>
        <v>0</v>
      </c>
      <c r="CP159" s="46">
        <f>=IFERROR(ROUND(CP24/$B159,0),0)</f>
        <v>0</v>
      </c>
      <c r="CQ159" s="46">
        <f>=IFERROR(ROUND(CQ24/$B159,0),0)</f>
        <v>0</v>
      </c>
      <c r="CR159" s="46">
        <f>=IFERROR(ROUND(CR24/$B159,0),0)</f>
        <v>0</v>
      </c>
      <c r="CS159" s="46">
        <f>=IFERROR(ROUND(CS24/$B159,0),0)</f>
        <v>0</v>
      </c>
      <c r="CT159" s="46">
        <f>=IFERROR(ROUND(CT24/$B159,0),0)</f>
        <v>0</v>
      </c>
      <c r="CU159" s="46">
        <f>=IFERROR(ROUND(CU24/$B159,0),0)</f>
        <v>0</v>
      </c>
      <c r="CV159" s="46">
        <f>=IFERROR(ROUND(CV24/$B159,0),0)</f>
        <v>0</v>
      </c>
      <c r="CW159" s="46">
        <f>=IFERROR(ROUND(CW24/$B159,0),0)</f>
        <v>0</v>
      </c>
      <c r="CX159" s="46">
        <f>=IFERROR(ROUND(CX24/$B159,0),0)</f>
        <v>0</v>
      </c>
      <c r="CY159" s="46">
        <f>=IFERROR(ROUND(CY24/$B159,0),0)</f>
        <v>0</v>
      </c>
      <c r="CZ159" s="46">
        <f>=IFERROR(ROUND(CZ24/$B159,0),0)</f>
        <v>0</v>
      </c>
      <c r="DA159" s="46">
        <f>=IFERROR(ROUND(DA24/$B159,0),0)</f>
        <v>0</v>
      </c>
      <c r="DB159" s="46">
        <f>=IFERROR(ROUND(DB24/$B159,0),0)</f>
        <v>0</v>
      </c>
    </row>
    <row r="160" spans="1:106" x14ac:dyDescent="0.25">
      <c r="A160" s="17" t="s">
        <v>364</v>
      </c>
      <c r="B160" s="17">
        <v>30</v>
      </c>
      <c r="C160" s="46">
        <f>=IFERROR(ROUND(C23/$B160,0),0)</f>
        <v>0</v>
      </c>
      <c r="D160" s="46">
        <f>=IFERROR(ROUND(D23/$B160,0),0)</f>
        <v>0</v>
      </c>
      <c r="E160" s="46">
        <f>=IFERROR(ROUND(E23/$B160,0),0)</f>
        <v>0</v>
      </c>
      <c r="F160" s="46">
        <f>=IFERROR(ROUND(F23/$B160,0),0)</f>
        <v>0</v>
      </c>
      <c r="G160" s="46">
        <f>=IFERROR(ROUND(G23/$B160,0),0)</f>
        <v>0</v>
      </c>
      <c r="H160" s="46">
        <f>=IFERROR(ROUND(H23/$B160,0),0)</f>
        <v>0</v>
      </c>
      <c r="I160" s="46">
        <f>=IFERROR(ROUND(I23/$B160,0),0)</f>
        <v>0</v>
      </c>
      <c r="J160" s="46">
        <f>=IFERROR(ROUND(J23/$B160,0),0)</f>
        <v>0</v>
      </c>
      <c r="K160" s="46">
        <f>=IFERROR(ROUND(K23/$B160,0),0)</f>
        <v>0</v>
      </c>
      <c r="L160" s="46">
        <f>=IFERROR(ROUND(L23/$B160,0),0)</f>
        <v>0</v>
      </c>
      <c r="M160" s="46">
        <f>=IFERROR(ROUND(M23/$B160,0),0)</f>
        <v>0</v>
      </c>
      <c r="N160" s="46">
        <f>=IFERROR(ROUND(N23/$B160,0),0)</f>
        <v>0</v>
      </c>
      <c r="O160" s="46">
        <f>=IFERROR(ROUND(O23/$B160,0),0)</f>
        <v>0</v>
      </c>
      <c r="P160" s="46">
        <f>=IFERROR(ROUND(P23/$B160,0),0)</f>
        <v>0</v>
      </c>
      <c r="Q160" s="46">
        <f>=IFERROR(ROUND(Q23/$B160,0),0)</f>
        <v>0</v>
      </c>
      <c r="R160" s="46">
        <f>=IFERROR(ROUND(R23/$B160,0),0)</f>
        <v>0</v>
      </c>
      <c r="S160" s="46">
        <f>=IFERROR(ROUND(S23/$B160,0),0)</f>
        <v>0</v>
      </c>
      <c r="T160" s="46">
        <f>=IFERROR(ROUND(T23/$B160,0),0)</f>
        <v>0</v>
      </c>
      <c r="U160" s="46">
        <f>=IFERROR(ROUND(U23/$B160,0),0)</f>
        <v>0</v>
      </c>
      <c r="V160" s="46">
        <f>=IFERROR(ROUND(V23/$B160,0),0)</f>
        <v>0</v>
      </c>
      <c r="W160" s="46">
        <f>=IFERROR(ROUND(W23/$B160,0),0)</f>
        <v>0</v>
      </c>
      <c r="X160" s="46">
        <f>=IFERROR(ROUND(X23/$B160,0),0)</f>
        <v>0</v>
      </c>
      <c r="Y160" s="46">
        <f>=IFERROR(ROUND(Y23/$B160,0),0)</f>
        <v>0</v>
      </c>
      <c r="Z160" s="46">
        <f>=IFERROR(ROUND(Z23/$B160,0),0)</f>
        <v>0</v>
      </c>
      <c r="AA160" s="46">
        <f>=IFERROR(ROUND(AA23/$B160,0),0)</f>
        <v>0</v>
      </c>
      <c r="AB160" s="46">
        <f>=IFERROR(ROUND(AB23/$B160,0),0)</f>
        <v>0</v>
      </c>
      <c r="AC160" s="46">
        <f>=IFERROR(ROUND(AC23/$B160,0),0)</f>
        <v>0</v>
      </c>
      <c r="AD160" s="46">
        <f>=IFERROR(ROUND(AD23/$B160,0),0)</f>
        <v>0</v>
      </c>
      <c r="AE160" s="46">
        <f>=IFERROR(ROUND(AE23/$B160,0),0)</f>
        <v>0</v>
      </c>
      <c r="AF160" s="46">
        <f>=IFERROR(ROUND(AF23/$B160,0),0)</f>
        <v>0</v>
      </c>
      <c r="AG160" s="46">
        <f>=IFERROR(ROUND(AG23/$B160,0),0)</f>
        <v>0</v>
      </c>
      <c r="AH160" s="46">
        <f>=IFERROR(ROUND(AH23/$B160,0),0)</f>
        <v>0</v>
      </c>
      <c r="AI160" s="46">
        <f>=IFERROR(ROUND(AI23/$B160,0),0)</f>
        <v>0</v>
      </c>
      <c r="AJ160" s="46">
        <f>=IFERROR(ROUND(AJ23/$B160,0),0)</f>
        <v>0</v>
      </c>
      <c r="AK160" s="46">
        <f>=IFERROR(ROUND(AK23/$B160,0),0)</f>
        <v>0</v>
      </c>
      <c r="AL160" s="46">
        <f>=IFERROR(ROUND(AL23/$B160,0),0)</f>
        <v>0</v>
      </c>
      <c r="AM160" s="46">
        <f>=IFERROR(ROUND(AM23/$B160,0),0)</f>
        <v>0</v>
      </c>
      <c r="AN160" s="46">
        <f>=IFERROR(ROUND(AN23/$B160,0),0)</f>
        <v>0</v>
      </c>
      <c r="AO160" s="46">
        <f>=IFERROR(ROUND(AO23/$B160,0),0)</f>
        <v>0</v>
      </c>
      <c r="AP160" s="46">
        <f>=IFERROR(ROUND(AP23/$B160,0),0)</f>
        <v>0</v>
      </c>
      <c r="AQ160" s="46">
        <f>=IFERROR(ROUND(AQ23/$B160,0),0)</f>
        <v>0</v>
      </c>
      <c r="AR160" s="46">
        <f>=IFERROR(ROUND(AR23/$B160,0),0)</f>
        <v>0</v>
      </c>
      <c r="AS160" s="46">
        <f>=IFERROR(ROUND(AS23/$B160,0),0)</f>
        <v>0</v>
      </c>
      <c r="AT160" s="46">
        <f>=IFERROR(ROUND(AT23/$B160,0),0)</f>
        <v>0</v>
      </c>
      <c r="AU160" s="46">
        <f>=IFERROR(ROUND(AU23/$B160,0),0)</f>
        <v>0</v>
      </c>
      <c r="AV160" s="46">
        <f>=IFERROR(ROUND(AV23/$B160,0),0)</f>
        <v>0</v>
      </c>
      <c r="AW160" s="46">
        <f>=IFERROR(ROUND(AW23/$B160,0),0)</f>
        <v>0</v>
      </c>
      <c r="AX160" s="46">
        <f>=IFERROR(ROUND(AX23/$B160,0),0)</f>
        <v>0</v>
      </c>
      <c r="AY160" s="46">
        <f>=IFERROR(ROUND(AY23/$B160,0),0)</f>
        <v>0</v>
      </c>
      <c r="AZ160" s="46">
        <f>=IFERROR(ROUND(AZ23/$B160,0),0)</f>
        <v>0</v>
      </c>
      <c r="BA160" s="46">
        <f>=IFERROR(ROUND(BA23/$B160,0),0)</f>
        <v>0</v>
      </c>
      <c r="BB160" s="46">
        <f>=IFERROR(ROUND(BB23/$B160,0),0)</f>
        <v>0</v>
      </c>
      <c r="BC160" s="46">
        <f>=IFERROR(ROUND(BC23/$B160,0),0)</f>
        <v>0</v>
      </c>
      <c r="BD160" s="46">
        <f>=IFERROR(ROUND(BD23/$B160,0),0)</f>
        <v>0</v>
      </c>
      <c r="BE160" s="46">
        <f>=IFERROR(ROUND(BE23/$B160,0),0)</f>
        <v>0</v>
      </c>
      <c r="BF160" s="46">
        <f>=IFERROR(ROUND(BF23/$B160,0),0)</f>
        <v>0</v>
      </c>
      <c r="BG160" s="46">
        <f>=IFERROR(ROUND(BG23/$B160,0),0)</f>
        <v>0</v>
      </c>
      <c r="BH160" s="46">
        <f>=IFERROR(ROUND(BH23/$B160,0),0)</f>
        <v>0</v>
      </c>
      <c r="BI160" s="46">
        <f>=IFERROR(ROUND(BI23/$B160,0),0)</f>
        <v>0</v>
      </c>
      <c r="BJ160" s="46">
        <f>=IFERROR(ROUND(BJ23/$B160,0),0)</f>
        <v>0</v>
      </c>
      <c r="BK160" s="46">
        <f>=IFERROR(ROUND(BK23/$B160,0),0)</f>
        <v>0</v>
      </c>
      <c r="BL160" s="46">
        <f>=IFERROR(ROUND(BL23/$B160,0),0)</f>
        <v>0</v>
      </c>
      <c r="BM160" s="46">
        <f>=IFERROR(ROUND(BM23/$B160,0),0)</f>
        <v>0</v>
      </c>
      <c r="BN160" s="46">
        <f>=IFERROR(ROUND(BN23/$B160,0),0)</f>
        <v>0</v>
      </c>
      <c r="BO160" s="46">
        <f>=IFERROR(ROUND(BO23/$B160,0),0)</f>
        <v>0</v>
      </c>
      <c r="BP160" s="46">
        <f>=IFERROR(ROUND(BP23/$B160,0),0)</f>
        <v>0</v>
      </c>
      <c r="BQ160" s="46">
        <f>=IFERROR(ROUND(BQ23/$B160,0),0)</f>
        <v>0</v>
      </c>
      <c r="BR160" s="46">
        <f>=IFERROR(ROUND(BR23/$B160,0),0)</f>
        <v>0</v>
      </c>
      <c r="BS160" s="46">
        <f>=IFERROR(ROUND(BS23/$B160,0),0)</f>
        <v>0</v>
      </c>
      <c r="BT160" s="46">
        <f>=IFERROR(ROUND(BT23/$B160,0),0)</f>
        <v>0</v>
      </c>
      <c r="BU160" s="46">
        <f>=IFERROR(ROUND(BU23/$B160,0),0)</f>
        <v>0</v>
      </c>
      <c r="BV160" s="46">
        <f>=IFERROR(ROUND(BV23/$B160,0),0)</f>
        <v>0</v>
      </c>
      <c r="BW160" s="46">
        <f>=IFERROR(ROUND(BW23/$B160,0),0)</f>
        <v>0</v>
      </c>
      <c r="BX160" s="46">
        <f>=IFERROR(ROUND(BX23/$B160,0),0)</f>
        <v>0</v>
      </c>
      <c r="BY160" s="46">
        <f>=IFERROR(ROUND(BY23/$B160,0),0)</f>
        <v>0</v>
      </c>
      <c r="BZ160" s="46">
        <f>=IFERROR(ROUND(BZ23/$B160,0),0)</f>
        <v>0</v>
      </c>
      <c r="CA160" s="46">
        <f>=IFERROR(ROUND(CA23/$B160,0),0)</f>
        <v>0</v>
      </c>
      <c r="CB160" s="46">
        <f>=IFERROR(ROUND(CB23/$B160,0),0)</f>
        <v>0</v>
      </c>
      <c r="CC160" s="46">
        <f>=IFERROR(ROUND(CC23/$B160,0),0)</f>
        <v>0</v>
      </c>
      <c r="CD160" s="46">
        <f>=IFERROR(ROUND(CD23/$B160,0),0)</f>
        <v>0</v>
      </c>
      <c r="CE160" s="46">
        <f>=IFERROR(ROUND(CE23/$B160,0),0)</f>
        <v>0</v>
      </c>
      <c r="CF160" s="46">
        <f>=IFERROR(ROUND(CF23/$B160,0),0)</f>
        <v>0</v>
      </c>
      <c r="CG160" s="46">
        <f>=IFERROR(ROUND(CG23/$B160,0),0)</f>
        <v>0</v>
      </c>
      <c r="CH160" s="46">
        <f>=IFERROR(ROUND(CH23/$B160,0),0)</f>
        <v>0</v>
      </c>
      <c r="CI160" s="46">
        <f>=IFERROR(ROUND(CI23/$B160,0),0)</f>
        <v>0</v>
      </c>
      <c r="CJ160" s="46">
        <f>=IFERROR(ROUND(CJ23/$B160,0),0)</f>
        <v>0</v>
      </c>
      <c r="CK160" s="46">
        <f>=IFERROR(ROUND(CK23/$B160,0),0)</f>
        <v>0</v>
      </c>
      <c r="CL160" s="46">
        <f>=IFERROR(ROUND(CL23/$B160,0),0)</f>
        <v>0</v>
      </c>
      <c r="CM160" s="46">
        <f>=IFERROR(ROUND(CM23/$B160,0),0)</f>
        <v>0</v>
      </c>
      <c r="CN160" s="46">
        <f>=IFERROR(ROUND(CN23/$B160,0),0)</f>
        <v>0</v>
      </c>
      <c r="CO160" s="46">
        <f>=IFERROR(ROUND(CO23/$B160,0),0)</f>
        <v>0</v>
      </c>
      <c r="CP160" s="46">
        <f>=IFERROR(ROUND(CP23/$B160,0),0)</f>
        <v>0</v>
      </c>
      <c r="CQ160" s="46">
        <f>=IFERROR(ROUND(CQ23/$B160,0),0)</f>
        <v>0</v>
      </c>
      <c r="CR160" s="46">
        <f>=IFERROR(ROUND(CR23/$B160,0),0)</f>
        <v>0</v>
      </c>
      <c r="CS160" s="46">
        <f>=IFERROR(ROUND(CS23/$B160,0),0)</f>
        <v>0</v>
      </c>
      <c r="CT160" s="46">
        <f>=IFERROR(ROUND(CT23/$B160,0),0)</f>
        <v>0</v>
      </c>
      <c r="CU160" s="46">
        <f>=IFERROR(ROUND(CU23/$B160,0),0)</f>
        <v>0</v>
      </c>
      <c r="CV160" s="46">
        <f>=IFERROR(ROUND(CV23/$B160,0),0)</f>
        <v>0</v>
      </c>
      <c r="CW160" s="46">
        <f>=IFERROR(ROUND(CW23/$B160,0),0)</f>
        <v>0</v>
      </c>
      <c r="CX160" s="46">
        <f>=IFERROR(ROUND(CX23/$B160,0),0)</f>
        <v>0</v>
      </c>
      <c r="CY160" s="46">
        <f>=IFERROR(ROUND(CY23/$B160,0),0)</f>
        <v>0</v>
      </c>
      <c r="CZ160" s="46">
        <f>=IFERROR(ROUND(CZ23/$B160,0),0)</f>
        <v>0</v>
      </c>
      <c r="DA160" s="46">
        <f>=IFERROR(ROUND(DA23/$B160,0),0)</f>
        <v>0</v>
      </c>
      <c r="DB160" s="46">
        <f>=IFERROR(ROUND(DB23/$B160,0),0)</f>
        <v>0</v>
      </c>
    </row>
    <row r="161" spans="1:106" x14ac:dyDescent="0.25">
      <c r="A161" s="17" t="s">
        <v>365</v>
      </c>
      <c r="B161" s="17">
        <v>15</v>
      </c>
      <c r="C161" s="46">
        <f>=IFERROR(ROUND(C22/$B161,0),0)</f>
        <v>0</v>
      </c>
      <c r="D161" s="46">
        <f>=IFERROR(ROUND(D22/$B161,0),0)</f>
        <v>0</v>
      </c>
      <c r="E161" s="46">
        <f>=IFERROR(ROUND(E22/$B161,0),0)</f>
        <v>0</v>
      </c>
      <c r="F161" s="46">
        <f>=IFERROR(ROUND(F22/$B161,0),0)</f>
        <v>0</v>
      </c>
      <c r="G161" s="46">
        <f>=IFERROR(ROUND(G22/$B161,0),0)</f>
        <v>0</v>
      </c>
      <c r="H161" s="46">
        <f>=IFERROR(ROUND(H22/$B161,0),0)</f>
        <v>0</v>
      </c>
      <c r="I161" s="46">
        <f>=IFERROR(ROUND(I22/$B161,0),0)</f>
        <v>0</v>
      </c>
      <c r="J161" s="46">
        <f>=IFERROR(ROUND(J22/$B161,0),0)</f>
        <v>0</v>
      </c>
      <c r="K161" s="46">
        <f>=IFERROR(ROUND(K22/$B161,0),0)</f>
        <v>0</v>
      </c>
      <c r="L161" s="46">
        <f>=IFERROR(ROUND(L22/$B161,0),0)</f>
        <v>0</v>
      </c>
      <c r="M161" s="46">
        <f>=IFERROR(ROUND(M22/$B161,0),0)</f>
        <v>0</v>
      </c>
      <c r="N161" s="46">
        <f>=IFERROR(ROUND(N22/$B161,0),0)</f>
        <v>0</v>
      </c>
      <c r="O161" s="46">
        <f>=IFERROR(ROUND(O22/$B161,0),0)</f>
        <v>0</v>
      </c>
      <c r="P161" s="46">
        <f>=IFERROR(ROUND(P22/$B161,0),0)</f>
        <v>0</v>
      </c>
      <c r="Q161" s="46">
        <f>=IFERROR(ROUND(Q22/$B161,0),0)</f>
        <v>0</v>
      </c>
      <c r="R161" s="46">
        <f>=IFERROR(ROUND(R22/$B161,0),0)</f>
        <v>0</v>
      </c>
      <c r="S161" s="46">
        <f>=IFERROR(ROUND(S22/$B161,0),0)</f>
        <v>0</v>
      </c>
      <c r="T161" s="46">
        <f>=IFERROR(ROUND(T22/$B161,0),0)</f>
        <v>0</v>
      </c>
      <c r="U161" s="46">
        <f>=IFERROR(ROUND(U22/$B161,0),0)</f>
        <v>0</v>
      </c>
      <c r="V161" s="46">
        <f>=IFERROR(ROUND(V22/$B161,0),0)</f>
        <v>0</v>
      </c>
      <c r="W161" s="46">
        <f>=IFERROR(ROUND(W22/$B161,0),0)</f>
        <v>0</v>
      </c>
      <c r="X161" s="46">
        <f>=IFERROR(ROUND(X22/$B161,0),0)</f>
        <v>0</v>
      </c>
      <c r="Y161" s="46">
        <f>=IFERROR(ROUND(Y22/$B161,0),0)</f>
        <v>0</v>
      </c>
      <c r="Z161" s="46">
        <f>=IFERROR(ROUND(Z22/$B161,0),0)</f>
        <v>0</v>
      </c>
      <c r="AA161" s="46">
        <f>=IFERROR(ROUND(AA22/$B161,0),0)</f>
        <v>0</v>
      </c>
      <c r="AB161" s="46">
        <f>=IFERROR(ROUND(AB22/$B161,0),0)</f>
        <v>0</v>
      </c>
      <c r="AC161" s="46">
        <f>=IFERROR(ROUND(AC22/$B161,0),0)</f>
        <v>0</v>
      </c>
      <c r="AD161" s="46">
        <f>=IFERROR(ROUND(AD22/$B161,0),0)</f>
        <v>0</v>
      </c>
      <c r="AE161" s="46">
        <f>=IFERROR(ROUND(AE22/$B161,0),0)</f>
        <v>0</v>
      </c>
      <c r="AF161" s="46">
        <f>=IFERROR(ROUND(AF22/$B161,0),0)</f>
        <v>0</v>
      </c>
      <c r="AG161" s="46">
        <f>=IFERROR(ROUND(AG22/$B161,0),0)</f>
        <v>0</v>
      </c>
      <c r="AH161" s="46">
        <f>=IFERROR(ROUND(AH22/$B161,0),0)</f>
        <v>0</v>
      </c>
      <c r="AI161" s="46">
        <f>=IFERROR(ROUND(AI22/$B161,0),0)</f>
        <v>0</v>
      </c>
      <c r="AJ161" s="46">
        <f>=IFERROR(ROUND(AJ22/$B161,0),0)</f>
        <v>0</v>
      </c>
      <c r="AK161" s="46">
        <f>=IFERROR(ROUND(AK22/$B161,0),0)</f>
        <v>0</v>
      </c>
      <c r="AL161" s="46">
        <f>=IFERROR(ROUND(AL22/$B161,0),0)</f>
        <v>0</v>
      </c>
      <c r="AM161" s="46">
        <f>=IFERROR(ROUND(AM22/$B161,0),0)</f>
        <v>0</v>
      </c>
      <c r="AN161" s="46">
        <f>=IFERROR(ROUND(AN22/$B161,0),0)</f>
        <v>0</v>
      </c>
      <c r="AO161" s="46">
        <f>=IFERROR(ROUND(AO22/$B161,0),0)</f>
        <v>0</v>
      </c>
      <c r="AP161" s="46">
        <f>=IFERROR(ROUND(AP22/$B161,0),0)</f>
        <v>0</v>
      </c>
      <c r="AQ161" s="46">
        <f>=IFERROR(ROUND(AQ22/$B161,0),0)</f>
        <v>0</v>
      </c>
      <c r="AR161" s="46">
        <f>=IFERROR(ROUND(AR22/$B161,0),0)</f>
        <v>0</v>
      </c>
      <c r="AS161" s="46">
        <f>=IFERROR(ROUND(AS22/$B161,0),0)</f>
        <v>0</v>
      </c>
      <c r="AT161" s="46">
        <f>=IFERROR(ROUND(AT22/$B161,0),0)</f>
        <v>0</v>
      </c>
      <c r="AU161" s="46">
        <f>=IFERROR(ROUND(AU22/$B161,0),0)</f>
        <v>0</v>
      </c>
      <c r="AV161" s="46">
        <f>=IFERROR(ROUND(AV22/$B161,0),0)</f>
        <v>0</v>
      </c>
      <c r="AW161" s="46">
        <f>=IFERROR(ROUND(AW22/$B161,0),0)</f>
        <v>0</v>
      </c>
      <c r="AX161" s="46">
        <f>=IFERROR(ROUND(AX22/$B161,0),0)</f>
        <v>0</v>
      </c>
      <c r="AY161" s="46">
        <f>=IFERROR(ROUND(AY22/$B161,0),0)</f>
        <v>0</v>
      </c>
      <c r="AZ161" s="46">
        <f>=IFERROR(ROUND(AZ22/$B161,0),0)</f>
        <v>0</v>
      </c>
      <c r="BA161" s="46">
        <f>=IFERROR(ROUND(BA22/$B161,0),0)</f>
        <v>0</v>
      </c>
      <c r="BB161" s="46">
        <f>=IFERROR(ROUND(BB22/$B161,0),0)</f>
        <v>0</v>
      </c>
      <c r="BC161" s="46">
        <f>=IFERROR(ROUND(BC22/$B161,0),0)</f>
        <v>0</v>
      </c>
      <c r="BD161" s="46">
        <f>=IFERROR(ROUND(BD22/$B161,0),0)</f>
        <v>0</v>
      </c>
      <c r="BE161" s="46">
        <f>=IFERROR(ROUND(BE22/$B161,0),0)</f>
        <v>0</v>
      </c>
      <c r="BF161" s="46">
        <f>=IFERROR(ROUND(BF22/$B161,0),0)</f>
        <v>0</v>
      </c>
      <c r="BG161" s="46">
        <f>=IFERROR(ROUND(BG22/$B161,0),0)</f>
        <v>0</v>
      </c>
      <c r="BH161" s="46">
        <f>=IFERROR(ROUND(BH22/$B161,0),0)</f>
        <v>0</v>
      </c>
      <c r="BI161" s="46">
        <f>=IFERROR(ROUND(BI22/$B161,0),0)</f>
        <v>0</v>
      </c>
      <c r="BJ161" s="46">
        <f>=IFERROR(ROUND(BJ22/$B161,0),0)</f>
        <v>0</v>
      </c>
      <c r="BK161" s="46">
        <f>=IFERROR(ROUND(BK22/$B161,0),0)</f>
        <v>0</v>
      </c>
      <c r="BL161" s="46">
        <f>=IFERROR(ROUND(BL22/$B161,0),0)</f>
        <v>0</v>
      </c>
      <c r="BM161" s="46">
        <f>=IFERROR(ROUND(BM22/$B161,0),0)</f>
        <v>0</v>
      </c>
      <c r="BN161" s="46">
        <f>=IFERROR(ROUND(BN22/$B161,0),0)</f>
        <v>0</v>
      </c>
      <c r="BO161" s="46">
        <f>=IFERROR(ROUND(BO22/$B161,0),0)</f>
        <v>0</v>
      </c>
      <c r="BP161" s="46">
        <f>=IFERROR(ROUND(BP22/$B161,0),0)</f>
        <v>0</v>
      </c>
      <c r="BQ161" s="46">
        <f>=IFERROR(ROUND(BQ22/$B161,0),0)</f>
        <v>0</v>
      </c>
      <c r="BR161" s="46">
        <f>=IFERROR(ROUND(BR22/$B161,0),0)</f>
        <v>0</v>
      </c>
      <c r="BS161" s="46">
        <f>=IFERROR(ROUND(BS22/$B161,0),0)</f>
        <v>0</v>
      </c>
      <c r="BT161" s="46">
        <f>=IFERROR(ROUND(BT22/$B161,0),0)</f>
        <v>0</v>
      </c>
      <c r="BU161" s="46">
        <f>=IFERROR(ROUND(BU22/$B161,0),0)</f>
        <v>0</v>
      </c>
      <c r="BV161" s="46">
        <f>=IFERROR(ROUND(BV22/$B161,0),0)</f>
        <v>0</v>
      </c>
      <c r="BW161" s="46">
        <f>=IFERROR(ROUND(BW22/$B161,0),0)</f>
        <v>0</v>
      </c>
      <c r="BX161" s="46">
        <f>=IFERROR(ROUND(BX22/$B161,0),0)</f>
        <v>0</v>
      </c>
      <c r="BY161" s="46">
        <f>=IFERROR(ROUND(BY22/$B161,0),0)</f>
        <v>0</v>
      </c>
      <c r="BZ161" s="46">
        <f>=IFERROR(ROUND(BZ22/$B161,0),0)</f>
        <v>0</v>
      </c>
      <c r="CA161" s="46">
        <f>=IFERROR(ROUND(CA22/$B161,0),0)</f>
        <v>0</v>
      </c>
      <c r="CB161" s="46">
        <f>=IFERROR(ROUND(CB22/$B161,0),0)</f>
        <v>0</v>
      </c>
      <c r="CC161" s="46">
        <f>=IFERROR(ROUND(CC22/$B161,0),0)</f>
        <v>0</v>
      </c>
      <c r="CD161" s="46">
        <f>=IFERROR(ROUND(CD22/$B161,0),0)</f>
        <v>0</v>
      </c>
      <c r="CE161" s="46">
        <f>=IFERROR(ROUND(CE22/$B161,0),0)</f>
        <v>0</v>
      </c>
      <c r="CF161" s="46">
        <f>=IFERROR(ROUND(CF22/$B161,0),0)</f>
        <v>0</v>
      </c>
      <c r="CG161" s="46">
        <f>=IFERROR(ROUND(CG22/$B161,0),0)</f>
        <v>0</v>
      </c>
      <c r="CH161" s="46">
        <f>=IFERROR(ROUND(CH22/$B161,0),0)</f>
        <v>0</v>
      </c>
      <c r="CI161" s="46">
        <f>=IFERROR(ROUND(CI22/$B161,0),0)</f>
        <v>0</v>
      </c>
      <c r="CJ161" s="46">
        <f>=IFERROR(ROUND(CJ22/$B161,0),0)</f>
        <v>0</v>
      </c>
      <c r="CK161" s="46">
        <f>=IFERROR(ROUND(CK22/$B161,0),0)</f>
        <v>0</v>
      </c>
      <c r="CL161" s="46">
        <f>=IFERROR(ROUND(CL22/$B161,0),0)</f>
        <v>0</v>
      </c>
      <c r="CM161" s="46">
        <f>=IFERROR(ROUND(CM22/$B161,0),0)</f>
        <v>0</v>
      </c>
      <c r="CN161" s="46">
        <f>=IFERROR(ROUND(CN22/$B161,0),0)</f>
        <v>0</v>
      </c>
      <c r="CO161" s="46">
        <f>=IFERROR(ROUND(CO22/$B161,0),0)</f>
        <v>0</v>
      </c>
      <c r="CP161" s="46">
        <f>=IFERROR(ROUND(CP22/$B161,0),0)</f>
        <v>0</v>
      </c>
      <c r="CQ161" s="46">
        <f>=IFERROR(ROUND(CQ22/$B161,0),0)</f>
        <v>0</v>
      </c>
      <c r="CR161" s="46">
        <f>=IFERROR(ROUND(CR22/$B161,0),0)</f>
        <v>0</v>
      </c>
      <c r="CS161" s="46">
        <f>=IFERROR(ROUND(CS22/$B161,0),0)</f>
        <v>0</v>
      </c>
      <c r="CT161" s="46">
        <f>=IFERROR(ROUND(CT22/$B161,0),0)</f>
        <v>0</v>
      </c>
      <c r="CU161" s="46">
        <f>=IFERROR(ROUND(CU22/$B161,0),0)</f>
        <v>0</v>
      </c>
      <c r="CV161" s="46">
        <f>=IFERROR(ROUND(CV22/$B161,0),0)</f>
        <v>0</v>
      </c>
      <c r="CW161" s="46">
        <f>=IFERROR(ROUND(CW22/$B161,0),0)</f>
        <v>0</v>
      </c>
      <c r="CX161" s="46">
        <f>=IFERROR(ROUND(CX22/$B161,0),0)</f>
        <v>0</v>
      </c>
      <c r="CY161" s="46">
        <f>=IFERROR(ROUND(CY22/$B161,0),0)</f>
        <v>0</v>
      </c>
      <c r="CZ161" s="46">
        <f>=IFERROR(ROUND(CZ22/$B161,0),0)</f>
        <v>0</v>
      </c>
      <c r="DA161" s="46">
        <f>=IFERROR(ROUND(DA22/$B161,0),0)</f>
        <v>0</v>
      </c>
      <c r="DB161" s="46">
        <f>=IFERROR(ROUND(DB22/$B161,0),0)</f>
        <v>0</v>
      </c>
    </row>
    <row r="162" spans="3:106" x14ac:dyDescent="0.25"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30"/>
      <c r="BP162" s="30"/>
      <c r="BQ162" s="30"/>
      <c r="BR162" s="30"/>
      <c r="BS162" s="30"/>
      <c r="BT162" s="30"/>
      <c r="BU162" s="30"/>
      <c r="BV162" s="30"/>
      <c r="BW162" s="30"/>
      <c r="BX162" s="30"/>
      <c r="BY162" s="30"/>
      <c r="BZ162" s="30"/>
      <c r="CA162" s="30"/>
      <c r="CB162" s="30"/>
      <c r="CC162" s="30"/>
      <c r="CD162" s="30"/>
      <c r="CE162" s="30"/>
      <c r="CF162" s="30"/>
      <c r="CG162" s="30"/>
      <c r="CH162" s="30"/>
      <c r="CI162" s="30"/>
      <c r="CJ162" s="30"/>
      <c r="CK162" s="30"/>
      <c r="CL162" s="30"/>
      <c r="CM162" s="30"/>
      <c r="CN162" s="30"/>
      <c r="CO162" s="30"/>
      <c r="CP162" s="30"/>
      <c r="CQ162" s="30"/>
      <c r="CR162" s="30"/>
      <c r="CS162" s="30"/>
      <c r="CT162" s="30"/>
      <c r="CU162" s="30"/>
      <c r="CV162" s="30"/>
      <c r="CW162" s="30"/>
      <c r="CX162" s="30"/>
      <c r="CY162" s="30"/>
      <c r="CZ162" s="30"/>
      <c r="DA162" s="30"/>
      <c r="DB162" s="30"/>
    </row>
    <row r="163" spans="1:106" x14ac:dyDescent="0.25">
      <c r="A163" s="33" t="s">
        <v>366</v>
      </c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/>
      <c r="BE163" s="30"/>
      <c r="BF163" s="30"/>
      <c r="BG163" s="30"/>
      <c r="BH163" s="30"/>
      <c r="BI163" s="30"/>
      <c r="BJ163" s="30"/>
      <c r="BK163" s="30"/>
      <c r="BL163" s="30"/>
      <c r="BM163" s="30"/>
      <c r="BN163" s="30"/>
      <c r="BO163" s="30"/>
      <c r="BP163" s="30"/>
      <c r="BQ163" s="30"/>
      <c r="BR163" s="30"/>
      <c r="BS163" s="30"/>
      <c r="BT163" s="30"/>
      <c r="BU163" s="30"/>
      <c r="BV163" s="30"/>
      <c r="BW163" s="30"/>
      <c r="BX163" s="30"/>
      <c r="BY163" s="30"/>
      <c r="BZ163" s="30"/>
      <c r="CA163" s="30"/>
      <c r="CB163" s="30"/>
      <c r="CC163" s="30"/>
      <c r="CD163" s="30"/>
      <c r="CE163" s="30"/>
      <c r="CF163" s="30"/>
      <c r="CG163" s="30"/>
      <c r="CH163" s="30"/>
      <c r="CI163" s="30"/>
      <c r="CJ163" s="30"/>
      <c r="CK163" s="30"/>
      <c r="CL163" s="30"/>
      <c r="CM163" s="30"/>
      <c r="CN163" s="30"/>
      <c r="CO163" s="30"/>
      <c r="CP163" s="30"/>
      <c r="CQ163" s="30"/>
      <c r="CR163" s="30"/>
      <c r="CS163" s="30"/>
      <c r="CT163" s="30"/>
      <c r="CU163" s="30"/>
      <c r="CV163" s="30"/>
      <c r="CW163" s="30"/>
      <c r="CX163" s="30"/>
      <c r="CY163" s="30"/>
      <c r="CZ163" s="30"/>
      <c r="DA163" s="30"/>
      <c r="DB163" s="30"/>
    </row>
    <row r="164" spans="1:106" x14ac:dyDescent="0.25">
      <c r="A164" s="17" t="s">
        <v>367</v>
      </c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30"/>
      <c r="BD164" s="30"/>
      <c r="BE164" s="30"/>
      <c r="BF164" s="30"/>
      <c r="BG164" s="30"/>
      <c r="BH164" s="30"/>
      <c r="BI164" s="30"/>
      <c r="BJ164" s="30"/>
      <c r="BK164" s="30"/>
      <c r="BL164" s="30"/>
      <c r="BM164" s="30"/>
      <c r="BN164" s="30"/>
      <c r="BO164" s="30"/>
      <c r="BP164" s="30"/>
      <c r="BQ164" s="30"/>
      <c r="BR164" s="30"/>
      <c r="BS164" s="30"/>
      <c r="BT164" s="30"/>
      <c r="BU164" s="30"/>
      <c r="BV164" s="30"/>
      <c r="BW164" s="30"/>
      <c r="BX164" s="30"/>
      <c r="BY164" s="30"/>
      <c r="BZ164" s="30"/>
      <c r="CA164" s="30"/>
      <c r="CB164" s="30"/>
      <c r="CC164" s="30"/>
      <c r="CD164" s="30"/>
      <c r="CE164" s="30"/>
      <c r="CF164" s="30"/>
      <c r="CG164" s="30"/>
      <c r="CH164" s="30"/>
      <c r="CI164" s="30"/>
      <c r="CJ164" s="30"/>
      <c r="CK164" s="30"/>
      <c r="CL164" s="30"/>
      <c r="CM164" s="30"/>
      <c r="CN164" s="30"/>
      <c r="CO164" s="30"/>
      <c r="CP164" s="30"/>
      <c r="CQ164" s="30"/>
      <c r="CR164" s="30"/>
      <c r="CS164" s="30"/>
      <c r="CT164" s="30"/>
      <c r="CU164" s="30"/>
      <c r="CV164" s="30"/>
      <c r="CW164" s="30"/>
      <c r="CX164" s="30"/>
      <c r="CY164" s="30"/>
      <c r="CZ164" s="30"/>
      <c r="DA164" s="30"/>
      <c r="DB164" s="30"/>
    </row>
    <row r="165" spans="1:106" x14ac:dyDescent="0.25">
      <c r="A165" s="17" t="s">
        <v>357</v>
      </c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30"/>
      <c r="BD165" s="30"/>
      <c r="BE165" s="30"/>
      <c r="BF165" s="30"/>
      <c r="BG165" s="30"/>
      <c r="BH165" s="30"/>
      <c r="BI165" s="30"/>
      <c r="BJ165" s="30"/>
      <c r="BK165" s="30"/>
      <c r="BL165" s="30"/>
      <c r="BM165" s="30"/>
      <c r="BN165" s="30"/>
      <c r="BO165" s="30"/>
      <c r="BP165" s="30"/>
      <c r="BQ165" s="30"/>
      <c r="BR165" s="30"/>
      <c r="BS165" s="30"/>
      <c r="BT165" s="30"/>
      <c r="BU165" s="30"/>
      <c r="BV165" s="30"/>
      <c r="BW165" s="30"/>
      <c r="BX165" s="30"/>
      <c r="BY165" s="30"/>
      <c r="BZ165" s="30"/>
      <c r="CA165" s="30"/>
      <c r="CB165" s="30"/>
      <c r="CC165" s="30"/>
      <c r="CD165" s="30"/>
      <c r="CE165" s="30"/>
      <c r="CF165" s="30"/>
      <c r="CG165" s="30"/>
      <c r="CH165" s="30"/>
      <c r="CI165" s="30"/>
      <c r="CJ165" s="30"/>
      <c r="CK165" s="30"/>
      <c r="CL165" s="30"/>
      <c r="CM165" s="30"/>
      <c r="CN165" s="30"/>
      <c r="CO165" s="30"/>
      <c r="CP165" s="30"/>
      <c r="CQ165" s="30"/>
      <c r="CR165" s="30"/>
      <c r="CS165" s="30"/>
      <c r="CT165" s="30"/>
      <c r="CU165" s="30"/>
      <c r="CV165" s="30"/>
      <c r="CW165" s="30"/>
      <c r="CX165" s="30"/>
      <c r="CY165" s="30"/>
      <c r="CZ165" s="30"/>
      <c r="DA165" s="30"/>
      <c r="DB165" s="30"/>
    </row>
    <row r="166" spans="1:106" x14ac:dyDescent="0.25">
      <c r="A166" s="17" t="s">
        <v>358</v>
      </c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  <c r="BA166" s="30"/>
      <c r="BB166" s="30"/>
      <c r="BC166" s="30"/>
      <c r="BD166" s="30"/>
      <c r="BE166" s="30"/>
      <c r="BF166" s="30"/>
      <c r="BG166" s="30"/>
      <c r="BH166" s="30"/>
      <c r="BI166" s="30"/>
      <c r="BJ166" s="30"/>
      <c r="BK166" s="30"/>
      <c r="BL166" s="30"/>
      <c r="BM166" s="30"/>
      <c r="BN166" s="30"/>
      <c r="BO166" s="30"/>
      <c r="BP166" s="30"/>
      <c r="BQ166" s="30"/>
      <c r="BR166" s="30"/>
      <c r="BS166" s="30"/>
      <c r="BT166" s="30"/>
      <c r="BU166" s="30"/>
      <c r="BV166" s="30"/>
      <c r="BW166" s="30"/>
      <c r="BX166" s="30"/>
      <c r="BY166" s="30"/>
      <c r="BZ166" s="30"/>
      <c r="CA166" s="30"/>
      <c r="CB166" s="30"/>
      <c r="CC166" s="30"/>
      <c r="CD166" s="30"/>
      <c r="CE166" s="30"/>
      <c r="CF166" s="30"/>
      <c r="CG166" s="30"/>
      <c r="CH166" s="30"/>
      <c r="CI166" s="30"/>
      <c r="CJ166" s="30"/>
      <c r="CK166" s="30"/>
      <c r="CL166" s="30"/>
      <c r="CM166" s="30"/>
      <c r="CN166" s="30"/>
      <c r="CO166" s="30"/>
      <c r="CP166" s="30"/>
      <c r="CQ166" s="30"/>
      <c r="CR166" s="30"/>
      <c r="CS166" s="30"/>
      <c r="CT166" s="30"/>
      <c r="CU166" s="30"/>
      <c r="CV166" s="30"/>
      <c r="CW166" s="30"/>
      <c r="CX166" s="30"/>
      <c r="CY166" s="30"/>
      <c r="CZ166" s="30"/>
      <c r="DA166" s="30"/>
      <c r="DB166" s="30"/>
    </row>
    <row r="167" spans="1:106" x14ac:dyDescent="0.25">
      <c r="A167" s="17" t="s">
        <v>359</v>
      </c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  <c r="BC167" s="30"/>
      <c r="BD167" s="30"/>
      <c r="BE167" s="30"/>
      <c r="BF167" s="30"/>
      <c r="BG167" s="30"/>
      <c r="BH167" s="30"/>
      <c r="BI167" s="30"/>
      <c r="BJ167" s="30"/>
      <c r="BK167" s="30"/>
      <c r="BL167" s="30"/>
      <c r="BM167" s="30"/>
      <c r="BN167" s="30"/>
      <c r="BO167" s="30"/>
      <c r="BP167" s="30"/>
      <c r="BQ167" s="30"/>
      <c r="BR167" s="30"/>
      <c r="BS167" s="30"/>
      <c r="BT167" s="30"/>
      <c r="BU167" s="30"/>
      <c r="BV167" s="30"/>
      <c r="BW167" s="30"/>
      <c r="BX167" s="30"/>
      <c r="BY167" s="30"/>
      <c r="BZ167" s="30"/>
      <c r="CA167" s="30"/>
      <c r="CB167" s="30"/>
      <c r="CC167" s="30"/>
      <c r="CD167" s="30"/>
      <c r="CE167" s="30"/>
      <c r="CF167" s="30"/>
      <c r="CG167" s="30"/>
      <c r="CH167" s="30"/>
      <c r="CI167" s="30"/>
      <c r="CJ167" s="30"/>
      <c r="CK167" s="30"/>
      <c r="CL167" s="30"/>
      <c r="CM167" s="30"/>
      <c r="CN167" s="30"/>
      <c r="CO167" s="30"/>
      <c r="CP167" s="30"/>
      <c r="CQ167" s="30"/>
      <c r="CR167" s="30"/>
      <c r="CS167" s="30"/>
      <c r="CT167" s="30"/>
      <c r="CU167" s="30"/>
      <c r="CV167" s="30"/>
      <c r="CW167" s="30"/>
      <c r="CX167" s="30"/>
      <c r="CY167" s="30"/>
      <c r="CZ167" s="30"/>
      <c r="DA167" s="30"/>
      <c r="DB167" s="30"/>
    </row>
    <row r="168" spans="1:106" x14ac:dyDescent="0.25">
      <c r="A168" s="17" t="s">
        <v>360</v>
      </c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  <c r="BA168" s="30"/>
      <c r="BB168" s="30"/>
      <c r="BC168" s="30"/>
      <c r="BD168" s="30"/>
      <c r="BE168" s="30"/>
      <c r="BF168" s="30"/>
      <c r="BG168" s="30"/>
      <c r="BH168" s="30"/>
      <c r="BI168" s="30"/>
      <c r="BJ168" s="30"/>
      <c r="BK168" s="30"/>
      <c r="BL168" s="30"/>
      <c r="BM168" s="30"/>
      <c r="BN168" s="30"/>
      <c r="BO168" s="30"/>
      <c r="BP168" s="30"/>
      <c r="BQ168" s="30"/>
      <c r="BR168" s="30"/>
      <c r="BS168" s="30"/>
      <c r="BT168" s="30"/>
      <c r="BU168" s="30"/>
      <c r="BV168" s="30"/>
      <c r="BW168" s="30"/>
      <c r="BX168" s="30"/>
      <c r="BY168" s="30"/>
      <c r="BZ168" s="30"/>
      <c r="CA168" s="30"/>
      <c r="CB168" s="30"/>
      <c r="CC168" s="30"/>
      <c r="CD168" s="30"/>
      <c r="CE168" s="30"/>
      <c r="CF168" s="30"/>
      <c r="CG168" s="30"/>
      <c r="CH168" s="30"/>
      <c r="CI168" s="30"/>
      <c r="CJ168" s="30"/>
      <c r="CK168" s="30"/>
      <c r="CL168" s="30"/>
      <c r="CM168" s="30"/>
      <c r="CN168" s="30"/>
      <c r="CO168" s="30"/>
      <c r="CP168" s="30"/>
      <c r="CQ168" s="30"/>
      <c r="CR168" s="30"/>
      <c r="CS168" s="30"/>
      <c r="CT168" s="30"/>
      <c r="CU168" s="30"/>
      <c r="CV168" s="30"/>
      <c r="CW168" s="30"/>
      <c r="CX168" s="30"/>
      <c r="CY168" s="30"/>
      <c r="CZ168" s="30"/>
      <c r="DA168" s="30"/>
      <c r="DB168" s="30"/>
    </row>
    <row r="169" spans="1:106" x14ac:dyDescent="0.25">
      <c r="A169" s="17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  <c r="BA169" s="30"/>
      <c r="BB169" s="30"/>
      <c r="BC169" s="30"/>
      <c r="BD169" s="30"/>
      <c r="BE169" s="30"/>
      <c r="BF169" s="30"/>
      <c r="BG169" s="30"/>
      <c r="BH169" s="30"/>
      <c r="BI169" s="30"/>
      <c r="BJ169" s="30"/>
      <c r="BK169" s="30"/>
      <c r="BL169" s="30"/>
      <c r="BM169" s="30"/>
      <c r="BN169" s="30"/>
      <c r="BO169" s="30"/>
      <c r="BP169" s="30"/>
      <c r="BQ169" s="30"/>
      <c r="BR169" s="30"/>
      <c r="BS169" s="30"/>
      <c r="BT169" s="30"/>
      <c r="BU169" s="30"/>
      <c r="BV169" s="30"/>
      <c r="BW169" s="30"/>
      <c r="BX169" s="30"/>
      <c r="BY169" s="30"/>
      <c r="BZ169" s="30"/>
      <c r="CA169" s="30"/>
      <c r="CB169" s="30"/>
      <c r="CC169" s="30"/>
      <c r="CD169" s="30"/>
      <c r="CE169" s="30"/>
      <c r="CF169" s="30"/>
      <c r="CG169" s="30"/>
      <c r="CH169" s="30"/>
      <c r="CI169" s="30"/>
      <c r="CJ169" s="30"/>
      <c r="CK169" s="30"/>
      <c r="CL169" s="30"/>
      <c r="CM169" s="30"/>
      <c r="CN169" s="30"/>
      <c r="CO169" s="30"/>
      <c r="CP169" s="30"/>
      <c r="CQ169" s="30"/>
      <c r="CR169" s="30"/>
      <c r="CS169" s="30"/>
      <c r="CT169" s="30"/>
      <c r="CU169" s="30"/>
      <c r="CV169" s="30"/>
      <c r="CW169" s="30"/>
      <c r="CX169" s="30"/>
      <c r="CY169" s="30"/>
      <c r="CZ169" s="30"/>
      <c r="DA169" s="30"/>
      <c r="DB169" s="30"/>
    </row>
    <row r="170" spans="1:106" x14ac:dyDescent="0.25">
      <c r="A170" s="33" t="s">
        <v>368</v>
      </c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  <c r="BF170" s="30"/>
      <c r="BG170" s="30"/>
      <c r="BH170" s="30"/>
      <c r="BI170" s="30"/>
      <c r="BJ170" s="30"/>
      <c r="BK170" s="30"/>
      <c r="BL170" s="30"/>
      <c r="BM170" s="30"/>
      <c r="BN170" s="30"/>
      <c r="BO170" s="30"/>
      <c r="BP170" s="30"/>
      <c r="BQ170" s="30"/>
      <c r="BR170" s="30"/>
      <c r="BS170" s="30"/>
      <c r="BT170" s="30"/>
      <c r="BU170" s="30"/>
      <c r="BV170" s="30"/>
      <c r="BW170" s="30"/>
      <c r="BX170" s="30"/>
      <c r="BY170" s="30"/>
      <c r="BZ170" s="30"/>
      <c r="CA170" s="30"/>
      <c r="CB170" s="30"/>
      <c r="CC170" s="30"/>
      <c r="CD170" s="30"/>
      <c r="CE170" s="30"/>
      <c r="CF170" s="30"/>
      <c r="CG170" s="30"/>
      <c r="CH170" s="30"/>
      <c r="CI170" s="30"/>
      <c r="CJ170" s="30"/>
      <c r="CK170" s="30"/>
      <c r="CL170" s="30"/>
      <c r="CM170" s="30"/>
      <c r="CN170" s="30"/>
      <c r="CO170" s="30"/>
      <c r="CP170" s="30"/>
      <c r="CQ170" s="30"/>
      <c r="CR170" s="30"/>
      <c r="CS170" s="30"/>
      <c r="CT170" s="30"/>
      <c r="CU170" s="30"/>
      <c r="CV170" s="30"/>
      <c r="CW170" s="30"/>
      <c r="CX170" s="30"/>
      <c r="CY170" s="30"/>
      <c r="CZ170" s="30"/>
      <c r="DA170" s="30"/>
      <c r="DB170" s="30"/>
    </row>
    <row r="171" spans="1:106" x14ac:dyDescent="0.25">
      <c r="A171" s="17" t="s">
        <v>367</v>
      </c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  <c r="BA171" s="30"/>
      <c r="BB171" s="30"/>
      <c r="BC171" s="30"/>
      <c r="BD171" s="30"/>
      <c r="BE171" s="30"/>
      <c r="BF171" s="30"/>
      <c r="BG171" s="30"/>
      <c r="BH171" s="30"/>
      <c r="BI171" s="30"/>
      <c r="BJ171" s="30"/>
      <c r="BK171" s="30"/>
      <c r="BL171" s="30"/>
      <c r="BM171" s="30"/>
      <c r="BN171" s="30"/>
      <c r="BO171" s="30"/>
      <c r="BP171" s="30"/>
      <c r="BQ171" s="30"/>
      <c r="BR171" s="30"/>
      <c r="BS171" s="30"/>
      <c r="BT171" s="30"/>
      <c r="BU171" s="30"/>
      <c r="BV171" s="30"/>
      <c r="BW171" s="30"/>
      <c r="BX171" s="30"/>
      <c r="BY171" s="30"/>
      <c r="BZ171" s="30"/>
      <c r="CA171" s="30"/>
      <c r="CB171" s="30"/>
      <c r="CC171" s="30"/>
      <c r="CD171" s="30"/>
      <c r="CE171" s="30"/>
      <c r="CF171" s="30"/>
      <c r="CG171" s="30"/>
      <c r="CH171" s="30"/>
      <c r="CI171" s="30"/>
      <c r="CJ171" s="30"/>
      <c r="CK171" s="30"/>
      <c r="CL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</row>
    <row r="172" spans="1:106" x14ac:dyDescent="0.25">
      <c r="A172" s="17" t="s">
        <v>357</v>
      </c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  <c r="BA172" s="30"/>
      <c r="BB172" s="30"/>
      <c r="BC172" s="30"/>
      <c r="BD172" s="30"/>
      <c r="BE172" s="30"/>
      <c r="BF172" s="30"/>
      <c r="BG172" s="30"/>
      <c r="BH172" s="30"/>
      <c r="BI172" s="30"/>
      <c r="BJ172" s="30"/>
      <c r="BK172" s="30"/>
      <c r="BL172" s="30"/>
      <c r="BM172" s="30"/>
      <c r="BN172" s="30"/>
      <c r="BO172" s="30"/>
      <c r="BP172" s="30"/>
      <c r="BQ172" s="30"/>
      <c r="BR172" s="30"/>
      <c r="BS172" s="30"/>
      <c r="BT172" s="30"/>
      <c r="BU172" s="30"/>
      <c r="BV172" s="30"/>
      <c r="BW172" s="30"/>
      <c r="BX172" s="30"/>
      <c r="BY172" s="30"/>
      <c r="BZ172" s="30"/>
      <c r="CA172" s="30"/>
      <c r="CB172" s="30"/>
      <c r="CC172" s="30"/>
      <c r="CD172" s="30"/>
      <c r="CE172" s="30"/>
      <c r="CF172" s="30"/>
      <c r="CG172" s="30"/>
      <c r="CH172" s="30"/>
      <c r="CI172" s="30"/>
      <c r="CJ172" s="30"/>
      <c r="CK172" s="30"/>
      <c r="CL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</row>
    <row r="173" spans="1:106" x14ac:dyDescent="0.25">
      <c r="A173" s="17" t="s">
        <v>358</v>
      </c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  <c r="BA173" s="30"/>
      <c r="BB173" s="30"/>
      <c r="BC173" s="30"/>
      <c r="BD173" s="30"/>
      <c r="BE173" s="30"/>
      <c r="BF173" s="30"/>
      <c r="BG173" s="30"/>
      <c r="BH173" s="30"/>
      <c r="BI173" s="30"/>
      <c r="BJ173" s="30"/>
      <c r="BK173" s="30"/>
      <c r="BL173" s="30"/>
      <c r="BM173" s="30"/>
      <c r="BN173" s="30"/>
      <c r="BO173" s="30"/>
      <c r="BP173" s="30"/>
      <c r="BQ173" s="30"/>
      <c r="BR173" s="30"/>
      <c r="BS173" s="30"/>
      <c r="BT173" s="30"/>
      <c r="BU173" s="30"/>
      <c r="BV173" s="30"/>
      <c r="BW173" s="30"/>
      <c r="BX173" s="30"/>
      <c r="BY173" s="30"/>
      <c r="BZ173" s="30"/>
      <c r="CA173" s="30"/>
      <c r="CB173" s="30"/>
      <c r="CC173" s="30"/>
      <c r="CD173" s="30"/>
      <c r="CE173" s="30"/>
      <c r="CF173" s="30"/>
      <c r="CG173" s="30"/>
      <c r="CH173" s="30"/>
      <c r="CI173" s="30"/>
      <c r="CJ173" s="30"/>
      <c r="CK173" s="30"/>
      <c r="CL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</row>
    <row r="174" spans="1:106" x14ac:dyDescent="0.25">
      <c r="A174" s="17" t="s">
        <v>359</v>
      </c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  <c r="BA174" s="30"/>
      <c r="BB174" s="30"/>
      <c r="BC174" s="30"/>
      <c r="BD174" s="30"/>
      <c r="BE174" s="30"/>
      <c r="BF174" s="30"/>
      <c r="BG174" s="30"/>
      <c r="BH174" s="30"/>
      <c r="BI174" s="30"/>
      <c r="BJ174" s="30"/>
      <c r="BK174" s="30"/>
      <c r="BL174" s="30"/>
      <c r="BM174" s="30"/>
      <c r="BN174" s="30"/>
      <c r="BO174" s="30"/>
      <c r="BP174" s="30"/>
      <c r="BQ174" s="30"/>
      <c r="BR174" s="30"/>
      <c r="BS174" s="30"/>
      <c r="BT174" s="30"/>
      <c r="BU174" s="30"/>
      <c r="BV174" s="30"/>
      <c r="BW174" s="30"/>
      <c r="BX174" s="30"/>
      <c r="BY174" s="30"/>
      <c r="BZ174" s="30"/>
      <c r="CA174" s="30"/>
      <c r="CB174" s="30"/>
      <c r="CC174" s="30"/>
      <c r="CD174" s="30"/>
      <c r="CE174" s="30"/>
      <c r="CF174" s="30"/>
      <c r="CG174" s="30"/>
      <c r="CH174" s="30"/>
      <c r="CI174" s="30"/>
      <c r="CJ174" s="30"/>
      <c r="CK174" s="30"/>
      <c r="CL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</row>
    <row r="175" spans="1:106" x14ac:dyDescent="0.25">
      <c r="A175" s="17" t="s">
        <v>360</v>
      </c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  <c r="BA175" s="30"/>
      <c r="BB175" s="30"/>
      <c r="BC175" s="30"/>
      <c r="BD175" s="30"/>
      <c r="BE175" s="30"/>
      <c r="BF175" s="30"/>
      <c r="BG175" s="30"/>
      <c r="BH175" s="30"/>
      <c r="BI175" s="30"/>
      <c r="BJ175" s="30"/>
      <c r="BK175" s="30"/>
      <c r="BL175" s="30"/>
      <c r="BM175" s="30"/>
      <c r="BN175" s="30"/>
      <c r="BO175" s="30"/>
      <c r="BP175" s="30"/>
      <c r="BQ175" s="30"/>
      <c r="BR175" s="30"/>
      <c r="BS175" s="30"/>
      <c r="BT175" s="30"/>
      <c r="BU175" s="30"/>
      <c r="BV175" s="30"/>
      <c r="BW175" s="30"/>
      <c r="BX175" s="30"/>
      <c r="BY175" s="30"/>
      <c r="BZ175" s="30"/>
      <c r="CA175" s="30"/>
      <c r="CB175" s="30"/>
      <c r="CC175" s="30"/>
      <c r="CD175" s="30"/>
      <c r="CE175" s="30"/>
      <c r="CF175" s="30"/>
      <c r="CG175" s="30"/>
      <c r="CH175" s="30"/>
      <c r="CI175" s="30"/>
      <c r="CJ175" s="30"/>
      <c r="CK175" s="30"/>
      <c r="CL175" s="30"/>
      <c r="CM175" s="30"/>
      <c r="CN175" s="30"/>
      <c r="CO175" s="30"/>
      <c r="CP175" s="30"/>
      <c r="CQ175" s="30"/>
      <c r="CR175" s="30"/>
      <c r="CS175" s="30"/>
      <c r="CT175" s="30"/>
      <c r="CU175" s="30"/>
      <c r="CV175" s="30"/>
      <c r="CW175" s="30"/>
      <c r="CX175" s="30"/>
      <c r="CY175" s="30"/>
      <c r="CZ175" s="30"/>
      <c r="DA175" s="30"/>
      <c r="DB175" s="30"/>
    </row>
    <row r="176" spans="3:106" x14ac:dyDescent="0.25"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  <c r="BA176" s="30"/>
      <c r="BB176" s="30"/>
      <c r="BC176" s="30"/>
      <c r="BD176" s="30"/>
      <c r="BE176" s="30"/>
      <c r="BF176" s="30"/>
      <c r="BG176" s="30"/>
      <c r="BH176" s="30"/>
      <c r="BI176" s="30"/>
      <c r="BJ176" s="30"/>
      <c r="BK176" s="30"/>
      <c r="BL176" s="30"/>
      <c r="BM176" s="30"/>
      <c r="BN176" s="30"/>
      <c r="BO176" s="30"/>
      <c r="BP176" s="30"/>
      <c r="BQ176" s="30"/>
      <c r="BR176" s="30"/>
      <c r="BS176" s="30"/>
      <c r="BT176" s="30"/>
      <c r="BU176" s="30"/>
      <c r="BV176" s="30"/>
      <c r="BW176" s="30"/>
      <c r="BX176" s="30"/>
      <c r="BY176" s="30"/>
      <c r="BZ176" s="30"/>
      <c r="CA176" s="30"/>
      <c r="CB176" s="30"/>
      <c r="CC176" s="30"/>
      <c r="CD176" s="30"/>
      <c r="CE176" s="30"/>
      <c r="CF176" s="30"/>
      <c r="CG176" s="30"/>
      <c r="CH176" s="30"/>
      <c r="CI176" s="30"/>
      <c r="CJ176" s="30"/>
      <c r="CK176" s="30"/>
      <c r="CL176" s="30"/>
      <c r="CM176" s="30"/>
      <c r="CN176" s="30"/>
      <c r="CO176" s="30"/>
      <c r="CP176" s="30"/>
      <c r="CQ176" s="30"/>
      <c r="CR176" s="30"/>
      <c r="CS176" s="30"/>
      <c r="CT176" s="30"/>
      <c r="CU176" s="30"/>
      <c r="CV176" s="30"/>
      <c r="CW176" s="30"/>
      <c r="CX176" s="30"/>
      <c r="CY176" s="30"/>
      <c r="CZ176" s="30"/>
      <c r="DA176" s="30"/>
      <c r="DB176" s="30"/>
    </row>
    <row r="177" spans="3:106" x14ac:dyDescent="0.25"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  <c r="AW177" s="30"/>
      <c r="AX177" s="30"/>
      <c r="AY177" s="30"/>
      <c r="AZ177" s="30"/>
      <c r="BA177" s="30"/>
      <c r="BB177" s="30"/>
      <c r="BC177" s="30"/>
      <c r="BD177" s="30"/>
      <c r="BE177" s="30"/>
      <c r="BF177" s="30"/>
      <c r="BG177" s="30"/>
      <c r="BH177" s="30"/>
      <c r="BI177" s="30"/>
      <c r="BJ177" s="30"/>
      <c r="BK177" s="30"/>
      <c r="BL177" s="30"/>
      <c r="BM177" s="30"/>
      <c r="BN177" s="30"/>
      <c r="BO177" s="30"/>
      <c r="BP177" s="30"/>
      <c r="BQ177" s="30"/>
      <c r="BR177" s="30"/>
      <c r="BS177" s="30"/>
      <c r="BT177" s="30"/>
      <c r="BU177" s="30"/>
      <c r="BV177" s="30"/>
      <c r="BW177" s="30"/>
      <c r="BX177" s="30"/>
      <c r="BY177" s="30"/>
      <c r="BZ177" s="30"/>
      <c r="CA177" s="30"/>
      <c r="CB177" s="30"/>
      <c r="CC177" s="30"/>
      <c r="CD177" s="30"/>
      <c r="CE177" s="30"/>
      <c r="CF177" s="30"/>
      <c r="CG177" s="30"/>
      <c r="CH177" s="30"/>
      <c r="CI177" s="30"/>
      <c r="CJ177" s="30"/>
      <c r="CK177" s="30"/>
      <c r="CL177" s="30"/>
      <c r="CM177" s="30"/>
      <c r="CN177" s="30"/>
      <c r="CO177" s="30"/>
      <c r="CP177" s="30"/>
      <c r="CQ177" s="30"/>
      <c r="CR177" s="30"/>
      <c r="CS177" s="30"/>
      <c r="CT177" s="30"/>
      <c r="CU177" s="30"/>
      <c r="CV177" s="30"/>
      <c r="CW177" s="30"/>
      <c r="CX177" s="30"/>
      <c r="CY177" s="30"/>
      <c r="CZ177" s="30"/>
      <c r="DA177" s="30"/>
      <c r="DB177" s="30"/>
    </row>
    <row r="178" spans="3:106" x14ac:dyDescent="0.25"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/>
      <c r="AZ178" s="30"/>
      <c r="BA178" s="30"/>
      <c r="BB178" s="30"/>
      <c r="BC178" s="30"/>
      <c r="BD178" s="30"/>
      <c r="BE178" s="30"/>
      <c r="BF178" s="30"/>
      <c r="BG178" s="30"/>
      <c r="BH178" s="30"/>
      <c r="BI178" s="30"/>
      <c r="BJ178" s="30"/>
      <c r="BK178" s="30"/>
      <c r="BL178" s="30"/>
      <c r="BM178" s="30"/>
      <c r="BN178" s="30"/>
      <c r="BO178" s="30"/>
      <c r="BP178" s="30"/>
      <c r="BQ178" s="30"/>
      <c r="BR178" s="30"/>
      <c r="BS178" s="30"/>
      <c r="BT178" s="30"/>
      <c r="BU178" s="30"/>
      <c r="BV178" s="30"/>
      <c r="BW178" s="30"/>
      <c r="BX178" s="30"/>
      <c r="BY178" s="30"/>
      <c r="BZ178" s="30"/>
      <c r="CA178" s="30"/>
      <c r="CB178" s="30"/>
      <c r="CC178" s="30"/>
      <c r="CD178" s="30"/>
      <c r="CE178" s="30"/>
      <c r="CF178" s="30"/>
      <c r="CG178" s="30"/>
      <c r="CH178" s="30"/>
      <c r="CI178" s="30"/>
      <c r="CJ178" s="30"/>
      <c r="CK178" s="30"/>
      <c r="CL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</row>
    <row r="179" spans="1:106" x14ac:dyDescent="0.25">
      <c r="A179" s="17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  <c r="AP179" s="30"/>
      <c r="AQ179" s="30"/>
      <c r="AR179" s="30"/>
      <c r="AS179" s="30"/>
      <c r="AT179" s="30"/>
      <c r="AU179" s="30"/>
      <c r="AV179" s="30"/>
      <c r="AW179" s="30"/>
      <c r="AX179" s="30"/>
      <c r="AY179" s="30"/>
      <c r="AZ179" s="30"/>
      <c r="BA179" s="30"/>
      <c r="BB179" s="30"/>
      <c r="BC179" s="30"/>
      <c r="BD179" s="30"/>
      <c r="BE179" s="30"/>
      <c r="BF179" s="30"/>
      <c r="BG179" s="30"/>
      <c r="BH179" s="30"/>
      <c r="BI179" s="30"/>
      <c r="BJ179" s="30"/>
      <c r="BK179" s="30"/>
      <c r="BL179" s="30"/>
      <c r="BM179" s="30"/>
      <c r="BN179" s="30"/>
      <c r="BO179" s="30"/>
      <c r="BP179" s="30"/>
      <c r="BQ179" s="30"/>
      <c r="BR179" s="30"/>
      <c r="BS179" s="30"/>
      <c r="BT179" s="30"/>
      <c r="BU179" s="30"/>
      <c r="BV179" s="30"/>
      <c r="BW179" s="30"/>
      <c r="BX179" s="30"/>
      <c r="BY179" s="30"/>
      <c r="BZ179" s="30"/>
      <c r="CA179" s="30"/>
      <c r="CB179" s="30"/>
      <c r="CC179" s="30"/>
      <c r="CD179" s="30"/>
      <c r="CE179" s="30"/>
      <c r="CF179" s="30"/>
      <c r="CG179" s="30"/>
      <c r="CH179" s="30"/>
      <c r="CI179" s="30"/>
      <c r="CJ179" s="30"/>
      <c r="CK179" s="30"/>
      <c r="CL179" s="30"/>
      <c r="CM179" s="30"/>
      <c r="CN179" s="30"/>
      <c r="CO179" s="30"/>
      <c r="CP179" s="30"/>
      <c r="CQ179" s="30"/>
      <c r="CR179" s="30"/>
      <c r="CS179" s="30"/>
      <c r="CT179" s="30"/>
      <c r="CU179" s="30"/>
      <c r="CV179" s="30"/>
      <c r="CW179" s="30"/>
      <c r="CX179" s="30"/>
      <c r="CY179" s="30"/>
      <c r="CZ179" s="30"/>
      <c r="DA179" s="30"/>
      <c r="DB179" s="30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172"/>
  <sheetFormatPr defaultRowHeight="15" outlineLevelRow="0" outlineLevelCol="0" x14ac:dyDescent="55"/>
  <cols>
    <col min="1" max="1" width="33" customWidth="1"/>
    <col min="2" max="2" width="17" customWidth="1"/>
    <col min="3" max="3" width="11" customWidth="1"/>
  </cols>
  <sheetData>
    <row r="1" ht="17" customHeight="1" spans="1:106" x14ac:dyDescent="0.25">
      <c r="A1" s="1" t="s">
        <v>314</v>
      </c>
      <c r="B1" t="s">
        <v>1</v>
      </c>
      <c r="C1" t="s">
        <v>2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2</v>
      </c>
      <c r="X1" t="s">
        <v>2</v>
      </c>
      <c r="Y1" t="s">
        <v>2</v>
      </c>
      <c r="Z1" t="s">
        <v>2</v>
      </c>
      <c r="AA1" t="s">
        <v>2</v>
      </c>
      <c r="AB1" t="s">
        <v>2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 t="s">
        <v>2</v>
      </c>
      <c r="AI1" t="s">
        <v>2</v>
      </c>
      <c r="AJ1" t="s">
        <v>2</v>
      </c>
      <c r="AK1" t="s">
        <v>2</v>
      </c>
      <c r="AL1" t="s">
        <v>2</v>
      </c>
      <c r="AM1" t="s">
        <v>2</v>
      </c>
      <c r="AN1" t="s">
        <v>2</v>
      </c>
      <c r="AO1" t="s">
        <v>2</v>
      </c>
      <c r="AP1" t="s">
        <v>2</v>
      </c>
      <c r="AQ1" t="s">
        <v>2</v>
      </c>
      <c r="AR1" t="s">
        <v>2</v>
      </c>
      <c r="AS1" t="s">
        <v>2</v>
      </c>
      <c r="AT1" t="s">
        <v>2</v>
      </c>
      <c r="AU1" t="s">
        <v>2</v>
      </c>
      <c r="AV1" t="s">
        <v>2</v>
      </c>
      <c r="AW1" t="s">
        <v>2</v>
      </c>
      <c r="AX1" t="s">
        <v>2</v>
      </c>
      <c r="AY1" t="s">
        <v>2</v>
      </c>
      <c r="AZ1" t="s">
        <v>2</v>
      </c>
      <c r="BA1" t="s">
        <v>2</v>
      </c>
      <c r="BB1" t="s">
        <v>2</v>
      </c>
      <c r="BC1" t="s">
        <v>2</v>
      </c>
      <c r="BD1" t="s">
        <v>2</v>
      </c>
      <c r="BE1" t="s">
        <v>2</v>
      </c>
      <c r="BF1" t="s">
        <v>2</v>
      </c>
      <c r="BG1" t="s">
        <v>2</v>
      </c>
      <c r="BH1" t="s">
        <v>2</v>
      </c>
      <c r="BI1" t="s">
        <v>2</v>
      </c>
      <c r="BJ1" t="s">
        <v>2</v>
      </c>
      <c r="BK1" t="s">
        <v>2</v>
      </c>
      <c r="BL1" t="s">
        <v>2</v>
      </c>
      <c r="BM1" t="s">
        <v>2</v>
      </c>
      <c r="BN1" t="s">
        <v>2</v>
      </c>
      <c r="BO1" t="s">
        <v>2</v>
      </c>
      <c r="BP1" t="s">
        <v>2</v>
      </c>
      <c r="BQ1" t="s">
        <v>2</v>
      </c>
      <c r="BR1" t="s">
        <v>2</v>
      </c>
      <c r="BS1" t="s">
        <v>2</v>
      </c>
      <c r="BT1" t="s">
        <v>2</v>
      </c>
      <c r="BU1" t="s">
        <v>2</v>
      </c>
      <c r="BV1" t="s">
        <v>2</v>
      </c>
      <c r="BW1" t="s">
        <v>2</v>
      </c>
      <c r="BX1" t="s">
        <v>2</v>
      </c>
      <c r="BY1" t="s">
        <v>2</v>
      </c>
      <c r="BZ1" t="s">
        <v>2</v>
      </c>
      <c r="CA1" t="s">
        <v>2</v>
      </c>
      <c r="CB1" t="s">
        <v>2</v>
      </c>
      <c r="CC1" t="s">
        <v>2</v>
      </c>
      <c r="CD1" t="s">
        <v>2</v>
      </c>
      <c r="CE1" t="s">
        <v>2</v>
      </c>
      <c r="CF1" t="s">
        <v>2</v>
      </c>
      <c r="CG1" t="s">
        <v>2</v>
      </c>
      <c r="CH1" t="s">
        <v>2</v>
      </c>
      <c r="CI1" t="s">
        <v>2</v>
      </c>
      <c r="CJ1" t="s">
        <v>2</v>
      </c>
      <c r="CK1" t="s">
        <v>2</v>
      </c>
      <c r="CL1" t="s">
        <v>2</v>
      </c>
      <c r="CM1" t="s">
        <v>2</v>
      </c>
      <c r="CN1" t="s">
        <v>2</v>
      </c>
      <c r="CO1" t="s">
        <v>2</v>
      </c>
      <c r="CP1" t="s">
        <v>2</v>
      </c>
      <c r="CQ1" t="s">
        <v>2</v>
      </c>
      <c r="CR1" t="s">
        <v>2</v>
      </c>
      <c r="CS1" t="s">
        <v>2</v>
      </c>
      <c r="CT1" t="s">
        <v>2</v>
      </c>
      <c r="CU1" t="s">
        <v>2</v>
      </c>
      <c r="CV1" t="s">
        <v>2</v>
      </c>
      <c r="CW1" t="s">
        <v>2</v>
      </c>
      <c r="CX1" t="s">
        <v>2</v>
      </c>
      <c r="CY1" t="s">
        <v>2</v>
      </c>
      <c r="CZ1" t="s">
        <v>2</v>
      </c>
      <c r="DA1" t="s">
        <v>2</v>
      </c>
      <c r="DB1" t="s">
        <v>2</v>
      </c>
    </row>
    <row r="2" ht="14" customHeight="1" spans="1:106" x14ac:dyDescent="0.25">
      <c r="B2" t="s">
        <v>3</v>
      </c>
      <c r="C2" s="2">
        <f>=TODAY()</f>
        <v>45988</v>
      </c>
      <c r="D2" t="str">
        <f>=IF(C2="Current WK","Next Week",IF(DATEVALUE(D4)=$C$2-WEEKDAY($C$2,1)+1,"Current WK",""))</f>
        <v/>
      </c>
      <c r="E2" t="str">
        <f>=IF(D2="Current WK","Next Week",IF(DATEVALUE(E4)=$C$2-WEEKDAY($C$2,1)+1,"Current WK",""))</f>
        <v/>
      </c>
      <c r="F2" t="str">
        <f>=IF(E2="Current WK","Next Week",IF(DATEVALUE(F4)=$C$2-WEEKDAY($C$2,1)+1,"Current WK",""))</f>
        <v/>
      </c>
      <c r="G2" t="str">
        <f>=IF(F2="Current WK","Next Week",IF(DATEVALUE(G4)=$C$2-WEEKDAY($C$2,1)+1,"Current WK",""))</f>
        <v/>
      </c>
      <c r="H2" t="str">
        <f>=IF(G2="Current WK","Next Week",IF(DATEVALUE(H4)=$C$2-WEEKDAY($C$2,1)+1,"Current WK",""))</f>
        <v/>
      </c>
      <c r="I2" t="str">
        <f>=IF(H2="Current WK","Next Week",IF(DATEVALUE(I4)=$C$2-WEEKDAY($C$2,1)+1,"Current WK",""))</f>
        <v/>
      </c>
      <c r="J2" t="str">
        <f>=IF(I2="Current WK","Next Week",IF(DATEVALUE(J4)=$C$2-WEEKDAY($C$2,1)+1,"Current WK",""))</f>
        <v/>
      </c>
      <c r="K2" t="str">
        <f>=IF(J2="Current WK","Next Week",IF(DATEVALUE(K4)=$C$2-WEEKDAY($C$2,1)+1,"Current WK",""))</f>
        <v/>
      </c>
      <c r="L2" t="str">
        <f>=IF(K2="Current WK","Next Week",IF(DATEVALUE(L4)=$C$2-WEEKDAY($C$2,1)+1,"Current WK",""))</f>
        <v/>
      </c>
      <c r="M2" t="str">
        <f>=IF(L2="Current WK","Next Week",IF(DATEVALUE(M4)=$C$2-WEEKDAY($C$2,1)+1,"Current WK",""))</f>
        <v/>
      </c>
      <c r="N2" t="str">
        <f>=IF(M2="Current WK","Next Week",IF(DATEVALUE(N4)=$C$2-WEEKDAY($C$2,1)+1,"Current WK",""))</f>
        <v/>
      </c>
      <c r="O2" t="str">
        <f>=IF(N2="Current WK","Next Week",IF(DATEVALUE(O4)=$C$2-WEEKDAY($C$2,1)+1,"Current WK",""))</f>
        <v/>
      </c>
      <c r="P2" t="str">
        <f>=IF(O2="Current WK","Next Week",IF(DATEVALUE(P4)=$C$2-WEEKDAY($C$2,1)+1,"Current WK",""))</f>
        <v/>
      </c>
      <c r="Q2" t="str">
        <f>=IF(P2="Current WK","Next Week",IF(DATEVALUE(Q4)=$C$2-WEEKDAY($C$2,1)+1,"Current WK",""))</f>
        <v/>
      </c>
      <c r="R2" t="str">
        <f>=IF(Q2="Current WK","Next Week",IF(DATEVALUE(R4)=$C$2-WEEKDAY($C$2,1)+1,"Current WK",""))</f>
        <v/>
      </c>
      <c r="S2" t="str">
        <f>=IF(R2="Current WK","Next Week",IF(DATEVALUE(S4)=$C$2-WEEKDAY($C$2,1)+1,"Current WK",""))</f>
        <v/>
      </c>
      <c r="T2" t="str">
        <f>=IF(S2="Current WK","Next Week",IF(DATEVALUE(T4)=$C$2-WEEKDAY($C$2,1)+1,"Current WK",""))</f>
        <v/>
      </c>
      <c r="U2" t="str">
        <f>=IF(T2="Current WK","Next Week",IF(DATEVALUE(U4)=$C$2-WEEKDAY($C$2,1)+1,"Current WK",""))</f>
        <v/>
      </c>
      <c r="V2" t="str">
        <f>=IF(U2="Current WK","Next Week",IF(DATEVALUE(V4)=$C$2-WEEKDAY($C$2,1)+1,"Current WK",""))</f>
        <v/>
      </c>
      <c r="W2" t="str">
        <f>=IF(V2="Current WK","Next Week",IF(DATEVALUE(W4)=$C$2-WEEKDAY($C$2,1)+1,"Current WK",""))</f>
        <v/>
      </c>
      <c r="X2" t="str">
        <f>=IF(W2="Current WK","Next Week",IF(DATEVALUE(X4)=$C$2-WEEKDAY($C$2,1)+1,"Current WK",""))</f>
        <v/>
      </c>
      <c r="Y2" t="str">
        <f>=IF(X2="Current WK","Next Week",IF(DATEVALUE(Y4)=$C$2-WEEKDAY($C$2,1)+1,"Current WK",""))</f>
        <v/>
      </c>
      <c r="Z2" t="str">
        <f>=IF(Y2="Current WK","Next Week",IF(DATEVALUE(Z4)=$C$2-WEEKDAY($C$2,1)+1,"Current WK",""))</f>
        <v/>
      </c>
      <c r="AA2" t="str">
        <f>=IF(Z2="Current WK","Next Week",IF(DATEVALUE(AA4)=$C$2-WEEKDAY($C$2,1)+1,"Current WK",""))</f>
        <v/>
      </c>
      <c r="AB2" t="str">
        <f>=IF(AA2="Current WK","Next Week",IF(DATEVALUE(AB4)=$C$2-WEEKDAY($C$2,1)+1,"Current WK",""))</f>
        <v/>
      </c>
      <c r="AC2" t="str">
        <f>=IF(AB2="Current WK","Next Week",IF(DATEVALUE(AC4)=$C$2-WEEKDAY($C$2,1)+1,"Current WK",""))</f>
        <v/>
      </c>
      <c r="AD2" t="str">
        <f>=IF(AC2="Current WK","Next Week",IF(DATEVALUE(AD4)=$C$2-WEEKDAY($C$2,1)+1,"Current WK",""))</f>
        <v/>
      </c>
      <c r="AE2" t="str">
        <f>=IF(AD2="Current WK","Next Week",IF(DATEVALUE(AE4)=$C$2-WEEKDAY($C$2,1)+1,"Current WK",""))</f>
        <v/>
      </c>
      <c r="AF2" t="str">
        <f>=IF(AE2="Current WK","Next Week",IF(DATEVALUE(AF4)=$C$2-WEEKDAY($C$2,1)+1,"Current WK",""))</f>
        <v/>
      </c>
      <c r="AG2" t="str">
        <f>=IF(AF2="Current WK","Next Week",IF(DATEVALUE(AG4)=$C$2-WEEKDAY($C$2,1)+1,"Current WK",""))</f>
        <v/>
      </c>
      <c r="AH2" t="str">
        <f>=IF(AG2="Current WK","Next Week",IF(DATEVALUE(AH4)=$C$2-WEEKDAY($C$2,1)+1,"Current WK",""))</f>
        <v/>
      </c>
      <c r="AI2" t="str">
        <f>=IF(AH2="Current WK","Next Week",IF(DATEVALUE(AI4)=$C$2-WEEKDAY($C$2,1)+1,"Current WK",""))</f>
        <v/>
      </c>
      <c r="AJ2" t="str">
        <f>=IF(AI2="Current WK","Next Week",IF(DATEVALUE(AJ4)=$C$2-WEEKDAY($C$2,1)+1,"Current WK",""))</f>
        <v/>
      </c>
      <c r="AK2" t="str">
        <f>=IF(AJ2="Current WK","Next Week",IF(DATEVALUE(AK4)=$C$2-WEEKDAY($C$2,1)+1,"Current WK",""))</f>
        <v/>
      </c>
      <c r="AL2" t="str">
        <f>=IF(AK2="Current WK","Next Week",IF(DATEVALUE(AL4)=$C$2-WEEKDAY($C$2,1)+1,"Current WK",""))</f>
        <v/>
      </c>
      <c r="AM2" t="str">
        <f>=IF(AL2="Current WK","Next Week",IF(DATEVALUE(AM4)=$C$2-WEEKDAY($C$2,1)+1,"Current WK",""))</f>
        <v/>
      </c>
      <c r="AN2" t="str">
        <f>=IF(AM2="Current WK","Next Week",IF(DATEVALUE(AN4)=$C$2-WEEKDAY($C$2,1)+1,"Current WK",""))</f>
        <v/>
      </c>
      <c r="AO2" t="str">
        <f>=IF(AN2="Current WK","Next Week",IF(DATEVALUE(AO4)=$C$2-WEEKDAY($C$2,1)+1,"Current WK",""))</f>
        <v/>
      </c>
      <c r="AP2" t="str">
        <f>=IF(AO2="Current WK","Next Week",IF(DATEVALUE(AP4)=$C$2-WEEKDAY($C$2,1)+1,"Current WK",""))</f>
        <v/>
      </c>
      <c r="AQ2" t="str">
        <f>=IF(AP2="Current WK","Next Week",IF(DATEVALUE(AQ4)=$C$2-WEEKDAY($C$2,1)+1,"Current WK",""))</f>
        <v/>
      </c>
      <c r="AR2" t="str">
        <f>=IF(AQ2="Current WK","Next Week",IF(DATEVALUE(AR4)=$C$2-WEEKDAY($C$2,1)+1,"Current WK",""))</f>
        <v/>
      </c>
      <c r="AS2" t="str">
        <f>=IF(AR2="Current WK","Next Week",IF(DATEVALUE(AS4)=$C$2-WEEKDAY($C$2,1)+1,"Current WK",""))</f>
        <v/>
      </c>
      <c r="AT2" t="str">
        <f>=IF(AS2="Current WK","Next Week",IF(DATEVALUE(AT4)=$C$2-WEEKDAY($C$2,1)+1,"Current WK",""))</f>
        <v/>
      </c>
      <c r="AU2" t="str">
        <f>=IF(AT2="Current WK","Next Week",IF(DATEVALUE(AU4)=$C$2-WEEKDAY($C$2,1)+1,"Current WK",""))</f>
        <v/>
      </c>
      <c r="AV2" t="str">
        <f>=IF(AU2="Current WK","Next Week",IF(DATEVALUE(AV4)=$C$2-WEEKDAY($C$2,1)+1,"Current WK",""))</f>
        <v/>
      </c>
      <c r="AW2" t="str">
        <f>=IF(AV2="Current WK","Next Week",IF(DATEVALUE(AW4)=$C$2-WEEKDAY($C$2,1)+1,"Current WK",""))</f>
        <v/>
      </c>
      <c r="AX2" t="str">
        <f>=IF(AW2="Current WK","Next Week",IF(DATEVALUE(AX4)=$C$2-WEEKDAY($C$2,1)+1,"Current WK",""))</f>
        <v/>
      </c>
      <c r="AY2" t="str">
        <f>=IF(AX2="Current WK","Next Week",IF(DATEVALUE(AY4)=$C$2-WEEKDAY($C$2,1)+1,"Current WK",""))</f>
        <v/>
      </c>
      <c r="AZ2" t="str">
        <f>=IF(AY2="Current WK","Next Week",IF(DATEVALUE(AZ4)=$C$2-WEEKDAY($C$2,1)+1,"Current WK",""))</f>
        <v/>
      </c>
      <c r="BA2" t="str">
        <f>=IF(AZ2="Current WK","Next Week",IF(DATEVALUE(BA4)=$C$2-WEEKDAY($C$2,1)+1,"Current WK",""))</f>
        <v/>
      </c>
      <c r="BB2" t="str">
        <f>=IF(BA2="Current WK","Next Week",IF(DATEVALUE(BB4)=$C$2-WEEKDAY($C$2,1)+1,"Current WK",""))</f>
        <v/>
      </c>
      <c r="BC2" t="str">
        <f>=IF(BB2="Current WK","Next Week",IF(DATEVALUE(BC4)=$C$2-WEEKDAY($C$2,1)+1,"Current WK",""))</f>
        <v/>
      </c>
      <c r="BD2" t="str">
        <f>=IF(BC2="Current WK","Next Week",IF(DATEVALUE(BD4)=$C$2-WEEKDAY($C$2,1)+1,"Current WK",""))</f>
        <v/>
      </c>
      <c r="BE2" t="str">
        <f>=IF(BD2="Current WK","Next Week",IF(DATEVALUE(BE4)=$C$2-WEEKDAY($C$2,1)+1,"Current WK",""))</f>
        <v/>
      </c>
      <c r="BF2" t="str">
        <f>=IF(BE2="Current WK","Next Week",IF(DATEVALUE(BF4)=$C$2-WEEKDAY($C$2,1)+1,"Current WK",""))</f>
        <v/>
      </c>
      <c r="BG2" t="str">
        <f>=IF(BF2="Current WK","Next Week",IF(DATEVALUE(BG4)=$C$2-WEEKDAY($C$2,1)+1,"Current WK",""))</f>
        <v/>
      </c>
      <c r="BH2" t="str">
        <f>=IF(BG2="Current WK","Next Week",IF(DATEVALUE(BH4)=$C$2-WEEKDAY($C$2,1)+1,"Current WK",""))</f>
        <v/>
      </c>
      <c r="BI2" t="str">
        <f>=IF(BH2="Current WK","Next Week",IF(DATEVALUE(BI4)=$C$2-WEEKDAY($C$2,1)+1,"Current WK",""))</f>
        <v/>
      </c>
      <c r="BJ2" t="str">
        <f>=IF(BI2="Current WK","Next Week",IF(DATEVALUE(BJ4)=$C$2-WEEKDAY($C$2,1)+1,"Current WK",""))</f>
        <v/>
      </c>
      <c r="BK2" t="str">
        <f>=IF(BJ2="Current WK","Next Week",IF(DATEVALUE(BK4)=$C$2-WEEKDAY($C$2,1)+1,"Current WK",""))</f>
        <v/>
      </c>
      <c r="BL2" t="str">
        <f>=IF(BK2="Current WK","Next Week",IF(DATEVALUE(BL4)=$C$2-WEEKDAY($C$2,1)+1,"Current WK",""))</f>
        <v/>
      </c>
      <c r="BM2" t="str">
        <f>=IF(BL2="Current WK","Next Week",IF(DATEVALUE(BM4)=$C$2-WEEKDAY($C$2,1)+1,"Current WK",""))</f>
        <v/>
      </c>
      <c r="BN2" t="str">
        <f>=IF(BM2="Current WK","Next Week",IF(DATEVALUE(BN4)=$C$2-WEEKDAY($C$2,1)+1,"Current WK",""))</f>
        <v/>
      </c>
      <c r="BO2" t="str">
        <f>=IF(BN2="Current WK","Next Week",IF(DATEVALUE(BO4)=$C$2-WEEKDAY($C$2,1)+1,"Current WK",""))</f>
        <v/>
      </c>
      <c r="BP2" t="str">
        <f>=IF(BO2="Current WK","Next Week",IF(DATEVALUE(BP4)=$C$2-WEEKDAY($C$2,1)+1,"Current WK",""))</f>
        <v/>
      </c>
      <c r="BQ2" t="str">
        <f>=IF(BP2="Current WK","Next Week",IF(DATEVALUE(BQ4)=$C$2-WEEKDAY($C$2,1)+1,"Current WK",""))</f>
        <v/>
      </c>
      <c r="BR2" t="str">
        <f>=IF(BQ2="Current WK","Next Week",IF(DATEVALUE(BR4)=$C$2-WEEKDAY($C$2,1)+1,"Current WK",""))</f>
        <v/>
      </c>
      <c r="BS2" t="str">
        <f>=IF(BR2="Current WK","Next Week",IF(DATEVALUE(BS4)=$C$2-WEEKDAY($C$2,1)+1,"Current WK",""))</f>
        <v/>
      </c>
      <c r="BT2" t="str">
        <f>=IF(BS2="Current WK","Next Week",IF(DATEVALUE(BT4)=$C$2-WEEKDAY($C$2,1)+1,"Current WK",""))</f>
        <v/>
      </c>
      <c r="BU2" s="3" t="str">
        <f>=IF(BT2="Current WK","Next Week",IF(DATEVALUE(BU4)=$C$2-WEEKDAY($C$2,1)+1,"Current WK",""))</f>
        <v/>
      </c>
      <c r="BV2" s="4" t="str">
        <f>=IF(BU2="Current WK","Next Week",IF(DATEVALUE(BV4)=$C$2-WEEKDAY($C$2,1)+1,"Current WK",""))</f>
        <v/>
      </c>
      <c r="BW2" s="3" t="str">
        <f>=IF(BV2="Current WK","Next Week",IF(DATEVALUE(BW4)=$C$2-WEEKDAY($C$2,1)+1,"Current WK",""))</f>
        <v/>
      </c>
      <c r="BX2" s="4" t="str">
        <f>=IF(BW2="Current WK","Next Week",IF(DATEVALUE(BX4)=$C$2-WEEKDAY($C$2,1)+1,"Current WK",""))</f>
        <v>Current WK</v>
      </c>
      <c r="BY2" s="4" t="str">
        <f>=IF(BX2="Current WK","Next Week",IF(DATEVALUE(BY4)=$C$2-WEEKDAY($C$2,1)+1,"Current WK",""))</f>
        <v>Next Week</v>
      </c>
      <c r="BZ2" t="str">
        <f>=IF(BY2="Current WK","Next Week",IF(DATEVALUE(BZ4)=$C$2-WEEKDAY($C$2,1)+1,"Current WK",""))</f>
        <v/>
      </c>
      <c r="CA2" t="str">
        <f>=IF(BZ2="Current WK","Next Week",IF(DATEVALUE(CA4)=$C$2-WEEKDAY($C$2,1)+1,"Current WK",""))</f>
        <v/>
      </c>
      <c r="CB2" t="str">
        <f>=IF(CA2="Current WK","Next Week",IF(DATEVALUE(CB4)=$C$2-WEEKDAY($C$2,1)+1,"Current WK",""))</f>
        <v/>
      </c>
      <c r="CC2" t="str">
        <f>=IF(CB2="Current WK","Next Week",IF(DATEVALUE(CC4)=$C$2-WEEKDAY($C$2,1)+1,"Current WK",""))</f>
        <v/>
      </c>
      <c r="CD2" t="str">
        <f>=IF(CC2="Current WK","Next Week",IF(DATEVALUE(CD4)=$C$2-WEEKDAY($C$2,1)+1,"Current WK",""))</f>
        <v/>
      </c>
      <c r="CE2" t="str">
        <f>=IF(CD2="Current WK","Next Week",IF(DATEVALUE(CE4)=$C$2-WEEKDAY($C$2,1)+1,"Current WK",""))</f>
        <v/>
      </c>
      <c r="CF2" t="str">
        <f>=IF(CE2="Current WK","Next Week",IF(DATEVALUE(CF4)=$C$2-WEEKDAY($C$2,1)+1,"Current WK",""))</f>
        <v/>
      </c>
      <c r="CG2" t="str">
        <f>=IF(CF2="Current WK","Next Week",IF(DATEVALUE(CG4)=$C$2-WEEKDAY($C$2,1)+1,"Current WK",""))</f>
        <v/>
      </c>
      <c r="CH2" t="str">
        <f>=IF(CG2="Current WK","Next Week",IF(DATEVALUE(CH4)=$C$2-WEEKDAY($C$2,1)+1,"Current WK",""))</f>
        <v/>
      </c>
      <c r="CI2" t="str">
        <f>=IF(CH2="Current WK","Next Week",IF(DATEVALUE(CI4)=$C$2-WEEKDAY($C$2,1)+1,"Current WK",""))</f>
        <v/>
      </c>
      <c r="CJ2" t="str">
        <f>=IF(CI2="Current WK","Next Week",IF(DATEVALUE(CJ4)=$C$2-WEEKDAY($C$2,1)+1,"Current WK",""))</f>
        <v/>
      </c>
      <c r="CK2" t="str">
        <f>=IF(CJ2="Current WK","Next Week",IF(DATEVALUE(CK4)=$C$2-WEEKDAY($C$2,1)+1,"Current WK",""))</f>
        <v/>
      </c>
      <c r="CL2" t="str">
        <f>=IF(CK2="Current WK","Next Week",IF(DATEVALUE(CL4)=$C$2-WEEKDAY($C$2,1)+1,"Current WK",""))</f>
        <v/>
      </c>
      <c r="CM2" t="str">
        <f>=IF(CL2="Current WK","Next Week",IF(DATEVALUE(CM4)=$C$2-WEEKDAY($C$2,1)+1,"Current WK",""))</f>
        <v/>
      </c>
      <c r="CN2" t="str">
        <f>=IF(CM2="Current WK","Next Week",IF(DATEVALUE(CN4)=$C$2-WEEKDAY($C$2,1)+1,"Current WK",""))</f>
        <v/>
      </c>
      <c r="CO2" t="str">
        <f>=IF(CN2="Current WK","Next Week",IF(DATEVALUE(CO4)=$C$2-WEEKDAY($C$2,1)+1,"Current WK",""))</f>
        <v/>
      </c>
      <c r="CP2" t="str">
        <f>=IF(CO2="Current WK","Next Week",IF(DATEVALUE(CP4)=$C$2-WEEKDAY($C$2,1)+1,"Current WK",""))</f>
        <v/>
      </c>
      <c r="CQ2" t="str">
        <f>=IF(CP2="Current WK","Next Week",IF(DATEVALUE(CQ4)=$C$2-WEEKDAY($C$2,1)+1,"Current WK",""))</f>
        <v/>
      </c>
      <c r="CR2" t="str">
        <f>=IF(CQ2="Current WK","Next Week",IF(DATEVALUE(CR4)=$C$2-WEEKDAY($C$2,1)+1,"Current WK",""))</f>
        <v/>
      </c>
      <c r="CS2" t="str">
        <f>=IF(CR2="Current WK","Next Week",IF(DATEVALUE(CS4)=$C$2-WEEKDAY($C$2,1)+1,"Current WK",""))</f>
        <v/>
      </c>
      <c r="CT2" t="str">
        <f>=IF(CS2="Current WK","Next Week",IF(DATEVALUE(CT4)=$C$2-WEEKDAY($C$2,1)+1,"Current WK",""))</f>
        <v/>
      </c>
      <c r="CU2" t="str">
        <f>=IF(CT2="Current WK","Next Week",IF(DATEVALUE(CU4)=$C$2-WEEKDAY($C$2,1)+1,"Current WK",""))</f>
        <v/>
      </c>
      <c r="CV2" t="str">
        <f>=IF(CU2="Current WK","Next Week",IF(DATEVALUE(CV4)=$C$2-WEEKDAY($C$2,1)+1,"Current WK",""))</f>
        <v/>
      </c>
      <c r="CW2" t="str">
        <f>=IF(CV2="Current WK","Next Week",IF(DATEVALUE(CW4)=$C$2-WEEKDAY($C$2,1)+1,"Current WK",""))</f>
        <v/>
      </c>
      <c r="CX2" t="str">
        <f>=IF(CW2="Current WK","Next Week",IF(DATEVALUE(CX4)=$C$2-WEEKDAY($C$2,1)+1,"Current WK",""))</f>
        <v/>
      </c>
      <c r="CY2" t="str">
        <f>=IF(CX2="Current WK","Next Week",IF(DATEVALUE(CY4)=$C$2-WEEKDAY($C$2,1)+1,"Current WK",""))</f>
        <v/>
      </c>
      <c r="CZ2" t="str">
        <f>=IF(CY2="Current WK","Next Week",IF(DATEVALUE(CZ4)=$C$2-WEEKDAY($C$2,1)+1,"Current WK",""))</f>
        <v/>
      </c>
      <c r="DA2" t="str">
        <f>=IF(CZ2="Current WK","Next Week",IF(DATEVALUE(DA4)=$C$2-WEEKDAY($C$2,1)+1,"Current WK",""))</f>
        <v/>
      </c>
      <c r="DB2" t="str">
        <f>=IF(DA2="Current WK","Next Week",IF(DATEVALUE(DB4)=$C$2-WEEKDAY($C$2,1)+1,"Current WK",""))</f>
        <v/>
      </c>
    </row>
    <row r="3" spans="1:106" x14ac:dyDescent="0.25">
      <c r="A3" s="1"/>
      <c r="B3" s="5" t="s">
        <v>4</v>
      </c>
      <c r="C3" t="s">
        <v>5</v>
      </c>
      <c r="D3" t="s">
        <v>6</v>
      </c>
      <c r="E3" t="s">
        <v>6</v>
      </c>
      <c r="F3" t="s">
        <v>6</v>
      </c>
      <c r="G3" t="s">
        <v>6</v>
      </c>
      <c r="H3" t="s">
        <v>7</v>
      </c>
      <c r="I3" t="s">
        <v>7</v>
      </c>
      <c r="J3" t="s">
        <v>7</v>
      </c>
      <c r="K3" t="s">
        <v>7</v>
      </c>
      <c r="L3" t="s">
        <v>8</v>
      </c>
      <c r="M3" t="s">
        <v>8</v>
      </c>
      <c r="N3" t="s">
        <v>8</v>
      </c>
      <c r="O3" t="s">
        <v>8</v>
      </c>
      <c r="P3" t="s">
        <v>8</v>
      </c>
      <c r="Q3" t="s">
        <v>9</v>
      </c>
      <c r="R3" t="s">
        <v>9</v>
      </c>
      <c r="S3" t="s">
        <v>9</v>
      </c>
      <c r="T3" t="s">
        <v>9</v>
      </c>
      <c r="U3" t="s">
        <v>10</v>
      </c>
      <c r="V3" t="s">
        <v>10</v>
      </c>
      <c r="W3" t="s">
        <v>10</v>
      </c>
      <c r="X3" t="s">
        <v>10</v>
      </c>
      <c r="Y3" t="s">
        <v>11</v>
      </c>
      <c r="Z3" t="s">
        <v>11</v>
      </c>
      <c r="AA3" t="s">
        <v>11</v>
      </c>
      <c r="AB3" t="s">
        <v>11</v>
      </c>
      <c r="AC3" t="s">
        <v>11</v>
      </c>
      <c r="AD3" t="s">
        <v>12</v>
      </c>
      <c r="AE3" t="s">
        <v>12</v>
      </c>
      <c r="AF3" t="s">
        <v>12</v>
      </c>
      <c r="AG3" t="s">
        <v>12</v>
      </c>
      <c r="AH3" t="s">
        <v>13</v>
      </c>
      <c r="AI3" t="s">
        <v>13</v>
      </c>
      <c r="AJ3" t="s">
        <v>13</v>
      </c>
      <c r="AK3" t="s">
        <v>13</v>
      </c>
      <c r="AL3" t="s">
        <v>14</v>
      </c>
      <c r="AM3" t="s">
        <v>14</v>
      </c>
      <c r="AN3" t="s">
        <v>14</v>
      </c>
      <c r="AO3" t="s">
        <v>14</v>
      </c>
      <c r="AP3" t="s">
        <v>14</v>
      </c>
      <c r="AQ3" t="s">
        <v>15</v>
      </c>
      <c r="AR3" t="s">
        <v>15</v>
      </c>
      <c r="AS3" t="s">
        <v>15</v>
      </c>
      <c r="AT3" t="s">
        <v>15</v>
      </c>
      <c r="AU3" t="s">
        <v>16</v>
      </c>
      <c r="AV3" t="s">
        <v>16</v>
      </c>
      <c r="AW3" t="s">
        <v>16</v>
      </c>
      <c r="AX3" t="s">
        <v>16</v>
      </c>
      <c r="AY3" t="s">
        <v>17</v>
      </c>
      <c r="AZ3" t="s">
        <v>17</v>
      </c>
      <c r="BA3" t="s">
        <v>17</v>
      </c>
      <c r="BB3" t="s">
        <v>17</v>
      </c>
      <c r="BC3" t="s">
        <v>17</v>
      </c>
      <c r="BD3" t="s">
        <v>18</v>
      </c>
      <c r="BE3" t="s">
        <v>18</v>
      </c>
      <c r="BF3" t="s">
        <v>18</v>
      </c>
      <c r="BG3" t="s">
        <v>18</v>
      </c>
      <c r="BH3" t="s">
        <v>19</v>
      </c>
      <c r="BI3" t="s">
        <v>19</v>
      </c>
      <c r="BJ3" t="s">
        <v>19</v>
      </c>
      <c r="BK3" t="s">
        <v>19</v>
      </c>
      <c r="BL3" t="s">
        <v>19</v>
      </c>
      <c r="BM3" t="s">
        <v>20</v>
      </c>
      <c r="BN3" t="s">
        <v>20</v>
      </c>
      <c r="BO3" t="s">
        <v>20</v>
      </c>
      <c r="BP3" t="s">
        <v>20</v>
      </c>
      <c r="BQ3" t="s">
        <v>21</v>
      </c>
      <c r="BR3" t="s">
        <v>21</v>
      </c>
      <c r="BS3" t="s">
        <v>21</v>
      </c>
      <c r="BT3" t="s">
        <v>21</v>
      </c>
      <c r="BU3" t="s">
        <v>22</v>
      </c>
      <c r="BV3" t="s">
        <v>22</v>
      </c>
      <c r="BW3" t="s">
        <v>22</v>
      </c>
      <c r="BX3" t="s">
        <v>22</v>
      </c>
      <c r="BY3" t="s">
        <v>22</v>
      </c>
      <c r="BZ3" t="s">
        <v>23</v>
      </c>
      <c r="CA3" t="s">
        <v>23</v>
      </c>
      <c r="CB3" t="s">
        <v>23</v>
      </c>
      <c r="CC3" t="s">
        <v>23</v>
      </c>
      <c r="CD3" t="s">
        <v>24</v>
      </c>
      <c r="CE3" t="s">
        <v>24</v>
      </c>
      <c r="CF3" t="s">
        <v>24</v>
      </c>
      <c r="CG3" t="s">
        <v>24</v>
      </c>
      <c r="CH3" t="s">
        <v>25</v>
      </c>
      <c r="CI3" t="s">
        <v>25</v>
      </c>
      <c r="CJ3" t="s">
        <v>25</v>
      </c>
      <c r="CK3" t="s">
        <v>25</v>
      </c>
      <c r="CL3" t="s">
        <v>26</v>
      </c>
      <c r="CM3" t="s">
        <v>26</v>
      </c>
      <c r="CN3" t="s">
        <v>26</v>
      </c>
      <c r="CO3" t="s">
        <v>26</v>
      </c>
      <c r="CP3" t="s">
        <v>26</v>
      </c>
      <c r="CQ3" t="s">
        <v>27</v>
      </c>
      <c r="CR3" t="s">
        <v>27</v>
      </c>
      <c r="CS3" t="s">
        <v>27</v>
      </c>
      <c r="CT3" t="s">
        <v>27</v>
      </c>
      <c r="CU3" t="s">
        <v>28</v>
      </c>
      <c r="CV3" t="s">
        <v>28</v>
      </c>
      <c r="CW3" t="s">
        <v>28</v>
      </c>
      <c r="CX3" t="s">
        <v>28</v>
      </c>
      <c r="CY3" t="s">
        <v>28</v>
      </c>
      <c r="CZ3" t="s">
        <v>29</v>
      </c>
      <c r="DA3" t="s">
        <v>29</v>
      </c>
      <c r="DB3" t="s">
        <v>29</v>
      </c>
    </row>
    <row r="4" spans="1:106" x14ac:dyDescent="0.25">
      <c r="A4" s="1"/>
      <c r="B4" s="5" t="s">
        <v>30</v>
      </c>
      <c r="C4" s="7" t="s">
        <v>31</v>
      </c>
      <c r="D4" s="7" t="s">
        <v>32</v>
      </c>
      <c r="E4" s="7" t="s">
        <v>33</v>
      </c>
      <c r="F4" s="7" t="s">
        <v>34</v>
      </c>
      <c r="G4" s="7" t="s">
        <v>35</v>
      </c>
      <c r="H4" s="7" t="s">
        <v>36</v>
      </c>
      <c r="I4" s="7" t="s">
        <v>37</v>
      </c>
      <c r="J4" s="7" t="s">
        <v>38</v>
      </c>
      <c r="K4" s="7" t="s">
        <v>39</v>
      </c>
      <c r="L4" s="7" t="s">
        <v>40</v>
      </c>
      <c r="M4" s="7" t="s">
        <v>41</v>
      </c>
      <c r="N4" s="7" t="s">
        <v>42</v>
      </c>
      <c r="O4" s="7" t="s">
        <v>43</v>
      </c>
      <c r="P4" s="7" t="s">
        <v>44</v>
      </c>
      <c r="Q4" s="7" t="s">
        <v>45</v>
      </c>
      <c r="R4" s="7" t="s">
        <v>46</v>
      </c>
      <c r="S4" s="7" t="s">
        <v>47</v>
      </c>
      <c r="T4" s="7" t="s">
        <v>48</v>
      </c>
      <c r="U4" s="7" t="s">
        <v>49</v>
      </c>
      <c r="V4" s="7" t="s">
        <v>50</v>
      </c>
      <c r="W4" s="7" t="s">
        <v>51</v>
      </c>
      <c r="X4" s="7" t="s">
        <v>52</v>
      </c>
      <c r="Y4" s="7" t="s">
        <v>53</v>
      </c>
      <c r="Z4" s="7" t="s">
        <v>54</v>
      </c>
      <c r="AA4" s="7" t="s">
        <v>55</v>
      </c>
      <c r="AB4" s="7" t="s">
        <v>56</v>
      </c>
      <c r="AC4" s="7" t="s">
        <v>57</v>
      </c>
      <c r="AD4" s="7" t="s">
        <v>58</v>
      </c>
      <c r="AE4" s="7" t="s">
        <v>59</v>
      </c>
      <c r="AF4" s="7" t="s">
        <v>60</v>
      </c>
      <c r="AG4" s="7" t="s">
        <v>61</v>
      </c>
      <c r="AH4" s="7" t="s">
        <v>62</v>
      </c>
      <c r="AI4" s="7" t="s">
        <v>63</v>
      </c>
      <c r="AJ4" s="7" t="s">
        <v>64</v>
      </c>
      <c r="AK4" s="7" t="s">
        <v>65</v>
      </c>
      <c r="AL4" s="7" t="s">
        <v>66</v>
      </c>
      <c r="AM4" s="7" t="s">
        <v>67</v>
      </c>
      <c r="AN4" s="7" t="s">
        <v>68</v>
      </c>
      <c r="AO4" s="7" t="s">
        <v>69</v>
      </c>
      <c r="AP4" s="7" t="s">
        <v>70</v>
      </c>
      <c r="AQ4" s="7" t="s">
        <v>71</v>
      </c>
      <c r="AR4" s="7" t="s">
        <v>72</v>
      </c>
      <c r="AS4" s="7" t="s">
        <v>73</v>
      </c>
      <c r="AT4" s="7" t="s">
        <v>74</v>
      </c>
      <c r="AU4" s="7" t="s">
        <v>75</v>
      </c>
      <c r="AV4" s="7" t="s">
        <v>76</v>
      </c>
      <c r="AW4" s="7" t="s">
        <v>77</v>
      </c>
      <c r="AX4" s="7" t="s">
        <v>78</v>
      </c>
      <c r="AY4" s="7" t="s">
        <v>79</v>
      </c>
      <c r="AZ4" s="7" t="s">
        <v>80</v>
      </c>
      <c r="BA4" s="7" t="s">
        <v>81</v>
      </c>
      <c r="BB4" s="7" t="s">
        <v>82</v>
      </c>
      <c r="BC4" s="7" t="s">
        <v>83</v>
      </c>
      <c r="BD4" s="7" t="s">
        <v>84</v>
      </c>
      <c r="BE4" s="7" t="s">
        <v>85</v>
      </c>
      <c r="BF4" s="7" t="s">
        <v>86</v>
      </c>
      <c r="BG4" s="7" t="s">
        <v>87</v>
      </c>
      <c r="BH4" s="7" t="s">
        <v>88</v>
      </c>
      <c r="BI4" s="7" t="s">
        <v>89</v>
      </c>
      <c r="BJ4" s="7" t="s">
        <v>90</v>
      </c>
      <c r="BK4" s="7" t="s">
        <v>91</v>
      </c>
      <c r="BL4" s="7" t="s">
        <v>92</v>
      </c>
      <c r="BM4" s="7" t="s">
        <v>93</v>
      </c>
      <c r="BN4" s="7" t="s">
        <v>94</v>
      </c>
      <c r="BO4" s="7" t="s">
        <v>95</v>
      </c>
      <c r="BP4" s="7" t="s">
        <v>96</v>
      </c>
      <c r="BQ4" s="7" t="s">
        <v>97</v>
      </c>
      <c r="BR4" s="7" t="s">
        <v>98</v>
      </c>
      <c r="BS4" s="7" t="s">
        <v>99</v>
      </c>
      <c r="BT4" s="7" t="s">
        <v>100</v>
      </c>
      <c r="BU4" s="7" t="s">
        <v>101</v>
      </c>
      <c r="BV4" s="7" t="s">
        <v>102</v>
      </c>
      <c r="BW4" s="7" t="s">
        <v>103</v>
      </c>
      <c r="BX4" s="7" t="s">
        <v>104</v>
      </c>
      <c r="BY4" s="7" t="s">
        <v>105</v>
      </c>
      <c r="BZ4" s="7" t="s">
        <v>106</v>
      </c>
      <c r="CA4" s="7" t="s">
        <v>107</v>
      </c>
      <c r="CB4" s="7" t="s">
        <v>108</v>
      </c>
      <c r="CC4" s="7" t="s">
        <v>109</v>
      </c>
      <c r="CD4" s="7" t="s">
        <v>110</v>
      </c>
      <c r="CE4" s="7" t="s">
        <v>111</v>
      </c>
      <c r="CF4" s="7" t="s">
        <v>112</v>
      </c>
      <c r="CG4" s="7" t="s">
        <v>113</v>
      </c>
      <c r="CH4" s="7" t="s">
        <v>114</v>
      </c>
      <c r="CI4" s="7" t="s">
        <v>115</v>
      </c>
      <c r="CJ4" s="7" t="s">
        <v>116</v>
      </c>
      <c r="CK4" s="7" t="s">
        <v>117</v>
      </c>
      <c r="CL4" s="7" t="s">
        <v>118</v>
      </c>
      <c r="CM4" s="7" t="s">
        <v>119</v>
      </c>
      <c r="CN4" s="7" t="s">
        <v>120</v>
      </c>
      <c r="CO4" s="7" t="s">
        <v>121</v>
      </c>
      <c r="CP4" s="7" t="s">
        <v>122</v>
      </c>
      <c r="CQ4" s="7" t="s">
        <v>123</v>
      </c>
      <c r="CR4" s="7" t="s">
        <v>124</v>
      </c>
      <c r="CS4" s="7" t="s">
        <v>125</v>
      </c>
      <c r="CT4" s="7" t="s">
        <v>126</v>
      </c>
      <c r="CU4" s="7" t="s">
        <v>127</v>
      </c>
      <c r="CV4" s="7" t="s">
        <v>128</v>
      </c>
      <c r="CW4" s="7" t="s">
        <v>129</v>
      </c>
      <c r="CX4" s="7" t="s">
        <v>130</v>
      </c>
      <c r="CY4" s="7" t="s">
        <v>131</v>
      </c>
      <c r="CZ4" s="7" t="s">
        <v>132</v>
      </c>
      <c r="DA4" s="7" t="s">
        <v>133</v>
      </c>
      <c r="DB4" s="7" t="s">
        <v>134</v>
      </c>
    </row>
    <row r="5" spans="1:106" x14ac:dyDescent="0.25">
      <c r="A5" s="1"/>
      <c r="B5" s="5" t="s">
        <v>135</v>
      </c>
      <c r="C5" s="8" t="s">
        <v>136</v>
      </c>
      <c r="D5" s="8" t="s">
        <v>137</v>
      </c>
      <c r="E5" s="8" t="s">
        <v>138</v>
      </c>
      <c r="F5" s="8" t="s">
        <v>139</v>
      </c>
      <c r="G5" s="8" t="s">
        <v>140</v>
      </c>
      <c r="H5" s="8" t="s">
        <v>141</v>
      </c>
      <c r="I5" s="8" t="s">
        <v>142</v>
      </c>
      <c r="J5" s="8" t="s">
        <v>143</v>
      </c>
      <c r="K5" s="8" t="s">
        <v>144</v>
      </c>
      <c r="L5" s="8" t="s">
        <v>145</v>
      </c>
      <c r="M5" s="8" t="s">
        <v>146</v>
      </c>
      <c r="N5" s="8" t="s">
        <v>147</v>
      </c>
      <c r="O5" s="8" t="s">
        <v>148</v>
      </c>
      <c r="P5" s="8" t="s">
        <v>149</v>
      </c>
      <c r="Q5" s="8" t="s">
        <v>150</v>
      </c>
      <c r="R5" s="8" t="s">
        <v>151</v>
      </c>
      <c r="S5" s="8" t="s">
        <v>152</v>
      </c>
      <c r="T5" s="8" t="s">
        <v>153</v>
      </c>
      <c r="U5" s="8" t="s">
        <v>154</v>
      </c>
      <c r="V5" s="8" t="s">
        <v>155</v>
      </c>
      <c r="W5" s="8" t="s">
        <v>156</v>
      </c>
      <c r="X5" s="8" t="s">
        <v>157</v>
      </c>
      <c r="Y5" s="8" t="s">
        <v>158</v>
      </c>
      <c r="Z5" s="8" t="s">
        <v>159</v>
      </c>
      <c r="AA5" s="8" t="s">
        <v>160</v>
      </c>
      <c r="AB5" s="8" t="s">
        <v>161</v>
      </c>
      <c r="AC5" s="8" t="s">
        <v>162</v>
      </c>
      <c r="AD5" s="8" t="s">
        <v>163</v>
      </c>
      <c r="AE5" s="8" t="s">
        <v>164</v>
      </c>
      <c r="AF5" s="8" t="s">
        <v>165</v>
      </c>
      <c r="AG5" s="8" t="s">
        <v>166</v>
      </c>
      <c r="AH5" s="8" t="s">
        <v>167</v>
      </c>
      <c r="AI5" s="8" t="s">
        <v>168</v>
      </c>
      <c r="AJ5" s="8" t="s">
        <v>169</v>
      </c>
      <c r="AK5" s="8" t="s">
        <v>170</v>
      </c>
      <c r="AL5" s="8" t="s">
        <v>171</v>
      </c>
      <c r="AM5" s="8" t="s">
        <v>172</v>
      </c>
      <c r="AN5" s="8" t="s">
        <v>173</v>
      </c>
      <c r="AO5" s="8" t="s">
        <v>174</v>
      </c>
      <c r="AP5" s="8" t="s">
        <v>175</v>
      </c>
      <c r="AQ5" s="8" t="s">
        <v>176</v>
      </c>
      <c r="AR5" s="8" t="s">
        <v>177</v>
      </c>
      <c r="AS5" s="8" t="s">
        <v>178</v>
      </c>
      <c r="AT5" s="8" t="s">
        <v>179</v>
      </c>
      <c r="AU5" s="8" t="s">
        <v>180</v>
      </c>
      <c r="AV5" s="8" t="s">
        <v>181</v>
      </c>
      <c r="AW5" s="8" t="s">
        <v>182</v>
      </c>
      <c r="AX5" s="8" t="s">
        <v>183</v>
      </c>
      <c r="AY5" s="8" t="s">
        <v>184</v>
      </c>
      <c r="AZ5" s="8" t="s">
        <v>185</v>
      </c>
      <c r="BA5" s="8" t="s">
        <v>186</v>
      </c>
      <c r="BB5" s="8" t="s">
        <v>187</v>
      </c>
      <c r="BC5" s="8" t="s">
        <v>188</v>
      </c>
      <c r="BD5" s="8" t="s">
        <v>189</v>
      </c>
      <c r="BE5" s="8" t="s">
        <v>190</v>
      </c>
      <c r="BF5" s="8" t="s">
        <v>191</v>
      </c>
      <c r="BG5" s="8" t="s">
        <v>192</v>
      </c>
      <c r="BH5" s="8" t="s">
        <v>193</v>
      </c>
      <c r="BI5" s="8" t="s">
        <v>194</v>
      </c>
      <c r="BJ5" s="8" t="s">
        <v>195</v>
      </c>
      <c r="BK5" s="8" t="s">
        <v>196</v>
      </c>
      <c r="BL5" s="8" t="s">
        <v>197</v>
      </c>
      <c r="BM5" s="8" t="s">
        <v>198</v>
      </c>
      <c r="BN5" s="8" t="s">
        <v>199</v>
      </c>
      <c r="BO5" s="8" t="s">
        <v>200</v>
      </c>
      <c r="BP5" s="8" t="s">
        <v>201</v>
      </c>
      <c r="BQ5" s="8" t="s">
        <v>202</v>
      </c>
      <c r="BR5" s="8" t="s">
        <v>203</v>
      </c>
      <c r="BS5" s="8" t="s">
        <v>204</v>
      </c>
      <c r="BT5" s="8" t="s">
        <v>205</v>
      </c>
      <c r="BU5" s="8" t="s">
        <v>206</v>
      </c>
      <c r="BV5" s="8" t="s">
        <v>207</v>
      </c>
      <c r="BW5" s="8" t="s">
        <v>208</v>
      </c>
      <c r="BX5" s="8" t="s">
        <v>209</v>
      </c>
      <c r="BY5" s="8" t="s">
        <v>210</v>
      </c>
      <c r="BZ5" s="8" t="s">
        <v>211</v>
      </c>
      <c r="CA5" s="8" t="s">
        <v>212</v>
      </c>
      <c r="CB5" s="8" t="s">
        <v>213</v>
      </c>
      <c r="CC5" s="8" t="s">
        <v>214</v>
      </c>
      <c r="CD5" s="8" t="s">
        <v>215</v>
      </c>
      <c r="CE5" s="8" t="s">
        <v>216</v>
      </c>
      <c r="CF5" s="8" t="s">
        <v>217</v>
      </c>
      <c r="CG5" s="8" t="s">
        <v>218</v>
      </c>
      <c r="CH5" s="8" t="s">
        <v>219</v>
      </c>
      <c r="CI5" s="8" t="s">
        <v>220</v>
      </c>
      <c r="CJ5" s="8" t="s">
        <v>221</v>
      </c>
      <c r="CK5" s="8" t="s">
        <v>222</v>
      </c>
      <c r="CL5" s="8" t="s">
        <v>223</v>
      </c>
      <c r="CM5" s="8" t="s">
        <v>224</v>
      </c>
      <c r="CN5" s="8" t="s">
        <v>225</v>
      </c>
      <c r="CO5" s="8" t="s">
        <v>226</v>
      </c>
      <c r="CP5" s="8" t="s">
        <v>227</v>
      </c>
      <c r="CQ5" s="8" t="s">
        <v>228</v>
      </c>
      <c r="CR5" s="8" t="s">
        <v>229</v>
      </c>
      <c r="CS5" s="8" t="s">
        <v>230</v>
      </c>
      <c r="CT5" s="8" t="s">
        <v>231</v>
      </c>
      <c r="CU5" s="8" t="s">
        <v>232</v>
      </c>
      <c r="CV5" s="8" t="s">
        <v>233</v>
      </c>
      <c r="CW5" s="8" t="s">
        <v>234</v>
      </c>
      <c r="CX5" s="8" t="s">
        <v>235</v>
      </c>
      <c r="CY5" s="8" t="s">
        <v>236</v>
      </c>
      <c r="CZ5" s="8" t="s">
        <v>237</v>
      </c>
      <c r="DA5" s="8" t="s">
        <v>238</v>
      </c>
      <c r="DB5" s="8" t="s">
        <v>239</v>
      </c>
    </row>
    <row r="6" spans="1:106" x14ac:dyDescent="0.25">
      <c r="A6" s="9" t="s">
        <v>240</v>
      </c>
      <c r="B6" s="10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</row>
    <row r="7" ht="15" customHeight="1" spans="1:106" x14ac:dyDescent="0.25">
      <c r="A7" s="12" t="s">
        <v>241</v>
      </c>
      <c r="B7" s="13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3">
        <v>59</v>
      </c>
      <c r="AI7" s="13">
        <v>59</v>
      </c>
      <c r="AJ7" s="13">
        <v>59</v>
      </c>
      <c r="AK7" s="13">
        <v>59</v>
      </c>
      <c r="AL7" s="13">
        <v>59</v>
      </c>
      <c r="AM7" s="13">
        <v>59</v>
      </c>
      <c r="AN7" s="13">
        <v>59</v>
      </c>
      <c r="AO7" s="13">
        <v>59</v>
      </c>
      <c r="AP7" s="13">
        <v>59</v>
      </c>
      <c r="AQ7" s="13">
        <v>59</v>
      </c>
      <c r="AR7" s="13">
        <v>77</v>
      </c>
      <c r="AS7" s="13">
        <v>77</v>
      </c>
      <c r="AT7" s="13">
        <v>77</v>
      </c>
      <c r="AU7" s="13">
        <v>78</v>
      </c>
      <c r="AV7" s="13">
        <v>78</v>
      </c>
      <c r="AW7" s="13">
        <v>78</v>
      </c>
      <c r="AX7" s="13">
        <v>78</v>
      </c>
      <c r="AY7" s="13">
        <v>110</v>
      </c>
      <c r="AZ7" s="13">
        <v>110</v>
      </c>
      <c r="BA7" s="13">
        <v>110</v>
      </c>
      <c r="BB7" s="13">
        <v>110</v>
      </c>
      <c r="BC7" s="13">
        <v>118</v>
      </c>
      <c r="BD7" s="13">
        <v>118</v>
      </c>
      <c r="BE7" s="13">
        <v>118</v>
      </c>
      <c r="BF7" s="13">
        <v>118</v>
      </c>
      <c r="BG7" s="13">
        <v>118</v>
      </c>
      <c r="BH7" s="13">
        <v>136</v>
      </c>
      <c r="BI7" s="13">
        <v>136</v>
      </c>
      <c r="BJ7" s="13">
        <v>136</v>
      </c>
      <c r="BK7" s="13">
        <v>136</v>
      </c>
      <c r="BL7" s="13">
        <v>135</v>
      </c>
      <c r="BM7" s="13">
        <v>130</v>
      </c>
      <c r="BN7" s="13">
        <v>130</v>
      </c>
      <c r="BO7" s="13">
        <v>130</v>
      </c>
      <c r="BP7" s="13">
        <v>130</v>
      </c>
      <c r="BQ7" s="13">
        <v>130</v>
      </c>
      <c r="BR7" s="13">
        <v>128</v>
      </c>
      <c r="BS7" s="13">
        <v>128</v>
      </c>
      <c r="BT7" s="13">
        <v>128</v>
      </c>
      <c r="BU7" s="13">
        <v>128</v>
      </c>
      <c r="BV7" s="13">
        <v>128</v>
      </c>
      <c r="BW7" s="13">
        <v>128</v>
      </c>
      <c r="BX7" s="13">
        <v>128</v>
      </c>
      <c r="BY7" s="13">
        <v>128</v>
      </c>
      <c r="BZ7" s="13">
        <v>128</v>
      </c>
      <c r="CA7" s="13">
        <v>128</v>
      </c>
      <c r="CB7" s="13">
        <v>128</v>
      </c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</row>
    <row r="8" ht="15" customHeight="1" spans="1:106" x14ac:dyDescent="0.25">
      <c r="A8" s="12" t="s">
        <v>242</v>
      </c>
      <c r="B8" s="13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85">
        <v>2100</v>
      </c>
      <c r="AI8" s="85">
        <v>2100</v>
      </c>
      <c r="AJ8" s="85">
        <v>2100</v>
      </c>
      <c r="AK8" s="85">
        <v>2100</v>
      </c>
      <c r="AL8" s="85">
        <v>2108</v>
      </c>
      <c r="AM8" s="85">
        <v>2108</v>
      </c>
      <c r="AN8" s="85">
        <v>2108</v>
      </c>
      <c r="AO8" s="85">
        <v>2108</v>
      </c>
      <c r="AP8" s="85">
        <v>2065</v>
      </c>
      <c r="AQ8" s="85">
        <v>2065</v>
      </c>
      <c r="AR8" s="85">
        <v>2695</v>
      </c>
      <c r="AS8" s="85">
        <v>2695</v>
      </c>
      <c r="AT8" s="85">
        <v>2695</v>
      </c>
      <c r="AU8" s="85">
        <v>2780</v>
      </c>
      <c r="AV8" s="85">
        <v>2780</v>
      </c>
      <c r="AW8" s="85">
        <v>2780</v>
      </c>
      <c r="AX8" s="85">
        <v>2780</v>
      </c>
      <c r="AY8" s="85">
        <v>3916</v>
      </c>
      <c r="AZ8" s="85">
        <v>3916</v>
      </c>
      <c r="BA8" s="85">
        <v>3916</v>
      </c>
      <c r="BB8" s="85">
        <v>3916</v>
      </c>
      <c r="BC8" s="85">
        <v>4219</v>
      </c>
      <c r="BD8" s="85">
        <v>4219</v>
      </c>
      <c r="BE8" s="85">
        <v>4219</v>
      </c>
      <c r="BF8" s="85">
        <v>4219</v>
      </c>
      <c r="BG8" s="85">
        <v>4215</v>
      </c>
      <c r="BH8" s="85">
        <v>4882</v>
      </c>
      <c r="BI8" s="85">
        <v>4882</v>
      </c>
      <c r="BJ8" s="85">
        <v>4882</v>
      </c>
      <c r="BK8" s="85">
        <v>4882</v>
      </c>
      <c r="BL8" s="74">
        <v>4807</v>
      </c>
      <c r="BM8" s="74">
        <v>4625</v>
      </c>
      <c r="BN8" s="74">
        <v>4627</v>
      </c>
      <c r="BO8" s="74">
        <v>4627</v>
      </c>
      <c r="BP8" s="86">
        <v>4751.5</v>
      </c>
      <c r="BQ8" s="86">
        <v>4751.5</v>
      </c>
      <c r="BR8" s="86">
        <v>4678.4</v>
      </c>
      <c r="BS8" s="86">
        <v>4678.4</v>
      </c>
      <c r="BT8" s="86">
        <v>4678.4</v>
      </c>
      <c r="BU8" s="86">
        <v>4678.4</v>
      </c>
      <c r="BV8" s="86">
        <v>4678.4</v>
      </c>
      <c r="BW8" s="86">
        <v>4678.4</v>
      </c>
      <c r="BX8" s="86">
        <v>4678.4</v>
      </c>
      <c r="BY8" s="86">
        <v>4678.4</v>
      </c>
      <c r="BZ8" s="86">
        <v>4678.4</v>
      </c>
      <c r="CA8" s="86">
        <v>4678.4</v>
      </c>
      <c r="CB8" s="86">
        <v>4678.4</v>
      </c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</row>
    <row r="9" ht="18" customHeight="1" spans="1:106" x14ac:dyDescent="0.25">
      <c r="A9" s="12" t="s">
        <v>243</v>
      </c>
      <c r="B9" s="13"/>
      <c r="C9" s="15">
        <f>=IFERROR(ROUND((C8/(C47*C48))/(1-C29),0),"")</f>
        <v>0</v>
      </c>
      <c r="D9" s="15">
        <f>=IFERROR(ROUND((D8/(D47*D48))/(1-D29),0),"")</f>
        <v>0</v>
      </c>
      <c r="E9" s="15">
        <f>=IFERROR(ROUND((E8/(E47*E48))/(1-E29),0),"")</f>
        <v>0</v>
      </c>
      <c r="F9" s="15">
        <f>=IFERROR(ROUND((F8/(F47*F48))/(1-F29),0),"")</f>
        <v>0</v>
      </c>
      <c r="G9" s="15">
        <f>=IFERROR(ROUND((G8/(G47*G48))/(1-G29),0),"")</f>
        <v>0</v>
      </c>
      <c r="H9" s="15">
        <f>=IFERROR(ROUND((H8/(H47*H48))/(1-H29),0),"")</f>
        <v>0</v>
      </c>
      <c r="I9" s="15">
        <f>=IFERROR(ROUND((I8/(I47*I48))/(1-I29),0),"")</f>
        <v>0</v>
      </c>
      <c r="J9" s="15">
        <f>=IFERROR(ROUND((J8/(J47*J48))/(1-J29),0),"")</f>
        <v>0</v>
      </c>
      <c r="K9" s="15">
        <f>=IFERROR(ROUND((K8/(K47*K48))/(1-K29),0),"")</f>
        <v>0</v>
      </c>
      <c r="L9" s="15">
        <f>=IFERROR(ROUND((L8/(L47*L48))/(1-L29),0),"")</f>
        <v>0</v>
      </c>
      <c r="M9" s="15">
        <f>=IFERROR(ROUND((M8/(M47*M48))/(1-M29),0),"")</f>
        <v>0</v>
      </c>
      <c r="N9" s="15">
        <f>=IFERROR(ROUND((N8/(N47*N48))/(1-N29),0),"")</f>
        <v>0</v>
      </c>
      <c r="O9" s="15">
        <f>=IFERROR(ROUND((O8/(O47*O48))/(1-O29),0),"")</f>
        <v>0</v>
      </c>
      <c r="P9" s="15">
        <f>=IFERROR(ROUND((P8/(P47*P48))/(1-P29),0),"")</f>
        <v>0</v>
      </c>
      <c r="Q9" s="15">
        <f>=IFERROR(ROUND((Q8/(Q47*Q48))/(1-Q29),0),"")</f>
        <v>0</v>
      </c>
      <c r="R9" s="15">
        <f>=IFERROR(ROUND((R8/(R47*R48))/(1-R29),0),"")</f>
        <v>0</v>
      </c>
      <c r="S9" s="15">
        <f>=IFERROR(ROUND((S8/(S47*S48))/(1-S29),0),"")</f>
        <v>0</v>
      </c>
      <c r="T9" s="15">
        <f>=IFERROR(ROUND((T8/(T47*T48))/(1-T29),0),"")</f>
        <v>0</v>
      </c>
      <c r="U9" s="15">
        <f>=IFERROR(ROUND((U8/(U47*U48))/(1-U29),0),"")</f>
        <v>0</v>
      </c>
      <c r="V9" s="15">
        <f>=IFERROR(ROUND((V8/(V47*V48))/(1-V29),0),"")</f>
        <v>0</v>
      </c>
      <c r="W9" s="15">
        <f>=IFERROR(ROUND((W8/(W47*W48))/(1-W29),0),"")</f>
        <v>0</v>
      </c>
      <c r="X9" s="15">
        <f>=IFERROR(ROUND((X8/(X47*X48))/(1-X29),0),"")</f>
        <v>0</v>
      </c>
      <c r="Y9" s="15">
        <f>=IFERROR(ROUND((Y8/(Y47*Y48))/(1-Y29),0),"")</f>
        <v>0</v>
      </c>
      <c r="Z9" s="15">
        <f>=IFERROR(ROUND((Z8/(Z47*Z48))/(1-Z29),0),"")</f>
        <v>0</v>
      </c>
      <c r="AA9" s="15">
        <f>=IFERROR(ROUND((AA8/(AA47*AA48))/(1-AA29),0),"")</f>
        <v>0</v>
      </c>
      <c r="AB9" s="15">
        <f>=IFERROR(ROUND((AB8/(AB47*AB48))/(1-AB29),0),"")</f>
        <v>0</v>
      </c>
      <c r="AC9" s="15">
        <f>=IFERROR(ROUND((AC8/(AC47*AC48))/(1-AC29),0),"")</f>
        <v>0</v>
      </c>
      <c r="AD9" s="15">
        <f>=IFERROR(ROUND((AD8/(AD47*AD48))/(1-AD29),0),"")</f>
        <v>0</v>
      </c>
      <c r="AE9" s="15">
        <f>=IFERROR(ROUND((AE8/(AE47*AE48))/(1-AE29),0),"")</f>
        <v>0</v>
      </c>
      <c r="AF9" s="15">
        <f>=IFERROR(ROUND((AF8/(AF47*AF48))/(1-AF29),0),"")</f>
        <v>0</v>
      </c>
      <c r="AG9" s="15">
        <f>=IFERROR(ROUND((AG8/(AG47*AG48))/(1-AG29)/AG45,0),"")</f>
        <v>0</v>
      </c>
      <c r="AH9" s="15">
        <f>=IFERROR(ROUND((AH8/(AH47*AH48))/(1-AH29)/AH45,0),"")</f>
        <v>59</v>
      </c>
      <c r="AI9" s="15">
        <f>=IFERROR(ROUND((AI8/(AI47*AI48))/(1-AI29)/AI45,0),"")</f>
        <v>59</v>
      </c>
      <c r="AJ9" s="15">
        <f>=IFERROR(ROUND((AJ8/(AJ47*AJ48))/(1-AJ29)/AJ45,0),"")</f>
        <v>59</v>
      </c>
      <c r="AK9" s="15">
        <f>=IFERROR(ROUND((AK8/(AK47*AK48))/(1-AK29)/AK45,0),"")</f>
        <v>59</v>
      </c>
      <c r="AL9" s="15">
        <f>=IFERROR(ROUND((AL8/(AL47*AL48))/(1-AL29)/AL45,0),"")</f>
        <v>59</v>
      </c>
      <c r="AM9" s="15">
        <f>=IFERROR(ROUND((AM8/(AM47*AM48))/(1-AM29)/AM45,0),"")</f>
        <v>59</v>
      </c>
      <c r="AN9" s="15">
        <f>=IFERROR(ROUND((AN8/(AN47*AN48))/(1-AN29)/AN45,0),"")</f>
        <v>59</v>
      </c>
      <c r="AO9" s="15">
        <f>=IFERROR(ROUND((AO8/(AO47*AO48))/(1-AO29)/AO45,0),"")</f>
        <v>57</v>
      </c>
      <c r="AP9" s="15">
        <f>=IFERROR(ROUND((AP8/(AP47*AP48))/(1-AP29)/AP45,0),"")</f>
        <v>56</v>
      </c>
      <c r="AQ9" s="15">
        <f>=IFERROR(ROUND((AQ8/(AQ47*AQ48))/(1-AQ29)/AQ45,0),"")</f>
        <v>56</v>
      </c>
      <c r="AR9" s="15">
        <f>=IFERROR(ROUND((AR8/(AR47*AR48))/(1-AR29)/AR45,0),"")</f>
        <v>73</v>
      </c>
      <c r="AS9" s="15">
        <f>=IFERROR(ROUND((AS8/(AS47*AS48))/(1-AS29)/AS45,0),"")</f>
        <v>73</v>
      </c>
      <c r="AT9" s="15">
        <f>=IFERROR(ROUND((AT8/(AT47*AT48))/(1-AT29)/AT45,0),"")</f>
        <v>73</v>
      </c>
      <c r="AU9" s="15">
        <f>=IFERROR(ROUND((AU8/(AU47*AU48))/(1-AU29)/AU45,0),"")</f>
        <v>75</v>
      </c>
      <c r="AV9" s="15">
        <f>=IFERROR(ROUND((AV8/(AV47*AV48))/(1-AV29)/AV45,0),"")</f>
        <v>75</v>
      </c>
      <c r="AW9" s="15">
        <f>=IFERROR(ROUND((AW8/(AW47*AW48))/(1-AW29)/AW45,0),"")</f>
        <v>75</v>
      </c>
      <c r="AX9" s="15">
        <f>=IFERROR(ROUND((AX8/(AX47*AX48))/(1-AX29)/AX45,0),"")</f>
        <v>75</v>
      </c>
      <c r="AY9" s="15">
        <f>=IFERROR(ROUND((AY8/(AY47*AY48))/(1-AY29)/AY45,0),"")</f>
        <v>107</v>
      </c>
      <c r="AZ9" s="15">
        <f>=IFERROR(ROUND((AZ8/(AZ47*AZ48))/(1-AZ29)/AZ45,0),"")</f>
        <v>107</v>
      </c>
      <c r="BA9" s="15">
        <f>=IFERROR(ROUND((BA8/(BA47*BA48))/(1-BA29)/BA45,0),"")</f>
        <v>107</v>
      </c>
      <c r="BB9" s="15">
        <f>=IFERROR(ROUND((BB8/(BB47*BB48))/(1-BB29)/BB45,0),"")</f>
        <v>107</v>
      </c>
      <c r="BC9" s="15">
        <f>=IFERROR(ROUND((BC8/(BC47*BC48))/(1-BC29)/BC45,0),"")</f>
        <v>115</v>
      </c>
      <c r="BD9" s="15">
        <f>=IFERROR(ROUND((BD8/(BD47*BD48))/(1-BD29)/BD45,0),"")</f>
        <v>115</v>
      </c>
      <c r="BE9" s="15">
        <f>=IFERROR(ROUND((BE8/(BE47*BE48))/(1-BE29)/BE45,0),"")</f>
        <v>115</v>
      </c>
      <c r="BF9" s="15">
        <f>=IFERROR(ROUND((BF8/(BF47*BF48))/(1-BF29)/BF45,0),"")</f>
        <v>115</v>
      </c>
      <c r="BG9" s="15">
        <f>=IFERROR(ROUND((BG8/(BG47*BG48))/(1-BG29)/BG45,0),"")</f>
        <v>115</v>
      </c>
      <c r="BH9" s="15">
        <f>=IFERROR(ROUND((BH8/(BH47*BH48))/(1-BH29)/BH45,0),"")</f>
        <v>134</v>
      </c>
      <c r="BI9" s="15">
        <f>=IFERROR(ROUND((BI8/(BI47*BI48))/(1-BI29)/BI45,0),"")</f>
        <v>134</v>
      </c>
      <c r="BJ9" s="15">
        <f>=IFERROR(ROUND((BJ8/(BJ47*BJ48))/(1-BJ29)/BJ45,0),"")</f>
        <v>134</v>
      </c>
      <c r="BK9" s="15">
        <f>=IFERROR(ROUND((BK8/(BK47*BK48))/(1-BK29)/BK45,0),"")</f>
        <v>134</v>
      </c>
      <c r="BL9" s="15">
        <f>=IFERROR(ROUND((BL8/(BL47*BL48))/(1-BL29)/BL45,0),"")</f>
        <v>132</v>
      </c>
      <c r="BM9" s="15">
        <f>=IFERROR(ROUND((BM8/(BM47*BM48))/(1-BM29)/BM45,0),"")</f>
        <v>127</v>
      </c>
      <c r="BN9" s="15">
        <f>=IFERROR(ROUND((BN8/(BN47*BN48))/(1-BN29)/BN45,0),"")</f>
        <v>127</v>
      </c>
      <c r="BO9" s="15">
        <f>=IFERROR(ROUND((BO8/(BO47*BO48))/(1-BO29)/BO45,0),"")</f>
        <v>127</v>
      </c>
      <c r="BP9" s="15">
        <f>=IFERROR(ROUND((BP8/(BP47*BP48))/(1-BP29)/BP45,0),"")</f>
        <v>130</v>
      </c>
      <c r="BQ9" s="15">
        <f>=IFERROR(ROUND((BQ8/(BQ47*BQ48))/(1-BQ29)/BQ45,0),"")</f>
        <v>130</v>
      </c>
      <c r="BR9" s="15">
        <f>=IFERROR(ROUND((BR8/(BR47*BR48))/(1-BR29)/BR45,0),"")</f>
        <v>128</v>
      </c>
      <c r="BS9" s="15">
        <f>=IFERROR(ROUND((BS8/(BS47*BS48))/(1-BS29)/BS45,0),"")</f>
        <v>128</v>
      </c>
      <c r="BT9" s="15">
        <f>=IFERROR(ROUND((BT8/(BT47*BT48))/(1-BT29)/BT45,0),"")</f>
        <v>128</v>
      </c>
      <c r="BU9" s="15">
        <f>=IFERROR(ROUND((BU8/(BU47*BU48))/(1-BU29)/BU45,0),"")</f>
        <v>128</v>
      </c>
      <c r="BV9" s="15">
        <f>=IFERROR(ROUND((BV8/(BV47*BV48))/(1-BV29)/BV45,0),"")</f>
        <v>128</v>
      </c>
      <c r="BW9" s="15">
        <f>=IFERROR(ROUND((BW8/(BW47*BW48))/(1-BW29)/BW45,0),"")</f>
        <v>128</v>
      </c>
      <c r="BX9" s="15">
        <f>=IFERROR(ROUND((BX8/(BX47*BX48))/(1-BX29)/BX45,0),"")</f>
        <v>128</v>
      </c>
      <c r="BY9" s="15">
        <f>=IFERROR(ROUND((BY8/(BY47*BY48))/(1-BY29)/BY45,0),"")</f>
        <v>128</v>
      </c>
      <c r="BZ9" s="15">
        <f>=IFERROR(ROUND((BZ8/(BZ47*BZ48))/(1-BZ29)/BZ45,0),"")</f>
        <v>128</v>
      </c>
      <c r="CA9" s="15">
        <f>=IFERROR(ROUND((CA8/(CA47*CA48))/(1-CA29)/CA45,0),"")</f>
        <v>128</v>
      </c>
      <c r="CB9" s="15">
        <f>=IFERROR(ROUND((CB8/(CB47*CB48))/(1-CB29)/CB45,0),"")</f>
        <v>128</v>
      </c>
      <c r="CC9" s="15">
        <f>=IFERROR(ROUND((CC8/(CC47*CC48))/(1-CC29)/CC45,0),"")</f>
        <v>0</v>
      </c>
      <c r="CD9" s="15">
        <f>=IFERROR(ROUND((CD8/(CD47*CD48))/(1-CD29)/CD45,0),"")</f>
        <v>0</v>
      </c>
      <c r="CE9" s="15">
        <f>=IFERROR(ROUND((CE8/(CE47*CE48))/(1-CE29)/CE45,0),"")</f>
        <v>0</v>
      </c>
      <c r="CF9" s="15">
        <f>=IFERROR(ROUND((CF8/(CF47*CF48))/(1-CF29)/CF45,0),"")</f>
        <v>0</v>
      </c>
      <c r="CG9" s="15">
        <f>=IFERROR(ROUND((CG8/(CG47*CG48))/(1-CG29)/CG45,0),"")</f>
        <v>0</v>
      </c>
      <c r="CH9" s="15">
        <f>=IFERROR(ROUND((CH8/(CH47*CH48))/(1-CH29)/CH45,0),"")</f>
        <v>0</v>
      </c>
      <c r="CI9" s="15">
        <f>=IFERROR(ROUND((CI8/(CI47*CI48))/(1-CI29)/CI45,0),"")</f>
        <v>0</v>
      </c>
      <c r="CJ9" s="15">
        <f>=IFERROR(ROUND((CJ8/(CJ47*CJ48))/(1-CJ29)/CJ45,0),"")</f>
        <v>0</v>
      </c>
      <c r="CK9" s="15">
        <f>=IFERROR(ROUND((CK8/(CK47*CK48))/(1-CK29)/CK45,0),"")</f>
        <v>0</v>
      </c>
      <c r="CL9" s="15">
        <f>=IFERROR(ROUND((CL8/(CL47*CL48))/(1-CL29)/CL45,0),"")</f>
        <v>0</v>
      </c>
      <c r="CM9" s="15">
        <f>=IFERROR(ROUND((CM8/(CM47*CM48))/(1-CM29)/CM45,0),"")</f>
        <v>0</v>
      </c>
      <c r="CN9" s="15">
        <f>=IFERROR(ROUND((CN8/(CN47*CN48))/(1-CN29)/CN45,0),"")</f>
        <v>0</v>
      </c>
      <c r="CO9" s="15">
        <f>=IFERROR(ROUND((CO8/(CO47*CO48))/(1-CO29)/CO45,0),"")</f>
        <v>0</v>
      </c>
      <c r="CP9" s="15">
        <f>=IFERROR(ROUND((CP8/(CP47*CP48))/(1-CP29)/CP45,0),"")</f>
        <v>0</v>
      </c>
      <c r="CQ9" s="15">
        <f>=IFERROR(ROUND((CQ8/(CQ47*CQ48))/(1-CQ29)/CQ45,0),"")</f>
        <v>0</v>
      </c>
      <c r="CR9" s="15">
        <f>=IFERROR(ROUND((CR8/(CR47*CR48))/(1-CR29)/CR45,0),"")</f>
        <v>0</v>
      </c>
      <c r="CS9" s="15">
        <f>=IFERROR(ROUND((CS8/(CS47*CS48))/(1-CS29)/CS45,0),"")</f>
        <v>0</v>
      </c>
      <c r="CT9" s="15">
        <f>=IFERROR(ROUND((CT8/(CT47*CT48))/(1-CT29)/CT45,0),"")</f>
        <v>0</v>
      </c>
      <c r="CU9" s="15">
        <f>=IFERROR(ROUND((CU8/(CU47*CU48))/(1-CU29)/CU45,0),"")</f>
        <v>0</v>
      </c>
      <c r="CV9" s="15">
        <f>=IFERROR(ROUND((CV8/(CV47*CV48))/(1-CV29)/CV45,0),"")</f>
        <v>0</v>
      </c>
      <c r="CW9" s="15">
        <f>=IFERROR(ROUND((CW8/(CW47*CW48))/(1-CW29)/CW45,0),"")</f>
        <v>0</v>
      </c>
      <c r="CX9" s="15">
        <f>=IFERROR(ROUND((CX8/(CX47*CX48))/(1-CX29)/CX45,0),"")</f>
        <v>0</v>
      </c>
      <c r="CY9" s="15">
        <f>=IFERROR(ROUND((CY8/(CY47*CY48))/(1-CY29)/CY45,0),"")</f>
        <v>0</v>
      </c>
      <c r="CZ9" s="15">
        <f>=IFERROR(ROUND((CZ8/(CZ47*CZ48))/(1-CZ29)/CZ45,0),"")</f>
        <v>0</v>
      </c>
      <c r="DA9" s="15">
        <f>=IFERROR(ROUND((DA8/(DA47*DA48))/(1-DA29)/DA45,0),"")</f>
        <v>0</v>
      </c>
      <c r="DB9" s="15">
        <f>=IFERROR(ROUND((DB8/(DB47*DB48))/(1-DB29)/DB45,0),"")</f>
        <v>0</v>
      </c>
    </row>
    <row r="10" ht="15" customHeight="1" spans="1:106" x14ac:dyDescent="0.25">
      <c r="A10" s="16" t="s">
        <v>244</v>
      </c>
      <c r="B10" s="17"/>
      <c r="C10" s="18">
        <f>=IFERROR(C19+C22+C23,0)</f>
        <v>0</v>
      </c>
      <c r="D10" s="18">
        <f>=IFERROR(D19+D22+D23,0)</f>
        <v>0</v>
      </c>
      <c r="E10" s="18">
        <f>=IFERROR(E19+E22+E23,0)</f>
        <v>0</v>
      </c>
      <c r="F10" s="18">
        <f>=IFERROR(F19+F22+F23,0)</f>
        <v>0</v>
      </c>
      <c r="G10" s="18">
        <f>=IFERROR(G19+G22+G23,0)</f>
        <v>0</v>
      </c>
      <c r="H10" s="18">
        <f>=IFERROR(H19+H22+H23,0)</f>
        <v>0</v>
      </c>
      <c r="I10" s="18">
        <f>=IFERROR(I19+I22+I23,0)</f>
        <v>0</v>
      </c>
      <c r="J10" s="18">
        <f>=IFERROR(J19+J22+J23,0)</f>
        <v>0</v>
      </c>
      <c r="K10" s="18">
        <f>=IFERROR(K19+K22+K23,0)</f>
        <v>0</v>
      </c>
      <c r="L10" s="18">
        <f>=IFERROR(L19+L22+L23,0)</f>
        <v>0</v>
      </c>
      <c r="M10" s="18">
        <f>=IFERROR(M19+M22+M23,0)</f>
        <v>0</v>
      </c>
      <c r="N10" s="18">
        <f>=IFERROR(N19+N22+N23,0)</f>
        <v>0</v>
      </c>
      <c r="O10" s="18">
        <f>=IFERROR(O19+O22+O23,0)</f>
        <v>0</v>
      </c>
      <c r="P10" s="18">
        <f>=IFERROR(P19+P22+P23,0)</f>
        <v>0</v>
      </c>
      <c r="Q10" s="18">
        <f>=IFERROR(Q19+Q22+Q23,0)</f>
        <v>0</v>
      </c>
      <c r="R10" s="18">
        <f>=IFERROR(R19+R22+R23,0)</f>
        <v>0</v>
      </c>
      <c r="S10" s="18">
        <f>=IFERROR(S19+S22+S23,0)</f>
        <v>0</v>
      </c>
      <c r="T10" s="18">
        <f>=IFERROR(T19+T22+T23,0)</f>
        <v>0</v>
      </c>
      <c r="U10" s="18">
        <f>=IFERROR(U19+U22+U23,0)</f>
        <v>0</v>
      </c>
      <c r="V10" s="18">
        <f>=IFERROR(V19+V22+V23,0)</f>
        <v>0</v>
      </c>
      <c r="W10" s="18">
        <f>=IFERROR(W19+W22+W23,0)</f>
        <v>0</v>
      </c>
      <c r="X10" s="18">
        <f>=IFERROR(X19+X22+X23,0)</f>
        <v>0</v>
      </c>
      <c r="Y10" s="18">
        <f>=IFERROR(Y19+Y22+Y23,0)</f>
        <v>0</v>
      </c>
      <c r="Z10" s="18">
        <f>=IFERROR(Z19+Z22+Z23,0)</f>
        <v>0</v>
      </c>
      <c r="AA10" s="18">
        <f>=IFERROR(AA19+AA22+AA23,0)</f>
        <v>0</v>
      </c>
      <c r="AB10" s="18">
        <f>=IFERROR(AB19+AB22+AB23,0)</f>
        <v>0</v>
      </c>
      <c r="AC10" s="18">
        <f>=IFERROR(AC19+AC22+AC23,0)</f>
        <v>0</v>
      </c>
      <c r="AD10" s="18">
        <f>=IFERROR(AD19+AD22+AD23,0)</f>
        <v>0</v>
      </c>
      <c r="AE10" s="18">
        <f>=IFERROR(AE19+AE22+AE23,0)</f>
        <v>0</v>
      </c>
      <c r="AF10" s="18">
        <f>=IFERROR(AF19+AF22+AF23,0)</f>
        <v>0</v>
      </c>
      <c r="AG10" s="18">
        <f>=IFERROR(AG19+AG22+AG23,0)</f>
        <v>60</v>
      </c>
      <c r="AH10" s="18">
        <f>=IFERROR(AH19+AH22+AH23,0)</f>
        <v>62</v>
      </c>
      <c r="AI10" s="18">
        <f>=IFERROR(AI19+AI22+AI23,0)</f>
        <v>61</v>
      </c>
      <c r="AJ10" s="18">
        <f>=IFERROR(AJ19+AJ22+AJ23,0)</f>
        <v>61</v>
      </c>
      <c r="AK10" s="18">
        <f>=IFERROR(AK19+AK22+AK23,0)</f>
        <v>64</v>
      </c>
      <c r="AL10" s="18">
        <f>=IFERROR(AL19+AL22+AL23,0)</f>
        <v>65</v>
      </c>
      <c r="AM10" s="18">
        <f>=IFERROR(AM19+AM22+AM23,0)</f>
        <v>64</v>
      </c>
      <c r="AN10" s="18">
        <f>=IFERROR(AN19+AN22+AN23,0)</f>
        <v>63</v>
      </c>
      <c r="AO10" s="18">
        <f>=IFERROR(AO19+AO22+AO23,0)</f>
        <v>95</v>
      </c>
      <c r="AP10" s="18">
        <f>=IFERROR(AP19+AP22+AP23,0)</f>
        <v>94</v>
      </c>
      <c r="AQ10" s="18">
        <f>=IFERROR(AQ19+AQ22+AQ23,0)</f>
        <v>86</v>
      </c>
      <c r="AR10" s="18">
        <f>=IFERROR(AR19+AR22+AR23,0)</f>
        <v>108</v>
      </c>
      <c r="AS10" s="18">
        <f>=IFERROR(AS19+AS22+AS23,0)</f>
        <v>108</v>
      </c>
      <c r="AT10" s="18">
        <f>=IFERROR(AT19+AT22+AT23,0)</f>
        <v>106</v>
      </c>
      <c r="AU10" s="18">
        <f>=IFERROR(AU19+AU22+AU23,0)</f>
        <v>106</v>
      </c>
      <c r="AV10" s="18">
        <f>=IFERROR(AV19+AV22+AV23,0)</f>
        <v>109</v>
      </c>
      <c r="AW10" s="18">
        <f>=IFERROR(AW19+AW22+AW23,0)</f>
        <v>108</v>
      </c>
      <c r="AX10" s="18">
        <f>=IFERROR(AX19+AX22+AX23,0)</f>
        <v>108</v>
      </c>
      <c r="AY10" s="18">
        <f>=IFERROR(AY19+AY22+AY23,0)</f>
        <v>115</v>
      </c>
      <c r="AZ10" s="18">
        <f>=IFERROR(AZ19+AZ22+AZ23,0)</f>
        <v>112</v>
      </c>
      <c r="BA10" s="18">
        <f>=IFERROR(BA19+BA22+BA23,0)</f>
        <v>111</v>
      </c>
      <c r="BB10" s="18">
        <f>=IFERROR(BB19+BB22+BB23,0)</f>
        <v>111</v>
      </c>
      <c r="BC10" s="18">
        <f>=IFERROR(BC19+BC22+BC23,0)</f>
        <v>127</v>
      </c>
      <c r="BD10" s="18">
        <f>=IFERROR(BD19+BD22+BD23,0)</f>
        <v>129</v>
      </c>
      <c r="BE10" s="18">
        <f>=IFERROR(BE19+BE22+BE23,0)</f>
        <v>128</v>
      </c>
      <c r="BF10" s="18">
        <f>=IFERROR(BF19+BF22+BF23,0)</f>
        <v>131</v>
      </c>
      <c r="BG10" s="18">
        <f>=IFERROR(BG19+BG22+BG23,0)</f>
        <v>129</v>
      </c>
      <c r="BH10" s="18">
        <f>=IFERROR(BH19+BH22+BH23,0)</f>
        <v>116</v>
      </c>
      <c r="BI10" s="18">
        <f>=IFERROR(BI19+BI22+BI23,0)</f>
        <v>116</v>
      </c>
      <c r="BJ10" s="18">
        <f>=IFERROR(BJ19+BJ22+BJ23,0)</f>
        <v>116</v>
      </c>
      <c r="BK10" s="18">
        <f>=IFERROR(BK19+BK22+BK23,0)</f>
        <v>115</v>
      </c>
      <c r="BL10" s="18">
        <f>=IFERROR(BL19+BL22+BL23,0)</f>
        <v>138</v>
      </c>
      <c r="BM10" s="18">
        <f>=IFERROR(BM19+BM22+BM23,0)</f>
        <v>137</v>
      </c>
      <c r="BN10" s="18">
        <f>=IFERROR(BN19+BN22+BN23,0)</f>
        <v>135.4519</v>
      </c>
      <c r="BO10" s="18">
        <f>=IFERROR(BO19+BO22+BO23,0)</f>
        <v>133.92129353</v>
      </c>
      <c r="BP10" s="18">
        <f>=IFERROR(BP19+BP22+BP23,0)</f>
        <v>132.407982913111</v>
      </c>
      <c r="BQ10" s="18">
        <f>=IFERROR(BQ19+BQ22+BQ23,0)</f>
        <v>131.216311066893</v>
      </c>
      <c r="BR10" s="18">
        <f>=IFERROR(BR19+BR22+BR23,0)</f>
        <v>130.03536426729096</v>
      </c>
      <c r="BS10" s="18">
        <f>=IFERROR(BS19+BS22+BS23,0)</f>
        <v>128.86504598888538</v>
      </c>
      <c r="BT10" s="18">
        <f>=IFERROR(BT19+BT22+BT23,0)</f>
        <v>127.70526057498542</v>
      </c>
      <c r="BU10" s="18">
        <f>=IFERROR(BU19+BU22+BU23,0)</f>
        <v>129.55591322981056</v>
      </c>
      <c r="BV10" s="18">
        <f>=IFERROR(BV19+BV22+BV23,0)</f>
        <v>128.09193141031372</v>
      </c>
      <c r="BW10" s="18">
        <f>=IFERROR(BW19+BW22+BW23,0)</f>
        <v>126.64449258537718</v>
      </c>
      <c r="BX10" s="18">
        <f>=IFERROR(BX19+BX22+BX23,0)</f>
        <v>125.21340981916242</v>
      </c>
      <c r="BY10" s="18">
        <f>=IFERROR(BY19+BY22+BY23,0)</f>
        <v>123.7984982882059</v>
      </c>
      <c r="BZ10" s="18">
        <f>=IFERROR(BZ19+BZ22+BZ23,0)</f>
        <v>127.39957525754917</v>
      </c>
      <c r="CA10" s="18">
        <f>=IFERROR(CA19+CA22+CA23,0)</f>
        <v>125.95996005713889</v>
      </c>
      <c r="CB10" s="18">
        <f>=IFERROR(CB19+CB22+CB23,0)</f>
        <v>124.53661250849322</v>
      </c>
      <c r="CC10" s="18">
        <f>=IFERROR(CC19+CC22+CC23,0)</f>
        <v>123.12934878714726</v>
      </c>
      <c r="CD10" s="18">
        <f>=IFERROR(CD19+CD22+CD23,0)</f>
        <v>121.52866725291435</v>
      </c>
      <c r="CE10" s="18">
        <f>=IFERROR(CE19+CE22+CE23,0)</f>
        <v>119.94879457862643</v>
      </c>
      <c r="CF10" s="18">
        <f>=IFERROR(CF19+CF22+CF23,0)</f>
        <v>118.3894602491043</v>
      </c>
      <c r="CG10" s="18">
        <f>=IFERROR(CG19+CG22+CG23,0)</f>
        <v>116.85039726586594</v>
      </c>
      <c r="CH10" s="18">
        <f>=IFERROR(CH19+CH22+CH23,0)</f>
        <v>115.3313421014097</v>
      </c>
      <c r="CI10" s="18">
        <f>=IFERROR(CI19+CI22+CI23,0)</f>
        <v>113.83203465409136</v>
      </c>
      <c r="CJ10" s="18">
        <f>=IFERROR(CJ19+CJ22+CJ23,0)</f>
        <v>112.35221820358818</v>
      </c>
      <c r="CK10" s="18">
        <f>=IFERROR(CK19+CK22+CK23,0)</f>
        <v>110.89163936694155</v>
      </c>
      <c r="CL10" s="18">
        <f>=IFERROR(CL19+CL22+CL23,0)</f>
        <v>109.4500480551713</v>
      </c>
      <c r="CM10" s="18">
        <f>=IFERROR(CM19+CM22+CM23,0)</f>
        <v>108.02719743045407</v>
      </c>
      <c r="CN10" s="18">
        <f>=IFERROR(CN19+CN22+CN23,0)</f>
        <v>106.62284386385817</v>
      </c>
      <c r="CO10" s="18">
        <f>=IFERROR(CO19+CO22+CO23,0)</f>
        <v>105.236746893628</v>
      </c>
      <c r="CP10" s="18">
        <f>=IFERROR(CP19+CP22+CP23,0)</f>
        <v>103.86866918401084</v>
      </c>
      <c r="CQ10" s="18">
        <f>=IFERROR(CQ19+CQ22+CQ23,0)</f>
        <v>102.51837648461871</v>
      </c>
      <c r="CR10" s="18">
        <f>=IFERROR(CR19+CR22+CR23,0)</f>
        <v>101.18563759031868</v>
      </c>
      <c r="CS10" s="18">
        <f>=IFERROR(CS19+CS22+CS23,0)</f>
        <v>99.87022430164455</v>
      </c>
      <c r="CT10" s="18">
        <f>=IFERROR(CT19+CT22+CT23,0)</f>
        <v>98.57191138572318</v>
      </c>
      <c r="CU10" s="18">
        <f>=IFERROR(CU19+CU22+CU23,0)</f>
        <v>97.29047653770878</v>
      </c>
      <c r="CV10" s="18">
        <f>=IFERROR(CV19+CV22+CV23,0)</f>
        <v>96.02570034271857</v>
      </c>
      <c r="CW10" s="18">
        <f>=IFERROR(CW19+CW22+CW23,0)</f>
        <v>94.77736623826323</v>
      </c>
      <c r="CX10" s="18">
        <f>=IFERROR(CX19+CX22+CX23,0)</f>
        <v>93.5452604771658</v>
      </c>
      <c r="CY10" s="18">
        <f>=IFERROR(CY19+CY22+CY23,0)</f>
        <v>92.32917209096264</v>
      </c>
      <c r="CZ10" s="18">
        <f>=IFERROR(CZ19+CZ22+CZ23,0)</f>
        <v>91.12889285378012</v>
      </c>
      <c r="DA10" s="18">
        <f>=IFERROR(DA19+DA22+DA23,0)</f>
        <v>89.94421724668098</v>
      </c>
      <c r="DB10" s="18">
        <f>=IFERROR(DB19+DB22+DB23,0)</f>
        <v>88.77494242247413</v>
      </c>
    </row>
    <row r="11" ht="15" customHeight="1" spans="1:106" x14ac:dyDescent="0.25">
      <c r="A11" s="16" t="s">
        <v>245</v>
      </c>
      <c r="B11" s="17"/>
      <c r="C11" s="18">
        <f>=C10*(C47*C48*(1-C29)*(1-C46))</f>
        <v>0</v>
      </c>
      <c r="D11" s="18">
        <f>=D10*(D47*D48*(1-D29)*(1-D46))</f>
        <v>0</v>
      </c>
      <c r="E11" s="18">
        <f>=E10*(E47*E48*(1-E29)*(1-E46))</f>
        <v>0</v>
      </c>
      <c r="F11" s="18">
        <f>=F10*(F47*F48*(1-F29)*(1-F46))</f>
        <v>0</v>
      </c>
      <c r="G11" s="18">
        <f>=G10*(G47*G48*(1-G29)*(1-G46))</f>
        <v>0</v>
      </c>
      <c r="H11" s="18">
        <f>=H10*(H47*H48*(1-H29)*(1-H46))</f>
        <v>0</v>
      </c>
      <c r="I11" s="18">
        <f>=I10*(I47*I48*(1-I29)*(1-I46))</f>
        <v>0</v>
      </c>
      <c r="J11" s="18">
        <f>=J10*(J47*J48*(1-J29)*(1-J46))</f>
        <v>0</v>
      </c>
      <c r="K11" s="18">
        <f>=K10*(K47*K48*(1-K29)*(1-K46))</f>
        <v>0</v>
      </c>
      <c r="L11" s="18">
        <f>=L10*(L47*L48*(1-L29)*(1-L46))</f>
        <v>0</v>
      </c>
      <c r="M11" s="18">
        <f>=M10*(M47*M48*(1-M29)*(1-M46))</f>
        <v>0</v>
      </c>
      <c r="N11" s="18">
        <f>=N10*(N47*N48*(1-N29)*(1-N46))</f>
        <v>0</v>
      </c>
      <c r="O11" s="18">
        <f>=O10*(O47*O48*(1-O29)*(1-O46))</f>
        <v>0</v>
      </c>
      <c r="P11" s="18">
        <f>=P10*(P47*P48*(1-P29)*(1-P46))</f>
        <v>0</v>
      </c>
      <c r="Q11" s="18">
        <f>=Q10*(Q47*Q48*(1-Q29)*(1-Q46))</f>
        <v>0</v>
      </c>
      <c r="R11" s="18">
        <f>=R10*(R47*R48*(1-R29)*(1-R46))</f>
        <v>0</v>
      </c>
      <c r="S11" s="18">
        <f>=S10*(S47*S48*(1-S29)*(1-S46))</f>
        <v>0</v>
      </c>
      <c r="T11" s="18">
        <f>=T10*(T47*T48*(1-T29)*(1-T46))</f>
        <v>0</v>
      </c>
      <c r="U11" s="18">
        <f>=U10*(U47*U48*(1-U29)*(1-U46))</f>
        <v>0</v>
      </c>
      <c r="V11" s="18">
        <f>=V10*(V47*V48*(1-V29)*(1-V46))</f>
        <v>0</v>
      </c>
      <c r="W11" s="18">
        <f>=W10*(W47*W48*(1-W29)*(1-W46))</f>
        <v>0</v>
      </c>
      <c r="X11" s="18">
        <f>=X10*(X47*X48*(1-X29)*(1-X46))</f>
        <v>0</v>
      </c>
      <c r="Y11" s="18">
        <f>=Y10*(Y47*Y48*(1-Y29)*(1-Y46))</f>
        <v>0</v>
      </c>
      <c r="Z11" s="18">
        <f>=Z10*(Z47*Z48*(1-Z29)*(1-Z46))</f>
        <v>0</v>
      </c>
      <c r="AA11" s="18">
        <f>=AA10*(AA47*AA48*(1-AA29)*(1-AA46))</f>
        <v>0</v>
      </c>
      <c r="AB11" s="18">
        <f>=AB10*(AB47*AB48*(1-AB29)*(1-AB46))</f>
        <v>0</v>
      </c>
      <c r="AC11" s="18">
        <f>=AC10*(AC47*AC48*(1-AC29)*(1-AC46))</f>
        <v>0</v>
      </c>
      <c r="AD11" s="18">
        <f>=AD10*(AD47*AD48*(1-AD29)*(1-AD46))</f>
        <v>0</v>
      </c>
      <c r="AE11" s="18">
        <f>=AE10*(AE47*AE48*(1-AE29)*(1-AE46))</f>
        <v>0</v>
      </c>
      <c r="AF11" s="18">
        <f>=AF10*(AF47*AF48*(1-AF29)*(1-AF46))</f>
        <v>0</v>
      </c>
      <c r="AG11" s="18">
        <f>=AG10*(AG47*AG48*(1-AG29)*(1-AG46))</f>
        <v>2193</v>
      </c>
      <c r="AH11" s="18">
        <f>=AH10*(AH47*AH48*(1-AH29)*(1-AH46))</f>
        <v>2213.4</v>
      </c>
      <c r="AI11" s="18">
        <f>=AI10*(AI47*AI48*(1-AI29)*(1-AI46))</f>
        <v>2177.7</v>
      </c>
      <c r="AJ11" s="18">
        <f>=AJ10*(AJ47*AJ48*(1-AJ29)*(1-AJ46))</f>
        <v>2177.7</v>
      </c>
      <c r="AK11" s="18">
        <f>=AK10*(AK47*AK48*(1-AK29)*(1-AK46))</f>
        <v>2284.8</v>
      </c>
      <c r="AL11" s="18">
        <f>=AL10*(AL47*AL48*(1-AL29)*(1-AL46))</f>
        <v>2320.5</v>
      </c>
      <c r="AM11" s="18">
        <f>=AM10*(AM47*AM48*(1-AM29)*(1-AM46))</f>
        <v>2284.8</v>
      </c>
      <c r="AN11" s="18">
        <f>=AN10*(AN47*AN48*(1-AN29)*(1-AN46))</f>
        <v>2249.1</v>
      </c>
      <c r="AO11" s="18">
        <f>=AO10*(AO47*AO48*(1-AO29)*(1-AO46))</f>
        <v>3512.625</v>
      </c>
      <c r="AP11" s="18">
        <f>=AP10*(AP47*AP48*(1-AP29)*(1-AP46))</f>
        <v>3475.65</v>
      </c>
      <c r="AQ11" s="18">
        <f>=AQ10*(AQ47*AQ48*(1-AQ29)*(1-AQ46))</f>
        <v>3179.85</v>
      </c>
      <c r="AR11" s="18">
        <f>=AR10*(AR47*AR48*(1-AR29)*(1-AR46))</f>
        <v>3993.3</v>
      </c>
      <c r="AS11" s="18">
        <f>=AS10*(AS47*AS48*(1-AS29)*(1-AS46))</f>
        <v>3993.3</v>
      </c>
      <c r="AT11" s="18">
        <f>=AT10*(AT47*AT48*(1-AT29)*(1-AT46))</f>
        <v>3919.35</v>
      </c>
      <c r="AU11" s="18">
        <f>=AU10*(AU47*AU48*(1-AU29)*(1-AU46))</f>
        <v>3919.35</v>
      </c>
      <c r="AV11" s="18">
        <f>=AV10*(AV47*AV48*(1-AV29)*(1-AV46))</f>
        <v>4030.275</v>
      </c>
      <c r="AW11" s="18">
        <f>=AW10*(AW47*AW48*(1-AW29)*(1-AW46))</f>
        <v>3993.3</v>
      </c>
      <c r="AX11" s="18">
        <f>=AX10*(AX47*AX48*(1-AX29)*(1-AX46))</f>
        <v>3993.3</v>
      </c>
      <c r="AY11" s="18">
        <f>=AY10*(AY47*AY48*(1-AY29)*(1-AY46))</f>
        <v>4203.25</v>
      </c>
      <c r="AZ11" s="18">
        <f>=AZ10*(AZ47*AZ48*(1-AZ29)*(1-AZ46))</f>
        <v>4093.6</v>
      </c>
      <c r="BA11" s="18">
        <f>=BA10*(BA47*BA48*(1-BA29)*(1-BA46))</f>
        <v>4057.05</v>
      </c>
      <c r="BB11" s="18">
        <f>=BB10*(BB47*BB48*(1-BB29)*(1-BB46))</f>
        <v>4057.05</v>
      </c>
      <c r="BC11" s="18">
        <f>=BC10*(BC47*BC48*(1-BC29)*(1-BC46))</f>
        <v>4641.85</v>
      </c>
      <c r="BD11" s="18">
        <f>=BD10*(BD47*BD48*(1-BD29)*(1-BD46))</f>
        <v>4714.95</v>
      </c>
      <c r="BE11" s="18">
        <f>=BE10*(BE47*BE48*(1-BE29)*(1-BE46))</f>
        <v>4678.4</v>
      </c>
      <c r="BF11" s="18">
        <f>=BF10*(BF47*BF48*(1-BF29)*(1-BF46))</f>
        <v>4788.05</v>
      </c>
      <c r="BG11" s="18">
        <f>=BG10*(BG47*BG48*(1-BG29)*(1-BG46))</f>
        <v>4714.95</v>
      </c>
      <c r="BH11" s="18">
        <f>=BH10*(BH47*BH48*(1-BH29)*(1-BH46))</f>
        <v>4239.8</v>
      </c>
      <c r="BI11" s="18">
        <f>=BI10*(BI47*BI48*(1-BI29)*(1-BI46))</f>
        <v>4239.8</v>
      </c>
      <c r="BJ11" s="18">
        <f>=BJ10*(BJ47*BJ48*(1-BJ29)*(1-BJ46))</f>
        <v>4239.8</v>
      </c>
      <c r="BK11" s="18">
        <f>=BK10*(BK47*BK48*(1-BK29)*(1-BK46))</f>
        <v>4203.25</v>
      </c>
      <c r="BL11" s="18">
        <f>=BL10*(BL47*BL48*(1-BL29)*(1-BL46))</f>
        <v>5043.9</v>
      </c>
      <c r="BM11" s="18">
        <f>=BM10*(BM47*BM48*(1-BM29)*(1-BM46))</f>
        <v>5007.35</v>
      </c>
      <c r="BN11" s="18">
        <f>=BN10*(BN47*BN48*(1-BN29)*(1-BN46))</f>
        <v>4950.766945</v>
      </c>
      <c r="BO11" s="18">
        <f>=BO10*(BO47*BO48*(1-BO29)*(1-BO46))</f>
        <v>4894.8232785215</v>
      </c>
      <c r="BP11" s="18">
        <f>=BP10*(BP47*BP48*(1-BP29)*(1-BP46))</f>
        <v>4839.511775474207</v>
      </c>
      <c r="BQ11" s="18">
        <f>=BQ10*(BQ47*BQ48*(1-BQ29)*(1-BQ46))</f>
        <v>4795.956169494938</v>
      </c>
      <c r="BR11" s="18">
        <f>=BR10*(BR47*BR48*(1-BR29)*(1-BR46))</f>
        <v>4752.792563969486</v>
      </c>
      <c r="BS11" s="18">
        <f>=BS10*(BS47*BS48*(1-BS29)*(1-BS46))</f>
        <v>4710.01743089376</v>
      </c>
      <c r="BT11" s="18">
        <f>=BT10*(BT47*BT48*(1-BT29)*(1-BT46))</f>
        <v>4667.627274015717</v>
      </c>
      <c r="BU11" s="18">
        <f>=BU10*(BU47*BU48*(1-BU29)*(1-BU46))</f>
        <v>4735.2686285495765</v>
      </c>
      <c r="BV11" s="18">
        <f>=BV10*(BV47*BV48*(1-BV29)*(1-BV46))</f>
        <v>4681.760093046966</v>
      </c>
      <c r="BW11" s="18">
        <f>=BW10*(BW47*BW48*(1-BW29)*(1-BW46))</f>
        <v>4628.856203995537</v>
      </c>
      <c r="BX11" s="18">
        <f>=BX10*(BX47*BX48*(1-BX29)*(1-BX46))</f>
        <v>4576.550128890387</v>
      </c>
      <c r="BY11" s="18">
        <f>=BY10*(BY47*BY48*(1-BY29)*(1-BY46))</f>
        <v>4524.835112433925</v>
      </c>
      <c r="BZ11" s="18">
        <f>=BZ10*(BZ47*BZ48*(1-BZ29)*(1-BZ46))</f>
        <v>4656.454475663422</v>
      </c>
      <c r="CA11" s="18">
        <f>=CA10*(CA47*CA48*(1-CA29)*(1-CA46))</f>
        <v>4603.836540088426</v>
      </c>
      <c r="CB11" s="18">
        <f>=CB10*(CB47*CB48*(1-CB29)*(1-CB46))</f>
        <v>4551.813187185428</v>
      </c>
      <c r="CC11" s="18">
        <f>=CC10*(CC47*CC48*(1-CC29)*(1-CC46))</f>
        <v>4500.377698170232</v>
      </c>
      <c r="CD11" s="18">
        <f>=CD10*(CD47*CD48*(1-CD29)*(1-CD46))</f>
        <v>4441.87278809402</v>
      </c>
      <c r="CE11" s="18">
        <f>=CE10*(CE47*CE48*(1-CE29)*(1-CE46))</f>
        <v>4384.128441848796</v>
      </c>
      <c r="CF11" s="18">
        <f>=CF10*(CF47*CF48*(1-CF29)*(1-CF46))</f>
        <v>4327.134772104762</v>
      </c>
      <c r="CG11" s="18">
        <f>=CG10*(CG47*CG48*(1-CG29)*(1-CG46))</f>
        <v>4270.882020067401</v>
      </c>
      <c r="CH11" s="18">
        <f>=CH10*(CH47*CH48*(1-CH29)*(1-CH46))</f>
        <v>4215.360553806524</v>
      </c>
      <c r="CI11" s="18">
        <f>=CI10*(CI47*CI48*(1-CI29)*(1-CI46))</f>
        <v>4160.56086660704</v>
      </c>
      <c r="CJ11" s="18">
        <f>=CJ10*(CJ47*CJ48*(1-CJ29)*(1-CJ46))</f>
        <v>4106.473575341148</v>
      </c>
      <c r="CK11" s="18">
        <f>=CK10*(CK47*CK48*(1-CK29)*(1-CK46))</f>
        <v>4053.0894188617135</v>
      </c>
      <c r="CL11" s="18">
        <f>=CL10*(CL47*CL48*(1-CL29)*(1-CL46))</f>
        <v>4000.399256416511</v>
      </c>
      <c r="CM11" s="18">
        <f>=CM10*(CM47*CM48*(1-CM29)*(1-CM46))</f>
        <v>3948.3940660830963</v>
      </c>
      <c r="CN11" s="18">
        <f>=CN10*(CN47*CN48*(1-CN29)*(1-CN46))</f>
        <v>3897.0649432240157</v>
      </c>
      <c r="CO11" s="18">
        <f>=CO10*(CO47*CO48*(1-CO29)*(1-CO46))</f>
        <v>3846.4030989621033</v>
      </c>
      <c r="CP11" s="18">
        <f>=CP10*(CP47*CP48*(1-CP29)*(1-CP46))</f>
        <v>3796.399858675597</v>
      </c>
      <c r="CQ11" s="18">
        <f>=CQ10*(CQ47*CQ48*(1-CQ29)*(1-CQ46))</f>
        <v>3747.046660512814</v>
      </c>
      <c r="CR11" s="18">
        <f>=CR10*(CR47*CR48*(1-CR29)*(1-CR46))</f>
        <v>3698.3350539261487</v>
      </c>
      <c r="CS11" s="18">
        <f>=CS10*(CS47*CS48*(1-CS29)*(1-CS46))</f>
        <v>3650.2566982251087</v>
      </c>
      <c r="CT11" s="18">
        <f>=CT10*(CT47*CT48*(1-CT29)*(1-CT46))</f>
        <v>3602.8033611481824</v>
      </c>
      <c r="CU11" s="18">
        <f>=CU10*(CU47*CU48*(1-CU29)*(1-CU46))</f>
        <v>3555.966917453256</v>
      </c>
      <c r="CV11" s="18">
        <f>=CV10*(CV47*CV48*(1-CV29)*(1-CV46))</f>
        <v>3509.7393475263634</v>
      </c>
      <c r="CW11" s="18">
        <f>=CW10*(CW47*CW48*(1-CW29)*(1-CW46))</f>
        <v>3464.112736008521</v>
      </c>
      <c r="CX11" s="18">
        <f>=CX10*(CX47*CX48*(1-CX29)*(1-CX46))</f>
        <v>3419.07927044041</v>
      </c>
      <c r="CY11" s="18">
        <f>=CY10*(CY47*CY48*(1-CY29)*(1-CY46))</f>
        <v>3374.6312399246845</v>
      </c>
      <c r="CZ11" s="18">
        <f>=CZ10*(CZ47*CZ48*(1-CZ29)*(1-CZ46))</f>
        <v>3330.761033805664</v>
      </c>
      <c r="DA11" s="18">
        <f>=DA10*(DA47*DA48*(1-DA29)*(1-DA46))</f>
        <v>3287.4611403661897</v>
      </c>
      <c r="DB11" s="18">
        <f>=DB10*(DB47*DB48*(1-DB29)*(1-DB46))</f>
        <v>3244.7241455414296</v>
      </c>
    </row>
    <row r="12" spans="1:106" x14ac:dyDescent="0.25">
      <c r="A12" s="16" t="s">
        <v>246</v>
      </c>
      <c r="C12" s="28">
        <f>=IFERROR(C10-C7,0)</f>
        <v>0</v>
      </c>
      <c r="D12" s="28">
        <f>=IFERROR(D10-D7,0)</f>
        <v>0</v>
      </c>
      <c r="E12" s="28">
        <f>=IFERROR(E10-E7,0)</f>
        <v>0</v>
      </c>
      <c r="F12" s="28">
        <f>=IFERROR(F10-F7,0)</f>
        <v>0</v>
      </c>
      <c r="G12" s="28">
        <f>=IFERROR(G10-G7,0)</f>
        <v>0</v>
      </c>
      <c r="H12" s="28">
        <f>=IFERROR(H10-H7,0)</f>
        <v>0</v>
      </c>
      <c r="I12" s="28">
        <f>=IFERROR(I10-I7,0)</f>
        <v>0</v>
      </c>
      <c r="J12" s="28">
        <f>=IFERROR(J10-J7,0)</f>
        <v>0</v>
      </c>
      <c r="K12" s="28">
        <f>=IFERROR(K10-K7,0)</f>
        <v>0</v>
      </c>
      <c r="L12" s="28">
        <f>=IFERROR(L10-L7,0)</f>
        <v>0</v>
      </c>
      <c r="M12" s="28">
        <f>=IFERROR(M10-M7,0)</f>
        <v>0</v>
      </c>
      <c r="N12" s="28">
        <f>=IFERROR(N10-N7,0)</f>
        <v>0</v>
      </c>
      <c r="O12" s="28">
        <f>=IFERROR(O10-O7,0)</f>
        <v>0</v>
      </c>
      <c r="P12" s="28">
        <f>=IFERROR(P10-P7,0)</f>
        <v>0</v>
      </c>
      <c r="Q12" s="28">
        <f>=IFERROR(Q10-Q7,0)</f>
        <v>0</v>
      </c>
      <c r="R12" s="28">
        <f>=IFERROR(R10-R7,0)</f>
        <v>0</v>
      </c>
      <c r="S12" s="28">
        <f>=IFERROR(S10-S7,0)</f>
        <v>0</v>
      </c>
      <c r="T12" s="28">
        <f>=IFERROR(T10-T7,0)</f>
        <v>0</v>
      </c>
      <c r="U12" s="28">
        <f>=IFERROR(U10-U7,0)</f>
        <v>0</v>
      </c>
      <c r="V12" s="28">
        <f>=IFERROR(V10-V7,0)</f>
        <v>0</v>
      </c>
      <c r="W12" s="28">
        <f>=IFERROR(W10-W7,0)</f>
        <v>0</v>
      </c>
      <c r="X12" s="28">
        <f>=IFERROR(X10-X7,0)</f>
        <v>0</v>
      </c>
      <c r="Y12" s="28">
        <f>=IFERROR(Y10-Y7,0)</f>
        <v>0</v>
      </c>
      <c r="Z12" s="28">
        <f>=IFERROR(Z10-Z7,0)</f>
        <v>0</v>
      </c>
      <c r="AA12" s="28">
        <f>=IFERROR(AA10-AA7,0)</f>
        <v>0</v>
      </c>
      <c r="AB12" s="28">
        <f>=IFERROR(AB10-AB7,0)</f>
        <v>0</v>
      </c>
      <c r="AC12" s="28">
        <f>=IFERROR(AC10-AC7,0)</f>
        <v>0</v>
      </c>
      <c r="AD12" s="28">
        <f>=IFERROR(AD10-AD7,0)</f>
        <v>0</v>
      </c>
      <c r="AE12" s="28">
        <f>=IFERROR(AE10-AE7,0)</f>
        <v>0</v>
      </c>
      <c r="AF12" s="28">
        <f>=IFERROR(AF10-AF7,0)</f>
        <v>0</v>
      </c>
      <c r="AG12" s="19">
        <f>=IFERROR(AG10-AG7,0)</f>
        <v>60</v>
      </c>
      <c r="AH12" s="19">
        <f>=IFERROR(AH10-AH7,0)</f>
        <v>3</v>
      </c>
      <c r="AI12" s="19">
        <f>=IFERROR(AI10-AI7,0)</f>
        <v>2</v>
      </c>
      <c r="AJ12" s="19">
        <v>2</v>
      </c>
      <c r="AK12" s="19">
        <f>=IFERROR(AK10-AK7,0)</f>
        <v>5</v>
      </c>
      <c r="AL12" s="19">
        <f>=IFERROR(AL10-AL7,0)</f>
        <v>6</v>
      </c>
      <c r="AM12" s="19">
        <f>=IFERROR(AM10-AM7,0)</f>
        <v>5</v>
      </c>
      <c r="AN12" s="19">
        <f>=IFERROR(AN10-AN7,0)</f>
        <v>4</v>
      </c>
      <c r="AO12" s="19">
        <f>=IFERROR(AO10-AO7,0)</f>
        <v>36</v>
      </c>
      <c r="AP12" s="19">
        <f>=IFERROR(AP10-AP7,0)</f>
        <v>35</v>
      </c>
      <c r="AQ12" s="19">
        <f>=IFERROR(AQ10-AQ7,0)</f>
        <v>27</v>
      </c>
      <c r="AR12" s="19">
        <f>=IFERROR(AR10-AR7,0)</f>
        <v>31</v>
      </c>
      <c r="AS12" s="19">
        <f>=IFERROR(AS10-AS7,0)</f>
        <v>31</v>
      </c>
      <c r="AT12" s="19">
        <f>=IFERROR(AT10-AT7,0)</f>
        <v>29</v>
      </c>
      <c r="AU12" s="19">
        <f>=IFERROR(AU10-AU7,0)</f>
        <v>28</v>
      </c>
      <c r="AV12" s="19">
        <f>=IFERROR(AV10-AV7,0)</f>
        <v>31</v>
      </c>
      <c r="AW12" s="19">
        <f>=IFERROR(AW10-AW7,0)</f>
        <v>30</v>
      </c>
      <c r="AX12" s="19">
        <f>=IFERROR(AX10-AX7,0)</f>
        <v>30</v>
      </c>
      <c r="AY12" s="19">
        <f>=IFERROR(AY10-AY7,0)</f>
        <v>5</v>
      </c>
      <c r="AZ12" s="19">
        <f>=IFERROR(AZ10-AZ7,0)</f>
        <v>2</v>
      </c>
      <c r="BA12" s="19">
        <f>=IFERROR(BA10-BA7,0)</f>
        <v>1</v>
      </c>
      <c r="BB12" s="19">
        <f>=IFERROR(BB10-BB7,0)</f>
        <v>1</v>
      </c>
      <c r="BC12" s="19">
        <f>=IFERROR(BC10-BC7,0)</f>
        <v>9</v>
      </c>
      <c r="BD12" s="19">
        <f>=IFERROR(BD10-BD7,0)</f>
        <v>11</v>
      </c>
      <c r="BE12" s="19">
        <f>=IFERROR(BE10-BE7,0)</f>
        <v>10</v>
      </c>
      <c r="BF12" s="19">
        <f>=IFERROR(BF10-BF7,0)</f>
        <v>13</v>
      </c>
      <c r="BG12" s="19">
        <f>=IFERROR(BG10-BG7,0)</f>
        <v>11</v>
      </c>
      <c r="BH12" s="19">
        <f>=IFERROR(BH10-BH7,0)</f>
        <v>-20</v>
      </c>
      <c r="BI12" s="19">
        <f>=IFERROR(BI10-BI7,0)</f>
        <v>-20</v>
      </c>
      <c r="BJ12" s="19">
        <f>=IFERROR(BJ10-BJ7,0)</f>
        <v>-20</v>
      </c>
      <c r="BK12" s="19">
        <f>=IFERROR(BK10-BK7,0)</f>
        <v>-21</v>
      </c>
      <c r="BL12" s="19">
        <f>=IFERROR(BL10-BL7,0)</f>
        <v>3</v>
      </c>
      <c r="BM12" s="19">
        <f>=IFERROR(BM10-BM7,0)</f>
        <v>7</v>
      </c>
      <c r="BN12" s="19">
        <f>=IFERROR(BN10-BN7,0)</f>
        <v>5.4519</v>
      </c>
      <c r="BO12" s="19">
        <f>=IFERROR(BO10-BO7,0)</f>
        <v>3.92129353</v>
      </c>
      <c r="BP12" s="19">
        <f>=IFERROR(BP10-BP7,0)</f>
        <v>2.407982913111</v>
      </c>
      <c r="BQ12" s="19">
        <f>=IFERROR(BQ10-BQ7,0)</f>
        <v>1.216311066893</v>
      </c>
      <c r="BR12" s="19">
        <f>=IFERROR(BR10-BR7,0)</f>
        <v>2.03536426729096</v>
      </c>
      <c r="BS12" s="19">
        <f>=IFERROR(BS10-BS7,0)</f>
        <v>0.86504598888538</v>
      </c>
      <c r="BT12" s="19">
        <f>=IFERROR(BT10-BT7,0)</f>
        <v>-0.29473942501458</v>
      </c>
      <c r="BU12" s="19">
        <f>=IFERROR(BU10-BU7,0)</f>
        <v>1.55591322981056</v>
      </c>
      <c r="BV12" s="19">
        <f>=IFERROR(BV10-BV7,0)</f>
        <v>0.09193141031372</v>
      </c>
      <c r="BW12" s="19">
        <f>=IFERROR(BW10-BW7,0)</f>
        <v>-1.35550741462282</v>
      </c>
      <c r="BX12" s="19">
        <f>=IFERROR(BX10-BX7,0)</f>
        <v>-2.78659018083758</v>
      </c>
      <c r="BY12" s="19">
        <f>=IFERROR(BY10-BY7,0)</f>
        <v>-4.2015017117941</v>
      </c>
      <c r="BZ12" s="19">
        <f>=IFERROR(BZ10-BZ7,0)</f>
        <v>-0.60042474245082</v>
      </c>
      <c r="CA12" s="19">
        <f>=IFERROR(CA10-CA7,0)</f>
        <v>-2.04003994286112</v>
      </c>
      <c r="CB12" s="19">
        <f>=IFERROR(CB10-CB7,0)</f>
        <v>-3.46338749150678</v>
      </c>
      <c r="CC12" s="19">
        <f>=IFERROR(CC10-CC7,0)</f>
        <v>123.12934878714726</v>
      </c>
      <c r="CD12" s="19">
        <f>=IFERROR(CD10-CD7,0)</f>
        <v>121.52866725291435</v>
      </c>
      <c r="CE12" s="19">
        <f>=IFERROR(CE10-CE7,0)</f>
        <v>119.94879457862643</v>
      </c>
      <c r="CF12" s="19">
        <f>=IFERROR(CF10-CF7,0)</f>
        <v>118.3894602491043</v>
      </c>
      <c r="CG12" s="19">
        <f>=IFERROR(CG10-CG7,0)</f>
        <v>116.85039726586594</v>
      </c>
      <c r="CH12" s="19">
        <f>=IFERROR(CH10-CH7,0)</f>
        <v>115.3313421014097</v>
      </c>
      <c r="CI12" s="19">
        <f>=IFERROR(CI10-CI7,0)</f>
        <v>113.83203465409136</v>
      </c>
      <c r="CJ12" s="19">
        <f>=IFERROR(CJ10-CJ7,0)</f>
        <v>112.35221820358818</v>
      </c>
      <c r="CK12" s="19">
        <f>=IFERROR(CK10-CK7,0)</f>
        <v>110.89163936694155</v>
      </c>
      <c r="CL12" s="19">
        <f>=IFERROR(CL10-CL7,0)</f>
        <v>109.4500480551713</v>
      </c>
      <c r="CM12" s="19">
        <f>=IFERROR(CM10-CM7,0)</f>
        <v>108.02719743045407</v>
      </c>
      <c r="CN12" s="19">
        <f>=IFERROR(CN10-CN7,0)</f>
        <v>106.62284386385817</v>
      </c>
      <c r="CO12" s="19">
        <f>=IFERROR(CO10-CO7,0)</f>
        <v>105.236746893628</v>
      </c>
      <c r="CP12" s="19">
        <f>=IFERROR(CP10-CP7,0)</f>
        <v>103.86866918401084</v>
      </c>
      <c r="CQ12" s="19">
        <f>=IFERROR(CQ10-CQ7,0)</f>
        <v>102.51837648461871</v>
      </c>
      <c r="CR12" s="19">
        <f>=IFERROR(CR10-CR7,0)</f>
        <v>101.18563759031868</v>
      </c>
      <c r="CS12" s="19">
        <f>=IFERROR(CS10-CS7,0)</f>
        <v>99.87022430164455</v>
      </c>
      <c r="CT12" s="19">
        <f>=IFERROR(CT10-CT7,0)</f>
        <v>98.57191138572318</v>
      </c>
      <c r="CU12" s="19">
        <f>=IFERROR(CU10-CU7,0)</f>
        <v>97.29047653770878</v>
      </c>
      <c r="CV12" s="19">
        <f>=IFERROR(CV10-CV7,0)</f>
        <v>96.02570034271857</v>
      </c>
      <c r="CW12" s="19">
        <f>=IFERROR(CW10-CW7,0)</f>
        <v>94.77736623826323</v>
      </c>
      <c r="CX12" s="19">
        <f>=IFERROR(CX10-CX7,0)</f>
        <v>93.5452604771658</v>
      </c>
      <c r="CY12" s="19">
        <f>=IFERROR(CY10-CY7,0)</f>
        <v>92.32917209096264</v>
      </c>
      <c r="CZ12" s="19">
        <f>=IFERROR(CZ10-CZ7,0)</f>
        <v>91.12889285378012</v>
      </c>
      <c r="DA12" s="19">
        <f>=IFERROR(DA10-DA7,0)</f>
        <v>89.94421724668098</v>
      </c>
      <c r="DB12" s="19">
        <f>=IFERROR(DB10-DB7,0)</f>
        <v>88.77494242247413</v>
      </c>
    </row>
    <row r="13" ht="15" customHeight="1" spans="1:106" x14ac:dyDescent="0.25">
      <c r="A13" s="20" t="s">
        <v>247</v>
      </c>
      <c r="B13" s="17"/>
      <c r="C13" s="18">
        <f>=IFERROR(C10-C9,0)</f>
        <v>0</v>
      </c>
      <c r="D13" s="18">
        <f>=IFERROR(D10-D9,0)</f>
        <v>0</v>
      </c>
      <c r="E13" s="18">
        <f>=IFERROR(E10-E9,0)</f>
        <v>0</v>
      </c>
      <c r="F13" s="18">
        <f>=IFERROR(F10-F9,0)</f>
        <v>0</v>
      </c>
      <c r="G13" s="18">
        <f>=IFERROR(G10-G9,0)</f>
        <v>0</v>
      </c>
      <c r="H13" s="18">
        <f>=IFERROR(H10-H9,0)</f>
        <v>0</v>
      </c>
      <c r="I13" s="18">
        <f>=IFERROR(I10-I9,0)</f>
        <v>0</v>
      </c>
      <c r="J13" s="18">
        <f>=IFERROR(J10-J9,0)</f>
        <v>0</v>
      </c>
      <c r="K13" s="18">
        <f>=IFERROR(K10-K9,0)</f>
        <v>0</v>
      </c>
      <c r="L13" s="18">
        <f>=IFERROR(L10-L9,0)</f>
        <v>0</v>
      </c>
      <c r="M13" s="18">
        <f>=IFERROR(M10-M9,0)</f>
        <v>0</v>
      </c>
      <c r="N13" s="18">
        <f>=IFERROR(N10-N9,0)</f>
        <v>0</v>
      </c>
      <c r="O13" s="18">
        <f>=IFERROR(O10-O9,0)</f>
        <v>0</v>
      </c>
      <c r="P13" s="18">
        <f>=IFERROR(P10-P9,0)</f>
        <v>0</v>
      </c>
      <c r="Q13" s="18">
        <f>=IFERROR(Q10-Q9,0)</f>
        <v>0</v>
      </c>
      <c r="R13" s="18">
        <f>=IFERROR(R10-R9,0)</f>
        <v>0</v>
      </c>
      <c r="S13" s="18">
        <f>=IFERROR(S10-S9,0)</f>
        <v>0</v>
      </c>
      <c r="T13" s="18">
        <f>=IFERROR(T10-T9,0)</f>
        <v>0</v>
      </c>
      <c r="U13" s="18">
        <f>=IFERROR(U10-U9,0)</f>
        <v>0</v>
      </c>
      <c r="V13" s="18">
        <f>=IFERROR(V10-V9,0)</f>
        <v>0</v>
      </c>
      <c r="W13" s="18">
        <f>=IFERROR(W10-W9,0)</f>
        <v>0</v>
      </c>
      <c r="X13" s="18">
        <f>=IFERROR(X10-X9,0)</f>
        <v>0</v>
      </c>
      <c r="Y13" s="18">
        <f>=IFERROR(Y10-Y9,0)</f>
        <v>0</v>
      </c>
      <c r="Z13" s="18">
        <f>=IFERROR(Z10-Z9,0)</f>
        <v>0</v>
      </c>
      <c r="AA13" s="18">
        <f>=IFERROR(AA10-AA9,0)</f>
        <v>0</v>
      </c>
      <c r="AB13" s="18">
        <f>=IFERROR(AB10-AB9,0)</f>
        <v>0</v>
      </c>
      <c r="AC13" s="18">
        <f>=IFERROR(AC10-AC9,0)</f>
        <v>0</v>
      </c>
      <c r="AD13" s="18">
        <f>=IFERROR(AD10-AD9,0)</f>
        <v>0</v>
      </c>
      <c r="AE13" s="18">
        <f>=IFERROR(AE10-AE9,0)</f>
        <v>0</v>
      </c>
      <c r="AF13" s="18">
        <f>=IFERROR(AF10-AF9,0)</f>
        <v>0</v>
      </c>
      <c r="AG13" s="21">
        <f>=IFERROR(AG10-AG9,0)</f>
        <v>60</v>
      </c>
      <c r="AH13" s="21">
        <f>=IFERROR(AH10-AH9,0)</f>
        <v>3</v>
      </c>
      <c r="AI13" s="21">
        <f>=IFERROR(AI10-AI9,0)</f>
        <v>2</v>
      </c>
      <c r="AJ13" s="21">
        <f>=IFERROR(AJ10-AJ9,0)</f>
        <v>2</v>
      </c>
      <c r="AK13" s="21">
        <f>=IFERROR(AK10-AK9,0)</f>
        <v>5</v>
      </c>
      <c r="AL13" s="21">
        <f>=IFERROR(AL10-AL9,0)</f>
        <v>6</v>
      </c>
      <c r="AM13" s="21">
        <f>=IFERROR(AM10-AM9,0)</f>
        <v>5</v>
      </c>
      <c r="AN13" s="21">
        <f>=IFERROR(AN10-AN9,0)</f>
        <v>4</v>
      </c>
      <c r="AO13" s="21">
        <f>=IFERROR(AO10-AO9,0)</f>
        <v>38</v>
      </c>
      <c r="AP13" s="21">
        <f>=IFERROR(AP10-AP9,0)</f>
        <v>38</v>
      </c>
      <c r="AQ13" s="21">
        <f>=IFERROR(AQ10-AQ9,0)</f>
        <v>30</v>
      </c>
      <c r="AR13" s="21">
        <f>=IFERROR(AR10-AR9,0)</f>
        <v>35</v>
      </c>
      <c r="AS13" s="21">
        <f>=IFERROR(AS10-AS9,0)</f>
        <v>35</v>
      </c>
      <c r="AT13" s="21">
        <f>=IFERROR(AT10-AT9,0)</f>
        <v>33</v>
      </c>
      <c r="AU13" s="21">
        <f>=IFERROR(AU10-AU9,0)</f>
        <v>31</v>
      </c>
      <c r="AV13" s="21">
        <f>=IFERROR(AV10-AV9,0)</f>
        <v>34</v>
      </c>
      <c r="AW13" s="21">
        <f>=IFERROR(AW10-AW9,0)</f>
        <v>33</v>
      </c>
      <c r="AX13" s="21">
        <f>=IFERROR(AX10-AX9,0)</f>
        <v>33</v>
      </c>
      <c r="AY13" s="21">
        <f>=IFERROR(AY10-AY9,0)</f>
        <v>8</v>
      </c>
      <c r="AZ13" s="21">
        <f>=IFERROR(AZ10-AZ9,0)</f>
        <v>5</v>
      </c>
      <c r="BA13" s="21">
        <f>=IFERROR(BA10-BA9,0)</f>
        <v>4</v>
      </c>
      <c r="BB13" s="21">
        <f>=IFERROR(BB10-BB9,0)</f>
        <v>4</v>
      </c>
      <c r="BC13" s="21">
        <f>=IFERROR(BC10-BC9,0)</f>
        <v>12</v>
      </c>
      <c r="BD13" s="21">
        <f>=IFERROR(BD10-BD9,0)</f>
        <v>14</v>
      </c>
      <c r="BE13" s="21">
        <f>=IFERROR(BE10-BE9,0)</f>
        <v>13</v>
      </c>
      <c r="BF13" s="21">
        <f>=IFERROR(BF10-BF9,0)</f>
        <v>16</v>
      </c>
      <c r="BG13" s="21">
        <f>=IFERROR(BG10-BG9,0)</f>
        <v>14</v>
      </c>
      <c r="BH13" s="21">
        <f>=IFERROR(BH10-BH9,0)</f>
        <v>-18</v>
      </c>
      <c r="BI13" s="21">
        <f>=IFERROR(BI10-BI9,0)</f>
        <v>-18</v>
      </c>
      <c r="BJ13" s="21">
        <f>=IFERROR(BJ10-BJ9,0)</f>
        <v>-18</v>
      </c>
      <c r="BK13" s="21">
        <f>=IFERROR(BK10-BK9,0)</f>
        <v>-19</v>
      </c>
      <c r="BL13" s="21">
        <f>=IFERROR(BL10-BL9,0)</f>
        <v>6</v>
      </c>
      <c r="BM13" s="21">
        <f>=IFERROR(BM10-BM9,0)</f>
        <v>10</v>
      </c>
      <c r="BN13" s="21">
        <f>=IFERROR(BN10-BN9,0)</f>
        <v>8.4519</v>
      </c>
      <c r="BO13" s="21">
        <f>=IFERROR(BO10-BO9,0)</f>
        <v>6.92129353</v>
      </c>
      <c r="BP13" s="21">
        <f>=IFERROR(BP10-BP9,0)</f>
        <v>2.407982913111</v>
      </c>
      <c r="BQ13" s="21">
        <f>=IFERROR(BQ10-BQ9,0)</f>
        <v>1.216311066893</v>
      </c>
      <c r="BR13" s="21">
        <f>=IFERROR(BR10-BR9,0)</f>
        <v>2.03536426729096</v>
      </c>
      <c r="BS13" s="21">
        <f>=IFERROR(BS10-BS9,0)</f>
        <v>0.86504598888538</v>
      </c>
      <c r="BT13" s="21">
        <f>=IFERROR(BT10-BT9,0)</f>
        <v>-0.29473942501458</v>
      </c>
      <c r="BU13" s="21">
        <f>=IFERROR(BU10-BU9,0)</f>
        <v>1.55591322981056</v>
      </c>
      <c r="BV13" s="21">
        <f>=IFERROR(BV10-BV9,0)</f>
        <v>0.09193141031372</v>
      </c>
      <c r="BW13" s="21">
        <f>=IFERROR(BW10-BW9,0)</f>
        <v>-1.35550741462282</v>
      </c>
      <c r="BX13" s="21">
        <f>=IFERROR(BX10-BX9,0)</f>
        <v>-2.78659018083758</v>
      </c>
      <c r="BY13" s="21">
        <f>=IFERROR(BY10-BY9,0)</f>
        <v>-4.2015017117941</v>
      </c>
      <c r="BZ13" s="21">
        <f>=IFERROR(BZ10-BZ9,0)</f>
        <v>-0.60042474245082</v>
      </c>
      <c r="CA13" s="21">
        <f>=IFERROR(CA10-CA9,0)</f>
        <v>-2.04003994286112</v>
      </c>
      <c r="CB13" s="21">
        <f>=IFERROR(CB10-CB9,0)</f>
        <v>-3.46338749150678</v>
      </c>
      <c r="CC13" s="21">
        <f>=IFERROR(CC10-CC9,0)</f>
        <v>123.12934878714726</v>
      </c>
      <c r="CD13" s="21">
        <f>=IFERROR(CD10-CD9,0)</f>
        <v>121.52866725291435</v>
      </c>
      <c r="CE13" s="21">
        <f>=IFERROR(CE10-CE9,0)</f>
        <v>119.94879457862643</v>
      </c>
      <c r="CF13" s="21">
        <f>=IFERROR(CF10-CF9,0)</f>
        <v>118.3894602491043</v>
      </c>
      <c r="CG13" s="21">
        <f>=IFERROR(CG10-CG9,0)</f>
        <v>116.85039726586594</v>
      </c>
      <c r="CH13" s="21">
        <f>=IFERROR(CH10-CH9,0)</f>
        <v>115.3313421014097</v>
      </c>
      <c r="CI13" s="21">
        <f>=IFERROR(CI10-CI9,0)</f>
        <v>113.83203465409136</v>
      </c>
      <c r="CJ13" s="21">
        <f>=IFERROR(CJ10-CJ9,0)</f>
        <v>112.35221820358818</v>
      </c>
      <c r="CK13" s="21">
        <f>=IFERROR(CK10-CK9,0)</f>
        <v>110.89163936694155</v>
      </c>
      <c r="CL13" s="21">
        <f>=IFERROR(CL10-CL9,0)</f>
        <v>109.4500480551713</v>
      </c>
      <c r="CM13" s="21">
        <f>=IFERROR(CM10-CM9,0)</f>
        <v>108.02719743045407</v>
      </c>
      <c r="CN13" s="21">
        <f>=IFERROR(CN10-CN9,0)</f>
        <v>106.62284386385817</v>
      </c>
      <c r="CO13" s="21">
        <f>=IFERROR(CO10-CO9,0)</f>
        <v>105.236746893628</v>
      </c>
      <c r="CP13" s="21">
        <f>=IFERROR(CP10-CP9,0)</f>
        <v>103.86866918401084</v>
      </c>
      <c r="CQ13" s="21">
        <f>=IFERROR(CQ10-CQ9,0)</f>
        <v>102.51837648461871</v>
      </c>
      <c r="CR13" s="21">
        <f>=IFERROR(CR10-CR9,0)</f>
        <v>101.18563759031868</v>
      </c>
      <c r="CS13" s="21">
        <f>=IFERROR(CS10-CS9,0)</f>
        <v>99.87022430164455</v>
      </c>
      <c r="CT13" s="21">
        <f>=IFERROR(CT10-CT9,0)</f>
        <v>98.57191138572318</v>
      </c>
      <c r="CU13" s="21">
        <f>=IFERROR(CU10-CU9,0)</f>
        <v>97.29047653770878</v>
      </c>
      <c r="CV13" s="21">
        <f>=IFERROR(CV10-CV9,0)</f>
        <v>96.02570034271857</v>
      </c>
      <c r="CW13" s="21">
        <f>=IFERROR(CW10-CW9,0)</f>
        <v>94.77736623826323</v>
      </c>
      <c r="CX13" s="21">
        <f>=IFERROR(CX10-CX9,0)</f>
        <v>93.5452604771658</v>
      </c>
      <c r="CY13" s="21">
        <f>=IFERROR(CY10-CY9,0)</f>
        <v>92.32917209096264</v>
      </c>
      <c r="CZ13" s="21">
        <f>=IFERROR(CZ10-CZ9,0)</f>
        <v>91.12889285378012</v>
      </c>
      <c r="DA13" s="21">
        <f>=IFERROR(DA10-DA9,0)</f>
        <v>89.94421724668098</v>
      </c>
      <c r="DB13" s="21">
        <f>=IFERROR(DB10-DB9,0)</f>
        <v>88.77494242247413</v>
      </c>
    </row>
    <row r="14" ht="15" customHeight="1" spans="1:106" x14ac:dyDescent="0.25">
      <c r="A14" s="22" t="s">
        <v>248</v>
      </c>
      <c r="B14" s="17"/>
      <c r="C14" s="18">
        <f>=Round(C11-C8,0)</f>
        <v>0</v>
      </c>
      <c r="D14" s="18">
        <f>=Round(D11-D8,0)</f>
        <v>0</v>
      </c>
      <c r="E14" s="18">
        <f>=Round(E11-E8,0)</f>
        <v>0</v>
      </c>
      <c r="F14" s="18">
        <f>=Round(F11-F8,0)</f>
        <v>0</v>
      </c>
      <c r="G14" s="18">
        <f>=Round(G11-G8,0)</f>
        <v>0</v>
      </c>
      <c r="H14" s="18">
        <f>=Round(H11-H8,0)</f>
        <v>0</v>
      </c>
      <c r="I14" s="18">
        <f>=Round(I11-I8,0)</f>
        <v>0</v>
      </c>
      <c r="J14" s="18">
        <f>=Round(J11-J8,0)</f>
        <v>0</v>
      </c>
      <c r="K14" s="18">
        <f>=Round(K11-K8,0)</f>
        <v>0</v>
      </c>
      <c r="L14" s="18">
        <f>=Round(L11-L8,0)</f>
        <v>0</v>
      </c>
      <c r="M14" s="18">
        <f>=Round(M11-M8,0)</f>
        <v>0</v>
      </c>
      <c r="N14" s="18">
        <f>=Round(N11-N8,0)</f>
        <v>0</v>
      </c>
      <c r="O14" s="18">
        <f>=Round(O11-O8,0)</f>
        <v>0</v>
      </c>
      <c r="P14" s="18">
        <f>=Round(P11-P8,0)</f>
        <v>0</v>
      </c>
      <c r="Q14" s="18">
        <f>=Round(Q11-Q8,0)</f>
        <v>0</v>
      </c>
      <c r="R14" s="18">
        <f>=Round(R11-R8,0)</f>
        <v>0</v>
      </c>
      <c r="S14" s="18">
        <f>=Round(S11-S8,0)</f>
        <v>0</v>
      </c>
      <c r="T14" s="18">
        <f>=Round(T11-T8,0)</f>
        <v>0</v>
      </c>
      <c r="U14" s="18">
        <f>=Round(U11-U8,0)</f>
        <v>0</v>
      </c>
      <c r="V14" s="18">
        <f>=Round(V11-V8,0)</f>
        <v>0</v>
      </c>
      <c r="W14" s="18">
        <f>=Round(W11-W8,0)</f>
        <v>0</v>
      </c>
      <c r="X14" s="18">
        <f>=Round(X11-X8,0)</f>
        <v>0</v>
      </c>
      <c r="Y14" s="18">
        <f>=Round(Y11-Y8,0)</f>
        <v>0</v>
      </c>
      <c r="Z14" s="18">
        <f>=Round(Z11-Z8,0)</f>
        <v>0</v>
      </c>
      <c r="AA14" s="18">
        <f>=Round(AA11-AA8,0)</f>
        <v>0</v>
      </c>
      <c r="AB14" s="18">
        <f>=Round(AB11-AB8,0)</f>
        <v>0</v>
      </c>
      <c r="AC14" s="18">
        <f>=Round(AC11-AC8,0)</f>
        <v>0</v>
      </c>
      <c r="AD14" s="18">
        <f>=Round(AD11-AD8,0)</f>
        <v>0</v>
      </c>
      <c r="AE14" s="18">
        <f>=Round(AE11-AE8,0)</f>
        <v>0</v>
      </c>
      <c r="AF14" s="18">
        <f>=Round(AF11-AF8,0)</f>
        <v>0</v>
      </c>
      <c r="AG14" s="18">
        <f>=Round(AG11-AG8,0)</f>
        <v>2193</v>
      </c>
      <c r="AH14" s="18">
        <f>=Round(AH11-AH8,0)</f>
        <v>113</v>
      </c>
      <c r="AI14" s="18">
        <f>=Round(AI11-AI8,0)</f>
        <v>78</v>
      </c>
      <c r="AJ14" s="18">
        <f>=Round(AJ11-AJ8,0)</f>
        <v>78</v>
      </c>
      <c r="AK14" s="18">
        <f>=Round(AK11-AK8,0)</f>
        <v>185</v>
      </c>
      <c r="AL14" s="18">
        <f>=Round(AL11-AL8,0)</f>
        <v>213</v>
      </c>
      <c r="AM14" s="18">
        <f>=Round(AM11-AM8,0)</f>
        <v>177</v>
      </c>
      <c r="AN14" s="18">
        <f>=Round(AN11-AN8,0)</f>
        <v>141</v>
      </c>
      <c r="AO14" s="18">
        <f>=Round(AO11-AO8,0)</f>
        <v>1405</v>
      </c>
      <c r="AP14" s="18">
        <f>=Round(AP11-AP8,0)</f>
        <v>1411</v>
      </c>
      <c r="AQ14" s="18">
        <f>=Round(AQ11-AQ8,0)</f>
        <v>1115</v>
      </c>
      <c r="AR14" s="18">
        <f>=Round(AR11-AR8,0)</f>
        <v>1298</v>
      </c>
      <c r="AS14" s="18">
        <f>=Round(AS11-AS8,0)</f>
        <v>1298</v>
      </c>
      <c r="AT14" s="18">
        <f>=Round(AT11-AT8,0)</f>
        <v>1224</v>
      </c>
      <c r="AU14" s="18">
        <f>=Round(AU11-AU8,0)</f>
        <v>1139</v>
      </c>
      <c r="AV14" s="18">
        <f>=Round(AV11-AV8,0)</f>
        <v>1250</v>
      </c>
      <c r="AW14" s="18">
        <f>=Round(AW11-AW8,0)</f>
        <v>1213</v>
      </c>
      <c r="AX14" s="18">
        <f>=Round(AX11-AX8,0)</f>
        <v>1213</v>
      </c>
      <c r="AY14" s="18">
        <f>=Round(AY11-AY8,0)</f>
        <v>287</v>
      </c>
      <c r="AZ14" s="18">
        <f>=Round(AZ11-AZ8,0)</f>
        <v>178</v>
      </c>
      <c r="BA14" s="18">
        <f>=Round(BA11-BA8,0)</f>
        <v>141</v>
      </c>
      <c r="BB14" s="18">
        <f>=Round(BB11-BB8,0)</f>
        <v>141</v>
      </c>
      <c r="BC14" s="18">
        <f>=Round(BC11-BC8,0)</f>
        <v>423</v>
      </c>
      <c r="BD14" s="18">
        <f>=Round(BD11-BD8,0)</f>
        <v>496</v>
      </c>
      <c r="BE14" s="18">
        <f>=Round(BE11-BE8,0)</f>
        <v>459</v>
      </c>
      <c r="BF14" s="18">
        <f>=Round(BF11-BF8,0)</f>
        <v>569</v>
      </c>
      <c r="BG14" s="18">
        <f>=Round(BG11-BG8,0)</f>
        <v>500</v>
      </c>
      <c r="BH14" s="18">
        <f>=Round(BH11-BH8,0)</f>
        <v>-642</v>
      </c>
      <c r="BI14" s="18">
        <f>=Round(BI11-BI8,0)</f>
        <v>-642</v>
      </c>
      <c r="BJ14" s="18">
        <f>=Round(BJ11-BJ8,0)</f>
        <v>-642</v>
      </c>
      <c r="BK14" s="18">
        <f>=Round(BK11-BK8,0)</f>
        <v>-679</v>
      </c>
      <c r="BL14" s="18">
        <f>=Round(BL11-BL8,0)</f>
        <v>237</v>
      </c>
      <c r="BM14" s="18">
        <f>=Round(BM11-BM8,0)</f>
        <v>382</v>
      </c>
      <c r="BN14" s="18">
        <f>=Round(BN11-BN8,0)</f>
        <v>324</v>
      </c>
      <c r="BO14" s="18">
        <f>=Round(BO11-BO8,0)</f>
        <v>268</v>
      </c>
      <c r="BP14" s="18">
        <f>=Round(BP11-BP8,0)</f>
        <v>88</v>
      </c>
      <c r="BQ14" s="18">
        <f>=Round(BQ11-BQ8,0)</f>
        <v>44</v>
      </c>
      <c r="BR14" s="18">
        <f>=Round(BR11-BR8,0)</f>
        <v>74</v>
      </c>
      <c r="BS14" s="18">
        <f>=Round(BS11-BS8,0)</f>
        <v>32</v>
      </c>
      <c r="BT14" s="18">
        <f>=Round(BT11-BT8,0)</f>
        <v>-11</v>
      </c>
      <c r="BU14" s="18">
        <f>=Round(BU11-BU8,0)</f>
        <v>57</v>
      </c>
      <c r="BV14" s="18">
        <f>=Round(BV11-BV8,0)</f>
        <v>3</v>
      </c>
      <c r="BW14" s="18">
        <f>=Round(BW11-BW8,0)</f>
        <v>-50</v>
      </c>
      <c r="BX14" s="18">
        <f>=Round(BX11-BX8,0)</f>
        <v>-102</v>
      </c>
      <c r="BY14" s="18">
        <f>=Round(BY11-BY8,0)</f>
        <v>-154</v>
      </c>
      <c r="BZ14" s="18">
        <f>=Round(BZ11-BZ8,0)</f>
        <v>-22</v>
      </c>
      <c r="CA14" s="18">
        <f>=Round(CA11-CA8,0)</f>
        <v>-75</v>
      </c>
      <c r="CB14" s="18">
        <f>=Round(CB11-CB8,0)</f>
        <v>-127</v>
      </c>
      <c r="CC14" s="18">
        <f>=Round(CC11-CC8,0)</f>
        <v>4500</v>
      </c>
      <c r="CD14" s="18">
        <f>=Round(CD11-CD8,0)</f>
        <v>4442</v>
      </c>
      <c r="CE14" s="18">
        <f>=Round(CE11-CE8,0)</f>
        <v>4384</v>
      </c>
      <c r="CF14" s="18">
        <f>=Round(CF11-CF8,0)</f>
        <v>4327</v>
      </c>
      <c r="CG14" s="18">
        <f>=Round(CG11-CG8,0)</f>
        <v>4271</v>
      </c>
      <c r="CH14" s="18">
        <f>=Round(CH11-CH8,0)</f>
        <v>4215</v>
      </c>
      <c r="CI14" s="18">
        <f>=Round(CI11-CI8,0)</f>
        <v>4161</v>
      </c>
      <c r="CJ14" s="18">
        <f>=Round(CJ11-CJ8,0)</f>
        <v>4106</v>
      </c>
      <c r="CK14" s="18">
        <f>=Round(CK11-CK8,0)</f>
        <v>4053</v>
      </c>
      <c r="CL14" s="18">
        <f>=Round(CL11-CL8,0)</f>
        <v>4000</v>
      </c>
      <c r="CM14" s="18">
        <f>=Round(CM11-CM8,0)</f>
        <v>3948</v>
      </c>
      <c r="CN14" s="18">
        <f>=Round(CN11-CN8,0)</f>
        <v>3897</v>
      </c>
      <c r="CO14" s="18">
        <f>=Round(CO11-CO8,0)</f>
        <v>3846</v>
      </c>
      <c r="CP14" s="18">
        <f>=Round(CP11-CP8,0)</f>
        <v>3796</v>
      </c>
      <c r="CQ14" s="18">
        <f>=Round(CQ11-CQ8,0)</f>
        <v>3747</v>
      </c>
      <c r="CR14" s="18">
        <f>=Round(CR11-CR8,0)</f>
        <v>3698</v>
      </c>
      <c r="CS14" s="18">
        <f>=Round(CS11-CS8,0)</f>
        <v>3650</v>
      </c>
      <c r="CT14" s="18">
        <f>=Round(CT11-CT8,0)</f>
        <v>3603</v>
      </c>
      <c r="CU14" s="18">
        <f>=Round(CU11-CU8,0)</f>
        <v>3556</v>
      </c>
      <c r="CV14" s="18">
        <f>=Round(CV11-CV8,0)</f>
        <v>3510</v>
      </c>
      <c r="CW14" s="18">
        <f>=Round(CW11-CW8,0)</f>
        <v>3464</v>
      </c>
      <c r="CX14" s="18">
        <f>=Round(CX11-CX8,0)</f>
        <v>3419</v>
      </c>
      <c r="CY14" s="18">
        <f>=Round(CY11-CY8,0)</f>
        <v>3375</v>
      </c>
      <c r="CZ14" s="18">
        <f>=Round(CZ11-CZ8,0)</f>
        <v>3331</v>
      </c>
      <c r="DA14" s="18">
        <f>=Round(DA11-DA8,0)</f>
        <v>3287</v>
      </c>
      <c r="DB14" s="18">
        <f>=Round(DB11-DB8,0)</f>
        <v>3245</v>
      </c>
    </row>
    <row r="15" ht="14" customHeight="1" spans="1:106" x14ac:dyDescent="0.25">
      <c r="A15" s="23" t="s">
        <v>249</v>
      </c>
      <c r="B15" s="24"/>
      <c r="C15" s="25">
        <f>=Round(IFERROR(C10/C7,0),2)</f>
        <v>0</v>
      </c>
      <c r="D15" s="25">
        <f>=Round(IFERROR(D10/D7,0),2)</f>
        <v>0</v>
      </c>
      <c r="E15" s="25">
        <f>=Round(IFERROR(E10/E7,0),2)</f>
        <v>0</v>
      </c>
      <c r="F15" s="25">
        <f>=Round(IFERROR(F10/F7,0),2)</f>
        <v>0</v>
      </c>
      <c r="G15" s="25">
        <f>=Round(IFERROR(G10/G7,0),2)</f>
        <v>0</v>
      </c>
      <c r="H15" s="25">
        <f>=Round(IFERROR(H10/H7,0),2)</f>
        <v>0</v>
      </c>
      <c r="I15" s="25">
        <f>=Round(IFERROR(I10/I7,0),2)</f>
        <v>0</v>
      </c>
      <c r="J15" s="25">
        <f>=Round(IFERROR(J10/J7,0),2)</f>
        <v>0</v>
      </c>
      <c r="K15" s="25">
        <f>=Round(IFERROR(K10/K7,0),2)</f>
        <v>0</v>
      </c>
      <c r="L15" s="25">
        <f>=Round(IFERROR(L10/L7,0),2)</f>
        <v>0</v>
      </c>
      <c r="M15" s="25">
        <f>=Round(IFERROR(M10/M7,0),2)</f>
        <v>0</v>
      </c>
      <c r="N15" s="25">
        <f>=Round(IFERROR(N10/N7,0),2)</f>
        <v>0</v>
      </c>
      <c r="O15" s="25">
        <f>=Round(IFERROR(O10/O7,0),2)</f>
        <v>0</v>
      </c>
      <c r="P15" s="25">
        <f>=Round(IFERROR(P10/P7,0),2)</f>
        <v>0</v>
      </c>
      <c r="Q15" s="25">
        <f>=Round(IFERROR(Q10/Q7,0),2)</f>
        <v>0</v>
      </c>
      <c r="R15" s="25">
        <f>=Round(IFERROR(R10/R7,0),2)</f>
        <v>0</v>
      </c>
      <c r="S15" s="25">
        <f>=Round(IFERROR(S10/S7,0),2)</f>
        <v>0</v>
      </c>
      <c r="T15" s="25">
        <f>=Round(IFERROR(T10/T7,0),2)</f>
        <v>0</v>
      </c>
      <c r="U15" s="25">
        <f>=Round(IFERROR(U10/U7,0),2)</f>
        <v>0</v>
      </c>
      <c r="V15" s="25">
        <f>=Round(IFERROR(V10/V7,0),2)</f>
        <v>0</v>
      </c>
      <c r="W15" s="25">
        <f>=Round(IFERROR(W10/W7,0),2)</f>
        <v>0</v>
      </c>
      <c r="X15" s="25">
        <f>=Round(IFERROR(X10/X7,0),2)</f>
        <v>0</v>
      </c>
      <c r="Y15" s="25">
        <f>=Round(IFERROR(Y10/Y7,0),2)</f>
        <v>0</v>
      </c>
      <c r="Z15" s="25">
        <f>=Round(IFERROR(Z10/Z7,0),2)</f>
        <v>0</v>
      </c>
      <c r="AA15" s="25">
        <f>=Round(IFERROR(AA10/AA7,0),2)</f>
        <v>0</v>
      </c>
      <c r="AB15" s="25">
        <f>=Round(IFERROR(AB10/AB7,0),2)</f>
        <v>0</v>
      </c>
      <c r="AC15" s="25">
        <f>=Round(IFERROR(AC10/AC7,0),2)</f>
        <v>0</v>
      </c>
      <c r="AD15" s="25">
        <f>=Round(IFERROR(AD10/AD7,0),2)</f>
        <v>0</v>
      </c>
      <c r="AE15" s="25">
        <f>=Round(IFERROR(AE10/AE7,0),2)</f>
        <v>0</v>
      </c>
      <c r="AF15" s="25">
        <f>=Round(IFERROR(AF10/AF7,0),2)</f>
        <v>0</v>
      </c>
      <c r="AG15" s="25">
        <f>=Round(IFERROR(AG10/AG7,0),2)</f>
        <v>0</v>
      </c>
      <c r="AH15" s="25">
        <f>=Round(IFERROR(AH10/AH7,0),2)</f>
        <v>1.05</v>
      </c>
      <c r="AI15" s="25">
        <f>=Round(IFERROR(AI10/AI7,0),2)</f>
        <v>1.03</v>
      </c>
      <c r="AJ15" s="25">
        <f>=Round(IFERROR(AJ10/AJ7,0),2)</f>
        <v>1.03</v>
      </c>
      <c r="AK15" s="25">
        <f>=Round(IFERROR(AK10/AK7,0),2)</f>
        <v>1.08</v>
      </c>
      <c r="AL15" s="25">
        <f>=Round(IFERROR(AL10/AL7,0),2)</f>
        <v>1.1</v>
      </c>
      <c r="AM15" s="25">
        <f>=Round(IFERROR(AM10/AM7,0),2)</f>
        <v>1.08</v>
      </c>
      <c r="AN15" s="25">
        <f>=Round(IFERROR(AN10/AN7,0),2)</f>
        <v>1.07</v>
      </c>
      <c r="AO15" s="25">
        <f>=Round(IFERROR(AO10/AO7,0),2)</f>
        <v>1.61</v>
      </c>
      <c r="AP15" s="25">
        <f>=Round(IFERROR(AP10/AP7,0),2)</f>
        <v>1.59</v>
      </c>
      <c r="AQ15" s="25">
        <f>=Round(IFERROR(AQ10/AQ7,0),2)</f>
        <v>1.46</v>
      </c>
      <c r="AR15" s="25">
        <f>=Round(IFERROR(AR10/AR7,0),2)</f>
        <v>1.4</v>
      </c>
      <c r="AS15" s="25">
        <f>=Round(IFERROR(AS10/AS7,0),2)</f>
        <v>1.4</v>
      </c>
      <c r="AT15" s="25">
        <f>=Round(IFERROR(AT10/AT7,0),2)</f>
        <v>1.38</v>
      </c>
      <c r="AU15" s="25">
        <f>=Round(IFERROR(AU10/AU7,0),2)</f>
        <v>1.36</v>
      </c>
      <c r="AV15" s="25">
        <f>=Round(IFERROR(AV10/AV7,0),2)</f>
        <v>1.4</v>
      </c>
      <c r="AW15" s="25">
        <f>=Round(IFERROR(AW10/AW7,0),2)</f>
        <v>1.38</v>
      </c>
      <c r="AX15" s="25">
        <f>=Round(IFERROR(AX10/AX7,0),2)</f>
        <v>1.38</v>
      </c>
      <c r="AY15" s="25">
        <f>=Round(IFERROR(AY10/AY7,0),2)</f>
        <v>1.05</v>
      </c>
      <c r="AZ15" s="25">
        <f>=Round(IFERROR(AZ10/AZ7,0),2)</f>
        <v>1.02</v>
      </c>
      <c r="BA15" s="25">
        <f>=Round(IFERROR(BA10/BA7,0),2)</f>
        <v>1.01</v>
      </c>
      <c r="BB15" s="25">
        <f>=Round(IFERROR(BB10/BB7,0),2)</f>
        <v>1.01</v>
      </c>
      <c r="BC15" s="25">
        <f>=Round(IFERROR(BC10/BC7,0),2)</f>
        <v>1.08</v>
      </c>
      <c r="BD15" s="25">
        <f>=Round(IFERROR(BD10/BD7,0),2)</f>
        <v>1.09</v>
      </c>
      <c r="BE15" s="25">
        <f>=Round(IFERROR(BE10/BE7,0),2)</f>
        <v>1.08</v>
      </c>
      <c r="BF15" s="25">
        <f>=Round(IFERROR(BF10/BF7,0),2)</f>
        <v>1.11</v>
      </c>
      <c r="BG15" s="25">
        <f>=Round(IFERROR(BG10/BG7,0),2)</f>
        <v>1.09</v>
      </c>
      <c r="BH15" s="25">
        <f>=Round(IFERROR(BH10/BH7,0),2)</f>
        <v>0.85</v>
      </c>
      <c r="BI15" s="25">
        <f>=Round(IFERROR(BI10/BI7,0),2)</f>
        <v>0.85</v>
      </c>
      <c r="BJ15" s="25">
        <f>=Round(IFERROR(BJ10/BJ7,0),2)</f>
        <v>0.85</v>
      </c>
      <c r="BK15" s="25">
        <f>=Round(IFERROR(BK10/BK7,0),2)</f>
        <v>0.85</v>
      </c>
      <c r="BL15" s="25">
        <f>=Round(IFERROR(BL10/BL7,0),2)</f>
        <v>1.02</v>
      </c>
      <c r="BM15" s="25">
        <f>=Round(IFERROR(BM10/BM7,0),2)</f>
        <v>1.05</v>
      </c>
      <c r="BN15" s="25">
        <f>=Round(IFERROR(BN10/BN7,0),2)</f>
        <v>1.04</v>
      </c>
      <c r="BO15" s="25">
        <f>=Round(IFERROR(BO10/BO7,0),2)</f>
        <v>1.03</v>
      </c>
      <c r="BP15" s="25">
        <f>=Round(IFERROR(BP10/BP7,0),2)</f>
        <v>1.02</v>
      </c>
      <c r="BQ15" s="25">
        <f>=Round(IFERROR(BQ10/BQ7,0),2)</f>
        <v>1.01</v>
      </c>
      <c r="BR15" s="25">
        <f>=Round(IFERROR(BR10/BR7,0),2)</f>
        <v>1.02</v>
      </c>
      <c r="BS15" s="25">
        <f>=Round(IFERROR(BS10/BS7,0),2)</f>
        <v>1.01</v>
      </c>
      <c r="BT15" s="25">
        <f>=Round(IFERROR(BT10/BT7,0),2)</f>
        <v>1</v>
      </c>
      <c r="BU15" s="25">
        <f>=Round(IFERROR(BU10/BU7,0),2)</f>
        <v>1.01</v>
      </c>
      <c r="BV15" s="25">
        <f>=Round(IFERROR(BV10/BV7,0),2)</f>
        <v>1</v>
      </c>
      <c r="BW15" s="25">
        <f>=Round(IFERROR(BW10/BW7,0),2)</f>
        <v>0.99</v>
      </c>
      <c r="BX15" s="25">
        <f>=Round(IFERROR(BX10/BX7,0),2)</f>
        <v>0.98</v>
      </c>
      <c r="BY15" s="25">
        <f>=Round(IFERROR(BY10/BY7,0),2)</f>
        <v>0.97</v>
      </c>
      <c r="BZ15" s="25">
        <f>=Round(IFERROR(BZ10/BZ7,0),2)</f>
        <v>1</v>
      </c>
      <c r="CA15" s="25">
        <f>=Round(IFERROR(CA10/CA7,0),2)</f>
        <v>0.98</v>
      </c>
      <c r="CB15" s="25">
        <f>=Round(IFERROR(CB10/CB7,0),2)</f>
        <v>0.97</v>
      </c>
      <c r="CC15" s="25">
        <f>=Round(IFERROR(CC10/CC7,0),2)</f>
        <v>0</v>
      </c>
      <c r="CD15" s="25">
        <f>=Round(IFERROR(CD10/CD7,0),2)</f>
        <v>0</v>
      </c>
      <c r="CE15" s="25">
        <f>=Round(IFERROR(CE10/CE7,0),2)</f>
        <v>0</v>
      </c>
      <c r="CF15" s="25">
        <f>=Round(IFERROR(CF10/CF7,0),2)</f>
        <v>0</v>
      </c>
      <c r="CG15" s="25">
        <f>=Round(IFERROR(CG10/CG7,0),2)</f>
        <v>0</v>
      </c>
      <c r="CH15" s="25">
        <f>=Round(IFERROR(CH10/CH7,0),2)</f>
        <v>0</v>
      </c>
      <c r="CI15" s="25">
        <f>=Round(IFERROR(CI10/CI7,0),2)</f>
        <v>0</v>
      </c>
      <c r="CJ15" s="25">
        <f>=Round(IFERROR(CJ10/CJ7,0),2)</f>
        <v>0</v>
      </c>
      <c r="CK15" s="25">
        <f>=Round(IFERROR(CK10/CK7,0),2)</f>
        <v>0</v>
      </c>
      <c r="CL15" s="25">
        <f>=Round(IFERROR(CL10/CL7,0),2)</f>
        <v>0</v>
      </c>
      <c r="CM15" s="25">
        <f>=Round(IFERROR(CM10/CM7,0),2)</f>
        <v>0</v>
      </c>
      <c r="CN15" s="25">
        <f>=Round(IFERROR(CN10/CN7,0),2)</f>
        <v>0</v>
      </c>
      <c r="CO15" s="25">
        <f>=Round(IFERROR(CO10/CO7,0),2)</f>
        <v>0</v>
      </c>
      <c r="CP15" s="25">
        <f>=Round(IFERROR(CP10/CP7,0),2)</f>
        <v>0</v>
      </c>
      <c r="CQ15" s="25">
        <f>=Round(IFERROR(CQ10/CQ7,0),2)</f>
        <v>0</v>
      </c>
      <c r="CR15" s="25">
        <f>=Round(IFERROR(CR10/CR7,0),2)</f>
        <v>0</v>
      </c>
      <c r="CS15" s="25">
        <f>=Round(IFERROR(CS10/CS7,0),2)</f>
        <v>0</v>
      </c>
      <c r="CT15" s="25">
        <f>=Round(IFERROR(CT10/CT7,0),2)</f>
        <v>0</v>
      </c>
      <c r="CU15" s="25">
        <f>=Round(IFERROR(CU10/CU7,0),2)</f>
        <v>0</v>
      </c>
      <c r="CV15" s="25">
        <f>=Round(IFERROR(CV10/CV7,0),2)</f>
        <v>0</v>
      </c>
      <c r="CW15" s="25">
        <f>=Round(IFERROR(CW10/CW7,0),2)</f>
        <v>0</v>
      </c>
      <c r="CX15" s="25">
        <f>=Round(IFERROR(CX10/CX7,0),2)</f>
        <v>0</v>
      </c>
      <c r="CY15" s="25">
        <f>=Round(IFERROR(CY10/CY7,0),2)</f>
        <v>0</v>
      </c>
      <c r="CZ15" s="25">
        <f>=Round(IFERROR(CZ10/CZ7,0),2)</f>
        <v>0</v>
      </c>
      <c r="DA15" s="25">
        <f>=Round(IFERROR(DA10/DA7,0),2)</f>
        <v>0</v>
      </c>
      <c r="DB15" s="25">
        <f>=Round(IFERROR(DB10/DB7,0),2)</f>
        <v>0</v>
      </c>
    </row>
    <row r="16" spans="1:106" x14ac:dyDescent="0.25">
      <c r="A16" s="23" t="s">
        <v>250</v>
      </c>
      <c r="B16" s="24"/>
      <c r="C16" s="25">
        <f>=Round(IFERROR(C10/C9,0),2)</f>
        <v>0</v>
      </c>
      <c r="D16" s="25">
        <f>=Round(IFERROR(D10/D9,0),2)</f>
        <v>0</v>
      </c>
      <c r="E16" s="25">
        <f>=Round(IFERROR(E10/E9,0),2)</f>
        <v>0</v>
      </c>
      <c r="F16" s="25">
        <f>=Round(IFERROR(F10/F9,0),2)</f>
        <v>0</v>
      </c>
      <c r="G16" s="25">
        <f>=Round(IFERROR(G10/G9,0),2)</f>
        <v>0</v>
      </c>
      <c r="H16" s="25">
        <f>=Round(IFERROR(H10/H9,0),2)</f>
        <v>0</v>
      </c>
      <c r="I16" s="25">
        <f>=Round(IFERROR(I10/I9,0),2)</f>
        <v>0</v>
      </c>
      <c r="J16" s="25">
        <f>=Round(IFERROR(J10/J9,0),2)</f>
        <v>0</v>
      </c>
      <c r="K16" s="25">
        <f>=Round(IFERROR(K10/K9,0),2)</f>
        <v>0</v>
      </c>
      <c r="L16" s="25">
        <f>=Round(IFERROR(L10/L9,0),2)</f>
        <v>0</v>
      </c>
      <c r="M16" s="25">
        <f>=Round(IFERROR(M10/M9,0),2)</f>
        <v>0</v>
      </c>
      <c r="N16" s="25">
        <f>=Round(IFERROR(N10/N9,0),2)</f>
        <v>0</v>
      </c>
      <c r="O16" s="25">
        <f>=Round(IFERROR(O10/O9,0),2)</f>
        <v>0</v>
      </c>
      <c r="P16" s="25">
        <f>=Round(IFERROR(P10/P9,0),2)</f>
        <v>0</v>
      </c>
      <c r="Q16" s="25">
        <f>=Round(IFERROR(Q10/Q9,0),2)</f>
        <v>0</v>
      </c>
      <c r="R16" s="25">
        <f>=Round(IFERROR(R10/R9,0),2)</f>
        <v>0</v>
      </c>
      <c r="S16" s="25">
        <f>=Round(IFERROR(S10/S9,0),2)</f>
        <v>0</v>
      </c>
      <c r="T16" s="25">
        <f>=Round(IFERROR(T10/T9,0),2)</f>
        <v>0</v>
      </c>
      <c r="U16" s="25">
        <f>=Round(IFERROR(U10/U9,0),2)</f>
        <v>0</v>
      </c>
      <c r="V16" s="25">
        <f>=Round(IFERROR(V10/V9,0),2)</f>
        <v>0</v>
      </c>
      <c r="W16" s="25">
        <f>=Round(IFERROR(W10/W9,0),2)</f>
        <v>0</v>
      </c>
      <c r="X16" s="25">
        <f>=Round(IFERROR(X10/X9,0),2)</f>
        <v>0</v>
      </c>
      <c r="Y16" s="25">
        <f>=Round(IFERROR(Y10/Y9,0),2)</f>
        <v>0</v>
      </c>
      <c r="Z16" s="25">
        <f>=Round(IFERROR(Z10/Z9,0),2)</f>
        <v>0</v>
      </c>
      <c r="AA16" s="25">
        <f>=Round(IFERROR(AA10/AA9,0),2)</f>
        <v>0</v>
      </c>
      <c r="AB16" s="25">
        <f>=Round(IFERROR(AB10/AB9,0),2)</f>
        <v>0</v>
      </c>
      <c r="AC16" s="25">
        <f>=Round(IFERROR(AC10/AC9,0),2)</f>
        <v>0</v>
      </c>
      <c r="AD16" s="25">
        <f>=Round(IFERROR(AD10/AD9,0),2)</f>
        <v>0</v>
      </c>
      <c r="AE16" s="25">
        <f>=Round(IFERROR(AE10/AE9,0),2)</f>
        <v>0</v>
      </c>
      <c r="AF16" s="25">
        <f>=Round(IFERROR(AF10/AF9,0),2)</f>
        <v>0</v>
      </c>
      <c r="AG16" s="25">
        <f>=Round(IFERROR(AG10/AG9,0),2)</f>
        <v>0</v>
      </c>
      <c r="AH16" s="25">
        <f>=Round(IFERROR(AH10/AH9,0),2)</f>
        <v>1.05</v>
      </c>
      <c r="AI16" s="25">
        <f>=Round(IFERROR(AI10/AI9,0),2)</f>
        <v>1.03</v>
      </c>
      <c r="AJ16" s="25">
        <f>=Round(IFERROR(AJ10/AJ9,0),2)</f>
        <v>1.03</v>
      </c>
      <c r="AK16" s="25">
        <f>=Round(IFERROR(AK10/AK9,0),2)</f>
        <v>1.08</v>
      </c>
      <c r="AL16" s="25">
        <f>=Round(IFERROR(AL10/AL9,0),2)</f>
        <v>1.1</v>
      </c>
      <c r="AM16" s="25">
        <f>=Round(IFERROR(AM10/AM9,0),2)</f>
        <v>1.08</v>
      </c>
      <c r="AN16" s="25">
        <f>=Round(IFERROR(AN10/AN9,0),2)</f>
        <v>1.07</v>
      </c>
      <c r="AO16" s="25">
        <f>=Round(IFERROR(AO10/AO9,0),2)</f>
        <v>1.67</v>
      </c>
      <c r="AP16" s="25">
        <f>=Round(IFERROR(AP10/AP9,0),2)</f>
        <v>1.68</v>
      </c>
      <c r="AQ16" s="25">
        <f>=Round(IFERROR(AQ10/AQ9,0),2)</f>
        <v>1.54</v>
      </c>
      <c r="AR16" s="25">
        <f>=Round(IFERROR(AR10/AR9,0),2)</f>
        <v>1.48</v>
      </c>
      <c r="AS16" s="25">
        <f>=Round(IFERROR(AS10/AS9,0),2)</f>
        <v>1.48</v>
      </c>
      <c r="AT16" s="25">
        <f>=Round(IFERROR(AT10/AT9,0),2)</f>
        <v>1.45</v>
      </c>
      <c r="AU16" s="25">
        <f>=Round(IFERROR(AU10/AU9,0),2)</f>
        <v>1.41</v>
      </c>
      <c r="AV16" s="25">
        <f>=Round(IFERROR(AV10/AV9,0),2)</f>
        <v>1.45</v>
      </c>
      <c r="AW16" s="25">
        <f>=Round(IFERROR(AW10/AW9,0),2)</f>
        <v>1.44</v>
      </c>
      <c r="AX16" s="25">
        <f>=Round(IFERROR(AX10/AX9,0),2)</f>
        <v>1.44</v>
      </c>
      <c r="AY16" s="25">
        <f>=Round(IFERROR(AY10/AY9,0),2)</f>
        <v>1.07</v>
      </c>
      <c r="AZ16" s="25">
        <f>=Round(IFERROR(AZ10/AZ9,0),2)</f>
        <v>1.05</v>
      </c>
      <c r="BA16" s="25">
        <f>=Round(IFERROR(BA10/BA9,0),2)</f>
        <v>1.04</v>
      </c>
      <c r="BB16" s="25">
        <f>=Round(IFERROR(BB10/BB9,0),2)</f>
        <v>1.04</v>
      </c>
      <c r="BC16" s="25">
        <f>=Round(IFERROR(BC10/BC9,0),2)</f>
        <v>1.1</v>
      </c>
      <c r="BD16" s="25">
        <f>=Round(IFERROR(BD10/BD9,0),2)</f>
        <v>1.12</v>
      </c>
      <c r="BE16" s="25">
        <f>=Round(IFERROR(BE10/BE9,0),2)</f>
        <v>1.11</v>
      </c>
      <c r="BF16" s="25">
        <f>=Round(IFERROR(BF10/BF9,0),2)</f>
        <v>1.14</v>
      </c>
      <c r="BG16" s="25">
        <f>=Round(IFERROR(BG10/BG9,0),2)</f>
        <v>1.12</v>
      </c>
      <c r="BH16" s="25">
        <f>=Round(IFERROR(BH10/BH9,0),2)</f>
        <v>0.87</v>
      </c>
      <c r="BI16" s="25">
        <f>=Round(IFERROR(BI10/BI9,0),2)</f>
        <v>0.87</v>
      </c>
      <c r="BJ16" s="25">
        <f>=Round(IFERROR(BJ10/BJ9,0),2)</f>
        <v>0.87</v>
      </c>
      <c r="BK16" s="25">
        <f>=Round(IFERROR(BK10/BK9,0),2)</f>
        <v>0.86</v>
      </c>
      <c r="BL16" s="25">
        <f>=Round(IFERROR(BL10/BL9,0),2)</f>
        <v>1.05</v>
      </c>
      <c r="BM16" s="25">
        <f>=Round(IFERROR(BM10/BM9,0),2)</f>
        <v>1.08</v>
      </c>
      <c r="BN16" s="25">
        <f>=Round(IFERROR(BN10/BN9,0),2)</f>
        <v>1.07</v>
      </c>
      <c r="BO16" s="25">
        <f>=Round(IFERROR(BO10/BO9,0),2)</f>
        <v>1.05</v>
      </c>
      <c r="BP16" s="25">
        <f>=Round(IFERROR(BP10/BP9,0),2)</f>
        <v>1.02</v>
      </c>
      <c r="BQ16" s="25">
        <f>=Round(IFERROR(BQ10/BQ9,0),2)</f>
        <v>1.01</v>
      </c>
      <c r="BR16" s="25">
        <f>=Round(IFERROR(BR10/BR9,0),2)</f>
        <v>1.02</v>
      </c>
      <c r="BS16" s="25">
        <f>=Round(IFERROR(BS10/BS9,0),2)</f>
        <v>1.01</v>
      </c>
      <c r="BT16" s="25">
        <f>=Round(IFERROR(BT10/BT9,0),2)</f>
        <v>1</v>
      </c>
      <c r="BU16" s="25">
        <f>=Round(IFERROR(BU10/BU9,0),2)</f>
        <v>1.01</v>
      </c>
      <c r="BV16" s="25">
        <f>=Round(IFERROR(BV10/BV9,0),2)</f>
        <v>1</v>
      </c>
      <c r="BW16" s="25">
        <f>=Round(IFERROR(BW10/BW9,0),2)</f>
        <v>0.99</v>
      </c>
      <c r="BX16" s="25">
        <f>=Round(IFERROR(BX10/BX9,0),2)</f>
        <v>0.98</v>
      </c>
      <c r="BY16" s="25">
        <f>=Round(IFERROR(BY10/BY9,0),2)</f>
        <v>0.97</v>
      </c>
      <c r="BZ16" s="25">
        <f>=Round(IFERROR(BZ10/BZ9,0),2)</f>
        <v>1</v>
      </c>
      <c r="CA16" s="25">
        <f>=Round(IFERROR(CA10/CA9,0),2)</f>
        <v>0.98</v>
      </c>
      <c r="CB16" s="25">
        <f>=Round(IFERROR(CB10/CB9,0),2)</f>
        <v>0.97</v>
      </c>
      <c r="CC16" s="25">
        <f>=Round(IFERROR(CC10/CC9,0),2)</f>
        <v>0</v>
      </c>
      <c r="CD16" s="25">
        <f>=Round(IFERROR(CD10/CD9,0),2)</f>
        <v>0</v>
      </c>
      <c r="CE16" s="25">
        <f>=Round(IFERROR(CE10/CE9,0),2)</f>
        <v>0</v>
      </c>
      <c r="CF16" s="25">
        <f>=Round(IFERROR(CF10/CF9,0),2)</f>
        <v>0</v>
      </c>
      <c r="CG16" s="25">
        <f>=Round(IFERROR(CG10/CG9,0),2)</f>
        <v>0</v>
      </c>
      <c r="CH16" s="25">
        <f>=Round(IFERROR(CH10/CH9,0),2)</f>
        <v>0</v>
      </c>
      <c r="CI16" s="25">
        <f>=Round(IFERROR(CI10/CI9,0),2)</f>
        <v>0</v>
      </c>
      <c r="CJ16" s="25">
        <f>=Round(IFERROR(CJ10/CJ9,0),2)</f>
        <v>0</v>
      </c>
      <c r="CK16" s="25">
        <f>=Round(IFERROR(CK10/CK9,0),2)</f>
        <v>0</v>
      </c>
      <c r="CL16" s="25">
        <f>=Round(IFERROR(CL10/CL9,0),2)</f>
        <v>0</v>
      </c>
      <c r="CM16" s="25">
        <f>=Round(IFERROR(CM10/CM9,0),2)</f>
        <v>0</v>
      </c>
      <c r="CN16" s="25">
        <f>=Round(IFERROR(CN10/CN9,0),2)</f>
        <v>0</v>
      </c>
      <c r="CO16" s="25">
        <f>=Round(IFERROR(CO10/CO9,0),2)</f>
        <v>0</v>
      </c>
      <c r="CP16" s="25">
        <f>=Round(IFERROR(CP10/CP9,0),2)</f>
        <v>0</v>
      </c>
      <c r="CQ16" s="25">
        <f>=Round(IFERROR(CQ10/CQ9,0),2)</f>
        <v>0</v>
      </c>
      <c r="CR16" s="25">
        <f>=Round(IFERROR(CR10/CR9,0),2)</f>
        <v>0</v>
      </c>
      <c r="CS16" s="25">
        <f>=Round(IFERROR(CS10/CS9,0),2)</f>
        <v>0</v>
      </c>
      <c r="CT16" s="25">
        <f>=Round(IFERROR(CT10/CT9,0),2)</f>
        <v>0</v>
      </c>
      <c r="CU16" s="25">
        <f>=Round(IFERROR(CU10/CU9,0),2)</f>
        <v>0</v>
      </c>
      <c r="CV16" s="25">
        <f>=Round(IFERROR(CV10/CV9,0),2)</f>
        <v>0</v>
      </c>
      <c r="CW16" s="25">
        <f>=Round(IFERROR(CW10/CW9,0),2)</f>
        <v>0</v>
      </c>
      <c r="CX16" s="25">
        <f>=Round(IFERROR(CX10/CX9,0),2)</f>
        <v>0</v>
      </c>
      <c r="CY16" s="25">
        <f>=Round(IFERROR(CY10/CY9,0),2)</f>
        <v>0</v>
      </c>
      <c r="CZ16" s="25">
        <f>=Round(IFERROR(CZ10/CZ9,0),2)</f>
        <v>0</v>
      </c>
      <c r="DA16" s="25">
        <f>=Round(IFERROR(DA10/DA9,0),2)</f>
        <v>0</v>
      </c>
      <c r="DB16" s="25">
        <f>=Round(IFERROR(DB10/DB9,0),2)</f>
        <v>0</v>
      </c>
    </row>
    <row r="17" ht="14" customHeight="1" spans="1:106" x14ac:dyDescent="0.25">
      <c r="A17" s="23" t="s">
        <v>251</v>
      </c>
      <c r="B17" s="24"/>
      <c r="C17" s="26">
        <f>=IFERROR(C11/C8,0)</f>
        <v>0</v>
      </c>
      <c r="D17" s="26">
        <f>=IFERROR(D11/D8,0)</f>
        <v>0</v>
      </c>
      <c r="E17" s="25">
        <f>=IFERROR(E11/E8,0)</f>
        <v>0</v>
      </c>
      <c r="F17" s="25">
        <f>=IFERROR(F11/F8,0)</f>
        <v>0</v>
      </c>
      <c r="G17" s="25">
        <f>=IFERROR(G11/G8,0)</f>
        <v>0</v>
      </c>
      <c r="H17" s="25">
        <f>=IFERROR(H11/H8,0)</f>
        <v>0</v>
      </c>
      <c r="I17" s="25">
        <f>=IFERROR(I11/I8,0)</f>
        <v>0</v>
      </c>
      <c r="J17" s="25">
        <f>=IFERROR(J11/J8,0)</f>
        <v>0</v>
      </c>
      <c r="K17" s="25">
        <f>=IFERROR(K11/K8,0)</f>
        <v>0</v>
      </c>
      <c r="L17" s="25">
        <f>=IFERROR(L11/L8,0)</f>
        <v>0</v>
      </c>
      <c r="M17" s="25">
        <f>=IFERROR(M11/M8,0)</f>
        <v>0</v>
      </c>
      <c r="N17" s="25">
        <f>=IFERROR(N11/N8,0)</f>
        <v>0</v>
      </c>
      <c r="O17" s="25">
        <f>=IFERROR(O11/O8,0)</f>
        <v>0</v>
      </c>
      <c r="P17" s="25">
        <f>=IFERROR(P11/P8,0)</f>
        <v>0</v>
      </c>
      <c r="Q17" s="25">
        <f>=IFERROR(Q11/Q8,0)</f>
        <v>0</v>
      </c>
      <c r="R17" s="25">
        <f>=IFERROR(R11/R8,0)</f>
        <v>0</v>
      </c>
      <c r="S17" s="25">
        <f>=IFERROR(S11/S8,0)</f>
        <v>0</v>
      </c>
      <c r="T17" s="25">
        <f>=IFERROR(T11/T8,0)</f>
        <v>0</v>
      </c>
      <c r="U17" s="25">
        <f>=IFERROR(U11/U8,0)</f>
        <v>0</v>
      </c>
      <c r="V17" s="25">
        <f>=IFERROR(V11/V8,0)</f>
        <v>0</v>
      </c>
      <c r="W17" s="25">
        <f>=IFERROR(W11/W8,0)</f>
        <v>0</v>
      </c>
      <c r="X17" s="25">
        <f>=IFERROR(X11/X8,0)</f>
        <v>0</v>
      </c>
      <c r="Y17" s="25">
        <f>=IFERROR(Y11/Y8,0)</f>
        <v>0</v>
      </c>
      <c r="Z17" s="25">
        <f>=IFERROR(Z11/Z8,0)</f>
        <v>0</v>
      </c>
      <c r="AA17" s="25">
        <f>=IFERROR(AA11/AA8,0)</f>
        <v>0</v>
      </c>
      <c r="AB17" s="25">
        <f>=IFERROR(AB11/AB8,0)</f>
        <v>0</v>
      </c>
      <c r="AC17" s="25">
        <f>=IFERROR(AC11/AC8,0)</f>
        <v>0</v>
      </c>
      <c r="AD17" s="25">
        <f>=IFERROR(AD11/AD8,0)</f>
        <v>0</v>
      </c>
      <c r="AE17" s="25">
        <f>=IFERROR(AE11/AE8,0)</f>
        <v>0</v>
      </c>
      <c r="AF17" s="25">
        <f>=IFERROR(AF11/AF8,0)</f>
        <v>0</v>
      </c>
      <c r="AG17" s="25">
        <f>=IFERROR(AG11/AG8,0)</f>
        <v>0</v>
      </c>
      <c r="AH17" s="25">
        <f>=IFERROR(AH11/AH8,0)</f>
        <v>1.054</v>
      </c>
      <c r="AI17" s="25">
        <f>=IFERROR(AI11/AI8,0)</f>
        <v>1.037</v>
      </c>
      <c r="AJ17" s="25">
        <f>=IFERROR(AJ11/AJ8,0)</f>
        <v>1.037</v>
      </c>
      <c r="AK17" s="25">
        <f>=IFERROR(AK11/AK8,0)</f>
        <v>1.088</v>
      </c>
      <c r="AL17" s="25">
        <f>=IFERROR(AL11/AL8,0)</f>
        <v>1.1008064516129032</v>
      </c>
      <c r="AM17" s="25">
        <f>=IFERROR(AM11/AM8,0)</f>
        <v>1.0838709677419356</v>
      </c>
      <c r="AN17" s="25">
        <f>=IFERROR(AN11/AN8,0)</f>
        <v>1.0669354838709677</v>
      </c>
      <c r="AO17" s="25">
        <f>=IFERROR(AO11/AO8,0)</f>
        <v>1.6663306451612903</v>
      </c>
      <c r="AP17" s="25">
        <f>=IFERROR(AP11/AP8,0)</f>
        <v>1.6831234866828086</v>
      </c>
      <c r="AQ17" s="25">
        <f>=IFERROR(AQ11/AQ8,0)</f>
        <v>1.5398789346246973</v>
      </c>
      <c r="AR17" s="25">
        <f>=IFERROR(AR11/AR8,0)</f>
        <v>1.481743970315399</v>
      </c>
      <c r="AS17" s="25">
        <f>=IFERROR(AS11/AS8,0)</f>
        <v>1.481743970315399</v>
      </c>
      <c r="AT17" s="25">
        <f>=IFERROR(AT11/AT8,0)</f>
        <v>1.45430426716141</v>
      </c>
      <c r="AU17" s="25">
        <f>=IFERROR(AU11/AU8,0)</f>
        <v>1.4098381294964029</v>
      </c>
      <c r="AV17" s="25">
        <f>=IFERROR(AV11/AV8,0)</f>
        <v>1.4497392086330936</v>
      </c>
      <c r="AW17" s="25">
        <f>=IFERROR(AW11/AW8,0)</f>
        <v>1.4364388489208633</v>
      </c>
      <c r="AX17" s="25">
        <f>=IFERROR(AX11/AX8,0)</f>
        <v>1.4364388489208633</v>
      </c>
      <c r="AY17" s="25">
        <f>=IFERROR(AY11/AY8,0)</f>
        <v>1.07335291113381</v>
      </c>
      <c r="AZ17" s="25">
        <f>=IFERROR(AZ11/AZ8,0)</f>
        <v>1.0453524004085801</v>
      </c>
      <c r="BA17" s="25">
        <f>=IFERROR(BA11/BA8,0)</f>
        <v>1.0360188968335036</v>
      </c>
      <c r="BB17" s="25">
        <f>=IFERROR(BB11/BB8,0)</f>
        <v>1.0360188968335036</v>
      </c>
      <c r="BC17" s="25">
        <f>=IFERROR(BC11/BC8,0)</f>
        <v>1.1002251718416687</v>
      </c>
      <c r="BD17" s="25">
        <f>=IFERROR(BD11/BD8,0)</f>
        <v>1.1175515525005926</v>
      </c>
      <c r="BE17" s="25">
        <f>=IFERROR(BE11/BE8,0)</f>
        <v>1.1088883621711305</v>
      </c>
      <c r="BF17" s="25">
        <f>=IFERROR(BF11/BF8,0)</f>
        <v>1.1348779331595165</v>
      </c>
      <c r="BG17" s="25">
        <f>=IFERROR(BG11/BG8,0)</f>
        <v>1.1186120996441282</v>
      </c>
      <c r="BH17" s="25">
        <f>=IFERROR(BH11/BH8,0)</f>
        <v>0.868455551003687</v>
      </c>
      <c r="BI17" s="25">
        <f>=IFERROR(BI11/BI8,0)</f>
        <v>0.868455551003687</v>
      </c>
      <c r="BJ17" s="25">
        <f>=IFERROR(BJ11/BJ8,0)</f>
        <v>0.868455551003687</v>
      </c>
      <c r="BK17" s="25">
        <f>=IFERROR(BK11/BK8,0)</f>
        <v>0.8609688652191725</v>
      </c>
      <c r="BL17" s="25">
        <f>=IFERROR(BL11/BL8,0)</f>
        <v>1.0492822966507176</v>
      </c>
      <c r="BM17" s="25">
        <f>=IFERROR(BM11/BM8,0)</f>
        <v>1.0826702702702702</v>
      </c>
      <c r="BN17" s="25">
        <f>=IFERROR(BN11/BN8,0)</f>
        <v>1.069973405014048</v>
      </c>
      <c r="BO17" s="25">
        <f>=IFERROR(BO11/BO8,0)</f>
        <v>1.0578827055373892</v>
      </c>
      <c r="BP17" s="25">
        <f>=IFERROR(BP11/BP8,0)</f>
        <v>1.0185229454854692</v>
      </c>
      <c r="BQ17" s="25">
        <f>=IFERROR(BQ11/BQ8,0)</f>
        <v>1.0093562389760997</v>
      </c>
      <c r="BR17" s="25">
        <f>=IFERROR(BR11/BR8,0)</f>
        <v>1.0159012833382108</v>
      </c>
      <c r="BS17" s="25">
        <f>=IFERROR(BS11/BS8,0)</f>
        <v>1.0067581717881668</v>
      </c>
      <c r="BT17" s="25">
        <f>=IFERROR(BT11/BT8,0)</f>
        <v>0.9976973482420736</v>
      </c>
      <c r="BU17" s="25">
        <f>=IFERROR(BU11/BU8,0)</f>
        <v>1.0121555721078952</v>
      </c>
      <c r="BV17" s="25">
        <f>=IFERROR(BV11/BV8,0)</f>
        <v>1.000718214143076</v>
      </c>
      <c r="BW17" s="25">
        <f>=IFERROR(BW11/BW8,0)</f>
        <v>0.9894100983232594</v>
      </c>
      <c r="BX17" s="25">
        <f>=IFERROR(BX11/BX8,0)</f>
        <v>0.9782297642122065</v>
      </c>
      <c r="BY17" s="25">
        <f>=IFERROR(BY11/BY8,0)</f>
        <v>0.9671757678766084</v>
      </c>
      <c r="BZ17" s="25">
        <f>=IFERROR(BZ11/BZ8,0)</f>
        <v>0.9953091816996028</v>
      </c>
      <c r="CA17" s="25">
        <f>=IFERROR(CA11/CA8,0)</f>
        <v>0.9840621879463974</v>
      </c>
      <c r="CB17" s="25">
        <f>=IFERROR(CB11/CB8,0)</f>
        <v>0.9729422852226035</v>
      </c>
      <c r="CC17" s="25">
        <f>=IFERROR(CC11/CC8,0)</f>
        <v>0</v>
      </c>
      <c r="CD17" s="25">
        <f>=IFERROR(CD11/CD8,0)</f>
        <v>0</v>
      </c>
      <c r="CE17" s="25">
        <f>=IFERROR(CE11/CE8,0)</f>
        <v>0</v>
      </c>
      <c r="CF17" s="25">
        <f>=IFERROR(CF11/CF8,0)</f>
        <v>0</v>
      </c>
      <c r="CG17" s="25">
        <f>=IFERROR(CG11/CG8,0)</f>
        <v>0</v>
      </c>
      <c r="CH17" s="25">
        <f>=IFERROR(CH11/CH8,0)</f>
        <v>0</v>
      </c>
      <c r="CI17" s="25">
        <f>=IFERROR(CI11/CI8,0)</f>
        <v>0</v>
      </c>
      <c r="CJ17" s="25">
        <f>=IFERROR(CJ11/CJ8,0)</f>
        <v>0</v>
      </c>
      <c r="CK17" s="25">
        <f>=IFERROR(CK11/CK8,0)</f>
        <v>0</v>
      </c>
      <c r="CL17" s="25">
        <f>=IFERROR(CL11/CL8,0)</f>
        <v>0</v>
      </c>
      <c r="CM17" s="25">
        <f>=IFERROR(CM11/CM8,0)</f>
        <v>0</v>
      </c>
      <c r="CN17" s="25">
        <f>=IFERROR(CN11/CN8,0)</f>
        <v>0</v>
      </c>
      <c r="CO17" s="25">
        <f>=IFERROR(CO11/CO8,0)</f>
        <v>0</v>
      </c>
      <c r="CP17" s="25">
        <f>=IFERROR(CP11/CP8,0)</f>
        <v>0</v>
      </c>
      <c r="CQ17" s="25">
        <f>=IFERROR(CQ11/CQ8,0)</f>
        <v>0</v>
      </c>
      <c r="CR17" s="25">
        <f>=IFERROR(CR11/CR8,0)</f>
        <v>0</v>
      </c>
      <c r="CS17" s="25">
        <f>=IFERROR(CS11/CS8,0)</f>
        <v>0</v>
      </c>
      <c r="CT17" s="25">
        <f>=IFERROR(CT11/CT8,0)</f>
        <v>0</v>
      </c>
      <c r="CU17" s="25">
        <f>=IFERROR(CU11/CU8,0)</f>
        <v>0</v>
      </c>
      <c r="CV17" s="25">
        <f>=IFERROR(CV11/CV8,0)</f>
        <v>0</v>
      </c>
      <c r="CW17" s="25">
        <f>=IFERROR(CW11/CW8,0)</f>
        <v>0</v>
      </c>
      <c r="CX17" s="25">
        <f>=IFERROR(CX11/CX8,0)</f>
        <v>0</v>
      </c>
      <c r="CY17" s="25">
        <f>=IFERROR(CY11/CY8,0)</f>
        <v>0</v>
      </c>
      <c r="CZ17" s="25">
        <f>=IFERROR(CZ11/CZ8,0)</f>
        <v>0</v>
      </c>
      <c r="DA17" s="25">
        <f>=IFERROR(DA11/DA8,0)</f>
        <v>0</v>
      </c>
      <c r="DB17" s="25">
        <f>=IFERROR(DB11/DB8,0)</f>
        <v>0</v>
      </c>
    </row>
    <row r="18" spans="1:106" x14ac:dyDescent="0.25">
      <c r="A18" s="27" t="s">
        <v>252</v>
      </c>
      <c r="C18" s="28">
        <f>=SUM(C19:C23)</f>
        <v>0</v>
      </c>
      <c r="D18" s="28">
        <f>=SUM(D19:D23)</f>
        <v>0</v>
      </c>
      <c r="E18" s="28">
        <f>=SUM(E19:E23)</f>
        <v>0</v>
      </c>
      <c r="F18" s="28">
        <f>=SUM(F19:F23)</f>
        <v>0</v>
      </c>
      <c r="G18" s="28">
        <f>=SUM(G19:G23)</f>
        <v>0</v>
      </c>
      <c r="H18" s="28">
        <f>=SUM(H19:H23)</f>
        <v>0</v>
      </c>
      <c r="I18" s="28">
        <f>=SUM(I19:I23)</f>
        <v>0</v>
      </c>
      <c r="J18" s="28">
        <f>=SUM(J19:J23)</f>
        <v>0</v>
      </c>
      <c r="K18" s="28">
        <f>=SUM(K19:K23)</f>
        <v>0</v>
      </c>
      <c r="L18" s="28">
        <f>=SUM(L19:L23)</f>
        <v>0</v>
      </c>
      <c r="M18" s="28">
        <f>=SUM(M19:M23)</f>
        <v>0</v>
      </c>
      <c r="N18" s="28">
        <f>=SUM(N19:N23)</f>
        <v>0</v>
      </c>
      <c r="O18" s="28">
        <f>=SUM(O19:O23)</f>
        <v>0</v>
      </c>
      <c r="P18" s="28">
        <f>=SUM(P19:P23)</f>
        <v>0</v>
      </c>
      <c r="Q18" s="28">
        <f>=SUM(Q19:Q23)</f>
        <v>0</v>
      </c>
      <c r="R18" s="28">
        <f>=SUM(R19:R23)</f>
        <v>0</v>
      </c>
      <c r="S18" s="28">
        <f>=SUM(S19:S23)</f>
        <v>0</v>
      </c>
      <c r="T18" s="28">
        <f>=SUM(T19:T23)</f>
        <v>0</v>
      </c>
      <c r="U18" s="28">
        <f>=SUM(U19:U23)</f>
        <v>0</v>
      </c>
      <c r="V18" s="28">
        <f>=SUM(V19:V23)</f>
        <v>0</v>
      </c>
      <c r="W18" s="28">
        <f>=SUM(W19:W23)</f>
        <v>0</v>
      </c>
      <c r="X18" s="28">
        <f>=SUM(X19:X23)</f>
        <v>0</v>
      </c>
      <c r="Y18" s="28">
        <f>=SUM(Y19:Y23)</f>
        <v>0</v>
      </c>
      <c r="Z18" s="28">
        <f>=SUM(Z19:Z23)</f>
        <v>0</v>
      </c>
      <c r="AA18" s="28">
        <f>=SUM(AA19:AA23)</f>
        <v>0</v>
      </c>
      <c r="AB18" s="28">
        <f>=SUM(AB19:AB23)</f>
        <v>0</v>
      </c>
      <c r="AC18" s="28">
        <f>=SUM(AC19:AC23)</f>
        <v>0</v>
      </c>
      <c r="AD18" s="28">
        <f>=SUM(AD19:AD23)</f>
        <v>0</v>
      </c>
      <c r="AE18" s="28">
        <f>=SUM(AE19:AE23)</f>
        <v>0</v>
      </c>
      <c r="AF18" s="28">
        <f>=SUM(AF19:AF23)</f>
        <v>0</v>
      </c>
      <c r="AG18" s="29">
        <f>=SUM(AG19:AG23)</f>
        <v>60</v>
      </c>
      <c r="AH18" s="28">
        <f>=SUM(AH19:AH23)</f>
        <v>62</v>
      </c>
      <c r="AI18" s="28">
        <f>=SUM(AI19:AI23)</f>
        <v>61</v>
      </c>
      <c r="AJ18" s="28">
        <f>=SUM(AJ19:AJ23)</f>
        <v>61</v>
      </c>
      <c r="AK18" s="28">
        <f>=SUM(AK19:AK23)</f>
        <v>64</v>
      </c>
      <c r="AL18" s="28">
        <f>=SUM(AL19:AL23)</f>
        <v>65</v>
      </c>
      <c r="AM18" s="28">
        <f>=SUM(AM19:AM23)</f>
        <v>64</v>
      </c>
      <c r="AN18" s="28">
        <f>=SUM(AN19:AN23)</f>
        <v>63</v>
      </c>
      <c r="AO18" s="28">
        <f>=SUM(AO19:AO23)</f>
        <v>95</v>
      </c>
      <c r="AP18" s="28">
        <f>=SUM(AP19:AP23)</f>
        <v>94</v>
      </c>
      <c r="AQ18" s="28">
        <f>=SUM(AQ19:AQ23)</f>
        <v>86</v>
      </c>
      <c r="AR18" s="28">
        <f>=SUM(AR19:AR23)</f>
        <v>108</v>
      </c>
      <c r="AS18" s="28">
        <f>=SUM(AS19:AS23)</f>
        <v>108</v>
      </c>
      <c r="AT18" s="28">
        <f>=SUM(AT19:AT23)</f>
        <v>106</v>
      </c>
      <c r="AU18" s="28">
        <f>=SUM(AU19:AU23)</f>
        <v>106</v>
      </c>
      <c r="AV18" s="28">
        <f>=SUM(AV19:AV23)</f>
        <v>109</v>
      </c>
      <c r="AW18" s="28">
        <f>=SUM(AW19:AW23)</f>
        <v>108</v>
      </c>
      <c r="AX18" s="28">
        <f>=SUM(AX19:AX23)</f>
        <v>108</v>
      </c>
      <c r="AY18" s="28">
        <f>=SUM(AY19:AY23)</f>
        <v>115</v>
      </c>
      <c r="AZ18" s="28">
        <f>=SUM(AZ19:AZ23)</f>
        <v>112</v>
      </c>
      <c r="BA18" s="28">
        <f>=SUM(BA19:BA23)</f>
        <v>111</v>
      </c>
      <c r="BB18" s="28">
        <f>=SUM(BB19:BB23)</f>
        <v>111</v>
      </c>
      <c r="BC18" s="28">
        <f>=SUM(BC19:BC23)</f>
        <v>127</v>
      </c>
      <c r="BD18" s="28">
        <f>=SUM(BD19:BD23)</f>
        <v>129</v>
      </c>
      <c r="BE18" s="28">
        <f>=SUM(BE19:BE23)</f>
        <v>128</v>
      </c>
      <c r="BF18" s="28">
        <f>=SUM(BF19:BF23)</f>
        <v>131</v>
      </c>
      <c r="BG18" s="28">
        <f>=SUM(BG19:BG23)</f>
        <v>129</v>
      </c>
      <c r="BH18" s="28">
        <f>=SUM(BH19:BH23)</f>
        <v>116</v>
      </c>
      <c r="BI18" s="28">
        <f>=SUM(BI19:BI23)</f>
        <v>116</v>
      </c>
      <c r="BJ18" s="28">
        <f>=SUM(BJ19:BJ23)</f>
        <v>116</v>
      </c>
      <c r="BK18" s="28">
        <f>=SUM(BK19:BK23)</f>
        <v>115</v>
      </c>
      <c r="BL18" s="28">
        <f>=SUM(BL19:BL23)</f>
        <v>138</v>
      </c>
      <c r="BM18" s="28">
        <f>=SUM(BM19:BM23)</f>
        <v>137</v>
      </c>
      <c r="BN18" s="28">
        <f>=SUM(BN19:BN23)</f>
        <v>135.4519</v>
      </c>
      <c r="BO18" s="28">
        <f>=SUM(BO19:BO23)</f>
        <v>133.92129353</v>
      </c>
      <c r="BP18" s="28">
        <f>=SUM(BP19:BP23)</f>
        <v>132.407982913111</v>
      </c>
      <c r="BQ18" s="28">
        <f>=SUM(BQ19:BQ23)</f>
        <v>131.216311066893</v>
      </c>
      <c r="BR18" s="28">
        <f>=SUM(BR19:BR23)</f>
        <v>130.03536426729096</v>
      </c>
      <c r="BS18" s="28">
        <f>=SUM(BS19:BS23)</f>
        <v>128.86504598888538</v>
      </c>
      <c r="BT18" s="28">
        <f>=SUM(BT19:BT23)</f>
        <v>127.70526057498542</v>
      </c>
      <c r="BU18" s="28">
        <f>=SUM(BU19:BU23)</f>
        <v>129.55591322981056</v>
      </c>
      <c r="BV18" s="28">
        <f>=SUM(BV19:BV23)</f>
        <v>128.09193141031372</v>
      </c>
      <c r="BW18" s="28">
        <f>=SUM(BW19:BW23)</f>
        <v>126.64449258537718</v>
      </c>
      <c r="BX18" s="28">
        <f>=SUM(BX19:BX23)</f>
        <v>125.21340981916242</v>
      </c>
      <c r="BY18" s="28">
        <f>=SUM(BY19:BY23)</f>
        <v>123.7984982882059</v>
      </c>
      <c r="BZ18" s="28">
        <f>=SUM(BZ19:BZ23)</f>
        <v>127.39957525754917</v>
      </c>
      <c r="CA18" s="28">
        <f>=SUM(CA19:CA23)</f>
        <v>125.95996005713889</v>
      </c>
      <c r="CB18" s="28">
        <f>=SUM(CB19:CB23)</f>
        <v>124.53661250849322</v>
      </c>
      <c r="CC18" s="28">
        <f>=SUM(CC19:CC23)</f>
        <v>123.12934878714726</v>
      </c>
      <c r="CD18" s="28">
        <f>=SUM(CD19:CD23)</f>
        <v>121.52866725291435</v>
      </c>
      <c r="CE18" s="28">
        <f>=SUM(CE19:CE23)</f>
        <v>119.94879457862643</v>
      </c>
      <c r="CF18" s="28">
        <f>=SUM(CF19:CF23)</f>
        <v>118.3894602491043</v>
      </c>
      <c r="CG18" s="28">
        <f>=SUM(CG19:CG23)</f>
        <v>116.85039726586594</v>
      </c>
      <c r="CH18" s="28">
        <f>=SUM(CH19:CH23)</f>
        <v>115.3313421014097</v>
      </c>
      <c r="CI18" s="28">
        <f>=SUM(CI19:CI23)</f>
        <v>113.83203465409136</v>
      </c>
      <c r="CJ18" s="28">
        <f>=SUM(CJ19:CJ23)</f>
        <v>112.35221820358818</v>
      </c>
      <c r="CK18" s="28">
        <f>=SUM(CK19:CK23)</f>
        <v>110.89163936694155</v>
      </c>
      <c r="CL18" s="28">
        <f>=SUM(CL19:CL23)</f>
        <v>109.4500480551713</v>
      </c>
      <c r="CM18" s="28">
        <f>=SUM(CM19:CM23)</f>
        <v>108.02719743045407</v>
      </c>
      <c r="CN18" s="28">
        <f>=SUM(CN19:CN23)</f>
        <v>106.62284386385817</v>
      </c>
      <c r="CO18" s="28">
        <f>=SUM(CO19:CO23)</f>
        <v>105.236746893628</v>
      </c>
      <c r="CP18" s="28">
        <f>=SUM(CP19:CP23)</f>
        <v>103.86866918401084</v>
      </c>
      <c r="CQ18" s="28">
        <f>=SUM(CQ19:CQ23)</f>
        <v>102.51837648461871</v>
      </c>
      <c r="CR18" s="28">
        <f>=SUM(CR19:CR23)</f>
        <v>101.18563759031868</v>
      </c>
      <c r="CS18" s="28">
        <f>=SUM(CS19:CS23)</f>
        <v>99.87022430164455</v>
      </c>
      <c r="CT18" s="28">
        <f>=SUM(CT19:CT23)</f>
        <v>98.57191138572318</v>
      </c>
      <c r="CU18" s="28">
        <f>=SUM(CU19:CU23)</f>
        <v>97.29047653770878</v>
      </c>
      <c r="CV18" s="28">
        <f>=SUM(CV19:CV23)</f>
        <v>96.02570034271857</v>
      </c>
      <c r="CW18" s="28">
        <f>=SUM(CW19:CW23)</f>
        <v>94.77736623826323</v>
      </c>
      <c r="CX18" s="28">
        <f>=SUM(CX19:CX23)</f>
        <v>93.5452604771658</v>
      </c>
      <c r="CY18" s="28">
        <f>=SUM(CY19:CY23)</f>
        <v>92.32917209096264</v>
      </c>
      <c r="CZ18" s="28">
        <f>=SUM(CZ19:CZ23)</f>
        <v>91.12889285378012</v>
      </c>
      <c r="DA18" s="28">
        <f>=SUM(DA19:DA23)</f>
        <v>89.94421724668098</v>
      </c>
      <c r="DB18" s="28">
        <f>=SUM(DB19:DB23)</f>
        <v>88.77494242247413</v>
      </c>
    </row>
    <row r="19" spans="1:106" x14ac:dyDescent="0.25">
      <c r="A19" s="27" t="s">
        <v>253</v>
      </c>
      <c r="C19" s="28">
        <f>=IF(LEN(C82)=0,(B19*(1-B41))-C81+C92+C121,(B19-C81+C92+C121))</f>
        <v>0</v>
      </c>
      <c r="D19" s="28">
        <f>=IF(LEN(D82)=0,(C19*(1-C41))-D81+D92+D121,(C19-D81+D92+D121))</f>
        <v>0</v>
      </c>
      <c r="E19" s="28">
        <f>=IF(LEN(E82)=0,(D19*(1-D41))-E81+E92+E121,(D19-E81+E92+E121))</f>
        <v>0</v>
      </c>
      <c r="F19" s="28">
        <f>=IF(LEN(F82)=0,(E19*(1-E41))-F81+F92+F121,(E19-F81+F92+F121))</f>
        <v>0</v>
      </c>
      <c r="G19" s="28">
        <f>=IF(LEN(G82)=0,(F19*(1-F41))-G81+G92+G121,(F19-G81+G92+G121))</f>
        <v>0</v>
      </c>
      <c r="H19" s="28">
        <f>=IF(LEN(H82)=0,(G19*(1-G41))-H81+H92+H121,(G19-H81+H92+H121))</f>
        <v>0</v>
      </c>
      <c r="I19" s="28">
        <f>=IF(LEN(I82)=0,(H19*(1-H41))-I81+I92+I121,(H19-I81+I92+I121))</f>
        <v>0</v>
      </c>
      <c r="J19" s="28">
        <f>=IF(LEN(J82)=0,(I19*(1-I41))-J81+J92+J121,(I19-J81+J92+J121))</f>
        <v>0</v>
      </c>
      <c r="K19" s="28">
        <f>=IF(LEN(K82)=0,(J19*(1-J41))-K81+K92+K121,(J19-K81+K92+K121))</f>
        <v>0</v>
      </c>
      <c r="L19" s="28">
        <f>=IF(LEN(L82)=0,(K19*(1-K41))-L81+L92+L121,(K19-L81+L92+L121))</f>
        <v>0</v>
      </c>
      <c r="M19" s="28">
        <f>=IF(LEN(M82)=0,(L19*(1-L41))-M81+M92+M121,(L19-M81+M92+M121))</f>
        <v>0</v>
      </c>
      <c r="N19" s="28">
        <f>=IF(LEN(N82)=0,(M19*(1-M41))-N81+N92+N121,(M19-N81+N92+N121))</f>
        <v>0</v>
      </c>
      <c r="O19" s="28">
        <f>=IF(LEN(O82)=0,(N19*(1-N41))-O81+O92+O121,(N19-O81+O92+O121))</f>
        <v>0</v>
      </c>
      <c r="P19" s="28">
        <f>=IF(LEN(P82)=0,(O19*(1-O41))-P81+P92+P121,(O19-P81+P92+P121))</f>
        <v>0</v>
      </c>
      <c r="Q19" s="28">
        <f>=IF(LEN(Q82)=0,(P19*(1-P41))-Q81+Q92+Q121,(P19-Q81+Q92+Q121))</f>
        <v>0</v>
      </c>
      <c r="R19" s="28">
        <f>=IF(LEN(R82)=0,(Q19*(1-Q41))-R81+R92+R121,(Q19-R81+R92+R121))</f>
        <v>0</v>
      </c>
      <c r="S19" s="28">
        <f>=IF(LEN(S82)=0,(R19*(1-R41))-S81+S92+S121,(R19-S81+S92+S121))</f>
        <v>0</v>
      </c>
      <c r="T19" s="28">
        <f>=IF(LEN(T82)=0,(S19*(1-S41))-T81+T92+T121,(S19-T81+T92+T121))</f>
        <v>0</v>
      </c>
      <c r="U19" s="28">
        <f>=IF(LEN(U82)=0,(T19*(1-T41))-U81+U92+U121,(T19-U81+U92+U121))</f>
        <v>0</v>
      </c>
      <c r="V19" s="28">
        <f>=IF(LEN(V82)=0,(U19*(1-U41))-V81+V92+V121,(U19-V81+V92+V121))</f>
        <v>0</v>
      </c>
      <c r="W19" s="28">
        <f>=IF(LEN(W82)=0,(V19*(1-V41))-W81+W92+W121,(V19-W81+W92+W121))</f>
        <v>0</v>
      </c>
      <c r="X19" s="28">
        <f>=IF(LEN(X82)=0,(W19*(1-W41))-X81+X92+X121,(W19-X81+X92+X121))</f>
        <v>0</v>
      </c>
      <c r="Y19" s="28">
        <f>=IF(LEN(Y82)=0,(X19*(1-X41))-Y81+Y92+Y121,(X19-Y81+Y92+Y121))</f>
        <v>0</v>
      </c>
      <c r="Z19" s="28">
        <f>=IF(LEN(Z82)=0,(Y19*(1-Y41))-Z81+Z92+Z121,(Y19-Z81+Z92+Z121))</f>
        <v>0</v>
      </c>
      <c r="AA19" s="28">
        <f>=IF(LEN(AA82)=0,(Z19*(1-Z41))-AA81+AA92+AA121,(Z19-AA81+AA92+AA121))</f>
        <v>0</v>
      </c>
      <c r="AB19" s="28">
        <f>=IF(LEN(AB82)=0,(AA19*(1-AA41))-AB81+AB92+AB121,(AA19-AB81+AB92+AB121))</f>
        <v>0</v>
      </c>
      <c r="AC19" s="28">
        <f>=IF(LEN(AC82)=0,(AB19*(1-AB41))-AC81+AC92+AC121,(AB19-AC81+AC92+AC121))</f>
        <v>0</v>
      </c>
      <c r="AD19" s="28">
        <f>=IF(LEN(AD82)=0,(AC19*(1-AC41))-AD81+AD92+AD121,(AC19-AD81+AD92+AD121))</f>
        <v>0</v>
      </c>
      <c r="AE19" s="28">
        <f>=IF(LEN(AE82)=0,(AD19*(1-AD41))-AE81+AE92+AE121,(AD19-AE81+AE92+AE121))</f>
        <v>0</v>
      </c>
      <c r="AF19" s="28">
        <f>=IF(LEN(AF82)=0,(AE19*(1-AE41))-AF81+AF92+AF121,(AE19-AF81+AF92+AF121))</f>
        <v>0</v>
      </c>
      <c r="AG19" s="29">
        <v>60</v>
      </c>
      <c r="AH19" s="28">
        <f>=IF(LEN(AH82)=0,(AG19*(1-AG41))-AH81+AH92+AH121,(AG19-AH81+AH92+AH121))</f>
        <v>62</v>
      </c>
      <c r="AI19" s="28">
        <f>=IF(LEN(AI82)=0,(AH19*(1-AH41))-AI81+AI92+AI121,(AH19-AI81+AI92+AI121))</f>
        <v>61</v>
      </c>
      <c r="AJ19" s="28">
        <f>=IF(LEN(AJ82)=0,(AI19*(1-AI41))-AJ81+AJ92+AJ121,(AI19-AJ81+AJ92+AJ121))</f>
        <v>61</v>
      </c>
      <c r="AK19" s="28">
        <f>=IF(LEN(AK82)=0,(AJ19*(1-AJ41))-AK81+AK92+AK121,(AJ19-AK81+AK92+AK121))</f>
        <v>64</v>
      </c>
      <c r="AL19" s="28">
        <f>=IF(LEN(AL82)=0,(AK19*(1-AK41))-AL81+AL92+AL121,(AK19-AL81+AL92+AL121))</f>
        <v>65</v>
      </c>
      <c r="AM19" s="28">
        <f>=IF(LEN(AM82)=0,(AL19*(1-AL41))-AM81+AM92+AM121,(AL19-AM81+AM92+AM121))</f>
        <v>64</v>
      </c>
      <c r="AN19" s="28">
        <f>=IF(LEN(AN82)=0,(AM19*(1-AM41))-AN81+AN92+AN121,(AM19-AN81+AN92+AN121))</f>
        <v>63</v>
      </c>
      <c r="AO19" s="28">
        <f>=IF(LEN(AO82)=0,(AN19*(1-AN41))-AO81+AO92+AO121,(AN19-AO81+AO92+AO121))</f>
        <v>95</v>
      </c>
      <c r="AP19" s="28">
        <f>=IF(LEN(AP82)=0,(AO19*(1-AO41))-AP81+AP92+AP121,(AO19-AP81+AP92+AP121))</f>
        <v>94</v>
      </c>
      <c r="AQ19" s="28">
        <f>=IF(LEN(AQ82)=0,(AP19*(1-AP41))-AQ81+AQ92+AQ121,(AP19-AQ81+AQ92+AQ121))</f>
        <v>86</v>
      </c>
      <c r="AR19" s="28">
        <f>=IF(LEN(AR82)=0,(AQ19*(1-AQ41))-AR81+AR92+AR121,(AQ19-AR81+AR92+AR121))</f>
        <v>108</v>
      </c>
      <c r="AS19" s="28">
        <f>=IF(LEN(AS82)=0,(AR19*(1-AR41))-AS81+AS92+AS121,(AR19-AS81+AS92+AS121))</f>
        <v>108</v>
      </c>
      <c r="AT19" s="28">
        <f>=IF(LEN(AT82)=0,(AS19*(1-AS41))-AT81+AT92+AT121,(AS19-AT81+AT92+AT121))</f>
        <v>106</v>
      </c>
      <c r="AU19" s="28">
        <f>=IF(LEN(AU82)=0,(AT19*(1-AT41))-AU81+AU92+AU121,(AT19-AU81+AU92+AU121))</f>
        <v>106</v>
      </c>
      <c r="AV19" s="28">
        <f>=IF(LEN(AV82)=0,(AU19*(1-AU41))-AV81+AV92+AV121,(AU19-AV81+AV92+AV121))</f>
        <v>109</v>
      </c>
      <c r="AW19" s="28">
        <f>=IF(LEN(AW82)=0,(AV19*(1-AV41))-AW81+AW92+AW121,(AV19-AW81+AW92+AW121))</f>
        <v>108</v>
      </c>
      <c r="AX19" s="28">
        <f>=IF(LEN(AX82)=0,(AW19*(1-AW41))-AX81+AX92+AX121,(AW19-AX81+AX92+AX121))</f>
        <v>108</v>
      </c>
      <c r="AY19" s="28">
        <f>=IF(LEN(AY82)=0,(AX19*(1-AX41))-AY81+AY92+AY121,(AX19-AY81+AY92+AY121))</f>
        <v>115</v>
      </c>
      <c r="AZ19" s="28">
        <f>=IF(LEN(AZ82)=0,(AY19*(1-AY41))-AZ81+AZ92+AZ121,(AY19-AZ81+AZ92+AZ121))</f>
        <v>112</v>
      </c>
      <c r="BA19" s="28">
        <f>=IF(LEN(BA82)=0,(AZ19*(1-AZ41))-BA81+BA92+BA121,(AZ19-BA81+BA92+BA121))</f>
        <v>111</v>
      </c>
      <c r="BB19" s="28">
        <f>=IF(LEN(BB82)=0,(BA19*(1-BA41))-BB81+BB92+BB121,(BA19-BB81+BB92+BB121))</f>
        <v>111</v>
      </c>
      <c r="BC19" s="28">
        <f>=IF(LEN(BC82)=0,(BB19*(1-BB41))-BC81+BC92+BC121,(BB19-BC81+BC92+BC121))</f>
        <v>127</v>
      </c>
      <c r="BD19" s="28">
        <f>=IF(LEN(BD82)=0,(BC19*(1-BC41))-BD81+BD92+BD121,(BC19-BD81+BD92+BD121))</f>
        <v>129</v>
      </c>
      <c r="BE19" s="28">
        <f>=IF(LEN(BE82)=0,(BD19*(1-BD41))-BE81+BE92+BE121,(BD19-BE81+BE92+BE121))</f>
        <v>128</v>
      </c>
      <c r="BF19" s="28">
        <f>=IF(LEN(BF82)=0,(BE19*(1-BE41))-BF81+BF92+BF121,(BE19-BF81+BF92+BF121))</f>
        <v>131</v>
      </c>
      <c r="BG19" s="28">
        <f>=IF(LEN(BG82)=0,(BF19*(1-BF41))-BG81+BG92+BG121,(BF19-BG81+BG92+BG121))</f>
        <v>129</v>
      </c>
      <c r="BH19" s="28">
        <f>=IF(LEN(BH82)=0,(BG19*(1-BG41))-BH81+BH92+BH121,(BG19-BH81+BH92+BH121))</f>
        <v>116</v>
      </c>
      <c r="BI19" s="28">
        <f>=IF(LEN(BI82)=0,(BH19*(1-BH41))-BI81+BI92+BI121,(BH19-BI81+BI92+BI121))</f>
        <v>116</v>
      </c>
      <c r="BJ19" s="28">
        <f>=IF(LEN(BJ82)=0,(BI19*(1-BI41))-BJ81+BJ92+BJ121,(BI19-BJ81+BJ92+BJ121))</f>
        <v>116</v>
      </c>
      <c r="BK19" s="28">
        <f>=IF(LEN(BK82)=0,(BJ19*(1-BJ41))-BK81+BK92+BK121,(BJ19-BK81+BK92+BK121))</f>
        <v>115</v>
      </c>
      <c r="BL19" s="28">
        <f>=IF(LEN(BL82)=0,(BK19*(1-BK41))-BL81+BL92+BL121,(BK19-BL81+BL92+BL121))</f>
        <v>138</v>
      </c>
      <c r="BM19" s="28">
        <f>=IF(LEN(BM82)=0,(BL19*(1-BL41))-BM81+BM92+BM121,(BL19-BM81+BM92+BM121))</f>
        <v>137</v>
      </c>
      <c r="BN19" s="28">
        <f>=IF(LEN(BN82)=0,(BM19*(1-BM41))-BN81+BN92+BN121,(BM19-BN81+BN92+BN121))</f>
        <v>135.4519</v>
      </c>
      <c r="BO19" s="28">
        <f>=IF(LEN(BO82)=0,(BN19*(1-BN41))-BO81+BO92+BO121,(BN19-BO81+BO92+BO121))</f>
        <v>133.92129353</v>
      </c>
      <c r="BP19" s="28">
        <f>=IF(LEN(BP82)=0,(BO19*(1-BO41))-BP81+BP92+BP121,(BO19-BP81+BP92+BP121))</f>
        <v>132.407982913111</v>
      </c>
      <c r="BQ19" s="28">
        <f>=IF(LEN(BQ82)=0,(BP19*(1-BP41))-BQ81+BQ92+BQ121,(BP19-BQ81+BQ92+BQ121))</f>
        <v>131.216311066893</v>
      </c>
      <c r="BR19" s="28">
        <f>=IF(LEN(BR82)=0,(BQ19*(1-BQ41))-BR81+BR92+BR121,(BQ19-BR81+BR92+BR121))</f>
        <v>130.03536426729096</v>
      </c>
      <c r="BS19" s="28">
        <f>=IF(LEN(BS82)=0,(BR19*(1-BR41))-BS81+BS92+BS121,(BR19-BS81+BS92+BS121))</f>
        <v>128.86504598888538</v>
      </c>
      <c r="BT19" s="28">
        <f>=IF(LEN(BT82)=0,(BS19*(1-BS41))-BT81+BT92+BT121,(BS19-BT81+BT92+BT121))</f>
        <v>127.70526057498542</v>
      </c>
      <c r="BU19" s="28">
        <f>=IF(LEN(BU82)=0,(BT19*(1-BT41))-BU81+BU92+BU121,(BT19-BU81+BU92+BU121))</f>
        <v>129.55591322981056</v>
      </c>
      <c r="BV19" s="28">
        <f>=IF(LEN(BV82)=0,(BU19*(1-BU41))-BV81+BV92+BV121,(BU19-BV81+BV92+BV121))</f>
        <v>128.09193141031372</v>
      </c>
      <c r="BW19" s="28">
        <f>=IF(LEN(BW82)=0,(BV19*(1-BV41))-BW81+BW92+BW121,(BV19-BW81+BW92+BW121))</f>
        <v>126.64449258537718</v>
      </c>
      <c r="BX19" s="28">
        <f>=IF(LEN(BX82)=0,(BW19*(1-BW41))-BX81+BX92+BX121,(BW19-BX81+BX92+BX121))</f>
        <v>125.21340981916242</v>
      </c>
      <c r="BY19" s="28">
        <f>=IF(LEN(BY82)=0,(BX19*(1-BX41))-BY81+BY92+BY121,(BX19-BY81+BY92+BY121))</f>
        <v>123.7984982882059</v>
      </c>
      <c r="BZ19" s="28">
        <f>=IF(LEN(BZ82)=0,(BY19*(1-BY41))-BZ81+BZ92+BZ121,(BY19-BZ81+BZ92+BZ121))</f>
        <v>127.39957525754917</v>
      </c>
      <c r="CA19" s="28">
        <f>=IF(LEN(CA82)=0,(BZ19*(1-BZ41))-CA81+CA92+CA121,(BZ19-CA81+CA92+CA121))</f>
        <v>125.95996005713889</v>
      </c>
      <c r="CB19" s="28">
        <f>=IF(LEN(CB82)=0,(CA19*(1-CA41))-CB81+CB92+CB121,(CA19-CB81+CB92+CB121))</f>
        <v>124.53661250849322</v>
      </c>
      <c r="CC19" s="28">
        <f>=IF(LEN(CC82)=0,(CB19*(1-CB41))-CC81+CC92+CC121,(CB19-CC81+CC92+CC121))</f>
        <v>123.12934878714726</v>
      </c>
      <c r="CD19" s="28">
        <f>=IF(LEN(CD82)=0,(CC19*(1-CC41))-CD81+CD92+CD121,(CC19-CD81+CD92+CD121))</f>
        <v>121.52866725291435</v>
      </c>
      <c r="CE19" s="28">
        <f>=IF(LEN(CE82)=0,(CD19*(1-CD41))-CE81+CE92+CE121,(CD19-CE81+CE92+CE121))</f>
        <v>119.94879457862643</v>
      </c>
      <c r="CF19" s="28">
        <f>=IF(LEN(CF82)=0,(CE19*(1-CE41))-CF81+CF92+CF121,(CE19-CF81+CF92+CF121))</f>
        <v>118.3894602491043</v>
      </c>
      <c r="CG19" s="28">
        <f>=IF(LEN(CG82)=0,(CF19*(1-CF41))-CG81+CG92+CG121,(CF19-CG81+CG92+CG121))</f>
        <v>116.85039726586594</v>
      </c>
      <c r="CH19" s="28">
        <f>=IF(LEN(CH82)=0,(CG19*(1-CG41))-CH81+CH92+CH121,(CG19-CH81+CH92+CH121))</f>
        <v>115.3313421014097</v>
      </c>
      <c r="CI19" s="28">
        <f>=IF(LEN(CI82)=0,(CH19*(1-CH41))-CI81+CI92+CI121,(CH19-CI81+CI92+CI121))</f>
        <v>113.83203465409136</v>
      </c>
      <c r="CJ19" s="28">
        <f>=IF(LEN(CJ82)=0,(CI19*(1-CI41))-CJ81+CJ92+CJ121,(CI19-CJ81+CJ92+CJ121))</f>
        <v>112.35221820358818</v>
      </c>
      <c r="CK19" s="28">
        <f>=IF(LEN(CK82)=0,(CJ19*(1-CJ41))-CK81+CK92+CK121,(CJ19-CK81+CK92+CK121))</f>
        <v>110.89163936694155</v>
      </c>
      <c r="CL19" s="28">
        <f>=IF(LEN(CL82)=0,(CK19*(1-CK41))-CL81+CL92+CL121,(CK19-CL81+CL92+CL121))</f>
        <v>109.4500480551713</v>
      </c>
      <c r="CM19" s="28">
        <f>=IF(LEN(CM82)=0,(CL19*(1-CL41))-CM81+CM92+CM121,(CL19-CM81+CM92+CM121))</f>
        <v>108.02719743045407</v>
      </c>
      <c r="CN19" s="28">
        <f>=IF(LEN(CN82)=0,(CM19*(1-CM41))-CN81+CN92+CN121,(CM19-CN81+CN92+CN121))</f>
        <v>106.62284386385817</v>
      </c>
      <c r="CO19" s="28">
        <f>=IF(LEN(CO82)=0,(CN19*(1-CN41))-CO81+CO92+CO121,(CN19-CO81+CO92+CO121))</f>
        <v>105.236746893628</v>
      </c>
      <c r="CP19" s="28">
        <f>=IF(LEN(CP82)=0,(CO19*(1-CO41))-CP81+CP92+CP121,(CO19-CP81+CP92+CP121))</f>
        <v>103.86866918401084</v>
      </c>
      <c r="CQ19" s="28">
        <f>=IF(LEN(CQ82)=0,(CP19*(1-CP41))-CQ81+CQ92+CQ121,(CP19-CQ81+CQ92+CQ121))</f>
        <v>102.51837648461871</v>
      </c>
      <c r="CR19" s="28">
        <f>=IF(LEN(CR82)=0,(CQ19*(1-CQ41))-CR81+CR92+CR121,(CQ19-CR81+CR92+CR121))</f>
        <v>101.18563759031868</v>
      </c>
      <c r="CS19" s="28">
        <f>=IF(LEN(CS82)=0,(CR19*(1-CR41))-CS81+CS92+CS121,(CR19-CS81+CS92+CS121))</f>
        <v>99.87022430164455</v>
      </c>
      <c r="CT19" s="28">
        <f>=IF(LEN(CT82)=0,(CS19*(1-CS41))-CT81+CT92+CT121,(CS19-CT81+CT92+CT121))</f>
        <v>98.57191138572318</v>
      </c>
      <c r="CU19" s="28">
        <f>=IF(LEN(CU82)=0,(CT19*(1-CT41))-CU81+CU92+CU121,(CT19-CU81+CU92+CU121))</f>
        <v>97.29047653770878</v>
      </c>
      <c r="CV19" s="28">
        <f>=IF(LEN(CV82)=0,(CU19*(1-CU41))-CV81+CV92+CV121,(CU19-CV81+CV92+CV121))</f>
        <v>96.02570034271857</v>
      </c>
      <c r="CW19" s="28">
        <f>=IF(LEN(CW82)=0,(CV19*(1-CV41))-CW81+CW92+CW121,(CV19-CW81+CW92+CW121))</f>
        <v>94.77736623826323</v>
      </c>
      <c r="CX19" s="28">
        <f>=IF(LEN(CX82)=0,(CW19*(1-CW41))-CX81+CX92+CX121,(CW19-CX81+CX92+CX121))</f>
        <v>93.5452604771658</v>
      </c>
      <c r="CY19" s="28">
        <f>=IF(LEN(CY82)=0,(CX19*(1-CX41))-CY81+CY92+CY121,(CX19-CY81+CY92+CY121))</f>
        <v>92.32917209096264</v>
      </c>
      <c r="CZ19" s="28">
        <f>=IF(LEN(CZ82)=0,(CY19*(1-CY41))-CZ81+CZ92+CZ121,(CY19-CZ81+CZ92+CZ121))</f>
        <v>91.12889285378012</v>
      </c>
      <c r="DA19" s="28">
        <f>=IF(LEN(DA82)=0,(CZ19*(1-CZ41))-DA81+DA92+DA121,(CZ19-DA81+DA92+DA121))</f>
        <v>89.94421724668098</v>
      </c>
      <c r="DB19" s="28">
        <f>=IF(LEN(DB82)=0,(DA19*(1-DA41))-DB81+DB92+DB121,(DA19-DB81+DB92+DB121))</f>
        <v>88.77494242247413</v>
      </c>
    </row>
    <row r="20" spans="1:106" x14ac:dyDescent="0.25">
      <c r="A20" s="27" t="s">
        <v>254</v>
      </c>
      <c r="C20" s="28">
        <f>=SUM(C112:C114)</f>
        <v>0</v>
      </c>
      <c r="D20" s="28">
        <f>=SUM(D112:D114)</f>
        <v>0</v>
      </c>
      <c r="E20" s="28">
        <f>=SUM(E112:E114)</f>
        <v>0</v>
      </c>
      <c r="F20" s="28">
        <f>=SUM(F112:F114)</f>
        <v>0</v>
      </c>
      <c r="G20" s="28">
        <f>=SUM(G112:G114)</f>
        <v>0</v>
      </c>
      <c r="H20" s="28">
        <f>=SUM(H112:H114)</f>
        <v>0</v>
      </c>
      <c r="I20" s="28">
        <f>=SUM(I112:I114)</f>
        <v>0</v>
      </c>
      <c r="J20" s="28">
        <f>=SUM(J112:J114)</f>
        <v>0</v>
      </c>
      <c r="K20" s="28">
        <f>=SUM(K112:K114)</f>
        <v>0</v>
      </c>
      <c r="L20" s="28">
        <f>=SUM(L112:L114)</f>
        <v>0</v>
      </c>
      <c r="M20" s="28">
        <f>=SUM(M112:M114)</f>
        <v>0</v>
      </c>
      <c r="N20" s="28">
        <f>=SUM(N112:N114)</f>
        <v>0</v>
      </c>
      <c r="O20" s="28">
        <f>=SUM(O112:O114)</f>
        <v>0</v>
      </c>
      <c r="P20" s="28">
        <f>=SUM(P112:P114)</f>
        <v>0</v>
      </c>
      <c r="Q20" s="28">
        <f>=SUM(Q112:Q114)</f>
        <v>0</v>
      </c>
      <c r="R20" s="28">
        <f>=SUM(R112:R114)</f>
        <v>0</v>
      </c>
      <c r="S20" s="28">
        <f>=SUM(S112:S114)</f>
        <v>0</v>
      </c>
      <c r="T20" s="28">
        <f>=SUM(T112:T114)</f>
        <v>0</v>
      </c>
      <c r="U20" s="28">
        <f>=SUM(U112:U114)</f>
        <v>0</v>
      </c>
      <c r="V20" s="28">
        <f>=SUM(V112:V114)</f>
        <v>0</v>
      </c>
      <c r="W20" s="28">
        <f>=SUM(W112:W114)</f>
        <v>0</v>
      </c>
      <c r="X20" s="28">
        <f>=SUM(X112:X114)</f>
        <v>0</v>
      </c>
      <c r="Y20" s="28">
        <f>=SUM(Y112:Y114)</f>
        <v>0</v>
      </c>
      <c r="Z20" s="28">
        <f>=SUM(Z112:Z114)</f>
        <v>0</v>
      </c>
      <c r="AA20" s="28">
        <f>=SUM(AA112:AA114)</f>
        <v>0</v>
      </c>
      <c r="AB20" s="28">
        <f>=SUM(AB112:AB114)</f>
        <v>0</v>
      </c>
      <c r="AC20" s="28">
        <f>=SUM(AC112:AC114)</f>
        <v>0</v>
      </c>
      <c r="AD20" s="28">
        <f>=SUM(AD112:AD114)</f>
        <v>0</v>
      </c>
      <c r="AE20" s="28">
        <f>=SUM(AE112:AE114)</f>
        <v>0</v>
      </c>
      <c r="AF20" s="28">
        <f>=SUM(AF112:AF114)</f>
        <v>0</v>
      </c>
      <c r="AG20" s="28">
        <f>=SUM(AG112:AG114)</f>
        <v>0</v>
      </c>
      <c r="AH20" s="28">
        <f>=SUM(AH112:AH114)</f>
        <v>0</v>
      </c>
      <c r="AI20" s="28">
        <f>=SUM(AI112:AI114)</f>
        <v>0</v>
      </c>
      <c r="AJ20" s="28">
        <f>=SUM(AJ112:AJ114)</f>
        <v>0</v>
      </c>
      <c r="AK20" s="28">
        <f>=SUM(AK112:AK114)</f>
        <v>0</v>
      </c>
      <c r="AL20" s="28">
        <f>=SUM(AL112:AL114)</f>
        <v>0</v>
      </c>
      <c r="AM20" s="28">
        <f>=SUM(AM112:AM114)</f>
        <v>0</v>
      </c>
      <c r="AN20" s="28">
        <f>=SUM(AN112:AN114)</f>
        <v>0</v>
      </c>
      <c r="AO20" s="28">
        <f>=SUM(AO112:AO114)</f>
        <v>0</v>
      </c>
      <c r="AP20" s="28">
        <f>=SUM(AP112:AP114)</f>
        <v>0</v>
      </c>
      <c r="AQ20" s="28">
        <f>=SUM(AQ112:AQ114)</f>
        <v>0</v>
      </c>
      <c r="AR20" s="28">
        <f>=SUM(AR112:AR114)</f>
        <v>0</v>
      </c>
      <c r="AS20" s="28">
        <f>=SUM(AS112:AS114)</f>
        <v>0</v>
      </c>
      <c r="AT20" s="28">
        <f>=SUM(AT112:AT114)</f>
        <v>0</v>
      </c>
      <c r="AU20" s="28">
        <f>=SUM(AU112:AU114)</f>
        <v>0</v>
      </c>
      <c r="AV20" s="28">
        <f>=SUM(AV112:AV114)</f>
        <v>0</v>
      </c>
      <c r="AW20" s="28">
        <f>=SUM(AW112:AW114)</f>
        <v>0</v>
      </c>
      <c r="AX20" s="28">
        <f>=SUM(AX112:AX114)</f>
        <v>0</v>
      </c>
      <c r="AY20" s="28">
        <f>=SUM(AY112:AY114)</f>
        <v>0</v>
      </c>
      <c r="AZ20" s="28">
        <f>=SUM(AZ112:AZ114)</f>
        <v>0</v>
      </c>
      <c r="BA20" s="28">
        <f>=SUM(BA112:BA114)</f>
        <v>0</v>
      </c>
      <c r="BB20" s="28">
        <f>=SUM(BB112:BB114)</f>
        <v>0</v>
      </c>
      <c r="BC20" s="28">
        <f>=SUM(BC112:BC114)</f>
        <v>0</v>
      </c>
      <c r="BD20" s="28">
        <f>=SUM(BD112:BD114)</f>
        <v>0</v>
      </c>
      <c r="BE20" s="28">
        <f>=SUM(BE112:BE114)</f>
        <v>0</v>
      </c>
      <c r="BF20" s="28">
        <f>=SUM(BF112:BF114)</f>
        <v>0</v>
      </c>
      <c r="BG20" s="28">
        <f>=SUM(BG112:BG114)</f>
        <v>0</v>
      </c>
      <c r="BH20" s="28">
        <f>=SUM(BH112:BH114)</f>
        <v>0</v>
      </c>
      <c r="BI20" s="28">
        <f>=SUM(BI112:BI114)</f>
        <v>0</v>
      </c>
      <c r="BJ20" s="28">
        <f>=SUM(BJ112:BJ114)</f>
        <v>0</v>
      </c>
      <c r="BK20" s="28">
        <f>=SUM(BK112:BK114)</f>
        <v>0</v>
      </c>
      <c r="BL20" s="28">
        <f>=SUM(BL112:BL114)</f>
        <v>0</v>
      </c>
      <c r="BM20" s="28">
        <f>=SUM(BM112:BM114)</f>
        <v>0</v>
      </c>
      <c r="BN20" s="28">
        <f>=SUM(BN112:BN114)</f>
        <v>0</v>
      </c>
      <c r="BO20" s="28">
        <f>=SUM(BO112:BO114)</f>
        <v>0</v>
      </c>
      <c r="BP20" s="28">
        <f>=SUM(BP112:BP114)</f>
        <v>0</v>
      </c>
      <c r="BQ20" s="28">
        <f>=SUM(BQ112:BQ114)</f>
        <v>0</v>
      </c>
      <c r="BR20" s="28">
        <f>=SUM(BR112:BR114)</f>
        <v>0</v>
      </c>
      <c r="BS20" s="28">
        <f>=SUM(BS112:BS114)</f>
        <v>0</v>
      </c>
      <c r="BT20" s="28">
        <f>=SUM(BT112:BT114)</f>
        <v>0</v>
      </c>
      <c r="BU20" s="28">
        <f>=SUM(BU112:BU114)</f>
        <v>0</v>
      </c>
      <c r="BV20" s="28">
        <f>=SUM(BV112:BV114)</f>
        <v>0</v>
      </c>
      <c r="BW20" s="28">
        <f>=SUM(BW112:BW114)</f>
        <v>0</v>
      </c>
      <c r="BX20" s="28">
        <f>=SUM(BX112:BX114)</f>
        <v>0</v>
      </c>
      <c r="BY20" s="28">
        <f>=SUM(BY112:BY114)</f>
        <v>0</v>
      </c>
      <c r="BZ20" s="28">
        <f>=SUM(BZ112:BZ114)</f>
        <v>0</v>
      </c>
      <c r="CA20" s="28">
        <f>=SUM(CA112:CA114)</f>
        <v>0</v>
      </c>
      <c r="CB20" s="28">
        <f>=SUM(CB112:CB114)</f>
        <v>0</v>
      </c>
      <c r="CC20" s="28">
        <f>=SUM(CC112:CC114)</f>
        <v>0</v>
      </c>
      <c r="CD20" s="28">
        <f>=SUM(CD112:CD114)</f>
        <v>0</v>
      </c>
      <c r="CE20" s="28">
        <f>=SUM(CE112:CE114)</f>
        <v>0</v>
      </c>
      <c r="CF20" s="28">
        <f>=SUM(CF112:CF114)</f>
        <v>0</v>
      </c>
      <c r="CG20" s="28">
        <f>=SUM(CG112:CG114)</f>
        <v>0</v>
      </c>
      <c r="CH20" s="28">
        <f>=SUM(CH112:CH114)</f>
        <v>0</v>
      </c>
      <c r="CI20" s="28">
        <f>=SUM(CI112:CI114)</f>
        <v>0</v>
      </c>
      <c r="CJ20" s="28">
        <f>=SUM(CJ112:CJ114)</f>
        <v>0</v>
      </c>
      <c r="CK20" s="28">
        <f>=SUM(CK112:CK114)</f>
        <v>0</v>
      </c>
      <c r="CL20" s="28">
        <f>=SUM(CL112:CL114)</f>
        <v>0</v>
      </c>
      <c r="CM20" s="28">
        <f>=SUM(CM112:CM114)</f>
        <v>0</v>
      </c>
      <c r="CN20" s="28">
        <f>=SUM(CN112:CN114)</f>
        <v>0</v>
      </c>
      <c r="CO20" s="28">
        <f>=SUM(CO112:CO114)</f>
        <v>0</v>
      </c>
      <c r="CP20" s="28">
        <f>=SUM(CP112:CP114)</f>
        <v>0</v>
      </c>
      <c r="CQ20" s="28">
        <f>=SUM(CQ112:CQ114)</f>
        <v>0</v>
      </c>
      <c r="CR20" s="28">
        <f>=SUM(CR112:CR114)</f>
        <v>0</v>
      </c>
      <c r="CS20" s="28">
        <f>=SUM(CS112:CS114)</f>
        <v>0</v>
      </c>
      <c r="CT20" s="28">
        <f>=SUM(CT112:CT114)</f>
        <v>0</v>
      </c>
      <c r="CU20" s="28">
        <f>=SUM(CU112:CU114)</f>
        <v>0</v>
      </c>
      <c r="CV20" s="28">
        <f>=SUM(CV112:CV114)</f>
        <v>0</v>
      </c>
      <c r="CW20" s="28">
        <f>=SUM(CW112:CW114)</f>
        <v>0</v>
      </c>
      <c r="CX20" s="28">
        <f>=SUM(CX112:CX114)</f>
        <v>0</v>
      </c>
      <c r="CY20" s="28">
        <f>=SUM(CY112:CY114)</f>
        <v>0</v>
      </c>
      <c r="CZ20" s="28">
        <f>=SUM(CZ112:CZ114)</f>
        <v>0</v>
      </c>
      <c r="DA20" s="28">
        <f>=SUM(DA112:DA114)</f>
        <v>0</v>
      </c>
      <c r="DB20" s="28">
        <f>=SUM(DB112:DB114)</f>
        <v>0</v>
      </c>
    </row>
    <row r="21" spans="1:106" x14ac:dyDescent="0.25">
      <c r="A21" s="27" t="s">
        <v>255</v>
      </c>
      <c r="C21" s="28">
        <f>=SUM(C115:C116)</f>
        <v>0</v>
      </c>
      <c r="D21" s="28">
        <f>=SUM(D115:D116)</f>
        <v>0</v>
      </c>
      <c r="E21" s="28">
        <f>=SUM(E115:E116)</f>
        <v>0</v>
      </c>
      <c r="F21" s="28">
        <f>=SUM(F115:F116)</f>
        <v>0</v>
      </c>
      <c r="G21" s="28">
        <f>=SUM(G115:G116)</f>
        <v>0</v>
      </c>
      <c r="H21" s="28">
        <f>=SUM(H115:H116)</f>
        <v>0</v>
      </c>
      <c r="I21" s="28">
        <f>=SUM(I115:I116)</f>
        <v>0</v>
      </c>
      <c r="J21" s="28">
        <f>=SUM(J115:J116)</f>
        <v>0</v>
      </c>
      <c r="K21" s="28">
        <f>=SUM(K115:K116)</f>
        <v>0</v>
      </c>
      <c r="L21" s="28">
        <f>=SUM(L115:L116)</f>
        <v>0</v>
      </c>
      <c r="M21" s="28">
        <f>=SUM(M115:M116)</f>
        <v>0</v>
      </c>
      <c r="N21" s="28">
        <f>=SUM(N115:N116)</f>
        <v>0</v>
      </c>
      <c r="O21" s="28">
        <f>=SUM(O115:O116)</f>
        <v>0</v>
      </c>
      <c r="P21" s="28">
        <f>=SUM(P115:P116)</f>
        <v>0</v>
      </c>
      <c r="Q21" s="28">
        <f>=SUM(Q115:Q116)</f>
        <v>0</v>
      </c>
      <c r="R21" s="28">
        <f>=SUM(R115:R116)</f>
        <v>0</v>
      </c>
      <c r="S21" s="28">
        <f>=SUM(S115:S116)</f>
        <v>0</v>
      </c>
      <c r="T21" s="28">
        <f>=SUM(T115:T116)</f>
        <v>0</v>
      </c>
      <c r="U21" s="28">
        <f>=SUM(U115:U116)</f>
        <v>0</v>
      </c>
      <c r="V21" s="28">
        <f>=SUM(V115:V116)</f>
        <v>0</v>
      </c>
      <c r="W21" s="28">
        <f>=SUM(W115:W116)</f>
        <v>0</v>
      </c>
      <c r="X21" s="28">
        <f>=SUM(X115:X116)</f>
        <v>0</v>
      </c>
      <c r="Y21" s="28">
        <f>=SUM(Y115:Y116)</f>
        <v>0</v>
      </c>
      <c r="Z21" s="28">
        <f>=SUM(Z115:Z116)</f>
        <v>0</v>
      </c>
      <c r="AA21" s="28">
        <f>=SUM(AA115:AA116)</f>
        <v>0</v>
      </c>
      <c r="AB21" s="28">
        <f>=SUM(AB115:AB116)</f>
        <v>0</v>
      </c>
      <c r="AC21" s="28">
        <f>=SUM(AC115:AC116)</f>
        <v>0</v>
      </c>
      <c r="AD21" s="28">
        <f>=SUM(AD115:AD116)</f>
        <v>0</v>
      </c>
      <c r="AE21" s="28">
        <f>=SUM(AE115:AE116)</f>
        <v>0</v>
      </c>
      <c r="AF21" s="28">
        <f>=SUM(AF115:AF116)</f>
        <v>0</v>
      </c>
      <c r="AG21" s="28">
        <f>=SUM(AG115:AG116)</f>
        <v>0</v>
      </c>
      <c r="AH21" s="28">
        <f>=SUM(AH115:AH116)</f>
        <v>0</v>
      </c>
      <c r="AI21" s="28">
        <f>=SUM(AI115:AI116)</f>
        <v>0</v>
      </c>
      <c r="AJ21" s="28">
        <f>=SUM(AJ115:AJ116)</f>
        <v>0</v>
      </c>
      <c r="AK21" s="28">
        <f>=SUM(AK115:AK116)</f>
        <v>0</v>
      </c>
      <c r="AL21" s="28">
        <f>=SUM(AL115:AL116)</f>
        <v>0</v>
      </c>
      <c r="AM21" s="28">
        <f>=SUM(AM115:AM116)</f>
        <v>0</v>
      </c>
      <c r="AN21" s="28">
        <f>=SUM(AN115:AN116)</f>
        <v>0</v>
      </c>
      <c r="AO21" s="28">
        <f>=SUM(AO115:AO116)</f>
        <v>0</v>
      </c>
      <c r="AP21" s="28">
        <f>=SUM(AP115:AP116)</f>
        <v>0</v>
      </c>
      <c r="AQ21" s="28">
        <f>=SUM(AQ115:AQ116)</f>
        <v>0</v>
      </c>
      <c r="AR21" s="28">
        <f>=SUM(AR115:AR116)</f>
        <v>0</v>
      </c>
      <c r="AS21" s="28">
        <f>=SUM(AS115:AS116)</f>
        <v>0</v>
      </c>
      <c r="AT21" s="28">
        <f>=SUM(AT115:AT116)</f>
        <v>0</v>
      </c>
      <c r="AU21" s="28">
        <f>=SUM(AU115:AU116)</f>
        <v>0</v>
      </c>
      <c r="AV21" s="28">
        <f>=SUM(AV115:AV116)</f>
        <v>0</v>
      </c>
      <c r="AW21" s="28">
        <f>=SUM(AW115:AW116)</f>
        <v>0</v>
      </c>
      <c r="AX21" s="28">
        <f>=SUM(AX115:AX116)</f>
        <v>0</v>
      </c>
      <c r="AY21" s="28">
        <f>=SUM(AY115:AY116)</f>
        <v>0</v>
      </c>
      <c r="AZ21" s="28">
        <f>=SUM(AZ115:AZ116)</f>
        <v>0</v>
      </c>
      <c r="BA21" s="28">
        <f>=SUM(BA115:BA116)</f>
        <v>0</v>
      </c>
      <c r="BB21" s="28">
        <f>=SUM(BB115:BB116)</f>
        <v>0</v>
      </c>
      <c r="BC21" s="28">
        <f>=SUM(BC115:BC116)</f>
        <v>0</v>
      </c>
      <c r="BD21" s="28">
        <f>=SUM(BD115:BD116)</f>
        <v>0</v>
      </c>
      <c r="BE21" s="28">
        <f>=SUM(BE115:BE116)</f>
        <v>0</v>
      </c>
      <c r="BF21" s="28">
        <f>=SUM(BF115:BF116)</f>
        <v>0</v>
      </c>
      <c r="BG21" s="28">
        <f>=SUM(BG115:BG116)</f>
        <v>0</v>
      </c>
      <c r="BH21" s="28">
        <f>=SUM(BH115:BH116)</f>
        <v>0</v>
      </c>
      <c r="BI21" s="28">
        <f>=SUM(BI115:BI116)</f>
        <v>0</v>
      </c>
      <c r="BJ21" s="28">
        <f>=SUM(BJ115:BJ116)</f>
        <v>0</v>
      </c>
      <c r="BK21" s="28">
        <f>=SUM(BK115:BK116)</f>
        <v>0</v>
      </c>
      <c r="BL21" s="28">
        <f>=SUM(BL115:BL116)</f>
        <v>0</v>
      </c>
      <c r="BM21" s="28">
        <f>=SUM(BM115:BM116)</f>
        <v>0</v>
      </c>
      <c r="BN21" s="28">
        <f>=SUM(BN115:BN116)</f>
        <v>0</v>
      </c>
      <c r="BO21" s="28">
        <f>=SUM(BO115:BO116)</f>
        <v>0</v>
      </c>
      <c r="BP21" s="28">
        <f>=SUM(BP115:BP116)</f>
        <v>0</v>
      </c>
      <c r="BQ21" s="28">
        <f>=SUM(BQ115:BQ116)</f>
        <v>0</v>
      </c>
      <c r="BR21" s="28">
        <f>=SUM(BR115:BR116)</f>
        <v>0</v>
      </c>
      <c r="BS21" s="28">
        <f>=SUM(BS115:BS116)</f>
        <v>0</v>
      </c>
      <c r="BT21" s="28">
        <f>=SUM(BT115:BT116)</f>
        <v>0</v>
      </c>
      <c r="BU21" s="28">
        <f>=SUM(BU115:BU116)</f>
        <v>0</v>
      </c>
      <c r="BV21" s="28">
        <f>=SUM(BV115:BV116)</f>
        <v>0</v>
      </c>
      <c r="BW21" s="28">
        <f>=SUM(BW115:BW116)</f>
        <v>0</v>
      </c>
      <c r="BX21" s="28">
        <f>=SUM(BX115:BX116)</f>
        <v>0</v>
      </c>
      <c r="BY21" s="28">
        <f>=SUM(BY115:BY116)</f>
        <v>0</v>
      </c>
      <c r="BZ21" s="28">
        <f>=SUM(BZ115:BZ116)</f>
        <v>0</v>
      </c>
      <c r="CA21" s="28">
        <f>=SUM(CA115:CA116)</f>
        <v>0</v>
      </c>
      <c r="CB21" s="28">
        <f>=SUM(CB115:CB116)</f>
        <v>0</v>
      </c>
      <c r="CC21" s="28">
        <f>=SUM(CC115:CC116)</f>
        <v>0</v>
      </c>
      <c r="CD21" s="28">
        <f>=SUM(CD115:CD116)</f>
        <v>0</v>
      </c>
      <c r="CE21" s="28">
        <f>=SUM(CE115:CE116)</f>
        <v>0</v>
      </c>
      <c r="CF21" s="28">
        <f>=SUM(CF115:CF116)</f>
        <v>0</v>
      </c>
      <c r="CG21" s="28">
        <f>=SUM(CG115:CG116)</f>
        <v>0</v>
      </c>
      <c r="CH21" s="28">
        <f>=SUM(CH115:CH116)</f>
        <v>0</v>
      </c>
      <c r="CI21" s="28">
        <f>=SUM(CI115:CI116)</f>
        <v>0</v>
      </c>
      <c r="CJ21" s="28">
        <f>=SUM(CJ115:CJ116)</f>
        <v>0</v>
      </c>
      <c r="CK21" s="28">
        <f>=SUM(CK115:CK116)</f>
        <v>0</v>
      </c>
      <c r="CL21" s="28">
        <f>=SUM(CL115:CL116)</f>
        <v>0</v>
      </c>
      <c r="CM21" s="28">
        <f>=SUM(CM115:CM116)</f>
        <v>0</v>
      </c>
      <c r="CN21" s="28">
        <f>=SUM(CN115:CN116)</f>
        <v>0</v>
      </c>
      <c r="CO21" s="28">
        <f>=SUM(CO115:CO116)</f>
        <v>0</v>
      </c>
      <c r="CP21" s="28">
        <f>=SUM(CP115:CP116)</f>
        <v>0</v>
      </c>
      <c r="CQ21" s="28">
        <f>=SUM(CQ115:CQ116)</f>
        <v>0</v>
      </c>
      <c r="CR21" s="28">
        <f>=SUM(CR115:CR116)</f>
        <v>0</v>
      </c>
      <c r="CS21" s="28">
        <f>=SUM(CS115:CS116)</f>
        <v>0</v>
      </c>
      <c r="CT21" s="28">
        <f>=SUM(CT115:CT116)</f>
        <v>0</v>
      </c>
      <c r="CU21" s="28">
        <f>=SUM(CU115:CU116)</f>
        <v>0</v>
      </c>
      <c r="CV21" s="28">
        <f>=SUM(CV115:CV116)</f>
        <v>0</v>
      </c>
      <c r="CW21" s="28">
        <f>=SUM(CW115:CW116)</f>
        <v>0</v>
      </c>
      <c r="CX21" s="28">
        <f>=SUM(CX115:CX116)</f>
        <v>0</v>
      </c>
      <c r="CY21" s="28">
        <f>=SUM(CY115:CY116)</f>
        <v>0</v>
      </c>
      <c r="CZ21" s="28">
        <f>=SUM(CZ115:CZ116)</f>
        <v>0</v>
      </c>
      <c r="DA21" s="28">
        <f>=SUM(DA115:DA116)</f>
        <v>0</v>
      </c>
      <c r="DB21" s="28">
        <f>=SUM(DB115:DB116)</f>
        <v>0</v>
      </c>
    </row>
    <row r="22" spans="1:106" x14ac:dyDescent="0.25">
      <c r="A22" s="27" t="s">
        <v>256</v>
      </c>
      <c r="C22" s="28">
        <f>=SUM(C117:C118)</f>
        <v>0</v>
      </c>
      <c r="D22" s="28">
        <f>=SUM(D117:D118)</f>
        <v>0</v>
      </c>
      <c r="E22" s="28">
        <f>=SUM(E117:E118)</f>
        <v>0</v>
      </c>
      <c r="F22" s="28">
        <f>=SUM(F117:F118)</f>
        <v>0</v>
      </c>
      <c r="G22" s="28">
        <f>=SUM(G117:G118)</f>
        <v>0</v>
      </c>
      <c r="H22" s="28">
        <f>=SUM(H117:H118)</f>
        <v>0</v>
      </c>
      <c r="I22" s="28">
        <v>0</v>
      </c>
      <c r="J22" s="28">
        <f>=SUM(J117:J118)</f>
        <v>0</v>
      </c>
      <c r="K22" s="28">
        <f>=SUM(K117:K118)</f>
        <v>0</v>
      </c>
      <c r="L22" s="28">
        <f>=SUM(L117:L118)</f>
        <v>0</v>
      </c>
      <c r="M22" s="28">
        <f>=SUM(M117:M118)</f>
        <v>0</v>
      </c>
      <c r="N22" s="28">
        <f>=SUM(N117:N118)</f>
        <v>0</v>
      </c>
      <c r="O22" s="28">
        <f>=SUM(O117:O118)</f>
        <v>0</v>
      </c>
      <c r="P22" s="28">
        <f>=SUM(P117:P118)</f>
        <v>0</v>
      </c>
      <c r="Q22" s="28">
        <f>=SUM(Q117:Q118)</f>
        <v>0</v>
      </c>
      <c r="R22" s="28">
        <f>=SUM(R117:R118)</f>
        <v>0</v>
      </c>
      <c r="S22" s="28">
        <f>=SUM(S117:S118)</f>
        <v>0</v>
      </c>
      <c r="T22" s="28">
        <f>=SUM(T117:T118)</f>
        <v>0</v>
      </c>
      <c r="U22" s="28">
        <f>=SUM(U117:U118)</f>
        <v>0</v>
      </c>
      <c r="V22" s="28">
        <f>=SUM(V117:V118)</f>
        <v>0</v>
      </c>
      <c r="W22" s="28">
        <f>=SUM(W117:W118)</f>
        <v>0</v>
      </c>
      <c r="X22" s="28">
        <f>=SUM(X117:X118)</f>
        <v>0</v>
      </c>
      <c r="Y22" s="28">
        <f>=SUM(Y117:Y118)</f>
        <v>0</v>
      </c>
      <c r="Z22" s="28">
        <f>=SUM(Z117:Z118)</f>
        <v>0</v>
      </c>
      <c r="AA22" s="28">
        <f>=SUM(AA117:AA118)</f>
        <v>0</v>
      </c>
      <c r="AB22" s="28">
        <f>=SUM(AB117:AB118)</f>
        <v>0</v>
      </c>
      <c r="AC22" s="28">
        <f>=SUM(AC117:AC118)</f>
        <v>0</v>
      </c>
      <c r="AD22" s="28">
        <f>=SUM(AD117:AD118)</f>
        <v>0</v>
      </c>
      <c r="AE22" s="28">
        <f>=SUM(AE117:AE118)</f>
        <v>0</v>
      </c>
      <c r="AF22" s="28">
        <f>=SUM(AF117:AF118)</f>
        <v>0</v>
      </c>
      <c r="AG22" s="28">
        <f>=SUM(AG117:AG118)</f>
        <v>0</v>
      </c>
      <c r="AH22" s="28">
        <f>=SUM(AH117:AH118)</f>
        <v>0</v>
      </c>
      <c r="AI22" s="28">
        <f>=SUM(AI117:AI118)</f>
        <v>0</v>
      </c>
      <c r="AJ22" s="28">
        <f>=SUM(AJ117:AJ118)</f>
        <v>0</v>
      </c>
      <c r="AK22" s="28">
        <f>=SUM(AK117:AK118)</f>
        <v>0</v>
      </c>
      <c r="AL22" s="28">
        <f>=SUM(AL117:AL118)</f>
        <v>0</v>
      </c>
      <c r="AM22" s="28">
        <f>=SUM(AM117:AM118)</f>
        <v>0</v>
      </c>
      <c r="AN22" s="28">
        <f>=SUM(AN117:AN118)</f>
        <v>0</v>
      </c>
      <c r="AO22" s="28">
        <f>=SUM(AO117:AO118)</f>
        <v>0</v>
      </c>
      <c r="AP22" s="28">
        <f>=SUM(AP117:AP118)</f>
        <v>0</v>
      </c>
      <c r="AQ22" s="28">
        <f>=SUM(AQ117:AQ118)</f>
        <v>0</v>
      </c>
      <c r="AR22" s="28">
        <f>=SUM(AR117:AR118)</f>
        <v>0</v>
      </c>
      <c r="AS22" s="28">
        <f>=SUM(AS117:AS118)</f>
        <v>0</v>
      </c>
      <c r="AT22" s="28">
        <f>=SUM(AT117:AT118)</f>
        <v>0</v>
      </c>
      <c r="AU22" s="28">
        <f>=SUM(AU117:AU118)</f>
        <v>0</v>
      </c>
      <c r="AV22" s="28">
        <f>=SUM(AV117:AV118)</f>
        <v>0</v>
      </c>
      <c r="AW22" s="28">
        <f>=SUM(AW117:AW118)</f>
        <v>0</v>
      </c>
      <c r="AX22" s="28">
        <f>=SUM(AX117:AX118)</f>
        <v>0</v>
      </c>
      <c r="AY22" s="28">
        <f>=SUM(AY117:AY118)</f>
        <v>0</v>
      </c>
      <c r="AZ22" s="28">
        <f>=SUM(AZ117:AZ118)</f>
        <v>0</v>
      </c>
      <c r="BA22" s="28">
        <f>=SUM(BA117:BA118)</f>
        <v>0</v>
      </c>
      <c r="BB22" s="28">
        <f>=SUM(BB117:BB118)</f>
        <v>0</v>
      </c>
      <c r="BC22" s="28">
        <f>=SUM(BC117:BC118)</f>
        <v>0</v>
      </c>
      <c r="BD22" s="28">
        <f>=SUM(BD117:BD118)</f>
        <v>0</v>
      </c>
      <c r="BE22" s="28">
        <f>=SUM(BE117:BE118)</f>
        <v>0</v>
      </c>
      <c r="BF22" s="28">
        <f>=SUM(BF117:BF118)</f>
        <v>0</v>
      </c>
      <c r="BG22" s="28">
        <f>=SUM(BG117:BG118)</f>
        <v>0</v>
      </c>
      <c r="BH22" s="28">
        <f>=SUM(BH117:BH118)</f>
        <v>0</v>
      </c>
      <c r="BI22" s="28">
        <f>=SUM(BI117:BI118)</f>
        <v>0</v>
      </c>
      <c r="BJ22" s="28">
        <f>=SUM(BJ117:BJ118)</f>
        <v>0</v>
      </c>
      <c r="BK22" s="28">
        <f>=SUM(BK117:BK118)</f>
        <v>0</v>
      </c>
      <c r="BL22" s="28">
        <f>=SUM(BL117:BL118)</f>
        <v>0</v>
      </c>
      <c r="BM22" s="28">
        <f>=SUM(BM117:BM118)</f>
        <v>0</v>
      </c>
      <c r="BN22" s="28">
        <f>=SUM(BN117:BN118)</f>
        <v>0</v>
      </c>
      <c r="BO22" s="28">
        <f>=SUM(BO117:BO118)</f>
        <v>0</v>
      </c>
      <c r="BP22" s="28">
        <f>=SUM(BP117:BP118)</f>
        <v>0</v>
      </c>
      <c r="BQ22" s="28">
        <f>=SUM(BQ117:BQ118)</f>
        <v>0</v>
      </c>
      <c r="BR22" s="28">
        <f>=SUM(BR117:BR118)</f>
        <v>0</v>
      </c>
      <c r="BS22" s="28">
        <f>=SUM(BS117:BS118)</f>
        <v>0</v>
      </c>
      <c r="BT22" s="28">
        <f>=SUM(BT117:BT118)</f>
        <v>0</v>
      </c>
      <c r="BU22" s="28">
        <f>=SUM(BU117:BU118)</f>
        <v>0</v>
      </c>
      <c r="BV22" s="28">
        <f>=SUM(BV117:BV118)</f>
        <v>0</v>
      </c>
      <c r="BW22" s="28">
        <f>=SUM(BW117:BW118)</f>
        <v>0</v>
      </c>
      <c r="BX22" s="28">
        <f>=SUM(BX117:BX118)</f>
        <v>0</v>
      </c>
      <c r="BY22" s="28">
        <f>=SUM(BY117:BY118)</f>
        <v>0</v>
      </c>
      <c r="BZ22" s="28">
        <f>=SUM(BZ117:BZ118)</f>
        <v>0</v>
      </c>
      <c r="CA22" s="28">
        <f>=SUM(CA117:CA118)</f>
        <v>0</v>
      </c>
      <c r="CB22" s="28">
        <f>=SUM(CB117:CB118)</f>
        <v>0</v>
      </c>
      <c r="CC22" s="28">
        <f>=SUM(CC117:CC118)</f>
        <v>4538.048</v>
      </c>
      <c r="CD22" s="28">
        <f>=SUM(CD117:CD118)</f>
        <v>0</v>
      </c>
      <c r="CE22" s="28">
        <f>=SUM(CE117:CE118)</f>
        <v>0</v>
      </c>
      <c r="CF22" s="28">
        <f>=SUM(CF117:CF118)</f>
        <v>0</v>
      </c>
      <c r="CG22" s="28">
        <f>=SUM(CG117:CG118)</f>
        <v>0</v>
      </c>
      <c r="CH22" s="28">
        <f>=SUM(CH117:CH118)</f>
        <v>0</v>
      </c>
      <c r="CI22" s="28">
        <f>=SUM(CI117:CI118)</f>
        <v>0</v>
      </c>
      <c r="CJ22" s="28">
        <f>=SUM(CJ117:CJ118)</f>
        <v>0</v>
      </c>
      <c r="CK22" s="28">
        <f>=SUM(CK117:CK118)</f>
        <v>0</v>
      </c>
      <c r="CL22" s="28">
        <f>=SUM(CL117:CL118)</f>
        <v>0</v>
      </c>
      <c r="CM22" s="28">
        <f>=SUM(CM117:CM118)</f>
        <v>0</v>
      </c>
      <c r="CN22" s="28">
        <f>=SUM(CN117:CN118)</f>
        <v>0</v>
      </c>
      <c r="CO22" s="28">
        <f>=SUM(CO117:CO118)</f>
        <v>0</v>
      </c>
      <c r="CP22" s="28">
        <f>=SUM(CP117:CP118)</f>
        <v>0</v>
      </c>
      <c r="CQ22" s="28">
        <f>=SUM(CQ117:CQ118)</f>
        <v>0</v>
      </c>
      <c r="CR22" s="28">
        <f>=SUM(CR117:CR118)</f>
        <v>0</v>
      </c>
      <c r="CS22" s="28">
        <f>=SUM(CS117:CS118)</f>
        <v>0</v>
      </c>
      <c r="CT22" s="28">
        <f>=SUM(CT117:CT118)</f>
        <v>0</v>
      </c>
      <c r="CU22" s="28">
        <f>=SUM(CU117:CU118)</f>
        <v>0</v>
      </c>
      <c r="CV22" s="28">
        <f>=SUM(CV117:CV118)</f>
        <v>0</v>
      </c>
      <c r="CW22" s="28">
        <f>=SUM(CW117:CW118)</f>
        <v>0</v>
      </c>
      <c r="CX22" s="28">
        <f>=SUM(CX117:CX118)</f>
        <v>0</v>
      </c>
      <c r="CY22" s="28">
        <f>=SUM(CY117:CY118)</f>
        <v>0</v>
      </c>
      <c r="CZ22" s="28">
        <f>=SUM(CZ117:CZ118)</f>
        <v>0</v>
      </c>
      <c r="DA22" s="28">
        <f>=SUM(DA117:DA118)</f>
        <v>0</v>
      </c>
      <c r="DB22" s="28">
        <f>=SUM(DB117:DB118)</f>
        <v>0</v>
      </c>
    </row>
    <row r="23" spans="1:106" x14ac:dyDescent="0.25">
      <c r="A23" s="27" t="s">
        <v>257</v>
      </c>
      <c r="C23" s="28">
        <f>=SUM(C119:C120)</f>
        <v>0</v>
      </c>
      <c r="D23" s="28">
        <f>=SUM(D119:D120)</f>
        <v>0</v>
      </c>
      <c r="E23" s="28">
        <f>=SUM(E119:E120)</f>
        <v>0</v>
      </c>
      <c r="F23" s="28">
        <f>=SUM(F119:F120)</f>
        <v>0</v>
      </c>
      <c r="G23" s="28">
        <f>=SUM(G119:G120)</f>
        <v>0</v>
      </c>
      <c r="H23" s="28">
        <f>=SUM(H119:H120)</f>
        <v>0</v>
      </c>
      <c r="I23" s="28">
        <f>=SUM(I119:I120)</f>
        <v>0</v>
      </c>
      <c r="J23" s="28">
        <f>=SUM(J119:J120)</f>
        <v>0</v>
      </c>
      <c r="K23" s="28">
        <f>=SUM(K119:K120)</f>
        <v>0</v>
      </c>
      <c r="L23" s="28">
        <f>=SUM(L119:L120)</f>
        <v>0</v>
      </c>
      <c r="M23" s="28">
        <f>=SUM(M119:M120)</f>
        <v>0</v>
      </c>
      <c r="N23" s="28">
        <f>=SUM(N119:N120)</f>
        <v>0</v>
      </c>
      <c r="O23" s="28">
        <f>=SUM(O119:O120)</f>
        <v>0</v>
      </c>
      <c r="P23" s="28">
        <f>=SUM(P119:P120)</f>
        <v>0</v>
      </c>
      <c r="Q23" s="28">
        <f>=SUM(Q119:Q120)</f>
        <v>0</v>
      </c>
      <c r="R23" s="28">
        <f>=SUM(R119:R120)</f>
        <v>0</v>
      </c>
      <c r="S23" s="28">
        <f>=SUM(S119:S120)</f>
        <v>0</v>
      </c>
      <c r="T23" s="28">
        <f>=SUM(T119:T120)</f>
        <v>0</v>
      </c>
      <c r="U23" s="28">
        <f>=SUM(U119:U120)</f>
        <v>0</v>
      </c>
      <c r="V23" s="28">
        <f>=SUM(V119:V120)</f>
        <v>0</v>
      </c>
      <c r="W23" s="28">
        <f>=SUM(W119:W120)</f>
        <v>0</v>
      </c>
      <c r="X23" s="28">
        <f>=SUM(X119:X120)</f>
        <v>0</v>
      </c>
      <c r="Y23" s="28">
        <f>=SUM(Y119:Y120)</f>
        <v>0</v>
      </c>
      <c r="Z23" s="28">
        <f>=SUM(Z119:Z120)</f>
        <v>0</v>
      </c>
      <c r="AA23" s="28">
        <f>=SUM(AA119:AA120)</f>
        <v>0</v>
      </c>
      <c r="AB23" s="28">
        <f>=SUM(AB119:AB120)</f>
        <v>0</v>
      </c>
      <c r="AC23" s="28">
        <f>=SUM(AC119:AC120)</f>
        <v>0</v>
      </c>
      <c r="AD23" s="28">
        <f>=SUM(AD119:AD120)</f>
        <v>0</v>
      </c>
      <c r="AE23" s="28">
        <f>=SUM(AE119:AE120)</f>
        <v>0</v>
      </c>
      <c r="AF23" s="28">
        <f>=SUM(AF119:AF120)</f>
        <v>0</v>
      </c>
      <c r="AG23" s="28">
        <f>=SUM(AG119:AG120)</f>
        <v>0</v>
      </c>
      <c r="AH23" s="28">
        <f>=SUM(AH119:AH120)</f>
        <v>0</v>
      </c>
      <c r="AI23" s="28">
        <f>=SUM(AI119:AI120)</f>
        <v>0</v>
      </c>
      <c r="AJ23" s="28">
        <f>=SUM(AJ119:AJ120)</f>
        <v>0</v>
      </c>
      <c r="AK23" s="28">
        <f>=SUM(AK119:AK120)</f>
        <v>0</v>
      </c>
      <c r="AL23" s="28">
        <f>=SUM(AL119:AL120)</f>
        <v>0</v>
      </c>
      <c r="AM23" s="28">
        <f>=SUM(AM119:AM120)</f>
        <v>0</v>
      </c>
      <c r="AN23" s="28">
        <f>=SUM(AN119:AN120)</f>
        <v>0</v>
      </c>
      <c r="AO23" s="28">
        <f>=SUM(AO119:AO120)</f>
        <v>0</v>
      </c>
      <c r="AP23" s="28">
        <f>=SUM(AP119:AP120)</f>
        <v>0</v>
      </c>
      <c r="AQ23" s="28">
        <f>=SUM(AQ119:AQ120)</f>
        <v>0</v>
      </c>
      <c r="AR23" s="28">
        <f>=SUM(AR119:AR120)</f>
        <v>0</v>
      </c>
      <c r="AS23" s="28">
        <f>=SUM(AS119:AS120)</f>
        <v>0</v>
      </c>
      <c r="AT23" s="28">
        <f>=SUM(AT119:AT120)</f>
        <v>0</v>
      </c>
      <c r="AU23" s="28">
        <f>=SUM(AU119:AU120)</f>
        <v>0</v>
      </c>
      <c r="AV23" s="28">
        <f>=SUM(AV119:AV120)</f>
        <v>0</v>
      </c>
      <c r="AW23" s="28">
        <f>=SUM(AW119:AW120)</f>
        <v>0</v>
      </c>
      <c r="AX23" s="28">
        <f>=SUM(AX119:AX120)</f>
        <v>0</v>
      </c>
      <c r="AY23" s="28">
        <f>=SUM(AY119:AY120)</f>
        <v>0</v>
      </c>
      <c r="AZ23" s="28">
        <f>=SUM(AZ119:AZ120)</f>
        <v>0</v>
      </c>
      <c r="BA23" s="28">
        <f>=SUM(BA119:BA120)</f>
        <v>0</v>
      </c>
      <c r="BB23" s="28">
        <f>=SUM(BB119:BB120)</f>
        <v>0</v>
      </c>
      <c r="BC23" s="28">
        <f>=SUM(BC119:BC120)</f>
        <v>0</v>
      </c>
      <c r="BD23" s="28">
        <f>=SUM(BD119:BD120)</f>
        <v>0</v>
      </c>
      <c r="BE23" s="28">
        <f>=SUM(BE119:BE120)</f>
        <v>0</v>
      </c>
      <c r="BF23" s="28">
        <f>=SUM(BF119:BF120)</f>
        <v>0</v>
      </c>
      <c r="BG23" s="28">
        <f>=SUM(BG119:BG120)</f>
        <v>0</v>
      </c>
      <c r="BH23" s="28">
        <f>=SUM(BH119:BH120)</f>
        <v>0</v>
      </c>
      <c r="BI23" s="28">
        <f>=SUM(BI119:BI120)</f>
        <v>0</v>
      </c>
      <c r="BJ23" s="28">
        <f>=SUM(BJ119:BJ120)</f>
        <v>0</v>
      </c>
      <c r="BK23" s="28">
        <f>=SUM(BK119:BK120)</f>
        <v>0</v>
      </c>
      <c r="BL23" s="28">
        <f>=SUM(BL119:BL120)</f>
        <v>0</v>
      </c>
      <c r="BM23" s="28">
        <f>=SUM(BM119:BM120)</f>
        <v>0</v>
      </c>
      <c r="BN23" s="28">
        <f>=SUM(BN119:BN120)</f>
        <v>0</v>
      </c>
      <c r="BO23" s="28">
        <f>=SUM(BO119:BO120)</f>
        <v>0</v>
      </c>
      <c r="BP23" s="28">
        <f>=SUM(BP119:BP120)</f>
        <v>0</v>
      </c>
      <c r="BQ23" s="28">
        <f>=SUM(BQ119:BQ120)</f>
        <v>0</v>
      </c>
      <c r="BR23" s="28">
        <f>=SUM(BR119:BR120)</f>
        <v>0</v>
      </c>
      <c r="BS23" s="28">
        <f>=SUM(BS119:BS120)</f>
        <v>0</v>
      </c>
      <c r="BT23" s="28">
        <f>=SUM(BT119:BT120)</f>
        <v>0</v>
      </c>
      <c r="BU23" s="28">
        <f>=SUM(BU119:BU120)</f>
        <v>0</v>
      </c>
      <c r="BV23" s="28">
        <f>=SUM(BV119:BV120)</f>
        <v>0</v>
      </c>
      <c r="BW23" s="28">
        <f>=SUM(BW119:BW120)</f>
        <v>0</v>
      </c>
      <c r="BX23" s="28">
        <f>=SUM(BX119:BX120)</f>
        <v>0</v>
      </c>
      <c r="BY23" s="28">
        <f>=SUM(BY119:BY120)</f>
        <v>0</v>
      </c>
      <c r="BZ23" s="28">
        <f>=SUM(BZ119:BZ120)</f>
        <v>0</v>
      </c>
      <c r="CA23" s="28">
        <f>=SUM(CA119:CA120)</f>
        <v>0</v>
      </c>
      <c r="CB23" s="28">
        <f>=SUM(CB119:CB120)</f>
        <v>0</v>
      </c>
      <c r="CC23" s="28">
        <f>=SUM(CC119:CC120)</f>
        <v>0</v>
      </c>
      <c r="CD23" s="28">
        <f>=SUM(CD119:CD120)</f>
        <v>0</v>
      </c>
      <c r="CE23" s="28">
        <f>=SUM(CE119:CE120)</f>
        <v>0</v>
      </c>
      <c r="CF23" s="28">
        <f>=SUM(CF119:CF120)</f>
        <v>0</v>
      </c>
      <c r="CG23" s="28">
        <f>=SUM(CG119:CG120)</f>
        <v>0</v>
      </c>
      <c r="CH23" s="28">
        <f>=SUM(CH119:CH120)</f>
        <v>0</v>
      </c>
      <c r="CI23" s="28">
        <f>=SUM(CI119:CI120)</f>
        <v>0</v>
      </c>
      <c r="CJ23" s="28">
        <f>=SUM(CJ119:CJ120)</f>
        <v>0</v>
      </c>
      <c r="CK23" s="28">
        <f>=SUM(CK119:CK120)</f>
        <v>0</v>
      </c>
      <c r="CL23" s="28">
        <f>=SUM(CL119:CL120)</f>
        <v>0</v>
      </c>
      <c r="CM23" s="28">
        <f>=SUM(CM119:CM120)</f>
        <v>0</v>
      </c>
      <c r="CN23" s="28">
        <f>=SUM(CN119:CN120)</f>
        <v>0</v>
      </c>
      <c r="CO23" s="28">
        <f>=SUM(CO119:CO120)</f>
        <v>0</v>
      </c>
      <c r="CP23" s="28">
        <f>=SUM(CP119:CP120)</f>
        <v>0</v>
      </c>
      <c r="CQ23" s="28">
        <f>=SUM(CQ119:CQ120)</f>
        <v>0</v>
      </c>
      <c r="CR23" s="28">
        <f>=SUM(CR119:CR120)</f>
        <v>0</v>
      </c>
      <c r="CS23" s="28">
        <f>=SUM(CS119:CS120)</f>
        <v>0</v>
      </c>
      <c r="CT23" s="28">
        <f>=SUM(CT119:CT120)</f>
        <v>0</v>
      </c>
      <c r="CU23" s="28">
        <f>=SUM(CU119:CU120)</f>
        <v>0</v>
      </c>
      <c r="CV23" s="28">
        <f>=SUM(CV119:CV120)</f>
        <v>0</v>
      </c>
      <c r="CW23" s="28">
        <f>=SUM(CW119:CW120)</f>
        <v>0</v>
      </c>
      <c r="CX23" s="28">
        <f>=SUM(CX119:CX120)</f>
        <v>0</v>
      </c>
      <c r="CY23" s="28">
        <f>=SUM(CY119:CY120)</f>
        <v>0</v>
      </c>
      <c r="CZ23" s="28">
        <f>=SUM(CZ119:CZ120)</f>
        <v>0</v>
      </c>
      <c r="DA23" s="28">
        <f>=SUM(DA119:DA120)</f>
        <v>0</v>
      </c>
      <c r="DB23" s="28">
        <f>=SUM(DB119:DB120)</f>
        <v>0</v>
      </c>
    </row>
    <row r="24" spans="1:106" x14ac:dyDescent="0.25">
      <c r="A24" s="27" t="s">
        <v>258</v>
      </c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0"/>
      <c r="CI24" s="30"/>
      <c r="CJ24" s="30"/>
      <c r="CK24" s="30"/>
      <c r="CL24" s="30"/>
      <c r="CM24" s="30"/>
      <c r="CN24" s="30"/>
      <c r="CO24" s="30"/>
      <c r="CP24" s="30"/>
      <c r="CQ24" s="30"/>
      <c r="CR24" s="30"/>
      <c r="CS24" s="30"/>
      <c r="CT24" s="30"/>
      <c r="CU24" s="30"/>
      <c r="CV24" s="30"/>
      <c r="CW24" s="30"/>
      <c r="CX24" s="30"/>
      <c r="CY24" s="30"/>
      <c r="CZ24" s="30"/>
      <c r="DA24" s="30"/>
      <c r="DB24" s="30"/>
    </row>
    <row r="25" spans="1:106" x14ac:dyDescent="0.25">
      <c r="A25" s="22" t="s">
        <v>259</v>
      </c>
      <c r="C25" s="48">
        <f>=IFERROR(C19/C10,0)</f>
        <v>0</v>
      </c>
      <c r="D25" s="48">
        <f>=IFERROR(D19/D10,0)</f>
        <v>0</v>
      </c>
      <c r="E25" s="48">
        <f>=IFERROR(E19/E10,0)</f>
        <v>0</v>
      </c>
      <c r="F25" s="48">
        <f>=IFERROR(F19/F10,0)</f>
        <v>0</v>
      </c>
      <c r="G25" s="48">
        <f>=IFERROR(G19/G10,0)</f>
        <v>0</v>
      </c>
      <c r="H25" s="48">
        <f>=IFERROR(H19/H10,0)</f>
        <v>0</v>
      </c>
      <c r="I25" s="48">
        <f>=IFERROR(I19/I10,0)</f>
        <v>0</v>
      </c>
      <c r="J25" s="48">
        <f>=IFERROR(J19/J10,0)</f>
        <v>0</v>
      </c>
      <c r="K25" s="48">
        <f>=IFERROR(K19/K10,0)</f>
        <v>0</v>
      </c>
      <c r="L25" s="48">
        <f>=IFERROR(L19/L10,0)</f>
        <v>0</v>
      </c>
      <c r="M25" s="48">
        <f>=IFERROR(M19/M10,0)</f>
        <v>0</v>
      </c>
      <c r="N25" s="48">
        <f>=IFERROR(N19/N10,0)</f>
        <v>0</v>
      </c>
      <c r="O25" s="48">
        <f>=IFERROR(O19/O10,0)</f>
        <v>0</v>
      </c>
      <c r="P25" s="48">
        <f>=IFERROR(P19/P10,0)</f>
        <v>0</v>
      </c>
      <c r="Q25" s="48">
        <f>=IFERROR(Q19/Q10,0)</f>
        <v>0</v>
      </c>
      <c r="R25" s="48">
        <f>=IFERROR(R19/R10,0)</f>
        <v>0</v>
      </c>
      <c r="S25" s="48">
        <f>=IFERROR(S19/S10,0)</f>
        <v>0</v>
      </c>
      <c r="T25" s="48">
        <f>=IFERROR(T19/T10,0)</f>
        <v>0</v>
      </c>
      <c r="U25" s="48">
        <f>=IFERROR(U19/U10,0)</f>
        <v>0</v>
      </c>
      <c r="V25" s="48">
        <f>=IFERROR(V19/V10,0)</f>
        <v>0</v>
      </c>
      <c r="W25" s="48">
        <f>=IFERROR(W19/W10,0)</f>
        <v>0</v>
      </c>
      <c r="X25" s="48">
        <f>=IFERROR(X19/X10,0)</f>
        <v>0</v>
      </c>
      <c r="Y25" s="48">
        <f>=IFERROR(Y19/Y10,0)</f>
        <v>0</v>
      </c>
      <c r="Z25" s="48">
        <f>=IFERROR(Z19/Z10,0)</f>
        <v>0</v>
      </c>
      <c r="AA25" s="48">
        <f>=IFERROR(AA19/AA10,0)</f>
        <v>0</v>
      </c>
      <c r="AB25" s="48">
        <f>=IFERROR(AB19/AB10,0)</f>
        <v>0</v>
      </c>
      <c r="AC25" s="48">
        <f>=IFERROR(AC19/AC10,0)</f>
        <v>0</v>
      </c>
      <c r="AD25" s="48">
        <f>=IFERROR(AD19/AD10,0)</f>
        <v>0</v>
      </c>
      <c r="AE25" s="48">
        <f>=IFERROR(AE19/AE10,0)</f>
        <v>0</v>
      </c>
      <c r="AF25" s="48">
        <f>=IFERROR(AF19/AF10,0)</f>
        <v>0</v>
      </c>
      <c r="AG25" s="31">
        <f>=IFERROR(AG19/AG10,0)</f>
        <v>1</v>
      </c>
      <c r="AH25" s="31">
        <f>=IFERROR(AH19/AH10,0)</f>
        <v>1</v>
      </c>
      <c r="AI25" s="31">
        <f>=IFERROR(AI19/AI10,0)</f>
        <v>1</v>
      </c>
      <c r="AJ25" s="31">
        <f>=IFERROR(AJ19/AJ10,0)</f>
        <v>1</v>
      </c>
      <c r="AK25" s="31">
        <f>=IFERROR(AK19/AK10,0)</f>
        <v>1</v>
      </c>
      <c r="AL25" s="31">
        <f>=IFERROR(AL19/AL10,0)</f>
        <v>1</v>
      </c>
      <c r="AM25" s="31">
        <f>=IFERROR(AM19/AM10,0)</f>
        <v>1</v>
      </c>
      <c r="AN25" s="31">
        <f>=IFERROR(AN19/AN10,0)</f>
        <v>1</v>
      </c>
      <c r="AO25" s="31">
        <f>=IFERROR(AO19/AO10,0)</f>
        <v>1</v>
      </c>
      <c r="AP25" s="31">
        <f>=IFERROR(AP19/AP10,0)</f>
        <v>1</v>
      </c>
      <c r="AQ25" s="31">
        <f>=IFERROR(AQ19/AQ10,0)</f>
        <v>1</v>
      </c>
      <c r="AR25" s="31">
        <f>=IFERROR(AR19/AR10,0)</f>
        <v>1</v>
      </c>
      <c r="AS25" s="31">
        <f>=IFERROR(AS19/AS10,0)</f>
        <v>1</v>
      </c>
      <c r="AT25" s="31">
        <f>=IFERROR(AT19/AT10,0)</f>
        <v>1</v>
      </c>
      <c r="AU25" s="31">
        <f>=IFERROR(AU19/AU10,0)</f>
        <v>1</v>
      </c>
      <c r="AV25" s="31">
        <f>=IFERROR(AV19/AV10,0)</f>
        <v>1</v>
      </c>
      <c r="AW25" s="31">
        <f>=IFERROR(AW19/AW10,0)</f>
        <v>1</v>
      </c>
      <c r="AX25" s="31">
        <f>=IFERROR(AX19/AX10,0)</f>
        <v>1</v>
      </c>
      <c r="AY25" s="31">
        <f>=IFERROR(AY19/AY10,0)</f>
        <v>1</v>
      </c>
      <c r="AZ25" s="31">
        <f>=IFERROR(AZ19/AZ10,0)</f>
        <v>1</v>
      </c>
      <c r="BA25" s="31">
        <f>=IFERROR(BA19/BA10,0)</f>
        <v>1</v>
      </c>
      <c r="BB25" s="31">
        <f>=IFERROR(BB19/BB10,0)</f>
        <v>1</v>
      </c>
      <c r="BC25" s="31">
        <f>=IFERROR(BC19/BC10,0)</f>
        <v>1</v>
      </c>
      <c r="BD25" s="31">
        <f>=IFERROR(BD19/BD10,0)</f>
        <v>1</v>
      </c>
      <c r="BE25" s="31">
        <f>=IFERROR(BE19/BE10,0)</f>
        <v>1</v>
      </c>
      <c r="BF25" s="31">
        <f>=IFERROR(BF19/BF10,0)</f>
        <v>1</v>
      </c>
      <c r="BG25" s="31">
        <f>=IFERROR(BG19/BG10,0)</f>
        <v>1</v>
      </c>
      <c r="BH25" s="31">
        <f>=IFERROR(BH19/BH10,0)</f>
        <v>1</v>
      </c>
      <c r="BI25" s="31">
        <f>=IFERROR(BI19/BI10,0)</f>
        <v>1</v>
      </c>
      <c r="BJ25" s="31">
        <f>=IFERROR(BJ19/BJ10,0)</f>
        <v>1</v>
      </c>
      <c r="BK25" s="31">
        <f>=IFERROR(BK19/BK10,0)</f>
        <v>1</v>
      </c>
      <c r="BL25" s="31">
        <f>=IFERROR(BL19/BL10,0)</f>
        <v>1</v>
      </c>
      <c r="BM25" s="31">
        <f>=IFERROR(BM19/BM10,0)</f>
        <v>1</v>
      </c>
      <c r="BN25" s="31">
        <f>=IFERROR(BN19/BN10,0)</f>
        <v>1</v>
      </c>
      <c r="BO25" s="31">
        <f>=IFERROR(BO19/BO10,0)</f>
        <v>1</v>
      </c>
      <c r="BP25" s="31">
        <f>=IFERROR(BP19/BP10,0)</f>
        <v>1</v>
      </c>
      <c r="BQ25" s="31">
        <f>=IFERROR(BQ19/BQ10,0)</f>
        <v>1</v>
      </c>
      <c r="BR25" s="31">
        <f>=IFERROR(BR19/BR10,0)</f>
        <v>1</v>
      </c>
      <c r="BS25" s="31">
        <f>=IFERROR(BS19/BS10,0)</f>
        <v>1</v>
      </c>
      <c r="BT25" s="31">
        <f>=IFERROR(BT19/BT10,0)</f>
        <v>1</v>
      </c>
      <c r="BU25" s="31">
        <f>=IFERROR(BU19/BU10,0)</f>
        <v>1</v>
      </c>
      <c r="BV25" s="31">
        <f>=IFERROR(BV19/BV10,0)</f>
        <v>1</v>
      </c>
      <c r="BW25" s="31">
        <f>=IFERROR(BW19/BW10,0)</f>
        <v>1</v>
      </c>
      <c r="BX25" s="31">
        <f>=IFERROR(BX19/BX10,0)</f>
        <v>1</v>
      </c>
      <c r="BY25" s="31">
        <f>=IFERROR(BY19/BY10,0)</f>
        <v>1</v>
      </c>
      <c r="BZ25" s="31">
        <f>=IFERROR(BZ19/BZ10,0)</f>
        <v>1</v>
      </c>
      <c r="CA25" s="31">
        <f>=IFERROR(CA19/CA10,0)</f>
        <v>1</v>
      </c>
      <c r="CB25" s="31">
        <f>=IFERROR(CB19/CB10,0)</f>
        <v>1</v>
      </c>
      <c r="CC25" s="31">
        <f>=IFERROR(CC19/CC10,0)</f>
        <v>1</v>
      </c>
      <c r="CD25" s="31">
        <f>=IFERROR(CD19/CD10,0)</f>
        <v>1</v>
      </c>
      <c r="CE25" s="31">
        <f>=IFERROR(CE19/CE10,0)</f>
        <v>1</v>
      </c>
      <c r="CF25" s="31">
        <f>=IFERROR(CF19/CF10,0)</f>
        <v>1</v>
      </c>
      <c r="CG25" s="31">
        <f>=IFERROR(CG19/CG10,0)</f>
        <v>1</v>
      </c>
      <c r="CH25" s="31">
        <f>=IFERROR(CH19/CH10,0)</f>
        <v>1</v>
      </c>
      <c r="CI25" s="31">
        <f>=IFERROR(CI19/CI10,0)</f>
        <v>1</v>
      </c>
      <c r="CJ25" s="31">
        <f>=IFERROR(CJ19/CJ10,0)</f>
        <v>1</v>
      </c>
      <c r="CK25" s="31">
        <f>=IFERROR(CK19/CK10,0)</f>
        <v>1</v>
      </c>
      <c r="CL25" s="31">
        <f>=IFERROR(CL19/CL10,0)</f>
        <v>1</v>
      </c>
      <c r="CM25" s="31">
        <f>=IFERROR(CM19/CM10,0)</f>
        <v>1</v>
      </c>
      <c r="CN25" s="31">
        <f>=IFERROR(CN19/CN10,0)</f>
        <v>1</v>
      </c>
      <c r="CO25" s="31">
        <f>=IFERROR(CO19/CO10,0)</f>
        <v>1</v>
      </c>
      <c r="CP25" s="31">
        <f>=IFERROR(CP19/CP10,0)</f>
        <v>1</v>
      </c>
      <c r="CQ25" s="31">
        <f>=IFERROR(CQ19/CQ10,0)</f>
        <v>1</v>
      </c>
      <c r="CR25" s="31">
        <f>=IFERROR(CR19/CR10,0)</f>
        <v>1</v>
      </c>
      <c r="CS25" s="31">
        <f>=IFERROR(CS19/CS10,0)</f>
        <v>1</v>
      </c>
      <c r="CT25" s="31">
        <f>=IFERROR(CT19/CT10,0)</f>
        <v>1</v>
      </c>
      <c r="CU25" s="31">
        <f>=IFERROR(CU19/CU10,0)</f>
        <v>1</v>
      </c>
      <c r="CV25" s="31">
        <f>=IFERROR(CV19/CV10,0)</f>
        <v>1</v>
      </c>
      <c r="CW25" s="31">
        <f>=IFERROR(CW19/CW10,0)</f>
        <v>1</v>
      </c>
      <c r="CX25" s="31">
        <f>=IFERROR(CX19/CX10,0)</f>
        <v>1</v>
      </c>
      <c r="CY25" s="31">
        <f>=IFERROR(CY19/CY10,0)</f>
        <v>1</v>
      </c>
      <c r="CZ25" s="31">
        <f>=IFERROR(CZ19/CZ10,0)</f>
        <v>1</v>
      </c>
      <c r="DA25" s="31">
        <f>=IFERROR(DA19/DA10,0)</f>
        <v>1</v>
      </c>
      <c r="DB25" s="31">
        <f>=IFERROR(DB19/DB10,0)</f>
        <v>1</v>
      </c>
    </row>
    <row r="26" spans="3:106" x14ac:dyDescent="0.25"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0"/>
      <c r="CG26" s="30"/>
      <c r="CH26" s="30"/>
      <c r="CI26" s="30"/>
      <c r="CJ26" s="30"/>
      <c r="CK26" s="30"/>
      <c r="CL26" s="30"/>
      <c r="CM26" s="30"/>
      <c r="CN26" s="30"/>
      <c r="CO26" s="30"/>
      <c r="CP26" s="30"/>
      <c r="CQ26" s="30"/>
      <c r="CR26" s="30"/>
      <c r="CS26" s="30"/>
      <c r="CT26" s="30"/>
      <c r="CU26" s="30"/>
      <c r="CV26" s="30"/>
      <c r="CW26" s="30"/>
      <c r="CX26" s="30"/>
      <c r="CY26" s="30"/>
      <c r="CZ26" s="30"/>
      <c r="DA26" s="30"/>
      <c r="DB26" s="30"/>
    </row>
    <row r="27" ht="14" customHeight="1" spans="1:106" x14ac:dyDescent="0.25">
      <c r="A27" s="9" t="s">
        <v>260</v>
      </c>
      <c r="B27" s="17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</row>
    <row r="28" ht="15" customHeight="1" spans="1:106" x14ac:dyDescent="0.25">
      <c r="A28" s="33" t="s">
        <v>261</v>
      </c>
      <c r="B28" s="13"/>
      <c r="C28" s="34">
        <f>=IFERROR(1-((1-C29)*(1-C34)),0)</f>
        <v>0.269</v>
      </c>
      <c r="D28" s="34">
        <f>=IFERROR(1-((1-D29)*(1-D34)),0)</f>
        <v>0.269</v>
      </c>
      <c r="E28" s="34">
        <f>=IFERROR(1-((1-E29)*(1-E34)),0)</f>
        <v>0.269</v>
      </c>
      <c r="F28" s="34">
        <f>=IFERROR(1-((1-F29)*(1-F34)),0)</f>
        <v>0.269</v>
      </c>
      <c r="G28" s="34">
        <f>=IFERROR(1-((1-G29)*(1-G34)),0)</f>
        <v>0.269</v>
      </c>
      <c r="H28" s="34">
        <f>=IFERROR(1-((1-H29)*(1-H34)),0)</f>
        <v>0.269</v>
      </c>
      <c r="I28" s="34">
        <f>=IFERROR(1-((1-I29)*(1-I34)),0)</f>
        <v>0.269</v>
      </c>
      <c r="J28" s="34">
        <f>=IFERROR(1-((1-J29)*(1-J34)),0)</f>
        <v>0.269</v>
      </c>
      <c r="K28" s="34">
        <f>=IFERROR(1-((1-K29)*(1-K34)),0)</f>
        <v>0.269</v>
      </c>
      <c r="L28" s="34">
        <f>=IFERROR(1-((1-L29)*(1-L34)),0)</f>
        <v>0.269</v>
      </c>
      <c r="M28" s="34">
        <f>=IFERROR(1-((1-M29)*(1-M34)),0)</f>
        <v>0.269</v>
      </c>
      <c r="N28" s="34">
        <f>=IFERROR(1-((1-N29)*(1-N34)),0)</f>
        <v>0.269</v>
      </c>
      <c r="O28" s="34">
        <f>=IFERROR(1-((1-O29)*(1-O34)),0)</f>
        <v>0.269</v>
      </c>
      <c r="P28" s="34">
        <f>=IFERROR(1-((1-P29)*(1-P34)),0)</f>
        <v>0.269</v>
      </c>
      <c r="Q28" s="34">
        <f>=IFERROR(1-((1-Q29)*(1-Q34)),0)</f>
        <v>0.269</v>
      </c>
      <c r="R28" s="34">
        <f>=IFERROR(1-((1-R29)*(1-R34)),0)</f>
        <v>0.269</v>
      </c>
      <c r="S28" s="34">
        <f>=IFERROR(1-((1-S29)*(1-S34)),0)</f>
        <v>0.269</v>
      </c>
      <c r="T28" s="34">
        <f>=IFERROR(1-((1-T29)*(1-T34)),0)</f>
        <v>0.269</v>
      </c>
      <c r="U28" s="34">
        <f>=IFERROR(1-((1-U29)*(1-U34)),0)</f>
        <v>0.269</v>
      </c>
      <c r="V28" s="34">
        <f>=IFERROR(1-((1-V29)*(1-V34)),0)</f>
        <v>0.269</v>
      </c>
      <c r="W28" s="34">
        <f>=IFERROR(1-((1-W29)*(1-W34)),0)</f>
        <v>0.269</v>
      </c>
      <c r="X28" s="34">
        <f>=IFERROR(1-((1-X29)*(1-X34)),0)</f>
        <v>0.269</v>
      </c>
      <c r="Y28" s="34">
        <f>=IFERROR(1-((1-Y29)*(1-Y34)),0)</f>
        <v>0.269</v>
      </c>
      <c r="Z28" s="34">
        <f>=IFERROR(1-((1-Z29)*(1-Z34)),0)</f>
        <v>0.269</v>
      </c>
      <c r="AA28" s="34">
        <f>=IFERROR(1-((1-AA29)*(1-AA34)),0)</f>
        <v>0.269</v>
      </c>
      <c r="AB28" s="34">
        <f>=IFERROR(1-((1-AB29)*(1-AB34)),0)</f>
        <v>0.269</v>
      </c>
      <c r="AC28" s="34">
        <f>=IFERROR(1-((1-AC29)*(1-AC34)),0)</f>
        <v>0.269</v>
      </c>
      <c r="AD28" s="34">
        <f>=IFERROR(1-((1-AD29)*(1-AD34)),0)</f>
        <v>0.269</v>
      </c>
      <c r="AE28" s="34">
        <f>=IFERROR(1-((1-AE29)*(1-AE34)),0)</f>
        <v>0.269</v>
      </c>
      <c r="AF28" s="34">
        <f>=IFERROR(1-((1-AF29)*(1-AF34)),0)</f>
        <v>0.269</v>
      </c>
      <c r="AG28" s="34">
        <f>=IFERROR(1-((1-AG29)*(1-AG34)),0)</f>
        <v>0.269</v>
      </c>
      <c r="AH28" s="34">
        <f>=IFERROR(1-((1-AH29)*(1-AH34)),0)</f>
        <v>0.286</v>
      </c>
      <c r="AI28" s="34">
        <f>=IFERROR(1-((1-AI29)*(1-AI34)),0)</f>
        <v>0.286</v>
      </c>
      <c r="AJ28" s="34">
        <f>=IFERROR(1-((1-AJ29)*(1-AJ34)),0)</f>
        <v>0.286</v>
      </c>
      <c r="AK28" s="34">
        <f>=IFERROR(1-((1-AK29)*(1-AK34)),0)</f>
        <v>0.286</v>
      </c>
      <c r="AL28" s="34">
        <f>=IFERROR(1-((1-AL29)*(1-AL34)),0)</f>
        <v>0.286</v>
      </c>
      <c r="AM28" s="34">
        <f>=IFERROR(1-((1-AM29)*(1-AM34)),0)</f>
        <v>0.286</v>
      </c>
      <c r="AN28" s="34">
        <f>=IFERROR(1-((1-AN29)*(1-AN34)),0)</f>
        <v>0.286</v>
      </c>
      <c r="AO28" s="34">
        <f>=IFERROR(1-((1-AO29)*(1-AO34)),0)</f>
        <v>0.2605</v>
      </c>
      <c r="AP28" s="34">
        <f>=IFERROR(1-((1-AP29)*(1-AP34)),0)</f>
        <v>0.2605</v>
      </c>
      <c r="AQ28" s="34">
        <f>=IFERROR(1-((1-AQ29)*(1-AQ34)),0)</f>
        <v>0.2605</v>
      </c>
      <c r="AR28" s="34">
        <f>=IFERROR(1-((1-AR29)*(1-AR34)),0)</f>
        <v>0.2605</v>
      </c>
      <c r="AS28" s="34">
        <f>=IFERROR(1-((1-AS29)*(1-AS34)),0)</f>
        <v>0.2605</v>
      </c>
      <c r="AT28" s="34">
        <f>=IFERROR(1-((1-AT29)*(1-AT34)),0)</f>
        <v>0.2605</v>
      </c>
      <c r="AU28" s="34">
        <f>=IFERROR(1-((1-AU29)*(1-AU34)),0)</f>
        <v>0.2605</v>
      </c>
      <c r="AV28" s="34">
        <f>=IFERROR(1-((1-AV29)*(1-AV34)),0)</f>
        <v>0.2605</v>
      </c>
      <c r="AW28" s="34">
        <f>=IFERROR(1-((1-AW29)*(1-AW34)),0)</f>
        <v>0.2605</v>
      </c>
      <c r="AX28" s="34">
        <f>=IFERROR(1-((1-AX29)*(1-AX34)),0)</f>
        <v>0.2605</v>
      </c>
      <c r="AY28" s="34">
        <f>=IFERROR(1-((1-AY29)*(1-AY34)),0)</f>
        <v>0.269</v>
      </c>
      <c r="AZ28" s="34">
        <f>=IFERROR(1-((1-AZ29)*(1-AZ34)),0)</f>
        <v>0.269</v>
      </c>
      <c r="BA28" s="34">
        <f>=IFERROR(1-((1-BA29)*(1-BA34)),0)</f>
        <v>0.269</v>
      </c>
      <c r="BB28" s="34">
        <f>=IFERROR(1-((1-BB29)*(1-BB34)),0)</f>
        <v>0.269</v>
      </c>
      <c r="BC28" s="34">
        <f>=IFERROR(1-((1-BC29)*(1-BC34)),0)</f>
        <v>0.269</v>
      </c>
      <c r="BD28" s="34">
        <f>=IFERROR(1-((1-BD29)*(1-BD34)),0)</f>
        <v>0.269</v>
      </c>
      <c r="BE28" s="34">
        <f>=IFERROR(1-((1-BE29)*(1-BE34)),0)</f>
        <v>0.269</v>
      </c>
      <c r="BF28" s="34">
        <f>=IFERROR(1-((1-BF29)*(1-BF34)),0)</f>
        <v>0.269</v>
      </c>
      <c r="BG28" s="34">
        <f>=IFERROR(1-((1-BG29)*(1-BG34)),0)</f>
        <v>0.269</v>
      </c>
      <c r="BH28" s="34">
        <f>=IFERROR(1-((1-BH29)*(1-BH34)),0)</f>
        <v>0.269</v>
      </c>
      <c r="BI28" s="34">
        <f>=IFERROR(1-((1-BI29)*(1-BI34)),0)</f>
        <v>0.269</v>
      </c>
      <c r="BJ28" s="34">
        <f>=IFERROR(1-((1-BJ29)*(1-BJ34)),0)</f>
        <v>0.269</v>
      </c>
      <c r="BK28" s="34">
        <f>=IFERROR(1-((1-BK29)*(1-BK34)),0)</f>
        <v>0.269</v>
      </c>
      <c r="BL28" s="34">
        <f>=IFERROR(1-((1-BL29)*(1-BL34)),0)</f>
        <v>0.269</v>
      </c>
      <c r="BM28" s="34">
        <f>=IFERROR(1-((1-BM29)*(1-BM34)),0)</f>
        <v>0.269</v>
      </c>
      <c r="BN28" s="34">
        <f>=IFERROR(1-((1-BN29)*(1-BN34)),0)</f>
        <v>0.269</v>
      </c>
      <c r="BO28" s="34">
        <f>=IFERROR(1-((1-BO29)*(1-BO34)),0)</f>
        <v>0.269</v>
      </c>
      <c r="BP28" s="34">
        <f>=IFERROR(1-((1-BP29)*(1-BP34)),0)</f>
        <v>0.269</v>
      </c>
      <c r="BQ28" s="34">
        <f>=IFERROR(1-((1-BQ29)*(1-BQ34)),0)</f>
        <v>0.269</v>
      </c>
      <c r="BR28" s="34">
        <f>=IFERROR(1-((1-BR29)*(1-BR34)),0)</f>
        <v>0.269</v>
      </c>
      <c r="BS28" s="34">
        <f>=IFERROR(1-((1-BS29)*(1-BS34)),0)</f>
        <v>0.269</v>
      </c>
      <c r="BT28" s="34">
        <f>=IFERROR(1-((1-BT29)*(1-BT34)),0)</f>
        <v>0.269</v>
      </c>
      <c r="BU28" s="34">
        <f>=IFERROR(1-((1-BU29)*(1-BU34)),0)</f>
        <v>0.269</v>
      </c>
      <c r="BV28" s="34">
        <f>=IFERROR(1-((1-BV29)*(1-BV34)),0)</f>
        <v>0.269</v>
      </c>
      <c r="BW28" s="34">
        <f>=IFERROR(1-((1-BW29)*(1-BW34)),0)</f>
        <v>0.269</v>
      </c>
      <c r="BX28" s="34">
        <f>=IFERROR(1-((1-BX29)*(1-BX34)),0)</f>
        <v>0.269</v>
      </c>
      <c r="BY28" s="34">
        <f>=IFERROR(1-((1-BY29)*(1-BY34)),0)</f>
        <v>0.269</v>
      </c>
      <c r="BZ28" s="34">
        <f>=IFERROR(1-((1-BZ29)*(1-BZ34)),0)</f>
        <v>0.269</v>
      </c>
      <c r="CA28" s="34">
        <f>=IFERROR(1-((1-CA29)*(1-CA34)),0)</f>
        <v>0.269</v>
      </c>
      <c r="CB28" s="34">
        <f>=IFERROR(1-((1-CB29)*(1-CB34)),0)</f>
        <v>0.269</v>
      </c>
      <c r="CC28" s="34">
        <f>=IFERROR(1-((1-CC29)*(1-CC34)),0)</f>
        <v>0.269</v>
      </c>
      <c r="CD28" s="34">
        <f>=IFERROR(1-((1-CD29)*(1-CD34)),0)</f>
        <v>0.269</v>
      </c>
      <c r="CE28" s="34">
        <f>=IFERROR(1-((1-CE29)*(1-CE34)),0)</f>
        <v>0.269</v>
      </c>
      <c r="CF28" s="34">
        <f>=IFERROR(1-((1-CF29)*(1-CF34)),0)</f>
        <v>0.269</v>
      </c>
      <c r="CG28" s="34">
        <f>=IFERROR(1-((1-CG29)*(1-CG34)),0)</f>
        <v>0.269</v>
      </c>
      <c r="CH28" s="34">
        <f>=IFERROR(1-((1-CH29)*(1-CH34)),0)</f>
        <v>0.269</v>
      </c>
      <c r="CI28" s="34">
        <f>=IFERROR(1-((1-CI29)*(1-CI34)),0)</f>
        <v>0.269</v>
      </c>
      <c r="CJ28" s="34">
        <f>=IFERROR(1-((1-CJ29)*(1-CJ34)),0)</f>
        <v>0.269</v>
      </c>
      <c r="CK28" s="34">
        <f>=IFERROR(1-((1-CK29)*(1-CK34)),0)</f>
        <v>0.269</v>
      </c>
      <c r="CL28" s="34">
        <f>=IFERROR(1-((1-CL29)*(1-CL34)),0)</f>
        <v>0.269</v>
      </c>
      <c r="CM28" s="34">
        <f>=IFERROR(1-((1-CM29)*(1-CM34)),0)</f>
        <v>0.269</v>
      </c>
      <c r="CN28" s="34">
        <f>=IFERROR(1-((1-CN29)*(1-CN34)),0)</f>
        <v>0.269</v>
      </c>
      <c r="CO28" s="34">
        <f>=IFERROR(1-((1-CO29)*(1-CO34)),0)</f>
        <v>0.269</v>
      </c>
      <c r="CP28" s="34">
        <f>=IFERROR(1-((1-CP29)*(1-CP34)),0)</f>
        <v>0.269</v>
      </c>
      <c r="CQ28" s="34">
        <f>=IFERROR(1-((1-CQ29)*(1-CQ34)),0)</f>
        <v>0.269</v>
      </c>
      <c r="CR28" s="34">
        <f>=IFERROR(1-((1-CR29)*(1-CR34)),0)</f>
        <v>0.269</v>
      </c>
      <c r="CS28" s="34">
        <f>=IFERROR(1-((1-CS29)*(1-CS34)),0)</f>
        <v>0.269</v>
      </c>
      <c r="CT28" s="34">
        <f>=IFERROR(1-((1-CT29)*(1-CT34)),0)</f>
        <v>0.269</v>
      </c>
      <c r="CU28" s="34">
        <f>=IFERROR(1-((1-CU29)*(1-CU34)),0)</f>
        <v>0.269</v>
      </c>
      <c r="CV28" s="34">
        <f>=IFERROR(1-((1-CV29)*(1-CV34)),0)</f>
        <v>0.269</v>
      </c>
      <c r="CW28" s="34">
        <f>=IFERROR(1-((1-CW29)*(1-CW34)),0)</f>
        <v>0.269</v>
      </c>
      <c r="CX28" s="34">
        <f>=IFERROR(1-((1-CX29)*(1-CX34)),0)</f>
        <v>0.269</v>
      </c>
      <c r="CY28" s="34">
        <f>=IFERROR(1-((1-CY29)*(1-CY34)),0)</f>
        <v>0.269</v>
      </c>
      <c r="CZ28" s="34">
        <f>=IFERROR(1-((1-CZ29)*(1-CZ34)),0)</f>
        <v>0.269</v>
      </c>
      <c r="DA28" s="34">
        <f>=IFERROR(1-((1-DA29)*(1-DA34)),0)</f>
        <v>0.269</v>
      </c>
      <c r="DB28" s="34">
        <f>=IFERROR(1-((1-DB29)*(1-DB34)),0)</f>
        <v>0.269</v>
      </c>
    </row>
    <row r="29" ht="15" customHeight="1" spans="1:106" x14ac:dyDescent="0.25">
      <c r="A29" s="16" t="s">
        <v>262</v>
      </c>
      <c r="B29" s="17"/>
      <c r="C29" s="35">
        <f>=SUM(C30:C33)</f>
        <v>0.14</v>
      </c>
      <c r="D29" s="35">
        <f>=SUM(D30:D33)</f>
        <v>0.14</v>
      </c>
      <c r="E29" s="35">
        <f>=SUM(E30:E33)</f>
        <v>0.14</v>
      </c>
      <c r="F29" s="35">
        <f>=SUM(F30:F33)</f>
        <v>0.14</v>
      </c>
      <c r="G29" s="35">
        <f>=SUM(G30:G33)</f>
        <v>0.14</v>
      </c>
      <c r="H29" s="35">
        <f>=SUM(H30:H33)</f>
        <v>0.14</v>
      </c>
      <c r="I29" s="35">
        <f>=SUM(I30:I33)</f>
        <v>0.14</v>
      </c>
      <c r="J29" s="35">
        <f>=SUM(J30:J33)</f>
        <v>0.14</v>
      </c>
      <c r="K29" s="35">
        <f>=SUM(K30:K33)</f>
        <v>0.14</v>
      </c>
      <c r="L29" s="35">
        <f>=SUM(L30:L33)</f>
        <v>0.14</v>
      </c>
      <c r="M29" s="35">
        <f>=SUM(M30:M33)</f>
        <v>0.14</v>
      </c>
      <c r="N29" s="35">
        <f>=SUM(N30:N33)</f>
        <v>0.14</v>
      </c>
      <c r="O29" s="35">
        <f>=SUM(O30:O33)</f>
        <v>0.14</v>
      </c>
      <c r="P29" s="35">
        <f>=SUM(P30:P33)</f>
        <v>0.14</v>
      </c>
      <c r="Q29" s="35">
        <f>=SUM(Q30:Q33)</f>
        <v>0.14</v>
      </c>
      <c r="R29" s="35">
        <f>=SUM(R30:R33)</f>
        <v>0.14</v>
      </c>
      <c r="S29" s="35">
        <f>=SUM(S30:S33)</f>
        <v>0.14</v>
      </c>
      <c r="T29" s="35">
        <f>=SUM(T30:T33)</f>
        <v>0.14</v>
      </c>
      <c r="U29" s="35">
        <f>=SUM(U30:U33)</f>
        <v>0.14</v>
      </c>
      <c r="V29" s="35">
        <f>=SUM(V30:V33)</f>
        <v>0.14</v>
      </c>
      <c r="W29" s="35">
        <f>=SUM(W30:W33)</f>
        <v>0.14</v>
      </c>
      <c r="X29" s="35">
        <f>=SUM(X30:X33)</f>
        <v>0.14</v>
      </c>
      <c r="Y29" s="35">
        <f>=SUM(Y30:Y33)</f>
        <v>0.14</v>
      </c>
      <c r="Z29" s="35">
        <f>=SUM(Z30:Z33)</f>
        <v>0.14</v>
      </c>
      <c r="AA29" s="35">
        <f>=SUM(AA30:AA33)</f>
        <v>0.14</v>
      </c>
      <c r="AB29" s="35">
        <f>=SUM(AB30:AB33)</f>
        <v>0.14</v>
      </c>
      <c r="AC29" s="35">
        <f>=SUM(AC30:AC33)</f>
        <v>0.14</v>
      </c>
      <c r="AD29" s="35">
        <f>=SUM(AD30:AD33)</f>
        <v>0.14</v>
      </c>
      <c r="AE29" s="35">
        <f>=SUM(AE30:AE33)</f>
        <v>0.14</v>
      </c>
      <c r="AF29" s="35">
        <f>=SUM(AF30:AF33)</f>
        <v>0.14</v>
      </c>
      <c r="AG29" s="35">
        <f>=SUM(AG30:AG33)</f>
        <v>0.14</v>
      </c>
      <c r="AH29" s="35">
        <f>=SUM(AH30:AH33)</f>
        <v>0.16</v>
      </c>
      <c r="AI29" s="35">
        <f>=SUM(AI30:AI33)</f>
        <v>0.16</v>
      </c>
      <c r="AJ29" s="35">
        <f>=SUM(AJ30:AJ33)</f>
        <v>0.16</v>
      </c>
      <c r="AK29" s="35">
        <f>=SUM(AK30:AK33)</f>
        <v>0.16</v>
      </c>
      <c r="AL29" s="35">
        <f>=SUM(AL30:AL33)</f>
        <v>0.16</v>
      </c>
      <c r="AM29" s="35">
        <f>=SUM(AM30:AM33)</f>
        <v>0.16</v>
      </c>
      <c r="AN29" s="35">
        <f>=SUM(AN30:AN33)</f>
        <v>0.16</v>
      </c>
      <c r="AO29" s="35">
        <f>=SUM(AO30:AO33)</f>
        <v>0.13</v>
      </c>
      <c r="AP29" s="35">
        <f>=SUM(AP30:AP33)</f>
        <v>0.13</v>
      </c>
      <c r="AQ29" s="35">
        <f>=SUM(AQ30:AQ33)</f>
        <v>0.13</v>
      </c>
      <c r="AR29" s="35">
        <f>=SUM(AR30:AR33)</f>
        <v>0.13</v>
      </c>
      <c r="AS29" s="35">
        <f>=SUM(AS30:AS33)</f>
        <v>0.13</v>
      </c>
      <c r="AT29" s="35">
        <f>=SUM(AT30:AT33)</f>
        <v>0.13</v>
      </c>
      <c r="AU29" s="35">
        <f>=SUM(AU30:AU33)</f>
        <v>0.13</v>
      </c>
      <c r="AV29" s="35">
        <f>=SUM(AV30:AV33)</f>
        <v>0.13</v>
      </c>
      <c r="AW29" s="35">
        <f>=SUM(AW30:AW33)</f>
        <v>0.13</v>
      </c>
      <c r="AX29" s="35">
        <f>=SUM(AX30:AX33)</f>
        <v>0.13</v>
      </c>
      <c r="AY29" s="35">
        <f>=SUM(AY30:AY33)</f>
        <v>0.14</v>
      </c>
      <c r="AZ29" s="35">
        <f>=SUM(AZ30:AZ33)</f>
        <v>0.14</v>
      </c>
      <c r="BA29" s="35">
        <f>=SUM(BA30:BA33)</f>
        <v>0.14</v>
      </c>
      <c r="BB29" s="35">
        <f>=SUM(BB30:BB33)</f>
        <v>0.14</v>
      </c>
      <c r="BC29" s="35">
        <f>=SUM(BC30:BC33)</f>
        <v>0.14</v>
      </c>
      <c r="BD29" s="35">
        <f>=SUM(BD30:BD33)</f>
        <v>0.14</v>
      </c>
      <c r="BE29" s="35">
        <f>=SUM(BE30:BE33)</f>
        <v>0.14</v>
      </c>
      <c r="BF29" s="35">
        <f>=SUM(BF30:BF33)</f>
        <v>0.14</v>
      </c>
      <c r="BG29" s="35">
        <f>=SUM(BG30:BG33)</f>
        <v>0.14</v>
      </c>
      <c r="BH29" s="35">
        <f>=SUM(BH30:BH33)</f>
        <v>0.14</v>
      </c>
      <c r="BI29" s="35">
        <f>=SUM(BI30:BI33)</f>
        <v>0.14</v>
      </c>
      <c r="BJ29" s="35">
        <f>=SUM(BJ30:BJ33)</f>
        <v>0.14</v>
      </c>
      <c r="BK29" s="35">
        <f>=SUM(BK30:BK33)</f>
        <v>0.14</v>
      </c>
      <c r="BL29" s="35">
        <f>=SUM(BL30:BL33)</f>
        <v>0.14</v>
      </c>
      <c r="BM29" s="35">
        <f>=SUM(BM30:BM33)</f>
        <v>0.14</v>
      </c>
      <c r="BN29" s="35">
        <f>=SUM(BN30:BN33)</f>
        <v>0.14</v>
      </c>
      <c r="BO29" s="35">
        <f>=SUM(BO30:BO33)</f>
        <v>0.14</v>
      </c>
      <c r="BP29" s="35">
        <f>=SUM(BP30:BP33)</f>
        <v>0.14</v>
      </c>
      <c r="BQ29" s="35">
        <f>=SUM(BQ30:BQ33)</f>
        <v>0.14</v>
      </c>
      <c r="BR29" s="35">
        <f>=SUM(BR30:BR33)</f>
        <v>0.14</v>
      </c>
      <c r="BS29" s="35">
        <f>=SUM(BS30:BS33)</f>
        <v>0.14</v>
      </c>
      <c r="BT29" s="35">
        <f>=SUM(BT30:BT33)</f>
        <v>0.14</v>
      </c>
      <c r="BU29" s="35">
        <f>=SUM(BU30:BU33)</f>
        <v>0.14</v>
      </c>
      <c r="BV29" s="35">
        <f>=SUM(BV30:BV33)</f>
        <v>0.14</v>
      </c>
      <c r="BW29" s="35">
        <f>=SUM(BW30:BW33)</f>
        <v>0.14</v>
      </c>
      <c r="BX29" s="35">
        <f>=SUM(BX30:BX33)</f>
        <v>0.14</v>
      </c>
      <c r="BY29" s="35">
        <f>=SUM(BY30:BY33)</f>
        <v>0.14</v>
      </c>
      <c r="BZ29" s="35">
        <f>=SUM(BZ30:BZ33)</f>
        <v>0.14</v>
      </c>
      <c r="CA29" s="35">
        <f>=SUM(CA30:CA33)</f>
        <v>0.14</v>
      </c>
      <c r="CB29" s="35">
        <f>=SUM(CB30:CB33)</f>
        <v>0.14</v>
      </c>
      <c r="CC29" s="35">
        <f>=SUM(CC30:CC33)</f>
        <v>0.14</v>
      </c>
      <c r="CD29" s="35">
        <f>=SUM(CD30:CD33)</f>
        <v>0.14</v>
      </c>
      <c r="CE29" s="35">
        <f>=SUM(CE30:CE33)</f>
        <v>0.14</v>
      </c>
      <c r="CF29" s="35">
        <f>=SUM(CF30:CF33)</f>
        <v>0.14</v>
      </c>
      <c r="CG29" s="35">
        <f>=SUM(CG30:CG33)</f>
        <v>0.14</v>
      </c>
      <c r="CH29" s="35">
        <f>=SUM(CH30:CH33)</f>
        <v>0.14</v>
      </c>
      <c r="CI29" s="35">
        <f>=SUM(CI30:CI33)</f>
        <v>0.14</v>
      </c>
      <c r="CJ29" s="35">
        <f>=SUM(CJ30:CJ33)</f>
        <v>0.14</v>
      </c>
      <c r="CK29" s="35">
        <f>=SUM(CK30:CK33)</f>
        <v>0.14</v>
      </c>
      <c r="CL29" s="35">
        <f>=SUM(CL30:CL33)</f>
        <v>0.14</v>
      </c>
      <c r="CM29" s="35">
        <f>=SUM(CM30:CM33)</f>
        <v>0.14</v>
      </c>
      <c r="CN29" s="35">
        <f>=SUM(CN30:CN33)</f>
        <v>0.14</v>
      </c>
      <c r="CO29" s="35">
        <f>=SUM(CO30:CO33)</f>
        <v>0.14</v>
      </c>
      <c r="CP29" s="35">
        <f>=SUM(CP30:CP33)</f>
        <v>0.14</v>
      </c>
      <c r="CQ29" s="35">
        <f>=SUM(CQ30:CQ33)</f>
        <v>0.14</v>
      </c>
      <c r="CR29" s="35">
        <f>=SUM(CR30:CR33)</f>
        <v>0.14</v>
      </c>
      <c r="CS29" s="35">
        <f>=SUM(CS30:CS33)</f>
        <v>0.14</v>
      </c>
      <c r="CT29" s="35">
        <f>=SUM(CT30:CT33)</f>
        <v>0.14</v>
      </c>
      <c r="CU29" s="35">
        <f>=SUM(CU30:CU33)</f>
        <v>0.14</v>
      </c>
      <c r="CV29" s="35">
        <f>=SUM(CV30:CV33)</f>
        <v>0.14</v>
      </c>
      <c r="CW29" s="35">
        <f>=SUM(CW30:CW33)</f>
        <v>0.14</v>
      </c>
      <c r="CX29" s="35">
        <f>=SUM(CX30:CX33)</f>
        <v>0.14</v>
      </c>
      <c r="CY29" s="35">
        <f>=SUM(CY30:CY33)</f>
        <v>0.14</v>
      </c>
      <c r="CZ29" s="35">
        <f>=SUM(CZ30:CZ33)</f>
        <v>0.14</v>
      </c>
      <c r="DA29" s="35">
        <f>=SUM(DA30:DA33)</f>
        <v>0.14</v>
      </c>
      <c r="DB29" s="35">
        <f>=SUM(DB30:DB33)</f>
        <v>0.14</v>
      </c>
    </row>
    <row r="30" spans="1:106" x14ac:dyDescent="0.25">
      <c r="A30" s="36" t="s">
        <v>263</v>
      </c>
      <c r="C30" s="37">
        <v>0.06</v>
      </c>
      <c r="D30" s="37">
        <v>0.06</v>
      </c>
      <c r="E30" s="37">
        <v>0.06</v>
      </c>
      <c r="F30" s="37">
        <v>0.06</v>
      </c>
      <c r="G30" s="37">
        <v>0.06</v>
      </c>
      <c r="H30" s="37">
        <v>0.06</v>
      </c>
      <c r="I30" s="37">
        <v>0.06</v>
      </c>
      <c r="J30" s="37">
        <v>0.06</v>
      </c>
      <c r="K30" s="37">
        <v>0.06</v>
      </c>
      <c r="L30" s="37">
        <v>0.06</v>
      </c>
      <c r="M30" s="37">
        <v>0.06</v>
      </c>
      <c r="N30" s="37">
        <v>0.06</v>
      </c>
      <c r="O30" s="37">
        <v>0.06</v>
      </c>
      <c r="P30" s="37">
        <v>0.06</v>
      </c>
      <c r="Q30" s="37">
        <v>0.06</v>
      </c>
      <c r="R30" s="37">
        <v>0.06</v>
      </c>
      <c r="S30" s="37">
        <v>0.06</v>
      </c>
      <c r="T30" s="37">
        <v>0.06</v>
      </c>
      <c r="U30" s="37">
        <v>0.06</v>
      </c>
      <c r="V30" s="37">
        <v>0.06</v>
      </c>
      <c r="W30" s="37">
        <v>0.06</v>
      </c>
      <c r="X30" s="37">
        <v>0.06</v>
      </c>
      <c r="Y30" s="37">
        <v>0.06</v>
      </c>
      <c r="Z30" s="37">
        <v>0.06</v>
      </c>
      <c r="AA30" s="37">
        <v>0.06</v>
      </c>
      <c r="AB30" s="37">
        <v>0.06</v>
      </c>
      <c r="AC30" s="37">
        <v>0.06</v>
      </c>
      <c r="AD30" s="37">
        <v>0.06</v>
      </c>
      <c r="AE30" s="37">
        <v>0.06</v>
      </c>
      <c r="AF30" s="37">
        <v>0.06</v>
      </c>
      <c r="AG30" s="37">
        <v>0.06</v>
      </c>
      <c r="AH30" s="37">
        <v>0.08</v>
      </c>
      <c r="AI30" s="37">
        <v>0.08</v>
      </c>
      <c r="AJ30" s="37">
        <v>0.08</v>
      </c>
      <c r="AK30" s="37">
        <v>0.08</v>
      </c>
      <c r="AL30" s="37">
        <v>0.08</v>
      </c>
      <c r="AM30" s="37">
        <v>0.08</v>
      </c>
      <c r="AN30" s="37">
        <v>0.08</v>
      </c>
      <c r="AO30" s="37">
        <v>0.05</v>
      </c>
      <c r="AP30" s="37">
        <v>0.05</v>
      </c>
      <c r="AQ30" s="37">
        <v>0.05</v>
      </c>
      <c r="AR30" s="37">
        <v>0.05</v>
      </c>
      <c r="AS30" s="37">
        <v>0.05</v>
      </c>
      <c r="AT30" s="37">
        <v>0.05</v>
      </c>
      <c r="AU30" s="37">
        <v>0.05</v>
      </c>
      <c r="AV30" s="37">
        <v>0.05</v>
      </c>
      <c r="AW30" s="37">
        <v>0.05</v>
      </c>
      <c r="AX30" s="37">
        <v>0.05</v>
      </c>
      <c r="AY30" s="37">
        <v>0.06</v>
      </c>
      <c r="AZ30" s="37">
        <v>0.06</v>
      </c>
      <c r="BA30" s="37">
        <v>0.06</v>
      </c>
      <c r="BB30" s="37">
        <v>0.06</v>
      </c>
      <c r="BC30" s="37">
        <v>0.06</v>
      </c>
      <c r="BD30" s="37">
        <v>0.06</v>
      </c>
      <c r="BE30" s="37">
        <v>0.06</v>
      </c>
      <c r="BF30" s="37">
        <v>0.06</v>
      </c>
      <c r="BG30" s="37">
        <v>0.06</v>
      </c>
      <c r="BH30" s="37">
        <v>0.06</v>
      </c>
      <c r="BI30" s="37">
        <v>0.06</v>
      </c>
      <c r="BJ30" s="37">
        <v>0.06</v>
      </c>
      <c r="BK30" s="37">
        <v>0.06</v>
      </c>
      <c r="BL30" s="37">
        <v>0.06</v>
      </c>
      <c r="BM30" s="37">
        <v>0.06</v>
      </c>
      <c r="BN30" s="37">
        <v>0.06</v>
      </c>
      <c r="BO30" s="37">
        <v>0.06</v>
      </c>
      <c r="BP30" s="37">
        <v>0.06</v>
      </c>
      <c r="BQ30" s="37">
        <v>0.06</v>
      </c>
      <c r="BR30" s="37">
        <v>0.06</v>
      </c>
      <c r="BS30" s="37">
        <v>0.06</v>
      </c>
      <c r="BT30" s="37">
        <v>0.06</v>
      </c>
      <c r="BU30" s="37">
        <v>0.06</v>
      </c>
      <c r="BV30" s="37">
        <v>0.06</v>
      </c>
      <c r="BW30" s="37">
        <v>0.06</v>
      </c>
      <c r="BX30" s="37">
        <v>0.06</v>
      </c>
      <c r="BY30" s="37">
        <v>0.06</v>
      </c>
      <c r="BZ30" s="37">
        <v>0.06</v>
      </c>
      <c r="CA30" s="37">
        <v>0.06</v>
      </c>
      <c r="CB30" s="37">
        <v>0.06</v>
      </c>
      <c r="CC30" s="37">
        <v>0.06</v>
      </c>
      <c r="CD30" s="37">
        <v>0.06</v>
      </c>
      <c r="CE30" s="37">
        <v>0.06</v>
      </c>
      <c r="CF30" s="37">
        <v>0.06</v>
      </c>
      <c r="CG30" s="37">
        <v>0.06</v>
      </c>
      <c r="CH30" s="37">
        <v>0.06</v>
      </c>
      <c r="CI30" s="37">
        <v>0.06</v>
      </c>
      <c r="CJ30" s="37">
        <v>0.06</v>
      </c>
      <c r="CK30" s="37">
        <v>0.06</v>
      </c>
      <c r="CL30" s="37">
        <v>0.06</v>
      </c>
      <c r="CM30" s="37">
        <v>0.06</v>
      </c>
      <c r="CN30" s="37">
        <v>0.06</v>
      </c>
      <c r="CO30" s="37">
        <v>0.06</v>
      </c>
      <c r="CP30" s="37">
        <v>0.06</v>
      </c>
      <c r="CQ30" s="37">
        <v>0.06</v>
      </c>
      <c r="CR30" s="37">
        <v>0.06</v>
      </c>
      <c r="CS30" s="37">
        <v>0.06</v>
      </c>
      <c r="CT30" s="37">
        <v>0.06</v>
      </c>
      <c r="CU30" s="37">
        <v>0.06</v>
      </c>
      <c r="CV30" s="37">
        <v>0.06</v>
      </c>
      <c r="CW30" s="37">
        <v>0.06</v>
      </c>
      <c r="CX30" s="37">
        <v>0.06</v>
      </c>
      <c r="CY30" s="37">
        <v>0.06</v>
      </c>
      <c r="CZ30" s="37">
        <v>0.06</v>
      </c>
      <c r="DA30" s="37">
        <v>0.06</v>
      </c>
      <c r="DB30" s="37">
        <v>0.06</v>
      </c>
    </row>
    <row r="31" spans="1:106" x14ac:dyDescent="0.25">
      <c r="A31" s="36" t="s">
        <v>264</v>
      </c>
      <c r="C31" s="37">
        <v>0.08</v>
      </c>
      <c r="D31" s="37">
        <v>0.08</v>
      </c>
      <c r="E31" s="37">
        <v>0.08</v>
      </c>
      <c r="F31" s="37">
        <v>0.08</v>
      </c>
      <c r="G31" s="37">
        <v>0.08</v>
      </c>
      <c r="H31" s="37">
        <v>0.08</v>
      </c>
      <c r="I31" s="37">
        <v>0.08</v>
      </c>
      <c r="J31" s="37">
        <v>0.08</v>
      </c>
      <c r="K31" s="37">
        <v>0.08</v>
      </c>
      <c r="L31" s="37">
        <v>0.08</v>
      </c>
      <c r="M31" s="37">
        <v>0.08</v>
      </c>
      <c r="N31" s="37">
        <v>0.08</v>
      </c>
      <c r="O31" s="37">
        <v>0.08</v>
      </c>
      <c r="P31" s="37">
        <v>0.08</v>
      </c>
      <c r="Q31" s="37">
        <v>0.08</v>
      </c>
      <c r="R31" s="37">
        <v>0.08</v>
      </c>
      <c r="S31" s="37">
        <v>0.08</v>
      </c>
      <c r="T31" s="37">
        <v>0.08</v>
      </c>
      <c r="U31" s="37">
        <v>0.08</v>
      </c>
      <c r="V31" s="37">
        <v>0.08</v>
      </c>
      <c r="W31" s="37">
        <v>0.08</v>
      </c>
      <c r="X31" s="37">
        <v>0.08</v>
      </c>
      <c r="Y31" s="37">
        <v>0.08</v>
      </c>
      <c r="Z31" s="37">
        <v>0.08</v>
      </c>
      <c r="AA31" s="37">
        <v>0.08</v>
      </c>
      <c r="AB31" s="37">
        <v>0.08</v>
      </c>
      <c r="AC31" s="37">
        <v>0.08</v>
      </c>
      <c r="AD31" s="37">
        <v>0.08</v>
      </c>
      <c r="AE31" s="37">
        <v>0.08</v>
      </c>
      <c r="AF31" s="37">
        <v>0.08</v>
      </c>
      <c r="AG31" s="37">
        <v>0.08</v>
      </c>
      <c r="AH31" s="37">
        <v>0.08</v>
      </c>
      <c r="AI31" s="37">
        <v>0.08</v>
      </c>
      <c r="AJ31" s="37">
        <v>0.08</v>
      </c>
      <c r="AK31" s="37">
        <v>0.08</v>
      </c>
      <c r="AL31" s="37">
        <v>0.08</v>
      </c>
      <c r="AM31" s="37">
        <v>0.08</v>
      </c>
      <c r="AN31" s="37">
        <v>0.08</v>
      </c>
      <c r="AO31" s="37">
        <v>0.08</v>
      </c>
      <c r="AP31" s="37">
        <v>0.08</v>
      </c>
      <c r="AQ31" s="37">
        <v>0.08</v>
      </c>
      <c r="AR31" s="37">
        <v>0.08</v>
      </c>
      <c r="AS31" s="37">
        <v>0.08</v>
      </c>
      <c r="AT31" s="37">
        <v>0.08</v>
      </c>
      <c r="AU31" s="37">
        <v>0.08</v>
      </c>
      <c r="AV31" s="37">
        <v>0.08</v>
      </c>
      <c r="AW31" s="37">
        <v>0.08</v>
      </c>
      <c r="AX31" s="37">
        <v>0.08</v>
      </c>
      <c r="AY31" s="37">
        <v>0.08</v>
      </c>
      <c r="AZ31" s="37">
        <v>0.08</v>
      </c>
      <c r="BA31" s="37">
        <v>0.08</v>
      </c>
      <c r="BB31" s="37">
        <v>0.08</v>
      </c>
      <c r="BC31" s="37">
        <v>0.08</v>
      </c>
      <c r="BD31" s="37">
        <v>0.08</v>
      </c>
      <c r="BE31" s="37">
        <v>0.08</v>
      </c>
      <c r="BF31" s="37">
        <v>0.08</v>
      </c>
      <c r="BG31" s="37">
        <v>0.08</v>
      </c>
      <c r="BH31" s="37">
        <v>0.08</v>
      </c>
      <c r="BI31" s="37">
        <v>0.08</v>
      </c>
      <c r="BJ31" s="37">
        <v>0.08</v>
      </c>
      <c r="BK31" s="37">
        <v>0.08</v>
      </c>
      <c r="BL31" s="37">
        <v>0.08</v>
      </c>
      <c r="BM31" s="37">
        <v>0.08</v>
      </c>
      <c r="BN31" s="37">
        <v>0.08</v>
      </c>
      <c r="BO31" s="37">
        <v>0.08</v>
      </c>
      <c r="BP31" s="37">
        <v>0.08</v>
      </c>
      <c r="BQ31" s="37">
        <v>0.08</v>
      </c>
      <c r="BR31" s="37">
        <v>0.08</v>
      </c>
      <c r="BS31" s="37">
        <v>0.08</v>
      </c>
      <c r="BT31" s="37">
        <v>0.08</v>
      </c>
      <c r="BU31" s="37">
        <v>0.08</v>
      </c>
      <c r="BV31" s="37">
        <v>0.08</v>
      </c>
      <c r="BW31" s="37">
        <v>0.08</v>
      </c>
      <c r="BX31" s="37">
        <v>0.08</v>
      </c>
      <c r="BY31" s="37">
        <v>0.08</v>
      </c>
      <c r="BZ31" s="37">
        <v>0.08</v>
      </c>
      <c r="CA31" s="37">
        <v>0.08</v>
      </c>
      <c r="CB31" s="37">
        <v>0.08</v>
      </c>
      <c r="CC31" s="37">
        <v>0.08</v>
      </c>
      <c r="CD31" s="37">
        <v>0.08</v>
      </c>
      <c r="CE31" s="37">
        <v>0.08</v>
      </c>
      <c r="CF31" s="37">
        <v>0.08</v>
      </c>
      <c r="CG31" s="37">
        <v>0.08</v>
      </c>
      <c r="CH31" s="37">
        <v>0.08</v>
      </c>
      <c r="CI31" s="37">
        <v>0.08</v>
      </c>
      <c r="CJ31" s="37">
        <v>0.08</v>
      </c>
      <c r="CK31" s="37">
        <v>0.08</v>
      </c>
      <c r="CL31" s="37">
        <v>0.08</v>
      </c>
      <c r="CM31" s="37">
        <v>0.08</v>
      </c>
      <c r="CN31" s="37">
        <v>0.08</v>
      </c>
      <c r="CO31" s="37">
        <v>0.08</v>
      </c>
      <c r="CP31" s="37">
        <v>0.08</v>
      </c>
      <c r="CQ31" s="37">
        <v>0.08</v>
      </c>
      <c r="CR31" s="37">
        <v>0.08</v>
      </c>
      <c r="CS31" s="37">
        <v>0.08</v>
      </c>
      <c r="CT31" s="37">
        <v>0.08</v>
      </c>
      <c r="CU31" s="37">
        <v>0.08</v>
      </c>
      <c r="CV31" s="37">
        <v>0.08</v>
      </c>
      <c r="CW31" s="37">
        <v>0.08</v>
      </c>
      <c r="CX31" s="37">
        <v>0.08</v>
      </c>
      <c r="CY31" s="37">
        <v>0.08</v>
      </c>
      <c r="CZ31" s="37">
        <v>0.08</v>
      </c>
      <c r="DA31" s="37">
        <v>0.08</v>
      </c>
      <c r="DB31" s="37">
        <v>0.08</v>
      </c>
    </row>
    <row r="32" spans="1:106" x14ac:dyDescent="0.25">
      <c r="A32" s="36" t="s">
        <v>265</v>
      </c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38"/>
      <c r="BM32" s="38"/>
      <c r="BN32" s="38"/>
      <c r="BO32" s="38"/>
      <c r="BP32" s="38"/>
      <c r="BQ32" s="38"/>
      <c r="BR32" s="38"/>
      <c r="BS32" s="38"/>
      <c r="BT32" s="38"/>
      <c r="BU32" s="38"/>
      <c r="BV32" s="38"/>
      <c r="BW32" s="38"/>
      <c r="BX32" s="38"/>
      <c r="BY32" s="38"/>
      <c r="BZ32" s="38"/>
      <c r="CA32" s="38"/>
      <c r="CB32" s="38"/>
      <c r="CC32" s="38"/>
      <c r="CD32" s="38"/>
      <c r="CE32" s="38"/>
      <c r="CF32" s="38"/>
      <c r="CG32" s="38"/>
      <c r="CH32" s="38"/>
      <c r="CI32" s="38"/>
      <c r="CJ32" s="38"/>
      <c r="CK32" s="38"/>
      <c r="CL32" s="38"/>
      <c r="CM32" s="38"/>
      <c r="CN32" s="38"/>
      <c r="CO32" s="38"/>
      <c r="CP32" s="38"/>
      <c r="CQ32" s="38"/>
      <c r="CR32" s="38"/>
      <c r="CS32" s="38"/>
      <c r="CT32" s="38"/>
      <c r="CU32" s="38"/>
      <c r="CV32" s="38"/>
      <c r="CW32" s="38"/>
      <c r="CX32" s="38"/>
      <c r="CY32" s="38"/>
      <c r="CZ32" s="38"/>
      <c r="DA32" s="38"/>
      <c r="DB32" s="38"/>
    </row>
    <row r="33" spans="1:106" x14ac:dyDescent="0.25">
      <c r="A33" s="36" t="s">
        <v>266</v>
      </c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/>
      <c r="BK33" s="38"/>
      <c r="BL33" s="38"/>
      <c r="BM33" s="38"/>
      <c r="BN33" s="38"/>
      <c r="BO33" s="38"/>
      <c r="BP33" s="38"/>
      <c r="BQ33" s="38"/>
      <c r="BR33" s="38"/>
      <c r="BS33" s="38"/>
      <c r="BT33" s="38"/>
      <c r="BU33" s="38"/>
      <c r="BV33" s="38"/>
      <c r="BW33" s="38"/>
      <c r="BX33" s="38"/>
      <c r="BY33" s="38"/>
      <c r="BZ33" s="38"/>
      <c r="CA33" s="38"/>
      <c r="CB33" s="38"/>
      <c r="CC33" s="38"/>
      <c r="CD33" s="38"/>
      <c r="CE33" s="38"/>
      <c r="CF33" s="38"/>
      <c r="CG33" s="38"/>
      <c r="CH33" s="38"/>
      <c r="CI33" s="38"/>
      <c r="CJ33" s="38"/>
      <c r="CK33" s="38"/>
      <c r="CL33" s="38"/>
      <c r="CM33" s="38"/>
      <c r="CN33" s="38"/>
      <c r="CO33" s="38"/>
      <c r="CP33" s="38"/>
      <c r="CQ33" s="38"/>
      <c r="CR33" s="38"/>
      <c r="CS33" s="38"/>
      <c r="CT33" s="38"/>
      <c r="CU33" s="38"/>
      <c r="CV33" s="38"/>
      <c r="CW33" s="38"/>
      <c r="CX33" s="38"/>
      <c r="CY33" s="38"/>
      <c r="CZ33" s="38"/>
      <c r="DA33" s="38"/>
      <c r="DB33" s="38"/>
    </row>
    <row r="34" ht="15" customHeight="1" spans="1:106" x14ac:dyDescent="0.25">
      <c r="A34" s="16" t="s">
        <v>267</v>
      </c>
      <c r="B34" s="17"/>
      <c r="C34" s="35">
        <f>=SUM(C35:C40)</f>
        <v>0.15</v>
      </c>
      <c r="D34" s="35">
        <f>=SUM(D35:D40)</f>
        <v>0.15</v>
      </c>
      <c r="E34" s="35">
        <f>=SUM(E35:E40)</f>
        <v>0.15</v>
      </c>
      <c r="F34" s="35">
        <f>=SUM(F35:F40)</f>
        <v>0.15</v>
      </c>
      <c r="G34" s="35">
        <f>=SUM(G35:G40)</f>
        <v>0.15</v>
      </c>
      <c r="H34" s="35">
        <f>=SUM(H35:H40)</f>
        <v>0.15</v>
      </c>
      <c r="I34" s="35">
        <f>=SUM(I35:I40)</f>
        <v>0.15</v>
      </c>
      <c r="J34" s="35">
        <f>=SUM(J35:J40)</f>
        <v>0.15</v>
      </c>
      <c r="K34" s="35">
        <f>=SUM(K35:K40)</f>
        <v>0.15</v>
      </c>
      <c r="L34" s="35">
        <f>=SUM(L35:L40)</f>
        <v>0.15</v>
      </c>
      <c r="M34" s="35">
        <f>=SUM(M35:M40)</f>
        <v>0.15</v>
      </c>
      <c r="N34" s="35">
        <f>=SUM(N35:N40)</f>
        <v>0.15</v>
      </c>
      <c r="O34" s="35">
        <f>=SUM(O35:O40)</f>
        <v>0.15</v>
      </c>
      <c r="P34" s="35">
        <f>=SUM(P35:P40)</f>
        <v>0.15</v>
      </c>
      <c r="Q34" s="35">
        <f>=SUM(Q35:Q40)</f>
        <v>0.15</v>
      </c>
      <c r="R34" s="35">
        <f>=SUM(R35:R40)</f>
        <v>0.15</v>
      </c>
      <c r="S34" s="35">
        <f>=SUM(S35:S40)</f>
        <v>0.15</v>
      </c>
      <c r="T34" s="35">
        <f>=SUM(T35:T40)</f>
        <v>0.15</v>
      </c>
      <c r="U34" s="35">
        <f>=SUM(U35:U40)</f>
        <v>0.15</v>
      </c>
      <c r="V34" s="35">
        <f>=SUM(V35:V40)</f>
        <v>0.15</v>
      </c>
      <c r="W34" s="35">
        <f>=SUM(W35:W40)</f>
        <v>0.15</v>
      </c>
      <c r="X34" s="35">
        <f>=SUM(X35:X40)</f>
        <v>0.15</v>
      </c>
      <c r="Y34" s="35">
        <f>=SUM(Y35:Y40)</f>
        <v>0.15</v>
      </c>
      <c r="Z34" s="35">
        <f>=SUM(Z35:Z40)</f>
        <v>0.15</v>
      </c>
      <c r="AA34" s="35">
        <f>=SUM(AA35:AA40)</f>
        <v>0.15</v>
      </c>
      <c r="AB34" s="35">
        <f>=SUM(AB35:AB40)</f>
        <v>0.15</v>
      </c>
      <c r="AC34" s="35">
        <f>=SUM(AC35:AC40)</f>
        <v>0.15</v>
      </c>
      <c r="AD34" s="35">
        <f>=SUM(AD35:AD40)</f>
        <v>0.15</v>
      </c>
      <c r="AE34" s="35">
        <f>=SUM(AE35:AE40)</f>
        <v>0.15</v>
      </c>
      <c r="AF34" s="35">
        <f>=SUM(AF35:AF40)</f>
        <v>0.15</v>
      </c>
      <c r="AG34" s="35">
        <f>=SUM(AG35:AG40)</f>
        <v>0.15</v>
      </c>
      <c r="AH34" s="35">
        <f>=SUM(AH35:AH40)</f>
        <v>0.15</v>
      </c>
      <c r="AI34" s="35">
        <f>=SUM(AI35:AI40)</f>
        <v>0.15</v>
      </c>
      <c r="AJ34" s="35">
        <f>=SUM(AJ35:AJ40)</f>
        <v>0.15</v>
      </c>
      <c r="AK34" s="35">
        <f>=SUM(AK35:AK40)</f>
        <v>0.15</v>
      </c>
      <c r="AL34" s="35">
        <f>=SUM(AL35:AL40)</f>
        <v>0.15</v>
      </c>
      <c r="AM34" s="35">
        <f>=SUM(AM35:AM40)</f>
        <v>0.15</v>
      </c>
      <c r="AN34" s="35">
        <f>=SUM(AN35:AN40)</f>
        <v>0.15</v>
      </c>
      <c r="AO34" s="35">
        <f>=SUM(AO35:AO40)</f>
        <v>0.15</v>
      </c>
      <c r="AP34" s="35">
        <f>=SUM(AP35:AP40)</f>
        <v>0.15</v>
      </c>
      <c r="AQ34" s="35">
        <f>=SUM(AQ35:AQ40)</f>
        <v>0.15</v>
      </c>
      <c r="AR34" s="35">
        <f>=SUM(AR35:AR40)</f>
        <v>0.15</v>
      </c>
      <c r="AS34" s="35">
        <f>=SUM(AS35:AS40)</f>
        <v>0.15</v>
      </c>
      <c r="AT34" s="35">
        <f>=SUM(AT35:AT40)</f>
        <v>0.15</v>
      </c>
      <c r="AU34" s="35">
        <f>=SUM(AU35:AU40)</f>
        <v>0.15</v>
      </c>
      <c r="AV34" s="35">
        <f>=SUM(AV35:AV40)</f>
        <v>0.15</v>
      </c>
      <c r="AW34" s="35">
        <f>=SUM(AW35:AW40)</f>
        <v>0.15</v>
      </c>
      <c r="AX34" s="35">
        <f>=SUM(AX35:AX40)</f>
        <v>0.15</v>
      </c>
      <c r="AY34" s="35">
        <f>=SUM(AY35:AY40)</f>
        <v>0.15</v>
      </c>
      <c r="AZ34" s="35">
        <f>=SUM(AZ35:AZ40)</f>
        <v>0.15</v>
      </c>
      <c r="BA34" s="35">
        <f>=SUM(BA35:BA40)</f>
        <v>0.15</v>
      </c>
      <c r="BB34" s="35">
        <f>=SUM(BB35:BB40)</f>
        <v>0.15</v>
      </c>
      <c r="BC34" s="35">
        <f>=SUM(BC35:BC40)</f>
        <v>0.15</v>
      </c>
      <c r="BD34" s="35">
        <f>=SUM(BD35:BD40)</f>
        <v>0.15</v>
      </c>
      <c r="BE34" s="35">
        <f>=SUM(BE35:BE40)</f>
        <v>0.15</v>
      </c>
      <c r="BF34" s="35">
        <f>=SUM(BF35:BF40)</f>
        <v>0.15</v>
      </c>
      <c r="BG34" s="35">
        <f>=SUM(BG35:BG40)</f>
        <v>0.15</v>
      </c>
      <c r="BH34" s="35">
        <f>=SUM(BH35:BH40)</f>
        <v>0.15</v>
      </c>
      <c r="BI34" s="35">
        <f>=SUM(BI35:BI40)</f>
        <v>0.15</v>
      </c>
      <c r="BJ34" s="35">
        <f>=SUM(BJ35:BJ40)</f>
        <v>0.15</v>
      </c>
      <c r="BK34" s="35">
        <f>=SUM(BK35:BK40)</f>
        <v>0.15</v>
      </c>
      <c r="BL34" s="35">
        <f>=SUM(BL35:BL40)</f>
        <v>0.15</v>
      </c>
      <c r="BM34" s="35">
        <f>=SUM(BM35:BM40)</f>
        <v>0.15</v>
      </c>
      <c r="BN34" s="35">
        <f>=SUM(BN35:BN40)</f>
        <v>0.15</v>
      </c>
      <c r="BO34" s="35">
        <f>=SUM(BO35:BO40)</f>
        <v>0.15</v>
      </c>
      <c r="BP34" s="35">
        <f>=SUM(BP35:BP40)</f>
        <v>0.15</v>
      </c>
      <c r="BQ34" s="35">
        <f>=SUM(BQ35:BQ40)</f>
        <v>0.15</v>
      </c>
      <c r="BR34" s="35">
        <f>=SUM(BR35:BR40)</f>
        <v>0.15</v>
      </c>
      <c r="BS34" s="35">
        <f>=SUM(BS35:BS40)</f>
        <v>0.15</v>
      </c>
      <c r="BT34" s="35">
        <f>=SUM(BT35:BT40)</f>
        <v>0.15</v>
      </c>
      <c r="BU34" s="35">
        <f>=SUM(BU35:BU40)</f>
        <v>0.15</v>
      </c>
      <c r="BV34" s="35">
        <f>=SUM(BV35:BV40)</f>
        <v>0.15</v>
      </c>
      <c r="BW34" s="35">
        <f>=SUM(BW35:BW40)</f>
        <v>0.15</v>
      </c>
      <c r="BX34" s="35">
        <f>=SUM(BX35:BX40)</f>
        <v>0.15</v>
      </c>
      <c r="BY34" s="35">
        <f>=SUM(BY35:BY40)</f>
        <v>0.15</v>
      </c>
      <c r="BZ34" s="35">
        <f>=SUM(BZ35:BZ40)</f>
        <v>0.15</v>
      </c>
      <c r="CA34" s="35">
        <f>=SUM(CA35:CA40)</f>
        <v>0.15</v>
      </c>
      <c r="CB34" s="35">
        <f>=SUM(CB35:CB40)</f>
        <v>0.15</v>
      </c>
      <c r="CC34" s="35">
        <f>=SUM(CC35:CC40)</f>
        <v>0.15</v>
      </c>
      <c r="CD34" s="35">
        <f>=SUM(CD35:CD40)</f>
        <v>0.15</v>
      </c>
      <c r="CE34" s="35">
        <f>=SUM(CE35:CE40)</f>
        <v>0.15</v>
      </c>
      <c r="CF34" s="35">
        <f>=SUM(CF35:CF40)</f>
        <v>0.15</v>
      </c>
      <c r="CG34" s="35">
        <f>=SUM(CG35:CG40)</f>
        <v>0.15</v>
      </c>
      <c r="CH34" s="35">
        <f>=SUM(CH35:CH40)</f>
        <v>0.15</v>
      </c>
      <c r="CI34" s="35">
        <f>=SUM(CI35:CI40)</f>
        <v>0.15</v>
      </c>
      <c r="CJ34" s="35">
        <f>=SUM(CJ35:CJ40)</f>
        <v>0.15</v>
      </c>
      <c r="CK34" s="35">
        <f>=SUM(CK35:CK40)</f>
        <v>0.15</v>
      </c>
      <c r="CL34" s="35">
        <f>=SUM(CL35:CL40)</f>
        <v>0.15</v>
      </c>
      <c r="CM34" s="35">
        <f>=SUM(CM35:CM40)</f>
        <v>0.15</v>
      </c>
      <c r="CN34" s="35">
        <f>=SUM(CN35:CN40)</f>
        <v>0.15</v>
      </c>
      <c r="CO34" s="35">
        <f>=SUM(CO35:CO40)</f>
        <v>0.15</v>
      </c>
      <c r="CP34" s="35">
        <f>=SUM(CP35:CP40)</f>
        <v>0.15</v>
      </c>
      <c r="CQ34" s="35">
        <f>=SUM(CQ35:CQ40)</f>
        <v>0.15</v>
      </c>
      <c r="CR34" s="35">
        <f>=SUM(CR35:CR40)</f>
        <v>0.15</v>
      </c>
      <c r="CS34" s="35">
        <f>=SUM(CS35:CS40)</f>
        <v>0.15</v>
      </c>
      <c r="CT34" s="35">
        <f>=SUM(CT35:CT40)</f>
        <v>0.15</v>
      </c>
      <c r="CU34" s="35">
        <f>=SUM(CU35:CU40)</f>
        <v>0.15</v>
      </c>
      <c r="CV34" s="35">
        <f>=SUM(CV35:CV40)</f>
        <v>0.15</v>
      </c>
      <c r="CW34" s="35">
        <f>=SUM(CW35:CW40)</f>
        <v>0.15</v>
      </c>
      <c r="CX34" s="35">
        <f>=SUM(CX35:CX40)</f>
        <v>0.15</v>
      </c>
      <c r="CY34" s="35">
        <f>=SUM(CY35:CY40)</f>
        <v>0.15</v>
      </c>
      <c r="CZ34" s="35">
        <f>=SUM(CZ35:CZ40)</f>
        <v>0.15</v>
      </c>
      <c r="DA34" s="35">
        <f>=SUM(DA35:DA40)</f>
        <v>0.15</v>
      </c>
      <c r="DB34" s="35">
        <f>=SUM(DB35:DB40)</f>
        <v>0.15</v>
      </c>
    </row>
    <row r="35" ht="18" customHeight="1" spans="1:106" x14ac:dyDescent="0.25">
      <c r="A35" s="36" t="s">
        <v>268</v>
      </c>
      <c r="B35" s="17"/>
      <c r="C35" s="37">
        <v>0.06</v>
      </c>
      <c r="D35" s="37">
        <v>0.06</v>
      </c>
      <c r="E35" s="37">
        <v>0.06</v>
      </c>
      <c r="F35" s="37">
        <v>0.06</v>
      </c>
      <c r="G35" s="37">
        <v>0.06</v>
      </c>
      <c r="H35" s="37">
        <v>0.06</v>
      </c>
      <c r="I35" s="37">
        <v>0.06</v>
      </c>
      <c r="J35" s="37">
        <v>0.06</v>
      </c>
      <c r="K35" s="37">
        <v>0.06</v>
      </c>
      <c r="L35" s="37">
        <v>0.06</v>
      </c>
      <c r="M35" s="37">
        <v>0.06</v>
      </c>
      <c r="N35" s="37">
        <v>0.06</v>
      </c>
      <c r="O35" s="37">
        <v>0.06</v>
      </c>
      <c r="P35" s="37">
        <v>0.06</v>
      </c>
      <c r="Q35" s="37">
        <v>0.06</v>
      </c>
      <c r="R35" s="37">
        <v>0.06</v>
      </c>
      <c r="S35" s="37">
        <v>0.06</v>
      </c>
      <c r="T35" s="37">
        <v>0.06</v>
      </c>
      <c r="U35" s="37">
        <v>0.06</v>
      </c>
      <c r="V35" s="37">
        <v>0.06</v>
      </c>
      <c r="W35" s="37">
        <v>0.06</v>
      </c>
      <c r="X35" s="37">
        <v>0.06</v>
      </c>
      <c r="Y35" s="37">
        <v>0.06</v>
      </c>
      <c r="Z35" s="37">
        <v>0.06</v>
      </c>
      <c r="AA35" s="37">
        <v>0.06</v>
      </c>
      <c r="AB35" s="37">
        <v>0.06</v>
      </c>
      <c r="AC35" s="37">
        <v>0.06</v>
      </c>
      <c r="AD35" s="37">
        <v>0.06</v>
      </c>
      <c r="AE35" s="37">
        <v>0.06</v>
      </c>
      <c r="AF35" s="37">
        <v>0.06</v>
      </c>
      <c r="AG35" s="37">
        <v>0.06</v>
      </c>
      <c r="AH35" s="37">
        <v>0.06</v>
      </c>
      <c r="AI35" s="37">
        <v>0.06</v>
      </c>
      <c r="AJ35" s="37">
        <v>0.06</v>
      </c>
      <c r="AK35" s="37">
        <v>0.06</v>
      </c>
      <c r="AL35" s="37">
        <v>0.06</v>
      </c>
      <c r="AM35" s="37">
        <v>0.06</v>
      </c>
      <c r="AN35" s="37">
        <v>0.06</v>
      </c>
      <c r="AO35" s="37">
        <v>0.06</v>
      </c>
      <c r="AP35" s="37">
        <v>0.06</v>
      </c>
      <c r="AQ35" s="37">
        <v>0.06</v>
      </c>
      <c r="AR35" s="37">
        <v>0.06</v>
      </c>
      <c r="AS35" s="37">
        <v>0.06</v>
      </c>
      <c r="AT35" s="37">
        <v>0.06</v>
      </c>
      <c r="AU35" s="37">
        <v>0.06</v>
      </c>
      <c r="AV35" s="37">
        <v>0.06</v>
      </c>
      <c r="AW35" s="37">
        <v>0.06</v>
      </c>
      <c r="AX35" s="37">
        <v>0.06</v>
      </c>
      <c r="AY35" s="37">
        <v>0.06</v>
      </c>
      <c r="AZ35" s="37">
        <v>0.06</v>
      </c>
      <c r="BA35" s="37">
        <v>0.06</v>
      </c>
      <c r="BB35" s="37">
        <v>0.06</v>
      </c>
      <c r="BC35" s="37">
        <v>0.06</v>
      </c>
      <c r="BD35" s="37">
        <v>0.06</v>
      </c>
      <c r="BE35" s="37">
        <v>0.06</v>
      </c>
      <c r="BF35" s="37">
        <v>0.06</v>
      </c>
      <c r="BG35" s="37">
        <v>0.06</v>
      </c>
      <c r="BH35" s="37">
        <v>0.06</v>
      </c>
      <c r="BI35" s="37">
        <v>0.06</v>
      </c>
      <c r="BJ35" s="37">
        <v>0.06</v>
      </c>
      <c r="BK35" s="37">
        <v>0.06</v>
      </c>
      <c r="BL35" s="37">
        <v>0.06</v>
      </c>
      <c r="BM35" s="37">
        <v>0.06</v>
      </c>
      <c r="BN35" s="37">
        <v>0.06</v>
      </c>
      <c r="BO35" s="37">
        <v>0.06</v>
      </c>
      <c r="BP35" s="37">
        <v>0.06</v>
      </c>
      <c r="BQ35" s="37">
        <v>0.06</v>
      </c>
      <c r="BR35" s="37">
        <v>0.06</v>
      </c>
      <c r="BS35" s="37">
        <v>0.06</v>
      </c>
      <c r="BT35" s="37">
        <v>0.06</v>
      </c>
      <c r="BU35" s="37">
        <v>0.06</v>
      </c>
      <c r="BV35" s="37">
        <v>0.06</v>
      </c>
      <c r="BW35" s="37">
        <v>0.06</v>
      </c>
      <c r="BX35" s="37">
        <v>0.06</v>
      </c>
      <c r="BY35" s="37">
        <v>0.06</v>
      </c>
      <c r="BZ35" s="37">
        <v>0.06</v>
      </c>
      <c r="CA35" s="37">
        <v>0.06</v>
      </c>
      <c r="CB35" s="37">
        <v>0.06</v>
      </c>
      <c r="CC35" s="37">
        <v>0.06</v>
      </c>
      <c r="CD35" s="37">
        <v>0.06</v>
      </c>
      <c r="CE35" s="37">
        <v>0.06</v>
      </c>
      <c r="CF35" s="37">
        <v>0.06</v>
      </c>
      <c r="CG35" s="37">
        <v>0.06</v>
      </c>
      <c r="CH35" s="37">
        <v>0.06</v>
      </c>
      <c r="CI35" s="37">
        <v>0.06</v>
      </c>
      <c r="CJ35" s="37">
        <v>0.06</v>
      </c>
      <c r="CK35" s="37">
        <v>0.06</v>
      </c>
      <c r="CL35" s="37">
        <v>0.06</v>
      </c>
      <c r="CM35" s="37">
        <v>0.06</v>
      </c>
      <c r="CN35" s="37">
        <v>0.06</v>
      </c>
      <c r="CO35" s="37">
        <v>0.06</v>
      </c>
      <c r="CP35" s="37">
        <v>0.06</v>
      </c>
      <c r="CQ35" s="37">
        <v>0.06</v>
      </c>
      <c r="CR35" s="37">
        <v>0.06</v>
      </c>
      <c r="CS35" s="37">
        <v>0.06</v>
      </c>
      <c r="CT35" s="37">
        <v>0.06</v>
      </c>
      <c r="CU35" s="37">
        <v>0.06</v>
      </c>
      <c r="CV35" s="37">
        <v>0.06</v>
      </c>
      <c r="CW35" s="37">
        <v>0.06</v>
      </c>
      <c r="CX35" s="37">
        <v>0.06</v>
      </c>
      <c r="CY35" s="37">
        <v>0.06</v>
      </c>
      <c r="CZ35" s="37">
        <v>0.06</v>
      </c>
      <c r="DA35" s="37">
        <v>0.06</v>
      </c>
      <c r="DB35" s="37">
        <v>0.06</v>
      </c>
    </row>
    <row r="36" ht="18" customHeight="1" spans="1:106" x14ac:dyDescent="0.25">
      <c r="A36" s="36" t="s">
        <v>269</v>
      </c>
      <c r="B36" s="17"/>
      <c r="C36" s="37">
        <v>0.03</v>
      </c>
      <c r="D36" s="37">
        <v>0.03</v>
      </c>
      <c r="E36" s="37">
        <v>0.03</v>
      </c>
      <c r="F36" s="37">
        <v>0.03</v>
      </c>
      <c r="G36" s="37">
        <v>0.03</v>
      </c>
      <c r="H36" s="37">
        <v>0.03</v>
      </c>
      <c r="I36" s="37">
        <v>0.03</v>
      </c>
      <c r="J36" s="37">
        <v>0.03</v>
      </c>
      <c r="K36" s="37">
        <v>0.03</v>
      </c>
      <c r="L36" s="37">
        <v>0.03</v>
      </c>
      <c r="M36" s="37">
        <v>0.03</v>
      </c>
      <c r="N36" s="37">
        <v>0.03</v>
      </c>
      <c r="O36" s="37">
        <v>0.03</v>
      </c>
      <c r="P36" s="37">
        <v>0.03</v>
      </c>
      <c r="Q36" s="37">
        <v>0.03</v>
      </c>
      <c r="R36" s="37">
        <v>0.03</v>
      </c>
      <c r="S36" s="37">
        <v>0.03</v>
      </c>
      <c r="T36" s="37">
        <v>0.03</v>
      </c>
      <c r="U36" s="37">
        <v>0.03</v>
      </c>
      <c r="V36" s="37">
        <v>0.03</v>
      </c>
      <c r="W36" s="37">
        <v>0.03</v>
      </c>
      <c r="X36" s="37">
        <v>0.03</v>
      </c>
      <c r="Y36" s="37">
        <v>0.03</v>
      </c>
      <c r="Z36" s="37">
        <v>0.03</v>
      </c>
      <c r="AA36" s="37">
        <v>0.03</v>
      </c>
      <c r="AB36" s="37">
        <v>0.03</v>
      </c>
      <c r="AC36" s="37">
        <v>0.03</v>
      </c>
      <c r="AD36" s="37">
        <v>0.03</v>
      </c>
      <c r="AE36" s="37">
        <v>0.03</v>
      </c>
      <c r="AF36" s="37">
        <v>0.03</v>
      </c>
      <c r="AG36" s="37">
        <v>0.03</v>
      </c>
      <c r="AH36" s="37">
        <v>0.03</v>
      </c>
      <c r="AI36" s="37">
        <v>0.03</v>
      </c>
      <c r="AJ36" s="37">
        <v>0.03</v>
      </c>
      <c r="AK36" s="37">
        <v>0.03</v>
      </c>
      <c r="AL36" s="37">
        <v>0.03</v>
      </c>
      <c r="AM36" s="37">
        <v>0.03</v>
      </c>
      <c r="AN36" s="37">
        <v>0.03</v>
      </c>
      <c r="AO36" s="37">
        <v>0.03</v>
      </c>
      <c r="AP36" s="37">
        <v>0.03</v>
      </c>
      <c r="AQ36" s="37">
        <v>0.03</v>
      </c>
      <c r="AR36" s="37">
        <v>0.03</v>
      </c>
      <c r="AS36" s="37">
        <v>0.03</v>
      </c>
      <c r="AT36" s="37">
        <v>0.03</v>
      </c>
      <c r="AU36" s="37">
        <v>0.03</v>
      </c>
      <c r="AV36" s="37">
        <v>0.03</v>
      </c>
      <c r="AW36" s="37">
        <v>0.03</v>
      </c>
      <c r="AX36" s="37">
        <v>0.03</v>
      </c>
      <c r="AY36" s="37">
        <v>0.03</v>
      </c>
      <c r="AZ36" s="37">
        <v>0.03</v>
      </c>
      <c r="BA36" s="37">
        <v>0.03</v>
      </c>
      <c r="BB36" s="37">
        <v>0.03</v>
      </c>
      <c r="BC36" s="37">
        <v>0.03</v>
      </c>
      <c r="BD36" s="37">
        <v>0.03</v>
      </c>
      <c r="BE36" s="37">
        <v>0.03</v>
      </c>
      <c r="BF36" s="37">
        <v>0.03</v>
      </c>
      <c r="BG36" s="37">
        <v>0.03</v>
      </c>
      <c r="BH36" s="37">
        <v>0.03</v>
      </c>
      <c r="BI36" s="37">
        <v>0.03</v>
      </c>
      <c r="BJ36" s="37">
        <v>0.03</v>
      </c>
      <c r="BK36" s="37">
        <v>0.03</v>
      </c>
      <c r="BL36" s="37">
        <v>0.03</v>
      </c>
      <c r="BM36" s="37">
        <v>0.03</v>
      </c>
      <c r="BN36" s="37">
        <v>0.03</v>
      </c>
      <c r="BO36" s="37">
        <v>0.03</v>
      </c>
      <c r="BP36" s="37">
        <v>0.03</v>
      </c>
      <c r="BQ36" s="37">
        <v>0.03</v>
      </c>
      <c r="BR36" s="37">
        <v>0.03</v>
      </c>
      <c r="BS36" s="37">
        <v>0.03</v>
      </c>
      <c r="BT36" s="37">
        <v>0.03</v>
      </c>
      <c r="BU36" s="37">
        <v>0.03</v>
      </c>
      <c r="BV36" s="37">
        <v>0.03</v>
      </c>
      <c r="BW36" s="37">
        <v>0.03</v>
      </c>
      <c r="BX36" s="37">
        <v>0.03</v>
      </c>
      <c r="BY36" s="37">
        <v>0.03</v>
      </c>
      <c r="BZ36" s="37">
        <v>0.03</v>
      </c>
      <c r="CA36" s="37">
        <v>0.03</v>
      </c>
      <c r="CB36" s="37">
        <v>0.03</v>
      </c>
      <c r="CC36" s="37">
        <v>0.03</v>
      </c>
      <c r="CD36" s="37">
        <v>0.03</v>
      </c>
      <c r="CE36" s="37">
        <v>0.03</v>
      </c>
      <c r="CF36" s="37">
        <v>0.03</v>
      </c>
      <c r="CG36" s="37">
        <v>0.03</v>
      </c>
      <c r="CH36" s="37">
        <v>0.03</v>
      </c>
      <c r="CI36" s="37">
        <v>0.03</v>
      </c>
      <c r="CJ36" s="37">
        <v>0.03</v>
      </c>
      <c r="CK36" s="37">
        <v>0.03</v>
      </c>
      <c r="CL36" s="37">
        <v>0.03</v>
      </c>
      <c r="CM36" s="37">
        <v>0.03</v>
      </c>
      <c r="CN36" s="37">
        <v>0.03</v>
      </c>
      <c r="CO36" s="37">
        <v>0.03</v>
      </c>
      <c r="CP36" s="37">
        <v>0.03</v>
      </c>
      <c r="CQ36" s="37">
        <v>0.03</v>
      </c>
      <c r="CR36" s="37">
        <v>0.03</v>
      </c>
      <c r="CS36" s="37">
        <v>0.03</v>
      </c>
      <c r="CT36" s="37">
        <v>0.03</v>
      </c>
      <c r="CU36" s="37">
        <v>0.03</v>
      </c>
      <c r="CV36" s="37">
        <v>0.03</v>
      </c>
      <c r="CW36" s="37">
        <v>0.03</v>
      </c>
      <c r="CX36" s="37">
        <v>0.03</v>
      </c>
      <c r="CY36" s="37">
        <v>0.03</v>
      </c>
      <c r="CZ36" s="37">
        <v>0.03</v>
      </c>
      <c r="DA36" s="37">
        <v>0.03</v>
      </c>
      <c r="DB36" s="37">
        <v>0.03</v>
      </c>
    </row>
    <row r="37" ht="18" customHeight="1" spans="1:106" x14ac:dyDescent="0.25">
      <c r="A37" s="36" t="s">
        <v>270</v>
      </c>
      <c r="C37" s="37">
        <v>0.03</v>
      </c>
      <c r="D37" s="37">
        <v>0.03</v>
      </c>
      <c r="E37" s="37">
        <v>0.03</v>
      </c>
      <c r="F37" s="37">
        <v>0.03</v>
      </c>
      <c r="G37" s="37">
        <v>0.03</v>
      </c>
      <c r="H37" s="37">
        <v>0.03</v>
      </c>
      <c r="I37" s="37">
        <v>0.03</v>
      </c>
      <c r="J37" s="37">
        <v>0.03</v>
      </c>
      <c r="K37" s="37">
        <v>0.03</v>
      </c>
      <c r="L37" s="37">
        <v>0.03</v>
      </c>
      <c r="M37" s="37">
        <v>0.03</v>
      </c>
      <c r="N37" s="37">
        <v>0.03</v>
      </c>
      <c r="O37" s="37">
        <v>0.03</v>
      </c>
      <c r="P37" s="37">
        <v>0.03</v>
      </c>
      <c r="Q37" s="37">
        <v>0.03</v>
      </c>
      <c r="R37" s="37">
        <v>0.03</v>
      </c>
      <c r="S37" s="37">
        <v>0.03</v>
      </c>
      <c r="T37" s="37">
        <v>0.03</v>
      </c>
      <c r="U37" s="37">
        <v>0.03</v>
      </c>
      <c r="V37" s="37">
        <v>0.03</v>
      </c>
      <c r="W37" s="37">
        <v>0.03</v>
      </c>
      <c r="X37" s="37">
        <v>0.03</v>
      </c>
      <c r="Y37" s="37">
        <v>0.03</v>
      </c>
      <c r="Z37" s="37">
        <v>0.03</v>
      </c>
      <c r="AA37" s="37">
        <v>0.03</v>
      </c>
      <c r="AB37" s="37">
        <v>0.03</v>
      </c>
      <c r="AC37" s="37">
        <v>0.03</v>
      </c>
      <c r="AD37" s="37">
        <v>0.03</v>
      </c>
      <c r="AE37" s="37">
        <v>0.03</v>
      </c>
      <c r="AF37" s="37">
        <v>0.03</v>
      </c>
      <c r="AG37" s="37">
        <v>0.03</v>
      </c>
      <c r="AH37" s="37">
        <v>0.03</v>
      </c>
      <c r="AI37" s="37">
        <v>0.03</v>
      </c>
      <c r="AJ37" s="37">
        <v>0.03</v>
      </c>
      <c r="AK37" s="37">
        <v>0.03</v>
      </c>
      <c r="AL37" s="37">
        <v>0.03</v>
      </c>
      <c r="AM37" s="37">
        <v>0.03</v>
      </c>
      <c r="AN37" s="37">
        <v>0.03</v>
      </c>
      <c r="AO37" s="37">
        <v>0.03</v>
      </c>
      <c r="AP37" s="37">
        <v>0.03</v>
      </c>
      <c r="AQ37" s="37">
        <v>0.03</v>
      </c>
      <c r="AR37" s="37">
        <v>0.03</v>
      </c>
      <c r="AS37" s="37">
        <v>0.03</v>
      </c>
      <c r="AT37" s="37">
        <v>0.03</v>
      </c>
      <c r="AU37" s="37">
        <v>0.03</v>
      </c>
      <c r="AV37" s="37">
        <v>0.03</v>
      </c>
      <c r="AW37" s="37">
        <v>0.03</v>
      </c>
      <c r="AX37" s="37">
        <v>0.03</v>
      </c>
      <c r="AY37" s="37">
        <v>0.03</v>
      </c>
      <c r="AZ37" s="37">
        <v>0.03</v>
      </c>
      <c r="BA37" s="37">
        <v>0.03</v>
      </c>
      <c r="BB37" s="37">
        <v>0.03</v>
      </c>
      <c r="BC37" s="37">
        <v>0.03</v>
      </c>
      <c r="BD37" s="37">
        <v>0.03</v>
      </c>
      <c r="BE37" s="37">
        <v>0.03</v>
      </c>
      <c r="BF37" s="37">
        <v>0.03</v>
      </c>
      <c r="BG37" s="37">
        <v>0.03</v>
      </c>
      <c r="BH37" s="37">
        <v>0.03</v>
      </c>
      <c r="BI37" s="37">
        <v>0.03</v>
      </c>
      <c r="BJ37" s="37">
        <v>0.03</v>
      </c>
      <c r="BK37" s="37">
        <v>0.03</v>
      </c>
      <c r="BL37" s="37">
        <v>0.03</v>
      </c>
      <c r="BM37" s="37">
        <v>0.03</v>
      </c>
      <c r="BN37" s="37">
        <v>0.03</v>
      </c>
      <c r="BO37" s="37">
        <v>0.03</v>
      </c>
      <c r="BP37" s="37">
        <v>0.03</v>
      </c>
      <c r="BQ37" s="37">
        <v>0.03</v>
      </c>
      <c r="BR37" s="37">
        <v>0.03</v>
      </c>
      <c r="BS37" s="37">
        <v>0.03</v>
      </c>
      <c r="BT37" s="37">
        <v>0.03</v>
      </c>
      <c r="BU37" s="37">
        <v>0.03</v>
      </c>
      <c r="BV37" s="37">
        <v>0.03</v>
      </c>
      <c r="BW37" s="37">
        <v>0.03</v>
      </c>
      <c r="BX37" s="37">
        <v>0.03</v>
      </c>
      <c r="BY37" s="37">
        <v>0.03</v>
      </c>
      <c r="BZ37" s="37">
        <v>0.03</v>
      </c>
      <c r="CA37" s="37">
        <v>0.03</v>
      </c>
      <c r="CB37" s="37">
        <v>0.03</v>
      </c>
      <c r="CC37" s="37">
        <v>0.03</v>
      </c>
      <c r="CD37" s="37">
        <v>0.03</v>
      </c>
      <c r="CE37" s="37">
        <v>0.03</v>
      </c>
      <c r="CF37" s="37">
        <v>0.03</v>
      </c>
      <c r="CG37" s="37">
        <v>0.03</v>
      </c>
      <c r="CH37" s="37">
        <v>0.03</v>
      </c>
      <c r="CI37" s="37">
        <v>0.03</v>
      </c>
      <c r="CJ37" s="37">
        <v>0.03</v>
      </c>
      <c r="CK37" s="37">
        <v>0.03</v>
      </c>
      <c r="CL37" s="37">
        <v>0.03</v>
      </c>
      <c r="CM37" s="37">
        <v>0.03</v>
      </c>
      <c r="CN37" s="37">
        <v>0.03</v>
      </c>
      <c r="CO37" s="37">
        <v>0.03</v>
      </c>
      <c r="CP37" s="37">
        <v>0.03</v>
      </c>
      <c r="CQ37" s="37">
        <v>0.03</v>
      </c>
      <c r="CR37" s="37">
        <v>0.03</v>
      </c>
      <c r="CS37" s="37">
        <v>0.03</v>
      </c>
      <c r="CT37" s="37">
        <v>0.03</v>
      </c>
      <c r="CU37" s="37">
        <v>0.03</v>
      </c>
      <c r="CV37" s="37">
        <v>0.03</v>
      </c>
      <c r="CW37" s="37">
        <v>0.03</v>
      </c>
      <c r="CX37" s="37">
        <v>0.03</v>
      </c>
      <c r="CY37" s="37">
        <v>0.03</v>
      </c>
      <c r="CZ37" s="37">
        <v>0.03</v>
      </c>
      <c r="DA37" s="37">
        <v>0.03</v>
      </c>
      <c r="DB37" s="37">
        <v>0.03</v>
      </c>
    </row>
    <row r="38" ht="18" customHeight="1" spans="1:106" x14ac:dyDescent="0.25">
      <c r="A38" s="36" t="s">
        <v>271</v>
      </c>
      <c r="C38" s="37">
        <v>0.01</v>
      </c>
      <c r="D38" s="37">
        <v>0.01</v>
      </c>
      <c r="E38" s="37">
        <v>0.01</v>
      </c>
      <c r="F38" s="37">
        <v>0.01</v>
      </c>
      <c r="G38" s="37">
        <v>0.01</v>
      </c>
      <c r="H38" s="37">
        <v>0.01</v>
      </c>
      <c r="I38" s="37">
        <v>0.01</v>
      </c>
      <c r="J38" s="37">
        <v>0.01</v>
      </c>
      <c r="K38" s="37">
        <v>0.01</v>
      </c>
      <c r="L38" s="37">
        <v>0.01</v>
      </c>
      <c r="M38" s="37">
        <v>0.01</v>
      </c>
      <c r="N38" s="37">
        <v>0.01</v>
      </c>
      <c r="O38" s="37">
        <v>0.01</v>
      </c>
      <c r="P38" s="37">
        <v>0.01</v>
      </c>
      <c r="Q38" s="37">
        <v>0.01</v>
      </c>
      <c r="R38" s="37">
        <v>0.01</v>
      </c>
      <c r="S38" s="37">
        <v>0.01</v>
      </c>
      <c r="T38" s="37">
        <v>0.01</v>
      </c>
      <c r="U38" s="37">
        <v>0.01</v>
      </c>
      <c r="V38" s="37">
        <v>0.01</v>
      </c>
      <c r="W38" s="37">
        <v>0.01</v>
      </c>
      <c r="X38" s="37">
        <v>0.01</v>
      </c>
      <c r="Y38" s="37">
        <v>0.01</v>
      </c>
      <c r="Z38" s="37">
        <v>0.01</v>
      </c>
      <c r="AA38" s="37">
        <v>0.01</v>
      </c>
      <c r="AB38" s="37">
        <v>0.01</v>
      </c>
      <c r="AC38" s="37">
        <v>0.01</v>
      </c>
      <c r="AD38" s="37">
        <v>0.01</v>
      </c>
      <c r="AE38" s="37">
        <v>0.01</v>
      </c>
      <c r="AF38" s="37">
        <v>0.01</v>
      </c>
      <c r="AG38" s="37">
        <v>0.01</v>
      </c>
      <c r="AH38" s="37">
        <v>0.01</v>
      </c>
      <c r="AI38" s="37">
        <v>0.01</v>
      </c>
      <c r="AJ38" s="37">
        <v>0.01</v>
      </c>
      <c r="AK38" s="37">
        <v>0.01</v>
      </c>
      <c r="AL38" s="37">
        <v>0.01</v>
      </c>
      <c r="AM38" s="37">
        <v>0.01</v>
      </c>
      <c r="AN38" s="37">
        <v>0.01</v>
      </c>
      <c r="AO38" s="37">
        <v>0.01</v>
      </c>
      <c r="AP38" s="37">
        <v>0.01</v>
      </c>
      <c r="AQ38" s="37">
        <v>0.01</v>
      </c>
      <c r="AR38" s="37">
        <v>0.01</v>
      </c>
      <c r="AS38" s="37">
        <v>0.01</v>
      </c>
      <c r="AT38" s="37">
        <v>0.01</v>
      </c>
      <c r="AU38" s="37">
        <v>0.01</v>
      </c>
      <c r="AV38" s="37">
        <v>0.01</v>
      </c>
      <c r="AW38" s="37">
        <v>0.01</v>
      </c>
      <c r="AX38" s="37">
        <v>0.01</v>
      </c>
      <c r="AY38" s="37">
        <v>0.01</v>
      </c>
      <c r="AZ38" s="37">
        <v>0.01</v>
      </c>
      <c r="BA38" s="37">
        <v>0.01</v>
      </c>
      <c r="BB38" s="37">
        <v>0.01</v>
      </c>
      <c r="BC38" s="37">
        <v>0.01</v>
      </c>
      <c r="BD38" s="37">
        <v>0.01</v>
      </c>
      <c r="BE38" s="37">
        <v>0.01</v>
      </c>
      <c r="BF38" s="37">
        <v>0.01</v>
      </c>
      <c r="BG38" s="37">
        <v>0.01</v>
      </c>
      <c r="BH38" s="37">
        <v>0.01</v>
      </c>
      <c r="BI38" s="37">
        <v>0.01</v>
      </c>
      <c r="BJ38" s="37">
        <v>0.01</v>
      </c>
      <c r="BK38" s="37">
        <v>0.01</v>
      </c>
      <c r="BL38" s="37">
        <v>0.01</v>
      </c>
      <c r="BM38" s="37">
        <v>0.01</v>
      </c>
      <c r="BN38" s="37">
        <v>0.01</v>
      </c>
      <c r="BO38" s="37">
        <v>0.01</v>
      </c>
      <c r="BP38" s="37">
        <v>0.01</v>
      </c>
      <c r="BQ38" s="37">
        <v>0.01</v>
      </c>
      <c r="BR38" s="37">
        <v>0.01</v>
      </c>
      <c r="BS38" s="37">
        <v>0.01</v>
      </c>
      <c r="BT38" s="37">
        <v>0.01</v>
      </c>
      <c r="BU38" s="37">
        <v>0.01</v>
      </c>
      <c r="BV38" s="37">
        <v>0.01</v>
      </c>
      <c r="BW38" s="37">
        <v>0.01</v>
      </c>
      <c r="BX38" s="37">
        <v>0.01</v>
      </c>
      <c r="BY38" s="37">
        <v>0.01</v>
      </c>
      <c r="BZ38" s="37">
        <v>0.01</v>
      </c>
      <c r="CA38" s="37">
        <v>0.01</v>
      </c>
      <c r="CB38" s="37">
        <v>0.01</v>
      </c>
      <c r="CC38" s="37">
        <v>0.01</v>
      </c>
      <c r="CD38" s="37">
        <v>0.01</v>
      </c>
      <c r="CE38" s="37">
        <v>0.01</v>
      </c>
      <c r="CF38" s="37">
        <v>0.01</v>
      </c>
      <c r="CG38" s="37">
        <v>0.01</v>
      </c>
      <c r="CH38" s="37">
        <v>0.01</v>
      </c>
      <c r="CI38" s="37">
        <v>0.01</v>
      </c>
      <c r="CJ38" s="37">
        <v>0.01</v>
      </c>
      <c r="CK38" s="37">
        <v>0.01</v>
      </c>
      <c r="CL38" s="37">
        <v>0.01</v>
      </c>
      <c r="CM38" s="37">
        <v>0.01</v>
      </c>
      <c r="CN38" s="37">
        <v>0.01</v>
      </c>
      <c r="CO38" s="37">
        <v>0.01</v>
      </c>
      <c r="CP38" s="37">
        <v>0.01</v>
      </c>
      <c r="CQ38" s="37">
        <v>0.01</v>
      </c>
      <c r="CR38" s="37">
        <v>0.01</v>
      </c>
      <c r="CS38" s="37">
        <v>0.01</v>
      </c>
      <c r="CT38" s="37">
        <v>0.01</v>
      </c>
      <c r="CU38" s="37">
        <v>0.01</v>
      </c>
      <c r="CV38" s="37">
        <v>0.01</v>
      </c>
      <c r="CW38" s="37">
        <v>0.01</v>
      </c>
      <c r="CX38" s="37">
        <v>0.01</v>
      </c>
      <c r="CY38" s="37">
        <v>0.01</v>
      </c>
      <c r="CZ38" s="37">
        <v>0.01</v>
      </c>
      <c r="DA38" s="37">
        <v>0.01</v>
      </c>
      <c r="DB38" s="37">
        <v>0.01</v>
      </c>
    </row>
    <row r="39" ht="18" customHeight="1" spans="1:106" x14ac:dyDescent="0.25">
      <c r="A39" s="36" t="s">
        <v>272</v>
      </c>
      <c r="C39" s="39">
        <v>0.02</v>
      </c>
      <c r="D39" s="39">
        <v>0.02</v>
      </c>
      <c r="E39" s="39">
        <v>0.02</v>
      </c>
      <c r="F39" s="39">
        <v>0.02</v>
      </c>
      <c r="G39" s="39">
        <v>0.02</v>
      </c>
      <c r="H39" s="39">
        <v>0.02</v>
      </c>
      <c r="I39" s="39">
        <v>0.02</v>
      </c>
      <c r="J39" s="39">
        <v>0.02</v>
      </c>
      <c r="K39" s="39">
        <v>0.02</v>
      </c>
      <c r="L39" s="39">
        <v>0.02</v>
      </c>
      <c r="M39" s="39">
        <v>0.02</v>
      </c>
      <c r="N39" s="39">
        <v>0.02</v>
      </c>
      <c r="O39" s="39">
        <v>0.02</v>
      </c>
      <c r="P39" s="39">
        <v>0.02</v>
      </c>
      <c r="Q39" s="39">
        <v>0.02</v>
      </c>
      <c r="R39" s="39">
        <v>0.02</v>
      </c>
      <c r="S39" s="39">
        <v>0.02</v>
      </c>
      <c r="T39" s="39">
        <v>0.02</v>
      </c>
      <c r="U39" s="39">
        <v>0.02</v>
      </c>
      <c r="V39" s="39">
        <v>0.02</v>
      </c>
      <c r="W39" s="39">
        <v>0.02</v>
      </c>
      <c r="X39" s="39">
        <v>0.02</v>
      </c>
      <c r="Y39" s="39">
        <v>0.02</v>
      </c>
      <c r="Z39" s="39">
        <v>0.02</v>
      </c>
      <c r="AA39" s="39">
        <v>0.02</v>
      </c>
      <c r="AB39" s="39">
        <v>0.02</v>
      </c>
      <c r="AC39" s="39">
        <v>0.02</v>
      </c>
      <c r="AD39" s="39">
        <v>0.02</v>
      </c>
      <c r="AE39" s="39">
        <v>0.02</v>
      </c>
      <c r="AF39" s="39">
        <v>0.02</v>
      </c>
      <c r="AG39" s="39">
        <v>0.02</v>
      </c>
      <c r="AH39" s="39">
        <v>0.02</v>
      </c>
      <c r="AI39" s="39">
        <v>0.02</v>
      </c>
      <c r="AJ39" s="39">
        <v>0.02</v>
      </c>
      <c r="AK39" s="39">
        <v>0.02</v>
      </c>
      <c r="AL39" s="39">
        <v>0.02</v>
      </c>
      <c r="AM39" s="39">
        <v>0.02</v>
      </c>
      <c r="AN39" s="39">
        <v>0.02</v>
      </c>
      <c r="AO39" s="39">
        <v>0.02</v>
      </c>
      <c r="AP39" s="39">
        <v>0.02</v>
      </c>
      <c r="AQ39" s="39">
        <v>0.02</v>
      </c>
      <c r="AR39" s="39">
        <v>0.02</v>
      </c>
      <c r="AS39" s="39">
        <v>0.02</v>
      </c>
      <c r="AT39" s="39">
        <v>0.02</v>
      </c>
      <c r="AU39" s="39">
        <v>0.02</v>
      </c>
      <c r="AV39" s="39">
        <v>0.02</v>
      </c>
      <c r="AW39" s="39">
        <v>0.02</v>
      </c>
      <c r="AX39" s="39">
        <v>0.02</v>
      </c>
      <c r="AY39" s="39">
        <v>0.02</v>
      </c>
      <c r="AZ39" s="39">
        <v>0.02</v>
      </c>
      <c r="BA39" s="39">
        <v>0.02</v>
      </c>
      <c r="BB39" s="39">
        <v>0.02</v>
      </c>
      <c r="BC39" s="39">
        <v>0.02</v>
      </c>
      <c r="BD39" s="39">
        <v>0.02</v>
      </c>
      <c r="BE39" s="39">
        <v>0.02</v>
      </c>
      <c r="BF39" s="39">
        <v>0.02</v>
      </c>
      <c r="BG39" s="39">
        <v>0.02</v>
      </c>
      <c r="BH39" s="39">
        <v>0.02</v>
      </c>
      <c r="BI39" s="39">
        <v>0.02</v>
      </c>
      <c r="BJ39" s="39">
        <v>0.02</v>
      </c>
      <c r="BK39" s="39">
        <v>0.02</v>
      </c>
      <c r="BL39" s="39">
        <v>0.02</v>
      </c>
      <c r="BM39" s="39">
        <v>0.02</v>
      </c>
      <c r="BN39" s="39">
        <v>0.02</v>
      </c>
      <c r="BO39" s="39">
        <v>0.02</v>
      </c>
      <c r="BP39" s="39">
        <v>0.02</v>
      </c>
      <c r="BQ39" s="39">
        <v>0.02</v>
      </c>
      <c r="BR39" s="39">
        <v>0.02</v>
      </c>
      <c r="BS39" s="39">
        <v>0.02</v>
      </c>
      <c r="BT39" s="39">
        <v>0.02</v>
      </c>
      <c r="BU39" s="39">
        <v>0.02</v>
      </c>
      <c r="BV39" s="39">
        <v>0.02</v>
      </c>
      <c r="BW39" s="39">
        <v>0.02</v>
      </c>
      <c r="BX39" s="39">
        <v>0.02</v>
      </c>
      <c r="BY39" s="39">
        <v>0.02</v>
      </c>
      <c r="BZ39" s="39">
        <v>0.02</v>
      </c>
      <c r="CA39" s="39">
        <v>0.02</v>
      </c>
      <c r="CB39" s="39">
        <v>0.02</v>
      </c>
      <c r="CC39" s="39">
        <v>0.02</v>
      </c>
      <c r="CD39" s="39">
        <v>0.02</v>
      </c>
      <c r="CE39" s="39">
        <v>0.02</v>
      </c>
      <c r="CF39" s="39">
        <v>0.02</v>
      </c>
      <c r="CG39" s="39">
        <v>0.02</v>
      </c>
      <c r="CH39" s="39">
        <v>0.02</v>
      </c>
      <c r="CI39" s="39">
        <v>0.02</v>
      </c>
      <c r="CJ39" s="39">
        <v>0.02</v>
      </c>
      <c r="CK39" s="39">
        <v>0.02</v>
      </c>
      <c r="CL39" s="39">
        <v>0.02</v>
      </c>
      <c r="CM39" s="39">
        <v>0.02</v>
      </c>
      <c r="CN39" s="39">
        <v>0.02</v>
      </c>
      <c r="CO39" s="39">
        <v>0.02</v>
      </c>
      <c r="CP39" s="39">
        <v>0.02</v>
      </c>
      <c r="CQ39" s="39">
        <v>0.02</v>
      </c>
      <c r="CR39" s="39">
        <v>0.02</v>
      </c>
      <c r="CS39" s="39">
        <v>0.02</v>
      </c>
      <c r="CT39" s="39">
        <v>0.02</v>
      </c>
      <c r="CU39" s="39">
        <v>0.02</v>
      </c>
      <c r="CV39" s="39">
        <v>0.02</v>
      </c>
      <c r="CW39" s="39">
        <v>0.02</v>
      </c>
      <c r="CX39" s="39">
        <v>0.02</v>
      </c>
      <c r="CY39" s="39">
        <v>0.02</v>
      </c>
      <c r="CZ39" s="39">
        <v>0.02</v>
      </c>
      <c r="DA39" s="39">
        <v>0.02</v>
      </c>
      <c r="DB39" s="39">
        <v>0.02</v>
      </c>
    </row>
    <row r="40" ht="18" customHeight="1" spans="1:106" x14ac:dyDescent="0.25">
      <c r="A40" s="36" t="s">
        <v>273</v>
      </c>
      <c r="C40" s="39">
        <v>0</v>
      </c>
      <c r="D40" s="39">
        <v>0</v>
      </c>
      <c r="E40" s="39">
        <v>0</v>
      </c>
      <c r="F40" s="39">
        <v>0</v>
      </c>
      <c r="G40" s="39">
        <v>0</v>
      </c>
      <c r="H40" s="39">
        <v>0</v>
      </c>
      <c r="I40" s="39">
        <v>0</v>
      </c>
      <c r="J40" s="39">
        <v>0</v>
      </c>
      <c r="K40" s="39">
        <v>0</v>
      </c>
      <c r="L40" s="39">
        <v>0</v>
      </c>
      <c r="M40" s="39">
        <v>0</v>
      </c>
      <c r="N40" s="39">
        <v>0</v>
      </c>
      <c r="O40" s="39">
        <v>0</v>
      </c>
      <c r="P40" s="39">
        <v>0</v>
      </c>
      <c r="Q40" s="39">
        <v>0</v>
      </c>
      <c r="R40" s="39">
        <v>0</v>
      </c>
      <c r="S40" s="39">
        <v>0</v>
      </c>
      <c r="T40" s="39">
        <v>0</v>
      </c>
      <c r="U40" s="39">
        <v>0</v>
      </c>
      <c r="V40" s="39">
        <v>0</v>
      </c>
      <c r="W40" s="39">
        <v>0</v>
      </c>
      <c r="X40" s="39">
        <v>0</v>
      </c>
      <c r="Y40" s="39">
        <v>0</v>
      </c>
      <c r="Z40" s="39">
        <v>0</v>
      </c>
      <c r="AA40" s="39">
        <v>0</v>
      </c>
      <c r="AB40" s="39">
        <v>0</v>
      </c>
      <c r="AC40" s="39">
        <v>0</v>
      </c>
      <c r="AD40" s="39">
        <v>0</v>
      </c>
      <c r="AE40" s="39">
        <v>0</v>
      </c>
      <c r="AF40" s="39">
        <v>0</v>
      </c>
      <c r="AG40" s="39">
        <v>0</v>
      </c>
      <c r="AH40" s="39">
        <v>0</v>
      </c>
      <c r="AI40" s="39">
        <v>0</v>
      </c>
      <c r="AJ40" s="39">
        <v>0</v>
      </c>
      <c r="AK40" s="39">
        <v>0</v>
      </c>
      <c r="AL40" s="39">
        <v>0</v>
      </c>
      <c r="AM40" s="39">
        <v>0</v>
      </c>
      <c r="AN40" s="39">
        <v>0</v>
      </c>
      <c r="AO40" s="39">
        <v>0</v>
      </c>
      <c r="AP40" s="39">
        <v>0</v>
      </c>
      <c r="AQ40" s="39">
        <v>0</v>
      </c>
      <c r="AR40" s="39">
        <v>0</v>
      </c>
      <c r="AS40" s="39">
        <v>0</v>
      </c>
      <c r="AT40" s="39">
        <v>0</v>
      </c>
      <c r="AU40" s="39">
        <v>0</v>
      </c>
      <c r="AV40" s="39">
        <v>0</v>
      </c>
      <c r="AW40" s="39">
        <v>0</v>
      </c>
      <c r="AX40" s="39">
        <v>0</v>
      </c>
      <c r="AY40" s="39">
        <v>0</v>
      </c>
      <c r="AZ40" s="39">
        <v>0</v>
      </c>
      <c r="BA40" s="39">
        <v>0</v>
      </c>
      <c r="BB40" s="39">
        <v>0</v>
      </c>
      <c r="BC40" s="39">
        <v>0</v>
      </c>
      <c r="BD40" s="39">
        <v>0</v>
      </c>
      <c r="BE40" s="39">
        <v>0</v>
      </c>
      <c r="BF40" s="39">
        <v>0</v>
      </c>
      <c r="BG40" s="39">
        <v>0</v>
      </c>
      <c r="BH40" s="39">
        <v>0</v>
      </c>
      <c r="BI40" s="39">
        <v>0</v>
      </c>
      <c r="BJ40" s="39">
        <v>0</v>
      </c>
      <c r="BK40" s="39">
        <v>0</v>
      </c>
      <c r="BL40" s="39">
        <v>0</v>
      </c>
      <c r="BM40" s="39">
        <v>0</v>
      </c>
      <c r="BN40" s="39">
        <v>0</v>
      </c>
      <c r="BO40" s="39">
        <v>0</v>
      </c>
      <c r="BP40" s="39">
        <v>0</v>
      </c>
      <c r="BQ40" s="39">
        <v>0</v>
      </c>
      <c r="BR40" s="39">
        <v>0</v>
      </c>
      <c r="BS40" s="39">
        <v>0</v>
      </c>
      <c r="BT40" s="39">
        <v>0</v>
      </c>
      <c r="BU40" s="39">
        <v>0</v>
      </c>
      <c r="BV40" s="39">
        <v>0</v>
      </c>
      <c r="BW40" s="39">
        <v>0</v>
      </c>
      <c r="BX40" s="39">
        <v>0</v>
      </c>
      <c r="BY40" s="39">
        <v>0</v>
      </c>
      <c r="BZ40" s="39">
        <v>0</v>
      </c>
      <c r="CA40" s="39">
        <v>0</v>
      </c>
      <c r="CB40" s="39">
        <v>0</v>
      </c>
      <c r="CC40" s="39">
        <v>0</v>
      </c>
      <c r="CD40" s="39">
        <v>0</v>
      </c>
      <c r="CE40" s="39">
        <v>0</v>
      </c>
      <c r="CF40" s="39">
        <v>0</v>
      </c>
      <c r="CG40" s="39">
        <v>0</v>
      </c>
      <c r="CH40" s="39">
        <v>0</v>
      </c>
      <c r="CI40" s="39">
        <v>0</v>
      </c>
      <c r="CJ40" s="39">
        <v>0</v>
      </c>
      <c r="CK40" s="39">
        <v>0</v>
      </c>
      <c r="CL40" s="39">
        <v>0</v>
      </c>
      <c r="CM40" s="39">
        <v>0</v>
      </c>
      <c r="CN40" s="39">
        <v>0</v>
      </c>
      <c r="CO40" s="39">
        <v>0</v>
      </c>
      <c r="CP40" s="39">
        <v>0</v>
      </c>
      <c r="CQ40" s="39">
        <v>0</v>
      </c>
      <c r="CR40" s="39">
        <v>0</v>
      </c>
      <c r="CS40" s="39">
        <v>0</v>
      </c>
      <c r="CT40" s="39">
        <v>0</v>
      </c>
      <c r="CU40" s="39">
        <v>0</v>
      </c>
      <c r="CV40" s="39">
        <v>0</v>
      </c>
      <c r="CW40" s="39">
        <v>0</v>
      </c>
      <c r="CX40" s="39">
        <v>0</v>
      </c>
      <c r="CY40" s="39">
        <v>0</v>
      </c>
      <c r="CZ40" s="39">
        <v>0</v>
      </c>
      <c r="DA40" s="39">
        <v>0</v>
      </c>
      <c r="DB40" s="39">
        <v>0</v>
      </c>
    </row>
    <row r="41" ht="16" customHeight="1" spans="1:106" x14ac:dyDescent="0.25">
      <c r="A41" s="20" t="s">
        <v>274</v>
      </c>
      <c r="B41" s="17"/>
      <c r="C41" s="45">
        <v>0.01</v>
      </c>
      <c r="D41" s="45">
        <v>0.01</v>
      </c>
      <c r="E41" s="45">
        <v>0.01</v>
      </c>
      <c r="F41" s="45">
        <v>0.01</v>
      </c>
      <c r="G41" s="45">
        <v>0.01</v>
      </c>
      <c r="H41" s="45">
        <v>0.01</v>
      </c>
      <c r="I41" s="45">
        <v>0.01</v>
      </c>
      <c r="J41" s="45">
        <v>0.01</v>
      </c>
      <c r="K41" s="45">
        <v>0.01</v>
      </c>
      <c r="L41" s="45">
        <v>0.01</v>
      </c>
      <c r="M41" s="45">
        <v>0.01</v>
      </c>
      <c r="N41" s="45">
        <v>0.01</v>
      </c>
      <c r="O41" s="45">
        <v>0.01</v>
      </c>
      <c r="P41" s="45">
        <v>0.01</v>
      </c>
      <c r="Q41" s="45">
        <v>0.01</v>
      </c>
      <c r="R41" s="45">
        <v>0.01</v>
      </c>
      <c r="S41" s="45">
        <v>0.01</v>
      </c>
      <c r="T41" s="45">
        <v>0.01</v>
      </c>
      <c r="U41" s="45">
        <v>0.01</v>
      </c>
      <c r="V41" s="45">
        <v>0.01</v>
      </c>
      <c r="W41" s="45">
        <v>0.01</v>
      </c>
      <c r="X41" s="45">
        <v>0.01</v>
      </c>
      <c r="Y41" s="45">
        <v>0.01</v>
      </c>
      <c r="Z41" s="45">
        <v>0.01</v>
      </c>
      <c r="AA41" s="45">
        <v>0.01</v>
      </c>
      <c r="AB41" s="45">
        <v>0.01</v>
      </c>
      <c r="AC41" s="45">
        <v>0.01</v>
      </c>
      <c r="AD41" s="45">
        <v>0.01</v>
      </c>
      <c r="AE41" s="45">
        <v>0.01</v>
      </c>
      <c r="AF41" s="45">
        <v>0.01</v>
      </c>
      <c r="AG41" s="45">
        <v>0.02</v>
      </c>
      <c r="AH41" s="42">
        <v>0.02</v>
      </c>
      <c r="AI41" s="42">
        <v>0.02</v>
      </c>
      <c r="AJ41" s="42">
        <v>0.02</v>
      </c>
      <c r="AK41" s="42">
        <v>0.02</v>
      </c>
      <c r="AL41" s="42">
        <v>0.02</v>
      </c>
      <c r="AM41" s="42">
        <v>0.02</v>
      </c>
      <c r="AN41" s="42">
        <v>0.02</v>
      </c>
      <c r="AO41" s="42">
        <v>0.02</v>
      </c>
      <c r="AP41" s="42">
        <v>0.02</v>
      </c>
      <c r="AQ41" s="42">
        <v>0.02</v>
      </c>
      <c r="AR41" s="42">
        <v>0.02</v>
      </c>
      <c r="AS41" s="42">
        <v>0.02</v>
      </c>
      <c r="AT41" s="42">
        <v>0.02</v>
      </c>
      <c r="AU41" s="42">
        <v>0.02</v>
      </c>
      <c r="AV41" s="42">
        <v>0.02</v>
      </c>
      <c r="AW41" s="42">
        <v>0.02</v>
      </c>
      <c r="AX41" s="42">
        <v>0.02</v>
      </c>
      <c r="AY41" s="42">
        <v>0.012</v>
      </c>
      <c r="AZ41" s="42">
        <v>0.012</v>
      </c>
      <c r="BA41" s="42">
        <v>0.012</v>
      </c>
      <c r="BB41" s="42">
        <v>0.012</v>
      </c>
      <c r="BC41" s="42">
        <v>0.012</v>
      </c>
      <c r="BD41" s="42">
        <v>0.012</v>
      </c>
      <c r="BE41" s="42">
        <v>0.012</v>
      </c>
      <c r="BF41" s="42">
        <v>0.012</v>
      </c>
      <c r="BG41" s="42">
        <v>0.012</v>
      </c>
      <c r="BH41" s="42">
        <v>0.015</v>
      </c>
      <c r="BI41" s="42">
        <v>0.015</v>
      </c>
      <c r="BJ41" s="42">
        <v>0.015</v>
      </c>
      <c r="BK41" s="42">
        <v>0.015</v>
      </c>
      <c r="BL41" s="42">
        <v>0.0113</v>
      </c>
      <c r="BM41" s="42">
        <v>0.0113</v>
      </c>
      <c r="BN41" s="42">
        <v>0.0113</v>
      </c>
      <c r="BO41" s="42">
        <v>0.0113</v>
      </c>
      <c r="BP41" s="42">
        <v>0.009000000000000001</v>
      </c>
      <c r="BQ41" s="42">
        <v>0.009000000000000001</v>
      </c>
      <c r="BR41" s="42">
        <v>0.009000000000000001</v>
      </c>
      <c r="BS41" s="42">
        <v>0.009000000000000001</v>
      </c>
      <c r="BT41" s="42">
        <v>0.009000000000000001</v>
      </c>
      <c r="BU41" s="42">
        <v>0.0113</v>
      </c>
      <c r="BV41" s="42">
        <v>0.0113</v>
      </c>
      <c r="BW41" s="42">
        <v>0.0113</v>
      </c>
      <c r="BX41" s="42">
        <v>0.0113</v>
      </c>
      <c r="BY41" s="42">
        <v>0.0113</v>
      </c>
      <c r="BZ41" s="42">
        <v>0.0113</v>
      </c>
      <c r="CA41" s="42">
        <v>0.0113</v>
      </c>
      <c r="CB41" s="42">
        <v>0.0113</v>
      </c>
      <c r="CC41" s="45">
        <v>0.013000000000000001</v>
      </c>
      <c r="CD41" s="45">
        <v>0.013000000000000001</v>
      </c>
      <c r="CE41" s="45">
        <v>0.013000000000000001</v>
      </c>
      <c r="CF41" s="45">
        <v>0.013000000000000001</v>
      </c>
      <c r="CG41" s="45">
        <v>0.013000000000000001</v>
      </c>
      <c r="CH41" s="45">
        <v>0.013000000000000001</v>
      </c>
      <c r="CI41" s="45">
        <v>0.013000000000000001</v>
      </c>
      <c r="CJ41" s="45">
        <v>0.013000000000000001</v>
      </c>
      <c r="CK41" s="45">
        <v>0.013000000000000001</v>
      </c>
      <c r="CL41" s="45">
        <v>0.013000000000000001</v>
      </c>
      <c r="CM41" s="45">
        <v>0.013000000000000001</v>
      </c>
      <c r="CN41" s="45">
        <v>0.013000000000000001</v>
      </c>
      <c r="CO41" s="45">
        <v>0.013000000000000001</v>
      </c>
      <c r="CP41" s="45">
        <v>0.013000000000000001</v>
      </c>
      <c r="CQ41" s="45">
        <v>0.013000000000000001</v>
      </c>
      <c r="CR41" s="45">
        <v>0.013000000000000001</v>
      </c>
      <c r="CS41" s="45">
        <v>0.013000000000000001</v>
      </c>
      <c r="CT41" s="45">
        <v>0.013000000000000001</v>
      </c>
      <c r="CU41" s="45">
        <v>0.013000000000000001</v>
      </c>
      <c r="CV41" s="45">
        <v>0.013000000000000001</v>
      </c>
      <c r="CW41" s="45">
        <v>0.013000000000000001</v>
      </c>
      <c r="CX41" s="45">
        <v>0.013000000000000001</v>
      </c>
      <c r="CY41" s="45">
        <v>0.013000000000000001</v>
      </c>
      <c r="CZ41" s="45">
        <v>0.013000000000000001</v>
      </c>
      <c r="DA41" s="45">
        <v>0.013000000000000001</v>
      </c>
      <c r="DB41" s="45">
        <v>0.013000000000000001</v>
      </c>
    </row>
    <row r="42" spans="1:106" x14ac:dyDescent="0.25">
      <c r="A42" s="36" t="s">
        <v>275</v>
      </c>
      <c r="C42" s="38"/>
      <c r="D42" s="38">
        <f>=IFERROR(C19*C41,0)</f>
        <v>0</v>
      </c>
      <c r="E42" s="38">
        <f>=IFERROR(D19*D41,0)</f>
        <v>0</v>
      </c>
      <c r="F42" s="38">
        <f>=IFERROR(E19*E41,0)</f>
        <v>0</v>
      </c>
      <c r="G42" s="38">
        <f>=IFERROR(F19*F41,0)</f>
        <v>0</v>
      </c>
      <c r="H42" s="38">
        <f>=IFERROR(G19*G41,0)</f>
        <v>0</v>
      </c>
      <c r="I42" s="38">
        <f>=IFERROR(H19*H41,0)</f>
        <v>0</v>
      </c>
      <c r="J42" s="38">
        <f>=IFERROR(I19*I41,0)</f>
        <v>0</v>
      </c>
      <c r="K42" s="38">
        <f>=IFERROR(J19*J41,0)</f>
        <v>0</v>
      </c>
      <c r="L42" s="38">
        <f>=IFERROR(K19*K41,0)</f>
        <v>0</v>
      </c>
      <c r="M42" s="38">
        <f>=IFERROR(L19*L41,0)</f>
        <v>0</v>
      </c>
      <c r="N42" s="38">
        <f>=IFERROR(M19*M41,0)</f>
        <v>0</v>
      </c>
      <c r="O42" s="38">
        <f>=IFERROR(N19*N41,0)</f>
        <v>0</v>
      </c>
      <c r="P42" s="38">
        <f>=IFERROR(O19*O41,0)</f>
        <v>0</v>
      </c>
      <c r="Q42" s="38">
        <f>=IFERROR(P19*P41,0)</f>
        <v>0</v>
      </c>
      <c r="R42" s="38">
        <f>=IFERROR(Q19*Q41,0)</f>
        <v>0</v>
      </c>
      <c r="S42" s="38">
        <f>=IFERROR(R19*R41,0)</f>
        <v>0</v>
      </c>
      <c r="T42" s="38">
        <f>=IFERROR(S19*S41,0)</f>
        <v>0</v>
      </c>
      <c r="U42" s="38">
        <f>=IFERROR(T19*T41,0)</f>
        <v>0</v>
      </c>
      <c r="V42" s="38">
        <f>=IFERROR(U19*U41,0)</f>
        <v>0</v>
      </c>
      <c r="W42" s="38">
        <f>=IFERROR(V19*V41,0)</f>
        <v>0</v>
      </c>
      <c r="X42" s="38">
        <f>=IFERROR(W19*W41,0)</f>
        <v>0</v>
      </c>
      <c r="Y42" s="38">
        <f>=IFERROR(X19*X41,0)</f>
        <v>0</v>
      </c>
      <c r="Z42" s="38">
        <f>=IFERROR(Y19*Y41,0)</f>
        <v>0</v>
      </c>
      <c r="AA42" s="38">
        <f>=IFERROR(Z19*Z41,0)</f>
        <v>0</v>
      </c>
      <c r="AB42" s="38">
        <f>=IFERROR(AA19*AA41,0)</f>
        <v>0</v>
      </c>
      <c r="AC42" s="38">
        <f>=IFERROR(AB19*AB41,0)</f>
        <v>0</v>
      </c>
      <c r="AD42" s="38">
        <f>=IFERROR(AC19*AC41,0)</f>
        <v>0</v>
      </c>
      <c r="AE42" s="38">
        <f>=IFERROR(AD19*AD41,0)</f>
        <v>0</v>
      </c>
      <c r="AF42" s="38">
        <f>=IFERROR(AE19*AE41,0)</f>
        <v>0</v>
      </c>
      <c r="AG42" s="38">
        <f>=IFERROR(AF19*AF41,0)</f>
        <v>0</v>
      </c>
      <c r="AH42" s="82">
        <f>=IFERROR(AG19*AG41,0)</f>
        <v>1.2</v>
      </c>
      <c r="AI42" s="82">
        <f>=IFERROR(AH19*AH41,0)</f>
        <v>1.24</v>
      </c>
      <c r="AJ42" s="82">
        <f>=IFERROR(AI19*AI41,0)</f>
        <v>1.22</v>
      </c>
      <c r="AK42" s="82">
        <f>=IFERROR(AJ19*AJ41,0)</f>
        <v>1.22</v>
      </c>
      <c r="AL42" s="82">
        <f>=IFERROR(AK19*AK41,0)</f>
        <v>1.28</v>
      </c>
      <c r="AM42" s="82">
        <f>=IFERROR(AL19*AL41,0)</f>
        <v>1.3</v>
      </c>
      <c r="AN42" s="82">
        <f>=IFERROR(AM19*AM41,0)</f>
        <v>1.28</v>
      </c>
      <c r="AO42" s="82">
        <f>=IFERROR(AN19*AN41,0)</f>
        <v>1.26</v>
      </c>
      <c r="AP42" s="82">
        <f>=IFERROR(AO19*AO41,0)</f>
        <v>1.9</v>
      </c>
      <c r="AQ42" s="82">
        <f>=IFERROR(AP19*AP41,0)</f>
        <v>1.88</v>
      </c>
      <c r="AR42" s="82">
        <f>=IFERROR(AQ19*AQ41,0)</f>
        <v>1.72</v>
      </c>
      <c r="AS42" s="82">
        <f>=IFERROR(AR19*AR41,0)</f>
        <v>2.16</v>
      </c>
      <c r="AT42" s="82">
        <f>=IFERROR(AS19*AS41,0)</f>
        <v>2.16</v>
      </c>
      <c r="AU42" s="82">
        <f>=IFERROR(AT19*AT41,0)</f>
        <v>2.12</v>
      </c>
      <c r="AV42" s="82">
        <f>=IFERROR(AU19*AU41,0)</f>
        <v>2.12</v>
      </c>
      <c r="AW42" s="82">
        <f>=IFERROR(AV19*AV41,0)</f>
        <v>2.18</v>
      </c>
      <c r="AX42" s="82">
        <f>=IFERROR(AW19*AW41,0)</f>
        <v>2.16</v>
      </c>
      <c r="AY42" s="82">
        <f>=IFERROR(AX19*AX41,0)</f>
        <v>2.16</v>
      </c>
      <c r="AZ42" s="82">
        <f>=IFERROR(AY19*AY41,0)</f>
        <v>1.38</v>
      </c>
      <c r="BA42" s="82">
        <f>=IFERROR(AZ19*AZ41,0)</f>
        <v>1.344</v>
      </c>
      <c r="BB42" s="82">
        <f>=IFERROR(BA19*BA41,0)</f>
        <v>1.332</v>
      </c>
      <c r="BC42" s="82">
        <f>=IFERROR(BB19*BB41,0)</f>
        <v>1.332</v>
      </c>
      <c r="BD42" s="82">
        <f>=IFERROR(BC19*BC41,0)</f>
        <v>1.524</v>
      </c>
      <c r="BE42" s="82">
        <f>=IFERROR(BD19*BD41,0)</f>
        <v>1.548</v>
      </c>
      <c r="BF42" s="82">
        <f>=IFERROR(BE19*BE41,0)</f>
        <v>1.536</v>
      </c>
      <c r="BG42" s="82">
        <f>=IFERROR(BF19*BF41,0)</f>
        <v>1.572</v>
      </c>
      <c r="BH42" s="82">
        <f>=IFERROR(BG19*BG41,0)</f>
        <v>1.548</v>
      </c>
      <c r="BI42" s="82">
        <f>=IFERROR(BH19*BH41,0)</f>
        <v>1.74</v>
      </c>
      <c r="BJ42" s="82">
        <f>=IFERROR(BI19*BI41,0)</f>
        <v>1.74</v>
      </c>
      <c r="BK42" s="82">
        <f>=IFERROR(BJ19*BJ41,0)</f>
        <v>1.74</v>
      </c>
      <c r="BL42" s="82">
        <f>=IFERROR(BK19*BK41,0)</f>
        <v>1.725</v>
      </c>
      <c r="BM42" s="82">
        <f>=IFERROR(BL19*BL41,0)</f>
        <v>1.5594</v>
      </c>
      <c r="BN42" s="82">
        <f>=IFERROR(BM19*BM41,0)</f>
        <v>1.5481</v>
      </c>
      <c r="BO42" s="82">
        <f>=IFERROR(BN19*BN41,0)</f>
        <v>1.53060647</v>
      </c>
      <c r="BP42" s="82">
        <f>=IFERROR(BO19*BO41,0)</f>
        <v>1.513310616889</v>
      </c>
      <c r="BQ42" s="82">
        <f>=IFERROR(BP19*BP41,0)</f>
        <v>1.191671846217999</v>
      </c>
      <c r="BR42" s="82">
        <f>=IFERROR(BQ19*BQ41,0)</f>
        <v>1.1809467996020369</v>
      </c>
      <c r="BS42" s="82">
        <f>=IFERROR(BR19*BR41,0)</f>
        <v>1.170318278405619</v>
      </c>
      <c r="BT42" s="82">
        <f>=IFERROR(BS19*BS41,0)</f>
        <v>1.1597854138999686</v>
      </c>
      <c r="BU42" s="82">
        <f>=IFERROR(BT19*BT41,0)</f>
        <v>1.1493473451748688</v>
      </c>
      <c r="BV42" s="82">
        <f>=IFERROR(BU19*BU41,0)</f>
        <v>1.4639818194968597</v>
      </c>
      <c r="BW42" s="82">
        <f>=IFERROR(BV19*BV41,0)</f>
        <v>1.4474388249365453</v>
      </c>
      <c r="BX42" s="82">
        <f>=IFERROR(BW19*BW41,0)</f>
        <v>1.431082766214762</v>
      </c>
      <c r="BY42" s="82">
        <f>=IFERROR(BX19*BX41,0)</f>
        <v>1.4149115309565354</v>
      </c>
      <c r="BZ42" s="82">
        <f>=IFERROR(BY19*BY41,0)</f>
        <v>1.3989230306567266</v>
      </c>
      <c r="CA42" s="82">
        <f>=IFERROR(BZ19*BZ41,0)</f>
        <v>1.4396152004103058</v>
      </c>
      <c r="CB42" s="82">
        <f>=IFERROR(CA19*CA41,0)</f>
        <v>1.4233475486456695</v>
      </c>
      <c r="CC42" s="82">
        <f>=IFERROR(CB19*CB41,0)</f>
        <v>1.4072637213459736</v>
      </c>
      <c r="CD42" s="82">
        <f>=IFERROR(CC19*CC41,0)</f>
        <v>1.6006815342329146</v>
      </c>
      <c r="CE42" s="82">
        <f>=IFERROR(CD19*CD41,0)</f>
        <v>1.5798726742878866</v>
      </c>
      <c r="CF42" s="82">
        <f>=IFERROR(CE19*CE41,0)</f>
        <v>1.5593343295221436</v>
      </c>
      <c r="CG42" s="82">
        <f>=IFERROR(CF19*CF41,0)</f>
        <v>1.5390629832383562</v>
      </c>
      <c r="CH42" s="82">
        <f>=IFERROR(CG19*CG41,0)</f>
        <v>1.5190551644562575</v>
      </c>
      <c r="CI42" s="82">
        <f>=IFERROR(CH19*CH41,0)</f>
        <v>1.4993074473183265</v>
      </c>
      <c r="CJ42" s="82">
        <f>=IFERROR(CI19*CI41,0)</f>
        <v>1.4798164505031879</v>
      </c>
      <c r="CK42" s="82">
        <f>=IFERROR(CJ19*CJ41,0)</f>
        <v>1.4605788366466463</v>
      </c>
      <c r="CL42" s="82">
        <f>=IFERROR(CK19*CK41,0)</f>
        <v>1.4415913117702401</v>
      </c>
      <c r="CM42" s="82">
        <f>=IFERROR(CL19*CL41,0)</f>
        <v>1.422850624717227</v>
      </c>
      <c r="CN42" s="82">
        <f>=IFERROR(CM19*CM41,0)</f>
        <v>1.4043535665959028</v>
      </c>
      <c r="CO42" s="82">
        <f>=IFERROR(CN19*CN41,0)</f>
        <v>1.3860969702301562</v>
      </c>
      <c r="CP42" s="82">
        <f>=IFERROR(CO19*CO41,0)</f>
        <v>1.3680777096171641</v>
      </c>
      <c r="CQ42" s="82">
        <f>=IFERROR(CP19*CP41,0)</f>
        <v>1.3502926993921414</v>
      </c>
      <c r="CR42" s="82">
        <f>=IFERROR(CQ19*CQ41,0)</f>
        <v>1.3327388943000438</v>
      </c>
      <c r="CS42" s="82">
        <f>=IFERROR(CR19*CR41,0)</f>
        <v>1.3154132886741432</v>
      </c>
      <c r="CT42" s="82">
        <f>=IFERROR(CS19*CS41,0)</f>
        <v>1.2983129159213795</v>
      </c>
      <c r="CU42" s="82">
        <f>=IFERROR(CT19*CT41,0)</f>
        <v>1.2814348480144018</v>
      </c>
      <c r="CV42" s="82">
        <f>=IFERROR(CU19*CU41,0)</f>
        <v>1.2647761949902143</v>
      </c>
      <c r="CW42" s="82">
        <f>=IFERROR(CV19*CV41,0)</f>
        <v>1.2483341044553413</v>
      </c>
      <c r="CX42" s="82">
        <f>=IFERROR(CW19*CW41,0)</f>
        <v>1.232105761097422</v>
      </c>
      <c r="CY42" s="82">
        <f>=IFERROR(CX19*CX41,0)</f>
        <v>1.2160883862031555</v>
      </c>
      <c r="CZ42" s="82">
        <f>=IFERROR(CY19*CY41,0)</f>
        <v>1.2002792371825144</v>
      </c>
      <c r="DA42" s="82">
        <f>=IFERROR(CZ19*CZ41,0)</f>
        <v>1.184675607099142</v>
      </c>
      <c r="DB42" s="82">
        <f>=IFERROR(DA19*DA41,0)</f>
        <v>1.169274824206853</v>
      </c>
    </row>
    <row r="43" ht="16" customHeight="1" spans="1:106" x14ac:dyDescent="0.25">
      <c r="A43" s="20" t="s">
        <v>276</v>
      </c>
      <c r="B43" s="17"/>
      <c r="C43" s="45">
        <v>0.02</v>
      </c>
      <c r="D43" s="45">
        <v>0.02</v>
      </c>
      <c r="E43" s="45">
        <v>0.02</v>
      </c>
      <c r="F43" s="45">
        <v>0.02</v>
      </c>
      <c r="G43" s="45">
        <v>0.02</v>
      </c>
      <c r="H43" s="45">
        <v>0.02</v>
      </c>
      <c r="I43" s="45">
        <v>0.02</v>
      </c>
      <c r="J43" s="45">
        <v>0.02</v>
      </c>
      <c r="K43" s="45">
        <v>0.02</v>
      </c>
      <c r="L43" s="45">
        <v>0.02</v>
      </c>
      <c r="M43" s="45">
        <v>0.02</v>
      </c>
      <c r="N43" s="45">
        <v>0.02</v>
      </c>
      <c r="O43" s="45">
        <v>0.02</v>
      </c>
      <c r="P43" s="45">
        <v>0.02</v>
      </c>
      <c r="Q43" s="45">
        <v>0.02</v>
      </c>
      <c r="R43" s="45">
        <v>0.02</v>
      </c>
      <c r="S43" s="45">
        <v>0.02</v>
      </c>
      <c r="T43" s="45">
        <v>0.02</v>
      </c>
      <c r="U43" s="45">
        <v>0.02</v>
      </c>
      <c r="V43" s="45">
        <v>0.02</v>
      </c>
      <c r="W43" s="45">
        <v>0.02</v>
      </c>
      <c r="X43" s="45">
        <v>0.02</v>
      </c>
      <c r="Y43" s="45">
        <v>0.02</v>
      </c>
      <c r="Z43" s="45">
        <v>0.02</v>
      </c>
      <c r="AA43" s="45">
        <v>0.02</v>
      </c>
      <c r="AB43" s="45">
        <v>0.02</v>
      </c>
      <c r="AC43" s="45">
        <v>0.02</v>
      </c>
      <c r="AD43" s="45">
        <v>0.02</v>
      </c>
      <c r="AE43" s="45">
        <v>0.02</v>
      </c>
      <c r="AF43" s="45">
        <v>0.02</v>
      </c>
      <c r="AG43" s="45">
        <v>0.03</v>
      </c>
      <c r="AH43" s="42">
        <v>0.03</v>
      </c>
      <c r="AI43" s="42">
        <v>0.03</v>
      </c>
      <c r="AJ43" s="42">
        <v>0.03</v>
      </c>
      <c r="AK43" s="42">
        <v>0.03</v>
      </c>
      <c r="AL43" s="42">
        <v>0.03</v>
      </c>
      <c r="AM43" s="42">
        <v>0.03</v>
      </c>
      <c r="AN43" s="42">
        <v>0.03</v>
      </c>
      <c r="AO43" s="42">
        <v>0.03</v>
      </c>
      <c r="AP43" s="42">
        <v>0.03</v>
      </c>
      <c r="AQ43" s="42">
        <v>0.03</v>
      </c>
      <c r="AR43" s="42">
        <v>0.03</v>
      </c>
      <c r="AS43" s="42">
        <v>0.03</v>
      </c>
      <c r="AT43" s="42">
        <v>0.03</v>
      </c>
      <c r="AU43" s="42">
        <v>0.03</v>
      </c>
      <c r="AV43" s="42">
        <v>0.03</v>
      </c>
      <c r="AW43" s="42">
        <v>0.03</v>
      </c>
      <c r="AX43" s="42">
        <v>0.03</v>
      </c>
      <c r="AY43" s="42">
        <v>0.03</v>
      </c>
      <c r="AZ43" s="42">
        <v>0.03</v>
      </c>
      <c r="BA43" s="42">
        <v>0.03</v>
      </c>
      <c r="BB43" s="42">
        <v>0.03</v>
      </c>
      <c r="BC43" s="42">
        <v>0.03</v>
      </c>
      <c r="BD43" s="42">
        <v>0.03</v>
      </c>
      <c r="BE43" s="42">
        <v>0.03</v>
      </c>
      <c r="BF43" s="42">
        <v>0.03</v>
      </c>
      <c r="BG43" s="42">
        <v>0.03</v>
      </c>
      <c r="BH43" s="42">
        <v>0.03</v>
      </c>
      <c r="BI43" s="42">
        <v>0.03</v>
      </c>
      <c r="BJ43" s="42">
        <v>0.03</v>
      </c>
      <c r="BK43" s="42">
        <v>0.03</v>
      </c>
      <c r="BL43" s="42">
        <v>0.03</v>
      </c>
      <c r="BM43" s="42">
        <v>0.03</v>
      </c>
      <c r="BN43" s="42">
        <v>0.03</v>
      </c>
      <c r="BO43" s="42">
        <v>0.03</v>
      </c>
      <c r="BP43" s="42">
        <v>0.03</v>
      </c>
      <c r="BQ43" s="42">
        <v>0.03</v>
      </c>
      <c r="BR43" s="42">
        <v>0.03</v>
      </c>
      <c r="BS43" s="42">
        <v>0.03</v>
      </c>
      <c r="BT43" s="42">
        <v>0.03</v>
      </c>
      <c r="BU43" s="42">
        <v>0.03</v>
      </c>
      <c r="BV43" s="42">
        <v>0.03</v>
      </c>
      <c r="BW43" s="42">
        <v>0.03</v>
      </c>
      <c r="BX43" s="42">
        <v>0.03</v>
      </c>
      <c r="BY43" s="42">
        <v>0.03</v>
      </c>
      <c r="BZ43" s="42">
        <v>0.03</v>
      </c>
      <c r="CA43" s="42">
        <v>0.03</v>
      </c>
      <c r="CB43" s="42">
        <v>0.03</v>
      </c>
      <c r="CC43" s="45">
        <v>0.03</v>
      </c>
      <c r="CD43" s="45">
        <v>0.03</v>
      </c>
      <c r="CE43" s="45">
        <v>0.03</v>
      </c>
      <c r="CF43" s="45">
        <v>0.03</v>
      </c>
      <c r="CG43" s="45">
        <v>0.03</v>
      </c>
      <c r="CH43" s="45">
        <v>0.03</v>
      </c>
      <c r="CI43" s="45">
        <v>0.03</v>
      </c>
      <c r="CJ43" s="45">
        <v>0.03</v>
      </c>
      <c r="CK43" s="45">
        <v>0.03</v>
      </c>
      <c r="CL43" s="45">
        <v>0.03</v>
      </c>
      <c r="CM43" s="45">
        <v>0.03</v>
      </c>
      <c r="CN43" s="45">
        <v>0.03</v>
      </c>
      <c r="CO43" s="45">
        <v>0.03</v>
      </c>
      <c r="CP43" s="45">
        <v>0.03</v>
      </c>
      <c r="CQ43" s="45">
        <v>0.03</v>
      </c>
      <c r="CR43" s="45">
        <v>0.03</v>
      </c>
      <c r="CS43" s="45">
        <v>0.03</v>
      </c>
      <c r="CT43" s="45">
        <v>0.03</v>
      </c>
      <c r="CU43" s="45">
        <v>0.03</v>
      </c>
      <c r="CV43" s="45">
        <v>0.03</v>
      </c>
      <c r="CW43" s="45">
        <v>0.03</v>
      </c>
      <c r="CX43" s="45">
        <v>0.03</v>
      </c>
      <c r="CY43" s="45">
        <v>0.03</v>
      </c>
      <c r="CZ43" s="45">
        <v>0.03</v>
      </c>
      <c r="DA43" s="45">
        <v>0.03</v>
      </c>
      <c r="DB43" s="45">
        <v>0.03</v>
      </c>
    </row>
    <row r="44" spans="1:106" x14ac:dyDescent="0.25">
      <c r="A44" s="36" t="s">
        <v>277</v>
      </c>
      <c r="C44" s="83">
        <f>=IFERROR(SUM(C112:C118)*C43,0)</f>
        <v>0</v>
      </c>
      <c r="D44" s="43">
        <f>=IFERROR(SUM(C110:C121)*C43,0)</f>
        <v>0</v>
      </c>
      <c r="E44" s="43">
        <f>=IFERROR(SUM(D110:D121)*D43,0)</f>
        <v>0</v>
      </c>
      <c r="F44" s="43">
        <f>=IFERROR(SUM(E110:E121)*E43,0)</f>
        <v>0</v>
      </c>
      <c r="G44" s="43">
        <f>=IFERROR(SUM(F110:F121)*F43,0)</f>
        <v>0</v>
      </c>
      <c r="H44" s="43">
        <f>=IFERROR(SUM(G110:G121)*G43,0)</f>
        <v>0</v>
      </c>
      <c r="I44" s="43">
        <f>=IFERROR(SUM(H110:H121)*H43,0)</f>
        <v>0</v>
      </c>
      <c r="J44" s="43">
        <f>=IFERROR(SUM(I110:I121)*I43,0)</f>
        <v>0</v>
      </c>
      <c r="K44" s="43">
        <f>=IFERROR(SUM(J110:J121)*J43,0)</f>
        <v>0</v>
      </c>
      <c r="L44" s="43">
        <f>=IFERROR(SUM(K110:K121)*K43,0)</f>
        <v>0</v>
      </c>
      <c r="M44" s="43">
        <f>=IFERROR(SUM(L110:L121)*L43,0)</f>
        <v>0</v>
      </c>
      <c r="N44" s="43">
        <f>=IFERROR(SUM(M110:M121)*M43,0)</f>
        <v>0</v>
      </c>
      <c r="O44" s="43">
        <f>=IFERROR(SUM(N110:N121)*N43,0)</f>
        <v>0</v>
      </c>
      <c r="P44" s="43">
        <f>=IFERROR(SUM(O110:O121)*O43,0)</f>
        <v>0</v>
      </c>
      <c r="Q44" s="43">
        <f>=IFERROR(SUM(P110:P121)*P43,0)</f>
        <v>0</v>
      </c>
      <c r="R44" s="43">
        <f>=IFERROR(SUM(Q110:Q121)*Q43,0)</f>
        <v>0</v>
      </c>
      <c r="S44" s="43">
        <f>=IFERROR(SUM(R110:R121)*R43,0)</f>
        <v>0</v>
      </c>
      <c r="T44" s="43">
        <f>=IFERROR(SUM(S110:S121)*S43,0)</f>
        <v>0</v>
      </c>
      <c r="U44" s="43">
        <f>=IFERROR(SUM(T110:T121)*T43,0)</f>
        <v>0</v>
      </c>
      <c r="V44" s="43">
        <f>=IFERROR(SUM(U110:U121)*U43,0)</f>
        <v>0</v>
      </c>
      <c r="W44" s="43">
        <f>=IFERROR(SUM(V110:V121)*V43,0)</f>
        <v>0</v>
      </c>
      <c r="X44" s="43">
        <f>=IFERROR(SUM(W110:W121)*W43,0)</f>
        <v>0</v>
      </c>
      <c r="Y44" s="43">
        <f>=IFERROR(SUM(X110:X121)*X43,0)</f>
        <v>0</v>
      </c>
      <c r="Z44" s="43">
        <f>=IFERROR(SUM(Y110:Y121)*Y43,0)</f>
        <v>0</v>
      </c>
      <c r="AA44" s="43">
        <f>=IFERROR(SUM(Z110:Z121)*Z43,0)</f>
        <v>0</v>
      </c>
      <c r="AB44" s="43">
        <f>=IFERROR(SUM(AA110:AA121)*AA43,0)</f>
        <v>0</v>
      </c>
      <c r="AC44" s="43">
        <f>=IFERROR(SUM(AB110:AB121)*AB43,0)</f>
        <v>0</v>
      </c>
      <c r="AD44" s="43">
        <f>=IFERROR(SUM(AC110:AC121)*AC43,0)</f>
        <v>0</v>
      </c>
      <c r="AE44" s="43">
        <f>=IFERROR(SUM(AD110:AD121)*AD43,0)</f>
        <v>0</v>
      </c>
      <c r="AF44" s="43">
        <f>=IFERROR(SUM(AE110:AE121)*AE43,0)</f>
        <v>0</v>
      </c>
      <c r="AG44" s="43">
        <f>=IFERROR(SUM(AF110:AF121)*AF43,0)</f>
        <v>0</v>
      </c>
      <c r="AH44" s="43">
        <f>=IFERROR(SUM(AG110:AG121)*AG43,0)</f>
        <v>0</v>
      </c>
      <c r="AI44" s="43">
        <f>=IFERROR(SUM(AH110:AH121)*AH43,0)</f>
        <v>0</v>
      </c>
      <c r="AJ44" s="43">
        <f>=IFERROR(SUM(AI110:AI121)*AI43,0)</f>
        <v>0</v>
      </c>
      <c r="AK44" s="43">
        <f>=IFERROR(SUM(AJ110:AJ121)*AJ43,0)</f>
        <v>0</v>
      </c>
      <c r="AL44" s="43">
        <f>=IFERROR(SUM(AK110:AK121)*AK43,0)</f>
        <v>0</v>
      </c>
      <c r="AM44" s="43">
        <f>=IFERROR(SUM(AL110:AL121)*AL43,0)</f>
        <v>0</v>
      </c>
      <c r="AN44" s="43">
        <f>=IFERROR(SUM(AM110:AM121)*AM43,0)</f>
        <v>0</v>
      </c>
      <c r="AO44" s="43">
        <f>=IFERROR(SUM(AN110:AN121)*AN43,0)</f>
        <v>0</v>
      </c>
      <c r="AP44" s="43">
        <f>=IFERROR(SUM(AO110:AO121)*AO43,0)</f>
        <v>0</v>
      </c>
      <c r="AQ44" s="43">
        <f>=IFERROR(SUM(AP110:AP121)*AP43,0)</f>
        <v>0</v>
      </c>
      <c r="AR44" s="43">
        <f>=IFERROR(SUM(AQ110:AQ121)*AQ43,0)</f>
        <v>0</v>
      </c>
      <c r="AS44" s="43">
        <f>=IFERROR(SUM(AR110:AR121)*AR43,0)</f>
        <v>0</v>
      </c>
      <c r="AT44" s="43">
        <f>=IFERROR(SUM(AS110:AS121)*AS43,0)</f>
        <v>0</v>
      </c>
      <c r="AU44" s="43">
        <f>=IFERROR(SUM(AT110:AT121)*AT43,0)</f>
        <v>0</v>
      </c>
      <c r="AV44" s="43">
        <f>=IFERROR(SUM(AU110:AU121)*AU43,0)</f>
        <v>0</v>
      </c>
      <c r="AW44" s="43">
        <f>=IFERROR(SUM(AV110:AV121)*AV43,0)</f>
        <v>0</v>
      </c>
      <c r="AX44" s="43">
        <f>=IFERROR(SUM(AW110:AW121)*AW43,0)</f>
        <v>0</v>
      </c>
      <c r="AY44" s="43">
        <f>=IFERROR(SUM(AX110:AX121)*AX43,0)</f>
        <v>0</v>
      </c>
      <c r="AZ44" s="43">
        <f>=IFERROR(SUM(AY110:AY121)*AY43,0)</f>
        <v>0</v>
      </c>
      <c r="BA44" s="43">
        <f>=IFERROR(SUM(AZ110:AZ121)*AZ43,0)</f>
        <v>0</v>
      </c>
      <c r="BB44" s="43">
        <f>=IFERROR(SUM(BA110:BA121)*BA43,0)</f>
        <v>0</v>
      </c>
      <c r="BC44" s="43">
        <f>=IFERROR(SUM(BB110:BB121)*BB43,0)</f>
        <v>0</v>
      </c>
      <c r="BD44" s="43">
        <f>=IFERROR(SUM(BC110:BC121)*BC43,0)</f>
        <v>0</v>
      </c>
      <c r="BE44" s="43">
        <f>=IFERROR(SUM(BD110:BD121)*BD43,0)</f>
        <v>0</v>
      </c>
      <c r="BF44" s="43">
        <f>=IFERROR(SUM(BE110:BE121)*BE43,0)</f>
        <v>0</v>
      </c>
      <c r="BG44" s="43">
        <f>=IFERROR(SUM(BF110:BF121)*BF43,0)</f>
        <v>0</v>
      </c>
      <c r="BH44" s="43">
        <f>=IFERROR(SUM(BG110:BG121)*BG43,0)</f>
        <v>0</v>
      </c>
      <c r="BI44" s="43">
        <f>=IFERROR(SUM(BH110:BH121)*BH43,0)</f>
        <v>0</v>
      </c>
      <c r="BJ44" s="43">
        <f>=IFERROR(SUM(BI110:BI121)*BI43,0)</f>
        <v>0</v>
      </c>
      <c r="BK44" s="43">
        <f>=IFERROR(SUM(BJ110:BJ121)*BJ43,0)</f>
        <v>0</v>
      </c>
      <c r="BL44" s="43">
        <f>=IFERROR(SUM(BK110:BK121)*BK43,0)</f>
        <v>0</v>
      </c>
      <c r="BM44" s="43">
        <f>=IFERROR(SUM(BL110:BL121)*BL43,0)</f>
        <v>0</v>
      </c>
      <c r="BN44" s="43">
        <f>=IFERROR(SUM(BM110:BM121)*BM43,0)</f>
        <v>0</v>
      </c>
      <c r="BO44" s="43">
        <f>=IFERROR(SUM(BN110:BN121)*BN43,0)</f>
        <v>0</v>
      </c>
      <c r="BP44" s="43">
        <f>=IFERROR(SUM(BO110:BO121)*BO43,0)</f>
        <v>0</v>
      </c>
      <c r="BQ44" s="43">
        <f>=IFERROR(SUM(BP110:BP121)*BP43,0)</f>
        <v>0</v>
      </c>
      <c r="BR44" s="43">
        <f>=IFERROR(SUM(BQ110:BQ121)*BQ43,0)</f>
        <v>0</v>
      </c>
      <c r="BS44" s="43">
        <f>=IFERROR(SUM(BR110:BR121)*BR43,0)</f>
        <v>0</v>
      </c>
      <c r="BT44" s="43">
        <f>=IFERROR(SUM(BS110:BS121)*BS43,0)</f>
        <v>0</v>
      </c>
      <c r="BU44" s="43">
        <f>=IFERROR(SUM(BT110:BT121)*BT43,0)</f>
        <v>0</v>
      </c>
      <c r="BV44" s="43">
        <f>=IFERROR(SUM(BU110:BU121)*BU43,0)</f>
        <v>0</v>
      </c>
      <c r="BW44" s="43">
        <f>=IFERROR(SUM(BV110:BV121)*BV43,0)</f>
        <v>0</v>
      </c>
      <c r="BX44" s="43">
        <f>=IFERROR(SUM(BW110:BW121)*BW43,0)</f>
        <v>0</v>
      </c>
      <c r="BY44" s="43">
        <f>=IFERROR(SUM(BX110:BX121)*BX43,0)</f>
        <v>0</v>
      </c>
      <c r="BZ44" s="43">
        <f>=IFERROR(SUM(BY110:BY121)*BY43,0)</f>
        <v>0</v>
      </c>
      <c r="CA44" s="43">
        <f>=IFERROR(SUM(BZ110:BZ121)*BZ43,0)</f>
        <v>0</v>
      </c>
      <c r="CB44" s="43">
        <f>=IFERROR(SUM(CA110:CA121)*CA43,0)</f>
        <v>0</v>
      </c>
      <c r="CC44" s="43">
        <f>=IFERROR(SUM(CB110:CB121)*CB43,0)</f>
        <v>0</v>
      </c>
      <c r="CD44" s="43">
        <f>=IFERROR(SUM(CC110:CC121)*CC43,0)</f>
        <v>136.14144</v>
      </c>
      <c r="CE44" s="43">
        <f>=IFERROR(SUM(CD110:CD121)*CD43,0)</f>
        <v>0</v>
      </c>
      <c r="CF44" s="43">
        <f>=IFERROR(SUM(CE110:CE121)*CE43,0)</f>
        <v>0</v>
      </c>
      <c r="CG44" s="43">
        <f>=IFERROR(SUM(CF110:CF121)*CF43,0)</f>
        <v>0</v>
      </c>
      <c r="CH44" s="43">
        <f>=IFERROR(SUM(CG110:CG121)*CG43,0)</f>
        <v>0</v>
      </c>
      <c r="CI44" s="43">
        <f>=IFERROR(SUM(CH110:CH121)*CH43,0)</f>
        <v>0</v>
      </c>
      <c r="CJ44" s="43">
        <f>=IFERROR(SUM(CI110:CI121)*CI43,0)</f>
        <v>0</v>
      </c>
      <c r="CK44" s="43">
        <f>=IFERROR(SUM(CJ110:CJ121)*CJ43,0)</f>
        <v>0</v>
      </c>
      <c r="CL44" s="43">
        <f>=IFERROR(SUM(CK110:CK121)*CK43,0)</f>
        <v>0</v>
      </c>
      <c r="CM44" s="43">
        <f>=IFERROR(SUM(CL110:CL121)*CL43,0)</f>
        <v>0</v>
      </c>
      <c r="CN44" s="43">
        <f>=IFERROR(SUM(CM110:CM121)*CM43,0)</f>
        <v>0</v>
      </c>
      <c r="CO44" s="43">
        <f>=IFERROR(SUM(CN110:CN121)*CN43,0)</f>
        <v>0</v>
      </c>
      <c r="CP44" s="43">
        <f>=IFERROR(SUM(CO110:CO121)*CO43,0)</f>
        <v>0</v>
      </c>
      <c r="CQ44" s="43">
        <f>=IFERROR(SUM(CP110:CP121)*CP43,0)</f>
        <v>0</v>
      </c>
      <c r="CR44" s="43">
        <f>=IFERROR(SUM(CQ110:CQ121)*CQ43,0)</f>
        <v>0</v>
      </c>
      <c r="CS44" s="43">
        <f>=IFERROR(SUM(CR110:CR121)*CR43,0)</f>
        <v>0</v>
      </c>
      <c r="CT44" s="43">
        <f>=IFERROR(SUM(CS110:CS121)*CS43,0)</f>
        <v>0</v>
      </c>
      <c r="CU44" s="43">
        <f>=IFERROR(SUM(CT110:CT121)*CT43,0)</f>
        <v>0</v>
      </c>
      <c r="CV44" s="43">
        <f>=IFERROR(SUM(CU110:CU121)*CU43,0)</f>
        <v>0</v>
      </c>
      <c r="CW44" s="43">
        <f>=IFERROR(SUM(CV110:CV121)*CV43,0)</f>
        <v>0</v>
      </c>
      <c r="CX44" s="43">
        <f>=IFERROR(SUM(CW110:CW121)*CW43,0)</f>
        <v>0</v>
      </c>
      <c r="CY44" s="43">
        <f>=IFERROR(SUM(CX110:CX121)*CX43,0)</f>
        <v>0</v>
      </c>
      <c r="CZ44" s="43">
        <f>=IFERROR(SUM(CY110:CY121)*CY43,0)</f>
        <v>0</v>
      </c>
      <c r="DA44" s="43">
        <f>=IFERROR(SUM(CZ110:CZ121)*CZ43,0)</f>
        <v>0</v>
      </c>
      <c r="DB44" s="43">
        <f>=IFERROR(SUM(DA110:DA121)*DA43,0)</f>
        <v>0</v>
      </c>
    </row>
    <row r="45" ht="16" customHeight="1" spans="1:106" x14ac:dyDescent="0.25">
      <c r="A45" s="16" t="s">
        <v>278</v>
      </c>
      <c r="AG45" s="44">
        <v>1</v>
      </c>
      <c r="AH45" s="44">
        <v>1</v>
      </c>
      <c r="AI45" s="44">
        <v>1</v>
      </c>
      <c r="AJ45" s="44">
        <v>1</v>
      </c>
      <c r="AK45" s="44">
        <v>1</v>
      </c>
      <c r="AL45" s="44">
        <v>1</v>
      </c>
      <c r="AM45" s="44">
        <v>1</v>
      </c>
      <c r="AN45" s="44">
        <v>1</v>
      </c>
      <c r="AO45" s="44">
        <v>1</v>
      </c>
      <c r="AP45" s="44">
        <v>1</v>
      </c>
      <c r="AQ45" s="44">
        <v>1</v>
      </c>
      <c r="AR45" s="44">
        <v>1</v>
      </c>
      <c r="AS45" s="44">
        <v>1</v>
      </c>
      <c r="AT45" s="44">
        <v>1</v>
      </c>
      <c r="AU45" s="44">
        <v>1</v>
      </c>
      <c r="AV45" s="44">
        <v>1</v>
      </c>
      <c r="AW45" s="44">
        <v>1</v>
      </c>
      <c r="AX45" s="44">
        <v>1</v>
      </c>
      <c r="AY45" s="44">
        <v>1</v>
      </c>
      <c r="AZ45" s="44">
        <v>1</v>
      </c>
      <c r="BA45" s="44">
        <v>1</v>
      </c>
      <c r="BB45" s="44">
        <v>1</v>
      </c>
      <c r="BC45" s="44">
        <v>1</v>
      </c>
      <c r="BD45" s="44">
        <v>1</v>
      </c>
      <c r="BE45" s="44">
        <v>1</v>
      </c>
      <c r="BF45" s="44">
        <v>1</v>
      </c>
      <c r="BG45" s="44">
        <v>1</v>
      </c>
      <c r="BH45" s="44">
        <v>1</v>
      </c>
      <c r="BI45" s="44">
        <v>1</v>
      </c>
      <c r="BJ45" s="44">
        <v>1</v>
      </c>
      <c r="BK45" s="44">
        <v>1</v>
      </c>
      <c r="BL45" s="44">
        <v>1</v>
      </c>
      <c r="BM45" s="44">
        <v>1</v>
      </c>
      <c r="BN45" s="44">
        <v>1</v>
      </c>
      <c r="BO45" s="44">
        <v>1</v>
      </c>
      <c r="BP45" s="44">
        <v>1</v>
      </c>
      <c r="BQ45" s="44">
        <v>1</v>
      </c>
      <c r="BR45" s="44">
        <v>1</v>
      </c>
      <c r="BS45" s="44">
        <v>1</v>
      </c>
      <c r="BT45" s="44">
        <v>1</v>
      </c>
      <c r="BU45" s="44">
        <v>1</v>
      </c>
      <c r="BV45" s="44">
        <v>1</v>
      </c>
      <c r="BW45" s="44">
        <v>1</v>
      </c>
      <c r="BX45" s="44">
        <v>1</v>
      </c>
      <c r="BY45" s="44">
        <v>1</v>
      </c>
      <c r="BZ45" s="44">
        <v>1</v>
      </c>
      <c r="CA45" s="44">
        <v>1</v>
      </c>
      <c r="CB45" s="44">
        <v>1</v>
      </c>
      <c r="CC45" s="44">
        <v>1</v>
      </c>
      <c r="CD45" s="44">
        <v>1</v>
      </c>
      <c r="CE45" s="44">
        <v>1</v>
      </c>
      <c r="CF45" s="44">
        <v>1</v>
      </c>
      <c r="CG45" s="44">
        <v>1</v>
      </c>
      <c r="CH45" s="44">
        <v>1</v>
      </c>
      <c r="CI45" s="44">
        <v>1</v>
      </c>
      <c r="CJ45" s="44">
        <v>1</v>
      </c>
      <c r="CK45" s="44">
        <v>1</v>
      </c>
      <c r="CL45" s="44">
        <v>1</v>
      </c>
      <c r="CM45" s="44">
        <v>1</v>
      </c>
      <c r="CN45" s="44">
        <v>1</v>
      </c>
      <c r="CO45" s="44">
        <v>1</v>
      </c>
      <c r="CP45" s="44">
        <v>1</v>
      </c>
      <c r="CQ45" s="44">
        <v>1</v>
      </c>
      <c r="CR45" s="44">
        <v>1</v>
      </c>
      <c r="CS45" s="44">
        <v>1</v>
      </c>
      <c r="CT45" s="44">
        <v>1</v>
      </c>
      <c r="CU45" s="44">
        <v>1</v>
      </c>
      <c r="CV45" s="44">
        <v>1</v>
      </c>
      <c r="CW45" s="44">
        <v>1</v>
      </c>
      <c r="CX45" s="44">
        <v>1</v>
      </c>
      <c r="CY45" s="44">
        <v>1</v>
      </c>
      <c r="CZ45" s="44">
        <v>1</v>
      </c>
      <c r="DA45" s="44">
        <v>1</v>
      </c>
      <c r="DB45" s="44">
        <v>1</v>
      </c>
    </row>
    <row r="46" ht="15" customHeight="1" spans="1:106" x14ac:dyDescent="0.25">
      <c r="A46" s="16" t="s">
        <v>279</v>
      </c>
      <c r="B46" s="17"/>
      <c r="C46" s="45">
        <v>0</v>
      </c>
      <c r="D46" s="45">
        <v>0</v>
      </c>
      <c r="E46" s="45">
        <v>0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v>0</v>
      </c>
      <c r="O46" s="45">
        <v>0</v>
      </c>
      <c r="P46" s="45">
        <v>0</v>
      </c>
      <c r="Q46" s="45">
        <v>0</v>
      </c>
      <c r="R46" s="45">
        <v>0</v>
      </c>
      <c r="S46" s="45">
        <v>0</v>
      </c>
      <c r="T46" s="45">
        <v>0</v>
      </c>
      <c r="U46" s="45">
        <v>0</v>
      </c>
      <c r="V46" s="45">
        <v>0</v>
      </c>
      <c r="W46" s="45">
        <v>0</v>
      </c>
      <c r="X46" s="45">
        <v>0</v>
      </c>
      <c r="Y46" s="45">
        <v>0</v>
      </c>
      <c r="Z46" s="45">
        <v>0</v>
      </c>
      <c r="AA46" s="45">
        <v>0</v>
      </c>
      <c r="AB46" s="45">
        <v>0</v>
      </c>
      <c r="AC46" s="45">
        <v>0</v>
      </c>
      <c r="AD46" s="45">
        <v>0</v>
      </c>
      <c r="AE46" s="45">
        <v>0</v>
      </c>
      <c r="AF46" s="45">
        <v>0</v>
      </c>
      <c r="AG46" s="45">
        <v>0</v>
      </c>
      <c r="AH46" s="45">
        <v>0</v>
      </c>
      <c r="AI46" s="45">
        <v>0</v>
      </c>
      <c r="AJ46" s="45">
        <v>0</v>
      </c>
      <c r="AK46" s="45">
        <v>0</v>
      </c>
      <c r="AL46" s="45">
        <v>0</v>
      </c>
      <c r="AM46" s="45">
        <v>0</v>
      </c>
      <c r="AN46" s="45">
        <v>0</v>
      </c>
      <c r="AO46" s="45">
        <v>0</v>
      </c>
      <c r="AP46" s="45">
        <v>0</v>
      </c>
      <c r="AQ46" s="45">
        <v>0</v>
      </c>
      <c r="AR46" s="45">
        <v>0</v>
      </c>
      <c r="AS46" s="45">
        <v>0</v>
      </c>
      <c r="AT46" s="45">
        <v>0</v>
      </c>
      <c r="AU46" s="45">
        <v>0</v>
      </c>
      <c r="AV46" s="45">
        <v>0</v>
      </c>
      <c r="AW46" s="45">
        <v>0</v>
      </c>
      <c r="AX46" s="45">
        <v>0</v>
      </c>
      <c r="AY46" s="45">
        <v>0</v>
      </c>
      <c r="AZ46" s="45">
        <v>0</v>
      </c>
      <c r="BA46" s="45">
        <v>0</v>
      </c>
      <c r="BB46" s="45">
        <v>0</v>
      </c>
      <c r="BC46" s="45">
        <v>0</v>
      </c>
      <c r="BD46" s="45">
        <v>0</v>
      </c>
      <c r="BE46" s="45">
        <v>0</v>
      </c>
      <c r="BF46" s="45">
        <v>0</v>
      </c>
      <c r="BG46" s="45">
        <v>0</v>
      </c>
      <c r="BH46" s="45">
        <v>0</v>
      </c>
      <c r="BI46" s="45">
        <v>0</v>
      </c>
      <c r="BJ46" s="45">
        <v>0</v>
      </c>
      <c r="BK46" s="45">
        <v>0</v>
      </c>
      <c r="BL46" s="45">
        <v>0</v>
      </c>
      <c r="BM46" s="45">
        <v>0</v>
      </c>
      <c r="BN46" s="45">
        <v>0</v>
      </c>
      <c r="BO46" s="45">
        <v>0</v>
      </c>
      <c r="BP46" s="45">
        <v>0</v>
      </c>
      <c r="BQ46" s="45">
        <v>0</v>
      </c>
      <c r="BR46" s="45">
        <v>0</v>
      </c>
      <c r="BS46" s="45">
        <v>0</v>
      </c>
      <c r="BT46" s="45">
        <v>0</v>
      </c>
      <c r="BU46" s="45">
        <v>0</v>
      </c>
      <c r="BV46" s="45">
        <v>0</v>
      </c>
      <c r="BW46" s="45">
        <v>0</v>
      </c>
      <c r="BX46" s="45">
        <v>0</v>
      </c>
      <c r="BY46" s="45">
        <v>0</v>
      </c>
      <c r="BZ46" s="45">
        <v>0</v>
      </c>
      <c r="CA46" s="45">
        <v>0</v>
      </c>
      <c r="CB46" s="45">
        <v>0</v>
      </c>
      <c r="CC46" s="45">
        <v>0</v>
      </c>
      <c r="CD46" s="45">
        <v>0</v>
      </c>
      <c r="CE46" s="45">
        <v>0</v>
      </c>
      <c r="CF46" s="45">
        <v>0</v>
      </c>
      <c r="CG46" s="45">
        <v>0</v>
      </c>
      <c r="CH46" s="45">
        <v>0</v>
      </c>
      <c r="CI46" s="45">
        <v>0</v>
      </c>
      <c r="CJ46" s="45">
        <v>0</v>
      </c>
      <c r="CK46" s="45">
        <v>0</v>
      </c>
      <c r="CL46" s="45">
        <v>0</v>
      </c>
      <c r="CM46" s="45">
        <v>0</v>
      </c>
      <c r="CN46" s="45">
        <v>0</v>
      </c>
      <c r="CO46" s="45">
        <v>0</v>
      </c>
      <c r="CP46" s="45">
        <v>0</v>
      </c>
      <c r="CQ46" s="45">
        <v>0</v>
      </c>
      <c r="CR46" s="45">
        <v>0</v>
      </c>
      <c r="CS46" s="45">
        <v>0</v>
      </c>
      <c r="CT46" s="45">
        <v>0</v>
      </c>
      <c r="CU46" s="45">
        <v>0</v>
      </c>
      <c r="CV46" s="45">
        <v>0</v>
      </c>
      <c r="CW46" s="45">
        <v>0</v>
      </c>
      <c r="CX46" s="45">
        <v>0</v>
      </c>
      <c r="CY46" s="45">
        <v>0</v>
      </c>
      <c r="CZ46" s="45">
        <v>0</v>
      </c>
      <c r="DA46" s="45">
        <v>0</v>
      </c>
      <c r="DB46" s="45">
        <v>0</v>
      </c>
    </row>
    <row r="47" ht="15" customHeight="1" spans="1:106" x14ac:dyDescent="0.25">
      <c r="A47" s="16" t="s">
        <v>280</v>
      </c>
      <c r="B47" s="17"/>
      <c r="C47" s="46">
        <v>5</v>
      </c>
      <c r="D47" s="46">
        <v>5</v>
      </c>
      <c r="E47" s="46">
        <v>5</v>
      </c>
      <c r="F47" s="46">
        <v>5</v>
      </c>
      <c r="G47" s="46">
        <v>5</v>
      </c>
      <c r="H47" s="46">
        <v>5</v>
      </c>
      <c r="I47" s="46">
        <v>5</v>
      </c>
      <c r="J47" s="46">
        <v>5</v>
      </c>
      <c r="K47" s="46">
        <v>5</v>
      </c>
      <c r="L47" s="46">
        <v>5</v>
      </c>
      <c r="M47" s="46">
        <v>5</v>
      </c>
      <c r="N47" s="46">
        <v>5</v>
      </c>
      <c r="O47" s="46">
        <v>5</v>
      </c>
      <c r="P47" s="46">
        <v>5</v>
      </c>
      <c r="Q47" s="46">
        <v>5</v>
      </c>
      <c r="R47" s="46">
        <v>5</v>
      </c>
      <c r="S47" s="46">
        <v>5</v>
      </c>
      <c r="T47" s="46">
        <v>5</v>
      </c>
      <c r="U47" s="46">
        <v>5</v>
      </c>
      <c r="V47" s="46">
        <v>5</v>
      </c>
      <c r="W47" s="46">
        <v>5</v>
      </c>
      <c r="X47" s="46">
        <v>5</v>
      </c>
      <c r="Y47" s="46">
        <v>5</v>
      </c>
      <c r="Z47" s="46">
        <v>5</v>
      </c>
      <c r="AA47" s="46">
        <v>5</v>
      </c>
      <c r="AB47" s="46">
        <v>5</v>
      </c>
      <c r="AC47" s="46">
        <v>5</v>
      </c>
      <c r="AD47" s="46">
        <v>5</v>
      </c>
      <c r="AE47" s="46">
        <v>5</v>
      </c>
      <c r="AF47" s="46">
        <v>5</v>
      </c>
      <c r="AG47" s="46">
        <v>5</v>
      </c>
      <c r="AH47" s="46">
        <v>5</v>
      </c>
      <c r="AI47" s="46">
        <v>5</v>
      </c>
      <c r="AJ47" s="46">
        <v>5</v>
      </c>
      <c r="AK47" s="46">
        <v>5</v>
      </c>
      <c r="AL47" s="46">
        <v>5</v>
      </c>
      <c r="AM47" s="46">
        <v>5</v>
      </c>
      <c r="AN47" s="46">
        <v>5</v>
      </c>
      <c r="AO47" s="46">
        <v>5</v>
      </c>
      <c r="AP47" s="46">
        <v>5</v>
      </c>
      <c r="AQ47" s="46">
        <v>5</v>
      </c>
      <c r="AR47" s="46">
        <v>5</v>
      </c>
      <c r="AS47" s="46">
        <v>5</v>
      </c>
      <c r="AT47" s="46">
        <v>5</v>
      </c>
      <c r="AU47" s="46">
        <v>5</v>
      </c>
      <c r="AV47" s="46">
        <v>5</v>
      </c>
      <c r="AW47" s="46">
        <v>5</v>
      </c>
      <c r="AX47" s="46">
        <v>5</v>
      </c>
      <c r="AY47" s="46">
        <v>5</v>
      </c>
      <c r="AZ47" s="46">
        <v>5</v>
      </c>
      <c r="BA47" s="46">
        <v>5</v>
      </c>
      <c r="BB47" s="46">
        <v>5</v>
      </c>
      <c r="BC47" s="46">
        <v>5</v>
      </c>
      <c r="BD47" s="46">
        <v>5</v>
      </c>
      <c r="BE47" s="46">
        <v>5</v>
      </c>
      <c r="BF47" s="46">
        <v>5</v>
      </c>
      <c r="BG47" s="46">
        <v>5</v>
      </c>
      <c r="BH47" s="46">
        <v>5</v>
      </c>
      <c r="BI47" s="46">
        <v>5</v>
      </c>
      <c r="BJ47" s="46">
        <v>5</v>
      </c>
      <c r="BK47" s="46">
        <v>5</v>
      </c>
      <c r="BL47" s="46">
        <v>5</v>
      </c>
      <c r="BM47" s="46">
        <v>5</v>
      </c>
      <c r="BN47" s="46">
        <v>5</v>
      </c>
      <c r="BO47" s="46">
        <v>5</v>
      </c>
      <c r="BP47" s="46">
        <v>5</v>
      </c>
      <c r="BQ47" s="46">
        <v>5</v>
      </c>
      <c r="BR47" s="46">
        <v>5</v>
      </c>
      <c r="BS47" s="46">
        <v>5</v>
      </c>
      <c r="BT47" s="46">
        <v>5</v>
      </c>
      <c r="BU47" s="46">
        <v>5</v>
      </c>
      <c r="BV47" s="46">
        <v>5</v>
      </c>
      <c r="BW47" s="46">
        <v>5</v>
      </c>
      <c r="BX47" s="46">
        <v>5</v>
      </c>
      <c r="BY47" s="46">
        <v>5</v>
      </c>
      <c r="BZ47" s="46">
        <v>5</v>
      </c>
      <c r="CA47" s="46">
        <v>5</v>
      </c>
      <c r="CB47" s="46">
        <v>5</v>
      </c>
      <c r="CC47" s="46">
        <v>5</v>
      </c>
      <c r="CD47" s="46">
        <v>5</v>
      </c>
      <c r="CE47" s="46">
        <v>5</v>
      </c>
      <c r="CF47" s="46">
        <v>5</v>
      </c>
      <c r="CG47" s="46">
        <v>5</v>
      </c>
      <c r="CH47" s="46">
        <v>5</v>
      </c>
      <c r="CI47" s="46">
        <v>5</v>
      </c>
      <c r="CJ47" s="46">
        <v>5</v>
      </c>
      <c r="CK47" s="46">
        <v>5</v>
      </c>
      <c r="CL47" s="46">
        <v>5</v>
      </c>
      <c r="CM47" s="46">
        <v>5</v>
      </c>
      <c r="CN47" s="46">
        <v>5</v>
      </c>
      <c r="CO47" s="46">
        <v>5</v>
      </c>
      <c r="CP47" s="46">
        <v>5</v>
      </c>
      <c r="CQ47" s="46">
        <v>5</v>
      </c>
      <c r="CR47" s="46">
        <v>5</v>
      </c>
      <c r="CS47" s="46">
        <v>5</v>
      </c>
      <c r="CT47" s="46">
        <v>5</v>
      </c>
      <c r="CU47" s="46">
        <v>5</v>
      </c>
      <c r="CV47" s="46">
        <v>5</v>
      </c>
      <c r="CW47" s="46">
        <v>5</v>
      </c>
      <c r="CX47" s="46">
        <v>5</v>
      </c>
      <c r="CY47" s="46">
        <v>5</v>
      </c>
      <c r="CZ47" s="46">
        <v>5</v>
      </c>
      <c r="DA47" s="46">
        <v>5</v>
      </c>
      <c r="DB47" s="46">
        <v>5</v>
      </c>
    </row>
    <row r="48" ht="15" customHeight="1" spans="1:106" x14ac:dyDescent="0.25">
      <c r="A48" s="16" t="s">
        <v>281</v>
      </c>
      <c r="B48" s="17"/>
      <c r="C48" s="46">
        <v>8.5</v>
      </c>
      <c r="D48" s="46">
        <v>8.5</v>
      </c>
      <c r="E48" s="46">
        <v>8.5</v>
      </c>
      <c r="F48" s="46">
        <v>8.5</v>
      </c>
      <c r="G48" s="46">
        <v>8.5</v>
      </c>
      <c r="H48" s="46">
        <v>8.5</v>
      </c>
      <c r="I48" s="46">
        <v>8.5</v>
      </c>
      <c r="J48" s="46">
        <v>8.5</v>
      </c>
      <c r="K48" s="46">
        <v>8.5</v>
      </c>
      <c r="L48" s="46">
        <v>8.5</v>
      </c>
      <c r="M48" s="46">
        <v>8.5</v>
      </c>
      <c r="N48" s="46">
        <v>8.5</v>
      </c>
      <c r="O48" s="46">
        <v>8.5</v>
      </c>
      <c r="P48" s="46">
        <v>8.5</v>
      </c>
      <c r="Q48" s="46">
        <v>8.5</v>
      </c>
      <c r="R48" s="46">
        <v>8.5</v>
      </c>
      <c r="S48" s="46">
        <v>8.5</v>
      </c>
      <c r="T48" s="46">
        <v>8.5</v>
      </c>
      <c r="U48" s="46">
        <v>8.5</v>
      </c>
      <c r="V48" s="46">
        <v>8.5</v>
      </c>
      <c r="W48" s="46">
        <v>8.5</v>
      </c>
      <c r="X48" s="46">
        <v>8.5</v>
      </c>
      <c r="Y48" s="46">
        <v>8.5</v>
      </c>
      <c r="Z48" s="46">
        <v>8.5</v>
      </c>
      <c r="AA48" s="46">
        <v>8.5</v>
      </c>
      <c r="AB48" s="46">
        <v>8.5</v>
      </c>
      <c r="AC48" s="46">
        <v>8.5</v>
      </c>
      <c r="AD48" s="46">
        <v>8.5</v>
      </c>
      <c r="AE48" s="46">
        <v>8.5</v>
      </c>
      <c r="AF48" s="46">
        <v>8.5</v>
      </c>
      <c r="AG48" s="46">
        <v>8.5</v>
      </c>
      <c r="AH48" s="46">
        <v>8.5</v>
      </c>
      <c r="AI48" s="46">
        <v>8.5</v>
      </c>
      <c r="AJ48" s="46">
        <v>8.5</v>
      </c>
      <c r="AK48" s="46">
        <v>8.5</v>
      </c>
      <c r="AL48" s="46">
        <v>8.5</v>
      </c>
      <c r="AM48" s="46">
        <v>8.5</v>
      </c>
      <c r="AN48" s="46">
        <v>8.5</v>
      </c>
      <c r="AO48" s="46">
        <v>8.5</v>
      </c>
      <c r="AP48" s="46">
        <v>8.5</v>
      </c>
      <c r="AQ48" s="46">
        <v>8.5</v>
      </c>
      <c r="AR48" s="46">
        <v>8.5</v>
      </c>
      <c r="AS48" s="46">
        <v>8.5</v>
      </c>
      <c r="AT48" s="46">
        <v>8.5</v>
      </c>
      <c r="AU48" s="46">
        <v>8.5</v>
      </c>
      <c r="AV48" s="46">
        <v>8.5</v>
      </c>
      <c r="AW48" s="46">
        <v>8.5</v>
      </c>
      <c r="AX48" s="46">
        <v>8.5</v>
      </c>
      <c r="AY48" s="46">
        <v>8.5</v>
      </c>
      <c r="AZ48" s="46">
        <v>8.5</v>
      </c>
      <c r="BA48" s="46">
        <v>8.5</v>
      </c>
      <c r="BB48" s="46">
        <v>8.5</v>
      </c>
      <c r="BC48" s="46">
        <v>8.5</v>
      </c>
      <c r="BD48" s="46">
        <v>8.5</v>
      </c>
      <c r="BE48" s="46">
        <v>8.5</v>
      </c>
      <c r="BF48" s="46">
        <v>8.5</v>
      </c>
      <c r="BG48" s="46">
        <v>8.5</v>
      </c>
      <c r="BH48" s="46">
        <v>8.5</v>
      </c>
      <c r="BI48" s="46">
        <v>8.5</v>
      </c>
      <c r="BJ48" s="46">
        <v>8.5</v>
      </c>
      <c r="BK48" s="46">
        <v>8.5</v>
      </c>
      <c r="BL48" s="46">
        <v>8.5</v>
      </c>
      <c r="BM48" s="46">
        <v>8.5</v>
      </c>
      <c r="BN48" s="46">
        <v>8.5</v>
      </c>
      <c r="BO48" s="46">
        <v>8.5</v>
      </c>
      <c r="BP48" s="46">
        <v>8.5</v>
      </c>
      <c r="BQ48" s="46">
        <v>8.5</v>
      </c>
      <c r="BR48" s="46">
        <v>8.5</v>
      </c>
      <c r="BS48" s="46">
        <v>8.5</v>
      </c>
      <c r="BT48" s="46">
        <v>8.5</v>
      </c>
      <c r="BU48" s="46">
        <v>8.5</v>
      </c>
      <c r="BV48" s="46">
        <v>8.5</v>
      </c>
      <c r="BW48" s="46">
        <v>8.5</v>
      </c>
      <c r="BX48" s="46">
        <v>8.5</v>
      </c>
      <c r="BY48" s="46">
        <v>8.5</v>
      </c>
      <c r="BZ48" s="46">
        <v>8.5</v>
      </c>
      <c r="CA48" s="46">
        <v>8.5</v>
      </c>
      <c r="CB48" s="46">
        <v>8.5</v>
      </c>
      <c r="CC48" s="46">
        <v>8.5</v>
      </c>
      <c r="CD48" s="46">
        <v>8.5</v>
      </c>
      <c r="CE48" s="46">
        <v>8.5</v>
      </c>
      <c r="CF48" s="46">
        <v>8.5</v>
      </c>
      <c r="CG48" s="46">
        <v>8.5</v>
      </c>
      <c r="CH48" s="46">
        <v>8.5</v>
      </c>
      <c r="CI48" s="46">
        <v>8.5</v>
      </c>
      <c r="CJ48" s="46">
        <v>8.5</v>
      </c>
      <c r="CK48" s="46">
        <v>8.5</v>
      </c>
      <c r="CL48" s="46">
        <v>8.5</v>
      </c>
      <c r="CM48" s="46">
        <v>8.5</v>
      </c>
      <c r="CN48" s="46">
        <v>8.5</v>
      </c>
      <c r="CO48" s="46">
        <v>8.5</v>
      </c>
      <c r="CP48" s="46">
        <v>8.5</v>
      </c>
      <c r="CQ48" s="46">
        <v>8.5</v>
      </c>
      <c r="CR48" s="46">
        <v>8.5</v>
      </c>
      <c r="CS48" s="46">
        <v>8.5</v>
      </c>
      <c r="CT48" s="46">
        <v>8.5</v>
      </c>
      <c r="CU48" s="46">
        <v>8.5</v>
      </c>
      <c r="CV48" s="46">
        <v>8.5</v>
      </c>
      <c r="CW48" s="46">
        <v>8.5</v>
      </c>
      <c r="CX48" s="46">
        <v>8.5</v>
      </c>
      <c r="CY48" s="46">
        <v>8.5</v>
      </c>
      <c r="CZ48" s="46">
        <v>8.5</v>
      </c>
      <c r="DA48" s="46">
        <v>8.5</v>
      </c>
      <c r="DB48" s="46">
        <v>8.5</v>
      </c>
    </row>
    <row r="49" ht="15" customHeight="1" spans="1:106" x14ac:dyDescent="0.25">
      <c r="A49" s="16" t="s">
        <v>282</v>
      </c>
      <c r="B49" s="17"/>
      <c r="C49" s="46">
        <v>0</v>
      </c>
      <c r="D49" s="46">
        <v>0</v>
      </c>
      <c r="E49" s="46">
        <v>0</v>
      </c>
      <c r="F49" s="46">
        <v>0</v>
      </c>
      <c r="G49" s="46">
        <v>0</v>
      </c>
      <c r="H49" s="46">
        <v>0</v>
      </c>
      <c r="I49" s="46">
        <v>0</v>
      </c>
      <c r="J49" s="46">
        <v>0</v>
      </c>
      <c r="K49" s="46">
        <v>0</v>
      </c>
      <c r="L49" s="46">
        <v>0</v>
      </c>
      <c r="M49" s="46">
        <v>0</v>
      </c>
      <c r="N49" s="46">
        <v>0</v>
      </c>
      <c r="O49" s="46">
        <v>0</v>
      </c>
      <c r="P49" s="46">
        <v>0</v>
      </c>
      <c r="Q49" s="46">
        <v>0</v>
      </c>
      <c r="R49" s="46">
        <v>0</v>
      </c>
      <c r="S49" s="46">
        <v>0</v>
      </c>
      <c r="T49" s="46">
        <v>0</v>
      </c>
      <c r="U49" s="46">
        <v>0</v>
      </c>
      <c r="V49" s="46">
        <v>0</v>
      </c>
      <c r="W49" s="46">
        <v>0</v>
      </c>
      <c r="X49" s="46">
        <v>0</v>
      </c>
      <c r="Y49" s="46">
        <v>0</v>
      </c>
      <c r="Z49" s="46">
        <v>0</v>
      </c>
      <c r="AA49" s="46">
        <v>0</v>
      </c>
      <c r="AB49" s="46">
        <v>0</v>
      </c>
      <c r="AC49" s="46">
        <v>0</v>
      </c>
      <c r="AD49" s="46">
        <v>0</v>
      </c>
      <c r="AE49" s="46">
        <v>0</v>
      </c>
      <c r="AF49" s="46">
        <v>0</v>
      </c>
      <c r="AG49" s="46">
        <v>0</v>
      </c>
      <c r="AH49" s="46">
        <v>0</v>
      </c>
      <c r="AI49" s="46">
        <v>0</v>
      </c>
      <c r="AJ49" s="46">
        <v>0</v>
      </c>
      <c r="AK49" s="46">
        <v>0</v>
      </c>
      <c r="AL49" s="46">
        <v>0</v>
      </c>
      <c r="AM49" s="46">
        <v>0</v>
      </c>
      <c r="AN49" s="46">
        <v>0</v>
      </c>
      <c r="AO49" s="46">
        <v>0</v>
      </c>
      <c r="AP49" s="46">
        <v>0</v>
      </c>
      <c r="AQ49" s="46">
        <v>0</v>
      </c>
      <c r="AR49" s="46">
        <v>0</v>
      </c>
      <c r="AS49" s="46">
        <v>0</v>
      </c>
      <c r="AT49" s="46">
        <v>0</v>
      </c>
      <c r="AU49" s="46">
        <v>0</v>
      </c>
      <c r="AV49" s="46">
        <v>0</v>
      </c>
      <c r="AW49" s="46">
        <v>0</v>
      </c>
      <c r="AX49" s="46">
        <v>0</v>
      </c>
      <c r="AY49" s="46">
        <v>0</v>
      </c>
      <c r="AZ49" s="46">
        <v>0</v>
      </c>
      <c r="BA49" s="46">
        <v>0</v>
      </c>
      <c r="BB49" s="46">
        <v>0</v>
      </c>
      <c r="BC49" s="46">
        <v>0</v>
      </c>
      <c r="BD49" s="46">
        <v>0</v>
      </c>
      <c r="BE49" s="46">
        <v>0</v>
      </c>
      <c r="BF49" s="46">
        <v>0</v>
      </c>
      <c r="BG49" s="46">
        <v>0</v>
      </c>
      <c r="BH49" s="46">
        <v>0</v>
      </c>
      <c r="BI49" s="46">
        <v>0</v>
      </c>
      <c r="BJ49" s="46">
        <v>0</v>
      </c>
      <c r="BK49" s="46">
        <v>0</v>
      </c>
      <c r="BL49" s="46">
        <v>0</v>
      </c>
      <c r="BM49" s="46">
        <v>0</v>
      </c>
      <c r="BN49" s="46">
        <v>0</v>
      </c>
      <c r="BO49" s="46">
        <v>0</v>
      </c>
      <c r="BP49" s="46">
        <v>0</v>
      </c>
      <c r="BQ49" s="46">
        <v>0</v>
      </c>
      <c r="BR49" s="46">
        <v>0</v>
      </c>
      <c r="BS49" s="46">
        <v>0</v>
      </c>
      <c r="BT49" s="46">
        <v>0</v>
      </c>
      <c r="BU49" s="46">
        <v>0</v>
      </c>
      <c r="BV49" s="46">
        <v>0</v>
      </c>
      <c r="BW49" s="46">
        <v>0</v>
      </c>
      <c r="BX49" s="46">
        <v>0</v>
      </c>
      <c r="BY49" s="46">
        <v>0</v>
      </c>
      <c r="BZ49" s="46">
        <v>0</v>
      </c>
      <c r="CA49" s="46">
        <v>0</v>
      </c>
      <c r="CB49" s="46">
        <v>0</v>
      </c>
      <c r="CC49" s="46">
        <v>0</v>
      </c>
      <c r="CD49" s="46">
        <v>0</v>
      </c>
      <c r="CE49" s="46">
        <v>0</v>
      </c>
      <c r="CF49" s="46">
        <v>0</v>
      </c>
      <c r="CG49" s="46">
        <v>0</v>
      </c>
      <c r="CH49" s="46">
        <v>0</v>
      </c>
      <c r="CI49" s="46">
        <v>0</v>
      </c>
      <c r="CJ49" s="46">
        <v>0</v>
      </c>
      <c r="CK49" s="46">
        <v>0</v>
      </c>
      <c r="CL49" s="46">
        <v>0</v>
      </c>
      <c r="CM49" s="46">
        <v>0</v>
      </c>
      <c r="CN49" s="46">
        <v>0</v>
      </c>
      <c r="CO49" s="46">
        <v>0</v>
      </c>
      <c r="CP49" s="46">
        <v>0</v>
      </c>
      <c r="CQ49" s="46">
        <v>0</v>
      </c>
      <c r="CR49" s="46">
        <v>0</v>
      </c>
      <c r="CS49" s="46">
        <v>0</v>
      </c>
      <c r="CT49" s="46">
        <v>0</v>
      </c>
      <c r="CU49" s="46">
        <v>0</v>
      </c>
      <c r="CV49" s="46">
        <v>0</v>
      </c>
      <c r="CW49" s="46">
        <v>0</v>
      </c>
      <c r="CX49" s="46">
        <v>0</v>
      </c>
      <c r="CY49" s="46">
        <v>0</v>
      </c>
      <c r="CZ49" s="46">
        <v>0</v>
      </c>
      <c r="DA49" s="46">
        <v>0</v>
      </c>
      <c r="DB49" s="46">
        <v>0</v>
      </c>
    </row>
    <row r="50" spans="3:106" x14ac:dyDescent="0.25"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0"/>
      <c r="CI50" s="30"/>
      <c r="CJ50" s="30"/>
      <c r="CK50" s="30"/>
      <c r="CL50" s="30"/>
      <c r="CM50" s="30"/>
      <c r="CN50" s="30"/>
      <c r="CO50" s="30"/>
      <c r="CP50" s="30"/>
      <c r="CQ50" s="30"/>
      <c r="CR50" s="30"/>
      <c r="CS50" s="30"/>
      <c r="CT50" s="30"/>
      <c r="CU50" s="30"/>
      <c r="CV50" s="30"/>
      <c r="CW50" s="30"/>
      <c r="CX50" s="30"/>
      <c r="CY50" s="30"/>
      <c r="CZ50" s="30"/>
      <c r="DA50" s="30"/>
      <c r="DB50" s="30"/>
    </row>
    <row r="51" ht="20" customHeight="1" spans="1:106" x14ac:dyDescent="0.25">
      <c r="A51" s="9" t="s">
        <v>283</v>
      </c>
      <c r="B51" s="17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  <c r="CQ51" s="32"/>
      <c r="CR51" s="32"/>
      <c r="CS51" s="32"/>
      <c r="CT51" s="32"/>
      <c r="CU51" s="32"/>
      <c r="CV51" s="32"/>
      <c r="CW51" s="32"/>
      <c r="CX51" s="32"/>
      <c r="CY51" s="32"/>
      <c r="CZ51" s="32"/>
      <c r="DA51" s="32"/>
      <c r="DB51" s="32"/>
    </row>
    <row r="52" ht="15" customHeight="1" spans="1:106" x14ac:dyDescent="0.25">
      <c r="A52" s="33" t="s">
        <v>284</v>
      </c>
      <c r="B52" s="17"/>
      <c r="C52" s="34">
        <f>=IFERROR(1-((1-C53)*(1-C58)),0)</f>
        <v>0.1</v>
      </c>
      <c r="D52" s="34">
        <f>=IFERROR(1-((1-D53)*(1-D58)),0)</f>
        <v>0.1</v>
      </c>
      <c r="E52" s="34">
        <f>=IFERROR(1-((1-E53)*(1-E58)),0)</f>
        <v>0.1</v>
      </c>
      <c r="F52" s="34">
        <f>=IFERROR(1-((1-F53)*(1-F58)),0)</f>
        <v>0.1</v>
      </c>
      <c r="G52" s="34">
        <f>=IFERROR(1-((1-G53)*(1-G58)),0)</f>
        <v>0.1</v>
      </c>
      <c r="H52" s="34">
        <f>=IFERROR(1-((1-H53)*(1-H58)),0)</f>
        <v>0.1</v>
      </c>
      <c r="I52" s="34">
        <f>=IFERROR(1-((1-I53)*(1-I58)),0)</f>
        <v>0.1</v>
      </c>
      <c r="J52" s="34">
        <f>=IFERROR(1-((1-J53)*(1-J58)),0)</f>
        <v>0.1</v>
      </c>
      <c r="K52" s="34">
        <f>=IFERROR(1-((1-K53)*(1-K58)),0)</f>
        <v>0.1</v>
      </c>
      <c r="L52" s="34">
        <f>=IFERROR(1-((1-L53)*(1-L58)),0)</f>
        <v>0.1</v>
      </c>
      <c r="M52" s="34">
        <f>=IFERROR(1-((1-M53)*(1-M58)),0)</f>
        <v>0.1</v>
      </c>
      <c r="N52" s="34">
        <f>=IFERROR(1-((1-N53)*(1-N58)),0)</f>
        <v>0.1</v>
      </c>
      <c r="O52" s="34">
        <f>=IFERROR(1-((1-O53)*(1-O58)),0)</f>
        <v>0.1</v>
      </c>
      <c r="P52" s="34">
        <f>=IFERROR(1-((1-P53)*(1-P58)),0)</f>
        <v>0.1</v>
      </c>
      <c r="Q52" s="34">
        <f>=IFERROR(1-((1-Q53)*(1-Q58)),0)</f>
        <v>0.1</v>
      </c>
      <c r="R52" s="34">
        <f>=IFERROR(1-((1-R53)*(1-R58)),0)</f>
        <v>0.1</v>
      </c>
      <c r="S52" s="34">
        <f>=IFERROR(1-((1-S53)*(1-S58)),0)</f>
        <v>0.1</v>
      </c>
      <c r="T52" s="34">
        <f>=IFERROR(1-((1-T53)*(1-T58)),0)</f>
        <v>0.1</v>
      </c>
      <c r="U52" s="34">
        <f>=IFERROR(1-((1-U53)*(1-U58)),0)</f>
        <v>0.1</v>
      </c>
      <c r="V52" s="34">
        <f>=IFERROR(1-((1-V53)*(1-V58)),0)</f>
        <v>0.1</v>
      </c>
      <c r="W52" s="34">
        <f>=IFERROR(1-((1-W53)*(1-W58)),0)</f>
        <v>0.1</v>
      </c>
      <c r="X52" s="34">
        <f>=IFERROR(1-((1-X53)*(1-X58)),0)</f>
        <v>0.1</v>
      </c>
      <c r="Y52" s="34">
        <f>=IFERROR(1-((1-Y53)*(1-Y58)),0)</f>
        <v>0.1</v>
      </c>
      <c r="Z52" s="34">
        <f>=IFERROR(1-((1-Z53)*(1-Z58)),0)</f>
        <v>0.1</v>
      </c>
      <c r="AA52" s="34">
        <f>=IFERROR(1-((1-AA53)*(1-AA58)),0)</f>
        <v>0.1</v>
      </c>
      <c r="AB52" s="34">
        <f>=IFERROR(1-((1-AB53)*(1-AB58)),0)</f>
        <v>0.1</v>
      </c>
      <c r="AC52" s="34">
        <f>=IFERROR(1-((1-AC53)*(1-AC58)),0)</f>
        <v>0.1</v>
      </c>
      <c r="AD52" s="34">
        <f>=IFERROR(1-((1-AD53)*(1-AD58)),0)</f>
        <v>0.1</v>
      </c>
      <c r="AE52" s="34">
        <f>=IFERROR(1-((1-AE53)*(1-AE58)),0)</f>
        <v>0.1</v>
      </c>
      <c r="AF52" s="34">
        <f>=IFERROR(1-((1-AF53)*(1-AF58)),0)</f>
        <v>0.1</v>
      </c>
      <c r="AG52" s="34">
        <f>=IFERROR(1-((1-AG53)*(1-AG58)),0)</f>
        <v>0</v>
      </c>
      <c r="AH52" s="34">
        <f>=IFERROR(1-((1-AH53)*(1-AH58)),0)</f>
        <v>0</v>
      </c>
      <c r="AI52" s="34">
        <f>=IFERROR(1-((1-AI53)*(1-AI58)),0)</f>
        <v>0</v>
      </c>
      <c r="AJ52" s="34">
        <f>=IFERROR(1-((1-AJ53)*(1-AJ58)),0)</f>
        <v>0</v>
      </c>
      <c r="AK52" s="34">
        <f>=IFERROR(1-((1-AK53)*(1-AK58)),0)</f>
        <v>0</v>
      </c>
      <c r="AL52" s="34">
        <f>=IFERROR(1-((1-AL53)*(1-AL58)),0)</f>
        <v>0</v>
      </c>
      <c r="AM52" s="34">
        <f>=IFERROR(1-((1-AM53)*(1-AM58)),0)</f>
        <v>0</v>
      </c>
      <c r="AN52" s="34">
        <f>=IFERROR(1-((1-AN53)*(1-AN58)),0)</f>
        <v>0</v>
      </c>
      <c r="AO52" s="34">
        <f>=IFERROR(1-((1-AO53)*(1-AO58)),0)</f>
        <v>0</v>
      </c>
      <c r="AP52" s="34">
        <f>=IFERROR(1-((1-AP53)*(1-AP58)),0)</f>
        <v>0</v>
      </c>
      <c r="AQ52" s="34">
        <f>=IFERROR(1-((1-AQ53)*(1-AQ58)),0)</f>
        <v>0</v>
      </c>
      <c r="AR52" s="34">
        <f>=IFERROR(1-((1-AR53)*(1-AR58)),0)</f>
        <v>0</v>
      </c>
      <c r="AS52" s="34">
        <f>=IFERROR(1-((1-AS53)*(1-AS58)),0)</f>
        <v>0</v>
      </c>
      <c r="AT52" s="34">
        <f>=IFERROR(1-((1-AT53)*(1-AT58)),0)</f>
        <v>0</v>
      </c>
      <c r="AU52" s="34">
        <f>=IFERROR(1-((1-AU53)*(1-AU58)),0)</f>
        <v>0</v>
      </c>
      <c r="AV52" s="34">
        <f>=IFERROR(1-((1-AV53)*(1-AV58)),0)</f>
        <v>0</v>
      </c>
      <c r="AW52" s="34">
        <f>=IFERROR(1-((1-AW53)*(1-AW58)),0)</f>
        <v>0</v>
      </c>
      <c r="AX52" s="34">
        <f>=IFERROR(1-((1-AX53)*(1-AX58)),0)</f>
        <v>0</v>
      </c>
      <c r="AY52" s="34">
        <f>=IFERROR(1-((1-AY53)*(1-AY58)),0)</f>
        <v>0</v>
      </c>
      <c r="AZ52" s="34">
        <f>=IFERROR(1-((1-AZ53)*(1-AZ58)),0)</f>
        <v>0</v>
      </c>
      <c r="BA52" s="34">
        <f>=IFERROR(1-((1-BA53)*(1-BA58)),0)</f>
        <v>0</v>
      </c>
      <c r="BB52" s="34">
        <f>=IFERROR(1-((1-BB53)*(1-BB58)),0)</f>
        <v>0</v>
      </c>
      <c r="BC52" s="34">
        <f>=IFERROR(1-((1-BC53)*(1-BC58)),0)</f>
        <v>0</v>
      </c>
      <c r="BD52" s="34">
        <f>=IFERROR(1-((1-BD53)*(1-BD58)),0)</f>
        <v>0</v>
      </c>
      <c r="BE52" s="34">
        <f>=IFERROR(1-((1-BE53)*(1-BE58)),0)</f>
        <v>0</v>
      </c>
      <c r="BF52" s="34">
        <f>=IFERROR(1-((1-BF53)*(1-BF58)),0)</f>
        <v>0</v>
      </c>
      <c r="BG52" s="34">
        <f>=IFERROR(1-((1-BG53)*(1-BG58)),0)</f>
        <v>0</v>
      </c>
      <c r="BH52" s="34">
        <f>=IFERROR(1-((1-BH53)*(1-BH58)),0)</f>
        <v>0</v>
      </c>
      <c r="BI52" s="34">
        <f>=IFERROR(1-((1-BI53)*(1-BI58)),0)</f>
        <v>0</v>
      </c>
      <c r="BJ52" s="34">
        <f>=IFERROR(1-((1-BJ53)*(1-BJ58)),0)</f>
        <v>0</v>
      </c>
      <c r="BK52" s="34">
        <f>=IFERROR(1-((1-BK53)*(1-BK58)),0)</f>
        <v>0</v>
      </c>
      <c r="BL52" s="34">
        <f>=IFERROR(1-((1-BL53)*(1-BL58)),0)</f>
        <v>0</v>
      </c>
      <c r="BM52" s="34">
        <f>=IFERROR(1-((1-BM53)*(1-BM58)),0)</f>
        <v>0</v>
      </c>
      <c r="BN52" s="34">
        <f>=IFERROR(1-((1-BN53)*(1-BN58)),0)</f>
        <v>0</v>
      </c>
      <c r="BO52" s="34">
        <f>=IFERROR(1-((1-BO53)*(1-BO58)),0)</f>
        <v>0</v>
      </c>
      <c r="BP52" s="34">
        <f>=IFERROR(1-((1-BP53)*(1-BP58)),0)</f>
        <v>0</v>
      </c>
      <c r="BQ52" s="34">
        <f>=IFERROR(1-((1-BQ53)*(1-BQ58)),0)</f>
        <v>0</v>
      </c>
      <c r="BR52" s="34">
        <f>=IFERROR(1-((1-BR53)*(1-BR58)),0)</f>
        <v>0</v>
      </c>
      <c r="BS52" s="34">
        <f>=IFERROR(1-((1-BS53)*(1-BS58)),0)</f>
        <v>0</v>
      </c>
      <c r="BT52" s="34">
        <f>=IFERROR(1-((1-BT53)*(1-BT58)),0)</f>
        <v>0</v>
      </c>
      <c r="BU52" s="34">
        <f>=IFERROR(1-((1-BU53)*(1-BU58)),0)</f>
        <v>0</v>
      </c>
      <c r="BV52" s="34">
        <f>=IFERROR(1-((1-BV53)*(1-BV58)),0)</f>
        <v>0</v>
      </c>
      <c r="BW52" s="34">
        <f>=IFERROR(1-((1-BW53)*(1-BW58)),0)</f>
        <v>0</v>
      </c>
      <c r="BX52" s="34">
        <f>=IFERROR(1-((1-BX53)*(1-BX58)),0)</f>
        <v>0</v>
      </c>
      <c r="BY52" s="34">
        <f>=IFERROR(1-((1-BY53)*(1-BY58)),0)</f>
        <v>0</v>
      </c>
      <c r="BZ52" s="34">
        <f>=IFERROR(1-((1-BZ53)*(1-BZ58)),0)</f>
        <v>0</v>
      </c>
      <c r="CA52" s="34">
        <f>=IFERROR(1-((1-CA53)*(1-CA58)),0)</f>
        <v>0</v>
      </c>
      <c r="CB52" s="34">
        <f>=IFERROR(1-((1-CB53)*(1-CB58)),0)</f>
        <v>0</v>
      </c>
      <c r="CC52" s="34">
        <f>=IFERROR(1-((1-CC53)*(1-CC58)),0)</f>
        <v>0</v>
      </c>
      <c r="CD52" s="34">
        <f>=IFERROR(1-((1-CD53)*(1-CD58)),0)</f>
        <v>0</v>
      </c>
      <c r="CE52" s="34">
        <f>=IFERROR(1-((1-CE53)*(1-CE58)),0)</f>
        <v>0</v>
      </c>
      <c r="CF52" s="34">
        <f>=IFERROR(1-((1-CF53)*(1-CF58)),0)</f>
        <v>0</v>
      </c>
      <c r="CG52" s="34">
        <f>=IFERROR(1-((1-CG53)*(1-CG58)),0)</f>
        <v>0</v>
      </c>
      <c r="CH52" s="34">
        <f>=IFERROR(1-((1-CH53)*(1-CH58)),0)</f>
        <v>0</v>
      </c>
      <c r="CI52" s="34">
        <f>=IFERROR(1-((1-CI53)*(1-CI58)),0)</f>
        <v>0</v>
      </c>
      <c r="CJ52" s="34">
        <f>=IFERROR(1-((1-CJ53)*(1-CJ58)),0)</f>
        <v>0</v>
      </c>
      <c r="CK52" s="34">
        <f>=IFERROR(1-((1-CK53)*(1-CK58)),0)</f>
        <v>0</v>
      </c>
      <c r="CL52" s="34">
        <f>=IFERROR(1-((1-CL53)*(1-CL58)),0)</f>
        <v>0</v>
      </c>
      <c r="CM52" s="34">
        <f>=IFERROR(1-((1-CM53)*(1-CM58)),0)</f>
        <v>0</v>
      </c>
      <c r="CN52" s="34">
        <f>=IFERROR(1-((1-CN53)*(1-CN58)),0)</f>
        <v>0</v>
      </c>
      <c r="CO52" s="34">
        <f>=IFERROR(1-((1-CO53)*(1-CO58)),0)</f>
        <v>0</v>
      </c>
      <c r="CP52" s="34">
        <f>=IFERROR(1-((1-CP53)*(1-CP58)),0)</f>
        <v>0</v>
      </c>
      <c r="CQ52" s="34">
        <f>=IFERROR(1-((1-CQ53)*(1-CQ58)),0)</f>
        <v>0</v>
      </c>
      <c r="CR52" s="34">
        <f>=IFERROR(1-((1-CR53)*(1-CR58)),0)</f>
        <v>0</v>
      </c>
      <c r="CS52" s="34">
        <f>=IFERROR(1-((1-CS53)*(1-CS58)),0)</f>
        <v>0</v>
      </c>
      <c r="CT52" s="34">
        <f>=IFERROR(1-((1-CT53)*(1-CT58)),0)</f>
        <v>0</v>
      </c>
      <c r="CU52" s="34">
        <f>=IFERROR(1-((1-CU53)*(1-CU58)),0)</f>
        <v>0</v>
      </c>
      <c r="CV52" s="34">
        <f>=IFERROR(1-((1-CV53)*(1-CV58)),0)</f>
        <v>0</v>
      </c>
      <c r="CW52" s="34">
        <f>=IFERROR(1-((1-CW53)*(1-CW58)),0)</f>
        <v>0</v>
      </c>
      <c r="CX52" s="34">
        <f>=IFERROR(1-((1-CX53)*(1-CX58)),0)</f>
        <v>0</v>
      </c>
      <c r="CY52" s="34">
        <f>=IFERROR(1-((1-CY53)*(1-CY58)),0)</f>
        <v>0</v>
      </c>
      <c r="CZ52" s="34">
        <f>=IFERROR(1-((1-CZ53)*(1-CZ58)),0)</f>
        <v>0</v>
      </c>
      <c r="DA52" s="34">
        <f>=IFERROR(1-((1-DA53)*(1-DA58)),0)</f>
        <v>0</v>
      </c>
      <c r="DB52" s="34">
        <f>=IFERROR(1-((1-DB53)*(1-DB58)),0)</f>
        <v>0</v>
      </c>
    </row>
    <row r="53" ht="15" customHeight="1" spans="1:106" x14ac:dyDescent="0.25">
      <c r="A53" s="16" t="s">
        <v>285</v>
      </c>
      <c r="B53" s="17"/>
      <c r="C53" s="35">
        <f>=SUM(C54:C57)</f>
        <v>0.1</v>
      </c>
      <c r="D53" s="35">
        <f>=SUM(D54:D57)</f>
        <v>0.1</v>
      </c>
      <c r="E53" s="35">
        <f>=SUM(E54:E57)</f>
        <v>0.1</v>
      </c>
      <c r="F53" s="35">
        <f>=SUM(F54:F57)</f>
        <v>0.1</v>
      </c>
      <c r="G53" s="35">
        <f>=SUM(G54:G57)</f>
        <v>0.1</v>
      </c>
      <c r="H53" s="35">
        <f>=SUM(H54:H57)</f>
        <v>0.1</v>
      </c>
      <c r="I53" s="35">
        <f>=SUM(I54:I57)</f>
        <v>0.1</v>
      </c>
      <c r="J53" s="35">
        <f>=SUM(J54:J57)</f>
        <v>0.1</v>
      </c>
      <c r="K53" s="35">
        <f>=SUM(K54:K57)</f>
        <v>0.1</v>
      </c>
      <c r="L53" s="35">
        <f>=SUM(L54:L57)</f>
        <v>0.1</v>
      </c>
      <c r="M53" s="35">
        <f>=SUM(M54:M57)</f>
        <v>0.1</v>
      </c>
      <c r="N53" s="35">
        <f>=SUM(N54:N57)</f>
        <v>0.1</v>
      </c>
      <c r="O53" s="35">
        <f>=SUM(O54:O57)</f>
        <v>0.1</v>
      </c>
      <c r="P53" s="35">
        <f>=SUM(P54:P57)</f>
        <v>0.1</v>
      </c>
      <c r="Q53" s="35">
        <f>=SUM(Q54:Q57)</f>
        <v>0.1</v>
      </c>
      <c r="R53" s="35">
        <f>=SUM(R54:R57)</f>
        <v>0.1</v>
      </c>
      <c r="S53" s="35">
        <f>=SUM(S54:S57)</f>
        <v>0.1</v>
      </c>
      <c r="T53" s="35">
        <f>=SUM(T54:T57)</f>
        <v>0.1</v>
      </c>
      <c r="U53" s="35">
        <f>=SUM(U54:U57)</f>
        <v>0.1</v>
      </c>
      <c r="V53" s="35">
        <f>=SUM(V54:V57)</f>
        <v>0.1</v>
      </c>
      <c r="W53" s="35">
        <f>=SUM(W54:W57)</f>
        <v>0.1</v>
      </c>
      <c r="X53" s="35">
        <f>=SUM(X54:X57)</f>
        <v>0.1</v>
      </c>
      <c r="Y53" s="35">
        <f>=SUM(Y54:Y57)</f>
        <v>0.1</v>
      </c>
      <c r="Z53" s="35">
        <f>=SUM(Z54:Z57)</f>
        <v>0.1</v>
      </c>
      <c r="AA53" s="35">
        <f>=SUM(AA54:AA57)</f>
        <v>0.1</v>
      </c>
      <c r="AB53" s="35">
        <f>=SUM(AB54:AB57)</f>
        <v>0.1</v>
      </c>
      <c r="AC53" s="35">
        <f>=SUM(AC54:AC57)</f>
        <v>0.1</v>
      </c>
      <c r="AD53" s="35">
        <f>=SUM(AD54:AD57)</f>
        <v>0.1</v>
      </c>
      <c r="AE53" s="35">
        <f>=SUM(AE54:AE57)</f>
        <v>0.1</v>
      </c>
      <c r="AF53" s="35">
        <f>=SUM(AF54:AF57)</f>
        <v>0.1</v>
      </c>
      <c r="AG53" s="35">
        <f>=SUM(AG54:AG57)</f>
        <v>0</v>
      </c>
      <c r="AH53" s="35">
        <f>=SUM(AH54:AH57)</f>
        <v>0</v>
      </c>
      <c r="AI53" s="35">
        <f>=SUM(AI54:AI57)</f>
        <v>0</v>
      </c>
      <c r="AJ53" s="35">
        <f>=SUM(AJ54:AJ57)</f>
        <v>0</v>
      </c>
      <c r="AK53" s="35">
        <f>=SUM(AK54:AK57)</f>
        <v>0</v>
      </c>
      <c r="AL53" s="35">
        <f>=SUM(AL54:AL57)</f>
        <v>0</v>
      </c>
      <c r="AM53" s="35">
        <f>=SUM(AM54:AM57)</f>
        <v>0</v>
      </c>
      <c r="AN53" s="35">
        <f>=SUM(AN54:AN57)</f>
        <v>0</v>
      </c>
      <c r="AO53" s="35">
        <f>=SUM(AO54:AO57)</f>
        <v>0</v>
      </c>
      <c r="AP53" s="35">
        <f>=SUM(AP54:AP57)</f>
        <v>0</v>
      </c>
      <c r="AQ53" s="35">
        <f>=SUM(AQ54:AQ57)</f>
        <v>0</v>
      </c>
      <c r="AR53" s="35">
        <f>=SUM(AR54:AR57)</f>
        <v>0</v>
      </c>
      <c r="AS53" s="35">
        <f>=SUM(AS54:AS57)</f>
        <v>0</v>
      </c>
      <c r="AT53" s="35">
        <f>=SUM(AT54:AT57)</f>
        <v>0</v>
      </c>
      <c r="AU53" s="35">
        <f>=SUM(AU54:AU57)</f>
        <v>0</v>
      </c>
      <c r="AV53" s="35">
        <f>=SUM(AV54:AV57)</f>
        <v>0</v>
      </c>
      <c r="AW53" s="35">
        <f>=SUM(AW54:AW57)</f>
        <v>0</v>
      </c>
      <c r="AX53" s="35">
        <f>=SUM(AX54:AX57)</f>
        <v>0</v>
      </c>
      <c r="AY53" s="35">
        <f>=SUM(AY54:AY57)</f>
        <v>0</v>
      </c>
      <c r="AZ53" s="35">
        <f>=SUM(AZ54:AZ57)</f>
        <v>0</v>
      </c>
      <c r="BA53" s="35">
        <f>=SUM(BA54:BA57)</f>
        <v>0</v>
      </c>
      <c r="BB53" s="35">
        <f>=SUM(BB54:BB57)</f>
        <v>0</v>
      </c>
      <c r="BC53" s="35">
        <f>=SUM(BC54:BC57)</f>
        <v>0</v>
      </c>
      <c r="BD53" s="35">
        <f>=SUM(BD54:BD57)</f>
        <v>0</v>
      </c>
      <c r="BE53" s="35">
        <f>=SUM(BE54:BE57)</f>
        <v>0</v>
      </c>
      <c r="BF53" s="35">
        <f>=SUM(BF54:BF57)</f>
        <v>0</v>
      </c>
      <c r="BG53" s="35">
        <f>=SUM(BG54:BG57)</f>
        <v>0</v>
      </c>
      <c r="BH53" s="35">
        <f>=SUM(BH54:BH57)</f>
        <v>0</v>
      </c>
      <c r="BI53" s="35">
        <f>=SUM(BI54:BI57)</f>
        <v>0</v>
      </c>
      <c r="BJ53" s="35">
        <f>=SUM(BJ54:BJ57)</f>
        <v>0</v>
      </c>
      <c r="BK53" s="35">
        <f>=SUM(BK54:BK57)</f>
        <v>0</v>
      </c>
      <c r="BL53" s="35">
        <f>=SUM(BL54:BL57)</f>
        <v>0</v>
      </c>
      <c r="BM53" s="35">
        <f>=SUM(BM54:BM57)</f>
        <v>0</v>
      </c>
      <c r="BN53" s="35">
        <f>=SUM(BN54:BN57)</f>
        <v>0</v>
      </c>
      <c r="BO53" s="35">
        <f>=SUM(BO54:BO57)</f>
        <v>0</v>
      </c>
      <c r="BP53" s="35">
        <f>=SUM(BP54:BP57)</f>
        <v>0</v>
      </c>
      <c r="BQ53" s="35">
        <f>=SUM(BQ54:BQ57)</f>
        <v>0</v>
      </c>
      <c r="BR53" s="35">
        <f>=SUM(BR54:BR57)</f>
        <v>0</v>
      </c>
      <c r="BS53" s="35">
        <f>=SUM(BS54:BS57)</f>
        <v>0</v>
      </c>
      <c r="BT53" s="35">
        <f>=SUM(BT54:BT57)</f>
        <v>0</v>
      </c>
      <c r="BU53" s="35">
        <f>=SUM(BU54:BU57)</f>
        <v>0</v>
      </c>
      <c r="BV53" s="35">
        <f>=SUM(BV54:BV57)</f>
        <v>0</v>
      </c>
      <c r="BW53" s="35">
        <f>=SUM(BW54:BW57)</f>
        <v>0</v>
      </c>
      <c r="BX53" s="35">
        <f>=SUM(BX54:BX57)</f>
        <v>0</v>
      </c>
      <c r="BY53" s="35">
        <f>=SUM(BY54:BY57)</f>
        <v>0</v>
      </c>
      <c r="BZ53" s="35">
        <f>=SUM(BZ54:BZ57)</f>
        <v>0</v>
      </c>
      <c r="CA53" s="35">
        <f>=SUM(CA54:CA57)</f>
        <v>0</v>
      </c>
      <c r="CB53" s="35">
        <f>=SUM(CB54:CB57)</f>
        <v>0</v>
      </c>
      <c r="CC53" s="35">
        <f>=SUM(CC54:CC57)</f>
        <v>0</v>
      </c>
      <c r="CD53" s="35">
        <f>=SUM(CD54:CD57)</f>
        <v>0</v>
      </c>
      <c r="CE53" s="35">
        <f>=SUM(CE54:CE57)</f>
        <v>0</v>
      </c>
      <c r="CF53" s="35">
        <f>=SUM(CF54:CF57)</f>
        <v>0</v>
      </c>
      <c r="CG53" s="35">
        <f>=SUM(CG54:CG57)</f>
        <v>0</v>
      </c>
      <c r="CH53" s="35">
        <f>=SUM(CH54:CH57)</f>
        <v>0</v>
      </c>
      <c r="CI53" s="35">
        <f>=SUM(CI54:CI57)</f>
        <v>0</v>
      </c>
      <c r="CJ53" s="35">
        <f>=SUM(CJ54:CJ57)</f>
        <v>0</v>
      </c>
      <c r="CK53" s="35">
        <f>=SUM(CK54:CK57)</f>
        <v>0</v>
      </c>
      <c r="CL53" s="35">
        <f>=SUM(CL54:CL57)</f>
        <v>0</v>
      </c>
      <c r="CM53" s="35">
        <f>=SUM(CM54:CM57)</f>
        <v>0</v>
      </c>
      <c r="CN53" s="35">
        <f>=SUM(CN54:CN57)</f>
        <v>0</v>
      </c>
      <c r="CO53" s="35">
        <f>=SUM(CO54:CO57)</f>
        <v>0</v>
      </c>
      <c r="CP53" s="35">
        <f>=SUM(CP54:CP57)</f>
        <v>0</v>
      </c>
      <c r="CQ53" s="35">
        <f>=SUM(CQ54:CQ57)</f>
        <v>0</v>
      </c>
      <c r="CR53" s="35">
        <f>=SUM(CR54:CR57)</f>
        <v>0</v>
      </c>
      <c r="CS53" s="35">
        <f>=SUM(CS54:CS57)</f>
        <v>0</v>
      </c>
      <c r="CT53" s="35">
        <f>=SUM(CT54:CT57)</f>
        <v>0</v>
      </c>
      <c r="CU53" s="35">
        <f>=SUM(CU54:CU57)</f>
        <v>0</v>
      </c>
      <c r="CV53" s="35">
        <f>=SUM(CV54:CV57)</f>
        <v>0</v>
      </c>
      <c r="CW53" s="35">
        <f>=SUM(CW54:CW57)</f>
        <v>0</v>
      </c>
      <c r="CX53" s="35">
        <f>=SUM(CX54:CX57)</f>
        <v>0</v>
      </c>
      <c r="CY53" s="35">
        <f>=SUM(CY54:CY57)</f>
        <v>0</v>
      </c>
      <c r="CZ53" s="35">
        <f>=SUM(CZ54:CZ57)</f>
        <v>0</v>
      </c>
      <c r="DA53" s="35">
        <f>=SUM(DA54:DA57)</f>
        <v>0</v>
      </c>
      <c r="DB53" s="35">
        <f>=SUM(DB54:DB57)</f>
        <v>0</v>
      </c>
    </row>
    <row r="54" ht="18" customHeight="1" spans="1:106" x14ac:dyDescent="0.25">
      <c r="A54" s="36" t="s">
        <v>263</v>
      </c>
      <c r="B54" s="17"/>
      <c r="C54" s="37">
        <v>0.1</v>
      </c>
      <c r="D54" s="37">
        <v>0.1</v>
      </c>
      <c r="E54" s="37">
        <v>0.1</v>
      </c>
      <c r="F54" s="37">
        <v>0.1</v>
      </c>
      <c r="G54" s="37">
        <v>0.1</v>
      </c>
      <c r="H54" s="37">
        <v>0.1</v>
      </c>
      <c r="I54" s="37">
        <v>0.1</v>
      </c>
      <c r="J54" s="37">
        <v>0.1</v>
      </c>
      <c r="K54" s="37">
        <v>0.1</v>
      </c>
      <c r="L54" s="37">
        <v>0.1</v>
      </c>
      <c r="M54" s="37">
        <v>0.1</v>
      </c>
      <c r="N54" s="37">
        <v>0.1</v>
      </c>
      <c r="O54" s="37">
        <v>0.1</v>
      </c>
      <c r="P54" s="37">
        <v>0.1</v>
      </c>
      <c r="Q54" s="37">
        <v>0.1</v>
      </c>
      <c r="R54" s="37">
        <v>0.1</v>
      </c>
      <c r="S54" s="37">
        <v>0.1</v>
      </c>
      <c r="T54" s="37">
        <v>0.1</v>
      </c>
      <c r="U54" s="37">
        <v>0.1</v>
      </c>
      <c r="V54" s="37">
        <v>0.1</v>
      </c>
      <c r="W54" s="37">
        <v>0.1</v>
      </c>
      <c r="X54" s="37">
        <v>0.1</v>
      </c>
      <c r="Y54" s="37">
        <v>0.1</v>
      </c>
      <c r="Z54" s="37">
        <v>0.1</v>
      </c>
      <c r="AA54" s="37">
        <v>0.1</v>
      </c>
      <c r="AB54" s="37">
        <v>0.1</v>
      </c>
      <c r="AC54" s="37">
        <v>0.1</v>
      </c>
      <c r="AD54" s="37">
        <v>0.1</v>
      </c>
      <c r="AE54" s="37">
        <v>0.1</v>
      </c>
      <c r="AF54" s="37">
        <v>0.1</v>
      </c>
      <c r="AG54" s="37">
        <f>=IFERROR(AG130/AG125,0)</f>
        <v>0</v>
      </c>
      <c r="AH54" s="37">
        <f>=IFERROR(AH130/AH125,0)</f>
        <v>0</v>
      </c>
      <c r="AI54" s="37">
        <f>=IFERROR(AI130/AI125,0)</f>
        <v>0</v>
      </c>
      <c r="AJ54" s="37">
        <f>=IFERROR(AJ130/AJ125,0)</f>
        <v>0</v>
      </c>
      <c r="AK54" s="37">
        <f>=IFERROR(AK130/AK125,0)</f>
        <v>0</v>
      </c>
      <c r="AL54" s="37">
        <f>=IFERROR(AL130/AL125,0)</f>
        <v>0</v>
      </c>
      <c r="AM54" s="37">
        <f>=IFERROR(AM130/AM125,0)</f>
        <v>0</v>
      </c>
      <c r="AN54" s="37">
        <f>=IFERROR(AN130/AN125,0)</f>
        <v>0</v>
      </c>
      <c r="AO54" s="37">
        <f>=IFERROR(AO130/AO125,0)</f>
        <v>0</v>
      </c>
      <c r="AP54" s="37">
        <f>=IFERROR(AP130/AP125,0)</f>
        <v>0</v>
      </c>
      <c r="AQ54" s="37">
        <f>=IFERROR(AQ130/AQ125,0)</f>
        <v>0</v>
      </c>
      <c r="AR54" s="37">
        <f>=IFERROR(AR130/AR125,0)</f>
        <v>0</v>
      </c>
      <c r="AS54" s="37">
        <f>=IFERROR(AS130/AS125,0)</f>
        <v>0</v>
      </c>
      <c r="AT54" s="37">
        <f>=IFERROR(AT130/AT125,0)</f>
        <v>0</v>
      </c>
      <c r="AU54" s="37">
        <f>=IFERROR(AU130/AU125,0)</f>
        <v>0</v>
      </c>
      <c r="AV54" s="37">
        <f>=IFERROR(AV130/AV125,0)</f>
        <v>0</v>
      </c>
      <c r="AW54" s="37">
        <f>=IFERROR(AW130/AW125,0)</f>
        <v>0</v>
      </c>
      <c r="AX54" s="37">
        <f>=IFERROR(AX130/AX125,0)</f>
        <v>0</v>
      </c>
      <c r="AY54" s="37">
        <f>=IFERROR(AY130/AY125,0)</f>
        <v>0</v>
      </c>
      <c r="AZ54" s="37">
        <f>=IFERROR(AZ130/AZ125,0)</f>
        <v>0</v>
      </c>
      <c r="BA54" s="37">
        <f>=IFERROR(BA130/BA125,0)</f>
        <v>0</v>
      </c>
      <c r="BB54" s="37">
        <f>=IFERROR(BB130/BB125,0)</f>
        <v>0</v>
      </c>
      <c r="BC54" s="37">
        <f>=IFERROR(BC130/BC125,0)</f>
        <v>0</v>
      </c>
      <c r="BD54" s="37">
        <f>=IFERROR(BD130/BD125,0)</f>
        <v>0</v>
      </c>
      <c r="BE54" s="37">
        <f>=IFERROR(BE130/BE125,0)</f>
        <v>0</v>
      </c>
      <c r="BF54" s="37">
        <f>=IFERROR(BF130/BF125,0)</f>
        <v>0</v>
      </c>
      <c r="BG54" s="37">
        <f>=IFERROR(BG130/BG125,0)</f>
        <v>0</v>
      </c>
      <c r="BH54" s="37">
        <f>=IFERROR(BH130/BH125,0)</f>
        <v>0</v>
      </c>
      <c r="BI54" s="37">
        <f>=IFERROR(BI130/BI125,0)</f>
        <v>0</v>
      </c>
      <c r="BJ54" s="37">
        <f>=IFERROR(BJ130/BJ125,0)</f>
        <v>0</v>
      </c>
      <c r="BK54" s="37">
        <f>=IFERROR(BK130/BK125,0)</f>
        <v>0</v>
      </c>
      <c r="BL54" s="37">
        <f>=IFERROR(BL130/BL125,0)</f>
        <v>0</v>
      </c>
      <c r="BM54" s="37">
        <f>=IFERROR(BM130/BM125,0)</f>
        <v>0</v>
      </c>
      <c r="BN54" s="37">
        <f>=IFERROR(BN130/BN125,0)</f>
        <v>0</v>
      </c>
      <c r="BO54" s="37">
        <f>=IFERROR(BO130/BO125,0)</f>
        <v>0</v>
      </c>
      <c r="BP54" s="37">
        <f>=IFERROR(BP130/BP125,0)</f>
        <v>0</v>
      </c>
      <c r="BQ54" s="37">
        <f>=IFERROR(BQ130/BQ125,0)</f>
        <v>0</v>
      </c>
      <c r="BR54" s="37">
        <f>=IFERROR(BR130/BR125,0)</f>
        <v>0</v>
      </c>
      <c r="BS54" s="37">
        <f>=IFERROR(BS130/BS125,0)</f>
        <v>0</v>
      </c>
      <c r="BT54" s="37">
        <f>=IFERROR(BT130/BT125,0)</f>
        <v>0</v>
      </c>
      <c r="BU54" s="37">
        <f>=IFERROR(BU130/BU125,0)</f>
        <v>0</v>
      </c>
      <c r="BV54" s="37">
        <f>=IFERROR(BV130/BV125,0)</f>
        <v>0</v>
      </c>
      <c r="BW54" s="37">
        <f>=IFERROR(BW130/BW125,0)</f>
        <v>0</v>
      </c>
      <c r="BX54" s="37">
        <f>=IFERROR(BX130/BX125,0)</f>
        <v>0</v>
      </c>
      <c r="BY54" s="37">
        <f>=IFERROR(BY130/BY125,0)</f>
        <v>0</v>
      </c>
      <c r="BZ54" s="37">
        <f>=IFERROR(BZ130/BZ125,0)</f>
        <v>0</v>
      </c>
      <c r="CA54" s="37">
        <f>=IFERROR(CA130/CA125,0)</f>
        <v>0</v>
      </c>
      <c r="CB54" s="37">
        <f>=IFERROR(CB130/CB125,0)</f>
        <v>0</v>
      </c>
      <c r="CC54" s="37">
        <f>=IFERROR(CC130/CC125,0)</f>
        <v>0</v>
      </c>
      <c r="CD54" s="37">
        <f>=IFERROR(CD130/CD125,0)</f>
        <v>0</v>
      </c>
      <c r="CE54" s="37">
        <f>=IFERROR(CE130/CE125,0)</f>
        <v>0</v>
      </c>
      <c r="CF54" s="37">
        <f>=IFERROR(CF130/CF125,0)</f>
        <v>0</v>
      </c>
      <c r="CG54" s="37">
        <f>=IFERROR(CG130/CG125,0)</f>
        <v>0</v>
      </c>
      <c r="CH54" s="37">
        <f>=IFERROR(CH130/CH125,0)</f>
        <v>0</v>
      </c>
      <c r="CI54" s="37">
        <f>=IFERROR(CI130/CI125,0)</f>
        <v>0</v>
      </c>
      <c r="CJ54" s="37">
        <f>=IFERROR(CJ130/CJ125,0)</f>
        <v>0</v>
      </c>
      <c r="CK54" s="37">
        <f>=IFERROR(CK130/CK125,0)</f>
        <v>0</v>
      </c>
      <c r="CL54" s="37">
        <f>=IFERROR(CL130/CL125,0)</f>
        <v>0</v>
      </c>
      <c r="CM54" s="37">
        <f>=IFERROR(CM130/CM125,0)</f>
        <v>0</v>
      </c>
      <c r="CN54" s="37">
        <f>=IFERROR(CN130/CN125,0)</f>
        <v>0</v>
      </c>
      <c r="CO54" s="37">
        <f>=IFERROR(CO130/CO125,0)</f>
        <v>0</v>
      </c>
      <c r="CP54" s="37">
        <f>=IFERROR(CP130/CP125,0)</f>
        <v>0</v>
      </c>
      <c r="CQ54" s="37">
        <f>=IFERROR(CQ130/CQ125,0)</f>
        <v>0</v>
      </c>
      <c r="CR54" s="37">
        <f>=IFERROR(CR130/CR125,0)</f>
        <v>0</v>
      </c>
      <c r="CS54" s="37">
        <f>=IFERROR(CS130/CS125,0)</f>
        <v>0</v>
      </c>
      <c r="CT54" s="37">
        <f>=IFERROR(CT130/CT125,0)</f>
        <v>0</v>
      </c>
      <c r="CU54" s="37">
        <f>=IFERROR(CU130/CU125,0)</f>
        <v>0</v>
      </c>
      <c r="CV54" s="37">
        <f>=IFERROR(CV130/CV125,0)</f>
        <v>0</v>
      </c>
      <c r="CW54" s="37">
        <f>=IFERROR(CW130/CW125,0)</f>
        <v>0</v>
      </c>
      <c r="CX54" s="37">
        <f>=IFERROR(CX130/CX125,0)</f>
        <v>0</v>
      </c>
      <c r="CY54" s="37">
        <f>=IFERROR(CY130/CY125,0)</f>
        <v>0</v>
      </c>
      <c r="CZ54" s="37">
        <f>=IFERROR(CZ130/CZ125,0)</f>
        <v>0</v>
      </c>
      <c r="DA54" s="37">
        <f>=IFERROR(DA130/DA125,0)</f>
        <v>0</v>
      </c>
      <c r="DB54" s="37">
        <f>=IFERROR(DB130/DB125,0)</f>
        <v>0</v>
      </c>
    </row>
    <row r="55" ht="18" customHeight="1" spans="1:106" x14ac:dyDescent="0.25">
      <c r="A55" s="36" t="s">
        <v>264</v>
      </c>
      <c r="B55" s="17"/>
      <c r="C55" s="37">
        <v>0</v>
      </c>
      <c r="D55" s="37">
        <v>0</v>
      </c>
      <c r="E55" s="37">
        <v>0</v>
      </c>
      <c r="F55" s="37">
        <v>0</v>
      </c>
      <c r="G55" s="37">
        <v>0</v>
      </c>
      <c r="H55" s="37">
        <v>0</v>
      </c>
      <c r="I55" s="37">
        <v>0</v>
      </c>
      <c r="J55" s="37">
        <v>0</v>
      </c>
      <c r="K55" s="37">
        <v>0</v>
      </c>
      <c r="L55" s="37">
        <v>0</v>
      </c>
      <c r="M55" s="37">
        <v>0</v>
      </c>
      <c r="N55" s="37">
        <v>0</v>
      </c>
      <c r="O55" s="37">
        <v>0</v>
      </c>
      <c r="P55" s="37">
        <v>0</v>
      </c>
      <c r="Q55" s="37">
        <v>0</v>
      </c>
      <c r="R55" s="37">
        <v>0</v>
      </c>
      <c r="S55" s="37">
        <v>0</v>
      </c>
      <c r="T55" s="37">
        <v>0</v>
      </c>
      <c r="U55" s="37">
        <v>0</v>
      </c>
      <c r="V55" s="37">
        <v>0</v>
      </c>
      <c r="W55" s="37">
        <v>0</v>
      </c>
      <c r="X55" s="37">
        <v>0</v>
      </c>
      <c r="Y55" s="37">
        <v>0</v>
      </c>
      <c r="Z55" s="37">
        <v>0</v>
      </c>
      <c r="AA55" s="37">
        <v>0</v>
      </c>
      <c r="AB55" s="37">
        <v>0</v>
      </c>
      <c r="AC55" s="37">
        <v>0</v>
      </c>
      <c r="AD55" s="37">
        <v>0</v>
      </c>
      <c r="AE55" s="37">
        <v>0</v>
      </c>
      <c r="AF55" s="37">
        <v>0</v>
      </c>
      <c r="AG55" s="37">
        <f>=IFERROR(AG131/AG125,0)</f>
        <v>0</v>
      </c>
      <c r="AH55" s="37">
        <f>=IFERROR(AH131/AH125,0)</f>
        <v>0</v>
      </c>
      <c r="AI55" s="37">
        <f>=IFERROR(AI131/AI125,0)</f>
        <v>0</v>
      </c>
      <c r="AJ55" s="37">
        <f>=IFERROR(AJ131/AJ125,0)</f>
        <v>0</v>
      </c>
      <c r="AK55" s="37">
        <f>=IFERROR(AK131/AK125,0)</f>
        <v>0</v>
      </c>
      <c r="AL55" s="37">
        <f>=IFERROR(AL131/AL125,0)</f>
        <v>0</v>
      </c>
      <c r="AM55" s="37">
        <f>=IFERROR(AM131/AM125,0)</f>
        <v>0</v>
      </c>
      <c r="AN55" s="37">
        <f>=IFERROR(AN131/AN125,0)</f>
        <v>0</v>
      </c>
      <c r="AO55" s="37">
        <f>=IFERROR(AO131/AO125,0)</f>
        <v>0</v>
      </c>
      <c r="AP55" s="37">
        <f>=IFERROR(AP131/AP125,0)</f>
        <v>0</v>
      </c>
      <c r="AQ55" s="37">
        <f>=IFERROR(AQ131/AQ125,0)</f>
        <v>0</v>
      </c>
      <c r="AR55" s="37">
        <f>=IFERROR(AR131/AR125,0)</f>
        <v>0</v>
      </c>
      <c r="AS55" s="37">
        <f>=IFERROR(AS131/AS125,0)</f>
        <v>0</v>
      </c>
      <c r="AT55" s="37">
        <f>=IFERROR(AT131/AT125,0)</f>
        <v>0</v>
      </c>
      <c r="AU55" s="37">
        <f>=IFERROR(AU131/AU125,0)</f>
        <v>0</v>
      </c>
      <c r="AV55" s="37">
        <f>=IFERROR(AV131/AV125,0)</f>
        <v>0</v>
      </c>
      <c r="AW55" s="37">
        <f>=IFERROR(AW131/AW125,0)</f>
        <v>0</v>
      </c>
      <c r="AX55" s="37">
        <f>=IFERROR(AX131/AX125,0)</f>
        <v>0</v>
      </c>
      <c r="AY55" s="37">
        <f>=IFERROR(AY131/AY125,0)</f>
        <v>0</v>
      </c>
      <c r="AZ55" s="37">
        <f>=IFERROR(AZ131/AZ125,0)</f>
        <v>0</v>
      </c>
      <c r="BA55" s="37">
        <f>=IFERROR(BA131/BA125,0)</f>
        <v>0</v>
      </c>
      <c r="BB55" s="37">
        <f>=IFERROR(BB131/BB125,0)</f>
        <v>0</v>
      </c>
      <c r="BC55" s="37">
        <f>=IFERROR(BC131/BC125,0)</f>
        <v>0</v>
      </c>
      <c r="BD55" s="37">
        <f>=IFERROR(BD131/BD125,0)</f>
        <v>0</v>
      </c>
      <c r="BE55" s="37">
        <f>=IFERROR(BE131/BE125,0)</f>
        <v>0</v>
      </c>
      <c r="BF55" s="37">
        <f>=IFERROR(BF131/BF125,0)</f>
        <v>0</v>
      </c>
      <c r="BG55" s="37">
        <f>=IFERROR(BG131/BG125,0)</f>
        <v>0</v>
      </c>
      <c r="BH55" s="37">
        <f>=IFERROR(BH131/BH125,0)</f>
        <v>0</v>
      </c>
      <c r="BI55" s="37">
        <f>=IFERROR(BI131/BI125,0)</f>
        <v>0</v>
      </c>
      <c r="BJ55" s="37">
        <f>=IFERROR(BJ131/BJ125,0)</f>
        <v>0</v>
      </c>
      <c r="BK55" s="37">
        <f>=IFERROR(BK131/BK125,0)</f>
        <v>0</v>
      </c>
      <c r="BL55" s="37">
        <f>=IFERROR(BL131/BL125,0)</f>
        <v>0</v>
      </c>
      <c r="BM55" s="37">
        <f>=IFERROR(BM131/BM125,0)</f>
        <v>0</v>
      </c>
      <c r="BN55" s="37">
        <f>=IFERROR(BN131/BN125,0)</f>
        <v>0</v>
      </c>
      <c r="BO55" s="37">
        <f>=IFERROR(BO131/BO125,0)</f>
        <v>0</v>
      </c>
      <c r="BP55" s="37">
        <f>=IFERROR(BP131/BP125,0)</f>
        <v>0</v>
      </c>
      <c r="BQ55" s="37">
        <f>=IFERROR(BQ131/BQ125,0)</f>
        <v>0</v>
      </c>
      <c r="BR55" s="37">
        <f>=IFERROR(BR131/BR125,0)</f>
        <v>0</v>
      </c>
      <c r="BS55" s="37">
        <f>=IFERROR(BS131/BS125,0)</f>
        <v>0</v>
      </c>
      <c r="BT55" s="37">
        <f>=IFERROR(BT131/BT125,0)</f>
        <v>0</v>
      </c>
      <c r="BU55" s="37">
        <f>=IFERROR(BU131/BU125,0)</f>
        <v>0</v>
      </c>
      <c r="BV55" s="37">
        <f>=IFERROR(BV131/BV125,0)</f>
        <v>0</v>
      </c>
      <c r="BW55" s="37">
        <f>=IFERROR(BW131/BW125,0)</f>
        <v>0</v>
      </c>
      <c r="BX55" s="37">
        <f>=IFERROR(BX131/BX125,0)</f>
        <v>0</v>
      </c>
      <c r="BY55" s="37">
        <f>=IFERROR(BY131/BY125,0)</f>
        <v>0</v>
      </c>
      <c r="BZ55" s="37">
        <f>=IFERROR(BZ131/BZ125,0)</f>
        <v>0</v>
      </c>
      <c r="CA55" s="37">
        <f>=IFERROR(CA131/CA125,0)</f>
        <v>0</v>
      </c>
      <c r="CB55" s="37">
        <f>=IFERROR(CB131/CB125,0)</f>
        <v>0</v>
      </c>
      <c r="CC55" s="37">
        <f>=IFERROR(CC131/CC125,0)</f>
        <v>0</v>
      </c>
      <c r="CD55" s="37">
        <f>=IFERROR(CD131/CD125,0)</f>
        <v>0</v>
      </c>
      <c r="CE55" s="37">
        <f>=IFERROR(CE131/CE125,0)</f>
        <v>0</v>
      </c>
      <c r="CF55" s="37">
        <f>=IFERROR(CF131/CF125,0)</f>
        <v>0</v>
      </c>
      <c r="CG55" s="37">
        <f>=IFERROR(CG131/CG125,0)</f>
        <v>0</v>
      </c>
      <c r="CH55" s="37">
        <f>=IFERROR(CH131/CH125,0)</f>
        <v>0</v>
      </c>
      <c r="CI55" s="37">
        <f>=IFERROR(CI131/CI125,0)</f>
        <v>0</v>
      </c>
      <c r="CJ55" s="37">
        <f>=IFERROR(CJ131/CJ125,0)</f>
        <v>0</v>
      </c>
      <c r="CK55" s="37">
        <f>=IFERROR(CK131/CK125,0)</f>
        <v>0</v>
      </c>
      <c r="CL55" s="37">
        <f>=IFERROR(CL131/CL125,0)</f>
        <v>0</v>
      </c>
      <c r="CM55" s="37">
        <f>=IFERROR(CM131/CM125,0)</f>
        <v>0</v>
      </c>
      <c r="CN55" s="37">
        <f>=IFERROR(CN131/CN125,0)</f>
        <v>0</v>
      </c>
      <c r="CO55" s="37">
        <f>=IFERROR(CO131/CO125,0)</f>
        <v>0</v>
      </c>
      <c r="CP55" s="37">
        <f>=IFERROR(CP131/CP125,0)</f>
        <v>0</v>
      </c>
      <c r="CQ55" s="37">
        <f>=IFERROR(CQ131/CQ125,0)</f>
        <v>0</v>
      </c>
      <c r="CR55" s="37">
        <f>=IFERROR(CR131/CR125,0)</f>
        <v>0</v>
      </c>
      <c r="CS55" s="37">
        <f>=IFERROR(CS131/CS125,0)</f>
        <v>0</v>
      </c>
      <c r="CT55" s="37">
        <f>=IFERROR(CT131/CT125,0)</f>
        <v>0</v>
      </c>
      <c r="CU55" s="37">
        <f>=IFERROR(CU131/CU125,0)</f>
        <v>0</v>
      </c>
      <c r="CV55" s="37">
        <f>=IFERROR(CV131/CV125,0)</f>
        <v>0</v>
      </c>
      <c r="CW55" s="37">
        <f>=IFERROR(CW131/CW125,0)</f>
        <v>0</v>
      </c>
      <c r="CX55" s="37">
        <f>=IFERROR(CX131/CX125,0)</f>
        <v>0</v>
      </c>
      <c r="CY55" s="37">
        <f>=IFERROR(CY131/CY125,0)</f>
        <v>0</v>
      </c>
      <c r="CZ55" s="37">
        <f>=IFERROR(CZ131/CZ125,0)</f>
        <v>0</v>
      </c>
      <c r="DA55" s="37">
        <f>=IFERROR(DA131/DA125,0)</f>
        <v>0</v>
      </c>
      <c r="DB55" s="37">
        <f>=IFERROR(DB131/DB125,0)</f>
        <v>0</v>
      </c>
    </row>
    <row r="56" ht="15" customHeight="1" spans="1:106" x14ac:dyDescent="0.25">
      <c r="A56" s="36" t="s">
        <v>265</v>
      </c>
      <c r="B56" s="17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8"/>
      <c r="BG56" s="38"/>
      <c r="BH56" s="38"/>
      <c r="BI56" s="38"/>
      <c r="BJ56" s="38"/>
      <c r="BK56" s="38"/>
      <c r="BL56" s="38"/>
      <c r="BM56" s="38"/>
      <c r="BN56" s="38"/>
      <c r="BO56" s="38"/>
      <c r="BP56" s="38"/>
      <c r="BQ56" s="38"/>
      <c r="BR56" s="38"/>
      <c r="BS56" s="38"/>
      <c r="BT56" s="38"/>
      <c r="BU56" s="38"/>
      <c r="BV56" s="38"/>
      <c r="BW56" s="38"/>
      <c r="BX56" s="38"/>
      <c r="BY56" s="38"/>
      <c r="BZ56" s="38"/>
      <c r="CA56" s="38"/>
      <c r="CB56" s="38"/>
      <c r="CC56" s="38"/>
      <c r="CD56" s="38"/>
      <c r="CE56" s="38"/>
      <c r="CF56" s="38"/>
      <c r="CG56" s="38"/>
      <c r="CH56" s="38"/>
      <c r="CI56" s="38"/>
      <c r="CJ56" s="38"/>
      <c r="CK56" s="38"/>
      <c r="CL56" s="38"/>
      <c r="CM56" s="38"/>
      <c r="CN56" s="38"/>
      <c r="CO56" s="38"/>
      <c r="CP56" s="38"/>
      <c r="CQ56" s="38"/>
      <c r="CR56" s="38"/>
      <c r="CS56" s="38"/>
      <c r="CT56" s="38"/>
      <c r="CU56" s="38"/>
      <c r="CV56" s="38"/>
      <c r="CW56" s="38"/>
      <c r="CX56" s="38"/>
      <c r="CY56" s="38"/>
      <c r="CZ56" s="38"/>
      <c r="DA56" s="38"/>
      <c r="DB56" s="38"/>
    </row>
    <row r="57" ht="15" customHeight="1" spans="1:106" x14ac:dyDescent="0.25">
      <c r="A57" s="36" t="s">
        <v>286</v>
      </c>
      <c r="B57" s="17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  <c r="CG57" s="38"/>
      <c r="CH57" s="38"/>
      <c r="CI57" s="38"/>
      <c r="CJ57" s="38"/>
      <c r="CK57" s="38"/>
      <c r="CL57" s="38"/>
      <c r="CM57" s="38"/>
      <c r="CN57" s="38"/>
      <c r="CO57" s="38"/>
      <c r="CP57" s="38"/>
      <c r="CQ57" s="38"/>
      <c r="CR57" s="38"/>
      <c r="CS57" s="38"/>
      <c r="CT57" s="38"/>
      <c r="CU57" s="38"/>
      <c r="CV57" s="38"/>
      <c r="CW57" s="38"/>
      <c r="CX57" s="38"/>
      <c r="CY57" s="38"/>
      <c r="CZ57" s="38"/>
      <c r="DA57" s="38"/>
      <c r="DB57" s="38"/>
    </row>
    <row r="58" ht="15" customHeight="1" spans="1:106" x14ac:dyDescent="0.25">
      <c r="A58" s="16" t="s">
        <v>287</v>
      </c>
      <c r="B58" s="17"/>
      <c r="C58" s="35">
        <f>=SUM(C59:C64)</f>
        <v>0</v>
      </c>
      <c r="D58" s="35">
        <f>=SUM(D59:D61)</f>
        <v>0</v>
      </c>
      <c r="E58" s="35">
        <f>=SUM(E59:E61)</f>
        <v>0</v>
      </c>
      <c r="F58" s="35">
        <f>=SUM(F59:F61)</f>
        <v>0</v>
      </c>
      <c r="G58" s="35">
        <f>=SUM(G59:G61)</f>
        <v>0</v>
      </c>
      <c r="H58" s="35">
        <f>=SUM(H59:H61)</f>
        <v>0</v>
      </c>
      <c r="I58" s="35">
        <f>=SUM(I59:I61)</f>
        <v>0</v>
      </c>
      <c r="J58" s="35">
        <f>=SUM(J59:J61)</f>
        <v>0</v>
      </c>
      <c r="K58" s="35">
        <f>=SUM(K59:K61)</f>
        <v>0</v>
      </c>
      <c r="L58" s="35">
        <f>=SUM(L59:L61)</f>
        <v>0</v>
      </c>
      <c r="M58" s="35">
        <f>=SUM(M59:M61)</f>
        <v>0</v>
      </c>
      <c r="N58" s="35">
        <f>=SUM(N59:N61)</f>
        <v>0</v>
      </c>
      <c r="O58" s="35">
        <f>=SUM(O59:O61)</f>
        <v>0</v>
      </c>
      <c r="P58" s="35">
        <f>=SUM(P59:P61)</f>
        <v>0</v>
      </c>
      <c r="Q58" s="35">
        <f>=SUM(Q59:Q61)</f>
        <v>0</v>
      </c>
      <c r="R58" s="35">
        <f>=SUM(R59:R61)</f>
        <v>0</v>
      </c>
      <c r="S58" s="35">
        <f>=SUM(S59:S61)</f>
        <v>0</v>
      </c>
      <c r="T58" s="35">
        <f>=SUM(T59:T61)</f>
        <v>0</v>
      </c>
      <c r="U58" s="35">
        <f>=SUM(U59:U61)</f>
        <v>0</v>
      </c>
      <c r="V58" s="35">
        <f>=SUM(V59:V61)</f>
        <v>0</v>
      </c>
      <c r="W58" s="35">
        <f>=SUM(W59:W61)</f>
        <v>0</v>
      </c>
      <c r="X58" s="35">
        <f>=SUM(X59:X61)</f>
        <v>0</v>
      </c>
      <c r="Y58" s="35">
        <f>=SUM(Y59:Y61)</f>
        <v>0</v>
      </c>
      <c r="Z58" s="35">
        <f>=SUM(Z59:Z61)</f>
        <v>0</v>
      </c>
      <c r="AA58" s="35">
        <f>=SUM(AA59:AA61)</f>
        <v>0</v>
      </c>
      <c r="AB58" s="35">
        <f>=SUM(AB59:AB61)</f>
        <v>0</v>
      </c>
      <c r="AC58" s="35">
        <f>=SUM(AC59:AC61)</f>
        <v>0</v>
      </c>
      <c r="AD58" s="35">
        <f>=SUM(AD59:AD61)</f>
        <v>0</v>
      </c>
      <c r="AE58" s="35">
        <f>=SUM(AE59:AE61)</f>
        <v>0</v>
      </c>
      <c r="AF58" s="35">
        <f>=SUM(AF59:AF61)</f>
        <v>0</v>
      </c>
      <c r="AG58" s="35">
        <f>=SUM(AG59:AG61)</f>
        <v>0</v>
      </c>
      <c r="AH58" s="35">
        <f>=SUM(AH59:AH61)</f>
        <v>0</v>
      </c>
      <c r="AI58" s="35">
        <f>=SUM(AI59:AI61)</f>
        <v>0</v>
      </c>
      <c r="AJ58" s="35">
        <f>=SUM(AJ59:AJ61)</f>
        <v>0</v>
      </c>
      <c r="AK58" s="35">
        <f>=SUM(AK59:AK61)</f>
        <v>0</v>
      </c>
      <c r="AL58" s="35">
        <f>=SUM(AL59:AL61)</f>
        <v>0</v>
      </c>
      <c r="AM58" s="35">
        <f>=SUM(AM59:AM61)</f>
        <v>0</v>
      </c>
      <c r="AN58" s="35">
        <f>=SUM(AN59:AN61)</f>
        <v>0</v>
      </c>
      <c r="AO58" s="35">
        <f>=SUM(AO59:AO61)</f>
        <v>0</v>
      </c>
      <c r="AP58" s="35">
        <f>=SUM(AP59:AP61)</f>
        <v>0</v>
      </c>
      <c r="AQ58" s="35">
        <f>=SUM(AQ59:AQ61)</f>
        <v>0</v>
      </c>
      <c r="AR58" s="35">
        <f>=SUM(AR59:AR61)</f>
        <v>0</v>
      </c>
      <c r="AS58" s="35">
        <f>=SUM(AS59:AS61)</f>
        <v>0</v>
      </c>
      <c r="AT58" s="35">
        <f>=SUM(AT59:AT61)</f>
        <v>0</v>
      </c>
      <c r="AU58" s="35">
        <f>=SUM(AU59:AU61)</f>
        <v>0</v>
      </c>
      <c r="AV58" s="35">
        <f>=SUM(AV59:AV61)</f>
        <v>0</v>
      </c>
      <c r="AW58" s="35">
        <f>=SUM(AW59:AW61)</f>
        <v>0</v>
      </c>
      <c r="AX58" s="35">
        <f>=SUM(AX59:AX61)</f>
        <v>0</v>
      </c>
      <c r="AY58" s="35">
        <f>=SUM(AY59:AY61)</f>
        <v>0</v>
      </c>
      <c r="AZ58" s="35">
        <f>=SUM(AZ59:AZ61)</f>
        <v>0</v>
      </c>
      <c r="BA58" s="35">
        <f>=SUM(BA59:BA61)</f>
        <v>0</v>
      </c>
      <c r="BB58" s="35">
        <f>=SUM(BB59:BB61)</f>
        <v>0</v>
      </c>
      <c r="BC58" s="35">
        <f>=SUM(BC59:BC61)</f>
        <v>0</v>
      </c>
      <c r="BD58" s="35">
        <f>=SUM(BD59:BD61)</f>
        <v>0</v>
      </c>
      <c r="BE58" s="35">
        <f>=SUM(BE59:BE61)</f>
        <v>0</v>
      </c>
      <c r="BF58" s="35">
        <f>=SUM(BF59:BF61)</f>
        <v>0</v>
      </c>
      <c r="BG58" s="35">
        <f>=SUM(BG59:BG61)</f>
        <v>0</v>
      </c>
      <c r="BH58" s="35">
        <f>=SUM(BH59:BH61)</f>
        <v>0</v>
      </c>
      <c r="BI58" s="35">
        <f>=SUM(BI59:BI61)</f>
        <v>0</v>
      </c>
      <c r="BJ58" s="35">
        <f>=SUM(BJ59:BJ61)</f>
        <v>0</v>
      </c>
      <c r="BK58" s="35">
        <f>=SUM(BK59:BK61)</f>
        <v>0</v>
      </c>
      <c r="BL58" s="35">
        <f>=SUM(BL59:BL61)</f>
        <v>0</v>
      </c>
      <c r="BM58" s="35">
        <f>=SUM(BM59:BM61)</f>
        <v>0</v>
      </c>
      <c r="BN58" s="35">
        <f>=SUM(BN59:BN61)</f>
        <v>0</v>
      </c>
      <c r="BO58" s="35">
        <f>=SUM(BO59:BO61)</f>
        <v>0</v>
      </c>
      <c r="BP58" s="35">
        <f>=SUM(BP59:BP61)</f>
        <v>0</v>
      </c>
      <c r="BQ58" s="35">
        <f>=SUM(BQ59:BQ61)</f>
        <v>0</v>
      </c>
      <c r="BR58" s="35">
        <f>=SUM(BR59:BR61)</f>
        <v>0</v>
      </c>
      <c r="BS58" s="35">
        <f>=SUM(BS59:BS61)</f>
        <v>0</v>
      </c>
      <c r="BT58" s="35">
        <f>=SUM(BT59:BT61)</f>
        <v>0</v>
      </c>
      <c r="BU58" s="35">
        <f>=SUM(BU59:BU61)</f>
        <v>0</v>
      </c>
      <c r="BV58" s="35">
        <f>=SUM(BV59:BV61)</f>
        <v>0</v>
      </c>
      <c r="BW58" s="35">
        <f>=SUM(BW59:BW61)</f>
        <v>0</v>
      </c>
      <c r="BX58" s="35">
        <f>=SUM(BX59:BX61)</f>
        <v>0</v>
      </c>
      <c r="BY58" s="35">
        <f>=SUM(BY59:BY61)</f>
        <v>0</v>
      </c>
      <c r="BZ58" s="35">
        <f>=SUM(BZ59:BZ61)</f>
        <v>0</v>
      </c>
      <c r="CA58" s="35">
        <f>=SUM(CA59:CA61)</f>
        <v>0</v>
      </c>
      <c r="CB58" s="35">
        <f>=SUM(CB59:CB61)</f>
        <v>0</v>
      </c>
      <c r="CC58" s="35">
        <f>=SUM(CC59:CC61)</f>
        <v>0</v>
      </c>
      <c r="CD58" s="35">
        <f>=SUM(CD59:CD61)</f>
        <v>0</v>
      </c>
      <c r="CE58" s="35">
        <f>=SUM(CE59:CE61)</f>
        <v>0</v>
      </c>
      <c r="CF58" s="35">
        <f>=SUM(CF59:CF61)</f>
        <v>0</v>
      </c>
      <c r="CG58" s="35">
        <f>=SUM(CG59:CG61)</f>
        <v>0</v>
      </c>
      <c r="CH58" s="35">
        <f>=SUM(CH59:CH61)</f>
        <v>0</v>
      </c>
      <c r="CI58" s="35">
        <f>=SUM(CI59:CI61)</f>
        <v>0</v>
      </c>
      <c r="CJ58" s="35">
        <f>=SUM(CJ59:CJ61)</f>
        <v>0</v>
      </c>
      <c r="CK58" s="35">
        <f>=SUM(CK59:CK61)</f>
        <v>0</v>
      </c>
      <c r="CL58" s="35">
        <f>=SUM(CL59:CL61)</f>
        <v>0</v>
      </c>
      <c r="CM58" s="35">
        <f>=SUM(CM59:CM61)</f>
        <v>0</v>
      </c>
      <c r="CN58" s="35">
        <f>=SUM(CN59:CN61)</f>
        <v>0</v>
      </c>
      <c r="CO58" s="35">
        <f>=SUM(CO59:CO61)</f>
        <v>0</v>
      </c>
      <c r="CP58" s="35">
        <f>=SUM(CP59:CP61)</f>
        <v>0</v>
      </c>
      <c r="CQ58" s="35">
        <f>=SUM(CQ59:CQ61)</f>
        <v>0</v>
      </c>
      <c r="CR58" s="35">
        <f>=SUM(CR59:CR61)</f>
        <v>0</v>
      </c>
      <c r="CS58" s="35">
        <f>=SUM(CS59:CS61)</f>
        <v>0</v>
      </c>
      <c r="CT58" s="35">
        <f>=SUM(CT59:CT61)</f>
        <v>0</v>
      </c>
      <c r="CU58" s="35">
        <f>=SUM(CU59:CU61)</f>
        <v>0</v>
      </c>
      <c r="CV58" s="35">
        <f>=SUM(CV59:CV61)</f>
        <v>0</v>
      </c>
      <c r="CW58" s="35">
        <f>=SUM(CW59:CW61)</f>
        <v>0</v>
      </c>
      <c r="CX58" s="35">
        <f>=SUM(CX59:CX61)</f>
        <v>0</v>
      </c>
      <c r="CY58" s="35">
        <f>=SUM(CY59:CY61)</f>
        <v>0</v>
      </c>
      <c r="CZ58" s="35">
        <f>=SUM(CZ59:CZ61)</f>
        <v>0</v>
      </c>
      <c r="DA58" s="35">
        <f>=SUM(DA59:DA61)</f>
        <v>0</v>
      </c>
      <c r="DB58" s="35">
        <f>=SUM(DB59:DB61)</f>
        <v>0</v>
      </c>
    </row>
    <row r="59" ht="18" customHeight="1" spans="1:106" x14ac:dyDescent="0.25">
      <c r="A59" s="36" t="s">
        <v>268</v>
      </c>
      <c r="B59" s="17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  <c r="BO59" s="46"/>
      <c r="BP59" s="46"/>
      <c r="BQ59" s="46"/>
      <c r="BR59" s="46"/>
      <c r="BS59" s="46"/>
      <c r="BT59" s="46"/>
      <c r="BU59" s="46"/>
      <c r="BV59" s="46"/>
      <c r="BW59" s="46"/>
      <c r="BX59" s="46"/>
      <c r="BY59" s="46"/>
      <c r="BZ59" s="46"/>
      <c r="CA59" s="46"/>
      <c r="CB59" s="46"/>
      <c r="CC59" s="46"/>
      <c r="CD59" s="46"/>
      <c r="CE59" s="46"/>
      <c r="CF59" s="46"/>
      <c r="CG59" s="46"/>
      <c r="CH59" s="46"/>
      <c r="CI59" s="46"/>
      <c r="CJ59" s="46"/>
      <c r="CK59" s="46"/>
      <c r="CL59" s="46"/>
      <c r="CM59" s="46"/>
      <c r="CN59" s="46"/>
      <c r="CO59" s="46"/>
      <c r="CP59" s="46"/>
      <c r="CQ59" s="46"/>
      <c r="CR59" s="46"/>
      <c r="CS59" s="46"/>
      <c r="CT59" s="46"/>
      <c r="CU59" s="46"/>
      <c r="CV59" s="46"/>
      <c r="CW59" s="46"/>
      <c r="CX59" s="46"/>
      <c r="CY59" s="46"/>
      <c r="CZ59" s="46"/>
      <c r="DA59" s="46"/>
      <c r="DB59" s="46"/>
    </row>
    <row r="60" ht="18" customHeight="1" spans="1:106" x14ac:dyDescent="0.25">
      <c r="A60" s="36" t="s">
        <v>269</v>
      </c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  <c r="BM60" s="46"/>
      <c r="BN60" s="46"/>
      <c r="BO60" s="46"/>
      <c r="BP60" s="46"/>
      <c r="BQ60" s="46"/>
      <c r="BR60" s="46"/>
      <c r="BS60" s="46"/>
      <c r="BT60" s="46"/>
      <c r="BU60" s="46"/>
      <c r="BV60" s="46"/>
      <c r="BW60" s="46"/>
      <c r="BX60" s="46"/>
      <c r="BY60" s="46"/>
      <c r="BZ60" s="46"/>
      <c r="CA60" s="46"/>
      <c r="CB60" s="46"/>
      <c r="CC60" s="46"/>
      <c r="CD60" s="46"/>
      <c r="CE60" s="46"/>
      <c r="CF60" s="46"/>
      <c r="CG60" s="46"/>
      <c r="CH60" s="46"/>
      <c r="CI60" s="46"/>
      <c r="CJ60" s="46"/>
      <c r="CK60" s="46"/>
      <c r="CL60" s="46"/>
      <c r="CM60" s="46"/>
      <c r="CN60" s="46"/>
      <c r="CO60" s="46"/>
      <c r="CP60" s="46"/>
      <c r="CQ60" s="46"/>
      <c r="CR60" s="46"/>
      <c r="CS60" s="46"/>
      <c r="CT60" s="46"/>
      <c r="CU60" s="46"/>
      <c r="CV60" s="46"/>
      <c r="CW60" s="46"/>
      <c r="CX60" s="46"/>
      <c r="CY60" s="46"/>
      <c r="CZ60" s="46"/>
      <c r="DA60" s="46"/>
      <c r="DB60" s="46"/>
    </row>
    <row r="61" ht="18" customHeight="1" spans="1:106" x14ac:dyDescent="0.25">
      <c r="A61" s="36" t="s">
        <v>288</v>
      </c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46"/>
      <c r="AS61" s="46"/>
      <c r="AT61" s="46"/>
      <c r="AU61" s="46"/>
      <c r="AV61" s="46"/>
      <c r="AW61" s="46"/>
      <c r="AX61" s="46"/>
      <c r="AY61" s="46"/>
      <c r="AZ61" s="46"/>
      <c r="BA61" s="46"/>
      <c r="BB61" s="46"/>
      <c r="BC61" s="46"/>
      <c r="BD61" s="46"/>
      <c r="BE61" s="46"/>
      <c r="BF61" s="46"/>
      <c r="BG61" s="46"/>
      <c r="BH61" s="46"/>
      <c r="BI61" s="46"/>
      <c r="BJ61" s="46"/>
      <c r="BK61" s="46"/>
      <c r="BL61" s="46"/>
      <c r="BM61" s="46"/>
      <c r="BN61" s="46"/>
      <c r="BO61" s="46"/>
      <c r="BP61" s="46"/>
      <c r="BQ61" s="46"/>
      <c r="BR61" s="46"/>
      <c r="BS61" s="46"/>
      <c r="BT61" s="46"/>
      <c r="BU61" s="46"/>
      <c r="BV61" s="46"/>
      <c r="BW61" s="46"/>
      <c r="BX61" s="46"/>
      <c r="BY61" s="46"/>
      <c r="BZ61" s="46"/>
      <c r="CA61" s="46"/>
      <c r="CB61" s="46"/>
      <c r="CC61" s="46"/>
      <c r="CD61" s="46"/>
      <c r="CE61" s="46"/>
      <c r="CF61" s="46"/>
      <c r="CG61" s="46"/>
      <c r="CH61" s="46"/>
      <c r="CI61" s="46"/>
      <c r="CJ61" s="46"/>
      <c r="CK61" s="46"/>
      <c r="CL61" s="46"/>
      <c r="CM61" s="46"/>
      <c r="CN61" s="46"/>
      <c r="CO61" s="46"/>
      <c r="CP61" s="46"/>
      <c r="CQ61" s="46"/>
      <c r="CR61" s="46"/>
      <c r="CS61" s="46"/>
      <c r="CT61" s="46"/>
      <c r="CU61" s="46"/>
      <c r="CV61" s="46"/>
      <c r="CW61" s="46"/>
      <c r="CX61" s="46"/>
      <c r="CY61" s="46"/>
      <c r="CZ61" s="46"/>
      <c r="DA61" s="46"/>
      <c r="DB61" s="46"/>
    </row>
    <row r="62" spans="1:1" x14ac:dyDescent="0.25">
      <c r="A62" s="36" t="s">
        <v>272</v>
      </c>
    </row>
    <row r="63" ht="18" customHeight="1" spans="1:1" x14ac:dyDescent="0.25">
      <c r="A63" s="36" t="s">
        <v>289</v>
      </c>
    </row>
    <row r="64" ht="18" customHeight="1" spans="1:106" x14ac:dyDescent="0.25">
      <c r="A64" s="36" t="s">
        <v>271</v>
      </c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/>
      <c r="AR64" s="46"/>
      <c r="AS64" s="46"/>
      <c r="AT64" s="46"/>
      <c r="AU64" s="46"/>
      <c r="AV64" s="46"/>
      <c r="AW64" s="46"/>
      <c r="AX64" s="46"/>
      <c r="AY64" s="46"/>
      <c r="AZ64" s="46"/>
      <c r="BA64" s="46"/>
      <c r="BB64" s="46"/>
      <c r="BC64" s="46"/>
      <c r="BD64" s="46"/>
      <c r="BE64" s="46"/>
      <c r="BF64" s="46"/>
      <c r="BG64" s="46"/>
      <c r="BH64" s="46"/>
      <c r="BI64" s="46"/>
      <c r="BJ64" s="46"/>
      <c r="BK64" s="46"/>
      <c r="BL64" s="46"/>
      <c r="BM64" s="46"/>
      <c r="BN64" s="46"/>
      <c r="BO64" s="46"/>
      <c r="BP64" s="46"/>
      <c r="BQ64" s="46"/>
      <c r="BR64" s="46"/>
      <c r="BS64" s="46"/>
      <c r="BT64" s="46"/>
      <c r="BU64" s="46"/>
      <c r="BV64" s="46"/>
      <c r="BW64" s="46"/>
      <c r="BX64" s="46"/>
      <c r="BY64" s="46"/>
      <c r="BZ64" s="46"/>
      <c r="CA64" s="46"/>
      <c r="CB64" s="46"/>
      <c r="CC64" s="46"/>
      <c r="CD64" s="46"/>
      <c r="CE64" s="46"/>
      <c r="CF64" s="46"/>
      <c r="CG64" s="46"/>
      <c r="CH64" s="46"/>
      <c r="CI64" s="46"/>
      <c r="CJ64" s="46"/>
      <c r="CK64" s="46"/>
      <c r="CL64" s="46"/>
      <c r="CM64" s="46"/>
      <c r="CN64" s="46"/>
      <c r="CO64" s="46"/>
      <c r="CP64" s="46"/>
      <c r="CQ64" s="46"/>
      <c r="CR64" s="46"/>
      <c r="CS64" s="46"/>
      <c r="CT64" s="46"/>
      <c r="CU64" s="46"/>
      <c r="CV64" s="46"/>
      <c r="CW64" s="46"/>
      <c r="CX64" s="46"/>
      <c r="CY64" s="46"/>
      <c r="CZ64" s="46"/>
      <c r="DA64" s="46"/>
      <c r="DB64" s="46"/>
    </row>
    <row r="65" spans="1:106" x14ac:dyDescent="0.25">
      <c r="A65" s="20" t="s">
        <v>290</v>
      </c>
      <c r="C65" s="30" t="str">
        <f>=IF(LEN(C66)&gt;0,C66/C19,"")</f>
        <v/>
      </c>
      <c r="D65" s="30" t="str">
        <f>=IF(LEN(D66)&gt;0,D66/D19,"")</f>
        <v/>
      </c>
      <c r="E65" s="30" t="str">
        <f>=IF(LEN(E66)&gt;0,E66/E19,"")</f>
        <v/>
      </c>
      <c r="F65" s="30" t="str">
        <f>=IF(LEN(F66)&gt;0,F66/F19,"")</f>
        <v/>
      </c>
      <c r="G65" s="30" t="str">
        <f>=IF(LEN(G66)&gt;0,G66/G19,"")</f>
        <v/>
      </c>
      <c r="H65" s="30" t="str">
        <f>=IF(LEN(H66)&gt;0,H66/H19,"")</f>
        <v/>
      </c>
      <c r="I65" s="30" t="str">
        <f>=IF(LEN(I66)&gt;0,I66/I19,"")</f>
        <v/>
      </c>
      <c r="J65" s="30" t="str">
        <f>=IF(LEN(J66)&gt;0,J66/J19,"")</f>
        <v/>
      </c>
      <c r="K65" s="30" t="str">
        <f>=IF(LEN(K66)&gt;0,K66/K19,"")</f>
        <v/>
      </c>
      <c r="L65" s="30" t="str">
        <f>=IF(LEN(L66)&gt;0,L66/L19,"")</f>
        <v/>
      </c>
      <c r="M65" s="30" t="str">
        <f>=IF(LEN(M66)&gt;0,M66/M19,"")</f>
        <v/>
      </c>
      <c r="N65" s="30" t="str">
        <f>=IF(LEN(N66)&gt;0,N66/N19,"")</f>
        <v/>
      </c>
      <c r="O65" s="30" t="str">
        <f>=IF(LEN(O66)&gt;0,O66/O19,"")</f>
        <v/>
      </c>
      <c r="P65" s="30" t="str">
        <f>=IF(LEN(P66)&gt;0,P66/P19,"")</f>
        <v/>
      </c>
      <c r="Q65" s="30" t="str">
        <f>=IF(LEN(Q66)&gt;0,Q66/Q19,"")</f>
        <v/>
      </c>
      <c r="R65" s="30" t="str">
        <f>=IF(LEN(R66)&gt;0,R66/R19,"")</f>
        <v/>
      </c>
      <c r="S65" s="30" t="str">
        <f>=IF(LEN(S66)&gt;0,S66/S19,"")</f>
        <v/>
      </c>
      <c r="T65" s="30" t="str">
        <f>=IF(LEN(T66)&gt;0,T66/T19,"")</f>
        <v/>
      </c>
      <c r="U65" s="30" t="str">
        <f>=IF(LEN(U66)&gt;0,U66/U19,"")</f>
        <v/>
      </c>
      <c r="V65" s="30" t="str">
        <f>=IF(LEN(V66)&gt;0,V66/V19,"")</f>
        <v/>
      </c>
      <c r="W65" s="30" t="str">
        <f>=IF(LEN(W66)&gt;0,W66/W19,"")</f>
        <v/>
      </c>
      <c r="X65" s="30" t="str">
        <f>=IF(LEN(X66)&gt;0,X66/X19,"")</f>
        <v/>
      </c>
      <c r="Y65" s="30" t="str">
        <f>=IF(LEN(Y66)&gt;0,Y66/Y19,"")</f>
        <v/>
      </c>
      <c r="Z65" s="30" t="str">
        <f>=IF(LEN(Z66)&gt;0,Z66/Z19,"")</f>
        <v/>
      </c>
      <c r="AA65" s="30" t="str">
        <f>=IF(LEN(AA66)&gt;0,AA66/AA19,"")</f>
        <v/>
      </c>
      <c r="AB65" s="30" t="str">
        <f>=IF(LEN(AB66)&gt;0,AB66/AB19,"")</f>
        <v/>
      </c>
      <c r="AC65" s="30" t="str">
        <f>=IF(LEN(AC66)&gt;0,AC66/AC19,"")</f>
        <v/>
      </c>
      <c r="AD65" s="30" t="str">
        <f>=IF(LEN(AD66)&gt;0,AD66/AD19,"")</f>
        <v/>
      </c>
      <c r="AE65" s="30" t="str">
        <f>=IF(LEN(AE66)&gt;0,AE66/AE19,"")</f>
        <v/>
      </c>
      <c r="AF65" s="30" t="str">
        <f>=IF(LEN(AF66)&gt;0,AF66/AF19,"")</f>
        <v/>
      </c>
      <c r="AG65" s="31">
        <f>=IF(LEN(AG66)&gt;0,AG66/AG19,"")</f>
        <v>0</v>
      </c>
      <c r="AH65" s="31">
        <f>=IF(LEN(AH66)&gt;0,AH66/AH19,"")</f>
        <v>0</v>
      </c>
      <c r="AI65" s="31">
        <f>=IF(LEN(AI66)&gt;0,AI66/AI19,"")</f>
        <v>0</v>
      </c>
      <c r="AJ65" s="31">
        <f>=IF(LEN(AJ66)&gt;0,AJ66/AJ19,"")</f>
        <v>0.01639344262295082</v>
      </c>
      <c r="AK65" s="31">
        <f>=IF(LEN(AK66)&gt;0,AK66/AK19,"")</f>
        <v>0</v>
      </c>
      <c r="AL65" s="31">
        <f>=IF(LEN(AL66)&gt;0,AL66/AL19,"")</f>
        <v>0.015384615384615385</v>
      </c>
      <c r="AM65" s="31">
        <f>=IF(LEN(AM66)&gt;0,AM66/AM19,"")</f>
        <v>0</v>
      </c>
      <c r="AN65" s="31">
        <f>=IF(LEN(AN66)&gt;0,AN66/AN19,"")</f>
        <v>0.031746031746031744</v>
      </c>
      <c r="AO65" s="31">
        <f>=IF(LEN(AO66)&gt;0,AO66/AO19,"")</f>
        <v>0</v>
      </c>
      <c r="AP65" s="31">
        <f>=IF(LEN(AP66)&gt;0,AP66/AP19,"")</f>
        <v>0.031914893617021274</v>
      </c>
      <c r="AQ65" s="31">
        <f>=IF(LEN(AQ66)&gt;0,AQ66/AQ19,"")</f>
        <v>0.011627906976744186</v>
      </c>
      <c r="AR65" s="31">
        <f>=IF(LEN(AR66)&gt;0,AR66/AR19,"")</f>
        <v>0</v>
      </c>
      <c r="AS65" s="31">
        <f>=IF(LEN(AS66)&gt;0,AS66/AS19,"")</f>
        <v>0</v>
      </c>
      <c r="AT65" s="31">
        <f>=IF(LEN(AT66)&gt;0,AT66/AT19,"")</f>
        <v>0.009433962264150943</v>
      </c>
      <c r="AU65" s="31">
        <f>=IF(LEN(AU66)&gt;0,AU66/AU19,"")</f>
        <v>0</v>
      </c>
      <c r="AV65" s="31">
        <f>=IF(LEN(AV66)&gt;0,AV66/AV19,"")</f>
        <v>0</v>
      </c>
      <c r="AW65" s="31">
        <f>=IF(LEN(AW66)&gt;0,AW66/AW19,"")</f>
        <v>0.009259259259259259</v>
      </c>
      <c r="AX65" s="31">
        <f>=IF(LEN(AX66)&gt;0,AX66/AX19,"")</f>
        <v>0.009259259259259259</v>
      </c>
      <c r="AY65" s="31">
        <f>=IF(LEN(AY66)&gt;0,AY66/AY19,"")</f>
        <v>0</v>
      </c>
      <c r="AZ65" s="31">
        <f>=IF(LEN(AZ66)&gt;0,AZ66/AZ19,"")</f>
        <v>0.008928571428571428</v>
      </c>
      <c r="BA65" s="31">
        <f>=IF(LEN(BA66)&gt;0,BA66/BA19,"")</f>
        <v>0.009009009009009009</v>
      </c>
      <c r="BB65" s="31">
        <f>=IF(LEN(BB66)&gt;0,BB66/BB19,"")</f>
        <v>0</v>
      </c>
      <c r="BC65" s="31">
        <f>=IF(LEN(BC66)&gt;0,BC66/BC19,"")</f>
        <v>0.007874015748031496</v>
      </c>
      <c r="BD65" s="31">
        <f>=IF(LEN(BD66)&gt;0,BD66/BD19,"")</f>
        <v>0.015503875968992248</v>
      </c>
      <c r="BE65" s="31">
        <f>=IF(LEN(BE66)&gt;0,BE66/BE19,"")</f>
        <v>0.0234375</v>
      </c>
      <c r="BF65" s="31">
        <f>=IF(LEN(BF66)&gt;0,BF66/BF19,"")</f>
        <v>0.007633587786259542</v>
      </c>
      <c r="BG65" s="31">
        <f>=IF(LEN(BG66)&gt;0,BG66/BG19,"")</f>
        <v>0.015503875968992248</v>
      </c>
      <c r="BH65" s="31">
        <f>=IF(LEN(BH66)&gt;0,BH66/BH19,"")</f>
        <v>0.05172413793103448</v>
      </c>
      <c r="BI65" s="31">
        <f>=IF(LEN(BI66)&gt;0,BI66/BI19,"")</f>
        <v>0.008620689655172414</v>
      </c>
      <c r="BJ65" s="31">
        <f>=IF(LEN(BJ66)&gt;0,BJ66/BJ19,"")</f>
        <v>0.017241379310344827</v>
      </c>
      <c r="BK65" s="31">
        <f>=IF(LEN(BK66)&gt;0,BK66/BK19,"")</f>
        <v>0.02608695652173913</v>
      </c>
      <c r="BL65" s="31">
        <f>=IF(LEN(BL66)&gt;0,BL66/BL19,"")</f>
        <v>0.036231884057971016</v>
      </c>
      <c r="BM65" s="31">
        <f>=IF(LEN(BM66)&gt;0,BM66/BM19,"")</f>
        <v>0.021897810218978103</v>
      </c>
      <c r="BN65" s="30" t="str">
        <f>=IF(LEN(BN66)&gt;0,BN66/BN19,"")</f>
        <v/>
      </c>
      <c r="BO65" s="30" t="str">
        <f>=IF(LEN(BO66)&gt;0,BO66/BO19,"")</f>
        <v/>
      </c>
      <c r="BP65" s="30" t="str">
        <f>=IF(LEN(BP66)&gt;0,BP66/BP19,"")</f>
        <v/>
      </c>
      <c r="BQ65" s="30" t="str">
        <f>=IF(LEN(BQ66)&gt;0,BQ66/BQ19,"")</f>
        <v/>
      </c>
      <c r="BR65" s="30" t="str">
        <f>=IF(LEN(BR66)&gt;0,BR66/BR19,"")</f>
        <v/>
      </c>
      <c r="BS65" s="30" t="str">
        <f>=IF(LEN(BS66)&gt;0,BS66/BS19,"")</f>
        <v/>
      </c>
      <c r="BT65" s="30" t="str">
        <f>=IF(LEN(BT66)&gt;0,BT66/BT19,"")</f>
        <v/>
      </c>
      <c r="BU65" s="30" t="str">
        <f>=IF(LEN(BU66)&gt;0,BU66/BU19,"")</f>
        <v/>
      </c>
      <c r="BV65" s="30" t="str">
        <f>=IF(LEN(BV66)&gt;0,BV66/BV19,"")</f>
        <v/>
      </c>
      <c r="BW65" s="30" t="str">
        <f>=IF(LEN(BW66)&gt;0,BW66/BW19,"")</f>
        <v/>
      </c>
      <c r="BX65" s="30" t="str">
        <f>=IF(LEN(BX66)&gt;0,BX66/BX19,"")</f>
        <v/>
      </c>
      <c r="BY65" s="30" t="str">
        <f>=IF(LEN(BY66)&gt;0,BY66/BY19,"")</f>
        <v/>
      </c>
      <c r="BZ65" s="30" t="str">
        <f>=IF(LEN(BZ66)&gt;0,BZ66/BZ19,"")</f>
        <v/>
      </c>
      <c r="CA65" s="30" t="str">
        <f>=IF(LEN(CA66)&gt;0,CA66/CA19,"")</f>
        <v/>
      </c>
      <c r="CB65" s="30" t="str">
        <f>=IF(LEN(CB66)&gt;0,CB66/CB19,"")</f>
        <v/>
      </c>
      <c r="CC65" s="30" t="str">
        <f>=IF(LEN(CC66)&gt;0,CC66/CC19,"")</f>
        <v/>
      </c>
      <c r="CD65" s="30" t="str">
        <f>=IF(LEN(CD66)&gt;0,CD66/CD19,"")</f>
        <v/>
      </c>
      <c r="CE65" s="30" t="str">
        <f>=IF(LEN(CE66)&gt;0,CE66/CE19,"")</f>
        <v/>
      </c>
      <c r="CF65" s="30" t="str">
        <f>=IF(LEN(CF66)&gt;0,CF66/CF19,"")</f>
        <v/>
      </c>
      <c r="CG65" s="30" t="str">
        <f>=IF(LEN(CG66)&gt;0,CG66/CG19,"")</f>
        <v/>
      </c>
      <c r="CH65" s="30" t="str">
        <f>=IF(LEN(CH66)&gt;0,CH66/CH19,"")</f>
        <v/>
      </c>
      <c r="CI65" s="30" t="str">
        <f>=IF(LEN(CI66)&gt;0,CI66/CI19,"")</f>
        <v/>
      </c>
      <c r="CJ65" s="30" t="str">
        <f>=IF(LEN(CJ66)&gt;0,CJ66/CJ19,"")</f>
        <v/>
      </c>
      <c r="CK65" s="30" t="str">
        <f>=IF(LEN(CK66)&gt;0,CK66/CK19,"")</f>
        <v/>
      </c>
      <c r="CL65" s="30" t="str">
        <f>=IF(LEN(CL66)&gt;0,CL66/CL19,"")</f>
        <v/>
      </c>
      <c r="CM65" s="30" t="str">
        <f>=IF(LEN(CM66)&gt;0,CM66/CM19,"")</f>
        <v/>
      </c>
      <c r="CN65" s="30" t="str">
        <f>=IF(LEN(CN66)&gt;0,CN66/CN19,"")</f>
        <v/>
      </c>
      <c r="CO65" s="30" t="str">
        <f>=IF(LEN(CO66)&gt;0,CO66/CO19,"")</f>
        <v/>
      </c>
      <c r="CP65" s="30" t="str">
        <f>=IF(LEN(CP66)&gt;0,CP66/CP19,"")</f>
        <v/>
      </c>
      <c r="CQ65" s="30" t="str">
        <f>=IF(LEN(CQ66)&gt;0,CQ66/CQ19,"")</f>
        <v/>
      </c>
      <c r="CR65" s="30" t="str">
        <f>=IF(LEN(CR66)&gt;0,CR66/CR19,"")</f>
        <v/>
      </c>
      <c r="CS65" s="30" t="str">
        <f>=IF(LEN(CS66)&gt;0,CS66/CS19,"")</f>
        <v/>
      </c>
      <c r="CT65" s="30" t="str">
        <f>=IF(LEN(CT66)&gt;0,CT66/CT19,"")</f>
        <v/>
      </c>
      <c r="CU65" s="30" t="str">
        <f>=IF(LEN(CU66)&gt;0,CU66/CU19,"")</f>
        <v/>
      </c>
      <c r="CV65" s="30" t="str">
        <f>=IF(LEN(CV66)&gt;0,CV66/CV19,"")</f>
        <v/>
      </c>
      <c r="CW65" s="30" t="str">
        <f>=IF(LEN(CW66)&gt;0,CW66/CW19,"")</f>
        <v/>
      </c>
      <c r="CX65" s="30" t="str">
        <f>=IF(LEN(CX66)&gt;0,CX66/CX19,"")</f>
        <v/>
      </c>
      <c r="CY65" s="30" t="str">
        <f>=IF(LEN(CY66)&gt;0,CY66/CY19,"")</f>
        <v/>
      </c>
      <c r="CZ65" s="30" t="str">
        <f>=IF(LEN(CZ66)&gt;0,CZ66/CZ19,"")</f>
        <v/>
      </c>
      <c r="DA65" s="30" t="str">
        <f>=IF(LEN(DA66)&gt;0,DA66/DA19,"")</f>
        <v/>
      </c>
      <c r="DB65" s="30" t="str">
        <f>=IF(LEN(DB66)&gt;0,DB66/DB19,"")</f>
        <v/>
      </c>
    </row>
    <row r="66" spans="1:106" x14ac:dyDescent="0.25">
      <c r="A66" s="36" t="s">
        <v>291</v>
      </c>
      <c r="C66" s="30" t="str">
        <f>=IF(Len(C82)&gt;0,C82,"")</f>
        <v/>
      </c>
      <c r="D66" s="30" t="str">
        <f>=IF(Len(D82)&gt;0,D82,"")</f>
        <v/>
      </c>
      <c r="E66" s="30" t="str">
        <f>=IF(Len(E82)&gt;0,E82,"")</f>
        <v/>
      </c>
      <c r="F66" s="30" t="str">
        <f>=IF(Len(F82)&gt;0,F82,"")</f>
        <v/>
      </c>
      <c r="G66" s="30" t="str">
        <f>=IF(Len(G82)&gt;0,G82,"")</f>
        <v/>
      </c>
      <c r="H66" s="30" t="str">
        <f>=IF(Len(H82)&gt;0,H82,"")</f>
        <v/>
      </c>
      <c r="I66" s="30" t="str">
        <f>=IF(Len(I82)&gt;0,I82,"")</f>
        <v/>
      </c>
      <c r="J66" s="30" t="str">
        <f>=IF(Len(J82)&gt;0,J82,"")</f>
        <v/>
      </c>
      <c r="K66" s="30" t="str">
        <f>=IF(Len(K82)&gt;0,K82,"")</f>
        <v/>
      </c>
      <c r="L66" s="30" t="str">
        <f>=IF(Len(L82)&gt;0,L82,"")</f>
        <v/>
      </c>
      <c r="M66" s="30" t="str">
        <f>=IF(Len(M82)&gt;0,M82,"")</f>
        <v/>
      </c>
      <c r="N66" s="30" t="str">
        <f>=IF(Len(N82)&gt;0,N82,"")</f>
        <v/>
      </c>
      <c r="O66" s="30" t="str">
        <f>=IF(Len(O82)&gt;0,O82,"")</f>
        <v/>
      </c>
      <c r="P66" s="30" t="str">
        <f>=IF(Len(P82)&gt;0,P82,"")</f>
        <v/>
      </c>
      <c r="Q66" s="30" t="str">
        <f>=IF(Len(Q82)&gt;0,Q82,"")</f>
        <v/>
      </c>
      <c r="R66" s="30" t="str">
        <f>=IF(Len(R82)&gt;0,R82,"")</f>
        <v/>
      </c>
      <c r="S66" s="30" t="str">
        <f>=IF(Len(S82)&gt;0,S82,"")</f>
        <v/>
      </c>
      <c r="T66" s="30" t="str">
        <f>=IF(Len(T82)&gt;0,T82,"")</f>
        <v/>
      </c>
      <c r="U66" s="30" t="str">
        <f>=IF(Len(U82)&gt;0,U82,"")</f>
        <v/>
      </c>
      <c r="V66" s="30" t="str">
        <f>=IF(Len(V82)&gt;0,V82,"")</f>
        <v/>
      </c>
      <c r="W66" s="30" t="str">
        <f>=IF(Len(W82)&gt;0,W82,"")</f>
        <v/>
      </c>
      <c r="X66" s="30" t="str">
        <f>=IF(Len(X82)&gt;0,X82,"")</f>
        <v/>
      </c>
      <c r="Y66" s="30" t="str">
        <f>=IF(Len(Y82)&gt;0,Y82,"")</f>
        <v/>
      </c>
      <c r="Z66" s="30" t="str">
        <f>=IF(Len(Z82)&gt;0,Z82,"")</f>
        <v/>
      </c>
      <c r="AA66" s="30" t="str">
        <f>=IF(Len(AA82)&gt;0,AA82,"")</f>
        <v/>
      </c>
      <c r="AB66" s="30" t="str">
        <f>=IF(Len(AB82)&gt;0,AB82,"")</f>
        <v/>
      </c>
      <c r="AC66" s="30" t="str">
        <f>=IF(Len(AC82)&gt;0,AC82,"")</f>
        <v/>
      </c>
      <c r="AD66" s="30" t="str">
        <f>=IF(Len(AD82)&gt;0,AD82,"")</f>
        <v/>
      </c>
      <c r="AE66" s="30" t="str">
        <f>=IF(Len(AE82)&gt;0,AE82,"")</f>
        <v/>
      </c>
      <c r="AF66" s="30" t="str">
        <f>=IF(Len(AF82)&gt;0,AF82,"")</f>
        <v/>
      </c>
      <c r="AG66" s="19">
        <f>=IF(Len(AG82)&gt;0,AG82,"")</f>
        <v>0</v>
      </c>
      <c r="AH66" s="19">
        <f>=IF(Len(AH82)&gt;0,AH82,"")</f>
        <v>0</v>
      </c>
      <c r="AI66" s="19">
        <f>=IF(Len(AI82)&gt;0,AI82,"")</f>
        <v>0</v>
      </c>
      <c r="AJ66" s="19">
        <f>=IF(Len(AJ82)&gt;0,AJ82,"")</f>
        <v>1</v>
      </c>
      <c r="AK66" s="19">
        <f>=IF(Len(AK82)&gt;0,AK82,"")</f>
        <v>0</v>
      </c>
      <c r="AL66" s="19">
        <f>=IF(Len(AL82)&gt;0,AL82,"")</f>
        <v>1</v>
      </c>
      <c r="AM66" s="19">
        <f>=IF(Len(AM82)&gt;0,AM82,"")</f>
        <v>0</v>
      </c>
      <c r="AN66" s="19">
        <f>=IF(Len(AN82)&gt;0,AN82,"")</f>
        <v>2</v>
      </c>
      <c r="AO66" s="19">
        <f>=IF(Len(AO82)&gt;0,AO82,"")</f>
        <v>0</v>
      </c>
      <c r="AP66" s="19">
        <f>=IF(Len(AP82)&gt;0,AP82,"")</f>
        <v>3</v>
      </c>
      <c r="AQ66" s="19">
        <f>=IF(Len(AQ82)&gt;0,AQ82,"")</f>
        <v>1</v>
      </c>
      <c r="AR66" s="19">
        <f>=IF(Len(AR82)&gt;0,AR82,"")</f>
        <v>0</v>
      </c>
      <c r="AS66" s="19">
        <f>=IF(Len(AS82)&gt;0,AS82,"")</f>
        <v>0</v>
      </c>
      <c r="AT66" s="19">
        <f>=IF(Len(AT82)&gt;0,AT82,"")</f>
        <v>1</v>
      </c>
      <c r="AU66" s="19">
        <f>=IF(Len(AU82)&gt;0,AU82,"")</f>
        <v>0</v>
      </c>
      <c r="AV66" s="19">
        <f>=IF(Len(AV82)&gt;0,AV82,"")</f>
        <v>0</v>
      </c>
      <c r="AW66" s="19">
        <f>=IF(Len(AW82)&gt;0,AW82,"")</f>
        <v>1</v>
      </c>
      <c r="AX66" s="19">
        <f>=IF(Len(AX82)&gt;0,AX82,"")</f>
        <v>1</v>
      </c>
      <c r="AY66" s="19">
        <f>=IF(Len(AY82)&gt;0,AY82,"")</f>
        <v>0</v>
      </c>
      <c r="AZ66" s="19">
        <f>=IF(Len(AZ82)&gt;0,AZ82,"")</f>
        <v>1</v>
      </c>
      <c r="BA66" s="19">
        <f>=IF(Len(BA82)&gt;0,BA82,"")</f>
        <v>1</v>
      </c>
      <c r="BB66" s="19">
        <f>=IF(Len(BB82)&gt;0,BB82,"")</f>
        <v>0</v>
      </c>
      <c r="BC66" s="19">
        <f>=IF(Len(BC82)&gt;0,BC82,"")</f>
        <v>1</v>
      </c>
      <c r="BD66" s="19">
        <f>=IF(Len(BD82)&gt;0,BD82,"")</f>
        <v>2</v>
      </c>
      <c r="BE66" s="19">
        <f>=IF(Len(BE82)&gt;0,BE82,"")</f>
        <v>3</v>
      </c>
      <c r="BF66" s="19">
        <f>=IF(Len(BF82)&gt;0,BF82,"")</f>
        <v>1</v>
      </c>
      <c r="BG66" s="19">
        <f>=IF(Len(BG82)&gt;0,BG82,"")</f>
        <v>2</v>
      </c>
      <c r="BH66" s="19">
        <f>=IF(Len(BH82)&gt;0,BH82,"")</f>
        <v>6</v>
      </c>
      <c r="BI66" s="19">
        <f>=IF(Len(BI82)&gt;0,BI82,"")</f>
        <v>1</v>
      </c>
      <c r="BJ66" s="19">
        <f>=IF(Len(BJ82)&gt;0,BJ82,"")</f>
        <v>2</v>
      </c>
      <c r="BK66" s="19">
        <f>=IF(Len(BK82)&gt;0,BK82,"")</f>
        <v>3</v>
      </c>
      <c r="BL66" s="19">
        <f>=IF(Len(BL82)&gt;0,BL82,"")</f>
        <v>5</v>
      </c>
      <c r="BM66" s="19">
        <f>=IF(Len(BM82)&gt;0,BM82,"")</f>
        <v>3</v>
      </c>
      <c r="BN66" s="30" t="str">
        <f>=IF(Len(BN82)&gt;0,BN82,"")</f>
        <v/>
      </c>
      <c r="BO66" s="30" t="str">
        <f>=IF(Len(BO82)&gt;0,BO82,"")</f>
        <v/>
      </c>
      <c r="BP66" s="30" t="str">
        <f>=IF(Len(BP82)&gt;0,BP82,"")</f>
        <v/>
      </c>
      <c r="BQ66" s="30" t="str">
        <f>=IF(Len(BQ82)&gt;0,BQ82,"")</f>
        <v/>
      </c>
      <c r="BR66" s="30" t="str">
        <f>=IF(Len(BR82)&gt;0,BR82,"")</f>
        <v/>
      </c>
      <c r="BS66" s="30" t="str">
        <f>=IF(Len(BS82)&gt;0,BS82,"")</f>
        <v/>
      </c>
      <c r="BT66" s="30" t="str">
        <f>=IF(Len(BT82)&gt;0,BT82,"")</f>
        <v/>
      </c>
      <c r="BU66" s="30" t="str">
        <f>=IF(Len(BU82)&gt;0,BU82,"")</f>
        <v/>
      </c>
      <c r="BV66" s="30" t="str">
        <f>=IF(Len(BV82)&gt;0,BV82,"")</f>
        <v/>
      </c>
      <c r="BW66" s="30" t="str">
        <f>=IF(Len(BW82)&gt;0,BW82,"")</f>
        <v/>
      </c>
      <c r="BX66" s="30" t="str">
        <f>=IF(Len(BX82)&gt;0,BX82,"")</f>
        <v/>
      </c>
      <c r="BY66" s="30" t="str">
        <f>=IF(Len(BY82)&gt;0,BY82,"")</f>
        <v/>
      </c>
      <c r="BZ66" s="30" t="str">
        <f>=IF(Len(BZ82)&gt;0,BZ82,"")</f>
        <v/>
      </c>
      <c r="CA66" s="30" t="str">
        <f>=IF(Len(CA82)&gt;0,CA82,"")</f>
        <v/>
      </c>
      <c r="CB66" s="30" t="str">
        <f>=IF(Len(CB82)&gt;0,CB82,"")</f>
        <v/>
      </c>
      <c r="CC66" s="30" t="str">
        <f>=IF(Len(CC82)&gt;0,CC82,"")</f>
        <v/>
      </c>
      <c r="CD66" s="30" t="str">
        <f>=IF(Len(CD82)&gt;0,CD82,"")</f>
        <v/>
      </c>
      <c r="CE66" s="30" t="str">
        <f>=IF(Len(CE82)&gt;0,CE82,"")</f>
        <v/>
      </c>
      <c r="CF66" s="30" t="str">
        <f>=IF(Len(CF82)&gt;0,CF82,"")</f>
        <v/>
      </c>
      <c r="CG66" s="30" t="str">
        <f>=IF(Len(CG82)&gt;0,CG82,"")</f>
        <v/>
      </c>
      <c r="CH66" s="30" t="str">
        <f>=IF(Len(CH82)&gt;0,CH82,"")</f>
        <v/>
      </c>
      <c r="CI66" s="30" t="str">
        <f>=IF(Len(CI82)&gt;0,CI82,"")</f>
        <v/>
      </c>
      <c r="CJ66" s="30" t="str">
        <f>=IF(Len(CJ82)&gt;0,CJ82,"")</f>
        <v/>
      </c>
      <c r="CK66" s="30" t="str">
        <f>=IF(Len(CK82)&gt;0,CK82,"")</f>
        <v/>
      </c>
      <c r="CL66" s="30" t="str">
        <f>=IF(Len(CL82)&gt;0,CL82,"")</f>
        <v/>
      </c>
      <c r="CM66" s="30" t="str">
        <f>=IF(Len(CM82)&gt;0,CM82,"")</f>
        <v/>
      </c>
      <c r="CN66" s="30" t="str">
        <f>=IF(Len(CN82)&gt;0,CN82,"")</f>
        <v/>
      </c>
      <c r="CO66" s="30" t="str">
        <f>=IF(Len(CO82)&gt;0,CO82,"")</f>
        <v/>
      </c>
      <c r="CP66" s="30" t="str">
        <f>=IF(Len(CP82)&gt;0,CP82,"")</f>
        <v/>
      </c>
      <c r="CQ66" s="30" t="str">
        <f>=IF(Len(CQ82)&gt;0,CQ82,"")</f>
        <v/>
      </c>
      <c r="CR66" s="30" t="str">
        <f>=IF(Len(CR82)&gt;0,CR82,"")</f>
        <v/>
      </c>
      <c r="CS66" s="30" t="str">
        <f>=IF(Len(CS82)&gt;0,CS82,"")</f>
        <v/>
      </c>
      <c r="CT66" s="30" t="str">
        <f>=IF(Len(CT82)&gt;0,CT82,"")</f>
        <v/>
      </c>
      <c r="CU66" s="30" t="str">
        <f>=IF(Len(CU82)&gt;0,CU82,"")</f>
        <v/>
      </c>
      <c r="CV66" s="30" t="str">
        <f>=IF(Len(CV82)&gt;0,CV82,"")</f>
        <v/>
      </c>
      <c r="CW66" s="30" t="str">
        <f>=IF(Len(CW82)&gt;0,CW82,"")</f>
        <v/>
      </c>
      <c r="CX66" s="30" t="str">
        <f>=IF(Len(CX82)&gt;0,CX82,"")</f>
        <v/>
      </c>
      <c r="CY66" s="30" t="str">
        <f>=IF(Len(CY82)&gt;0,CY82,"")</f>
        <v/>
      </c>
      <c r="CZ66" s="30" t="str">
        <f>=IF(Len(CZ82)&gt;0,CZ82,"")</f>
        <v/>
      </c>
      <c r="DA66" s="30" t="str">
        <f>=IF(Len(DA82)&gt;0,DA82,"")</f>
        <v/>
      </c>
      <c r="DB66" s="30" t="str">
        <f>=IF(Len(DB82)&gt;0,DB82,"")</f>
        <v/>
      </c>
    </row>
    <row r="67" spans="1:106" x14ac:dyDescent="0.25">
      <c r="A67" s="20" t="s">
        <v>292</v>
      </c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1">
        <f>=IF(LEN(BB68)&gt;0,IF(BB68&lt;=0,0,BB68/(((SUM(BA110:BA121)-BA121)+(SUM(BB110:BB121)-BB110)/2))),"")</f>
        <v>0</v>
      </c>
      <c r="BC67" s="31">
        <f>=IF(LEN(BC68)&gt;0,IF(BC68&lt;=0,0,BC68/(((SUM(BB110:BB121)-BB121)+(SUM(BC110:BC121)-BC110)/2))),"")</f>
        <v>0</v>
      </c>
      <c r="BD67" s="31">
        <f>=IF(LEN(BD68)&gt;0,IF(BD68&lt;=0,0,BD68/(((SUM(BC110:BC121)-BC121)+(SUM(BD110:BD121)-BD110)/2))),"")</f>
        <v>0</v>
      </c>
      <c r="BE67" s="31">
        <f>=IF(LEN(BE68)&gt;0,IF(BE68&lt;=0,0,BE68/(((SUM(BD110:BD121)-BD121)+(SUM(BE110:BE121)-BE110)/2))),"")</f>
        <v>0</v>
      </c>
      <c r="BF67" s="31">
        <f>=IF(LEN(BF68)&gt;0,IF(BF68&lt;=0,0,BF68/(((SUM(BE110:BE121)-BE121)+(SUM(BF110:BF121)-BF110)/2))),"")</f>
        <v>0</v>
      </c>
      <c r="BG67" s="31">
        <f>=IF(LEN(BG68)&gt;0,IF(BG68&lt;=0,0,BG68/(((SUM(BF110:BF121)-BF121)+(SUM(BG110:BG121)-BG110)/2))),"")</f>
        <v>0</v>
      </c>
      <c r="BH67" s="31">
        <f>=IF(LEN(BH68)&gt;0,IF(BH68&lt;=0,0,BH68/(((SUM(BG110:BG121)-BG121)+(SUM(BH110:BH121)-BH110)/2))),"")</f>
        <v>0</v>
      </c>
      <c r="BI67" s="31">
        <f>=IF(LEN(BI68)&gt;0,IF(BI68&lt;=0,0,BI68/(((SUM(BH110:BH121)-BH121)+(SUM(BI110:BI121)-BI110)/2))),"")</f>
        <v>0</v>
      </c>
      <c r="BJ67" s="31">
        <f>=IF(LEN(BJ68)&gt;0,IF(BJ68&lt;=0,0,BJ68/(((SUM(BI110:BI121)-BI121)+(SUM(BJ110:BJ121)-BJ110)/2))),"")</f>
        <v>0</v>
      </c>
      <c r="BK67" s="31">
        <f>=IF(LEN(BK68)&gt;0,IF(BK68&lt;=0,0,BK68/(((SUM(BJ110:BJ121)-BJ121)+(SUM(BK110:BK121)-BK110)/2))),"")</f>
        <v>0</v>
      </c>
      <c r="BL67" s="31">
        <f>=IF(LEN(BL68)&gt;0,IF(BL68&lt;=0,0,BL68/(((SUM(BK110:BK121)-BK121)+(SUM(BL110:BL121)-BL110)/2))),"")</f>
        <v>0</v>
      </c>
      <c r="BM67" s="31">
        <f>=IF(LEN(BM68)&gt;0,IF(BM68&lt;=0,0,BM68/(((SUM(BL110:BL121)-BL121)+(SUM(BM110:BM121)-BM110)/2))),"")</f>
        <v>0</v>
      </c>
      <c r="BN67" s="31">
        <f>=IF(LEN(BN68)&gt;0,IF(BN68&lt;=0,0,BN68/(((SUM(BM110:BM121)-BM121)+(SUM(BN110:BN121)-BN110)/2))),"")</f>
        <v>0</v>
      </c>
      <c r="BO67" s="31">
        <f>=IF(LEN(BO68)&gt;0,IF(BO68&lt;=0,0,BO68/(((SUM(BN110:BN121)-BN121)+(SUM(BO110:BO121)-BO110)/2))),"")</f>
        <v>0</v>
      </c>
      <c r="BP67" s="31">
        <f>=IF(LEN(BP68)&gt;0,IF(BP68&lt;=0,0,BP68/(((SUM(BO110:BO121)-BO121)+(SUM(BP110:BP121)-BP110)/2))),"")</f>
        <v>0</v>
      </c>
      <c r="BQ67" s="31">
        <f>=IF(LEN(BQ68)&gt;0,IF(BQ68&lt;=0,0,BQ68/(((SUM(BP110:BP121)-BP121)+(SUM(BQ110:BQ121)-BQ110)/2))),"")</f>
        <v>0</v>
      </c>
      <c r="BR67" s="31">
        <f>=IF(LEN(BR68)&gt;0,IF(BR68&lt;=0,0,BR68/(((SUM(BQ110:BQ121)-BQ121)+(SUM(BR110:BR121)-BR110)/2))),"")</f>
        <v>0</v>
      </c>
      <c r="BS67" s="31">
        <f>=IF(LEN(BS68)&gt;0,IF(BS68&lt;=0,0,BS68/(((SUM(BR110:BR121)-BR121)+(SUM(BS110:BS121)-BS110)/2))),"")</f>
        <v>0</v>
      </c>
      <c r="BT67" s="31">
        <f>=IF(LEN(BT68)&gt;0,IF(BT68&lt;=0,0,BT68/(((SUM(BS110:BS121)-BS121)+(SUM(BT110:BT121)-BT110)/2))),"")</f>
        <v>0</v>
      </c>
      <c r="BU67" s="31">
        <f>=IF(LEN(BU68)&gt;0,IF(BU68&lt;=0,0,BU68/(((SUM(BT110:BT121)-BT121)+(SUM(BU110:BU121)-BU110)/2))),"")</f>
        <v>0</v>
      </c>
      <c r="BV67" s="30">
        <f>=IF(LEN(BV68)&gt;0,IF(BV68&lt;=0,0,BV68/(((SUM(BU110:BU121)-BU121)+(SUM(BV110:BV121)-BV110)/2))),"")</f>
        <v>0</v>
      </c>
      <c r="BW67" s="30">
        <f>=IF(LEN(BW68)&gt;0,IF(BW68&lt;=0,0,BW68/(((SUM(BV110:BV121)-BV121)+(SUM(BW110:BW121)-BW110)/2))),"")</f>
        <v>0</v>
      </c>
      <c r="BX67" s="30">
        <f>=IF(LEN(BX68)&gt;0,IF(BX68&lt;=0,0,BX68/(((SUM(BW110:BW121)-BW121)+(SUM(BX110:BX121)-BX110)/2))),"")</f>
        <v>0</v>
      </c>
      <c r="BY67" s="30" t="str">
        <f>=IF(LEN(BY68)&gt;0,IF(BY68&lt;=0,0,BY68/(((SUM(BX110:BX121)-BX121)+(SUM(BY110:BY121)-BY110)/2))),"")</f>
        <v/>
      </c>
      <c r="BZ67" s="30" t="str">
        <f>=IF(LEN(BZ68)&gt;0,IF(BZ68&lt;=0,0,BZ68/(((SUM(BY110:BY121)-BY121)+(SUM(BZ110:BZ121)-BZ110)/2))),"")</f>
        <v/>
      </c>
      <c r="CA67" s="30" t="str">
        <f>=IF(LEN(CA68)&gt;0,IF(CA68&lt;=0,0,CA68/(((SUM(BZ110:BZ121)-BZ121)+(SUM(CA110:CA121)-CA110)/2))),"")</f>
        <v/>
      </c>
      <c r="CB67" s="30" t="str">
        <f>=IF(LEN(CB68)&gt;0,IF(CB68&lt;=0,0,CB68/(((SUM(CA110:CA121)-CA121)+(SUM(CB110:CB121)-CB110)/2))),"")</f>
        <v/>
      </c>
      <c r="CC67" s="30" t="str">
        <f>=IF(LEN(CC68)&gt;0,IF(CC68&lt;=0,0,CC68/(((SUM(CB110:CB121)-CB121)+(SUM(CC110:CC121)-CC110)/2))),"")</f>
        <v/>
      </c>
      <c r="CD67" s="30" t="str">
        <f>=IF(LEN(CD68)&gt;0,IF(CD68&lt;=0,0,CD68/(((SUM(CC110:CC121)-CC121)+(SUM(CD110:CD121)-CD110)/2))),"")</f>
        <v/>
      </c>
      <c r="CE67" s="30" t="str">
        <f>=IF(LEN(CE68)&gt;0,IF(CE68&lt;=0,0,CE68/(((SUM(CD110:CD121)-CD121)+(SUM(CE110:CE121)-CE110)/2))),"")</f>
        <v/>
      </c>
      <c r="CF67" s="30" t="str">
        <f>=IF(LEN(CF68)&gt;0,IF(CF68&lt;=0,0,CF68/(((SUM(CE110:CE121)-CE121)+(SUM(CF110:CF121)-CF110)/2))),"")</f>
        <v/>
      </c>
      <c r="CG67" s="30" t="str">
        <f>=IF(LEN(CG68)&gt;0,IF(CG68&lt;=0,0,CG68/(((SUM(CF110:CF121)-CF121)+(SUM(CG110:CG121)-CG110)/2))),"")</f>
        <v/>
      </c>
      <c r="CH67" s="30" t="str">
        <f>=IF(LEN(CH68)&gt;0,IF(CH68&lt;=0,0,CH68/(((SUM(CG110:CG121)-CG121)+(SUM(CH110:CH121)-CH110)/2))),"")</f>
        <v/>
      </c>
      <c r="CI67" s="30" t="str">
        <f>=IF(LEN(CI68)&gt;0,IF(CI68&lt;=0,0,CI68/(((SUM(CH110:CH121)-CH121)+(SUM(CI110:CI121)-CI110)/2))),"")</f>
        <v/>
      </c>
      <c r="CJ67" s="30" t="str">
        <f>=IF(LEN(CJ68)&gt;0,IF(CJ68&lt;=0,0,CJ68/(((SUM(CI110:CI121)-CI121)+(SUM(CJ110:CJ121)-CJ110)/2))),"")</f>
        <v/>
      </c>
      <c r="CK67" s="30" t="str">
        <f>=IF(LEN(CK68)&gt;0,IF(CK68&lt;=0,0,CK68/(((SUM(CJ110:CJ121)-CJ121)+(SUM(CK110:CK121)-CK110)/2))),"")</f>
        <v/>
      </c>
      <c r="CL67" s="30" t="str">
        <f>=IF(LEN(CL68)&gt;0,IF(CL68&lt;=0,0,CL68/(((SUM(CK110:CK121)-CK121)+(SUM(CL110:CL121)-CL110)/2))),"")</f>
        <v/>
      </c>
      <c r="CM67" s="30" t="str">
        <f>=IF(LEN(CM68)&gt;0,IF(CM68&lt;=0,0,CM68/(((SUM(CL110:CL121)-CL121)+(SUM(CM110:CM121)-CM110)/2))),"")</f>
        <v/>
      </c>
      <c r="CN67" s="30" t="str">
        <f>=IF(LEN(CN68)&gt;0,IF(CN68&lt;=0,0,CN68/(((SUM(CM110:CM121)-CM121)+(SUM(CN110:CN121)-CN110)/2))),"")</f>
        <v/>
      </c>
      <c r="CO67" s="30" t="str">
        <f>=IF(LEN(CO68)&gt;0,IF(CO68&lt;=0,0,CO68/(((SUM(CN110:CN121)-CN121)+(SUM(CO110:CO121)-CO110)/2))),"")</f>
        <v/>
      </c>
      <c r="CP67" s="30" t="str">
        <f>=IF(LEN(CP68)&gt;0,IF(CP68&lt;=0,0,CP68/(((SUM(CO110:CO121)-CO121)+(SUM(CP110:CP121)-CP110)/2))),"")</f>
        <v/>
      </c>
      <c r="CQ67" s="30" t="str">
        <f>=IF(LEN(CQ68)&gt;0,IF(CQ68&lt;=0,0,CQ68/(((SUM(CP110:CP121)-CP121)+(SUM(CQ110:CQ121)-CQ110)/2))),"")</f>
        <v/>
      </c>
      <c r="CR67" s="30" t="str">
        <f>=IF(LEN(CR68)&gt;0,IF(CR68&lt;=0,0,CR68/(((SUM(CQ110:CQ121)-CQ121)+(SUM(CR110:CR121)-CR110)/2))),"")</f>
        <v/>
      </c>
      <c r="CS67" s="30" t="str">
        <f>=IF(LEN(CS68)&gt;0,IF(CS68&lt;=0,0,CS68/(((SUM(CR110:CR121)-CR121)+(SUM(CS110:CS121)-CS110)/2))),"")</f>
        <v/>
      </c>
      <c r="CT67" s="30" t="str">
        <f>=IF(LEN(CT68)&gt;0,IF(CT68&lt;=0,0,CT68/(((SUM(CS110:CS121)-CS121)+(SUM(CT110:CT121)-CT110)/2))),"")</f>
        <v/>
      </c>
      <c r="CU67" s="30" t="str">
        <f>=IF(LEN(CU68)&gt;0,IF(CU68&lt;=0,0,CU68/(((SUM(CT110:CT121)-CT121)+(SUM(CU110:CU121)-CU110)/2))),"")</f>
        <v/>
      </c>
      <c r="CV67" s="30" t="str">
        <f>=IF(LEN(CV68)&gt;0,IF(CV68&lt;=0,0,CV68/(((SUM(CU110:CU121)-CU121)+(SUM(CV110:CV121)-CV110)/2))),"")</f>
        <v/>
      </c>
      <c r="CW67" s="30" t="str">
        <f>=IF(LEN(CW68)&gt;0,IF(CW68&lt;=0,0,CW68/(((SUM(CV110:CV121)-CV121)+(SUM(CW110:CW121)-CW110)/2))),"")</f>
        <v/>
      </c>
      <c r="CX67" s="30" t="str">
        <f>=IF(LEN(CX68)&gt;0,IF(CX68&lt;=0,0,CX68/(((SUM(CW110:CW121)-CW121)+(SUM(CX110:CX121)-CX110)/2))),"")</f>
        <v/>
      </c>
      <c r="CY67" s="30" t="str">
        <f>=IF(LEN(CY68)&gt;0,IF(CY68&lt;=0,0,CY68/(((SUM(CX110:CX121)-CX121)+(SUM(CY110:CY121)-CY110)/2))),"")</f>
        <v/>
      </c>
      <c r="CZ67" s="30" t="str">
        <f>=IF(LEN(CZ68)&gt;0,IF(CZ68&lt;=0,0,CZ68/(((SUM(CY110:CY121)-CY121)+(SUM(CZ110:CZ121)-CZ110)/2))),"")</f>
        <v/>
      </c>
      <c r="DA67" s="30" t="str">
        <f>=IF(LEN(DA68)&gt;0,IF(DA68&lt;=0,0,DA68/(((SUM(CZ110:CZ121)-CZ121)+(SUM(DA110:DA121)-DA110)/2))),"")</f>
        <v/>
      </c>
      <c r="DB67" s="30" t="str">
        <f>=IF(LEN(DB68)&gt;0,IF(DB68&lt;=0,0,DB68/(((SUM(DA110:DA121)-DA121)+(SUM(DB110:DB121)-DB110)/2))),"")</f>
        <v/>
      </c>
    </row>
    <row r="68" spans="1:106" x14ac:dyDescent="0.25">
      <c r="A68" s="36" t="s">
        <v>293</v>
      </c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>
        <f>=IF(DATEVALUE(BB4)&lt;=$C$2-WEEKDAY($C$2,1)+1,IF(SUM(BA110:BA121)&lt;=0,0,(SUM(BA110:BA121)-BA110)-(SUM(BB110:BB121)-BB110)),"")</f>
        <v>0</v>
      </c>
      <c r="BC68" s="30">
        <f>=IF(DATEVALUE(BC4)&lt;=$C$2-WEEKDAY($C$2,1)+1,IF(SUM(BB110:BB121)&lt;=0,0,(SUM(BB110:BB121)-BB110)-(SUM(BC110:BC121)-BC110)),"")</f>
        <v>0</v>
      </c>
      <c r="BD68" s="30">
        <f>=IF(DATEVALUE(BD4)&lt;=$C$2-WEEKDAY($C$2,1)+1,IF(SUM(BC110:BC121)&lt;=0,0,(SUM(BC110:BC121)-BC110)-(SUM(BD110:BD121)-BD110)),"")</f>
        <v>0</v>
      </c>
      <c r="BE68" s="30">
        <f>=IF(DATEVALUE(BE4)&lt;=$C$2-WEEKDAY($C$2,1)+1,IF(SUM(BD110:BD121)&lt;=0,0,(SUM(BD110:BD121)-BD110)-(SUM(BE110:BE121)-BE110)),"")</f>
        <v>0</v>
      </c>
      <c r="BF68" s="30">
        <f>=IF(DATEVALUE(BF4)&lt;=$C$2-WEEKDAY($C$2,1)+1,IF(SUM(BE110:BE121)&lt;=0,0,(SUM(BE110:BE121)-BE110)-(SUM(BF110:BF121)-BF110)),"")</f>
        <v>0</v>
      </c>
      <c r="BG68" s="30">
        <f>=IF(DATEVALUE(BG4)&lt;=$C$2-WEEKDAY($C$2,1)+1,IF(SUM(BF110:BF121)&lt;=0,0,(SUM(BF110:BF121)-BF110)-(SUM(BG110:BG121)-BG110)),"")</f>
        <v>0</v>
      </c>
      <c r="BH68" s="30">
        <f>=IF(DATEVALUE(BH4)&lt;=$C$2-WEEKDAY($C$2,1)+1,IF(SUM(BG110:BG121)&lt;=0,0,(SUM(BG110:BG121)-BG110)-(SUM(BH110:BH121)-BH110)),"")</f>
        <v>0</v>
      </c>
      <c r="BI68" s="30">
        <f>=IF(DATEVALUE(BI4)&lt;=$C$2-WEEKDAY($C$2,1)+1,IF(SUM(BH110:BH121)&lt;=0,0,(SUM(BH110:BH121)-BH110)-(SUM(BI110:BI121)-BI110)),"")</f>
        <v>0</v>
      </c>
      <c r="BJ68" s="30">
        <f>=IF(DATEVALUE(BJ4)&lt;=$C$2-WEEKDAY($C$2,1)+1,IF(SUM(BI110:BI121)&lt;=0,0,(SUM(BI110:BI121)-BI110)-(SUM(BJ110:BJ121)-BJ110)),"")</f>
        <v>0</v>
      </c>
      <c r="BK68" s="30">
        <f>=IF(DATEVALUE(BK4)&lt;=$C$2-WEEKDAY($C$2,1)+1,IF(SUM(BJ110:BJ121)&lt;=0,0,(SUM(BJ110:BJ121)-BJ110)-(SUM(BK110:BK121)-BK110)),"")</f>
        <v>0</v>
      </c>
      <c r="BL68" s="30">
        <f>=IF(DATEVALUE(BL4)&lt;=$C$2-WEEKDAY($C$2,1)+1,IF(SUM(BK110:BK121)&lt;=0,0,(SUM(BK110:BK121)-BK110)-(SUM(BL110:BL121)-BL110)),"")</f>
        <v>0</v>
      </c>
      <c r="BM68" s="30">
        <f>=IF(DATEVALUE(BM4)&lt;=$C$2-WEEKDAY($C$2,1)+1,IF(SUM(BL110:BL121)&lt;=0,0,(SUM(BL110:BL121)-BL110)-(SUM(BM110:BM121)-BM110)),"")</f>
        <v>0</v>
      </c>
      <c r="BN68" s="30">
        <f>=IF(DATEVALUE(BN4)&lt;=$C$2-WEEKDAY($C$2,1)+1,IF(SUM(BM110:BM121)&lt;=0,0,(SUM(BM110:BM121)-BM110)-(SUM(BN110:BN121)-BN110)),"")</f>
        <v>0</v>
      </c>
      <c r="BO68" s="30">
        <f>=IF(DATEVALUE(BO4)&lt;=$C$2-WEEKDAY($C$2,1)+1,IF(SUM(BN110:BN121)&lt;=0,0,(SUM(BN110:BN121)-BN110)-(SUM(BO110:BO121)-BO110)),"")</f>
        <v>0</v>
      </c>
      <c r="BP68" s="30">
        <f>=IF(DATEVALUE(BP4)&lt;=$C$2-WEEKDAY($C$2,1)+1,IF(SUM(BO110:BO121)&lt;=0,0,(SUM(BO110:BO121)-BO110)-(SUM(BP110:BP121)-BP110)),"")</f>
        <v>0</v>
      </c>
      <c r="BQ68" s="30">
        <f>=IF(DATEVALUE(BQ4)&lt;=$C$2-WEEKDAY($C$2,1)+1,IF(SUM(BP110:BP121)&lt;=0,0,(SUM(BP110:BP121)-BP110)-(SUM(BQ110:BQ121)-BQ110)),"")</f>
        <v>0</v>
      </c>
      <c r="BR68" s="30">
        <f>=IF(DATEVALUE(BR4)&lt;=$C$2-WEEKDAY($C$2,1)+1,IF(SUM(BQ110:BQ121)&lt;=0,0,(SUM(BQ110:BQ121)-BQ110)-(SUM(BR110:BR121)-BR110)),"")</f>
        <v>0</v>
      </c>
      <c r="BS68" s="30">
        <f>=IF(DATEVALUE(BS4)&lt;=$C$2-WEEKDAY($C$2,1)+1,IF(SUM(BR110:BR121)&lt;=0,0,(SUM(BR110:BR121)-BR110)-(SUM(BS110:BS121)-BS110)),"")</f>
        <v>0</v>
      </c>
      <c r="BT68" s="30">
        <f>=IF(DATEVALUE(BT4)&lt;=$C$2-WEEKDAY($C$2,1)+1,IF(SUM(BS110:BS121)&lt;=0,0,(SUM(BS110:BS121)-BS110)-(SUM(BT110:BT121)-BT110)),"")</f>
        <v>0</v>
      </c>
      <c r="BU68" s="30">
        <f>=IF(DATEVALUE(BU4)&lt;=$C$2-WEEKDAY($C$2,1)+1,IF(SUM(BT110:BT121)&lt;=0,0,(SUM(BT110:BT121)-BT110)-(SUM(BU110:BU121)-BU110)),"")</f>
        <v>0</v>
      </c>
      <c r="BV68" s="30">
        <f>=IF(DATEVALUE(BV4)&lt;=$C$2-WEEKDAY($C$2,1)+1,IF(SUM(BU110:BU121)&lt;=0,0,(SUM(BU110:BU121)-BU110)-(SUM(BV110:BV121)-BV110)),"")</f>
        <v>0</v>
      </c>
      <c r="BW68" s="30">
        <f>=IF(DATEVALUE(BW4)&lt;=$C$2-WEEKDAY($C$2,1)+1,IF(SUM(BV110:BV121)&lt;=0,0,(SUM(BV110:BV121)-BV110)-(SUM(BW110:BW121)-BW110)),"")</f>
        <v>0</v>
      </c>
      <c r="BX68" s="30">
        <f>=IF(DATEVALUE(BX4)&lt;=$C$2-WEEKDAY($C$2,1)+1,IF(SUM(BW110:BW121)&lt;=0,0,(SUM(BW110:BW121)-BW110)-(SUM(BX110:BX121)-BX110)),"")</f>
        <v>0</v>
      </c>
      <c r="BY68" s="30" t="str">
        <f>=IF(DATEVALUE(BY4)&lt;=$C$2-WEEKDAY($C$2,1)+1,IF(SUM(BX110:BX121)&lt;=0,0,(SUM(BX110:BX121)-BX110)-(SUM(BY110:BY121)-BY110)),"")</f>
        <v/>
      </c>
      <c r="BZ68" s="30" t="str">
        <f>=IF(DATEVALUE(BZ4)&lt;=$C$2-WEEKDAY($C$2,1)+1,IF(SUM(BY110:BY121)&lt;=0,0,(SUM(BY110:BY121)-BY110)-(SUM(BZ110:BZ121)-BZ110)),"")</f>
        <v/>
      </c>
      <c r="CA68" s="30" t="str">
        <f>=IF(DATEVALUE(CA4)&lt;=$C$2-WEEKDAY($C$2,1)+1,IF(SUM(BZ110:BZ121)&lt;=0,0,(SUM(BZ110:BZ121)-BZ110)-(SUM(CA110:CA121)-CA110)),"")</f>
        <v/>
      </c>
      <c r="CB68" s="30" t="str">
        <f>=IF(DATEVALUE(CB4)&lt;=$C$2-WEEKDAY($C$2,1)+1,IF(SUM(CA110:CA121)&lt;=0,0,(SUM(CA110:CA121)-CA110)-(SUM(CB110:CB121)-CB110)),"")</f>
        <v/>
      </c>
      <c r="CC68" s="30" t="str">
        <f>=IF(DATEVALUE(CC4)&lt;=$C$2-WEEKDAY($C$2,1)+1,IF(SUM(CB110:CB121)&lt;=0,0,(SUM(CB110:CB121)-CB110)-(SUM(CC110:CC121)-CC110)),"")</f>
        <v/>
      </c>
      <c r="CD68" s="30" t="str">
        <f>=IF(DATEVALUE(CD4)&lt;=$C$2-WEEKDAY($C$2,1)+1,IF(SUM(CC110:CC121)&lt;=0,0,(SUM(CC110:CC121)-CC110)-(SUM(CD110:CD121)-CD110)),"")</f>
        <v/>
      </c>
      <c r="CE68" s="30" t="str">
        <f>=IF(DATEVALUE(CE4)&lt;=$C$2-WEEKDAY($C$2,1)+1,IF(SUM(CD110:CD121)&lt;=0,0,(SUM(CD110:CD121)-CD110)-(SUM(CE110:CE121)-CE110)),"")</f>
        <v/>
      </c>
      <c r="CF68" s="30" t="str">
        <f>=IF(DATEVALUE(CF4)&lt;=$C$2-WEEKDAY($C$2,1)+1,IF(SUM(CE110:CE121)&lt;=0,0,(SUM(CE110:CE121)-CE110)-(SUM(CF110:CF121)-CF110)),"")</f>
        <v/>
      </c>
      <c r="CG68" s="30" t="str">
        <f>=IF(DATEVALUE(CG4)&lt;=$C$2-WEEKDAY($C$2,1)+1,IF(SUM(CF110:CF121)&lt;=0,0,(SUM(CF110:CF121)-CF110)-(SUM(CG110:CG121)-CG110)),"")</f>
        <v/>
      </c>
      <c r="CH68" s="30" t="str">
        <f>=IF(DATEVALUE(CH4)&lt;=$C$2-WEEKDAY($C$2,1)+1,IF(SUM(CG110:CG121)&lt;=0,0,(SUM(CG110:CG121)-CG110)-(SUM(CH110:CH121)-CH110)),"")</f>
        <v/>
      </c>
      <c r="CI68" s="30" t="str">
        <f>=IF(DATEVALUE(CI4)&lt;=$C$2-WEEKDAY($C$2,1)+1,IF(SUM(CH110:CH121)&lt;=0,0,(SUM(CH110:CH121)-CH110)-(SUM(CI110:CI121)-CI110)),"")</f>
        <v/>
      </c>
      <c r="CJ68" s="30" t="str">
        <f>=IF(DATEVALUE(CJ4)&lt;=$C$2-WEEKDAY($C$2,1)+1,IF(SUM(CI110:CI121)&lt;=0,0,(SUM(CI110:CI121)-CI110)-(SUM(CJ110:CJ121)-CJ110)),"")</f>
        <v/>
      </c>
      <c r="CK68" s="30" t="str">
        <f>=IF(DATEVALUE(CK4)&lt;=$C$2-WEEKDAY($C$2,1)+1,IF(SUM(CJ110:CJ121)&lt;=0,0,(SUM(CJ110:CJ121)-CJ110)-(SUM(CK110:CK121)-CK110)),"")</f>
        <v/>
      </c>
      <c r="CL68" s="30" t="str">
        <f>=IF(DATEVALUE(CL4)&lt;=$C$2-WEEKDAY($C$2,1)+1,IF(SUM(CK110:CK121)&lt;=0,0,(SUM(CK110:CK121)-CK110)-(SUM(CL110:CL121)-CL110)),"")</f>
        <v/>
      </c>
      <c r="CM68" s="30" t="str">
        <f>=IF(DATEVALUE(CM4)&lt;=$C$2-WEEKDAY($C$2,1)+1,IF(SUM(CL110:CL121)&lt;=0,0,(SUM(CL110:CL121)-CL110)-(SUM(CM110:CM121)-CM110)),"")</f>
        <v/>
      </c>
      <c r="CN68" s="30" t="str">
        <f>=IF(DATEVALUE(CN4)&lt;=$C$2-WEEKDAY($C$2,1)+1,IF(SUM(CM110:CM121)&lt;=0,0,(SUM(CM110:CM121)-CM110)-(SUM(CN110:CN121)-CN110)),"")</f>
        <v/>
      </c>
      <c r="CO68" s="30" t="str">
        <f>=IF(DATEVALUE(CO4)&lt;=$C$2-WEEKDAY($C$2,1)+1,IF(SUM(CN110:CN121)&lt;=0,0,(SUM(CN110:CN121)-CN110)-(SUM(CO110:CO121)-CO110)),"")</f>
        <v/>
      </c>
      <c r="CP68" s="30" t="str">
        <f>=IF(DATEVALUE(CP4)&lt;=$C$2-WEEKDAY($C$2,1)+1,IF(SUM(CO110:CO121)&lt;=0,0,(SUM(CO110:CO121)-CO110)-(SUM(CP110:CP121)-CP110)),"")</f>
        <v/>
      </c>
      <c r="CQ68" s="30" t="str">
        <f>=IF(DATEVALUE(CQ4)&lt;=$C$2-WEEKDAY($C$2,1)+1,IF(SUM(CP110:CP121)&lt;=0,0,(SUM(CP110:CP121)-CP110)-(SUM(CQ110:CQ121)-CQ110)),"")</f>
        <v/>
      </c>
      <c r="CR68" s="30" t="str">
        <f>=IF(DATEVALUE(CR4)&lt;=$C$2-WEEKDAY($C$2,1)+1,IF(SUM(CQ110:CQ121)&lt;=0,0,(SUM(CQ110:CQ121)-CQ110)-(SUM(CR110:CR121)-CR110)),"")</f>
        <v/>
      </c>
      <c r="CS68" s="30" t="str">
        <f>=IF(DATEVALUE(CS4)&lt;=$C$2-WEEKDAY($C$2,1)+1,IF(SUM(CR110:CR121)&lt;=0,0,(SUM(CR110:CR121)-CR110)-(SUM(CS110:CS121)-CS110)),"")</f>
        <v/>
      </c>
      <c r="CT68" s="30" t="str">
        <f>=IF(DATEVALUE(CT4)&lt;=$C$2-WEEKDAY($C$2,1)+1,IF(SUM(CS110:CS121)&lt;=0,0,(SUM(CS110:CS121)-CS110)-(SUM(CT110:CT121)-CT110)),"")</f>
        <v/>
      </c>
      <c r="CU68" s="30" t="str">
        <f>=IF(DATEVALUE(CU4)&lt;=$C$2-WEEKDAY($C$2,1)+1,IF(SUM(CT110:CT121)&lt;=0,0,(SUM(CT110:CT121)-CT110)-(SUM(CU110:CU121)-CU110)),"")</f>
        <v/>
      </c>
      <c r="CV68" s="30" t="str">
        <f>=IF(DATEVALUE(CV4)&lt;=$C$2-WEEKDAY($C$2,1)+1,IF(SUM(CU110:CU121)&lt;=0,0,(SUM(CU110:CU121)-CU110)-(SUM(CV110:CV121)-CV110)),"")</f>
        <v/>
      </c>
      <c r="CW68" s="30" t="str">
        <f>=IF(DATEVALUE(CW4)&lt;=$C$2-WEEKDAY($C$2,1)+1,IF(SUM(CV110:CV121)&lt;=0,0,(SUM(CV110:CV121)-CV110)-(SUM(CW110:CW121)-CW110)),"")</f>
        <v/>
      </c>
      <c r="CX68" s="30" t="str">
        <f>=IF(DATEVALUE(CX4)&lt;=$C$2-WEEKDAY($C$2,1)+1,IF(SUM(CW110:CW121)&lt;=0,0,(SUM(CW110:CW121)-CW110)-(SUM(CX110:CX121)-CX110)),"")</f>
        <v/>
      </c>
      <c r="CY68" s="30" t="str">
        <f>=IF(DATEVALUE(CY4)&lt;=$C$2-WEEKDAY($C$2,1)+1,IF(SUM(CX110:CX121)&lt;=0,0,(SUM(CX110:CX121)-CX110)-(SUM(CY110:CY121)-CY110)),"")</f>
        <v/>
      </c>
      <c r="CZ68" s="30" t="str">
        <f>=IF(DATEVALUE(CZ4)&lt;=$C$2-WEEKDAY($C$2,1)+1,IF(SUM(CY110:CY121)&lt;=0,0,(SUM(CY110:CY121)-CY110)-(SUM(CZ110:CZ121)-CZ110)),"")</f>
        <v/>
      </c>
      <c r="DA68" s="30" t="str">
        <f>=IF(DATEVALUE(DA4)&lt;=$C$2-WEEKDAY($C$2,1)+1,IF(SUM(CZ110:CZ121)&lt;=0,0,(SUM(CZ110:CZ121)-CZ110)-(SUM(DA110:DA121)-DA110)),"")</f>
        <v/>
      </c>
      <c r="DB68" s="30" t="str">
        <f>=IF(DATEVALUE(DB4)&lt;=$C$2-WEEKDAY($C$2,1)+1,IF(SUM(DA110:DA121)&lt;=0,0,(SUM(DA110:DA121)-DA110)-(SUM(DB110:DB121)-DB110)),"")</f>
        <v/>
      </c>
    </row>
    <row r="69" spans="1:106" x14ac:dyDescent="0.25">
      <c r="A69" s="16" t="s">
        <v>294</v>
      </c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  <c r="BP69" s="30"/>
      <c r="BQ69" s="30"/>
      <c r="BR69" s="30"/>
      <c r="BS69" s="30"/>
      <c r="BT69" s="30"/>
      <c r="BU69" s="30"/>
      <c r="BV69" s="30"/>
      <c r="BW69" s="30"/>
      <c r="BX69" s="30"/>
      <c r="BY69" s="30"/>
      <c r="BZ69" s="30"/>
      <c r="CA69" s="30"/>
      <c r="CB69" s="30"/>
      <c r="CC69" s="30"/>
      <c r="CD69" s="30"/>
      <c r="CE69" s="30"/>
      <c r="CF69" s="30"/>
      <c r="CG69" s="30"/>
      <c r="CH69" s="30"/>
      <c r="CI69" s="30"/>
      <c r="CJ69" s="30"/>
      <c r="CK69" s="30"/>
      <c r="CL69" s="30"/>
      <c r="CM69" s="30"/>
      <c r="CN69" s="30"/>
      <c r="CO69" s="30"/>
      <c r="CP69" s="30"/>
      <c r="CQ69" s="30"/>
      <c r="CR69" s="30"/>
      <c r="CS69" s="30"/>
      <c r="CT69" s="30"/>
      <c r="CU69" s="30"/>
      <c r="CV69" s="30"/>
      <c r="CW69" s="30"/>
      <c r="CX69" s="30"/>
      <c r="CY69" s="30"/>
      <c r="CZ69" s="30"/>
      <c r="DA69" s="30"/>
      <c r="DB69" s="30"/>
    </row>
    <row r="70" spans="1:106" x14ac:dyDescent="0.25">
      <c r="A70" s="16" t="s">
        <v>282</v>
      </c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/>
      <c r="BO70" s="30"/>
      <c r="BP70" s="30"/>
      <c r="BQ70" s="30"/>
      <c r="BR70" s="30"/>
      <c r="BS70" s="30"/>
      <c r="BT70" s="30"/>
      <c r="BU70" s="30"/>
      <c r="BV70" s="30"/>
      <c r="BW70" s="30"/>
      <c r="BX70" s="30"/>
      <c r="BY70" s="30"/>
      <c r="BZ70" s="30"/>
      <c r="CA70" s="30"/>
      <c r="CB70" s="30"/>
      <c r="CC70" s="30"/>
      <c r="CD70" s="30"/>
      <c r="CE70" s="30"/>
      <c r="CF70" s="30"/>
      <c r="CG70" s="30"/>
      <c r="CH70" s="30"/>
      <c r="CI70" s="30"/>
      <c r="CJ70" s="30"/>
      <c r="CK70" s="30"/>
      <c r="CL70" s="30"/>
      <c r="CM70" s="30"/>
      <c r="CN70" s="30"/>
      <c r="CO70" s="30"/>
      <c r="CP70" s="30"/>
      <c r="CQ70" s="30"/>
      <c r="CR70" s="30"/>
      <c r="CS70" s="30"/>
      <c r="CT70" s="30"/>
      <c r="CU70" s="30"/>
      <c r="CV70" s="30"/>
      <c r="CW70" s="30"/>
      <c r="CX70" s="30"/>
      <c r="CY70" s="30"/>
      <c r="CZ70" s="30"/>
      <c r="DA70" s="30"/>
      <c r="DB70" s="30"/>
    </row>
    <row r="71" spans="3:106" x14ac:dyDescent="0.25"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30"/>
      <c r="BN71" s="30"/>
      <c r="BO71" s="30"/>
      <c r="BP71" s="30"/>
      <c r="BQ71" s="30"/>
      <c r="BR71" s="30"/>
      <c r="BS71" s="30"/>
      <c r="BT71" s="30"/>
      <c r="BU71" s="30"/>
      <c r="BV71" s="30"/>
      <c r="BW71" s="30"/>
      <c r="BX71" s="30"/>
      <c r="BY71" s="30"/>
      <c r="BZ71" s="30"/>
      <c r="CA71" s="30"/>
      <c r="CB71" s="30"/>
      <c r="CC71" s="30"/>
      <c r="CD71" s="30"/>
      <c r="CE71" s="30"/>
      <c r="CF71" s="30"/>
      <c r="CG71" s="30"/>
      <c r="CH71" s="30"/>
      <c r="CI71" s="30"/>
      <c r="CJ71" s="30"/>
      <c r="CK71" s="30"/>
      <c r="CL71" s="30"/>
      <c r="CM71" s="30"/>
      <c r="CN71" s="30"/>
      <c r="CO71" s="30"/>
      <c r="CP71" s="30"/>
      <c r="CQ71" s="30"/>
      <c r="CR71" s="30"/>
      <c r="CS71" s="30"/>
      <c r="CT71" s="30"/>
      <c r="CU71" s="30"/>
      <c r="CV71" s="30"/>
      <c r="CW71" s="30"/>
      <c r="CX71" s="30"/>
      <c r="CY71" s="30"/>
      <c r="CZ71" s="30"/>
      <c r="DA71" s="30"/>
      <c r="DB71" s="30"/>
    </row>
    <row r="72" spans="1:106" x14ac:dyDescent="0.25">
      <c r="A72" s="49" t="s">
        <v>295</v>
      </c>
      <c r="B72" s="17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2"/>
      <c r="CH72" s="32"/>
      <c r="CI72" s="32"/>
      <c r="CJ72" s="32"/>
      <c r="CK72" s="32"/>
      <c r="CL72" s="32"/>
      <c r="CM72" s="32"/>
      <c r="CN72" s="32"/>
      <c r="CO72" s="32"/>
      <c r="CP72" s="32"/>
      <c r="CQ72" s="32"/>
      <c r="CR72" s="32"/>
      <c r="CS72" s="32"/>
      <c r="CT72" s="32"/>
      <c r="CU72" s="32"/>
      <c r="CV72" s="32"/>
      <c r="CW72" s="32"/>
      <c r="CX72" s="32"/>
      <c r="CY72" s="32"/>
      <c r="CZ72" s="32"/>
      <c r="DA72" s="32"/>
      <c r="DB72" s="32"/>
    </row>
    <row r="73" ht="15" customHeight="1" spans="1:106" x14ac:dyDescent="0.25">
      <c r="A73" s="16" t="s">
        <v>296</v>
      </c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</row>
    <row r="74" ht="15" customHeight="1" spans="1:106" x14ac:dyDescent="0.25">
      <c r="A74" s="16" t="s">
        <v>297</v>
      </c>
      <c r="B74" s="17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  <c r="BC74" s="50"/>
      <c r="BD74" s="50"/>
      <c r="BE74" s="50"/>
      <c r="BF74" s="50"/>
      <c r="BG74" s="50"/>
      <c r="BH74" s="50"/>
      <c r="BI74" s="50"/>
      <c r="BJ74" s="50"/>
      <c r="BK74" s="50"/>
      <c r="BL74" s="50"/>
      <c r="BM74" s="50"/>
      <c r="BN74" s="50"/>
      <c r="BO74" s="50"/>
      <c r="BP74" s="50"/>
      <c r="BQ74" s="50"/>
      <c r="BR74" s="50"/>
      <c r="BS74" s="50"/>
      <c r="BT74" s="50"/>
      <c r="BU74" s="50"/>
      <c r="BV74" s="50"/>
      <c r="BW74" s="50"/>
      <c r="BX74" s="50"/>
      <c r="BY74" s="50"/>
      <c r="BZ74" s="50"/>
      <c r="CA74" s="50"/>
      <c r="CB74" s="50"/>
      <c r="CC74" s="50"/>
      <c r="CD74" s="50"/>
      <c r="CE74" s="50"/>
      <c r="CF74" s="50"/>
      <c r="CG74" s="50"/>
      <c r="CH74" s="50"/>
      <c r="CI74" s="50"/>
      <c r="CJ74" s="50"/>
      <c r="CK74" s="50"/>
      <c r="CL74" s="50"/>
      <c r="CM74" s="50"/>
      <c r="CN74" s="50"/>
      <c r="CO74" s="50"/>
      <c r="CP74" s="50"/>
      <c r="CQ74" s="50"/>
      <c r="CR74" s="50"/>
      <c r="CS74" s="50"/>
      <c r="CT74" s="50"/>
      <c r="CU74" s="50"/>
      <c r="CV74" s="50"/>
      <c r="CW74" s="50"/>
      <c r="CX74" s="50"/>
      <c r="CY74" s="50"/>
      <c r="CZ74" s="50"/>
      <c r="DA74" s="50"/>
      <c r="DB74" s="50"/>
    </row>
    <row r="75" ht="15" customHeight="1" spans="1:106" x14ac:dyDescent="0.25">
      <c r="A75" s="51" t="s">
        <v>298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</row>
    <row r="76" ht="15" customHeight="1" spans="1:106" x14ac:dyDescent="0.25">
      <c r="A76" s="16" t="s">
        <v>299</v>
      </c>
      <c r="B76" s="17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50"/>
      <c r="AR76" s="50"/>
      <c r="AS76" s="50"/>
      <c r="AT76" s="50"/>
      <c r="AU76" s="50"/>
      <c r="AV76" s="50"/>
      <c r="AW76" s="50"/>
      <c r="AX76" s="50"/>
      <c r="AY76" s="50"/>
      <c r="AZ76" s="50"/>
      <c r="BA76" s="50"/>
      <c r="BB76" s="50"/>
      <c r="BC76" s="50"/>
      <c r="BD76" s="50"/>
      <c r="BE76" s="50"/>
      <c r="BF76" s="50"/>
      <c r="BG76" s="50"/>
      <c r="BH76" s="50"/>
      <c r="BI76" s="50"/>
      <c r="BJ76" s="50"/>
      <c r="BK76" s="50"/>
      <c r="BL76" s="50"/>
      <c r="BM76" s="50"/>
      <c r="BN76" s="50"/>
      <c r="BO76" s="50"/>
      <c r="BP76" s="50"/>
      <c r="BQ76" s="50"/>
      <c r="BR76" s="50"/>
      <c r="BS76" s="50"/>
      <c r="BT76" s="50"/>
      <c r="BU76" s="50"/>
      <c r="BV76" s="50"/>
      <c r="BW76" s="50"/>
      <c r="BX76" s="50"/>
      <c r="BY76" s="50"/>
      <c r="BZ76" s="50"/>
      <c r="CA76" s="50"/>
      <c r="CB76" s="50"/>
      <c r="CC76" s="50"/>
      <c r="CD76" s="50"/>
      <c r="CE76" s="50"/>
      <c r="CF76" s="50"/>
      <c r="CG76" s="50"/>
      <c r="CH76" s="50"/>
      <c r="CI76" s="50"/>
      <c r="CJ76" s="50"/>
      <c r="CK76" s="50"/>
      <c r="CL76" s="50"/>
      <c r="CM76" s="50"/>
      <c r="CN76" s="50"/>
      <c r="CO76" s="50"/>
      <c r="CP76" s="50"/>
      <c r="CQ76" s="50"/>
      <c r="CR76" s="50"/>
      <c r="CS76" s="50"/>
      <c r="CT76" s="50"/>
      <c r="CU76" s="50"/>
      <c r="CV76" s="50"/>
      <c r="CW76" s="50"/>
      <c r="CX76" s="50"/>
      <c r="CY76" s="50"/>
      <c r="CZ76" s="50"/>
      <c r="DA76" s="50"/>
      <c r="DB76" s="50"/>
    </row>
    <row r="77" ht="15" customHeight="1" spans="1:106" x14ac:dyDescent="0.25">
      <c r="A77" s="16" t="s">
        <v>300</v>
      </c>
      <c r="B77" s="17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50"/>
      <c r="BC77" s="50"/>
      <c r="BD77" s="50"/>
      <c r="BE77" s="50"/>
      <c r="BF77" s="50"/>
      <c r="BG77" s="50"/>
      <c r="BH77" s="50"/>
      <c r="BI77" s="50"/>
      <c r="BJ77" s="50"/>
      <c r="BK77" s="50"/>
      <c r="BL77" s="50"/>
      <c r="BM77" s="50"/>
      <c r="BN77" s="50"/>
      <c r="BO77" s="50"/>
      <c r="BP77" s="50"/>
      <c r="BQ77" s="50"/>
      <c r="BR77" s="50"/>
      <c r="BS77" s="50"/>
      <c r="BT77" s="50"/>
      <c r="BU77" s="50"/>
      <c r="BV77" s="50"/>
      <c r="BW77" s="50"/>
      <c r="BX77" s="50"/>
      <c r="BY77" s="50"/>
      <c r="BZ77" s="50"/>
      <c r="CA77" s="50"/>
      <c r="CB77" s="50"/>
      <c r="CC77" s="50"/>
      <c r="CD77" s="50"/>
      <c r="CE77" s="50"/>
      <c r="CF77" s="50"/>
      <c r="CG77" s="50"/>
      <c r="CH77" s="50"/>
      <c r="CI77" s="50"/>
      <c r="CJ77" s="50"/>
      <c r="CK77" s="50"/>
      <c r="CL77" s="50"/>
      <c r="CM77" s="50"/>
      <c r="CN77" s="50"/>
      <c r="CO77" s="50"/>
      <c r="CP77" s="50"/>
      <c r="CQ77" s="50"/>
      <c r="CR77" s="50"/>
      <c r="CS77" s="50"/>
      <c r="CT77" s="50"/>
      <c r="CU77" s="50"/>
      <c r="CV77" s="50"/>
      <c r="CW77" s="50"/>
      <c r="CX77" s="50"/>
      <c r="CY77" s="50"/>
      <c r="CZ77" s="50"/>
      <c r="DA77" s="50"/>
      <c r="DB77" s="50"/>
    </row>
    <row r="78" ht="15" customHeight="1" spans="1:106" x14ac:dyDescent="0.25">
      <c r="A78" s="16" t="s">
        <v>301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</row>
    <row r="79" spans="3:106" x14ac:dyDescent="0.25"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  <c r="BK79" s="30"/>
      <c r="BL79" s="30"/>
      <c r="BM79" s="30"/>
      <c r="BN79" s="30"/>
      <c r="BO79" s="30"/>
      <c r="BP79" s="30"/>
      <c r="BQ79" s="30"/>
      <c r="BR79" s="30"/>
      <c r="BS79" s="30"/>
      <c r="BT79" s="30"/>
      <c r="BU79" s="30"/>
      <c r="BV79" s="30"/>
      <c r="BW79" s="30"/>
      <c r="BX79" s="30"/>
      <c r="BY79" s="30"/>
      <c r="BZ79" s="30"/>
      <c r="CA79" s="30"/>
      <c r="CB79" s="30"/>
      <c r="CC79" s="30"/>
      <c r="CD79" s="30"/>
      <c r="CE79" s="30"/>
      <c r="CF79" s="30"/>
      <c r="CG79" s="30"/>
      <c r="CH79" s="30"/>
      <c r="CI79" s="30"/>
      <c r="CJ79" s="30"/>
      <c r="CK79" s="30"/>
      <c r="CL79" s="30"/>
      <c r="CM79" s="30"/>
      <c r="CN79" s="30"/>
      <c r="CO79" s="30"/>
      <c r="CP79" s="30"/>
      <c r="CQ79" s="30"/>
      <c r="CR79" s="30"/>
      <c r="CS79" s="30"/>
      <c r="CT79" s="30"/>
      <c r="CU79" s="30"/>
      <c r="CV79" s="30"/>
      <c r="CW79" s="30"/>
      <c r="CX79" s="30"/>
      <c r="CY79" s="30"/>
      <c r="CZ79" s="30"/>
      <c r="DA79" s="30"/>
      <c r="DB79" s="30"/>
    </row>
    <row r="80" spans="1:106" x14ac:dyDescent="0.25">
      <c r="A80" s="9" t="s">
        <v>302</v>
      </c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30"/>
      <c r="BN80" s="30"/>
      <c r="BO80" s="30"/>
      <c r="BP80" s="30"/>
      <c r="BQ80" s="30"/>
      <c r="BR80" s="30"/>
      <c r="BS80" s="30"/>
      <c r="BT80" s="30"/>
      <c r="BU80" s="30"/>
      <c r="BV80" s="30"/>
      <c r="BW80" s="30"/>
      <c r="BX80" s="30"/>
      <c r="BY80" s="30"/>
      <c r="BZ80" s="30"/>
      <c r="CA80" s="30"/>
      <c r="CB80" s="30"/>
      <c r="CC80" s="30"/>
      <c r="CD80" s="30"/>
      <c r="CE80" s="30"/>
      <c r="CF80" s="30"/>
      <c r="CG80" s="30"/>
      <c r="CH80" s="30"/>
      <c r="CI80" s="30"/>
      <c r="CJ80" s="30"/>
      <c r="CK80" s="30"/>
      <c r="CL80" s="30"/>
      <c r="CM80" s="30"/>
      <c r="CN80" s="30"/>
      <c r="CO80" s="30"/>
      <c r="CP80" s="30"/>
      <c r="CQ80" s="30"/>
      <c r="CR80" s="30"/>
      <c r="CS80" s="30"/>
      <c r="CT80" s="30"/>
      <c r="CU80" s="30"/>
      <c r="CV80" s="30"/>
      <c r="CW80" s="30"/>
      <c r="CX80" s="30"/>
      <c r="CY80" s="30"/>
      <c r="CZ80" s="30"/>
      <c r="DA80" s="30"/>
      <c r="DB80" s="30"/>
    </row>
    <row r="81" spans="1:106" x14ac:dyDescent="0.25">
      <c r="A81" s="33" t="s">
        <v>303</v>
      </c>
      <c r="B81" s="24"/>
      <c r="C81" s="63">
        <f>=SUM(C82:C91)</f>
        <v>0</v>
      </c>
      <c r="D81" s="63">
        <f>=SUM(D82:D91)</f>
        <v>0</v>
      </c>
      <c r="E81" s="63">
        <f>=SUM(E82:E91)</f>
        <v>0</v>
      </c>
      <c r="F81" s="63">
        <f>=SUM(F82:F91)</f>
        <v>0</v>
      </c>
      <c r="G81" s="63">
        <f>=SUM(G82:G91)</f>
        <v>0</v>
      </c>
      <c r="H81" s="63">
        <f>=SUM(H82:H91)</f>
        <v>0</v>
      </c>
      <c r="I81" s="63">
        <f>=SUM(I82:I91)</f>
        <v>0</v>
      </c>
      <c r="J81" s="63">
        <f>=SUM(J82:J91)</f>
        <v>0</v>
      </c>
      <c r="K81" s="63">
        <f>=SUM(K82:K91)</f>
        <v>0</v>
      </c>
      <c r="L81" s="63">
        <f>=SUM(L82:L91)</f>
        <v>0</v>
      </c>
      <c r="M81" s="63">
        <f>=SUM(M82:M91)</f>
        <v>0</v>
      </c>
      <c r="N81" s="63">
        <f>=SUM(N82:N91)</f>
        <v>0</v>
      </c>
      <c r="O81" s="63">
        <f>=SUM(O82:O91)</f>
        <v>0</v>
      </c>
      <c r="P81" s="63">
        <f>=SUM(P82:P91)</f>
        <v>0</v>
      </c>
      <c r="Q81" s="63">
        <f>=SUM(Q82:Q91)</f>
        <v>0</v>
      </c>
      <c r="R81" s="63">
        <f>=SUM(R82:R91)</f>
        <v>0</v>
      </c>
      <c r="S81" s="63">
        <f>=SUM(S82:S91)</f>
        <v>0</v>
      </c>
      <c r="T81" s="63">
        <f>=SUM(T82:T91)</f>
        <v>0</v>
      </c>
      <c r="U81" s="63">
        <f>=SUM(U82:U91)</f>
        <v>0</v>
      </c>
      <c r="V81" s="63">
        <f>=SUM(V82:V91)</f>
        <v>0</v>
      </c>
      <c r="W81" s="63">
        <f>=SUM(W82:W91)</f>
        <v>0</v>
      </c>
      <c r="X81" s="63">
        <f>=SUM(X82:X91)</f>
        <v>0</v>
      </c>
      <c r="Y81" s="63">
        <f>=SUM(Y82:Y91)</f>
        <v>0</v>
      </c>
      <c r="Z81" s="63">
        <f>=SUM(Z82:Z91)</f>
        <v>0</v>
      </c>
      <c r="AA81" s="63">
        <f>=SUM(AA82:AA91)</f>
        <v>0</v>
      </c>
      <c r="AB81" s="63">
        <f>=SUM(AB82:AB91)</f>
        <v>0</v>
      </c>
      <c r="AC81" s="63">
        <f>=SUM(AC82:AC91)</f>
        <v>0</v>
      </c>
      <c r="AD81" s="63">
        <f>=SUM(AD82:AD91)</f>
        <v>0</v>
      </c>
      <c r="AE81" s="63">
        <f>=SUM(AE82:AE91)</f>
        <v>0</v>
      </c>
      <c r="AF81" s="63">
        <f>=SUM(AF82:AF91)</f>
        <v>0</v>
      </c>
      <c r="AG81" s="54">
        <f>=SUM(AG82:AG91)</f>
        <v>3</v>
      </c>
      <c r="AH81" s="54">
        <f>=SUM(AH77:AH86)</f>
        <v>0</v>
      </c>
      <c r="AI81" s="54">
        <f>=SUM(AI82:AI91)</f>
        <v>2</v>
      </c>
      <c r="AJ81" s="54">
        <f>=SUM(AJ82:AJ91)</f>
        <v>1</v>
      </c>
      <c r="AK81" s="54">
        <f>=SUM(AK82:AK91)</f>
        <v>2</v>
      </c>
      <c r="AL81" s="54">
        <f>=SUM(AL82:AL91)</f>
        <v>1</v>
      </c>
      <c r="AM81" s="54">
        <f>=SUM(AM82:AM91)</f>
        <v>2</v>
      </c>
      <c r="AN81" s="54">
        <f>=SUM(AN82:AN91)</f>
        <v>2</v>
      </c>
      <c r="AO81" s="54">
        <f>=SUM(AO82:AO91)</f>
        <v>0</v>
      </c>
      <c r="AP81" s="54">
        <f>=SUM(AP82:AP91)</f>
        <v>3</v>
      </c>
      <c r="AQ81" s="54">
        <f>=SUM(AQ82:AQ91)</f>
        <v>8</v>
      </c>
      <c r="AR81" s="54">
        <f>=SUM(AR82:AR91)</f>
        <v>4</v>
      </c>
      <c r="AS81" s="54">
        <f>=SUM(AS82:AS91)</f>
        <v>0</v>
      </c>
      <c r="AT81" s="54">
        <f>=SUM(AT82:AT91)</f>
        <v>2</v>
      </c>
      <c r="AU81" s="54">
        <f>=SUM(AU82:AU91)</f>
        <v>0</v>
      </c>
      <c r="AV81" s="54">
        <f>=SUM(AV82:AV91)</f>
        <v>7</v>
      </c>
      <c r="AW81" s="54">
        <f>=SUM(AW82:AW91)</f>
        <v>1</v>
      </c>
      <c r="AX81" s="54">
        <f>=SUM(AX82:AX91)</f>
        <v>1</v>
      </c>
      <c r="AY81" s="54">
        <f>=SUM(AY82:AY91)</f>
        <v>6</v>
      </c>
      <c r="AZ81" s="54">
        <f>=SUM(AZ82:AZ91)</f>
        <v>3</v>
      </c>
      <c r="BA81" s="54">
        <f>=SUM(BA82:BA91)</f>
        <v>1</v>
      </c>
      <c r="BB81" s="54">
        <f>=SUM(BB82:BB91)</f>
        <v>0</v>
      </c>
      <c r="BC81" s="54">
        <f>=SUM(BC82:BC91)</f>
        <v>1</v>
      </c>
      <c r="BD81" s="54">
        <f>=SUM(BD82:BD91)</f>
        <v>2</v>
      </c>
      <c r="BE81" s="54">
        <f>=SUM(BE82:BE91)</f>
        <v>3</v>
      </c>
      <c r="BF81" s="54">
        <f>=SUM(BF82:BF91)</f>
        <v>1</v>
      </c>
      <c r="BG81" s="54">
        <f>=SUM(BG82:BG91)</f>
        <v>2</v>
      </c>
      <c r="BH81" s="54">
        <f>=SUM(BH82:BH91)</f>
        <v>28</v>
      </c>
      <c r="BI81" s="54">
        <f>=SUM(BI82:BI91)</f>
        <v>1</v>
      </c>
      <c r="BJ81" s="54">
        <f>=SUM(BJ82:BJ91)</f>
        <v>2</v>
      </c>
      <c r="BK81" s="54">
        <f>=SUM(BK82:BK91)</f>
        <v>3</v>
      </c>
      <c r="BL81" s="54">
        <f>=SUM(BL82:BL91)</f>
        <v>5</v>
      </c>
      <c r="BM81" s="54">
        <f>=SUM(BM82:BM91)</f>
        <v>31</v>
      </c>
      <c r="BN81" s="54">
        <f>=SUM(BN82:BN91)</f>
        <v>0</v>
      </c>
      <c r="BO81" s="54">
        <f>=SUM(BO82:BO91)</f>
        <v>0</v>
      </c>
      <c r="BP81" s="54">
        <f>=SUM(BP82:BP91)</f>
        <v>0</v>
      </c>
      <c r="BQ81" s="54">
        <f>=SUM(BQ82:BQ91)</f>
        <v>0</v>
      </c>
      <c r="BR81" s="54">
        <f>=SUM(BR82:BR91)</f>
        <v>0</v>
      </c>
      <c r="BS81" s="54">
        <f>=SUM(BS82:BS91)</f>
        <v>0</v>
      </c>
      <c r="BT81" s="54">
        <f>=SUM(BT82:BT91)</f>
        <v>0</v>
      </c>
      <c r="BU81" s="54">
        <f>=SUM(BU82:BU91)</f>
        <v>0</v>
      </c>
      <c r="BV81" s="54">
        <f>=SUM(BV82:BV91)</f>
        <v>0</v>
      </c>
      <c r="BW81" s="54">
        <f>=SUM(BW82:BW91)</f>
        <v>0</v>
      </c>
      <c r="BX81" s="54">
        <f>=SUM(BX82:BX91)</f>
        <v>0</v>
      </c>
      <c r="BY81" s="54">
        <f>=SUM(BY82:BY91)</f>
        <v>0</v>
      </c>
      <c r="BZ81" s="54">
        <f>=SUM(BZ82:BZ91)</f>
        <v>0</v>
      </c>
      <c r="CA81" s="54">
        <f>=SUM(CA82:CA91)</f>
        <v>0</v>
      </c>
      <c r="CB81" s="54">
        <f>=SUM(CB82:CB91)</f>
        <v>0</v>
      </c>
      <c r="CC81" s="54">
        <f>=SUM(CC82:CC91)</f>
        <v>0</v>
      </c>
      <c r="CD81" s="54">
        <f>=SUM(CD82:CD91)</f>
        <v>0</v>
      </c>
      <c r="CE81" s="54">
        <f>=SUM(CE82:CE91)</f>
        <v>0</v>
      </c>
      <c r="CF81" s="54">
        <f>=SUM(CF82:CF91)</f>
        <v>0</v>
      </c>
      <c r="CG81" s="54">
        <f>=SUM(CG82:CG91)</f>
        <v>0</v>
      </c>
      <c r="CH81" s="54">
        <f>=SUM(CH82:CH91)</f>
        <v>0</v>
      </c>
      <c r="CI81" s="54">
        <f>=SUM(CI82:CI91)</f>
        <v>0</v>
      </c>
      <c r="CJ81" s="54">
        <f>=SUM(CJ82:CJ91)</f>
        <v>0</v>
      </c>
      <c r="CK81" s="54">
        <f>=SUM(CK82:CK91)</f>
        <v>0</v>
      </c>
      <c r="CL81" s="54">
        <f>=SUM(CL82:CL91)</f>
        <v>0</v>
      </c>
      <c r="CM81" s="54">
        <f>=SUM(CM82:CM91)</f>
        <v>0</v>
      </c>
      <c r="CN81" s="54">
        <f>=SUM(CN82:CN91)</f>
        <v>0</v>
      </c>
      <c r="CO81" s="54">
        <f>=SUM(CO82:CO91)</f>
        <v>0</v>
      </c>
      <c r="CP81" s="54">
        <f>=SUM(CP82:CP91)</f>
        <v>0</v>
      </c>
      <c r="CQ81" s="54">
        <f>=SUM(CQ82:CQ91)</f>
        <v>0</v>
      </c>
      <c r="CR81" s="54">
        <f>=SUM(CR82:CR91)</f>
        <v>0</v>
      </c>
      <c r="CS81" s="54">
        <f>=SUM(CS82:CS91)</f>
        <v>0</v>
      </c>
      <c r="CT81" s="54">
        <f>=SUM(CT82:CT91)</f>
        <v>0</v>
      </c>
      <c r="CU81" s="54">
        <f>=SUM(CU82:CU91)</f>
        <v>0</v>
      </c>
      <c r="CV81" s="54">
        <f>=SUM(CV82:CV91)</f>
        <v>0</v>
      </c>
      <c r="CW81" s="54">
        <f>=SUM(CW82:CW91)</f>
        <v>0</v>
      </c>
      <c r="CX81" s="54">
        <f>=SUM(CX82:CX91)</f>
        <v>0</v>
      </c>
      <c r="CY81" s="54">
        <f>=SUM(CY82:CY91)</f>
        <v>0</v>
      </c>
      <c r="CZ81" s="54">
        <f>=SUM(CZ82:CZ91)</f>
        <v>0</v>
      </c>
      <c r="DA81" s="54">
        <f>=SUM(DA82:DA91)</f>
        <v>0</v>
      </c>
      <c r="DB81" s="54">
        <f>=SUM(DB82:DB91)</f>
        <v>0</v>
      </c>
    </row>
    <row r="82" spans="1:106" x14ac:dyDescent="0.25">
      <c r="A82" s="57" t="s">
        <v>304</v>
      </c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17">
        <v>0</v>
      </c>
      <c r="AH82" s="17">
        <v>0</v>
      </c>
      <c r="AI82" s="17">
        <v>0</v>
      </c>
      <c r="AJ82" s="17">
        <v>1</v>
      </c>
      <c r="AK82" s="17">
        <v>0</v>
      </c>
      <c r="AL82" s="17">
        <v>1</v>
      </c>
      <c r="AM82" s="17">
        <v>0</v>
      </c>
      <c r="AN82" s="17">
        <v>2</v>
      </c>
      <c r="AO82" s="17">
        <v>0</v>
      </c>
      <c r="AP82" s="17">
        <v>3</v>
      </c>
      <c r="AQ82" s="17">
        <v>1</v>
      </c>
      <c r="AR82" s="17">
        <v>0</v>
      </c>
      <c r="AS82" s="17">
        <v>0</v>
      </c>
      <c r="AT82" s="17">
        <v>1</v>
      </c>
      <c r="AU82" s="17">
        <v>0</v>
      </c>
      <c r="AV82" s="17">
        <v>0</v>
      </c>
      <c r="AW82" s="17">
        <v>1</v>
      </c>
      <c r="AX82" s="17">
        <v>1</v>
      </c>
      <c r="AY82" s="17">
        <v>0</v>
      </c>
      <c r="AZ82" s="17">
        <v>1</v>
      </c>
      <c r="BA82" s="17">
        <v>1</v>
      </c>
      <c r="BB82" s="17">
        <v>0</v>
      </c>
      <c r="BC82" s="17">
        <v>1</v>
      </c>
      <c r="BD82" s="17">
        <v>2</v>
      </c>
      <c r="BE82" s="17">
        <v>3</v>
      </c>
      <c r="BF82" s="17">
        <v>1</v>
      </c>
      <c r="BG82" s="17">
        <v>2</v>
      </c>
      <c r="BH82" s="17">
        <v>6</v>
      </c>
      <c r="BI82" s="17">
        <v>1</v>
      </c>
      <c r="BJ82" s="17">
        <v>2</v>
      </c>
      <c r="BK82" s="17">
        <v>3</v>
      </c>
      <c r="BL82" s="17">
        <v>5</v>
      </c>
      <c r="BM82" s="30">
        <v>3</v>
      </c>
      <c r="BN82" s="30"/>
      <c r="BO82" s="30"/>
      <c r="BP82" s="30"/>
      <c r="BQ82" s="30"/>
      <c r="BR82" s="30"/>
      <c r="BS82" s="30"/>
      <c r="BT82" s="30"/>
      <c r="BU82" s="30"/>
      <c r="BV82" s="30"/>
      <c r="BW82" s="30"/>
      <c r="BX82" s="30"/>
      <c r="BY82" s="30"/>
      <c r="BZ82" s="30"/>
      <c r="CA82" s="30"/>
      <c r="CB82" s="30"/>
      <c r="CC82" s="30"/>
      <c r="CD82" s="30"/>
      <c r="CE82" s="30"/>
      <c r="CF82" s="30"/>
      <c r="CG82" s="30"/>
      <c r="CH82" s="30"/>
      <c r="CI82" s="30"/>
      <c r="CJ82" s="30"/>
      <c r="CK82" s="30"/>
      <c r="CL82" s="30"/>
      <c r="CM82" s="30"/>
      <c r="CN82" s="30"/>
      <c r="CO82" s="30"/>
      <c r="CP82" s="30"/>
      <c r="CQ82" s="30"/>
      <c r="CR82" s="30"/>
      <c r="CS82" s="30"/>
      <c r="CT82" s="30"/>
      <c r="CU82" s="30"/>
      <c r="CV82" s="30"/>
      <c r="CW82" s="30"/>
      <c r="CX82" s="30"/>
      <c r="CY82" s="30"/>
      <c r="CZ82" s="30"/>
      <c r="DA82" s="30"/>
      <c r="DB82" s="30"/>
    </row>
    <row r="83" spans="1:106" x14ac:dyDescent="0.25">
      <c r="A83" s="57" t="s">
        <v>384</v>
      </c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0"/>
      <c r="AX83" s="30"/>
      <c r="AY83" s="30"/>
      <c r="AZ83" s="30"/>
      <c r="BA83" s="30"/>
      <c r="BB83" s="30"/>
      <c r="BC83" s="30"/>
      <c r="BD83" s="30"/>
      <c r="BE83" s="30"/>
      <c r="BF83" s="30"/>
      <c r="BG83" s="30"/>
      <c r="BH83" s="30"/>
      <c r="BI83" s="30"/>
      <c r="BJ83" s="30"/>
      <c r="BK83" s="30"/>
      <c r="BL83" s="30"/>
      <c r="BM83" s="30"/>
      <c r="BN83" s="30"/>
      <c r="BO83" s="30"/>
      <c r="BP83" s="30"/>
      <c r="BQ83" s="30"/>
      <c r="BR83" s="30"/>
      <c r="BS83" s="30"/>
      <c r="BT83" s="30"/>
      <c r="BU83" s="30"/>
      <c r="BV83" s="30"/>
      <c r="BW83" s="30"/>
      <c r="BX83" s="30"/>
      <c r="BY83" s="30"/>
      <c r="BZ83" s="30"/>
      <c r="CA83" s="30"/>
      <c r="CB83" s="30"/>
      <c r="CC83" s="30"/>
      <c r="CD83" s="30"/>
      <c r="CE83" s="30"/>
      <c r="CF83" s="30"/>
      <c r="CG83" s="30"/>
      <c r="CH83" s="30"/>
      <c r="CI83" s="30"/>
      <c r="CJ83" s="30"/>
      <c r="CK83" s="30"/>
      <c r="CL83" s="30"/>
      <c r="CM83" s="30"/>
      <c r="CN83" s="30"/>
      <c r="CO83" s="30"/>
      <c r="CP83" s="30"/>
      <c r="CQ83" s="30"/>
      <c r="CR83" s="30"/>
      <c r="CS83" s="30"/>
      <c r="CT83" s="30"/>
      <c r="CU83" s="30"/>
      <c r="CV83" s="30"/>
      <c r="CW83" s="30"/>
      <c r="CX83" s="30"/>
      <c r="CY83" s="30"/>
      <c r="CZ83" s="30"/>
      <c r="DA83" s="30"/>
      <c r="DB83" s="30"/>
    </row>
    <row r="84" spans="1:106" x14ac:dyDescent="0.25">
      <c r="A84" s="57" t="s">
        <v>306</v>
      </c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17">
        <v>3</v>
      </c>
      <c r="AH84" s="17">
        <v>1</v>
      </c>
      <c r="AI84" s="17">
        <v>2</v>
      </c>
      <c r="AJ84" s="17"/>
      <c r="AK84" s="17">
        <v>2</v>
      </c>
      <c r="AL84" s="17"/>
      <c r="AM84" s="17">
        <v>2</v>
      </c>
      <c r="AN84" s="17"/>
      <c r="AO84" s="17"/>
      <c r="AP84" s="17"/>
      <c r="AQ84" s="17"/>
      <c r="AR84" s="17"/>
      <c r="AS84" s="17"/>
      <c r="AT84" s="17">
        <v>1</v>
      </c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30"/>
      <c r="BN84" s="30"/>
      <c r="BO84" s="30"/>
      <c r="BP84" s="30"/>
      <c r="BQ84" s="30"/>
      <c r="BR84" s="30"/>
      <c r="BS84" s="30"/>
      <c r="BT84" s="30"/>
      <c r="BU84" s="30"/>
      <c r="BV84" s="30"/>
      <c r="BW84" s="30"/>
      <c r="BX84" s="30"/>
      <c r="BY84" s="30"/>
      <c r="BZ84" s="30"/>
      <c r="CA84" s="30"/>
      <c r="CB84" s="30"/>
      <c r="CC84" s="30"/>
      <c r="CD84" s="30"/>
      <c r="CE84" s="30"/>
      <c r="CF84" s="30"/>
      <c r="CG84" s="30"/>
      <c r="CH84" s="30"/>
      <c r="CI84" s="30"/>
      <c r="CJ84" s="30"/>
      <c r="CK84" s="30"/>
      <c r="CL84" s="30"/>
      <c r="CM84" s="30"/>
      <c r="CN84" s="30"/>
      <c r="CO84" s="30"/>
      <c r="CP84" s="30"/>
      <c r="CQ84" s="30"/>
      <c r="CR84" s="30"/>
      <c r="CS84" s="30"/>
      <c r="CT84" s="30"/>
      <c r="CU84" s="30"/>
      <c r="CV84" s="30"/>
      <c r="CW84" s="30"/>
      <c r="CX84" s="30"/>
      <c r="CY84" s="30"/>
      <c r="CZ84" s="30"/>
      <c r="DA84" s="30"/>
      <c r="DB84" s="30"/>
    </row>
    <row r="85" spans="1:106" x14ac:dyDescent="0.25">
      <c r="A85" s="57" t="s">
        <v>374</v>
      </c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17">
        <v>7</v>
      </c>
      <c r="AR85" s="17">
        <v>4</v>
      </c>
      <c r="AS85" s="17"/>
      <c r="AT85" s="17"/>
      <c r="AU85" s="17"/>
      <c r="AV85" s="17">
        <v>7</v>
      </c>
      <c r="AW85" s="17"/>
      <c r="AX85" s="17"/>
      <c r="AY85" s="17">
        <v>6</v>
      </c>
      <c r="AZ85" s="17">
        <v>2</v>
      </c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30"/>
      <c r="CD85" s="30"/>
      <c r="CE85" s="30"/>
      <c r="CF85" s="30"/>
      <c r="CG85" s="30"/>
      <c r="CH85" s="30"/>
      <c r="CI85" s="30"/>
      <c r="CJ85" s="30"/>
      <c r="CK85" s="30"/>
      <c r="CL85" s="30"/>
      <c r="CM85" s="30"/>
      <c r="CN85" s="30"/>
      <c r="CO85" s="30"/>
      <c r="CP85" s="30"/>
      <c r="CQ85" s="30"/>
      <c r="CR85" s="30"/>
      <c r="CS85" s="30"/>
      <c r="CT85" s="30"/>
      <c r="CU85" s="30"/>
      <c r="CV85" s="30"/>
      <c r="CW85" s="30"/>
      <c r="CX85" s="30"/>
      <c r="CY85" s="30"/>
      <c r="CZ85" s="30"/>
      <c r="DA85" s="30"/>
      <c r="DB85" s="30"/>
    </row>
    <row r="86" spans="1:106" x14ac:dyDescent="0.25">
      <c r="A86" s="57" t="s">
        <v>385</v>
      </c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30"/>
      <c r="BT86" s="30"/>
      <c r="BU86" s="30"/>
      <c r="BV86" s="30"/>
      <c r="BW86" s="30"/>
      <c r="BX86" s="30"/>
      <c r="BY86" s="30"/>
      <c r="BZ86" s="30"/>
      <c r="CA86" s="30"/>
      <c r="CB86" s="30"/>
      <c r="CC86" s="30"/>
      <c r="CD86" s="30"/>
      <c r="CE86" s="30"/>
      <c r="CF86" s="30"/>
      <c r="CG86" s="30"/>
      <c r="CH86" s="30"/>
      <c r="CI86" s="30"/>
      <c r="CJ86" s="30"/>
      <c r="CK86" s="30"/>
      <c r="CL86" s="30"/>
      <c r="CM86" s="30"/>
      <c r="CN86" s="30"/>
      <c r="CO86" s="30"/>
      <c r="CP86" s="30"/>
      <c r="CQ86" s="30"/>
      <c r="CR86" s="30"/>
      <c r="CS86" s="30"/>
      <c r="CT86" s="30"/>
      <c r="CU86" s="30"/>
      <c r="CV86" s="30"/>
      <c r="CW86" s="30"/>
      <c r="CX86" s="30"/>
      <c r="CY86" s="30"/>
      <c r="CZ86" s="30"/>
      <c r="DA86" s="30"/>
      <c r="DB86" s="30"/>
    </row>
    <row r="87" spans="1:106" x14ac:dyDescent="0.25">
      <c r="A87" s="57" t="s">
        <v>386</v>
      </c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  <c r="AX87" s="30"/>
      <c r="AY87" s="30"/>
      <c r="AZ87" s="30"/>
      <c r="BA87" s="30"/>
      <c r="BB87" s="30"/>
      <c r="BC87" s="30"/>
      <c r="BD87" s="30"/>
      <c r="BE87" s="30"/>
      <c r="BF87" s="30"/>
      <c r="BG87" s="30"/>
      <c r="BH87" s="30"/>
      <c r="BI87" s="30"/>
      <c r="BJ87" s="30"/>
      <c r="BK87" s="30"/>
      <c r="BL87" s="30"/>
      <c r="BM87" s="30"/>
      <c r="BN87" s="30"/>
      <c r="BO87" s="30"/>
      <c r="BP87" s="30"/>
      <c r="BQ87" s="30"/>
      <c r="BR87" s="30"/>
      <c r="BS87" s="30"/>
      <c r="BT87" s="30"/>
      <c r="BU87" s="30"/>
      <c r="BV87" s="30"/>
      <c r="BW87" s="30"/>
      <c r="BX87" s="30"/>
      <c r="BY87" s="30"/>
      <c r="BZ87" s="30"/>
      <c r="CA87" s="30"/>
      <c r="CB87" s="30"/>
      <c r="CC87" s="30"/>
      <c r="CD87" s="30"/>
      <c r="CE87" s="30"/>
      <c r="CF87" s="30"/>
      <c r="CG87" s="30"/>
      <c r="CH87" s="30"/>
      <c r="CI87" s="30"/>
      <c r="CJ87" s="30"/>
      <c r="CK87" s="30"/>
      <c r="CL87" s="30"/>
      <c r="CM87" s="30"/>
      <c r="CN87" s="30"/>
      <c r="CO87" s="30"/>
      <c r="CP87" s="30"/>
      <c r="CQ87" s="30"/>
      <c r="CR87" s="30"/>
      <c r="CS87" s="30"/>
      <c r="CT87" s="30"/>
      <c r="CU87" s="30"/>
      <c r="CV87" s="30"/>
      <c r="CW87" s="30"/>
      <c r="CX87" s="30"/>
      <c r="CY87" s="30"/>
      <c r="CZ87" s="30"/>
      <c r="DA87" s="30"/>
      <c r="DB87" s="30"/>
    </row>
    <row r="88" spans="1:106" x14ac:dyDescent="0.25">
      <c r="A88" s="57" t="s">
        <v>387</v>
      </c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>
        <v>22</v>
      </c>
      <c r="BI88" s="30"/>
      <c r="BJ88" s="30"/>
      <c r="BK88" s="30"/>
      <c r="BL88" s="30"/>
      <c r="BM88" s="30"/>
      <c r="BN88" s="30"/>
      <c r="BO88" s="30"/>
      <c r="BP88" s="30"/>
      <c r="BQ88" s="30"/>
      <c r="BR88" s="30"/>
      <c r="BS88" s="30"/>
      <c r="BT88" s="30"/>
      <c r="BU88" s="30"/>
      <c r="BV88" s="30"/>
      <c r="BW88" s="30"/>
      <c r="BX88" s="30"/>
      <c r="BY88" s="30"/>
      <c r="BZ88" s="30"/>
      <c r="CA88" s="30"/>
      <c r="CB88" s="30"/>
      <c r="CC88" s="30"/>
      <c r="CD88" s="30"/>
      <c r="CE88" s="30"/>
      <c r="CF88" s="30"/>
      <c r="CG88" s="30"/>
      <c r="CH88" s="30"/>
      <c r="CI88" s="30"/>
      <c r="CJ88" s="30"/>
      <c r="CK88" s="30"/>
      <c r="CL88" s="30"/>
      <c r="CM88" s="30"/>
      <c r="CN88" s="30"/>
      <c r="CO88" s="30"/>
      <c r="CP88" s="30"/>
      <c r="CQ88" s="30"/>
      <c r="CR88" s="30"/>
      <c r="CS88" s="30"/>
      <c r="CT88" s="30"/>
      <c r="CU88" s="30"/>
      <c r="CV88" s="30"/>
      <c r="CW88" s="30"/>
      <c r="CX88" s="30"/>
      <c r="CY88" s="30"/>
      <c r="CZ88" s="30"/>
      <c r="DA88" s="30"/>
      <c r="DB88" s="30"/>
    </row>
    <row r="89" spans="1:106" x14ac:dyDescent="0.25">
      <c r="A89" s="57" t="s">
        <v>388</v>
      </c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  <c r="AX89" s="30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30"/>
      <c r="BN89" s="30"/>
      <c r="BO89" s="30"/>
      <c r="BP89" s="30"/>
      <c r="BQ89" s="30"/>
      <c r="BR89" s="30"/>
      <c r="BS89" s="30"/>
      <c r="BT89" s="30"/>
      <c r="BU89" s="30"/>
      <c r="BV89" s="30"/>
      <c r="BW89" s="30"/>
      <c r="BX89" s="30"/>
      <c r="BY89" s="30"/>
      <c r="BZ89" s="30"/>
      <c r="CA89" s="30"/>
      <c r="CB89" s="30"/>
      <c r="CC89" s="30"/>
      <c r="CD89" s="30"/>
      <c r="CE89" s="30"/>
      <c r="CF89" s="30"/>
      <c r="CG89" s="30"/>
      <c r="CH89" s="30"/>
      <c r="CI89" s="30"/>
      <c r="CJ89" s="30"/>
      <c r="CK89" s="30"/>
      <c r="CL89" s="30"/>
      <c r="CM89" s="30"/>
      <c r="CN89" s="30"/>
      <c r="CO89" s="30"/>
      <c r="CP89" s="30"/>
      <c r="CQ89" s="30"/>
      <c r="CR89" s="30"/>
      <c r="CS89" s="30"/>
      <c r="CT89" s="30"/>
      <c r="CU89" s="30"/>
      <c r="CV89" s="30"/>
      <c r="CW89" s="30"/>
      <c r="CX89" s="30"/>
      <c r="CY89" s="30"/>
      <c r="CZ89" s="30"/>
      <c r="DA89" s="30"/>
      <c r="DB89" s="30"/>
    </row>
    <row r="90" spans="1:106" x14ac:dyDescent="0.25">
      <c r="A90" s="57" t="s">
        <v>389</v>
      </c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30"/>
      <c r="BN90" s="30"/>
      <c r="BO90" s="30"/>
      <c r="BP90" s="30"/>
      <c r="BQ90" s="30"/>
      <c r="BR90" s="30"/>
      <c r="BS90" s="30"/>
      <c r="BT90" s="30"/>
      <c r="BU90" s="30"/>
      <c r="BV90" s="30"/>
      <c r="BW90" s="30"/>
      <c r="BX90" s="30"/>
      <c r="BY90" s="30"/>
      <c r="BZ90" s="30"/>
      <c r="CA90" s="30"/>
      <c r="CB90" s="30"/>
      <c r="CC90" s="30"/>
      <c r="CD90" s="30"/>
      <c r="CE90" s="30"/>
      <c r="CF90" s="30"/>
      <c r="CG90" s="30"/>
      <c r="CH90" s="30"/>
      <c r="CI90" s="30"/>
      <c r="CJ90" s="30"/>
      <c r="CK90" s="30"/>
      <c r="CL90" s="30"/>
      <c r="CM90" s="30"/>
      <c r="CN90" s="30"/>
      <c r="CO90" s="30"/>
      <c r="CP90" s="30"/>
      <c r="CQ90" s="30"/>
      <c r="CR90" s="30"/>
      <c r="CS90" s="30"/>
      <c r="CT90" s="30"/>
      <c r="CU90" s="30"/>
      <c r="CV90" s="30"/>
      <c r="CW90" s="30"/>
      <c r="CX90" s="30"/>
      <c r="CY90" s="30"/>
      <c r="CZ90" s="30"/>
      <c r="DA90" s="30"/>
      <c r="DB90" s="30"/>
    </row>
    <row r="91" spans="1:106" x14ac:dyDescent="0.25">
      <c r="A91" s="57" t="s">
        <v>320</v>
      </c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30"/>
      <c r="AW91" s="30"/>
      <c r="AX91" s="30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30">
        <v>28</v>
      </c>
      <c r="BN91" s="30"/>
      <c r="BO91" s="30"/>
      <c r="BP91" s="30"/>
      <c r="BQ91" s="30"/>
      <c r="BR91" s="30"/>
      <c r="BS91" s="30"/>
      <c r="BT91" s="30"/>
      <c r="BU91" s="30"/>
      <c r="BV91" s="30"/>
      <c r="BW91" s="30"/>
      <c r="BX91" s="30"/>
      <c r="BY91" s="30"/>
      <c r="BZ91" s="30"/>
      <c r="CA91" s="30"/>
      <c r="CB91" s="30"/>
      <c r="CC91" s="30"/>
      <c r="CD91" s="30"/>
      <c r="CE91" s="30"/>
      <c r="CF91" s="30"/>
      <c r="CG91" s="30"/>
      <c r="CH91" s="30"/>
      <c r="CI91" s="30"/>
      <c r="CJ91" s="30"/>
      <c r="CK91" s="30"/>
      <c r="CL91" s="30"/>
      <c r="CM91" s="30"/>
      <c r="CN91" s="30"/>
      <c r="CO91" s="30"/>
      <c r="CP91" s="30"/>
      <c r="CQ91" s="30"/>
      <c r="CR91" s="30"/>
      <c r="CS91" s="30"/>
      <c r="CT91" s="30"/>
      <c r="CU91" s="30"/>
      <c r="CV91" s="30"/>
      <c r="CW91" s="30"/>
      <c r="CX91" s="30"/>
      <c r="CY91" s="30"/>
      <c r="CZ91" s="30"/>
      <c r="DA91" s="30"/>
      <c r="DB91" s="30"/>
    </row>
    <row r="92" spans="1:106" x14ac:dyDescent="0.25">
      <c r="A92" s="33" t="s">
        <v>321</v>
      </c>
      <c r="B92" s="24"/>
      <c r="C92" s="63">
        <f>=SUM(C93:C99)</f>
        <v>0</v>
      </c>
      <c r="D92" s="63">
        <f>=SUM(D93:D99)</f>
        <v>0</v>
      </c>
      <c r="E92" s="63">
        <f>=SUM(E93:E99)</f>
        <v>0</v>
      </c>
      <c r="F92" s="63">
        <f>=SUM(F93:F99)</f>
        <v>0</v>
      </c>
      <c r="G92" s="63">
        <f>=SUM(G93:G99)</f>
        <v>0</v>
      </c>
      <c r="H92" s="63">
        <f>=SUM(H93:H99)</f>
        <v>0</v>
      </c>
      <c r="I92" s="63">
        <f>=SUM(I93:I99)</f>
        <v>0</v>
      </c>
      <c r="J92" s="63">
        <f>=SUM(J93:J99)</f>
        <v>0</v>
      </c>
      <c r="K92" s="63">
        <f>=SUM(K93:K99)</f>
        <v>0</v>
      </c>
      <c r="L92" s="63">
        <f>=SUM(L93:L99)</f>
        <v>0</v>
      </c>
      <c r="M92" s="63">
        <f>=SUM(M93:M99)</f>
        <v>0</v>
      </c>
      <c r="N92" s="63">
        <f>=SUM(N93:N99)</f>
        <v>0</v>
      </c>
      <c r="O92" s="63">
        <f>=SUM(O93:O99)</f>
        <v>0</v>
      </c>
      <c r="P92" s="63">
        <f>=SUM(P93:P99)</f>
        <v>0</v>
      </c>
      <c r="Q92" s="63">
        <f>=SUM(Q93:Q99)</f>
        <v>0</v>
      </c>
      <c r="R92" s="63">
        <f>=SUM(R93:R99)</f>
        <v>0</v>
      </c>
      <c r="S92" s="63">
        <f>=SUM(S93:S99)</f>
        <v>0</v>
      </c>
      <c r="T92" s="63">
        <f>=SUM(T93:T99)</f>
        <v>0</v>
      </c>
      <c r="U92" s="63">
        <f>=SUM(U93:U99)</f>
        <v>0</v>
      </c>
      <c r="V92" s="63">
        <f>=SUM(V93:V99)</f>
        <v>0</v>
      </c>
      <c r="W92" s="63">
        <f>=SUM(W93:W99)</f>
        <v>0</v>
      </c>
      <c r="X92" s="63">
        <f>=SUM(X93:X99)</f>
        <v>0</v>
      </c>
      <c r="Y92" s="63">
        <f>=SUM(Y93:Y99)</f>
        <v>0</v>
      </c>
      <c r="Z92" s="63">
        <f>=SUM(Z93:Z99)</f>
        <v>0</v>
      </c>
      <c r="AA92" s="63">
        <f>=SUM(AA93:AA99)</f>
        <v>0</v>
      </c>
      <c r="AB92" s="63">
        <f>=SUM(AB93:AB99)</f>
        <v>0</v>
      </c>
      <c r="AC92" s="63">
        <f>=SUM(AC93:AC99)</f>
        <v>0</v>
      </c>
      <c r="AD92" s="63">
        <f>=SUM(AD93:AD99)</f>
        <v>0</v>
      </c>
      <c r="AE92" s="63">
        <f>=SUM(AE93:AE99)</f>
        <v>0</v>
      </c>
      <c r="AF92" s="63">
        <f>=SUM(AF93:AF99)</f>
        <v>0</v>
      </c>
      <c r="AG92" s="63">
        <f>=SUM(AG93:AG99)</f>
        <v>64</v>
      </c>
      <c r="AH92" s="63">
        <f>=SUM(AH93:AH99)</f>
        <v>2</v>
      </c>
      <c r="AI92" s="63">
        <f>=SUM(AI93:AI99)</f>
        <v>1</v>
      </c>
      <c r="AJ92" s="54">
        <f>=SUM(AJ93:AJ99)</f>
        <v>1</v>
      </c>
      <c r="AK92" s="54">
        <f>=SUM(AK93:AK99)</f>
        <v>5</v>
      </c>
      <c r="AL92" s="54">
        <f>=SUM(AL93:AL99)</f>
        <v>2</v>
      </c>
      <c r="AM92" s="54">
        <f>=SUM(AM93:AM99)</f>
        <v>1</v>
      </c>
      <c r="AN92" s="54">
        <f>=SUM(AN93:AN99)</f>
        <v>1</v>
      </c>
      <c r="AO92" s="54">
        <f>=SUM(AO93:AO99)</f>
        <v>32</v>
      </c>
      <c r="AP92" s="54">
        <f>=SUM(AP93:AP99)</f>
        <v>2</v>
      </c>
      <c r="AQ92" s="54">
        <f>=SUM(AQ93:AQ99)</f>
        <v>0</v>
      </c>
      <c r="AR92" s="54">
        <f>=SUM(AR93:AR99)</f>
        <v>26</v>
      </c>
      <c r="AS92" s="54">
        <f>=SUM(AS93:AS99)</f>
        <v>0</v>
      </c>
      <c r="AT92" s="54">
        <f>=SUM(AT93:AT99)</f>
        <v>0</v>
      </c>
      <c r="AU92" s="54">
        <f>=SUM(AU93:AU99)</f>
        <v>0</v>
      </c>
      <c r="AV92" s="54">
        <f>=SUM(AV93:AV99)</f>
        <v>10</v>
      </c>
      <c r="AW92" s="54">
        <f>=SUM(AW93:AW99)</f>
        <v>0</v>
      </c>
      <c r="AX92" s="54">
        <f>=SUM(AX93:AX99)</f>
        <v>1</v>
      </c>
      <c r="AY92" s="54">
        <f>=SUM(AY93:AY99)</f>
        <v>13</v>
      </c>
      <c r="AZ92" s="54">
        <f>=SUM(AZ93:AZ99)</f>
        <v>0</v>
      </c>
      <c r="BA92" s="54">
        <f>=SUM(BA93:BA99)</f>
        <v>0</v>
      </c>
      <c r="BB92" s="54">
        <f>=SUM(BB93:BB99)</f>
        <v>0</v>
      </c>
      <c r="BC92" s="54">
        <f>=SUM(BC93:BC99)</f>
        <v>17</v>
      </c>
      <c r="BD92" s="54">
        <f>=SUM(BD93:BD99)</f>
        <v>4</v>
      </c>
      <c r="BE92" s="54">
        <f>=SUM(BE93:BE99)</f>
        <v>2</v>
      </c>
      <c r="BF92" s="54">
        <f>=SUM(BF93:BF99)</f>
        <v>4</v>
      </c>
      <c r="BG92" s="54">
        <f>=SUM(BG93:BG99)</f>
        <v>0</v>
      </c>
      <c r="BH92" s="54">
        <f>=SUM(BH93:BH99)</f>
        <v>15</v>
      </c>
      <c r="BI92" s="54">
        <f>=SUM(BI93:BI99)</f>
        <v>1</v>
      </c>
      <c r="BJ92" s="54">
        <f>=SUM(BJ93:BJ99)</f>
        <v>2</v>
      </c>
      <c r="BK92" s="54">
        <f>=SUM(BK93:BK99)</f>
        <v>2</v>
      </c>
      <c r="BL92" s="54">
        <f>=SUM(BL93:BL99)</f>
        <v>28</v>
      </c>
      <c r="BM92" s="54">
        <f>=SUM(BM93:BM99)</f>
        <v>30</v>
      </c>
      <c r="BN92" s="54">
        <f>=SUM(BN93:BN99)</f>
        <v>0</v>
      </c>
      <c r="BO92" s="54">
        <f>=SUM(BO93:BO99)</f>
        <v>0</v>
      </c>
      <c r="BP92" s="54">
        <f>=SUM(BP93:BP99)</f>
        <v>0</v>
      </c>
      <c r="BQ92" s="54">
        <f>=SUM(BQ93:BQ99)</f>
        <v>0</v>
      </c>
      <c r="BR92" s="54">
        <f>=SUM(BR93:BR99)</f>
        <v>0</v>
      </c>
      <c r="BS92" s="54">
        <f>=SUM(BS93:BS99)</f>
        <v>0</v>
      </c>
      <c r="BT92" s="54">
        <f>=SUM(BT93:BT99)</f>
        <v>0</v>
      </c>
      <c r="BU92" s="54">
        <f>=SUM(BU93:BU99)</f>
        <v>3</v>
      </c>
      <c r="BV92" s="54">
        <f>=SUM(BV93:BV99)</f>
        <v>0</v>
      </c>
      <c r="BW92" s="54">
        <f>=SUM(BW93:BW99)</f>
        <v>0</v>
      </c>
      <c r="BX92" s="54">
        <f>=SUM(BX93:BX99)</f>
        <v>0</v>
      </c>
      <c r="BY92" s="54">
        <f>=SUM(BY93:BY99)</f>
        <v>0</v>
      </c>
      <c r="BZ92" s="54">
        <f>=SUM(BZ93:BZ99)</f>
        <v>5</v>
      </c>
      <c r="CA92" s="54">
        <f>=SUM(CA93:CA99)</f>
        <v>0</v>
      </c>
      <c r="CB92" s="54">
        <f>=SUM(CB93:CB99)</f>
        <v>0</v>
      </c>
      <c r="CC92" s="54">
        <f>=SUM(CC93:CC99)</f>
        <v>0</v>
      </c>
      <c r="CD92" s="54">
        <f>=SUM(CD93:CD99)</f>
        <v>0</v>
      </c>
      <c r="CE92" s="54">
        <f>=SUM(CE93:CE99)</f>
        <v>0</v>
      </c>
      <c r="CF92" s="54">
        <f>=SUM(CF93:CF99)</f>
        <v>0</v>
      </c>
      <c r="CG92" s="54">
        <f>=SUM(CG93:CG99)</f>
        <v>0</v>
      </c>
      <c r="CH92" s="54">
        <f>=SUM(CH93:CH99)</f>
        <v>0</v>
      </c>
      <c r="CI92" s="54">
        <f>=SUM(CI93:CI99)</f>
        <v>0</v>
      </c>
      <c r="CJ92" s="54">
        <f>=SUM(CJ93:CJ99)</f>
        <v>0</v>
      </c>
      <c r="CK92" s="54">
        <f>=SUM(CK93:CK99)</f>
        <v>0</v>
      </c>
      <c r="CL92" s="54">
        <f>=SUM(CL93:CL99)</f>
        <v>0</v>
      </c>
      <c r="CM92" s="54">
        <f>=SUM(CM93:CM99)</f>
        <v>0</v>
      </c>
      <c r="CN92" s="54">
        <f>=SUM(CN93:CN99)</f>
        <v>0</v>
      </c>
      <c r="CO92" s="54">
        <f>=SUM(CO93:CO99)</f>
        <v>0</v>
      </c>
      <c r="CP92" s="54">
        <f>=SUM(CP93:CP99)</f>
        <v>0</v>
      </c>
      <c r="CQ92" s="54">
        <f>=SUM(CQ93:CQ99)</f>
        <v>0</v>
      </c>
      <c r="CR92" s="54">
        <f>=SUM(CR93:CR99)</f>
        <v>0</v>
      </c>
      <c r="CS92" s="54">
        <f>=SUM(CS93:CS99)</f>
        <v>0</v>
      </c>
      <c r="CT92" s="54">
        <f>=SUM(CT93:CT99)</f>
        <v>0</v>
      </c>
      <c r="CU92" s="54">
        <f>=SUM(CU93:CU99)</f>
        <v>0</v>
      </c>
      <c r="CV92" s="54">
        <f>=SUM(CV93:CV99)</f>
        <v>0</v>
      </c>
      <c r="CW92" s="54">
        <f>=SUM(CW93:CW99)</f>
        <v>0</v>
      </c>
      <c r="CX92" s="54">
        <f>=SUM(CX93:CX99)</f>
        <v>0</v>
      </c>
      <c r="CY92" s="54">
        <f>=SUM(CY93:CY99)</f>
        <v>0</v>
      </c>
      <c r="CZ92" s="54">
        <f>=SUM(CZ93:CZ99)</f>
        <v>0</v>
      </c>
      <c r="DA92" s="54">
        <f>=SUM(DA93:DA99)</f>
        <v>0</v>
      </c>
      <c r="DB92" s="54">
        <f>=SUM(DB93:DB99)</f>
        <v>0</v>
      </c>
    </row>
    <row r="93" spans="1:106" x14ac:dyDescent="0.25">
      <c r="A93" s="57" t="s">
        <v>322</v>
      </c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17"/>
      <c r="AH93" s="17">
        <v>2</v>
      </c>
      <c r="AI93" s="17">
        <v>1</v>
      </c>
      <c r="AJ93" s="17">
        <v>1</v>
      </c>
      <c r="AK93" s="17">
        <v>0</v>
      </c>
      <c r="AL93" s="17">
        <v>2</v>
      </c>
      <c r="AM93" s="17">
        <v>1</v>
      </c>
      <c r="AN93" s="17">
        <v>1</v>
      </c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>
        <v>1</v>
      </c>
      <c r="BE93" s="17"/>
      <c r="BF93" s="17"/>
      <c r="BG93" s="17"/>
      <c r="BH93" s="17">
        <v>1</v>
      </c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30"/>
      <c r="CE93" s="30"/>
      <c r="CF93" s="30"/>
      <c r="CG93" s="30"/>
      <c r="CH93" s="30"/>
      <c r="CI93" s="30"/>
      <c r="CJ93" s="30"/>
      <c r="CK93" s="30"/>
      <c r="CL93" s="30"/>
      <c r="CM93" s="30"/>
      <c r="CN93" s="30"/>
      <c r="CO93" s="30"/>
      <c r="CP93" s="30"/>
      <c r="CQ93" s="30"/>
      <c r="CR93" s="30"/>
      <c r="CS93" s="30"/>
      <c r="CT93" s="30"/>
      <c r="CU93" s="30"/>
      <c r="CV93" s="30"/>
      <c r="CW93" s="30"/>
      <c r="CX93" s="30"/>
      <c r="CY93" s="30"/>
      <c r="CZ93" s="30"/>
      <c r="DA93" s="30"/>
      <c r="DB93" s="30"/>
    </row>
    <row r="94" spans="1:106" x14ac:dyDescent="0.25">
      <c r="A94" s="57" t="s">
        <v>377</v>
      </c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>
        <v>1</v>
      </c>
      <c r="AY94" s="17"/>
      <c r="AZ94" s="17"/>
      <c r="BA94" s="17"/>
      <c r="BB94" s="17"/>
      <c r="BC94" s="17"/>
      <c r="BD94" s="17">
        <v>3</v>
      </c>
      <c r="BE94" s="17">
        <v>1</v>
      </c>
      <c r="BF94" s="17">
        <v>2</v>
      </c>
      <c r="BG94" s="17"/>
      <c r="BH94" s="17"/>
      <c r="BI94" s="17"/>
      <c r="BJ94" s="17"/>
      <c r="BK94" s="17"/>
      <c r="BL94" s="17">
        <v>1</v>
      </c>
      <c r="BM94" s="17">
        <v>2</v>
      </c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30"/>
      <c r="CE94" s="30"/>
      <c r="CF94" s="30"/>
      <c r="CG94" s="30"/>
      <c r="CH94" s="30"/>
      <c r="CI94" s="30"/>
      <c r="CJ94" s="30"/>
      <c r="CK94" s="30"/>
      <c r="CL94" s="30"/>
      <c r="CM94" s="30"/>
      <c r="CN94" s="30"/>
      <c r="CO94" s="30"/>
      <c r="CP94" s="30"/>
      <c r="CQ94" s="30"/>
      <c r="CR94" s="30"/>
      <c r="CS94" s="30"/>
      <c r="CT94" s="30"/>
      <c r="CU94" s="30"/>
      <c r="CV94" s="30"/>
      <c r="CW94" s="30"/>
      <c r="CX94" s="30"/>
      <c r="CY94" s="30"/>
      <c r="CZ94" s="30"/>
      <c r="DA94" s="30"/>
      <c r="DB94" s="30"/>
    </row>
    <row r="95" spans="1:106" x14ac:dyDescent="0.25">
      <c r="A95" s="57" t="s">
        <v>390</v>
      </c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17"/>
      <c r="AH95" s="17"/>
      <c r="AI95" s="17"/>
      <c r="AJ95" s="17"/>
      <c r="AK95" s="17">
        <v>2</v>
      </c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>
        <v>1</v>
      </c>
      <c r="BG95" s="17"/>
      <c r="BH95" s="17"/>
      <c r="BI95" s="17"/>
      <c r="BJ95" s="17"/>
      <c r="BK95" s="17">
        <v>2</v>
      </c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30"/>
      <c r="CF95" s="30"/>
      <c r="CG95" s="30"/>
      <c r="CH95" s="30"/>
      <c r="CI95" s="30"/>
      <c r="CJ95" s="30"/>
      <c r="CK95" s="30"/>
      <c r="CL95" s="30"/>
      <c r="CM95" s="30"/>
      <c r="CN95" s="30"/>
      <c r="CO95" s="30"/>
      <c r="CP95" s="30"/>
      <c r="CQ95" s="30"/>
      <c r="CR95" s="30"/>
      <c r="CS95" s="30"/>
      <c r="CT95" s="30"/>
      <c r="CU95" s="30"/>
      <c r="CV95" s="30"/>
      <c r="CW95" s="30"/>
      <c r="CX95" s="30"/>
      <c r="CY95" s="30"/>
      <c r="CZ95" s="30"/>
      <c r="DA95" s="30"/>
      <c r="DB95" s="30"/>
    </row>
    <row r="96" spans="1:106" x14ac:dyDescent="0.25">
      <c r="A96" s="57" t="s">
        <v>326</v>
      </c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>
        <v>26</v>
      </c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>
        <v>1</v>
      </c>
      <c r="BJ96" s="17">
        <v>2</v>
      </c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30"/>
      <c r="CE96" s="30"/>
      <c r="CF96" s="30"/>
      <c r="CG96" s="30"/>
      <c r="CH96" s="30"/>
      <c r="CI96" s="30"/>
      <c r="CJ96" s="30"/>
      <c r="CK96" s="30"/>
      <c r="CL96" s="30"/>
      <c r="CM96" s="30"/>
      <c r="CN96" s="30"/>
      <c r="CO96" s="30"/>
      <c r="CP96" s="30"/>
      <c r="CQ96" s="30"/>
      <c r="CR96" s="30"/>
      <c r="CS96" s="30"/>
      <c r="CT96" s="30"/>
      <c r="CU96" s="30"/>
      <c r="CV96" s="30"/>
      <c r="CW96" s="30"/>
      <c r="CX96" s="30"/>
      <c r="CY96" s="30"/>
      <c r="CZ96" s="30"/>
      <c r="DA96" s="30"/>
      <c r="DB96" s="30"/>
    </row>
    <row r="97" spans="1:106" x14ac:dyDescent="0.25">
      <c r="A97" s="57" t="s">
        <v>385</v>
      </c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17">
        <v>64</v>
      </c>
      <c r="AH97" s="17">
        <v>0</v>
      </c>
      <c r="AI97" s="17">
        <v>0</v>
      </c>
      <c r="AJ97" s="17">
        <v>0</v>
      </c>
      <c r="AK97" s="17">
        <v>3</v>
      </c>
      <c r="AL97" s="17">
        <v>0</v>
      </c>
      <c r="AM97" s="17">
        <v>0</v>
      </c>
      <c r="AN97" s="17">
        <v>0</v>
      </c>
      <c r="AO97" s="17">
        <v>32</v>
      </c>
      <c r="AP97" s="17">
        <v>2</v>
      </c>
      <c r="AQ97" s="17">
        <v>0</v>
      </c>
      <c r="AR97" s="17">
        <v>0</v>
      </c>
      <c r="AS97" s="17">
        <v>0</v>
      </c>
      <c r="AT97" s="17">
        <v>0</v>
      </c>
      <c r="AU97" s="17">
        <v>0</v>
      </c>
      <c r="AV97" s="17">
        <v>10</v>
      </c>
      <c r="AW97" s="17">
        <v>0</v>
      </c>
      <c r="AX97" s="17">
        <v>0</v>
      </c>
      <c r="AY97" s="17">
        <v>13</v>
      </c>
      <c r="AZ97" s="17">
        <v>0</v>
      </c>
      <c r="BA97" s="17">
        <v>0</v>
      </c>
      <c r="BB97" s="17">
        <v>0</v>
      </c>
      <c r="BC97" s="17">
        <v>17</v>
      </c>
      <c r="BD97" s="17">
        <v>0</v>
      </c>
      <c r="BE97" s="17">
        <v>1</v>
      </c>
      <c r="BF97" s="17">
        <v>1</v>
      </c>
      <c r="BG97" s="17">
        <v>0</v>
      </c>
      <c r="BH97" s="17">
        <v>14</v>
      </c>
      <c r="BI97" s="17">
        <v>0</v>
      </c>
      <c r="BJ97" s="17">
        <v>0</v>
      </c>
      <c r="BK97" s="17">
        <v>0</v>
      </c>
      <c r="BL97" s="17">
        <v>27</v>
      </c>
      <c r="BM97" s="17">
        <v>28</v>
      </c>
      <c r="BN97" s="17">
        <v>0</v>
      </c>
      <c r="BO97" s="17">
        <v>0</v>
      </c>
      <c r="BP97" s="17">
        <v>0</v>
      </c>
      <c r="BQ97" s="17">
        <v>0</v>
      </c>
      <c r="BR97" s="17">
        <v>0</v>
      </c>
      <c r="BS97" s="17">
        <v>0</v>
      </c>
      <c r="BT97" s="17">
        <v>0</v>
      </c>
      <c r="BU97" s="17">
        <v>3</v>
      </c>
      <c r="BV97" s="17">
        <v>0</v>
      </c>
      <c r="BW97" s="17">
        <v>0</v>
      </c>
      <c r="BX97" s="17">
        <v>0</v>
      </c>
      <c r="BY97" s="17">
        <v>0</v>
      </c>
      <c r="BZ97" s="17">
        <v>5</v>
      </c>
      <c r="CA97" s="17">
        <v>0</v>
      </c>
      <c r="CB97" s="17">
        <v>0</v>
      </c>
      <c r="CC97" s="17"/>
      <c r="CD97" s="30"/>
      <c r="CE97" s="30"/>
      <c r="CF97" s="30"/>
      <c r="CG97" s="30"/>
      <c r="CH97" s="30"/>
      <c r="CI97" s="30"/>
      <c r="CJ97" s="30"/>
      <c r="CK97" s="30"/>
      <c r="CL97" s="30"/>
      <c r="CM97" s="30"/>
      <c r="CN97" s="30"/>
      <c r="CO97" s="30"/>
      <c r="CP97" s="30"/>
      <c r="CQ97" s="30"/>
      <c r="CR97" s="30"/>
      <c r="CS97" s="30"/>
      <c r="CT97" s="30"/>
      <c r="CU97" s="30"/>
      <c r="CV97" s="30"/>
      <c r="CW97" s="30"/>
      <c r="CX97" s="30"/>
      <c r="CY97" s="30"/>
      <c r="CZ97" s="30"/>
      <c r="DA97" s="30"/>
      <c r="DB97" s="30"/>
    </row>
    <row r="98" spans="1:106" x14ac:dyDescent="0.25">
      <c r="A98" s="57" t="s">
        <v>386</v>
      </c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30"/>
      <c r="BV98" s="30"/>
      <c r="BW98" s="30"/>
      <c r="BX98" s="30"/>
      <c r="BY98" s="30"/>
      <c r="BZ98" s="30"/>
      <c r="CA98" s="30"/>
      <c r="CB98" s="30"/>
      <c r="CC98" s="30"/>
      <c r="CD98" s="30"/>
      <c r="CE98" s="30"/>
      <c r="CF98" s="30"/>
      <c r="CG98" s="30"/>
      <c r="CH98" s="30"/>
      <c r="CI98" s="30"/>
      <c r="CJ98" s="30"/>
      <c r="CK98" s="30"/>
      <c r="CL98" s="30"/>
      <c r="CM98" s="30"/>
      <c r="CN98" s="30"/>
      <c r="CO98" s="30"/>
      <c r="CP98" s="30"/>
      <c r="CQ98" s="30"/>
      <c r="CR98" s="30"/>
      <c r="CS98" s="30"/>
      <c r="CT98" s="30"/>
      <c r="CU98" s="30"/>
      <c r="CV98" s="30"/>
      <c r="CW98" s="30"/>
      <c r="CX98" s="30"/>
      <c r="CY98" s="30"/>
      <c r="CZ98" s="30"/>
      <c r="DA98" s="30"/>
      <c r="DB98" s="30"/>
    </row>
    <row r="99" spans="1:106" x14ac:dyDescent="0.25">
      <c r="A99" s="57" t="s">
        <v>388</v>
      </c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  <c r="AU99" s="30"/>
      <c r="AV99" s="30"/>
      <c r="AW99" s="30"/>
      <c r="AX99" s="30"/>
      <c r="AY99" s="30"/>
      <c r="AZ99" s="30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  <c r="BS99" s="30"/>
      <c r="BT99" s="30"/>
      <c r="BU99" s="30"/>
      <c r="BV99" s="30"/>
      <c r="BW99" s="30"/>
      <c r="BX99" s="30"/>
      <c r="BY99" s="30"/>
      <c r="BZ99" s="30"/>
      <c r="CA99" s="30"/>
      <c r="CB99" s="30"/>
      <c r="CC99" s="30"/>
      <c r="CD99" s="30"/>
      <c r="CE99" s="30"/>
      <c r="CF99" s="30"/>
      <c r="CG99" s="30"/>
      <c r="CH99" s="30"/>
      <c r="CI99" s="30"/>
      <c r="CJ99" s="30"/>
      <c r="CK99" s="30"/>
      <c r="CL99" s="30"/>
      <c r="CM99" s="30"/>
      <c r="CN99" s="30"/>
      <c r="CO99" s="30"/>
      <c r="CP99" s="30"/>
      <c r="CQ99" s="30"/>
      <c r="CR99" s="30"/>
      <c r="CS99" s="30"/>
      <c r="CT99" s="30"/>
      <c r="CU99" s="30"/>
      <c r="CV99" s="30"/>
      <c r="CW99" s="30"/>
      <c r="CX99" s="30"/>
      <c r="CY99" s="30"/>
      <c r="CZ99" s="30"/>
      <c r="DA99" s="30"/>
      <c r="DB99" s="30"/>
    </row>
    <row r="100" spans="3:106" x14ac:dyDescent="0.25"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  <c r="AU100" s="30"/>
      <c r="AV100" s="30"/>
      <c r="AW100" s="30"/>
      <c r="AX100" s="30"/>
      <c r="AY100" s="30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  <c r="BS100" s="30"/>
      <c r="BT100" s="30"/>
      <c r="BU100" s="30"/>
      <c r="BV100" s="30"/>
      <c r="BW100" s="30"/>
      <c r="BX100" s="30"/>
      <c r="BY100" s="30"/>
      <c r="BZ100" s="30"/>
      <c r="CA100" s="30"/>
      <c r="CB100" s="30"/>
      <c r="CC100" s="30"/>
      <c r="CD100" s="30"/>
      <c r="CE100" s="30"/>
      <c r="CF100" s="30"/>
      <c r="CG100" s="30"/>
      <c r="CH100" s="30"/>
      <c r="CI100" s="30"/>
      <c r="CJ100" s="30"/>
      <c r="CK100" s="30"/>
      <c r="CL100" s="30"/>
      <c r="CM100" s="30"/>
      <c r="CN100" s="30"/>
      <c r="CO100" s="30"/>
      <c r="CP100" s="30"/>
      <c r="CQ100" s="30"/>
      <c r="CR100" s="30"/>
      <c r="CS100" s="30"/>
      <c r="CT100" s="30"/>
      <c r="CU100" s="30"/>
      <c r="CV100" s="30"/>
      <c r="CW100" s="30"/>
      <c r="CX100" s="30"/>
      <c r="CY100" s="30"/>
      <c r="CZ100" s="30"/>
      <c r="DA100" s="30"/>
      <c r="DB100" s="30"/>
    </row>
    <row r="101" ht="15" customHeight="1" spans="1:106" x14ac:dyDescent="0.25">
      <c r="A101" s="9" t="s">
        <v>327</v>
      </c>
      <c r="B101" s="17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2"/>
      <c r="BP101" s="32"/>
      <c r="BQ101" s="32"/>
      <c r="BR101" s="32"/>
      <c r="BS101" s="32"/>
      <c r="BT101" s="32"/>
      <c r="BU101" s="32"/>
      <c r="BV101" s="32"/>
      <c r="BW101" s="32"/>
      <c r="BX101" s="32"/>
      <c r="BY101" s="32"/>
      <c r="BZ101" s="32"/>
      <c r="CA101" s="32"/>
      <c r="CB101" s="32"/>
      <c r="CC101" s="32"/>
      <c r="CD101" s="32"/>
      <c r="CE101" s="32"/>
      <c r="CF101" s="32"/>
      <c r="CG101" s="32"/>
      <c r="CH101" s="32"/>
      <c r="CI101" s="32"/>
      <c r="CJ101" s="32"/>
      <c r="CK101" s="32"/>
      <c r="CL101" s="32"/>
      <c r="CM101" s="32"/>
      <c r="CN101" s="32"/>
      <c r="CO101" s="32"/>
      <c r="CP101" s="32"/>
      <c r="CQ101" s="32"/>
      <c r="CR101" s="32"/>
      <c r="CS101" s="32"/>
      <c r="CT101" s="32"/>
      <c r="CU101" s="32"/>
      <c r="CV101" s="32"/>
      <c r="CW101" s="32"/>
      <c r="CX101" s="32"/>
      <c r="CY101" s="32"/>
      <c r="CZ101" s="32"/>
      <c r="DA101" s="32"/>
      <c r="DB101" s="32"/>
    </row>
    <row r="102" ht="15" customHeight="1" spans="1:106" x14ac:dyDescent="0.25">
      <c r="A102" s="61" t="s">
        <v>328</v>
      </c>
      <c r="B102" s="13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  <c r="CW102" s="15"/>
      <c r="CX102" s="15"/>
      <c r="CY102" s="15"/>
      <c r="CZ102" s="15"/>
      <c r="DA102" s="15"/>
      <c r="DB102" s="15"/>
    </row>
    <row r="103" spans="1:106" x14ac:dyDescent="0.25">
      <c r="A103" s="62" t="s">
        <v>329</v>
      </c>
      <c r="B103" s="24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63"/>
      <c r="AP103" s="63"/>
      <c r="AQ103" s="63"/>
      <c r="AR103" s="63"/>
      <c r="AS103" s="63"/>
      <c r="AT103" s="63"/>
      <c r="AU103" s="63"/>
      <c r="AV103" s="63"/>
      <c r="AW103" s="63"/>
      <c r="AX103" s="63"/>
      <c r="AY103" s="63"/>
      <c r="AZ103" s="63"/>
      <c r="BA103" s="63"/>
      <c r="BB103" s="63"/>
      <c r="BC103" s="63"/>
      <c r="BD103" s="63"/>
      <c r="BE103" s="63"/>
      <c r="BF103" s="63"/>
      <c r="BG103" s="63"/>
      <c r="BH103" s="63"/>
      <c r="BI103" s="63"/>
      <c r="BJ103" s="63"/>
      <c r="BK103" s="63"/>
      <c r="BL103" s="63"/>
      <c r="BM103" s="63"/>
      <c r="BN103" s="63"/>
      <c r="BO103" s="63"/>
      <c r="BP103" s="63"/>
      <c r="BQ103" s="63"/>
      <c r="BR103" s="63"/>
      <c r="BS103" s="63"/>
      <c r="BT103" s="63"/>
      <c r="BU103" s="63"/>
      <c r="BV103" s="63"/>
      <c r="BW103" s="63"/>
      <c r="BX103" s="63"/>
      <c r="BY103" s="63"/>
      <c r="BZ103" s="63"/>
      <c r="CA103" s="63"/>
      <c r="CB103" s="63"/>
      <c r="CC103" s="63"/>
      <c r="CD103" s="63"/>
      <c r="CE103" s="63"/>
      <c r="CF103" s="63"/>
      <c r="CG103" s="63"/>
      <c r="CH103" s="63"/>
      <c r="CI103" s="63"/>
      <c r="CJ103" s="63"/>
      <c r="CK103" s="63"/>
      <c r="CL103" s="63"/>
      <c r="CM103" s="63"/>
      <c r="CN103" s="63"/>
      <c r="CO103" s="63"/>
      <c r="CP103" s="63"/>
      <c r="CQ103" s="63"/>
      <c r="CR103" s="63"/>
      <c r="CS103" s="63"/>
      <c r="CT103" s="63"/>
      <c r="CU103" s="63"/>
      <c r="CV103" s="63"/>
      <c r="CW103" s="63"/>
      <c r="CX103" s="63"/>
      <c r="CY103" s="63"/>
      <c r="CZ103" s="63"/>
      <c r="DA103" s="63"/>
      <c r="DB103" s="63"/>
    </row>
    <row r="104" ht="15" customHeight="1" spans="1:106" x14ac:dyDescent="0.25">
      <c r="A104" s="16" t="s">
        <v>330</v>
      </c>
      <c r="B104" s="17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0"/>
      <c r="AK104" s="50"/>
      <c r="AL104" s="50"/>
      <c r="AM104" s="50"/>
      <c r="AN104" s="50"/>
      <c r="AO104" s="50"/>
      <c r="AP104" s="50"/>
      <c r="AQ104" s="50"/>
      <c r="AR104" s="50"/>
      <c r="AS104" s="50"/>
      <c r="AT104" s="50"/>
      <c r="AU104" s="50"/>
      <c r="AV104" s="50"/>
      <c r="AW104" s="50"/>
      <c r="AX104" s="50"/>
      <c r="AY104" s="50"/>
      <c r="AZ104" s="50"/>
      <c r="BA104" s="50"/>
      <c r="BB104" s="50"/>
      <c r="BC104" s="50"/>
      <c r="BD104" s="50"/>
      <c r="BE104" s="50"/>
      <c r="BF104" s="50"/>
      <c r="BG104" s="50"/>
      <c r="BH104" s="50"/>
      <c r="BI104" s="50"/>
      <c r="BJ104" s="50"/>
      <c r="BK104" s="50"/>
      <c r="BL104" s="50"/>
      <c r="BM104" s="50"/>
      <c r="BN104" s="50"/>
      <c r="BO104" s="50"/>
      <c r="BP104" s="50"/>
      <c r="BQ104" s="50"/>
      <c r="BR104" s="50"/>
      <c r="BS104" s="50"/>
      <c r="BT104" s="50"/>
      <c r="BU104" s="50"/>
      <c r="BV104" s="50"/>
      <c r="BW104" s="50"/>
      <c r="BX104" s="50"/>
      <c r="BY104" s="50"/>
      <c r="BZ104" s="50"/>
      <c r="CA104" s="50"/>
      <c r="CB104" s="50"/>
      <c r="CC104" s="50"/>
      <c r="CD104" s="50"/>
      <c r="CE104" s="50"/>
      <c r="CF104" s="50"/>
      <c r="CG104" s="50"/>
      <c r="CH104" s="50"/>
      <c r="CI104" s="50"/>
      <c r="CJ104" s="50"/>
      <c r="CK104" s="50"/>
      <c r="CL104" s="50"/>
      <c r="CM104" s="50"/>
      <c r="CN104" s="50"/>
      <c r="CO104" s="50"/>
      <c r="CP104" s="50"/>
      <c r="CQ104" s="50"/>
      <c r="CR104" s="50"/>
      <c r="CS104" s="50"/>
      <c r="CT104" s="50"/>
      <c r="CU104" s="50"/>
      <c r="CV104" s="50"/>
      <c r="CW104" s="50"/>
      <c r="CX104" s="50"/>
      <c r="CY104" s="50"/>
      <c r="CZ104" s="50"/>
      <c r="DA104" s="50"/>
      <c r="DB104" s="50"/>
    </row>
    <row r="105" ht="15" customHeight="1" spans="1:106" x14ac:dyDescent="0.25">
      <c r="A105" s="16" t="s">
        <v>331</v>
      </c>
      <c r="B105" s="17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  <c r="AG105" s="50"/>
      <c r="AH105" s="50"/>
      <c r="AI105" s="50"/>
      <c r="AJ105" s="50"/>
      <c r="AK105" s="50"/>
      <c r="AL105" s="50"/>
      <c r="AM105" s="50"/>
      <c r="AN105" s="50"/>
      <c r="AO105" s="50"/>
      <c r="AP105" s="50"/>
      <c r="AQ105" s="50"/>
      <c r="AR105" s="50"/>
      <c r="AS105" s="50"/>
      <c r="AT105" s="50"/>
      <c r="AU105" s="50"/>
      <c r="AV105" s="50"/>
      <c r="AW105" s="50"/>
      <c r="AX105" s="50"/>
      <c r="AY105" s="50"/>
      <c r="AZ105" s="50"/>
      <c r="BA105" s="50"/>
      <c r="BB105" s="50"/>
      <c r="BC105" s="50"/>
      <c r="BD105" s="50"/>
      <c r="BE105" s="50"/>
      <c r="BF105" s="50"/>
      <c r="BG105" s="50"/>
      <c r="BH105" s="50"/>
      <c r="BI105" s="50"/>
      <c r="BJ105" s="50"/>
      <c r="BK105" s="50"/>
      <c r="BL105" s="50"/>
      <c r="BM105" s="50"/>
      <c r="BN105" s="50"/>
      <c r="BO105" s="50"/>
      <c r="BP105" s="50"/>
      <c r="BQ105" s="50"/>
      <c r="BR105" s="50"/>
      <c r="BS105" s="50"/>
      <c r="BT105" s="50"/>
      <c r="BU105" s="50"/>
      <c r="BV105" s="50"/>
      <c r="BW105" s="50"/>
      <c r="BX105" s="50"/>
      <c r="BY105" s="50"/>
      <c r="BZ105" s="50"/>
      <c r="CA105" s="50"/>
      <c r="CB105" s="50"/>
      <c r="CC105" s="50"/>
      <c r="CD105" s="50"/>
      <c r="CE105" s="50"/>
      <c r="CF105" s="50"/>
      <c r="CG105" s="50"/>
      <c r="CH105" s="50"/>
      <c r="CI105" s="50"/>
      <c r="CJ105" s="50"/>
      <c r="CK105" s="50"/>
      <c r="CL105" s="50"/>
      <c r="CM105" s="50"/>
      <c r="CN105" s="50"/>
      <c r="CO105" s="50"/>
      <c r="CP105" s="50"/>
      <c r="CQ105" s="50"/>
      <c r="CR105" s="50"/>
      <c r="CS105" s="50"/>
      <c r="CT105" s="50"/>
      <c r="CU105" s="50"/>
      <c r="CV105" s="50"/>
      <c r="CW105" s="50"/>
      <c r="CX105" s="50"/>
      <c r="CY105" s="50"/>
      <c r="CZ105" s="50"/>
      <c r="DA105" s="50"/>
      <c r="DB105" s="50"/>
    </row>
    <row r="106" ht="15" customHeight="1" spans="1:106" x14ac:dyDescent="0.25">
      <c r="A106" s="20" t="s">
        <v>332</v>
      </c>
      <c r="B106" s="13"/>
      <c r="C106" s="64">
        <f>=IFERROR(C105/C104,0)</f>
        <v>0</v>
      </c>
      <c r="D106" s="64">
        <f>=IFERROR(D105/D104,0)</f>
        <v>0</v>
      </c>
      <c r="E106" s="64">
        <f>=IFERROR(E105/E104,0)</f>
        <v>0</v>
      </c>
      <c r="F106" s="64">
        <f>=IFERROR(F105/F104,0)</f>
        <v>0</v>
      </c>
      <c r="G106" s="64">
        <f>=IFERROR(G105/G104,0)</f>
        <v>0</v>
      </c>
      <c r="H106" s="64">
        <f>=IFERROR(H105/H104,0)</f>
        <v>0</v>
      </c>
      <c r="I106" s="64">
        <f>=IFERROR(I105/I104,0)</f>
        <v>0</v>
      </c>
      <c r="J106" s="64">
        <f>=IFERROR(J105/J104,0)</f>
        <v>0</v>
      </c>
      <c r="K106" s="64">
        <f>=IFERROR(K105/K104,0)</f>
        <v>0</v>
      </c>
      <c r="L106" s="64">
        <f>=IFERROR(L105/L104,0)</f>
        <v>0</v>
      </c>
      <c r="M106" s="64">
        <f>=IFERROR(M105/M104,0)</f>
        <v>0</v>
      </c>
      <c r="N106" s="64">
        <f>=IFERROR(N105/N104,0)</f>
        <v>0</v>
      </c>
      <c r="O106" s="64">
        <f>=IFERROR(O105/O104,0)</f>
        <v>0</v>
      </c>
      <c r="P106" s="64">
        <f>=IFERROR(P105/P104,0)</f>
        <v>0</v>
      </c>
      <c r="Q106" s="64">
        <f>=IFERROR(Q105/Q104,0)</f>
        <v>0</v>
      </c>
      <c r="R106" s="64">
        <f>=IFERROR(R105/R104,0)</f>
        <v>0</v>
      </c>
      <c r="S106" s="64">
        <f>=IFERROR(S105/S104,0)</f>
        <v>0</v>
      </c>
      <c r="T106" s="64">
        <f>=IFERROR(T105/T104,0)</f>
        <v>0</v>
      </c>
      <c r="U106" s="64">
        <f>=IFERROR(U105/U104,0)</f>
        <v>0</v>
      </c>
      <c r="V106" s="64">
        <f>=IFERROR(V105/V104,0)</f>
        <v>0</v>
      </c>
      <c r="W106" s="64">
        <f>=IFERROR(W105/W104,0)</f>
        <v>0</v>
      </c>
      <c r="X106" s="64">
        <f>=IFERROR(X105/X104,0)</f>
        <v>0</v>
      </c>
      <c r="Y106" s="64">
        <f>=IFERROR(Y105/Y104,0)</f>
        <v>0</v>
      </c>
      <c r="Z106" s="64">
        <f>=IFERROR(Z105/Z104,0)</f>
        <v>0</v>
      </c>
      <c r="AA106" s="64">
        <f>=IFERROR(AA105/AA104,0)</f>
        <v>0</v>
      </c>
      <c r="AB106" s="64">
        <f>=IFERROR(AB105/AB104,0)</f>
        <v>0</v>
      </c>
      <c r="AC106" s="64">
        <f>=IFERROR(AC105/AC104,0)</f>
        <v>0</v>
      </c>
      <c r="AD106" s="64">
        <f>=IFERROR(AD105/AD104,0)</f>
        <v>0</v>
      </c>
      <c r="AE106" s="64">
        <f>=IFERROR(AE105/AE104,0)</f>
        <v>0</v>
      </c>
      <c r="AF106" s="64">
        <f>=IFERROR(AF105/AF104,0)</f>
        <v>0</v>
      </c>
      <c r="AG106" s="64">
        <f>=IFERROR(AG105/AG104,0)</f>
        <v>0</v>
      </c>
      <c r="AH106" s="64">
        <f>=IFERROR(AH105/AH104,0)</f>
        <v>0</v>
      </c>
      <c r="AI106" s="64">
        <f>=IFERROR(AI105/AI104,0)</f>
        <v>0</v>
      </c>
      <c r="AJ106" s="64">
        <f>=IFERROR(AJ105/AJ104,0)</f>
        <v>0</v>
      </c>
      <c r="AK106" s="64">
        <f>=IFERROR(AK105/AK104,0)</f>
        <v>0</v>
      </c>
      <c r="AL106" s="64">
        <f>=IFERROR(AL105/AL104,0)</f>
        <v>0</v>
      </c>
      <c r="AM106" s="64">
        <f>=IFERROR(AM105/AM104,0)</f>
        <v>0</v>
      </c>
      <c r="AN106" s="64">
        <f>=IFERROR(AN105/AN104,0)</f>
        <v>0</v>
      </c>
      <c r="AO106" s="64">
        <f>=IFERROR(AO105/AO104,0)</f>
        <v>0</v>
      </c>
      <c r="AP106" s="64">
        <f>=IFERROR(AP105/AP104,0)</f>
        <v>0</v>
      </c>
      <c r="AQ106" s="64">
        <f>=IFERROR(AQ105/AQ104,0)</f>
        <v>0</v>
      </c>
      <c r="AR106" s="64">
        <f>=IFERROR(AR105/AR104,0)</f>
        <v>0</v>
      </c>
      <c r="AS106" s="64">
        <f>=IFERROR(AS105/AS104,0)</f>
        <v>0</v>
      </c>
      <c r="AT106" s="64">
        <f>=IFERROR(AT105/AT104,0)</f>
        <v>0</v>
      </c>
      <c r="AU106" s="64">
        <f>=IFERROR(AU105/AU104,0)</f>
        <v>0</v>
      </c>
      <c r="AV106" s="64">
        <f>=IFERROR(AV105/AV104,0)</f>
        <v>0</v>
      </c>
      <c r="AW106" s="64">
        <f>=IFERROR(AW105/AW104,0)</f>
        <v>0</v>
      </c>
      <c r="AX106" s="64">
        <f>=IFERROR(AX105/AX104,0)</f>
        <v>0</v>
      </c>
      <c r="AY106" s="64">
        <f>=IFERROR(AY105/AY104,0)</f>
        <v>0</v>
      </c>
      <c r="AZ106" s="64">
        <f>=IFERROR(AZ105/AZ104,0)</f>
        <v>0</v>
      </c>
      <c r="BA106" s="64">
        <f>=IFERROR(BA105/BA104,0)</f>
        <v>0</v>
      </c>
      <c r="BB106" s="64">
        <f>=IFERROR(BB105/BB104,0)</f>
        <v>0</v>
      </c>
      <c r="BC106" s="64">
        <f>=IFERROR(BC105/BC104,0)</f>
        <v>0</v>
      </c>
      <c r="BD106" s="64">
        <f>=IFERROR(BD105/BD104,0)</f>
        <v>0</v>
      </c>
      <c r="BE106" s="64">
        <f>=IFERROR(BE105/BE104,0)</f>
        <v>0</v>
      </c>
      <c r="BF106" s="64">
        <f>=IFERROR(BF105/BF104,0)</f>
        <v>0</v>
      </c>
      <c r="BG106" s="64">
        <f>=IFERROR(BG105/BG104,0)</f>
        <v>0</v>
      </c>
      <c r="BH106" s="64">
        <f>=IFERROR(BH105/BH104,0)</f>
        <v>0</v>
      </c>
      <c r="BI106" s="64">
        <f>=IFERROR(BI105/BI104,0)</f>
        <v>0</v>
      </c>
      <c r="BJ106" s="64">
        <f>=IFERROR(BJ105/BJ104,0)</f>
        <v>0</v>
      </c>
      <c r="BK106" s="64">
        <f>=IFERROR(BK105/BK104,0)</f>
        <v>0</v>
      </c>
      <c r="BL106" s="64">
        <f>=IFERROR(BL105/BL104,0)</f>
        <v>0</v>
      </c>
      <c r="BM106" s="64">
        <f>=IFERROR(BM105/BM104,0)</f>
        <v>0</v>
      </c>
      <c r="BN106" s="64">
        <f>=IFERROR(BN105/BN104,0)</f>
        <v>0</v>
      </c>
      <c r="BO106" s="64">
        <f>=IFERROR(BO105/BO104,0)</f>
        <v>0</v>
      </c>
      <c r="BP106" s="64">
        <f>=IFERROR(BP105/BP104,0)</f>
        <v>0</v>
      </c>
      <c r="BQ106" s="64">
        <f>=IFERROR(BQ105/BQ104,0)</f>
        <v>0</v>
      </c>
      <c r="BR106" s="64">
        <f>=IFERROR(BR105/BR104,0)</f>
        <v>0</v>
      </c>
      <c r="BS106" s="64">
        <f>=IFERROR(BS105/BS104,0)</f>
        <v>0</v>
      </c>
      <c r="BT106" s="64">
        <f>=IFERROR(BT105/BT104,0)</f>
        <v>0</v>
      </c>
      <c r="BU106" s="64">
        <f>=IFERROR(BU105/BU104,0)</f>
        <v>0</v>
      </c>
      <c r="BV106" s="64">
        <f>=IFERROR(BV105/BV104,0)</f>
        <v>0</v>
      </c>
      <c r="BW106" s="64">
        <f>=IFERROR(BW105/BW104,0)</f>
        <v>0</v>
      </c>
      <c r="BX106" s="64">
        <f>=IFERROR(BX105/BX104,0)</f>
        <v>0</v>
      </c>
      <c r="BY106" s="64">
        <f>=IFERROR(BY105/BY104,0)</f>
        <v>0</v>
      </c>
      <c r="BZ106" s="64">
        <f>=IFERROR(BZ105/BZ104,0)</f>
        <v>0</v>
      </c>
      <c r="CA106" s="64">
        <f>=IFERROR(CA105/CA104,0)</f>
        <v>0</v>
      </c>
      <c r="CB106" s="64">
        <f>=IFERROR(CB105/CB104,0)</f>
        <v>0</v>
      </c>
      <c r="CC106" s="64">
        <f>=IFERROR(CC105/CC104,0)</f>
        <v>0</v>
      </c>
      <c r="CD106" s="64">
        <f>=IFERROR(CD105/CD104,0)</f>
        <v>0</v>
      </c>
      <c r="CE106" s="64">
        <f>=IFERROR(CE105/CE104,0)</f>
        <v>0</v>
      </c>
      <c r="CF106" s="64">
        <f>=IFERROR(CF105/CF104,0)</f>
        <v>0</v>
      </c>
      <c r="CG106" s="64">
        <f>=IFERROR(CG105/CG104,0)</f>
        <v>0</v>
      </c>
      <c r="CH106" s="64">
        <f>=IFERROR(CH105/CH104,0)</f>
        <v>0</v>
      </c>
      <c r="CI106" s="64">
        <f>=IFERROR(CI105/CI104,0)</f>
        <v>0</v>
      </c>
      <c r="CJ106" s="64">
        <f>=IFERROR(CJ105/CJ104,0)</f>
        <v>0</v>
      </c>
      <c r="CK106" s="64">
        <f>=IFERROR(CK105/CK104,0)</f>
        <v>0</v>
      </c>
      <c r="CL106" s="64">
        <f>=IFERROR(CL105/CL104,0)</f>
        <v>0</v>
      </c>
      <c r="CM106" s="64">
        <f>=IFERROR(CM105/CM104,0)</f>
        <v>0</v>
      </c>
      <c r="CN106" s="64">
        <f>=IFERROR(CN105/CN104,0)</f>
        <v>0</v>
      </c>
      <c r="CO106" s="64">
        <f>=IFERROR(CO105/CO104,0)</f>
        <v>0</v>
      </c>
      <c r="CP106" s="64">
        <f>=IFERROR(CP105/CP104,0)</f>
        <v>0</v>
      </c>
      <c r="CQ106" s="64">
        <f>=IFERROR(CQ105/CQ104,0)</f>
        <v>0</v>
      </c>
      <c r="CR106" s="64">
        <f>=IFERROR(CR105/CR104,0)</f>
        <v>0</v>
      </c>
      <c r="CS106" s="64">
        <f>=IFERROR(CS105/CS104,0)</f>
        <v>0</v>
      </c>
      <c r="CT106" s="64">
        <f>=IFERROR(CT105/CT104,0)</f>
        <v>0</v>
      </c>
      <c r="CU106" s="64">
        <f>=IFERROR(CU105/CU104,0)</f>
        <v>0</v>
      </c>
      <c r="CV106" s="64">
        <f>=IFERROR(CV105/CV104,0)</f>
        <v>0</v>
      </c>
      <c r="CW106" s="64">
        <f>=IFERROR(CW105/CW104,0)</f>
        <v>0</v>
      </c>
      <c r="CX106" s="64">
        <f>=IFERROR(CX105/CX104,0)</f>
        <v>0</v>
      </c>
      <c r="CY106" s="64">
        <f>=IFERROR(CY105/CY104,0)</f>
        <v>0</v>
      </c>
      <c r="CZ106" s="64">
        <f>=IFERROR(CZ105/CZ104,0)</f>
        <v>0</v>
      </c>
      <c r="DA106" s="64">
        <f>=IFERROR(DA105/DA104,0)</f>
        <v>0</v>
      </c>
      <c r="DB106" s="64">
        <f>=IFERROR(DB105/DB104,0)</f>
        <v>0</v>
      </c>
    </row>
    <row r="107" spans="1:106" x14ac:dyDescent="0.25">
      <c r="A107" s="17" t="s">
        <v>333</v>
      </c>
      <c r="B107" s="65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6"/>
      <c r="AT107" s="66"/>
      <c r="AU107" s="66"/>
      <c r="AV107" s="66"/>
      <c r="AW107" s="66"/>
      <c r="AX107" s="66"/>
      <c r="AY107" s="66"/>
      <c r="AZ107" s="66"/>
      <c r="BA107" s="66"/>
      <c r="BB107" s="66"/>
      <c r="BC107" s="66"/>
      <c r="BD107" s="66"/>
      <c r="BE107" s="66"/>
      <c r="BF107" s="66"/>
      <c r="BG107" s="66"/>
      <c r="BH107" s="66"/>
      <c r="BI107" s="66"/>
      <c r="BJ107" s="66"/>
      <c r="BK107" s="66"/>
      <c r="BL107" s="66"/>
      <c r="BM107" s="66"/>
      <c r="BN107" s="66"/>
      <c r="BO107" s="66"/>
      <c r="BP107" s="66"/>
      <c r="BQ107" s="66"/>
      <c r="BR107" s="66"/>
      <c r="BS107" s="66"/>
      <c r="BT107" s="66"/>
      <c r="BU107" s="66"/>
      <c r="BV107" s="66"/>
      <c r="BW107" s="66"/>
      <c r="BX107" s="66"/>
      <c r="BY107" s="66"/>
      <c r="BZ107" s="66"/>
      <c r="CA107" s="66"/>
      <c r="CB107" s="66"/>
      <c r="CC107" s="66"/>
      <c r="CD107" s="66"/>
      <c r="CE107" s="66"/>
      <c r="CF107" s="66"/>
      <c r="CG107" s="66"/>
      <c r="CH107" s="66"/>
      <c r="CI107" s="66"/>
      <c r="CJ107" s="66"/>
      <c r="CK107" s="66"/>
      <c r="CL107" s="66"/>
      <c r="CM107" s="66"/>
      <c r="CN107" s="66"/>
      <c r="CO107" s="66"/>
      <c r="CP107" s="66"/>
      <c r="CQ107" s="66"/>
      <c r="CR107" s="66"/>
      <c r="CS107" s="66"/>
      <c r="CT107" s="66"/>
      <c r="CU107" s="66"/>
      <c r="CV107" s="66"/>
      <c r="CW107" s="66"/>
      <c r="CX107" s="66"/>
      <c r="CY107" s="66"/>
      <c r="CZ107" s="66"/>
      <c r="DA107" s="66"/>
      <c r="DB107" s="66"/>
    </row>
    <row r="108" spans="1:106" x14ac:dyDescent="0.25">
      <c r="A108" s="17" t="s">
        <v>334</v>
      </c>
      <c r="B108" s="65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6"/>
      <c r="AQ108" s="66"/>
      <c r="AR108" s="66"/>
      <c r="AS108" s="66"/>
      <c r="AT108" s="66"/>
      <c r="AU108" s="66"/>
      <c r="AV108" s="66"/>
      <c r="AW108" s="66"/>
      <c r="AX108" s="66"/>
      <c r="AY108" s="66"/>
      <c r="AZ108" s="66"/>
      <c r="BA108" s="66"/>
      <c r="BB108" s="66"/>
      <c r="BC108" s="66"/>
      <c r="BD108" s="66"/>
      <c r="BE108" s="66"/>
      <c r="BF108" s="66"/>
      <c r="BG108" s="66"/>
      <c r="BH108" s="66"/>
      <c r="BI108" s="66"/>
      <c r="BJ108" s="66"/>
      <c r="BK108" s="66"/>
      <c r="BL108" s="66"/>
      <c r="BM108" s="66"/>
      <c r="BN108" s="66"/>
      <c r="BO108" s="66"/>
      <c r="BP108" s="66"/>
      <c r="BQ108" s="66"/>
      <c r="BR108" s="66"/>
      <c r="BS108" s="66"/>
      <c r="BT108" s="66"/>
      <c r="BU108" s="66"/>
      <c r="BV108" s="66"/>
      <c r="BW108" s="66"/>
      <c r="BX108" s="66"/>
      <c r="BY108" s="66"/>
      <c r="BZ108" s="66"/>
      <c r="CA108" s="66"/>
      <c r="CB108" s="66"/>
      <c r="CC108" s="66"/>
      <c r="CD108" s="66"/>
      <c r="CE108" s="66"/>
      <c r="CF108" s="66"/>
      <c r="CG108" s="66"/>
      <c r="CH108" s="66"/>
      <c r="CI108" s="66"/>
      <c r="CJ108" s="66"/>
      <c r="CK108" s="66"/>
      <c r="CL108" s="66"/>
      <c r="CM108" s="66"/>
      <c r="CN108" s="66"/>
      <c r="CO108" s="66"/>
      <c r="CP108" s="66"/>
      <c r="CQ108" s="66"/>
      <c r="CR108" s="66"/>
      <c r="CS108" s="66"/>
      <c r="CT108" s="66"/>
      <c r="CU108" s="66"/>
      <c r="CV108" s="66"/>
      <c r="CW108" s="66"/>
      <c r="CX108" s="66"/>
      <c r="CY108" s="66"/>
      <c r="CZ108" s="66"/>
      <c r="DA108" s="66"/>
      <c r="DB108" s="66"/>
    </row>
    <row r="109" spans="1:106" x14ac:dyDescent="0.25">
      <c r="A109" s="17" t="s">
        <v>335</v>
      </c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0"/>
      <c r="AY109" s="30"/>
      <c r="AZ109" s="30"/>
      <c r="BA109" s="30"/>
      <c r="BB109" s="30"/>
      <c r="BC109" s="30"/>
      <c r="BD109" s="30"/>
      <c r="BE109" s="30"/>
      <c r="BF109" s="30"/>
      <c r="BG109" s="30"/>
      <c r="BH109" s="30"/>
      <c r="BI109" s="30"/>
      <c r="BJ109" s="30"/>
      <c r="BK109" s="30"/>
      <c r="BL109" s="30"/>
      <c r="BM109" s="30"/>
      <c r="BN109" s="30"/>
      <c r="BO109" s="30"/>
      <c r="BP109" s="30"/>
      <c r="BQ109" s="30"/>
      <c r="BR109" s="30"/>
      <c r="BS109" s="30"/>
      <c r="BT109" s="30"/>
      <c r="BU109" s="30"/>
      <c r="BV109" s="30"/>
      <c r="BW109" s="30"/>
      <c r="BX109" s="30"/>
      <c r="BY109" s="30"/>
      <c r="BZ109" s="30"/>
      <c r="CA109" s="30"/>
      <c r="CB109" s="30"/>
      <c r="CC109" s="30"/>
      <c r="CD109" s="30"/>
      <c r="CE109" s="30"/>
      <c r="CF109" s="30"/>
      <c r="CG109" s="30"/>
      <c r="CH109" s="30"/>
      <c r="CI109" s="30"/>
      <c r="CJ109" s="30"/>
      <c r="CK109" s="30"/>
      <c r="CL109" s="30"/>
      <c r="CM109" s="30"/>
      <c r="CN109" s="30"/>
      <c r="CO109" s="30"/>
      <c r="CP109" s="30"/>
      <c r="CQ109" s="30"/>
      <c r="CR109" s="30"/>
      <c r="CS109" s="30"/>
      <c r="CT109" s="30"/>
      <c r="CU109" s="30"/>
      <c r="CV109" s="30"/>
      <c r="CW109" s="30"/>
      <c r="CX109" s="30"/>
      <c r="CY109" s="30"/>
      <c r="CZ109" s="30"/>
      <c r="DA109" s="30"/>
      <c r="DB109" s="30"/>
    </row>
    <row r="110" spans="1:106" x14ac:dyDescent="0.25">
      <c r="A110" s="17" t="s">
        <v>391</v>
      </c>
      <c r="C110" s="28">
        <f>=C108+C107</f>
        <v>0</v>
      </c>
      <c r="D110" s="28">
        <f>=D108+D107</f>
        <v>0</v>
      </c>
      <c r="E110" s="28">
        <f>=E108+E107</f>
        <v>0</v>
      </c>
      <c r="F110" s="28">
        <f>=F108+F107</f>
        <v>0</v>
      </c>
      <c r="G110" s="28">
        <f>=G108+G107</f>
        <v>0</v>
      </c>
      <c r="H110" s="28">
        <f>=H108+H107</f>
        <v>0</v>
      </c>
      <c r="I110" s="28">
        <f>=I108+I107</f>
        <v>0</v>
      </c>
      <c r="J110" s="28">
        <f>=J108+J107</f>
        <v>0</v>
      </c>
      <c r="K110" s="28">
        <f>=K108+K107</f>
        <v>0</v>
      </c>
      <c r="L110" s="28">
        <f>=L108+L107</f>
        <v>0</v>
      </c>
      <c r="M110" s="28">
        <f>=M108+M107</f>
        <v>0</v>
      </c>
      <c r="N110" s="28">
        <f>=N108+N107</f>
        <v>0</v>
      </c>
      <c r="O110" s="28">
        <f>=O108+O107</f>
        <v>0</v>
      </c>
      <c r="P110" s="28">
        <f>=P108+P107</f>
        <v>0</v>
      </c>
      <c r="Q110" s="28">
        <f>=Q108+Q107</f>
        <v>0</v>
      </c>
      <c r="R110" s="28">
        <f>=R108+R107</f>
        <v>0</v>
      </c>
      <c r="S110" s="28">
        <f>=S108+S107</f>
        <v>0</v>
      </c>
      <c r="T110" s="28">
        <f>=T108+T107</f>
        <v>0</v>
      </c>
      <c r="U110" s="28">
        <f>=U108+U107</f>
        <v>0</v>
      </c>
      <c r="V110" s="28">
        <f>=V108+V107</f>
        <v>0</v>
      </c>
      <c r="W110" s="28">
        <f>=W108+W107</f>
        <v>0</v>
      </c>
      <c r="X110" s="28">
        <f>=X108+X107</f>
        <v>0</v>
      </c>
      <c r="Y110" s="28">
        <f>=Y108+Y107</f>
        <v>0</v>
      </c>
      <c r="Z110" s="28">
        <f>=Z108+Z107</f>
        <v>0</v>
      </c>
      <c r="AA110" s="28">
        <f>=AA108+AA107</f>
        <v>0</v>
      </c>
      <c r="AB110" s="28">
        <f>=AB108+AB107</f>
        <v>0</v>
      </c>
      <c r="AC110" s="28">
        <f>=AC108+AC107</f>
        <v>0</v>
      </c>
      <c r="AD110" s="28">
        <f>=AD108+AD107</f>
        <v>0</v>
      </c>
      <c r="AE110" s="28">
        <f>=AE108+AE107</f>
        <v>0</v>
      </c>
      <c r="AF110" s="28">
        <f>=AF108+AF107</f>
        <v>0</v>
      </c>
      <c r="AG110" s="17">
        <v>0</v>
      </c>
      <c r="AH110" s="17">
        <v>0</v>
      </c>
      <c r="AI110" s="17">
        <v>0</v>
      </c>
      <c r="AJ110" s="17">
        <v>0</v>
      </c>
      <c r="AK110" s="17">
        <v>0</v>
      </c>
      <c r="AL110" s="17">
        <v>0</v>
      </c>
      <c r="AM110" s="17">
        <v>0</v>
      </c>
      <c r="AN110" s="17">
        <v>0</v>
      </c>
      <c r="AO110" s="17">
        <v>0</v>
      </c>
      <c r="AP110" s="17">
        <v>0</v>
      </c>
      <c r="AQ110" s="17">
        <v>0</v>
      </c>
      <c r="AR110" s="17">
        <v>0</v>
      </c>
      <c r="AS110" s="17">
        <v>0</v>
      </c>
      <c r="AT110" s="17">
        <v>0</v>
      </c>
      <c r="AU110" s="17">
        <v>0</v>
      </c>
      <c r="AV110" s="17">
        <v>0</v>
      </c>
      <c r="AW110" s="17">
        <v>0</v>
      </c>
      <c r="AX110" s="17">
        <v>0</v>
      </c>
      <c r="AY110" s="17">
        <v>0</v>
      </c>
      <c r="AZ110" s="17">
        <v>0</v>
      </c>
      <c r="BA110" s="17">
        <v>0</v>
      </c>
      <c r="BB110" s="17">
        <v>0</v>
      </c>
      <c r="BC110" s="17">
        <v>0</v>
      </c>
      <c r="BD110" s="17">
        <v>0</v>
      </c>
      <c r="BE110" s="17">
        <v>0</v>
      </c>
      <c r="BF110" s="17">
        <v>0</v>
      </c>
      <c r="BG110" s="17">
        <v>0</v>
      </c>
      <c r="BH110" s="17">
        <v>0</v>
      </c>
      <c r="BI110" s="17">
        <v>0</v>
      </c>
      <c r="BJ110" s="17">
        <v>0</v>
      </c>
      <c r="BK110" s="17">
        <v>0</v>
      </c>
      <c r="BL110" s="17">
        <v>0</v>
      </c>
      <c r="BM110" s="17">
        <v>0</v>
      </c>
      <c r="BN110" s="17">
        <v>0</v>
      </c>
      <c r="BO110" s="17">
        <v>0</v>
      </c>
      <c r="BP110" s="17">
        <v>0</v>
      </c>
      <c r="BQ110" s="17">
        <v>0</v>
      </c>
      <c r="BR110" s="17">
        <v>0</v>
      </c>
      <c r="BS110" s="17">
        <v>0</v>
      </c>
      <c r="BT110" s="17">
        <v>0</v>
      </c>
      <c r="BU110" s="17">
        <v>0</v>
      </c>
      <c r="BV110" s="17">
        <v>0</v>
      </c>
      <c r="BW110" s="17">
        <v>0</v>
      </c>
      <c r="BX110" s="17">
        <v>0</v>
      </c>
      <c r="BY110" s="17">
        <v>0</v>
      </c>
      <c r="BZ110" s="17">
        <v>0</v>
      </c>
      <c r="CA110" s="17">
        <v>0</v>
      </c>
      <c r="CB110" s="17">
        <v>0</v>
      </c>
      <c r="CC110" s="28">
        <f>=CC108+CC107</f>
        <v>0</v>
      </c>
      <c r="CD110" s="28">
        <f>=CD108+CD107</f>
        <v>0</v>
      </c>
      <c r="CE110" s="28">
        <f>=CE108+CE107</f>
        <v>0</v>
      </c>
      <c r="CF110" s="28">
        <f>=CF108+CF107</f>
        <v>0</v>
      </c>
      <c r="CG110" s="28">
        <f>=CG108+CG107</f>
        <v>0</v>
      </c>
      <c r="CH110" s="28">
        <f>=CH108+CH107</f>
        <v>0</v>
      </c>
      <c r="CI110" s="28">
        <f>=CI108+CI107</f>
        <v>0</v>
      </c>
      <c r="CJ110" s="28">
        <f>=CJ108+CJ107</f>
        <v>0</v>
      </c>
      <c r="CK110" s="28">
        <f>=CK108+CK107</f>
        <v>0</v>
      </c>
      <c r="CL110" s="28">
        <f>=CL108+CL107</f>
        <v>0</v>
      </c>
      <c r="CM110" s="28">
        <f>=CM108+CM107</f>
        <v>0</v>
      </c>
      <c r="CN110" s="28">
        <f>=CN108+CN107</f>
        <v>0</v>
      </c>
      <c r="CO110" s="28">
        <f>=CO108+CO107</f>
        <v>0</v>
      </c>
      <c r="CP110" s="28">
        <f>=CP108+CP107</f>
        <v>0</v>
      </c>
      <c r="CQ110" s="28">
        <f>=CQ108+CQ107</f>
        <v>0</v>
      </c>
      <c r="CR110" s="28">
        <f>=CR108+CR107</f>
        <v>0</v>
      </c>
      <c r="CS110" s="28">
        <f>=CS108+CS107</f>
        <v>0</v>
      </c>
      <c r="CT110" s="28">
        <f>=CT108+CT107</f>
        <v>0</v>
      </c>
      <c r="CU110" s="28">
        <f>=CU108+CU107</f>
        <v>0</v>
      </c>
      <c r="CV110" s="28">
        <f>=CV108+CV107</f>
        <v>0</v>
      </c>
      <c r="CW110" s="28">
        <f>=CW108+CW107</f>
        <v>0</v>
      </c>
      <c r="CX110" s="28">
        <f>=CX108+CX107</f>
        <v>0</v>
      </c>
      <c r="CY110" s="28">
        <f>=CY108+CY107</f>
        <v>0</v>
      </c>
      <c r="CZ110" s="28">
        <f>=CZ108+CZ107</f>
        <v>0</v>
      </c>
      <c r="DA110" s="28">
        <f>=DA108+DA107</f>
        <v>0</v>
      </c>
      <c r="DB110" s="28">
        <f>=DB108+DB107</f>
        <v>0</v>
      </c>
    </row>
    <row r="111" spans="1:106" x14ac:dyDescent="0.25">
      <c r="A111" s="17" t="s">
        <v>392</v>
      </c>
      <c r="C111" s="30"/>
      <c r="D111" s="28">
        <f>=C110*(1-D$43)</f>
        <v>0</v>
      </c>
      <c r="E111" s="28">
        <f>=D110*(1-E$43)</f>
        <v>0</v>
      </c>
      <c r="F111" s="28">
        <f>=E110*(1-F$43)</f>
        <v>0</v>
      </c>
      <c r="G111" s="28">
        <f>=F110*(1-G$43)</f>
        <v>0</v>
      </c>
      <c r="H111" s="28">
        <f>=G110*(1-H$43)</f>
        <v>0</v>
      </c>
      <c r="I111" s="28">
        <f>=H110*(1-I$43)</f>
        <v>0</v>
      </c>
      <c r="J111" s="28">
        <f>=I110*(1-J$43)</f>
        <v>0</v>
      </c>
      <c r="K111" s="28">
        <f>=J110*(1-K$43)</f>
        <v>0</v>
      </c>
      <c r="L111" s="28">
        <f>=K110*(1-L$43)</f>
        <v>0</v>
      </c>
      <c r="M111" s="28">
        <f>=L110*(1-M$43)</f>
        <v>0</v>
      </c>
      <c r="N111" s="28">
        <f>=M110*(1-N$43)</f>
        <v>0</v>
      </c>
      <c r="O111" s="28">
        <f>=N110*(1-O$43)</f>
        <v>0</v>
      </c>
      <c r="P111" s="28">
        <f>=O110*(1-P$43)</f>
        <v>0</v>
      </c>
      <c r="Q111" s="28">
        <f>=P110*(1-Q$43)</f>
        <v>0</v>
      </c>
      <c r="R111" s="28">
        <f>=Q110*(1-R$43)</f>
        <v>0</v>
      </c>
      <c r="S111" s="28">
        <f>=R110*(1-S$43)</f>
        <v>0</v>
      </c>
      <c r="T111" s="28">
        <f>=S110*(1-T$43)</f>
        <v>0</v>
      </c>
      <c r="U111" s="28">
        <f>=T110*(1-U$43)</f>
        <v>0</v>
      </c>
      <c r="V111" s="28">
        <f>=U110*(1-V$43)</f>
        <v>0</v>
      </c>
      <c r="W111" s="28">
        <f>=V110*(1-W$43)</f>
        <v>0</v>
      </c>
      <c r="X111" s="28">
        <f>=W110*(1-X$43)</f>
        <v>0</v>
      </c>
      <c r="Y111" s="28">
        <f>=X110*(1-Y$43)</f>
        <v>0</v>
      </c>
      <c r="Z111" s="28">
        <f>=Y110*(1-Z$43)</f>
        <v>0</v>
      </c>
      <c r="AA111" s="28">
        <f>=Z110*(1-AA$43)</f>
        <v>0</v>
      </c>
      <c r="AB111" s="28">
        <f>=AA110*(1-AB$43)</f>
        <v>0</v>
      </c>
      <c r="AC111" s="28">
        <f>=AB110*(1-AC$43)</f>
        <v>0</v>
      </c>
      <c r="AD111" s="28">
        <f>=AC110*(1-AD$43)</f>
        <v>0</v>
      </c>
      <c r="AE111" s="28">
        <f>=AD110*(1-AE$43)</f>
        <v>0</v>
      </c>
      <c r="AF111" s="28">
        <f>=AE110*(1-AF$43)</f>
        <v>0</v>
      </c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30"/>
      <c r="CD111" s="30"/>
      <c r="CE111" s="30"/>
      <c r="CF111" s="30"/>
      <c r="CG111" s="30"/>
      <c r="CH111" s="30"/>
      <c r="CI111" s="30"/>
      <c r="CJ111" s="30"/>
      <c r="CK111" s="30"/>
      <c r="CL111" s="30"/>
      <c r="CM111" s="30"/>
      <c r="CN111" s="30"/>
      <c r="CO111" s="30"/>
      <c r="CP111" s="30"/>
      <c r="CQ111" s="30"/>
      <c r="CR111" s="30"/>
      <c r="CS111" s="30"/>
      <c r="CT111" s="30"/>
      <c r="CU111" s="30"/>
      <c r="CV111" s="30"/>
      <c r="CW111" s="30"/>
      <c r="CX111" s="30"/>
      <c r="CY111" s="30"/>
      <c r="CZ111" s="30"/>
      <c r="DA111" s="30"/>
      <c r="DB111" s="30"/>
    </row>
    <row r="112" spans="1:106" x14ac:dyDescent="0.25">
      <c r="A112" s="17" t="s">
        <v>336</v>
      </c>
      <c r="C112" s="30"/>
      <c r="D112" s="28">
        <f>=C111*(1-D$43)</f>
        <v>0</v>
      </c>
      <c r="E112" s="28">
        <f>=D111*(1-E$43)</f>
        <v>0</v>
      </c>
      <c r="F112" s="28">
        <f>=E111*(1-F$43)</f>
        <v>0</v>
      </c>
      <c r="G112" s="28">
        <f>=F111*(1-G$43)</f>
        <v>0</v>
      </c>
      <c r="H112" s="28">
        <f>=G111*(1-H$43)</f>
        <v>0</v>
      </c>
      <c r="I112" s="28">
        <f>=H111*(1-I$43)</f>
        <v>0</v>
      </c>
      <c r="J112" s="28">
        <f>=I111*(1-J$43)</f>
        <v>0</v>
      </c>
      <c r="K112" s="28">
        <f>=J111*(1-K$43)</f>
        <v>0</v>
      </c>
      <c r="L112" s="28">
        <f>=K111*(1-L$43)</f>
        <v>0</v>
      </c>
      <c r="M112" s="28">
        <f>=L111*(1-M$43)</f>
        <v>0</v>
      </c>
      <c r="N112" s="28">
        <f>=M111*(1-N$43)</f>
        <v>0</v>
      </c>
      <c r="O112" s="28">
        <f>=N111*(1-O$43)</f>
        <v>0</v>
      </c>
      <c r="P112" s="28">
        <f>=O111*(1-P$43)</f>
        <v>0</v>
      </c>
      <c r="Q112" s="28">
        <f>=P111*(1-Q$43)</f>
        <v>0</v>
      </c>
      <c r="R112" s="28">
        <f>=Q111*(1-R$43)</f>
        <v>0</v>
      </c>
      <c r="S112" s="28">
        <f>=R111*(1-S$43)</f>
        <v>0</v>
      </c>
      <c r="T112" s="28">
        <f>=S111*(1-T$43)</f>
        <v>0</v>
      </c>
      <c r="U112" s="28">
        <f>=T111*(1-U$43)</f>
        <v>0</v>
      </c>
      <c r="V112" s="28">
        <f>=U111*(1-V$43)</f>
        <v>0</v>
      </c>
      <c r="W112" s="28">
        <f>=V111*(1-W$43)</f>
        <v>0</v>
      </c>
      <c r="X112" s="28">
        <f>=W111*(1-X$43)</f>
        <v>0</v>
      </c>
      <c r="Y112" s="28">
        <f>=X111*(1-Y$43)</f>
        <v>0</v>
      </c>
      <c r="Z112" s="28">
        <f>=Y111*(1-Z$43)</f>
        <v>0</v>
      </c>
      <c r="AA112" s="28">
        <f>=Z111*(1-AA$43)</f>
        <v>0</v>
      </c>
      <c r="AB112" s="28">
        <f>=AA111*(1-AB$43)</f>
        <v>0</v>
      </c>
      <c r="AC112" s="28">
        <f>=AB111*(1-AC$43)</f>
        <v>0</v>
      </c>
      <c r="AD112" s="28">
        <f>=AC111*(1-AD$43)</f>
        <v>0</v>
      </c>
      <c r="AE112" s="28">
        <f>=AD111*(1-AE$43)</f>
        <v>0</v>
      </c>
      <c r="AF112" s="28">
        <f>=AE111*(1-AF$43)</f>
        <v>0</v>
      </c>
      <c r="AG112" s="17">
        <v>0</v>
      </c>
      <c r="AH112" s="17">
        <v>0</v>
      </c>
      <c r="AI112" s="17">
        <v>0</v>
      </c>
      <c r="AJ112" s="17">
        <v>0</v>
      </c>
      <c r="AK112" s="17">
        <v>0</v>
      </c>
      <c r="AL112" s="17">
        <v>0</v>
      </c>
      <c r="AM112" s="17">
        <v>0</v>
      </c>
      <c r="AN112" s="17">
        <v>0</v>
      </c>
      <c r="AO112" s="17">
        <v>0</v>
      </c>
      <c r="AP112" s="17">
        <v>0</v>
      </c>
      <c r="AQ112" s="17">
        <v>0</v>
      </c>
      <c r="AR112" s="17">
        <v>0</v>
      </c>
      <c r="AS112" s="17">
        <v>0</v>
      </c>
      <c r="AT112" s="17">
        <v>0</v>
      </c>
      <c r="AU112" s="17">
        <v>0</v>
      </c>
      <c r="AV112" s="17">
        <v>0</v>
      </c>
      <c r="AW112" s="17">
        <v>0</v>
      </c>
      <c r="AX112" s="17">
        <v>0</v>
      </c>
      <c r="AY112" s="17">
        <v>0</v>
      </c>
      <c r="AZ112" s="17">
        <v>0</v>
      </c>
      <c r="BA112" s="17">
        <v>0</v>
      </c>
      <c r="BB112" s="17">
        <v>0</v>
      </c>
      <c r="BC112" s="17">
        <v>0</v>
      </c>
      <c r="BD112" s="17">
        <v>0</v>
      </c>
      <c r="BE112" s="17">
        <v>0</v>
      </c>
      <c r="BF112" s="17">
        <v>0</v>
      </c>
      <c r="BG112" s="17">
        <v>0</v>
      </c>
      <c r="BH112" s="17">
        <v>0</v>
      </c>
      <c r="BI112" s="17">
        <v>0</v>
      </c>
      <c r="BJ112" s="17">
        <v>0</v>
      </c>
      <c r="BK112" s="17">
        <v>0</v>
      </c>
      <c r="BL112" s="17">
        <v>0</v>
      </c>
      <c r="BM112" s="17">
        <v>0</v>
      </c>
      <c r="BN112" s="17">
        <v>0</v>
      </c>
      <c r="BO112" s="17">
        <v>0</v>
      </c>
      <c r="BP112" s="17">
        <v>0</v>
      </c>
      <c r="BQ112" s="17">
        <v>0</v>
      </c>
      <c r="BR112" s="17">
        <v>0</v>
      </c>
      <c r="BS112" s="17">
        <v>0</v>
      </c>
      <c r="BT112" s="17">
        <v>0</v>
      </c>
      <c r="BU112" s="17">
        <v>0</v>
      </c>
      <c r="BV112" s="17">
        <v>0</v>
      </c>
      <c r="BW112" s="17">
        <v>0</v>
      </c>
      <c r="BX112" s="17">
        <v>0</v>
      </c>
      <c r="BY112" s="17">
        <v>0</v>
      </c>
      <c r="BZ112" s="17">
        <v>0</v>
      </c>
      <c r="CA112" s="17">
        <v>0</v>
      </c>
      <c r="CB112" s="17">
        <v>0</v>
      </c>
      <c r="CC112" s="28">
        <f>=CB110*(1-CC$43)</f>
        <v>0</v>
      </c>
      <c r="CD112" s="28">
        <f>=CC110*(1-CD$43)</f>
        <v>0</v>
      </c>
      <c r="CE112" s="28">
        <f>=CD110*(1-CE$43)</f>
        <v>0</v>
      </c>
      <c r="CF112" s="28">
        <f>=CE110*(1-CF$43)</f>
        <v>0</v>
      </c>
      <c r="CG112" s="28">
        <f>=CF110*(1-CG$43)</f>
        <v>0</v>
      </c>
      <c r="CH112" s="28">
        <f>=CG110*(1-CH$43)</f>
        <v>0</v>
      </c>
      <c r="CI112" s="28">
        <f>=CH110*(1-CI$43)</f>
        <v>0</v>
      </c>
      <c r="CJ112" s="28">
        <f>=CI110*(1-CJ$43)</f>
        <v>0</v>
      </c>
      <c r="CK112" s="28">
        <f>=CJ110*(1-CK$43)</f>
        <v>0</v>
      </c>
      <c r="CL112" s="28">
        <f>=CK110*(1-CL$43)</f>
        <v>0</v>
      </c>
      <c r="CM112" s="28">
        <f>=CL110*(1-CM$43)</f>
        <v>0</v>
      </c>
      <c r="CN112" s="28">
        <f>=CM110*(1-CN$43)</f>
        <v>0</v>
      </c>
      <c r="CO112" s="28">
        <f>=CN110*(1-CO$43)</f>
        <v>0</v>
      </c>
      <c r="CP112" s="28">
        <f>=CO110*(1-CP$43)</f>
        <v>0</v>
      </c>
      <c r="CQ112" s="28">
        <f>=CP110*(1-CQ$43)</f>
        <v>0</v>
      </c>
      <c r="CR112" s="28">
        <f>=CQ110*(1-CR$43)</f>
        <v>0</v>
      </c>
      <c r="CS112" s="28">
        <f>=CR110*(1-CS$43)</f>
        <v>0</v>
      </c>
      <c r="CT112" s="28">
        <f>=CS110*(1-CT$43)</f>
        <v>0</v>
      </c>
      <c r="CU112" s="28">
        <f>=CT110*(1-CU$43)</f>
        <v>0</v>
      </c>
      <c r="CV112" s="28">
        <f>=CU110*(1-CV$43)</f>
        <v>0</v>
      </c>
      <c r="CW112" s="28">
        <f>=CV110*(1-CW$43)</f>
        <v>0</v>
      </c>
      <c r="CX112" s="28">
        <f>=CW110*(1-CX$43)</f>
        <v>0</v>
      </c>
      <c r="CY112" s="28">
        <f>=CX110*(1-CY$43)</f>
        <v>0</v>
      </c>
      <c r="CZ112" s="28">
        <f>=CY110*(1-CZ$43)</f>
        <v>0</v>
      </c>
      <c r="DA112" s="28">
        <f>=CZ110*(1-DA$43)</f>
        <v>0</v>
      </c>
      <c r="DB112" s="28">
        <f>=DA110*(1-DB$43)</f>
        <v>0</v>
      </c>
    </row>
    <row r="113" spans="1:106" x14ac:dyDescent="0.25">
      <c r="A113" s="17" t="s">
        <v>337</v>
      </c>
      <c r="C113" s="30"/>
      <c r="D113" s="28">
        <f>=C112*(1-D$43)</f>
        <v>0</v>
      </c>
      <c r="E113" s="28">
        <f>=D112*(1-E$43)</f>
        <v>0</v>
      </c>
      <c r="F113" s="28">
        <f>=E112*(1-F$43)</f>
        <v>0</v>
      </c>
      <c r="G113" s="28">
        <f>=F112*(1-G$43)</f>
        <v>0</v>
      </c>
      <c r="H113" s="28">
        <f>=G112*(1-H$43)</f>
        <v>0</v>
      </c>
      <c r="I113" s="28">
        <f>=H112*(1-I$43)</f>
        <v>0</v>
      </c>
      <c r="J113" s="28">
        <f>=I112*(1-J$43)</f>
        <v>0</v>
      </c>
      <c r="K113" s="28">
        <f>=J112*(1-K$43)</f>
        <v>0</v>
      </c>
      <c r="L113" s="28">
        <f>=K112*(1-L$43)</f>
        <v>0</v>
      </c>
      <c r="M113" s="28">
        <f>=L112*(1-M$43)</f>
        <v>0</v>
      </c>
      <c r="N113" s="28">
        <f>=M112*(1-N$43)</f>
        <v>0</v>
      </c>
      <c r="O113" s="28">
        <f>=N112*(1-O$43)</f>
        <v>0</v>
      </c>
      <c r="P113" s="28">
        <f>=O112*(1-P$43)</f>
        <v>0</v>
      </c>
      <c r="Q113" s="28">
        <f>=P112*(1-Q$43)</f>
        <v>0</v>
      </c>
      <c r="R113" s="28">
        <f>=Q112*(1-R$43)</f>
        <v>0</v>
      </c>
      <c r="S113" s="28">
        <f>=R112*(1-S$43)</f>
        <v>0</v>
      </c>
      <c r="T113" s="28">
        <f>=S112*(1-T$43)</f>
        <v>0</v>
      </c>
      <c r="U113" s="28">
        <f>=T112*(1-U$43)</f>
        <v>0</v>
      </c>
      <c r="V113" s="28">
        <f>=U112*(1-V$43)</f>
        <v>0</v>
      </c>
      <c r="W113" s="28">
        <f>=V112*(1-W$43)</f>
        <v>0</v>
      </c>
      <c r="X113" s="28">
        <f>=W112*(1-X$43)</f>
        <v>0</v>
      </c>
      <c r="Y113" s="28">
        <f>=X112*(1-Y$43)</f>
        <v>0</v>
      </c>
      <c r="Z113" s="28">
        <f>=Y112*(1-Z$43)</f>
        <v>0</v>
      </c>
      <c r="AA113" s="28">
        <f>=Z112*(1-AA$43)</f>
        <v>0</v>
      </c>
      <c r="AB113" s="28">
        <f>=AA112*(1-AB$43)</f>
        <v>0</v>
      </c>
      <c r="AC113" s="28">
        <f>=AB112*(1-AC$43)</f>
        <v>0</v>
      </c>
      <c r="AD113" s="28">
        <f>=AC112*(1-AD$43)</f>
        <v>0</v>
      </c>
      <c r="AE113" s="28">
        <f>=AD112*(1-AE$43)</f>
        <v>0</v>
      </c>
      <c r="AF113" s="28">
        <f>=AE112*(1-AF$43)</f>
        <v>0</v>
      </c>
      <c r="AG113" s="17">
        <v>0</v>
      </c>
      <c r="AH113" s="17">
        <v>0</v>
      </c>
      <c r="AI113" s="17">
        <v>0</v>
      </c>
      <c r="AJ113" s="17">
        <v>0</v>
      </c>
      <c r="AK113" s="17">
        <v>0</v>
      </c>
      <c r="AL113" s="17">
        <v>0</v>
      </c>
      <c r="AM113" s="17">
        <v>0</v>
      </c>
      <c r="AN113" s="17">
        <v>0</v>
      </c>
      <c r="AO113" s="17">
        <v>0</v>
      </c>
      <c r="AP113" s="17">
        <v>0</v>
      </c>
      <c r="AQ113" s="17">
        <v>0</v>
      </c>
      <c r="AR113" s="17">
        <v>0</v>
      </c>
      <c r="AS113" s="17">
        <v>0</v>
      </c>
      <c r="AT113" s="17">
        <v>0</v>
      </c>
      <c r="AU113" s="17">
        <v>0</v>
      </c>
      <c r="AV113" s="17">
        <v>0</v>
      </c>
      <c r="AW113" s="17">
        <v>0</v>
      </c>
      <c r="AX113" s="17">
        <v>0</v>
      </c>
      <c r="AY113" s="17">
        <v>0</v>
      </c>
      <c r="AZ113" s="17">
        <v>0</v>
      </c>
      <c r="BA113" s="17">
        <v>0</v>
      </c>
      <c r="BB113" s="17">
        <v>0</v>
      </c>
      <c r="BC113" s="17">
        <v>0</v>
      </c>
      <c r="BD113" s="17">
        <v>0</v>
      </c>
      <c r="BE113" s="17">
        <v>0</v>
      </c>
      <c r="BF113" s="17">
        <v>0</v>
      </c>
      <c r="BG113" s="17">
        <v>0</v>
      </c>
      <c r="BH113" s="17">
        <v>0</v>
      </c>
      <c r="BI113" s="17">
        <v>0</v>
      </c>
      <c r="BJ113" s="17">
        <v>0</v>
      </c>
      <c r="BK113" s="17">
        <v>0</v>
      </c>
      <c r="BL113" s="17">
        <v>0</v>
      </c>
      <c r="BM113" s="17">
        <v>0</v>
      </c>
      <c r="BN113" s="17">
        <v>0</v>
      </c>
      <c r="BO113" s="17">
        <v>0</v>
      </c>
      <c r="BP113" s="17">
        <v>0</v>
      </c>
      <c r="BQ113" s="17">
        <v>0</v>
      </c>
      <c r="BR113" s="17">
        <v>0</v>
      </c>
      <c r="BS113" s="17">
        <v>0</v>
      </c>
      <c r="BT113" s="17">
        <v>0</v>
      </c>
      <c r="BU113" s="17">
        <v>0</v>
      </c>
      <c r="BV113" s="17">
        <v>0</v>
      </c>
      <c r="BW113" s="17">
        <v>0</v>
      </c>
      <c r="BX113" s="17">
        <v>0</v>
      </c>
      <c r="BY113" s="17">
        <v>0</v>
      </c>
      <c r="BZ113" s="17">
        <v>0</v>
      </c>
      <c r="CA113" s="17">
        <v>0</v>
      </c>
      <c r="CB113" s="17">
        <v>0</v>
      </c>
      <c r="CC113" s="28">
        <f>=CB112*(1-CC$43)</f>
        <v>0</v>
      </c>
      <c r="CD113" s="28">
        <f>=CC112*(1-CD$43)</f>
        <v>0</v>
      </c>
      <c r="CE113" s="28">
        <f>=CD112*(1-CE$43)</f>
        <v>0</v>
      </c>
      <c r="CF113" s="28">
        <f>=CE112*(1-CF$43)</f>
        <v>0</v>
      </c>
      <c r="CG113" s="28">
        <f>=CF112*(1-CG$43)</f>
        <v>0</v>
      </c>
      <c r="CH113" s="28">
        <f>=CG112*(1-CH$43)</f>
        <v>0</v>
      </c>
      <c r="CI113" s="28">
        <f>=CH112*(1-CI$43)</f>
        <v>0</v>
      </c>
      <c r="CJ113" s="28">
        <f>=CI112*(1-CJ$43)</f>
        <v>0</v>
      </c>
      <c r="CK113" s="28">
        <f>=CJ112*(1-CK$43)</f>
        <v>0</v>
      </c>
      <c r="CL113" s="28">
        <f>=CK112*(1-CL$43)</f>
        <v>0</v>
      </c>
      <c r="CM113" s="28">
        <f>=CL112*(1-CM$43)</f>
        <v>0</v>
      </c>
      <c r="CN113" s="28">
        <f>=CM112*(1-CN$43)</f>
        <v>0</v>
      </c>
      <c r="CO113" s="28">
        <f>=CN112*(1-CO$43)</f>
        <v>0</v>
      </c>
      <c r="CP113" s="28">
        <f>=CO112*(1-CP$43)</f>
        <v>0</v>
      </c>
      <c r="CQ113" s="28">
        <f>=CP112*(1-CQ$43)</f>
        <v>0</v>
      </c>
      <c r="CR113" s="28">
        <f>=CQ112*(1-CR$43)</f>
        <v>0</v>
      </c>
      <c r="CS113" s="28">
        <f>=CR112*(1-CS$43)</f>
        <v>0</v>
      </c>
      <c r="CT113" s="28">
        <f>=CS112*(1-CT$43)</f>
        <v>0</v>
      </c>
      <c r="CU113" s="28">
        <f>=CT112*(1-CU$43)</f>
        <v>0</v>
      </c>
      <c r="CV113" s="28">
        <f>=CU112*(1-CV$43)</f>
        <v>0</v>
      </c>
      <c r="CW113" s="28">
        <f>=CV112*(1-CW$43)</f>
        <v>0</v>
      </c>
      <c r="CX113" s="28">
        <f>=CW112*(1-CX$43)</f>
        <v>0</v>
      </c>
      <c r="CY113" s="28">
        <f>=CX112*(1-CY$43)</f>
        <v>0</v>
      </c>
      <c r="CZ113" s="28">
        <f>=CY112*(1-CZ$43)</f>
        <v>0</v>
      </c>
      <c r="DA113" s="28">
        <f>=CZ112*(1-DA$43)</f>
        <v>0</v>
      </c>
      <c r="DB113" s="28">
        <f>=DA112*(1-DB$43)</f>
        <v>0</v>
      </c>
    </row>
    <row r="114" spans="1:106" x14ac:dyDescent="0.25">
      <c r="A114" s="17" t="s">
        <v>338</v>
      </c>
      <c r="C114" s="30"/>
      <c r="D114" s="28">
        <f>=C113*(1-D$43)</f>
        <v>0</v>
      </c>
      <c r="E114" s="28">
        <f>=D113*(1-E$43)</f>
        <v>0</v>
      </c>
      <c r="F114" s="28">
        <f>=E113*(1-F$43)</f>
        <v>0</v>
      </c>
      <c r="G114" s="28">
        <f>=F113*(1-G$43)</f>
        <v>0</v>
      </c>
      <c r="H114" s="28">
        <f>=G113*(1-H$43)</f>
        <v>0</v>
      </c>
      <c r="I114" s="28">
        <f>=H113*(1-I$43)</f>
        <v>0</v>
      </c>
      <c r="J114" s="28">
        <f>=I113*(1-J$43)</f>
        <v>0</v>
      </c>
      <c r="K114" s="28">
        <f>=J113*(1-K$43)</f>
        <v>0</v>
      </c>
      <c r="L114" s="28">
        <f>=K113*(1-L$43)</f>
        <v>0</v>
      </c>
      <c r="M114" s="28">
        <f>=L113*(1-M$43)</f>
        <v>0</v>
      </c>
      <c r="N114" s="28">
        <f>=M113*(1-N$43)</f>
        <v>0</v>
      </c>
      <c r="O114" s="28">
        <f>=N113*(1-O$43)</f>
        <v>0</v>
      </c>
      <c r="P114" s="28">
        <f>=O113*(1-P$43)</f>
        <v>0</v>
      </c>
      <c r="Q114" s="28">
        <f>=P113*(1-Q$43)</f>
        <v>0</v>
      </c>
      <c r="R114" s="28">
        <f>=Q113*(1-R$43)</f>
        <v>0</v>
      </c>
      <c r="S114" s="28">
        <f>=R113*(1-S$43)</f>
        <v>0</v>
      </c>
      <c r="T114" s="28">
        <f>=S113*(1-T$43)</f>
        <v>0</v>
      </c>
      <c r="U114" s="28">
        <f>=T113*(1-U$43)</f>
        <v>0</v>
      </c>
      <c r="V114" s="28">
        <f>=U113*(1-V$43)</f>
        <v>0</v>
      </c>
      <c r="W114" s="28">
        <f>=V113*(1-W$43)</f>
        <v>0</v>
      </c>
      <c r="X114" s="28">
        <f>=W113*(1-X$43)</f>
        <v>0</v>
      </c>
      <c r="Y114" s="28">
        <f>=X113*(1-Y$43)</f>
        <v>0</v>
      </c>
      <c r="Z114" s="28">
        <f>=Y113*(1-Z$43)</f>
        <v>0</v>
      </c>
      <c r="AA114" s="28">
        <f>=Z113*(1-AA$43)</f>
        <v>0</v>
      </c>
      <c r="AB114" s="28">
        <f>=AA113*(1-AB$43)</f>
        <v>0</v>
      </c>
      <c r="AC114" s="28">
        <f>=AB113*(1-AC$43)</f>
        <v>0</v>
      </c>
      <c r="AD114" s="28">
        <f>=AC113*(1-AD$43)</f>
        <v>0</v>
      </c>
      <c r="AE114" s="28">
        <f>=AD113*(1-AE$43)</f>
        <v>0</v>
      </c>
      <c r="AF114" s="28">
        <f>=AE113*(1-AF$43)</f>
        <v>0</v>
      </c>
      <c r="AG114" s="17">
        <v>0</v>
      </c>
      <c r="AH114" s="17">
        <v>0</v>
      </c>
      <c r="AI114" s="17">
        <v>0</v>
      </c>
      <c r="AJ114" s="17">
        <v>0</v>
      </c>
      <c r="AK114" s="17">
        <v>0</v>
      </c>
      <c r="AL114" s="17">
        <v>0</v>
      </c>
      <c r="AM114" s="17">
        <v>0</v>
      </c>
      <c r="AN114" s="17">
        <v>0</v>
      </c>
      <c r="AO114" s="17">
        <v>0</v>
      </c>
      <c r="AP114" s="17">
        <v>0</v>
      </c>
      <c r="AQ114" s="17">
        <v>0</v>
      </c>
      <c r="AR114" s="17">
        <v>0</v>
      </c>
      <c r="AS114" s="17">
        <v>0</v>
      </c>
      <c r="AT114" s="17">
        <v>0</v>
      </c>
      <c r="AU114" s="17">
        <v>0</v>
      </c>
      <c r="AV114" s="17">
        <v>0</v>
      </c>
      <c r="AW114" s="17">
        <v>0</v>
      </c>
      <c r="AX114" s="17">
        <v>0</v>
      </c>
      <c r="AY114" s="17">
        <v>0</v>
      </c>
      <c r="AZ114" s="17">
        <v>0</v>
      </c>
      <c r="BA114" s="17">
        <v>0</v>
      </c>
      <c r="BB114" s="17">
        <v>0</v>
      </c>
      <c r="BC114" s="17">
        <v>0</v>
      </c>
      <c r="BD114" s="17">
        <v>0</v>
      </c>
      <c r="BE114" s="17">
        <v>0</v>
      </c>
      <c r="BF114" s="17">
        <v>0</v>
      </c>
      <c r="BG114" s="17">
        <v>0</v>
      </c>
      <c r="BH114" s="17">
        <v>0</v>
      </c>
      <c r="BI114" s="17">
        <v>0</v>
      </c>
      <c r="BJ114" s="17">
        <v>0</v>
      </c>
      <c r="BK114" s="17">
        <v>0</v>
      </c>
      <c r="BL114" s="17">
        <v>0</v>
      </c>
      <c r="BM114" s="17">
        <v>0</v>
      </c>
      <c r="BN114" s="17">
        <v>0</v>
      </c>
      <c r="BO114" s="17">
        <v>0</v>
      </c>
      <c r="BP114" s="17">
        <v>0</v>
      </c>
      <c r="BQ114" s="17">
        <v>0</v>
      </c>
      <c r="BR114" s="17">
        <v>0</v>
      </c>
      <c r="BS114" s="17">
        <v>0</v>
      </c>
      <c r="BT114" s="17">
        <v>0</v>
      </c>
      <c r="BU114" s="17">
        <v>0</v>
      </c>
      <c r="BV114" s="17">
        <v>0</v>
      </c>
      <c r="BW114" s="17">
        <v>0</v>
      </c>
      <c r="BX114" s="17">
        <v>0</v>
      </c>
      <c r="BY114" s="17">
        <v>0</v>
      </c>
      <c r="BZ114" s="17">
        <v>0</v>
      </c>
      <c r="CA114" s="17">
        <v>0</v>
      </c>
      <c r="CB114" s="17">
        <v>0</v>
      </c>
      <c r="CC114" s="28">
        <f>=CB113*(1-CC$43)</f>
        <v>0</v>
      </c>
      <c r="CD114" s="28">
        <f>=CC113*(1-CD$43)</f>
        <v>0</v>
      </c>
      <c r="CE114" s="28">
        <f>=CD113*(1-CE$43)</f>
        <v>0</v>
      </c>
      <c r="CF114" s="28">
        <f>=CE113*(1-CF$43)</f>
        <v>0</v>
      </c>
      <c r="CG114" s="28">
        <f>=CF113*(1-CG$43)</f>
        <v>0</v>
      </c>
      <c r="CH114" s="28">
        <f>=CG113*(1-CH$43)</f>
        <v>0</v>
      </c>
      <c r="CI114" s="28">
        <f>=CH113*(1-CI$43)</f>
        <v>0</v>
      </c>
      <c r="CJ114" s="28">
        <f>=CI113*(1-CJ$43)</f>
        <v>0</v>
      </c>
      <c r="CK114" s="28">
        <f>=CJ113*(1-CK$43)</f>
        <v>0</v>
      </c>
      <c r="CL114" s="28">
        <f>=CK113*(1-CL$43)</f>
        <v>0</v>
      </c>
      <c r="CM114" s="28">
        <f>=CL113*(1-CM$43)</f>
        <v>0</v>
      </c>
      <c r="CN114" s="28">
        <f>=CM113*(1-CN$43)</f>
        <v>0</v>
      </c>
      <c r="CO114" s="28">
        <f>=CN113*(1-CO$43)</f>
        <v>0</v>
      </c>
      <c r="CP114" s="28">
        <f>=CO113*(1-CP$43)</f>
        <v>0</v>
      </c>
      <c r="CQ114" s="28">
        <f>=CP113*(1-CQ$43)</f>
        <v>0</v>
      </c>
      <c r="CR114" s="28">
        <f>=CQ113*(1-CR$43)</f>
        <v>0</v>
      </c>
      <c r="CS114" s="28">
        <f>=CR113*(1-CS$43)</f>
        <v>0</v>
      </c>
      <c r="CT114" s="28">
        <f>=CS113*(1-CT$43)</f>
        <v>0</v>
      </c>
      <c r="CU114" s="28">
        <f>=CT113*(1-CU$43)</f>
        <v>0</v>
      </c>
      <c r="CV114" s="28">
        <f>=CU113*(1-CV$43)</f>
        <v>0</v>
      </c>
      <c r="CW114" s="28">
        <f>=CV113*(1-CW$43)</f>
        <v>0</v>
      </c>
      <c r="CX114" s="28">
        <f>=CW113*(1-CX$43)</f>
        <v>0</v>
      </c>
      <c r="CY114" s="28">
        <f>=CX113*(1-CY$43)</f>
        <v>0</v>
      </c>
      <c r="CZ114" s="28">
        <f>=CY113*(1-CZ$43)</f>
        <v>0</v>
      </c>
      <c r="DA114" s="28">
        <f>=CZ113*(1-DA$43)</f>
        <v>0</v>
      </c>
      <c r="DB114" s="28">
        <f>=DA113*(1-DB$43)</f>
        <v>0</v>
      </c>
    </row>
    <row r="115" spans="1:106" x14ac:dyDescent="0.25">
      <c r="A115" s="17" t="s">
        <v>393</v>
      </c>
      <c r="C115" s="30"/>
      <c r="D115" s="28">
        <f>=C114*(1-D$43)</f>
        <v>0</v>
      </c>
      <c r="E115" s="28">
        <f>=D114*(1-E$43)</f>
        <v>0</v>
      </c>
      <c r="F115" s="28">
        <f>=E114*(1-F$43)</f>
        <v>0</v>
      </c>
      <c r="G115" s="28">
        <f>=F114*(1-G$43)</f>
        <v>0</v>
      </c>
      <c r="H115" s="28">
        <f>=G114*(1-H$43)</f>
        <v>0</v>
      </c>
      <c r="I115" s="28">
        <f>=H114*(1-I$43)</f>
        <v>0</v>
      </c>
      <c r="J115" s="28">
        <f>=I114*(1-J$43)</f>
        <v>0</v>
      </c>
      <c r="K115" s="28">
        <f>=J114*(1-K$43)</f>
        <v>0</v>
      </c>
      <c r="L115" s="28">
        <f>=K114*(1-L$43)</f>
        <v>0</v>
      </c>
      <c r="M115" s="28">
        <f>=L114*(1-M$43)</f>
        <v>0</v>
      </c>
      <c r="N115" s="28">
        <f>=M114*(1-N$43)</f>
        <v>0</v>
      </c>
      <c r="O115" s="28">
        <f>=N114*(1-O$43)</f>
        <v>0</v>
      </c>
      <c r="P115" s="28">
        <f>=O114*(1-P$43)</f>
        <v>0</v>
      </c>
      <c r="Q115" s="28">
        <f>=P114*(1-Q$43)</f>
        <v>0</v>
      </c>
      <c r="R115" s="28">
        <f>=Q114*(1-R$43)</f>
        <v>0</v>
      </c>
      <c r="S115" s="28">
        <f>=R114*(1-S$43)</f>
        <v>0</v>
      </c>
      <c r="T115" s="28">
        <f>=S114*(1-T$43)</f>
        <v>0</v>
      </c>
      <c r="U115" s="28">
        <f>=T114*(1-U$43)</f>
        <v>0</v>
      </c>
      <c r="V115" s="28">
        <f>=U114*(1-V$43)</f>
        <v>0</v>
      </c>
      <c r="W115" s="28">
        <f>=V114*(1-W$43)</f>
        <v>0</v>
      </c>
      <c r="X115" s="28">
        <f>=W114*(1-X$43)</f>
        <v>0</v>
      </c>
      <c r="Y115" s="28">
        <f>=X114*(1-Y$43)</f>
        <v>0</v>
      </c>
      <c r="Z115" s="28">
        <f>=Y114*(1-Z$43)</f>
        <v>0</v>
      </c>
      <c r="AA115" s="28">
        <f>=Z114*(1-AA$43)</f>
        <v>0</v>
      </c>
      <c r="AB115" s="28">
        <f>=AA114*(1-AB$43)</f>
        <v>0</v>
      </c>
      <c r="AC115" s="28">
        <f>=AB114*(1-AC$43)</f>
        <v>0</v>
      </c>
      <c r="AD115" s="28">
        <f>=AC114*(1-AD$43)</f>
        <v>0</v>
      </c>
      <c r="AE115" s="28">
        <f>=AD114*(1-AE$43)</f>
        <v>0</v>
      </c>
      <c r="AF115" s="28">
        <f>=AE114*(1-AF$43)</f>
        <v>0</v>
      </c>
      <c r="AG115" s="17">
        <v>0</v>
      </c>
      <c r="AH115" s="17">
        <v>0</v>
      </c>
      <c r="AI115" s="17">
        <v>0</v>
      </c>
      <c r="AJ115" s="17">
        <v>0</v>
      </c>
      <c r="AK115" s="17">
        <v>0</v>
      </c>
      <c r="AL115" s="17">
        <v>0</v>
      </c>
      <c r="AM115" s="17">
        <v>0</v>
      </c>
      <c r="AN115" s="17">
        <v>0</v>
      </c>
      <c r="AO115" s="17">
        <v>0</v>
      </c>
      <c r="AP115" s="17">
        <v>0</v>
      </c>
      <c r="AQ115" s="17">
        <v>0</v>
      </c>
      <c r="AR115" s="17">
        <v>0</v>
      </c>
      <c r="AS115" s="17">
        <v>0</v>
      </c>
      <c r="AT115" s="17">
        <v>0</v>
      </c>
      <c r="AU115" s="17">
        <v>0</v>
      </c>
      <c r="AV115" s="17">
        <v>0</v>
      </c>
      <c r="AW115" s="17">
        <v>0</v>
      </c>
      <c r="AX115" s="17">
        <v>0</v>
      </c>
      <c r="AY115" s="17">
        <v>0</v>
      </c>
      <c r="AZ115" s="17">
        <v>0</v>
      </c>
      <c r="BA115" s="17">
        <v>0</v>
      </c>
      <c r="BB115" s="17">
        <v>0</v>
      </c>
      <c r="BC115" s="17">
        <v>0</v>
      </c>
      <c r="BD115" s="17">
        <v>0</v>
      </c>
      <c r="BE115" s="17">
        <v>0</v>
      </c>
      <c r="BF115" s="17">
        <v>0</v>
      </c>
      <c r="BG115" s="17">
        <v>0</v>
      </c>
      <c r="BH115" s="17">
        <v>0</v>
      </c>
      <c r="BI115" s="17">
        <v>0</v>
      </c>
      <c r="BJ115" s="17">
        <v>0</v>
      </c>
      <c r="BK115" s="17">
        <v>0</v>
      </c>
      <c r="BL115" s="17">
        <v>0</v>
      </c>
      <c r="BM115" s="17">
        <v>0</v>
      </c>
      <c r="BN115" s="17">
        <v>0</v>
      </c>
      <c r="BO115" s="17">
        <v>0</v>
      </c>
      <c r="BP115" s="17">
        <v>0</v>
      </c>
      <c r="BQ115" s="17">
        <v>0</v>
      </c>
      <c r="BR115" s="17">
        <v>0</v>
      </c>
      <c r="BS115" s="17">
        <v>0</v>
      </c>
      <c r="BT115" s="17">
        <v>0</v>
      </c>
      <c r="BU115" s="17">
        <v>0</v>
      </c>
      <c r="BV115" s="17">
        <v>0</v>
      </c>
      <c r="BW115" s="17">
        <v>0</v>
      </c>
      <c r="BX115" s="17">
        <v>0</v>
      </c>
      <c r="BY115" s="17">
        <v>0</v>
      </c>
      <c r="BZ115" s="17">
        <v>0</v>
      </c>
      <c r="CA115" s="17">
        <v>0</v>
      </c>
      <c r="CB115" s="17">
        <v>0</v>
      </c>
      <c r="CC115" s="28">
        <f>=CB114*(1-CC$43)</f>
        <v>0</v>
      </c>
      <c r="CD115" s="28">
        <f>=CC114*(1-CD$43)</f>
        <v>0</v>
      </c>
      <c r="CE115" s="28">
        <f>=CD114*(1-CE$43)</f>
        <v>0</v>
      </c>
      <c r="CF115" s="28">
        <f>=CE114*(1-CF$43)</f>
        <v>0</v>
      </c>
      <c r="CG115" s="28">
        <f>=CF114*(1-CG$43)</f>
        <v>0</v>
      </c>
      <c r="CH115" s="28">
        <f>=CG114*(1-CH$43)</f>
        <v>0</v>
      </c>
      <c r="CI115" s="28">
        <f>=CH114*(1-CI$43)</f>
        <v>0</v>
      </c>
      <c r="CJ115" s="28">
        <f>=CI114*(1-CJ$43)</f>
        <v>0</v>
      </c>
      <c r="CK115" s="28">
        <f>=CJ114*(1-CK$43)</f>
        <v>0</v>
      </c>
      <c r="CL115" s="28">
        <f>=CK114*(1-CL$43)</f>
        <v>0</v>
      </c>
      <c r="CM115" s="28">
        <f>=CL114*(1-CM$43)</f>
        <v>0</v>
      </c>
      <c r="CN115" s="28">
        <f>=CM114*(1-CN$43)</f>
        <v>0</v>
      </c>
      <c r="CO115" s="28">
        <f>=CN114*(1-CO$43)</f>
        <v>0</v>
      </c>
      <c r="CP115" s="28">
        <f>=CO114*(1-CP$43)</f>
        <v>0</v>
      </c>
      <c r="CQ115" s="28">
        <f>=CP114*(1-CQ$43)</f>
        <v>0</v>
      </c>
      <c r="CR115" s="28">
        <f>=CQ114*(1-CR$43)</f>
        <v>0</v>
      </c>
      <c r="CS115" s="28">
        <f>=CR114*(1-CS$43)</f>
        <v>0</v>
      </c>
      <c r="CT115" s="28">
        <f>=CS114*(1-CT$43)</f>
        <v>0</v>
      </c>
      <c r="CU115" s="28">
        <f>=CT114*(1-CU$43)</f>
        <v>0</v>
      </c>
      <c r="CV115" s="28">
        <f>=CU114*(1-CV$43)</f>
        <v>0</v>
      </c>
      <c r="CW115" s="28">
        <f>=CV114*(1-CW$43)</f>
        <v>0</v>
      </c>
      <c r="CX115" s="28">
        <f>=CW114*(1-CX$43)</f>
        <v>0</v>
      </c>
      <c r="CY115" s="28">
        <f>=CX114*(1-CY$43)</f>
        <v>0</v>
      </c>
      <c r="CZ115" s="28">
        <f>=CY114*(1-CZ$43)</f>
        <v>0</v>
      </c>
      <c r="DA115" s="28">
        <f>=CZ114*(1-DA$43)</f>
        <v>0</v>
      </c>
      <c r="DB115" s="28">
        <f>=DA114*(1-DB$43)</f>
        <v>0</v>
      </c>
    </row>
    <row r="116" spans="1:106" x14ac:dyDescent="0.25">
      <c r="A116" s="17" t="s">
        <v>394</v>
      </c>
      <c r="C116" s="30"/>
      <c r="D116" s="28">
        <f>=C115*(1-D$43)</f>
        <v>0</v>
      </c>
      <c r="E116" s="28">
        <f>=D115*(1-E$43)</f>
        <v>0</v>
      </c>
      <c r="F116" s="28">
        <f>=E115*(1-F$43)</f>
        <v>0</v>
      </c>
      <c r="G116" s="28">
        <f>=F115*(1-G$43)</f>
        <v>0</v>
      </c>
      <c r="H116" s="28">
        <f>=G115*(1-H$43)</f>
        <v>0</v>
      </c>
      <c r="I116" s="28">
        <f>=H115*(1-I$43)</f>
        <v>0</v>
      </c>
      <c r="J116" s="28">
        <f>=I115*(1-J$43)</f>
        <v>0</v>
      </c>
      <c r="K116" s="28">
        <f>=J115*(1-K$43)</f>
        <v>0</v>
      </c>
      <c r="L116" s="28">
        <f>=K115*(1-L$43)</f>
        <v>0</v>
      </c>
      <c r="M116" s="28">
        <f>=L115*(1-M$43)</f>
        <v>0</v>
      </c>
      <c r="N116" s="28">
        <f>=M115*(1-N$43)</f>
        <v>0</v>
      </c>
      <c r="O116" s="28">
        <f>=N115*(1-O$43)</f>
        <v>0</v>
      </c>
      <c r="P116" s="28">
        <f>=O115*(1-P$43)</f>
        <v>0</v>
      </c>
      <c r="Q116" s="28">
        <f>=P115*(1-Q$43)</f>
        <v>0</v>
      </c>
      <c r="R116" s="28">
        <f>=Q115*(1-R$43)</f>
        <v>0</v>
      </c>
      <c r="S116" s="28">
        <f>=R115*(1-S$43)</f>
        <v>0</v>
      </c>
      <c r="T116" s="28">
        <f>=S115*(1-T$43)</f>
        <v>0</v>
      </c>
      <c r="U116" s="28">
        <f>=T115*(1-U$43)</f>
        <v>0</v>
      </c>
      <c r="V116" s="28">
        <f>=U115*(1-V$43)</f>
        <v>0</v>
      </c>
      <c r="W116" s="28">
        <f>=V115*(1-W$43)</f>
        <v>0</v>
      </c>
      <c r="X116" s="28">
        <f>=W115*(1-X$43)</f>
        <v>0</v>
      </c>
      <c r="Y116" s="28">
        <f>=X115*(1-Y$43)</f>
        <v>0</v>
      </c>
      <c r="Z116" s="28">
        <f>=Y115*(1-Z$43)</f>
        <v>0</v>
      </c>
      <c r="AA116" s="28">
        <f>=Z115*(1-AA$43)</f>
        <v>0</v>
      </c>
      <c r="AB116" s="28">
        <f>=AA115*(1-AB$43)</f>
        <v>0</v>
      </c>
      <c r="AC116" s="28">
        <f>=AB115*(1-AC$43)</f>
        <v>0</v>
      </c>
      <c r="AD116" s="28">
        <f>=AC115*(1-AD$43)</f>
        <v>0</v>
      </c>
      <c r="AE116" s="28">
        <f>=AD115*(1-AE$43)</f>
        <v>0</v>
      </c>
      <c r="AF116" s="28">
        <f>=AE115*(1-AF$43)</f>
        <v>0</v>
      </c>
      <c r="AG116" s="17">
        <v>0</v>
      </c>
      <c r="AH116" s="17">
        <v>0</v>
      </c>
      <c r="AI116" s="17">
        <v>0</v>
      </c>
      <c r="AJ116" s="17">
        <v>0</v>
      </c>
      <c r="AK116" s="17">
        <v>0</v>
      </c>
      <c r="AL116" s="17">
        <v>0</v>
      </c>
      <c r="AM116" s="17">
        <v>0</v>
      </c>
      <c r="AN116" s="17">
        <v>0</v>
      </c>
      <c r="AO116" s="17">
        <v>0</v>
      </c>
      <c r="AP116" s="17">
        <v>0</v>
      </c>
      <c r="AQ116" s="17">
        <v>0</v>
      </c>
      <c r="AR116" s="17">
        <v>0</v>
      </c>
      <c r="AS116" s="17">
        <v>0</v>
      </c>
      <c r="AT116" s="17">
        <v>0</v>
      </c>
      <c r="AU116" s="17">
        <v>0</v>
      </c>
      <c r="AV116" s="17">
        <v>0</v>
      </c>
      <c r="AW116" s="17">
        <v>0</v>
      </c>
      <c r="AX116" s="17">
        <v>0</v>
      </c>
      <c r="AY116" s="17">
        <v>0</v>
      </c>
      <c r="AZ116" s="17">
        <v>0</v>
      </c>
      <c r="BA116" s="17">
        <v>0</v>
      </c>
      <c r="BB116" s="17">
        <v>0</v>
      </c>
      <c r="BC116" s="17">
        <v>0</v>
      </c>
      <c r="BD116" s="17">
        <v>0</v>
      </c>
      <c r="BE116" s="17">
        <v>0</v>
      </c>
      <c r="BF116" s="17">
        <v>0</v>
      </c>
      <c r="BG116" s="17">
        <v>0</v>
      </c>
      <c r="BH116" s="17">
        <v>0</v>
      </c>
      <c r="BI116" s="17">
        <v>0</v>
      </c>
      <c r="BJ116" s="17">
        <v>0</v>
      </c>
      <c r="BK116" s="17">
        <v>0</v>
      </c>
      <c r="BL116" s="17">
        <v>0</v>
      </c>
      <c r="BM116" s="17">
        <v>0</v>
      </c>
      <c r="BN116" s="17">
        <v>0</v>
      </c>
      <c r="BO116" s="17">
        <v>0</v>
      </c>
      <c r="BP116" s="17">
        <v>0</v>
      </c>
      <c r="BQ116" s="17">
        <v>0</v>
      </c>
      <c r="BR116" s="17">
        <v>0</v>
      </c>
      <c r="BS116" s="17">
        <v>0</v>
      </c>
      <c r="BT116" s="17">
        <v>0</v>
      </c>
      <c r="BU116" s="17">
        <v>0</v>
      </c>
      <c r="BV116" s="17">
        <v>0</v>
      </c>
      <c r="BW116" s="17">
        <v>0</v>
      </c>
      <c r="BX116" s="17">
        <v>0</v>
      </c>
      <c r="BY116" s="17">
        <v>0</v>
      </c>
      <c r="BZ116" s="17">
        <v>0</v>
      </c>
      <c r="CA116" s="17">
        <v>0</v>
      </c>
      <c r="CB116" s="17">
        <v>0</v>
      </c>
      <c r="CC116" s="28">
        <f>=CB115*(1-CC$43)</f>
        <v>0</v>
      </c>
      <c r="CD116" s="28">
        <f>=CC115*(1-CD$43)</f>
        <v>0</v>
      </c>
      <c r="CE116" s="28">
        <f>=CD115*(1-CE$43)</f>
        <v>0</v>
      </c>
      <c r="CF116" s="28">
        <f>=CE115*(1-CF$43)</f>
        <v>0</v>
      </c>
      <c r="CG116" s="28">
        <f>=CF115*(1-CG$43)</f>
        <v>0</v>
      </c>
      <c r="CH116" s="28">
        <f>=CG115*(1-CH$43)</f>
        <v>0</v>
      </c>
      <c r="CI116" s="28">
        <f>=CH115*(1-CI$43)</f>
        <v>0</v>
      </c>
      <c r="CJ116" s="28">
        <f>=CI115*(1-CJ$43)</f>
        <v>0</v>
      </c>
      <c r="CK116" s="28">
        <f>=CJ115*(1-CK$43)</f>
        <v>0</v>
      </c>
      <c r="CL116" s="28">
        <f>=CK115*(1-CL$43)</f>
        <v>0</v>
      </c>
      <c r="CM116" s="28">
        <f>=CL115*(1-CM$43)</f>
        <v>0</v>
      </c>
      <c r="CN116" s="28">
        <f>=CM115*(1-CN$43)</f>
        <v>0</v>
      </c>
      <c r="CO116" s="28">
        <f>=CN115*(1-CO$43)</f>
        <v>0</v>
      </c>
      <c r="CP116" s="28">
        <f>=CO115*(1-CP$43)</f>
        <v>0</v>
      </c>
      <c r="CQ116" s="28">
        <f>=CP115*(1-CQ$43)</f>
        <v>0</v>
      </c>
      <c r="CR116" s="28">
        <f>=CQ115*(1-CR$43)</f>
        <v>0</v>
      </c>
      <c r="CS116" s="28">
        <f>=CR115*(1-CS$43)</f>
        <v>0</v>
      </c>
      <c r="CT116" s="28">
        <f>=CS115*(1-CT$43)</f>
        <v>0</v>
      </c>
      <c r="CU116" s="28">
        <f>=CT115*(1-CU$43)</f>
        <v>0</v>
      </c>
      <c r="CV116" s="28">
        <f>=CU115*(1-CV$43)</f>
        <v>0</v>
      </c>
      <c r="CW116" s="28">
        <f>=CV115*(1-CW$43)</f>
        <v>0</v>
      </c>
      <c r="CX116" s="28">
        <f>=CW115*(1-CX$43)</f>
        <v>0</v>
      </c>
      <c r="CY116" s="28">
        <f>=CX115*(1-CY$43)</f>
        <v>0</v>
      </c>
      <c r="CZ116" s="28">
        <f>=CY115*(1-CZ$43)</f>
        <v>0</v>
      </c>
      <c r="DA116" s="28">
        <f>=CZ115*(1-DA$43)</f>
        <v>0</v>
      </c>
      <c r="DB116" s="28">
        <f>=DA115*(1-DB$43)</f>
        <v>0</v>
      </c>
    </row>
    <row r="117" spans="1:106" x14ac:dyDescent="0.25">
      <c r="A117" s="17" t="s">
        <v>340</v>
      </c>
      <c r="C117" s="30"/>
      <c r="D117" s="28">
        <f>=C116*(1-D$43)</f>
        <v>0</v>
      </c>
      <c r="E117" s="28">
        <f>=D116*(1-E$43)</f>
        <v>0</v>
      </c>
      <c r="F117" s="28">
        <f>=E116*(1-F$43)</f>
        <v>0</v>
      </c>
      <c r="G117" s="28">
        <f>=F116*(1-G$43)</f>
        <v>0</v>
      </c>
      <c r="H117" s="28">
        <f>=G116*(1-H$43)</f>
        <v>0</v>
      </c>
      <c r="I117" s="28">
        <f>=H116*(1-I$43)</f>
        <v>0</v>
      </c>
      <c r="J117" s="28">
        <f>=I116*(1-J$43)</f>
        <v>0</v>
      </c>
      <c r="K117" s="28">
        <f>=J116*(1-K$43)</f>
        <v>0</v>
      </c>
      <c r="L117" s="28">
        <f>=K116*(1-L$43)</f>
        <v>0</v>
      </c>
      <c r="M117" s="28">
        <f>=L116*(1-M$43)</f>
        <v>0</v>
      </c>
      <c r="N117" s="28">
        <f>=M116*(1-N$43)</f>
        <v>0</v>
      </c>
      <c r="O117" s="28">
        <f>=N116*(1-O$43)</f>
        <v>0</v>
      </c>
      <c r="P117" s="28">
        <f>=O116*(1-P$43)</f>
        <v>0</v>
      </c>
      <c r="Q117" s="28">
        <f>=P116*(1-Q$43)</f>
        <v>0</v>
      </c>
      <c r="R117" s="28">
        <f>=Q116*(1-R$43)</f>
        <v>0</v>
      </c>
      <c r="S117" s="28">
        <f>=R116*(1-S$43)</f>
        <v>0</v>
      </c>
      <c r="T117" s="28">
        <f>=S116*(1-T$43)</f>
        <v>0</v>
      </c>
      <c r="U117" s="28">
        <f>=T116*(1-U$43)</f>
        <v>0</v>
      </c>
      <c r="V117" s="28">
        <f>=U116*(1-V$43)</f>
        <v>0</v>
      </c>
      <c r="W117" s="28">
        <f>=V116*(1-W$43)</f>
        <v>0</v>
      </c>
      <c r="X117" s="28">
        <f>=W116*(1-X$43)</f>
        <v>0</v>
      </c>
      <c r="Y117" s="28">
        <f>=X116*(1-Y$43)</f>
        <v>0</v>
      </c>
      <c r="Z117" s="28">
        <f>=Y116*(1-Z$43)</f>
        <v>0</v>
      </c>
      <c r="AA117" s="28">
        <f>=Z116*(1-AA$43)</f>
        <v>0</v>
      </c>
      <c r="AB117" s="28">
        <f>=AA116*(1-AB$43)</f>
        <v>0</v>
      </c>
      <c r="AC117" s="28">
        <f>=AB116*(1-AC$43)</f>
        <v>0</v>
      </c>
      <c r="AD117" s="28">
        <f>=AC116*(1-AD$43)</f>
        <v>0</v>
      </c>
      <c r="AE117" s="28">
        <f>=AD116*(1-AE$43)</f>
        <v>0</v>
      </c>
      <c r="AF117" s="28">
        <f>=AE116*(1-AF$43)</f>
        <v>0</v>
      </c>
      <c r="AG117" s="17">
        <v>0</v>
      </c>
      <c r="AH117" s="17">
        <v>0</v>
      </c>
      <c r="AI117" s="17">
        <v>0</v>
      </c>
      <c r="AJ117" s="17">
        <v>0</v>
      </c>
      <c r="AK117" s="17">
        <v>0</v>
      </c>
      <c r="AL117" s="17">
        <v>0</v>
      </c>
      <c r="AM117" s="17">
        <v>0</v>
      </c>
      <c r="AN117" s="17">
        <v>0</v>
      </c>
      <c r="AO117" s="17">
        <v>0</v>
      </c>
      <c r="AP117" s="17">
        <v>0</v>
      </c>
      <c r="AQ117" s="17">
        <v>0</v>
      </c>
      <c r="AR117" s="17">
        <v>0</v>
      </c>
      <c r="AS117" s="17">
        <v>0</v>
      </c>
      <c r="AT117" s="17">
        <v>0</v>
      </c>
      <c r="AU117" s="17">
        <v>0</v>
      </c>
      <c r="AV117" s="17">
        <v>0</v>
      </c>
      <c r="AW117" s="17">
        <v>0</v>
      </c>
      <c r="AX117" s="17">
        <v>0</v>
      </c>
      <c r="AY117" s="17">
        <v>0</v>
      </c>
      <c r="AZ117" s="17">
        <v>0</v>
      </c>
      <c r="BA117" s="17">
        <v>0</v>
      </c>
      <c r="BB117" s="17">
        <v>0</v>
      </c>
      <c r="BC117" s="17">
        <v>0</v>
      </c>
      <c r="BD117" s="17">
        <v>0</v>
      </c>
      <c r="BE117" s="17">
        <v>0</v>
      </c>
      <c r="BF117" s="17">
        <v>0</v>
      </c>
      <c r="BG117" s="17">
        <v>0</v>
      </c>
      <c r="BH117" s="17">
        <v>0</v>
      </c>
      <c r="BI117" s="17">
        <v>0</v>
      </c>
      <c r="BJ117" s="17">
        <v>0</v>
      </c>
      <c r="BK117" s="17">
        <v>0</v>
      </c>
      <c r="BL117" s="17">
        <v>0</v>
      </c>
      <c r="BM117" s="17">
        <v>0</v>
      </c>
      <c r="BN117" s="17">
        <v>0</v>
      </c>
      <c r="BO117" s="17">
        <v>0</v>
      </c>
      <c r="BP117" s="17">
        <v>0</v>
      </c>
      <c r="BQ117" s="17">
        <v>0</v>
      </c>
      <c r="BR117" s="17">
        <v>0</v>
      </c>
      <c r="BS117" s="17">
        <v>0</v>
      </c>
      <c r="BT117" s="17">
        <v>0</v>
      </c>
      <c r="BU117" s="17">
        <v>0</v>
      </c>
      <c r="BV117" s="17">
        <v>0</v>
      </c>
      <c r="BW117" s="17">
        <v>0</v>
      </c>
      <c r="BX117" s="17">
        <v>0</v>
      </c>
      <c r="BY117" s="17">
        <v>0</v>
      </c>
      <c r="BZ117" s="17">
        <v>0</v>
      </c>
      <c r="CA117" s="17">
        <v>0</v>
      </c>
      <c r="CB117" s="17">
        <v>0</v>
      </c>
      <c r="CC117" s="28">
        <f>=CB116*(1-CC$43)</f>
        <v>4538.048</v>
      </c>
      <c r="CD117" s="28">
        <f>=CC116*(1-CD$43)</f>
        <v>0</v>
      </c>
      <c r="CE117" s="28">
        <f>=CD116*(1-CE$43)</f>
        <v>0</v>
      </c>
      <c r="CF117" s="28">
        <f>=CE116*(1-CF$43)</f>
        <v>0</v>
      </c>
      <c r="CG117" s="28">
        <f>=CF116*(1-CG$43)</f>
        <v>0</v>
      </c>
      <c r="CH117" s="28">
        <f>=CG116*(1-CH$43)</f>
        <v>0</v>
      </c>
      <c r="CI117" s="28">
        <f>=CH116*(1-CI$43)</f>
        <v>0</v>
      </c>
      <c r="CJ117" s="28">
        <f>=CI116*(1-CJ$43)</f>
        <v>0</v>
      </c>
      <c r="CK117" s="28">
        <f>=CJ116*(1-CK$43)</f>
        <v>0</v>
      </c>
      <c r="CL117" s="28">
        <f>=CK116*(1-CL$43)</f>
        <v>0</v>
      </c>
      <c r="CM117" s="28">
        <f>=CL116*(1-CM$43)</f>
        <v>0</v>
      </c>
      <c r="CN117" s="28">
        <f>=CM116*(1-CN$43)</f>
        <v>0</v>
      </c>
      <c r="CO117" s="28">
        <f>=CN116*(1-CO$43)</f>
        <v>0</v>
      </c>
      <c r="CP117" s="28">
        <f>=CO116*(1-CP$43)</f>
        <v>0</v>
      </c>
      <c r="CQ117" s="28">
        <f>=CP116*(1-CQ$43)</f>
        <v>0</v>
      </c>
      <c r="CR117" s="28">
        <f>=CQ116*(1-CR$43)</f>
        <v>0</v>
      </c>
      <c r="CS117" s="28">
        <f>=CR116*(1-CS$43)</f>
        <v>0</v>
      </c>
      <c r="CT117" s="28">
        <f>=CS116*(1-CT$43)</f>
        <v>0</v>
      </c>
      <c r="CU117" s="28">
        <f>=CT116*(1-CU$43)</f>
        <v>0</v>
      </c>
      <c r="CV117" s="28">
        <f>=CU116*(1-CV$43)</f>
        <v>0</v>
      </c>
      <c r="CW117" s="28">
        <f>=CV116*(1-CW$43)</f>
        <v>0</v>
      </c>
      <c r="CX117" s="28">
        <f>=CW116*(1-CX$43)</f>
        <v>0</v>
      </c>
      <c r="CY117" s="28">
        <f>=CX116*(1-CY$43)</f>
        <v>0</v>
      </c>
      <c r="CZ117" s="28">
        <f>=CY116*(1-CZ$43)</f>
        <v>0</v>
      </c>
      <c r="DA117" s="28">
        <f>=CZ116*(1-DA$43)</f>
        <v>0</v>
      </c>
      <c r="DB117" s="28">
        <f>=DA116*(1-DB$43)</f>
        <v>0</v>
      </c>
    </row>
    <row r="118" spans="1:106" x14ac:dyDescent="0.25">
      <c r="A118" s="17" t="s">
        <v>341</v>
      </c>
      <c r="C118" s="30"/>
      <c r="D118" s="28">
        <f>=C117*(1-D$43)</f>
        <v>0</v>
      </c>
      <c r="E118" s="28">
        <f>=D117*(1-E$43)</f>
        <v>0</v>
      </c>
      <c r="F118" s="28">
        <f>=E117*(1-F$43)</f>
        <v>0</v>
      </c>
      <c r="G118" s="28">
        <f>=F117*(1-G$43)</f>
        <v>0</v>
      </c>
      <c r="H118" s="28">
        <f>=G117*(1-H$43)</f>
        <v>0</v>
      </c>
      <c r="I118" s="28">
        <f>=H117*(1-I$43)</f>
        <v>0</v>
      </c>
      <c r="J118" s="28">
        <f>=I117*(1-J$43)</f>
        <v>0</v>
      </c>
      <c r="K118" s="28">
        <f>=J117*(1-K$43)</f>
        <v>0</v>
      </c>
      <c r="L118" s="28">
        <f>=K117*(1-L$43)</f>
        <v>0</v>
      </c>
      <c r="M118" s="28">
        <f>=L117*(1-M$43)</f>
        <v>0</v>
      </c>
      <c r="N118" s="28">
        <f>=M117*(1-N$43)</f>
        <v>0</v>
      </c>
      <c r="O118" s="28">
        <f>=N117*(1-O$43)</f>
        <v>0</v>
      </c>
      <c r="P118" s="28">
        <f>=O117*(1-P$43)</f>
        <v>0</v>
      </c>
      <c r="Q118" s="28">
        <f>=P117*(1-Q$43)</f>
        <v>0</v>
      </c>
      <c r="R118" s="28">
        <f>=Q117*(1-R$43)</f>
        <v>0</v>
      </c>
      <c r="S118" s="28">
        <f>=R117*(1-S$43)</f>
        <v>0</v>
      </c>
      <c r="T118" s="28">
        <f>=S117*(1-T$43)</f>
        <v>0</v>
      </c>
      <c r="U118" s="28">
        <f>=T117*(1-U$43)</f>
        <v>0</v>
      </c>
      <c r="V118" s="28">
        <f>=U117*(1-V$43)</f>
        <v>0</v>
      </c>
      <c r="W118" s="28">
        <f>=V117*(1-W$43)</f>
        <v>0</v>
      </c>
      <c r="X118" s="28">
        <f>=W117*(1-X$43)</f>
        <v>0</v>
      </c>
      <c r="Y118" s="28">
        <f>=X117*(1-Y$43)</f>
        <v>0</v>
      </c>
      <c r="Z118" s="28">
        <f>=Y117*(1-Z$43)</f>
        <v>0</v>
      </c>
      <c r="AA118" s="28">
        <f>=Z117*(1-AA$43)</f>
        <v>0</v>
      </c>
      <c r="AB118" s="28">
        <f>=AA117*(1-AB$43)</f>
        <v>0</v>
      </c>
      <c r="AC118" s="28">
        <f>=AB117*(1-AC$43)</f>
        <v>0</v>
      </c>
      <c r="AD118" s="28">
        <f>=AC117*(1-AD$43)</f>
        <v>0</v>
      </c>
      <c r="AE118" s="28">
        <f>=AD117*(1-AE$43)</f>
        <v>0</v>
      </c>
      <c r="AF118" s="28">
        <f>=AE117*(1-AF$43)</f>
        <v>0</v>
      </c>
      <c r="AG118" s="17">
        <v>0</v>
      </c>
      <c r="AH118" s="17">
        <v>0</v>
      </c>
      <c r="AI118" s="17">
        <v>0</v>
      </c>
      <c r="AJ118" s="17">
        <v>0</v>
      </c>
      <c r="AK118" s="17">
        <v>0</v>
      </c>
      <c r="AL118" s="17">
        <v>0</v>
      </c>
      <c r="AM118" s="17">
        <v>0</v>
      </c>
      <c r="AN118" s="17">
        <v>0</v>
      </c>
      <c r="AO118" s="17">
        <v>0</v>
      </c>
      <c r="AP118" s="17">
        <v>0</v>
      </c>
      <c r="AQ118" s="17">
        <v>0</v>
      </c>
      <c r="AR118" s="17">
        <v>0</v>
      </c>
      <c r="AS118" s="17">
        <v>0</v>
      </c>
      <c r="AT118" s="17">
        <v>0</v>
      </c>
      <c r="AU118" s="17">
        <v>0</v>
      </c>
      <c r="AV118" s="17">
        <v>0</v>
      </c>
      <c r="AW118" s="17">
        <v>0</v>
      </c>
      <c r="AX118" s="17">
        <v>0</v>
      </c>
      <c r="AY118" s="17">
        <v>0</v>
      </c>
      <c r="AZ118" s="17">
        <v>0</v>
      </c>
      <c r="BA118" s="17">
        <v>0</v>
      </c>
      <c r="BB118" s="17">
        <v>0</v>
      </c>
      <c r="BC118" s="17">
        <v>0</v>
      </c>
      <c r="BD118" s="17">
        <v>0</v>
      </c>
      <c r="BE118" s="17">
        <v>0</v>
      </c>
      <c r="BF118" s="17">
        <v>0</v>
      </c>
      <c r="BG118" s="17">
        <v>0</v>
      </c>
      <c r="BH118" s="17">
        <v>0</v>
      </c>
      <c r="BI118" s="17">
        <v>0</v>
      </c>
      <c r="BJ118" s="17">
        <v>0</v>
      </c>
      <c r="BK118" s="17">
        <v>0</v>
      </c>
      <c r="BL118" s="17">
        <v>0</v>
      </c>
      <c r="BM118" s="17">
        <v>0</v>
      </c>
      <c r="BN118" s="17">
        <v>0</v>
      </c>
      <c r="BO118" s="17">
        <v>0</v>
      </c>
      <c r="BP118" s="17">
        <v>0</v>
      </c>
      <c r="BQ118" s="17">
        <v>0</v>
      </c>
      <c r="BR118" s="17">
        <v>0</v>
      </c>
      <c r="BS118" s="17">
        <v>0</v>
      </c>
      <c r="BT118" s="17">
        <v>0</v>
      </c>
      <c r="BU118" s="17">
        <v>0</v>
      </c>
      <c r="BV118" s="17">
        <v>0</v>
      </c>
      <c r="BW118" s="17">
        <v>0</v>
      </c>
      <c r="BX118" s="17">
        <v>0</v>
      </c>
      <c r="BY118" s="17">
        <v>0</v>
      </c>
      <c r="BZ118" s="17">
        <v>0</v>
      </c>
      <c r="CA118" s="17">
        <v>0</v>
      </c>
      <c r="CB118" s="17">
        <v>0</v>
      </c>
      <c r="CC118" s="28">
        <f>=CB117*(1-CC$43)</f>
        <v>0</v>
      </c>
      <c r="CD118" s="28">
        <f>=CC117*(1-CD$43)</f>
        <v>0</v>
      </c>
      <c r="CE118" s="28">
        <f>=CD117*(1-CE$43)</f>
        <v>0</v>
      </c>
      <c r="CF118" s="28">
        <f>=CE117*(1-CF$43)</f>
        <v>0</v>
      </c>
      <c r="CG118" s="28">
        <f>=CF117*(1-CG$43)</f>
        <v>0</v>
      </c>
      <c r="CH118" s="28">
        <f>=CG117*(1-CH$43)</f>
        <v>0</v>
      </c>
      <c r="CI118" s="28">
        <f>=CH117*(1-CI$43)</f>
        <v>0</v>
      </c>
      <c r="CJ118" s="28">
        <f>=CI117*(1-CJ$43)</f>
        <v>0</v>
      </c>
      <c r="CK118" s="28">
        <f>=CJ117*(1-CK$43)</f>
        <v>0</v>
      </c>
      <c r="CL118" s="28">
        <f>=CK117*(1-CL$43)</f>
        <v>0</v>
      </c>
      <c r="CM118" s="28">
        <f>=CL117*(1-CM$43)</f>
        <v>0</v>
      </c>
      <c r="CN118" s="28">
        <f>=CM117*(1-CN$43)</f>
        <v>0</v>
      </c>
      <c r="CO118" s="28">
        <f>=CN117*(1-CO$43)</f>
        <v>0</v>
      </c>
      <c r="CP118" s="28">
        <f>=CO117*(1-CP$43)</f>
        <v>0</v>
      </c>
      <c r="CQ118" s="28">
        <f>=CP117*(1-CQ$43)</f>
        <v>0</v>
      </c>
      <c r="CR118" s="28">
        <f>=CQ117*(1-CR$43)</f>
        <v>0</v>
      </c>
      <c r="CS118" s="28">
        <f>=CR117*(1-CS$43)</f>
        <v>0</v>
      </c>
      <c r="CT118" s="28">
        <f>=CS117*(1-CT$43)</f>
        <v>0</v>
      </c>
      <c r="CU118" s="28">
        <f>=CT117*(1-CU$43)</f>
        <v>0</v>
      </c>
      <c r="CV118" s="28">
        <f>=CU117*(1-CV$43)</f>
        <v>0</v>
      </c>
      <c r="CW118" s="28">
        <f>=CV117*(1-CW$43)</f>
        <v>0</v>
      </c>
      <c r="CX118" s="28">
        <f>=CW117*(1-CX$43)</f>
        <v>0</v>
      </c>
      <c r="CY118" s="28">
        <f>=CX117*(1-CY$43)</f>
        <v>0</v>
      </c>
      <c r="CZ118" s="28">
        <f>=CY117*(1-CZ$43)</f>
        <v>0</v>
      </c>
      <c r="DA118" s="28">
        <f>=CZ117*(1-DA$43)</f>
        <v>0</v>
      </c>
      <c r="DB118" s="28">
        <f>=DA117*(1-DB$43)</f>
        <v>0</v>
      </c>
    </row>
    <row r="119" spans="1:106" x14ac:dyDescent="0.25">
      <c r="A119" s="17" t="s">
        <v>342</v>
      </c>
      <c r="C119" s="30"/>
      <c r="D119" s="28">
        <f>=C118*(1-D$43)</f>
        <v>0</v>
      </c>
      <c r="E119" s="28">
        <f>=D118*(1-E$43)</f>
        <v>0</v>
      </c>
      <c r="F119" s="28">
        <f>=E118*(1-F$43)</f>
        <v>0</v>
      </c>
      <c r="G119" s="28">
        <f>=F118*(1-G$43)</f>
        <v>0</v>
      </c>
      <c r="H119" s="28">
        <f>=G118*(1-H$43)</f>
        <v>0</v>
      </c>
      <c r="I119" s="28">
        <f>=H118*(1-I$43)</f>
        <v>0</v>
      </c>
      <c r="J119" s="28">
        <f>=I118*(1-J$43)</f>
        <v>0</v>
      </c>
      <c r="K119" s="28">
        <f>=J118*(1-K$43)</f>
        <v>0</v>
      </c>
      <c r="L119" s="28">
        <f>=K118*(1-L$43)</f>
        <v>0</v>
      </c>
      <c r="M119" s="28">
        <f>=L118*(1-M$43)</f>
        <v>0</v>
      </c>
      <c r="N119" s="28">
        <f>=M118*(1-N$43)</f>
        <v>0</v>
      </c>
      <c r="O119" s="28">
        <f>=N118*(1-O$43)</f>
        <v>0</v>
      </c>
      <c r="P119" s="28">
        <f>=O118*(1-P$43)</f>
        <v>0</v>
      </c>
      <c r="Q119" s="28">
        <f>=P118*(1-Q$43)</f>
        <v>0</v>
      </c>
      <c r="R119" s="28">
        <f>=Q118*(1-R$43)</f>
        <v>0</v>
      </c>
      <c r="S119" s="28">
        <f>=R118*(1-S$43)</f>
        <v>0</v>
      </c>
      <c r="T119" s="28">
        <f>=S118*(1-T$43)</f>
        <v>0</v>
      </c>
      <c r="U119" s="28">
        <f>=T118*(1-U$43)</f>
        <v>0</v>
      </c>
      <c r="V119" s="28">
        <f>=U118*(1-V$43)</f>
        <v>0</v>
      </c>
      <c r="W119" s="28">
        <f>=V118*(1-W$43)</f>
        <v>0</v>
      </c>
      <c r="X119" s="28">
        <f>=W118*(1-X$43)</f>
        <v>0</v>
      </c>
      <c r="Y119" s="28">
        <f>=X118*(1-Y$43)</f>
        <v>0</v>
      </c>
      <c r="Z119" s="28">
        <f>=Y118*(1-Z$43)</f>
        <v>0</v>
      </c>
      <c r="AA119" s="28">
        <f>=Z118*(1-AA$43)</f>
        <v>0</v>
      </c>
      <c r="AB119" s="28">
        <f>=AA118*(1-AB$43)</f>
        <v>0</v>
      </c>
      <c r="AC119" s="28">
        <f>=AB118*(1-AC$43)</f>
        <v>0</v>
      </c>
      <c r="AD119" s="28">
        <f>=AC118*(1-AD$43)</f>
        <v>0</v>
      </c>
      <c r="AE119" s="28">
        <f>=AD118*(1-AE$43)</f>
        <v>0</v>
      </c>
      <c r="AF119" s="28">
        <f>=AE118*(1-AF$43)</f>
        <v>0</v>
      </c>
      <c r="AG119" s="17">
        <v>0</v>
      </c>
      <c r="AH119" s="17">
        <v>0</v>
      </c>
      <c r="AI119" s="17">
        <v>0</v>
      </c>
      <c r="AJ119" s="17">
        <v>0</v>
      </c>
      <c r="AK119" s="17">
        <v>0</v>
      </c>
      <c r="AL119" s="17">
        <v>0</v>
      </c>
      <c r="AM119" s="17">
        <v>0</v>
      </c>
      <c r="AN119" s="17">
        <v>0</v>
      </c>
      <c r="AO119" s="17">
        <v>0</v>
      </c>
      <c r="AP119" s="17">
        <v>0</v>
      </c>
      <c r="AQ119" s="17">
        <v>0</v>
      </c>
      <c r="AR119" s="17">
        <v>0</v>
      </c>
      <c r="AS119" s="17">
        <v>0</v>
      </c>
      <c r="AT119" s="17">
        <v>0</v>
      </c>
      <c r="AU119" s="17">
        <v>0</v>
      </c>
      <c r="AV119" s="17">
        <v>0</v>
      </c>
      <c r="AW119" s="17">
        <v>0</v>
      </c>
      <c r="AX119" s="17">
        <v>0</v>
      </c>
      <c r="AY119" s="17">
        <v>0</v>
      </c>
      <c r="AZ119" s="17">
        <v>0</v>
      </c>
      <c r="BA119" s="17">
        <v>0</v>
      </c>
      <c r="BB119" s="17">
        <v>0</v>
      </c>
      <c r="BC119" s="17">
        <v>0</v>
      </c>
      <c r="BD119" s="17">
        <v>0</v>
      </c>
      <c r="BE119" s="17">
        <v>0</v>
      </c>
      <c r="BF119" s="17">
        <v>0</v>
      </c>
      <c r="BG119" s="17">
        <v>0</v>
      </c>
      <c r="BH119" s="17">
        <v>0</v>
      </c>
      <c r="BI119" s="17">
        <v>0</v>
      </c>
      <c r="BJ119" s="17">
        <v>0</v>
      </c>
      <c r="BK119" s="17">
        <v>0</v>
      </c>
      <c r="BL119" s="17">
        <v>0</v>
      </c>
      <c r="BM119" s="17">
        <v>0</v>
      </c>
      <c r="BN119" s="17">
        <v>0</v>
      </c>
      <c r="BO119" s="17">
        <v>0</v>
      </c>
      <c r="BP119" s="17">
        <v>0</v>
      </c>
      <c r="BQ119" s="17">
        <v>0</v>
      </c>
      <c r="BR119" s="17">
        <v>0</v>
      </c>
      <c r="BS119" s="17">
        <v>0</v>
      </c>
      <c r="BT119" s="17">
        <v>0</v>
      </c>
      <c r="BU119" s="17">
        <v>0</v>
      </c>
      <c r="BV119" s="17">
        <v>0</v>
      </c>
      <c r="BW119" s="17">
        <v>0</v>
      </c>
      <c r="BX119" s="17">
        <v>0</v>
      </c>
      <c r="BY119" s="17">
        <v>0</v>
      </c>
      <c r="BZ119" s="17">
        <v>0</v>
      </c>
      <c r="CA119" s="17">
        <v>0</v>
      </c>
      <c r="CB119" s="17">
        <v>0</v>
      </c>
      <c r="CC119" s="28">
        <f>=CB118*(1-CC$43)</f>
        <v>0</v>
      </c>
      <c r="CD119" s="28">
        <f>=CC118*(1-CD$43)</f>
        <v>0</v>
      </c>
      <c r="CE119" s="28">
        <f>=CD118*(1-CE$43)</f>
        <v>0</v>
      </c>
      <c r="CF119" s="28">
        <f>=CE118*(1-CF$43)</f>
        <v>0</v>
      </c>
      <c r="CG119" s="28">
        <f>=CF118*(1-CG$43)</f>
        <v>0</v>
      </c>
      <c r="CH119" s="28">
        <f>=CG118*(1-CH$43)</f>
        <v>0</v>
      </c>
      <c r="CI119" s="28">
        <f>=CH118*(1-CI$43)</f>
        <v>0</v>
      </c>
      <c r="CJ119" s="28">
        <f>=CI118*(1-CJ$43)</f>
        <v>0</v>
      </c>
      <c r="CK119" s="28">
        <f>=CJ118*(1-CK$43)</f>
        <v>0</v>
      </c>
      <c r="CL119" s="28">
        <f>=CK118*(1-CL$43)</f>
        <v>0</v>
      </c>
      <c r="CM119" s="28">
        <f>=CL118*(1-CM$43)</f>
        <v>0</v>
      </c>
      <c r="CN119" s="28">
        <f>=CM118*(1-CN$43)</f>
        <v>0</v>
      </c>
      <c r="CO119" s="28">
        <f>=CN118*(1-CO$43)</f>
        <v>0</v>
      </c>
      <c r="CP119" s="28">
        <f>=CO118*(1-CP$43)</f>
        <v>0</v>
      </c>
      <c r="CQ119" s="28">
        <f>=CP118*(1-CQ$43)</f>
        <v>0</v>
      </c>
      <c r="CR119" s="28">
        <f>=CQ118*(1-CR$43)</f>
        <v>0</v>
      </c>
      <c r="CS119" s="28">
        <f>=CR118*(1-CS$43)</f>
        <v>0</v>
      </c>
      <c r="CT119" s="28">
        <f>=CS118*(1-CT$43)</f>
        <v>0</v>
      </c>
      <c r="CU119" s="28">
        <f>=CT118*(1-CU$43)</f>
        <v>0</v>
      </c>
      <c r="CV119" s="28">
        <f>=CU118*(1-CV$43)</f>
        <v>0</v>
      </c>
      <c r="CW119" s="28">
        <f>=CV118*(1-CW$43)</f>
        <v>0</v>
      </c>
      <c r="CX119" s="28">
        <f>=CW118*(1-CX$43)</f>
        <v>0</v>
      </c>
      <c r="CY119" s="28">
        <f>=CX118*(1-CY$43)</f>
        <v>0</v>
      </c>
      <c r="CZ119" s="28">
        <f>=CY118*(1-CZ$43)</f>
        <v>0</v>
      </c>
      <c r="DA119" s="28">
        <f>=CZ118*(1-DA$43)</f>
        <v>0</v>
      </c>
      <c r="DB119" s="28">
        <f>=DA118*(1-DB$43)</f>
        <v>0</v>
      </c>
    </row>
    <row r="120" spans="1:106" x14ac:dyDescent="0.25">
      <c r="A120" s="17" t="s">
        <v>343</v>
      </c>
      <c r="C120" s="30"/>
      <c r="D120" s="28">
        <f>=C119*(1-D$43)</f>
        <v>0</v>
      </c>
      <c r="E120" s="28">
        <f>=D119*(1-E$43)</f>
        <v>0</v>
      </c>
      <c r="F120" s="28">
        <f>=E119*(1-F$43)</f>
        <v>0</v>
      </c>
      <c r="G120" s="28">
        <f>=F119*(1-G$43)</f>
        <v>0</v>
      </c>
      <c r="H120" s="28">
        <f>=G119*(1-H$43)</f>
        <v>0</v>
      </c>
      <c r="I120" s="28">
        <f>=H119*(1-I$43)</f>
        <v>0</v>
      </c>
      <c r="J120" s="28">
        <f>=I119*(1-J$43)</f>
        <v>0</v>
      </c>
      <c r="K120" s="28">
        <f>=J119*(1-K$43)</f>
        <v>0</v>
      </c>
      <c r="L120" s="28">
        <f>=K119*(1-L$43)</f>
        <v>0</v>
      </c>
      <c r="M120" s="28">
        <f>=L119*(1-M$43)</f>
        <v>0</v>
      </c>
      <c r="N120" s="28">
        <f>=M119*(1-N$43)</f>
        <v>0</v>
      </c>
      <c r="O120" s="28">
        <f>=N119*(1-O$43)</f>
        <v>0</v>
      </c>
      <c r="P120" s="28">
        <f>=O119*(1-P$43)</f>
        <v>0</v>
      </c>
      <c r="Q120" s="28">
        <f>=P119*(1-Q$43)</f>
        <v>0</v>
      </c>
      <c r="R120" s="28">
        <f>=Q119*(1-R$43)</f>
        <v>0</v>
      </c>
      <c r="S120" s="28">
        <f>=R119*(1-S$43)</f>
        <v>0</v>
      </c>
      <c r="T120" s="28">
        <f>=S119*(1-T$43)</f>
        <v>0</v>
      </c>
      <c r="U120" s="28">
        <f>=T119*(1-U$43)</f>
        <v>0</v>
      </c>
      <c r="V120" s="28">
        <f>=U119*(1-V$43)</f>
        <v>0</v>
      </c>
      <c r="W120" s="28">
        <f>=V119*(1-W$43)</f>
        <v>0</v>
      </c>
      <c r="X120" s="28">
        <f>=W119*(1-X$43)</f>
        <v>0</v>
      </c>
      <c r="Y120" s="28">
        <f>=X119*(1-Y$43)</f>
        <v>0</v>
      </c>
      <c r="Z120" s="28">
        <f>=Y119*(1-Z$43)</f>
        <v>0</v>
      </c>
      <c r="AA120" s="28">
        <f>=Z119*(1-AA$43)</f>
        <v>0</v>
      </c>
      <c r="AB120" s="28">
        <f>=AA119*(1-AB$43)</f>
        <v>0</v>
      </c>
      <c r="AC120" s="28">
        <f>=AB119*(1-AC$43)</f>
        <v>0</v>
      </c>
      <c r="AD120" s="28">
        <f>=AC119*(1-AD$43)</f>
        <v>0</v>
      </c>
      <c r="AE120" s="28">
        <f>=AD119*(1-AE$43)</f>
        <v>0</v>
      </c>
      <c r="AF120" s="28">
        <f>=AE119*(1-AF$43)</f>
        <v>0</v>
      </c>
      <c r="AG120" s="17">
        <v>0</v>
      </c>
      <c r="AH120" s="17">
        <v>0</v>
      </c>
      <c r="AI120" s="17">
        <v>0</v>
      </c>
      <c r="AJ120" s="17">
        <v>0</v>
      </c>
      <c r="AK120" s="17">
        <v>0</v>
      </c>
      <c r="AL120" s="17">
        <v>0</v>
      </c>
      <c r="AM120" s="17">
        <v>0</v>
      </c>
      <c r="AN120" s="17">
        <v>0</v>
      </c>
      <c r="AO120" s="17">
        <v>0</v>
      </c>
      <c r="AP120" s="17">
        <v>0</v>
      </c>
      <c r="AQ120" s="17">
        <v>0</v>
      </c>
      <c r="AR120" s="17">
        <v>0</v>
      </c>
      <c r="AS120" s="17">
        <v>0</v>
      </c>
      <c r="AT120" s="17">
        <v>0</v>
      </c>
      <c r="AU120" s="17">
        <v>0</v>
      </c>
      <c r="AV120" s="17">
        <v>0</v>
      </c>
      <c r="AW120" s="17">
        <v>0</v>
      </c>
      <c r="AX120" s="17">
        <v>0</v>
      </c>
      <c r="AY120" s="17">
        <v>0</v>
      </c>
      <c r="AZ120" s="17">
        <v>0</v>
      </c>
      <c r="BA120" s="17">
        <v>0</v>
      </c>
      <c r="BB120" s="17">
        <v>0</v>
      </c>
      <c r="BC120" s="17">
        <v>0</v>
      </c>
      <c r="BD120" s="17">
        <v>0</v>
      </c>
      <c r="BE120" s="17">
        <v>0</v>
      </c>
      <c r="BF120" s="17">
        <v>0</v>
      </c>
      <c r="BG120" s="17">
        <v>0</v>
      </c>
      <c r="BH120" s="17">
        <v>0</v>
      </c>
      <c r="BI120" s="17">
        <v>0</v>
      </c>
      <c r="BJ120" s="17">
        <v>0</v>
      </c>
      <c r="BK120" s="17">
        <v>0</v>
      </c>
      <c r="BL120" s="17">
        <v>0</v>
      </c>
      <c r="BM120" s="17">
        <v>0</v>
      </c>
      <c r="BN120" s="17">
        <v>0</v>
      </c>
      <c r="BO120" s="17">
        <v>0</v>
      </c>
      <c r="BP120" s="17">
        <v>0</v>
      </c>
      <c r="BQ120" s="17">
        <v>0</v>
      </c>
      <c r="BR120" s="17">
        <v>0</v>
      </c>
      <c r="BS120" s="17">
        <v>0</v>
      </c>
      <c r="BT120" s="17">
        <v>0</v>
      </c>
      <c r="BU120" s="17">
        <v>0</v>
      </c>
      <c r="BV120" s="17">
        <v>0</v>
      </c>
      <c r="BW120" s="17">
        <v>0</v>
      </c>
      <c r="BX120" s="17">
        <v>0</v>
      </c>
      <c r="BY120" s="17">
        <v>0</v>
      </c>
      <c r="BZ120" s="17">
        <v>0</v>
      </c>
      <c r="CA120" s="17">
        <v>0</v>
      </c>
      <c r="CB120" s="17">
        <v>0</v>
      </c>
      <c r="CC120" s="28">
        <f>=CB119*(1-CC$43)</f>
        <v>0</v>
      </c>
      <c r="CD120" s="28">
        <f>=CC119*(1-CD$43)</f>
        <v>0</v>
      </c>
      <c r="CE120" s="28">
        <f>=CD119*(1-CE$43)</f>
        <v>0</v>
      </c>
      <c r="CF120" s="28">
        <f>=CE119*(1-CF$43)</f>
        <v>0</v>
      </c>
      <c r="CG120" s="28">
        <f>=CF119*(1-CG$43)</f>
        <v>0</v>
      </c>
      <c r="CH120" s="28">
        <f>=CG119*(1-CH$43)</f>
        <v>0</v>
      </c>
      <c r="CI120" s="28">
        <f>=CH119*(1-CI$43)</f>
        <v>0</v>
      </c>
      <c r="CJ120" s="28">
        <f>=CI119*(1-CJ$43)</f>
        <v>0</v>
      </c>
      <c r="CK120" s="28">
        <f>=CJ119*(1-CK$43)</f>
        <v>0</v>
      </c>
      <c r="CL120" s="28">
        <f>=CK119*(1-CL$43)</f>
        <v>0</v>
      </c>
      <c r="CM120" s="28">
        <f>=CL119*(1-CM$43)</f>
        <v>0</v>
      </c>
      <c r="CN120" s="28">
        <f>=CM119*(1-CN$43)</f>
        <v>0</v>
      </c>
      <c r="CO120" s="28">
        <f>=CN119*(1-CO$43)</f>
        <v>0</v>
      </c>
      <c r="CP120" s="28">
        <f>=CO119*(1-CP$43)</f>
        <v>0</v>
      </c>
      <c r="CQ120" s="28">
        <f>=CP119*(1-CQ$43)</f>
        <v>0</v>
      </c>
      <c r="CR120" s="28">
        <f>=CQ119*(1-CR$43)</f>
        <v>0</v>
      </c>
      <c r="CS120" s="28">
        <f>=CR119*(1-CS$43)</f>
        <v>0</v>
      </c>
      <c r="CT120" s="28">
        <f>=CS119*(1-CT$43)</f>
        <v>0</v>
      </c>
      <c r="CU120" s="28">
        <f>=CT119*(1-CU$43)</f>
        <v>0</v>
      </c>
      <c r="CV120" s="28">
        <f>=CU119*(1-CV$43)</f>
        <v>0</v>
      </c>
      <c r="CW120" s="28">
        <f>=CV119*(1-CW$43)</f>
        <v>0</v>
      </c>
      <c r="CX120" s="28">
        <f>=CW119*(1-CX$43)</f>
        <v>0</v>
      </c>
      <c r="CY120" s="28">
        <f>=CX119*(1-CY$43)</f>
        <v>0</v>
      </c>
      <c r="CZ120" s="28">
        <f>=CY119*(1-CZ$43)</f>
        <v>0</v>
      </c>
      <c r="DA120" s="28">
        <f>=CZ119*(1-DA$43)</f>
        <v>0</v>
      </c>
      <c r="DB120" s="28">
        <f>=DA119*(1-DB$43)</f>
        <v>0</v>
      </c>
    </row>
    <row r="121" spans="1:106" x14ac:dyDescent="0.25">
      <c r="A121" s="17" t="s">
        <v>344</v>
      </c>
      <c r="C121" s="30"/>
      <c r="D121" s="28">
        <f>=C120*(1-D$43)</f>
        <v>0</v>
      </c>
      <c r="E121" s="28">
        <f>=D120*(1-E$43)</f>
        <v>0</v>
      </c>
      <c r="F121" s="28">
        <f>=E120*(1-F$43)</f>
        <v>0</v>
      </c>
      <c r="G121" s="28">
        <f>=F120*(1-G$43)</f>
        <v>0</v>
      </c>
      <c r="H121" s="28">
        <f>=G120*(1-H$43)</f>
        <v>0</v>
      </c>
      <c r="I121" s="28">
        <f>=H120*(1-I$43)</f>
        <v>0</v>
      </c>
      <c r="J121" s="28">
        <f>=I120*(1-J$43)</f>
        <v>0</v>
      </c>
      <c r="K121" s="28">
        <f>=J120*(1-K$43)</f>
        <v>0</v>
      </c>
      <c r="L121" s="28">
        <f>=K120*(1-L$43)</f>
        <v>0</v>
      </c>
      <c r="M121" s="28">
        <f>=L120*(1-M$43)</f>
        <v>0</v>
      </c>
      <c r="N121" s="28">
        <f>=M120*(1-N$43)</f>
        <v>0</v>
      </c>
      <c r="O121" s="28">
        <f>=N120*(1-O$43)</f>
        <v>0</v>
      </c>
      <c r="P121" s="28">
        <f>=O120*(1-P$43)</f>
        <v>0</v>
      </c>
      <c r="Q121" s="28">
        <f>=P120*(1-Q$43)</f>
        <v>0</v>
      </c>
      <c r="R121" s="28">
        <f>=Q120*(1-R$43)</f>
        <v>0</v>
      </c>
      <c r="S121" s="28">
        <f>=R120*(1-S$43)</f>
        <v>0</v>
      </c>
      <c r="T121" s="28">
        <f>=S120*(1-T$43)</f>
        <v>0</v>
      </c>
      <c r="U121" s="28">
        <f>=T120*(1-U$43)</f>
        <v>0</v>
      </c>
      <c r="V121" s="28">
        <f>=U120*(1-V$43)</f>
        <v>0</v>
      </c>
      <c r="W121" s="28">
        <f>=V120*(1-W$43)</f>
        <v>0</v>
      </c>
      <c r="X121" s="28">
        <f>=W120*(1-X$43)</f>
        <v>0</v>
      </c>
      <c r="Y121" s="28">
        <f>=X120*(1-Y$43)</f>
        <v>0</v>
      </c>
      <c r="Z121" s="28">
        <f>=Y120*(1-Z$43)</f>
        <v>0</v>
      </c>
      <c r="AA121" s="28">
        <f>=Z120*(1-AA$43)</f>
        <v>0</v>
      </c>
      <c r="AB121" s="28">
        <f>=AA120*(1-AB$43)</f>
        <v>0</v>
      </c>
      <c r="AC121" s="28">
        <f>=AB120*(1-AC$43)</f>
        <v>0</v>
      </c>
      <c r="AD121" s="28">
        <f>=AC120*(1-AD$43)</f>
        <v>0</v>
      </c>
      <c r="AE121" s="28">
        <f>=AD120*(1-AE$43)</f>
        <v>0</v>
      </c>
      <c r="AF121" s="28">
        <f>=AE120*(1-AF$43)</f>
        <v>0</v>
      </c>
      <c r="AG121" s="17">
        <v>0</v>
      </c>
      <c r="AH121" s="17">
        <v>0</v>
      </c>
      <c r="AI121" s="17">
        <v>0</v>
      </c>
      <c r="AJ121" s="17">
        <v>0</v>
      </c>
      <c r="AK121" s="17">
        <v>0</v>
      </c>
      <c r="AL121" s="17">
        <v>0</v>
      </c>
      <c r="AM121" s="17">
        <v>0</v>
      </c>
      <c r="AN121" s="17">
        <v>0</v>
      </c>
      <c r="AO121" s="17">
        <v>0</v>
      </c>
      <c r="AP121" s="17">
        <v>0</v>
      </c>
      <c r="AQ121" s="17">
        <v>0</v>
      </c>
      <c r="AR121" s="17">
        <v>0</v>
      </c>
      <c r="AS121" s="17">
        <v>0</v>
      </c>
      <c r="AT121" s="17">
        <v>0</v>
      </c>
      <c r="AU121" s="17">
        <v>0</v>
      </c>
      <c r="AV121" s="17">
        <v>0</v>
      </c>
      <c r="AW121" s="17">
        <v>0</v>
      </c>
      <c r="AX121" s="17">
        <v>0</v>
      </c>
      <c r="AY121" s="17">
        <v>0</v>
      </c>
      <c r="AZ121" s="17">
        <v>0</v>
      </c>
      <c r="BA121" s="17">
        <v>0</v>
      </c>
      <c r="BB121" s="17">
        <v>0</v>
      </c>
      <c r="BC121" s="17">
        <v>0</v>
      </c>
      <c r="BD121" s="17">
        <v>0</v>
      </c>
      <c r="BE121" s="17">
        <v>0</v>
      </c>
      <c r="BF121" s="17">
        <v>0</v>
      </c>
      <c r="BG121" s="17">
        <v>0</v>
      </c>
      <c r="BH121" s="17">
        <v>0</v>
      </c>
      <c r="BI121" s="17">
        <v>0</v>
      </c>
      <c r="BJ121" s="17">
        <v>0</v>
      </c>
      <c r="BK121" s="17">
        <v>0</v>
      </c>
      <c r="BL121" s="17">
        <v>0</v>
      </c>
      <c r="BM121" s="17">
        <v>0</v>
      </c>
      <c r="BN121" s="17">
        <v>0</v>
      </c>
      <c r="BO121" s="17">
        <v>0</v>
      </c>
      <c r="BP121" s="17">
        <v>0</v>
      </c>
      <c r="BQ121" s="17">
        <v>0</v>
      </c>
      <c r="BR121" s="17">
        <v>0</v>
      </c>
      <c r="BS121" s="17">
        <v>0</v>
      </c>
      <c r="BT121" s="17">
        <v>0</v>
      </c>
      <c r="BU121" s="17">
        <v>0</v>
      </c>
      <c r="BV121" s="17">
        <v>0</v>
      </c>
      <c r="BW121" s="17">
        <v>0</v>
      </c>
      <c r="BX121" s="17">
        <v>0</v>
      </c>
      <c r="BY121" s="17">
        <v>0</v>
      </c>
      <c r="BZ121" s="17">
        <v>0</v>
      </c>
      <c r="CA121" s="17">
        <v>0</v>
      </c>
      <c r="CB121" s="17">
        <v>0</v>
      </c>
      <c r="CC121" s="28">
        <f>=CB120*(1-CC$43)</f>
        <v>0</v>
      </c>
      <c r="CD121" s="28">
        <f>=CC120*(1-CD$43)</f>
        <v>0</v>
      </c>
      <c r="CE121" s="28">
        <f>=CD120*(1-CE$43)</f>
        <v>0</v>
      </c>
      <c r="CF121" s="28">
        <f>=CE120*(1-CF$43)</f>
        <v>0</v>
      </c>
      <c r="CG121" s="28">
        <f>=CF120*(1-CG$43)</f>
        <v>0</v>
      </c>
      <c r="CH121" s="28">
        <f>=CG120*(1-CH$43)</f>
        <v>0</v>
      </c>
      <c r="CI121" s="28">
        <f>=CH120*(1-CI$43)</f>
        <v>0</v>
      </c>
      <c r="CJ121" s="28">
        <f>=CI120*(1-CJ$43)</f>
        <v>0</v>
      </c>
      <c r="CK121" s="28">
        <f>=CJ120*(1-CK$43)</f>
        <v>0</v>
      </c>
      <c r="CL121" s="28">
        <f>=CK120*(1-CL$43)</f>
        <v>0</v>
      </c>
      <c r="CM121" s="28">
        <f>=CL120*(1-CM$43)</f>
        <v>0</v>
      </c>
      <c r="CN121" s="28">
        <f>=CM120*(1-CN$43)</f>
        <v>0</v>
      </c>
      <c r="CO121" s="28">
        <f>=CN120*(1-CO$43)</f>
        <v>0</v>
      </c>
      <c r="CP121" s="28">
        <f>=CO120*(1-CP$43)</f>
        <v>0</v>
      </c>
      <c r="CQ121" s="28">
        <f>=CP120*(1-CQ$43)</f>
        <v>0</v>
      </c>
      <c r="CR121" s="28">
        <f>=CQ120*(1-CR$43)</f>
        <v>0</v>
      </c>
      <c r="CS121" s="28">
        <f>=CR120*(1-CS$43)</f>
        <v>0</v>
      </c>
      <c r="CT121" s="28">
        <f>=CS120*(1-CT$43)</f>
        <v>0</v>
      </c>
      <c r="CU121" s="28">
        <f>=CT120*(1-CU$43)</f>
        <v>0</v>
      </c>
      <c r="CV121" s="28">
        <f>=CU120*(1-CV$43)</f>
        <v>0</v>
      </c>
      <c r="CW121" s="28">
        <f>=CV120*(1-CW$43)</f>
        <v>0</v>
      </c>
      <c r="CX121" s="28">
        <f>=CW120*(1-CX$43)</f>
        <v>0</v>
      </c>
      <c r="CY121" s="28">
        <f>=CX120*(1-CY$43)</f>
        <v>0</v>
      </c>
      <c r="CZ121" s="28">
        <f>=CY120*(1-CZ$43)</f>
        <v>0</v>
      </c>
      <c r="DA121" s="28">
        <f>=CZ120*(1-DA$43)</f>
        <v>0</v>
      </c>
      <c r="DB121" s="28">
        <f>=DA120*(1-DB$43)</f>
        <v>0</v>
      </c>
    </row>
    <row r="122" spans="3:106" x14ac:dyDescent="0.25"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  <c r="AW122" s="30"/>
      <c r="AX122" s="30"/>
      <c r="AY122" s="30"/>
      <c r="AZ122" s="30"/>
      <c r="BA122" s="30"/>
      <c r="BB122" s="30"/>
      <c r="BC122" s="30"/>
      <c r="BD122" s="30"/>
      <c r="BE122" s="30"/>
      <c r="BF122" s="30"/>
      <c r="BG122" s="30"/>
      <c r="BH122" s="30"/>
      <c r="BI122" s="30"/>
      <c r="BJ122" s="30"/>
      <c r="BK122" s="30"/>
      <c r="BL122" s="30"/>
      <c r="BM122" s="30"/>
      <c r="BN122" s="30"/>
      <c r="BO122" s="30"/>
      <c r="BP122" s="30"/>
      <c r="BQ122" s="30"/>
      <c r="BR122" s="30"/>
      <c r="BS122" s="30"/>
      <c r="BT122" s="30"/>
      <c r="BU122" s="30"/>
      <c r="BV122" s="30"/>
      <c r="BW122" s="30"/>
      <c r="BX122" s="30"/>
      <c r="BY122" s="30"/>
      <c r="BZ122" s="30"/>
      <c r="CA122" s="30"/>
      <c r="CB122" s="30"/>
      <c r="CC122" s="30"/>
      <c r="CD122" s="30"/>
      <c r="CE122" s="30"/>
      <c r="CF122" s="30"/>
      <c r="CG122" s="30"/>
      <c r="CH122" s="30"/>
      <c r="CI122" s="30"/>
      <c r="CJ122" s="30"/>
      <c r="CK122" s="30"/>
      <c r="CL122" s="30"/>
      <c r="CM122" s="30"/>
      <c r="CN122" s="30"/>
      <c r="CO122" s="30"/>
      <c r="CP122" s="30"/>
      <c r="CQ122" s="30"/>
      <c r="CR122" s="30"/>
      <c r="CS122" s="30"/>
      <c r="CT122" s="30"/>
      <c r="CU122" s="30"/>
      <c r="CV122" s="30"/>
      <c r="CW122" s="30"/>
      <c r="CX122" s="30"/>
      <c r="CY122" s="30"/>
      <c r="CZ122" s="30"/>
      <c r="DA122" s="30"/>
      <c r="DB122" s="30"/>
    </row>
    <row r="123" spans="1:106" x14ac:dyDescent="0.25">
      <c r="A123" s="9" t="s">
        <v>345</v>
      </c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  <c r="AV123" s="30"/>
      <c r="AW123" s="30"/>
      <c r="AX123" s="30"/>
      <c r="AY123" s="30"/>
      <c r="AZ123" s="30"/>
      <c r="BA123" s="30"/>
      <c r="BB123" s="30"/>
      <c r="BC123" s="30"/>
      <c r="BD123" s="30"/>
      <c r="BE123" s="30"/>
      <c r="BF123" s="30"/>
      <c r="BG123" s="30"/>
      <c r="BH123" s="30"/>
      <c r="BI123" s="30"/>
      <c r="BJ123" s="30"/>
      <c r="BK123" s="30"/>
      <c r="BL123" s="30"/>
      <c r="BM123" s="30"/>
      <c r="BN123" s="30"/>
      <c r="BO123" s="30"/>
      <c r="BP123" s="30"/>
      <c r="BQ123" s="30"/>
      <c r="BR123" s="30"/>
      <c r="BS123" s="30"/>
      <c r="BT123" s="30"/>
      <c r="BU123" s="30"/>
      <c r="BV123" s="30"/>
      <c r="BW123" s="30"/>
      <c r="BX123" s="30"/>
      <c r="BY123" s="30"/>
      <c r="BZ123" s="30"/>
      <c r="CA123" s="30"/>
      <c r="CB123" s="30"/>
      <c r="CC123" s="30"/>
      <c r="CD123" s="30"/>
      <c r="CE123" s="30"/>
      <c r="CF123" s="30"/>
      <c r="CG123" s="30"/>
      <c r="CH123" s="30"/>
      <c r="CI123" s="30"/>
      <c r="CJ123" s="30"/>
      <c r="CK123" s="30"/>
      <c r="CL123" s="30"/>
      <c r="CM123" s="30"/>
      <c r="CN123" s="30"/>
      <c r="CO123" s="30"/>
      <c r="CP123" s="30"/>
      <c r="CQ123" s="30"/>
      <c r="CR123" s="30"/>
      <c r="CS123" s="30"/>
      <c r="CT123" s="30"/>
      <c r="CU123" s="30"/>
      <c r="CV123" s="30"/>
      <c r="CW123" s="30"/>
      <c r="CX123" s="30"/>
      <c r="CY123" s="30"/>
      <c r="CZ123" s="30"/>
      <c r="DA123" s="30"/>
      <c r="DB123" s="30"/>
    </row>
    <row r="124" ht="16" customHeight="1" spans="1:106" x14ac:dyDescent="0.25">
      <c r="A124" s="68" t="s">
        <v>346</v>
      </c>
      <c r="C124" s="30">
        <f>=C8</f>
        <v>0</v>
      </c>
      <c r="D124" s="30">
        <f>=D8</f>
        <v>0</v>
      </c>
      <c r="E124" s="30">
        <f>=E8</f>
        <v>0</v>
      </c>
      <c r="F124" s="30">
        <f>=F8</f>
        <v>0</v>
      </c>
      <c r="G124" s="30">
        <f>=G8</f>
        <v>0</v>
      </c>
      <c r="H124" s="30">
        <f>=H8</f>
        <v>0</v>
      </c>
      <c r="I124" s="30">
        <f>=I8</f>
        <v>0</v>
      </c>
      <c r="J124" s="30">
        <f>=J8</f>
        <v>0</v>
      </c>
      <c r="K124" s="30">
        <f>=K8</f>
        <v>0</v>
      </c>
      <c r="L124" s="30">
        <f>=L8</f>
        <v>0</v>
      </c>
      <c r="M124" s="30">
        <f>=M8</f>
        <v>0</v>
      </c>
      <c r="N124" s="30">
        <f>=N8</f>
        <v>0</v>
      </c>
      <c r="O124" s="30">
        <f>=O8</f>
        <v>0</v>
      </c>
      <c r="P124" s="30">
        <f>=P8</f>
        <v>0</v>
      </c>
      <c r="Q124" s="30">
        <f>=Q8</f>
        <v>0</v>
      </c>
      <c r="R124" s="30">
        <f>=R8</f>
        <v>0</v>
      </c>
      <c r="S124" s="30">
        <f>=S8</f>
        <v>0</v>
      </c>
      <c r="T124" s="30">
        <f>=T8</f>
        <v>0</v>
      </c>
      <c r="U124" s="30">
        <f>=U8</f>
        <v>0</v>
      </c>
      <c r="V124" s="30">
        <f>=V8</f>
        <v>0</v>
      </c>
      <c r="W124" s="30">
        <f>=W8</f>
        <v>0</v>
      </c>
      <c r="X124" s="30">
        <f>=X8</f>
        <v>0</v>
      </c>
      <c r="Y124" s="30">
        <f>=Y8</f>
        <v>0</v>
      </c>
      <c r="Z124" s="30">
        <f>=Z8</f>
        <v>0</v>
      </c>
      <c r="AA124" s="30">
        <f>=AA8</f>
        <v>0</v>
      </c>
      <c r="AB124" s="30">
        <f>=AB8</f>
        <v>0</v>
      </c>
      <c r="AC124" s="30">
        <f>=AC8</f>
        <v>0</v>
      </c>
      <c r="AD124" s="30">
        <f>=AD8</f>
        <v>0</v>
      </c>
      <c r="AE124" s="30">
        <f>=AE8</f>
        <v>0</v>
      </c>
      <c r="AF124" s="30">
        <f>=AF8</f>
        <v>0</v>
      </c>
      <c r="AG124" s="30">
        <f>=AG8</f>
        <v>0</v>
      </c>
      <c r="AH124" s="30">
        <f>=AH8</f>
        <v>2100</v>
      </c>
      <c r="AI124" s="30">
        <f>=AI8</f>
        <v>2100</v>
      </c>
      <c r="AJ124" s="30">
        <f>=AJ8</f>
        <v>2100</v>
      </c>
      <c r="AK124" s="30">
        <f>=AK8</f>
        <v>2100</v>
      </c>
      <c r="AL124" s="30">
        <f>=AL8</f>
        <v>2108</v>
      </c>
      <c r="AM124" s="30">
        <f>=AM8</f>
        <v>2108</v>
      </c>
      <c r="AN124" s="30">
        <f>=AN8</f>
        <v>2108</v>
      </c>
      <c r="AO124" s="30">
        <f>=AO8</f>
        <v>2108</v>
      </c>
      <c r="AP124" s="30">
        <f>=AP8</f>
        <v>2065</v>
      </c>
      <c r="AQ124" s="30">
        <f>=AQ8</f>
        <v>2065</v>
      </c>
      <c r="AR124" s="30">
        <f>=AR8</f>
        <v>2695</v>
      </c>
      <c r="AS124" s="30">
        <f>=AS8</f>
        <v>2695</v>
      </c>
      <c r="AT124" s="30">
        <f>=AT8</f>
        <v>2695</v>
      </c>
      <c r="AU124" s="30">
        <f>=AU8</f>
        <v>2780</v>
      </c>
      <c r="AV124" s="30">
        <f>=AV8</f>
        <v>2780</v>
      </c>
      <c r="AW124" s="30">
        <f>=AW8</f>
        <v>2780</v>
      </c>
      <c r="AX124" s="30">
        <f>=AX8</f>
        <v>2780</v>
      </c>
      <c r="AY124" s="30">
        <f>=AY8</f>
        <v>3916</v>
      </c>
      <c r="AZ124" s="30">
        <f>=AZ8</f>
        <v>3916</v>
      </c>
      <c r="BA124" s="30">
        <f>=BA8</f>
        <v>3916</v>
      </c>
      <c r="BB124" s="30">
        <f>=BB8</f>
        <v>3916</v>
      </c>
      <c r="BC124" s="30">
        <f>=BC8</f>
        <v>4219</v>
      </c>
      <c r="BD124" s="30">
        <f>=BD8</f>
        <v>4219</v>
      </c>
      <c r="BE124" s="30">
        <f>=BE8</f>
        <v>4219</v>
      </c>
      <c r="BF124" s="30">
        <f>=BF8</f>
        <v>4219</v>
      </c>
      <c r="BG124" s="30">
        <f>=BG8</f>
        <v>4215</v>
      </c>
      <c r="BH124" s="30">
        <f>=BH8</f>
        <v>4882</v>
      </c>
      <c r="BI124" s="30">
        <f>=BI8</f>
        <v>4882</v>
      </c>
      <c r="BJ124" s="30">
        <f>=BJ8</f>
        <v>4882</v>
      </c>
      <c r="BK124" s="30">
        <f>=BK8</f>
        <v>4882</v>
      </c>
      <c r="BL124" s="30">
        <f>=BL8</f>
        <v>4807</v>
      </c>
      <c r="BM124" s="30">
        <f>=BM8</f>
        <v>4625</v>
      </c>
      <c r="BN124" s="30">
        <f>=BN8</f>
        <v>4627</v>
      </c>
      <c r="BO124" s="30">
        <f>=BO8</f>
        <v>4627</v>
      </c>
      <c r="BP124" s="30">
        <f>=BP8</f>
        <v>4751.5</v>
      </c>
      <c r="BQ124" s="30">
        <f>=BQ8</f>
        <v>4751.5</v>
      </c>
      <c r="BR124" s="30">
        <f>=BR8</f>
        <v>4678.4</v>
      </c>
      <c r="BS124" s="30">
        <f>=BS8</f>
        <v>4678.4</v>
      </c>
      <c r="BT124" s="30">
        <f>=BT8</f>
        <v>4678.4</v>
      </c>
      <c r="BU124" s="30">
        <f>=BU8</f>
        <v>4678.4</v>
      </c>
      <c r="BV124" s="30">
        <f>=BV8</f>
        <v>4678.4</v>
      </c>
      <c r="BW124" s="30">
        <f>=BW8</f>
        <v>4678.4</v>
      </c>
      <c r="BX124" s="30">
        <f>=BX8</f>
        <v>4678.4</v>
      </c>
      <c r="BY124" s="30">
        <f>=BY8</f>
        <v>4678.4</v>
      </c>
      <c r="BZ124" s="30">
        <f>=BZ8</f>
        <v>4678.4</v>
      </c>
      <c r="CA124" s="30">
        <f>=CA8</f>
        <v>4678.4</v>
      </c>
      <c r="CB124" s="30">
        <f>=CB8</f>
        <v>4678.4</v>
      </c>
      <c r="CC124" s="30">
        <f>=CC8</f>
        <v>0</v>
      </c>
      <c r="CD124" s="30">
        <f>=CD8</f>
        <v>0</v>
      </c>
      <c r="CE124" s="30">
        <f>=CE8</f>
        <v>0</v>
      </c>
      <c r="CF124" s="30">
        <f>=CF8</f>
        <v>0</v>
      </c>
      <c r="CG124" s="30">
        <f>=CG8</f>
        <v>0</v>
      </c>
      <c r="CH124" s="30">
        <f>=CH8</f>
        <v>0</v>
      </c>
      <c r="CI124" s="30">
        <f>=CI8</f>
        <v>0</v>
      </c>
      <c r="CJ124" s="30">
        <f>=CJ8</f>
        <v>0</v>
      </c>
      <c r="CK124" s="30">
        <f>=CK8</f>
        <v>0</v>
      </c>
      <c r="CL124" s="30">
        <f>=CL8</f>
        <v>0</v>
      </c>
      <c r="CM124" s="30">
        <f>=CM8</f>
        <v>0</v>
      </c>
      <c r="CN124" s="30">
        <f>=CN8</f>
        <v>0</v>
      </c>
      <c r="CO124" s="30">
        <f>=CO8</f>
        <v>0</v>
      </c>
      <c r="CP124" s="30">
        <f>=CP8</f>
        <v>0</v>
      </c>
      <c r="CQ124" s="30">
        <f>=CQ8</f>
        <v>0</v>
      </c>
      <c r="CR124" s="30">
        <f>=CR8</f>
        <v>0</v>
      </c>
      <c r="CS124" s="30">
        <f>=CS8</f>
        <v>0</v>
      </c>
      <c r="CT124" s="30">
        <f>=CT8</f>
        <v>0</v>
      </c>
      <c r="CU124" s="30">
        <f>=CU8</f>
        <v>0</v>
      </c>
      <c r="CV124" s="30">
        <f>=CV8</f>
        <v>0</v>
      </c>
      <c r="CW124" s="30">
        <f>=CW8</f>
        <v>0</v>
      </c>
      <c r="CX124" s="30">
        <f>=CX8</f>
        <v>0</v>
      </c>
      <c r="CY124" s="30">
        <f>=CY8</f>
        <v>0</v>
      </c>
      <c r="CZ124" s="30">
        <f>=CZ8</f>
        <v>0</v>
      </c>
      <c r="DA124" s="30">
        <f>=DA8</f>
        <v>0</v>
      </c>
      <c r="DB124" s="30">
        <f>=DB8</f>
        <v>0</v>
      </c>
    </row>
    <row r="125" ht="16" customHeight="1" spans="1:106" x14ac:dyDescent="0.25">
      <c r="A125" s="68" t="s">
        <v>347</v>
      </c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  <c r="AX125" s="30"/>
      <c r="AY125" s="30"/>
      <c r="AZ125" s="30"/>
      <c r="BA125" s="30"/>
      <c r="BB125" s="30"/>
      <c r="BC125" s="30"/>
      <c r="BD125" s="30"/>
      <c r="BE125" s="30"/>
      <c r="BF125" s="30"/>
      <c r="BG125" s="30"/>
      <c r="BH125" s="30"/>
      <c r="BI125" s="30"/>
      <c r="BJ125" s="30"/>
      <c r="BK125" s="30"/>
      <c r="BL125" s="30"/>
      <c r="BM125" s="30"/>
      <c r="BN125" s="30"/>
      <c r="BO125" s="30"/>
      <c r="BP125" s="30"/>
      <c r="BQ125" s="30"/>
      <c r="BR125" s="30"/>
      <c r="BS125" s="30"/>
      <c r="BT125" s="30"/>
      <c r="BU125" s="30"/>
      <c r="BV125" s="30"/>
      <c r="BW125" s="30"/>
      <c r="BX125" s="30"/>
      <c r="BY125" s="30"/>
      <c r="BZ125" s="30"/>
      <c r="CA125" s="30"/>
      <c r="CB125" s="30"/>
      <c r="CC125" s="30"/>
      <c r="CD125" s="30"/>
      <c r="CE125" s="30"/>
      <c r="CF125" s="30"/>
      <c r="CG125" s="30"/>
      <c r="CH125" s="30"/>
      <c r="CI125" s="30"/>
      <c r="CJ125" s="30"/>
      <c r="CK125" s="30"/>
      <c r="CL125" s="30"/>
      <c r="CM125" s="30"/>
      <c r="CN125" s="30"/>
      <c r="CO125" s="30"/>
      <c r="CP125" s="30"/>
      <c r="CQ125" s="30"/>
      <c r="CR125" s="30"/>
      <c r="CS125" s="30"/>
      <c r="CT125" s="30"/>
      <c r="CU125" s="30"/>
      <c r="CV125" s="30"/>
      <c r="CW125" s="30"/>
      <c r="CX125" s="30"/>
      <c r="CY125" s="30"/>
      <c r="CZ125" s="30"/>
      <c r="DA125" s="30"/>
      <c r="DB125" s="30"/>
    </row>
    <row r="126" ht="16" customHeight="1" spans="1:106" x14ac:dyDescent="0.25">
      <c r="A126" s="68" t="s">
        <v>348</v>
      </c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  <c r="BA126" s="30"/>
      <c r="BB126" s="30"/>
      <c r="BC126" s="30"/>
      <c r="BD126" s="30"/>
      <c r="BE126" s="30"/>
      <c r="BF126" s="30"/>
      <c r="BG126" s="30"/>
      <c r="BH126" s="30"/>
      <c r="BI126" s="30"/>
      <c r="BJ126" s="30"/>
      <c r="BK126" s="30"/>
      <c r="BL126" s="30"/>
      <c r="BM126" s="30"/>
      <c r="BN126" s="30"/>
      <c r="BO126" s="30"/>
      <c r="BP126" s="30"/>
      <c r="BQ126" s="30"/>
      <c r="BR126" s="30"/>
      <c r="BS126" s="30"/>
      <c r="BT126" s="30"/>
      <c r="BU126" s="30"/>
      <c r="BV126" s="30"/>
      <c r="BW126" s="30"/>
      <c r="BX126" s="30"/>
      <c r="BY126" s="30"/>
      <c r="BZ126" s="30"/>
      <c r="CA126" s="30"/>
      <c r="CB126" s="30"/>
      <c r="CC126" s="30"/>
      <c r="CD126" s="30"/>
      <c r="CE126" s="30"/>
      <c r="CF126" s="30"/>
      <c r="CG126" s="30"/>
      <c r="CH126" s="30"/>
      <c r="CI126" s="30"/>
      <c r="CJ126" s="30"/>
      <c r="CK126" s="30"/>
      <c r="CL126" s="30"/>
      <c r="CM126" s="30"/>
      <c r="CN126" s="30"/>
      <c r="CO126" s="30"/>
      <c r="CP126" s="30"/>
      <c r="CQ126" s="30"/>
      <c r="CR126" s="30"/>
      <c r="CS126" s="30"/>
      <c r="CT126" s="30"/>
      <c r="CU126" s="30"/>
      <c r="CV126" s="30"/>
      <c r="CW126" s="30"/>
      <c r="CX126" s="30"/>
      <c r="CY126" s="30"/>
      <c r="CZ126" s="30"/>
      <c r="DA126" s="30"/>
      <c r="DB126" s="30"/>
    </row>
    <row r="127" ht="18" customHeight="1" spans="1:106" x14ac:dyDescent="0.25">
      <c r="A127" s="70" t="s">
        <v>349</v>
      </c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48">
        <f>=IFERROR(AG126/AG124,0)</f>
        <v>0</v>
      </c>
      <c r="AH127" s="48">
        <f>=IFERROR(AH126/AH124,0)</f>
        <v>0</v>
      </c>
      <c r="AI127" s="48">
        <f>=IFERROR(AI126/AI124,0)</f>
        <v>0</v>
      </c>
      <c r="AJ127" s="48">
        <f>=IFERROR(AJ126/AJ124,0)</f>
        <v>0</v>
      </c>
      <c r="AK127" s="48">
        <f>=IFERROR(AK126/AK124,0)</f>
        <v>0</v>
      </c>
      <c r="AL127" s="48">
        <f>=IFERROR(AL126/AL124,0)</f>
        <v>0</v>
      </c>
      <c r="AM127" s="48">
        <f>=IFERROR(AM126/AM124,0)</f>
        <v>0</v>
      </c>
      <c r="AN127" s="48">
        <f>=IFERROR(AN126/AN124,0)</f>
        <v>0</v>
      </c>
      <c r="AO127" s="48">
        <f>=IFERROR(AO126/AO124,0)</f>
        <v>0</v>
      </c>
      <c r="AP127" s="48">
        <f>=IFERROR(AP126/AP124,0)</f>
        <v>0</v>
      </c>
      <c r="AQ127" s="48">
        <f>=IFERROR(AQ126/AQ124,0)</f>
        <v>0</v>
      </c>
      <c r="AR127" s="48">
        <f>=IFERROR(AR126/AR124,0)</f>
        <v>0</v>
      </c>
      <c r="AS127" s="48">
        <f>=IFERROR(AS126/AS124,0)</f>
        <v>0</v>
      </c>
      <c r="AT127" s="48">
        <f>=IFERROR(AT126/AT124,0)</f>
        <v>0</v>
      </c>
      <c r="AU127" s="48">
        <f>=IFERROR(AU126/AU124,0)</f>
        <v>0</v>
      </c>
      <c r="AV127" s="48">
        <f>=IFERROR(AV126/AV124,0)</f>
        <v>0</v>
      </c>
      <c r="AW127" s="48">
        <f>=IFERROR(AW126/AW124,0)</f>
        <v>0</v>
      </c>
      <c r="AX127" s="48">
        <f>=IFERROR(AX126/AX124,0)</f>
        <v>0</v>
      </c>
      <c r="AY127" s="48">
        <f>=IFERROR(AY126/AY124,0)</f>
        <v>0</v>
      </c>
      <c r="AZ127" s="48">
        <f>=IFERROR(AZ126/AZ124,0)</f>
        <v>0</v>
      </c>
      <c r="BA127" s="48">
        <f>=IFERROR(BA126/BA124,0)</f>
        <v>0</v>
      </c>
      <c r="BB127" s="48">
        <f>=IFERROR(BB126/BB124,0)</f>
        <v>0</v>
      </c>
      <c r="BC127" s="48">
        <f>=IFERROR(BC126/BC124,0)</f>
        <v>0</v>
      </c>
      <c r="BD127" s="48">
        <f>=IFERROR(BD126/BD124,0)</f>
        <v>0</v>
      </c>
      <c r="BE127" s="48">
        <f>=IFERROR(BE126/BE124,0)</f>
        <v>0</v>
      </c>
      <c r="BF127" s="48">
        <f>=IFERROR(BF126/BF124,0)</f>
        <v>0</v>
      </c>
      <c r="BG127" s="48">
        <f>=IFERROR(BG126/BG124,0)</f>
        <v>0</v>
      </c>
      <c r="BH127" s="48">
        <f>=IFERROR(BH126/BH124,0)</f>
        <v>0</v>
      </c>
      <c r="BI127" s="48">
        <f>=IFERROR(BI126/BI124,0)</f>
        <v>0</v>
      </c>
      <c r="BJ127" s="48">
        <f>=IFERROR(BJ126/BJ124,0)</f>
        <v>0</v>
      </c>
      <c r="BK127" s="48">
        <f>=IFERROR(BK126/BK124,0)</f>
        <v>0</v>
      </c>
      <c r="BL127" s="48">
        <f>=IFERROR(BL126/BL124,0)</f>
        <v>0</v>
      </c>
      <c r="BM127" s="48">
        <f>=IFERROR(BM126/BM124,0)</f>
        <v>0</v>
      </c>
      <c r="BN127" s="48">
        <f>=IFERROR(BN126/BN124,0)</f>
        <v>0</v>
      </c>
      <c r="BO127" s="48">
        <f>=IFERROR(BO126/BO124,0)</f>
        <v>0</v>
      </c>
      <c r="BP127" s="48">
        <f>=IFERROR(BP126/BP124,0)</f>
        <v>0</v>
      </c>
      <c r="BQ127" s="48">
        <f>=IFERROR(BQ126/BQ124,0)</f>
        <v>0</v>
      </c>
      <c r="BR127" s="48">
        <f>=IFERROR(BR126/BR124,0)</f>
        <v>0</v>
      </c>
      <c r="BS127" s="48">
        <f>=IFERROR(BS126/BS124,0)</f>
        <v>0</v>
      </c>
      <c r="BT127" s="48">
        <f>=IFERROR(BT126/BT124,0)</f>
        <v>0</v>
      </c>
      <c r="BU127" s="48">
        <f>=IFERROR(BU126/BU124,0)</f>
        <v>0</v>
      </c>
      <c r="BV127" s="48">
        <f>=IFERROR(BV126/BV124,0)</f>
        <v>0</v>
      </c>
      <c r="BW127" s="48">
        <f>=IFERROR(BW126/BW124,0)</f>
        <v>0</v>
      </c>
      <c r="BX127" s="48">
        <f>=IFERROR(BX126/BX124,0)</f>
        <v>0</v>
      </c>
      <c r="BY127" s="48">
        <f>=IFERROR(BY126/BY124,0)</f>
        <v>0</v>
      </c>
      <c r="BZ127" s="48">
        <f>=IFERROR(BZ126/BZ124,0)</f>
        <v>0</v>
      </c>
      <c r="CA127" s="48">
        <f>=IFERROR(CA126/CA124,0)</f>
        <v>0</v>
      </c>
      <c r="CB127" s="48">
        <f>=IFERROR(CB126/CB124,0)</f>
        <v>0</v>
      </c>
      <c r="CC127" s="48">
        <f>=IFERROR(CC126/CC124,0)</f>
        <v>0</v>
      </c>
      <c r="CD127" s="48">
        <f>=IFERROR(CD126/CD124,0)</f>
        <v>0</v>
      </c>
      <c r="CE127" s="48">
        <f>=IFERROR(CE126/CE124,0)</f>
        <v>0</v>
      </c>
      <c r="CF127" s="48">
        <f>=IFERROR(CF126/CF124,0)</f>
        <v>0</v>
      </c>
      <c r="CG127" s="48">
        <f>=IFERROR(CG126/CG124,0)</f>
        <v>0</v>
      </c>
      <c r="CH127" s="48">
        <f>=IFERROR(CH126/CH124,0)</f>
        <v>0</v>
      </c>
      <c r="CI127" s="48">
        <f>=IFERROR(CI126/CI124,0)</f>
        <v>0</v>
      </c>
      <c r="CJ127" s="48">
        <f>=IFERROR(CJ126/CJ124,0)</f>
        <v>0</v>
      </c>
      <c r="CK127" s="48">
        <f>=IFERROR(CK126/CK124,0)</f>
        <v>0</v>
      </c>
      <c r="CL127" s="48">
        <f>=IFERROR(CL126/CL124,0)</f>
        <v>0</v>
      </c>
      <c r="CM127" s="48">
        <f>=IFERROR(CM126/CM124,0)</f>
        <v>0</v>
      </c>
      <c r="CN127" s="48">
        <f>=IFERROR(CN126/CN124,0)</f>
        <v>0</v>
      </c>
      <c r="CO127" s="48">
        <f>=IFERROR(CO126/CO124,0)</f>
        <v>0</v>
      </c>
      <c r="CP127" s="48">
        <f>=IFERROR(CP126/CP124,0)</f>
        <v>0</v>
      </c>
      <c r="CQ127" s="48">
        <f>=IFERROR(CQ126/CQ124,0)</f>
        <v>0</v>
      </c>
      <c r="CR127" s="48">
        <f>=IFERROR(CR126/CR124,0)</f>
        <v>0</v>
      </c>
      <c r="CS127" s="48">
        <f>=IFERROR(CS126/CS124,0)</f>
        <v>0</v>
      </c>
      <c r="CT127" s="48">
        <f>=IFERROR(CT126/CT124,0)</f>
        <v>0</v>
      </c>
      <c r="CU127" s="48">
        <f>=IFERROR(CU126/CU124,0)</f>
        <v>0</v>
      </c>
      <c r="CV127" s="48">
        <f>=IFERROR(CV126/CV124,0)</f>
        <v>0</v>
      </c>
      <c r="CW127" s="48">
        <f>=IFERROR(CW126/CW124,0)</f>
        <v>0</v>
      </c>
      <c r="CX127" s="48">
        <f>=IFERROR(CX126/CX124,0)</f>
        <v>0</v>
      </c>
      <c r="CY127" s="48">
        <f>=IFERROR(CY126/CY124,0)</f>
        <v>0</v>
      </c>
      <c r="CZ127" s="48">
        <f>=IFERROR(CZ126/CZ124,0)</f>
        <v>0</v>
      </c>
      <c r="DA127" s="48">
        <f>=IFERROR(DA126/DA124,0)</f>
        <v>0</v>
      </c>
      <c r="DB127" s="48">
        <f>=IFERROR(DB126/DB124,0)</f>
        <v>0</v>
      </c>
    </row>
    <row r="128" ht="16" customHeight="1" spans="1:106" x14ac:dyDescent="0.25">
      <c r="A128" s="68" t="s">
        <v>350</v>
      </c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  <c r="AV128" s="30"/>
      <c r="AW128" s="30"/>
      <c r="AX128" s="30"/>
      <c r="AY128" s="30"/>
      <c r="AZ128" s="30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30"/>
      <c r="BO128" s="30"/>
      <c r="BP128" s="30"/>
      <c r="BQ128" s="30"/>
      <c r="BR128" s="30"/>
      <c r="BS128" s="30"/>
      <c r="BT128" s="30"/>
      <c r="BU128" s="30"/>
      <c r="BV128" s="30"/>
      <c r="BW128" s="30"/>
      <c r="BX128" s="30"/>
      <c r="BY128" s="30"/>
      <c r="BZ128" s="30"/>
      <c r="CA128" s="30"/>
      <c r="CB128" s="30"/>
      <c r="CC128" s="30"/>
      <c r="CD128" s="30"/>
      <c r="CE128" s="30"/>
      <c r="CF128" s="30"/>
      <c r="CG128" s="30"/>
      <c r="CH128" s="30"/>
      <c r="CI128" s="30"/>
      <c r="CJ128" s="30"/>
      <c r="CK128" s="30"/>
      <c r="CL128" s="30"/>
      <c r="CM128" s="30"/>
      <c r="CN128" s="30"/>
      <c r="CO128" s="30"/>
      <c r="CP128" s="30"/>
      <c r="CQ128" s="30"/>
      <c r="CR128" s="30"/>
      <c r="CS128" s="30"/>
      <c r="CT128" s="30"/>
      <c r="CU128" s="30"/>
      <c r="CV128" s="30"/>
      <c r="CW128" s="30"/>
      <c r="CX128" s="30"/>
      <c r="CY128" s="30"/>
      <c r="CZ128" s="30"/>
      <c r="DA128" s="30"/>
      <c r="DB128" s="30"/>
    </row>
    <row r="129" ht="16" customHeight="1" spans="1:1" x14ac:dyDescent="0.25">
      <c r="A129" s="68" t="s">
        <v>351</v>
      </c>
    </row>
    <row r="130" ht="16" customHeight="1" spans="1:1" x14ac:dyDescent="0.25">
      <c r="A130" s="72" t="s">
        <v>263</v>
      </c>
    </row>
    <row r="131" ht="16" customHeight="1" spans="1:106" x14ac:dyDescent="0.25">
      <c r="A131" s="72" t="s">
        <v>264</v>
      </c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  <c r="AU131" s="30"/>
      <c r="AV131" s="30"/>
      <c r="AW131" s="30"/>
      <c r="AX131" s="30"/>
      <c r="AY131" s="30"/>
      <c r="AZ131" s="30"/>
      <c r="BA131" s="30"/>
      <c r="BB131" s="30"/>
      <c r="BC131" s="30"/>
      <c r="BD131" s="30"/>
      <c r="BE131" s="30"/>
      <c r="BF131" s="30"/>
      <c r="BG131" s="30"/>
      <c r="BH131" s="30"/>
      <c r="BI131" s="30"/>
      <c r="BJ131" s="30"/>
      <c r="BK131" s="30"/>
      <c r="BL131" s="30"/>
      <c r="BM131" s="30"/>
      <c r="BN131" s="30"/>
      <c r="BO131" s="30"/>
      <c r="BP131" s="30"/>
      <c r="BQ131" s="30"/>
      <c r="BR131" s="30"/>
      <c r="BS131" s="30"/>
      <c r="BT131" s="30"/>
      <c r="BU131" s="30"/>
      <c r="BV131" s="30"/>
      <c r="BW131" s="30"/>
      <c r="BX131" s="30"/>
      <c r="BY131" s="30"/>
      <c r="BZ131" s="30"/>
      <c r="CA131" s="30"/>
      <c r="CB131" s="30"/>
      <c r="CC131" s="30"/>
      <c r="CD131" s="30"/>
      <c r="CE131" s="30"/>
      <c r="CF131" s="30"/>
      <c r="CG131" s="30"/>
      <c r="CH131" s="30"/>
      <c r="CI131" s="30"/>
      <c r="CJ131" s="30"/>
      <c r="CK131" s="30"/>
      <c r="CL131" s="30"/>
      <c r="CM131" s="30"/>
      <c r="CN131" s="30"/>
      <c r="CO131" s="30"/>
      <c r="CP131" s="30"/>
      <c r="CQ131" s="30"/>
      <c r="CR131" s="30"/>
      <c r="CS131" s="30"/>
      <c r="CT131" s="30"/>
      <c r="CU131" s="30"/>
      <c r="CV131" s="30"/>
      <c r="CW131" s="30"/>
      <c r="CX131" s="30"/>
      <c r="CY131" s="30"/>
      <c r="CZ131" s="30"/>
      <c r="DA131" s="30"/>
      <c r="DB131" s="30"/>
    </row>
    <row r="132" spans="1:106" x14ac:dyDescent="0.25">
      <c r="A132" s="72" t="s">
        <v>265</v>
      </c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  <c r="AZ132" s="30"/>
      <c r="BA132" s="30"/>
      <c r="BB132" s="30"/>
      <c r="BC132" s="30"/>
      <c r="BD132" s="30"/>
      <c r="BE132" s="30"/>
      <c r="BF132" s="30"/>
      <c r="BG132" s="30"/>
      <c r="BH132" s="30"/>
      <c r="BI132" s="30"/>
      <c r="BJ132" s="30"/>
      <c r="BK132" s="30"/>
      <c r="BL132" s="30"/>
      <c r="BM132" s="30"/>
      <c r="BN132" s="30"/>
      <c r="BO132" s="30"/>
      <c r="BP132" s="30"/>
      <c r="BQ132" s="30"/>
      <c r="BR132" s="30"/>
      <c r="BS132" s="30"/>
      <c r="BT132" s="30"/>
      <c r="BU132" s="30"/>
      <c r="BV132" s="30"/>
      <c r="BW132" s="30"/>
      <c r="BX132" s="30"/>
      <c r="BY132" s="30"/>
      <c r="BZ132" s="30"/>
      <c r="CA132" s="30"/>
      <c r="CB132" s="30"/>
      <c r="CC132" s="30"/>
      <c r="CD132" s="30"/>
      <c r="CE132" s="30"/>
      <c r="CF132" s="30"/>
      <c r="CG132" s="30"/>
      <c r="CH132" s="30"/>
      <c r="CI132" s="30"/>
      <c r="CJ132" s="30"/>
      <c r="CK132" s="30"/>
      <c r="CL132" s="30"/>
      <c r="CM132" s="30"/>
      <c r="CN132" s="30"/>
      <c r="CO132" s="30"/>
      <c r="CP132" s="30"/>
      <c r="CQ132" s="30"/>
      <c r="CR132" s="30"/>
      <c r="CS132" s="30"/>
      <c r="CT132" s="30"/>
      <c r="CU132" s="30"/>
      <c r="CV132" s="30"/>
      <c r="CW132" s="30"/>
      <c r="CX132" s="30"/>
      <c r="CY132" s="30"/>
      <c r="CZ132" s="30"/>
      <c r="DA132" s="30"/>
      <c r="DB132" s="30"/>
    </row>
    <row r="133" ht="16" customHeight="1" spans="1:106" x14ac:dyDescent="0.25">
      <c r="A133" s="72" t="s">
        <v>266</v>
      </c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  <c r="AW133" s="30"/>
      <c r="AX133" s="30"/>
      <c r="AY133" s="30"/>
      <c r="AZ133" s="30"/>
      <c r="BA133" s="30"/>
      <c r="BB133" s="30"/>
      <c r="BC133" s="30"/>
      <c r="BD133" s="30"/>
      <c r="BE133" s="30"/>
      <c r="BF133" s="30"/>
      <c r="BG133" s="30"/>
      <c r="BH133" s="30"/>
      <c r="BI133" s="30"/>
      <c r="BJ133" s="30"/>
      <c r="BK133" s="30"/>
      <c r="BL133" s="30"/>
      <c r="BM133" s="30"/>
      <c r="BN133" s="30"/>
      <c r="BO133" s="30"/>
      <c r="BP133" s="30"/>
      <c r="BQ133" s="30"/>
      <c r="BR133" s="30"/>
      <c r="BS133" s="30"/>
      <c r="BT133" s="30"/>
      <c r="BU133" s="30"/>
      <c r="BV133" s="30"/>
      <c r="BW133" s="30"/>
      <c r="BX133" s="30"/>
      <c r="BY133" s="30"/>
      <c r="BZ133" s="30"/>
      <c r="CA133" s="30"/>
      <c r="CB133" s="30"/>
      <c r="CC133" s="30"/>
      <c r="CD133" s="30"/>
      <c r="CE133" s="30"/>
      <c r="CF133" s="30"/>
      <c r="CG133" s="30"/>
      <c r="CH133" s="30"/>
      <c r="CI133" s="30"/>
      <c r="CJ133" s="30"/>
      <c r="CK133" s="30"/>
      <c r="CL133" s="30"/>
      <c r="CM133" s="30"/>
      <c r="CN133" s="30"/>
      <c r="CO133" s="30"/>
      <c r="CP133" s="30"/>
      <c r="CQ133" s="30"/>
      <c r="CR133" s="30"/>
      <c r="CS133" s="30"/>
      <c r="CT133" s="30"/>
      <c r="CU133" s="30"/>
      <c r="CV133" s="30"/>
      <c r="CW133" s="30"/>
      <c r="CX133" s="30"/>
      <c r="CY133" s="30"/>
      <c r="CZ133" s="30"/>
      <c r="DA133" s="30"/>
      <c r="DB133" s="30"/>
    </row>
    <row r="134" ht="16" customHeight="1" spans="1:106" x14ac:dyDescent="0.25">
      <c r="A134" s="68" t="s">
        <v>352</v>
      </c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/>
      <c r="AZ134" s="30"/>
      <c r="BA134" s="30"/>
      <c r="BB134" s="30"/>
      <c r="BC134" s="30"/>
      <c r="BD134" s="30"/>
      <c r="BE134" s="30"/>
      <c r="BF134" s="30"/>
      <c r="BG134" s="30"/>
      <c r="BH134" s="30"/>
      <c r="BI134" s="30"/>
      <c r="BJ134" s="30"/>
      <c r="BK134" s="30"/>
      <c r="BL134" s="30"/>
      <c r="BM134" s="30"/>
      <c r="BN134" s="30"/>
      <c r="BO134" s="30"/>
      <c r="BP134" s="30"/>
      <c r="BQ134" s="30"/>
      <c r="BR134" s="30"/>
      <c r="BS134" s="30"/>
      <c r="BT134" s="30"/>
      <c r="BU134" s="30"/>
      <c r="BV134" s="30"/>
      <c r="BW134" s="30"/>
      <c r="BX134" s="30"/>
      <c r="BY134" s="30"/>
      <c r="BZ134" s="30"/>
      <c r="CA134" s="30"/>
      <c r="CB134" s="30"/>
      <c r="CC134" s="30"/>
      <c r="CD134" s="30"/>
      <c r="CE134" s="30"/>
      <c r="CF134" s="30"/>
      <c r="CG134" s="30"/>
      <c r="CH134" s="30"/>
      <c r="CI134" s="30"/>
      <c r="CJ134" s="30"/>
      <c r="CK134" s="30"/>
      <c r="CL134" s="30"/>
      <c r="CM134" s="30"/>
      <c r="CN134" s="30"/>
      <c r="CO134" s="30"/>
      <c r="CP134" s="30"/>
      <c r="CQ134" s="30"/>
      <c r="CR134" s="30"/>
      <c r="CS134" s="30"/>
      <c r="CT134" s="30"/>
      <c r="CU134" s="30"/>
      <c r="CV134" s="30"/>
      <c r="CW134" s="30"/>
      <c r="CX134" s="30"/>
      <c r="CY134" s="30"/>
      <c r="CZ134" s="30"/>
      <c r="DA134" s="30"/>
      <c r="DB134" s="30"/>
    </row>
    <row r="135" ht="18" customHeight="1" spans="1:106" x14ac:dyDescent="0.25">
      <c r="A135" s="36" t="s">
        <v>268</v>
      </c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30"/>
      <c r="AY135" s="30"/>
      <c r="AZ135" s="30"/>
      <c r="BA135" s="30"/>
      <c r="BB135" s="30"/>
      <c r="BC135" s="30"/>
      <c r="BD135" s="30"/>
      <c r="BE135" s="30"/>
      <c r="BF135" s="30"/>
      <c r="BG135" s="30"/>
      <c r="BH135" s="30"/>
      <c r="BI135" s="30"/>
      <c r="BJ135" s="30"/>
      <c r="BK135" s="30"/>
      <c r="BL135" s="30"/>
      <c r="BM135" s="30"/>
      <c r="BN135" s="30"/>
      <c r="BO135" s="30"/>
      <c r="BP135" s="30"/>
      <c r="BQ135" s="30"/>
      <c r="BR135" s="30"/>
      <c r="BS135" s="30"/>
      <c r="BT135" s="30"/>
      <c r="BU135" s="30"/>
      <c r="BV135" s="30"/>
      <c r="BW135" s="30"/>
      <c r="BX135" s="30"/>
      <c r="BY135" s="30"/>
      <c r="BZ135" s="30"/>
      <c r="CA135" s="30"/>
      <c r="CB135" s="30"/>
      <c r="CC135" s="30"/>
      <c r="CD135" s="30"/>
      <c r="CE135" s="30"/>
      <c r="CF135" s="30"/>
      <c r="CG135" s="30"/>
      <c r="CH135" s="30"/>
      <c r="CI135" s="30"/>
      <c r="CJ135" s="30"/>
      <c r="CK135" s="30"/>
      <c r="CL135" s="30"/>
      <c r="CM135" s="30"/>
      <c r="CN135" s="30"/>
      <c r="CO135" s="30"/>
      <c r="CP135" s="30"/>
      <c r="CQ135" s="30"/>
      <c r="CR135" s="30"/>
      <c r="CS135" s="30"/>
      <c r="CT135" s="30"/>
      <c r="CU135" s="30"/>
      <c r="CV135" s="30"/>
      <c r="CW135" s="30"/>
      <c r="CX135" s="30"/>
      <c r="CY135" s="30"/>
      <c r="CZ135" s="30"/>
      <c r="DA135" s="30"/>
      <c r="DB135" s="30"/>
    </row>
    <row r="136" ht="18" customHeight="1" spans="1:106" x14ac:dyDescent="0.25">
      <c r="A136" s="36" t="s">
        <v>269</v>
      </c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30"/>
      <c r="BD136" s="30"/>
      <c r="BE136" s="30"/>
      <c r="BF136" s="30"/>
      <c r="BG136" s="30"/>
      <c r="BH136" s="30"/>
      <c r="BI136" s="30"/>
      <c r="BJ136" s="30"/>
      <c r="BK136" s="30"/>
      <c r="BL136" s="30"/>
      <c r="BM136" s="30"/>
      <c r="BN136" s="30"/>
      <c r="BO136" s="30"/>
      <c r="BP136" s="30"/>
      <c r="BQ136" s="30"/>
      <c r="BR136" s="30"/>
      <c r="BS136" s="30"/>
      <c r="BT136" s="30"/>
      <c r="BU136" s="30"/>
      <c r="BV136" s="30"/>
      <c r="BW136" s="30"/>
      <c r="BX136" s="30"/>
      <c r="BY136" s="30"/>
      <c r="BZ136" s="30"/>
      <c r="CA136" s="30"/>
      <c r="CB136" s="30"/>
      <c r="CC136" s="30"/>
      <c r="CD136" s="30"/>
      <c r="CE136" s="30"/>
      <c r="CF136" s="30"/>
      <c r="CG136" s="30"/>
      <c r="CH136" s="30"/>
      <c r="CI136" s="30"/>
      <c r="CJ136" s="30"/>
      <c r="CK136" s="30"/>
      <c r="CL136" s="30"/>
      <c r="CM136" s="30"/>
      <c r="CN136" s="30"/>
      <c r="CO136" s="30"/>
      <c r="CP136" s="30"/>
      <c r="CQ136" s="30"/>
      <c r="CR136" s="30"/>
      <c r="CS136" s="30"/>
      <c r="CT136" s="30"/>
      <c r="CU136" s="30"/>
      <c r="CV136" s="30"/>
      <c r="CW136" s="30"/>
      <c r="CX136" s="30"/>
      <c r="CY136" s="30"/>
      <c r="CZ136" s="30"/>
      <c r="DA136" s="30"/>
      <c r="DB136" s="30"/>
    </row>
    <row r="137" ht="18" customHeight="1" spans="1:106" x14ac:dyDescent="0.25">
      <c r="A137" s="36" t="s">
        <v>288</v>
      </c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  <c r="BA137" s="30"/>
      <c r="BB137" s="30"/>
      <c r="BC137" s="30"/>
      <c r="BD137" s="30"/>
      <c r="BE137" s="30"/>
      <c r="BF137" s="30"/>
      <c r="BG137" s="30"/>
      <c r="BH137" s="30"/>
      <c r="BI137" s="30"/>
      <c r="BJ137" s="30"/>
      <c r="BK137" s="30"/>
      <c r="BL137" s="30"/>
      <c r="BM137" s="30"/>
      <c r="BN137" s="30"/>
      <c r="BO137" s="30"/>
      <c r="BP137" s="30"/>
      <c r="BQ137" s="30"/>
      <c r="BR137" s="30"/>
      <c r="BS137" s="30"/>
      <c r="BT137" s="30"/>
      <c r="BU137" s="30"/>
      <c r="BV137" s="30"/>
      <c r="BW137" s="30"/>
      <c r="BX137" s="30"/>
      <c r="BY137" s="30"/>
      <c r="BZ137" s="30"/>
      <c r="CA137" s="30"/>
      <c r="CB137" s="30"/>
      <c r="CC137" s="30"/>
      <c r="CD137" s="30"/>
      <c r="CE137" s="30"/>
      <c r="CF137" s="30"/>
      <c r="CG137" s="30"/>
      <c r="CH137" s="30"/>
      <c r="CI137" s="30"/>
      <c r="CJ137" s="30"/>
      <c r="CK137" s="30"/>
      <c r="CL137" s="30"/>
      <c r="CM137" s="30"/>
      <c r="CN137" s="30"/>
      <c r="CO137" s="30"/>
      <c r="CP137" s="30"/>
      <c r="CQ137" s="30"/>
      <c r="CR137" s="30"/>
      <c r="CS137" s="30"/>
      <c r="CT137" s="30"/>
      <c r="CU137" s="30"/>
      <c r="CV137" s="30"/>
      <c r="CW137" s="30"/>
      <c r="CX137" s="30"/>
      <c r="CY137" s="30"/>
      <c r="CZ137" s="30"/>
      <c r="DA137" s="30"/>
      <c r="DB137" s="30"/>
    </row>
    <row r="138" ht="18" customHeight="1" spans="1:1" x14ac:dyDescent="0.25">
      <c r="A138" s="36" t="s">
        <v>272</v>
      </c>
    </row>
    <row r="139" ht="18" customHeight="1" spans="1:1" x14ac:dyDescent="0.25">
      <c r="A139" s="36" t="s">
        <v>289</v>
      </c>
    </row>
    <row r="140" ht="18" customHeight="1" spans="1:106" x14ac:dyDescent="0.25">
      <c r="A140" s="36" t="s">
        <v>271</v>
      </c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  <c r="BA140" s="30"/>
      <c r="BB140" s="30"/>
      <c r="BC140" s="30"/>
      <c r="BD140" s="30"/>
      <c r="BE140" s="30"/>
      <c r="BF140" s="30"/>
      <c r="BG140" s="30"/>
      <c r="BH140" s="30"/>
      <c r="BI140" s="30"/>
      <c r="BJ140" s="30"/>
      <c r="BK140" s="30"/>
      <c r="BL140" s="30"/>
      <c r="BM140" s="30"/>
      <c r="BN140" s="30"/>
      <c r="BO140" s="30"/>
      <c r="BP140" s="30"/>
      <c r="BQ140" s="30"/>
      <c r="BR140" s="30"/>
      <c r="BS140" s="30"/>
      <c r="BT140" s="30"/>
      <c r="BU140" s="30"/>
      <c r="BV140" s="30"/>
      <c r="BW140" s="30"/>
      <c r="BX140" s="30"/>
      <c r="BY140" s="30"/>
      <c r="BZ140" s="30"/>
      <c r="CA140" s="30"/>
      <c r="CB140" s="30"/>
      <c r="CC140" s="30"/>
      <c r="CD140" s="30"/>
      <c r="CE140" s="30"/>
      <c r="CF140" s="30"/>
      <c r="CG140" s="30"/>
      <c r="CH140" s="30"/>
      <c r="CI140" s="30"/>
      <c r="CJ140" s="30"/>
      <c r="CK140" s="30"/>
      <c r="CL140" s="30"/>
      <c r="CM140" s="30"/>
      <c r="CN140" s="30"/>
      <c r="CO140" s="30"/>
      <c r="CP140" s="30"/>
      <c r="CQ140" s="30"/>
      <c r="CR140" s="30"/>
      <c r="CS140" s="30"/>
      <c r="CT140" s="30"/>
      <c r="CU140" s="30"/>
      <c r="CV140" s="30"/>
      <c r="CW140" s="30"/>
      <c r="CX140" s="30"/>
      <c r="CY140" s="30"/>
      <c r="CZ140" s="30"/>
      <c r="DA140" s="30"/>
      <c r="DB140" s="30"/>
    </row>
    <row r="141" spans="3:106" x14ac:dyDescent="0.25"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  <c r="BA141" s="30"/>
      <c r="BB141" s="30"/>
      <c r="BC141" s="30"/>
      <c r="BD141" s="30"/>
      <c r="BE141" s="30"/>
      <c r="BF141" s="30"/>
      <c r="BG141" s="30"/>
      <c r="BH141" s="30"/>
      <c r="BI141" s="30"/>
      <c r="BJ141" s="30"/>
      <c r="BK141" s="30"/>
      <c r="BL141" s="30"/>
      <c r="BM141" s="30"/>
      <c r="BN141" s="30"/>
      <c r="BO141" s="30"/>
      <c r="BP141" s="30"/>
      <c r="BQ141" s="30"/>
      <c r="BR141" s="30"/>
      <c r="BS141" s="30"/>
      <c r="BT141" s="30"/>
      <c r="BU141" s="30"/>
      <c r="BV141" s="30"/>
      <c r="BW141" s="30"/>
      <c r="BX141" s="30"/>
      <c r="BY141" s="30"/>
      <c r="BZ141" s="30"/>
      <c r="CA141" s="30"/>
      <c r="CB141" s="30"/>
      <c r="CC141" s="30"/>
      <c r="CD141" s="30"/>
      <c r="CE141" s="30"/>
      <c r="CF141" s="30"/>
      <c r="CG141" s="30"/>
      <c r="CH141" s="30"/>
      <c r="CI141" s="30"/>
      <c r="CJ141" s="30"/>
      <c r="CK141" s="30"/>
      <c r="CL141" s="30"/>
      <c r="CM141" s="30"/>
      <c r="CN141" s="30"/>
      <c r="CO141" s="30"/>
      <c r="CP141" s="30"/>
      <c r="CQ141" s="30"/>
      <c r="CR141" s="30"/>
      <c r="CS141" s="30"/>
      <c r="CT141" s="30"/>
      <c r="CU141" s="30"/>
      <c r="CV141" s="30"/>
      <c r="CW141" s="30"/>
      <c r="CX141" s="30"/>
      <c r="CY141" s="30"/>
      <c r="CZ141" s="30"/>
      <c r="DA141" s="30"/>
      <c r="DB141" s="30"/>
    </row>
    <row r="142" spans="1:106" x14ac:dyDescent="0.25">
      <c r="A142" s="9" t="s">
        <v>353</v>
      </c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  <c r="BA142" s="30"/>
      <c r="BB142" s="30"/>
      <c r="BC142" s="30"/>
      <c r="BD142" s="30"/>
      <c r="BE142" s="30"/>
      <c r="BF142" s="30"/>
      <c r="BG142" s="30"/>
      <c r="BH142" s="30"/>
      <c r="BI142" s="30"/>
      <c r="BJ142" s="30"/>
      <c r="BK142" s="30"/>
      <c r="BL142" s="30"/>
      <c r="BM142" s="30"/>
      <c r="BN142" s="30"/>
      <c r="BO142" s="30"/>
      <c r="BP142" s="30"/>
      <c r="BQ142" s="30"/>
      <c r="BR142" s="30"/>
      <c r="BS142" s="30"/>
      <c r="BT142" s="30"/>
      <c r="BU142" s="30"/>
      <c r="BV142" s="30"/>
      <c r="BW142" s="30"/>
      <c r="BX142" s="30"/>
      <c r="BY142" s="30"/>
      <c r="BZ142" s="30"/>
      <c r="CA142" s="30"/>
      <c r="CB142" s="30"/>
      <c r="CC142" s="30"/>
      <c r="CD142" s="30"/>
      <c r="CE142" s="30"/>
      <c r="CF142" s="30"/>
      <c r="CG142" s="30"/>
      <c r="CH142" s="30"/>
      <c r="CI142" s="30"/>
      <c r="CJ142" s="30"/>
      <c r="CK142" s="30"/>
      <c r="CL142" s="30"/>
      <c r="CM142" s="30"/>
      <c r="CN142" s="30"/>
      <c r="CO142" s="30"/>
      <c r="CP142" s="30"/>
      <c r="CQ142" s="30"/>
      <c r="CR142" s="30"/>
      <c r="CS142" s="30"/>
      <c r="CT142" s="30"/>
      <c r="CU142" s="30"/>
      <c r="CV142" s="30"/>
      <c r="CW142" s="30"/>
      <c r="CX142" s="30"/>
      <c r="CY142" s="30"/>
      <c r="CZ142" s="30"/>
      <c r="DA142" s="30"/>
      <c r="DB142" s="30"/>
    </row>
    <row r="143" ht="14" customHeight="1" spans="1:106" x14ac:dyDescent="0.25">
      <c r="A143" s="33" t="s">
        <v>354</v>
      </c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  <c r="AX143" s="30"/>
      <c r="AY143" s="30"/>
      <c r="AZ143" s="30"/>
      <c r="BA143" s="30"/>
      <c r="BB143" s="30"/>
      <c r="BC143" s="30"/>
      <c r="BD143" s="30"/>
      <c r="BE143" s="30"/>
      <c r="BF143" s="30"/>
      <c r="BG143" s="30"/>
      <c r="BH143" s="30"/>
      <c r="BI143" s="30"/>
      <c r="BJ143" s="30"/>
      <c r="BK143" s="30"/>
      <c r="BL143" s="30"/>
      <c r="BM143" s="30"/>
      <c r="BN143" s="30"/>
      <c r="BO143" s="30"/>
      <c r="BP143" s="30"/>
      <c r="BQ143" s="30"/>
      <c r="BR143" s="30"/>
      <c r="BS143" s="30"/>
      <c r="BT143" s="30"/>
      <c r="BU143" s="30"/>
      <c r="BV143" s="30"/>
      <c r="BW143" s="30"/>
      <c r="BX143" s="30"/>
      <c r="BY143" s="30"/>
      <c r="BZ143" s="30"/>
      <c r="CA143" s="30"/>
      <c r="CB143" s="30"/>
      <c r="CC143" s="30"/>
      <c r="CD143" s="30"/>
      <c r="CE143" s="30"/>
      <c r="CF143" s="30"/>
      <c r="CG143" s="30"/>
      <c r="CH143" s="30"/>
      <c r="CI143" s="30"/>
      <c r="CJ143" s="30"/>
      <c r="CK143" s="30"/>
      <c r="CL143" s="30"/>
      <c r="CM143" s="30"/>
      <c r="CN143" s="30"/>
      <c r="CO143" s="30"/>
      <c r="CP143" s="30"/>
      <c r="CQ143" s="30"/>
      <c r="CR143" s="30"/>
      <c r="CS143" s="30"/>
      <c r="CT143" s="30"/>
      <c r="CU143" s="30"/>
      <c r="CV143" s="30"/>
      <c r="CW143" s="30"/>
      <c r="CX143" s="30"/>
      <c r="CY143" s="30"/>
      <c r="CZ143" s="30"/>
      <c r="DA143" s="30"/>
      <c r="DB143" s="30"/>
    </row>
    <row r="144" spans="1:106" x14ac:dyDescent="0.25">
      <c r="A144" s="17" t="s">
        <v>355</v>
      </c>
      <c r="B144" s="17">
        <v>15</v>
      </c>
      <c r="C144" s="46">
        <f>=IFERROR(ROUND((C19+C23)/$B144,0),0)</f>
        <v>0</v>
      </c>
      <c r="D144" s="46">
        <f>=IFERROR(ROUND((D19+D23)/$B144,0),0)</f>
        <v>0</v>
      </c>
      <c r="E144" s="46">
        <f>=IFERROR(ROUND((E19+E23)/$B144,0),0)</f>
        <v>0</v>
      </c>
      <c r="F144" s="46">
        <f>=IFERROR(ROUND((F19+F23)/$B144,0),0)</f>
        <v>0</v>
      </c>
      <c r="G144" s="46">
        <f>=IFERROR(ROUND((G19+G23)/$B144,0),0)</f>
        <v>0</v>
      </c>
      <c r="H144" s="46">
        <f>=IFERROR(ROUND((H19+H23)/$B144,0),0)</f>
        <v>0</v>
      </c>
      <c r="I144" s="46">
        <f>=IFERROR(ROUND((I19+I23)/$B144,0),0)</f>
        <v>0</v>
      </c>
      <c r="J144" s="46">
        <f>=IFERROR(ROUND((J19+J23)/$B144,0),0)</f>
        <v>0</v>
      </c>
      <c r="K144" s="46">
        <f>=IFERROR(ROUND((K19+K23)/$B144,0),0)</f>
        <v>0</v>
      </c>
      <c r="L144" s="46">
        <f>=IFERROR(ROUND((L19+L23)/$B144,0),0)</f>
        <v>0</v>
      </c>
      <c r="M144" s="46">
        <f>=IFERROR(ROUND((M19+M23)/$B144,0),0)</f>
        <v>0</v>
      </c>
      <c r="N144" s="46">
        <f>=IFERROR(ROUND((N19+N23)/$B144,0),0)</f>
        <v>0</v>
      </c>
      <c r="O144" s="46">
        <f>=IFERROR(ROUND((O19+O23)/$B144,0),0)</f>
        <v>0</v>
      </c>
      <c r="P144" s="46">
        <f>=IFERROR(ROUND((P19+P23)/$B144,0),0)</f>
        <v>0</v>
      </c>
      <c r="Q144" s="46">
        <f>=IFERROR(ROUND((Q19+Q23)/$B144,0),0)</f>
        <v>0</v>
      </c>
      <c r="R144" s="46">
        <f>=IFERROR(ROUND((R19+R23)/$B144,0),0)</f>
        <v>0</v>
      </c>
      <c r="S144" s="46">
        <f>=IFERROR(ROUND((S19+S23)/$B144,0),0)</f>
        <v>0</v>
      </c>
      <c r="T144" s="46">
        <f>=IFERROR(ROUND((T19+T23)/$B144,0),0)</f>
        <v>0</v>
      </c>
      <c r="U144" s="46">
        <f>=IFERROR(ROUND((U19+U23)/$B144,0),0)</f>
        <v>0</v>
      </c>
      <c r="V144" s="46">
        <f>=IFERROR(ROUND((V19+V23)/$B144,0),0)</f>
        <v>0</v>
      </c>
      <c r="W144" s="46">
        <f>=IFERROR(ROUND((W19+W23)/$B144,0),0)</f>
        <v>0</v>
      </c>
      <c r="X144" s="46">
        <f>=IFERROR(ROUND((X19+X23)/$B144,0),0)</f>
        <v>0</v>
      </c>
      <c r="Y144" s="46">
        <f>=IFERROR(ROUND((Y19+Y23)/$B144,0),0)</f>
        <v>0</v>
      </c>
      <c r="Z144" s="46">
        <f>=IFERROR(ROUND((Z19+Z23)/$B144,0),0)</f>
        <v>0</v>
      </c>
      <c r="AA144" s="46">
        <f>=IFERROR(ROUND((AA19+AA23)/$B144,0),0)</f>
        <v>0</v>
      </c>
      <c r="AB144" s="46">
        <f>=IFERROR(ROUND((AB19+AB23)/$B144,0),0)</f>
        <v>0</v>
      </c>
      <c r="AC144" s="46">
        <f>=IFERROR(ROUND((AC19+AC23)/$B144,0),0)</f>
        <v>0</v>
      </c>
      <c r="AD144" s="46">
        <f>=IFERROR(ROUND((AD19+AD23)/$B144,0),0)</f>
        <v>0</v>
      </c>
      <c r="AE144" s="46">
        <f>=IFERROR(ROUND((AE19+AE23)/$B144,0),0)</f>
        <v>0</v>
      </c>
      <c r="AF144" s="46">
        <f>=IFERROR(ROUND((AF19+AF23)/$B144,0),0)</f>
        <v>0</v>
      </c>
      <c r="AG144" s="46">
        <f>=IFERROR(ROUND((AG19+AG23)/$B144,0),0)</f>
        <v>4</v>
      </c>
      <c r="AH144" s="46">
        <f>=IFERROR(ROUND((AH19+AH23)/$B144,0),0)</f>
        <v>4</v>
      </c>
      <c r="AI144" s="46">
        <f>=IFERROR(ROUND((AI19+AI23)/$B144,0),0)</f>
        <v>4</v>
      </c>
      <c r="AJ144" s="46">
        <f>=IFERROR(ROUND((AJ19+AJ23)/$B144,0),0)</f>
        <v>4</v>
      </c>
      <c r="AK144" s="46">
        <f>=IFERROR(ROUND((AK19+AK23)/$B144,0),0)</f>
        <v>4</v>
      </c>
      <c r="AL144" s="46">
        <f>=IFERROR(ROUND((AL19+AL23)/$B144,0),0)</f>
        <v>4</v>
      </c>
      <c r="AM144" s="46">
        <f>=IFERROR(ROUND((AM19+AM23)/$B144,0),0)</f>
        <v>4</v>
      </c>
      <c r="AN144" s="46">
        <f>=IFERROR(ROUND((AN19+AN23)/$B144,0),0)</f>
        <v>4</v>
      </c>
      <c r="AO144" s="46">
        <f>=IFERROR(ROUND((AO19+AO23)/$B144,0),0)</f>
        <v>6</v>
      </c>
      <c r="AP144" s="46">
        <f>=IFERROR(ROUND((AP19+AP23)/$B144,0),0)</f>
        <v>6</v>
      </c>
      <c r="AQ144" s="46">
        <f>=IFERROR(ROUND((AQ19+AQ23)/$B144,0),0)</f>
        <v>6</v>
      </c>
      <c r="AR144" s="46">
        <f>=IFERROR(ROUND((AR19+AR23)/$B144,0),0)</f>
        <v>7</v>
      </c>
      <c r="AS144" s="46">
        <f>=IFERROR(ROUND((AS19+AS23)/$B144,0),0)</f>
        <v>7</v>
      </c>
      <c r="AT144" s="46">
        <f>=IFERROR(ROUND((AT19+AT23)/$B144,0),0)</f>
        <v>7</v>
      </c>
      <c r="AU144" s="46">
        <f>=IFERROR(ROUND((AU19+AU23)/$B144,0),0)</f>
        <v>7</v>
      </c>
      <c r="AV144" s="46">
        <f>=IFERROR(ROUND((AV19+AV23)/$B144,0),0)</f>
        <v>7</v>
      </c>
      <c r="AW144" s="46">
        <f>=IFERROR(ROUND((AW19+AW23)/$B144,0),0)</f>
        <v>7</v>
      </c>
      <c r="AX144" s="46">
        <f>=IFERROR(ROUND((AX19+AX23)/$B144,0),0)</f>
        <v>7</v>
      </c>
      <c r="AY144" s="46">
        <f>=IFERROR(ROUND((AY19+AY23)/$B144,0),0)</f>
        <v>8</v>
      </c>
      <c r="AZ144" s="46">
        <f>=IFERROR(ROUND((AZ19+AZ23)/$B144,0),0)</f>
        <v>7</v>
      </c>
      <c r="BA144" s="46">
        <f>=IFERROR(ROUND((BA19+BA23)/$B144,0),0)</f>
        <v>7</v>
      </c>
      <c r="BB144" s="46">
        <f>=IFERROR(ROUND((BB19+BB23)/$B144,0),0)</f>
        <v>7</v>
      </c>
      <c r="BC144" s="46">
        <f>=IFERROR(ROUND((BC19+BC23)/$B144,0),0)</f>
        <v>8</v>
      </c>
      <c r="BD144" s="73">
        <f>=IFERROR(ROUND((BD19+BD23)/$B144,0),0)</f>
        <v>9</v>
      </c>
      <c r="BE144" s="46">
        <f>=IFERROR(ROUND((BE19+BE23)/$B144,0),0)</f>
        <v>9</v>
      </c>
      <c r="BF144" s="46">
        <f>=IFERROR(ROUND((BF19+BF23)/$B144,0),0)</f>
        <v>9</v>
      </c>
      <c r="BG144" s="46">
        <f>=IFERROR(ROUND((BG19+BG23)/$B144,0),0)</f>
        <v>9</v>
      </c>
      <c r="BH144" s="46">
        <f>=IFERROR(ROUND((BH19+BH23)/$B144,0),0)</f>
        <v>8</v>
      </c>
      <c r="BI144" s="46">
        <f>=IFERROR(ROUND((BI19+BI23)/$B144,0),0)</f>
        <v>8</v>
      </c>
      <c r="BJ144" s="46">
        <f>=IFERROR(ROUND((BJ19+BJ23)/$B144,0),0)</f>
        <v>8</v>
      </c>
      <c r="BK144" s="46">
        <f>=IFERROR(ROUND((BK19+BK23)/$B144,0),0)</f>
        <v>8</v>
      </c>
      <c r="BL144" s="73">
        <f>=IFERROR(ROUND((BL19+BL23)/$B144,0),0)</f>
        <v>9</v>
      </c>
      <c r="BM144" s="46">
        <f>=IFERROR(ROUND((BM19+BM23)/$B144,0),0)</f>
        <v>9</v>
      </c>
      <c r="BN144" s="46">
        <f>=IFERROR(ROUND((BN19+BN23)/$B144,0),0)</f>
        <v>9</v>
      </c>
      <c r="BO144" s="46">
        <f>=IFERROR(ROUND((BO19+BO23)/$B144,0),0)</f>
        <v>9</v>
      </c>
      <c r="BP144" s="46">
        <f>=IFERROR(ROUND((BP19+BP23)/$B144,0),0)</f>
        <v>9</v>
      </c>
      <c r="BQ144" s="46">
        <f>=IFERROR(ROUND((BQ19+BQ23)/$B144,0),0)</f>
        <v>9</v>
      </c>
      <c r="BR144" s="46">
        <f>=IFERROR(ROUND((BR19+BR23)/$B144,0),0)</f>
        <v>9</v>
      </c>
      <c r="BS144" s="46">
        <f>=IFERROR(ROUND((BS19+BS23)/$B144,0),0)</f>
        <v>9</v>
      </c>
      <c r="BT144" s="46">
        <f>=IFERROR(ROUND((BT19+BT23)/$B144,0),0)</f>
        <v>9</v>
      </c>
      <c r="BU144" s="46">
        <f>=IFERROR(ROUND((BU19+BU23)/$B144,0),0)</f>
        <v>9</v>
      </c>
      <c r="BV144" s="46">
        <f>=IFERROR(ROUND((BV19+BV23)/$B144,0),0)</f>
        <v>9</v>
      </c>
      <c r="BW144" s="46">
        <f>=IFERROR(ROUND((BW19+BW23)/$B144,0),0)</f>
        <v>8</v>
      </c>
      <c r="BX144" s="46">
        <f>=IFERROR(ROUND((BX19+BX23)/$B144,0),0)</f>
        <v>8</v>
      </c>
      <c r="BY144" s="73">
        <f>=IFERROR(ROUND((BY19+BY23)/$B144,0),0)</f>
        <v>8</v>
      </c>
      <c r="BZ144" s="46">
        <f>=IFERROR(ROUND((BZ19+BZ23)/$B144,0),0)</f>
        <v>8</v>
      </c>
      <c r="CA144" s="46">
        <f>=IFERROR(ROUND((CA19+CA23)/$B144,0),0)</f>
        <v>8</v>
      </c>
      <c r="CB144" s="46">
        <f>=IFERROR(ROUND((CB19+CB23)/$B144,0),0)</f>
        <v>8</v>
      </c>
      <c r="CC144" s="46">
        <f>=IFERROR(ROUND((CC19+CC23)/$B144,0),0)</f>
        <v>8</v>
      </c>
      <c r="CD144" s="46">
        <f>=IFERROR(ROUND((CD19+CD23)/$B144,0),0)</f>
        <v>8</v>
      </c>
      <c r="CE144" s="46">
        <f>=IFERROR(ROUND((CE19+CE23)/$B144,0),0)</f>
        <v>8</v>
      </c>
      <c r="CF144" s="46">
        <f>=IFERROR(ROUND((CF19+CF23)/$B144,0),0)</f>
        <v>8</v>
      </c>
      <c r="CG144" s="46">
        <f>=IFERROR(ROUND((CG19+CG23)/$B144,0),0)</f>
        <v>8</v>
      </c>
      <c r="CH144" s="46">
        <f>=IFERROR(ROUND((CH19+CH23)/$B144,0),0)</f>
        <v>8</v>
      </c>
      <c r="CI144" s="46">
        <f>=IFERROR(ROUND((CI19+CI23)/$B144,0),0)</f>
        <v>8</v>
      </c>
      <c r="CJ144" s="46">
        <f>=IFERROR(ROUND((CJ19+CJ23)/$B144,0),0)</f>
        <v>7</v>
      </c>
      <c r="CK144" s="46">
        <f>=IFERROR(ROUND((CK19+CK23)/$B144,0),0)</f>
        <v>7</v>
      </c>
      <c r="CL144" s="46">
        <f>=IFERROR(ROUND((CL19+CL23)/$B144,0),0)</f>
        <v>7</v>
      </c>
      <c r="CM144" s="46">
        <f>=IFERROR(ROUND((CM19+CM23)/$B144,0),0)</f>
        <v>7</v>
      </c>
      <c r="CN144" s="46">
        <f>=IFERROR(ROUND((CN19+CN23)/$B144,0),0)</f>
        <v>7</v>
      </c>
      <c r="CO144" s="46">
        <f>=IFERROR(ROUND((CO19+CO23)/$B144,0),0)</f>
        <v>7</v>
      </c>
      <c r="CP144" s="46">
        <f>=IFERROR(ROUND((CP19+CP23)/$B144,0),0)</f>
        <v>7</v>
      </c>
      <c r="CQ144" s="46">
        <f>=IFERROR(ROUND((CQ19+CQ23)/$B144,0),0)</f>
        <v>7</v>
      </c>
      <c r="CR144" s="46">
        <f>=IFERROR(ROUND((CR19+CR23)/$B144,0),0)</f>
        <v>7</v>
      </c>
      <c r="CS144" s="46">
        <f>=IFERROR(ROUND((CS19+CS23)/$B144,0),0)</f>
        <v>7</v>
      </c>
      <c r="CT144" s="73">
        <f>=IFERROR(ROUND((CT19+CT23)/$B144,0),0)</f>
        <v>7</v>
      </c>
      <c r="CU144" s="46">
        <f>=IFERROR(ROUND((CU19+CU23)/$B144,0),0)</f>
        <v>6</v>
      </c>
      <c r="CV144" s="46">
        <f>=IFERROR(ROUND((CV19+CV23)/$B144,0),0)</f>
        <v>6</v>
      </c>
      <c r="CW144" s="73">
        <f>=IFERROR(ROUND((CW19+CW23)/$B144,0),0)</f>
        <v>6</v>
      </c>
      <c r="CX144" s="73">
        <f>=IFERROR(ROUND((CX19+CX23)/$B144,0),0)</f>
        <v>6</v>
      </c>
      <c r="CY144" s="46">
        <f>=IFERROR(ROUND((CY19+CY23)/$B144,0),0)</f>
        <v>6</v>
      </c>
      <c r="CZ144" s="46">
        <f>=IFERROR(ROUND((CZ19+CZ23)/$B144,0),0)</f>
        <v>6</v>
      </c>
      <c r="DA144" s="46">
        <f>=IFERROR(ROUND((DA19+DA23)/$B144,0),0)</f>
        <v>6</v>
      </c>
      <c r="DB144" s="46">
        <f>=IFERROR(ROUND((DB19+DB23)/$B144,0),0)</f>
        <v>6</v>
      </c>
    </row>
    <row r="145" spans="1:106" x14ac:dyDescent="0.25">
      <c r="A145" s="17" t="s">
        <v>356</v>
      </c>
      <c r="B145" s="17">
        <v>15</v>
      </c>
      <c r="C145" s="46">
        <f>=IFERROR(ROUND((C21+C22)/$B145,0),0)</f>
        <v>0</v>
      </c>
      <c r="D145" s="46">
        <f>=IFERROR(ROUND((D21+D22)/$B145,0),0)</f>
        <v>0</v>
      </c>
      <c r="E145" s="46">
        <f>=IFERROR(ROUND((E21+E22)/$B145,0),0)</f>
        <v>0</v>
      </c>
      <c r="F145" s="46">
        <f>=IFERROR(ROUND((F21+F22)/$B145,0),0)</f>
        <v>0</v>
      </c>
      <c r="G145" s="46">
        <f>=IFERROR(ROUND((G21+G22)/$B145,0),0)</f>
        <v>0</v>
      </c>
      <c r="H145" s="46">
        <f>=IFERROR(ROUND((H21+H22)/$B145,0),0)</f>
        <v>0</v>
      </c>
      <c r="I145" s="46">
        <f>=IFERROR(ROUND((I21+I22)/$B145,0),0)</f>
        <v>0</v>
      </c>
      <c r="J145" s="46">
        <f>=IFERROR(ROUND((J21+J22)/$B145,0),0)</f>
        <v>0</v>
      </c>
      <c r="K145" s="46">
        <f>=IFERROR(ROUND((K21+K22)/$B145,0),0)</f>
        <v>0</v>
      </c>
      <c r="L145" s="46">
        <f>=IFERROR(ROUND((L21+L22)/$B145,0),0)</f>
        <v>0</v>
      </c>
      <c r="M145" s="46">
        <f>=IFERROR(ROUND((M21+M22)/$B145,0),0)</f>
        <v>0</v>
      </c>
      <c r="N145" s="46">
        <f>=IFERROR(ROUND((N21+N22)/$B145,0),0)</f>
        <v>0</v>
      </c>
      <c r="O145" s="46">
        <f>=IFERROR(ROUND((O21+O22)/$B145,0),0)</f>
        <v>0</v>
      </c>
      <c r="P145" s="46">
        <f>=IFERROR(ROUND((P21+P22)/$B145,0),0)</f>
        <v>0</v>
      </c>
      <c r="Q145" s="46">
        <f>=IFERROR(ROUND((Q21+Q22)/$B145,0),0)</f>
        <v>0</v>
      </c>
      <c r="R145" s="46">
        <f>=IFERROR(ROUND((R21+R22)/$B145,0),0)</f>
        <v>0</v>
      </c>
      <c r="S145" s="46">
        <f>=IFERROR(ROUND((S21+S22)/$B145,0),0)</f>
        <v>0</v>
      </c>
      <c r="T145" s="46">
        <f>=IFERROR(ROUND((T21+T22)/$B145,0),0)</f>
        <v>0</v>
      </c>
      <c r="U145" s="46">
        <f>=IFERROR(ROUND((U21+U22)/$B145,0),0)</f>
        <v>0</v>
      </c>
      <c r="V145" s="46">
        <f>=IFERROR(ROUND((V21+V22)/$B145,0),0)</f>
        <v>0</v>
      </c>
      <c r="W145" s="46">
        <f>=IFERROR(ROUND((W21+W22)/$B145,0),0)</f>
        <v>0</v>
      </c>
      <c r="X145" s="46">
        <f>=IFERROR(ROUND((X21+X22)/$B145,0),0)</f>
        <v>0</v>
      </c>
      <c r="Y145" s="46">
        <f>=IFERROR(ROUND((Y21+Y22)/$B145,0),0)</f>
        <v>0</v>
      </c>
      <c r="Z145" s="46">
        <f>=IFERROR(ROUND((Z21+Z22)/$B145,0),0)</f>
        <v>0</v>
      </c>
      <c r="AA145" s="46">
        <f>=IFERROR(ROUND((AA21+AA22)/$B145,0),0)</f>
        <v>0</v>
      </c>
      <c r="AB145" s="46">
        <f>=IFERROR(ROUND((AB21+AB22)/$B145,0),0)</f>
        <v>0</v>
      </c>
      <c r="AC145" s="46">
        <f>=IFERROR(ROUND((AC21+AC22)/$B145,0),0)</f>
        <v>0</v>
      </c>
      <c r="AD145" s="46">
        <f>=IFERROR(ROUND((AD21+AD22)/$B145,0),0)</f>
        <v>0</v>
      </c>
      <c r="AE145" s="46">
        <f>=IFERROR(ROUND((AE21+AE22)/$B145,0),0)</f>
        <v>0</v>
      </c>
      <c r="AF145" s="46">
        <f>=IFERROR(ROUND((AF21+AF22)/$B145,0),0)</f>
        <v>0</v>
      </c>
      <c r="AG145" s="46">
        <f>=IFERROR(ROUND((AG21+AG22)/$B145,0),0)</f>
        <v>0</v>
      </c>
      <c r="AH145" s="46">
        <f>=IFERROR(ROUND((AH21+AH22)/$B145,0),0)</f>
        <v>0</v>
      </c>
      <c r="AI145" s="46">
        <f>=IFERROR(ROUND((AI21+AI22)/$B145,0),0)</f>
        <v>0</v>
      </c>
      <c r="AJ145" s="46">
        <f>=IFERROR(ROUND((AJ21+AJ22)/$B145,0),0)</f>
        <v>0</v>
      </c>
      <c r="AK145" s="46">
        <f>=IFERROR(ROUND((AK21+AK22)/$B145,0),0)</f>
        <v>0</v>
      </c>
      <c r="AL145" s="46">
        <f>=IFERROR(ROUND((AL21+AL22)/$B145,0),0)</f>
        <v>0</v>
      </c>
      <c r="AM145" s="46">
        <f>=IFERROR(ROUND((AM21+AM22)/$B145,0),0)</f>
        <v>0</v>
      </c>
      <c r="AN145" s="46">
        <f>=IFERROR(ROUND((AN21+AN22)/$B145,0),0)</f>
        <v>0</v>
      </c>
      <c r="AO145" s="46">
        <f>=IFERROR(ROUND((AO21+AO22)/$B145,0),0)</f>
        <v>0</v>
      </c>
      <c r="AP145" s="46">
        <f>=IFERROR(ROUND((AP21+AP22)/$B145,0),0)</f>
        <v>0</v>
      </c>
      <c r="AQ145" s="46">
        <f>=IFERROR(ROUND((AQ21+AQ22)/$B145,0),0)</f>
        <v>0</v>
      </c>
      <c r="AR145" s="46">
        <f>=IFERROR(ROUND((AR21+AR22)/$B145,0),0)</f>
        <v>0</v>
      </c>
      <c r="AS145" s="46">
        <f>=IFERROR(ROUND((AS21+AS22)/$B145,0),0)</f>
        <v>0</v>
      </c>
      <c r="AT145" s="46">
        <f>=IFERROR(ROUND((AT21+AT22)/$B145,0),0)</f>
        <v>0</v>
      </c>
      <c r="AU145" s="46">
        <f>=IFERROR(ROUND((AU21+AU22)/$B145,0),0)</f>
        <v>0</v>
      </c>
      <c r="AV145" s="46">
        <f>=IFERROR(ROUND((AV21+AV22)/$B145,0),0)</f>
        <v>0</v>
      </c>
      <c r="AW145" s="46">
        <f>=IFERROR(ROUND((AW21+AW22)/$B145,0),0)</f>
        <v>0</v>
      </c>
      <c r="AX145" s="46">
        <f>=IFERROR(ROUND((AX21+AX22)/$B145,0),0)</f>
        <v>0</v>
      </c>
      <c r="AY145" s="46">
        <f>=IFERROR(ROUND((AY21+AY22)/$B145,0),0)</f>
        <v>0</v>
      </c>
      <c r="AZ145" s="46">
        <f>=IFERROR(ROUND((AZ21+AZ22)/$B145,0),0)</f>
        <v>0</v>
      </c>
      <c r="BA145" s="46">
        <f>=IFERROR(ROUND((BA21+BA22)/$B145,0),0)</f>
        <v>0</v>
      </c>
      <c r="BB145" s="46">
        <f>=IFERROR(ROUND((BB21+BB22)/$B145,0),0)</f>
        <v>0</v>
      </c>
      <c r="BC145" s="46">
        <f>=IFERROR(ROUND((BC21+BC22)/$B145,0),0)</f>
        <v>0</v>
      </c>
      <c r="BD145" s="46">
        <f>=IFERROR(ROUND((BD21+BD22)/$B145,0),0)</f>
        <v>0</v>
      </c>
      <c r="BE145" s="46">
        <f>=IFERROR(ROUND((BE21+BE22)/$B145,0),0)</f>
        <v>0</v>
      </c>
      <c r="BF145" s="46">
        <f>=IFERROR(ROUND((BF21+BF22)/$B145,0),0)</f>
        <v>0</v>
      </c>
      <c r="BG145" s="46">
        <f>=IFERROR(ROUND((BG21+BG22)/$B145,0),0)</f>
        <v>0</v>
      </c>
      <c r="BH145" s="46">
        <f>=IFERROR(ROUND((BH21+BH22)/$B145,0),0)</f>
        <v>0</v>
      </c>
      <c r="BI145" s="46">
        <f>=IFERROR(ROUND((BI21+BI22)/$B145,0),0)</f>
        <v>0</v>
      </c>
      <c r="BJ145" s="46">
        <f>=IFERROR(ROUND((BJ21+BJ22)/$B145,0),0)</f>
        <v>0</v>
      </c>
      <c r="BK145" s="46">
        <f>=IFERROR(ROUND((BK21+BK22)/$B145,0),0)</f>
        <v>0</v>
      </c>
      <c r="BL145" s="46">
        <f>=IFERROR(ROUND((BL21+BL22)/$B145,0),0)</f>
        <v>0</v>
      </c>
      <c r="BM145" s="46">
        <f>=IFERROR(ROUND((BM21+BM22)/$B145,0),0)</f>
        <v>0</v>
      </c>
      <c r="BN145" s="46">
        <f>=IFERROR(ROUND((BN21+BN22)/$B145,0),0)</f>
        <v>0</v>
      </c>
      <c r="BO145" s="46">
        <f>=IFERROR(ROUND((BO21+BO22)/$B145,0),0)</f>
        <v>0</v>
      </c>
      <c r="BP145" s="46">
        <f>=IFERROR(ROUND((BP21+BP22)/$B145,0),0)</f>
        <v>0</v>
      </c>
      <c r="BQ145" s="46">
        <f>=IFERROR(ROUND((BQ21+BQ22)/$B145,0),0)</f>
        <v>0</v>
      </c>
      <c r="BR145" s="46">
        <f>=IFERROR(ROUND((BR21+BR22)/$B145,0),0)</f>
        <v>0</v>
      </c>
      <c r="BS145" s="46">
        <f>=IFERROR(ROUND((BS21+BS22)/$B145,0),0)</f>
        <v>0</v>
      </c>
      <c r="BT145" s="46">
        <f>=IFERROR(ROUND((BT21+BT22)/$B145,0),0)</f>
        <v>0</v>
      </c>
      <c r="BU145" s="46">
        <f>=IFERROR(ROUND((BU21+BU22)/$B145,0),0)</f>
        <v>0</v>
      </c>
      <c r="BV145" s="46">
        <f>=IFERROR(ROUND((BV21+BV22)/$B145,0),0)</f>
        <v>0</v>
      </c>
      <c r="BW145" s="46">
        <f>=IFERROR(ROUND((BW21+BW22)/$B145,0),0)</f>
        <v>0</v>
      </c>
      <c r="BX145" s="46">
        <f>=IFERROR(ROUND((BX21+BX22)/$B145,0),0)</f>
        <v>0</v>
      </c>
      <c r="BY145" s="46">
        <f>=IFERROR(ROUND((BY21+BY22)/$B145,0),0)</f>
        <v>0</v>
      </c>
      <c r="BZ145" s="46">
        <f>=IFERROR(ROUND((BZ21+BZ22)/$B145,0),0)</f>
        <v>0</v>
      </c>
      <c r="CA145" s="46">
        <f>=IFERROR(ROUND((CA21+CA22)/$B145,0),0)</f>
        <v>0</v>
      </c>
      <c r="CB145" s="46">
        <f>=IFERROR(ROUND((CB21+CB22)/$B145,0),0)</f>
        <v>0</v>
      </c>
      <c r="CC145" s="46">
        <f>=IFERROR(ROUND((CC21+CC22)/$B145,0),0)</f>
        <v>0</v>
      </c>
      <c r="CD145" s="46">
        <f>=IFERROR(ROUND((CD21+CD22)/$B145,0),0)</f>
        <v>0</v>
      </c>
      <c r="CE145" s="46">
        <f>=IFERROR(ROUND((CE21+CE22)/$B145,0),0)</f>
        <v>0</v>
      </c>
      <c r="CF145" s="46">
        <f>=IFERROR(ROUND((CF21+CF22)/$B145,0),0)</f>
        <v>0</v>
      </c>
      <c r="CG145" s="46">
        <f>=IFERROR(ROUND((CG21+CG22)/$B145,0),0)</f>
        <v>0</v>
      </c>
      <c r="CH145" s="46">
        <f>=IFERROR(ROUND((CH21+CH22)/$B145,0),0)</f>
        <v>0</v>
      </c>
      <c r="CI145" s="46">
        <f>=IFERROR(ROUND((CI21+CI22)/$B145,0),0)</f>
        <v>0</v>
      </c>
      <c r="CJ145" s="46">
        <f>=IFERROR(ROUND((CJ21+CJ22)/$B145,0),0)</f>
        <v>0</v>
      </c>
      <c r="CK145" s="46">
        <f>=IFERROR(ROUND((CK21+CK22)/$B145,0),0)</f>
        <v>0</v>
      </c>
      <c r="CL145" s="46">
        <f>=IFERROR(ROUND((CL21+CL22)/$B145,0),0)</f>
        <v>0</v>
      </c>
      <c r="CM145" s="46">
        <f>=IFERROR(ROUND((CM21+CM22)/$B145,0),0)</f>
        <v>0</v>
      </c>
      <c r="CN145" s="46">
        <f>=IFERROR(ROUND((CN21+CN22)/$B145,0),0)</f>
        <v>0</v>
      </c>
      <c r="CO145" s="46">
        <f>=IFERROR(ROUND((CO21+CO22)/$B145,0),0)</f>
        <v>0</v>
      </c>
      <c r="CP145" s="46">
        <f>=IFERROR(ROUND((CP21+CP22)/$B145,0),0)</f>
        <v>0</v>
      </c>
      <c r="CQ145" s="46">
        <f>=IFERROR(ROUND((CQ21+CQ22)/$B145,0),0)</f>
        <v>0</v>
      </c>
      <c r="CR145" s="46">
        <f>=IFERROR(ROUND((CR21+CR22)/$B145,0),0)</f>
        <v>0</v>
      </c>
      <c r="CS145" s="46">
        <f>=IFERROR(ROUND((CS21+CS22)/$B145,0),0)</f>
        <v>0</v>
      </c>
      <c r="CT145" s="46">
        <f>=IFERROR(ROUND((CT21+CT22)/$B145,0),0)</f>
        <v>0</v>
      </c>
      <c r="CU145" s="46">
        <f>=IFERROR(ROUND((CU21+CU22)/$B145,0),0)</f>
        <v>0</v>
      </c>
      <c r="CV145" s="46">
        <f>=IFERROR(ROUND((CV21+CV22)/$B145,0),0)</f>
        <v>0</v>
      </c>
      <c r="CW145" s="46">
        <f>=IFERROR(ROUND((CW21+CW22)/$B145,0),0)</f>
        <v>0</v>
      </c>
      <c r="CX145" s="46">
        <f>=IFERROR(ROUND((CX21+CX22)/$B145,0),0)</f>
        <v>0</v>
      </c>
      <c r="CY145" s="46">
        <f>=IFERROR(ROUND((CY21+CY22)/$B145,0),0)</f>
        <v>0</v>
      </c>
      <c r="CZ145" s="46">
        <f>=IFERROR(ROUND((CZ21+CZ22)/$B145,0),0)</f>
        <v>0</v>
      </c>
      <c r="DA145" s="46">
        <f>=IFERROR(ROUND((DA21+DA22)/$B145,0),0)</f>
        <v>0</v>
      </c>
      <c r="DB145" s="46">
        <f>=IFERROR(ROUND((DB21+DB22)/$B145,0),0)</f>
        <v>0</v>
      </c>
    </row>
    <row r="146" spans="1:106" x14ac:dyDescent="0.25">
      <c r="A146" s="17" t="s">
        <v>357</v>
      </c>
      <c r="B146" s="17">
        <v>15</v>
      </c>
      <c r="C146" s="46">
        <f>=IFERROR(ROUND((C19+C23)/$B146,0),0)</f>
        <v>0</v>
      </c>
      <c r="D146" s="46">
        <f>=IFERROR(ROUND((D19+D23)/$B146,0),0)</f>
        <v>0</v>
      </c>
      <c r="E146" s="46">
        <f>=IFERROR(ROUND((E19+E23)/$B146,0),0)</f>
        <v>0</v>
      </c>
      <c r="F146" s="46">
        <f>=IFERROR(ROUND((F19+F23)/$B146,0),0)</f>
        <v>0</v>
      </c>
      <c r="G146" s="46">
        <f>=IFERROR(ROUND((G19+G23)/$B146,0),0)</f>
        <v>0</v>
      </c>
      <c r="H146" s="46">
        <f>=IFERROR(ROUND((H19+H23)/$B146,0),0)</f>
        <v>0</v>
      </c>
      <c r="I146" s="46">
        <f>=IFERROR(ROUND((I19+I23)/$B146,0),0)</f>
        <v>0</v>
      </c>
      <c r="J146" s="46">
        <f>=IFERROR(ROUND((J19+J23)/$B146,0),0)</f>
        <v>0</v>
      </c>
      <c r="K146" s="46">
        <f>=IFERROR(ROUND((K19+K23)/$B146,0),0)</f>
        <v>0</v>
      </c>
      <c r="L146" s="46">
        <f>=IFERROR(ROUND((L19+L23)/$B146,0),0)</f>
        <v>0</v>
      </c>
      <c r="M146" s="46">
        <f>=IFERROR(ROUND((M19+M23)/$B146,0),0)</f>
        <v>0</v>
      </c>
      <c r="N146" s="46">
        <f>=IFERROR(ROUND((N19+N23)/$B146,0),0)</f>
        <v>0</v>
      </c>
      <c r="O146" s="46">
        <f>=IFERROR(ROUND((O19+O23)/$B146,0),0)</f>
        <v>0</v>
      </c>
      <c r="P146" s="46">
        <f>=IFERROR(ROUND((P19+P23)/$B146,0),0)</f>
        <v>0</v>
      </c>
      <c r="Q146" s="46">
        <f>=IFERROR(ROUND((Q19+Q23)/$B146,0),0)</f>
        <v>0</v>
      </c>
      <c r="R146" s="46">
        <f>=IFERROR(ROUND((R19+R23)/$B146,0),0)</f>
        <v>0</v>
      </c>
      <c r="S146" s="46">
        <f>=IFERROR(ROUND((S19+S23)/$B146,0),0)</f>
        <v>0</v>
      </c>
      <c r="T146" s="46">
        <f>=IFERROR(ROUND((T19+T23)/$B146,0),0)</f>
        <v>0</v>
      </c>
      <c r="U146" s="46">
        <f>=IFERROR(ROUND((U19+U23)/$B146,0),0)</f>
        <v>0</v>
      </c>
      <c r="V146" s="46">
        <f>=IFERROR(ROUND((V19+V23)/$B146,0),0)</f>
        <v>0</v>
      </c>
      <c r="W146" s="46">
        <f>=IFERROR(ROUND((W19+W23)/$B146,0),0)</f>
        <v>0</v>
      </c>
      <c r="X146" s="46">
        <f>=IFERROR(ROUND((X19+X23)/$B146,0),0)</f>
        <v>0</v>
      </c>
      <c r="Y146" s="46">
        <f>=IFERROR(ROUND((Y19+Y23)/$B146,0),0)</f>
        <v>0</v>
      </c>
      <c r="Z146" s="46">
        <f>=IFERROR(ROUND((Z19+Z23)/$B146,0),0)</f>
        <v>0</v>
      </c>
      <c r="AA146" s="46">
        <f>=IFERROR(ROUND((AA19+AA23)/$B146,0),0)</f>
        <v>0</v>
      </c>
      <c r="AB146" s="46">
        <f>=IFERROR(ROUND((AB19+AB23)/$B146,0),0)</f>
        <v>0</v>
      </c>
      <c r="AC146" s="46">
        <f>=IFERROR(ROUND((AC19+AC23)/$B146,0),0)</f>
        <v>0</v>
      </c>
      <c r="AD146" s="46">
        <f>=IFERROR(ROUND((AD19+AD23)/$B146,0),0)</f>
        <v>0</v>
      </c>
      <c r="AE146" s="46">
        <f>=IFERROR(ROUND((AE19+AE23)/$B146,0),0)</f>
        <v>0</v>
      </c>
      <c r="AF146" s="46">
        <f>=IFERROR(ROUND((AF19+AF23)/$B146,0),0)</f>
        <v>0</v>
      </c>
      <c r="AG146" s="46">
        <f>=IFERROR(ROUND((AG19+AG23)/$B146,0),0)</f>
        <v>4</v>
      </c>
      <c r="AH146" s="46">
        <f>=IFERROR(ROUND((AH19+AH23)/$B146,0),0)</f>
        <v>4</v>
      </c>
      <c r="AI146" s="46">
        <f>=IFERROR(ROUND((AI19+AI23)/$B146,0),0)</f>
        <v>4</v>
      </c>
      <c r="AJ146" s="46">
        <f>=IFERROR(ROUND((AJ19+AJ23)/$B146,0),0)</f>
        <v>4</v>
      </c>
      <c r="AK146" s="46">
        <f>=IFERROR(ROUND((AK19+AK23)/$B146,0),0)</f>
        <v>4</v>
      </c>
      <c r="AL146" s="46">
        <f>=IFERROR(ROUND((AL19+AL23)/$B146,0),0)</f>
        <v>4</v>
      </c>
      <c r="AM146" s="46">
        <f>=IFERROR(ROUND((AM19+AM23)/$B146,0),0)</f>
        <v>4</v>
      </c>
      <c r="AN146" s="46">
        <f>=IFERROR(ROUND((AN19+AN23)/$B146,0),0)</f>
        <v>4</v>
      </c>
      <c r="AO146" s="46">
        <f>=IFERROR(ROUND((AO19+AO23)/$B146,0),0)</f>
        <v>6</v>
      </c>
      <c r="AP146" s="46">
        <f>=IFERROR(ROUND((AP19+AP23)/$B146,0),0)</f>
        <v>6</v>
      </c>
      <c r="AQ146" s="46">
        <f>=IFERROR(ROUND((AQ19+AQ23)/$B146,0),0)</f>
        <v>6</v>
      </c>
      <c r="AR146" s="46">
        <f>=IFERROR(ROUND((AR19+AR23)/$B146,0),0)</f>
        <v>7</v>
      </c>
      <c r="AS146" s="46">
        <f>=IFERROR(ROUND((AS19+AS23)/$B146,0),0)</f>
        <v>7</v>
      </c>
      <c r="AT146" s="46">
        <f>=IFERROR(ROUND((AT19+AT23)/$B146,0),0)</f>
        <v>7</v>
      </c>
      <c r="AU146" s="46">
        <f>=IFERROR(ROUND((AU19+AU23)/$B146,0),0)</f>
        <v>7</v>
      </c>
      <c r="AV146" s="46">
        <f>=IFERROR(ROUND((AV19+AV23)/$B146,0),0)</f>
        <v>7</v>
      </c>
      <c r="AW146" s="46">
        <f>=IFERROR(ROUND((AW19+AW23)/$B146,0),0)</f>
        <v>7</v>
      </c>
      <c r="AX146" s="46">
        <f>=IFERROR(ROUND((AX19+AX23)/$B146,0),0)</f>
        <v>7</v>
      </c>
      <c r="AY146" s="46">
        <f>=IFERROR(ROUND((AY19+AY23)/$B146,0),0)</f>
        <v>8</v>
      </c>
      <c r="AZ146" s="46">
        <f>=IFERROR(ROUND((AZ19+AZ23)/$B146,0),0)</f>
        <v>7</v>
      </c>
      <c r="BA146" s="46">
        <f>=IFERROR(ROUND((BA19+BA23)/$B146,0),0)</f>
        <v>7</v>
      </c>
      <c r="BB146" s="46">
        <f>=IFERROR(ROUND((BB19+BB23)/$B146,0),0)</f>
        <v>7</v>
      </c>
      <c r="BC146" s="46">
        <f>=IFERROR(ROUND((BC19+BC23)/$B146,0),0)</f>
        <v>8</v>
      </c>
      <c r="BD146" s="73">
        <f>=IFERROR(ROUND((BD19+BD23)/$B146,0),0)</f>
        <v>9</v>
      </c>
      <c r="BE146" s="46">
        <f>=IFERROR(ROUND((BE19+BE23)/$B146,0),0)</f>
        <v>9</v>
      </c>
      <c r="BF146" s="46">
        <f>=IFERROR(ROUND((BF19+BF23)/$B146,0),0)</f>
        <v>9</v>
      </c>
      <c r="BG146" s="46">
        <f>=IFERROR(ROUND((BG19+BG23)/$B146,0),0)</f>
        <v>9</v>
      </c>
      <c r="BH146" s="46">
        <f>=IFERROR(ROUND((BH19+BH23)/$B146,0),0)</f>
        <v>8</v>
      </c>
      <c r="BI146" s="46">
        <f>=IFERROR(ROUND((BI19+BI23)/$B146,0),0)</f>
        <v>8</v>
      </c>
      <c r="BJ146" s="46">
        <f>=IFERROR(ROUND((BJ19+BJ23)/$B146,0),0)</f>
        <v>8</v>
      </c>
      <c r="BK146" s="46">
        <f>=IFERROR(ROUND((BK19+BK23)/$B146,0),0)</f>
        <v>8</v>
      </c>
      <c r="BL146" s="73">
        <f>=IFERROR(ROUND((BL19+BL23)/$B146,0),0)</f>
        <v>9</v>
      </c>
      <c r="BM146" s="46">
        <f>=IFERROR(ROUND((BM19+BM23)/$B146,0),0)</f>
        <v>9</v>
      </c>
      <c r="BN146" s="46">
        <f>=IFERROR(ROUND((BN19+BN23)/$B146,0),0)</f>
        <v>9</v>
      </c>
      <c r="BO146" s="46">
        <f>=IFERROR(ROUND((BO19+BO23)/$B146,0),0)</f>
        <v>9</v>
      </c>
      <c r="BP146" s="46">
        <f>=IFERROR(ROUND((BP19+BP23)/$B146,0),0)</f>
        <v>9</v>
      </c>
      <c r="BQ146" s="46">
        <f>=IFERROR(ROUND((BQ19+BQ23)/$B146,0),0)</f>
        <v>9</v>
      </c>
      <c r="BR146" s="46">
        <f>=IFERROR(ROUND((BR19+BR23)/$B146,0),0)</f>
        <v>9</v>
      </c>
      <c r="BS146" s="46">
        <f>=IFERROR(ROUND((BS19+BS23)/$B146,0),0)</f>
        <v>9</v>
      </c>
      <c r="BT146" s="46">
        <f>=IFERROR(ROUND((BT19+BT23)/$B146,0),0)</f>
        <v>9</v>
      </c>
      <c r="BU146" s="46">
        <f>=IFERROR(ROUND((BU19+BU23)/$B146,0),0)</f>
        <v>9</v>
      </c>
      <c r="BV146" s="46">
        <f>=IFERROR(ROUND((BV19+BV23)/$B146,0),0)</f>
        <v>9</v>
      </c>
      <c r="BW146" s="46">
        <f>=IFERROR(ROUND((BW19+BW23)/$B146,0),0)</f>
        <v>8</v>
      </c>
      <c r="BX146" s="46">
        <f>=IFERROR(ROUND((BX19+BX23)/$B146,0),0)</f>
        <v>8</v>
      </c>
      <c r="BY146" s="73">
        <f>=IFERROR(ROUND((BY19+BY23)/$B146,0),0)</f>
        <v>8</v>
      </c>
      <c r="BZ146" s="46">
        <f>=IFERROR(ROUND((BZ19+BZ23)/$B146,0),0)</f>
        <v>8</v>
      </c>
      <c r="CA146" s="46">
        <f>=IFERROR(ROUND((CA19+CA23)/$B146,0),0)</f>
        <v>8</v>
      </c>
      <c r="CB146" s="46">
        <f>=IFERROR(ROUND((CB19+CB23)/$B146,0),0)</f>
        <v>8</v>
      </c>
      <c r="CC146" s="46">
        <f>=IFERROR(ROUND((CC19+CC23)/$B146,0),0)</f>
        <v>8</v>
      </c>
      <c r="CD146" s="46">
        <f>=IFERROR(ROUND((CD19+CD23)/$B146,0),0)</f>
        <v>8</v>
      </c>
      <c r="CE146" s="46">
        <f>=IFERROR(ROUND((CE19+CE23)/$B146,0),0)</f>
        <v>8</v>
      </c>
      <c r="CF146" s="46">
        <f>=IFERROR(ROUND((CF19+CF23)/$B146,0),0)</f>
        <v>8</v>
      </c>
      <c r="CG146" s="46">
        <f>=IFERROR(ROUND((CG19+CG23)/$B146,0),0)</f>
        <v>8</v>
      </c>
      <c r="CH146" s="46">
        <f>=IFERROR(ROUND((CH19+CH23)/$B146,0),0)</f>
        <v>8</v>
      </c>
      <c r="CI146" s="46">
        <f>=IFERROR(ROUND((CI19+CI23)/$B146,0),0)</f>
        <v>8</v>
      </c>
      <c r="CJ146" s="46">
        <f>=IFERROR(ROUND((CJ19+CJ23)/$B146,0),0)</f>
        <v>7</v>
      </c>
      <c r="CK146" s="46">
        <f>=IFERROR(ROUND((CK19+CK23)/$B146,0),0)</f>
        <v>7</v>
      </c>
      <c r="CL146" s="46">
        <f>=IFERROR(ROUND((CL19+CL23)/$B146,0),0)</f>
        <v>7</v>
      </c>
      <c r="CM146" s="46">
        <f>=IFERROR(ROUND((CM19+CM23)/$B146,0),0)</f>
        <v>7</v>
      </c>
      <c r="CN146" s="46">
        <f>=IFERROR(ROUND((CN19+CN23)/$B146,0),0)</f>
        <v>7</v>
      </c>
      <c r="CO146" s="46">
        <f>=IFERROR(ROUND((CO19+CO23)/$B146,0),0)</f>
        <v>7</v>
      </c>
      <c r="CP146" s="46">
        <f>=IFERROR(ROUND((CP19+CP23)/$B146,0),0)</f>
        <v>7</v>
      </c>
      <c r="CQ146" s="46">
        <f>=IFERROR(ROUND((CQ19+CQ23)/$B146,0),0)</f>
        <v>7</v>
      </c>
      <c r="CR146" s="46">
        <f>=IFERROR(ROUND((CR19+CR23)/$B146,0),0)</f>
        <v>7</v>
      </c>
      <c r="CS146" s="46">
        <f>=IFERROR(ROUND((CS19+CS23)/$B146,0),0)</f>
        <v>7</v>
      </c>
      <c r="CT146" s="73">
        <f>=IFERROR(ROUND((CT19+CT23)/$B146,0),0)</f>
        <v>7</v>
      </c>
      <c r="CU146" s="46">
        <f>=IFERROR(ROUND((CU19+CU23)/$B146,0),0)</f>
        <v>6</v>
      </c>
      <c r="CV146" s="46">
        <f>=IFERROR(ROUND((CV19+CV23)/$B146,0),0)</f>
        <v>6</v>
      </c>
      <c r="CW146" s="73">
        <f>=IFERROR(ROUND((CW19+CW23)/$B146,0),0)</f>
        <v>6</v>
      </c>
      <c r="CX146" s="73">
        <f>=IFERROR(ROUND((CX19+CX23)/$B146,0),0)</f>
        <v>6</v>
      </c>
      <c r="CY146" s="46">
        <f>=IFERROR(ROUND((CY19+CY23)/$B146,0),0)</f>
        <v>6</v>
      </c>
      <c r="CZ146" s="46">
        <f>=IFERROR(ROUND((CZ19+CZ23)/$B146,0),0)</f>
        <v>6</v>
      </c>
      <c r="DA146" s="46">
        <f>=IFERROR(ROUND((DA19+DA23)/$B146,0),0)</f>
        <v>6</v>
      </c>
      <c r="DB146" s="46">
        <f>=IFERROR(ROUND((DB19+DB23)/$B146,0),0)</f>
        <v>6</v>
      </c>
    </row>
    <row r="147" spans="1:106" x14ac:dyDescent="0.25">
      <c r="A147" s="17" t="s">
        <v>358</v>
      </c>
      <c r="B147" s="17">
        <v>40</v>
      </c>
      <c r="C147" s="46">
        <f>=IFERROR(ROUND((C19+C23)/$B147,0),0)</f>
        <v>0</v>
      </c>
      <c r="D147" s="46">
        <f>=IFERROR(ROUND((D19+D23)/$B147,0),0)</f>
        <v>0</v>
      </c>
      <c r="E147" s="46">
        <f>=IFERROR(ROUND((E19+E23)/$B147,0),0)</f>
        <v>0</v>
      </c>
      <c r="F147" s="46">
        <f>=IFERROR(ROUND((F19+F23)/$B147,0),0)</f>
        <v>0</v>
      </c>
      <c r="G147" s="46">
        <f>=IFERROR(ROUND((G19+G23)/$B147,0),0)</f>
        <v>0</v>
      </c>
      <c r="H147" s="46">
        <f>=IFERROR(ROUND((H19+H23)/$B147,0),0)</f>
        <v>0</v>
      </c>
      <c r="I147" s="46">
        <f>=IFERROR(ROUND((I19+I23)/$B147,0),0)</f>
        <v>0</v>
      </c>
      <c r="J147" s="46">
        <f>=IFERROR(ROUND((J19+J23)/$B147,0),0)</f>
        <v>0</v>
      </c>
      <c r="K147" s="46">
        <f>=IFERROR(ROUND((K19+K23)/$B147,0),0)</f>
        <v>0</v>
      </c>
      <c r="L147" s="46">
        <f>=IFERROR(ROUND((L19+L23)/$B147,0),0)</f>
        <v>0</v>
      </c>
      <c r="M147" s="46">
        <f>=IFERROR(ROUND((M19+M23)/$B147,0),0)</f>
        <v>0</v>
      </c>
      <c r="N147" s="46">
        <f>=IFERROR(ROUND((N19+N23)/$B147,0),0)</f>
        <v>0</v>
      </c>
      <c r="O147" s="46">
        <f>=IFERROR(ROUND((O19+O23)/$B147,0),0)</f>
        <v>0</v>
      </c>
      <c r="P147" s="46">
        <f>=IFERROR(ROUND((P19+P23)/$B147,0),0)</f>
        <v>0</v>
      </c>
      <c r="Q147" s="46">
        <f>=IFERROR(ROUND((Q19+Q23)/$B147,0),0)</f>
        <v>0</v>
      </c>
      <c r="R147" s="46">
        <f>=IFERROR(ROUND((R19+R23)/$B147,0),0)</f>
        <v>0</v>
      </c>
      <c r="S147" s="46">
        <f>=IFERROR(ROUND((S19+S23)/$B147,0),0)</f>
        <v>0</v>
      </c>
      <c r="T147" s="46">
        <f>=IFERROR(ROUND((T19+T23)/$B147,0),0)</f>
        <v>0</v>
      </c>
      <c r="U147" s="46">
        <f>=IFERROR(ROUND((U19+U23)/$B147,0),0)</f>
        <v>0</v>
      </c>
      <c r="V147" s="46">
        <f>=IFERROR(ROUND((V19+V23)/$B147,0),0)</f>
        <v>0</v>
      </c>
      <c r="W147" s="46">
        <f>=IFERROR(ROUND((W19+W23)/$B147,0),0)</f>
        <v>0</v>
      </c>
      <c r="X147" s="46">
        <f>=IFERROR(ROUND((X19+X23)/$B147,0),0)</f>
        <v>0</v>
      </c>
      <c r="Y147" s="46">
        <f>=IFERROR(ROUND((Y19+Y23)/$B147,0),0)</f>
        <v>0</v>
      </c>
      <c r="Z147" s="46">
        <f>=IFERROR(ROUND((Z19+Z23)/$B147,0),0)</f>
        <v>0</v>
      </c>
      <c r="AA147" s="46">
        <f>=IFERROR(ROUND((AA19+AA23)/$B147,0),0)</f>
        <v>0</v>
      </c>
      <c r="AB147" s="46">
        <f>=IFERROR(ROUND((AB19+AB23)/$B147,0),0)</f>
        <v>0</v>
      </c>
      <c r="AC147" s="46">
        <f>=IFERROR(ROUND((AC19+AC23)/$B147,0),0)</f>
        <v>0</v>
      </c>
      <c r="AD147" s="46">
        <f>=IFERROR(ROUND((AD19+AD23)/$B147,0),0)</f>
        <v>0</v>
      </c>
      <c r="AE147" s="46">
        <f>=IFERROR(ROUND((AE19+AE23)/$B147,0),0)</f>
        <v>0</v>
      </c>
      <c r="AF147" s="46">
        <f>=IFERROR(ROUND((AF19+AF23)/$B147,0),0)</f>
        <v>0</v>
      </c>
      <c r="AG147" s="46">
        <f>=IFERROR(ROUND((AG19+AG23)/$B147,0),0)</f>
        <v>2</v>
      </c>
      <c r="AH147" s="46">
        <f>=IFERROR(ROUND((AH19+AH23)/$B147,0),0)</f>
        <v>2</v>
      </c>
      <c r="AI147" s="46">
        <f>=IFERROR(ROUND((AI19+AI23)/$B147,0),0)</f>
        <v>2</v>
      </c>
      <c r="AJ147" s="46">
        <f>=IFERROR(ROUND((AJ19+AJ23)/$B147,0),0)</f>
        <v>2</v>
      </c>
      <c r="AK147" s="46">
        <f>=IFERROR(ROUND((AK19+AK23)/$B147,0),0)</f>
        <v>2</v>
      </c>
      <c r="AL147" s="46">
        <f>=IFERROR(ROUND((AL19+AL23)/$B147,0),0)</f>
        <v>2</v>
      </c>
      <c r="AM147" s="46">
        <f>=IFERROR(ROUND((AM19+AM23)/$B147,0),0)</f>
        <v>2</v>
      </c>
      <c r="AN147" s="46">
        <f>=IFERROR(ROUND((AN19+AN23)/$B147,0),0)</f>
        <v>2</v>
      </c>
      <c r="AO147" s="46">
        <f>=IFERROR(ROUND((AO19+AO23)/$B147,0),0)</f>
        <v>2</v>
      </c>
      <c r="AP147" s="46">
        <f>=IFERROR(ROUND((AP19+AP23)/$B147,0),0)</f>
        <v>2</v>
      </c>
      <c r="AQ147" s="46">
        <f>=IFERROR(ROUND((AQ19+AQ23)/$B147,0),0)</f>
        <v>2</v>
      </c>
      <c r="AR147" s="46">
        <f>=IFERROR(ROUND((AR19+AR23)/$B147,0),0)</f>
        <v>3</v>
      </c>
      <c r="AS147" s="46">
        <f>=IFERROR(ROUND((AS19+AS23)/$B147,0),0)</f>
        <v>3</v>
      </c>
      <c r="AT147" s="46">
        <f>=IFERROR(ROUND((AT19+AT23)/$B147,0),0)</f>
        <v>3</v>
      </c>
      <c r="AU147" s="46">
        <f>=IFERROR(ROUND((AU19+AU23)/$B147,0),0)</f>
        <v>3</v>
      </c>
      <c r="AV147" s="46">
        <f>=IFERROR(ROUND((AV19+AV23)/$B147,0),0)</f>
        <v>3</v>
      </c>
      <c r="AW147" s="46">
        <f>=IFERROR(ROUND((AW19+AW23)/$B147,0),0)</f>
        <v>3</v>
      </c>
      <c r="AX147" s="46">
        <f>=IFERROR(ROUND((AX19+AX23)/$B147,0),0)</f>
        <v>3</v>
      </c>
      <c r="AY147" s="46">
        <f>=IFERROR(ROUND((AY19+AY23)/$B147,0),0)</f>
        <v>3</v>
      </c>
      <c r="AZ147" s="46">
        <f>=IFERROR(ROUND((AZ19+AZ23)/$B147,0),0)</f>
        <v>3</v>
      </c>
      <c r="BA147" s="46">
        <f>=IFERROR(ROUND((BA19+BA23)/$B147,0),0)</f>
        <v>3</v>
      </c>
      <c r="BB147" s="46">
        <f>=IFERROR(ROUND((BB19+BB23)/$B147,0),0)</f>
        <v>3</v>
      </c>
      <c r="BC147" s="73">
        <f>=IFERROR(ROUND((BC19+BC23)/$B147,0),0)</f>
        <v>3</v>
      </c>
      <c r="BD147" s="46">
        <f>=IFERROR(ROUND((BD19+BD23)/$B147,0),0)</f>
        <v>3</v>
      </c>
      <c r="BE147" s="46">
        <f>=IFERROR(ROUND((BE19+BE23)/$B147,0),0)</f>
        <v>3</v>
      </c>
      <c r="BF147" s="46">
        <f>=IFERROR(ROUND((BF19+BF23)/$B147,0),0)</f>
        <v>3</v>
      </c>
      <c r="BG147" s="46">
        <f>=IFERROR(ROUND((BG19+BG23)/$B147,0),0)</f>
        <v>3</v>
      </c>
      <c r="BH147" s="46">
        <f>=IFERROR(ROUND((BH19+BH23)/$B147,0),0)</f>
        <v>3</v>
      </c>
      <c r="BI147" s="46">
        <f>=IFERROR(ROUND((BI19+BI23)/$B147,0),0)</f>
        <v>3</v>
      </c>
      <c r="BJ147" s="46">
        <f>=IFERROR(ROUND((BJ19+BJ23)/$B147,0),0)</f>
        <v>3</v>
      </c>
      <c r="BK147" s="46">
        <f>=IFERROR(ROUND((BK19+BK23)/$B147,0),0)</f>
        <v>3</v>
      </c>
      <c r="BL147" s="46">
        <f>=IFERROR(ROUND((BL19+BL23)/$B147,0),0)</f>
        <v>3</v>
      </c>
      <c r="BM147" s="46">
        <f>=IFERROR(ROUND((BM19+BM23)/$B147,0),0)</f>
        <v>3</v>
      </c>
      <c r="BN147" s="46">
        <f>=IFERROR(ROUND((BN19+BN23)/$B147,0),0)</f>
        <v>3</v>
      </c>
      <c r="BO147" s="46">
        <f>=IFERROR(ROUND((BO19+BO23)/$B147,0),0)</f>
        <v>3</v>
      </c>
      <c r="BP147" s="46">
        <f>=IFERROR(ROUND((BP19+BP23)/$B147,0),0)</f>
        <v>3</v>
      </c>
      <c r="BQ147" s="46">
        <f>=IFERROR(ROUND((BQ19+BQ23)/$B147,0),0)</f>
        <v>3</v>
      </c>
      <c r="BR147" s="46">
        <f>=IFERROR(ROUND((BR19+BR23)/$B147,0),0)</f>
        <v>3</v>
      </c>
      <c r="BS147" s="46">
        <f>=IFERROR(ROUND((BS19+BS23)/$B147,0),0)</f>
        <v>3</v>
      </c>
      <c r="BT147" s="46">
        <f>=IFERROR(ROUND((BT19+BT23)/$B147,0),0)</f>
        <v>3</v>
      </c>
      <c r="BU147" s="46">
        <f>=IFERROR(ROUND((BU19+BU23)/$B147,0),0)</f>
        <v>3</v>
      </c>
      <c r="BV147" s="46">
        <f>=IFERROR(ROUND((BV19+BV23)/$B147,0),0)</f>
        <v>3</v>
      </c>
      <c r="BW147" s="46">
        <f>=IFERROR(ROUND((BW19+BW23)/$B147,0),0)</f>
        <v>3</v>
      </c>
      <c r="BX147" s="46">
        <f>=IFERROR(ROUND((BX19+BX23)/$B147,0),0)</f>
        <v>3</v>
      </c>
      <c r="BY147" s="46">
        <f>=IFERROR(ROUND((BY19+BY23)/$B147,0),0)</f>
        <v>3</v>
      </c>
      <c r="BZ147" s="46">
        <f>=IFERROR(ROUND((BZ19+BZ23)/$B147,0),0)</f>
        <v>3</v>
      </c>
      <c r="CA147" s="46">
        <f>=IFERROR(ROUND((CA19+CA23)/$B147,0),0)</f>
        <v>3</v>
      </c>
      <c r="CB147" s="46">
        <f>=IFERROR(ROUND((CB19+CB23)/$B147,0),0)</f>
        <v>3</v>
      </c>
      <c r="CC147" s="46">
        <f>=IFERROR(ROUND((CC19+CC23)/$B147,0),0)</f>
        <v>3</v>
      </c>
      <c r="CD147" s="46">
        <f>=IFERROR(ROUND((CD19+CD23)/$B147,0),0)</f>
        <v>3</v>
      </c>
      <c r="CE147" s="46">
        <f>=IFERROR(ROUND((CE19+CE23)/$B147,0),0)</f>
        <v>3</v>
      </c>
      <c r="CF147" s="46">
        <f>=IFERROR(ROUND((CF19+CF23)/$B147,0),0)</f>
        <v>3</v>
      </c>
      <c r="CG147" s="46">
        <f>=IFERROR(ROUND((CG19+CG23)/$B147,0),0)</f>
        <v>3</v>
      </c>
      <c r="CH147" s="46">
        <f>=IFERROR(ROUND((CH19+CH23)/$B147,0),0)</f>
        <v>3</v>
      </c>
      <c r="CI147" s="46">
        <f>=IFERROR(ROUND((CI19+CI23)/$B147,0),0)</f>
        <v>3</v>
      </c>
      <c r="CJ147" s="73">
        <f>=IFERROR(ROUND((CJ19+CJ23)/$B147,0),0)</f>
        <v>3</v>
      </c>
      <c r="CK147" s="46">
        <f>=IFERROR(ROUND((CK19+CK23)/$B147,0),0)</f>
        <v>3</v>
      </c>
      <c r="CL147" s="73">
        <f>=IFERROR(ROUND((CL19+CL23)/$B147,0),0)</f>
        <v>3</v>
      </c>
      <c r="CM147" s="46">
        <f>=IFERROR(ROUND((CM19+CM23)/$B147,0),0)</f>
        <v>3</v>
      </c>
      <c r="CN147" s="46">
        <f>=IFERROR(ROUND((CN19+CN23)/$B147,0),0)</f>
        <v>3</v>
      </c>
      <c r="CO147" s="46">
        <f>=IFERROR(ROUND((CO19+CO23)/$B147,0),0)</f>
        <v>3</v>
      </c>
      <c r="CP147" s="46">
        <f>=IFERROR(ROUND((CP19+CP23)/$B147,0),0)</f>
        <v>3</v>
      </c>
      <c r="CQ147" s="46">
        <f>=IFERROR(ROUND((CQ19+CQ23)/$B147,0),0)</f>
        <v>3</v>
      </c>
      <c r="CR147" s="46">
        <f>=IFERROR(ROUND((CR19+CR23)/$B147,0),0)</f>
        <v>3</v>
      </c>
      <c r="CS147" s="46">
        <f>=IFERROR(ROUND((CS19+CS23)/$B147,0),0)</f>
        <v>2</v>
      </c>
      <c r="CT147" s="46">
        <f>=IFERROR(ROUND((CT19+CT23)/$B147,0),0)</f>
        <v>2</v>
      </c>
      <c r="CU147" s="46">
        <f>=IFERROR(ROUND((CU19+CU23)/$B147,0),0)</f>
        <v>2</v>
      </c>
      <c r="CV147" s="46">
        <f>=IFERROR(ROUND((CV19+CV23)/$B147,0),0)</f>
        <v>2</v>
      </c>
      <c r="CW147" s="46">
        <f>=IFERROR(ROUND((CW19+CW23)/$B147,0),0)</f>
        <v>2</v>
      </c>
      <c r="CX147" s="46">
        <f>=IFERROR(ROUND((CX19+CX23)/$B147,0),0)</f>
        <v>2</v>
      </c>
      <c r="CY147" s="46">
        <f>=IFERROR(ROUND((CY19+CY23)/$B147,0),0)</f>
        <v>2</v>
      </c>
      <c r="CZ147" s="46">
        <f>=IFERROR(ROUND((CZ19+CZ23)/$B147,0),0)</f>
        <v>2</v>
      </c>
      <c r="DA147" s="46">
        <f>=IFERROR(ROUND((DA19+DA23)/$B147,0),0)</f>
        <v>2</v>
      </c>
      <c r="DB147" s="46">
        <f>=IFERROR(ROUND((DB19+DB23)/$B147,0),0)</f>
        <v>2</v>
      </c>
    </row>
    <row r="148" spans="1:106" x14ac:dyDescent="0.25">
      <c r="A148" s="17" t="s">
        <v>359</v>
      </c>
      <c r="B148" s="17">
        <v>30</v>
      </c>
      <c r="C148" s="46">
        <f>=IFERROR(ROUND(C19/$B148,0),0)</f>
        <v>0</v>
      </c>
      <c r="D148" s="46">
        <f>=IFERROR(ROUND(D19/$B148,0),0)</f>
        <v>0</v>
      </c>
      <c r="E148" s="46">
        <f>=IFERROR(ROUND(E19/$B148,0),0)</f>
        <v>0</v>
      </c>
      <c r="F148" s="46">
        <f>=IFERROR(ROUND(F19/$B148,0),0)</f>
        <v>0</v>
      </c>
      <c r="G148" s="46">
        <f>=IFERROR(ROUND(G19/$B148,0),0)</f>
        <v>0</v>
      </c>
      <c r="H148" s="46">
        <f>=IFERROR(ROUND(H19/$B148,0),0)</f>
        <v>0</v>
      </c>
      <c r="I148" s="46">
        <f>=IFERROR(ROUND(I19/$B148,0),0)</f>
        <v>0</v>
      </c>
      <c r="J148" s="46">
        <f>=IFERROR(ROUND(J19/$B148,0),0)</f>
        <v>0</v>
      </c>
      <c r="K148" s="46">
        <f>=IFERROR(ROUND(K19/$B148,0),0)</f>
        <v>0</v>
      </c>
      <c r="L148" s="46">
        <f>=IFERROR(ROUND(L19/$B148,0),0)</f>
        <v>0</v>
      </c>
      <c r="M148" s="46">
        <f>=IFERROR(ROUND(M19/$B148,0),0)</f>
        <v>0</v>
      </c>
      <c r="N148" s="46">
        <f>=IFERROR(ROUND(N19/$B148,0),0)</f>
        <v>0</v>
      </c>
      <c r="O148" s="46">
        <f>=IFERROR(ROUND(O19/$B148,0),0)</f>
        <v>0</v>
      </c>
      <c r="P148" s="46">
        <f>=IFERROR(ROUND(P19/$B148,0),0)</f>
        <v>0</v>
      </c>
      <c r="Q148" s="46">
        <f>=IFERROR(ROUND(Q19/$B148,0),0)</f>
        <v>0</v>
      </c>
      <c r="R148" s="46">
        <f>=IFERROR(ROUND(R19/$B148,0),0)</f>
        <v>0</v>
      </c>
      <c r="S148" s="46">
        <f>=IFERROR(ROUND(S19/$B148,0),0)</f>
        <v>0</v>
      </c>
      <c r="T148" s="46">
        <f>=IFERROR(ROUND(T19/$B148,0),0)</f>
        <v>0</v>
      </c>
      <c r="U148" s="46">
        <f>=IFERROR(ROUND(U19/$B148,0),0)</f>
        <v>0</v>
      </c>
      <c r="V148" s="46">
        <f>=IFERROR(ROUND(V19/$B148,0),0)</f>
        <v>0</v>
      </c>
      <c r="W148" s="46">
        <f>=IFERROR(ROUND(W19/$B148,0),0)</f>
        <v>0</v>
      </c>
      <c r="X148" s="46">
        <f>=IFERROR(ROUND(X19/$B148,0),0)</f>
        <v>0</v>
      </c>
      <c r="Y148" s="46">
        <f>=IFERROR(ROUND(Y19/$B148,0),0)</f>
        <v>0</v>
      </c>
      <c r="Z148" s="46">
        <f>=IFERROR(ROUND(Z19/$B148,0),0)</f>
        <v>0</v>
      </c>
      <c r="AA148" s="46">
        <f>=IFERROR(ROUND(AA19/$B148,0),0)</f>
        <v>0</v>
      </c>
      <c r="AB148" s="46">
        <f>=IFERROR(ROUND(AB19/$B148,0),0)</f>
        <v>0</v>
      </c>
      <c r="AC148" s="46">
        <f>=IFERROR(ROUND(AC19/$B148,0),0)</f>
        <v>0</v>
      </c>
      <c r="AD148" s="46">
        <f>=IFERROR(ROUND(AD19/$B148,0),0)</f>
        <v>0</v>
      </c>
      <c r="AE148" s="46">
        <f>=IFERROR(ROUND(AE19/$B148,0),0)</f>
        <v>0</v>
      </c>
      <c r="AF148" s="46">
        <f>=IFERROR(ROUND(AF19/$B148,0),0)</f>
        <v>0</v>
      </c>
      <c r="AG148" s="46">
        <f>=IFERROR(ROUND(AG19/$B148,0),0)</f>
        <v>2</v>
      </c>
      <c r="AH148" s="46">
        <f>=IFERROR(ROUND(AH19/$B148,0),0)</f>
        <v>2</v>
      </c>
      <c r="AI148" s="46">
        <f>=IFERROR(ROUND(AI19/$B148,0),0)</f>
        <v>2</v>
      </c>
      <c r="AJ148" s="46">
        <f>=IFERROR(ROUND(AJ19/$B148,0),0)</f>
        <v>2</v>
      </c>
      <c r="AK148" s="46">
        <f>=IFERROR(ROUND(AK19/$B148,0),0)</f>
        <v>2</v>
      </c>
      <c r="AL148" s="46">
        <f>=IFERROR(ROUND(AL19/$B148,0),0)</f>
        <v>2</v>
      </c>
      <c r="AM148" s="46">
        <f>=IFERROR(ROUND(AM19/$B148,0),0)</f>
        <v>2</v>
      </c>
      <c r="AN148" s="46">
        <f>=IFERROR(ROUND(AN19/$B148,0),0)</f>
        <v>2</v>
      </c>
      <c r="AO148" s="46">
        <f>=IFERROR(ROUND(AO19/$B148,0),0)</f>
        <v>3</v>
      </c>
      <c r="AP148" s="46">
        <f>=IFERROR(ROUND(AP19/$B148,0),0)</f>
        <v>3</v>
      </c>
      <c r="AQ148" s="46">
        <f>=IFERROR(ROUND(AQ19/$B148,0),0)</f>
        <v>3</v>
      </c>
      <c r="AR148" s="46">
        <f>=IFERROR(ROUND(AR19/$B148,0),0)</f>
        <v>4</v>
      </c>
      <c r="AS148" s="46">
        <f>=IFERROR(ROUND(AS19/$B148,0),0)</f>
        <v>4</v>
      </c>
      <c r="AT148" s="46">
        <f>=IFERROR(ROUND(AT19/$B148,0),0)</f>
        <v>4</v>
      </c>
      <c r="AU148" s="46">
        <f>=IFERROR(ROUND(AU19/$B148,0),0)</f>
        <v>4</v>
      </c>
      <c r="AV148" s="46">
        <f>=IFERROR(ROUND(AV19/$B148,0),0)</f>
        <v>4</v>
      </c>
      <c r="AW148" s="46">
        <f>=IFERROR(ROUND(AW19/$B148,0),0)</f>
        <v>4</v>
      </c>
      <c r="AX148" s="46">
        <f>=IFERROR(ROUND(AX19/$B148,0),0)</f>
        <v>4</v>
      </c>
      <c r="AY148" s="46">
        <f>=IFERROR(ROUND(AY19/$B148,0),0)</f>
        <v>4</v>
      </c>
      <c r="AZ148" s="46">
        <f>=IFERROR(ROUND(AZ19/$B148,0),0)</f>
        <v>4</v>
      </c>
      <c r="BA148" s="46">
        <f>=IFERROR(ROUND(BA19/$B148,0),0)</f>
        <v>4</v>
      </c>
      <c r="BB148" s="46">
        <f>=IFERROR(ROUND(BB19/$B148,0),0)</f>
        <v>4</v>
      </c>
      <c r="BC148" s="46">
        <f>=IFERROR(ROUND(BC19/$B148,0),0)</f>
        <v>4</v>
      </c>
      <c r="BD148" s="46">
        <f>=IFERROR(ROUND(BD19/$B148,0),0)</f>
        <v>4</v>
      </c>
      <c r="BE148" s="46">
        <f>=IFERROR(ROUND(BE19/$B148,0),0)</f>
        <v>4</v>
      </c>
      <c r="BF148" s="46">
        <f>=IFERROR(ROUND(BF19/$B148,0),0)</f>
        <v>4</v>
      </c>
      <c r="BG148" s="46">
        <f>=IFERROR(ROUND(BG19/$B148,0),0)</f>
        <v>4</v>
      </c>
      <c r="BH148" s="46">
        <f>=IFERROR(ROUND(BH19/$B148,0),0)</f>
        <v>4</v>
      </c>
      <c r="BI148" s="46">
        <f>=IFERROR(ROUND(BI19/$B148,0),0)</f>
        <v>4</v>
      </c>
      <c r="BJ148" s="46">
        <f>=IFERROR(ROUND(BJ19/$B148,0),0)</f>
        <v>4</v>
      </c>
      <c r="BK148" s="46">
        <f>=IFERROR(ROUND(BK19/$B148,0),0)</f>
        <v>4</v>
      </c>
      <c r="BL148" s="73">
        <f>=IFERROR(ROUND(BL19/$B148,0),0)</f>
        <v>5</v>
      </c>
      <c r="BM148" s="46">
        <f>=IFERROR(ROUND(BM19/$B148,0),0)</f>
        <v>5</v>
      </c>
      <c r="BN148" s="46">
        <f>=IFERROR(ROUND(BN19/$B148,0),0)</f>
        <v>5</v>
      </c>
      <c r="BO148" s="46">
        <f>=IFERROR(ROUND(BO19/$B148,0),0)</f>
        <v>4</v>
      </c>
      <c r="BP148" s="46">
        <f>=IFERROR(ROUND(BP19/$B148,0),0)</f>
        <v>4</v>
      </c>
      <c r="BQ148" s="46">
        <f>=IFERROR(ROUND(BQ19/$B148,0),0)</f>
        <v>4</v>
      </c>
      <c r="BR148" s="46">
        <f>=IFERROR(ROUND(BR19/$B148,0),0)</f>
        <v>4</v>
      </c>
      <c r="BS148" s="46">
        <f>=IFERROR(ROUND(BS19/$B148,0),0)</f>
        <v>4</v>
      </c>
      <c r="BT148" s="46">
        <f>=IFERROR(ROUND(BT19/$B148,0),0)</f>
        <v>4</v>
      </c>
      <c r="BU148" s="46">
        <f>=IFERROR(ROUND(BU19/$B148,0),0)</f>
        <v>4</v>
      </c>
      <c r="BV148" s="46">
        <f>=IFERROR(ROUND(BV19/$B148,0),0)</f>
        <v>4</v>
      </c>
      <c r="BW148" s="46">
        <f>=IFERROR(ROUND(BW19/$B148,0),0)</f>
        <v>4</v>
      </c>
      <c r="BX148" s="46">
        <f>=IFERROR(ROUND(BX19/$B148,0),0)</f>
        <v>4</v>
      </c>
      <c r="BY148" s="73">
        <f>=IFERROR(ROUND(BY19/$B148,0),0)</f>
        <v>4</v>
      </c>
      <c r="BZ148" s="46">
        <f>=IFERROR(ROUND(BZ19/$B148,0),0)</f>
        <v>4</v>
      </c>
      <c r="CA148" s="46">
        <f>=IFERROR(ROUND(CA19/$B148,0),0)</f>
        <v>4</v>
      </c>
      <c r="CB148" s="46">
        <f>=IFERROR(ROUND(CB19/$B148,0),0)</f>
        <v>4</v>
      </c>
      <c r="CC148" s="46">
        <f>=IFERROR(ROUND(CC19/$B148,0),0)</f>
        <v>4</v>
      </c>
      <c r="CD148" s="46">
        <f>=IFERROR(ROUND(CD19/$B148,0),0)</f>
        <v>4</v>
      </c>
      <c r="CE148" s="46">
        <f>=IFERROR(ROUND(CE19/$B148,0),0)</f>
        <v>4</v>
      </c>
      <c r="CF148" s="46">
        <f>=IFERROR(ROUND(CF19/$B148,0),0)</f>
        <v>4</v>
      </c>
      <c r="CG148" s="46">
        <f>=IFERROR(ROUND(CG19/$B148,0),0)</f>
        <v>4</v>
      </c>
      <c r="CH148" s="46">
        <f>=IFERROR(ROUND(CH19/$B148,0),0)</f>
        <v>4</v>
      </c>
      <c r="CI148" s="46">
        <f>=IFERROR(ROUND(CI19/$B148,0),0)</f>
        <v>4</v>
      </c>
      <c r="CJ148" s="46">
        <f>=IFERROR(ROUND(CJ19/$B148,0),0)</f>
        <v>4</v>
      </c>
      <c r="CK148" s="46">
        <f>=IFERROR(ROUND(CK19/$B148,0),0)</f>
        <v>4</v>
      </c>
      <c r="CL148" s="46">
        <f>=IFERROR(ROUND(CL19/$B148,0),0)</f>
        <v>4</v>
      </c>
      <c r="CM148" s="46">
        <f>=IFERROR(ROUND(CM19/$B148,0),0)</f>
        <v>4</v>
      </c>
      <c r="CN148" s="46">
        <f>=IFERROR(ROUND(CN19/$B148,0),0)</f>
        <v>4</v>
      </c>
      <c r="CO148" s="46">
        <f>=IFERROR(ROUND(CO19/$B148,0),0)</f>
        <v>4</v>
      </c>
      <c r="CP148" s="46">
        <f>=IFERROR(ROUND(CP19/$B148,0),0)</f>
        <v>3</v>
      </c>
      <c r="CQ148" s="46">
        <f>=IFERROR(ROUND(CQ19/$B148,0),0)</f>
        <v>3</v>
      </c>
      <c r="CR148" s="46">
        <f>=IFERROR(ROUND(CR19/$B148,0),0)</f>
        <v>3</v>
      </c>
      <c r="CS148" s="46">
        <f>=IFERROR(ROUND(CS19/$B148,0),0)</f>
        <v>3</v>
      </c>
      <c r="CT148" s="73">
        <f>=IFERROR(ROUND(CT19/$B148,0),0)</f>
        <v>3</v>
      </c>
      <c r="CU148" s="46">
        <f>=IFERROR(ROUND(CU19/$B148,0),0)</f>
        <v>3</v>
      </c>
      <c r="CV148" s="46">
        <f>=IFERROR(ROUND(CV19/$B148,0),0)</f>
        <v>3</v>
      </c>
      <c r="CW148" s="73">
        <f>=IFERROR(ROUND(CW19/$B148,0),0)</f>
        <v>3</v>
      </c>
      <c r="CX148" s="73">
        <f>=IFERROR(ROUND(CX19/$B148,0),0)</f>
        <v>3</v>
      </c>
      <c r="CY148" s="46">
        <f>=IFERROR(ROUND(CY19/$B148,0),0)</f>
        <v>3</v>
      </c>
      <c r="CZ148" s="46">
        <f>=IFERROR(ROUND(CZ19/$B148,0),0)</f>
        <v>3</v>
      </c>
      <c r="DA148" s="46">
        <f>=IFERROR(ROUND(DA19/$B148,0),0)</f>
        <v>3</v>
      </c>
      <c r="DB148" s="46">
        <f>=IFERROR(ROUND(DB19/$B148,0),0)</f>
        <v>3</v>
      </c>
    </row>
    <row r="149" spans="1:106" x14ac:dyDescent="0.25">
      <c r="A149" s="17" t="s">
        <v>360</v>
      </c>
      <c r="B149" s="17">
        <v>100</v>
      </c>
      <c r="C149" s="46">
        <f>=IFERROR(ROUND(C10/$B149,0),0)</f>
        <v>0</v>
      </c>
      <c r="D149" s="46">
        <f>=IFERROR(ROUND(D10/$B149,0),0)</f>
        <v>0</v>
      </c>
      <c r="E149" s="46">
        <f>=IFERROR(ROUND(E10/$B149,0),0)</f>
        <v>0</v>
      </c>
      <c r="F149" s="46">
        <f>=IFERROR(ROUND(F10/$B149,0),0)</f>
        <v>0</v>
      </c>
      <c r="G149" s="46">
        <f>=IFERROR(ROUND(G10/$B149,0),0)</f>
        <v>0</v>
      </c>
      <c r="H149" s="46">
        <f>=IFERROR(ROUND(H10/$B149,0),0)</f>
        <v>0</v>
      </c>
      <c r="I149" s="46">
        <f>=IFERROR(ROUND(I10/$B149,0),0)</f>
        <v>0</v>
      </c>
      <c r="J149" s="46">
        <f>=IFERROR(ROUND(J10/$B149,0),0)</f>
        <v>0</v>
      </c>
      <c r="K149" s="46">
        <f>=IFERROR(ROUND(K10/$B149,0),0)</f>
        <v>0</v>
      </c>
      <c r="L149" s="46">
        <f>=IFERROR(ROUND(L10/$B149,0),0)</f>
        <v>0</v>
      </c>
      <c r="M149" s="46">
        <f>=IFERROR(ROUND(M10/$B149,0),0)</f>
        <v>0</v>
      </c>
      <c r="N149" s="46">
        <f>=IFERROR(ROUND(N10/$B149,0),0)</f>
        <v>0</v>
      </c>
      <c r="O149" s="46">
        <f>=IFERROR(ROUND(O10/$B149,0),0)</f>
        <v>0</v>
      </c>
      <c r="P149" s="46">
        <f>=IFERROR(ROUND(P10/$B149,0),0)</f>
        <v>0</v>
      </c>
      <c r="Q149" s="46">
        <f>=IFERROR(ROUND(Q10/$B149,0),0)</f>
        <v>0</v>
      </c>
      <c r="R149" s="46">
        <f>=IFERROR(ROUND(R10/$B149,0),0)</f>
        <v>0</v>
      </c>
      <c r="S149" s="46">
        <f>=IFERROR(ROUND(S10/$B149,0),0)</f>
        <v>0</v>
      </c>
      <c r="T149" s="46">
        <f>=IFERROR(ROUND(T10/$B149,0),0)</f>
        <v>0</v>
      </c>
      <c r="U149" s="46">
        <f>=IFERROR(ROUND(U10/$B149,0),0)</f>
        <v>0</v>
      </c>
      <c r="V149" s="46">
        <f>=IFERROR(ROUND(V10/$B149,0),0)</f>
        <v>0</v>
      </c>
      <c r="W149" s="46">
        <f>=IFERROR(ROUND(W10/$B149,0),0)</f>
        <v>0</v>
      </c>
      <c r="X149" s="46">
        <f>=IFERROR(ROUND(X10/$B149,0),0)</f>
        <v>0</v>
      </c>
      <c r="Y149" s="46">
        <f>=IFERROR(ROUND(Y10/$B149,0),0)</f>
        <v>0</v>
      </c>
      <c r="Z149" s="46">
        <f>=IFERROR(ROUND(Z10/$B149,0),0)</f>
        <v>0</v>
      </c>
      <c r="AA149" s="46">
        <f>=IFERROR(ROUND(AA10/$B149,0),0)</f>
        <v>0</v>
      </c>
      <c r="AB149" s="46">
        <f>=IFERROR(ROUND(AB10/$B149,0),0)</f>
        <v>0</v>
      </c>
      <c r="AC149" s="46">
        <f>=IFERROR(ROUND(AC10/$B149,0),0)</f>
        <v>0</v>
      </c>
      <c r="AD149" s="46">
        <f>=IFERROR(ROUND(AD10/$B149,0),0)</f>
        <v>0</v>
      </c>
      <c r="AE149" s="46">
        <f>=IFERROR(ROUND(AE10/$B149,0),0)</f>
        <v>0</v>
      </c>
      <c r="AF149" s="46">
        <f>=IFERROR(ROUND(AF10/$B149,0),0)</f>
        <v>0</v>
      </c>
      <c r="AG149" s="46">
        <f>=IFERROR(ROUND(AG10/$B149,0),0)</f>
        <v>1</v>
      </c>
      <c r="AH149" s="46">
        <f>=IFERROR(ROUND(AH10/$B149,0),0)</f>
        <v>1</v>
      </c>
      <c r="AI149" s="46">
        <f>=IFERROR(ROUND(AI10/$B149,0),0)</f>
        <v>1</v>
      </c>
      <c r="AJ149" s="46">
        <f>=IFERROR(ROUND(AJ10/$B149,0),0)</f>
        <v>1</v>
      </c>
      <c r="AK149" s="46">
        <f>=IFERROR(ROUND(AK10/$B149,0),0)</f>
        <v>1</v>
      </c>
      <c r="AL149" s="46">
        <f>=IFERROR(ROUND(AL10/$B149,0),0)</f>
        <v>1</v>
      </c>
      <c r="AM149" s="46">
        <f>=IFERROR(ROUND(AM10/$B149,0),0)</f>
        <v>1</v>
      </c>
      <c r="AN149" s="46">
        <f>=IFERROR(ROUND(AN10/$B149,0),0)</f>
        <v>1</v>
      </c>
      <c r="AO149" s="46">
        <f>=IFERROR(ROUND(AO10/$B149,0),0)</f>
        <v>1</v>
      </c>
      <c r="AP149" s="46">
        <f>=IFERROR(ROUND(AP10/$B149,0),0)</f>
        <v>1</v>
      </c>
      <c r="AQ149" s="46">
        <f>=IFERROR(ROUND(AQ10/$B149,0),0)</f>
        <v>1</v>
      </c>
      <c r="AR149" s="46">
        <f>=IFERROR(ROUND(AR10/$B149,0),0)</f>
        <v>1</v>
      </c>
      <c r="AS149" s="46">
        <f>=IFERROR(ROUND(AS10/$B149,0),0)</f>
        <v>1</v>
      </c>
      <c r="AT149" s="46">
        <f>=IFERROR(ROUND(AT10/$B149,0),0)</f>
        <v>1</v>
      </c>
      <c r="AU149" s="46">
        <f>=IFERROR(ROUND(AU10/$B149,0),0)</f>
        <v>1</v>
      </c>
      <c r="AV149" s="46">
        <f>=IFERROR(ROUND(AV10/$B149,0),0)</f>
        <v>1</v>
      </c>
      <c r="AW149" s="46">
        <f>=IFERROR(ROUND(AW10/$B149,0),0)</f>
        <v>1</v>
      </c>
      <c r="AX149" s="46">
        <f>=IFERROR(ROUND(AX10/$B149,0),0)</f>
        <v>1</v>
      </c>
      <c r="AY149" s="46">
        <f>=IFERROR(ROUND(AY10/$B149,0),0)</f>
        <v>1</v>
      </c>
      <c r="AZ149" s="46">
        <f>=IFERROR(ROUND(AZ10/$B149,0),0)</f>
        <v>1</v>
      </c>
      <c r="BA149" s="46">
        <f>=IFERROR(ROUND(BA10/$B149,0),0)</f>
        <v>1</v>
      </c>
      <c r="BB149" s="46">
        <f>=IFERROR(ROUND(BB10/$B149,0),0)</f>
        <v>1</v>
      </c>
      <c r="BC149" s="46">
        <f>=IFERROR(ROUND(BC10/$B149,0),0)</f>
        <v>1</v>
      </c>
      <c r="BD149" s="46">
        <f>=IFERROR(ROUND(BD10/$B149,0),0)</f>
        <v>1</v>
      </c>
      <c r="BE149" s="46">
        <f>=IFERROR(ROUND(BE10/$B149,0),0)</f>
        <v>1</v>
      </c>
      <c r="BF149" s="46">
        <f>=IFERROR(ROUND(BF10/$B149,0),0)</f>
        <v>1</v>
      </c>
      <c r="BG149" s="46">
        <f>=IFERROR(ROUND(BG10/$B149,0),0)</f>
        <v>1</v>
      </c>
      <c r="BH149" s="73">
        <f>=IFERROR(ROUND(BH10/$B149,0),0)</f>
        <v>1</v>
      </c>
      <c r="BI149" s="46">
        <f>=IFERROR(ROUND(BI10/$B149,0),0)</f>
        <v>1</v>
      </c>
      <c r="BJ149" s="46">
        <f>=IFERROR(ROUND(BJ10/$B149,0),0)</f>
        <v>1</v>
      </c>
      <c r="BK149" s="46">
        <f>=IFERROR(ROUND(BK10/$B149,0),0)</f>
        <v>1</v>
      </c>
      <c r="BL149" s="73">
        <f>=IFERROR(ROUND(BL10/$B149,0),0)</f>
        <v>1</v>
      </c>
      <c r="BM149" s="46">
        <f>=IFERROR(ROUND(BM10/$B149,0),0)</f>
        <v>1</v>
      </c>
      <c r="BN149" s="46">
        <f>=IFERROR(ROUND(BN10/$B149,0),0)</f>
        <v>1</v>
      </c>
      <c r="BO149" s="73">
        <f>=IFERROR(ROUND(BO10/$B149,0),0)</f>
        <v>1</v>
      </c>
      <c r="BP149" s="46">
        <f>=IFERROR(ROUND(BP10/$B149,0),0)</f>
        <v>1</v>
      </c>
      <c r="BQ149" s="46">
        <f>=IFERROR(ROUND(BQ10/$B149,0),0)</f>
        <v>1</v>
      </c>
      <c r="BR149" s="46">
        <f>=IFERROR(ROUND(BR10/$B149,0),0)</f>
        <v>1</v>
      </c>
      <c r="BS149" s="46">
        <f>=IFERROR(ROUND(BS10/$B149,0),0)</f>
        <v>1</v>
      </c>
      <c r="BT149" s="46">
        <f>=IFERROR(ROUND(BT10/$B149,0),0)</f>
        <v>1</v>
      </c>
      <c r="BU149" s="46">
        <f>=IFERROR(ROUND(BU10/$B149,0),0)</f>
        <v>1</v>
      </c>
      <c r="BV149" s="46">
        <f>=IFERROR(ROUND(BV10/$B149,0),0)</f>
        <v>1</v>
      </c>
      <c r="BW149" s="46">
        <f>=IFERROR(ROUND(BW10/$B149,0),0)</f>
        <v>1</v>
      </c>
      <c r="BX149" s="46">
        <f>=IFERROR(ROUND(BX10/$B149,0),0)</f>
        <v>1</v>
      </c>
      <c r="BY149" s="46">
        <f>=IFERROR(ROUND(BY10/$B149,0),0)</f>
        <v>1</v>
      </c>
      <c r="BZ149" s="46">
        <f>=IFERROR(ROUND(BZ10/$B149,0),0)</f>
        <v>1</v>
      </c>
      <c r="CA149" s="46">
        <f>=IFERROR(ROUND(CA10/$B149,0),0)</f>
        <v>1</v>
      </c>
      <c r="CB149" s="46">
        <f>=IFERROR(ROUND(CB10/$B149,0),0)</f>
        <v>1</v>
      </c>
      <c r="CC149" s="46">
        <f>=IFERROR(ROUND(CC10/$B149,0),0)</f>
        <v>1</v>
      </c>
      <c r="CD149" s="73">
        <f>=IFERROR(ROUND(CD10/$B149,0),0)</f>
        <v>1</v>
      </c>
      <c r="CE149" s="73">
        <f>=IFERROR(ROUND(CE10/$B149,0),0)</f>
        <v>1</v>
      </c>
      <c r="CF149" s="46">
        <f>=IFERROR(ROUND(CF10/$B149,0),0)</f>
        <v>1</v>
      </c>
      <c r="CG149" s="46">
        <f>=IFERROR(ROUND(CG10/$B149,0),0)</f>
        <v>1</v>
      </c>
      <c r="CH149" s="46">
        <f>=IFERROR(ROUND(CH10/$B149,0),0)</f>
        <v>1</v>
      </c>
      <c r="CI149" s="46">
        <f>=IFERROR(ROUND(CI10/$B149,0),0)</f>
        <v>1</v>
      </c>
      <c r="CJ149" s="46">
        <f>=IFERROR(ROUND(CJ10/$B149,0),0)</f>
        <v>1</v>
      </c>
      <c r="CK149" s="46">
        <f>=IFERROR(ROUND(CK10/$B149,0),0)</f>
        <v>1</v>
      </c>
      <c r="CL149" s="46">
        <f>=IFERROR(ROUND(CL10/$B149,0),0)</f>
        <v>1</v>
      </c>
      <c r="CM149" s="46">
        <f>=IFERROR(ROUND(CM10/$B149,0),0)</f>
        <v>1</v>
      </c>
      <c r="CN149" s="46">
        <f>=IFERROR(ROUND(CN10/$B149,0),0)</f>
        <v>1</v>
      </c>
      <c r="CO149" s="46">
        <f>=IFERROR(ROUND(CO10/$B149,0),0)</f>
        <v>1</v>
      </c>
      <c r="CP149" s="46">
        <f>=IFERROR(ROUND(CP10/$B149,0),0)</f>
        <v>1</v>
      </c>
      <c r="CQ149" s="46">
        <f>=IFERROR(ROUND(CQ10/$B149,0),0)</f>
        <v>1</v>
      </c>
      <c r="CR149" s="46">
        <f>=IFERROR(ROUND(CR10/$B149,0),0)</f>
        <v>1</v>
      </c>
      <c r="CS149" s="46">
        <f>=IFERROR(ROUND(CS10/$B149,0),0)</f>
        <v>1</v>
      </c>
      <c r="CT149" s="46">
        <f>=IFERROR(ROUND(CT10/$B149,0),0)</f>
        <v>1</v>
      </c>
      <c r="CU149" s="46">
        <f>=IFERROR(ROUND(CU10/$B149,0),0)</f>
        <v>1</v>
      </c>
      <c r="CV149" s="46">
        <f>=IFERROR(ROUND(CV10/$B149,0),0)</f>
        <v>1</v>
      </c>
      <c r="CW149" s="73">
        <f>=IFERROR(ROUND(CW10/$B149,0),0)</f>
        <v>1</v>
      </c>
      <c r="CX149" s="46">
        <f>=IFERROR(ROUND(CX10/$B149,0),0)</f>
        <v>1</v>
      </c>
      <c r="CY149" s="46">
        <f>=IFERROR(ROUND(CY10/$B149,0),0)</f>
        <v>1</v>
      </c>
      <c r="CZ149" s="46">
        <f>=IFERROR(ROUND(CZ10/$B149,0),0)</f>
        <v>1</v>
      </c>
      <c r="DA149" s="46">
        <f>=IFERROR(ROUND(DA10/$B149,0),0)</f>
        <v>1</v>
      </c>
      <c r="DB149" s="46">
        <f>=IFERROR(ROUND(DB10/$B149,0),0)</f>
        <v>1</v>
      </c>
    </row>
    <row r="150" spans="1:106" x14ac:dyDescent="0.25">
      <c r="A150" s="17" t="s">
        <v>361</v>
      </c>
      <c r="B150" s="17">
        <v>5</v>
      </c>
      <c r="C150" s="46">
        <f>=IFERROR(ROUND((C21+C22)/$B150,0),0)</f>
        <v>0</v>
      </c>
      <c r="D150" s="46">
        <f>=IFERROR(ROUND((D21+D22)/$B150,0),0)</f>
        <v>0</v>
      </c>
      <c r="E150" s="46">
        <f>=IFERROR(ROUND((E21+E22)/$B150,0),0)</f>
        <v>0</v>
      </c>
      <c r="F150" s="46">
        <f>=IFERROR(ROUND((F21+F22)/$B150,0),0)</f>
        <v>0</v>
      </c>
      <c r="G150" s="46">
        <f>=IFERROR(ROUND((G21+G22)/$B150,0),0)</f>
        <v>0</v>
      </c>
      <c r="H150" s="46">
        <f>=IFERROR(ROUND((H21+H22)/$B150,0),0)</f>
        <v>0</v>
      </c>
      <c r="I150" s="46">
        <f>=IFERROR(ROUND((I21+I22)/$B150,0),0)</f>
        <v>0</v>
      </c>
      <c r="J150" s="46">
        <f>=IFERROR(ROUND((J21+J22)/$B150,0),0)</f>
        <v>0</v>
      </c>
      <c r="K150" s="46">
        <f>=IFERROR(ROUND((K21+K22)/$B150,0),0)</f>
        <v>0</v>
      </c>
      <c r="L150" s="46">
        <f>=IFERROR(ROUND((L21+L22)/$B150,0),0)</f>
        <v>0</v>
      </c>
      <c r="M150" s="46">
        <f>=IFERROR(ROUND((M21+M22)/$B150,0),0)</f>
        <v>0</v>
      </c>
      <c r="N150" s="46">
        <f>=IFERROR(ROUND((N21+N22)/$B150,0),0)</f>
        <v>0</v>
      </c>
      <c r="O150" s="46">
        <f>=IFERROR(ROUND((O21+O22)/$B150,0),0)</f>
        <v>0</v>
      </c>
      <c r="P150" s="46">
        <f>=IFERROR(ROUND((P21+P22)/$B150,0),0)</f>
        <v>0</v>
      </c>
      <c r="Q150" s="46">
        <f>=IFERROR(ROUND((Q21+Q22)/$B150,0),0)</f>
        <v>0</v>
      </c>
      <c r="R150" s="46">
        <f>=IFERROR(ROUND((R21+R22)/$B150,0),0)</f>
        <v>0</v>
      </c>
      <c r="S150" s="46">
        <f>=IFERROR(ROUND((S21+S22)/$B150,0),0)</f>
        <v>0</v>
      </c>
      <c r="T150" s="46">
        <f>=IFERROR(ROUND((T21+T22)/$B150,0),0)</f>
        <v>0</v>
      </c>
      <c r="U150" s="46">
        <f>=IFERROR(ROUND((U21+U22)/$B150,0),0)</f>
        <v>0</v>
      </c>
      <c r="V150" s="46">
        <f>=IFERROR(ROUND((V21+V22)/$B150,0),0)</f>
        <v>0</v>
      </c>
      <c r="W150" s="46">
        <f>=IFERROR(ROUND((W21+W22)/$B150,0),0)</f>
        <v>0</v>
      </c>
      <c r="X150" s="46">
        <f>=IFERROR(ROUND((X21+X22)/$B150,0),0)</f>
        <v>0</v>
      </c>
      <c r="Y150" s="46">
        <f>=IFERROR(ROUND((Y21+Y22)/$B150,0),0)</f>
        <v>0</v>
      </c>
      <c r="Z150" s="46">
        <f>=IFERROR(ROUND((Z21+Z22)/$B150,0),0)</f>
        <v>0</v>
      </c>
      <c r="AA150" s="46">
        <f>=IFERROR(ROUND((AA21+AA22)/$B150,0),0)</f>
        <v>0</v>
      </c>
      <c r="AB150" s="46">
        <f>=IFERROR(ROUND((AB21+AB22)/$B150,0),0)</f>
        <v>0</v>
      </c>
      <c r="AC150" s="46">
        <f>=IFERROR(ROUND((AC21+AC22)/$B150,0),0)</f>
        <v>0</v>
      </c>
      <c r="AD150" s="46">
        <f>=IFERROR(ROUND((AD21+AD22)/$B150,0),0)</f>
        <v>0</v>
      </c>
      <c r="AE150" s="46">
        <f>=IFERROR(ROUND((AE21+AE22)/$B150,0),0)</f>
        <v>0</v>
      </c>
      <c r="AF150" s="46">
        <f>=IFERROR(ROUND((AF21+AF22)/$B150,0),0)</f>
        <v>0</v>
      </c>
      <c r="AG150" s="46">
        <f>=IFERROR(ROUND((AG21+AG22)/$B150,0),0)</f>
        <v>0</v>
      </c>
      <c r="AH150" s="46">
        <f>=IFERROR(ROUND((AH21+AH22)/$B150,0),0)</f>
        <v>0</v>
      </c>
      <c r="AI150" s="46">
        <f>=IFERROR(ROUND((AI21+AI22)/$B150,0),0)</f>
        <v>0</v>
      </c>
      <c r="AJ150" s="46">
        <f>=IFERROR(ROUND((AJ21+AJ22)/$B150,0),0)</f>
        <v>0</v>
      </c>
      <c r="AK150" s="46">
        <f>=IFERROR(ROUND((AK21+AK22)/$B150,0),0)</f>
        <v>0</v>
      </c>
      <c r="AL150" s="46">
        <f>=IFERROR(ROUND((AL21+AL22)/$B150,0),0)</f>
        <v>0</v>
      </c>
      <c r="AM150" s="46">
        <f>=IFERROR(ROUND((AM21+AM22)/$B150,0),0)</f>
        <v>0</v>
      </c>
      <c r="AN150" s="46">
        <f>=IFERROR(ROUND((AN21+AN22)/$B150,0),0)</f>
        <v>0</v>
      </c>
      <c r="AO150" s="46">
        <f>=IFERROR(ROUND((AO21+AO22)/$B150,0),0)</f>
        <v>0</v>
      </c>
      <c r="AP150" s="46">
        <f>=IFERROR(ROUND((AP21+AP22)/$B150,0),0)</f>
        <v>0</v>
      </c>
      <c r="AQ150" s="46">
        <f>=IFERROR(ROUND((AQ21+AQ22)/$B150,0),0)</f>
        <v>0</v>
      </c>
      <c r="AR150" s="46">
        <f>=IFERROR(ROUND((AR21+AR22)/$B150,0),0)</f>
        <v>0</v>
      </c>
      <c r="AS150" s="46">
        <f>=IFERROR(ROUND((AS21+AS22)/$B150,0),0)</f>
        <v>0</v>
      </c>
      <c r="AT150" s="46">
        <f>=IFERROR(ROUND((AT21+AT22)/$B150,0),0)</f>
        <v>0</v>
      </c>
      <c r="AU150" s="46">
        <f>=IFERROR(ROUND((AU21+AU22)/$B150,0),0)</f>
        <v>0</v>
      </c>
      <c r="AV150" s="46">
        <f>=IFERROR(ROUND((AV21+AV22)/$B150,0),0)</f>
        <v>0</v>
      </c>
      <c r="AW150" s="46">
        <f>=IFERROR(ROUND((AW21+AW22)/$B150,0),0)</f>
        <v>0</v>
      </c>
      <c r="AX150" s="46">
        <f>=IFERROR(ROUND((AX21+AX22)/$B150,0),0)</f>
        <v>0</v>
      </c>
      <c r="AY150" s="46">
        <f>=IFERROR(ROUND((AY21+AY22)/$B150,0),0)</f>
        <v>0</v>
      </c>
      <c r="AZ150" s="46">
        <f>=IFERROR(ROUND((AZ21+AZ22)/$B150,0),0)</f>
        <v>0</v>
      </c>
      <c r="BA150" s="46">
        <f>=IFERROR(ROUND((BA21+BA22)/$B150,0),0)</f>
        <v>0</v>
      </c>
      <c r="BB150" s="46">
        <f>=IFERROR(ROUND((BB21+BB22)/$B150,0),0)</f>
        <v>0</v>
      </c>
      <c r="BC150" s="46">
        <f>=IFERROR(ROUND((BC21+BC22)/$B150,0),0)</f>
        <v>0</v>
      </c>
      <c r="BD150" s="46">
        <f>=IFERROR(ROUND((BD21+BD22)/$B150,0),0)</f>
        <v>0</v>
      </c>
      <c r="BE150" s="46">
        <f>=IFERROR(ROUND((BE21+BE22)/$B150,0),0)</f>
        <v>0</v>
      </c>
      <c r="BF150" s="46">
        <f>=IFERROR(ROUND((BF21+BF22)/$B150,0),0)</f>
        <v>0</v>
      </c>
      <c r="BG150" s="46">
        <f>=IFERROR(ROUND((BG21+BG22)/$B150,0),0)</f>
        <v>0</v>
      </c>
      <c r="BH150" s="46">
        <f>=IFERROR(ROUND((BH21+BH22)/$B150,0),0)</f>
        <v>0</v>
      </c>
      <c r="BI150" s="46">
        <f>=IFERROR(ROUND((BI21+BI22)/$B150,0),0)</f>
        <v>0</v>
      </c>
      <c r="BJ150" s="46">
        <f>=IFERROR(ROUND((BJ21+BJ22)/$B150,0),0)</f>
        <v>0</v>
      </c>
      <c r="BK150" s="46">
        <f>=IFERROR(ROUND((BK21+BK22)/$B150,0),0)</f>
        <v>0</v>
      </c>
      <c r="BL150" s="46">
        <f>=IFERROR(ROUND((BL21+BL22)/$B150,0),0)</f>
        <v>0</v>
      </c>
      <c r="BM150" s="46">
        <f>=IFERROR(ROUND((BM21+BM22)/$B150,0),0)</f>
        <v>0</v>
      </c>
      <c r="BN150" s="46">
        <f>=IFERROR(ROUND((BN21+BN22)/$B150,0),0)</f>
        <v>0</v>
      </c>
      <c r="BO150" s="46">
        <f>=IFERROR(ROUND((BO21+BO22)/$B150,0),0)</f>
        <v>0</v>
      </c>
      <c r="BP150" s="46">
        <f>=IFERROR(ROUND((BP21+BP22)/$B150,0),0)</f>
        <v>0</v>
      </c>
      <c r="BQ150" s="46">
        <f>=IFERROR(ROUND((BQ21+BQ22)/$B150,0),0)</f>
        <v>0</v>
      </c>
      <c r="BR150" s="46">
        <f>=IFERROR(ROUND((BR21+BR22)/$B150,0),0)</f>
        <v>0</v>
      </c>
      <c r="BS150" s="46">
        <f>=IFERROR(ROUND((BS21+BS22)/$B150,0),0)</f>
        <v>0</v>
      </c>
      <c r="BT150" s="46">
        <f>=IFERROR(ROUND((BT21+BT22)/$B150,0),0)</f>
        <v>0</v>
      </c>
      <c r="BU150" s="46">
        <f>=IFERROR(ROUND((BU21+BU22)/$B150,0),0)</f>
        <v>0</v>
      </c>
      <c r="BV150" s="46">
        <f>=IFERROR(ROUND((BV21+BV22)/$B150,0),0)</f>
        <v>0</v>
      </c>
      <c r="BW150" s="46">
        <f>=IFERROR(ROUND((BW21+BW22)/$B150,0),0)</f>
        <v>0</v>
      </c>
      <c r="BX150" s="46">
        <f>=IFERROR(ROUND((BX21+BX22)/$B150,0),0)</f>
        <v>0</v>
      </c>
      <c r="BY150" s="46">
        <f>=IFERROR(ROUND((BY21+BY22)/$B150,0),0)</f>
        <v>0</v>
      </c>
      <c r="BZ150" s="46">
        <f>=IFERROR(ROUND((BZ21+BZ22)/$B150,0),0)</f>
        <v>0</v>
      </c>
      <c r="CA150" s="46">
        <f>=IFERROR(ROUND((CA21+CA22)/$B150,0),0)</f>
        <v>0</v>
      </c>
      <c r="CB150" s="46">
        <f>=IFERROR(ROUND((CB21+CB22)/$B150,0),0)</f>
        <v>0</v>
      </c>
      <c r="CC150" s="46">
        <f>=IFERROR(ROUND((CC21+CC22)/$B150,0),0)</f>
        <v>0</v>
      </c>
      <c r="CD150" s="46">
        <f>=IFERROR(ROUND((CD21+CD22)/$B150,0),0)</f>
        <v>0</v>
      </c>
      <c r="CE150" s="46">
        <f>=IFERROR(ROUND((CE21+CE22)/$B150,0),0)</f>
        <v>0</v>
      </c>
      <c r="CF150" s="46">
        <f>=IFERROR(ROUND((CF21+CF22)/$B150,0),0)</f>
        <v>0</v>
      </c>
      <c r="CG150" s="46">
        <f>=IFERROR(ROUND((CG21+CG22)/$B150,0),0)</f>
        <v>0</v>
      </c>
      <c r="CH150" s="46">
        <f>=IFERROR(ROUND((CH21+CH22)/$B150,0),0)</f>
        <v>0</v>
      </c>
      <c r="CI150" s="46">
        <f>=IFERROR(ROUND((CI21+CI22)/$B150,0),0)</f>
        <v>0</v>
      </c>
      <c r="CJ150" s="46">
        <f>=IFERROR(ROUND((CJ21+CJ22)/$B150,0),0)</f>
        <v>0</v>
      </c>
      <c r="CK150" s="46">
        <f>=IFERROR(ROUND((CK21+CK22)/$B150,0),0)</f>
        <v>0</v>
      </c>
      <c r="CL150" s="46">
        <f>=IFERROR(ROUND((CL21+CL22)/$B150,0),0)</f>
        <v>0</v>
      </c>
      <c r="CM150" s="46">
        <f>=IFERROR(ROUND((CM21+CM22)/$B150,0),0)</f>
        <v>0</v>
      </c>
      <c r="CN150" s="46">
        <f>=IFERROR(ROUND((CN21+CN22)/$B150,0),0)</f>
        <v>0</v>
      </c>
      <c r="CO150" s="46">
        <f>=IFERROR(ROUND((CO21+CO22)/$B150,0),0)</f>
        <v>0</v>
      </c>
      <c r="CP150" s="46">
        <f>=IFERROR(ROUND((CP21+CP22)/$B150,0),0)</f>
        <v>0</v>
      </c>
      <c r="CQ150" s="46">
        <f>=IFERROR(ROUND((CQ21+CQ22)/$B150,0),0)</f>
        <v>0</v>
      </c>
      <c r="CR150" s="46">
        <f>=IFERROR(ROUND((CR21+CR22)/$B150,0),0)</f>
        <v>0</v>
      </c>
      <c r="CS150" s="46">
        <f>=IFERROR(ROUND((CS21+CS22)/$B150,0),0)</f>
        <v>0</v>
      </c>
      <c r="CT150" s="46">
        <f>=IFERROR(ROUND((CT21+CT22)/$B150,0),0)</f>
        <v>0</v>
      </c>
      <c r="CU150" s="46">
        <f>=IFERROR(ROUND((CU21+CU22)/$B150,0),0)</f>
        <v>0</v>
      </c>
      <c r="CV150" s="46">
        <f>=IFERROR(ROUND((CV21+CV22)/$B150,0),0)</f>
        <v>0</v>
      </c>
      <c r="CW150" s="46">
        <f>=IFERROR(ROUND((CW21+CW22)/$B150,0),0)</f>
        <v>0</v>
      </c>
      <c r="CX150" s="46">
        <f>=IFERROR(ROUND((CX21+CX22)/$B150,0),0)</f>
        <v>0</v>
      </c>
      <c r="CY150" s="46">
        <f>=IFERROR(ROUND((CY21+CY22)/$B150,0),0)</f>
        <v>0</v>
      </c>
      <c r="CZ150" s="46">
        <f>=IFERROR(ROUND((CZ21+CZ22)/$B150,0),0)</f>
        <v>0</v>
      </c>
      <c r="DA150" s="46">
        <f>=IFERROR(ROUND((DA21+DA22)/$B150,0),0)</f>
        <v>0</v>
      </c>
      <c r="DB150" s="46">
        <f>=IFERROR(ROUND((DB21+DB22)/$B150,0),0)</f>
        <v>0</v>
      </c>
    </row>
    <row r="151" spans="1:106" x14ac:dyDescent="0.25">
      <c r="A151" s="17" t="s">
        <v>362</v>
      </c>
      <c r="B151" s="17">
        <v>15</v>
      </c>
      <c r="C151" s="46">
        <f>=IFERROR(ROUND(C23/$B151,0),0)</f>
        <v>0</v>
      </c>
      <c r="D151" s="46">
        <f>=IFERROR(ROUND(D23/$B151,0),0)</f>
        <v>0</v>
      </c>
      <c r="E151" s="46">
        <f>=IFERROR(ROUND(E23/$B151,0),0)</f>
        <v>0</v>
      </c>
      <c r="F151" s="46">
        <f>=IFERROR(ROUND(F23/$B151,0),0)</f>
        <v>0</v>
      </c>
      <c r="G151" s="46">
        <f>=IFERROR(ROUND(G23/$B151,0),0)</f>
        <v>0</v>
      </c>
      <c r="H151" s="46">
        <f>=IFERROR(ROUND(H23/$B151,0),0)</f>
        <v>0</v>
      </c>
      <c r="I151" s="46">
        <f>=IFERROR(ROUND(I23/$B151,0),0)</f>
        <v>0</v>
      </c>
      <c r="J151" s="46">
        <f>=IFERROR(ROUND(J23/$B151,0),0)</f>
        <v>0</v>
      </c>
      <c r="K151" s="46">
        <f>=IFERROR(ROUND(K23/$B151,0),0)</f>
        <v>0</v>
      </c>
      <c r="L151" s="46">
        <f>=IFERROR(ROUND(L23/$B151,0),0)</f>
        <v>0</v>
      </c>
      <c r="M151" s="46">
        <f>=IFERROR(ROUND(M23/$B151,0),0)</f>
        <v>0</v>
      </c>
      <c r="N151" s="46">
        <f>=IFERROR(ROUND(N23/$B151,0),0)</f>
        <v>0</v>
      </c>
      <c r="O151" s="46">
        <f>=IFERROR(ROUND(O23/$B151,0),0)</f>
        <v>0</v>
      </c>
      <c r="P151" s="46">
        <f>=IFERROR(ROUND(P23/$B151,0),0)</f>
        <v>0</v>
      </c>
      <c r="Q151" s="46">
        <f>=IFERROR(ROUND(Q23/$B151,0),0)</f>
        <v>0</v>
      </c>
      <c r="R151" s="46">
        <f>=IFERROR(ROUND(R23/$B151,0),0)</f>
        <v>0</v>
      </c>
      <c r="S151" s="46">
        <f>=IFERROR(ROUND(S23/$B151,0),0)</f>
        <v>0</v>
      </c>
      <c r="T151" s="46">
        <f>=IFERROR(ROUND(T23/$B151,0),0)</f>
        <v>0</v>
      </c>
      <c r="U151" s="46">
        <f>=IFERROR(ROUND(U23/$B151,0),0)</f>
        <v>0</v>
      </c>
      <c r="V151" s="46">
        <f>=IFERROR(ROUND(V23/$B151,0),0)</f>
        <v>0</v>
      </c>
      <c r="W151" s="46">
        <f>=IFERROR(ROUND(W23/$B151,0),0)</f>
        <v>0</v>
      </c>
      <c r="X151" s="46">
        <f>=IFERROR(ROUND(X23/$B151,0),0)</f>
        <v>0</v>
      </c>
      <c r="Y151" s="46">
        <f>=IFERROR(ROUND(Y23/$B151,0),0)</f>
        <v>0</v>
      </c>
      <c r="Z151" s="46">
        <f>=IFERROR(ROUND(Z23/$B151,0),0)</f>
        <v>0</v>
      </c>
      <c r="AA151" s="46">
        <f>=IFERROR(ROUND(AA23/$B151,0),0)</f>
        <v>0</v>
      </c>
      <c r="AB151" s="46">
        <f>=IFERROR(ROUND(AB23/$B151,0),0)</f>
        <v>0</v>
      </c>
      <c r="AC151" s="46">
        <f>=IFERROR(ROUND(AC23/$B151,0),0)</f>
        <v>0</v>
      </c>
      <c r="AD151" s="46">
        <f>=IFERROR(ROUND(AD23/$B151,0),0)</f>
        <v>0</v>
      </c>
      <c r="AE151" s="46">
        <f>=IFERROR(ROUND(AE23/$B151,0),0)</f>
        <v>0</v>
      </c>
      <c r="AF151" s="46">
        <f>=IFERROR(ROUND(AF23/$B151,0),0)</f>
        <v>0</v>
      </c>
      <c r="AG151" s="46">
        <f>=IFERROR(ROUND(AG23/$B151,0),0)</f>
        <v>0</v>
      </c>
      <c r="AH151" s="46">
        <f>=IFERROR(ROUND(AH23/$B151,0),0)</f>
        <v>0</v>
      </c>
      <c r="AI151" s="46">
        <f>=IFERROR(ROUND(AI23/$B151,0),0)</f>
        <v>0</v>
      </c>
      <c r="AJ151" s="46">
        <f>=IFERROR(ROUND(AJ23/$B151,0),0)</f>
        <v>0</v>
      </c>
      <c r="AK151" s="46">
        <f>=IFERROR(ROUND(AK23/$B151,0),0)</f>
        <v>0</v>
      </c>
      <c r="AL151" s="46">
        <f>=IFERROR(ROUND(AL23/$B151,0),0)</f>
        <v>0</v>
      </c>
      <c r="AM151" s="46">
        <f>=IFERROR(ROUND(AM23/$B151,0),0)</f>
        <v>0</v>
      </c>
      <c r="AN151" s="46">
        <f>=IFERROR(ROUND(AN23/$B151,0),0)</f>
        <v>0</v>
      </c>
      <c r="AO151" s="46">
        <f>=IFERROR(ROUND(AO23/$B151,0),0)</f>
        <v>0</v>
      </c>
      <c r="AP151" s="46">
        <f>=IFERROR(ROUND(AP23/$B151,0),0)</f>
        <v>0</v>
      </c>
      <c r="AQ151" s="46">
        <f>=IFERROR(ROUND(AQ23/$B151,0),0)</f>
        <v>0</v>
      </c>
      <c r="AR151" s="46">
        <f>=IFERROR(ROUND(AR23/$B151,0),0)</f>
        <v>0</v>
      </c>
      <c r="AS151" s="46">
        <f>=IFERROR(ROUND(AS23/$B151,0),0)</f>
        <v>0</v>
      </c>
      <c r="AT151" s="46">
        <f>=IFERROR(ROUND(AT23/$B151,0),0)</f>
        <v>0</v>
      </c>
      <c r="AU151" s="46">
        <f>=IFERROR(ROUND(AU23/$B151,0),0)</f>
        <v>0</v>
      </c>
      <c r="AV151" s="46">
        <f>=IFERROR(ROUND(AV23/$B151,0),0)</f>
        <v>0</v>
      </c>
      <c r="AW151" s="46">
        <f>=IFERROR(ROUND(AW23/$B151,0),0)</f>
        <v>0</v>
      </c>
      <c r="AX151" s="46">
        <f>=IFERROR(ROUND(AX23/$B151,0),0)</f>
        <v>0</v>
      </c>
      <c r="AY151" s="46">
        <f>=IFERROR(ROUND(AY23/$B151,0),0)</f>
        <v>0</v>
      </c>
      <c r="AZ151" s="46">
        <f>=IFERROR(ROUND(AZ23/$B151,0),0)</f>
        <v>0</v>
      </c>
      <c r="BA151" s="46">
        <f>=IFERROR(ROUND(BA23/$B151,0),0)</f>
        <v>0</v>
      </c>
      <c r="BB151" s="46">
        <f>=IFERROR(ROUND(BB23/$B151,0),0)</f>
        <v>0</v>
      </c>
      <c r="BC151" s="46">
        <f>=IFERROR(ROUND(BC23/$B151,0),0)</f>
        <v>0</v>
      </c>
      <c r="BD151" s="46">
        <f>=IFERROR(ROUND(BD23/$B151,0),0)</f>
        <v>0</v>
      </c>
      <c r="BE151" s="46">
        <f>=IFERROR(ROUND(BE23/$B151,0),0)</f>
        <v>0</v>
      </c>
      <c r="BF151" s="46">
        <f>=IFERROR(ROUND(BF23/$B151,0),0)</f>
        <v>0</v>
      </c>
      <c r="BG151" s="46">
        <f>=IFERROR(ROUND(BG23/$B151,0),0)</f>
        <v>0</v>
      </c>
      <c r="BH151" s="46">
        <f>=IFERROR(ROUND(BH23/$B151,0),0)</f>
        <v>0</v>
      </c>
      <c r="BI151" s="46">
        <f>=IFERROR(ROUND(BI23/$B151,0),0)</f>
        <v>0</v>
      </c>
      <c r="BJ151" s="46">
        <f>=IFERROR(ROUND(BJ23/$B151,0),0)</f>
        <v>0</v>
      </c>
      <c r="BK151" s="46">
        <f>=IFERROR(ROUND(BK23/$B151,0),0)</f>
        <v>0</v>
      </c>
      <c r="BL151" s="46">
        <f>=IFERROR(ROUND(BL23/$B151,0),0)</f>
        <v>0</v>
      </c>
      <c r="BM151" s="46">
        <f>=IFERROR(ROUND(BM23/$B151,0),0)</f>
        <v>0</v>
      </c>
      <c r="BN151" s="46">
        <f>=IFERROR(ROUND(BN23/$B151,0),0)</f>
        <v>0</v>
      </c>
      <c r="BO151" s="46">
        <f>=IFERROR(ROUND(BO23/$B151,0),0)</f>
        <v>0</v>
      </c>
      <c r="BP151" s="46">
        <f>=IFERROR(ROUND(BP23/$B151,0),0)</f>
        <v>0</v>
      </c>
      <c r="BQ151" s="46">
        <f>=IFERROR(ROUND(BQ23/$B151,0),0)</f>
        <v>0</v>
      </c>
      <c r="BR151" s="46">
        <f>=IFERROR(ROUND(BR23/$B151,0),0)</f>
        <v>0</v>
      </c>
      <c r="BS151" s="46">
        <f>=IFERROR(ROUND(BS23/$B151,0),0)</f>
        <v>0</v>
      </c>
      <c r="BT151" s="46">
        <f>=IFERROR(ROUND(BT23/$B151,0),0)</f>
        <v>0</v>
      </c>
      <c r="BU151" s="46">
        <f>=IFERROR(ROUND(BU23/$B151,0),0)</f>
        <v>0</v>
      </c>
      <c r="BV151" s="46">
        <f>=IFERROR(ROUND(BV23/$B151,0),0)</f>
        <v>0</v>
      </c>
      <c r="BW151" s="46">
        <f>=IFERROR(ROUND(BW23/$B151,0),0)</f>
        <v>0</v>
      </c>
      <c r="BX151" s="46">
        <f>=IFERROR(ROUND(BX23/$B151,0),0)</f>
        <v>0</v>
      </c>
      <c r="BY151" s="46">
        <f>=IFERROR(ROUND(BY23/$B151,0),0)</f>
        <v>0</v>
      </c>
      <c r="BZ151" s="46">
        <f>=IFERROR(ROUND(BZ23/$B151,0),0)</f>
        <v>0</v>
      </c>
      <c r="CA151" s="46">
        <f>=IFERROR(ROUND(CA23/$B151,0),0)</f>
        <v>0</v>
      </c>
      <c r="CB151" s="46">
        <f>=IFERROR(ROUND(CB23/$B151,0),0)</f>
        <v>0</v>
      </c>
      <c r="CC151" s="46">
        <f>=IFERROR(ROUND(CC23/$B151,0),0)</f>
        <v>0</v>
      </c>
      <c r="CD151" s="46">
        <f>=IFERROR(ROUND(CD23/$B151,0),0)</f>
        <v>0</v>
      </c>
      <c r="CE151" s="46">
        <f>=IFERROR(ROUND(CE23/$B151,0),0)</f>
        <v>0</v>
      </c>
      <c r="CF151" s="46">
        <f>=IFERROR(ROUND(CF23/$B151,0),0)</f>
        <v>0</v>
      </c>
      <c r="CG151" s="46">
        <f>=IFERROR(ROUND(CG23/$B151,0),0)</f>
        <v>0</v>
      </c>
      <c r="CH151" s="46">
        <f>=IFERROR(ROUND(CH23/$B151,0),0)</f>
        <v>0</v>
      </c>
      <c r="CI151" s="46">
        <f>=IFERROR(ROUND(CI23/$B151,0),0)</f>
        <v>0</v>
      </c>
      <c r="CJ151" s="46">
        <f>=IFERROR(ROUND(CJ23/$B151,0),0)</f>
        <v>0</v>
      </c>
      <c r="CK151" s="46">
        <f>=IFERROR(ROUND(CK23/$B151,0),0)</f>
        <v>0</v>
      </c>
      <c r="CL151" s="46">
        <f>=IFERROR(ROUND(CL23/$B151,0),0)</f>
        <v>0</v>
      </c>
      <c r="CM151" s="46">
        <f>=IFERROR(ROUND(CM23/$B151,0),0)</f>
        <v>0</v>
      </c>
      <c r="CN151" s="46">
        <f>=IFERROR(ROUND(CN23/$B151,0),0)</f>
        <v>0</v>
      </c>
      <c r="CO151" s="46">
        <f>=IFERROR(ROUND(CO23/$B151,0),0)</f>
        <v>0</v>
      </c>
      <c r="CP151" s="46">
        <f>=IFERROR(ROUND(CP23/$B151,0),0)</f>
        <v>0</v>
      </c>
      <c r="CQ151" s="46">
        <f>=IFERROR(ROUND(CQ23/$B151,0),0)</f>
        <v>0</v>
      </c>
      <c r="CR151" s="46">
        <f>=IFERROR(ROUND(CR23/$B151,0),0)</f>
        <v>0</v>
      </c>
      <c r="CS151" s="46">
        <f>=IFERROR(ROUND(CS23/$B151,0),0)</f>
        <v>0</v>
      </c>
      <c r="CT151" s="46">
        <f>=IFERROR(ROUND(CT23/$B151,0),0)</f>
        <v>0</v>
      </c>
      <c r="CU151" s="46">
        <f>=IFERROR(ROUND(CU23/$B151,0),0)</f>
        <v>0</v>
      </c>
      <c r="CV151" s="46">
        <f>=IFERROR(ROUND(CV23/$B151,0),0)</f>
        <v>0</v>
      </c>
      <c r="CW151" s="46">
        <f>=IFERROR(ROUND(CW23/$B151,0),0)</f>
        <v>0</v>
      </c>
      <c r="CX151" s="46">
        <f>=IFERROR(ROUND(CX23/$B151,0),0)</f>
        <v>0</v>
      </c>
      <c r="CY151" s="46">
        <f>=IFERROR(ROUND(CY23/$B151,0),0)</f>
        <v>0</v>
      </c>
      <c r="CZ151" s="46">
        <f>=IFERROR(ROUND(CZ23/$B151,0),0)</f>
        <v>0</v>
      </c>
      <c r="DA151" s="46">
        <f>=IFERROR(ROUND(DA23/$B151,0),0)</f>
        <v>0</v>
      </c>
      <c r="DB151" s="46">
        <f>=IFERROR(ROUND(DB23/$B151,0),0)</f>
        <v>0</v>
      </c>
    </row>
    <row r="152" spans="1:106" x14ac:dyDescent="0.25">
      <c r="A152" s="17" t="s">
        <v>363</v>
      </c>
      <c r="B152" s="17">
        <v>15</v>
      </c>
      <c r="C152" s="46">
        <f>=IFERROR(ROUND(C24/$B152,0),0)</f>
        <v>0</v>
      </c>
      <c r="D152" s="46">
        <f>=IFERROR(ROUND(D24/$B152,0),0)</f>
        <v>0</v>
      </c>
      <c r="E152" s="46">
        <f>=IFERROR(ROUND(E24/$B152,0),0)</f>
        <v>0</v>
      </c>
      <c r="F152" s="46">
        <f>=IFERROR(ROUND(F24/$B152,0),0)</f>
        <v>0</v>
      </c>
      <c r="G152" s="46">
        <f>=IFERROR(ROUND(G24/$B152,0),0)</f>
        <v>0</v>
      </c>
      <c r="H152" s="46">
        <f>=IFERROR(ROUND(H24/$B152,0),0)</f>
        <v>0</v>
      </c>
      <c r="I152" s="46">
        <f>=IFERROR(ROUND(I24/$B152,0),0)</f>
        <v>0</v>
      </c>
      <c r="J152" s="46">
        <f>=IFERROR(ROUND(J24/$B152,0),0)</f>
        <v>0</v>
      </c>
      <c r="K152" s="46">
        <f>=IFERROR(ROUND(K24/$B152,0),0)</f>
        <v>0</v>
      </c>
      <c r="L152" s="46">
        <f>=IFERROR(ROUND(L24/$B152,0),0)</f>
        <v>0</v>
      </c>
      <c r="M152" s="46">
        <f>=IFERROR(ROUND(M24/$B152,0),0)</f>
        <v>0</v>
      </c>
      <c r="N152" s="46">
        <f>=IFERROR(ROUND(N24/$B152,0),0)</f>
        <v>0</v>
      </c>
      <c r="O152" s="46">
        <f>=IFERROR(ROUND(O24/$B152,0),0)</f>
        <v>0</v>
      </c>
      <c r="P152" s="46">
        <f>=IFERROR(ROUND(P24/$B152,0),0)</f>
        <v>0</v>
      </c>
      <c r="Q152" s="46">
        <f>=IFERROR(ROUND(Q24/$B152,0),0)</f>
        <v>0</v>
      </c>
      <c r="R152" s="46">
        <f>=IFERROR(ROUND(R24/$B152,0),0)</f>
        <v>0</v>
      </c>
      <c r="S152" s="46">
        <f>=IFERROR(ROUND(S24/$B152,0),0)</f>
        <v>0</v>
      </c>
      <c r="T152" s="46">
        <f>=IFERROR(ROUND(T24/$B152,0),0)</f>
        <v>0</v>
      </c>
      <c r="U152" s="46">
        <f>=IFERROR(ROUND(U24/$B152,0),0)</f>
        <v>0</v>
      </c>
      <c r="V152" s="46">
        <f>=IFERROR(ROUND(V24/$B152,0),0)</f>
        <v>0</v>
      </c>
      <c r="W152" s="46">
        <f>=IFERROR(ROUND(W24/$B152,0),0)</f>
        <v>0</v>
      </c>
      <c r="X152" s="46">
        <f>=IFERROR(ROUND(X24/$B152,0),0)</f>
        <v>0</v>
      </c>
      <c r="Y152" s="46">
        <f>=IFERROR(ROUND(Y24/$B152,0),0)</f>
        <v>0</v>
      </c>
      <c r="Z152" s="46">
        <f>=IFERROR(ROUND(Z24/$B152,0),0)</f>
        <v>0</v>
      </c>
      <c r="AA152" s="46">
        <f>=IFERROR(ROUND(AA24/$B152,0),0)</f>
        <v>0</v>
      </c>
      <c r="AB152" s="46">
        <f>=IFERROR(ROUND(AB24/$B152,0),0)</f>
        <v>0</v>
      </c>
      <c r="AC152" s="46">
        <f>=IFERROR(ROUND(AC24/$B152,0),0)</f>
        <v>0</v>
      </c>
      <c r="AD152" s="46">
        <f>=IFERROR(ROUND(AD24/$B152,0),0)</f>
        <v>0</v>
      </c>
      <c r="AE152" s="46">
        <f>=IFERROR(ROUND(AE24/$B152,0),0)</f>
        <v>0</v>
      </c>
      <c r="AF152" s="46">
        <f>=IFERROR(ROUND(AF24/$B152,0),0)</f>
        <v>0</v>
      </c>
      <c r="AG152" s="46">
        <f>=IFERROR(ROUND(AG24/$B152,0),0)</f>
        <v>0</v>
      </c>
      <c r="AH152" s="46">
        <f>=IFERROR(ROUND(AH24/$B152,0),0)</f>
        <v>0</v>
      </c>
      <c r="AI152" s="46">
        <f>=IFERROR(ROUND(AI24/$B152,0),0)</f>
        <v>0</v>
      </c>
      <c r="AJ152" s="46">
        <f>=IFERROR(ROUND(AJ24/$B152,0),0)</f>
        <v>0</v>
      </c>
      <c r="AK152" s="46">
        <f>=IFERROR(ROUND(AK24/$B152,0),0)</f>
        <v>0</v>
      </c>
      <c r="AL152" s="46">
        <f>=IFERROR(ROUND(AL24/$B152,0),0)</f>
        <v>0</v>
      </c>
      <c r="AM152" s="46">
        <f>=IFERROR(ROUND(AM24/$B152,0),0)</f>
        <v>0</v>
      </c>
      <c r="AN152" s="46">
        <f>=IFERROR(ROUND(AN24/$B152,0),0)</f>
        <v>0</v>
      </c>
      <c r="AO152" s="46">
        <f>=IFERROR(ROUND(AO24/$B152,0),0)</f>
        <v>0</v>
      </c>
      <c r="AP152" s="46">
        <f>=IFERROR(ROUND(AP24/$B152,0),0)</f>
        <v>0</v>
      </c>
      <c r="AQ152" s="46">
        <f>=IFERROR(ROUND(AQ24/$B152,0),0)</f>
        <v>0</v>
      </c>
      <c r="AR152" s="46">
        <f>=IFERROR(ROUND(AR24/$B152,0),0)</f>
        <v>0</v>
      </c>
      <c r="AS152" s="46">
        <f>=IFERROR(ROUND(AS24/$B152,0),0)</f>
        <v>0</v>
      </c>
      <c r="AT152" s="46">
        <f>=IFERROR(ROUND(AT24/$B152,0),0)</f>
        <v>0</v>
      </c>
      <c r="AU152" s="46">
        <f>=IFERROR(ROUND(AU24/$B152,0),0)</f>
        <v>0</v>
      </c>
      <c r="AV152" s="46">
        <f>=IFERROR(ROUND(AV24/$B152,0),0)</f>
        <v>0</v>
      </c>
      <c r="AW152" s="46">
        <f>=IFERROR(ROUND(AW24/$B152,0),0)</f>
        <v>0</v>
      </c>
      <c r="AX152" s="46">
        <f>=IFERROR(ROUND(AX24/$B152,0),0)</f>
        <v>0</v>
      </c>
      <c r="AY152" s="46">
        <f>=IFERROR(ROUND(AY24/$B152,0),0)</f>
        <v>0</v>
      </c>
      <c r="AZ152" s="46">
        <f>=IFERROR(ROUND(AZ24/$B152,0),0)</f>
        <v>0</v>
      </c>
      <c r="BA152" s="46">
        <f>=IFERROR(ROUND(BA24/$B152,0),0)</f>
        <v>0</v>
      </c>
      <c r="BB152" s="46">
        <f>=IFERROR(ROUND(BB24/$B152,0),0)</f>
        <v>0</v>
      </c>
      <c r="BC152" s="46">
        <f>=IFERROR(ROUND(BC24/$B152,0),0)</f>
        <v>0</v>
      </c>
      <c r="BD152" s="46">
        <f>=IFERROR(ROUND(BD24/$B152,0),0)</f>
        <v>0</v>
      </c>
      <c r="BE152" s="46">
        <f>=IFERROR(ROUND(BE24/$B152,0),0)</f>
        <v>0</v>
      </c>
      <c r="BF152" s="46">
        <f>=IFERROR(ROUND(BF24/$B152,0),0)</f>
        <v>0</v>
      </c>
      <c r="BG152" s="46">
        <f>=IFERROR(ROUND(BG24/$B152,0),0)</f>
        <v>0</v>
      </c>
      <c r="BH152" s="46">
        <f>=IFERROR(ROUND(BH24/$B152,0),0)</f>
        <v>0</v>
      </c>
      <c r="BI152" s="46">
        <f>=IFERROR(ROUND(BI24/$B152,0),0)</f>
        <v>0</v>
      </c>
      <c r="BJ152" s="46">
        <f>=IFERROR(ROUND(BJ24/$B152,0),0)</f>
        <v>0</v>
      </c>
      <c r="BK152" s="46">
        <f>=IFERROR(ROUND(BK24/$B152,0),0)</f>
        <v>0</v>
      </c>
      <c r="BL152" s="46">
        <f>=IFERROR(ROUND(BL24/$B152,0),0)</f>
        <v>0</v>
      </c>
      <c r="BM152" s="46">
        <f>=IFERROR(ROUND(BM24/$B152,0),0)</f>
        <v>0</v>
      </c>
      <c r="BN152" s="46">
        <f>=IFERROR(ROUND(BN24/$B152,0),0)</f>
        <v>0</v>
      </c>
      <c r="BO152" s="46">
        <f>=IFERROR(ROUND(BO24/$B152,0),0)</f>
        <v>0</v>
      </c>
      <c r="BP152" s="46">
        <f>=IFERROR(ROUND(BP24/$B152,0),0)</f>
        <v>0</v>
      </c>
      <c r="BQ152" s="46">
        <f>=IFERROR(ROUND(BQ24/$B152,0),0)</f>
        <v>0</v>
      </c>
      <c r="BR152" s="46">
        <f>=IFERROR(ROUND(BR24/$B152,0),0)</f>
        <v>0</v>
      </c>
      <c r="BS152" s="46">
        <f>=IFERROR(ROUND(BS24/$B152,0),0)</f>
        <v>0</v>
      </c>
      <c r="BT152" s="46">
        <f>=IFERROR(ROUND(BT24/$B152,0),0)</f>
        <v>0</v>
      </c>
      <c r="BU152" s="46">
        <f>=IFERROR(ROUND(BU24/$B152,0),0)</f>
        <v>0</v>
      </c>
      <c r="BV152" s="46">
        <f>=IFERROR(ROUND(BV24/$B152,0),0)</f>
        <v>0</v>
      </c>
      <c r="BW152" s="46">
        <f>=IFERROR(ROUND(BW24/$B152,0),0)</f>
        <v>0</v>
      </c>
      <c r="BX152" s="46">
        <f>=IFERROR(ROUND(BX24/$B152,0),0)</f>
        <v>0</v>
      </c>
      <c r="BY152" s="46">
        <f>=IFERROR(ROUND(BY24/$B152,0),0)</f>
        <v>0</v>
      </c>
      <c r="BZ152" s="46">
        <f>=IFERROR(ROUND(BZ24/$B152,0),0)</f>
        <v>0</v>
      </c>
      <c r="CA152" s="46">
        <f>=IFERROR(ROUND(CA24/$B152,0),0)</f>
        <v>0</v>
      </c>
      <c r="CB152" s="46">
        <f>=IFERROR(ROUND(CB24/$B152,0),0)</f>
        <v>0</v>
      </c>
      <c r="CC152" s="46">
        <f>=IFERROR(ROUND(CC24/$B152,0),0)</f>
        <v>0</v>
      </c>
      <c r="CD152" s="46">
        <f>=IFERROR(ROUND(CD24/$B152,0),0)</f>
        <v>0</v>
      </c>
      <c r="CE152" s="46">
        <f>=IFERROR(ROUND(CE24/$B152,0),0)</f>
        <v>0</v>
      </c>
      <c r="CF152" s="46">
        <f>=IFERROR(ROUND(CF24/$B152,0),0)</f>
        <v>0</v>
      </c>
      <c r="CG152" s="46">
        <f>=IFERROR(ROUND(CG24/$B152,0),0)</f>
        <v>0</v>
      </c>
      <c r="CH152" s="46">
        <f>=IFERROR(ROUND(CH24/$B152,0),0)</f>
        <v>0</v>
      </c>
      <c r="CI152" s="46">
        <f>=IFERROR(ROUND(CI24/$B152,0),0)</f>
        <v>0</v>
      </c>
      <c r="CJ152" s="46">
        <f>=IFERROR(ROUND(CJ24/$B152,0),0)</f>
        <v>0</v>
      </c>
      <c r="CK152" s="46">
        <f>=IFERROR(ROUND(CK24/$B152,0),0)</f>
        <v>0</v>
      </c>
      <c r="CL152" s="46">
        <f>=IFERROR(ROUND(CL24/$B152,0),0)</f>
        <v>0</v>
      </c>
      <c r="CM152" s="46">
        <f>=IFERROR(ROUND(CM24/$B152,0),0)</f>
        <v>0</v>
      </c>
      <c r="CN152" s="46">
        <f>=IFERROR(ROUND(CN24/$B152,0),0)</f>
        <v>0</v>
      </c>
      <c r="CO152" s="46">
        <f>=IFERROR(ROUND(CO24/$B152,0),0)</f>
        <v>0</v>
      </c>
      <c r="CP152" s="46">
        <f>=IFERROR(ROUND(CP24/$B152,0),0)</f>
        <v>0</v>
      </c>
      <c r="CQ152" s="46">
        <f>=IFERROR(ROUND(CQ24/$B152,0),0)</f>
        <v>0</v>
      </c>
      <c r="CR152" s="46">
        <f>=IFERROR(ROUND(CR24/$B152,0),0)</f>
        <v>0</v>
      </c>
      <c r="CS152" s="46">
        <f>=IFERROR(ROUND(CS24/$B152,0),0)</f>
        <v>0</v>
      </c>
      <c r="CT152" s="46">
        <f>=IFERROR(ROUND(CT24/$B152,0),0)</f>
        <v>0</v>
      </c>
      <c r="CU152" s="46">
        <f>=IFERROR(ROUND(CU24/$B152,0),0)</f>
        <v>0</v>
      </c>
      <c r="CV152" s="46">
        <f>=IFERROR(ROUND(CV24/$B152,0),0)</f>
        <v>0</v>
      </c>
      <c r="CW152" s="46">
        <f>=IFERROR(ROUND(CW24/$B152,0),0)</f>
        <v>0</v>
      </c>
      <c r="CX152" s="46">
        <f>=IFERROR(ROUND(CX24/$B152,0),0)</f>
        <v>0</v>
      </c>
      <c r="CY152" s="46">
        <f>=IFERROR(ROUND(CY24/$B152,0),0)</f>
        <v>0</v>
      </c>
      <c r="CZ152" s="46">
        <f>=IFERROR(ROUND(CZ24/$B152,0),0)</f>
        <v>0</v>
      </c>
      <c r="DA152" s="46">
        <f>=IFERROR(ROUND(DA24/$B152,0),0)</f>
        <v>0</v>
      </c>
      <c r="DB152" s="46">
        <f>=IFERROR(ROUND(DB24/$B152,0),0)</f>
        <v>0</v>
      </c>
    </row>
    <row r="153" spans="1:106" x14ac:dyDescent="0.25">
      <c r="A153" s="17" t="s">
        <v>364</v>
      </c>
      <c r="B153" s="17">
        <v>30</v>
      </c>
      <c r="C153" s="46">
        <f>=IFERROR(ROUND(C23/$B153,0),0)</f>
        <v>0</v>
      </c>
      <c r="D153" s="46">
        <f>=IFERROR(ROUND(D23/$B153,0),0)</f>
        <v>0</v>
      </c>
      <c r="E153" s="46">
        <f>=IFERROR(ROUND(E23/$B153,0),0)</f>
        <v>0</v>
      </c>
      <c r="F153" s="46">
        <f>=IFERROR(ROUND(F23/$B153,0),0)</f>
        <v>0</v>
      </c>
      <c r="G153" s="46">
        <f>=IFERROR(ROUND(G23/$B153,0),0)</f>
        <v>0</v>
      </c>
      <c r="H153" s="46">
        <f>=IFERROR(ROUND(H23/$B153,0),0)</f>
        <v>0</v>
      </c>
      <c r="I153" s="46">
        <f>=IFERROR(ROUND(I23/$B153,0),0)</f>
        <v>0</v>
      </c>
      <c r="J153" s="46">
        <f>=IFERROR(ROUND(J23/$B153,0),0)</f>
        <v>0</v>
      </c>
      <c r="K153" s="46">
        <f>=IFERROR(ROUND(K23/$B153,0),0)</f>
        <v>0</v>
      </c>
      <c r="L153" s="46">
        <f>=IFERROR(ROUND(L23/$B153,0),0)</f>
        <v>0</v>
      </c>
      <c r="M153" s="46">
        <f>=IFERROR(ROUND(M23/$B153,0),0)</f>
        <v>0</v>
      </c>
      <c r="N153" s="46">
        <f>=IFERROR(ROUND(N23/$B153,0),0)</f>
        <v>0</v>
      </c>
      <c r="O153" s="46">
        <f>=IFERROR(ROUND(O23/$B153,0),0)</f>
        <v>0</v>
      </c>
      <c r="P153" s="46">
        <f>=IFERROR(ROUND(P23/$B153,0),0)</f>
        <v>0</v>
      </c>
      <c r="Q153" s="46">
        <f>=IFERROR(ROUND(Q23/$B153,0),0)</f>
        <v>0</v>
      </c>
      <c r="R153" s="46">
        <f>=IFERROR(ROUND(R23/$B153,0),0)</f>
        <v>0</v>
      </c>
      <c r="S153" s="46">
        <f>=IFERROR(ROUND(S23/$B153,0),0)</f>
        <v>0</v>
      </c>
      <c r="T153" s="46">
        <f>=IFERROR(ROUND(T23/$B153,0),0)</f>
        <v>0</v>
      </c>
      <c r="U153" s="46">
        <f>=IFERROR(ROUND(U23/$B153,0),0)</f>
        <v>0</v>
      </c>
      <c r="V153" s="46">
        <f>=IFERROR(ROUND(V23/$B153,0),0)</f>
        <v>0</v>
      </c>
      <c r="W153" s="46">
        <f>=IFERROR(ROUND(W23/$B153,0),0)</f>
        <v>0</v>
      </c>
      <c r="X153" s="46">
        <f>=IFERROR(ROUND(X23/$B153,0),0)</f>
        <v>0</v>
      </c>
      <c r="Y153" s="46">
        <f>=IFERROR(ROUND(Y23/$B153,0),0)</f>
        <v>0</v>
      </c>
      <c r="Z153" s="46">
        <f>=IFERROR(ROUND(Z23/$B153,0),0)</f>
        <v>0</v>
      </c>
      <c r="AA153" s="46">
        <f>=IFERROR(ROUND(AA23/$B153,0),0)</f>
        <v>0</v>
      </c>
      <c r="AB153" s="46">
        <f>=IFERROR(ROUND(AB23/$B153,0),0)</f>
        <v>0</v>
      </c>
      <c r="AC153" s="46">
        <f>=IFERROR(ROUND(AC23/$B153,0),0)</f>
        <v>0</v>
      </c>
      <c r="AD153" s="46">
        <f>=IFERROR(ROUND(AD23/$B153,0),0)</f>
        <v>0</v>
      </c>
      <c r="AE153" s="46">
        <f>=IFERROR(ROUND(AE23/$B153,0),0)</f>
        <v>0</v>
      </c>
      <c r="AF153" s="46">
        <f>=IFERROR(ROUND(AF23/$B153,0),0)</f>
        <v>0</v>
      </c>
      <c r="AG153" s="46">
        <f>=IFERROR(ROUND(AG23/$B153,0),0)</f>
        <v>0</v>
      </c>
      <c r="AH153" s="46">
        <f>=IFERROR(ROUND(AH23/$B153,0),0)</f>
        <v>0</v>
      </c>
      <c r="AI153" s="46">
        <f>=IFERROR(ROUND(AI23/$B153,0),0)</f>
        <v>0</v>
      </c>
      <c r="AJ153" s="46">
        <f>=IFERROR(ROUND(AJ23/$B153,0),0)</f>
        <v>0</v>
      </c>
      <c r="AK153" s="46">
        <f>=IFERROR(ROUND(AK23/$B153,0),0)</f>
        <v>0</v>
      </c>
      <c r="AL153" s="46">
        <f>=IFERROR(ROUND(AL23/$B153,0),0)</f>
        <v>0</v>
      </c>
      <c r="AM153" s="46">
        <f>=IFERROR(ROUND(AM23/$B153,0),0)</f>
        <v>0</v>
      </c>
      <c r="AN153" s="46">
        <f>=IFERROR(ROUND(AN23/$B153,0),0)</f>
        <v>0</v>
      </c>
      <c r="AO153" s="46">
        <f>=IFERROR(ROUND(AO23/$B153,0),0)</f>
        <v>0</v>
      </c>
      <c r="AP153" s="46">
        <f>=IFERROR(ROUND(AP23/$B153,0),0)</f>
        <v>0</v>
      </c>
      <c r="AQ153" s="46">
        <f>=IFERROR(ROUND(AQ23/$B153,0),0)</f>
        <v>0</v>
      </c>
      <c r="AR153" s="46">
        <f>=IFERROR(ROUND(AR23/$B153,0),0)</f>
        <v>0</v>
      </c>
      <c r="AS153" s="46">
        <f>=IFERROR(ROUND(AS23/$B153,0),0)</f>
        <v>0</v>
      </c>
      <c r="AT153" s="46">
        <f>=IFERROR(ROUND(AT23/$B153,0),0)</f>
        <v>0</v>
      </c>
      <c r="AU153" s="46">
        <f>=IFERROR(ROUND(AU23/$B153,0),0)</f>
        <v>0</v>
      </c>
      <c r="AV153" s="46">
        <f>=IFERROR(ROUND(AV23/$B153,0),0)</f>
        <v>0</v>
      </c>
      <c r="AW153" s="46">
        <f>=IFERROR(ROUND(AW23/$B153,0),0)</f>
        <v>0</v>
      </c>
      <c r="AX153" s="46">
        <f>=IFERROR(ROUND(AX23/$B153,0),0)</f>
        <v>0</v>
      </c>
      <c r="AY153" s="46">
        <f>=IFERROR(ROUND(AY23/$B153,0),0)</f>
        <v>0</v>
      </c>
      <c r="AZ153" s="46">
        <f>=IFERROR(ROUND(AZ23/$B153,0),0)</f>
        <v>0</v>
      </c>
      <c r="BA153" s="46">
        <f>=IFERROR(ROUND(BA23/$B153,0),0)</f>
        <v>0</v>
      </c>
      <c r="BB153" s="46">
        <f>=IFERROR(ROUND(BB23/$B153,0),0)</f>
        <v>0</v>
      </c>
      <c r="BC153" s="46">
        <f>=IFERROR(ROUND(BC23/$B153,0),0)</f>
        <v>0</v>
      </c>
      <c r="BD153" s="46">
        <f>=IFERROR(ROUND(BD23/$B153,0),0)</f>
        <v>0</v>
      </c>
      <c r="BE153" s="46">
        <f>=IFERROR(ROUND(BE23/$B153,0),0)</f>
        <v>0</v>
      </c>
      <c r="BF153" s="46">
        <f>=IFERROR(ROUND(BF23/$B153,0),0)</f>
        <v>0</v>
      </c>
      <c r="BG153" s="46">
        <f>=IFERROR(ROUND(BG23/$B153,0),0)</f>
        <v>0</v>
      </c>
      <c r="BH153" s="46">
        <f>=IFERROR(ROUND(BH23/$B153,0),0)</f>
        <v>0</v>
      </c>
      <c r="BI153" s="46">
        <f>=IFERROR(ROUND(BI23/$B153,0),0)</f>
        <v>0</v>
      </c>
      <c r="BJ153" s="46">
        <f>=IFERROR(ROUND(BJ23/$B153,0),0)</f>
        <v>0</v>
      </c>
      <c r="BK153" s="46">
        <f>=IFERROR(ROUND(BK23/$B153,0),0)</f>
        <v>0</v>
      </c>
      <c r="BL153" s="46">
        <f>=IFERROR(ROUND(BL23/$B153,0),0)</f>
        <v>0</v>
      </c>
      <c r="BM153" s="46">
        <f>=IFERROR(ROUND(BM23/$B153,0),0)</f>
        <v>0</v>
      </c>
      <c r="BN153" s="46">
        <f>=IFERROR(ROUND(BN23/$B153,0),0)</f>
        <v>0</v>
      </c>
      <c r="BO153" s="46">
        <f>=IFERROR(ROUND(BO23/$B153,0),0)</f>
        <v>0</v>
      </c>
      <c r="BP153" s="46">
        <f>=IFERROR(ROUND(BP23/$B153,0),0)</f>
        <v>0</v>
      </c>
      <c r="BQ153" s="46">
        <f>=IFERROR(ROUND(BQ23/$B153,0),0)</f>
        <v>0</v>
      </c>
      <c r="BR153" s="46">
        <f>=IFERROR(ROUND(BR23/$B153,0),0)</f>
        <v>0</v>
      </c>
      <c r="BS153" s="46">
        <f>=IFERROR(ROUND(BS23/$B153,0),0)</f>
        <v>0</v>
      </c>
      <c r="BT153" s="46">
        <f>=IFERROR(ROUND(BT23/$B153,0),0)</f>
        <v>0</v>
      </c>
      <c r="BU153" s="46">
        <f>=IFERROR(ROUND(BU23/$B153,0),0)</f>
        <v>0</v>
      </c>
      <c r="BV153" s="46">
        <f>=IFERROR(ROUND(BV23/$B153,0),0)</f>
        <v>0</v>
      </c>
      <c r="BW153" s="46">
        <f>=IFERROR(ROUND(BW23/$B153,0),0)</f>
        <v>0</v>
      </c>
      <c r="BX153" s="46">
        <f>=IFERROR(ROUND(BX23/$B153,0),0)</f>
        <v>0</v>
      </c>
      <c r="BY153" s="46">
        <f>=IFERROR(ROUND(BY23/$B153,0),0)</f>
        <v>0</v>
      </c>
      <c r="BZ153" s="46">
        <f>=IFERROR(ROUND(BZ23/$B153,0),0)</f>
        <v>0</v>
      </c>
      <c r="CA153" s="46">
        <f>=IFERROR(ROUND(CA23/$B153,0),0)</f>
        <v>0</v>
      </c>
      <c r="CB153" s="46">
        <f>=IFERROR(ROUND(CB23/$B153,0),0)</f>
        <v>0</v>
      </c>
      <c r="CC153" s="46">
        <f>=IFERROR(ROUND(CC23/$B153,0),0)</f>
        <v>0</v>
      </c>
      <c r="CD153" s="46">
        <f>=IFERROR(ROUND(CD23/$B153,0),0)</f>
        <v>0</v>
      </c>
      <c r="CE153" s="46">
        <f>=IFERROR(ROUND(CE23/$B153,0),0)</f>
        <v>0</v>
      </c>
      <c r="CF153" s="46">
        <f>=IFERROR(ROUND(CF23/$B153,0),0)</f>
        <v>0</v>
      </c>
      <c r="CG153" s="46">
        <f>=IFERROR(ROUND(CG23/$B153,0),0)</f>
        <v>0</v>
      </c>
      <c r="CH153" s="46">
        <f>=IFERROR(ROUND(CH23/$B153,0),0)</f>
        <v>0</v>
      </c>
      <c r="CI153" s="46">
        <f>=IFERROR(ROUND(CI23/$B153,0),0)</f>
        <v>0</v>
      </c>
      <c r="CJ153" s="46">
        <f>=IFERROR(ROUND(CJ23/$B153,0),0)</f>
        <v>0</v>
      </c>
      <c r="CK153" s="46">
        <f>=IFERROR(ROUND(CK23/$B153,0),0)</f>
        <v>0</v>
      </c>
      <c r="CL153" s="46">
        <f>=IFERROR(ROUND(CL23/$B153,0),0)</f>
        <v>0</v>
      </c>
      <c r="CM153" s="46">
        <f>=IFERROR(ROUND(CM23/$B153,0),0)</f>
        <v>0</v>
      </c>
      <c r="CN153" s="46">
        <f>=IFERROR(ROUND(CN23/$B153,0),0)</f>
        <v>0</v>
      </c>
      <c r="CO153" s="46">
        <f>=IFERROR(ROUND(CO23/$B153,0),0)</f>
        <v>0</v>
      </c>
      <c r="CP153" s="46">
        <f>=IFERROR(ROUND(CP23/$B153,0),0)</f>
        <v>0</v>
      </c>
      <c r="CQ153" s="46">
        <f>=IFERROR(ROUND(CQ23/$B153,0),0)</f>
        <v>0</v>
      </c>
      <c r="CR153" s="46">
        <f>=IFERROR(ROUND(CR23/$B153,0),0)</f>
        <v>0</v>
      </c>
      <c r="CS153" s="46">
        <f>=IFERROR(ROUND(CS23/$B153,0),0)</f>
        <v>0</v>
      </c>
      <c r="CT153" s="46">
        <f>=IFERROR(ROUND(CT23/$B153,0),0)</f>
        <v>0</v>
      </c>
      <c r="CU153" s="46">
        <f>=IFERROR(ROUND(CU23/$B153,0),0)</f>
        <v>0</v>
      </c>
      <c r="CV153" s="46">
        <f>=IFERROR(ROUND(CV23/$B153,0),0)</f>
        <v>0</v>
      </c>
      <c r="CW153" s="46">
        <f>=IFERROR(ROUND(CW23/$B153,0),0)</f>
        <v>0</v>
      </c>
      <c r="CX153" s="46">
        <f>=IFERROR(ROUND(CX23/$B153,0),0)</f>
        <v>0</v>
      </c>
      <c r="CY153" s="46">
        <f>=IFERROR(ROUND(CY23/$B153,0),0)</f>
        <v>0</v>
      </c>
      <c r="CZ153" s="46">
        <f>=IFERROR(ROUND(CZ23/$B153,0),0)</f>
        <v>0</v>
      </c>
      <c r="DA153" s="46">
        <f>=IFERROR(ROUND(DA23/$B153,0),0)</f>
        <v>0</v>
      </c>
      <c r="DB153" s="46">
        <f>=IFERROR(ROUND(DB23/$B153,0),0)</f>
        <v>0</v>
      </c>
    </row>
    <row r="154" spans="1:106" x14ac:dyDescent="0.25">
      <c r="A154" s="17" t="s">
        <v>365</v>
      </c>
      <c r="B154" s="17">
        <v>15</v>
      </c>
      <c r="C154" s="46">
        <f>=IFERROR(ROUND(C22/$B154,0),0)</f>
        <v>0</v>
      </c>
      <c r="D154" s="46">
        <f>=IFERROR(ROUND(D22/$B154,0),0)</f>
        <v>0</v>
      </c>
      <c r="E154" s="46">
        <f>=IFERROR(ROUND(E22/$B154,0),0)</f>
        <v>0</v>
      </c>
      <c r="F154" s="46">
        <f>=IFERROR(ROUND(F22/$B154,0),0)</f>
        <v>0</v>
      </c>
      <c r="G154" s="46">
        <f>=IFERROR(ROUND(G22/$B154,0),0)</f>
        <v>0</v>
      </c>
      <c r="H154" s="46">
        <f>=IFERROR(ROUND(H22/$B154,0),0)</f>
        <v>0</v>
      </c>
      <c r="I154" s="46">
        <f>=IFERROR(ROUND(I22/$B154,0),0)</f>
        <v>0</v>
      </c>
      <c r="J154" s="46">
        <f>=IFERROR(ROUND(J22/$B154,0),0)</f>
        <v>0</v>
      </c>
      <c r="K154" s="46">
        <f>=IFERROR(ROUND(K22/$B154,0),0)</f>
        <v>0</v>
      </c>
      <c r="L154" s="46">
        <f>=IFERROR(ROUND(L22/$B154,0),0)</f>
        <v>0</v>
      </c>
      <c r="M154" s="46">
        <f>=IFERROR(ROUND(M22/$B154,0),0)</f>
        <v>0</v>
      </c>
      <c r="N154" s="46">
        <f>=IFERROR(ROUND(N22/$B154,0),0)</f>
        <v>0</v>
      </c>
      <c r="O154" s="46">
        <f>=IFERROR(ROUND(O22/$B154,0),0)</f>
        <v>0</v>
      </c>
      <c r="P154" s="46">
        <f>=IFERROR(ROUND(P22/$B154,0),0)</f>
        <v>0</v>
      </c>
      <c r="Q154" s="46">
        <f>=IFERROR(ROUND(Q22/$B154,0),0)</f>
        <v>0</v>
      </c>
      <c r="R154" s="46">
        <f>=IFERROR(ROUND(R22/$B154,0),0)</f>
        <v>0</v>
      </c>
      <c r="S154" s="46">
        <f>=IFERROR(ROUND(S22/$B154,0),0)</f>
        <v>0</v>
      </c>
      <c r="T154" s="46">
        <f>=IFERROR(ROUND(T22/$B154,0),0)</f>
        <v>0</v>
      </c>
      <c r="U154" s="46">
        <f>=IFERROR(ROUND(U22/$B154,0),0)</f>
        <v>0</v>
      </c>
      <c r="V154" s="46">
        <f>=IFERROR(ROUND(V22/$B154,0),0)</f>
        <v>0</v>
      </c>
      <c r="W154" s="46">
        <f>=IFERROR(ROUND(W22/$B154,0),0)</f>
        <v>0</v>
      </c>
      <c r="X154" s="46">
        <f>=IFERROR(ROUND(X22/$B154,0),0)</f>
        <v>0</v>
      </c>
      <c r="Y154" s="46">
        <f>=IFERROR(ROUND(Y22/$B154,0),0)</f>
        <v>0</v>
      </c>
      <c r="Z154" s="46">
        <f>=IFERROR(ROUND(Z22/$B154,0),0)</f>
        <v>0</v>
      </c>
      <c r="AA154" s="46">
        <f>=IFERROR(ROUND(AA22/$B154,0),0)</f>
        <v>0</v>
      </c>
      <c r="AB154" s="46">
        <f>=IFERROR(ROUND(AB22/$B154,0),0)</f>
        <v>0</v>
      </c>
      <c r="AC154" s="46">
        <f>=IFERROR(ROUND(AC22/$B154,0),0)</f>
        <v>0</v>
      </c>
      <c r="AD154" s="46">
        <f>=IFERROR(ROUND(AD22/$B154,0),0)</f>
        <v>0</v>
      </c>
      <c r="AE154" s="46">
        <f>=IFERROR(ROUND(AE22/$B154,0),0)</f>
        <v>0</v>
      </c>
      <c r="AF154" s="46">
        <f>=IFERROR(ROUND(AF22/$B154,0),0)</f>
        <v>0</v>
      </c>
      <c r="AG154" s="46">
        <f>=IFERROR(ROUND(AG22/$B154,0),0)</f>
        <v>0</v>
      </c>
      <c r="AH154" s="46">
        <f>=IFERROR(ROUND(AH22/$B154,0),0)</f>
        <v>0</v>
      </c>
      <c r="AI154" s="46">
        <f>=IFERROR(ROUND(AI22/$B154,0),0)</f>
        <v>0</v>
      </c>
      <c r="AJ154" s="46">
        <f>=IFERROR(ROUND(AJ22/$B154,0),0)</f>
        <v>0</v>
      </c>
      <c r="AK154" s="46">
        <f>=IFERROR(ROUND(AK22/$B154,0),0)</f>
        <v>0</v>
      </c>
      <c r="AL154" s="46">
        <f>=IFERROR(ROUND(AL22/$B154,0),0)</f>
        <v>0</v>
      </c>
      <c r="AM154" s="46">
        <f>=IFERROR(ROUND(AM22/$B154,0),0)</f>
        <v>0</v>
      </c>
      <c r="AN154" s="46">
        <f>=IFERROR(ROUND(AN22/$B154,0),0)</f>
        <v>0</v>
      </c>
      <c r="AO154" s="46">
        <f>=IFERROR(ROUND(AO22/$B154,0),0)</f>
        <v>0</v>
      </c>
      <c r="AP154" s="46">
        <f>=IFERROR(ROUND(AP22/$B154,0),0)</f>
        <v>0</v>
      </c>
      <c r="AQ154" s="46">
        <f>=IFERROR(ROUND(AQ22/$B154,0),0)</f>
        <v>0</v>
      </c>
      <c r="AR154" s="46">
        <f>=IFERROR(ROUND(AR22/$B154,0),0)</f>
        <v>0</v>
      </c>
      <c r="AS154" s="46">
        <f>=IFERROR(ROUND(AS22/$B154,0),0)</f>
        <v>0</v>
      </c>
      <c r="AT154" s="46">
        <f>=IFERROR(ROUND(AT22/$B154,0),0)</f>
        <v>0</v>
      </c>
      <c r="AU154" s="46">
        <f>=IFERROR(ROUND(AU22/$B154,0),0)</f>
        <v>0</v>
      </c>
      <c r="AV154" s="46">
        <f>=IFERROR(ROUND(AV22/$B154,0),0)</f>
        <v>0</v>
      </c>
      <c r="AW154" s="46">
        <f>=IFERROR(ROUND(AW22/$B154,0),0)</f>
        <v>0</v>
      </c>
      <c r="AX154" s="46">
        <f>=IFERROR(ROUND(AX22/$B154,0),0)</f>
        <v>0</v>
      </c>
      <c r="AY154" s="46">
        <f>=IFERROR(ROUND(AY22/$B154,0),0)</f>
        <v>0</v>
      </c>
      <c r="AZ154" s="46">
        <f>=IFERROR(ROUND(AZ22/$B154,0),0)</f>
        <v>0</v>
      </c>
      <c r="BA154" s="46">
        <f>=IFERROR(ROUND(BA22/$B154,0),0)</f>
        <v>0</v>
      </c>
      <c r="BB154" s="46">
        <f>=IFERROR(ROUND(BB22/$B154,0),0)</f>
        <v>0</v>
      </c>
      <c r="BC154" s="46">
        <f>=IFERROR(ROUND(BC22/$B154,0),0)</f>
        <v>0</v>
      </c>
      <c r="BD154" s="46">
        <f>=IFERROR(ROUND(BD22/$B154,0),0)</f>
        <v>0</v>
      </c>
      <c r="BE154" s="46">
        <f>=IFERROR(ROUND(BE22/$B154,0),0)</f>
        <v>0</v>
      </c>
      <c r="BF154" s="46">
        <f>=IFERROR(ROUND(BF22/$B154,0),0)</f>
        <v>0</v>
      </c>
      <c r="BG154" s="46">
        <f>=IFERROR(ROUND(BG22/$B154,0),0)</f>
        <v>0</v>
      </c>
      <c r="BH154" s="46">
        <f>=IFERROR(ROUND(BH22/$B154,0),0)</f>
        <v>0</v>
      </c>
      <c r="BI154" s="46">
        <f>=IFERROR(ROUND(BI22/$B154,0),0)</f>
        <v>0</v>
      </c>
      <c r="BJ154" s="46">
        <f>=IFERROR(ROUND(BJ22/$B154,0),0)</f>
        <v>0</v>
      </c>
      <c r="BK154" s="46">
        <f>=IFERROR(ROUND(BK22/$B154,0),0)</f>
        <v>0</v>
      </c>
      <c r="BL154" s="46">
        <f>=IFERROR(ROUND(BL22/$B154,0),0)</f>
        <v>0</v>
      </c>
      <c r="BM154" s="46">
        <f>=IFERROR(ROUND(BM22/$B154,0),0)</f>
        <v>0</v>
      </c>
      <c r="BN154" s="46">
        <f>=IFERROR(ROUND(BN22/$B154,0),0)</f>
        <v>0</v>
      </c>
      <c r="BO154" s="46">
        <f>=IFERROR(ROUND(BO22/$B154,0),0)</f>
        <v>0</v>
      </c>
      <c r="BP154" s="46">
        <f>=IFERROR(ROUND(BP22/$B154,0),0)</f>
        <v>0</v>
      </c>
      <c r="BQ154" s="46">
        <f>=IFERROR(ROUND(BQ22/$B154,0),0)</f>
        <v>0</v>
      </c>
      <c r="BR154" s="46">
        <f>=IFERROR(ROUND(BR22/$B154,0),0)</f>
        <v>0</v>
      </c>
      <c r="BS154" s="46">
        <f>=IFERROR(ROUND(BS22/$B154,0),0)</f>
        <v>0</v>
      </c>
      <c r="BT154" s="46">
        <f>=IFERROR(ROUND(BT22/$B154,0),0)</f>
        <v>0</v>
      </c>
      <c r="BU154" s="46">
        <f>=IFERROR(ROUND(BU22/$B154,0),0)</f>
        <v>0</v>
      </c>
      <c r="BV154" s="46">
        <f>=IFERROR(ROUND(BV22/$B154,0),0)</f>
        <v>0</v>
      </c>
      <c r="BW154" s="46">
        <f>=IFERROR(ROUND(BW22/$B154,0),0)</f>
        <v>0</v>
      </c>
      <c r="BX154" s="46">
        <f>=IFERROR(ROUND(BX22/$B154,0),0)</f>
        <v>0</v>
      </c>
      <c r="BY154" s="46">
        <f>=IFERROR(ROUND(BY22/$B154,0),0)</f>
        <v>0</v>
      </c>
      <c r="BZ154" s="46">
        <f>=IFERROR(ROUND(BZ22/$B154,0),0)</f>
        <v>0</v>
      </c>
      <c r="CA154" s="46">
        <f>=IFERROR(ROUND(CA22/$B154,0),0)</f>
        <v>0</v>
      </c>
      <c r="CB154" s="46">
        <f>=IFERROR(ROUND(CB22/$B154,0),0)</f>
        <v>0</v>
      </c>
      <c r="CC154" s="46">
        <f>=IFERROR(ROUND(CC22/$B154,0),0)</f>
        <v>0</v>
      </c>
      <c r="CD154" s="46">
        <f>=IFERROR(ROUND(CD22/$B154,0),0)</f>
        <v>0</v>
      </c>
      <c r="CE154" s="46">
        <f>=IFERROR(ROUND(CE22/$B154,0),0)</f>
        <v>0</v>
      </c>
      <c r="CF154" s="46">
        <f>=IFERROR(ROUND(CF22/$B154,0),0)</f>
        <v>0</v>
      </c>
      <c r="CG154" s="46">
        <f>=IFERROR(ROUND(CG22/$B154,0),0)</f>
        <v>0</v>
      </c>
      <c r="CH154" s="46">
        <f>=IFERROR(ROUND(CH22/$B154,0),0)</f>
        <v>0</v>
      </c>
      <c r="CI154" s="46">
        <f>=IFERROR(ROUND(CI22/$B154,0),0)</f>
        <v>0</v>
      </c>
      <c r="CJ154" s="46">
        <f>=IFERROR(ROUND(CJ22/$B154,0),0)</f>
        <v>0</v>
      </c>
      <c r="CK154" s="46">
        <f>=IFERROR(ROUND(CK22/$B154,0),0)</f>
        <v>0</v>
      </c>
      <c r="CL154" s="46">
        <f>=IFERROR(ROUND(CL22/$B154,0),0)</f>
        <v>0</v>
      </c>
      <c r="CM154" s="46">
        <f>=IFERROR(ROUND(CM22/$B154,0),0)</f>
        <v>0</v>
      </c>
      <c r="CN154" s="46">
        <f>=IFERROR(ROUND(CN22/$B154,0),0)</f>
        <v>0</v>
      </c>
      <c r="CO154" s="46">
        <f>=IFERROR(ROUND(CO22/$B154,0),0)</f>
        <v>0</v>
      </c>
      <c r="CP154" s="46">
        <f>=IFERROR(ROUND(CP22/$B154,0),0)</f>
        <v>0</v>
      </c>
      <c r="CQ154" s="46">
        <f>=IFERROR(ROUND(CQ22/$B154,0),0)</f>
        <v>0</v>
      </c>
      <c r="CR154" s="46">
        <f>=IFERROR(ROUND(CR22/$B154,0),0)</f>
        <v>0</v>
      </c>
      <c r="CS154" s="46">
        <f>=IFERROR(ROUND(CS22/$B154,0),0)</f>
        <v>0</v>
      </c>
      <c r="CT154" s="46">
        <f>=IFERROR(ROUND(CT22/$B154,0),0)</f>
        <v>0</v>
      </c>
      <c r="CU154" s="46">
        <f>=IFERROR(ROUND(CU22/$B154,0),0)</f>
        <v>0</v>
      </c>
      <c r="CV154" s="46">
        <f>=IFERROR(ROUND(CV22/$B154,0),0)</f>
        <v>0</v>
      </c>
      <c r="CW154" s="46">
        <f>=IFERROR(ROUND(CW22/$B154,0),0)</f>
        <v>0</v>
      </c>
      <c r="CX154" s="46">
        <f>=IFERROR(ROUND(CX22/$B154,0),0)</f>
        <v>0</v>
      </c>
      <c r="CY154" s="46">
        <f>=IFERROR(ROUND(CY22/$B154,0),0)</f>
        <v>0</v>
      </c>
      <c r="CZ154" s="46">
        <f>=IFERROR(ROUND(CZ22/$B154,0),0)</f>
        <v>0</v>
      </c>
      <c r="DA154" s="46">
        <f>=IFERROR(ROUND(DA22/$B154,0),0)</f>
        <v>0</v>
      </c>
      <c r="DB154" s="46">
        <f>=IFERROR(ROUND(DB22/$B154,0),0)</f>
        <v>0</v>
      </c>
    </row>
    <row r="155" spans="3:106" x14ac:dyDescent="0.25"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30"/>
      <c r="BD155" s="30"/>
      <c r="BE155" s="30"/>
      <c r="BF155" s="30"/>
      <c r="BG155" s="30"/>
      <c r="BH155" s="30"/>
      <c r="BI155" s="30"/>
      <c r="BJ155" s="30"/>
      <c r="BK155" s="30"/>
      <c r="BL155" s="30"/>
      <c r="BM155" s="30"/>
      <c r="BN155" s="30"/>
      <c r="BO155" s="30"/>
      <c r="BP155" s="30"/>
      <c r="BQ155" s="30"/>
      <c r="BR155" s="30"/>
      <c r="BS155" s="30"/>
      <c r="BT155" s="30"/>
      <c r="BU155" s="30"/>
      <c r="BV155" s="30"/>
      <c r="BW155" s="30"/>
      <c r="BX155" s="30"/>
      <c r="BY155" s="30"/>
      <c r="BZ155" s="30"/>
      <c r="CA155" s="30"/>
      <c r="CB155" s="30"/>
      <c r="CC155" s="30"/>
      <c r="CD155" s="30"/>
      <c r="CE155" s="30"/>
      <c r="CF155" s="30"/>
      <c r="CG155" s="30"/>
      <c r="CH155" s="30"/>
      <c r="CI155" s="30"/>
      <c r="CJ155" s="30"/>
      <c r="CK155" s="30"/>
      <c r="CL155" s="30"/>
      <c r="CM155" s="30"/>
      <c r="CN155" s="30"/>
      <c r="CO155" s="30"/>
      <c r="CP155" s="30"/>
      <c r="CQ155" s="30"/>
      <c r="CR155" s="30"/>
      <c r="CS155" s="30"/>
      <c r="CT155" s="30"/>
      <c r="CU155" s="30"/>
      <c r="CV155" s="30"/>
      <c r="CW155" s="30"/>
      <c r="CX155" s="30"/>
      <c r="CY155" s="30"/>
      <c r="CZ155" s="30"/>
      <c r="DA155" s="30"/>
      <c r="DB155" s="30"/>
    </row>
    <row r="156" spans="1:106" x14ac:dyDescent="0.25">
      <c r="A156" s="33" t="s">
        <v>366</v>
      </c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  <c r="BE156" s="30"/>
      <c r="BF156" s="30"/>
      <c r="BG156" s="30"/>
      <c r="BH156" s="30"/>
      <c r="BI156" s="30"/>
      <c r="BJ156" s="30"/>
      <c r="BK156" s="30"/>
      <c r="BL156" s="30"/>
      <c r="BM156" s="30"/>
      <c r="BN156" s="30"/>
      <c r="BO156" s="30"/>
      <c r="BP156" s="30"/>
      <c r="BQ156" s="30"/>
      <c r="BR156" s="30"/>
      <c r="BS156" s="30"/>
      <c r="BT156" s="30"/>
      <c r="BU156" s="30"/>
      <c r="BV156" s="30"/>
      <c r="BW156" s="30"/>
      <c r="BX156" s="30"/>
      <c r="BY156" s="30"/>
      <c r="BZ156" s="30"/>
      <c r="CA156" s="30"/>
      <c r="CB156" s="30"/>
      <c r="CC156" s="30"/>
      <c r="CD156" s="30"/>
      <c r="CE156" s="30"/>
      <c r="CF156" s="30"/>
      <c r="CG156" s="30"/>
      <c r="CH156" s="30"/>
      <c r="CI156" s="30"/>
      <c r="CJ156" s="30"/>
      <c r="CK156" s="30"/>
      <c r="CL156" s="30"/>
      <c r="CM156" s="30"/>
      <c r="CN156" s="30"/>
      <c r="CO156" s="30"/>
      <c r="CP156" s="30"/>
      <c r="CQ156" s="30"/>
      <c r="CR156" s="30"/>
      <c r="CS156" s="30"/>
      <c r="CT156" s="30"/>
      <c r="CU156" s="30"/>
      <c r="CV156" s="30"/>
      <c r="CW156" s="30"/>
      <c r="CX156" s="30"/>
      <c r="CY156" s="30"/>
      <c r="CZ156" s="30"/>
      <c r="DA156" s="30"/>
      <c r="DB156" s="30"/>
    </row>
    <row r="157" spans="1:106" x14ac:dyDescent="0.25">
      <c r="A157" s="17" t="s">
        <v>367</v>
      </c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  <c r="BD157" s="30"/>
      <c r="BE157" s="30"/>
      <c r="BF157" s="30"/>
      <c r="BG157" s="30"/>
      <c r="BH157" s="30"/>
      <c r="BI157" s="30"/>
      <c r="BJ157" s="30"/>
      <c r="BK157" s="30"/>
      <c r="BL157" s="30"/>
      <c r="BM157" s="30"/>
      <c r="BN157" s="30"/>
      <c r="BO157" s="30"/>
      <c r="BP157" s="30"/>
      <c r="BQ157" s="30"/>
      <c r="BR157" s="30"/>
      <c r="BS157" s="30"/>
      <c r="BT157" s="30"/>
      <c r="BU157" s="30"/>
      <c r="BV157" s="30"/>
      <c r="BW157" s="30"/>
      <c r="BX157" s="30"/>
      <c r="BY157" s="30"/>
      <c r="BZ157" s="30"/>
      <c r="CA157" s="30"/>
      <c r="CB157" s="30"/>
      <c r="CC157" s="30"/>
      <c r="CD157" s="30"/>
      <c r="CE157" s="30"/>
      <c r="CF157" s="30"/>
      <c r="CG157" s="30"/>
      <c r="CH157" s="30"/>
      <c r="CI157" s="30"/>
      <c r="CJ157" s="30"/>
      <c r="CK157" s="30"/>
      <c r="CL157" s="30"/>
      <c r="CM157" s="30"/>
      <c r="CN157" s="30"/>
      <c r="CO157" s="30"/>
      <c r="CP157" s="30"/>
      <c r="CQ157" s="30"/>
      <c r="CR157" s="30"/>
      <c r="CS157" s="30"/>
      <c r="CT157" s="30"/>
      <c r="CU157" s="30"/>
      <c r="CV157" s="30"/>
      <c r="CW157" s="30"/>
      <c r="CX157" s="30"/>
      <c r="CY157" s="30"/>
      <c r="CZ157" s="30"/>
      <c r="DA157" s="30"/>
      <c r="DB157" s="30"/>
    </row>
    <row r="158" spans="1:106" x14ac:dyDescent="0.25">
      <c r="A158" s="17" t="s">
        <v>357</v>
      </c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  <c r="BU158" s="30"/>
      <c r="BV158" s="30"/>
      <c r="BW158" s="30"/>
      <c r="BX158" s="30"/>
      <c r="BY158" s="30"/>
      <c r="BZ158" s="30"/>
      <c r="CA158" s="30"/>
      <c r="CB158" s="30"/>
      <c r="CC158" s="30"/>
      <c r="CD158" s="30"/>
      <c r="CE158" s="30"/>
      <c r="CF158" s="30"/>
      <c r="CG158" s="30"/>
      <c r="CH158" s="30"/>
      <c r="CI158" s="30"/>
      <c r="CJ158" s="30"/>
      <c r="CK158" s="30"/>
      <c r="CL158" s="30"/>
      <c r="CM158" s="30"/>
      <c r="CN158" s="30"/>
      <c r="CO158" s="30"/>
      <c r="CP158" s="30"/>
      <c r="CQ158" s="30"/>
      <c r="CR158" s="30"/>
      <c r="CS158" s="30"/>
      <c r="CT158" s="30"/>
      <c r="CU158" s="30"/>
      <c r="CV158" s="30"/>
      <c r="CW158" s="30"/>
      <c r="CX158" s="30"/>
      <c r="CY158" s="30"/>
      <c r="CZ158" s="30"/>
      <c r="DA158" s="30"/>
      <c r="DB158" s="30"/>
    </row>
    <row r="159" spans="1:106" x14ac:dyDescent="0.25">
      <c r="A159" s="17" t="s">
        <v>358</v>
      </c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  <c r="BP159" s="30"/>
      <c r="BQ159" s="30"/>
      <c r="BR159" s="30"/>
      <c r="BS159" s="30"/>
      <c r="BT159" s="30"/>
      <c r="BU159" s="30"/>
      <c r="BV159" s="30"/>
      <c r="BW159" s="30"/>
      <c r="BX159" s="30"/>
      <c r="BY159" s="30"/>
      <c r="BZ159" s="30"/>
      <c r="CA159" s="30"/>
      <c r="CB159" s="30"/>
      <c r="CC159" s="30"/>
      <c r="CD159" s="30"/>
      <c r="CE159" s="30"/>
      <c r="CF159" s="30"/>
      <c r="CG159" s="30"/>
      <c r="CH159" s="30"/>
      <c r="CI159" s="30"/>
      <c r="CJ159" s="30"/>
      <c r="CK159" s="30"/>
      <c r="CL159" s="30"/>
      <c r="CM159" s="30"/>
      <c r="CN159" s="30"/>
      <c r="CO159" s="30"/>
      <c r="CP159" s="30"/>
      <c r="CQ159" s="30"/>
      <c r="CR159" s="30"/>
      <c r="CS159" s="30"/>
      <c r="CT159" s="30"/>
      <c r="CU159" s="30"/>
      <c r="CV159" s="30"/>
      <c r="CW159" s="30"/>
      <c r="CX159" s="30"/>
      <c r="CY159" s="30"/>
      <c r="CZ159" s="30"/>
      <c r="DA159" s="30"/>
      <c r="DB159" s="30"/>
    </row>
    <row r="160" spans="1:106" x14ac:dyDescent="0.25">
      <c r="A160" s="17" t="s">
        <v>359</v>
      </c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  <c r="BF160" s="30"/>
      <c r="BG160" s="30"/>
      <c r="BH160" s="30"/>
      <c r="BI160" s="30"/>
      <c r="BJ160" s="30"/>
      <c r="BK160" s="30"/>
      <c r="BL160" s="30"/>
      <c r="BM160" s="30"/>
      <c r="BN160" s="30"/>
      <c r="BO160" s="30"/>
      <c r="BP160" s="30"/>
      <c r="BQ160" s="30"/>
      <c r="BR160" s="30"/>
      <c r="BS160" s="30"/>
      <c r="BT160" s="30"/>
      <c r="BU160" s="30"/>
      <c r="BV160" s="30"/>
      <c r="BW160" s="30"/>
      <c r="BX160" s="30"/>
      <c r="BY160" s="30"/>
      <c r="BZ160" s="30"/>
      <c r="CA160" s="30"/>
      <c r="CB160" s="30"/>
      <c r="CC160" s="30"/>
      <c r="CD160" s="30"/>
      <c r="CE160" s="30"/>
      <c r="CF160" s="30"/>
      <c r="CG160" s="30"/>
      <c r="CH160" s="30"/>
      <c r="CI160" s="30"/>
      <c r="CJ160" s="30"/>
      <c r="CK160" s="30"/>
      <c r="CL160" s="30"/>
      <c r="CM160" s="30"/>
      <c r="CN160" s="30"/>
      <c r="CO160" s="30"/>
      <c r="CP160" s="30"/>
      <c r="CQ160" s="30"/>
      <c r="CR160" s="30"/>
      <c r="CS160" s="30"/>
      <c r="CT160" s="30"/>
      <c r="CU160" s="30"/>
      <c r="CV160" s="30"/>
      <c r="CW160" s="30"/>
      <c r="CX160" s="30"/>
      <c r="CY160" s="30"/>
      <c r="CZ160" s="30"/>
      <c r="DA160" s="30"/>
      <c r="DB160" s="30"/>
    </row>
    <row r="161" spans="1:106" x14ac:dyDescent="0.25">
      <c r="A161" s="17" t="s">
        <v>360</v>
      </c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0"/>
      <c r="BK161" s="30"/>
      <c r="BL161" s="30"/>
      <c r="BM161" s="30"/>
      <c r="BN161" s="30"/>
      <c r="BO161" s="30"/>
      <c r="BP161" s="30"/>
      <c r="BQ161" s="30"/>
      <c r="BR161" s="30"/>
      <c r="BS161" s="30"/>
      <c r="BT161" s="30"/>
      <c r="BU161" s="30"/>
      <c r="BV161" s="30"/>
      <c r="BW161" s="30"/>
      <c r="BX161" s="30"/>
      <c r="BY161" s="30"/>
      <c r="BZ161" s="30"/>
      <c r="CA161" s="30"/>
      <c r="CB161" s="30"/>
      <c r="CC161" s="30"/>
      <c r="CD161" s="30"/>
      <c r="CE161" s="30"/>
      <c r="CF161" s="30"/>
      <c r="CG161" s="30"/>
      <c r="CH161" s="30"/>
      <c r="CI161" s="30"/>
      <c r="CJ161" s="30"/>
      <c r="CK161" s="30"/>
      <c r="CL161" s="30"/>
      <c r="CM161" s="30"/>
      <c r="CN161" s="30"/>
      <c r="CO161" s="30"/>
      <c r="CP161" s="30"/>
      <c r="CQ161" s="30"/>
      <c r="CR161" s="30"/>
      <c r="CS161" s="30"/>
      <c r="CT161" s="30"/>
      <c r="CU161" s="30"/>
      <c r="CV161" s="30"/>
      <c r="CW161" s="30"/>
      <c r="CX161" s="30"/>
      <c r="CY161" s="30"/>
      <c r="CZ161" s="30"/>
      <c r="DA161" s="30"/>
      <c r="DB161" s="30"/>
    </row>
    <row r="162" spans="1:106" x14ac:dyDescent="0.25">
      <c r="A162" s="17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30"/>
      <c r="BP162" s="30"/>
      <c r="BQ162" s="30"/>
      <c r="BR162" s="30"/>
      <c r="BS162" s="30"/>
      <c r="BT162" s="30"/>
      <c r="BU162" s="30"/>
      <c r="BV162" s="30"/>
      <c r="BW162" s="30"/>
      <c r="BX162" s="30"/>
      <c r="BY162" s="30"/>
      <c r="BZ162" s="30"/>
      <c r="CA162" s="30"/>
      <c r="CB162" s="30"/>
      <c r="CC162" s="30"/>
      <c r="CD162" s="30"/>
      <c r="CE162" s="30"/>
      <c r="CF162" s="30"/>
      <c r="CG162" s="30"/>
      <c r="CH162" s="30"/>
      <c r="CI162" s="30"/>
      <c r="CJ162" s="30"/>
      <c r="CK162" s="30"/>
      <c r="CL162" s="30"/>
      <c r="CM162" s="30"/>
      <c r="CN162" s="30"/>
      <c r="CO162" s="30"/>
      <c r="CP162" s="30"/>
      <c r="CQ162" s="30"/>
      <c r="CR162" s="30"/>
      <c r="CS162" s="30"/>
      <c r="CT162" s="30"/>
      <c r="CU162" s="30"/>
      <c r="CV162" s="30"/>
      <c r="CW162" s="30"/>
      <c r="CX162" s="30"/>
      <c r="CY162" s="30"/>
      <c r="CZ162" s="30"/>
      <c r="DA162" s="30"/>
      <c r="DB162" s="30"/>
    </row>
    <row r="163" spans="1:106" x14ac:dyDescent="0.25">
      <c r="A163" s="33" t="s">
        <v>368</v>
      </c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/>
      <c r="BE163" s="30"/>
      <c r="BF163" s="30"/>
      <c r="BG163" s="30"/>
      <c r="BH163" s="30"/>
      <c r="BI163" s="30"/>
      <c r="BJ163" s="30"/>
      <c r="BK163" s="30"/>
      <c r="BL163" s="30"/>
      <c r="BM163" s="30"/>
      <c r="BN163" s="30"/>
      <c r="BO163" s="30"/>
      <c r="BP163" s="30"/>
      <c r="BQ163" s="30"/>
      <c r="BR163" s="30"/>
      <c r="BS163" s="30"/>
      <c r="BT163" s="30"/>
      <c r="BU163" s="30"/>
      <c r="BV163" s="30"/>
      <c r="BW163" s="30"/>
      <c r="BX163" s="30"/>
      <c r="BY163" s="30"/>
      <c r="BZ163" s="30"/>
      <c r="CA163" s="30"/>
      <c r="CB163" s="30"/>
      <c r="CC163" s="30"/>
      <c r="CD163" s="30"/>
      <c r="CE163" s="30"/>
      <c r="CF163" s="30"/>
      <c r="CG163" s="30"/>
      <c r="CH163" s="30"/>
      <c r="CI163" s="30"/>
      <c r="CJ163" s="30"/>
      <c r="CK163" s="30"/>
      <c r="CL163" s="30"/>
      <c r="CM163" s="30"/>
      <c r="CN163" s="30"/>
      <c r="CO163" s="30"/>
      <c r="CP163" s="30"/>
      <c r="CQ163" s="30"/>
      <c r="CR163" s="30"/>
      <c r="CS163" s="30"/>
      <c r="CT163" s="30"/>
      <c r="CU163" s="30"/>
      <c r="CV163" s="30"/>
      <c r="CW163" s="30"/>
      <c r="CX163" s="30"/>
      <c r="CY163" s="30"/>
      <c r="CZ163" s="30"/>
      <c r="DA163" s="30"/>
      <c r="DB163" s="30"/>
    </row>
    <row r="164" spans="1:106" x14ac:dyDescent="0.25">
      <c r="A164" s="17" t="s">
        <v>367</v>
      </c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30"/>
      <c r="BD164" s="30"/>
      <c r="BE164" s="30"/>
      <c r="BF164" s="30"/>
      <c r="BG164" s="30"/>
      <c r="BH164" s="30"/>
      <c r="BI164" s="30"/>
      <c r="BJ164" s="30"/>
      <c r="BK164" s="30"/>
      <c r="BL164" s="30"/>
      <c r="BM164" s="30"/>
      <c r="BN164" s="30"/>
      <c r="BO164" s="30"/>
      <c r="BP164" s="30"/>
      <c r="BQ164" s="30"/>
      <c r="BR164" s="30"/>
      <c r="BS164" s="30"/>
      <c r="BT164" s="30"/>
      <c r="BU164" s="30"/>
      <c r="BV164" s="30"/>
      <c r="BW164" s="30"/>
      <c r="BX164" s="30"/>
      <c r="BY164" s="30"/>
      <c r="BZ164" s="30"/>
      <c r="CA164" s="30"/>
      <c r="CB164" s="30"/>
      <c r="CC164" s="30"/>
      <c r="CD164" s="30"/>
      <c r="CE164" s="30"/>
      <c r="CF164" s="30"/>
      <c r="CG164" s="30"/>
      <c r="CH164" s="30"/>
      <c r="CI164" s="30"/>
      <c r="CJ164" s="30"/>
      <c r="CK164" s="30"/>
      <c r="CL164" s="30"/>
      <c r="CM164" s="30"/>
      <c r="CN164" s="30"/>
      <c r="CO164" s="30"/>
      <c r="CP164" s="30"/>
      <c r="CQ164" s="30"/>
      <c r="CR164" s="30"/>
      <c r="CS164" s="30"/>
      <c r="CT164" s="30"/>
      <c r="CU164" s="30"/>
      <c r="CV164" s="30"/>
      <c r="CW164" s="30"/>
      <c r="CX164" s="30"/>
      <c r="CY164" s="30"/>
      <c r="CZ164" s="30"/>
      <c r="DA164" s="30"/>
      <c r="DB164" s="30"/>
    </row>
    <row r="165" spans="1:106" x14ac:dyDescent="0.25">
      <c r="A165" s="17" t="s">
        <v>357</v>
      </c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30"/>
      <c r="BD165" s="30"/>
      <c r="BE165" s="30"/>
      <c r="BF165" s="30"/>
      <c r="BG165" s="30"/>
      <c r="BH165" s="30"/>
      <c r="BI165" s="30"/>
      <c r="BJ165" s="30"/>
      <c r="BK165" s="30"/>
      <c r="BL165" s="30"/>
      <c r="BM165" s="30"/>
      <c r="BN165" s="30"/>
      <c r="BO165" s="30"/>
      <c r="BP165" s="30"/>
      <c r="BQ165" s="30"/>
      <c r="BR165" s="30"/>
      <c r="BS165" s="30"/>
      <c r="BT165" s="30"/>
      <c r="BU165" s="30"/>
      <c r="BV165" s="30"/>
      <c r="BW165" s="30"/>
      <c r="BX165" s="30"/>
      <c r="BY165" s="30"/>
      <c r="BZ165" s="30"/>
      <c r="CA165" s="30"/>
      <c r="CB165" s="30"/>
      <c r="CC165" s="30"/>
      <c r="CD165" s="30"/>
      <c r="CE165" s="30"/>
      <c r="CF165" s="30"/>
      <c r="CG165" s="30"/>
      <c r="CH165" s="30"/>
      <c r="CI165" s="30"/>
      <c r="CJ165" s="30"/>
      <c r="CK165" s="30"/>
      <c r="CL165" s="30"/>
      <c r="CM165" s="30"/>
      <c r="CN165" s="30"/>
      <c r="CO165" s="30"/>
      <c r="CP165" s="30"/>
      <c r="CQ165" s="30"/>
      <c r="CR165" s="30"/>
      <c r="CS165" s="30"/>
      <c r="CT165" s="30"/>
      <c r="CU165" s="30"/>
      <c r="CV165" s="30"/>
      <c r="CW165" s="30"/>
      <c r="CX165" s="30"/>
      <c r="CY165" s="30"/>
      <c r="CZ165" s="30"/>
      <c r="DA165" s="30"/>
      <c r="DB165" s="30"/>
    </row>
    <row r="166" spans="1:106" x14ac:dyDescent="0.25">
      <c r="A166" s="17" t="s">
        <v>358</v>
      </c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  <c r="BA166" s="30"/>
      <c r="BB166" s="30"/>
      <c r="BC166" s="30"/>
      <c r="BD166" s="30"/>
      <c r="BE166" s="30"/>
      <c r="BF166" s="30"/>
      <c r="BG166" s="30"/>
      <c r="BH166" s="30"/>
      <c r="BI166" s="30"/>
      <c r="BJ166" s="30"/>
      <c r="BK166" s="30"/>
      <c r="BL166" s="30"/>
      <c r="BM166" s="30"/>
      <c r="BN166" s="30"/>
      <c r="BO166" s="30"/>
      <c r="BP166" s="30"/>
      <c r="BQ166" s="30"/>
      <c r="BR166" s="30"/>
      <c r="BS166" s="30"/>
      <c r="BT166" s="30"/>
      <c r="BU166" s="30"/>
      <c r="BV166" s="30"/>
      <c r="BW166" s="30"/>
      <c r="BX166" s="30"/>
      <c r="BY166" s="30"/>
      <c r="BZ166" s="30"/>
      <c r="CA166" s="30"/>
      <c r="CB166" s="30"/>
      <c r="CC166" s="30"/>
      <c r="CD166" s="30"/>
      <c r="CE166" s="30"/>
      <c r="CF166" s="30"/>
      <c r="CG166" s="30"/>
      <c r="CH166" s="30"/>
      <c r="CI166" s="30"/>
      <c r="CJ166" s="30"/>
      <c r="CK166" s="30"/>
      <c r="CL166" s="30"/>
      <c r="CM166" s="30"/>
      <c r="CN166" s="30"/>
      <c r="CO166" s="30"/>
      <c r="CP166" s="30"/>
      <c r="CQ166" s="30"/>
      <c r="CR166" s="30"/>
      <c r="CS166" s="30"/>
      <c r="CT166" s="30"/>
      <c r="CU166" s="30"/>
      <c r="CV166" s="30"/>
      <c r="CW166" s="30"/>
      <c r="CX166" s="30"/>
      <c r="CY166" s="30"/>
      <c r="CZ166" s="30"/>
      <c r="DA166" s="30"/>
      <c r="DB166" s="30"/>
    </row>
    <row r="167" spans="1:106" x14ac:dyDescent="0.25">
      <c r="A167" s="17" t="s">
        <v>359</v>
      </c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  <c r="BC167" s="30"/>
      <c r="BD167" s="30"/>
      <c r="BE167" s="30"/>
      <c r="BF167" s="30"/>
      <c r="BG167" s="30"/>
      <c r="BH167" s="30"/>
      <c r="BI167" s="30"/>
      <c r="BJ167" s="30"/>
      <c r="BK167" s="30"/>
      <c r="BL167" s="30"/>
      <c r="BM167" s="30"/>
      <c r="BN167" s="30"/>
      <c r="BO167" s="30"/>
      <c r="BP167" s="30"/>
      <c r="BQ167" s="30"/>
      <c r="BR167" s="30"/>
      <c r="BS167" s="30"/>
      <c r="BT167" s="30"/>
      <c r="BU167" s="30"/>
      <c r="BV167" s="30"/>
      <c r="BW167" s="30"/>
      <c r="BX167" s="30"/>
      <c r="BY167" s="30"/>
      <c r="BZ167" s="30"/>
      <c r="CA167" s="30"/>
      <c r="CB167" s="30"/>
      <c r="CC167" s="30"/>
      <c r="CD167" s="30"/>
      <c r="CE167" s="30"/>
      <c r="CF167" s="30"/>
      <c r="CG167" s="30"/>
      <c r="CH167" s="30"/>
      <c r="CI167" s="30"/>
      <c r="CJ167" s="30"/>
      <c r="CK167" s="30"/>
      <c r="CL167" s="30"/>
      <c r="CM167" s="30"/>
      <c r="CN167" s="30"/>
      <c r="CO167" s="30"/>
      <c r="CP167" s="30"/>
      <c r="CQ167" s="30"/>
      <c r="CR167" s="30"/>
      <c r="CS167" s="30"/>
      <c r="CT167" s="30"/>
      <c r="CU167" s="30"/>
      <c r="CV167" s="30"/>
      <c r="CW167" s="30"/>
      <c r="CX167" s="30"/>
      <c r="CY167" s="30"/>
      <c r="CZ167" s="30"/>
      <c r="DA167" s="30"/>
      <c r="DB167" s="30"/>
    </row>
    <row r="168" spans="1:106" x14ac:dyDescent="0.25">
      <c r="A168" s="17" t="s">
        <v>360</v>
      </c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  <c r="BA168" s="30"/>
      <c r="BB168" s="30"/>
      <c r="BC168" s="30"/>
      <c r="BD168" s="30"/>
      <c r="BE168" s="30"/>
      <c r="BF168" s="30"/>
      <c r="BG168" s="30"/>
      <c r="BH168" s="30"/>
      <c r="BI168" s="30"/>
      <c r="BJ168" s="30"/>
      <c r="BK168" s="30"/>
      <c r="BL168" s="30"/>
      <c r="BM168" s="30"/>
      <c r="BN168" s="30"/>
      <c r="BO168" s="30"/>
      <c r="BP168" s="30"/>
      <c r="BQ168" s="30"/>
      <c r="BR168" s="30"/>
      <c r="BS168" s="30"/>
      <c r="BT168" s="30"/>
      <c r="BU168" s="30"/>
      <c r="BV168" s="30"/>
      <c r="BW168" s="30"/>
      <c r="BX168" s="30"/>
      <c r="BY168" s="30"/>
      <c r="BZ168" s="30"/>
      <c r="CA168" s="30"/>
      <c r="CB168" s="30"/>
      <c r="CC168" s="30"/>
      <c r="CD168" s="30"/>
      <c r="CE168" s="30"/>
      <c r="CF168" s="30"/>
      <c r="CG168" s="30"/>
      <c r="CH168" s="30"/>
      <c r="CI168" s="30"/>
      <c r="CJ168" s="30"/>
      <c r="CK168" s="30"/>
      <c r="CL168" s="30"/>
      <c r="CM168" s="30"/>
      <c r="CN168" s="30"/>
      <c r="CO168" s="30"/>
      <c r="CP168" s="30"/>
      <c r="CQ168" s="30"/>
      <c r="CR168" s="30"/>
      <c r="CS168" s="30"/>
      <c r="CT168" s="30"/>
      <c r="CU168" s="30"/>
      <c r="CV168" s="30"/>
      <c r="CW168" s="30"/>
      <c r="CX168" s="30"/>
      <c r="CY168" s="30"/>
      <c r="CZ168" s="30"/>
      <c r="DA168" s="30"/>
      <c r="DB168" s="30"/>
    </row>
    <row r="169" spans="3:106" x14ac:dyDescent="0.25"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  <c r="BA169" s="30"/>
      <c r="BB169" s="30"/>
      <c r="BC169" s="30"/>
      <c r="BD169" s="30"/>
      <c r="BE169" s="30"/>
      <c r="BF169" s="30"/>
      <c r="BG169" s="30"/>
      <c r="BH169" s="30"/>
      <c r="BI169" s="30"/>
      <c r="BJ169" s="30"/>
      <c r="BK169" s="30"/>
      <c r="BL169" s="30"/>
      <c r="BM169" s="30"/>
      <c r="BN169" s="30"/>
      <c r="BO169" s="30"/>
      <c r="BP169" s="30"/>
      <c r="BQ169" s="30"/>
      <c r="BR169" s="30"/>
      <c r="BS169" s="30"/>
      <c r="BT169" s="30"/>
      <c r="BU169" s="30"/>
      <c r="BV169" s="30"/>
      <c r="BW169" s="30"/>
      <c r="BX169" s="30"/>
      <c r="BY169" s="30"/>
      <c r="BZ169" s="30"/>
      <c r="CA169" s="30"/>
      <c r="CB169" s="30"/>
      <c r="CC169" s="30"/>
      <c r="CD169" s="30"/>
      <c r="CE169" s="30"/>
      <c r="CF169" s="30"/>
      <c r="CG169" s="30"/>
      <c r="CH169" s="30"/>
      <c r="CI169" s="30"/>
      <c r="CJ169" s="30"/>
      <c r="CK169" s="30"/>
      <c r="CL169" s="30"/>
      <c r="CM169" s="30"/>
      <c r="CN169" s="30"/>
      <c r="CO169" s="30"/>
      <c r="CP169" s="30"/>
      <c r="CQ169" s="30"/>
      <c r="CR169" s="30"/>
      <c r="CS169" s="30"/>
      <c r="CT169" s="30"/>
      <c r="CU169" s="30"/>
      <c r="CV169" s="30"/>
      <c r="CW169" s="30"/>
      <c r="CX169" s="30"/>
      <c r="CY169" s="30"/>
      <c r="CZ169" s="30"/>
      <c r="DA169" s="30"/>
      <c r="DB169" s="30"/>
    </row>
    <row r="170" spans="3:106" x14ac:dyDescent="0.25"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  <c r="BF170" s="30"/>
      <c r="BG170" s="30"/>
      <c r="BH170" s="30"/>
      <c r="BI170" s="30"/>
      <c r="BJ170" s="30"/>
      <c r="BK170" s="30"/>
      <c r="BL170" s="30"/>
      <c r="BM170" s="30"/>
      <c r="BN170" s="30"/>
      <c r="BO170" s="30"/>
      <c r="BP170" s="30"/>
      <c r="BQ170" s="30"/>
      <c r="BR170" s="30"/>
      <c r="BS170" s="30"/>
      <c r="BT170" s="30"/>
      <c r="BU170" s="30"/>
      <c r="BV170" s="30"/>
      <c r="BW170" s="30"/>
      <c r="BX170" s="30"/>
      <c r="BY170" s="30"/>
      <c r="BZ170" s="30"/>
      <c r="CA170" s="30"/>
      <c r="CB170" s="30"/>
      <c r="CC170" s="30"/>
      <c r="CD170" s="30"/>
      <c r="CE170" s="30"/>
      <c r="CF170" s="30"/>
      <c r="CG170" s="30"/>
      <c r="CH170" s="30"/>
      <c r="CI170" s="30"/>
      <c r="CJ170" s="30"/>
      <c r="CK170" s="30"/>
      <c r="CL170" s="30"/>
      <c r="CM170" s="30"/>
      <c r="CN170" s="30"/>
      <c r="CO170" s="30"/>
      <c r="CP170" s="30"/>
      <c r="CQ170" s="30"/>
      <c r="CR170" s="30"/>
      <c r="CS170" s="30"/>
      <c r="CT170" s="30"/>
      <c r="CU170" s="30"/>
      <c r="CV170" s="30"/>
      <c r="CW170" s="30"/>
      <c r="CX170" s="30"/>
      <c r="CY170" s="30"/>
      <c r="CZ170" s="30"/>
      <c r="DA170" s="30"/>
      <c r="DB170" s="30"/>
    </row>
    <row r="171" spans="3:106" x14ac:dyDescent="0.25"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  <c r="BA171" s="30"/>
      <c r="BB171" s="30"/>
      <c r="BC171" s="30"/>
      <c r="BD171" s="30"/>
      <c r="BE171" s="30"/>
      <c r="BF171" s="30"/>
      <c r="BG171" s="30"/>
      <c r="BH171" s="30"/>
      <c r="BI171" s="30"/>
      <c r="BJ171" s="30"/>
      <c r="BK171" s="30"/>
      <c r="BL171" s="30"/>
      <c r="BM171" s="30"/>
      <c r="BN171" s="30"/>
      <c r="BO171" s="30"/>
      <c r="BP171" s="30"/>
      <c r="BQ171" s="30"/>
      <c r="BR171" s="30"/>
      <c r="BS171" s="30"/>
      <c r="BT171" s="30"/>
      <c r="BU171" s="30"/>
      <c r="BV171" s="30"/>
      <c r="BW171" s="30"/>
      <c r="BX171" s="30"/>
      <c r="BY171" s="30"/>
      <c r="BZ171" s="30"/>
      <c r="CA171" s="30"/>
      <c r="CB171" s="30"/>
      <c r="CC171" s="30"/>
      <c r="CD171" s="30"/>
      <c r="CE171" s="30"/>
      <c r="CF171" s="30"/>
      <c r="CG171" s="30"/>
      <c r="CH171" s="30"/>
      <c r="CI171" s="30"/>
      <c r="CJ171" s="30"/>
      <c r="CK171" s="30"/>
      <c r="CL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</row>
    <row r="172" spans="1:106" x14ac:dyDescent="0.25">
      <c r="A172" s="17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  <c r="BA172" s="30"/>
      <c r="BB172" s="30"/>
      <c r="BC172" s="30"/>
      <c r="BD172" s="30"/>
      <c r="BE172" s="30"/>
      <c r="BF172" s="30"/>
      <c r="BG172" s="30"/>
      <c r="BH172" s="30"/>
      <c r="BI172" s="30"/>
      <c r="BJ172" s="30"/>
      <c r="BK172" s="30"/>
      <c r="BL172" s="30"/>
      <c r="BM172" s="30"/>
      <c r="BN172" s="30"/>
      <c r="BO172" s="30"/>
      <c r="BP172" s="30"/>
      <c r="BQ172" s="30"/>
      <c r="BR172" s="30"/>
      <c r="BS172" s="30"/>
      <c r="BT172" s="30"/>
      <c r="BU172" s="30"/>
      <c r="BV172" s="30"/>
      <c r="BW172" s="30"/>
      <c r="BX172" s="30"/>
      <c r="BY172" s="30"/>
      <c r="BZ172" s="30"/>
      <c r="CA172" s="30"/>
      <c r="CB172" s="30"/>
      <c r="CC172" s="30"/>
      <c r="CD172" s="30"/>
      <c r="CE172" s="30"/>
      <c r="CF172" s="30"/>
      <c r="CG172" s="30"/>
      <c r="CH172" s="30"/>
      <c r="CI172" s="30"/>
      <c r="CJ172" s="30"/>
      <c r="CK172" s="30"/>
      <c r="CL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179"/>
  <sheetFormatPr defaultRowHeight="15" outlineLevelRow="0" outlineLevelCol="0" x14ac:dyDescent="55"/>
  <cols>
    <col min="1" max="1" width="33" customWidth="1"/>
    <col min="2" max="2" width="17" customWidth="1"/>
    <col min="3" max="3" width="11" customWidth="1"/>
  </cols>
  <sheetData>
    <row r="1" ht="18" customHeight="1" spans="1:106" x14ac:dyDescent="0.25">
      <c r="A1" s="1" t="s">
        <v>395</v>
      </c>
      <c r="B1" t="s">
        <v>1</v>
      </c>
      <c r="C1" t="s">
        <v>2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2</v>
      </c>
      <c r="X1" t="s">
        <v>2</v>
      </c>
      <c r="Y1" t="s">
        <v>2</v>
      </c>
      <c r="Z1" t="s">
        <v>2</v>
      </c>
      <c r="AA1" t="s">
        <v>2</v>
      </c>
      <c r="AB1" t="s">
        <v>2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 t="s">
        <v>2</v>
      </c>
      <c r="AI1" t="s">
        <v>2</v>
      </c>
      <c r="AJ1" t="s">
        <v>2</v>
      </c>
      <c r="AK1" t="s">
        <v>2</v>
      </c>
      <c r="AL1" t="s">
        <v>2</v>
      </c>
      <c r="AM1" t="s">
        <v>2</v>
      </c>
      <c r="AN1" t="s">
        <v>2</v>
      </c>
      <c r="AO1" t="s">
        <v>2</v>
      </c>
      <c r="AP1" t="s">
        <v>2</v>
      </c>
      <c r="AQ1" t="s">
        <v>2</v>
      </c>
      <c r="AR1" t="s">
        <v>2</v>
      </c>
      <c r="AS1" t="s">
        <v>2</v>
      </c>
      <c r="AT1" t="s">
        <v>2</v>
      </c>
      <c r="AU1" t="s">
        <v>2</v>
      </c>
      <c r="AV1" t="s">
        <v>2</v>
      </c>
      <c r="AW1" t="s">
        <v>2</v>
      </c>
      <c r="AX1" t="s">
        <v>2</v>
      </c>
      <c r="AY1" t="s">
        <v>2</v>
      </c>
      <c r="AZ1" t="s">
        <v>2</v>
      </c>
      <c r="BA1" t="s">
        <v>2</v>
      </c>
      <c r="BB1" t="s">
        <v>2</v>
      </c>
      <c r="BC1" t="s">
        <v>2</v>
      </c>
      <c r="BD1" t="s">
        <v>2</v>
      </c>
      <c r="BE1" t="s">
        <v>2</v>
      </c>
      <c r="BF1" t="s">
        <v>2</v>
      </c>
      <c r="BG1" t="s">
        <v>2</v>
      </c>
      <c r="BH1" t="s">
        <v>2</v>
      </c>
      <c r="BI1" t="s">
        <v>2</v>
      </c>
      <c r="BJ1" t="s">
        <v>2</v>
      </c>
      <c r="BK1" t="s">
        <v>2</v>
      </c>
      <c r="BL1" t="s">
        <v>2</v>
      </c>
      <c r="BM1" t="s">
        <v>2</v>
      </c>
      <c r="BN1" t="s">
        <v>2</v>
      </c>
      <c r="BO1" t="s">
        <v>2</v>
      </c>
      <c r="BP1" t="s">
        <v>2</v>
      </c>
      <c r="BQ1" t="s">
        <v>2</v>
      </c>
      <c r="BR1" t="s">
        <v>2</v>
      </c>
      <c r="BS1" t="s">
        <v>2</v>
      </c>
      <c r="BT1" t="s">
        <v>2</v>
      </c>
      <c r="BU1" t="s">
        <v>2</v>
      </c>
      <c r="BV1" t="s">
        <v>2</v>
      </c>
      <c r="BW1" t="s">
        <v>2</v>
      </c>
      <c r="BX1" t="s">
        <v>2</v>
      </c>
      <c r="BY1" t="s">
        <v>2</v>
      </c>
      <c r="BZ1" t="s">
        <v>2</v>
      </c>
      <c r="CA1" t="s">
        <v>2</v>
      </c>
      <c r="CB1" t="s">
        <v>2</v>
      </c>
      <c r="CC1" t="s">
        <v>2</v>
      </c>
      <c r="CD1" t="s">
        <v>2</v>
      </c>
      <c r="CE1" t="s">
        <v>2</v>
      </c>
      <c r="CF1" t="s">
        <v>2</v>
      </c>
      <c r="CG1" t="s">
        <v>2</v>
      </c>
      <c r="CH1" t="s">
        <v>2</v>
      </c>
      <c r="CI1" t="s">
        <v>2</v>
      </c>
      <c r="CJ1" t="s">
        <v>2</v>
      </c>
      <c r="CK1" t="s">
        <v>2</v>
      </c>
      <c r="CL1" t="s">
        <v>2</v>
      </c>
      <c r="CM1" t="s">
        <v>2</v>
      </c>
      <c r="CN1" t="s">
        <v>2</v>
      </c>
      <c r="CO1" t="s">
        <v>2</v>
      </c>
      <c r="CP1" t="s">
        <v>2</v>
      </c>
      <c r="CQ1" t="s">
        <v>2</v>
      </c>
      <c r="CR1" t="s">
        <v>2</v>
      </c>
      <c r="CS1" t="s">
        <v>2</v>
      </c>
      <c r="CT1" t="s">
        <v>2</v>
      </c>
      <c r="CU1" t="s">
        <v>2</v>
      </c>
      <c r="CV1" t="s">
        <v>2</v>
      </c>
      <c r="CW1" t="s">
        <v>2</v>
      </c>
      <c r="CX1" t="s">
        <v>2</v>
      </c>
      <c r="CY1" t="s">
        <v>2</v>
      </c>
      <c r="CZ1" t="s">
        <v>2</v>
      </c>
      <c r="DA1" t="s">
        <v>2</v>
      </c>
      <c r="DB1" t="s">
        <v>2</v>
      </c>
    </row>
    <row r="2" ht="18" customHeight="1" spans="1:106" x14ac:dyDescent="0.25">
      <c r="B2" t="s">
        <v>3</v>
      </c>
      <c r="C2" s="2">
        <f>=TODAY()</f>
        <v>45972</v>
      </c>
      <c r="D2" t="str">
        <f>=IF(C2="Current WK","Next Week",IF(DATEVALUE(D4)=$C$2-WEEKDAY($C$2,1)+1,"Current WK",""))</f>
        <v/>
      </c>
      <c r="E2" t="str">
        <f>=IF(D2="Current WK","Next Week",IF(DATEVALUE(E4)=$C$2-WEEKDAY($C$2,1)+1,"Current WK",""))</f>
        <v/>
      </c>
      <c r="F2" t="str">
        <f>=IF(E2="Current WK","Next Week",IF(DATEVALUE(F4)=$C$2-WEEKDAY($C$2,1)+1,"Current WK",""))</f>
        <v/>
      </c>
      <c r="G2" t="str">
        <f>=IF(F2="Current WK","Next Week",IF(DATEVALUE(G4)=$C$2-WEEKDAY($C$2,1)+1,"Current WK",""))</f>
        <v/>
      </c>
      <c r="H2" t="str">
        <f>=IF(G2="Current WK","Next Week",IF(DATEVALUE(H4)=$C$2-WEEKDAY($C$2,1)+1,"Current WK",""))</f>
        <v/>
      </c>
      <c r="I2" t="str">
        <f>=IF(H2="Current WK","Next Week",IF(DATEVALUE(I4)=$C$2-WEEKDAY($C$2,1)+1,"Current WK",""))</f>
        <v/>
      </c>
      <c r="J2" t="str">
        <f>=IF(I2="Current WK","Next Week",IF(DATEVALUE(J4)=$C$2-WEEKDAY($C$2,1)+1,"Current WK",""))</f>
        <v/>
      </c>
      <c r="K2" t="str">
        <f>=IF(J2="Current WK","Next Week",IF(DATEVALUE(K4)=$C$2-WEEKDAY($C$2,1)+1,"Current WK",""))</f>
        <v/>
      </c>
      <c r="L2" t="str">
        <f>=IF(K2="Current WK","Next Week",IF(DATEVALUE(L4)=$C$2-WEEKDAY($C$2,1)+1,"Current WK",""))</f>
        <v/>
      </c>
      <c r="M2" t="str">
        <f>=IF(L2="Current WK","Next Week",IF(DATEVALUE(M4)=$C$2-WEEKDAY($C$2,1)+1,"Current WK",""))</f>
        <v/>
      </c>
      <c r="N2" t="str">
        <f>=IF(M2="Current WK","Next Week",IF(DATEVALUE(N4)=$C$2-WEEKDAY($C$2,1)+1,"Current WK",""))</f>
        <v/>
      </c>
      <c r="O2" t="str">
        <f>=IF(N2="Current WK","Next Week",IF(DATEVALUE(O4)=$C$2-WEEKDAY($C$2,1)+1,"Current WK",""))</f>
        <v/>
      </c>
      <c r="P2" t="str">
        <f>=IF(O2="Current WK","Next Week",IF(DATEVALUE(P4)=$C$2-WEEKDAY($C$2,1)+1,"Current WK",""))</f>
        <v/>
      </c>
      <c r="Q2" t="str">
        <f>=IF(P2="Current WK","Next Week",IF(DATEVALUE(Q4)=$C$2-WEEKDAY($C$2,1)+1,"Current WK",""))</f>
        <v/>
      </c>
      <c r="R2" t="str">
        <f>=IF(Q2="Current WK","Next Week",IF(DATEVALUE(R4)=$C$2-WEEKDAY($C$2,1)+1,"Current WK",""))</f>
        <v/>
      </c>
      <c r="S2" t="str">
        <f>=IF(R2="Current WK","Next Week",IF(DATEVALUE(S4)=$C$2-WEEKDAY($C$2,1)+1,"Current WK",""))</f>
        <v/>
      </c>
      <c r="T2" t="str">
        <f>=IF(S2="Current WK","Next Week",IF(DATEVALUE(T4)=$C$2-WEEKDAY($C$2,1)+1,"Current WK",""))</f>
        <v/>
      </c>
      <c r="U2" t="str">
        <f>=IF(T2="Current WK","Next Week",IF(DATEVALUE(U4)=$C$2-WEEKDAY($C$2,1)+1,"Current WK",""))</f>
        <v/>
      </c>
      <c r="V2" t="str">
        <f>=IF(U2="Current WK","Next Week",IF(DATEVALUE(V4)=$C$2-WEEKDAY($C$2,1)+1,"Current WK",""))</f>
        <v/>
      </c>
      <c r="W2" t="str">
        <f>=IF(V2="Current WK","Next Week",IF(DATEVALUE(W4)=$C$2-WEEKDAY($C$2,1)+1,"Current WK",""))</f>
        <v/>
      </c>
      <c r="X2" t="str">
        <f>=IF(W2="Current WK","Next Week",IF(DATEVALUE(X4)=$C$2-WEEKDAY($C$2,1)+1,"Current WK",""))</f>
        <v/>
      </c>
      <c r="Y2" t="str">
        <f>=IF(X2="Current WK","Next Week",IF(DATEVALUE(Y4)=$C$2-WEEKDAY($C$2,1)+1,"Current WK",""))</f>
        <v/>
      </c>
      <c r="Z2" t="str">
        <f>=IF(Y2="Current WK","Next Week",IF(DATEVALUE(Z4)=$C$2-WEEKDAY($C$2,1)+1,"Current WK",""))</f>
        <v/>
      </c>
      <c r="AA2" t="str">
        <f>=IF(Z2="Current WK","Next Week",IF(DATEVALUE(AA4)=$C$2-WEEKDAY($C$2,1)+1,"Current WK",""))</f>
        <v/>
      </c>
      <c r="AB2" t="str">
        <f>=IF(AA2="Current WK","Next Week",IF(DATEVALUE(AB4)=$C$2-WEEKDAY($C$2,1)+1,"Current WK",""))</f>
        <v/>
      </c>
      <c r="AC2" t="str">
        <f>=IF(AB2="Current WK","Next Week",IF(DATEVALUE(AC4)=$C$2-WEEKDAY($C$2,1)+1,"Current WK",""))</f>
        <v/>
      </c>
      <c r="AD2" t="str">
        <f>=IF(AC2="Current WK","Next Week",IF(DATEVALUE(AD4)=$C$2-WEEKDAY($C$2,1)+1,"Current WK",""))</f>
        <v/>
      </c>
      <c r="AE2" t="str">
        <f>=IF(AD2="Current WK","Next Week",IF(DATEVALUE(AE4)=$C$2-WEEKDAY($C$2,1)+1,"Current WK",""))</f>
        <v/>
      </c>
      <c r="AF2" t="str">
        <f>=IF(AE2="Current WK","Next Week",IF(DATEVALUE(AF4)=$C$2-WEEKDAY($C$2,1)+1,"Current WK",""))</f>
        <v/>
      </c>
      <c r="AG2" t="str">
        <f>=IF(AF2="Current WK","Next Week",IF(DATEVALUE(AG4)=$C$2-WEEKDAY($C$2,1)+1,"Current WK",""))</f>
        <v/>
      </c>
      <c r="AH2" t="str">
        <f>=IF(AG2="Current WK","Next Week",IF(DATEVALUE(AH4)=$C$2-WEEKDAY($C$2,1)+1,"Current WK",""))</f>
        <v/>
      </c>
      <c r="AI2" t="str">
        <f>=IF(AH2="Current WK","Next Week",IF(DATEVALUE(AI4)=$C$2-WEEKDAY($C$2,1)+1,"Current WK",""))</f>
        <v/>
      </c>
      <c r="AJ2" t="str">
        <f>=IF(AI2="Current WK","Next Week",IF(DATEVALUE(AJ4)=$C$2-WEEKDAY($C$2,1)+1,"Current WK",""))</f>
        <v/>
      </c>
      <c r="AK2" t="str">
        <f>=IF(AJ2="Current WK","Next Week",IF(DATEVALUE(AK4)=$C$2-WEEKDAY($C$2,1)+1,"Current WK",""))</f>
        <v/>
      </c>
      <c r="AL2" t="str">
        <f>=IF(AK2="Current WK","Next Week",IF(DATEVALUE(AL4)=$C$2-WEEKDAY($C$2,1)+1,"Current WK",""))</f>
        <v/>
      </c>
      <c r="AM2" t="str">
        <f>=IF(AL2="Current WK","Next Week",IF(DATEVALUE(AM4)=$C$2-WEEKDAY($C$2,1)+1,"Current WK",""))</f>
        <v/>
      </c>
      <c r="AN2" t="str">
        <f>=IF(AM2="Current WK","Next Week",IF(DATEVALUE(AN4)=$C$2-WEEKDAY($C$2,1)+1,"Current WK",""))</f>
        <v/>
      </c>
      <c r="AO2" t="str">
        <f>=IF(AN2="Current WK","Next Week",IF(DATEVALUE(AO4)=$C$2-WEEKDAY($C$2,1)+1,"Current WK",""))</f>
        <v/>
      </c>
      <c r="AP2" t="str">
        <f>=IF(AO2="Current WK","Next Week",IF(DATEVALUE(AP4)=$C$2-WEEKDAY($C$2,1)+1,"Current WK",""))</f>
        <v/>
      </c>
      <c r="AQ2" t="str">
        <f>=IF(AP2="Current WK","Next Week",IF(DATEVALUE(AQ4)=$C$2-WEEKDAY($C$2,1)+1,"Current WK",""))</f>
        <v/>
      </c>
      <c r="AR2" t="str">
        <f>=IF(AQ2="Current WK","Next Week",IF(DATEVALUE(AR4)=$C$2-WEEKDAY($C$2,1)+1,"Current WK",""))</f>
        <v/>
      </c>
      <c r="AS2" t="str">
        <f>=IF(AR2="Current WK","Next Week",IF(DATEVALUE(AS4)=$C$2-WEEKDAY($C$2,1)+1,"Current WK",""))</f>
        <v/>
      </c>
      <c r="AT2" t="str">
        <f>=IF(AS2="Current WK","Next Week",IF(DATEVALUE(AT4)=$C$2-WEEKDAY($C$2,1)+1,"Current WK",""))</f>
        <v/>
      </c>
      <c r="AU2" t="str">
        <f>=IF(AT2="Current WK","Next Week",IF(DATEVALUE(AU4)=$C$2-WEEKDAY($C$2,1)+1,"Current WK",""))</f>
        <v/>
      </c>
      <c r="AV2" t="str">
        <f>=IF(AU2="Current WK","Next Week",IF(DATEVALUE(AV4)=$C$2-WEEKDAY($C$2,1)+1,"Current WK",""))</f>
        <v/>
      </c>
      <c r="AW2" t="str">
        <f>=IF(AV2="Current WK","Next Week",IF(DATEVALUE(AW4)=$C$2-WEEKDAY($C$2,1)+1,"Current WK",""))</f>
        <v/>
      </c>
      <c r="AX2" t="str">
        <f>=IF(AW2="Current WK","Next Week",IF(DATEVALUE(AX4)=$C$2-WEEKDAY($C$2,1)+1,"Current WK",""))</f>
        <v/>
      </c>
      <c r="AY2" t="str">
        <f>=IF(AX2="Current WK","Next Week",IF(DATEVALUE(AY4)=$C$2-WEEKDAY($C$2,1)+1,"Current WK",""))</f>
        <v/>
      </c>
      <c r="AZ2" t="str">
        <f>=IF(AY2="Current WK","Next Week",IF(DATEVALUE(AZ4)=$C$2-WEEKDAY($C$2,1)+1,"Current WK",""))</f>
        <v/>
      </c>
      <c r="BA2" t="str">
        <f>=IF(AZ2="Current WK","Next Week",IF(DATEVALUE(BA4)=$C$2-WEEKDAY($C$2,1)+1,"Current WK",""))</f>
        <v/>
      </c>
      <c r="BB2" t="str">
        <f>=IF(BA2="Current WK","Next Week",IF(DATEVALUE(BB4)=$C$2-WEEKDAY($C$2,1)+1,"Current WK",""))</f>
        <v/>
      </c>
      <c r="BC2" t="str">
        <f>=IF(BB2="Current WK","Next Week",IF(DATEVALUE(BC4)=$C$2-WEEKDAY($C$2,1)+1,"Current WK",""))</f>
        <v/>
      </c>
      <c r="BD2" t="str">
        <f>=IF(BC2="Current WK","Next Week",IF(DATEVALUE(BD4)=$C$2-WEEKDAY($C$2,1)+1,"Current WK",""))</f>
        <v/>
      </c>
      <c r="BE2" t="str">
        <f>=IF(BD2="Current WK","Next Week",IF(DATEVALUE(BE4)=$C$2-WEEKDAY($C$2,1)+1,"Current WK",""))</f>
        <v/>
      </c>
      <c r="BF2" t="str">
        <f>=IF(BE2="Current WK","Next Week",IF(DATEVALUE(BF4)=$C$2-WEEKDAY($C$2,1)+1,"Current WK",""))</f>
        <v/>
      </c>
      <c r="BG2" t="str">
        <f>=IF(BF2="Current WK","Next Week",IF(DATEVALUE(BG4)=$C$2-WEEKDAY($C$2,1)+1,"Current WK",""))</f>
        <v/>
      </c>
      <c r="BH2" t="str">
        <f>=IF(BG2="Current WK","Next Week",IF(DATEVALUE(BH4)=$C$2-WEEKDAY($C$2,1)+1,"Current WK",""))</f>
        <v/>
      </c>
      <c r="BI2" t="str">
        <f>=IF(BH2="Current WK","Next Week",IF(DATEVALUE(BI4)=$C$2-WEEKDAY($C$2,1)+1,"Current WK",""))</f>
        <v/>
      </c>
      <c r="BJ2" t="str">
        <f>=IF(BI2="Current WK","Next Week",IF(DATEVALUE(BJ4)=$C$2-WEEKDAY($C$2,1)+1,"Current WK",""))</f>
        <v/>
      </c>
      <c r="BK2" t="str">
        <f>=IF(BJ2="Current WK","Next Week",IF(DATEVALUE(BK4)=$C$2-WEEKDAY($C$2,1)+1,"Current WK",""))</f>
        <v/>
      </c>
      <c r="BL2" t="str">
        <f>=IF(BK2="Current WK","Next Week",IF(DATEVALUE(BL4)=$C$2-WEEKDAY($C$2,1)+1,"Current WK",""))</f>
        <v/>
      </c>
      <c r="BM2" t="str">
        <f>=IF(BL2="Current WK","Next Week",IF(DATEVALUE(BM4)=$C$2-WEEKDAY($C$2,1)+1,"Current WK",""))</f>
        <v/>
      </c>
      <c r="BN2" t="str">
        <f>=IF(BM2="Current WK","Next Week",IF(DATEVALUE(BN4)=$C$2-WEEKDAY($C$2,1)+1,"Current WK",""))</f>
        <v/>
      </c>
      <c r="BO2" t="str">
        <f>=IF(BN2="Current WK","Next Week",IF(DATEVALUE(BO4)=$C$2-WEEKDAY($C$2,1)+1,"Current WK",""))</f>
        <v/>
      </c>
      <c r="BP2" t="str">
        <f>=IF(BO2="Current WK","Next Week",IF(DATEVALUE(BP4)=$C$2-WEEKDAY($C$2,1)+1,"Current WK",""))</f>
        <v/>
      </c>
      <c r="BQ2" t="str">
        <f>=IF(BP2="Current WK","Next Week",IF(DATEVALUE(BQ4)=$C$2-WEEKDAY($C$2,1)+1,"Current WK",""))</f>
        <v/>
      </c>
      <c r="BR2" t="str">
        <f>=IF(BQ2="Current WK","Next Week",IF(DATEVALUE(BR4)=$C$2-WEEKDAY($C$2,1)+1,"Current WK",""))</f>
        <v/>
      </c>
      <c r="BS2" t="str">
        <f>=IF(BR2="Current WK","Next Week",IF(DATEVALUE(BS4)=$C$2-WEEKDAY($C$2,1)+1,"Current WK",""))</f>
        <v/>
      </c>
      <c r="BT2" t="str">
        <f>=IF(BS2="Current WK","Next Week",IF(DATEVALUE(BT4)=$C$2-WEEKDAY($C$2,1)+1,"Current WK",""))</f>
        <v/>
      </c>
      <c r="BU2" s="3" t="str">
        <f>=IF(BT2="Current WK","Next Week",IF(DATEVALUE(BU4)=$C$2-WEEKDAY($C$2,1)+1,"Current WK",""))</f>
        <v/>
      </c>
      <c r="BV2" s="4" t="str">
        <f>=IF(BU2="Current WK","Next Week",IF(DATEVALUE(BV4)=$C$2-WEEKDAY($C$2,1)+1,"Current WK",""))</f>
        <v>Current WK</v>
      </c>
      <c r="BW2" s="4" t="str">
        <f>=IF(BV2="Current WK","Next Week",IF(DATEVALUE(BW4)=$C$2-WEEKDAY($C$2,1)+1,"Current WK",""))</f>
        <v>Next Week</v>
      </c>
      <c r="BX2" t="str">
        <f>=IF(BW2="Current WK","Next Week",IF(DATEVALUE(BX4)=$C$2-WEEKDAY($C$2,1)+1,"Current WK",""))</f>
        <v/>
      </c>
      <c r="BY2" t="str">
        <f>=IF(BX2="Current WK","Next Week",IF(DATEVALUE(BY4)=$C$2-WEEKDAY($C$2,1)+1,"Current WK",""))</f>
        <v/>
      </c>
      <c r="BZ2" t="str">
        <f>=IF(BY2="Current WK","Next Week",IF(DATEVALUE(BZ4)=$C$2-WEEKDAY($C$2,1)+1,"Current WK",""))</f>
        <v/>
      </c>
      <c r="CA2" t="str">
        <f>=IF(BZ2="Current WK","Next Week",IF(DATEVALUE(CA4)=$C$2-WEEKDAY($C$2,1)+1,"Current WK",""))</f>
        <v/>
      </c>
      <c r="CB2" t="str">
        <f>=IF(CA2="Current WK","Next Week",IF(DATEVALUE(CB4)=$C$2-WEEKDAY($C$2,1)+1,"Current WK",""))</f>
        <v/>
      </c>
      <c r="CC2" t="str">
        <f>=IF(CB2="Current WK","Next Week",IF(DATEVALUE(CC4)=$C$2-WEEKDAY($C$2,1)+1,"Current WK",""))</f>
        <v/>
      </c>
      <c r="CD2" t="str">
        <f>=IF(CC2="Current WK","Next Week",IF(DATEVALUE(CD4)=$C$2-WEEKDAY($C$2,1)+1,"Current WK",""))</f>
        <v/>
      </c>
      <c r="CE2" t="str">
        <f>=IF(CD2="Current WK","Next Week",IF(DATEVALUE(CE4)=$C$2-WEEKDAY($C$2,1)+1,"Current WK",""))</f>
        <v/>
      </c>
      <c r="CF2" t="str">
        <f>=IF(CE2="Current WK","Next Week",IF(DATEVALUE(CF4)=$C$2-WEEKDAY($C$2,1)+1,"Current WK",""))</f>
        <v/>
      </c>
      <c r="CG2" t="str">
        <f>=IF(CF2="Current WK","Next Week",IF(DATEVALUE(CG4)=$C$2-WEEKDAY($C$2,1)+1,"Current WK",""))</f>
        <v/>
      </c>
      <c r="CH2" t="str">
        <f>=IF(CG2="Current WK","Next Week",IF(DATEVALUE(CH4)=$C$2-WEEKDAY($C$2,1)+1,"Current WK",""))</f>
        <v/>
      </c>
      <c r="CI2" t="str">
        <f>=IF(CH2="Current WK","Next Week",IF(DATEVALUE(CI4)=$C$2-WEEKDAY($C$2,1)+1,"Current WK",""))</f>
        <v/>
      </c>
      <c r="CJ2" t="str">
        <f>=IF(CI2="Current WK","Next Week",IF(DATEVALUE(CJ4)=$C$2-WEEKDAY($C$2,1)+1,"Current WK",""))</f>
        <v/>
      </c>
      <c r="CK2" t="str">
        <f>=IF(CJ2="Current WK","Next Week",IF(DATEVALUE(CK4)=$C$2-WEEKDAY($C$2,1)+1,"Current WK",""))</f>
        <v/>
      </c>
      <c r="CL2" t="str">
        <f>=IF(CK2="Current WK","Next Week",IF(DATEVALUE(CL4)=$C$2-WEEKDAY($C$2,1)+1,"Current WK",""))</f>
        <v/>
      </c>
      <c r="CM2" t="str">
        <f>=IF(CL2="Current WK","Next Week",IF(DATEVALUE(CM4)=$C$2-WEEKDAY($C$2,1)+1,"Current WK",""))</f>
        <v/>
      </c>
      <c r="CN2" t="str">
        <f>=IF(CM2="Current WK","Next Week",IF(DATEVALUE(CN4)=$C$2-WEEKDAY($C$2,1)+1,"Current WK",""))</f>
        <v/>
      </c>
      <c r="CO2" t="str">
        <f>=IF(CN2="Current WK","Next Week",IF(DATEVALUE(CO4)=$C$2-WEEKDAY($C$2,1)+1,"Current WK",""))</f>
        <v/>
      </c>
      <c r="CP2" t="str">
        <f>=IF(CO2="Current WK","Next Week",IF(DATEVALUE(CP4)=$C$2-WEEKDAY($C$2,1)+1,"Current WK",""))</f>
        <v/>
      </c>
      <c r="CQ2" t="str">
        <f>=IF(CP2="Current WK","Next Week",IF(DATEVALUE(CQ4)=$C$2-WEEKDAY($C$2,1)+1,"Current WK",""))</f>
        <v/>
      </c>
      <c r="CR2" t="str">
        <f>=IF(CQ2="Current WK","Next Week",IF(DATEVALUE(CR4)=$C$2-WEEKDAY($C$2,1)+1,"Current WK",""))</f>
        <v/>
      </c>
      <c r="CS2" t="str">
        <f>=IF(CR2="Current WK","Next Week",IF(DATEVALUE(CS4)=$C$2-WEEKDAY($C$2,1)+1,"Current WK",""))</f>
        <v/>
      </c>
      <c r="CT2" t="str">
        <f>=IF(CS2="Current WK","Next Week",IF(DATEVALUE(CT4)=$C$2-WEEKDAY($C$2,1)+1,"Current WK",""))</f>
        <v/>
      </c>
      <c r="CU2" t="str">
        <f>=IF(CT2="Current WK","Next Week",IF(DATEVALUE(CU4)=$C$2-WEEKDAY($C$2,1)+1,"Current WK",""))</f>
        <v/>
      </c>
      <c r="CV2" t="str">
        <f>=IF(CU2="Current WK","Next Week",IF(DATEVALUE(CV4)=$C$2-WEEKDAY($C$2,1)+1,"Current WK",""))</f>
        <v/>
      </c>
      <c r="CW2" t="str">
        <f>=IF(CV2="Current WK","Next Week",IF(DATEVALUE(CW4)=$C$2-WEEKDAY($C$2,1)+1,"Current WK",""))</f>
        <v/>
      </c>
      <c r="CX2" t="str">
        <f>=IF(CW2="Current WK","Next Week",IF(DATEVALUE(CX4)=$C$2-WEEKDAY($C$2,1)+1,"Current WK",""))</f>
        <v/>
      </c>
      <c r="CY2" t="str">
        <f>=IF(CX2="Current WK","Next Week",IF(DATEVALUE(CY4)=$C$2-WEEKDAY($C$2,1)+1,"Current WK",""))</f>
        <v/>
      </c>
      <c r="CZ2" t="str">
        <f>=IF(CY2="Current WK","Next Week",IF(DATEVALUE(CZ4)=$C$2-WEEKDAY($C$2,1)+1,"Current WK",""))</f>
        <v/>
      </c>
      <c r="DA2" t="str">
        <f>=IF(CZ2="Current WK","Next Week",IF(DATEVALUE(DA4)=$C$2-WEEKDAY($C$2,1)+1,"Current WK",""))</f>
        <v/>
      </c>
      <c r="DB2" t="str">
        <f>=IF(DA2="Current WK","Next Week",IF(DATEVALUE(DB4)=$C$2-WEEKDAY($C$2,1)+1,"Current WK",""))</f>
        <v/>
      </c>
    </row>
    <row r="3" ht="18" customHeight="1" spans="1:106" x14ac:dyDescent="0.25">
      <c r="A3" s="1"/>
      <c r="B3" s="5" t="s">
        <v>4</v>
      </c>
      <c r="C3" t="s">
        <v>5</v>
      </c>
      <c r="D3" t="s">
        <v>6</v>
      </c>
      <c r="E3" t="s">
        <v>6</v>
      </c>
      <c r="F3" t="s">
        <v>6</v>
      </c>
      <c r="G3" t="s">
        <v>6</v>
      </c>
      <c r="H3" t="s">
        <v>7</v>
      </c>
      <c r="I3" t="s">
        <v>7</v>
      </c>
      <c r="J3" t="s">
        <v>7</v>
      </c>
      <c r="K3" t="s">
        <v>7</v>
      </c>
      <c r="L3" t="s">
        <v>8</v>
      </c>
      <c r="M3" t="s">
        <v>8</v>
      </c>
      <c r="N3" t="s">
        <v>8</v>
      </c>
      <c r="O3" t="s">
        <v>8</v>
      </c>
      <c r="P3" t="s">
        <v>8</v>
      </c>
      <c r="Q3" t="s">
        <v>9</v>
      </c>
      <c r="R3" t="s">
        <v>9</v>
      </c>
      <c r="S3" t="s">
        <v>9</v>
      </c>
      <c r="T3" t="s">
        <v>9</v>
      </c>
      <c r="U3" t="s">
        <v>10</v>
      </c>
      <c r="V3" t="s">
        <v>10</v>
      </c>
      <c r="W3" t="s">
        <v>10</v>
      </c>
      <c r="X3" t="s">
        <v>10</v>
      </c>
      <c r="Y3" t="s">
        <v>11</v>
      </c>
      <c r="Z3" t="s">
        <v>11</v>
      </c>
      <c r="AA3" t="s">
        <v>11</v>
      </c>
      <c r="AB3" t="s">
        <v>11</v>
      </c>
      <c r="AC3" t="s">
        <v>11</v>
      </c>
      <c r="AD3" t="s">
        <v>12</v>
      </c>
      <c r="AE3" t="s">
        <v>12</v>
      </c>
      <c r="AF3" t="s">
        <v>12</v>
      </c>
      <c r="AG3" t="s">
        <v>12</v>
      </c>
      <c r="AH3" t="s">
        <v>13</v>
      </c>
      <c r="AI3" t="s">
        <v>13</v>
      </c>
      <c r="AJ3" t="s">
        <v>13</v>
      </c>
      <c r="AK3" t="s">
        <v>13</v>
      </c>
      <c r="AL3" t="s">
        <v>14</v>
      </c>
      <c r="AM3" t="s">
        <v>14</v>
      </c>
      <c r="AN3" t="s">
        <v>14</v>
      </c>
      <c r="AO3" t="s">
        <v>14</v>
      </c>
      <c r="AP3" t="s">
        <v>14</v>
      </c>
      <c r="AQ3" t="s">
        <v>15</v>
      </c>
      <c r="AR3" t="s">
        <v>15</v>
      </c>
      <c r="AS3" t="s">
        <v>15</v>
      </c>
      <c r="AT3" t="s">
        <v>15</v>
      </c>
      <c r="AU3" t="s">
        <v>16</v>
      </c>
      <c r="AV3" t="s">
        <v>16</v>
      </c>
      <c r="AW3" t="s">
        <v>16</v>
      </c>
      <c r="AX3" t="s">
        <v>16</v>
      </c>
      <c r="AY3" t="s">
        <v>17</v>
      </c>
      <c r="AZ3" t="s">
        <v>17</v>
      </c>
      <c r="BA3" t="s">
        <v>17</v>
      </c>
      <c r="BB3" t="s">
        <v>17</v>
      </c>
      <c r="BC3" t="s">
        <v>17</v>
      </c>
      <c r="BD3" t="s">
        <v>18</v>
      </c>
      <c r="BE3" t="s">
        <v>18</v>
      </c>
      <c r="BF3" t="s">
        <v>18</v>
      </c>
      <c r="BG3" t="s">
        <v>18</v>
      </c>
      <c r="BH3" t="s">
        <v>19</v>
      </c>
      <c r="BI3" t="s">
        <v>19</v>
      </c>
      <c r="BJ3" t="s">
        <v>19</v>
      </c>
      <c r="BK3" t="s">
        <v>19</v>
      </c>
      <c r="BL3" t="s">
        <v>19</v>
      </c>
      <c r="BM3" t="s">
        <v>20</v>
      </c>
      <c r="BN3" t="s">
        <v>20</v>
      </c>
      <c r="BO3" t="s">
        <v>20</v>
      </c>
      <c r="BP3" t="s">
        <v>20</v>
      </c>
      <c r="BQ3" t="s">
        <v>21</v>
      </c>
      <c r="BR3" t="s">
        <v>21</v>
      </c>
      <c r="BS3" t="s">
        <v>21</v>
      </c>
      <c r="BT3" t="s">
        <v>21</v>
      </c>
      <c r="BU3" t="s">
        <v>22</v>
      </c>
      <c r="BV3" t="s">
        <v>22</v>
      </c>
      <c r="BW3" t="s">
        <v>22</v>
      </c>
      <c r="BX3" t="s">
        <v>22</v>
      </c>
      <c r="BY3" t="s">
        <v>22</v>
      </c>
      <c r="BZ3" t="s">
        <v>23</v>
      </c>
      <c r="CA3" t="s">
        <v>23</v>
      </c>
      <c r="CB3" t="s">
        <v>23</v>
      </c>
      <c r="CC3" t="s">
        <v>23</v>
      </c>
      <c r="CD3" t="s">
        <v>24</v>
      </c>
      <c r="CE3" t="s">
        <v>24</v>
      </c>
      <c r="CF3" t="s">
        <v>24</v>
      </c>
      <c r="CG3" t="s">
        <v>24</v>
      </c>
      <c r="CH3" t="s">
        <v>25</v>
      </c>
      <c r="CI3" t="s">
        <v>25</v>
      </c>
      <c r="CJ3" t="s">
        <v>25</v>
      </c>
      <c r="CK3" t="s">
        <v>25</v>
      </c>
      <c r="CL3" t="s">
        <v>26</v>
      </c>
      <c r="CM3" t="s">
        <v>26</v>
      </c>
      <c r="CN3" t="s">
        <v>26</v>
      </c>
      <c r="CO3" t="s">
        <v>26</v>
      </c>
      <c r="CP3" t="s">
        <v>26</v>
      </c>
      <c r="CQ3" t="s">
        <v>27</v>
      </c>
      <c r="CR3" t="s">
        <v>27</v>
      </c>
      <c r="CS3" t="s">
        <v>27</v>
      </c>
      <c r="CT3" t="s">
        <v>27</v>
      </c>
      <c r="CU3" t="s">
        <v>28</v>
      </c>
      <c r="CV3" t="s">
        <v>28</v>
      </c>
      <c r="CW3" t="s">
        <v>28</v>
      </c>
      <c r="CX3" t="s">
        <v>28</v>
      </c>
      <c r="CY3" t="s">
        <v>28</v>
      </c>
      <c r="CZ3" t="s">
        <v>29</v>
      </c>
      <c r="DA3" t="s">
        <v>29</v>
      </c>
      <c r="DB3" t="s">
        <v>29</v>
      </c>
    </row>
    <row r="4" ht="18" customHeight="1" spans="1:106" x14ac:dyDescent="0.25">
      <c r="A4" s="1"/>
      <c r="B4" s="5" t="s">
        <v>30</v>
      </c>
      <c r="C4" s="7" t="s">
        <v>31</v>
      </c>
      <c r="D4" s="7" t="s">
        <v>32</v>
      </c>
      <c r="E4" s="7" t="s">
        <v>33</v>
      </c>
      <c r="F4" s="7" t="s">
        <v>34</v>
      </c>
      <c r="G4" s="7" t="s">
        <v>35</v>
      </c>
      <c r="H4" s="7" t="s">
        <v>36</v>
      </c>
      <c r="I4" s="7" t="s">
        <v>37</v>
      </c>
      <c r="J4" s="7" t="s">
        <v>38</v>
      </c>
      <c r="K4" s="7" t="s">
        <v>39</v>
      </c>
      <c r="L4" s="7" t="s">
        <v>40</v>
      </c>
      <c r="M4" s="7" t="s">
        <v>41</v>
      </c>
      <c r="N4" s="7" t="s">
        <v>42</v>
      </c>
      <c r="O4" s="7" t="s">
        <v>43</v>
      </c>
      <c r="P4" s="7" t="s">
        <v>44</v>
      </c>
      <c r="Q4" s="7" t="s">
        <v>45</v>
      </c>
      <c r="R4" s="7" t="s">
        <v>46</v>
      </c>
      <c r="S4" s="7" t="s">
        <v>47</v>
      </c>
      <c r="T4" s="7" t="s">
        <v>48</v>
      </c>
      <c r="U4" s="7" t="s">
        <v>49</v>
      </c>
      <c r="V4" s="7" t="s">
        <v>50</v>
      </c>
      <c r="W4" s="7" t="s">
        <v>51</v>
      </c>
      <c r="X4" s="7" t="s">
        <v>52</v>
      </c>
      <c r="Y4" s="7" t="s">
        <v>53</v>
      </c>
      <c r="Z4" s="7" t="s">
        <v>54</v>
      </c>
      <c r="AA4" s="7" t="s">
        <v>55</v>
      </c>
      <c r="AB4" s="7" t="s">
        <v>56</v>
      </c>
      <c r="AC4" s="7" t="s">
        <v>57</v>
      </c>
      <c r="AD4" s="7" t="s">
        <v>58</v>
      </c>
      <c r="AE4" s="7" t="s">
        <v>59</v>
      </c>
      <c r="AF4" s="7" t="s">
        <v>60</v>
      </c>
      <c r="AG4" s="7" t="s">
        <v>61</v>
      </c>
      <c r="AH4" s="7" t="s">
        <v>62</v>
      </c>
      <c r="AI4" s="7" t="s">
        <v>63</v>
      </c>
      <c r="AJ4" s="7" t="s">
        <v>64</v>
      </c>
      <c r="AK4" s="7" t="s">
        <v>65</v>
      </c>
      <c r="AL4" s="7" t="s">
        <v>66</v>
      </c>
      <c r="AM4" s="7" t="s">
        <v>67</v>
      </c>
      <c r="AN4" s="7" t="s">
        <v>68</v>
      </c>
      <c r="AO4" s="7" t="s">
        <v>69</v>
      </c>
      <c r="AP4" s="7" t="s">
        <v>70</v>
      </c>
      <c r="AQ4" s="7" t="s">
        <v>71</v>
      </c>
      <c r="AR4" s="7" t="s">
        <v>72</v>
      </c>
      <c r="AS4" s="7" t="s">
        <v>73</v>
      </c>
      <c r="AT4" s="7" t="s">
        <v>74</v>
      </c>
      <c r="AU4" s="7" t="s">
        <v>75</v>
      </c>
      <c r="AV4" s="7" t="s">
        <v>76</v>
      </c>
      <c r="AW4" s="7" t="s">
        <v>77</v>
      </c>
      <c r="AX4" s="7" t="s">
        <v>78</v>
      </c>
      <c r="AY4" s="7" t="s">
        <v>79</v>
      </c>
      <c r="AZ4" s="7" t="s">
        <v>80</v>
      </c>
      <c r="BA4" s="7" t="s">
        <v>81</v>
      </c>
      <c r="BB4" s="7" t="s">
        <v>82</v>
      </c>
      <c r="BC4" s="7" t="s">
        <v>83</v>
      </c>
      <c r="BD4" s="7" t="s">
        <v>84</v>
      </c>
      <c r="BE4" s="7" t="s">
        <v>85</v>
      </c>
      <c r="BF4" s="7" t="s">
        <v>86</v>
      </c>
      <c r="BG4" s="7" t="s">
        <v>87</v>
      </c>
      <c r="BH4" s="7" t="s">
        <v>88</v>
      </c>
      <c r="BI4" s="7" t="s">
        <v>89</v>
      </c>
      <c r="BJ4" s="7" t="s">
        <v>90</v>
      </c>
      <c r="BK4" s="7" t="s">
        <v>91</v>
      </c>
      <c r="BL4" s="7" t="s">
        <v>92</v>
      </c>
      <c r="BM4" s="7" t="s">
        <v>93</v>
      </c>
      <c r="BN4" s="7" t="s">
        <v>94</v>
      </c>
      <c r="BO4" s="7" t="s">
        <v>95</v>
      </c>
      <c r="BP4" s="7" t="s">
        <v>96</v>
      </c>
      <c r="BQ4" s="7" t="s">
        <v>97</v>
      </c>
      <c r="BR4" s="7" t="s">
        <v>98</v>
      </c>
      <c r="BS4" s="7" t="s">
        <v>99</v>
      </c>
      <c r="BT4" s="7" t="s">
        <v>100</v>
      </c>
      <c r="BU4" s="7" t="s">
        <v>101</v>
      </c>
      <c r="BV4" s="7" t="s">
        <v>102</v>
      </c>
      <c r="BW4" s="7" t="s">
        <v>103</v>
      </c>
      <c r="BX4" s="7" t="s">
        <v>104</v>
      </c>
      <c r="BY4" s="7" t="s">
        <v>105</v>
      </c>
      <c r="BZ4" s="7" t="s">
        <v>106</v>
      </c>
      <c r="CA4" s="7" t="s">
        <v>107</v>
      </c>
      <c r="CB4" s="7" t="s">
        <v>108</v>
      </c>
      <c r="CC4" s="7" t="s">
        <v>109</v>
      </c>
      <c r="CD4" s="7" t="s">
        <v>110</v>
      </c>
      <c r="CE4" s="7" t="s">
        <v>111</v>
      </c>
      <c r="CF4" s="7" t="s">
        <v>112</v>
      </c>
      <c r="CG4" s="7" t="s">
        <v>113</v>
      </c>
      <c r="CH4" s="7" t="s">
        <v>114</v>
      </c>
      <c r="CI4" s="7" t="s">
        <v>115</v>
      </c>
      <c r="CJ4" s="7" t="s">
        <v>116</v>
      </c>
      <c r="CK4" s="7" t="s">
        <v>117</v>
      </c>
      <c r="CL4" s="7" t="s">
        <v>118</v>
      </c>
      <c r="CM4" s="7" t="s">
        <v>119</v>
      </c>
      <c r="CN4" s="7" t="s">
        <v>120</v>
      </c>
      <c r="CO4" s="7" t="s">
        <v>121</v>
      </c>
      <c r="CP4" s="7" t="s">
        <v>122</v>
      </c>
      <c r="CQ4" s="7" t="s">
        <v>123</v>
      </c>
      <c r="CR4" s="7" t="s">
        <v>124</v>
      </c>
      <c r="CS4" s="7" t="s">
        <v>125</v>
      </c>
      <c r="CT4" s="7" t="s">
        <v>126</v>
      </c>
      <c r="CU4" s="7" t="s">
        <v>127</v>
      </c>
      <c r="CV4" s="7" t="s">
        <v>128</v>
      </c>
      <c r="CW4" s="7" t="s">
        <v>129</v>
      </c>
      <c r="CX4" s="7" t="s">
        <v>130</v>
      </c>
      <c r="CY4" s="7" t="s">
        <v>131</v>
      </c>
      <c r="CZ4" s="7" t="s">
        <v>132</v>
      </c>
      <c r="DA4" s="7" t="s">
        <v>133</v>
      </c>
      <c r="DB4" s="7" t="s">
        <v>134</v>
      </c>
    </row>
    <row r="5" ht="18" customHeight="1" spans="1:106" x14ac:dyDescent="0.25">
      <c r="A5" s="1"/>
      <c r="B5" s="5" t="s">
        <v>135</v>
      </c>
      <c r="C5" s="8" t="s">
        <v>136</v>
      </c>
      <c r="D5" s="8" t="s">
        <v>137</v>
      </c>
      <c r="E5" s="8" t="s">
        <v>138</v>
      </c>
      <c r="F5" s="8" t="s">
        <v>139</v>
      </c>
      <c r="G5" s="8" t="s">
        <v>140</v>
      </c>
      <c r="H5" s="8" t="s">
        <v>141</v>
      </c>
      <c r="I5" s="8" t="s">
        <v>142</v>
      </c>
      <c r="J5" s="8" t="s">
        <v>143</v>
      </c>
      <c r="K5" s="8" t="s">
        <v>144</v>
      </c>
      <c r="L5" s="8" t="s">
        <v>145</v>
      </c>
      <c r="M5" s="8" t="s">
        <v>146</v>
      </c>
      <c r="N5" s="8" t="s">
        <v>147</v>
      </c>
      <c r="O5" s="8" t="s">
        <v>148</v>
      </c>
      <c r="P5" s="8" t="s">
        <v>149</v>
      </c>
      <c r="Q5" s="8" t="s">
        <v>150</v>
      </c>
      <c r="R5" s="8" t="s">
        <v>151</v>
      </c>
      <c r="S5" s="8" t="s">
        <v>152</v>
      </c>
      <c r="T5" s="8" t="s">
        <v>153</v>
      </c>
      <c r="U5" s="8" t="s">
        <v>154</v>
      </c>
      <c r="V5" s="8" t="s">
        <v>155</v>
      </c>
      <c r="W5" s="8" t="s">
        <v>156</v>
      </c>
      <c r="X5" s="8" t="s">
        <v>157</v>
      </c>
      <c r="Y5" s="8" t="s">
        <v>158</v>
      </c>
      <c r="Z5" s="8" t="s">
        <v>159</v>
      </c>
      <c r="AA5" s="8" t="s">
        <v>160</v>
      </c>
      <c r="AB5" s="8" t="s">
        <v>161</v>
      </c>
      <c r="AC5" s="8" t="s">
        <v>162</v>
      </c>
      <c r="AD5" s="8" t="s">
        <v>163</v>
      </c>
      <c r="AE5" s="8" t="s">
        <v>164</v>
      </c>
      <c r="AF5" s="8" t="s">
        <v>165</v>
      </c>
      <c r="AG5" s="8" t="s">
        <v>166</v>
      </c>
      <c r="AH5" s="8" t="s">
        <v>167</v>
      </c>
      <c r="AI5" s="8" t="s">
        <v>168</v>
      </c>
      <c r="AJ5" s="8" t="s">
        <v>169</v>
      </c>
      <c r="AK5" s="8" t="s">
        <v>170</v>
      </c>
      <c r="AL5" s="8" t="s">
        <v>171</v>
      </c>
      <c r="AM5" s="8" t="s">
        <v>172</v>
      </c>
      <c r="AN5" s="8" t="s">
        <v>173</v>
      </c>
      <c r="AO5" s="8" t="s">
        <v>174</v>
      </c>
      <c r="AP5" s="8" t="s">
        <v>175</v>
      </c>
      <c r="AQ5" s="8" t="s">
        <v>176</v>
      </c>
      <c r="AR5" s="8" t="s">
        <v>177</v>
      </c>
      <c r="AS5" s="8" t="s">
        <v>178</v>
      </c>
      <c r="AT5" s="8" t="s">
        <v>179</v>
      </c>
      <c r="AU5" s="8" t="s">
        <v>180</v>
      </c>
      <c r="AV5" s="8" t="s">
        <v>181</v>
      </c>
      <c r="AW5" s="8" t="s">
        <v>182</v>
      </c>
      <c r="AX5" s="8" t="s">
        <v>183</v>
      </c>
      <c r="AY5" s="8" t="s">
        <v>184</v>
      </c>
      <c r="AZ5" s="8" t="s">
        <v>185</v>
      </c>
      <c r="BA5" s="8" t="s">
        <v>186</v>
      </c>
      <c r="BB5" s="8" t="s">
        <v>187</v>
      </c>
      <c r="BC5" s="8" t="s">
        <v>188</v>
      </c>
      <c r="BD5" s="8" t="s">
        <v>189</v>
      </c>
      <c r="BE5" s="8" t="s">
        <v>190</v>
      </c>
      <c r="BF5" s="8" t="s">
        <v>191</v>
      </c>
      <c r="BG5" s="8" t="s">
        <v>192</v>
      </c>
      <c r="BH5" s="8" t="s">
        <v>193</v>
      </c>
      <c r="BI5" s="8" t="s">
        <v>194</v>
      </c>
      <c r="BJ5" s="8" t="s">
        <v>195</v>
      </c>
      <c r="BK5" s="8" t="s">
        <v>196</v>
      </c>
      <c r="BL5" s="8" t="s">
        <v>197</v>
      </c>
      <c r="BM5" s="8" t="s">
        <v>198</v>
      </c>
      <c r="BN5" s="8" t="s">
        <v>199</v>
      </c>
      <c r="BO5" s="8" t="s">
        <v>200</v>
      </c>
      <c r="BP5" s="8" t="s">
        <v>201</v>
      </c>
      <c r="BQ5" s="8" t="s">
        <v>202</v>
      </c>
      <c r="BR5" s="8" t="s">
        <v>203</v>
      </c>
      <c r="BS5" s="8" t="s">
        <v>204</v>
      </c>
      <c r="BT5" s="8" t="s">
        <v>205</v>
      </c>
      <c r="BU5" s="8" t="s">
        <v>206</v>
      </c>
      <c r="BV5" s="8" t="s">
        <v>207</v>
      </c>
      <c r="BW5" s="8" t="s">
        <v>208</v>
      </c>
      <c r="BX5" s="8" t="s">
        <v>209</v>
      </c>
      <c r="BY5" s="8" t="s">
        <v>210</v>
      </c>
      <c r="BZ5" s="8" t="s">
        <v>211</v>
      </c>
      <c r="CA5" s="8" t="s">
        <v>212</v>
      </c>
      <c r="CB5" s="8" t="s">
        <v>213</v>
      </c>
      <c r="CC5" s="8" t="s">
        <v>214</v>
      </c>
      <c r="CD5" s="8" t="s">
        <v>215</v>
      </c>
      <c r="CE5" s="8" t="s">
        <v>216</v>
      </c>
      <c r="CF5" s="8" t="s">
        <v>217</v>
      </c>
      <c r="CG5" s="8" t="s">
        <v>218</v>
      </c>
      <c r="CH5" s="8" t="s">
        <v>219</v>
      </c>
      <c r="CI5" s="8" t="s">
        <v>220</v>
      </c>
      <c r="CJ5" s="8" t="s">
        <v>221</v>
      </c>
      <c r="CK5" s="8" t="s">
        <v>222</v>
      </c>
      <c r="CL5" s="8" t="s">
        <v>223</v>
      </c>
      <c r="CM5" s="8" t="s">
        <v>224</v>
      </c>
      <c r="CN5" s="8" t="s">
        <v>225</v>
      </c>
      <c r="CO5" s="8" t="s">
        <v>226</v>
      </c>
      <c r="CP5" s="8" t="s">
        <v>227</v>
      </c>
      <c r="CQ5" s="8" t="s">
        <v>228</v>
      </c>
      <c r="CR5" s="8" t="s">
        <v>229</v>
      </c>
      <c r="CS5" s="8" t="s">
        <v>230</v>
      </c>
      <c r="CT5" s="8" t="s">
        <v>231</v>
      </c>
      <c r="CU5" s="8" t="s">
        <v>232</v>
      </c>
      <c r="CV5" s="8" t="s">
        <v>233</v>
      </c>
      <c r="CW5" s="8" t="s">
        <v>234</v>
      </c>
      <c r="CX5" s="8" t="s">
        <v>235</v>
      </c>
      <c r="CY5" s="8" t="s">
        <v>236</v>
      </c>
      <c r="CZ5" s="8" t="s">
        <v>237</v>
      </c>
      <c r="DA5" s="8" t="s">
        <v>238</v>
      </c>
      <c r="DB5" s="8" t="s">
        <v>239</v>
      </c>
    </row>
    <row r="6" ht="18" customHeight="1" spans="1:106" x14ac:dyDescent="0.25">
      <c r="A6" s="9" t="s">
        <v>240</v>
      </c>
      <c r="B6" s="10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</row>
    <row r="7" ht="18" customHeight="1" spans="1:106" x14ac:dyDescent="0.25">
      <c r="A7" s="12" t="s">
        <v>241</v>
      </c>
      <c r="B7" s="13"/>
      <c r="C7" s="14">
        <v>128</v>
      </c>
      <c r="D7" s="14">
        <v>135</v>
      </c>
      <c r="E7" s="14">
        <v>135</v>
      </c>
      <c r="F7" s="14">
        <v>140</v>
      </c>
      <c r="G7" s="14">
        <v>140</v>
      </c>
      <c r="H7" s="14">
        <v>140</v>
      </c>
      <c r="I7" s="14">
        <v>140</v>
      </c>
      <c r="J7" s="14">
        <v>135</v>
      </c>
      <c r="K7" s="14">
        <v>135</v>
      </c>
      <c r="L7" s="14">
        <v>120</v>
      </c>
      <c r="M7" s="14">
        <v>115</v>
      </c>
      <c r="N7" s="14">
        <v>103</v>
      </c>
      <c r="O7" s="14">
        <v>103</v>
      </c>
      <c r="P7" s="14">
        <v>103</v>
      </c>
      <c r="Q7" s="14">
        <v>103</v>
      </c>
      <c r="R7" s="14">
        <v>103</v>
      </c>
      <c r="S7" s="14">
        <v>98</v>
      </c>
      <c r="T7" s="14">
        <v>98</v>
      </c>
      <c r="U7" s="14">
        <v>98</v>
      </c>
      <c r="V7" s="14">
        <v>98</v>
      </c>
      <c r="W7" s="14">
        <v>98</v>
      </c>
      <c r="X7" s="14">
        <v>98</v>
      </c>
      <c r="Y7" s="14">
        <v>98</v>
      </c>
      <c r="Z7" s="14">
        <v>98</v>
      </c>
      <c r="AA7" s="14">
        <v>98</v>
      </c>
      <c r="AB7" s="14">
        <v>98</v>
      </c>
      <c r="AC7" s="14">
        <v>88</v>
      </c>
      <c r="AD7" s="14">
        <v>78</v>
      </c>
      <c r="AE7" s="14">
        <v>78</v>
      </c>
      <c r="AF7" s="14">
        <v>78</v>
      </c>
      <c r="AG7" s="14">
        <v>78</v>
      </c>
      <c r="AH7" s="14">
        <v>78</v>
      </c>
      <c r="AI7" s="14">
        <v>78</v>
      </c>
      <c r="AJ7" s="14">
        <v>78</v>
      </c>
      <c r="AK7" s="14">
        <v>78</v>
      </c>
      <c r="AL7" s="14">
        <v>78</v>
      </c>
      <c r="AM7" s="14">
        <v>78</v>
      </c>
      <c r="AN7" s="14">
        <v>78</v>
      </c>
      <c r="AO7" s="14">
        <v>78</v>
      </c>
      <c r="AP7" s="14">
        <v>85</v>
      </c>
      <c r="AQ7" s="14">
        <v>85</v>
      </c>
      <c r="AR7" s="14">
        <v>85</v>
      </c>
      <c r="AS7" s="14">
        <v>85</v>
      </c>
      <c r="AT7" s="14">
        <v>85</v>
      </c>
      <c r="AU7" s="14">
        <v>85</v>
      </c>
      <c r="AV7" s="14">
        <v>85</v>
      </c>
      <c r="AW7" s="14">
        <v>85</v>
      </c>
      <c r="AX7" s="14">
        <v>85</v>
      </c>
      <c r="AY7" s="14">
        <v>110</v>
      </c>
      <c r="AZ7" s="14">
        <v>115</v>
      </c>
      <c r="BA7" s="14">
        <v>115</v>
      </c>
      <c r="BB7" s="14">
        <v>115</v>
      </c>
      <c r="BC7" s="14">
        <v>115</v>
      </c>
      <c r="BD7" s="14">
        <v>115</v>
      </c>
      <c r="BE7" s="14">
        <v>115</v>
      </c>
      <c r="BF7" s="14">
        <v>115</v>
      </c>
      <c r="BG7" s="14">
        <v>115</v>
      </c>
      <c r="BH7" s="14">
        <v>115</v>
      </c>
      <c r="BI7" s="14">
        <v>115</v>
      </c>
      <c r="BJ7" s="14">
        <v>115</v>
      </c>
      <c r="BK7" s="14">
        <v>115</v>
      </c>
      <c r="BL7" s="14">
        <v>95</v>
      </c>
      <c r="BM7" s="14">
        <v>80</v>
      </c>
      <c r="BN7" s="14">
        <v>70</v>
      </c>
      <c r="BO7" s="14">
        <v>65</v>
      </c>
      <c r="BP7" s="14">
        <v>60</v>
      </c>
      <c r="BQ7" s="14">
        <v>50</v>
      </c>
      <c r="BR7" s="14">
        <v>50</v>
      </c>
      <c r="BS7" s="14">
        <v>50</v>
      </c>
      <c r="BT7" s="14">
        <v>50</v>
      </c>
      <c r="BU7" s="14">
        <v>40</v>
      </c>
      <c r="BV7" s="14">
        <v>40</v>
      </c>
      <c r="BW7" s="14">
        <v>40</v>
      </c>
      <c r="BX7" s="14">
        <v>40</v>
      </c>
      <c r="BY7" s="14">
        <v>40</v>
      </c>
      <c r="BZ7" s="14">
        <v>40</v>
      </c>
      <c r="CA7" s="14">
        <v>40</v>
      </c>
      <c r="CB7" s="14">
        <v>40</v>
      </c>
      <c r="CC7" s="14">
        <v>40</v>
      </c>
      <c r="CD7" s="14">
        <v>40</v>
      </c>
      <c r="CE7" s="14">
        <v>40</v>
      </c>
      <c r="CF7" s="14">
        <v>30</v>
      </c>
      <c r="CG7" s="14">
        <v>30</v>
      </c>
      <c r="CH7" s="14">
        <v>40</v>
      </c>
      <c r="CI7" s="14">
        <v>40</v>
      </c>
      <c r="CJ7" s="14">
        <v>40</v>
      </c>
      <c r="CK7" s="14">
        <v>40</v>
      </c>
      <c r="CL7" s="14">
        <v>45</v>
      </c>
      <c r="CM7" s="14">
        <v>45</v>
      </c>
      <c r="CN7" s="14">
        <v>45</v>
      </c>
      <c r="CO7" s="14">
        <v>50</v>
      </c>
      <c r="CP7" s="14">
        <v>50</v>
      </c>
      <c r="CQ7" s="14">
        <v>60</v>
      </c>
      <c r="CR7" s="14">
        <v>60</v>
      </c>
      <c r="CS7" s="14">
        <v>60</v>
      </c>
      <c r="CT7" s="14">
        <v>60</v>
      </c>
      <c r="CU7" s="14">
        <v>70</v>
      </c>
      <c r="CV7" s="14">
        <v>70</v>
      </c>
      <c r="CW7" s="14">
        <v>70</v>
      </c>
      <c r="CX7" s="14">
        <v>70</v>
      </c>
      <c r="CY7" s="14">
        <v>80</v>
      </c>
      <c r="CZ7" s="14">
        <v>80</v>
      </c>
      <c r="DA7" s="14">
        <v>80</v>
      </c>
      <c r="DB7" s="14">
        <v>90</v>
      </c>
    </row>
    <row r="8" ht="18" customHeight="1" spans="1:106" x14ac:dyDescent="0.25">
      <c r="A8" s="12" t="s">
        <v>242</v>
      </c>
      <c r="B8" s="13"/>
      <c r="C8" s="14">
        <v>4517</v>
      </c>
      <c r="D8" s="14">
        <v>4767</v>
      </c>
      <c r="E8" s="14">
        <v>4757</v>
      </c>
      <c r="F8" s="14">
        <v>4950</v>
      </c>
      <c r="G8" s="14">
        <v>4946</v>
      </c>
      <c r="H8" s="14">
        <v>5032</v>
      </c>
      <c r="I8" s="14">
        <v>5026</v>
      </c>
      <c r="J8" s="14">
        <v>4840</v>
      </c>
      <c r="K8" s="14">
        <v>4842</v>
      </c>
      <c r="L8" s="14">
        <v>4313</v>
      </c>
      <c r="M8" s="14">
        <v>4114</v>
      </c>
      <c r="N8" s="14">
        <v>3692</v>
      </c>
      <c r="O8" s="14">
        <v>3682</v>
      </c>
      <c r="P8" s="14">
        <v>3698</v>
      </c>
      <c r="Q8" s="14">
        <v>3694</v>
      </c>
      <c r="R8" s="14">
        <v>3694</v>
      </c>
      <c r="S8" s="14">
        <v>3507</v>
      </c>
      <c r="T8" s="14">
        <v>3509</v>
      </c>
      <c r="U8" s="14">
        <v>3489</v>
      </c>
      <c r="V8" s="14">
        <v>3489</v>
      </c>
      <c r="W8" s="14">
        <v>3489</v>
      </c>
      <c r="X8" s="14">
        <v>3489</v>
      </c>
      <c r="Y8" s="14">
        <v>3485</v>
      </c>
      <c r="Z8" s="14">
        <v>3485</v>
      </c>
      <c r="AA8" s="14">
        <v>3485</v>
      </c>
      <c r="AB8" s="14">
        <v>3485</v>
      </c>
      <c r="AC8" s="14">
        <v>3152</v>
      </c>
      <c r="AD8" s="14">
        <v>2793</v>
      </c>
      <c r="AE8" s="14">
        <v>2793</v>
      </c>
      <c r="AF8" s="14">
        <v>2793</v>
      </c>
      <c r="AG8" s="14">
        <v>2790</v>
      </c>
      <c r="AH8" s="14">
        <v>2787</v>
      </c>
      <c r="AI8" s="14">
        <v>2778</v>
      </c>
      <c r="AJ8" s="14">
        <v>2787</v>
      </c>
      <c r="AK8" s="14">
        <v>2780</v>
      </c>
      <c r="AL8" s="14">
        <v>2799</v>
      </c>
      <c r="AM8" s="14">
        <v>2799</v>
      </c>
      <c r="AN8" s="14">
        <v>2799</v>
      </c>
      <c r="AO8" s="14">
        <v>2799</v>
      </c>
      <c r="AP8" s="14">
        <v>3050</v>
      </c>
      <c r="AQ8" s="14">
        <v>3046</v>
      </c>
      <c r="AR8" s="14">
        <v>3046</v>
      </c>
      <c r="AS8" s="14">
        <v>3046</v>
      </c>
      <c r="AT8" s="14">
        <v>3052</v>
      </c>
      <c r="AU8" s="14">
        <v>3051</v>
      </c>
      <c r="AV8" s="14">
        <v>3051</v>
      </c>
      <c r="AW8" s="14">
        <v>3052</v>
      </c>
      <c r="AX8" s="14">
        <v>3051</v>
      </c>
      <c r="AY8" s="14">
        <v>3964</v>
      </c>
      <c r="AZ8" s="14">
        <v>4144</v>
      </c>
      <c r="BA8" s="14">
        <v>4144</v>
      </c>
      <c r="BB8" s="14">
        <v>4144</v>
      </c>
      <c r="BC8" s="14">
        <v>4145</v>
      </c>
      <c r="BD8" s="14">
        <v>4146</v>
      </c>
      <c r="BE8" s="14">
        <v>4146</v>
      </c>
      <c r="BF8" s="14">
        <v>4145</v>
      </c>
      <c r="BG8" s="14">
        <v>4144</v>
      </c>
      <c r="BH8" s="14">
        <v>4139</v>
      </c>
      <c r="BI8" s="14">
        <v>4139</v>
      </c>
      <c r="BJ8" s="14">
        <v>4139</v>
      </c>
      <c r="BK8" s="14">
        <v>4139</v>
      </c>
      <c r="BL8" s="14">
        <v>3421</v>
      </c>
      <c r="BM8" s="14">
        <v>2878</v>
      </c>
      <c r="BN8" s="14">
        <v>2518</v>
      </c>
      <c r="BO8" s="14">
        <v>2338</v>
      </c>
      <c r="BP8" s="14">
        <v>2159</v>
      </c>
      <c r="BQ8" s="14">
        <v>1796</v>
      </c>
      <c r="BR8" s="14">
        <v>1796</v>
      </c>
      <c r="BS8" s="14">
        <v>1796</v>
      </c>
      <c r="BT8" s="14">
        <v>1795</v>
      </c>
      <c r="BU8" s="14">
        <v>1438</v>
      </c>
      <c r="BV8" s="14">
        <v>1438</v>
      </c>
      <c r="BW8" s="14">
        <v>1438</v>
      </c>
      <c r="BX8" s="14">
        <v>1438</v>
      </c>
      <c r="BY8" s="14">
        <v>1401</v>
      </c>
      <c r="BZ8" s="14">
        <v>1404</v>
      </c>
      <c r="CA8" s="14">
        <v>1404</v>
      </c>
      <c r="CB8" s="14">
        <v>1403</v>
      </c>
      <c r="CC8" s="14">
        <v>1403</v>
      </c>
      <c r="CD8" s="14">
        <v>1402</v>
      </c>
      <c r="CE8" s="14">
        <v>1403</v>
      </c>
      <c r="CF8" s="14">
        <v>1052</v>
      </c>
      <c r="CG8" s="14">
        <v>1052</v>
      </c>
      <c r="CH8" s="14">
        <v>1402</v>
      </c>
      <c r="CI8" s="14">
        <v>1402</v>
      </c>
      <c r="CJ8" s="14">
        <v>1402</v>
      </c>
      <c r="CK8" s="14">
        <v>1402</v>
      </c>
      <c r="CL8" s="14">
        <v>1576</v>
      </c>
      <c r="CM8" s="14">
        <v>1576</v>
      </c>
      <c r="CN8" s="14">
        <v>1576</v>
      </c>
      <c r="CO8" s="14">
        <v>1753</v>
      </c>
      <c r="CP8" s="14">
        <v>1754</v>
      </c>
      <c r="CQ8" s="14">
        <v>2109</v>
      </c>
      <c r="CR8" s="14">
        <v>2109</v>
      </c>
      <c r="CS8" s="14">
        <v>2109</v>
      </c>
      <c r="CT8" s="14">
        <v>2103</v>
      </c>
      <c r="CU8" s="14">
        <v>2458</v>
      </c>
      <c r="CV8" s="14">
        <v>2458</v>
      </c>
      <c r="CW8" s="14">
        <v>2458</v>
      </c>
      <c r="CX8" s="14">
        <v>2458</v>
      </c>
      <c r="CY8" s="14">
        <v>2811</v>
      </c>
      <c r="CZ8" s="14">
        <v>2809</v>
      </c>
      <c r="DA8" s="14">
        <v>2809</v>
      </c>
      <c r="DB8" s="14">
        <v>3160</v>
      </c>
    </row>
    <row r="9" ht="18" customHeight="1" spans="1:106" x14ac:dyDescent="0.25">
      <c r="A9" s="12" t="s">
        <v>243</v>
      </c>
      <c r="B9" s="13"/>
      <c r="C9" s="15">
        <f>=IFERROR(ROUND((C8/(C47*C48))/(1-C29)/C45,0),"")</f>
        <v>131</v>
      </c>
      <c r="D9" s="15">
        <f>=IFERROR(ROUND((D8/(D47*D48))/(1-D29)/D45,0),"")</f>
        <v>139</v>
      </c>
      <c r="E9" s="15">
        <f>=IFERROR(ROUND((E8/(E47*E48))/(1-E29)/E45,0),"")</f>
        <v>142</v>
      </c>
      <c r="F9" s="15">
        <f>=IFERROR(ROUND((F8/(F47*F48))/(1-F29)/F45,0),"")</f>
        <v>147</v>
      </c>
      <c r="G9" s="15">
        <f>=IFERROR(ROUND((G8/(G47*G48))/(1-G29)/G45,0),"")</f>
        <v>147</v>
      </c>
      <c r="H9" s="15">
        <f>=IFERROR(ROUND((H8/(H47*H48))/(1-H29)/H45,0),"")</f>
        <v>150</v>
      </c>
      <c r="I9" s="15">
        <f>=IFERROR(ROUND((I8/(I47*I48))/(1-I29)/I45,0),"")</f>
        <v>150</v>
      </c>
      <c r="J9" s="15">
        <f>=IFERROR(ROUND((J8/(J47*J48))/(1-J29)/J45,0),"")</f>
        <v>144</v>
      </c>
      <c r="K9" s="15">
        <f>=IFERROR(ROUND((K8/(K47*K48))/(1-K29)/K45,0),"")</f>
        <v>144</v>
      </c>
      <c r="L9" s="15">
        <f>=IFERROR(ROUND((L8/(L47*L48))/(1-L29)/L45,0),"")</f>
        <v>128</v>
      </c>
      <c r="M9" s="15">
        <f>=IFERROR(ROUND((M8/(M47*M48))/(1-M29)/M45,0),"")</f>
        <v>122</v>
      </c>
      <c r="N9" s="15">
        <f>=IFERROR(ROUND((N8/(N47*N48))/(1-N29)/N45,0),"")</f>
        <v>110</v>
      </c>
      <c r="O9" s="15">
        <f>=IFERROR(ROUND((O8/(O47*O48))/(1-O29)/O45,0),"")</f>
        <v>110</v>
      </c>
      <c r="P9" s="15">
        <f>=IFERROR(ROUND((P8/(P47*P48))/(1-P29)/P45,0),"")</f>
        <v>110</v>
      </c>
      <c r="Q9" s="15">
        <f>=IFERROR(ROUND((Q8/(Q47*Q48))/(1-Q29)/Q45,0),"")</f>
        <v>110</v>
      </c>
      <c r="R9" s="15">
        <f>=IFERROR(ROUND((R8/(R47*R48))/(1-R29)/R45,0),"")</f>
        <v>110</v>
      </c>
      <c r="S9" s="15">
        <f>=IFERROR(ROUND((S8/(S47*S48))/(1-S29)/S45,0),"")</f>
        <v>104</v>
      </c>
      <c r="T9" s="15">
        <f>=IFERROR(ROUND((T8/(T47*T48))/(1-T29)/T45,0),"")</f>
        <v>104</v>
      </c>
      <c r="U9" s="15">
        <f>=IFERROR(ROUND((U8/(U47*U48))/(1-U29)/U45,0),"")</f>
        <v>104</v>
      </c>
      <c r="V9" s="15">
        <f>=IFERROR(ROUND((V8/(V47*V48))/(1-V29)/V45,0),"")</f>
        <v>104</v>
      </c>
      <c r="W9" s="15">
        <f>=IFERROR(ROUND((W8/(W47*W48))/(1-W29)/W45,0),"")</f>
        <v>104</v>
      </c>
      <c r="X9" s="15">
        <f>=IFERROR(ROUND((X8/(X47*X48))/(1-X29)/X45,0),"")</f>
        <v>104</v>
      </c>
      <c r="Y9" s="15">
        <f>=IFERROR(ROUND((Y8/(Y47*Y48))/(1-Y29)/Y45,0),"")</f>
        <v>104</v>
      </c>
      <c r="Z9" s="15">
        <f>=IFERROR(ROUND((Z8/(Z47*Z48))/(1-Z29)/Z45,0),"")</f>
        <v>104</v>
      </c>
      <c r="AA9" s="15">
        <f>=IFERROR(ROUND((AA8/(AA47*AA48))/(1-AA29)/AA45,0),"")</f>
        <v>104</v>
      </c>
      <c r="AB9" s="15">
        <f>=IFERROR(ROUND((AB8/(AB47*AB48))/(1-AB29)/AB45,0),"")</f>
        <v>104</v>
      </c>
      <c r="AC9" s="15">
        <f>=IFERROR(ROUND((AC8/(AC47*AC48))/(1-AC29)/AC45,0),"")</f>
        <v>94</v>
      </c>
      <c r="AD9" s="15">
        <f>=IFERROR(ROUND((AD8/(AD47*AD48))/(1-AD29)/AD45,0),"")</f>
        <v>83</v>
      </c>
      <c r="AE9" s="15">
        <f>=IFERROR(ROUND((AE8/(AE47*AE48))/(1-AE29)/AE45,0),"")</f>
        <v>83</v>
      </c>
      <c r="AF9" s="15">
        <f>=IFERROR(ROUND((AF8/(AF47*AF48))/(1-AF29)/AF45,0),"")</f>
        <v>83</v>
      </c>
      <c r="AG9" s="15">
        <f>=IFERROR(ROUND((AG8/(AG47*AG48))/(1-AG29)/AG45,0),"")</f>
        <v>83</v>
      </c>
      <c r="AH9" s="15">
        <f>=IFERROR(ROUND((AH8/(AH47*AH48))/(1-AH29)/AH45,0),"")</f>
        <v>83</v>
      </c>
      <c r="AI9" s="15">
        <f>=IFERROR(ROUND((AI8/(AI47*AI48))/(1-AI29)/AI45,0),"")</f>
        <v>83</v>
      </c>
      <c r="AJ9" s="15">
        <f>=IFERROR(ROUND((AJ8/(AJ47*AJ48))/(1-AJ29)/AJ45,0),"")</f>
        <v>83</v>
      </c>
      <c r="AK9" s="15">
        <f>=IFERROR(ROUND((AK8/(AK47*AK48))/(1-AK29)/AK45,0),"")</f>
        <v>83</v>
      </c>
      <c r="AL9" s="15">
        <f>=IFERROR(ROUND((AL8/(AL47*AL48))/(1-AL29)/AL45,0),"")</f>
        <v>83</v>
      </c>
      <c r="AM9" s="15">
        <f>=IFERROR(ROUND((AM8/(AM47*AM48))/(1-AM29)/AM45,0),"")</f>
        <v>83</v>
      </c>
      <c r="AN9" s="15">
        <f>=IFERROR(ROUND((AN8/(AN47*AN48))/(1-AN29)/AN45,0),"")</f>
        <v>83</v>
      </c>
      <c r="AO9" s="15">
        <f>=IFERROR(ROUND((AO8/(AO47*AO48))/(1-AO29)/AO45,0),"")</f>
        <v>83</v>
      </c>
      <c r="AP9" s="15">
        <f>=IFERROR(ROUND((AP8/(AP47*AP48))/(1-AP29)/AP45,0),"")</f>
        <v>88</v>
      </c>
      <c r="AQ9" s="15">
        <f>=IFERROR(ROUND((AQ8/(AQ47*AQ48))/(1-AQ29)/AQ45,0),"")</f>
        <v>88</v>
      </c>
      <c r="AR9" s="15">
        <f>=IFERROR(ROUND((AR8/(AR47*AR48))/(1-AR29)/AR45,0),"")</f>
        <v>88</v>
      </c>
      <c r="AS9" s="15">
        <f>=IFERROR(ROUND((AS8/(AS47*AS48))/(1-AS29)/AS45,0),"")</f>
        <v>88</v>
      </c>
      <c r="AT9" s="15">
        <f>=IFERROR(ROUND((AT8/(AT47*AT48))/(1-AT29)/AT45,0),"")</f>
        <v>88</v>
      </c>
      <c r="AU9" s="15">
        <f>=IFERROR(ROUND((AU8/(AU47*AU48))/(1-AU29)/AU45,0),"")</f>
        <v>88</v>
      </c>
      <c r="AV9" s="15">
        <f>=IFERROR(ROUND((AV8/(AV47*AV48))/(1-AV29)/AV45,0),"")</f>
        <v>88</v>
      </c>
      <c r="AW9" s="15">
        <f>=IFERROR(ROUND((AW8/(AW47*AW48))/(1-AW29)/AW45,0),"")</f>
        <v>88</v>
      </c>
      <c r="AX9" s="15">
        <f>=IFERROR(ROUND((AX8/(AX47*AX48))/(1-AX29)/AX45,0),"")</f>
        <v>88</v>
      </c>
      <c r="AY9" s="15">
        <f>=IFERROR(ROUND((AY8/(AY47*AY48))/(1-AY29)/AY45,0),"")</f>
        <v>114</v>
      </c>
      <c r="AZ9" s="15">
        <f>=IFERROR(ROUND((AZ8/(AZ47*AZ48))/(1-AZ29)/AZ45,0),"")</f>
        <v>119</v>
      </c>
      <c r="BA9" s="15">
        <f>=IFERROR(ROUND((BA8/(BA47*BA48))/(1-BA29)/BA45,0),"")</f>
        <v>119</v>
      </c>
      <c r="BB9" s="15">
        <f>=IFERROR(ROUND((BB8/(BB47*BB48))/(1-BB29)/BB45,0),"")</f>
        <v>119</v>
      </c>
      <c r="BC9" s="15">
        <f>=IFERROR(ROUND((BC8/(BC47*BC48))/(1-BC29)/BC45,0),"")</f>
        <v>120</v>
      </c>
      <c r="BD9" s="15">
        <f>=IFERROR(ROUND((BD8/(BD47*BD48))/(1-BD29)/BD45,0),"")</f>
        <v>121</v>
      </c>
      <c r="BE9" s="15">
        <f>=IFERROR(ROUND((BE8/(BE47*BE48))/(1-BE29)/BE45,0),"")</f>
        <v>121</v>
      </c>
      <c r="BF9" s="15">
        <f>=IFERROR(ROUND((BF8/(BF47*BF48))/(1-BF29)/BF45,0),"")</f>
        <v>120</v>
      </c>
      <c r="BG9" s="15">
        <f>=IFERROR(ROUND((BG8/(BG47*BG48))/(1-BG29)/BG45,0),"")</f>
        <v>120</v>
      </c>
      <c r="BH9" s="15">
        <f>=IFERROR(ROUND((BH8/(BH47*BH48))/(1-BH29)/BH45,0),"")</f>
        <v>120</v>
      </c>
      <c r="BI9" s="15">
        <f>=IFERROR(ROUND((BI8/(BI47*BI48))/(1-BI29)/BI45,0),"")</f>
        <v>120</v>
      </c>
      <c r="BJ9" s="15">
        <f>=IFERROR(ROUND((BJ8/(BJ47*BJ48))/(1-BJ29)/BJ45,0),"")</f>
        <v>120</v>
      </c>
      <c r="BK9" s="15">
        <f>=IFERROR(ROUND((BK8/(BK47*BK48))/(1-BK29)/BK45,0),"")</f>
        <v>120</v>
      </c>
      <c r="BL9" s="15">
        <f>=IFERROR(ROUND((BL8/(BL47*BL48))/(1-BL29)/BL45,0),"")</f>
        <v>99</v>
      </c>
      <c r="BM9" s="15">
        <f>=IFERROR(ROUND((BM8/(BM47*BM48))/(1-BM29)/BM45,0),"")</f>
        <v>84</v>
      </c>
      <c r="BN9" s="15">
        <f>=IFERROR(ROUND((BN8/(BN47*BN48))/(1-BN29)/BN45,0),"")</f>
        <v>73</v>
      </c>
      <c r="BO9" s="15">
        <f>=IFERROR(ROUND((BO8/(BO47*BO48))/(1-BO29)/BO45,0),"")</f>
        <v>68</v>
      </c>
      <c r="BP9" s="15">
        <f>=IFERROR(ROUND((BP8/(BP47*BP48))/(1-BP29)/BP45,0),"")</f>
        <v>63</v>
      </c>
      <c r="BQ9" s="15">
        <f>=IFERROR(ROUND((BQ8/(BQ47*BQ48))/(1-BQ29)/BQ45,0),"")</f>
        <v>52</v>
      </c>
      <c r="BR9" s="15">
        <f>=IFERROR(ROUND((BR8/(BR47*BR48))/(1-BR29)/BR45,0),"")</f>
        <v>52</v>
      </c>
      <c r="BS9" s="15">
        <f>=IFERROR(ROUND((BS8/(BS47*BS48))/(1-BS29)/BS45,0),"")</f>
        <v>52</v>
      </c>
      <c r="BT9" s="15">
        <f>=IFERROR(ROUND((BT8/(BT47*BT48))/(1-BT29)/BT45,0),"")</f>
        <v>52</v>
      </c>
      <c r="BU9" s="15">
        <f>=IFERROR(ROUND((BU8/(BU47*BU48))/(1-BU29)/BU45,0),"")</f>
        <v>42</v>
      </c>
      <c r="BV9" s="15">
        <f>=IFERROR(ROUND((BV8/(BV47*BV48))/(1-BV29)/BV45,0),"")</f>
        <v>42</v>
      </c>
      <c r="BW9" s="15">
        <f>=IFERROR(ROUND((BW8/(BW47*BW48))/(1-BW29)/BW45,0),"")</f>
        <v>42</v>
      </c>
      <c r="BX9" s="15">
        <f>=IFERROR(ROUND((BX8/(BX47*BX48))/(1-BX29)/BX45,0),"")</f>
        <v>42</v>
      </c>
      <c r="BY9" s="15">
        <f>=IFERROR(ROUND((BY8/(BY47*BY48))/(1-BY29)/BY45,0),"")</f>
        <v>40</v>
      </c>
      <c r="BZ9" s="15">
        <f>=IFERROR(ROUND((BZ8/(BZ47*BZ48))/(1-BZ29)/BZ45,0),"")</f>
        <v>40</v>
      </c>
      <c r="CA9" s="15">
        <f>=IFERROR(ROUND((CA8/(CA47*CA48))/(1-CA29)/CA45,0),"")</f>
        <v>40</v>
      </c>
      <c r="CB9" s="15">
        <f>=IFERROR(ROUND((CB8/(CB47*CB48))/(1-CB29)/CB45,0),"")</f>
        <v>40</v>
      </c>
      <c r="CC9" s="15">
        <f>=IFERROR(ROUND((CC8/(CC47*CC48))/(1-CC29)/CC45,0),"")</f>
        <v>40</v>
      </c>
      <c r="CD9" s="15">
        <f>=IFERROR(ROUND((CD8/(CD47*CD48))/(1-CD29)/CD45,0),"")</f>
        <v>40</v>
      </c>
      <c r="CE9" s="15">
        <f>=IFERROR(ROUND((CE8/(CE47*CE48))/(1-CE29)/CE45,0),"")</f>
        <v>40</v>
      </c>
      <c r="CF9" s="15">
        <f>=IFERROR(ROUND((CF8/(CF47*CF48))/(1-CF29)/CF45,0),"")</f>
        <v>30</v>
      </c>
      <c r="CG9" s="15">
        <f>=IFERROR(ROUND((CG8/(CG47*CG48))/(1-CG29)/CG45,0),"")</f>
        <v>30</v>
      </c>
      <c r="CH9" s="15">
        <f>=IFERROR(ROUND((CH8/(CH47*CH48))/(1-CH29)/CH45,0),"")</f>
        <v>40</v>
      </c>
      <c r="CI9" s="15">
        <f>=IFERROR(ROUND((CI8/(CI47*CI48))/(1-CI29)/CI45,0),"")</f>
        <v>40</v>
      </c>
      <c r="CJ9" s="15">
        <f>=IFERROR(ROUND((CJ8/(CJ47*CJ48))/(1-CJ29)/CJ45,0),"")</f>
        <v>40</v>
      </c>
      <c r="CK9" s="15">
        <f>=IFERROR(ROUND((CK8/(CK47*CK48))/(1-CK29)/CK45,0),"")</f>
        <v>40</v>
      </c>
      <c r="CL9" s="15">
        <f>=IFERROR(ROUND((CL8/(CL47*CL48))/(1-CL29)/CL45,0),"")</f>
        <v>45</v>
      </c>
      <c r="CM9" s="15">
        <f>=IFERROR(ROUND((CM8/(CM47*CM48))/(1-CM29)/CM45,0),"")</f>
        <v>45</v>
      </c>
      <c r="CN9" s="15">
        <f>=IFERROR(ROUND((CN8/(CN47*CN48))/(1-CN29)/CN45,0),"")</f>
        <v>45</v>
      </c>
      <c r="CO9" s="15">
        <f>=IFERROR(ROUND((CO8/(CO47*CO48))/(1-CO29)/CO45,0),"")</f>
        <v>50</v>
      </c>
      <c r="CP9" s="15">
        <f>=IFERROR(ROUND((CP8/(CP47*CP48))/(1-CP29)/CP45,0),"")</f>
        <v>50</v>
      </c>
      <c r="CQ9" s="15">
        <f>=IFERROR(ROUND((CQ8/(CQ47*CQ48))/(1-CQ29)/CQ45,0),"")</f>
        <v>60</v>
      </c>
      <c r="CR9" s="15">
        <f>=IFERROR(ROUND((CR8/(CR47*CR48))/(1-CR29)/CR45,0),"")</f>
        <v>60</v>
      </c>
      <c r="CS9" s="15">
        <f>=IFERROR(ROUND((CS8/(CS47*CS48))/(1-CS29)/CS45,0),"")</f>
        <v>60</v>
      </c>
      <c r="CT9" s="15">
        <f>=IFERROR(ROUND((CT8/(CT47*CT48))/(1-CT29)/CT45,0),"")</f>
        <v>60</v>
      </c>
      <c r="CU9" s="15">
        <f>=IFERROR(ROUND((CU8/(CU47*CU48))/(1-CU29)/CU45,0),"")</f>
        <v>70</v>
      </c>
      <c r="CV9" s="15">
        <f>=IFERROR(ROUND((CV8/(CV47*CV48))/(1-CV29)/CV45,0),"")</f>
        <v>70</v>
      </c>
      <c r="CW9" s="15">
        <f>=IFERROR(ROUND((CW8/(CW47*CW48))/(1-CW29)/CW45,0),"")</f>
        <v>70</v>
      </c>
      <c r="CX9" s="15">
        <f>=IFERROR(ROUND((CX8/(CX47*CX48))/(1-CX29)/CX45,0),"")</f>
        <v>70</v>
      </c>
      <c r="CY9" s="15">
        <f>=IFERROR(ROUND((CY8/(CY47*CY48))/(1-CY29)/CY45,0),"")</f>
        <v>80</v>
      </c>
      <c r="CZ9" s="15">
        <f>=IFERROR(ROUND((CZ8/(CZ47*CZ48))/(1-CZ29)/CZ45,0),"")</f>
        <v>80</v>
      </c>
      <c r="DA9" s="15">
        <f>=IFERROR(ROUND((DA8/(DA47*DA48))/(1-DA29)/DA45,0),"")</f>
        <v>80</v>
      </c>
      <c r="DB9" s="15">
        <f>=IFERROR(ROUND((DB8/(DB47*DB48))/(1-DB29)/DB45,0),"")</f>
        <v>90</v>
      </c>
    </row>
    <row r="10" ht="18" customHeight="1" spans="1:106" x14ac:dyDescent="0.25">
      <c r="A10" s="16" t="s">
        <v>244</v>
      </c>
      <c r="B10" s="17"/>
      <c r="C10" s="18">
        <f>=IFERROR(C19+C22+C23,0)</f>
        <v>122</v>
      </c>
      <c r="D10" s="18">
        <f>=IFERROR(D19+D22+D23,0)</f>
        <v>128</v>
      </c>
      <c r="E10" s="18">
        <f>=IFERROR(E19+E22+E23,0)</f>
        <v>114</v>
      </c>
      <c r="F10" s="18">
        <f>=IFERROR(F19+F22+F23,0)</f>
        <v>109</v>
      </c>
      <c r="G10" s="18">
        <f>=IFERROR(G19+G22+G23,0)</f>
        <v>99</v>
      </c>
      <c r="H10" s="18">
        <f>=IFERROR(H19+H22+H23,0)</f>
        <v>108</v>
      </c>
      <c r="I10" s="18">
        <f>=IFERROR(I19+I22+I23,0)</f>
        <v>105</v>
      </c>
      <c r="J10" s="18">
        <f>=IFERROR(J19+J22+J23,0)</f>
        <v>109</v>
      </c>
      <c r="K10" s="18">
        <f>=IFERROR(K19+K22+K23,0)</f>
        <v>118</v>
      </c>
      <c r="L10" s="18">
        <f>=IFERROR(L19+L22+L23,0)</f>
        <v>118</v>
      </c>
      <c r="M10" s="18">
        <f>=IFERROR(M19+M22+M23,0)</f>
        <v>111</v>
      </c>
      <c r="N10" s="18">
        <f>=IFERROR(N19+N22+N23,0)</f>
        <v>104</v>
      </c>
      <c r="O10" s="18">
        <f>=IFERROR(O19+O22+O23,0)</f>
        <v>102</v>
      </c>
      <c r="P10" s="18">
        <f>=IFERROR(P19+P22+P23,0)</f>
        <v>106</v>
      </c>
      <c r="Q10" s="18">
        <f>=IFERROR(Q19+Q22+Q23,0)</f>
        <v>104</v>
      </c>
      <c r="R10" s="18">
        <f>=IFERROR(R19+R22+R23,0)</f>
        <v>112</v>
      </c>
      <c r="S10" s="18">
        <f>=IFERROR(S19+S22+S23,0)</f>
        <v>108</v>
      </c>
      <c r="T10" s="18">
        <f>=IFERROR(T19+T22+T23,0)</f>
        <v>107</v>
      </c>
      <c r="U10" s="18">
        <f>=IFERROR(U19+U22+U23,0)</f>
        <v>103</v>
      </c>
      <c r="V10" s="18">
        <f>=IFERROR(V19+V22+V23,0)</f>
        <v>102</v>
      </c>
      <c r="W10" s="18">
        <f>=IFERROR(W19+W22+W23,0)</f>
        <v>95</v>
      </c>
      <c r="X10" s="18">
        <f>=IFERROR(X19+X22+X23,0)</f>
        <v>94</v>
      </c>
      <c r="Y10" s="18">
        <f>=IFERROR(Y19+Y22+Y23,0)</f>
        <v>93</v>
      </c>
      <c r="Z10" s="18">
        <f>=IFERROR(Z19+Z22+Z23,0)</f>
        <v>93</v>
      </c>
      <c r="AA10" s="18">
        <f>=IFERROR(AA19+AA22+AA23,0)</f>
        <v>93</v>
      </c>
      <c r="AB10" s="18">
        <f>=IFERROR(AB19+AB22+AB23,0)</f>
        <v>89</v>
      </c>
      <c r="AC10" s="18">
        <f>=IFERROR(AC19+AC22+AC23,0)</f>
        <v>88</v>
      </c>
      <c r="AD10" s="18">
        <f>=IFERROR(AD19+AD22+AD23,0)</f>
        <v>89</v>
      </c>
      <c r="AE10" s="18">
        <f>=IFERROR(AE19+AE22+AE23,0)</f>
        <v>87</v>
      </c>
      <c r="AF10" s="18">
        <f>=IFERROR(AF19+AF22+AF23,0)</f>
        <v>85</v>
      </c>
      <c r="AG10" s="18">
        <f>=IFERROR(AG19+AG22+AG23,0)</f>
        <v>82</v>
      </c>
      <c r="AH10" s="18">
        <f>=IFERROR(AH19+AH22+AH23,0)</f>
        <v>82</v>
      </c>
      <c r="AI10" s="18">
        <f>=IFERROR(AI19+AI22+AI23,0)</f>
        <v>79</v>
      </c>
      <c r="AJ10" s="18">
        <f>=IFERROR(AJ19+AJ22+AJ23,0)</f>
        <v>78</v>
      </c>
      <c r="AK10" s="18">
        <f>=IFERROR(AK19+AK22+AK23,0)</f>
        <v>79</v>
      </c>
      <c r="AL10" s="18">
        <f>=IFERROR(AL19+AL22+AL23,0)</f>
        <v>77</v>
      </c>
      <c r="AM10" s="18">
        <f>=IFERROR(AM19+AM22+AM23,0)</f>
        <v>76</v>
      </c>
      <c r="AN10" s="18">
        <f>=IFERROR(AN19+AN22+AN23,0)</f>
        <v>74</v>
      </c>
      <c r="AO10" s="18">
        <f>=IFERROR(AO19+AO22+AO23,0)</f>
        <v>86</v>
      </c>
      <c r="AP10" s="18">
        <f>=IFERROR(AP19+AP22+AP23,0)</f>
        <v>81</v>
      </c>
      <c r="AQ10" s="18">
        <f>=IFERROR(AQ19+AQ22+AQ23,0)</f>
        <v>65</v>
      </c>
      <c r="AR10" s="18">
        <f>=IFERROR(AR19+AR22+AR23,0)</f>
        <v>80</v>
      </c>
      <c r="AS10" s="18">
        <f>=IFERROR(AS19+AS22+AS23,0)</f>
        <v>90</v>
      </c>
      <c r="AT10" s="18">
        <f>=IFERROR(AT19+AT22+AT23,0)</f>
        <v>88</v>
      </c>
      <c r="AU10" s="18">
        <f>=IFERROR(AU19+AU22+AU23,0)</f>
        <v>78</v>
      </c>
      <c r="AV10" s="18">
        <f>=IFERROR(AV19+AV22+AV23,0)</f>
        <v>88</v>
      </c>
      <c r="AW10" s="18">
        <f>=IFERROR(AW19+AW22+AW23,0)</f>
        <v>88</v>
      </c>
      <c r="AX10" s="18">
        <f>=IFERROR(AX19+AX22+AX23,0)</f>
        <v>102</v>
      </c>
      <c r="AY10" s="18">
        <f>=IFERROR(AY19+AY22+AY23,0)</f>
        <v>112</v>
      </c>
      <c r="AZ10" s="18">
        <f>=IFERROR(AZ19+AZ22+AZ23,0)</f>
        <v>98</v>
      </c>
      <c r="BA10" s="18">
        <f>=IFERROR(BA19+BA22+BA23,0)</f>
        <v>104</v>
      </c>
      <c r="BB10" s="18">
        <f>=IFERROR(BB19+BB22+BB23,0)</f>
        <v>118</v>
      </c>
      <c r="BC10" s="18">
        <f>=IFERROR(BC19+BC22+BC23,0)</f>
        <v>109</v>
      </c>
      <c r="BD10" s="18">
        <f>=IFERROR(BD19+BD22+BD23,0)</f>
        <v>120</v>
      </c>
      <c r="BE10" s="18">
        <f>=IFERROR(BE19+BE22+BE23,0)</f>
        <v>121</v>
      </c>
      <c r="BF10" s="18">
        <f>=IFERROR(BF19+BF22+BF23,0)</f>
        <v>119</v>
      </c>
      <c r="BG10" s="18">
        <f>=IFERROR(BG19+BG22+BG23,0)</f>
        <v>125</v>
      </c>
      <c r="BH10" s="18">
        <f>=IFERROR(BH19+BH22+BH23,0)</f>
        <v>115</v>
      </c>
      <c r="BI10" s="18">
        <f>=IFERROR(BI19+BI22+BI23,0)</f>
        <v>115</v>
      </c>
      <c r="BJ10" s="18">
        <f>=IFERROR(BJ19+BJ22+BJ23,0)</f>
        <v>114</v>
      </c>
      <c r="BK10" s="18">
        <f>=IFERROR(BK19+BK22+BK23,0)</f>
        <v>114</v>
      </c>
      <c r="BL10" s="18">
        <f>=IFERROR(BL19+BL22+BL23,0)</f>
        <v>113</v>
      </c>
      <c r="BM10" s="18">
        <f>=IFERROR(BM19+BM22+BM23,0)</f>
        <v>77</v>
      </c>
      <c r="BN10" s="18">
        <f>=IFERROR(BN19+BN22+BN23,0)</f>
        <v>77</v>
      </c>
      <c r="BO10" s="18">
        <f>=IFERROR(BO19+BO22+BO23,0)</f>
        <v>70</v>
      </c>
      <c r="BP10" s="18">
        <f>=IFERROR(BP19+BP22+BP23,0)</f>
        <v>72</v>
      </c>
      <c r="BQ10" s="18">
        <f>=IFERROR(BQ19+BQ22+BQ23,0)</f>
        <v>57</v>
      </c>
      <c r="BR10" s="18">
        <f>=IFERROR(BR19+BR22+BR23,0)</f>
        <v>56</v>
      </c>
      <c r="BS10" s="18">
        <f>=IFERROR(BS19+BS22+BS23,0)</f>
        <v>54</v>
      </c>
      <c r="BT10" s="18">
        <f>=IFERROR(BT19+BT22+BT23,0)</f>
        <v>54</v>
      </c>
      <c r="BU10" s="18">
        <f>=IFERROR(BU19+BU22+BU23,0)</f>
        <v>45</v>
      </c>
      <c r="BV10" s="18">
        <f>=IFERROR(BV19+BV22+BV23,0)</f>
        <v>45</v>
      </c>
      <c r="BW10" s="18">
        <f>=IFERROR(BW19+BW22+BW23,0)</f>
        <v>45</v>
      </c>
      <c r="BX10" s="18">
        <f>=IFERROR(BX19+BX22+BX23,0)</f>
        <v>44</v>
      </c>
      <c r="BY10" s="18">
        <f>=IFERROR(BY19+BY22+BY23,0)</f>
        <v>45</v>
      </c>
      <c r="BZ10" s="18">
        <f>=IFERROR(BZ19+BZ22+BZ23,0)</f>
        <v>44.4375</v>
      </c>
      <c r="CA10" s="18">
        <f>=IFERROR(CA19+CA22+CA23,0)</f>
        <v>43.88203125</v>
      </c>
      <c r="CB10" s="18">
        <f>=IFERROR(CB19+CB22+CB23,0)</f>
        <v>43.333505859375</v>
      </c>
      <c r="CC10" s="18">
        <f>=IFERROR(CC19+CC22+CC23,0)</f>
        <v>42.79183703613281</v>
      </c>
      <c r="CD10" s="18">
        <f>=IFERROR(CD19+CD22+CD23,0)</f>
        <v>42.36391866577148</v>
      </c>
      <c r="CE10" s="18">
        <f>=IFERROR(CE19+CE22+CE23,0)</f>
        <v>41.94027947911377</v>
      </c>
      <c r="CF10" s="18">
        <f>=IFERROR(CF19+CF22+CF23,0)</f>
        <v>31.520876684322648</v>
      </c>
      <c r="CG10" s="18">
        <f>=IFERROR(CG19+CG22+CG23,0)</f>
        <v>31.205667917479424</v>
      </c>
      <c r="CH10" s="18">
        <f>=IFERROR(CH19+CH22+CH23,0)</f>
        <v>30.89361123830463</v>
      </c>
      <c r="CI10" s="18">
        <f>=IFERROR(CI19+CI22+CI23,0)</f>
        <v>30.507441097825826</v>
      </c>
      <c r="CJ10" s="18">
        <f>=IFERROR(CJ19+CJ22+CJ23,0)</f>
        <v>30.126098084103003</v>
      </c>
      <c r="CK10" s="18">
        <f>=IFERROR(CK19+CK22+CK23,0)</f>
        <v>29.74952185805172</v>
      </c>
      <c r="CL10" s="18">
        <f>=IFERROR(CL19+CL22+CL23,0)</f>
        <v>29.377652834826076</v>
      </c>
      <c r="CM10" s="18">
        <f>=IFERROR(CM19+CM22+CM23,0)</f>
        <v>29.01043217439075</v>
      </c>
      <c r="CN10" s="18">
        <f>=IFERROR(CN19+CN22+CN23,0)</f>
        <v>28.647801772210865</v>
      </c>
      <c r="CO10" s="18">
        <f>=IFERROR(CO19+CO22+CO23,0)</f>
        <v>28.289704250058225</v>
      </c>
      <c r="CP10" s="18">
        <f>=IFERROR(CP19+CP22+CP23,0)</f>
        <v>27.936082946932498</v>
      </c>
      <c r="CQ10" s="18">
        <f>=IFERROR(CQ19+CQ22+CQ23,0)</f>
        <v>27.65672211746317</v>
      </c>
      <c r="CR10" s="18">
        <f>=IFERROR(CR19+CR22+CR23,0)</f>
        <v>27.380154896288538</v>
      </c>
      <c r="CS10" s="18">
        <f>=IFERROR(CS19+CS22+CS23,0)</f>
        <v>27.10635334732565</v>
      </c>
      <c r="CT10" s="18">
        <f>=IFERROR(CT19+CT22+CT23,0)</f>
        <v>26.835289813852395</v>
      </c>
      <c r="CU10" s="18">
        <f>=IFERROR(CU19+CU22+CU23,0)</f>
        <v>26.566936915713875</v>
      </c>
      <c r="CV10" s="18">
        <f>=IFERROR(CV19+CV22+CV23,0)</f>
        <v>26.23485020426745</v>
      </c>
      <c r="CW10" s="18">
        <f>=IFERROR(CW19+CW22+CW23,0)</f>
        <v>25.906914576714108</v>
      </c>
      <c r="CX10" s="18">
        <f>=IFERROR(CX19+CX22+CX23,0)</f>
        <v>25.58307814450518</v>
      </c>
      <c r="CY10" s="18">
        <f>=IFERROR(CY19+CY22+CY23,0)</f>
        <v>25.263289667698867</v>
      </c>
      <c r="CZ10" s="18">
        <f>=IFERROR(CZ19+CZ22+CZ23,0)</f>
        <v>24.947498546852636</v>
      </c>
      <c r="DA10" s="18">
        <f>=IFERROR(DA19+DA22+DA23,0)</f>
        <v>24.635654815016977</v>
      </c>
      <c r="DB10" s="18">
        <f>=IFERROR(DB19+DB22+DB23,0)</f>
        <v>24.327709129829262</v>
      </c>
    </row>
    <row r="11" ht="18" customHeight="1" spans="1:106" x14ac:dyDescent="0.25">
      <c r="A11" s="16" t="s">
        <v>245</v>
      </c>
      <c r="B11" s="17"/>
      <c r="C11" s="18">
        <f>=C10*(C47*C48*(1-C29)*(1-C46))</f>
        <v>4196.8</v>
      </c>
      <c r="D11" s="18">
        <f>=D10*(D47*D48*(1-D29)*(1-D46))</f>
        <v>4403.2</v>
      </c>
      <c r="E11" s="18">
        <f>=E10*(E47*E48*(1-E29)*(1-E46))</f>
        <v>3830.4</v>
      </c>
      <c r="F11" s="18">
        <f>=F10*(F47*F48*(1-F29)*(1-F46))</f>
        <v>3662.4</v>
      </c>
      <c r="G11" s="18">
        <f>=G10*(G47*G48*(1-G29)*(1-G46))</f>
        <v>3326.4</v>
      </c>
      <c r="H11" s="18">
        <f>=H10*(H47*H48*(1-H29)*(1-H46))</f>
        <v>3628.8</v>
      </c>
      <c r="I11" s="18">
        <f>=I10*(I47*I48*(1-I29)*(1-I46))</f>
        <v>3528</v>
      </c>
      <c r="J11" s="18">
        <f>=J10*(J47*J48*(1-J29)*(1-J46))</f>
        <v>3662.4</v>
      </c>
      <c r="K11" s="18">
        <f>=K10*(K47*K48*(1-K29)*(1-K46))</f>
        <v>3964.8</v>
      </c>
      <c r="L11" s="18">
        <f>=L10*(L47*L48*(1-L29)*(1-L46))</f>
        <v>3964.8</v>
      </c>
      <c r="M11" s="18">
        <f>=M10*(M47*M48*(1-M29)*(1-M46))</f>
        <v>3729.6</v>
      </c>
      <c r="N11" s="18">
        <f>=N10*(N47*N48*(1-N29)*(1-N46))</f>
        <v>3494.4</v>
      </c>
      <c r="O11" s="18">
        <f>=O10*(O47*O48*(1-O29)*(1-O46))</f>
        <v>3427.2</v>
      </c>
      <c r="P11" s="18">
        <f>=P10*(P47*P48*(1-P29)*(1-P46))</f>
        <v>3561.6</v>
      </c>
      <c r="Q11" s="18">
        <f>=Q10*(Q47*Q48*(1-Q29)*(1-Q46))</f>
        <v>3494.4</v>
      </c>
      <c r="R11" s="18">
        <f>=R10*(R47*R48*(1-R29)*(1-R46))</f>
        <v>3763.2</v>
      </c>
      <c r="S11" s="18">
        <f>=S10*(S47*S48*(1-S29)*(1-S46))</f>
        <v>3628.8</v>
      </c>
      <c r="T11" s="18">
        <f>=T10*(T47*T48*(1-T29)*(1-T46))</f>
        <v>3595.2</v>
      </c>
      <c r="U11" s="18">
        <f>=U10*(U47*U48*(1-U29)*(1-U46))</f>
        <v>3460.8</v>
      </c>
      <c r="V11" s="18">
        <f>=V10*(V47*V48*(1-V29)*(1-V46))</f>
        <v>3427.2</v>
      </c>
      <c r="W11" s="18">
        <f>=W10*(W47*W48*(1-W29)*(1-W46))</f>
        <v>3192</v>
      </c>
      <c r="X11" s="18">
        <f>=X10*(X47*X48*(1-X29)*(1-X46))</f>
        <v>3158.4</v>
      </c>
      <c r="Y11" s="18">
        <f>=Y10*(Y47*Y48*(1-Y29)*(1-Y46))</f>
        <v>3124.8</v>
      </c>
      <c r="Z11" s="18">
        <f>=Z10*(Z47*Z48*(1-Z29)*(1-Z46))</f>
        <v>3124.8</v>
      </c>
      <c r="AA11" s="18">
        <f>=AA10*(AA47*AA48*(1-AA29)*(1-AA46))</f>
        <v>3124.8</v>
      </c>
      <c r="AB11" s="18">
        <f>=AB10*(AB47*AB48*(1-AB29)*(1-AB46))</f>
        <v>2990.4</v>
      </c>
      <c r="AC11" s="18">
        <f>=AC10*(AC47*AC48*(1-AC29)*(1-AC46))</f>
        <v>2956.8</v>
      </c>
      <c r="AD11" s="18">
        <f>=AD10*(AD47*AD48*(1-AD29)*(1-AD46))</f>
        <v>2990.4</v>
      </c>
      <c r="AE11" s="18">
        <f>=AE10*(AE47*AE48*(1-AE29)*(1-AE46))</f>
        <v>2923.2</v>
      </c>
      <c r="AF11" s="18">
        <f>=AF10*(AF47*AF48*(1-AF29)*(1-AF46))</f>
        <v>2856</v>
      </c>
      <c r="AG11" s="18">
        <f>=AG10*(AG47*AG48*(1-AG29)*(1-AG46))</f>
        <v>2755.2</v>
      </c>
      <c r="AH11" s="18">
        <f>=AH10*(AH47*AH48*(1-AH29)*(1-AH46))</f>
        <v>2755.2</v>
      </c>
      <c r="AI11" s="18">
        <f>=AI10*(AI47*AI48*(1-AI29)*(1-AI46))</f>
        <v>2654.4</v>
      </c>
      <c r="AJ11" s="18">
        <f>=AJ10*(AJ47*AJ48*(1-AJ29)*(1-AJ46))</f>
        <v>2620.8</v>
      </c>
      <c r="AK11" s="18">
        <f>=AK10*(AK47*AK48*(1-AK29)*(1-AK46))</f>
        <v>2654.4</v>
      </c>
      <c r="AL11" s="18">
        <f>=AL10*(AL47*AL48*(1-AL29)*(1-AL46))</f>
        <v>2587.2</v>
      </c>
      <c r="AM11" s="18">
        <f>=AM10*(AM47*AM48*(1-AM29)*(1-AM46))</f>
        <v>2553.6</v>
      </c>
      <c r="AN11" s="18">
        <f>=AN10*(AN47*AN48*(1-AN29)*(1-AN46))</f>
        <v>2486.4</v>
      </c>
      <c r="AO11" s="18">
        <f>=AO10*(AO47*AO48*(1-AO29)*(1-AO46))</f>
        <v>2889.6</v>
      </c>
      <c r="AP11" s="18">
        <f>=AP10*(AP47*AP48*(1-AP29)*(1-AP46))</f>
        <v>2818.8</v>
      </c>
      <c r="AQ11" s="18">
        <f>=AQ10*(AQ47*AQ48*(1-AQ29)*(1-AQ46))</f>
        <v>2262</v>
      </c>
      <c r="AR11" s="18">
        <f>=AR10*(AR47*AR48*(1-AR29)*(1-AR46))</f>
        <v>2784</v>
      </c>
      <c r="AS11" s="18">
        <f>=AS10*(AS47*AS48*(1-AS29)*(1-AS46))</f>
        <v>3132</v>
      </c>
      <c r="AT11" s="18">
        <f>=AT10*(AT47*AT48*(1-AT29)*(1-AT46))</f>
        <v>3062.4</v>
      </c>
      <c r="AU11" s="18">
        <f>=AU10*(AU47*AU48*(1-AU29)*(1-AU46))</f>
        <v>2714.4</v>
      </c>
      <c r="AV11" s="18">
        <f>=AV10*(AV47*AV48*(1-AV29)*(1-AV46))</f>
        <v>3062.4</v>
      </c>
      <c r="AW11" s="18">
        <f>=AW10*(AW47*AW48*(1-AW29)*(1-AW46))</f>
        <v>3062.4</v>
      </c>
      <c r="AX11" s="18">
        <f>=AX10*(AX47*AX48*(1-AX29)*(1-AX46))</f>
        <v>3549.6</v>
      </c>
      <c r="AY11" s="18">
        <f>=AY10*(AY47*AY48*(1-AY29)*(1-AY46))</f>
        <v>3897.6</v>
      </c>
      <c r="AZ11" s="18">
        <f>=AZ10*(AZ47*AZ48*(1-AZ29)*(1-AZ46))</f>
        <v>3410.4</v>
      </c>
      <c r="BA11" s="18">
        <f>=BA10*(BA47*BA48*(1-BA29)*(1-BA46))</f>
        <v>3619.2</v>
      </c>
      <c r="BB11" s="18">
        <f>=BB10*(BB47*BB48*(1-BB29)*(1-BB46))</f>
        <v>4106.4</v>
      </c>
      <c r="BC11" s="18">
        <f>=BC10*(BC47*BC48*(1-BC29)*(1-BC46))</f>
        <v>3749.6</v>
      </c>
      <c r="BD11" s="18">
        <f>=BD10*(BD47*BD48*(1-BD29)*(1-BD46))</f>
        <v>4128</v>
      </c>
      <c r="BE11" s="18">
        <f>=BE10*(BE47*BE48*(1-BE29)*(1-BE46))</f>
        <v>4162.4</v>
      </c>
      <c r="BF11" s="18">
        <f>=BF10*(BF47*BF48*(1-BF29)*(1-BF46))</f>
        <v>4093.6</v>
      </c>
      <c r="BG11" s="18">
        <f>=BG10*(BG47*BG48*(1-BG29)*(1-BG46))</f>
        <v>4300</v>
      </c>
      <c r="BH11" s="18">
        <f>=BH10*(BH47*BH48*(1-BH29)*(1-BH46))</f>
        <v>3956</v>
      </c>
      <c r="BI11" s="18">
        <f>=BI10*(BI47*BI48*(1-BI29)*(1-BI46))</f>
        <v>3956</v>
      </c>
      <c r="BJ11" s="18">
        <f>=BJ10*(BJ47*BJ48*(1-BJ29)*(1-BJ46))</f>
        <v>3921.6</v>
      </c>
      <c r="BK11" s="18">
        <f>=BK10*(BK47*BK48*(1-BK29)*(1-BK46))</f>
        <v>3921.6</v>
      </c>
      <c r="BL11" s="18">
        <f>=BL10*(BL47*BL48*(1-BL29)*(1-BL46))</f>
        <v>3887.2</v>
      </c>
      <c r="BM11" s="18">
        <f>=BM10*(BM47*BM48*(1-BM29)*(1-BM46))</f>
        <v>2648.8</v>
      </c>
      <c r="BN11" s="18">
        <f>=BN10*(BN47*BN48*(1-BN29)*(1-BN46))</f>
        <v>2648.8</v>
      </c>
      <c r="BO11" s="18">
        <f>=BO10*(BO47*BO48*(1-BO29)*(1-BO46))</f>
        <v>2408</v>
      </c>
      <c r="BP11" s="18">
        <f>=BP10*(BP47*BP48*(1-BP29)*(1-BP46))</f>
        <v>2476.8</v>
      </c>
      <c r="BQ11" s="18">
        <f>=BQ10*(BQ47*BQ48*(1-BQ29)*(1-BQ46))</f>
        <v>1960.8</v>
      </c>
      <c r="BR11" s="18">
        <f>=BR10*(BR47*BR48*(1-BR29)*(1-BR46))</f>
        <v>1926.4</v>
      </c>
      <c r="BS11" s="18">
        <f>=BS10*(BS47*BS48*(1-BS29)*(1-BS46))</f>
        <v>1857.6</v>
      </c>
      <c r="BT11" s="18">
        <f>=BT10*(BT47*BT48*(1-BT29)*(1-BT46))</f>
        <v>1857.6</v>
      </c>
      <c r="BU11" s="18">
        <f>=BU10*(BU47*BU48*(1-BU29)*(1-BU46))</f>
        <v>1548</v>
      </c>
      <c r="BV11" s="18">
        <f>=BV10*(BV47*BV48*(1-BV29)*(1-BV46))</f>
        <v>1548</v>
      </c>
      <c r="BW11" s="18">
        <f>=BW10*(BW47*BW48*(1-BW29)*(1-BW46))</f>
        <v>1548</v>
      </c>
      <c r="BX11" s="18">
        <f>=BX10*(BX47*BX48*(1-BX29)*(1-BX46))</f>
        <v>1513.6</v>
      </c>
      <c r="BY11" s="18">
        <f>=BY10*(BY47*BY48*(1-BY29)*(1-BY46))</f>
        <v>1584</v>
      </c>
      <c r="BZ11" s="18">
        <f>=BZ10*(BZ47*BZ48*(1-BZ29)*(1-BZ46))</f>
        <v>1564.2</v>
      </c>
      <c r="CA11" s="18">
        <f>=CA10*(CA47*CA48*(1-CA29)*(1-CA46))</f>
        <v>1544.6475</v>
      </c>
      <c r="CB11" s="18">
        <f>=CB10*(CB47*CB48*(1-CB29)*(1-CB46))</f>
        <v>1525.3394062500001</v>
      </c>
      <c r="CC11" s="18">
        <f>=CC10*(CC47*CC48*(1-CC29)*(1-CC46))</f>
        <v>1506.2726636718753</v>
      </c>
      <c r="CD11" s="18">
        <f>=CD10*(CD47*CD48*(1-CD29)*(1-CD46))</f>
        <v>1491.2099370351566</v>
      </c>
      <c r="CE11" s="18">
        <f>=CE10*(CE47*CE48*(1-CE29)*(1-CE46))</f>
        <v>1476.2978376648057</v>
      </c>
      <c r="CF11" s="18">
        <f>=CF10*(CF47*CF48*(1-CF29)*(1-CF46))</f>
        <v>1109.5348592881573</v>
      </c>
      <c r="CG11" s="18">
        <f>=CG10*(CG47*CG48*(1-CG29)*(1-CG46))</f>
        <v>1098.4395106952759</v>
      </c>
      <c r="CH11" s="18">
        <f>=CH10*(CH47*CH48*(1-CH29)*(1-CH46))</f>
        <v>1087.4551155883232</v>
      </c>
      <c r="CI11" s="18">
        <f>=CI10*(CI47*CI48*(1-CI29)*(1-CI46))</f>
        <v>1073.8619266434691</v>
      </c>
      <c r="CJ11" s="18">
        <f>=CJ10*(CJ47*CJ48*(1-CJ29)*(1-CJ46))</f>
        <v>1060.4386525604257</v>
      </c>
      <c r="CK11" s="18">
        <f>=CK10*(CK47*CK48*(1-CK29)*(1-CK46))</f>
        <v>1047.1831694034206</v>
      </c>
      <c r="CL11" s="18">
        <f>=CL10*(CL47*CL48*(1-CL29)*(1-CL46))</f>
        <v>1034.093379785878</v>
      </c>
      <c r="CM11" s="18">
        <f>=CM10*(CM47*CM48*(1-CM29)*(1-CM46))</f>
        <v>1021.1672125385547</v>
      </c>
      <c r="CN11" s="18">
        <f>=CN10*(CN47*CN48*(1-CN29)*(1-CN46))</f>
        <v>1008.4026223818227</v>
      </c>
      <c r="CO11" s="18">
        <f>=CO10*(CO47*CO48*(1-CO29)*(1-CO46))</f>
        <v>995.7975896020497</v>
      </c>
      <c r="CP11" s="18">
        <f>=CP10*(CP47*CP48*(1-CP29)*(1-CP46))</f>
        <v>983.3501197320239</v>
      </c>
      <c r="CQ11" s="18">
        <f>=CQ10*(CQ47*CQ48*(1-CQ29)*(1-CQ46))</f>
        <v>973.5166185347038</v>
      </c>
      <c r="CR11" s="18">
        <f>=CR10*(CR47*CR48*(1-CR29)*(1-CR46))</f>
        <v>963.7814523493565</v>
      </c>
      <c r="CS11" s="18">
        <f>=CS10*(CS47*CS48*(1-CS29)*(1-CS46))</f>
        <v>954.1436378258633</v>
      </c>
      <c r="CT11" s="18">
        <f>=CT10*(CT47*CT48*(1-CT29)*(1-CT46))</f>
        <v>944.6022014476044</v>
      </c>
      <c r="CU11" s="18">
        <f>=CU10*(CU47*CU48*(1-CU29)*(1-CU46))</f>
        <v>935.1561794331285</v>
      </c>
      <c r="CV11" s="18">
        <f>=CV10*(CV47*CV48*(1-CV29)*(1-CV46))</f>
        <v>923.4667271902143</v>
      </c>
      <c r="CW11" s="18">
        <f>=CW10*(CW47*CW48*(1-CW29)*(1-CW46))</f>
        <v>911.9233931003366</v>
      </c>
      <c r="CX11" s="18">
        <f>=CX10*(CX47*CX48*(1-CX29)*(1-CX46))</f>
        <v>900.5243506865826</v>
      </c>
      <c r="CY11" s="18">
        <f>=CY10*(CY47*CY48*(1-CY29)*(1-CY46))</f>
        <v>889.2677963030005</v>
      </c>
      <c r="CZ11" s="18">
        <f>=CZ10*(CZ47*CZ48*(1-CZ29)*(1-CZ46))</f>
        <v>878.1519488492129</v>
      </c>
      <c r="DA11" s="18">
        <f>=DA10*(DA47*DA48*(1-DA29)*(1-DA46))</f>
        <v>867.1750494885976</v>
      </c>
      <c r="DB11" s="18">
        <f>=DB10*(DB47*DB48*(1-DB29)*(1-DB46))</f>
        <v>856.3353613699901</v>
      </c>
    </row>
    <row r="12" ht="18" customHeight="1" spans="1:106" x14ac:dyDescent="0.25">
      <c r="A12" s="16" t="s">
        <v>246</v>
      </c>
      <c r="C12" s="19">
        <f>=IFERROR(C10-C7,0)</f>
        <v>-6</v>
      </c>
      <c r="D12" s="19">
        <f>=IFERROR(D10-D7,0)</f>
        <v>-7</v>
      </c>
      <c r="E12" s="19">
        <f>=IFERROR(E10-E7,0)</f>
        <v>-21</v>
      </c>
      <c r="F12" s="19">
        <f>=IFERROR(F10-F7,0)</f>
        <v>-31</v>
      </c>
      <c r="G12" s="19">
        <f>=IFERROR(G10-G7,0)</f>
        <v>-41</v>
      </c>
      <c r="H12" s="19">
        <f>=IFERROR(H10-H7,0)</f>
        <v>-32</v>
      </c>
      <c r="I12" s="19">
        <f>=IFERROR(I10-I7,0)</f>
        <v>-35</v>
      </c>
      <c r="J12" s="19">
        <f>=IFERROR(J10-J7,0)</f>
        <v>-26</v>
      </c>
      <c r="K12" s="19">
        <f>=IFERROR(K10-K7,0)</f>
        <v>-17</v>
      </c>
      <c r="L12" s="19">
        <f>=IFERROR(L10-L7,0)</f>
        <v>-2</v>
      </c>
      <c r="M12" s="19">
        <f>=IFERROR(M10-M7,0)</f>
        <v>-4</v>
      </c>
      <c r="N12" s="19">
        <f>=IFERROR(N10-N7,0)</f>
        <v>1</v>
      </c>
      <c r="O12" s="19">
        <f>=IFERROR(O10-O7,0)</f>
        <v>-1</v>
      </c>
      <c r="P12" s="19">
        <f>=IFERROR(P10-P7,0)</f>
        <v>3</v>
      </c>
      <c r="Q12" s="19">
        <f>=IFERROR(Q10-Q7,0)</f>
        <v>1</v>
      </c>
      <c r="R12" s="19">
        <f>=IFERROR(R10-R7,0)</f>
        <v>9</v>
      </c>
      <c r="S12" s="19">
        <f>=IFERROR(S10-S7,0)</f>
        <v>10</v>
      </c>
      <c r="T12" s="19">
        <f>=IFERROR(T10-T7,0)</f>
        <v>9</v>
      </c>
      <c r="U12" s="19">
        <f>=IFERROR(U10-U7,0)</f>
        <v>5</v>
      </c>
      <c r="V12" s="19">
        <f>=IFERROR(V10-V7,0)</f>
        <v>4</v>
      </c>
      <c r="W12" s="19">
        <f>=IFERROR(W10-W7,0)</f>
        <v>-3</v>
      </c>
      <c r="X12" s="19">
        <f>=IFERROR(X10-X7,0)</f>
        <v>-4</v>
      </c>
      <c r="Y12" s="19">
        <f>=IFERROR(Y10-Y7,0)</f>
        <v>-5</v>
      </c>
      <c r="Z12" s="19">
        <f>=IFERROR(Z10-Z7,0)</f>
        <v>-5</v>
      </c>
      <c r="AA12" s="19">
        <f>=IFERROR(AA10-AA7,0)</f>
        <v>-5</v>
      </c>
      <c r="AB12" s="19">
        <f>=IFERROR(AB10-AB7,0)</f>
        <v>-9</v>
      </c>
      <c r="AC12" s="19">
        <f>=IFERROR(AC10-AC7,0)</f>
        <v>0</v>
      </c>
      <c r="AD12" s="19">
        <f>=IFERROR(AD10-AD7,0)</f>
        <v>11</v>
      </c>
      <c r="AE12" s="19">
        <f>=IFERROR(AE10-AE7,0)</f>
        <v>9</v>
      </c>
      <c r="AF12" s="19">
        <f>=IFERROR(AF10-AF7,0)</f>
        <v>7</v>
      </c>
      <c r="AG12" s="19">
        <f>=IFERROR(AG10-AG7,0)</f>
        <v>4</v>
      </c>
      <c r="AH12" s="19">
        <f>=IFERROR(AH10-AH7,0)</f>
        <v>4</v>
      </c>
      <c r="AI12" s="19">
        <f>=IFERROR(AI10-AI7,0)</f>
        <v>1</v>
      </c>
      <c r="AJ12" s="19">
        <f>=IFERROR(AJ10-AJ7,0)</f>
        <v>0</v>
      </c>
      <c r="AK12" s="19">
        <f>=IFERROR(AK10-AK7,0)</f>
        <v>1</v>
      </c>
      <c r="AL12" s="19">
        <f>=IFERROR(AL10-AL7,0)</f>
        <v>-1</v>
      </c>
      <c r="AM12" s="19">
        <f>=IFERROR(AM10-AM7,0)</f>
        <v>-2</v>
      </c>
      <c r="AN12" s="19">
        <f>=IFERROR(AN10-AN7,0)</f>
        <v>-4</v>
      </c>
      <c r="AO12" s="19">
        <f>=IFERROR(AO10-AO7,0)</f>
        <v>8</v>
      </c>
      <c r="AP12" s="19">
        <f>=IFERROR(AP10-AP7,0)</f>
        <v>-4</v>
      </c>
      <c r="AQ12" s="19">
        <f>=IFERROR(AQ10-AQ7,0)</f>
        <v>-20</v>
      </c>
      <c r="AR12" s="19">
        <f>=IFERROR(AR10-AR7,0)</f>
        <v>-5</v>
      </c>
      <c r="AS12" s="19">
        <f>=IFERROR(AS10-AS7,0)</f>
        <v>5</v>
      </c>
      <c r="AT12" s="19">
        <f>=IFERROR(AT10-AT7,0)</f>
        <v>3</v>
      </c>
      <c r="AU12" s="19">
        <f>=IFERROR(AU10-AU7,0)</f>
        <v>-7</v>
      </c>
      <c r="AV12" s="19">
        <f>=IFERROR(AV10-AV7,0)</f>
        <v>3</v>
      </c>
      <c r="AW12" s="19">
        <f>=IFERROR(AW10-AW7,0)</f>
        <v>3</v>
      </c>
      <c r="AX12" s="19">
        <f>=IFERROR(AX10-AX7,0)</f>
        <v>17</v>
      </c>
      <c r="AY12" s="19">
        <f>=IFERROR(AY10-AY7,0)</f>
        <v>2</v>
      </c>
      <c r="AZ12" s="19">
        <f>=IFERROR(AZ10-AZ7,0)</f>
        <v>-17</v>
      </c>
      <c r="BA12" s="19">
        <f>=IFERROR(BA10-BA7,0)</f>
        <v>-11</v>
      </c>
      <c r="BB12" s="19">
        <f>=IFERROR(BB10-BB7,0)</f>
        <v>3</v>
      </c>
      <c r="BC12" s="19">
        <f>=IFERROR(BC10-BC7,0)</f>
        <v>-6</v>
      </c>
      <c r="BD12" s="19">
        <f>=IFERROR(BD10-BD7,0)</f>
        <v>5</v>
      </c>
      <c r="BE12" s="19">
        <f>=IFERROR(BE10-BE7,0)</f>
        <v>6</v>
      </c>
      <c r="BF12" s="19">
        <f>=IFERROR(BF10-BF7,0)</f>
        <v>4</v>
      </c>
      <c r="BG12" s="19">
        <f>=IFERROR(BG10-BG7,0)</f>
        <v>10</v>
      </c>
      <c r="BH12" s="19">
        <f>=IFERROR(BH10-BH7,0)</f>
        <v>0</v>
      </c>
      <c r="BI12" s="19">
        <f>=IFERROR(BI10-BI7,0)</f>
        <v>0</v>
      </c>
      <c r="BJ12" s="19">
        <f>=IFERROR(BJ10-BJ7,0)</f>
        <v>-1</v>
      </c>
      <c r="BK12" s="19">
        <f>=IFERROR(BK10-BK7,0)</f>
        <v>-1</v>
      </c>
      <c r="BL12" s="19">
        <f>=IFERROR(BL10-BL7,0)</f>
        <v>18</v>
      </c>
      <c r="BM12" s="19">
        <f>=IFERROR(BM10-BM7,0)</f>
        <v>-3</v>
      </c>
      <c r="BN12" s="19">
        <f>=IFERROR(BN10-BN7,0)</f>
        <v>7</v>
      </c>
      <c r="BO12" s="19">
        <f>=IFERROR(BO10-BO7,0)</f>
        <v>5</v>
      </c>
      <c r="BP12" s="19">
        <f>=IFERROR(BP10-BP7,0)</f>
        <v>12</v>
      </c>
      <c r="BQ12" s="19">
        <f>=IFERROR(BQ10-BQ7,0)</f>
        <v>7</v>
      </c>
      <c r="BR12" s="19">
        <f>=IFERROR(BR10-BR7,0)</f>
        <v>6</v>
      </c>
      <c r="BS12" s="19">
        <f>=IFERROR(BS10-BS7,0)</f>
        <v>4</v>
      </c>
      <c r="BT12" s="19">
        <f>=IFERROR(BT10-BT7,0)</f>
        <v>4</v>
      </c>
      <c r="BU12" s="19">
        <f>=IFERROR(BU10-BU7,0)</f>
        <v>5</v>
      </c>
      <c r="BV12" s="19">
        <f>=IFERROR(BV10-BV7,0)</f>
        <v>5</v>
      </c>
      <c r="BW12" s="19">
        <f>=IFERROR(BW10-BW7,0)</f>
        <v>5</v>
      </c>
      <c r="BX12" s="19">
        <f>=IFERROR(BX10-BX7,0)</f>
        <v>4</v>
      </c>
      <c r="BY12" s="19">
        <f>=IFERROR(BY10-BY7,0)</f>
        <v>5</v>
      </c>
      <c r="BZ12" s="19">
        <f>=IFERROR(BZ10-BZ7,0)</f>
        <v>4.4375</v>
      </c>
      <c r="CA12" s="19">
        <f>=IFERROR(CA10-CA7,0)</f>
        <v>3.88203125</v>
      </c>
      <c r="CB12" s="19">
        <f>=IFERROR(CB10-CB7,0)</f>
        <v>3.333505859375</v>
      </c>
      <c r="CC12" s="19">
        <f>=IFERROR(CC10-CC7,0)</f>
        <v>2.79183703613281</v>
      </c>
      <c r="CD12" s="19">
        <f>=IFERROR(CD10-CD7,0)</f>
        <v>2.36391866577148</v>
      </c>
      <c r="CE12" s="19">
        <f>=IFERROR(CE10-CE7,0)</f>
        <v>1.94027947911377</v>
      </c>
      <c r="CF12" s="19">
        <f>=IFERROR(CF10-CF7,0)</f>
        <v>1.520876684322648</v>
      </c>
      <c r="CG12" s="19">
        <f>=IFERROR(CG10-CG7,0)</f>
        <v>1.205667917479424</v>
      </c>
      <c r="CH12" s="19">
        <f>=IFERROR(CH10-CH7,0)</f>
        <v>-9.10638876169537</v>
      </c>
      <c r="CI12" s="19">
        <f>=IFERROR(CI10-CI7,0)</f>
        <v>-9.492558902174176</v>
      </c>
      <c r="CJ12" s="19">
        <f>=IFERROR(CJ10-CJ7,0)</f>
        <v>-9.873901915896996</v>
      </c>
      <c r="CK12" s="19">
        <f>=IFERROR(CK10-CK7,0)</f>
        <v>-10.25047814194828</v>
      </c>
      <c r="CL12" s="19">
        <f>=IFERROR(CL10-CL7,0)</f>
        <v>-15.622347165173924</v>
      </c>
      <c r="CM12" s="19">
        <f>=IFERROR(CM10-CM7,0)</f>
        <v>-15.98956782560925</v>
      </c>
      <c r="CN12" s="19">
        <f>=IFERROR(CN10-CN7,0)</f>
        <v>-16.352198227789135</v>
      </c>
      <c r="CO12" s="19">
        <f>=IFERROR(CO10-CO7,0)</f>
        <v>-21.710295749941775</v>
      </c>
      <c r="CP12" s="19">
        <f>=IFERROR(CP10-CP7,0)</f>
        <v>-22.063917053067502</v>
      </c>
      <c r="CQ12" s="19">
        <f>=IFERROR(CQ10-CQ7,0)</f>
        <v>-32.34327788253683</v>
      </c>
      <c r="CR12" s="19">
        <f>=IFERROR(CR10-CR7,0)</f>
        <v>-32.61984510371146</v>
      </c>
      <c r="CS12" s="19">
        <f>=IFERROR(CS10-CS7,0)</f>
        <v>-32.89364665267435</v>
      </c>
      <c r="CT12" s="19">
        <f>=IFERROR(CT10-CT7,0)</f>
        <v>-33.1647101861476</v>
      </c>
      <c r="CU12" s="19">
        <f>=IFERROR(CU10-CU7,0)</f>
        <v>-43.433063084286125</v>
      </c>
      <c r="CV12" s="19">
        <f>=IFERROR(CV10-CV7,0)</f>
        <v>-43.76514979573255</v>
      </c>
      <c r="CW12" s="19">
        <f>=IFERROR(CW10-CW7,0)</f>
        <v>-44.093085423285885</v>
      </c>
      <c r="CX12" s="19">
        <f>=IFERROR(CX10-CX7,0)</f>
        <v>-44.41692185549482</v>
      </c>
      <c r="CY12" s="19">
        <f>=IFERROR(CY10-CY7,0)</f>
        <v>-54.736710332301136</v>
      </c>
      <c r="CZ12" s="19">
        <f>=IFERROR(CZ10-CZ7,0)</f>
        <v>-55.05250145314736</v>
      </c>
      <c r="DA12" s="19">
        <f>=IFERROR(DA10-DA7,0)</f>
        <v>-55.36434518498302</v>
      </c>
      <c r="DB12" s="19">
        <f>=IFERROR(DB10-DB7,0)</f>
        <v>-65.67229087017074</v>
      </c>
    </row>
    <row r="13" ht="18" customHeight="1" spans="1:106" x14ac:dyDescent="0.25">
      <c r="A13" s="20" t="s">
        <v>247</v>
      </c>
      <c r="B13" s="17"/>
      <c r="C13" s="21">
        <f>=IFERROR(C10-C9,0)</f>
        <v>-9</v>
      </c>
      <c r="D13" s="21">
        <f>=IFERROR(D10-D9,0)</f>
        <v>-11</v>
      </c>
      <c r="E13" s="21">
        <f>=IFERROR(E10-E9,0)</f>
        <v>-28</v>
      </c>
      <c r="F13" s="21">
        <f>=IFERROR(F10-F9,0)</f>
        <v>-38</v>
      </c>
      <c r="G13" s="21">
        <f>=IFERROR(G10-G9,0)</f>
        <v>-48</v>
      </c>
      <c r="H13" s="21">
        <f>=IFERROR(H10-H9,0)</f>
        <v>-42</v>
      </c>
      <c r="I13" s="21">
        <f>=IFERROR(I10-I9,0)</f>
        <v>-45</v>
      </c>
      <c r="J13" s="21">
        <f>=IFERROR(J10-J9,0)</f>
        <v>-35</v>
      </c>
      <c r="K13" s="21">
        <f>=IFERROR(K10-K9,0)</f>
        <v>-26</v>
      </c>
      <c r="L13" s="21">
        <f>=IFERROR(L10-L9,0)</f>
        <v>-10</v>
      </c>
      <c r="M13" s="21">
        <f>=IFERROR(M10-M9,0)</f>
        <v>-11</v>
      </c>
      <c r="N13" s="21">
        <f>=IFERROR(N10-N9,0)</f>
        <v>-6</v>
      </c>
      <c r="O13" s="21">
        <f>=IFERROR(O10-O9,0)</f>
        <v>-8</v>
      </c>
      <c r="P13" s="21">
        <f>=IFERROR(P10-P9,0)</f>
        <v>-4</v>
      </c>
      <c r="Q13" s="21">
        <f>=IFERROR(Q10-Q9,0)</f>
        <v>-6</v>
      </c>
      <c r="R13" s="21">
        <f>=IFERROR(R10-R9,0)</f>
        <v>2</v>
      </c>
      <c r="S13" s="21">
        <f>=IFERROR(S10-S9,0)</f>
        <v>4</v>
      </c>
      <c r="T13" s="21">
        <f>=IFERROR(T10-T9,0)</f>
        <v>3</v>
      </c>
      <c r="U13" s="21">
        <f>=IFERROR(U10-U9,0)</f>
        <v>-1</v>
      </c>
      <c r="V13" s="21">
        <f>=IFERROR(V10-V9,0)</f>
        <v>-2</v>
      </c>
      <c r="W13" s="21">
        <f>=IFERROR(W10-W9,0)</f>
        <v>-9</v>
      </c>
      <c r="X13" s="21">
        <f>=IFERROR(X10-X9,0)</f>
        <v>-10</v>
      </c>
      <c r="Y13" s="21">
        <f>=IFERROR(Y10-Y9,0)</f>
        <v>-11</v>
      </c>
      <c r="Z13" s="21">
        <f>=IFERROR(Z10-Z9,0)</f>
        <v>-11</v>
      </c>
      <c r="AA13" s="21">
        <f>=IFERROR(AA10-AA9,0)</f>
        <v>-11</v>
      </c>
      <c r="AB13" s="21">
        <f>=IFERROR(AB10-AB9,0)</f>
        <v>-15</v>
      </c>
      <c r="AC13" s="21">
        <f>=IFERROR(AC10-AC9,0)</f>
        <v>-6</v>
      </c>
      <c r="AD13" s="21">
        <f>=IFERROR(AD10-AD9,0)</f>
        <v>6</v>
      </c>
      <c r="AE13" s="21">
        <f>=IFERROR(AE10-AE9,0)</f>
        <v>4</v>
      </c>
      <c r="AF13" s="21">
        <f>=IFERROR(AF10-AF9,0)</f>
        <v>2</v>
      </c>
      <c r="AG13" s="21">
        <f>=IFERROR(AG10-AG9,0)</f>
        <v>-1</v>
      </c>
      <c r="AH13" s="21">
        <f>=IFERROR(AH10-AH9,0)</f>
        <v>-1</v>
      </c>
      <c r="AI13" s="21">
        <f>=IFERROR(AI10-AI9,0)</f>
        <v>-4</v>
      </c>
      <c r="AJ13" s="21">
        <f>=IFERROR(AJ10-AJ9,0)</f>
        <v>-5</v>
      </c>
      <c r="AK13" s="21">
        <f>=IFERROR(AK10-AK9,0)</f>
        <v>-4</v>
      </c>
      <c r="AL13" s="21">
        <f>=IFERROR(AL10-AL9,0)</f>
        <v>-6</v>
      </c>
      <c r="AM13" s="21">
        <f>=IFERROR(AM10-AM9,0)</f>
        <v>-7</v>
      </c>
      <c r="AN13" s="21">
        <f>=IFERROR(AN10-AN9,0)</f>
        <v>-9</v>
      </c>
      <c r="AO13" s="21">
        <f>=IFERROR(AO10-AO9,0)</f>
        <v>3</v>
      </c>
      <c r="AP13" s="21">
        <f>=IFERROR(AP10-AP9,0)</f>
        <v>-7</v>
      </c>
      <c r="AQ13" s="21">
        <f>=IFERROR(AQ10-AQ9,0)</f>
        <v>-23</v>
      </c>
      <c r="AR13" s="21">
        <f>=IFERROR(AR10-AR9,0)</f>
        <v>-8</v>
      </c>
      <c r="AS13" s="21">
        <f>=IFERROR(AS10-AS9,0)</f>
        <v>2</v>
      </c>
      <c r="AT13" s="21">
        <f>=IFERROR(AT10-AT9,0)</f>
        <v>0</v>
      </c>
      <c r="AU13" s="21">
        <f>=IFERROR(AU10-AU9,0)</f>
        <v>-10</v>
      </c>
      <c r="AV13" s="21">
        <f>=IFERROR(AV10-AV9,0)</f>
        <v>0</v>
      </c>
      <c r="AW13" s="21">
        <f>=IFERROR(AW10-AW9,0)</f>
        <v>0</v>
      </c>
      <c r="AX13" s="21">
        <f>=IFERROR(AX10-AX9,0)</f>
        <v>14</v>
      </c>
      <c r="AY13" s="21">
        <f>=IFERROR(AY10-AY9,0)</f>
        <v>-2</v>
      </c>
      <c r="AZ13" s="21">
        <f>=IFERROR(AZ10-AZ9,0)</f>
        <v>-21</v>
      </c>
      <c r="BA13" s="21">
        <f>=IFERROR(BA10-BA9,0)</f>
        <v>-15</v>
      </c>
      <c r="BB13" s="21">
        <f>=IFERROR(BB10-BB9,0)</f>
        <v>-1</v>
      </c>
      <c r="BC13" s="21">
        <f>=IFERROR(BC10-BC9,0)</f>
        <v>-11</v>
      </c>
      <c r="BD13" s="21">
        <f>=IFERROR(BD10-BD9,0)</f>
        <v>-1</v>
      </c>
      <c r="BE13" s="21">
        <f>=IFERROR(BE10-BE9,0)</f>
        <v>0</v>
      </c>
      <c r="BF13" s="21">
        <f>=IFERROR(BF10-BF9,0)</f>
        <v>-1</v>
      </c>
      <c r="BG13" s="21">
        <f>=IFERROR(BG10-BG9,0)</f>
        <v>5</v>
      </c>
      <c r="BH13" s="21">
        <f>=IFERROR(BH10-BH9,0)</f>
        <v>-5</v>
      </c>
      <c r="BI13" s="21">
        <f>=IFERROR(BI10-BI9,0)</f>
        <v>-5</v>
      </c>
      <c r="BJ13" s="21">
        <f>=IFERROR(BJ10-BJ9,0)</f>
        <v>-6</v>
      </c>
      <c r="BK13" s="21">
        <f>=IFERROR(BK10-BK9,0)</f>
        <v>-6</v>
      </c>
      <c r="BL13" s="21">
        <f>=IFERROR(BL10-BL9,0)</f>
        <v>14</v>
      </c>
      <c r="BM13" s="21">
        <f>=IFERROR(BM10-BM9,0)</f>
        <v>-7</v>
      </c>
      <c r="BN13" s="21">
        <f>=IFERROR(BN10-BN9,0)</f>
        <v>4</v>
      </c>
      <c r="BO13" s="21">
        <f>=IFERROR(BO10-BO9,0)</f>
        <v>2</v>
      </c>
      <c r="BP13" s="21">
        <f>=IFERROR(BP10-BP9,0)</f>
        <v>9</v>
      </c>
      <c r="BQ13" s="21">
        <f>=IFERROR(BQ10-BQ9,0)</f>
        <v>5</v>
      </c>
      <c r="BR13" s="21">
        <f>=IFERROR(BR10-BR9,0)</f>
        <v>4</v>
      </c>
      <c r="BS13" s="21">
        <f>=IFERROR(BS10-BS9,0)</f>
        <v>2</v>
      </c>
      <c r="BT13" s="21">
        <f>=IFERROR(BT10-BT9,0)</f>
        <v>2</v>
      </c>
      <c r="BU13" s="21">
        <f>=IFERROR(BU10-BU9,0)</f>
        <v>3</v>
      </c>
      <c r="BV13" s="21">
        <f>=IFERROR(BV10-BV9,0)</f>
        <v>3</v>
      </c>
      <c r="BW13" s="21">
        <f>=IFERROR(BW10-BW9,0)</f>
        <v>3</v>
      </c>
      <c r="BX13" s="21">
        <f>=IFERROR(BX10-BX9,0)</f>
        <v>2</v>
      </c>
      <c r="BY13" s="21">
        <f>=IFERROR(BY10-BY9,0)</f>
        <v>5</v>
      </c>
      <c r="BZ13" s="21">
        <f>=IFERROR(BZ10-BZ9,0)</f>
        <v>4.4375</v>
      </c>
      <c r="CA13" s="21">
        <f>=IFERROR(CA10-CA9,0)</f>
        <v>3.88203125</v>
      </c>
      <c r="CB13" s="21">
        <f>=IFERROR(CB10-CB9,0)</f>
        <v>3.333505859375</v>
      </c>
      <c r="CC13" s="21">
        <f>=IFERROR(CC10-CC9,0)</f>
        <v>2.79183703613281</v>
      </c>
      <c r="CD13" s="21">
        <f>=IFERROR(CD10-CD9,0)</f>
        <v>2.36391866577148</v>
      </c>
      <c r="CE13" s="21">
        <f>=IFERROR(CE10-CE9,0)</f>
        <v>1.94027947911377</v>
      </c>
      <c r="CF13" s="21">
        <f>=IFERROR(CF10-CF9,0)</f>
        <v>1.520876684322648</v>
      </c>
      <c r="CG13" s="21">
        <f>=IFERROR(CG10-CG9,0)</f>
        <v>1.205667917479424</v>
      </c>
      <c r="CH13" s="21">
        <f>=IFERROR(CH10-CH9,0)</f>
        <v>-9.10638876169537</v>
      </c>
      <c r="CI13" s="21">
        <f>=IFERROR(CI10-CI9,0)</f>
        <v>-9.492558902174176</v>
      </c>
      <c r="CJ13" s="21">
        <f>=IFERROR(CJ10-CJ9,0)</f>
        <v>-9.873901915896996</v>
      </c>
      <c r="CK13" s="21">
        <f>=IFERROR(CK10-CK9,0)</f>
        <v>-10.25047814194828</v>
      </c>
      <c r="CL13" s="21">
        <f>=IFERROR(CL10-CL9,0)</f>
        <v>-15.622347165173924</v>
      </c>
      <c r="CM13" s="21">
        <f>=IFERROR(CM10-CM9,0)</f>
        <v>-15.98956782560925</v>
      </c>
      <c r="CN13" s="21">
        <f>=IFERROR(CN10-CN9,0)</f>
        <v>-16.352198227789135</v>
      </c>
      <c r="CO13" s="21">
        <f>=IFERROR(CO10-CO9,0)</f>
        <v>-21.710295749941775</v>
      </c>
      <c r="CP13" s="21">
        <f>=IFERROR(CP10-CP9,0)</f>
        <v>-22.063917053067502</v>
      </c>
      <c r="CQ13" s="21">
        <f>=IFERROR(CQ10-CQ9,0)</f>
        <v>-32.34327788253683</v>
      </c>
      <c r="CR13" s="21">
        <f>=IFERROR(CR10-CR9,0)</f>
        <v>-32.61984510371146</v>
      </c>
      <c r="CS13" s="21">
        <f>=IFERROR(CS10-CS9,0)</f>
        <v>-32.89364665267435</v>
      </c>
      <c r="CT13" s="21">
        <f>=IFERROR(CT10-CT9,0)</f>
        <v>-33.1647101861476</v>
      </c>
      <c r="CU13" s="21">
        <f>=IFERROR(CU10-CU9,0)</f>
        <v>-43.433063084286125</v>
      </c>
      <c r="CV13" s="21">
        <f>=IFERROR(CV10-CV9,0)</f>
        <v>-43.76514979573255</v>
      </c>
      <c r="CW13" s="21">
        <f>=IFERROR(CW10-CW9,0)</f>
        <v>-44.093085423285885</v>
      </c>
      <c r="CX13" s="21">
        <f>=IFERROR(CX10-CX9,0)</f>
        <v>-44.41692185549482</v>
      </c>
      <c r="CY13" s="21">
        <f>=IFERROR(CY10-CY9,0)</f>
        <v>-54.736710332301136</v>
      </c>
      <c r="CZ13" s="21">
        <f>=IFERROR(CZ10-CZ9,0)</f>
        <v>-55.05250145314736</v>
      </c>
      <c r="DA13" s="21">
        <f>=IFERROR(DA10-DA9,0)</f>
        <v>-55.36434518498302</v>
      </c>
      <c r="DB13" s="21">
        <f>=IFERROR(DB10-DB9,0)</f>
        <v>-65.67229087017074</v>
      </c>
    </row>
    <row r="14" ht="18" customHeight="1" spans="1:106" x14ac:dyDescent="0.25">
      <c r="A14" s="22" t="s">
        <v>248</v>
      </c>
      <c r="B14" s="17"/>
      <c r="C14" s="18">
        <f>=Round(C11-C8,0)</f>
        <v>-320</v>
      </c>
      <c r="D14" s="18">
        <f>=Round(D11-D8,0)</f>
        <v>-364</v>
      </c>
      <c r="E14" s="18">
        <f>=Round(E11-E8,0)</f>
        <v>-927</v>
      </c>
      <c r="F14" s="18">
        <f>=Round(F11-F8,0)</f>
        <v>-1288</v>
      </c>
      <c r="G14" s="18">
        <f>=Round(G11-G8,0)</f>
        <v>-1620</v>
      </c>
      <c r="H14" s="18">
        <f>=Round(H11-H8,0)</f>
        <v>-1403</v>
      </c>
      <c r="I14" s="18">
        <f>=Round(I11-I8,0)</f>
        <v>-1498</v>
      </c>
      <c r="J14" s="18">
        <f>=Round(J11-J8,0)</f>
        <v>-1178</v>
      </c>
      <c r="K14" s="18">
        <f>=Round(K11-K8,0)</f>
        <v>-877</v>
      </c>
      <c r="L14" s="18">
        <f>=Round(L11-L8,0)</f>
        <v>-348</v>
      </c>
      <c r="M14" s="18">
        <f>=Round(M11-M8,0)</f>
        <v>-384</v>
      </c>
      <c r="N14" s="18">
        <f>=Round(N11-N8,0)</f>
        <v>-198</v>
      </c>
      <c r="O14" s="18">
        <f>=Round(O11-O8,0)</f>
        <v>-255</v>
      </c>
      <c r="P14" s="18">
        <f>=Round(P11-P8,0)</f>
        <v>-136</v>
      </c>
      <c r="Q14" s="18">
        <f>=Round(Q11-Q8,0)</f>
        <v>-200</v>
      </c>
      <c r="R14" s="18">
        <f>=Round(R11-R8,0)</f>
        <v>69</v>
      </c>
      <c r="S14" s="18">
        <f>=Round(S11-S8,0)</f>
        <v>122</v>
      </c>
      <c r="T14" s="18">
        <f>=Round(T11-T8,0)</f>
        <v>86</v>
      </c>
      <c r="U14" s="18">
        <f>=Round(U11-U8,0)</f>
        <v>-28</v>
      </c>
      <c r="V14" s="18">
        <f>=Round(V11-V8,0)</f>
        <v>-62</v>
      </c>
      <c r="W14" s="18">
        <f>=Round(W11-W8,0)</f>
        <v>-297</v>
      </c>
      <c r="X14" s="18">
        <f>=Round(X11-X8,0)</f>
        <v>-331</v>
      </c>
      <c r="Y14" s="18">
        <f>=Round(Y11-Y8,0)</f>
        <v>-360</v>
      </c>
      <c r="Z14" s="18">
        <f>=Round(Z11-Z8,0)</f>
        <v>-360</v>
      </c>
      <c r="AA14" s="18">
        <f>=Round(AA11-AA8,0)</f>
        <v>-360</v>
      </c>
      <c r="AB14" s="18">
        <f>=Round(AB11-AB8,0)</f>
        <v>-495</v>
      </c>
      <c r="AC14" s="18">
        <f>=Round(AC11-AC8,0)</f>
        <v>-195</v>
      </c>
      <c r="AD14" s="18">
        <f>=Round(AD11-AD8,0)</f>
        <v>197</v>
      </c>
      <c r="AE14" s="18">
        <f>=Round(AE11-AE8,0)</f>
        <v>130</v>
      </c>
      <c r="AF14" s="18">
        <f>=Round(AF11-AF8,0)</f>
        <v>63</v>
      </c>
      <c r="AG14" s="18">
        <f>=Round(AG11-AG8,0)</f>
        <v>-35</v>
      </c>
      <c r="AH14" s="18">
        <f>=Round(AH11-AH8,0)</f>
        <v>-32</v>
      </c>
      <c r="AI14" s="18">
        <f>=Round(AI11-AI8,0)</f>
        <v>-124</v>
      </c>
      <c r="AJ14" s="18">
        <f>=Round(AJ11-AJ8,0)</f>
        <v>-166</v>
      </c>
      <c r="AK14" s="18">
        <f>=Round(AK11-AK8,0)</f>
        <v>-126</v>
      </c>
      <c r="AL14" s="18">
        <f>=Round(AL11-AL8,0)</f>
        <v>-212</v>
      </c>
      <c r="AM14" s="18">
        <f>=Round(AM11-AM8,0)</f>
        <v>-245</v>
      </c>
      <c r="AN14" s="18">
        <f>=Round(AN11-AN8,0)</f>
        <v>-313</v>
      </c>
      <c r="AO14" s="18">
        <f>=Round(AO11-AO8,0)</f>
        <v>91</v>
      </c>
      <c r="AP14" s="18">
        <f>=Round(AP11-AP8,0)</f>
        <v>-231</v>
      </c>
      <c r="AQ14" s="18">
        <f>=Round(AQ11-AQ8,0)</f>
        <v>-784</v>
      </c>
      <c r="AR14" s="18">
        <f>=Round(AR11-AR8,0)</f>
        <v>-262</v>
      </c>
      <c r="AS14" s="18">
        <f>=Round(AS11-AS8,0)</f>
        <v>86</v>
      </c>
      <c r="AT14" s="18">
        <f>=Round(AT11-AT8,0)</f>
        <v>10</v>
      </c>
      <c r="AU14" s="18">
        <f>=Round(AU11-AU8,0)</f>
        <v>-337</v>
      </c>
      <c r="AV14" s="18">
        <f>=Round(AV11-AV8,0)</f>
        <v>11</v>
      </c>
      <c r="AW14" s="18">
        <f>=Round(AW11-AW8,0)</f>
        <v>10</v>
      </c>
      <c r="AX14" s="18">
        <f>=Round(AX11-AX8,0)</f>
        <v>499</v>
      </c>
      <c r="AY14" s="18">
        <f>=Round(AY11-AY8,0)</f>
        <v>-66</v>
      </c>
      <c r="AZ14" s="18">
        <f>=Round(AZ11-AZ8,0)</f>
        <v>-734</v>
      </c>
      <c r="BA14" s="18">
        <f>=Round(BA11-BA8,0)</f>
        <v>-525</v>
      </c>
      <c r="BB14" s="18">
        <f>=Round(BB11-BB8,0)</f>
        <v>-38</v>
      </c>
      <c r="BC14" s="18">
        <f>=Round(BC11-BC8,0)</f>
        <v>-395</v>
      </c>
      <c r="BD14" s="18">
        <f>=Round(BD11-BD8,0)</f>
        <v>-18</v>
      </c>
      <c r="BE14" s="18">
        <f>=Round(BE11-BE8,0)</f>
        <v>16</v>
      </c>
      <c r="BF14" s="18">
        <f>=Round(BF11-BF8,0)</f>
        <v>-51</v>
      </c>
      <c r="BG14" s="18">
        <f>=Round(BG11-BG8,0)</f>
        <v>156</v>
      </c>
      <c r="BH14" s="18">
        <f>=Round(BH11-BH8,0)</f>
        <v>-183</v>
      </c>
      <c r="BI14" s="18">
        <f>=Round(BI11-BI8,0)</f>
        <v>-183</v>
      </c>
      <c r="BJ14" s="18">
        <f>=Round(BJ11-BJ8,0)</f>
        <v>-217</v>
      </c>
      <c r="BK14" s="18">
        <f>=Round(BK11-BK8,0)</f>
        <v>-217</v>
      </c>
      <c r="BL14" s="18">
        <f>=Round(BL11-BL8,0)</f>
        <v>466</v>
      </c>
      <c r="BM14" s="18">
        <f>=Round(BM11-BM8,0)</f>
        <v>-229</v>
      </c>
      <c r="BN14" s="18">
        <f>=Round(BN11-BN8,0)</f>
        <v>131</v>
      </c>
      <c r="BO14" s="18">
        <f>=Round(BO11-BO8,0)</f>
        <v>70</v>
      </c>
      <c r="BP14" s="18">
        <f>=Round(BP11-BP8,0)</f>
        <v>318</v>
      </c>
      <c r="BQ14" s="18">
        <f>=Round(BQ11-BQ8,0)</f>
        <v>165</v>
      </c>
      <c r="BR14" s="18">
        <f>=Round(BR11-BR8,0)</f>
        <v>130</v>
      </c>
      <c r="BS14" s="18">
        <f>=Round(BS11-BS8,0)</f>
        <v>62</v>
      </c>
      <c r="BT14" s="18">
        <f>=Round(BT11-BT8,0)</f>
        <v>63</v>
      </c>
      <c r="BU14" s="18">
        <f>=Round(BU11-BU8,0)</f>
        <v>110</v>
      </c>
      <c r="BV14" s="18">
        <f>=Round(BV11-BV8,0)</f>
        <v>110</v>
      </c>
      <c r="BW14" s="18">
        <f>=Round(BW11-BW8,0)</f>
        <v>110</v>
      </c>
      <c r="BX14" s="18">
        <f>=Round(BX11-BX8,0)</f>
        <v>76</v>
      </c>
      <c r="BY14" s="18">
        <f>=Round(BY11-BY8,0)</f>
        <v>183</v>
      </c>
      <c r="BZ14" s="18">
        <f>=Round(BZ11-BZ8,0)</f>
        <v>160</v>
      </c>
      <c r="CA14" s="18">
        <f>=Round(CA11-CA8,0)</f>
        <v>141</v>
      </c>
      <c r="CB14" s="18">
        <f>=Round(CB11-CB8,0)</f>
        <v>122</v>
      </c>
      <c r="CC14" s="18">
        <f>=Round(CC11-CC8,0)</f>
        <v>103</v>
      </c>
      <c r="CD14" s="18">
        <f>=Round(CD11-CD8,0)</f>
        <v>89</v>
      </c>
      <c r="CE14" s="18">
        <f>=Round(CE11-CE8,0)</f>
        <v>73</v>
      </c>
      <c r="CF14" s="18">
        <f>=Round(CF11-CF8,0)</f>
        <v>58</v>
      </c>
      <c r="CG14" s="18">
        <f>=Round(CG11-CG8,0)</f>
        <v>46</v>
      </c>
      <c r="CH14" s="18">
        <f>=Round(CH11-CH8,0)</f>
        <v>-315</v>
      </c>
      <c r="CI14" s="18">
        <f>=Round(CI11-CI8,0)</f>
        <v>-328</v>
      </c>
      <c r="CJ14" s="18">
        <f>=Round(CJ11-CJ8,0)</f>
        <v>-342</v>
      </c>
      <c r="CK14" s="18">
        <f>=Round(CK11-CK8,0)</f>
        <v>-355</v>
      </c>
      <c r="CL14" s="18">
        <f>=Round(CL11-CL8,0)</f>
        <v>-542</v>
      </c>
      <c r="CM14" s="18">
        <f>=Round(CM11-CM8,0)</f>
        <v>-555</v>
      </c>
      <c r="CN14" s="18">
        <f>=Round(CN11-CN8,0)</f>
        <v>-568</v>
      </c>
      <c r="CO14" s="18">
        <f>=Round(CO11-CO8,0)</f>
        <v>-757</v>
      </c>
      <c r="CP14" s="18">
        <f>=Round(CP11-CP8,0)</f>
        <v>-771</v>
      </c>
      <c r="CQ14" s="18">
        <f>=Round(CQ11-CQ8,0)</f>
        <v>-1135</v>
      </c>
      <c r="CR14" s="18">
        <f>=Round(CR11-CR8,0)</f>
        <v>-1145</v>
      </c>
      <c r="CS14" s="18">
        <f>=Round(CS11-CS8,0)</f>
        <v>-1155</v>
      </c>
      <c r="CT14" s="18">
        <f>=Round(CT11-CT8,0)</f>
        <v>-1158</v>
      </c>
      <c r="CU14" s="18">
        <f>=Round(CU11-CU8,0)</f>
        <v>-1523</v>
      </c>
      <c r="CV14" s="18">
        <f>=Round(CV11-CV8,0)</f>
        <v>-1535</v>
      </c>
      <c r="CW14" s="18">
        <f>=Round(CW11-CW8,0)</f>
        <v>-1546</v>
      </c>
      <c r="CX14" s="18">
        <f>=Round(CX11-CX8,0)</f>
        <v>-1557</v>
      </c>
      <c r="CY14" s="18">
        <f>=Round(CY11-CY8,0)</f>
        <v>-1922</v>
      </c>
      <c r="CZ14" s="18">
        <f>=Round(CZ11-CZ8,0)</f>
        <v>-1931</v>
      </c>
      <c r="DA14" s="18">
        <f>=Round(DA11-DA8,0)</f>
        <v>-1942</v>
      </c>
      <c r="DB14" s="18">
        <f>=Round(DB11-DB8,0)</f>
        <v>-2304</v>
      </c>
    </row>
    <row r="15" ht="18" customHeight="1" spans="1:106" x14ac:dyDescent="0.25">
      <c r="A15" s="23" t="s">
        <v>249</v>
      </c>
      <c r="B15" s="24"/>
      <c r="C15" s="25">
        <f>=Round(IFERROR(C10/C7,0),2)</f>
        <v>0.95</v>
      </c>
      <c r="D15" s="25">
        <f>=Round(IFERROR(D10/D7,0),2)</f>
        <v>0.95</v>
      </c>
      <c r="E15" s="25">
        <f>=Round(IFERROR(E10/E7,0),2)</f>
        <v>0.84</v>
      </c>
      <c r="F15" s="25">
        <f>=Round(IFERROR(F10/F7,0),2)</f>
        <v>0.78</v>
      </c>
      <c r="G15" s="25">
        <f>=Round(IFERROR(G10/G7,0),2)</f>
        <v>0.71</v>
      </c>
      <c r="H15" s="25">
        <f>=Round(IFERROR(H10/H7,0),2)</f>
        <v>0.77</v>
      </c>
      <c r="I15" s="25">
        <f>=Round(IFERROR(I10/I7,0),2)</f>
        <v>0.75</v>
      </c>
      <c r="J15" s="25">
        <f>=Round(IFERROR(J10/J7,0),2)</f>
        <v>0.81</v>
      </c>
      <c r="K15" s="25">
        <f>=Round(IFERROR(K10/K7,0),2)</f>
        <v>0.87</v>
      </c>
      <c r="L15" s="25">
        <f>=Round(IFERROR(L10/L7,0),2)</f>
        <v>0.98</v>
      </c>
      <c r="M15" s="25">
        <f>=Round(IFERROR(M10/M7,0),2)</f>
        <v>0.97</v>
      </c>
      <c r="N15" s="25">
        <f>=Round(IFERROR(N10/N7,0),2)</f>
        <v>1.01</v>
      </c>
      <c r="O15" s="25">
        <f>=Round(IFERROR(O10/O7,0),2)</f>
        <v>0.99</v>
      </c>
      <c r="P15" s="25">
        <f>=Round(IFERROR(P10/P7,0),2)</f>
        <v>1.03</v>
      </c>
      <c r="Q15" s="25">
        <f>=Round(IFERROR(Q10/Q7,0),2)</f>
        <v>1.01</v>
      </c>
      <c r="R15" s="25">
        <f>=Round(IFERROR(R10/R7,0),2)</f>
        <v>1.09</v>
      </c>
      <c r="S15" s="25">
        <f>=Round(IFERROR(S10/S7,0),2)</f>
        <v>1.1</v>
      </c>
      <c r="T15" s="25">
        <f>=Round(IFERROR(T10/T7,0),2)</f>
        <v>1.09</v>
      </c>
      <c r="U15" s="25">
        <f>=Round(IFERROR(U10/U7,0),2)</f>
        <v>1.05</v>
      </c>
      <c r="V15" s="25">
        <f>=Round(IFERROR(V10/V7,0),2)</f>
        <v>1.04</v>
      </c>
      <c r="W15" s="25">
        <f>=Round(IFERROR(W10/W7,0),2)</f>
        <v>0.97</v>
      </c>
      <c r="X15" s="25">
        <f>=Round(IFERROR(X10/X7,0),2)</f>
        <v>0.96</v>
      </c>
      <c r="Y15" s="25">
        <f>=Round(IFERROR(Y10/Y7,0),2)</f>
        <v>0.95</v>
      </c>
      <c r="Z15" s="25">
        <f>=Round(IFERROR(Z10/Z7,0),2)</f>
        <v>0.95</v>
      </c>
      <c r="AA15" s="25">
        <f>=Round(IFERROR(AA10/AA7,0),2)</f>
        <v>0.95</v>
      </c>
      <c r="AB15" s="25">
        <f>=Round(IFERROR(AB10/AB7,0),2)</f>
        <v>0.91</v>
      </c>
      <c r="AC15" s="25">
        <f>=Round(IFERROR(AC10/AC7,0),2)</f>
        <v>1</v>
      </c>
      <c r="AD15" s="25">
        <f>=Round(IFERROR(AD10/AD7,0),2)</f>
        <v>1.14</v>
      </c>
      <c r="AE15" s="25">
        <f>=Round(IFERROR(AE10/AE7,0),2)</f>
        <v>1.12</v>
      </c>
      <c r="AF15" s="25">
        <f>=Round(IFERROR(AF10/AF7,0),2)</f>
        <v>1.09</v>
      </c>
      <c r="AG15" s="25">
        <f>=Round(IFERROR(AG10/AG7,0),2)</f>
        <v>1.05</v>
      </c>
      <c r="AH15" s="25">
        <f>=Round(IFERROR(AH10/AH7,0),2)</f>
        <v>1.05</v>
      </c>
      <c r="AI15" s="25">
        <f>=Round(IFERROR(AI10/AI7,0),2)</f>
        <v>1.01</v>
      </c>
      <c r="AJ15" s="25">
        <f>=Round(IFERROR(AJ10/AJ7,0),2)</f>
        <v>1</v>
      </c>
      <c r="AK15" s="25">
        <f>=Round(IFERROR(AK10/AK7,0),2)</f>
        <v>1.01</v>
      </c>
      <c r="AL15" s="25">
        <f>=Round(IFERROR(AL10/AL7,0),2)</f>
        <v>0.99</v>
      </c>
      <c r="AM15" s="25">
        <f>=Round(IFERROR(AM10/AM7,0),2)</f>
        <v>0.97</v>
      </c>
      <c r="AN15" s="25">
        <f>=Round(IFERROR(AN10/AN7,0),2)</f>
        <v>0.95</v>
      </c>
      <c r="AO15" s="25">
        <f>=Round(IFERROR(AO10/AO7,0),2)</f>
        <v>1.1</v>
      </c>
      <c r="AP15" s="25">
        <f>=Round(IFERROR(AP10/AP7,0),2)</f>
        <v>0.95</v>
      </c>
      <c r="AQ15" s="25">
        <f>=Round(IFERROR(AQ10/AQ7,0),2)</f>
        <v>0.76</v>
      </c>
      <c r="AR15" s="25">
        <f>=Round(IFERROR(AR10/AR7,0),2)</f>
        <v>0.94</v>
      </c>
      <c r="AS15" s="25">
        <f>=Round(IFERROR(AS10/AS7,0),2)</f>
        <v>1.06</v>
      </c>
      <c r="AT15" s="25">
        <f>=Round(IFERROR(AT10/AT7,0),2)</f>
        <v>1.04</v>
      </c>
      <c r="AU15" s="25">
        <f>=Round(IFERROR(AU10/AU7,0),2)</f>
        <v>0.92</v>
      </c>
      <c r="AV15" s="25">
        <f>=Round(IFERROR(AV10/AV7,0),2)</f>
        <v>1.04</v>
      </c>
      <c r="AW15" s="25">
        <f>=Round(IFERROR(AW10/AW7,0),2)</f>
        <v>1.04</v>
      </c>
      <c r="AX15" s="25">
        <f>=Round(IFERROR(AX10/AX7,0),2)</f>
        <v>1.2</v>
      </c>
      <c r="AY15" s="25">
        <f>=Round(IFERROR(AY10/AY7,0),2)</f>
        <v>1.02</v>
      </c>
      <c r="AZ15" s="25">
        <f>=Round(IFERROR(AZ10/AZ7,0),2)</f>
        <v>0.85</v>
      </c>
      <c r="BA15" s="25">
        <f>=Round(IFERROR(BA10/BA7,0),2)</f>
        <v>0.9</v>
      </c>
      <c r="BB15" s="25">
        <f>=Round(IFERROR(BB10/BB7,0),2)</f>
        <v>1.03</v>
      </c>
      <c r="BC15" s="25">
        <f>=Round(IFERROR(BC10/BC7,0),2)</f>
        <v>0.95</v>
      </c>
      <c r="BD15" s="25">
        <f>=Round(IFERROR(BD10/BD7,0),2)</f>
        <v>1.04</v>
      </c>
      <c r="BE15" s="25">
        <f>=Round(IFERROR(BE10/BE7,0),2)</f>
        <v>1.05</v>
      </c>
      <c r="BF15" s="25">
        <f>=Round(IFERROR(BF10/BF7,0),2)</f>
        <v>1.03</v>
      </c>
      <c r="BG15" s="25">
        <f>=Round(IFERROR(BG10/BG7,0),2)</f>
        <v>1.09</v>
      </c>
      <c r="BH15" s="25">
        <f>=Round(IFERROR(BH10/BH7,0),2)</f>
        <v>1</v>
      </c>
      <c r="BI15" s="25">
        <f>=Round(IFERROR(BI10/BI7,0),2)</f>
        <v>1</v>
      </c>
      <c r="BJ15" s="25">
        <f>=Round(IFERROR(BJ10/BJ7,0),2)</f>
        <v>0.99</v>
      </c>
      <c r="BK15" s="25">
        <f>=Round(IFERROR(BK10/BK7,0),2)</f>
        <v>0.99</v>
      </c>
      <c r="BL15" s="25">
        <f>=Round(IFERROR(BL10/BL7,0),2)</f>
        <v>1.19</v>
      </c>
      <c r="BM15" s="25">
        <f>=Round(IFERROR(BM10/BM7,0),2)</f>
        <v>0.96</v>
      </c>
      <c r="BN15" s="25">
        <f>=Round(IFERROR(BN10/BN7,0),2)</f>
        <v>1.1</v>
      </c>
      <c r="BO15" s="25">
        <f>=Round(IFERROR(BO10/BO7,0),2)</f>
        <v>1.08</v>
      </c>
      <c r="BP15" s="25">
        <f>=Round(IFERROR(BP10/BP7,0),2)</f>
        <v>1.2</v>
      </c>
      <c r="BQ15" s="25">
        <f>=Round(IFERROR(BQ10/BQ7,0),2)</f>
        <v>1.14</v>
      </c>
      <c r="BR15" s="25">
        <f>=Round(IFERROR(BR10/BR7,0),2)</f>
        <v>1.12</v>
      </c>
      <c r="BS15" s="25">
        <f>=Round(IFERROR(BS10/BS7,0),2)</f>
        <v>1.08</v>
      </c>
      <c r="BT15" s="25">
        <f>=Round(IFERROR(BT10/BT7,0),2)</f>
        <v>1.08</v>
      </c>
      <c r="BU15" s="25">
        <f>=Round(IFERROR(BU10/BU7,0),2)</f>
        <v>1.13</v>
      </c>
      <c r="BV15" s="25">
        <f>=Round(IFERROR(BV10/BV7,0),2)</f>
        <v>1.13</v>
      </c>
      <c r="BW15" s="25">
        <f>=Round(IFERROR(BW10/BW7,0),2)</f>
        <v>1.13</v>
      </c>
      <c r="BX15" s="25">
        <f>=Round(IFERROR(BX10/BX7,0),2)</f>
        <v>1.1</v>
      </c>
      <c r="BY15" s="25">
        <f>=Round(IFERROR(BY10/BY7,0),2)</f>
        <v>1.13</v>
      </c>
      <c r="BZ15" s="25">
        <f>=Round(IFERROR(BZ10/BZ7,0),2)</f>
        <v>1.11</v>
      </c>
      <c r="CA15" s="25">
        <f>=Round(IFERROR(CA10/CA7,0),2)</f>
        <v>1.1</v>
      </c>
      <c r="CB15" s="25">
        <f>=Round(IFERROR(CB10/CB7,0),2)</f>
        <v>1.08</v>
      </c>
      <c r="CC15" s="25">
        <f>=Round(IFERROR(CC10/CC7,0),2)</f>
        <v>1.07</v>
      </c>
      <c r="CD15" s="25">
        <f>=Round(IFERROR(CD10/CD7,0),2)</f>
        <v>1.06</v>
      </c>
      <c r="CE15" s="25">
        <f>=Round(IFERROR(CE10/CE7,0),2)</f>
        <v>1.05</v>
      </c>
      <c r="CF15" s="25">
        <f>=Round(IFERROR(CF10/CF7,0),2)</f>
        <v>1.05</v>
      </c>
      <c r="CG15" s="25">
        <f>=Round(IFERROR(CG10/CG7,0),2)</f>
        <v>1.04</v>
      </c>
      <c r="CH15" s="25">
        <f>=Round(IFERROR(CH10/CH7,0),2)</f>
        <v>0.77</v>
      </c>
      <c r="CI15" s="25">
        <f>=Round(IFERROR(CI10/CI7,0),2)</f>
        <v>0.76</v>
      </c>
      <c r="CJ15" s="25">
        <f>=Round(IFERROR(CJ10/CJ7,0),2)</f>
        <v>0.75</v>
      </c>
      <c r="CK15" s="25">
        <f>=Round(IFERROR(CK10/CK7,0),2)</f>
        <v>0.74</v>
      </c>
      <c r="CL15" s="25">
        <f>=Round(IFERROR(CL10/CL7,0),2)</f>
        <v>0.65</v>
      </c>
      <c r="CM15" s="25">
        <f>=Round(IFERROR(CM10/CM7,0),2)</f>
        <v>0.64</v>
      </c>
      <c r="CN15" s="25">
        <f>=Round(IFERROR(CN10/CN7,0),2)</f>
        <v>0.64</v>
      </c>
      <c r="CO15" s="25">
        <f>=Round(IFERROR(CO10/CO7,0),2)</f>
        <v>0.57</v>
      </c>
      <c r="CP15" s="25">
        <f>=Round(IFERROR(CP10/CP7,0),2)</f>
        <v>0.56</v>
      </c>
      <c r="CQ15" s="25">
        <f>=Round(IFERROR(CQ10/CQ7,0),2)</f>
        <v>0.46</v>
      </c>
      <c r="CR15" s="25">
        <f>=Round(IFERROR(CR10/CR7,0),2)</f>
        <v>0.46</v>
      </c>
      <c r="CS15" s="25">
        <f>=Round(IFERROR(CS10/CS7,0),2)</f>
        <v>0.45</v>
      </c>
      <c r="CT15" s="25">
        <f>=Round(IFERROR(CT10/CT7,0),2)</f>
        <v>0.45</v>
      </c>
      <c r="CU15" s="25">
        <f>=Round(IFERROR(CU10/CU7,0),2)</f>
        <v>0.38</v>
      </c>
      <c r="CV15" s="25">
        <f>=Round(IFERROR(CV10/CV7,0),2)</f>
        <v>0.37</v>
      </c>
      <c r="CW15" s="25">
        <f>=Round(IFERROR(CW10/CW7,0),2)</f>
        <v>0.37</v>
      </c>
      <c r="CX15" s="25">
        <f>=Round(IFERROR(CX10/CX7,0),2)</f>
        <v>0.37</v>
      </c>
      <c r="CY15" s="25">
        <f>=Round(IFERROR(CY10/CY7,0),2)</f>
        <v>0.32</v>
      </c>
      <c r="CZ15" s="25">
        <f>=Round(IFERROR(CZ10/CZ7,0),2)</f>
        <v>0.31</v>
      </c>
      <c r="DA15" s="25">
        <f>=Round(IFERROR(DA10/DA7,0),2)</f>
        <v>0.31</v>
      </c>
      <c r="DB15" s="25">
        <f>=Round(IFERROR(DB10/DB7,0),2)</f>
        <v>0.27</v>
      </c>
    </row>
    <row r="16" ht="18" customHeight="1" spans="1:106" x14ac:dyDescent="0.25">
      <c r="A16" s="23" t="s">
        <v>250</v>
      </c>
      <c r="B16" s="24"/>
      <c r="C16" s="25">
        <f>=Round(IFERROR(C10/C9,0),2)</f>
        <v>0.93</v>
      </c>
      <c r="D16" s="25">
        <f>=Round(IFERROR(D10/D9,0),2)</f>
        <v>0.92</v>
      </c>
      <c r="E16" s="25">
        <f>=Round(IFERROR(E10/E9,0),2)</f>
        <v>0.8</v>
      </c>
      <c r="F16" s="25">
        <f>=Round(IFERROR(F10/F9,0),2)</f>
        <v>0.74</v>
      </c>
      <c r="G16" s="25">
        <f>=Round(IFERROR(G10/G9,0),2)</f>
        <v>0.67</v>
      </c>
      <c r="H16" s="25">
        <f>=Round(IFERROR(H10/H9,0),2)</f>
        <v>0.72</v>
      </c>
      <c r="I16" s="25">
        <f>=Round(IFERROR(I10/I9,0),2)</f>
        <v>0.7</v>
      </c>
      <c r="J16" s="25">
        <f>=Round(IFERROR(J10/J9,0),2)</f>
        <v>0.76</v>
      </c>
      <c r="K16" s="25">
        <f>=Round(IFERROR(K10/K9,0),2)</f>
        <v>0.82</v>
      </c>
      <c r="L16" s="25">
        <f>=Round(IFERROR(L10/L9,0),2)</f>
        <v>0.92</v>
      </c>
      <c r="M16" s="25">
        <f>=Round(IFERROR(M10/M9,0),2)</f>
        <v>0.91</v>
      </c>
      <c r="N16" s="25">
        <f>=Round(IFERROR(N10/N9,0),2)</f>
        <v>0.95</v>
      </c>
      <c r="O16" s="25">
        <f>=Round(IFERROR(O10/O9,0),2)</f>
        <v>0.93</v>
      </c>
      <c r="P16" s="25">
        <f>=Round(IFERROR(P10/P9,0),2)</f>
        <v>0.96</v>
      </c>
      <c r="Q16" s="25">
        <f>=Round(IFERROR(Q10/Q9,0),2)</f>
        <v>0.95</v>
      </c>
      <c r="R16" s="25">
        <f>=Round(IFERROR(R10/R9,0),2)</f>
        <v>1.02</v>
      </c>
      <c r="S16" s="25">
        <f>=Round(IFERROR(S10/S9,0),2)</f>
        <v>1.04</v>
      </c>
      <c r="T16" s="25">
        <f>=Round(IFERROR(T10/T9,0),2)</f>
        <v>1.03</v>
      </c>
      <c r="U16" s="25">
        <f>=Round(IFERROR(U10/U9,0),2)</f>
        <v>0.99</v>
      </c>
      <c r="V16" s="25">
        <f>=Round(IFERROR(V10/V9,0),2)</f>
        <v>0.98</v>
      </c>
      <c r="W16" s="25">
        <f>=Round(IFERROR(W10/W9,0),2)</f>
        <v>0.91</v>
      </c>
      <c r="X16" s="25">
        <f>=Round(IFERROR(X10/X9,0),2)</f>
        <v>0.9</v>
      </c>
      <c r="Y16" s="25">
        <f>=Round(IFERROR(Y10/Y9,0),2)</f>
        <v>0.89</v>
      </c>
      <c r="Z16" s="25">
        <f>=Round(IFERROR(Z10/Z9,0),2)</f>
        <v>0.89</v>
      </c>
      <c r="AA16" s="25">
        <f>=Round(IFERROR(AA10/AA9,0),2)</f>
        <v>0.89</v>
      </c>
      <c r="AB16" s="25">
        <f>=Round(IFERROR(AB10/AB9,0),2)</f>
        <v>0.86</v>
      </c>
      <c r="AC16" s="25">
        <f>=Round(IFERROR(AC10/AC9,0),2)</f>
        <v>0.94</v>
      </c>
      <c r="AD16" s="25">
        <f>=Round(IFERROR(AD10/AD9,0),2)</f>
        <v>1.07</v>
      </c>
      <c r="AE16" s="25">
        <f>=Round(IFERROR(AE10/AE9,0),2)</f>
        <v>1.05</v>
      </c>
      <c r="AF16" s="25">
        <f>=Round(IFERROR(AF10/AF9,0),2)</f>
        <v>1.02</v>
      </c>
      <c r="AG16" s="25">
        <f>=Round(IFERROR(AG10/AG9,0),2)</f>
        <v>0.99</v>
      </c>
      <c r="AH16" s="25">
        <f>=Round(IFERROR(AH10/AH9,0),2)</f>
        <v>0.99</v>
      </c>
      <c r="AI16" s="25">
        <f>=Round(IFERROR(AI10/AI9,0),2)</f>
        <v>0.95</v>
      </c>
      <c r="AJ16" s="25">
        <f>=Round(IFERROR(AJ10/AJ9,0),2)</f>
        <v>0.94</v>
      </c>
      <c r="AK16" s="25">
        <f>=Round(IFERROR(AK10/AK9,0),2)</f>
        <v>0.95</v>
      </c>
      <c r="AL16" s="25">
        <f>=Round(IFERROR(AL10/AL9,0),2)</f>
        <v>0.93</v>
      </c>
      <c r="AM16" s="25">
        <f>=Round(IFERROR(AM10/AM9,0),2)</f>
        <v>0.92</v>
      </c>
      <c r="AN16" s="25">
        <f>=Round(IFERROR(AN10/AN9,0),2)</f>
        <v>0.89</v>
      </c>
      <c r="AO16" s="25">
        <f>=Round(IFERROR(AO10/AO9,0),2)</f>
        <v>1.04</v>
      </c>
      <c r="AP16" s="25">
        <f>=Round(IFERROR(AP10/AP9,0),2)</f>
        <v>0.92</v>
      </c>
      <c r="AQ16" s="25">
        <f>=Round(IFERROR(AQ10/AQ9,0),2)</f>
        <v>0.74</v>
      </c>
      <c r="AR16" s="25">
        <f>=Round(IFERROR(AR10/AR9,0),2)</f>
        <v>0.91</v>
      </c>
      <c r="AS16" s="25">
        <f>=Round(IFERROR(AS10/AS9,0),2)</f>
        <v>1.02</v>
      </c>
      <c r="AT16" s="25">
        <f>=Round(IFERROR(AT10/AT9,0),2)</f>
        <v>1</v>
      </c>
      <c r="AU16" s="25">
        <f>=Round(IFERROR(AU10/AU9,0),2)</f>
        <v>0.89</v>
      </c>
      <c r="AV16" s="25">
        <f>=Round(IFERROR(AV10/AV9,0),2)</f>
        <v>1</v>
      </c>
      <c r="AW16" s="25">
        <f>=Round(IFERROR(AW10/AW9,0),2)</f>
        <v>1</v>
      </c>
      <c r="AX16" s="25">
        <f>=Round(IFERROR(AX10/AX9,0),2)</f>
        <v>1.16</v>
      </c>
      <c r="AY16" s="25">
        <f>=Round(IFERROR(AY10/AY9,0),2)</f>
        <v>0.98</v>
      </c>
      <c r="AZ16" s="25">
        <f>=Round(IFERROR(AZ10/AZ9,0),2)</f>
        <v>0.82</v>
      </c>
      <c r="BA16" s="25">
        <f>=Round(IFERROR(BA10/BA9,0),2)</f>
        <v>0.87</v>
      </c>
      <c r="BB16" s="25">
        <f>=Round(IFERROR(BB10/BB9,0),2)</f>
        <v>0.99</v>
      </c>
      <c r="BC16" s="25">
        <f>=Round(IFERROR(BC10/BC9,0),2)</f>
        <v>0.91</v>
      </c>
      <c r="BD16" s="25">
        <f>=Round(IFERROR(BD10/BD9,0),2)</f>
        <v>0.99</v>
      </c>
      <c r="BE16" s="25">
        <f>=Round(IFERROR(BE10/BE9,0),2)</f>
        <v>1</v>
      </c>
      <c r="BF16" s="25">
        <f>=Round(IFERROR(BF10/BF9,0),2)</f>
        <v>0.99</v>
      </c>
      <c r="BG16" s="25">
        <f>=Round(IFERROR(BG10/BG9,0),2)</f>
        <v>1.04</v>
      </c>
      <c r="BH16" s="25">
        <f>=Round(IFERROR(BH10/BH9,0),2)</f>
        <v>0.96</v>
      </c>
      <c r="BI16" s="25">
        <f>=Round(IFERROR(BI10/BI9,0),2)</f>
        <v>0.96</v>
      </c>
      <c r="BJ16" s="25">
        <f>=Round(IFERROR(BJ10/BJ9,0),2)</f>
        <v>0.95</v>
      </c>
      <c r="BK16" s="25">
        <f>=Round(IFERROR(BK10/BK9,0),2)</f>
        <v>0.95</v>
      </c>
      <c r="BL16" s="25">
        <f>=Round(IFERROR(BL10/BL9,0),2)</f>
        <v>1.14</v>
      </c>
      <c r="BM16" s="25">
        <f>=Round(IFERROR(BM10/BM9,0),2)</f>
        <v>0.92</v>
      </c>
      <c r="BN16" s="25">
        <f>=Round(IFERROR(BN10/BN9,0),2)</f>
        <v>1.05</v>
      </c>
      <c r="BO16" s="25">
        <f>=Round(IFERROR(BO10/BO9,0),2)</f>
        <v>1.03</v>
      </c>
      <c r="BP16" s="25">
        <f>=Round(IFERROR(BP10/BP9,0),2)</f>
        <v>1.14</v>
      </c>
      <c r="BQ16" s="25">
        <f>=Round(IFERROR(BQ10/BQ9,0),2)</f>
        <v>1.1</v>
      </c>
      <c r="BR16" s="25">
        <f>=Round(IFERROR(BR10/BR9,0),2)</f>
        <v>1.08</v>
      </c>
      <c r="BS16" s="25">
        <f>=Round(IFERROR(BS10/BS9,0),2)</f>
        <v>1.04</v>
      </c>
      <c r="BT16" s="25">
        <f>=Round(IFERROR(BT10/BT9,0),2)</f>
        <v>1.04</v>
      </c>
      <c r="BU16" s="25">
        <f>=Round(IFERROR(BU10/BU9,0),2)</f>
        <v>1.07</v>
      </c>
      <c r="BV16" s="25">
        <f>=Round(IFERROR(BV10/BV9,0),2)</f>
        <v>1.07</v>
      </c>
      <c r="BW16" s="25">
        <f>=Round(IFERROR(BW10/BW9,0),2)</f>
        <v>1.07</v>
      </c>
      <c r="BX16" s="25">
        <f>=Round(IFERROR(BX10/BX9,0),2)</f>
        <v>1.05</v>
      </c>
      <c r="BY16" s="25">
        <f>=Round(IFERROR(BY10/BY9,0),2)</f>
        <v>1.13</v>
      </c>
      <c r="BZ16" s="25">
        <f>=Round(IFERROR(BZ10/BZ9,0),2)</f>
        <v>1.11</v>
      </c>
      <c r="CA16" s="25">
        <f>=Round(IFERROR(CA10/CA9,0),2)</f>
        <v>1.1</v>
      </c>
      <c r="CB16" s="25">
        <f>=Round(IFERROR(CB10/CB9,0),2)</f>
        <v>1.08</v>
      </c>
      <c r="CC16" s="25">
        <f>=Round(IFERROR(CC10/CC9,0),2)</f>
        <v>1.07</v>
      </c>
      <c r="CD16" s="25">
        <f>=Round(IFERROR(CD10/CD9,0),2)</f>
        <v>1.06</v>
      </c>
      <c r="CE16" s="25">
        <f>=Round(IFERROR(CE10/CE9,0),2)</f>
        <v>1.05</v>
      </c>
      <c r="CF16" s="25">
        <f>=Round(IFERROR(CF10/CF9,0),2)</f>
        <v>1.05</v>
      </c>
      <c r="CG16" s="25">
        <f>=Round(IFERROR(CG10/CG9,0),2)</f>
        <v>1.04</v>
      </c>
      <c r="CH16" s="25">
        <f>=Round(IFERROR(CH10/CH9,0),2)</f>
        <v>0.77</v>
      </c>
      <c r="CI16" s="25">
        <f>=Round(IFERROR(CI10/CI9,0),2)</f>
        <v>0.76</v>
      </c>
      <c r="CJ16" s="25">
        <f>=Round(IFERROR(CJ10/CJ9,0),2)</f>
        <v>0.75</v>
      </c>
      <c r="CK16" s="25">
        <f>=Round(IFERROR(CK10/CK9,0),2)</f>
        <v>0.74</v>
      </c>
      <c r="CL16" s="25">
        <f>=Round(IFERROR(CL10/CL9,0),2)</f>
        <v>0.65</v>
      </c>
      <c r="CM16" s="25">
        <f>=Round(IFERROR(CM10/CM9,0),2)</f>
        <v>0.64</v>
      </c>
      <c r="CN16" s="25">
        <f>=Round(IFERROR(CN10/CN9,0),2)</f>
        <v>0.64</v>
      </c>
      <c r="CO16" s="25">
        <f>=Round(IFERROR(CO10/CO9,0),2)</f>
        <v>0.57</v>
      </c>
      <c r="CP16" s="25">
        <f>=Round(IFERROR(CP10/CP9,0),2)</f>
        <v>0.56</v>
      </c>
      <c r="CQ16" s="25">
        <f>=Round(IFERROR(CQ10/CQ9,0),2)</f>
        <v>0.46</v>
      </c>
      <c r="CR16" s="25">
        <f>=Round(IFERROR(CR10/CR9,0),2)</f>
        <v>0.46</v>
      </c>
      <c r="CS16" s="25">
        <f>=Round(IFERROR(CS10/CS9,0),2)</f>
        <v>0.45</v>
      </c>
      <c r="CT16" s="25">
        <f>=Round(IFERROR(CT10/CT9,0),2)</f>
        <v>0.45</v>
      </c>
      <c r="CU16" s="25">
        <f>=Round(IFERROR(CU10/CU9,0),2)</f>
        <v>0.38</v>
      </c>
      <c r="CV16" s="25">
        <f>=Round(IFERROR(CV10/CV9,0),2)</f>
        <v>0.37</v>
      </c>
      <c r="CW16" s="25">
        <f>=Round(IFERROR(CW10/CW9,0),2)</f>
        <v>0.37</v>
      </c>
      <c r="CX16" s="25">
        <f>=Round(IFERROR(CX10/CX9,0),2)</f>
        <v>0.37</v>
      </c>
      <c r="CY16" s="25">
        <f>=Round(IFERROR(CY10/CY9,0),2)</f>
        <v>0.32</v>
      </c>
      <c r="CZ16" s="25">
        <f>=Round(IFERROR(CZ10/CZ9,0),2)</f>
        <v>0.31</v>
      </c>
      <c r="DA16" s="25">
        <f>=Round(IFERROR(DA10/DA9,0),2)</f>
        <v>0.31</v>
      </c>
      <c r="DB16" s="25">
        <f>=Round(IFERROR(DB10/DB9,0),2)</f>
        <v>0.27</v>
      </c>
    </row>
    <row r="17" ht="18" customHeight="1" spans="1:106" x14ac:dyDescent="0.25">
      <c r="A17" s="23" t="s">
        <v>251</v>
      </c>
      <c r="B17" s="24"/>
      <c r="C17" s="26">
        <f>=IFERROR(C11/C8,0)</f>
        <v>0.9291122426389197</v>
      </c>
      <c r="D17" s="26">
        <f>=IFERROR(D11/D8,0)</f>
        <v>0.9236836584854206</v>
      </c>
      <c r="E17" s="25">
        <f>=IFERROR(E11/E8,0)</f>
        <v>0.805213369770864</v>
      </c>
      <c r="F17" s="25">
        <f>=IFERROR(F11/F8,0)</f>
        <v>0.7398787878787879</v>
      </c>
      <c r="G17" s="25">
        <f>=IFERROR(G11/G8,0)</f>
        <v>0.672543469470279</v>
      </c>
      <c r="H17" s="25">
        <f>=IFERROR(H11/H8,0)</f>
        <v>0.7211446740858506</v>
      </c>
      <c r="I17" s="25">
        <f>=IFERROR(I11/I8,0)</f>
        <v>0.7019498607242339</v>
      </c>
      <c r="J17" s="25">
        <f>=IFERROR(J11/J8,0)</f>
        <v>0.7566942148760331</v>
      </c>
      <c r="K17" s="25">
        <f>=IFERROR(K11/K8,0)</f>
        <v>0.8188351920693928</v>
      </c>
      <c r="L17" s="25">
        <f>=IFERROR(L11/L8,0)</f>
        <v>0.9192673313239045</v>
      </c>
      <c r="M17" s="25">
        <f>=IFERROR(M11/M8,0)</f>
        <v>0.9065629557608167</v>
      </c>
      <c r="N17" s="25">
        <f>=IFERROR(N11/N8,0)</f>
        <v>0.9464788732394366</v>
      </c>
      <c r="O17" s="25">
        <f>=IFERROR(O11/O8,0)</f>
        <v>0.9307984790874525</v>
      </c>
      <c r="P17" s="25">
        <f>=IFERROR(P11/P8,0)</f>
        <v>0.9631151974040022</v>
      </c>
      <c r="Q17" s="25">
        <f>=IFERROR(Q11/Q8,0)</f>
        <v>0.9459664320519762</v>
      </c>
      <c r="R17" s="25">
        <f>=IFERROR(R11/R8,0)</f>
        <v>1.018733080671359</v>
      </c>
      <c r="S17" s="25">
        <f>=IFERROR(S11/S8,0)</f>
        <v>1.0347305389221557</v>
      </c>
      <c r="T17" s="25">
        <f>=IFERROR(T11/T8,0)</f>
        <v>1.0245654032487888</v>
      </c>
      <c r="U17" s="25">
        <f>=IFERROR(U11/U8,0)</f>
        <v>0.9919174548581255</v>
      </c>
      <c r="V17" s="25">
        <f>=IFERROR(V11/V8,0)</f>
        <v>0.982287188306105</v>
      </c>
      <c r="W17" s="25">
        <f>=IFERROR(W11/W8,0)</f>
        <v>0.9148753224419605</v>
      </c>
      <c r="X17" s="25">
        <f>=IFERROR(X11/X8,0)</f>
        <v>0.9052450558899399</v>
      </c>
      <c r="Y17" s="25">
        <f>=IFERROR(Y11/Y8,0)</f>
        <v>0.8966427546628407</v>
      </c>
      <c r="Z17" s="25">
        <f>=IFERROR(Z11/Z8,0)</f>
        <v>0.8966427546628407</v>
      </c>
      <c r="AA17" s="25">
        <f>=IFERROR(AA11/AA8,0)</f>
        <v>0.8966427546628407</v>
      </c>
      <c r="AB17" s="25">
        <f>=IFERROR(AB11/AB8,0)</f>
        <v>0.8580774748923959</v>
      </c>
      <c r="AC17" s="25">
        <f>=IFERROR(AC11/AC8,0)</f>
        <v>0.9380710659898477</v>
      </c>
      <c r="AD17" s="25">
        <f>=IFERROR(AD11/AD8,0)</f>
        <v>1.0706766917293233</v>
      </c>
      <c r="AE17" s="25">
        <f>=IFERROR(AE11/AE8,0)</f>
        <v>1.0466165413533834</v>
      </c>
      <c r="AF17" s="25">
        <f>=IFERROR(AF11/AF8,0)</f>
        <v>1.0225563909774436</v>
      </c>
      <c r="AG17" s="25">
        <f>=IFERROR(AG11/AG8,0)</f>
        <v>0.9875268817204301</v>
      </c>
      <c r="AH17" s="25">
        <f>=IFERROR(AH11/AH8,0)</f>
        <v>0.9885898815931109</v>
      </c>
      <c r="AI17" s="25">
        <f>=IFERROR(AI11/AI8,0)</f>
        <v>0.9555075593952483</v>
      </c>
      <c r="AJ17" s="25">
        <f>=IFERROR(AJ11/AJ8,0)</f>
        <v>0.9403659849300323</v>
      </c>
      <c r="AK17" s="25">
        <f>=IFERROR(AK11/AK8,0)</f>
        <v>0.9548201438848921</v>
      </c>
      <c r="AL17" s="25">
        <f>=IFERROR(AL11/AL8,0)</f>
        <v>0.9243301178992497</v>
      </c>
      <c r="AM17" s="25">
        <f>=IFERROR(AM11/AM8,0)</f>
        <v>0.9123258306538049</v>
      </c>
      <c r="AN17" s="25">
        <f>=IFERROR(AN11/AN8,0)</f>
        <v>0.8883172561629153</v>
      </c>
      <c r="AO17" s="25">
        <f>=IFERROR(AO11/AO8,0)</f>
        <v>1.032368703108253</v>
      </c>
      <c r="AP17" s="25">
        <f>=IFERROR(AP11/AP8,0)</f>
        <v>0.9241967213114755</v>
      </c>
      <c r="AQ17" s="25">
        <f>=IFERROR(AQ11/AQ8,0)</f>
        <v>0.7426132632961261</v>
      </c>
      <c r="AR17" s="25">
        <f>=IFERROR(AR11/AR8,0)</f>
        <v>0.9139855548260013</v>
      </c>
      <c r="AS17" s="25">
        <f>=IFERROR(AS11/AS8,0)</f>
        <v>1.0282337491792515</v>
      </c>
      <c r="AT17" s="25">
        <f>=IFERROR(AT11/AT8,0)</f>
        <v>1.0034076015727391</v>
      </c>
      <c r="AU17" s="25">
        <f>=IFERROR(AU11/AU8,0)</f>
        <v>0.8896755162241888</v>
      </c>
      <c r="AV17" s="25">
        <f>=IFERROR(AV11/AV8,0)</f>
        <v>1.0037364798426744</v>
      </c>
      <c r="AW17" s="25">
        <f>=IFERROR(AW11/AW8,0)</f>
        <v>1.0034076015727391</v>
      </c>
      <c r="AX17" s="25">
        <f>=IFERROR(AX11/AX8,0)</f>
        <v>1.1634218289085545</v>
      </c>
      <c r="AY17" s="25">
        <f>=IFERROR(AY11/AY8,0)</f>
        <v>0.9832492431886983</v>
      </c>
      <c r="AZ17" s="25">
        <f>=IFERROR(AZ11/AZ8,0)</f>
        <v>0.822972972972973</v>
      </c>
      <c r="BA17" s="25">
        <f>=IFERROR(BA11/BA8,0)</f>
        <v>0.8733590733590734</v>
      </c>
      <c r="BB17" s="25">
        <f>=IFERROR(BB11/BB8,0)</f>
        <v>0.990926640926641</v>
      </c>
      <c r="BC17" s="25">
        <f>=IFERROR(BC11/BC8,0)</f>
        <v>0.9046079613992762</v>
      </c>
      <c r="BD17" s="25">
        <f>=IFERROR(BD11/BD8,0)</f>
        <v>0.9956584659913169</v>
      </c>
      <c r="BE17" s="25">
        <f>=IFERROR(BE11/BE8,0)</f>
        <v>1.0039556198745778</v>
      </c>
      <c r="BF17" s="25">
        <f>=IFERROR(BF11/BF8,0)</f>
        <v>0.987599517490953</v>
      </c>
      <c r="BG17" s="25">
        <f>=IFERROR(BG11/BG8,0)</f>
        <v>1.0376447876447876</v>
      </c>
      <c r="BH17" s="25">
        <f>=IFERROR(BH11/BH8,0)</f>
        <v>0.9557864218410244</v>
      </c>
      <c r="BI17" s="25">
        <f>=IFERROR(BI11/BI8,0)</f>
        <v>0.9557864218410244</v>
      </c>
      <c r="BJ17" s="25">
        <f>=IFERROR(BJ11/BJ8,0)</f>
        <v>0.9474752355641459</v>
      </c>
      <c r="BK17" s="25">
        <f>=IFERROR(BK11/BK8,0)</f>
        <v>0.9474752355641459</v>
      </c>
      <c r="BL17" s="25">
        <f>=IFERROR(BL11/BL8,0)</f>
        <v>1.136275942706811</v>
      </c>
      <c r="BM17" s="25">
        <f>=IFERROR(BM11/BM8,0)</f>
        <v>0.920361362056984</v>
      </c>
      <c r="BN17" s="25">
        <f>=IFERROR(BN11/BN8,0)</f>
        <v>1.0519459888800635</v>
      </c>
      <c r="BO17" s="25">
        <f>=IFERROR(BO11/BO8,0)</f>
        <v>1.029940119760479</v>
      </c>
      <c r="BP17" s="25">
        <f>=IFERROR(BP11/BP8,0)</f>
        <v>1.1471977767484947</v>
      </c>
      <c r="BQ17" s="25">
        <f>=IFERROR(BQ11/BQ8,0)</f>
        <v>1.0917594654788418</v>
      </c>
      <c r="BR17" s="25">
        <f>=IFERROR(BR11/BR8,0)</f>
        <v>1.0726057906458797</v>
      </c>
      <c r="BS17" s="25">
        <f>=IFERROR(BS11/BS8,0)</f>
        <v>1.0342984409799554</v>
      </c>
      <c r="BT17" s="25">
        <f>=IFERROR(BT11/BT8,0)</f>
        <v>1.034874651810585</v>
      </c>
      <c r="BU17" s="25">
        <f>=IFERROR(BU11/BU8,0)</f>
        <v>1.0764951321279554</v>
      </c>
      <c r="BV17" s="25">
        <f>=IFERROR(BV11/BV8,0)</f>
        <v>1.0764951321279554</v>
      </c>
      <c r="BW17" s="25">
        <f>=IFERROR(BW11/BW8,0)</f>
        <v>1.0764951321279554</v>
      </c>
      <c r="BX17" s="25">
        <f>=IFERROR(BX11/BX8,0)</f>
        <v>1.0525730180806676</v>
      </c>
      <c r="BY17" s="25">
        <f>=IFERROR(BY11/BY8,0)</f>
        <v>1.1306209850107067</v>
      </c>
      <c r="BZ17" s="25">
        <f>=IFERROR(BZ11/BZ8,0)</f>
        <v>1.1141025641025641</v>
      </c>
      <c r="CA17" s="25">
        <f>=IFERROR(CA11/CA8,0)</f>
        <v>1.1001762820512822</v>
      </c>
      <c r="CB17" s="25">
        <f>=IFERROR(CB11/CB8,0)</f>
        <v>1.0871984363863152</v>
      </c>
      <c r="CC17" s="25">
        <f>=IFERROR(CC11/CC8,0)</f>
        <v>1.0736084559314865</v>
      </c>
      <c r="CD17" s="25">
        <f>=IFERROR(CD11/CD8,0)</f>
        <v>1.0636304829066738</v>
      </c>
      <c r="CE17" s="25">
        <f>=IFERROR(CE11/CE8,0)</f>
        <v>1.0522436476584502</v>
      </c>
      <c r="CF17" s="25">
        <f>=IFERROR(CF11/CF8,0)</f>
        <v>1.054690930882279</v>
      </c>
      <c r="CG17" s="25">
        <f>=IFERROR(CG11/CG8,0)</f>
        <v>1.044144021573456</v>
      </c>
      <c r="CH17" s="25">
        <f>=IFERROR(CH11/CH8,0)</f>
        <v>0.7756455888647098</v>
      </c>
      <c r="CI17" s="25">
        <f>=IFERROR(CI11/CI8,0)</f>
        <v>0.765950019003901</v>
      </c>
      <c r="CJ17" s="25">
        <f>=IFERROR(CJ11/CJ8,0)</f>
        <v>0.756375643766352</v>
      </c>
      <c r="CK17" s="25">
        <f>=IFERROR(CK11/CK8,0)</f>
        <v>0.7469209482192729</v>
      </c>
      <c r="CL17" s="25">
        <f>=IFERROR(CL11/CL8,0)</f>
        <v>0.6561506216915469</v>
      </c>
      <c r="CM17" s="25">
        <f>=IFERROR(CM11/CM8,0)</f>
        <v>0.6479487389204028</v>
      </c>
      <c r="CN17" s="25">
        <f>=IFERROR(CN11/CN8,0)</f>
        <v>0.6398493796838975</v>
      </c>
      <c r="CO17" s="25">
        <f>=IFERROR(CO11/CO8,0)</f>
        <v>0.5680533882498857</v>
      </c>
      <c r="CP17" s="25">
        <f>=IFERROR(CP11/CP8,0)</f>
        <v>0.5606329074869008</v>
      </c>
      <c r="CQ17" s="25">
        <f>=IFERROR(CQ11/CQ8,0)</f>
        <v>0.4616010519367965</v>
      </c>
      <c r="CR17" s="25">
        <f>=IFERROR(CR11/CR8,0)</f>
        <v>0.45698504141742846</v>
      </c>
      <c r="CS17" s="25">
        <f>=IFERROR(CS11/CS8,0)</f>
        <v>0.4524151910032542</v>
      </c>
      <c r="CT17" s="25">
        <f>=IFERROR(CT11/CT8,0)</f>
        <v>0.44916890225753897</v>
      </c>
      <c r="CU17" s="25">
        <f>=IFERROR(CU11/CU8,0)</f>
        <v>0.3804541006644136</v>
      </c>
      <c r="CV17" s="25">
        <f>=IFERROR(CV11/CV8,0)</f>
        <v>0.3756984244061084</v>
      </c>
      <c r="CW17" s="25">
        <f>=IFERROR(CW11/CW8,0)</f>
        <v>0.37100219410103197</v>
      </c>
      <c r="CX17" s="25">
        <f>=IFERROR(CX11/CX8,0)</f>
        <v>0.36636466667476913</v>
      </c>
      <c r="CY17" s="25">
        <f>=IFERROR(CY11/CY8,0)</f>
        <v>0.3163528268598365</v>
      </c>
      <c r="CZ17" s="25">
        <f>=IFERROR(CZ11/CZ8,0)</f>
        <v>0.31262084330694656</v>
      </c>
      <c r="DA17" s="25">
        <f>=IFERROR(DA11/DA8,0)</f>
        <v>0.30871308276560966</v>
      </c>
      <c r="DB17" s="25">
        <f>=IFERROR(DB11/DB8,0)</f>
        <v>0.2709922029651867</v>
      </c>
    </row>
    <row r="18" ht="18" customHeight="1" spans="1:106" x14ac:dyDescent="0.25">
      <c r="A18" s="27" t="s">
        <v>252</v>
      </c>
      <c r="C18" s="28">
        <f>=SUM(C19:C23)</f>
        <v>137</v>
      </c>
      <c r="D18" s="28">
        <f>=SUM(D19:D23)</f>
        <v>128</v>
      </c>
      <c r="E18" s="28">
        <f>=SUM(E19:E23)</f>
        <v>114</v>
      </c>
      <c r="F18" s="28">
        <f>=SUM(F19:F23)</f>
        <v>123</v>
      </c>
      <c r="G18" s="28">
        <f>=SUM(G19:G23)</f>
        <v>110</v>
      </c>
      <c r="H18" s="28">
        <f>=SUM(H19:H23)</f>
        <v>122</v>
      </c>
      <c r="I18" s="28">
        <f>=SUM(I19:I23)</f>
        <v>128</v>
      </c>
      <c r="J18" s="28">
        <f>=SUM(J19:J23)</f>
        <v>122</v>
      </c>
      <c r="K18" s="28">
        <f>=SUM(K19:K23)</f>
        <v>118</v>
      </c>
      <c r="L18" s="28">
        <f>=SUM(L19:L23)</f>
        <v>118</v>
      </c>
      <c r="M18" s="28">
        <f>=SUM(M19:M23)</f>
        <v>121</v>
      </c>
      <c r="N18" s="28">
        <f>=SUM(N19:N23)</f>
        <v>114</v>
      </c>
      <c r="O18" s="28">
        <f>=SUM(O19:O23)</f>
        <v>122</v>
      </c>
      <c r="P18" s="28">
        <f>=SUM(P19:P23)</f>
        <v>118</v>
      </c>
      <c r="Q18" s="28">
        <f>=SUM(Q19:Q23)</f>
        <v>116</v>
      </c>
      <c r="R18" s="28">
        <f>=SUM(R19:R23)</f>
        <v>112</v>
      </c>
      <c r="S18" s="28">
        <f>=SUM(S19:S23)</f>
        <v>108</v>
      </c>
      <c r="T18" s="28">
        <f>=SUM(T19:T23)</f>
        <v>107</v>
      </c>
      <c r="U18" s="28">
        <f>=SUM(U19:U23)</f>
        <v>103</v>
      </c>
      <c r="V18" s="28">
        <f>=SUM(V19:V23)</f>
        <v>102</v>
      </c>
      <c r="W18" s="28">
        <f>=SUM(W19:W23)</f>
        <v>95</v>
      </c>
      <c r="X18" s="28">
        <f>=SUM(X19:X23)</f>
        <v>94</v>
      </c>
      <c r="Y18" s="28">
        <f>=SUM(Y19:Y23)</f>
        <v>93</v>
      </c>
      <c r="Z18" s="28">
        <f>=SUM(Z19:Z23)</f>
        <v>93</v>
      </c>
      <c r="AA18" s="28">
        <f>=SUM(AA19:AA23)</f>
        <v>93</v>
      </c>
      <c r="AB18" s="28">
        <f>=SUM(AB19:AB23)</f>
        <v>89</v>
      </c>
      <c r="AC18" s="28">
        <f>=SUM(AC19:AC23)</f>
        <v>88</v>
      </c>
      <c r="AD18" s="28">
        <f>=SUM(AD19:AD23)</f>
        <v>89</v>
      </c>
      <c r="AE18" s="28">
        <f>=SUM(AE19:AE23)</f>
        <v>87</v>
      </c>
      <c r="AF18" s="28">
        <f>=SUM(AF19:AF23)</f>
        <v>85</v>
      </c>
      <c r="AG18" s="29">
        <f>=SUM(AG19:AG23)</f>
        <v>82</v>
      </c>
      <c r="AH18" s="28">
        <f>=SUM(AH19:AH23)</f>
        <v>85</v>
      </c>
      <c r="AI18" s="28">
        <f>=SUM(AI19:AI23)</f>
        <v>81.9625</v>
      </c>
      <c r="AJ18" s="28">
        <f>=SUM(AJ19:AJ23)</f>
        <v>78</v>
      </c>
      <c r="AK18" s="28">
        <f>=SUM(AK19:AK23)</f>
        <v>79</v>
      </c>
      <c r="AL18" s="28">
        <f>=SUM(AL19:AL23)</f>
        <v>77</v>
      </c>
      <c r="AM18" s="28">
        <f>=SUM(AM19:AM23)</f>
        <v>90</v>
      </c>
      <c r="AN18" s="28">
        <f>=SUM(AN19:AN23)</f>
        <v>88</v>
      </c>
      <c r="AO18" s="28">
        <f>=SUM(AO19:AO23)</f>
        <v>86</v>
      </c>
      <c r="AP18" s="28">
        <f>=SUM(AP19:AP23)</f>
        <v>81</v>
      </c>
      <c r="AQ18" s="28">
        <f>=SUM(AQ19:AQ23)</f>
        <v>89</v>
      </c>
      <c r="AR18" s="28">
        <f>=SUM(AR19:AR23)</f>
        <v>91</v>
      </c>
      <c r="AS18" s="28">
        <f>=SUM(AS19:AS23)</f>
        <v>90</v>
      </c>
      <c r="AT18" s="28">
        <f>=SUM(AT19:AT23)</f>
        <v>88</v>
      </c>
      <c r="AU18" s="28">
        <f>=SUM(AU19:AU23)</f>
        <v>88</v>
      </c>
      <c r="AV18" s="28">
        <f>=SUM(AV19:AV23)</f>
        <v>103</v>
      </c>
      <c r="AW18" s="28">
        <f>=SUM(AW19:AW23)</f>
        <v>117</v>
      </c>
      <c r="AX18" s="28">
        <f>=SUM(AX19:AX23)</f>
        <v>117</v>
      </c>
      <c r="AY18" s="28">
        <f>=SUM(AY19:AY23)</f>
        <v>124</v>
      </c>
      <c r="AZ18" s="28">
        <f>=SUM(AZ19:AZ23)</f>
        <v>122</v>
      </c>
      <c r="BA18" s="28">
        <f>=SUM(BA19:BA23)</f>
        <v>119</v>
      </c>
      <c r="BB18" s="28">
        <f>=SUM(BB19:BB23)</f>
        <v>124</v>
      </c>
      <c r="BC18" s="28">
        <f>=SUM(BC19:BC23)</f>
        <v>125</v>
      </c>
      <c r="BD18" s="28">
        <f>=SUM(BD19:BD23)</f>
        <v>130</v>
      </c>
      <c r="BE18" s="28">
        <f>=SUM(BE19:BE23)</f>
        <v>131</v>
      </c>
      <c r="BF18" s="28">
        <f>=SUM(BF19:BF23)</f>
        <v>125</v>
      </c>
      <c r="BG18" s="28">
        <f>=SUM(BG19:BG23)</f>
        <v>125</v>
      </c>
      <c r="BH18" s="28">
        <f>=SUM(BH19:BH23)</f>
        <v>123</v>
      </c>
      <c r="BI18" s="28">
        <f>=SUM(BI19:BI23)</f>
        <v>115</v>
      </c>
      <c r="BJ18" s="28">
        <f>=SUM(BJ19:BJ23)</f>
        <v>114</v>
      </c>
      <c r="BK18" s="28">
        <f>=SUM(BK19:BK23)</f>
        <v>114</v>
      </c>
      <c r="BL18" s="28">
        <f>=SUM(BL19:BL23)</f>
        <v>113</v>
      </c>
      <c r="BM18" s="28">
        <f>=SUM(BM19:BM23)</f>
        <v>77</v>
      </c>
      <c r="BN18" s="28">
        <f>=SUM(BN19:BN23)</f>
        <v>77</v>
      </c>
      <c r="BO18" s="28">
        <f>=SUM(BO19:BO23)</f>
        <v>70</v>
      </c>
      <c r="BP18" s="28">
        <f>=SUM(BP19:BP23)</f>
        <v>72</v>
      </c>
      <c r="BQ18" s="28">
        <f>=SUM(BQ19:BQ23)</f>
        <v>57</v>
      </c>
      <c r="BR18" s="28">
        <f>=SUM(BR19:BR23)</f>
        <v>56</v>
      </c>
      <c r="BS18" s="28">
        <f>=SUM(BS19:BS23)</f>
        <v>54</v>
      </c>
      <c r="BT18" s="28">
        <f>=SUM(BT19:BT23)</f>
        <v>54</v>
      </c>
      <c r="BU18" s="28">
        <f>=SUM(BU19:BU23)</f>
        <v>45</v>
      </c>
      <c r="BV18" s="28">
        <f>=SUM(BV19:BV23)</f>
        <v>45</v>
      </c>
      <c r="BW18" s="28">
        <f>=SUM(BW19:BW23)</f>
        <v>45</v>
      </c>
      <c r="BX18" s="28">
        <f>=SUM(BX19:BX23)</f>
        <v>44</v>
      </c>
      <c r="BY18" s="28">
        <f>=SUM(BY19:BY23)</f>
        <v>45</v>
      </c>
      <c r="BZ18" s="28">
        <f>=SUM(BZ19:BZ23)</f>
        <v>44.4375</v>
      </c>
      <c r="CA18" s="28">
        <f>=SUM(CA19:CA23)</f>
        <v>43.88203125</v>
      </c>
      <c r="CB18" s="28">
        <f>=SUM(CB19:CB23)</f>
        <v>43.333505859375</v>
      </c>
      <c r="CC18" s="28">
        <f>=SUM(CC19:CC23)</f>
        <v>42.79183703613281</v>
      </c>
      <c r="CD18" s="28">
        <f>=SUM(CD19:CD23)</f>
        <v>42.36391866577148</v>
      </c>
      <c r="CE18" s="28">
        <f>=SUM(CE19:CE23)</f>
        <v>41.94027947911377</v>
      </c>
      <c r="CF18" s="28">
        <f>=SUM(CF19:CF23)</f>
        <v>31.520876684322648</v>
      </c>
      <c r="CG18" s="28">
        <f>=SUM(CG19:CG23)</f>
        <v>31.205667917479424</v>
      </c>
      <c r="CH18" s="28">
        <f>=SUM(CH19:CH23)</f>
        <v>30.89361123830463</v>
      </c>
      <c r="CI18" s="28">
        <f>=SUM(CI19:CI23)</f>
        <v>30.507441097825826</v>
      </c>
      <c r="CJ18" s="28">
        <f>=SUM(CJ19:CJ23)</f>
        <v>30.126098084103003</v>
      </c>
      <c r="CK18" s="28">
        <f>=SUM(CK19:CK23)</f>
        <v>29.74952185805172</v>
      </c>
      <c r="CL18" s="28">
        <f>=SUM(CL19:CL23)</f>
        <v>29.377652834826076</v>
      </c>
      <c r="CM18" s="28">
        <f>=SUM(CM19:CM23)</f>
        <v>29.01043217439075</v>
      </c>
      <c r="CN18" s="28">
        <f>=SUM(CN19:CN23)</f>
        <v>28.647801772210865</v>
      </c>
      <c r="CO18" s="28">
        <f>=SUM(CO19:CO23)</f>
        <v>28.289704250058225</v>
      </c>
      <c r="CP18" s="28">
        <f>=SUM(CP19:CP23)</f>
        <v>27.936082946932498</v>
      </c>
      <c r="CQ18" s="28">
        <f>=SUM(CQ19:CQ23)</f>
        <v>27.65672211746317</v>
      </c>
      <c r="CR18" s="28">
        <f>=SUM(CR19:CR23)</f>
        <v>27.380154896288538</v>
      </c>
      <c r="CS18" s="28">
        <f>=SUM(CS19:CS23)</f>
        <v>27.10635334732565</v>
      </c>
      <c r="CT18" s="28">
        <f>=SUM(CT19:CT23)</f>
        <v>26.835289813852395</v>
      </c>
      <c r="CU18" s="28">
        <f>=SUM(CU19:CU23)</f>
        <v>26.566936915713875</v>
      </c>
      <c r="CV18" s="28">
        <f>=SUM(CV19:CV23)</f>
        <v>26.23485020426745</v>
      </c>
      <c r="CW18" s="28">
        <f>=SUM(CW19:CW23)</f>
        <v>25.906914576714108</v>
      </c>
      <c r="CX18" s="28">
        <f>=SUM(CX19:CX23)</f>
        <v>25.58307814450518</v>
      </c>
      <c r="CY18" s="28">
        <f>=SUM(CY19:CY23)</f>
        <v>25.263289667698867</v>
      </c>
      <c r="CZ18" s="28">
        <f>=SUM(CZ19:CZ23)</f>
        <v>24.947498546852636</v>
      </c>
      <c r="DA18" s="28">
        <f>=SUM(DA19:DA23)</f>
        <v>24.635654815016977</v>
      </c>
      <c r="DB18" s="28">
        <f>=SUM(DB19:DB23)</f>
        <v>24.327709129829262</v>
      </c>
    </row>
    <row r="19" ht="18" customHeight="1" spans="1:106" x14ac:dyDescent="0.25">
      <c r="A19" s="27" t="s">
        <v>253</v>
      </c>
      <c r="C19" s="28">
        <f>=IF(LEN(C82)=0,(97*(1-B41))-C81+C99+C128,(97-C81+C99+C128))</f>
        <v>98</v>
      </c>
      <c r="D19" s="28">
        <f>=IF(LEN(D82)=0,(C19*(1-C41))-D81+D99+D128,(C19-D81+D99+D128))</f>
        <v>92</v>
      </c>
      <c r="E19" s="28">
        <f>=IF(LEN(E82)=0,(D19*(1-D41))-E81+E99+E128,(D19-E81+E99+E128))</f>
        <v>95</v>
      </c>
      <c r="F19" s="28">
        <f>=IF(LEN(F82)=0,(E19*(1-E41))-F81+F99+F128,(E19-F81+F99+F128))</f>
        <v>90</v>
      </c>
      <c r="G19" s="28">
        <f>=IF(LEN(G82)=0,(F19*(1-F41))-G81+G99+G128,(F19-G81+G99+G128))</f>
        <v>89</v>
      </c>
      <c r="H19" s="28">
        <f>=IF(LEN(H82)=0,(G19*(1-G41))-H81+H99+H128,(G19-H81+H99+H128))</f>
        <v>98</v>
      </c>
      <c r="I19" s="28">
        <f>=IF(LEN(I82)=0,(H19*(1-H41))-I81+I99+I128,(H19-I81+I99+I128))</f>
        <v>96</v>
      </c>
      <c r="J19" s="28">
        <f>=IF(LEN(J82)=0,(I19*(1-I41))-J81+J99+J128,(I19-J81+J99+J128))</f>
        <v>90</v>
      </c>
      <c r="K19" s="28">
        <f>=IF(LEN(K82)=0,(J19*(1-J41))-K81+K99+K128,(J19-K81+K99+K128))</f>
        <v>87</v>
      </c>
      <c r="L19" s="28">
        <f>=IF(LEN(L82)=0,(K19*(1-K41))-L81+L99+L128,(K19-L81+L99+L128))</f>
        <v>97</v>
      </c>
      <c r="M19" s="28">
        <f>=IF(LEN(M82)=0,(L19*(1-L41))-M81+M99+M128,(L19-M81+M99+M128))</f>
        <v>91</v>
      </c>
      <c r="N19" s="28">
        <f>=IF(LEN(N82)=0,(M19*(1-M41))-N81+N99+N128,(M19-N81+N99+N128))</f>
        <v>95</v>
      </c>
      <c r="O19" s="28">
        <f>=IF(LEN(O82)=0,(N19*(1-N41))-O81+O99+O128,(N19-O81+O99+O128))</f>
        <v>102</v>
      </c>
      <c r="P19" s="28">
        <f>=IF(LEN(P82)=0,(O19*(1-O41))-P81+P99+P128,(O19-P81+P99+P128))</f>
        <v>99</v>
      </c>
      <c r="Q19" s="28">
        <f>=IF(LEN(Q82)=0,(P19*(1-P41))-Q81+Q99+Q128,(P19-Q81+Q99+Q128))</f>
        <v>97</v>
      </c>
      <c r="R19" s="28">
        <f>=IF(LEN(R82)=0,(Q19*(1-Q41))-R81+R99+R128,(Q19-R81+R99+R128))</f>
        <v>101</v>
      </c>
      <c r="S19" s="28">
        <f>=IF(LEN(S82)=0,(R19*(1-R41))-S81+S99+S128,(R19-S81+S99+S128))</f>
        <v>98</v>
      </c>
      <c r="T19" s="28">
        <f>=IF(LEN(T82)=0,(S19*(1-S41))-T81+T99+T128,(S19-T81+T99+T128))</f>
        <v>107</v>
      </c>
      <c r="U19" s="28">
        <f>=IF(LEN(U82)=0,(T19*(1-T41))-U81+U99+U128,(T19-U81+U99+U128))</f>
        <v>103</v>
      </c>
      <c r="V19" s="28">
        <f>=IF(LEN(V82)=0,(U19*(1-U41))-V81+V99+V128,(U19-V81+V99+V128))</f>
        <v>102</v>
      </c>
      <c r="W19" s="28">
        <f>=IF(LEN(W82)=0,(V19*(1-V41))-W81+W99+W128,(V19-W81+W99+W128))</f>
        <v>95</v>
      </c>
      <c r="X19" s="28">
        <f>=IF(LEN(X82)=0,(W19*(1-W41))-X81+X99+X128,(W19-X81+X99+X128))</f>
        <v>94</v>
      </c>
      <c r="Y19" s="28">
        <f>=IF(LEN(Y82)=0,(X19*(1-X41))-Y81+Y99+Y128,(X19-Y81+Y99+Y128))</f>
        <v>93</v>
      </c>
      <c r="Z19" s="28">
        <f>=IF(LEN(Z82)=0,(Y19*(1-Y41))-Z81+Z99+Z128,(Y19-Z81+Z99+Z128))</f>
        <v>93</v>
      </c>
      <c r="AA19" s="28">
        <f>=IF(LEN(AA82)=0,(Z19*(1-Z41))-AA81+AA99+AA128,(Z19-AA81+AA99+AA128))</f>
        <v>93</v>
      </c>
      <c r="AB19" s="28">
        <f>=IF(LEN(AB82)=0,(AA19*(1-AA41))-AB81+AB99+AB128,(AA19-AB81+AB99+AB128))</f>
        <v>89</v>
      </c>
      <c r="AC19" s="28">
        <f>=IF(LEN(AC82)=0,(AB19*(1-AB41))-AC81+AC99+AC128,(AB19-AC81+AC99+AC128))</f>
        <v>88</v>
      </c>
      <c r="AD19" s="28">
        <f>=IF(LEN(AD82)=0,(AC19*(1-AC41))-AD81+AD99+AD128,(AC19-AD81+AD99+AD128))</f>
        <v>89</v>
      </c>
      <c r="AE19" s="28">
        <f>=IF(LEN(AE82)=0,(AD19*(1-AD41))-AE81+AE99+AE128,(AD19-AE81+AE99+AE128))</f>
        <v>87</v>
      </c>
      <c r="AF19" s="28">
        <f>=IF(LEN(AF82)=0,(AE19*(1-AE41))-AF81+AF99+AF128,(AE19-AF81+AF99+AF128))</f>
        <v>85</v>
      </c>
      <c r="AG19" s="28">
        <f>=IF(LEN(AG82)=0,(AF19*(1-AF41))-AG81+AG99+AG128,(AF19-AG81+AG99+AG128))</f>
        <v>82</v>
      </c>
      <c r="AH19" s="28">
        <f>=IF(LEN(AH82)=0,(AG19*(1-AG41))-AH81+AH99+AH128,(AG19-AH81+AH99+AH128))</f>
        <v>82</v>
      </c>
      <c r="AI19" s="28">
        <f>=IF(LEN(AI82)=0,(AH19*(1-AH41))-AI81+AI99+AI128,(AH19-AI81+AI99+AI128))</f>
        <v>79</v>
      </c>
      <c r="AJ19" s="28">
        <f>=IF(LEN(AJ82)=0,(AI19*(1-AI41))-AJ81+AJ99+AJ128,(AI19-AJ81+AJ99+AJ128))</f>
        <v>75</v>
      </c>
      <c r="AK19" s="28">
        <f>=IF(LEN(AK82)=0,(AJ19*(1-AJ41))-AK81+AK99+AK128,(AJ19-AK81+AK99+AK128))</f>
        <v>79</v>
      </c>
      <c r="AL19" s="28">
        <f>=IF(LEN(AL82)=0,(AK19*(1-AK41))-AL81+AL99+AL128,(AK19-AL81+AL99+AL128))</f>
        <v>77</v>
      </c>
      <c r="AM19" s="28">
        <f>=IF(LEN(AM82)=0,(AL19*(1-AL41))-AM81+AM99+AM128,(AL19-AM81+AM99+AM128))</f>
        <v>76</v>
      </c>
      <c r="AN19" s="28">
        <f>=IF(LEN(AN82)=0,(AM19*(1-AM41))-AN81+AN99+AN128,(AM19-AN81+AN99+AN128))</f>
        <v>74</v>
      </c>
      <c r="AO19" s="28">
        <f>=IF(LEN(AO82)=0,(AN19*(1-AN41))-AO81+AO99+AO128,(AN19-AO81+AO99+AO128))</f>
        <v>72</v>
      </c>
      <c r="AP19" s="28">
        <f>=IF(LEN(AP82)=0,(AO19*(1-AO41))-AP81+AP99+AP128,(AO19-AP81+AP99+AP128))</f>
        <v>67</v>
      </c>
      <c r="AQ19" s="28">
        <f>=IF(LEN(AQ82)=0,(AP19*(1-AP41))-AQ81+AQ99+AQ128,(AP19-AQ81+AQ99+AQ128))</f>
        <v>65</v>
      </c>
      <c r="AR19" s="28">
        <f>=IF(LEN(AR82)=0,(AQ19*(1-AQ41))-AR81+AR99+AR128,(AQ19-AR81+AR99+AR128))</f>
        <v>66</v>
      </c>
      <c r="AS19" s="28">
        <f>=IF(LEN(AS82)=0,(AR19*(1-AR41))-AS81+AS99+AS128,(AR19-AS81+AS99+AS128))</f>
        <v>80</v>
      </c>
      <c r="AT19" s="28">
        <f>=IF(LEN(AT82)=0,(AS19*(1-AS41))-AT81+AT99+AT128,(AS19-AT81+AT99+AT128))</f>
        <v>78</v>
      </c>
      <c r="AU19" s="28">
        <f>=IF(LEN(AU82)=0,(AT19*(1-AT41))-AU81+AU99+AU128,(AT19-AU81+AU99+AU128))</f>
        <v>78</v>
      </c>
      <c r="AV19" s="28">
        <f>=IF(LEN(AV82)=0,(AU19*(1-AU41))-AV81+AV99+AV128,(AU19-AV81+AV99+AV128))</f>
        <v>78</v>
      </c>
      <c r="AW19" s="28">
        <f>=IF(LEN(AW82)=0,(AV19*(1-AV41))-AW81+AW99+AW128,(AV19-AW81+AW99+AW128))</f>
        <v>88</v>
      </c>
      <c r="AX19" s="28">
        <f>=IF(LEN(AX82)=0,(AW19*(1-AW41))-AX81+AX99+AX128,(AW19-AX81+AX99+AX128))</f>
        <v>88</v>
      </c>
      <c r="AY19" s="28">
        <f>=IF(LEN(AY82)=0,(AX19*(1-AX41))-AY81+AY99+AY128,(AX19-AY81+AY99+AY128))</f>
        <v>85</v>
      </c>
      <c r="AZ19" s="28">
        <f>=IF(LEN(AZ82)=0,(AY19*(1-AY41))-AZ81+AZ99+AZ128,(AY19-AZ81+AZ99+AZ128))</f>
        <v>83</v>
      </c>
      <c r="BA19" s="28">
        <f>=IF(LEN(BA82)=0,(AZ19*(1-AZ41))-BA81+BA99+BA128,(AZ19-BA81+BA99+BA128))</f>
        <v>82</v>
      </c>
      <c r="BB19" s="28">
        <f>=IF(LEN(BB82)=0,(BA19*(1-BA41))-BB81+BB99+BB128,(BA19-BB81+BB99+BB128))</f>
        <v>94</v>
      </c>
      <c r="BC19" s="28">
        <f>=IF(LEN(BC82)=0,(BB19*(1-BB41))-BC81+BC99+BC128,(BB19-BC81+BC99+BC128))</f>
        <v>109</v>
      </c>
      <c r="BD19" s="28">
        <f>=IF(LEN(BD82)=0,(BC19*(1-BC41))-BD81+BD99+BD128,(BC19-BD81+BD99+BD128))</f>
        <v>104</v>
      </c>
      <c r="BE19" s="28">
        <f>=IF(LEN(BE82)=0,(BD19*(1-BD41))-BE81+BE99+BE128,(BD19-BE81+BE99+BE128))</f>
        <v>115</v>
      </c>
      <c r="BF19" s="28">
        <f>=IF(LEN(BF82)=0,(BE19*(1-BE41))-BF81+BF99+BF128,(BE19-BF81+BF99+BF128))</f>
        <v>110</v>
      </c>
      <c r="BG19" s="28">
        <f>=IF(LEN(BG82)=0,(BF19*(1-BF41))-BG81+BG99+BG128,(BF19-BG81+BG99+BG128))</f>
        <v>110</v>
      </c>
      <c r="BH19" s="28">
        <f>=IF(LEN(BH82)=0,(BG19*(1-BG41))-BH81+BH99+BH128,(BG19-BH81+BH99+BH128))</f>
        <v>115</v>
      </c>
      <c r="BI19" s="28">
        <f>=IF(LEN(BI82)=0,(BH19*(1-BH41))-BI81+BI99+BI128,(BH19-BI81+BI99+BI128))</f>
        <v>106</v>
      </c>
      <c r="BJ19" s="28">
        <f>=IF(LEN(BJ82)=0,(BI19*(1-BI41))-BJ81+BJ99+BJ128,(BI19-BJ81+BJ99+BJ128))</f>
        <v>114</v>
      </c>
      <c r="BK19" s="28">
        <f>=IF(LEN(BK82)=0,(BJ19*(1-BJ41))-BK81+BK99+BK128,(BJ19-BK81+BK99+BK128))</f>
        <v>114</v>
      </c>
      <c r="BL19" s="28">
        <f>=IF(LEN(BL82)=0,(BK19*(1-BK41))-BL81+BL99+BL128,(BK19-BL81+BL99+BL128))</f>
        <v>113</v>
      </c>
      <c r="BM19" s="28">
        <f>=IF(LEN(BM82)=0,(BL19*(1-BL41))-BM81+BM99+BM128,(BL19-BM81+BM99+BM128))</f>
        <v>77</v>
      </c>
      <c r="BN19" s="28">
        <f>=IF(LEN(BN82)=0,(BM19*(1-BM41))-BN81+BN99+BN128,(BM19-BN81+BN99+BN128))</f>
        <v>77</v>
      </c>
      <c r="BO19" s="28">
        <f>=IF(LEN(BO82)=0,(BN19*(1-BN41))-BO81+BO99+BO128,(BN19-BO81+BO99+BO128))</f>
        <v>70</v>
      </c>
      <c r="BP19" s="28">
        <f>=IF(LEN(BP82)=0,(BO19*(1-BO41))-BP81+BP99+BP128,(BO19-BP81+BP99+BP128))</f>
        <v>72</v>
      </c>
      <c r="BQ19" s="28">
        <f>=IF(LEN(BQ82)=0,(BP19*(1-BP41))-BQ81+BQ99+BQ128,(BP19-BQ81+BQ99+BQ128))</f>
        <v>57</v>
      </c>
      <c r="BR19" s="28">
        <f>=IF(LEN(BR82)=0,(BQ19*(1-BQ41))-BR81+BR99+BR128,(BQ19-BR81+BR99+BR128))</f>
        <v>56</v>
      </c>
      <c r="BS19" s="28">
        <f>=IF(LEN(BS82)=0,(BR19*(1-BR41))-BS81+BS99+BS128,(BR19-BS81+BS99+BS128))</f>
        <v>54</v>
      </c>
      <c r="BT19" s="28">
        <f>=IF(LEN(BT82)=0,(BS19*(1-BS41))-BT81+BT99+BT128,(BS19-BT81+BT99+BT128))</f>
        <v>54</v>
      </c>
      <c r="BU19" s="28">
        <f>=IF(LEN(BU82)=0,(BT19*(1-BT41))-BU81+BU99+BU128,(BT19-BU81+BU99+BU128))</f>
        <v>45</v>
      </c>
      <c r="BV19" s="28">
        <f>=IF(LEN(BV82)=0,(BU19*(1-BU41))-BV81+BV99+BV128,(BU19-BV81+BV99+BV128))</f>
        <v>45</v>
      </c>
      <c r="BW19" s="28">
        <f>=IF(LEN(BW82)=0,(BV19*(1-BV41))-BW81+BW99+BW128,(BV19-BW81+BW99+BW128))</f>
        <v>45</v>
      </c>
      <c r="BX19" s="28">
        <f>=IF(LEN(BX82)=0,(BW19*(1-BW41))-BX81+BX99+BX128,(BW19-BX81+BX99+BX128))</f>
        <v>44</v>
      </c>
      <c r="BY19" s="28">
        <f>=IF(LEN(BY82)=0,(BX19*(1-BX41))-BY81+BY99+BY128,(BX19-BY81+BY99+BY128))</f>
        <v>45</v>
      </c>
      <c r="BZ19" s="28">
        <f>=IF(LEN(BZ82)=0,(BY19*(1-BY41))-BZ81+BZ99+BZ128,(BY19-BZ81+BZ99+BZ128))</f>
        <v>44.4375</v>
      </c>
      <c r="CA19" s="28">
        <f>=IF(LEN(CA82)=0,(BZ19*(1-BZ41))-CA81+CA99+CA128,(BZ19-CA81+CA99+CA128))</f>
        <v>43.88203125</v>
      </c>
      <c r="CB19" s="28">
        <f>=IF(LEN(CB82)=0,(CA19*(1-CA41))-CB81+CB99+CB128,(CA19-CB81+CB99+CB128))</f>
        <v>43.333505859375</v>
      </c>
      <c r="CC19" s="28">
        <f>=IF(LEN(CC82)=0,(CB19*(1-CB41))-CC81+CC99+CC128,(CB19-CC81+CC99+CC128))</f>
        <v>42.79183703613281</v>
      </c>
      <c r="CD19" s="28">
        <f>=IF(LEN(CD82)=0,(CC19*(1-CC41))-CD81+CD99+CD128,(CC19-CD81+CD99+CD128))</f>
        <v>42.36391866577148</v>
      </c>
      <c r="CE19" s="28">
        <f>=IF(LEN(CE82)=0,(CD19*(1-CD41))-CE81+CE99+CE128,(CD19-CE81+CE99+CE128))</f>
        <v>41.94027947911377</v>
      </c>
      <c r="CF19" s="28">
        <f>=IF(LEN(CF82)=0,(CE19*(1-CE41))-CF81+CF99+CF128,(CE19-CF81+CF99+CF128))</f>
        <v>31.520876684322648</v>
      </c>
      <c r="CG19" s="28">
        <f>=IF(LEN(CG82)=0,(CF19*(1-CF41))-CG81+CG99+CG128,(CF19-CG81+CG99+CG128))</f>
        <v>31.205667917479424</v>
      </c>
      <c r="CH19" s="28">
        <f>=IF(LEN(CH82)=0,(CG19*(1-CG41))-CH81+CH99+CH128,(CG19-CH81+CH99+CH128))</f>
        <v>30.89361123830463</v>
      </c>
      <c r="CI19" s="28">
        <f>=IF(LEN(CI82)=0,(CH19*(1-CH41))-CI81+CI99+CI128,(CH19-CI81+CI99+CI128))</f>
        <v>30.507441097825826</v>
      </c>
      <c r="CJ19" s="28">
        <f>=IF(LEN(CJ82)=0,(CI19*(1-CI41))-CJ81+CJ99+CJ128,(CI19-CJ81+CJ99+CJ128))</f>
        <v>30.126098084103003</v>
      </c>
      <c r="CK19" s="28">
        <f>=IF(LEN(CK82)=0,(CJ19*(1-CJ41))-CK81+CK99+CK128,(CJ19-CK81+CK99+CK128))</f>
        <v>29.74952185805172</v>
      </c>
      <c r="CL19" s="28">
        <f>=IF(LEN(CL82)=0,(CK19*(1-CK41))-CL81+CL99+CL128,(CK19-CL81+CL99+CL128))</f>
        <v>29.377652834826076</v>
      </c>
      <c r="CM19" s="28">
        <f>=IF(LEN(CM82)=0,(CL19*(1-CL41))-CM81+CM99+CM128,(CL19-CM81+CM99+CM128))</f>
        <v>29.01043217439075</v>
      </c>
      <c r="CN19" s="28">
        <f>=IF(LEN(CN82)=0,(CM19*(1-CM41))-CN81+CN99+CN128,(CM19-CN81+CN99+CN128))</f>
        <v>28.647801772210865</v>
      </c>
      <c r="CO19" s="28">
        <f>=IF(LEN(CO82)=0,(CN19*(1-CN41))-CO81+CO99+CO128,(CN19-CO81+CO99+CO128))</f>
        <v>28.289704250058225</v>
      </c>
      <c r="CP19" s="28">
        <f>=IF(LEN(CP82)=0,(CO19*(1-CO41))-CP81+CP99+CP128,(CO19-CP81+CP99+CP128))</f>
        <v>27.936082946932498</v>
      </c>
      <c r="CQ19" s="28">
        <f>=IF(LEN(CQ82)=0,(CP19*(1-CP41))-CQ81+CQ99+CQ128,(CP19-CQ81+CQ99+CQ128))</f>
        <v>27.65672211746317</v>
      </c>
      <c r="CR19" s="28">
        <f>=IF(LEN(CR82)=0,(CQ19*(1-CQ41))-CR81+CR99+CR128,(CQ19-CR81+CR99+CR128))</f>
        <v>27.380154896288538</v>
      </c>
      <c r="CS19" s="28">
        <f>=IF(LEN(CS82)=0,(CR19*(1-CR41))-CS81+CS99+CS128,(CR19-CS81+CS99+CS128))</f>
        <v>27.10635334732565</v>
      </c>
      <c r="CT19" s="28">
        <f>=IF(LEN(CT82)=0,(CS19*(1-CS41))-CT81+CT99+CT128,(CS19-CT81+CT99+CT128))</f>
        <v>26.835289813852395</v>
      </c>
      <c r="CU19" s="28">
        <f>=IF(LEN(CU82)=0,(CT19*(1-CT41))-CU81+CU99+CU128,(CT19-CU81+CU99+CU128))</f>
        <v>26.566936915713875</v>
      </c>
      <c r="CV19" s="28">
        <f>=IF(LEN(CV82)=0,(CU19*(1-CU41))-CV81+CV99+CV128,(CU19-CV81+CV99+CV128))</f>
        <v>26.23485020426745</v>
      </c>
      <c r="CW19" s="28">
        <f>=IF(LEN(CW82)=0,(CV19*(1-CV41))-CW81+CW99+CW128,(CV19-CW81+CW99+CW128))</f>
        <v>25.906914576714108</v>
      </c>
      <c r="CX19" s="28">
        <f>=IF(LEN(CX82)=0,(CW19*(1-CW41))-CX81+CX99+CX128,(CW19-CX81+CX99+CX128))</f>
        <v>25.58307814450518</v>
      </c>
      <c r="CY19" s="28">
        <f>=IF(LEN(CY82)=0,(CX19*(1-CX41))-CY81+CY99+CY128,(CX19-CY81+CY99+CY128))</f>
        <v>25.263289667698867</v>
      </c>
      <c r="CZ19" s="28">
        <f>=IF(LEN(CZ82)=0,(CY19*(1-CY41))-CZ81+CZ99+CZ128,(CY19-CZ81+CZ99+CZ128))</f>
        <v>24.947498546852636</v>
      </c>
      <c r="DA19" s="28">
        <f>=IF(LEN(DA82)=0,(CZ19*(1-CZ41))-DA81+DA99+DA128,(CZ19-DA81+DA99+DA128))</f>
        <v>24.635654815016977</v>
      </c>
      <c r="DB19" s="28">
        <f>=IF(LEN(DB82)=0,(DA19*(1-DA41))-DB81+DB99+DB128,(DA19-DB81+DB99+DB128))</f>
        <v>24.327709129829262</v>
      </c>
    </row>
    <row r="20" ht="18" customHeight="1" spans="1:106" x14ac:dyDescent="0.25">
      <c r="A20" s="27" t="s">
        <v>254</v>
      </c>
      <c r="C20" s="28">
        <f>=SUM(C114:C117)</f>
        <v>15</v>
      </c>
      <c r="D20" s="28">
        <f>=SUM(D119:D122)</f>
        <v>0</v>
      </c>
      <c r="E20" s="28">
        <f>=SUM(E119:E122)</f>
        <v>0</v>
      </c>
      <c r="F20" s="28">
        <f>=SUM(F119:F122)</f>
        <v>14</v>
      </c>
      <c r="G20" s="28">
        <f>=SUM(G119:G122)</f>
        <v>11</v>
      </c>
      <c r="H20" s="28">
        <f>=SUM(H119:H122)</f>
        <v>14</v>
      </c>
      <c r="I20" s="28">
        <f>=SUM(I119:I122)</f>
        <v>23</v>
      </c>
      <c r="J20" s="28">
        <f>=SUM(J119:J122)</f>
        <v>13</v>
      </c>
      <c r="K20" s="28">
        <f>=SUM(K119:K122)</f>
        <v>0</v>
      </c>
      <c r="L20" s="28">
        <f>=SUM(L119:L122)</f>
        <v>0</v>
      </c>
      <c r="M20" s="28">
        <f>=SUM(M119:M122)</f>
        <v>10</v>
      </c>
      <c r="N20" s="28">
        <f>=SUM(N119:N122)</f>
        <v>10</v>
      </c>
      <c r="O20" s="28">
        <f>=SUM(O119:O122)</f>
        <v>20</v>
      </c>
      <c r="P20" s="28">
        <f>=SUM(P119:P122)</f>
        <v>12</v>
      </c>
      <c r="Q20" s="28">
        <f>=SUM(Q119:Q122)</f>
        <v>12</v>
      </c>
      <c r="R20" s="28">
        <f>=SUM(R119:R122)</f>
        <v>0</v>
      </c>
      <c r="S20" s="28">
        <f>=SUM(S119:S122)</f>
        <v>0</v>
      </c>
      <c r="T20" s="28">
        <f>=SUM(T119:T122)</f>
        <v>0</v>
      </c>
      <c r="U20" s="28">
        <f>=SUM(U119:U122)</f>
        <v>0</v>
      </c>
      <c r="V20" s="28">
        <f>=SUM(V119:V122)</f>
        <v>0</v>
      </c>
      <c r="W20" s="28">
        <f>=SUM(W119:W122)</f>
        <v>0</v>
      </c>
      <c r="X20" s="28">
        <f>=SUM(X119:X122)</f>
        <v>0</v>
      </c>
      <c r="Y20" s="28">
        <f>=SUM(Y119:Y122)</f>
        <v>0</v>
      </c>
      <c r="Z20" s="28">
        <f>=SUM(Z119:Z122)</f>
        <v>0</v>
      </c>
      <c r="AA20" s="28">
        <f>=SUM(AA119:AA122)</f>
        <v>0</v>
      </c>
      <c r="AB20" s="28">
        <f>=SUM(AB119:AB122)</f>
        <v>0</v>
      </c>
      <c r="AC20" s="28">
        <f>=SUM(AC119:AC122)</f>
        <v>0</v>
      </c>
      <c r="AD20" s="28">
        <f>=SUM(AD119:AD122)</f>
        <v>0</v>
      </c>
      <c r="AE20" s="28">
        <f>=SUM(AE119:AE122)</f>
        <v>0</v>
      </c>
      <c r="AF20" s="28">
        <f>=SUM(AF119:AF122)</f>
        <v>0</v>
      </c>
      <c r="AG20" s="28">
        <f>=SUM(AG119:AG122)</f>
        <v>0</v>
      </c>
      <c r="AH20" s="28">
        <f>=SUM(AH119:AH122)</f>
        <v>3</v>
      </c>
      <c r="AI20" s="28">
        <f>=SUM(AI119:AI122)</f>
        <v>2.9625</v>
      </c>
      <c r="AJ20" s="28">
        <f>=SUM(AJ119:AJ122)</f>
        <v>0</v>
      </c>
      <c r="AK20" s="28">
        <f>=SUM(AK119:AK122)</f>
        <v>0</v>
      </c>
      <c r="AL20" s="28">
        <f>=SUM(AL119:AL122)</f>
        <v>0</v>
      </c>
      <c r="AM20" s="28">
        <f>=SUM(AM119:AM122)</f>
        <v>14</v>
      </c>
      <c r="AN20" s="28">
        <f>=SUM(AN119:AN122)</f>
        <v>14</v>
      </c>
      <c r="AO20" s="28">
        <f>=SUM(AO119:AO122)</f>
        <v>0</v>
      </c>
      <c r="AP20" s="28">
        <f>=SUM(AP119:AP122)</f>
        <v>0</v>
      </c>
      <c r="AQ20" s="28">
        <f>=SUM(AQ119:AQ121)+AQ126</f>
        <v>24</v>
      </c>
      <c r="AR20" s="28">
        <f>=SUM(AR119:AR121)+AR126</f>
        <v>11</v>
      </c>
      <c r="AS20" s="28">
        <f>=SUM(AS119:AS121)+AS126</f>
        <v>0</v>
      </c>
      <c r="AT20" s="28">
        <f>=SUM(AT119:AT121)+AT126</f>
        <v>0</v>
      </c>
      <c r="AU20" s="28">
        <f>=SUM(AU119:AU121)+AU126</f>
        <v>10</v>
      </c>
      <c r="AV20" s="28">
        <f>=SUM(AV119:AV121)+AV126</f>
        <v>15</v>
      </c>
      <c r="AW20" s="28">
        <f>=SUM(AW119:AW121)+AW126</f>
        <v>29</v>
      </c>
      <c r="AX20" s="28">
        <f>=SUM(AX119:AX121)+AX126</f>
        <v>15</v>
      </c>
      <c r="AY20" s="28">
        <f>=SUM(AY119:AY121)+AY126</f>
        <v>12</v>
      </c>
      <c r="AZ20" s="28">
        <f>=SUM(AZ119:AZ121)+AZ126</f>
        <v>24</v>
      </c>
      <c r="BA20" s="28">
        <f>=SUM(BA119:BA121)+BA126</f>
        <v>15</v>
      </c>
      <c r="BB20" s="28">
        <f>=SUM(BB119:BB121)+BB126</f>
        <v>6</v>
      </c>
      <c r="BC20" s="28">
        <f>=SUM(BC119:BC121)+BC126</f>
        <v>16</v>
      </c>
      <c r="BD20" s="28">
        <f>=SUM(BD119:BD121)+BD126</f>
        <v>10</v>
      </c>
      <c r="BE20" s="28">
        <f>=SUM(BE119:BE121)+BE126</f>
        <v>10</v>
      </c>
      <c r="BF20" s="28">
        <f>=SUM(BF119:BF121)+BF126</f>
        <v>6</v>
      </c>
      <c r="BG20" s="28">
        <f>=SUM(BG119:BG121)+BG126</f>
        <v>0</v>
      </c>
      <c r="BH20" s="28">
        <f>=SUM(BH119:BH121)+BH126</f>
        <v>8</v>
      </c>
      <c r="BI20" s="28">
        <f>=SUM(BI119:BI121)+BI126</f>
        <v>0</v>
      </c>
      <c r="BJ20" s="28">
        <f>=SUM(BJ119:BJ121)+BJ126</f>
        <v>0</v>
      </c>
      <c r="BK20" s="28">
        <f>=SUM(BK119:BK121)+BK126</f>
        <v>0</v>
      </c>
      <c r="BL20" s="28">
        <f>=SUM(BL119:BL121)+BL126</f>
        <v>0</v>
      </c>
      <c r="BM20" s="28">
        <f>=SUM(BM119:BM121)+BM126</f>
        <v>0</v>
      </c>
      <c r="BN20" s="28">
        <f>=SUM(BN119:BN121)+BN126</f>
        <v>0</v>
      </c>
      <c r="BO20" s="28">
        <f>=SUM(BO119:BO121)+BO126</f>
        <v>0</v>
      </c>
      <c r="BP20" s="28">
        <f>=SUM(BP119:BP121)+BP126</f>
        <v>0</v>
      </c>
      <c r="BQ20" s="28">
        <f>=SUM(BQ119:BQ121)+BQ126</f>
        <v>0</v>
      </c>
      <c r="BR20" s="28">
        <f>=SUM(BR119:BR121)+BR126</f>
        <v>0</v>
      </c>
      <c r="BS20" s="28">
        <f>=SUM(BS119:BS121)+BS126</f>
        <v>0</v>
      </c>
      <c r="BT20" s="28">
        <f>=SUM(BT119:BT121)+BT126</f>
        <v>0</v>
      </c>
      <c r="BU20" s="28">
        <f>=SUM(BU119:BU121)+BU126</f>
        <v>0</v>
      </c>
      <c r="BV20" s="28">
        <f>=SUM(BV119:BV121)+BV126</f>
        <v>0</v>
      </c>
      <c r="BW20" s="28">
        <f>=SUM(BW119:BW121)+BW126</f>
        <v>0</v>
      </c>
      <c r="BX20" s="28">
        <f>=SUM(BX119:BX121)+BX126</f>
        <v>0</v>
      </c>
      <c r="BY20" s="28">
        <f>=SUM(BY119:BY121)+BY126</f>
        <v>0</v>
      </c>
      <c r="BZ20" s="28">
        <f>=SUM(BZ119:BZ121)+BZ126</f>
        <v>0</v>
      </c>
      <c r="CA20" s="28">
        <f>=SUM(CA119:CA121)+CA126</f>
        <v>0</v>
      </c>
      <c r="CB20" s="28">
        <f>=SUM(CB119:CB121)+CB126</f>
        <v>0</v>
      </c>
      <c r="CC20" s="28">
        <f>=SUM(CC119:CC121)+CC126</f>
        <v>0</v>
      </c>
      <c r="CD20" s="28">
        <f>=SUM(CD119:CD121)+CD126</f>
        <v>0</v>
      </c>
      <c r="CE20" s="28">
        <f>=SUM(CE119:CE121)+CE126</f>
        <v>0</v>
      </c>
      <c r="CF20" s="28">
        <f>=SUM(CF119:CF121)+CF126</f>
        <v>0</v>
      </c>
      <c r="CG20" s="28">
        <f>=SUM(CG119:CG121)+CG126</f>
        <v>0</v>
      </c>
      <c r="CH20" s="28">
        <f>=SUM(CH119:CH121)+CH126</f>
        <v>0</v>
      </c>
      <c r="CI20" s="28">
        <f>=SUM(CI119:CI121)+CI126</f>
        <v>0</v>
      </c>
      <c r="CJ20" s="28">
        <f>=SUM(CJ119:CJ121)+CJ126</f>
        <v>0</v>
      </c>
      <c r="CK20" s="28">
        <f>=SUM(CK119:CK121)+CK126</f>
        <v>0</v>
      </c>
      <c r="CL20" s="28">
        <f>=SUM(CL119:CL121)+CL126</f>
        <v>0</v>
      </c>
      <c r="CM20" s="28">
        <f>=SUM(CM119:CM121)+CM126</f>
        <v>0</v>
      </c>
      <c r="CN20" s="28">
        <f>=SUM(CN119:CN121)+CN126</f>
        <v>0</v>
      </c>
      <c r="CO20" s="28">
        <f>=SUM(CO119:CO121)+CO126</f>
        <v>0</v>
      </c>
      <c r="CP20" s="28">
        <f>=SUM(CP119:CP121)+CP126</f>
        <v>0</v>
      </c>
      <c r="CQ20" s="28">
        <f>=SUM(CQ119:CQ121)+CQ126</f>
        <v>0</v>
      </c>
      <c r="CR20" s="28">
        <f>=SUM(CR119:CR121)+CR126</f>
        <v>0</v>
      </c>
      <c r="CS20" s="28">
        <f>=SUM(CS119:CS121)+CS126</f>
        <v>0</v>
      </c>
      <c r="CT20" s="28">
        <f>=SUM(CT119:CT121)+CT126</f>
        <v>0</v>
      </c>
      <c r="CU20" s="28">
        <f>=SUM(CU119:CU121)+CU126</f>
        <v>0</v>
      </c>
      <c r="CV20" s="28">
        <f>=SUM(CV119:CV121)+CV126</f>
        <v>0</v>
      </c>
      <c r="CW20" s="28">
        <f>=SUM(CW119:CW121)+CW126</f>
        <v>0</v>
      </c>
      <c r="CX20" s="28">
        <f>=SUM(CX119:CX121)+CX126</f>
        <v>0</v>
      </c>
      <c r="CY20" s="28">
        <f>=SUM(CY119:CY121)+CY126</f>
        <v>0</v>
      </c>
      <c r="CZ20" s="28">
        <f>=SUM(CZ119:CZ121)+CZ126</f>
        <v>0</v>
      </c>
      <c r="DA20" s="28">
        <f>=SUM(DA119:DA121)+DA126</f>
        <v>0</v>
      </c>
      <c r="DB20" s="28">
        <f>=SUM(DB119:DB121)+DB126</f>
        <v>0</v>
      </c>
    </row>
    <row r="21" ht="18" customHeight="1" spans="1:106" x14ac:dyDescent="0.25">
      <c r="A21" s="27" t="s">
        <v>255</v>
      </c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0"/>
      <c r="CO21" s="30"/>
      <c r="CP21" s="30"/>
      <c r="CQ21" s="30"/>
      <c r="CR21" s="30"/>
      <c r="CS21" s="30"/>
      <c r="CT21" s="30"/>
      <c r="CU21" s="30"/>
      <c r="CV21" s="30"/>
      <c r="CW21" s="30"/>
      <c r="CX21" s="30"/>
      <c r="CY21" s="30"/>
      <c r="CZ21" s="30"/>
      <c r="DA21" s="30"/>
      <c r="DB21" s="30"/>
    </row>
    <row r="22" ht="18" customHeight="1" spans="1:106" x14ac:dyDescent="0.25">
      <c r="A22" s="27" t="s">
        <v>256</v>
      </c>
      <c r="C22" s="28">
        <f>=SUM(C124:C127)</f>
        <v>24</v>
      </c>
      <c r="D22" s="28">
        <f>=SUM(D124:D127)</f>
        <v>36</v>
      </c>
      <c r="E22" s="28">
        <f>=SUM(E124:E127)</f>
        <v>19</v>
      </c>
      <c r="F22" s="28">
        <f>=SUM(F124:F127)</f>
        <v>19</v>
      </c>
      <c r="G22" s="28">
        <f>=SUM(G124:G127)</f>
        <v>10</v>
      </c>
      <c r="H22" s="28">
        <f>=SUM(H124:H127)</f>
        <v>10</v>
      </c>
      <c r="I22" s="28">
        <f>=SUM(I124:I127)</f>
        <v>9</v>
      </c>
      <c r="J22" s="28">
        <f>=SUM(J124:J127)</f>
        <v>19</v>
      </c>
      <c r="K22" s="28">
        <f>=SUM(K124:K127)</f>
        <v>31</v>
      </c>
      <c r="L22" s="28">
        <f>=SUM(L124:L127)</f>
        <v>21</v>
      </c>
      <c r="M22" s="28">
        <f>=SUM(M124:M127)</f>
        <v>20</v>
      </c>
      <c r="N22" s="28">
        <f>=SUM(N124:N127)</f>
        <v>9</v>
      </c>
      <c r="O22" s="28">
        <f>=SUM(O124:O127)</f>
        <v>0</v>
      </c>
      <c r="P22" s="28">
        <f>=SUM(P124:P127)</f>
        <v>7</v>
      </c>
      <c r="Q22" s="28">
        <f>=SUM(Q124:Q127)</f>
        <v>7</v>
      </c>
      <c r="R22" s="28">
        <f>=SUM(R124:R127)</f>
        <v>11</v>
      </c>
      <c r="S22" s="28">
        <f>=SUM(S124:S127)</f>
        <v>10</v>
      </c>
      <c r="T22" s="28">
        <f>=SUM(T124:T127)</f>
        <v>0</v>
      </c>
      <c r="U22" s="28">
        <f>=SUM(U124:U127)</f>
        <v>0</v>
      </c>
      <c r="V22" s="28">
        <f>=SUM(V124:V127)</f>
        <v>0</v>
      </c>
      <c r="W22" s="28">
        <f>=SUM(W124:W127)</f>
        <v>0</v>
      </c>
      <c r="X22" s="28">
        <f>=SUM(X124:X127)</f>
        <v>0</v>
      </c>
      <c r="Y22" s="28">
        <f>=SUM(Y124:Y127)</f>
        <v>0</v>
      </c>
      <c r="Z22" s="28">
        <f>=SUM(Z124:Z127)</f>
        <v>0</v>
      </c>
      <c r="AA22" s="28">
        <f>=SUM(AA124:AA127)</f>
        <v>0</v>
      </c>
      <c r="AB22" s="28">
        <f>=SUM(AB124:AB127)</f>
        <v>0</v>
      </c>
      <c r="AC22" s="28">
        <f>=SUM(AC124:AC127)</f>
        <v>0</v>
      </c>
      <c r="AD22" s="28">
        <f>=SUM(AD124:AD127)</f>
        <v>0</v>
      </c>
      <c r="AE22" s="28">
        <f>=SUM(AE124:AE127)</f>
        <v>0</v>
      </c>
      <c r="AF22" s="28">
        <f>=SUM(AF124:AF127)</f>
        <v>0</v>
      </c>
      <c r="AG22" s="28">
        <f>=SUM(AG124:AG127)</f>
        <v>0</v>
      </c>
      <c r="AH22" s="28">
        <f>=SUM(AH124:AH127)</f>
        <v>0</v>
      </c>
      <c r="AI22" s="28">
        <f>=SUM(AI124:AI127)</f>
        <v>0</v>
      </c>
      <c r="AJ22" s="28">
        <f>=SUM(AJ124:AJ127)</f>
        <v>3</v>
      </c>
      <c r="AK22" s="28">
        <f>=SUM(AK124:AK127)</f>
        <v>0</v>
      </c>
      <c r="AL22" s="28">
        <f>=SUM(AL124:AL127)</f>
        <v>0</v>
      </c>
      <c r="AM22" s="28">
        <f>=SUM(AM124:AM127)</f>
        <v>0</v>
      </c>
      <c r="AN22" s="28">
        <f>=SUM(AN124:AN127)</f>
        <v>0</v>
      </c>
      <c r="AO22" s="28">
        <f>=SUM(AO124:AO127)</f>
        <v>14</v>
      </c>
      <c r="AP22" s="28">
        <f>=SUM(AP124:AP127)</f>
        <v>14</v>
      </c>
      <c r="AQ22" s="28">
        <f>=SUM(AQ124:AQ125)+AQ127</f>
        <v>0</v>
      </c>
      <c r="AR22" s="28">
        <f>=SUM(AR124:AR125)+AR127</f>
        <v>14</v>
      </c>
      <c r="AS22" s="28">
        <f>=SUM(AS124:AS125)+AS127</f>
        <v>10</v>
      </c>
      <c r="AT22" s="28">
        <f>=SUM(AT124:AT125)+AT127</f>
        <v>10</v>
      </c>
      <c r="AU22" s="28">
        <f>=SUM(AU124:AU125)+AU127</f>
        <v>0</v>
      </c>
      <c r="AV22" s="28">
        <f>=SUM(AV124:AV125)+AV127</f>
        <v>10</v>
      </c>
      <c r="AW22" s="28">
        <f>=SUM(AW124:AW125)+AW127</f>
        <v>0</v>
      </c>
      <c r="AX22" s="28">
        <f>=SUM(AX124:AX125)+AX127</f>
        <v>14</v>
      </c>
      <c r="AY22" s="28">
        <f>=SUM(AY124:AY125)+AY127</f>
        <v>27</v>
      </c>
      <c r="AZ22" s="28">
        <f>=SUM(AZ124:AZ125)+AZ127</f>
        <v>15</v>
      </c>
      <c r="BA22" s="28">
        <f>=SUM(BA124:BA125)+BA127</f>
        <v>22</v>
      </c>
      <c r="BB22" s="28">
        <f>=SUM(BB124:BB125)+BB127</f>
        <v>24</v>
      </c>
      <c r="BC22" s="28">
        <f>=SUM(BC124:BC125)+BC127</f>
        <v>0</v>
      </c>
      <c r="BD22" s="28">
        <f>=SUM(BD124:BD125)+BD127</f>
        <v>16</v>
      </c>
      <c r="BE22" s="28">
        <f>=SUM(BE124:BE125)+BE127</f>
        <v>6</v>
      </c>
      <c r="BF22" s="28">
        <f>=SUM(BF124:BF125)+BF127</f>
        <v>9</v>
      </c>
      <c r="BG22" s="28">
        <f>=SUM(BG124:BG125)+BG127</f>
        <v>15</v>
      </c>
      <c r="BH22" s="28">
        <f>=SUM(BH124:BH125)+BH127</f>
        <v>0</v>
      </c>
      <c r="BI22" s="28">
        <f>=SUM(BI124:BI125)+BI127</f>
        <v>9</v>
      </c>
      <c r="BJ22" s="28">
        <f>=SUM(BJ124:BJ125)+BJ127</f>
        <v>0</v>
      </c>
      <c r="BK22" s="28">
        <f>=SUM(BK124:BK125)+BK127</f>
        <v>0</v>
      </c>
      <c r="BL22" s="28">
        <f>=SUM(BL124:BL125)+BL127</f>
        <v>0</v>
      </c>
      <c r="BM22" s="28">
        <f>=SUM(BM124:BM125)+BM127</f>
        <v>0</v>
      </c>
      <c r="BN22" s="28">
        <f>=SUM(BN124:BN125)+BN127</f>
        <v>0</v>
      </c>
      <c r="BO22" s="28">
        <f>=SUM(BO124:BO125)+BO127</f>
        <v>0</v>
      </c>
      <c r="BP22" s="28">
        <f>=SUM(BP124:BP125)+BP127</f>
        <v>0</v>
      </c>
      <c r="BQ22" s="28">
        <f>=SUM(BQ124:BQ125)+BQ127</f>
        <v>0</v>
      </c>
      <c r="BR22" s="28">
        <f>=SUM(BR124:BR125)+BR127</f>
        <v>0</v>
      </c>
      <c r="BS22" s="28">
        <f>=SUM(BS124:BS125)+BS127</f>
        <v>0</v>
      </c>
      <c r="BT22" s="28">
        <f>=SUM(BT124:BT125)+BT127</f>
        <v>0</v>
      </c>
      <c r="BU22" s="28">
        <f>=SUM(BU124:BU125)+BU127</f>
        <v>0</v>
      </c>
      <c r="BV22" s="28">
        <f>=SUM(BV124:BV125)+BV127</f>
        <v>0</v>
      </c>
      <c r="BW22" s="28">
        <f>=SUM(BW124:BW125)+BW127</f>
        <v>0</v>
      </c>
      <c r="BX22" s="28">
        <f>=SUM(BX124:BX125)+BX127</f>
        <v>0</v>
      </c>
      <c r="BY22" s="28">
        <f>=SUM(BY124:BY125)+BY127</f>
        <v>0</v>
      </c>
      <c r="BZ22" s="28">
        <f>=SUM(BZ124:BZ125)+BZ127</f>
        <v>0</v>
      </c>
      <c r="CA22" s="28">
        <f>=SUM(CA124:CA125)+CA127</f>
        <v>0</v>
      </c>
      <c r="CB22" s="28">
        <f>=SUM(CB124:CB125)+CB127</f>
        <v>0</v>
      </c>
      <c r="CC22" s="28">
        <f>=SUM(CC124:CC125)+CC127</f>
        <v>0</v>
      </c>
      <c r="CD22" s="28">
        <f>=SUM(CD124:CD125)+CD127</f>
        <v>0</v>
      </c>
      <c r="CE22" s="28">
        <f>=SUM(CE124:CE125)+CE127</f>
        <v>0</v>
      </c>
      <c r="CF22" s="28">
        <f>=SUM(CF124:CF125)+CF127</f>
        <v>0</v>
      </c>
      <c r="CG22" s="28">
        <f>=SUM(CG124:CG125)+CG127</f>
        <v>0</v>
      </c>
      <c r="CH22" s="28">
        <f>=SUM(CH124:CH125)+CH127</f>
        <v>0</v>
      </c>
      <c r="CI22" s="28">
        <f>=SUM(CI124:CI125)+CI127</f>
        <v>0</v>
      </c>
      <c r="CJ22" s="28">
        <f>=SUM(CJ124:CJ125)+CJ127</f>
        <v>0</v>
      </c>
      <c r="CK22" s="28">
        <f>=SUM(CK124:CK125)+CK127</f>
        <v>0</v>
      </c>
      <c r="CL22" s="28">
        <f>=SUM(CL124:CL125)+CL127</f>
        <v>0</v>
      </c>
      <c r="CM22" s="28">
        <f>=SUM(CM124:CM125)+CM127</f>
        <v>0</v>
      </c>
      <c r="CN22" s="28">
        <f>=SUM(CN124:CN125)+CN127</f>
        <v>0</v>
      </c>
      <c r="CO22" s="28">
        <f>=SUM(CO124:CO125)+CO127</f>
        <v>0</v>
      </c>
      <c r="CP22" s="28">
        <f>=SUM(CP124:CP125)+CP127</f>
        <v>0</v>
      </c>
      <c r="CQ22" s="28">
        <f>=SUM(CQ124:CQ125)+CQ127</f>
        <v>0</v>
      </c>
      <c r="CR22" s="28">
        <f>=SUM(CR124:CR125)+CR127</f>
        <v>0</v>
      </c>
      <c r="CS22" s="28">
        <f>=SUM(CS124:CS125)+CS127</f>
        <v>0</v>
      </c>
      <c r="CT22" s="28">
        <f>=SUM(CT124:CT125)+CT127</f>
        <v>0</v>
      </c>
      <c r="CU22" s="28">
        <f>=SUM(CU124:CU125)+CU127</f>
        <v>0</v>
      </c>
      <c r="CV22" s="28">
        <f>=SUM(CV124:CV125)+CV127</f>
        <v>0</v>
      </c>
      <c r="CW22" s="28">
        <f>=SUM(CW124:CW125)+CW127</f>
        <v>0</v>
      </c>
      <c r="CX22" s="28">
        <f>=SUM(CX124:CX125)+CX127</f>
        <v>0</v>
      </c>
      <c r="CY22" s="28">
        <f>=SUM(CY124:CY125)+CY127</f>
        <v>0</v>
      </c>
      <c r="CZ22" s="28">
        <f>=SUM(CZ124:CZ125)+CZ127</f>
        <v>0</v>
      </c>
      <c r="DA22" s="28">
        <f>=SUM(DA124:DA125)+DA127</f>
        <v>0</v>
      </c>
      <c r="DB22" s="28">
        <f>=SUM(DB124:DB125)+DB127</f>
        <v>0</v>
      </c>
    </row>
    <row r="23" ht="18" customHeight="1" spans="1:106" x14ac:dyDescent="0.25">
      <c r="A23" s="27" t="s">
        <v>257</v>
      </c>
      <c r="C23" s="28">
        <f>=SUM(C126:C127)</f>
        <v>0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30"/>
      <c r="CG23" s="30"/>
      <c r="CH23" s="30"/>
      <c r="CI23" s="30"/>
      <c r="CJ23" s="30"/>
      <c r="CK23" s="30"/>
      <c r="CL23" s="30"/>
      <c r="CM23" s="30"/>
      <c r="CN23" s="30"/>
      <c r="CO23" s="30"/>
      <c r="CP23" s="30"/>
      <c r="CQ23" s="30"/>
      <c r="CR23" s="30"/>
      <c r="CS23" s="30"/>
      <c r="CT23" s="30"/>
      <c r="CU23" s="30"/>
      <c r="CV23" s="30"/>
      <c r="CW23" s="30"/>
      <c r="CX23" s="30"/>
      <c r="CY23" s="30"/>
      <c r="CZ23" s="30"/>
      <c r="DA23" s="30"/>
      <c r="DB23" s="30"/>
    </row>
    <row r="24" ht="18" customHeight="1" spans="1:106" x14ac:dyDescent="0.25">
      <c r="A24" s="27" t="s">
        <v>258</v>
      </c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0"/>
      <c r="CI24" s="30"/>
      <c r="CJ24" s="30"/>
      <c r="CK24" s="30"/>
      <c r="CL24" s="30"/>
      <c r="CM24" s="30"/>
      <c r="CN24" s="30"/>
      <c r="CO24" s="30"/>
      <c r="CP24" s="30"/>
      <c r="CQ24" s="30"/>
      <c r="CR24" s="30"/>
      <c r="CS24" s="30"/>
      <c r="CT24" s="30"/>
      <c r="CU24" s="30"/>
      <c r="CV24" s="30"/>
      <c r="CW24" s="30"/>
      <c r="CX24" s="30"/>
      <c r="CY24" s="30"/>
      <c r="CZ24" s="30"/>
      <c r="DA24" s="30"/>
      <c r="DB24" s="30"/>
    </row>
    <row r="25" ht="18" customHeight="1" spans="1:106" x14ac:dyDescent="0.25">
      <c r="A25" s="22" t="s">
        <v>259</v>
      </c>
      <c r="C25" s="31">
        <f>=IFERROR(C19/C10,0)</f>
        <v>0.8032786885245902</v>
      </c>
      <c r="D25" s="31">
        <f>=IFERROR(D19/D10,0)</f>
        <v>0.71875</v>
      </c>
      <c r="E25" s="31">
        <f>=IFERROR(E19/E10,0)</f>
        <v>0.8333333333333334</v>
      </c>
      <c r="F25" s="31">
        <f>=IFERROR(F19/F10,0)</f>
        <v>0.8256880733944955</v>
      </c>
      <c r="G25" s="31">
        <f>=IFERROR(G19/G10,0)</f>
        <v>0.898989898989899</v>
      </c>
      <c r="H25" s="31">
        <f>=IFERROR(H19/H10,0)</f>
        <v>0.9074074074074074</v>
      </c>
      <c r="I25" s="31">
        <f>=IFERROR(I19/I10,0)</f>
        <v>0.9142857142857143</v>
      </c>
      <c r="J25" s="31">
        <f>=IFERROR(J19/J10,0)</f>
        <v>0.8256880733944955</v>
      </c>
      <c r="K25" s="31">
        <f>=IFERROR(K19/K10,0)</f>
        <v>0.7372881355932204</v>
      </c>
      <c r="L25" s="31">
        <f>=IFERROR(L19/L10,0)</f>
        <v>0.8220338983050848</v>
      </c>
      <c r="M25" s="31">
        <f>=IFERROR(M19/M10,0)</f>
        <v>0.8198198198198198</v>
      </c>
      <c r="N25" s="31">
        <f>=IFERROR(N19/N10,0)</f>
        <v>0.9134615384615384</v>
      </c>
      <c r="O25" s="31">
        <f>=IFERROR(O19/O10,0)</f>
        <v>1</v>
      </c>
      <c r="P25" s="31">
        <f>=IFERROR(P19/P10,0)</f>
        <v>0.9339622641509434</v>
      </c>
      <c r="Q25" s="31">
        <f>=IFERROR(Q19/Q10,0)</f>
        <v>0.9326923076923077</v>
      </c>
      <c r="R25" s="31">
        <f>=IFERROR(R19/R10,0)</f>
        <v>0.9017857142857143</v>
      </c>
      <c r="S25" s="31">
        <f>=IFERROR(S19/S10,0)</f>
        <v>0.9074074074074074</v>
      </c>
      <c r="T25" s="31">
        <f>=IFERROR(T19/T10,0)</f>
        <v>1</v>
      </c>
      <c r="U25" s="31">
        <f>=IFERROR(U19/U10,0)</f>
        <v>1</v>
      </c>
      <c r="V25" s="31">
        <f>=IFERROR(V19/V10,0)</f>
        <v>1</v>
      </c>
      <c r="W25" s="31">
        <f>=IFERROR(W19/W10,0)</f>
        <v>1</v>
      </c>
      <c r="X25" s="31">
        <f>=IFERROR(X19/X10,0)</f>
        <v>1</v>
      </c>
      <c r="Y25" s="31">
        <f>=IFERROR(Y19/Y10,0)</f>
        <v>1</v>
      </c>
      <c r="Z25" s="31">
        <f>=IFERROR(Z19/Z10,0)</f>
        <v>1</v>
      </c>
      <c r="AA25" s="31">
        <f>=IFERROR(AA19/AA10,0)</f>
        <v>1</v>
      </c>
      <c r="AB25" s="31">
        <f>=IFERROR(AB19/AB10,0)</f>
        <v>1</v>
      </c>
      <c r="AC25" s="31">
        <f>=IFERROR(AC19/AC10,0)</f>
        <v>1</v>
      </c>
      <c r="AD25" s="31">
        <f>=IFERROR(AD19/AD10,0)</f>
        <v>1</v>
      </c>
      <c r="AE25" s="31">
        <f>=IFERROR(AE19/AE10,0)</f>
        <v>1</v>
      </c>
      <c r="AF25" s="31">
        <f>=IFERROR(AF19/AF10,0)</f>
        <v>1</v>
      </c>
      <c r="AG25" s="31">
        <f>=IFERROR(AG19/AG10,0)</f>
        <v>1</v>
      </c>
      <c r="AH25" s="31">
        <f>=IFERROR(AH19/AH10,0)</f>
        <v>1</v>
      </c>
      <c r="AI25" s="31">
        <f>=IFERROR(AI19/AI10,0)</f>
        <v>1</v>
      </c>
      <c r="AJ25" s="31">
        <f>=IFERROR(AJ19/AJ10,0)</f>
        <v>0.9615384615384616</v>
      </c>
      <c r="AK25" s="31">
        <f>=IFERROR(AK19/AK10,0)</f>
        <v>1</v>
      </c>
      <c r="AL25" s="31">
        <f>=IFERROR(AL19/AL10,0)</f>
        <v>1</v>
      </c>
      <c r="AM25" s="31">
        <f>=IFERROR(AM19/AM10,0)</f>
        <v>1</v>
      </c>
      <c r="AN25" s="31">
        <f>=IFERROR(AN19/AN10,0)</f>
        <v>1</v>
      </c>
      <c r="AO25" s="31">
        <f>=IFERROR(AO19/AO10,0)</f>
        <v>0.8372093023255814</v>
      </c>
      <c r="AP25" s="31">
        <f>=IFERROR(AP19/AP10,0)</f>
        <v>0.8271604938271605</v>
      </c>
      <c r="AQ25" s="31">
        <f>=IFERROR(AQ19/AQ10,0)</f>
        <v>1</v>
      </c>
      <c r="AR25" s="31">
        <f>=IFERROR(AR19/AR10,0)</f>
        <v>0.825</v>
      </c>
      <c r="AS25" s="31">
        <f>=IFERROR(AS19/AS10,0)</f>
        <v>0.8888888888888888</v>
      </c>
      <c r="AT25" s="31">
        <f>=IFERROR(AT19/AT10,0)</f>
        <v>0.8863636363636364</v>
      </c>
      <c r="AU25" s="31">
        <f>=IFERROR(AU19/AU10,0)</f>
        <v>1</v>
      </c>
      <c r="AV25" s="31">
        <f>=IFERROR(AV19/AV10,0)</f>
        <v>0.8863636363636364</v>
      </c>
      <c r="AW25" s="31">
        <f>=IFERROR(AW19/AW10,0)</f>
        <v>1</v>
      </c>
      <c r="AX25" s="31">
        <f>=IFERROR(AX19/AX10,0)</f>
        <v>0.8627450980392157</v>
      </c>
      <c r="AY25" s="31">
        <f>=IFERROR(AY19/AY10,0)</f>
        <v>0.7589285714285714</v>
      </c>
      <c r="AZ25" s="31">
        <f>=IFERROR(AZ19/AZ10,0)</f>
        <v>0.8469387755102041</v>
      </c>
      <c r="BA25" s="31">
        <f>=IFERROR(BA19/BA10,0)</f>
        <v>0.7884615384615384</v>
      </c>
      <c r="BB25" s="31">
        <f>=IFERROR(BB19/BB10,0)</f>
        <v>0.7966101694915254</v>
      </c>
      <c r="BC25" s="31">
        <f>=IFERROR(BC19/BC10,0)</f>
        <v>1</v>
      </c>
      <c r="BD25" s="31">
        <f>=IFERROR(BD19/BD10,0)</f>
        <v>0.8666666666666667</v>
      </c>
      <c r="BE25" s="31">
        <f>=IFERROR(BE19/BE10,0)</f>
        <v>0.9504132231404959</v>
      </c>
      <c r="BF25" s="31">
        <f>=IFERROR(BF19/BF10,0)</f>
        <v>0.9243697478991597</v>
      </c>
      <c r="BG25" s="31">
        <f>=IFERROR(BG19/BG10,0)</f>
        <v>0.88</v>
      </c>
      <c r="BH25" s="31">
        <f>=IFERROR(BH19/BH10,0)</f>
        <v>1</v>
      </c>
      <c r="BI25" s="31">
        <f>=IFERROR(BI19/BI10,0)</f>
        <v>0.9217391304347826</v>
      </c>
      <c r="BJ25" s="31">
        <f>=IFERROR(BJ19/BJ10,0)</f>
        <v>1</v>
      </c>
      <c r="BK25" s="31">
        <f>=IFERROR(BK19/BK10,0)</f>
        <v>1</v>
      </c>
      <c r="BL25" s="31">
        <f>=IFERROR(BL19/BL10,0)</f>
        <v>1</v>
      </c>
      <c r="BM25" s="31">
        <f>=IFERROR(BM19/BM10,0)</f>
        <v>1</v>
      </c>
      <c r="BN25" s="31">
        <f>=IFERROR(BN19/BN10,0)</f>
        <v>1</v>
      </c>
      <c r="BO25" s="31">
        <f>=IFERROR(BO19/BO10,0)</f>
        <v>1</v>
      </c>
      <c r="BP25" s="31">
        <f>=IFERROR(BP19/BP10,0)</f>
        <v>1</v>
      </c>
      <c r="BQ25" s="31">
        <f>=IFERROR(BQ19/BQ10,0)</f>
        <v>1</v>
      </c>
      <c r="BR25" s="31">
        <f>=IFERROR(BR19/BR10,0)</f>
        <v>1</v>
      </c>
      <c r="BS25" s="31">
        <f>=IFERROR(BS19/BS10,0)</f>
        <v>1</v>
      </c>
      <c r="BT25" s="31">
        <f>=IFERROR(BT19/BT10,0)</f>
        <v>1</v>
      </c>
      <c r="BU25" s="31">
        <f>=IFERROR(BU19/BU10,0)</f>
        <v>1</v>
      </c>
      <c r="BV25" s="31">
        <f>=IFERROR(BV19/BV10,0)</f>
        <v>1</v>
      </c>
      <c r="BW25" s="31">
        <f>=IFERROR(BW19/BW10,0)</f>
        <v>1</v>
      </c>
      <c r="BX25" s="31">
        <f>=IFERROR(BX19/BX10,0)</f>
        <v>1</v>
      </c>
      <c r="BY25" s="31">
        <f>=IFERROR(BY19/BY10,0)</f>
        <v>1</v>
      </c>
      <c r="BZ25" s="31">
        <f>=IFERROR(BZ19/BZ10,0)</f>
        <v>1</v>
      </c>
      <c r="CA25" s="31">
        <f>=IFERROR(CA19/CA10,0)</f>
        <v>1</v>
      </c>
      <c r="CB25" s="31">
        <f>=IFERROR(CB19/CB10,0)</f>
        <v>1</v>
      </c>
      <c r="CC25" s="31">
        <f>=IFERROR(CC19/CC10,0)</f>
        <v>1</v>
      </c>
      <c r="CD25" s="31">
        <f>=IFERROR(CD19/CD10,0)</f>
        <v>1</v>
      </c>
      <c r="CE25" s="31">
        <f>=IFERROR(CE19/CE10,0)</f>
        <v>1</v>
      </c>
      <c r="CF25" s="31">
        <f>=IFERROR(CF19/CF10,0)</f>
        <v>1</v>
      </c>
      <c r="CG25" s="31">
        <f>=IFERROR(CG19/CG10,0)</f>
        <v>1</v>
      </c>
      <c r="CH25" s="31">
        <f>=IFERROR(CH19/CH10,0)</f>
        <v>1</v>
      </c>
      <c r="CI25" s="31">
        <f>=IFERROR(CI19/CI10,0)</f>
        <v>1</v>
      </c>
      <c r="CJ25" s="31">
        <f>=IFERROR(CJ19/CJ10,0)</f>
        <v>1</v>
      </c>
      <c r="CK25" s="31">
        <f>=IFERROR(CK19/CK10,0)</f>
        <v>1</v>
      </c>
      <c r="CL25" s="31">
        <f>=IFERROR(CL19/CL10,0)</f>
        <v>1</v>
      </c>
      <c r="CM25" s="31">
        <f>=IFERROR(CM19/CM10,0)</f>
        <v>1</v>
      </c>
      <c r="CN25" s="31">
        <f>=IFERROR(CN19/CN10,0)</f>
        <v>1</v>
      </c>
      <c r="CO25" s="31">
        <f>=IFERROR(CO19/CO10,0)</f>
        <v>1</v>
      </c>
      <c r="CP25" s="31">
        <f>=IFERROR(CP19/CP10,0)</f>
        <v>1</v>
      </c>
      <c r="CQ25" s="31">
        <f>=IFERROR(CQ19/CQ10,0)</f>
        <v>1</v>
      </c>
      <c r="CR25" s="31">
        <f>=IFERROR(CR19/CR10,0)</f>
        <v>1</v>
      </c>
      <c r="CS25" s="31">
        <f>=IFERROR(CS19/CS10,0)</f>
        <v>1</v>
      </c>
      <c r="CT25" s="31">
        <f>=IFERROR(CT19/CT10,0)</f>
        <v>1</v>
      </c>
      <c r="CU25" s="31">
        <f>=IFERROR(CU19/CU10,0)</f>
        <v>1</v>
      </c>
      <c r="CV25" s="31">
        <f>=IFERROR(CV19/CV10,0)</f>
        <v>1</v>
      </c>
      <c r="CW25" s="31">
        <f>=IFERROR(CW19/CW10,0)</f>
        <v>1</v>
      </c>
      <c r="CX25" s="31">
        <f>=IFERROR(CX19/CX10,0)</f>
        <v>1</v>
      </c>
      <c r="CY25" s="31">
        <f>=IFERROR(CY19/CY10,0)</f>
        <v>1</v>
      </c>
      <c r="CZ25" s="31">
        <f>=IFERROR(CZ19/CZ10,0)</f>
        <v>1</v>
      </c>
      <c r="DA25" s="31">
        <f>=IFERROR(DA19/DA10,0)</f>
        <v>1</v>
      </c>
      <c r="DB25" s="31">
        <f>=IFERROR(DB19/DB10,0)</f>
        <v>1</v>
      </c>
    </row>
    <row r="26" ht="18" customHeight="1" spans="3:106" x14ac:dyDescent="0.25"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0"/>
      <c r="CG26" s="30"/>
      <c r="CH26" s="30"/>
      <c r="CI26" s="30"/>
      <c r="CJ26" s="30"/>
      <c r="CK26" s="30"/>
      <c r="CL26" s="30"/>
      <c r="CM26" s="30"/>
      <c r="CN26" s="30"/>
      <c r="CO26" s="30"/>
      <c r="CP26" s="30"/>
      <c r="CQ26" s="30"/>
      <c r="CR26" s="30"/>
      <c r="CS26" s="30"/>
      <c r="CT26" s="30"/>
      <c r="CU26" s="30"/>
      <c r="CV26" s="30"/>
      <c r="CW26" s="30"/>
      <c r="CX26" s="30"/>
      <c r="CY26" s="30"/>
      <c r="CZ26" s="30"/>
      <c r="DA26" s="30"/>
      <c r="DB26" s="30"/>
    </row>
    <row r="27" ht="18" customHeight="1" spans="1:106" x14ac:dyDescent="0.25">
      <c r="A27" s="9" t="s">
        <v>260</v>
      </c>
      <c r="B27" s="17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</row>
    <row r="28" ht="18" customHeight="1" spans="1:106" x14ac:dyDescent="0.25">
      <c r="A28" s="33" t="s">
        <v>261</v>
      </c>
      <c r="B28" s="13"/>
      <c r="C28" s="34">
        <f>=IFERROR(1-((1-C29)*(1-C34)),0)</f>
        <v>0.269</v>
      </c>
      <c r="D28" s="34">
        <f>=IFERROR(1-((1-D29)*(1-D34)),0)</f>
        <v>0.269</v>
      </c>
      <c r="E28" s="34">
        <f>=IFERROR(1-((1-E29)*(1-E34)),0)</f>
        <v>0.286</v>
      </c>
      <c r="F28" s="34">
        <f>=IFERROR(1-((1-F29)*(1-F34)),0)</f>
        <v>0.286</v>
      </c>
      <c r="G28" s="34">
        <f>=IFERROR(1-((1-G29)*(1-G34)),0)</f>
        <v>0.286</v>
      </c>
      <c r="H28" s="34">
        <f>=IFERROR(1-((1-H29)*(1-H34)),0)</f>
        <v>0.286</v>
      </c>
      <c r="I28" s="34">
        <f>=IFERROR(1-((1-I29)*(1-I34)),0)</f>
        <v>0.286</v>
      </c>
      <c r="J28" s="34">
        <f>=IFERROR(1-((1-J29)*(1-J34)),0)</f>
        <v>0.286</v>
      </c>
      <c r="K28" s="34">
        <f>=IFERROR(1-((1-K29)*(1-K34)),0)</f>
        <v>0.286</v>
      </c>
      <c r="L28" s="34">
        <f>=IFERROR(1-((1-L29)*(1-L34)),0)</f>
        <v>0.286</v>
      </c>
      <c r="M28" s="34">
        <f>=IFERROR(1-((1-M29)*(1-M34)),0)</f>
        <v>0.286</v>
      </c>
      <c r="N28" s="34">
        <f>=IFERROR(1-((1-N29)*(1-N34)),0)</f>
        <v>0.286</v>
      </c>
      <c r="O28" s="34">
        <f>=IFERROR(1-((1-O29)*(1-O34)),0)</f>
        <v>0.286</v>
      </c>
      <c r="P28" s="34">
        <f>=IFERROR(1-((1-P29)*(1-P34)),0)</f>
        <v>0.286</v>
      </c>
      <c r="Q28" s="34">
        <f>=IFERROR(1-((1-Q29)*(1-Q34)),0)</f>
        <v>0.286</v>
      </c>
      <c r="R28" s="34">
        <f>=IFERROR(1-((1-R29)*(1-R34)),0)</f>
        <v>0.286</v>
      </c>
      <c r="S28" s="34">
        <f>=IFERROR(1-((1-S29)*(1-S34)),0)</f>
        <v>0.286</v>
      </c>
      <c r="T28" s="34">
        <f>=IFERROR(1-((1-T29)*(1-T34)),0)</f>
        <v>0.286</v>
      </c>
      <c r="U28" s="34">
        <f>=IFERROR(1-((1-U29)*(1-U34)),0)</f>
        <v>0.286</v>
      </c>
      <c r="V28" s="34">
        <f>=IFERROR(1-((1-V29)*(1-V34)),0)</f>
        <v>0.286</v>
      </c>
      <c r="W28" s="34">
        <f>=IFERROR(1-((1-W29)*(1-W34)),0)</f>
        <v>0.286</v>
      </c>
      <c r="X28" s="34">
        <f>=IFERROR(1-((1-X29)*(1-X34)),0)</f>
        <v>0.286</v>
      </c>
      <c r="Y28" s="34">
        <f>=IFERROR(1-((1-Y29)*(1-Y34)),0)</f>
        <v>0.286</v>
      </c>
      <c r="Z28" s="34">
        <f>=IFERROR(1-((1-Z29)*(1-Z34)),0)</f>
        <v>0.286</v>
      </c>
      <c r="AA28" s="34">
        <f>=IFERROR(1-((1-AA29)*(1-AA34)),0)</f>
        <v>0.286</v>
      </c>
      <c r="AB28" s="34">
        <f>=IFERROR(1-((1-AB29)*(1-AB34)),0)</f>
        <v>0.286</v>
      </c>
      <c r="AC28" s="34">
        <f>=IFERROR(1-((1-AC29)*(1-AC34)),0)</f>
        <v>0.286</v>
      </c>
      <c r="AD28" s="34">
        <f>=IFERROR(1-((1-AD29)*(1-AD34)),0)</f>
        <v>0.286</v>
      </c>
      <c r="AE28" s="34">
        <f>=IFERROR(1-((1-AE29)*(1-AE34)),0)</f>
        <v>0.286</v>
      </c>
      <c r="AF28" s="34">
        <f>=IFERROR(1-((1-AF29)*(1-AF34)),0)</f>
        <v>0.286</v>
      </c>
      <c r="AG28" s="34">
        <f>=IFERROR(1-((1-AG29)*(1-AG34)),0)</f>
        <v>0.286</v>
      </c>
      <c r="AH28" s="34">
        <f>=IFERROR(1-((1-AH29)*(1-AH34)),0)</f>
        <v>0.286</v>
      </c>
      <c r="AI28" s="34">
        <f>=IFERROR(1-((1-AI29)*(1-AI34)),0)</f>
        <v>0.286</v>
      </c>
      <c r="AJ28" s="34">
        <f>=IFERROR(1-((1-AJ29)*(1-AJ34)),0)</f>
        <v>0.286</v>
      </c>
      <c r="AK28" s="34">
        <f>=IFERROR(1-((1-AK29)*(1-AK34)),0)</f>
        <v>0.286</v>
      </c>
      <c r="AL28" s="34">
        <f>=IFERROR(1-((1-AL29)*(1-AL34)),0)</f>
        <v>0.286</v>
      </c>
      <c r="AM28" s="34">
        <f>=IFERROR(1-((1-AM29)*(1-AM34)),0)</f>
        <v>0.286</v>
      </c>
      <c r="AN28" s="34">
        <f>=IFERROR(1-((1-AN29)*(1-AN34)),0)</f>
        <v>0.286</v>
      </c>
      <c r="AO28" s="34">
        <f>=IFERROR(1-((1-AO29)*(1-AO34)),0)</f>
        <v>0.286</v>
      </c>
      <c r="AP28" s="34">
        <f>=IFERROR(1-((1-AP29)*(1-AP34)),0)</f>
        <v>0.2605</v>
      </c>
      <c r="AQ28" s="34">
        <f>=IFERROR(1-((1-AQ29)*(1-AQ34)),0)</f>
        <v>0.2605</v>
      </c>
      <c r="AR28" s="34">
        <f>=IFERROR(1-((1-AR29)*(1-AR34)),0)</f>
        <v>0.2605</v>
      </c>
      <c r="AS28" s="34">
        <f>=IFERROR(1-((1-AS29)*(1-AS34)),0)</f>
        <v>0.2605</v>
      </c>
      <c r="AT28" s="34">
        <f>=IFERROR(1-((1-AT29)*(1-AT34)),0)</f>
        <v>0.2605</v>
      </c>
      <c r="AU28" s="34">
        <f>=IFERROR(1-((1-AU29)*(1-AU34)),0)</f>
        <v>0.2605</v>
      </c>
      <c r="AV28" s="34">
        <f>=IFERROR(1-((1-AV29)*(1-AV34)),0)</f>
        <v>0.2605</v>
      </c>
      <c r="AW28" s="34">
        <f>=IFERROR(1-((1-AW29)*(1-AW34)),0)</f>
        <v>0.2605</v>
      </c>
      <c r="AX28" s="34">
        <f>=IFERROR(1-((1-AX29)*(1-AX34)),0)</f>
        <v>0.2605</v>
      </c>
      <c r="AY28" s="34">
        <f>=IFERROR(1-((1-AY29)*(1-AY34)),0)</f>
        <v>0.2605</v>
      </c>
      <c r="AZ28" s="34">
        <f>=IFERROR(1-((1-AZ29)*(1-AZ34)),0)</f>
        <v>0.2605</v>
      </c>
      <c r="BA28" s="34">
        <f>=IFERROR(1-((1-BA29)*(1-BA34)),0)</f>
        <v>0.2605</v>
      </c>
      <c r="BB28" s="34">
        <f>=IFERROR(1-((1-BB29)*(1-BB34)),0)</f>
        <v>0.2605</v>
      </c>
      <c r="BC28" s="34">
        <f>=IFERROR(1-((1-BC29)*(1-BC34)),0)</f>
        <v>0.269</v>
      </c>
      <c r="BD28" s="34">
        <f>=IFERROR(1-((1-BD29)*(1-BD34)),0)</f>
        <v>0.269</v>
      </c>
      <c r="BE28" s="34">
        <f>=IFERROR(1-((1-BE29)*(1-BE34)),0)</f>
        <v>0.269</v>
      </c>
      <c r="BF28" s="34">
        <f>=IFERROR(1-((1-BF29)*(1-BF34)),0)</f>
        <v>0.269</v>
      </c>
      <c r="BG28" s="34">
        <f>=IFERROR(1-((1-BG29)*(1-BG34)),0)</f>
        <v>0.269</v>
      </c>
      <c r="BH28" s="34">
        <f>=IFERROR(1-((1-BH29)*(1-BH34)),0)</f>
        <v>0.269</v>
      </c>
      <c r="BI28" s="34">
        <f>=IFERROR(1-((1-BI29)*(1-BI34)),0)</f>
        <v>0.269</v>
      </c>
      <c r="BJ28" s="34">
        <f>=IFERROR(1-((1-BJ29)*(1-BJ34)),0)</f>
        <v>0.269</v>
      </c>
      <c r="BK28" s="34">
        <f>=IFERROR(1-((1-BK29)*(1-BK34)),0)</f>
        <v>0.269</v>
      </c>
      <c r="BL28" s="34">
        <f>=IFERROR(1-((1-BL29)*(1-BL34)),0)</f>
        <v>0.269</v>
      </c>
      <c r="BM28" s="34">
        <f>=IFERROR(1-((1-BM29)*(1-BM34)),0)</f>
        <v>0.269</v>
      </c>
      <c r="BN28" s="34">
        <f>=IFERROR(1-((1-BN29)*(1-BN34)),0)</f>
        <v>0.269</v>
      </c>
      <c r="BO28" s="34">
        <f>=IFERROR(1-((1-BO29)*(1-BO34)),0)</f>
        <v>0.269</v>
      </c>
      <c r="BP28" s="34">
        <f>=IFERROR(1-((1-BP29)*(1-BP34)),0)</f>
        <v>0.269</v>
      </c>
      <c r="BQ28" s="34">
        <f>=IFERROR(1-((1-BQ29)*(1-BQ34)),0)</f>
        <v>0.269</v>
      </c>
      <c r="BR28" s="34">
        <f>=IFERROR(1-((1-BR29)*(1-BR34)),0)</f>
        <v>0.269</v>
      </c>
      <c r="BS28" s="34">
        <f>=IFERROR(1-((1-BS29)*(1-BS34)),0)</f>
        <v>0.269</v>
      </c>
      <c r="BT28" s="34">
        <f>=IFERROR(1-((1-BT29)*(1-BT34)),0)</f>
        <v>0.269</v>
      </c>
      <c r="BU28" s="34">
        <f>=IFERROR(1-((1-BU29)*(1-BU34)),0)</f>
        <v>0.269</v>
      </c>
      <c r="BV28" s="34">
        <f>=IFERROR(1-((1-BV29)*(1-BV34)),0)</f>
        <v>0.269</v>
      </c>
      <c r="BW28" s="34">
        <f>=IFERROR(1-((1-BW29)*(1-BW34)),0)</f>
        <v>0.269</v>
      </c>
      <c r="BX28" s="34">
        <f>=IFERROR(1-((1-BX29)*(1-BX34)),0)</f>
        <v>0.269</v>
      </c>
      <c r="BY28" s="34">
        <f>=IFERROR(1-((1-BY29)*(1-BY34)),0)</f>
        <v>0.252</v>
      </c>
      <c r="BZ28" s="34">
        <f>=IFERROR(1-((1-BZ29)*(1-BZ34)),0)</f>
        <v>0.252</v>
      </c>
      <c r="CA28" s="34">
        <f>=IFERROR(1-((1-CA29)*(1-CA34)),0)</f>
        <v>0.252</v>
      </c>
      <c r="CB28" s="34">
        <f>=IFERROR(1-((1-CB29)*(1-CB34)),0)</f>
        <v>0.252</v>
      </c>
      <c r="CC28" s="34">
        <f>=IFERROR(1-((1-CC29)*(1-CC34)),0)</f>
        <v>0.252</v>
      </c>
      <c r="CD28" s="34">
        <f>=IFERROR(1-((1-CD29)*(1-CD34)),0)</f>
        <v>0.252</v>
      </c>
      <c r="CE28" s="34">
        <f>=IFERROR(1-((1-CE29)*(1-CE34)),0)</f>
        <v>0.252</v>
      </c>
      <c r="CF28" s="34">
        <f>=IFERROR(1-((1-CF29)*(1-CF34)),0)</f>
        <v>0.252</v>
      </c>
      <c r="CG28" s="34">
        <f>=IFERROR(1-((1-CG29)*(1-CG34)),0)</f>
        <v>0.252</v>
      </c>
      <c r="CH28" s="34">
        <f>=IFERROR(1-((1-CH29)*(1-CH34)),0)</f>
        <v>0.252</v>
      </c>
      <c r="CI28" s="34">
        <f>=IFERROR(1-((1-CI29)*(1-CI34)),0)</f>
        <v>0.252</v>
      </c>
      <c r="CJ28" s="34">
        <f>=IFERROR(1-((1-CJ29)*(1-CJ34)),0)</f>
        <v>0.252</v>
      </c>
      <c r="CK28" s="34">
        <f>=IFERROR(1-((1-CK29)*(1-CK34)),0)</f>
        <v>0.252</v>
      </c>
      <c r="CL28" s="34">
        <f>=IFERROR(1-((1-CL29)*(1-CL34)),0)</f>
        <v>0.252</v>
      </c>
      <c r="CM28" s="34">
        <f>=IFERROR(1-((1-CM29)*(1-CM34)),0)</f>
        <v>0.252</v>
      </c>
      <c r="CN28" s="34">
        <f>=IFERROR(1-((1-CN29)*(1-CN34)),0)</f>
        <v>0.252</v>
      </c>
      <c r="CO28" s="34">
        <f>=IFERROR(1-((1-CO29)*(1-CO34)),0)</f>
        <v>0.252</v>
      </c>
      <c r="CP28" s="34">
        <f>=IFERROR(1-((1-CP29)*(1-CP34)),0)</f>
        <v>0.252</v>
      </c>
      <c r="CQ28" s="34">
        <f>=IFERROR(1-((1-CQ29)*(1-CQ34)),0)</f>
        <v>0.252</v>
      </c>
      <c r="CR28" s="34">
        <f>=IFERROR(1-((1-CR29)*(1-CR34)),0)</f>
        <v>0.252</v>
      </c>
      <c r="CS28" s="34">
        <f>=IFERROR(1-((1-CS29)*(1-CS34)),0)</f>
        <v>0.252</v>
      </c>
      <c r="CT28" s="34">
        <f>=IFERROR(1-((1-CT29)*(1-CT34)),0)</f>
        <v>0.252</v>
      </c>
      <c r="CU28" s="34">
        <f>=IFERROR(1-((1-CU29)*(1-CU34)),0)</f>
        <v>0.252</v>
      </c>
      <c r="CV28" s="34">
        <f>=IFERROR(1-((1-CV29)*(1-CV34)),0)</f>
        <v>0.252</v>
      </c>
      <c r="CW28" s="34">
        <f>=IFERROR(1-((1-CW29)*(1-CW34)),0)</f>
        <v>0.252</v>
      </c>
      <c r="CX28" s="34">
        <f>=IFERROR(1-((1-CX29)*(1-CX34)),0)</f>
        <v>0.252</v>
      </c>
      <c r="CY28" s="34">
        <f>=IFERROR(1-((1-CY29)*(1-CY34)),0)</f>
        <v>0.252</v>
      </c>
      <c r="CZ28" s="34">
        <f>=IFERROR(1-((1-CZ29)*(1-CZ34)),0)</f>
        <v>0.252</v>
      </c>
      <c r="DA28" s="34">
        <f>=IFERROR(1-((1-DA29)*(1-DA34)),0)</f>
        <v>0.252</v>
      </c>
      <c r="DB28" s="34">
        <f>=IFERROR(1-((1-DB29)*(1-DB34)),0)</f>
        <v>0.252</v>
      </c>
    </row>
    <row r="29" ht="18" customHeight="1" spans="1:106" x14ac:dyDescent="0.25">
      <c r="A29" s="16" t="s">
        <v>262</v>
      </c>
      <c r="B29" s="17"/>
      <c r="C29" s="35">
        <f>=SUM(C30:C33)</f>
        <v>0.14</v>
      </c>
      <c r="D29" s="35">
        <f>=SUM(D30:D33)</f>
        <v>0.14</v>
      </c>
      <c r="E29" s="35">
        <f>=SUM(E30:E33)</f>
        <v>0.16</v>
      </c>
      <c r="F29" s="35">
        <f>=SUM(F30:F33)</f>
        <v>0.16</v>
      </c>
      <c r="G29" s="35">
        <f>=SUM(G30:G33)</f>
        <v>0.16</v>
      </c>
      <c r="H29" s="35">
        <f>=SUM(H30:H33)</f>
        <v>0.16</v>
      </c>
      <c r="I29" s="35">
        <f>=SUM(I30:I33)</f>
        <v>0.16</v>
      </c>
      <c r="J29" s="35">
        <f>=SUM(J30:J33)</f>
        <v>0.16</v>
      </c>
      <c r="K29" s="35">
        <f>=SUM(K30:K33)</f>
        <v>0.16</v>
      </c>
      <c r="L29" s="35">
        <f>=SUM(L30:L33)</f>
        <v>0.16</v>
      </c>
      <c r="M29" s="35">
        <f>=SUM(M30:M33)</f>
        <v>0.16</v>
      </c>
      <c r="N29" s="35">
        <f>=SUM(N30:N33)</f>
        <v>0.16</v>
      </c>
      <c r="O29" s="35">
        <f>=SUM(O30:O33)</f>
        <v>0.16</v>
      </c>
      <c r="P29" s="35">
        <f>=SUM(P30:P33)</f>
        <v>0.16</v>
      </c>
      <c r="Q29" s="35">
        <f>=SUM(Q30:Q33)</f>
        <v>0.16</v>
      </c>
      <c r="R29" s="35">
        <f>=SUM(R30:R33)</f>
        <v>0.16</v>
      </c>
      <c r="S29" s="35">
        <f>=SUM(S30:S33)</f>
        <v>0.16</v>
      </c>
      <c r="T29" s="35">
        <f>=SUM(T30:T33)</f>
        <v>0.16</v>
      </c>
      <c r="U29" s="35">
        <f>=SUM(U30:U33)</f>
        <v>0.16</v>
      </c>
      <c r="V29" s="35">
        <f>=SUM(V30:V33)</f>
        <v>0.16</v>
      </c>
      <c r="W29" s="35">
        <f>=SUM(W30:W33)</f>
        <v>0.16</v>
      </c>
      <c r="X29" s="35">
        <f>=SUM(X30:X33)</f>
        <v>0.16</v>
      </c>
      <c r="Y29" s="35">
        <f>=SUM(Y30:Y33)</f>
        <v>0.16</v>
      </c>
      <c r="Z29" s="35">
        <f>=SUM(Z30:Z33)</f>
        <v>0.16</v>
      </c>
      <c r="AA29" s="35">
        <f>=SUM(AA30:AA33)</f>
        <v>0.16</v>
      </c>
      <c r="AB29" s="35">
        <f>=SUM(AB30:AB33)</f>
        <v>0.16</v>
      </c>
      <c r="AC29" s="35">
        <f>=SUM(AC30:AC33)</f>
        <v>0.16</v>
      </c>
      <c r="AD29" s="35">
        <f>=SUM(AD30:AD33)</f>
        <v>0.16</v>
      </c>
      <c r="AE29" s="35">
        <f>=SUM(AE30:AE33)</f>
        <v>0.16</v>
      </c>
      <c r="AF29" s="35">
        <f>=SUM(AF30:AF33)</f>
        <v>0.16</v>
      </c>
      <c r="AG29" s="35">
        <f>=SUM(AG30:AG33)</f>
        <v>0.16</v>
      </c>
      <c r="AH29" s="35">
        <f>=SUM(AH30:AH33)</f>
        <v>0.16</v>
      </c>
      <c r="AI29" s="35">
        <f>=SUM(AI30:AI33)</f>
        <v>0.16</v>
      </c>
      <c r="AJ29" s="35">
        <f>=SUM(AJ30:AJ33)</f>
        <v>0.16</v>
      </c>
      <c r="AK29" s="35">
        <f>=SUM(AK30:AK33)</f>
        <v>0.16</v>
      </c>
      <c r="AL29" s="35">
        <f>=SUM(AL30:AL33)</f>
        <v>0.16</v>
      </c>
      <c r="AM29" s="35">
        <f>=SUM(AM30:AM33)</f>
        <v>0.16</v>
      </c>
      <c r="AN29" s="35">
        <f>=SUM(AN30:AN33)</f>
        <v>0.16</v>
      </c>
      <c r="AO29" s="35">
        <f>=SUM(AO30:AO33)</f>
        <v>0.16</v>
      </c>
      <c r="AP29" s="35">
        <f>=SUM(AP30:AP33)</f>
        <v>0.13</v>
      </c>
      <c r="AQ29" s="35">
        <f>=SUM(AQ30:AQ33)</f>
        <v>0.13</v>
      </c>
      <c r="AR29" s="35">
        <f>=SUM(AR30:AR33)</f>
        <v>0.13</v>
      </c>
      <c r="AS29" s="35">
        <f>=SUM(AS30:AS33)</f>
        <v>0.13</v>
      </c>
      <c r="AT29" s="35">
        <f>=SUM(AT30:AT33)</f>
        <v>0.13</v>
      </c>
      <c r="AU29" s="35">
        <f>=SUM(AU30:AU33)</f>
        <v>0.13</v>
      </c>
      <c r="AV29" s="35">
        <f>=SUM(AV30:AV33)</f>
        <v>0.13</v>
      </c>
      <c r="AW29" s="35">
        <f>=SUM(AW30:AW33)</f>
        <v>0.13</v>
      </c>
      <c r="AX29" s="35">
        <f>=SUM(AX30:AX33)</f>
        <v>0.13</v>
      </c>
      <c r="AY29" s="35">
        <f>=SUM(AY30:AY33)</f>
        <v>0.13</v>
      </c>
      <c r="AZ29" s="35">
        <f>=SUM(AZ30:AZ33)</f>
        <v>0.13</v>
      </c>
      <c r="BA29" s="35">
        <f>=SUM(BA30:BA33)</f>
        <v>0.13</v>
      </c>
      <c r="BB29" s="35">
        <f>=SUM(BB30:BB33)</f>
        <v>0.13</v>
      </c>
      <c r="BC29" s="35">
        <f>=SUM(BC30:BC33)</f>
        <v>0.14</v>
      </c>
      <c r="BD29" s="35">
        <f>=SUM(BD30:BD33)</f>
        <v>0.14</v>
      </c>
      <c r="BE29" s="35">
        <f>=SUM(BE30:BE33)</f>
        <v>0.14</v>
      </c>
      <c r="BF29" s="35">
        <f>=SUM(BF30:BF33)</f>
        <v>0.14</v>
      </c>
      <c r="BG29" s="35">
        <f>=SUM(BG30:BG33)</f>
        <v>0.14</v>
      </c>
      <c r="BH29" s="35">
        <f>=SUM(BH30:BH33)</f>
        <v>0.14</v>
      </c>
      <c r="BI29" s="35">
        <f>=SUM(BI30:BI33)</f>
        <v>0.14</v>
      </c>
      <c r="BJ29" s="35">
        <f>=SUM(BJ30:BJ33)</f>
        <v>0.14</v>
      </c>
      <c r="BK29" s="35">
        <f>=SUM(BK30:BK33)</f>
        <v>0.14</v>
      </c>
      <c r="BL29" s="35">
        <f>=SUM(BL30:BL33)</f>
        <v>0.14</v>
      </c>
      <c r="BM29" s="35">
        <f>=SUM(BM30:BM33)</f>
        <v>0.14</v>
      </c>
      <c r="BN29" s="35">
        <f>=SUM(BN30:BN33)</f>
        <v>0.14</v>
      </c>
      <c r="BO29" s="35">
        <f>=SUM(BO30:BO33)</f>
        <v>0.14</v>
      </c>
      <c r="BP29" s="35">
        <f>=SUM(BP30:BP33)</f>
        <v>0.14</v>
      </c>
      <c r="BQ29" s="35">
        <f>=SUM(BQ30:BQ33)</f>
        <v>0.14</v>
      </c>
      <c r="BR29" s="35">
        <f>=SUM(BR30:BR33)</f>
        <v>0.14</v>
      </c>
      <c r="BS29" s="35">
        <f>=SUM(BS30:BS33)</f>
        <v>0.14</v>
      </c>
      <c r="BT29" s="35">
        <f>=SUM(BT30:BT33)</f>
        <v>0.14</v>
      </c>
      <c r="BU29" s="35">
        <f>=SUM(BU30:BU33)</f>
        <v>0.14</v>
      </c>
      <c r="BV29" s="35">
        <f>=SUM(BV30:BV33)</f>
        <v>0.14</v>
      </c>
      <c r="BW29" s="35">
        <f>=SUM(BW30:BW33)</f>
        <v>0.14</v>
      </c>
      <c r="BX29" s="35">
        <f>=SUM(BX30:BX33)</f>
        <v>0.14</v>
      </c>
      <c r="BY29" s="35">
        <f>=SUM(BY30:BY33)</f>
        <v>0.12</v>
      </c>
      <c r="BZ29" s="35">
        <f>=SUM(BZ30:BZ33)</f>
        <v>0.12</v>
      </c>
      <c r="CA29" s="35">
        <f>=SUM(CA30:CA33)</f>
        <v>0.12</v>
      </c>
      <c r="CB29" s="35">
        <f>=SUM(CB30:CB33)</f>
        <v>0.12</v>
      </c>
      <c r="CC29" s="35">
        <f>=SUM(CC30:CC33)</f>
        <v>0.12</v>
      </c>
      <c r="CD29" s="35">
        <f>=SUM(CD30:CD33)</f>
        <v>0.12</v>
      </c>
      <c r="CE29" s="35">
        <f>=SUM(CE30:CE33)</f>
        <v>0.12</v>
      </c>
      <c r="CF29" s="35">
        <f>=SUM(CF30:CF33)</f>
        <v>0.12</v>
      </c>
      <c r="CG29" s="35">
        <f>=SUM(CG30:CG33)</f>
        <v>0.12</v>
      </c>
      <c r="CH29" s="35">
        <f>=SUM(CH30:CH33)</f>
        <v>0.12</v>
      </c>
      <c r="CI29" s="35">
        <f>=SUM(CI30:CI33)</f>
        <v>0.12</v>
      </c>
      <c r="CJ29" s="35">
        <f>=SUM(CJ30:CJ33)</f>
        <v>0.12</v>
      </c>
      <c r="CK29" s="35">
        <f>=SUM(CK30:CK33)</f>
        <v>0.12</v>
      </c>
      <c r="CL29" s="35">
        <f>=SUM(CL30:CL33)</f>
        <v>0.12</v>
      </c>
      <c r="CM29" s="35">
        <f>=SUM(CM30:CM33)</f>
        <v>0.12</v>
      </c>
      <c r="CN29" s="35">
        <f>=SUM(CN30:CN33)</f>
        <v>0.12</v>
      </c>
      <c r="CO29" s="35">
        <f>=SUM(CO30:CO33)</f>
        <v>0.12</v>
      </c>
      <c r="CP29" s="35">
        <f>=SUM(CP30:CP33)</f>
        <v>0.12</v>
      </c>
      <c r="CQ29" s="35">
        <f>=SUM(CQ30:CQ33)</f>
        <v>0.12</v>
      </c>
      <c r="CR29" s="35">
        <f>=SUM(CR30:CR33)</f>
        <v>0.12</v>
      </c>
      <c r="CS29" s="35">
        <f>=SUM(CS30:CS33)</f>
        <v>0.12</v>
      </c>
      <c r="CT29" s="35">
        <f>=SUM(CT30:CT33)</f>
        <v>0.12</v>
      </c>
      <c r="CU29" s="35">
        <f>=SUM(CU30:CU33)</f>
        <v>0.12</v>
      </c>
      <c r="CV29" s="35">
        <f>=SUM(CV30:CV33)</f>
        <v>0.12</v>
      </c>
      <c r="CW29" s="35">
        <f>=SUM(CW30:CW33)</f>
        <v>0.12</v>
      </c>
      <c r="CX29" s="35">
        <f>=SUM(CX30:CX33)</f>
        <v>0.12</v>
      </c>
      <c r="CY29" s="35">
        <f>=SUM(CY30:CY33)</f>
        <v>0.12</v>
      </c>
      <c r="CZ29" s="35">
        <f>=SUM(CZ30:CZ33)</f>
        <v>0.12</v>
      </c>
      <c r="DA29" s="35">
        <f>=SUM(DA30:DA33)</f>
        <v>0.12</v>
      </c>
      <c r="DB29" s="35">
        <f>=SUM(DB30:DB33)</f>
        <v>0.12</v>
      </c>
    </row>
    <row r="30" ht="18" customHeight="1" spans="1:106" x14ac:dyDescent="0.25">
      <c r="A30" s="36" t="s">
        <v>263</v>
      </c>
      <c r="C30" s="37">
        <v>0.07</v>
      </c>
      <c r="D30" s="37">
        <v>0.07</v>
      </c>
      <c r="E30" s="37">
        <v>0.08</v>
      </c>
      <c r="F30" s="37">
        <v>0.08</v>
      </c>
      <c r="G30" s="37">
        <v>0.08</v>
      </c>
      <c r="H30" s="37">
        <v>0.08</v>
      </c>
      <c r="I30" s="37">
        <v>0.08</v>
      </c>
      <c r="J30" s="37">
        <v>0.08</v>
      </c>
      <c r="K30" s="37">
        <v>0.08</v>
      </c>
      <c r="L30" s="37">
        <v>0.08</v>
      </c>
      <c r="M30" s="37">
        <v>0.08</v>
      </c>
      <c r="N30" s="37">
        <v>0.08</v>
      </c>
      <c r="O30" s="37">
        <v>0.08</v>
      </c>
      <c r="P30" s="37">
        <v>0.08</v>
      </c>
      <c r="Q30" s="37">
        <v>0.08</v>
      </c>
      <c r="R30" s="37">
        <v>0.08</v>
      </c>
      <c r="S30" s="37">
        <v>0.08</v>
      </c>
      <c r="T30" s="37">
        <v>0.08</v>
      </c>
      <c r="U30" s="37">
        <v>0.08</v>
      </c>
      <c r="V30" s="37">
        <v>0.08</v>
      </c>
      <c r="W30" s="37">
        <v>0.08</v>
      </c>
      <c r="X30" s="37">
        <v>0.08</v>
      </c>
      <c r="Y30" s="37">
        <v>0.08</v>
      </c>
      <c r="Z30" s="37">
        <v>0.08</v>
      </c>
      <c r="AA30" s="37">
        <v>0.08</v>
      </c>
      <c r="AB30" s="37">
        <v>0.08</v>
      </c>
      <c r="AC30" s="37">
        <v>0.08</v>
      </c>
      <c r="AD30" s="37">
        <v>0.08</v>
      </c>
      <c r="AE30" s="37">
        <v>0.08</v>
      </c>
      <c r="AF30" s="37">
        <v>0.08</v>
      </c>
      <c r="AG30" s="37">
        <v>0.08</v>
      </c>
      <c r="AH30" s="37">
        <v>0.08</v>
      </c>
      <c r="AI30" s="37">
        <v>0.08</v>
      </c>
      <c r="AJ30" s="37">
        <v>0.08</v>
      </c>
      <c r="AK30" s="37">
        <v>0.08</v>
      </c>
      <c r="AL30" s="37">
        <v>0.08</v>
      </c>
      <c r="AM30" s="37">
        <v>0.08</v>
      </c>
      <c r="AN30" s="37">
        <v>0.08</v>
      </c>
      <c r="AO30" s="37">
        <v>0.08</v>
      </c>
      <c r="AP30" s="37">
        <v>0.065</v>
      </c>
      <c r="AQ30" s="37">
        <v>0.065</v>
      </c>
      <c r="AR30" s="37">
        <v>0.065</v>
      </c>
      <c r="AS30" s="37">
        <v>0.065</v>
      </c>
      <c r="AT30" s="37">
        <v>0.065</v>
      </c>
      <c r="AU30" s="37">
        <v>0.065</v>
      </c>
      <c r="AV30" s="37">
        <v>0.065</v>
      </c>
      <c r="AW30" s="37">
        <v>0.065</v>
      </c>
      <c r="AX30" s="37">
        <v>0.065</v>
      </c>
      <c r="AY30" s="37">
        <v>0.065</v>
      </c>
      <c r="AZ30" s="37">
        <v>0.065</v>
      </c>
      <c r="BA30" s="37">
        <v>0.065</v>
      </c>
      <c r="BB30" s="37">
        <v>0.065</v>
      </c>
      <c r="BC30" s="37">
        <v>0.07</v>
      </c>
      <c r="BD30" s="37">
        <v>0.07</v>
      </c>
      <c r="BE30" s="37">
        <v>0.07</v>
      </c>
      <c r="BF30" s="37">
        <v>0.07</v>
      </c>
      <c r="BG30" s="37">
        <v>0.07</v>
      </c>
      <c r="BH30" s="37">
        <v>0.07</v>
      </c>
      <c r="BI30" s="37">
        <v>0.07</v>
      </c>
      <c r="BJ30" s="37">
        <v>0.07</v>
      </c>
      <c r="BK30" s="37">
        <v>0.07</v>
      </c>
      <c r="BL30" s="37">
        <v>0.07</v>
      </c>
      <c r="BM30" s="37">
        <v>0.07</v>
      </c>
      <c r="BN30" s="37">
        <v>0.07</v>
      </c>
      <c r="BO30" s="37">
        <v>0.07</v>
      </c>
      <c r="BP30" s="37">
        <v>0.07</v>
      </c>
      <c r="BQ30" s="37">
        <v>0.07</v>
      </c>
      <c r="BR30" s="37">
        <v>0.07</v>
      </c>
      <c r="BS30" s="37">
        <v>0.07</v>
      </c>
      <c r="BT30" s="37">
        <v>0.07</v>
      </c>
      <c r="BU30" s="37">
        <v>0.07</v>
      </c>
      <c r="BV30" s="37">
        <v>0.07</v>
      </c>
      <c r="BW30" s="37">
        <v>0.07</v>
      </c>
      <c r="BX30" s="37">
        <v>0.07</v>
      </c>
      <c r="BY30" s="37">
        <v>0.06</v>
      </c>
      <c r="BZ30" s="37">
        <v>0.06</v>
      </c>
      <c r="CA30" s="37">
        <v>0.06</v>
      </c>
      <c r="CB30" s="37">
        <v>0.06</v>
      </c>
      <c r="CC30" s="37">
        <v>0.06</v>
      </c>
      <c r="CD30" s="37">
        <v>0.06</v>
      </c>
      <c r="CE30" s="37">
        <v>0.06</v>
      </c>
      <c r="CF30" s="37">
        <v>0.06</v>
      </c>
      <c r="CG30" s="37">
        <v>0.06</v>
      </c>
      <c r="CH30" s="37">
        <v>0.06</v>
      </c>
      <c r="CI30" s="37">
        <v>0.06</v>
      </c>
      <c r="CJ30" s="37">
        <v>0.06</v>
      </c>
      <c r="CK30" s="37">
        <v>0.06</v>
      </c>
      <c r="CL30" s="37">
        <v>0.06</v>
      </c>
      <c r="CM30" s="37">
        <v>0.06</v>
      </c>
      <c r="CN30" s="37">
        <v>0.06</v>
      </c>
      <c r="CO30" s="37">
        <v>0.06</v>
      </c>
      <c r="CP30" s="37">
        <v>0.06</v>
      </c>
      <c r="CQ30" s="37">
        <v>0.06</v>
      </c>
      <c r="CR30" s="37">
        <v>0.06</v>
      </c>
      <c r="CS30" s="37">
        <v>0.06</v>
      </c>
      <c r="CT30" s="37">
        <v>0.06</v>
      </c>
      <c r="CU30" s="37">
        <v>0.06</v>
      </c>
      <c r="CV30" s="37">
        <v>0.06</v>
      </c>
      <c r="CW30" s="37">
        <v>0.06</v>
      </c>
      <c r="CX30" s="37">
        <v>0.06</v>
      </c>
      <c r="CY30" s="37">
        <v>0.06</v>
      </c>
      <c r="CZ30" s="37">
        <v>0.06</v>
      </c>
      <c r="DA30" s="37">
        <v>0.06</v>
      </c>
      <c r="DB30" s="37">
        <v>0.06</v>
      </c>
    </row>
    <row r="31" ht="18" customHeight="1" spans="1:106" x14ac:dyDescent="0.25">
      <c r="A31" s="36" t="s">
        <v>264</v>
      </c>
      <c r="C31" s="37">
        <v>0.07</v>
      </c>
      <c r="D31" s="37">
        <v>0.07</v>
      </c>
      <c r="E31" s="37">
        <v>0.08</v>
      </c>
      <c r="F31" s="37">
        <v>0.08</v>
      </c>
      <c r="G31" s="37">
        <v>0.08</v>
      </c>
      <c r="H31" s="37">
        <v>0.08</v>
      </c>
      <c r="I31" s="37">
        <v>0.08</v>
      </c>
      <c r="J31" s="37">
        <v>0.08</v>
      </c>
      <c r="K31" s="37">
        <v>0.08</v>
      </c>
      <c r="L31" s="37">
        <v>0.08</v>
      </c>
      <c r="M31" s="37">
        <v>0.08</v>
      </c>
      <c r="N31" s="37">
        <v>0.08</v>
      </c>
      <c r="O31" s="37">
        <v>0.08</v>
      </c>
      <c r="P31" s="37">
        <v>0.08</v>
      </c>
      <c r="Q31" s="37">
        <v>0.08</v>
      </c>
      <c r="R31" s="37">
        <v>0.08</v>
      </c>
      <c r="S31" s="37">
        <v>0.08</v>
      </c>
      <c r="T31" s="37">
        <v>0.08</v>
      </c>
      <c r="U31" s="37">
        <v>0.08</v>
      </c>
      <c r="V31" s="37">
        <v>0.08</v>
      </c>
      <c r="W31" s="37">
        <v>0.08</v>
      </c>
      <c r="X31" s="37">
        <v>0.08</v>
      </c>
      <c r="Y31" s="37">
        <v>0.08</v>
      </c>
      <c r="Z31" s="37">
        <v>0.08</v>
      </c>
      <c r="AA31" s="37">
        <v>0.08</v>
      </c>
      <c r="AB31" s="37">
        <v>0.08</v>
      </c>
      <c r="AC31" s="37">
        <v>0.08</v>
      </c>
      <c r="AD31" s="37">
        <v>0.08</v>
      </c>
      <c r="AE31" s="37">
        <v>0.08</v>
      </c>
      <c r="AF31" s="37">
        <v>0.08</v>
      </c>
      <c r="AG31" s="37">
        <v>0.08</v>
      </c>
      <c r="AH31" s="37">
        <v>0.08</v>
      </c>
      <c r="AI31" s="37">
        <v>0.08</v>
      </c>
      <c r="AJ31" s="37">
        <v>0.08</v>
      </c>
      <c r="AK31" s="37">
        <v>0.08</v>
      </c>
      <c r="AL31" s="37">
        <v>0.08</v>
      </c>
      <c r="AM31" s="37">
        <v>0.08</v>
      </c>
      <c r="AN31" s="37">
        <v>0.08</v>
      </c>
      <c r="AO31" s="37">
        <v>0.08</v>
      </c>
      <c r="AP31" s="37">
        <v>0.065</v>
      </c>
      <c r="AQ31" s="37">
        <v>0.065</v>
      </c>
      <c r="AR31" s="37">
        <v>0.065</v>
      </c>
      <c r="AS31" s="37">
        <v>0.065</v>
      </c>
      <c r="AT31" s="37">
        <v>0.065</v>
      </c>
      <c r="AU31" s="37">
        <v>0.065</v>
      </c>
      <c r="AV31" s="37">
        <v>0.065</v>
      </c>
      <c r="AW31" s="37">
        <v>0.065</v>
      </c>
      <c r="AX31" s="37">
        <v>0.065</v>
      </c>
      <c r="AY31" s="37">
        <v>0.065</v>
      </c>
      <c r="AZ31" s="37">
        <v>0.065</v>
      </c>
      <c r="BA31" s="37">
        <v>0.065</v>
      </c>
      <c r="BB31" s="37">
        <v>0.065</v>
      </c>
      <c r="BC31" s="37">
        <v>0.07</v>
      </c>
      <c r="BD31" s="37">
        <v>0.07</v>
      </c>
      <c r="BE31" s="37">
        <v>0.07</v>
      </c>
      <c r="BF31" s="37">
        <v>0.07</v>
      </c>
      <c r="BG31" s="37">
        <v>0.07</v>
      </c>
      <c r="BH31" s="37">
        <v>0.07</v>
      </c>
      <c r="BI31" s="37">
        <v>0.07</v>
      </c>
      <c r="BJ31" s="37">
        <v>0.07</v>
      </c>
      <c r="BK31" s="37">
        <v>0.07</v>
      </c>
      <c r="BL31" s="37">
        <v>0.07</v>
      </c>
      <c r="BM31" s="37">
        <v>0.07</v>
      </c>
      <c r="BN31" s="37">
        <v>0.07</v>
      </c>
      <c r="BO31" s="37">
        <v>0.07</v>
      </c>
      <c r="BP31" s="37">
        <v>0.07</v>
      </c>
      <c r="BQ31" s="37">
        <v>0.07</v>
      </c>
      <c r="BR31" s="37">
        <v>0.07</v>
      </c>
      <c r="BS31" s="37">
        <v>0.07</v>
      </c>
      <c r="BT31" s="37">
        <v>0.07</v>
      </c>
      <c r="BU31" s="37">
        <v>0.07</v>
      </c>
      <c r="BV31" s="37">
        <v>0.07</v>
      </c>
      <c r="BW31" s="37">
        <v>0.07</v>
      </c>
      <c r="BX31" s="37">
        <v>0.07</v>
      </c>
      <c r="BY31" s="37">
        <v>0.06</v>
      </c>
      <c r="BZ31" s="37">
        <v>0.06</v>
      </c>
      <c r="CA31" s="37">
        <v>0.06</v>
      </c>
      <c r="CB31" s="37">
        <v>0.06</v>
      </c>
      <c r="CC31" s="37">
        <v>0.06</v>
      </c>
      <c r="CD31" s="37">
        <v>0.06</v>
      </c>
      <c r="CE31" s="37">
        <v>0.06</v>
      </c>
      <c r="CF31" s="37">
        <v>0.06</v>
      </c>
      <c r="CG31" s="37">
        <v>0.06</v>
      </c>
      <c r="CH31" s="37">
        <v>0.06</v>
      </c>
      <c r="CI31" s="37">
        <v>0.06</v>
      </c>
      <c r="CJ31" s="37">
        <v>0.06</v>
      </c>
      <c r="CK31" s="37">
        <v>0.06</v>
      </c>
      <c r="CL31" s="37">
        <v>0.06</v>
      </c>
      <c r="CM31" s="37">
        <v>0.06</v>
      </c>
      <c r="CN31" s="37">
        <v>0.06</v>
      </c>
      <c r="CO31" s="37">
        <v>0.06</v>
      </c>
      <c r="CP31" s="37">
        <v>0.06</v>
      </c>
      <c r="CQ31" s="37">
        <v>0.06</v>
      </c>
      <c r="CR31" s="37">
        <v>0.06</v>
      </c>
      <c r="CS31" s="37">
        <v>0.06</v>
      </c>
      <c r="CT31" s="37">
        <v>0.06</v>
      </c>
      <c r="CU31" s="37">
        <v>0.06</v>
      </c>
      <c r="CV31" s="37">
        <v>0.06</v>
      </c>
      <c r="CW31" s="37">
        <v>0.06</v>
      </c>
      <c r="CX31" s="37">
        <v>0.06</v>
      </c>
      <c r="CY31" s="37">
        <v>0.06</v>
      </c>
      <c r="CZ31" s="37">
        <v>0.06</v>
      </c>
      <c r="DA31" s="37">
        <v>0.06</v>
      </c>
      <c r="DB31" s="37">
        <v>0.06</v>
      </c>
    </row>
    <row r="32" ht="18" customHeight="1" spans="1:106" x14ac:dyDescent="0.25">
      <c r="A32" s="36" t="s">
        <v>265</v>
      </c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38"/>
      <c r="BM32" s="38"/>
      <c r="BN32" s="38"/>
      <c r="BO32" s="38"/>
      <c r="BP32" s="38"/>
      <c r="BQ32" s="38"/>
      <c r="BR32" s="38"/>
      <c r="BS32" s="38"/>
      <c r="BT32" s="38"/>
      <c r="BU32" s="38"/>
      <c r="BV32" s="38"/>
      <c r="BW32" s="38"/>
      <c r="BX32" s="38"/>
      <c r="BY32" s="38"/>
      <c r="BZ32" s="38"/>
      <c r="CA32" s="38"/>
      <c r="CB32" s="38"/>
      <c r="CC32" s="38"/>
      <c r="CD32" s="38"/>
      <c r="CE32" s="38"/>
      <c r="CF32" s="38"/>
      <c r="CG32" s="38"/>
      <c r="CH32" s="38"/>
      <c r="CI32" s="38"/>
      <c r="CJ32" s="38"/>
      <c r="CK32" s="38"/>
      <c r="CL32" s="38"/>
      <c r="CM32" s="38"/>
      <c r="CN32" s="38"/>
      <c r="CO32" s="38"/>
      <c r="CP32" s="38"/>
      <c r="CQ32" s="38"/>
      <c r="CR32" s="38"/>
      <c r="CS32" s="38"/>
      <c r="CT32" s="38"/>
      <c r="CU32" s="38"/>
      <c r="CV32" s="38"/>
      <c r="CW32" s="38"/>
      <c r="CX32" s="38"/>
      <c r="CY32" s="38"/>
      <c r="CZ32" s="38"/>
      <c r="DA32" s="38"/>
      <c r="DB32" s="38"/>
    </row>
    <row r="33" ht="18" customHeight="1" spans="1:106" x14ac:dyDescent="0.25">
      <c r="A33" s="36" t="s">
        <v>266</v>
      </c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/>
      <c r="BK33" s="38"/>
      <c r="BL33" s="38"/>
      <c r="BM33" s="38"/>
      <c r="BN33" s="38"/>
      <c r="BO33" s="38"/>
      <c r="BP33" s="38"/>
      <c r="BQ33" s="38"/>
      <c r="BR33" s="38"/>
      <c r="BS33" s="38"/>
      <c r="BT33" s="38"/>
      <c r="BU33" s="38"/>
      <c r="BV33" s="38"/>
      <c r="BW33" s="38"/>
      <c r="BX33" s="38"/>
      <c r="BY33" s="38"/>
      <c r="BZ33" s="38"/>
      <c r="CA33" s="38"/>
      <c r="CB33" s="38"/>
      <c r="CC33" s="38"/>
      <c r="CD33" s="38"/>
      <c r="CE33" s="38"/>
      <c r="CF33" s="38"/>
      <c r="CG33" s="38"/>
      <c r="CH33" s="38"/>
      <c r="CI33" s="38"/>
      <c r="CJ33" s="38"/>
      <c r="CK33" s="38"/>
      <c r="CL33" s="38"/>
      <c r="CM33" s="38"/>
      <c r="CN33" s="38"/>
      <c r="CO33" s="38"/>
      <c r="CP33" s="38"/>
      <c r="CQ33" s="38"/>
      <c r="CR33" s="38"/>
      <c r="CS33" s="38"/>
      <c r="CT33" s="38"/>
      <c r="CU33" s="38"/>
      <c r="CV33" s="38"/>
      <c r="CW33" s="38"/>
      <c r="CX33" s="38"/>
      <c r="CY33" s="38"/>
      <c r="CZ33" s="38"/>
      <c r="DA33" s="38"/>
      <c r="DB33" s="38"/>
    </row>
    <row r="34" ht="18" customHeight="1" spans="1:106" x14ac:dyDescent="0.25">
      <c r="A34" s="16" t="s">
        <v>267</v>
      </c>
      <c r="B34" s="17"/>
      <c r="C34" s="35">
        <f>=SUM(C35:C40)</f>
        <v>0.15</v>
      </c>
      <c r="D34" s="35">
        <f>=SUM(D35:D40)</f>
        <v>0.15</v>
      </c>
      <c r="E34" s="35">
        <f>=SUM(E35:E40)</f>
        <v>0.15</v>
      </c>
      <c r="F34" s="35">
        <f>=SUM(F35:F40)</f>
        <v>0.15</v>
      </c>
      <c r="G34" s="35">
        <f>=SUM(G35:G40)</f>
        <v>0.15</v>
      </c>
      <c r="H34" s="35">
        <f>=SUM(H35:H40)</f>
        <v>0.15</v>
      </c>
      <c r="I34" s="35">
        <f>=SUM(I35:I40)</f>
        <v>0.15</v>
      </c>
      <c r="J34" s="35">
        <f>=SUM(J35:J40)</f>
        <v>0.15</v>
      </c>
      <c r="K34" s="35">
        <f>=SUM(K35:K40)</f>
        <v>0.15</v>
      </c>
      <c r="L34" s="35">
        <f>=SUM(L35:L40)</f>
        <v>0.15</v>
      </c>
      <c r="M34" s="35">
        <f>=SUM(M35:M40)</f>
        <v>0.15</v>
      </c>
      <c r="N34" s="35">
        <f>=SUM(N35:N40)</f>
        <v>0.15</v>
      </c>
      <c r="O34" s="35">
        <f>=SUM(O35:O40)</f>
        <v>0.15</v>
      </c>
      <c r="P34" s="35">
        <f>=SUM(P35:P40)</f>
        <v>0.15</v>
      </c>
      <c r="Q34" s="35">
        <f>=SUM(Q35:Q40)</f>
        <v>0.15</v>
      </c>
      <c r="R34" s="35">
        <f>=SUM(R35:R40)</f>
        <v>0.15</v>
      </c>
      <c r="S34" s="35">
        <f>=SUM(S35:S40)</f>
        <v>0.15</v>
      </c>
      <c r="T34" s="35">
        <f>=SUM(T35:T40)</f>
        <v>0.15</v>
      </c>
      <c r="U34" s="35">
        <f>=SUM(U35:U40)</f>
        <v>0.15</v>
      </c>
      <c r="V34" s="35">
        <f>=SUM(V35:V40)</f>
        <v>0.15</v>
      </c>
      <c r="W34" s="35">
        <f>=SUM(W35:W40)</f>
        <v>0.15</v>
      </c>
      <c r="X34" s="35">
        <f>=SUM(X35:X40)</f>
        <v>0.15</v>
      </c>
      <c r="Y34" s="35">
        <f>=SUM(Y35:Y40)</f>
        <v>0.15</v>
      </c>
      <c r="Z34" s="35">
        <f>=SUM(Z35:Z40)</f>
        <v>0.15</v>
      </c>
      <c r="AA34" s="35">
        <f>=SUM(AA35:AA40)</f>
        <v>0.15</v>
      </c>
      <c r="AB34" s="35">
        <f>=SUM(AB35:AB40)</f>
        <v>0.15</v>
      </c>
      <c r="AC34" s="35">
        <f>=SUM(AC35:AC40)</f>
        <v>0.15</v>
      </c>
      <c r="AD34" s="35">
        <f>=SUM(AD35:AD40)</f>
        <v>0.15</v>
      </c>
      <c r="AE34" s="35">
        <f>=SUM(AE35:AE40)</f>
        <v>0.15</v>
      </c>
      <c r="AF34" s="35">
        <f>=SUM(AF35:AF40)</f>
        <v>0.15</v>
      </c>
      <c r="AG34" s="35">
        <f>=SUM(AG35:AG40)</f>
        <v>0.15</v>
      </c>
      <c r="AH34" s="35">
        <f>=SUM(AH35:AH40)</f>
        <v>0.15</v>
      </c>
      <c r="AI34" s="35">
        <f>=SUM(AI35:AI40)</f>
        <v>0.15</v>
      </c>
      <c r="AJ34" s="35">
        <f>=SUM(AJ35:AJ40)</f>
        <v>0.15</v>
      </c>
      <c r="AK34" s="35">
        <f>=SUM(AK35:AK40)</f>
        <v>0.15</v>
      </c>
      <c r="AL34" s="35">
        <f>=SUM(AL35:AL40)</f>
        <v>0.15</v>
      </c>
      <c r="AM34" s="35">
        <f>=SUM(AM35:AM40)</f>
        <v>0.15</v>
      </c>
      <c r="AN34" s="35">
        <f>=SUM(AN35:AN40)</f>
        <v>0.15</v>
      </c>
      <c r="AO34" s="35">
        <f>=SUM(AO35:AO40)</f>
        <v>0.15</v>
      </c>
      <c r="AP34" s="35">
        <f>=SUM(AP35:AP40)</f>
        <v>0.15</v>
      </c>
      <c r="AQ34" s="35">
        <f>=SUM(AQ35:AQ40)</f>
        <v>0.15</v>
      </c>
      <c r="AR34" s="35">
        <f>=SUM(AR35:AR40)</f>
        <v>0.15</v>
      </c>
      <c r="AS34" s="35">
        <f>=SUM(AS35:AS40)</f>
        <v>0.15</v>
      </c>
      <c r="AT34" s="35">
        <f>=SUM(AT35:AT40)</f>
        <v>0.15</v>
      </c>
      <c r="AU34" s="35">
        <f>=SUM(AU35:AU40)</f>
        <v>0.15</v>
      </c>
      <c r="AV34" s="35">
        <f>=SUM(AV35:AV40)</f>
        <v>0.15</v>
      </c>
      <c r="AW34" s="35">
        <f>=SUM(AW35:AW40)</f>
        <v>0.15</v>
      </c>
      <c r="AX34" s="35">
        <f>=SUM(AX35:AX40)</f>
        <v>0.15</v>
      </c>
      <c r="AY34" s="35">
        <f>=SUM(AY35:AY40)</f>
        <v>0.15</v>
      </c>
      <c r="AZ34" s="35">
        <f>=SUM(AZ35:AZ40)</f>
        <v>0.15</v>
      </c>
      <c r="BA34" s="35">
        <f>=SUM(BA35:BA40)</f>
        <v>0.15</v>
      </c>
      <c r="BB34" s="35">
        <f>=SUM(BB35:BB40)</f>
        <v>0.15</v>
      </c>
      <c r="BC34" s="35">
        <f>=SUM(BC35:BC40)</f>
        <v>0.15</v>
      </c>
      <c r="BD34" s="35">
        <f>=SUM(BD35:BD40)</f>
        <v>0.15</v>
      </c>
      <c r="BE34" s="35">
        <f>=SUM(BE35:BE40)</f>
        <v>0.15</v>
      </c>
      <c r="BF34" s="35">
        <f>=SUM(BF35:BF40)</f>
        <v>0.15</v>
      </c>
      <c r="BG34" s="35">
        <f>=SUM(BG35:BG40)</f>
        <v>0.15</v>
      </c>
      <c r="BH34" s="35">
        <f>=SUM(BH35:BH40)</f>
        <v>0.15</v>
      </c>
      <c r="BI34" s="35">
        <f>=SUM(BI35:BI40)</f>
        <v>0.15</v>
      </c>
      <c r="BJ34" s="35">
        <f>=SUM(BJ35:BJ40)</f>
        <v>0.15</v>
      </c>
      <c r="BK34" s="35">
        <f>=SUM(BK35:BK40)</f>
        <v>0.15</v>
      </c>
      <c r="BL34" s="35">
        <f>=SUM(BL35:BL40)</f>
        <v>0.15</v>
      </c>
      <c r="BM34" s="35">
        <f>=SUM(BM35:BM40)</f>
        <v>0.15</v>
      </c>
      <c r="BN34" s="35">
        <f>=SUM(BN35:BN40)</f>
        <v>0.15</v>
      </c>
      <c r="BO34" s="35">
        <f>=SUM(BO35:BO40)</f>
        <v>0.15</v>
      </c>
      <c r="BP34" s="35">
        <f>=SUM(BP35:BP40)</f>
        <v>0.15</v>
      </c>
      <c r="BQ34" s="35">
        <f>=SUM(BQ35:BQ40)</f>
        <v>0.15</v>
      </c>
      <c r="BR34" s="35">
        <f>=SUM(BR35:BR40)</f>
        <v>0.15</v>
      </c>
      <c r="BS34" s="35">
        <f>=SUM(BS35:BS40)</f>
        <v>0.15</v>
      </c>
      <c r="BT34" s="35">
        <f>=SUM(BT35:BT40)</f>
        <v>0.15</v>
      </c>
      <c r="BU34" s="35">
        <f>=SUM(BU35:BU40)</f>
        <v>0.15</v>
      </c>
      <c r="BV34" s="35">
        <f>=SUM(BV35:BV40)</f>
        <v>0.15</v>
      </c>
      <c r="BW34" s="35">
        <f>=SUM(BW35:BW40)</f>
        <v>0.15</v>
      </c>
      <c r="BX34" s="35">
        <f>=SUM(BX35:BX40)</f>
        <v>0.15</v>
      </c>
      <c r="BY34" s="35">
        <f>=SUM(BY35:BY40)</f>
        <v>0.15</v>
      </c>
      <c r="BZ34" s="35">
        <f>=SUM(BZ35:BZ40)</f>
        <v>0.15</v>
      </c>
      <c r="CA34" s="35">
        <f>=SUM(CA35:CA40)</f>
        <v>0.15</v>
      </c>
      <c r="CB34" s="35">
        <f>=SUM(CB35:CB40)</f>
        <v>0.15</v>
      </c>
      <c r="CC34" s="35">
        <f>=SUM(CC35:CC40)</f>
        <v>0.15</v>
      </c>
      <c r="CD34" s="35">
        <f>=SUM(CD35:CD40)</f>
        <v>0.15</v>
      </c>
      <c r="CE34" s="35">
        <f>=SUM(CE35:CE40)</f>
        <v>0.15</v>
      </c>
      <c r="CF34" s="35">
        <f>=SUM(CF35:CF40)</f>
        <v>0.15</v>
      </c>
      <c r="CG34" s="35">
        <f>=SUM(CG35:CG40)</f>
        <v>0.15</v>
      </c>
      <c r="CH34" s="35">
        <f>=SUM(CH35:CH40)</f>
        <v>0.15</v>
      </c>
      <c r="CI34" s="35">
        <f>=SUM(CI35:CI40)</f>
        <v>0.15</v>
      </c>
      <c r="CJ34" s="35">
        <f>=SUM(CJ35:CJ40)</f>
        <v>0.15</v>
      </c>
      <c r="CK34" s="35">
        <f>=SUM(CK35:CK40)</f>
        <v>0.15</v>
      </c>
      <c r="CL34" s="35">
        <f>=SUM(CL35:CL40)</f>
        <v>0.15</v>
      </c>
      <c r="CM34" s="35">
        <f>=SUM(CM35:CM40)</f>
        <v>0.15</v>
      </c>
      <c r="CN34" s="35">
        <f>=SUM(CN35:CN40)</f>
        <v>0.15</v>
      </c>
      <c r="CO34" s="35">
        <f>=SUM(CO35:CO40)</f>
        <v>0.15</v>
      </c>
      <c r="CP34" s="35">
        <f>=SUM(CP35:CP40)</f>
        <v>0.15</v>
      </c>
      <c r="CQ34" s="35">
        <f>=SUM(CQ35:CQ40)</f>
        <v>0.15</v>
      </c>
      <c r="CR34" s="35">
        <f>=SUM(CR35:CR40)</f>
        <v>0.15</v>
      </c>
      <c r="CS34" s="35">
        <f>=SUM(CS35:CS40)</f>
        <v>0.15</v>
      </c>
      <c r="CT34" s="35">
        <f>=SUM(CT35:CT40)</f>
        <v>0.15</v>
      </c>
      <c r="CU34" s="35">
        <f>=SUM(CU35:CU40)</f>
        <v>0.15</v>
      </c>
      <c r="CV34" s="35">
        <f>=SUM(CV35:CV40)</f>
        <v>0.15</v>
      </c>
      <c r="CW34" s="35">
        <f>=SUM(CW35:CW40)</f>
        <v>0.15</v>
      </c>
      <c r="CX34" s="35">
        <f>=SUM(CX35:CX40)</f>
        <v>0.15</v>
      </c>
      <c r="CY34" s="35">
        <f>=SUM(CY35:CY40)</f>
        <v>0.15</v>
      </c>
      <c r="CZ34" s="35">
        <f>=SUM(CZ35:CZ40)</f>
        <v>0.15</v>
      </c>
      <c r="DA34" s="35">
        <f>=SUM(DA35:DA40)</f>
        <v>0.15</v>
      </c>
      <c r="DB34" s="35">
        <f>=SUM(DB35:DB40)</f>
        <v>0.15</v>
      </c>
    </row>
    <row r="35" ht="18" customHeight="1" spans="1:106" x14ac:dyDescent="0.25">
      <c r="A35" s="36" t="s">
        <v>268</v>
      </c>
      <c r="B35" s="17"/>
      <c r="C35" s="37">
        <v>0.06</v>
      </c>
      <c r="D35" s="37">
        <v>0.06</v>
      </c>
      <c r="E35" s="37">
        <v>0.06</v>
      </c>
      <c r="F35" s="37">
        <v>0.06</v>
      </c>
      <c r="G35" s="37">
        <v>0.06</v>
      </c>
      <c r="H35" s="37">
        <v>0.06</v>
      </c>
      <c r="I35" s="37">
        <v>0.06</v>
      </c>
      <c r="J35" s="37">
        <v>0.06</v>
      </c>
      <c r="K35" s="37">
        <v>0.06</v>
      </c>
      <c r="L35" s="37">
        <v>0.06</v>
      </c>
      <c r="M35" s="37">
        <v>0.06</v>
      </c>
      <c r="N35" s="37">
        <v>0.06</v>
      </c>
      <c r="O35" s="37">
        <v>0.06</v>
      </c>
      <c r="P35" s="37">
        <v>0.06</v>
      </c>
      <c r="Q35" s="37">
        <v>0.06</v>
      </c>
      <c r="R35" s="37">
        <v>0.06</v>
      </c>
      <c r="S35" s="37">
        <v>0.06</v>
      </c>
      <c r="T35" s="37">
        <v>0.06</v>
      </c>
      <c r="U35" s="37">
        <v>0.06</v>
      </c>
      <c r="V35" s="37">
        <v>0.06</v>
      </c>
      <c r="W35" s="37">
        <v>0.06</v>
      </c>
      <c r="X35" s="37">
        <v>0.06</v>
      </c>
      <c r="Y35" s="37">
        <v>0.06</v>
      </c>
      <c r="Z35" s="37">
        <v>0.06</v>
      </c>
      <c r="AA35" s="37">
        <v>0.06</v>
      </c>
      <c r="AB35" s="37">
        <v>0.06</v>
      </c>
      <c r="AC35" s="37">
        <v>0.06</v>
      </c>
      <c r="AD35" s="37">
        <v>0.06</v>
      </c>
      <c r="AE35" s="37">
        <v>0.06</v>
      </c>
      <c r="AF35" s="37">
        <v>0.06</v>
      </c>
      <c r="AG35" s="37">
        <v>0.06</v>
      </c>
      <c r="AH35" s="37">
        <v>0.06</v>
      </c>
      <c r="AI35" s="37">
        <v>0.06</v>
      </c>
      <c r="AJ35" s="37">
        <v>0.06</v>
      </c>
      <c r="AK35" s="37">
        <v>0.06</v>
      </c>
      <c r="AL35" s="37">
        <v>0.06</v>
      </c>
      <c r="AM35" s="37">
        <v>0.06</v>
      </c>
      <c r="AN35" s="37">
        <v>0.06</v>
      </c>
      <c r="AO35" s="37">
        <v>0.06</v>
      </c>
      <c r="AP35" s="37">
        <v>0.06</v>
      </c>
      <c r="AQ35" s="37">
        <v>0.06</v>
      </c>
      <c r="AR35" s="37">
        <v>0.06</v>
      </c>
      <c r="AS35" s="37">
        <v>0.06</v>
      </c>
      <c r="AT35" s="37">
        <v>0.06</v>
      </c>
      <c r="AU35" s="37">
        <v>0.06</v>
      </c>
      <c r="AV35" s="37">
        <v>0.06</v>
      </c>
      <c r="AW35" s="37">
        <v>0.06</v>
      </c>
      <c r="AX35" s="37">
        <v>0.06</v>
      </c>
      <c r="AY35" s="37">
        <v>0.06</v>
      </c>
      <c r="AZ35" s="37">
        <v>0.06</v>
      </c>
      <c r="BA35" s="37">
        <v>0.06</v>
      </c>
      <c r="BB35" s="37">
        <v>0.06</v>
      </c>
      <c r="BC35" s="37">
        <v>0.06</v>
      </c>
      <c r="BD35" s="37">
        <v>0.06</v>
      </c>
      <c r="BE35" s="37">
        <v>0.06</v>
      </c>
      <c r="BF35" s="37">
        <v>0.06</v>
      </c>
      <c r="BG35" s="37">
        <v>0.06</v>
      </c>
      <c r="BH35" s="37">
        <v>0.06</v>
      </c>
      <c r="BI35" s="37">
        <v>0.06</v>
      </c>
      <c r="BJ35" s="37">
        <v>0.06</v>
      </c>
      <c r="BK35" s="37">
        <v>0.06</v>
      </c>
      <c r="BL35" s="37">
        <v>0.06</v>
      </c>
      <c r="BM35" s="37">
        <v>0.06</v>
      </c>
      <c r="BN35" s="37">
        <v>0.06</v>
      </c>
      <c r="BO35" s="37">
        <v>0.06</v>
      </c>
      <c r="BP35" s="37">
        <v>0.06</v>
      </c>
      <c r="BQ35" s="37">
        <v>0.06</v>
      </c>
      <c r="BR35" s="37">
        <v>0.06</v>
      </c>
      <c r="BS35" s="37">
        <v>0.06</v>
      </c>
      <c r="BT35" s="37">
        <v>0.06</v>
      </c>
      <c r="BU35" s="37">
        <v>0.06</v>
      </c>
      <c r="BV35" s="37">
        <v>0.06</v>
      </c>
      <c r="BW35" s="37">
        <v>0.06</v>
      </c>
      <c r="BX35" s="37">
        <v>0.06</v>
      </c>
      <c r="BY35" s="37">
        <v>0.06</v>
      </c>
      <c r="BZ35" s="37">
        <v>0.06</v>
      </c>
      <c r="CA35" s="37">
        <v>0.06</v>
      </c>
      <c r="CB35" s="37">
        <v>0.06</v>
      </c>
      <c r="CC35" s="37">
        <v>0.06</v>
      </c>
      <c r="CD35" s="37">
        <v>0.06</v>
      </c>
      <c r="CE35" s="37">
        <v>0.06</v>
      </c>
      <c r="CF35" s="37">
        <v>0.06</v>
      </c>
      <c r="CG35" s="37">
        <v>0.06</v>
      </c>
      <c r="CH35" s="37">
        <v>0.06</v>
      </c>
      <c r="CI35" s="37">
        <v>0.06</v>
      </c>
      <c r="CJ35" s="37">
        <v>0.06</v>
      </c>
      <c r="CK35" s="37">
        <v>0.06</v>
      </c>
      <c r="CL35" s="37">
        <v>0.06</v>
      </c>
      <c r="CM35" s="37">
        <v>0.06</v>
      </c>
      <c r="CN35" s="37">
        <v>0.06</v>
      </c>
      <c r="CO35" s="37">
        <v>0.06</v>
      </c>
      <c r="CP35" s="37">
        <v>0.06</v>
      </c>
      <c r="CQ35" s="37">
        <v>0.06</v>
      </c>
      <c r="CR35" s="37">
        <v>0.06</v>
      </c>
      <c r="CS35" s="37">
        <v>0.06</v>
      </c>
      <c r="CT35" s="37">
        <v>0.06</v>
      </c>
      <c r="CU35" s="37">
        <v>0.06</v>
      </c>
      <c r="CV35" s="37">
        <v>0.06</v>
      </c>
      <c r="CW35" s="37">
        <v>0.06</v>
      </c>
      <c r="CX35" s="37">
        <v>0.06</v>
      </c>
      <c r="CY35" s="37">
        <v>0.06</v>
      </c>
      <c r="CZ35" s="37">
        <v>0.06</v>
      </c>
      <c r="DA35" s="37">
        <v>0.06</v>
      </c>
      <c r="DB35" s="37">
        <v>0.06</v>
      </c>
    </row>
    <row r="36" ht="18" customHeight="1" spans="1:106" x14ac:dyDescent="0.25">
      <c r="A36" s="36" t="s">
        <v>269</v>
      </c>
      <c r="B36" s="17"/>
      <c r="C36" s="37">
        <v>0.03</v>
      </c>
      <c r="D36" s="37">
        <v>0.03</v>
      </c>
      <c r="E36" s="37">
        <v>0.03</v>
      </c>
      <c r="F36" s="37">
        <v>0.03</v>
      </c>
      <c r="G36" s="37">
        <v>0.03</v>
      </c>
      <c r="H36" s="37">
        <v>0.03</v>
      </c>
      <c r="I36" s="37">
        <v>0.03</v>
      </c>
      <c r="J36" s="37">
        <v>0.03</v>
      </c>
      <c r="K36" s="37">
        <v>0.03</v>
      </c>
      <c r="L36" s="37">
        <v>0.03</v>
      </c>
      <c r="M36" s="37">
        <v>0.03</v>
      </c>
      <c r="N36" s="37">
        <v>0.03</v>
      </c>
      <c r="O36" s="37">
        <v>0.03</v>
      </c>
      <c r="P36" s="37">
        <v>0.03</v>
      </c>
      <c r="Q36" s="37">
        <v>0.03</v>
      </c>
      <c r="R36" s="37">
        <v>0.03</v>
      </c>
      <c r="S36" s="37">
        <v>0.03</v>
      </c>
      <c r="T36" s="37">
        <v>0.03</v>
      </c>
      <c r="U36" s="37">
        <v>0.03</v>
      </c>
      <c r="V36" s="37">
        <v>0.03</v>
      </c>
      <c r="W36" s="37">
        <v>0.03</v>
      </c>
      <c r="X36" s="37">
        <v>0.03</v>
      </c>
      <c r="Y36" s="37">
        <v>0.03</v>
      </c>
      <c r="Z36" s="37">
        <v>0.03</v>
      </c>
      <c r="AA36" s="37">
        <v>0.03</v>
      </c>
      <c r="AB36" s="37">
        <v>0.03</v>
      </c>
      <c r="AC36" s="37">
        <v>0.03</v>
      </c>
      <c r="AD36" s="37">
        <v>0.03</v>
      </c>
      <c r="AE36" s="37">
        <v>0.03</v>
      </c>
      <c r="AF36" s="37">
        <v>0.03</v>
      </c>
      <c r="AG36" s="37">
        <v>0.03</v>
      </c>
      <c r="AH36" s="37">
        <v>0.03</v>
      </c>
      <c r="AI36" s="37">
        <v>0.03</v>
      </c>
      <c r="AJ36" s="37">
        <v>0.03</v>
      </c>
      <c r="AK36" s="37">
        <v>0.03</v>
      </c>
      <c r="AL36" s="37">
        <v>0.03</v>
      </c>
      <c r="AM36" s="37">
        <v>0.03</v>
      </c>
      <c r="AN36" s="37">
        <v>0.03</v>
      </c>
      <c r="AO36" s="37">
        <v>0.03</v>
      </c>
      <c r="AP36" s="37">
        <v>0.03</v>
      </c>
      <c r="AQ36" s="37">
        <v>0.03</v>
      </c>
      <c r="AR36" s="37">
        <v>0.03</v>
      </c>
      <c r="AS36" s="37">
        <v>0.03</v>
      </c>
      <c r="AT36" s="37">
        <v>0.03</v>
      </c>
      <c r="AU36" s="37">
        <v>0.03</v>
      </c>
      <c r="AV36" s="37">
        <v>0.03</v>
      </c>
      <c r="AW36" s="37">
        <v>0.03</v>
      </c>
      <c r="AX36" s="37">
        <v>0.03</v>
      </c>
      <c r="AY36" s="37">
        <v>0.03</v>
      </c>
      <c r="AZ36" s="37">
        <v>0.03</v>
      </c>
      <c r="BA36" s="37">
        <v>0.03</v>
      </c>
      <c r="BB36" s="37">
        <v>0.03</v>
      </c>
      <c r="BC36" s="37">
        <v>0.03</v>
      </c>
      <c r="BD36" s="37">
        <v>0.03</v>
      </c>
      <c r="BE36" s="37">
        <v>0.03</v>
      </c>
      <c r="BF36" s="37">
        <v>0.03</v>
      </c>
      <c r="BG36" s="37">
        <v>0.03</v>
      </c>
      <c r="BH36" s="37">
        <v>0.03</v>
      </c>
      <c r="BI36" s="37">
        <v>0.03</v>
      </c>
      <c r="BJ36" s="37">
        <v>0.03</v>
      </c>
      <c r="BK36" s="37">
        <v>0.03</v>
      </c>
      <c r="BL36" s="37">
        <v>0.03</v>
      </c>
      <c r="BM36" s="37">
        <v>0.03</v>
      </c>
      <c r="BN36" s="37">
        <v>0.03</v>
      </c>
      <c r="BO36" s="37">
        <v>0.03</v>
      </c>
      <c r="BP36" s="37">
        <v>0.03</v>
      </c>
      <c r="BQ36" s="37">
        <v>0.03</v>
      </c>
      <c r="BR36" s="37">
        <v>0.03</v>
      </c>
      <c r="BS36" s="37">
        <v>0.03</v>
      </c>
      <c r="BT36" s="37">
        <v>0.03</v>
      </c>
      <c r="BU36" s="37">
        <v>0.03</v>
      </c>
      <c r="BV36" s="37">
        <v>0.03</v>
      </c>
      <c r="BW36" s="37">
        <v>0.03</v>
      </c>
      <c r="BX36" s="37">
        <v>0.03</v>
      </c>
      <c r="BY36" s="37">
        <v>0.03</v>
      </c>
      <c r="BZ36" s="37">
        <v>0.03</v>
      </c>
      <c r="CA36" s="37">
        <v>0.03</v>
      </c>
      <c r="CB36" s="37">
        <v>0.03</v>
      </c>
      <c r="CC36" s="37">
        <v>0.03</v>
      </c>
      <c r="CD36" s="37">
        <v>0.03</v>
      </c>
      <c r="CE36" s="37">
        <v>0.03</v>
      </c>
      <c r="CF36" s="37">
        <v>0.03</v>
      </c>
      <c r="CG36" s="37">
        <v>0.03</v>
      </c>
      <c r="CH36" s="37">
        <v>0.03</v>
      </c>
      <c r="CI36" s="37">
        <v>0.03</v>
      </c>
      <c r="CJ36" s="37">
        <v>0.03</v>
      </c>
      <c r="CK36" s="37">
        <v>0.03</v>
      </c>
      <c r="CL36" s="37">
        <v>0.03</v>
      </c>
      <c r="CM36" s="37">
        <v>0.03</v>
      </c>
      <c r="CN36" s="37">
        <v>0.03</v>
      </c>
      <c r="CO36" s="37">
        <v>0.03</v>
      </c>
      <c r="CP36" s="37">
        <v>0.03</v>
      </c>
      <c r="CQ36" s="37">
        <v>0.03</v>
      </c>
      <c r="CR36" s="37">
        <v>0.03</v>
      </c>
      <c r="CS36" s="37">
        <v>0.03</v>
      </c>
      <c r="CT36" s="37">
        <v>0.03</v>
      </c>
      <c r="CU36" s="37">
        <v>0.03</v>
      </c>
      <c r="CV36" s="37">
        <v>0.03</v>
      </c>
      <c r="CW36" s="37">
        <v>0.03</v>
      </c>
      <c r="CX36" s="37">
        <v>0.03</v>
      </c>
      <c r="CY36" s="37">
        <v>0.03</v>
      </c>
      <c r="CZ36" s="37">
        <v>0.03</v>
      </c>
      <c r="DA36" s="37">
        <v>0.03</v>
      </c>
      <c r="DB36" s="37">
        <v>0.03</v>
      </c>
    </row>
    <row r="37" ht="18" customHeight="1" spans="1:106" x14ac:dyDescent="0.25">
      <c r="A37" s="36" t="s">
        <v>270</v>
      </c>
      <c r="C37" s="37">
        <v>0.03</v>
      </c>
      <c r="D37" s="37">
        <v>0.03</v>
      </c>
      <c r="E37" s="37">
        <v>0.03</v>
      </c>
      <c r="F37" s="37">
        <v>0.03</v>
      </c>
      <c r="G37" s="37">
        <v>0.03</v>
      </c>
      <c r="H37" s="37">
        <v>0.03</v>
      </c>
      <c r="I37" s="37">
        <v>0.03</v>
      </c>
      <c r="J37" s="37">
        <v>0.03</v>
      </c>
      <c r="K37" s="37">
        <v>0.03</v>
      </c>
      <c r="L37" s="37">
        <v>0.03</v>
      </c>
      <c r="M37" s="37">
        <v>0.03</v>
      </c>
      <c r="N37" s="37">
        <v>0.03</v>
      </c>
      <c r="O37" s="37">
        <v>0.03</v>
      </c>
      <c r="P37" s="37">
        <v>0.03</v>
      </c>
      <c r="Q37" s="37">
        <v>0.03</v>
      </c>
      <c r="R37" s="37">
        <v>0.03</v>
      </c>
      <c r="S37" s="37">
        <v>0.03</v>
      </c>
      <c r="T37" s="37">
        <v>0.03</v>
      </c>
      <c r="U37" s="37">
        <v>0.03</v>
      </c>
      <c r="V37" s="37">
        <v>0.03</v>
      </c>
      <c r="W37" s="37">
        <v>0.03</v>
      </c>
      <c r="X37" s="37">
        <v>0.03</v>
      </c>
      <c r="Y37" s="37">
        <v>0.03</v>
      </c>
      <c r="Z37" s="37">
        <v>0.03</v>
      </c>
      <c r="AA37" s="37">
        <v>0.03</v>
      </c>
      <c r="AB37" s="37">
        <v>0.03</v>
      </c>
      <c r="AC37" s="37">
        <v>0.03</v>
      </c>
      <c r="AD37" s="37">
        <v>0.03</v>
      </c>
      <c r="AE37" s="37">
        <v>0.03</v>
      </c>
      <c r="AF37" s="37">
        <v>0.03</v>
      </c>
      <c r="AG37" s="37">
        <v>0.03</v>
      </c>
      <c r="AH37" s="37">
        <v>0.03</v>
      </c>
      <c r="AI37" s="37">
        <v>0.03</v>
      </c>
      <c r="AJ37" s="37">
        <v>0.03</v>
      </c>
      <c r="AK37" s="37">
        <v>0.03</v>
      </c>
      <c r="AL37" s="37">
        <v>0.03</v>
      </c>
      <c r="AM37" s="37">
        <v>0.03</v>
      </c>
      <c r="AN37" s="37">
        <v>0.03</v>
      </c>
      <c r="AO37" s="37">
        <v>0.03</v>
      </c>
      <c r="AP37" s="37">
        <v>0.03</v>
      </c>
      <c r="AQ37" s="37">
        <v>0.03</v>
      </c>
      <c r="AR37" s="37">
        <v>0.03</v>
      </c>
      <c r="AS37" s="37">
        <v>0.03</v>
      </c>
      <c r="AT37" s="37">
        <v>0.03</v>
      </c>
      <c r="AU37" s="37">
        <v>0.03</v>
      </c>
      <c r="AV37" s="37">
        <v>0.03</v>
      </c>
      <c r="AW37" s="37">
        <v>0.03</v>
      </c>
      <c r="AX37" s="37">
        <v>0.03</v>
      </c>
      <c r="AY37" s="37">
        <v>0.03</v>
      </c>
      <c r="AZ37" s="37">
        <v>0.03</v>
      </c>
      <c r="BA37" s="37">
        <v>0.03</v>
      </c>
      <c r="BB37" s="37">
        <v>0.03</v>
      </c>
      <c r="BC37" s="37">
        <v>0.03</v>
      </c>
      <c r="BD37" s="37">
        <v>0.03</v>
      </c>
      <c r="BE37" s="37">
        <v>0.03</v>
      </c>
      <c r="BF37" s="37">
        <v>0.03</v>
      </c>
      <c r="BG37" s="37">
        <v>0.03</v>
      </c>
      <c r="BH37" s="37">
        <v>0.03</v>
      </c>
      <c r="BI37" s="37">
        <v>0.03</v>
      </c>
      <c r="BJ37" s="37">
        <v>0.03</v>
      </c>
      <c r="BK37" s="37">
        <v>0.03</v>
      </c>
      <c r="BL37" s="37">
        <v>0.03</v>
      </c>
      <c r="BM37" s="37">
        <v>0.03</v>
      </c>
      <c r="BN37" s="37">
        <v>0.03</v>
      </c>
      <c r="BO37" s="37">
        <v>0.03</v>
      </c>
      <c r="BP37" s="37">
        <v>0.03</v>
      </c>
      <c r="BQ37" s="37">
        <v>0.03</v>
      </c>
      <c r="BR37" s="37">
        <v>0.03</v>
      </c>
      <c r="BS37" s="37">
        <v>0.03</v>
      </c>
      <c r="BT37" s="37">
        <v>0.03</v>
      </c>
      <c r="BU37" s="37">
        <v>0.03</v>
      </c>
      <c r="BV37" s="37">
        <v>0.03</v>
      </c>
      <c r="BW37" s="37">
        <v>0.03</v>
      </c>
      <c r="BX37" s="37">
        <v>0.03</v>
      </c>
      <c r="BY37" s="37">
        <v>0.03</v>
      </c>
      <c r="BZ37" s="37">
        <v>0.03</v>
      </c>
      <c r="CA37" s="37">
        <v>0.03</v>
      </c>
      <c r="CB37" s="37">
        <v>0.03</v>
      </c>
      <c r="CC37" s="37">
        <v>0.03</v>
      </c>
      <c r="CD37" s="37">
        <v>0.03</v>
      </c>
      <c r="CE37" s="37">
        <v>0.03</v>
      </c>
      <c r="CF37" s="37">
        <v>0.03</v>
      </c>
      <c r="CG37" s="37">
        <v>0.03</v>
      </c>
      <c r="CH37" s="37">
        <v>0.03</v>
      </c>
      <c r="CI37" s="37">
        <v>0.03</v>
      </c>
      <c r="CJ37" s="37">
        <v>0.03</v>
      </c>
      <c r="CK37" s="37">
        <v>0.03</v>
      </c>
      <c r="CL37" s="37">
        <v>0.03</v>
      </c>
      <c r="CM37" s="37">
        <v>0.03</v>
      </c>
      <c r="CN37" s="37">
        <v>0.03</v>
      </c>
      <c r="CO37" s="37">
        <v>0.03</v>
      </c>
      <c r="CP37" s="37">
        <v>0.03</v>
      </c>
      <c r="CQ37" s="37">
        <v>0.03</v>
      </c>
      <c r="CR37" s="37">
        <v>0.03</v>
      </c>
      <c r="CS37" s="37">
        <v>0.03</v>
      </c>
      <c r="CT37" s="37">
        <v>0.03</v>
      </c>
      <c r="CU37" s="37">
        <v>0.03</v>
      </c>
      <c r="CV37" s="37">
        <v>0.03</v>
      </c>
      <c r="CW37" s="37">
        <v>0.03</v>
      </c>
      <c r="CX37" s="37">
        <v>0.03</v>
      </c>
      <c r="CY37" s="37">
        <v>0.03</v>
      </c>
      <c r="CZ37" s="37">
        <v>0.03</v>
      </c>
      <c r="DA37" s="37">
        <v>0.03</v>
      </c>
      <c r="DB37" s="37">
        <v>0.03</v>
      </c>
    </row>
    <row r="38" ht="18" customHeight="1" spans="1:106" x14ac:dyDescent="0.25">
      <c r="A38" s="36" t="s">
        <v>271</v>
      </c>
      <c r="C38" s="37">
        <v>0.01</v>
      </c>
      <c r="D38" s="37">
        <v>0.01</v>
      </c>
      <c r="E38" s="37">
        <v>0.01</v>
      </c>
      <c r="F38" s="37">
        <v>0.01</v>
      </c>
      <c r="G38" s="37">
        <v>0.01</v>
      </c>
      <c r="H38" s="37">
        <v>0.01</v>
      </c>
      <c r="I38" s="37">
        <v>0.01</v>
      </c>
      <c r="J38" s="37">
        <v>0.01</v>
      </c>
      <c r="K38" s="37">
        <v>0.01</v>
      </c>
      <c r="L38" s="37">
        <v>0.01</v>
      </c>
      <c r="M38" s="37">
        <v>0.01</v>
      </c>
      <c r="N38" s="37">
        <v>0.01</v>
      </c>
      <c r="O38" s="37">
        <v>0.01</v>
      </c>
      <c r="P38" s="37">
        <v>0.01</v>
      </c>
      <c r="Q38" s="37">
        <v>0.01</v>
      </c>
      <c r="R38" s="37">
        <v>0.01</v>
      </c>
      <c r="S38" s="37">
        <v>0.01</v>
      </c>
      <c r="T38" s="37">
        <v>0.01</v>
      </c>
      <c r="U38" s="37">
        <v>0.01</v>
      </c>
      <c r="V38" s="37">
        <v>0.01</v>
      </c>
      <c r="W38" s="37">
        <v>0.01</v>
      </c>
      <c r="X38" s="37">
        <v>0.01</v>
      </c>
      <c r="Y38" s="37">
        <v>0.01</v>
      </c>
      <c r="Z38" s="37">
        <v>0.01</v>
      </c>
      <c r="AA38" s="37">
        <v>0.01</v>
      </c>
      <c r="AB38" s="37">
        <v>0.01</v>
      </c>
      <c r="AC38" s="37">
        <v>0.01</v>
      </c>
      <c r="AD38" s="37">
        <v>0.01</v>
      </c>
      <c r="AE38" s="37">
        <v>0.01</v>
      </c>
      <c r="AF38" s="37">
        <v>0.01</v>
      </c>
      <c r="AG38" s="37">
        <v>0.01</v>
      </c>
      <c r="AH38" s="37">
        <v>0.01</v>
      </c>
      <c r="AI38" s="37">
        <v>0.01</v>
      </c>
      <c r="AJ38" s="37">
        <v>0.01</v>
      </c>
      <c r="AK38" s="37">
        <v>0.01</v>
      </c>
      <c r="AL38" s="37">
        <v>0.01</v>
      </c>
      <c r="AM38" s="37">
        <v>0.01</v>
      </c>
      <c r="AN38" s="37">
        <v>0.01</v>
      </c>
      <c r="AO38" s="37">
        <v>0.01</v>
      </c>
      <c r="AP38" s="37">
        <v>0.01</v>
      </c>
      <c r="AQ38" s="37">
        <v>0.01</v>
      </c>
      <c r="AR38" s="37">
        <v>0.01</v>
      </c>
      <c r="AS38" s="37">
        <v>0.01</v>
      </c>
      <c r="AT38" s="37">
        <v>0.01</v>
      </c>
      <c r="AU38" s="37">
        <v>0.01</v>
      </c>
      <c r="AV38" s="37">
        <v>0.01</v>
      </c>
      <c r="AW38" s="37">
        <v>0.01</v>
      </c>
      <c r="AX38" s="37">
        <v>0.01</v>
      </c>
      <c r="AY38" s="37">
        <v>0.01</v>
      </c>
      <c r="AZ38" s="37">
        <v>0.01</v>
      </c>
      <c r="BA38" s="37">
        <v>0.01</v>
      </c>
      <c r="BB38" s="37">
        <v>0.01</v>
      </c>
      <c r="BC38" s="37">
        <v>0.01</v>
      </c>
      <c r="BD38" s="37">
        <v>0.01</v>
      </c>
      <c r="BE38" s="37">
        <v>0.01</v>
      </c>
      <c r="BF38" s="37">
        <v>0.01</v>
      </c>
      <c r="BG38" s="37">
        <v>0.01</v>
      </c>
      <c r="BH38" s="37">
        <v>0.01</v>
      </c>
      <c r="BI38" s="37">
        <v>0.01</v>
      </c>
      <c r="BJ38" s="37">
        <v>0.01</v>
      </c>
      <c r="BK38" s="37">
        <v>0.01</v>
      </c>
      <c r="BL38" s="37">
        <v>0.01</v>
      </c>
      <c r="BM38" s="37">
        <v>0.01</v>
      </c>
      <c r="BN38" s="37">
        <v>0.01</v>
      </c>
      <c r="BO38" s="37">
        <v>0.01</v>
      </c>
      <c r="BP38" s="37">
        <v>0.01</v>
      </c>
      <c r="BQ38" s="37">
        <v>0.01</v>
      </c>
      <c r="BR38" s="37">
        <v>0.01</v>
      </c>
      <c r="BS38" s="37">
        <v>0.01</v>
      </c>
      <c r="BT38" s="37">
        <v>0.01</v>
      </c>
      <c r="BU38" s="37">
        <v>0.01</v>
      </c>
      <c r="BV38" s="37">
        <v>0.01</v>
      </c>
      <c r="BW38" s="37">
        <v>0.01</v>
      </c>
      <c r="BX38" s="37">
        <v>0.01</v>
      </c>
      <c r="BY38" s="37">
        <v>0.01</v>
      </c>
      <c r="BZ38" s="37">
        <v>0.01</v>
      </c>
      <c r="CA38" s="37">
        <v>0.01</v>
      </c>
      <c r="CB38" s="37">
        <v>0.01</v>
      </c>
      <c r="CC38" s="37">
        <v>0.01</v>
      </c>
      <c r="CD38" s="37">
        <v>0.01</v>
      </c>
      <c r="CE38" s="37">
        <v>0.01</v>
      </c>
      <c r="CF38" s="37">
        <v>0.01</v>
      </c>
      <c r="CG38" s="37">
        <v>0.01</v>
      </c>
      <c r="CH38" s="37">
        <v>0.01</v>
      </c>
      <c r="CI38" s="37">
        <v>0.01</v>
      </c>
      <c r="CJ38" s="37">
        <v>0.01</v>
      </c>
      <c r="CK38" s="37">
        <v>0.01</v>
      </c>
      <c r="CL38" s="37">
        <v>0.01</v>
      </c>
      <c r="CM38" s="37">
        <v>0.01</v>
      </c>
      <c r="CN38" s="37">
        <v>0.01</v>
      </c>
      <c r="CO38" s="37">
        <v>0.01</v>
      </c>
      <c r="CP38" s="37">
        <v>0.01</v>
      </c>
      <c r="CQ38" s="37">
        <v>0.01</v>
      </c>
      <c r="CR38" s="37">
        <v>0.01</v>
      </c>
      <c r="CS38" s="37">
        <v>0.01</v>
      </c>
      <c r="CT38" s="37">
        <v>0.01</v>
      </c>
      <c r="CU38" s="37">
        <v>0.01</v>
      </c>
      <c r="CV38" s="37">
        <v>0.01</v>
      </c>
      <c r="CW38" s="37">
        <v>0.01</v>
      </c>
      <c r="CX38" s="37">
        <v>0.01</v>
      </c>
      <c r="CY38" s="37">
        <v>0.01</v>
      </c>
      <c r="CZ38" s="37">
        <v>0.01</v>
      </c>
      <c r="DA38" s="37">
        <v>0.01</v>
      </c>
      <c r="DB38" s="37">
        <v>0.01</v>
      </c>
    </row>
    <row r="39" ht="18" customHeight="1" spans="1:106" x14ac:dyDescent="0.25">
      <c r="A39" s="36" t="s">
        <v>272</v>
      </c>
      <c r="C39" s="39">
        <v>0.02</v>
      </c>
      <c r="D39" s="39">
        <v>0.02</v>
      </c>
      <c r="E39" s="39">
        <v>0.02</v>
      </c>
      <c r="F39" s="39">
        <v>0.02</v>
      </c>
      <c r="G39" s="39">
        <v>0.02</v>
      </c>
      <c r="H39" s="39">
        <v>0.02</v>
      </c>
      <c r="I39" s="39">
        <v>0.02</v>
      </c>
      <c r="J39" s="39">
        <v>0.02</v>
      </c>
      <c r="K39" s="39">
        <v>0.02</v>
      </c>
      <c r="L39" s="39">
        <v>0.02</v>
      </c>
      <c r="M39" s="39">
        <v>0.02</v>
      </c>
      <c r="N39" s="39">
        <v>0.02</v>
      </c>
      <c r="O39" s="39">
        <v>0.02</v>
      </c>
      <c r="P39" s="39">
        <v>0.02</v>
      </c>
      <c r="Q39" s="39">
        <v>0.02</v>
      </c>
      <c r="R39" s="39">
        <v>0.02</v>
      </c>
      <c r="S39" s="39">
        <v>0.02</v>
      </c>
      <c r="T39" s="39">
        <v>0.02</v>
      </c>
      <c r="U39" s="39">
        <v>0.02</v>
      </c>
      <c r="V39" s="39">
        <v>0.02</v>
      </c>
      <c r="W39" s="39">
        <v>0.02</v>
      </c>
      <c r="X39" s="39">
        <v>0.02</v>
      </c>
      <c r="Y39" s="39">
        <v>0.02</v>
      </c>
      <c r="Z39" s="39">
        <v>0.02</v>
      </c>
      <c r="AA39" s="39">
        <v>0.02</v>
      </c>
      <c r="AB39" s="39">
        <v>0.02</v>
      </c>
      <c r="AC39" s="39">
        <v>0.02</v>
      </c>
      <c r="AD39" s="39">
        <v>0.02</v>
      </c>
      <c r="AE39" s="39">
        <v>0.02</v>
      </c>
      <c r="AF39" s="39">
        <v>0.02</v>
      </c>
      <c r="AG39" s="39">
        <v>0.02</v>
      </c>
      <c r="AH39" s="39">
        <v>0.02</v>
      </c>
      <c r="AI39" s="39">
        <v>0.02</v>
      </c>
      <c r="AJ39" s="39">
        <v>0.02</v>
      </c>
      <c r="AK39" s="39">
        <v>0.02</v>
      </c>
      <c r="AL39" s="39">
        <v>0.02</v>
      </c>
      <c r="AM39" s="39">
        <v>0.02</v>
      </c>
      <c r="AN39" s="39">
        <v>0.02</v>
      </c>
      <c r="AO39" s="39">
        <v>0.02</v>
      </c>
      <c r="AP39" s="39">
        <v>0.02</v>
      </c>
      <c r="AQ39" s="39">
        <v>0.02</v>
      </c>
      <c r="AR39" s="39">
        <v>0.02</v>
      </c>
      <c r="AS39" s="39">
        <v>0.02</v>
      </c>
      <c r="AT39" s="39">
        <v>0.02</v>
      </c>
      <c r="AU39" s="39">
        <v>0.02</v>
      </c>
      <c r="AV39" s="39">
        <v>0.02</v>
      </c>
      <c r="AW39" s="39">
        <v>0.02</v>
      </c>
      <c r="AX39" s="39">
        <v>0.02</v>
      </c>
      <c r="AY39" s="39">
        <v>0.02</v>
      </c>
      <c r="AZ39" s="39">
        <v>0.02</v>
      </c>
      <c r="BA39" s="39">
        <v>0.02</v>
      </c>
      <c r="BB39" s="39">
        <v>0.02</v>
      </c>
      <c r="BC39" s="39">
        <v>0.02</v>
      </c>
      <c r="BD39" s="39">
        <v>0.02</v>
      </c>
      <c r="BE39" s="39">
        <v>0.02</v>
      </c>
      <c r="BF39" s="39">
        <v>0.02</v>
      </c>
      <c r="BG39" s="39">
        <v>0.02</v>
      </c>
      <c r="BH39" s="39">
        <v>0.02</v>
      </c>
      <c r="BI39" s="39">
        <v>0.02</v>
      </c>
      <c r="BJ39" s="39">
        <v>0.02</v>
      </c>
      <c r="BK39" s="39">
        <v>0.02</v>
      </c>
      <c r="BL39" s="39">
        <v>0.02</v>
      </c>
      <c r="BM39" s="39">
        <v>0.02</v>
      </c>
      <c r="BN39" s="39">
        <v>0.02</v>
      </c>
      <c r="BO39" s="39">
        <v>0.02</v>
      </c>
      <c r="BP39" s="39">
        <v>0.02</v>
      </c>
      <c r="BQ39" s="39">
        <v>0.02</v>
      </c>
      <c r="BR39" s="39">
        <v>0.02</v>
      </c>
      <c r="BS39" s="39">
        <v>0.02</v>
      </c>
      <c r="BT39" s="39">
        <v>0.02</v>
      </c>
      <c r="BU39" s="39">
        <v>0.02</v>
      </c>
      <c r="BV39" s="39">
        <v>0.02</v>
      </c>
      <c r="BW39" s="39">
        <v>0.02</v>
      </c>
      <c r="BX39" s="39">
        <v>0.02</v>
      </c>
      <c r="BY39" s="39">
        <v>0.02</v>
      </c>
      <c r="BZ39" s="39">
        <v>0.02</v>
      </c>
      <c r="CA39" s="39">
        <v>0.02</v>
      </c>
      <c r="CB39" s="39">
        <v>0.02</v>
      </c>
      <c r="CC39" s="39">
        <v>0.02</v>
      </c>
      <c r="CD39" s="39">
        <v>0.02</v>
      </c>
      <c r="CE39" s="39">
        <v>0.02</v>
      </c>
      <c r="CF39" s="39">
        <v>0.02</v>
      </c>
      <c r="CG39" s="39">
        <v>0.02</v>
      </c>
      <c r="CH39" s="39">
        <v>0.02</v>
      </c>
      <c r="CI39" s="39">
        <v>0.02</v>
      </c>
      <c r="CJ39" s="39">
        <v>0.02</v>
      </c>
      <c r="CK39" s="39">
        <v>0.02</v>
      </c>
      <c r="CL39" s="39">
        <v>0.02</v>
      </c>
      <c r="CM39" s="39">
        <v>0.02</v>
      </c>
      <c r="CN39" s="39">
        <v>0.02</v>
      </c>
      <c r="CO39" s="39">
        <v>0.02</v>
      </c>
      <c r="CP39" s="39">
        <v>0.02</v>
      </c>
      <c r="CQ39" s="39">
        <v>0.02</v>
      </c>
      <c r="CR39" s="39">
        <v>0.02</v>
      </c>
      <c r="CS39" s="39">
        <v>0.02</v>
      </c>
      <c r="CT39" s="39">
        <v>0.02</v>
      </c>
      <c r="CU39" s="39">
        <v>0.02</v>
      </c>
      <c r="CV39" s="39">
        <v>0.02</v>
      </c>
      <c r="CW39" s="39">
        <v>0.02</v>
      </c>
      <c r="CX39" s="39">
        <v>0.02</v>
      </c>
      <c r="CY39" s="39">
        <v>0.02</v>
      </c>
      <c r="CZ39" s="39">
        <v>0.02</v>
      </c>
      <c r="DA39" s="39">
        <v>0.02</v>
      </c>
      <c r="DB39" s="39">
        <v>0.02</v>
      </c>
    </row>
    <row r="40" ht="18" customHeight="1" spans="1:106" x14ac:dyDescent="0.25">
      <c r="A40" s="36" t="s">
        <v>273</v>
      </c>
      <c r="C40" s="39">
        <v>0</v>
      </c>
      <c r="D40" s="39">
        <v>0</v>
      </c>
      <c r="E40" s="39">
        <v>0</v>
      </c>
      <c r="F40" s="39">
        <v>0</v>
      </c>
      <c r="G40" s="39">
        <v>0</v>
      </c>
      <c r="H40" s="39">
        <v>0</v>
      </c>
      <c r="I40" s="39">
        <v>0</v>
      </c>
      <c r="J40" s="39">
        <v>0</v>
      </c>
      <c r="K40" s="39">
        <v>0</v>
      </c>
      <c r="L40" s="39">
        <v>0</v>
      </c>
      <c r="M40" s="39">
        <v>0</v>
      </c>
      <c r="N40" s="39">
        <v>0</v>
      </c>
      <c r="O40" s="39">
        <v>0</v>
      </c>
      <c r="P40" s="39">
        <v>0</v>
      </c>
      <c r="Q40" s="39">
        <v>0</v>
      </c>
      <c r="R40" s="39">
        <v>0</v>
      </c>
      <c r="S40" s="39">
        <v>0</v>
      </c>
      <c r="T40" s="39">
        <v>0</v>
      </c>
      <c r="U40" s="39">
        <v>0</v>
      </c>
      <c r="V40" s="39">
        <v>0</v>
      </c>
      <c r="W40" s="39">
        <v>0</v>
      </c>
      <c r="X40" s="39">
        <v>0</v>
      </c>
      <c r="Y40" s="39">
        <v>0</v>
      </c>
      <c r="Z40" s="39">
        <v>0</v>
      </c>
      <c r="AA40" s="39">
        <v>0</v>
      </c>
      <c r="AB40" s="39">
        <v>0</v>
      </c>
      <c r="AC40" s="39">
        <v>0</v>
      </c>
      <c r="AD40" s="39">
        <v>0</v>
      </c>
      <c r="AE40" s="39">
        <v>0</v>
      </c>
      <c r="AF40" s="39">
        <v>0</v>
      </c>
      <c r="AG40" s="39">
        <v>0</v>
      </c>
      <c r="AH40" s="39">
        <v>0</v>
      </c>
      <c r="AI40" s="39">
        <v>0</v>
      </c>
      <c r="AJ40" s="39">
        <v>0</v>
      </c>
      <c r="AK40" s="39">
        <v>0</v>
      </c>
      <c r="AL40" s="39">
        <v>0</v>
      </c>
      <c r="AM40" s="39">
        <v>0</v>
      </c>
      <c r="AN40" s="39">
        <v>0</v>
      </c>
      <c r="AO40" s="39">
        <v>0</v>
      </c>
      <c r="AP40" s="39">
        <v>0</v>
      </c>
      <c r="AQ40" s="39">
        <v>0</v>
      </c>
      <c r="AR40" s="39">
        <v>0</v>
      </c>
      <c r="AS40" s="39">
        <v>0</v>
      </c>
      <c r="AT40" s="39">
        <v>0</v>
      </c>
      <c r="AU40" s="39">
        <v>0</v>
      </c>
      <c r="AV40" s="39">
        <v>0</v>
      </c>
      <c r="AW40" s="39">
        <v>0</v>
      </c>
      <c r="AX40" s="39">
        <v>0</v>
      </c>
      <c r="AY40" s="39">
        <v>0</v>
      </c>
      <c r="AZ40" s="39">
        <v>0</v>
      </c>
      <c r="BA40" s="39">
        <v>0</v>
      </c>
      <c r="BB40" s="39">
        <v>0</v>
      </c>
      <c r="BC40" s="39">
        <v>0</v>
      </c>
      <c r="BD40" s="39">
        <v>0</v>
      </c>
      <c r="BE40" s="39">
        <v>0</v>
      </c>
      <c r="BF40" s="39">
        <v>0</v>
      </c>
      <c r="BG40" s="39">
        <v>0</v>
      </c>
      <c r="BH40" s="39">
        <v>0</v>
      </c>
      <c r="BI40" s="39">
        <v>0</v>
      </c>
      <c r="BJ40" s="39">
        <v>0</v>
      </c>
      <c r="BK40" s="39">
        <v>0</v>
      </c>
      <c r="BL40" s="39">
        <v>0</v>
      </c>
      <c r="BM40" s="39">
        <v>0</v>
      </c>
      <c r="BN40" s="39">
        <v>0</v>
      </c>
      <c r="BO40" s="39">
        <v>0</v>
      </c>
      <c r="BP40" s="39">
        <v>0</v>
      </c>
      <c r="BQ40" s="39">
        <v>0</v>
      </c>
      <c r="BR40" s="39">
        <v>0</v>
      </c>
      <c r="BS40" s="39">
        <v>0</v>
      </c>
      <c r="BT40" s="39">
        <v>0</v>
      </c>
      <c r="BU40" s="39">
        <v>0</v>
      </c>
      <c r="BV40" s="39">
        <v>0</v>
      </c>
      <c r="BW40" s="39">
        <v>0</v>
      </c>
      <c r="BX40" s="39">
        <v>0</v>
      </c>
      <c r="BY40" s="39">
        <v>0</v>
      </c>
      <c r="BZ40" s="39">
        <v>0</v>
      </c>
      <c r="CA40" s="39">
        <v>0</v>
      </c>
      <c r="CB40" s="39">
        <v>0</v>
      </c>
      <c r="CC40" s="39">
        <v>0</v>
      </c>
      <c r="CD40" s="39">
        <v>0</v>
      </c>
      <c r="CE40" s="39">
        <v>0</v>
      </c>
      <c r="CF40" s="39">
        <v>0</v>
      </c>
      <c r="CG40" s="39">
        <v>0</v>
      </c>
      <c r="CH40" s="39">
        <v>0</v>
      </c>
      <c r="CI40" s="39">
        <v>0</v>
      </c>
      <c r="CJ40" s="39">
        <v>0</v>
      </c>
      <c r="CK40" s="39">
        <v>0</v>
      </c>
      <c r="CL40" s="39">
        <v>0</v>
      </c>
      <c r="CM40" s="39">
        <v>0</v>
      </c>
      <c r="CN40" s="39">
        <v>0</v>
      </c>
      <c r="CO40" s="39">
        <v>0</v>
      </c>
      <c r="CP40" s="39">
        <v>0</v>
      </c>
      <c r="CQ40" s="39">
        <v>0</v>
      </c>
      <c r="CR40" s="39">
        <v>0</v>
      </c>
      <c r="CS40" s="39">
        <v>0</v>
      </c>
      <c r="CT40" s="39">
        <v>0</v>
      </c>
      <c r="CU40" s="39">
        <v>0</v>
      </c>
      <c r="CV40" s="39">
        <v>0</v>
      </c>
      <c r="CW40" s="39">
        <v>0</v>
      </c>
      <c r="CX40" s="39">
        <v>0</v>
      </c>
      <c r="CY40" s="39">
        <v>0</v>
      </c>
      <c r="CZ40" s="39">
        <v>0</v>
      </c>
      <c r="DA40" s="39">
        <v>0</v>
      </c>
      <c r="DB40" s="39">
        <v>0</v>
      </c>
    </row>
    <row r="41" ht="18" customHeight="1" spans="1:106" x14ac:dyDescent="0.25">
      <c r="A41" s="20" t="s">
        <v>274</v>
      </c>
      <c r="B41" s="17"/>
      <c r="C41" s="87">
        <v>0.0125</v>
      </c>
      <c r="D41" s="87">
        <v>0.0125</v>
      </c>
      <c r="E41" s="87">
        <v>0.0125</v>
      </c>
      <c r="F41" s="87">
        <v>0.0125</v>
      </c>
      <c r="G41" s="87">
        <v>0.0125</v>
      </c>
      <c r="H41" s="87">
        <v>0.0125</v>
      </c>
      <c r="I41" s="87">
        <v>0.0125</v>
      </c>
      <c r="J41" s="87">
        <v>0.0125</v>
      </c>
      <c r="K41" s="87">
        <v>0.0125</v>
      </c>
      <c r="L41" s="87">
        <v>0.0125</v>
      </c>
      <c r="M41" s="87">
        <v>0.0125</v>
      </c>
      <c r="N41" s="87">
        <v>0.0125</v>
      </c>
      <c r="O41" s="87">
        <v>0.0125</v>
      </c>
      <c r="P41" s="87">
        <v>0.0125</v>
      </c>
      <c r="Q41" s="87">
        <v>0.0125</v>
      </c>
      <c r="R41" s="87">
        <v>0.0125</v>
      </c>
      <c r="S41" s="87">
        <v>0.0125</v>
      </c>
      <c r="T41" s="87">
        <v>0.0125</v>
      </c>
      <c r="U41" s="87">
        <v>0.0125</v>
      </c>
      <c r="V41" s="87">
        <v>0.0125</v>
      </c>
      <c r="W41" s="87">
        <v>0.0125</v>
      </c>
      <c r="X41" s="87">
        <v>0.0125</v>
      </c>
      <c r="Y41" s="87">
        <v>0.0125</v>
      </c>
      <c r="Z41" s="87">
        <v>0.0125</v>
      </c>
      <c r="AA41" s="87">
        <v>0.0125</v>
      </c>
      <c r="AB41" s="87">
        <v>0.0125</v>
      </c>
      <c r="AC41" s="87">
        <v>0.0125</v>
      </c>
      <c r="AD41" s="87">
        <v>0.0125</v>
      </c>
      <c r="AE41" s="87">
        <v>0.0125</v>
      </c>
      <c r="AF41" s="87">
        <v>0.0125</v>
      </c>
      <c r="AG41" s="87">
        <v>0.0125</v>
      </c>
      <c r="AH41" s="87">
        <v>0.0125</v>
      </c>
      <c r="AI41" s="87">
        <v>0.0125</v>
      </c>
      <c r="AJ41" s="87">
        <v>0.0125</v>
      </c>
      <c r="AK41" s="87">
        <v>0.0125</v>
      </c>
      <c r="AL41" s="87">
        <v>0.0125</v>
      </c>
      <c r="AM41" s="87">
        <v>0.0125</v>
      </c>
      <c r="AN41" s="87">
        <v>0.0125</v>
      </c>
      <c r="AO41" s="87">
        <v>0.0125</v>
      </c>
      <c r="AP41" s="87">
        <v>0.0125</v>
      </c>
      <c r="AQ41" s="87">
        <v>0.0125</v>
      </c>
      <c r="AR41" s="87">
        <v>0.0125</v>
      </c>
      <c r="AS41" s="87">
        <v>0.0125</v>
      </c>
      <c r="AT41" s="87">
        <v>0.0125</v>
      </c>
      <c r="AU41" s="87">
        <v>0.0125</v>
      </c>
      <c r="AV41" s="87">
        <v>0.0125</v>
      </c>
      <c r="AW41" s="87">
        <v>0.0125</v>
      </c>
      <c r="AX41" s="87">
        <v>0.0125</v>
      </c>
      <c r="AY41" s="87">
        <v>0.0125</v>
      </c>
      <c r="AZ41" s="87">
        <v>0.0125</v>
      </c>
      <c r="BA41" s="87">
        <v>0.0125</v>
      </c>
      <c r="BB41" s="87">
        <v>0.0125</v>
      </c>
      <c r="BC41" s="87">
        <v>0.01</v>
      </c>
      <c r="BD41" s="87">
        <v>0.01</v>
      </c>
      <c r="BE41" s="87">
        <v>0.01</v>
      </c>
      <c r="BF41" s="87">
        <v>0.01</v>
      </c>
      <c r="BG41" s="87">
        <v>0.01</v>
      </c>
      <c r="BH41" s="87">
        <v>0.0125</v>
      </c>
      <c r="BI41" s="87">
        <v>0.0125</v>
      </c>
      <c r="BJ41" s="87">
        <v>0.0125</v>
      </c>
      <c r="BK41" s="87">
        <v>0.0125</v>
      </c>
      <c r="BL41" s="87">
        <v>0.0125</v>
      </c>
      <c r="BM41" s="87">
        <v>0.0125</v>
      </c>
      <c r="BN41" s="87">
        <v>0.0125</v>
      </c>
      <c r="BO41" s="87">
        <v>0.0125</v>
      </c>
      <c r="BP41" s="87">
        <v>0.01</v>
      </c>
      <c r="BQ41" s="87">
        <v>0.01</v>
      </c>
      <c r="BR41" s="87">
        <v>0.01</v>
      </c>
      <c r="BS41" s="87">
        <v>0.01</v>
      </c>
      <c r="BT41" s="87">
        <v>0.01</v>
      </c>
      <c r="BU41" s="87">
        <v>0.0125</v>
      </c>
      <c r="BV41" s="87">
        <v>0.0125</v>
      </c>
      <c r="BW41" s="87">
        <v>0.0125</v>
      </c>
      <c r="BX41" s="40">
        <v>0.0125</v>
      </c>
      <c r="BY41" s="40">
        <v>0.0125</v>
      </c>
      <c r="BZ41" s="40">
        <v>0.0125</v>
      </c>
      <c r="CA41" s="40">
        <v>0.0125</v>
      </c>
      <c r="CB41" s="40">
        <v>0.0125</v>
      </c>
      <c r="CC41" s="87">
        <v>0.01</v>
      </c>
      <c r="CD41" s="87">
        <v>0.01</v>
      </c>
      <c r="CE41" s="87">
        <v>0.01</v>
      </c>
      <c r="CF41" s="87">
        <v>0.01</v>
      </c>
      <c r="CG41" s="87">
        <v>0.01</v>
      </c>
      <c r="CH41" s="87">
        <v>0.0125</v>
      </c>
      <c r="CI41" s="87">
        <v>0.0125</v>
      </c>
      <c r="CJ41" s="87">
        <v>0.0125</v>
      </c>
      <c r="CK41" s="87">
        <v>0.0125</v>
      </c>
      <c r="CL41" s="87">
        <v>0.0125</v>
      </c>
      <c r="CM41" s="87">
        <v>0.0125</v>
      </c>
      <c r="CN41" s="87">
        <v>0.0125</v>
      </c>
      <c r="CO41" s="87">
        <v>0.0125</v>
      </c>
      <c r="CP41" s="87">
        <v>0.01</v>
      </c>
      <c r="CQ41" s="87">
        <v>0.01</v>
      </c>
      <c r="CR41" s="87">
        <v>0.01</v>
      </c>
      <c r="CS41" s="87">
        <v>0.01</v>
      </c>
      <c r="CT41" s="87">
        <v>0.01</v>
      </c>
      <c r="CU41" s="87">
        <v>0.0125</v>
      </c>
      <c r="CV41" s="87">
        <v>0.0125</v>
      </c>
      <c r="CW41" s="87">
        <v>0.0125</v>
      </c>
      <c r="CX41" s="87">
        <v>0.0125</v>
      </c>
      <c r="CY41" s="87">
        <v>0.0125</v>
      </c>
      <c r="CZ41" s="87">
        <v>0.0125</v>
      </c>
      <c r="DA41" s="87">
        <v>0.0125</v>
      </c>
      <c r="DB41" s="87">
        <v>0.0125</v>
      </c>
    </row>
    <row r="42" ht="18" customHeight="1" spans="1:106" x14ac:dyDescent="0.25">
      <c r="A42" s="36" t="s">
        <v>275</v>
      </c>
      <c r="C42" s="38"/>
      <c r="D42" s="82">
        <f>=IFERROR(C19*C41,0)</f>
        <v>1.225</v>
      </c>
      <c r="E42" s="82">
        <f>=IFERROR(D19*D41,0)</f>
        <v>1.15</v>
      </c>
      <c r="F42" s="82">
        <f>=IFERROR(E19*E41,0)</f>
        <v>1.1875</v>
      </c>
      <c r="G42" s="82">
        <f>=IFERROR(F19*F41,0)</f>
        <v>1.125</v>
      </c>
      <c r="H42" s="82">
        <f>=IFERROR(G19*G41,0)</f>
        <v>1.1125</v>
      </c>
      <c r="I42" s="82">
        <f>=IFERROR(H19*H41,0)</f>
        <v>1.225</v>
      </c>
      <c r="J42" s="82">
        <f>=IFERROR(I19*I41,0)</f>
        <v>1.2</v>
      </c>
      <c r="K42" s="82">
        <f>=IFERROR(J19*J41,0)</f>
        <v>1.125</v>
      </c>
      <c r="L42" s="82">
        <f>=IFERROR(K19*K41,0)</f>
        <v>1.0875</v>
      </c>
      <c r="M42" s="82">
        <f>=IFERROR(L19*L41,0)</f>
        <v>1.2125</v>
      </c>
      <c r="N42" s="82">
        <f>=IFERROR(M19*M41,0)</f>
        <v>1.1375</v>
      </c>
      <c r="O42" s="82">
        <f>=IFERROR(N19*N41,0)</f>
        <v>1.1875</v>
      </c>
      <c r="P42" s="82">
        <f>=IFERROR(O19*O41,0)</f>
        <v>1.275</v>
      </c>
      <c r="Q42" s="82">
        <f>=IFERROR(P19*P41,0)</f>
        <v>1.2375</v>
      </c>
      <c r="R42" s="82">
        <f>=IFERROR(Q19*Q41,0)</f>
        <v>1.2125</v>
      </c>
      <c r="S42" s="82">
        <f>=IFERROR(R19*R41,0)</f>
        <v>1.2625</v>
      </c>
      <c r="T42" s="82">
        <f>=IFERROR(S19*S41,0)</f>
        <v>1.225</v>
      </c>
      <c r="U42" s="82">
        <f>=IFERROR(T19*T41,0)</f>
        <v>1.3375</v>
      </c>
      <c r="V42" s="82">
        <f>=IFERROR(U19*U41,0)</f>
        <v>1.2875</v>
      </c>
      <c r="W42" s="82">
        <f>=IFERROR(V19*V41,0)</f>
        <v>1.275</v>
      </c>
      <c r="X42" s="82">
        <f>=IFERROR(W19*W41,0)</f>
        <v>1.1875</v>
      </c>
      <c r="Y42" s="82">
        <f>=IFERROR(X19*X41,0)</f>
        <v>1.175</v>
      </c>
      <c r="Z42" s="82">
        <f>=IFERROR(Y19*Y41,0)</f>
        <v>1.1625</v>
      </c>
      <c r="AA42" s="82">
        <f>=IFERROR(Z19*Z41,0)</f>
        <v>1.1625</v>
      </c>
      <c r="AB42" s="82">
        <f>=IFERROR(AA19*AA41,0)</f>
        <v>1.1625</v>
      </c>
      <c r="AC42" s="82">
        <f>=IFERROR(AB19*AB41,0)</f>
        <v>1.1125</v>
      </c>
      <c r="AD42" s="82">
        <f>=IFERROR(AC19*AC41,0)</f>
        <v>1.1</v>
      </c>
      <c r="AE42" s="82">
        <f>=IFERROR(AD19*AD41,0)</f>
        <v>1.1125</v>
      </c>
      <c r="AF42" s="82">
        <f>=IFERROR(AE19*AE41,0)</f>
        <v>1.0875</v>
      </c>
      <c r="AG42" s="82">
        <f>=IFERROR(AF19*AF41,0)</f>
        <v>1.0625</v>
      </c>
      <c r="AH42" s="82">
        <f>=IFERROR(AG19*AG41,0)</f>
        <v>1.025</v>
      </c>
      <c r="AI42" s="82">
        <f>=IFERROR(AH19*AH41,0)</f>
        <v>1.025</v>
      </c>
      <c r="AJ42" s="82">
        <f>=IFERROR(AI19*AI41,0)</f>
        <v>0.9875</v>
      </c>
      <c r="AK42" s="82">
        <f>=IFERROR(AJ19*AJ41,0)</f>
        <v>0.9375</v>
      </c>
      <c r="AL42" s="82">
        <f>=IFERROR(AK19*AK41,0)</f>
        <v>0.9875</v>
      </c>
      <c r="AM42" s="82">
        <f>=IFERROR(AL19*AL41,0)</f>
        <v>0.9625</v>
      </c>
      <c r="AN42" s="82">
        <f>=IFERROR(AM19*AM41,0)</f>
        <v>0.95</v>
      </c>
      <c r="AO42" s="82">
        <f>=IFERROR(AN19*AN41,0)</f>
        <v>0.925</v>
      </c>
      <c r="AP42" s="82">
        <f>=IFERROR(AO19*AO41,0)</f>
        <v>0.9</v>
      </c>
      <c r="AQ42" s="82">
        <f>=IFERROR(AP19*AP41,0)</f>
        <v>0.8375</v>
      </c>
      <c r="AR42" s="82">
        <f>=IFERROR(AQ19*AQ41,0)</f>
        <v>0.8125</v>
      </c>
      <c r="AS42" s="82">
        <f>=IFERROR(AR19*AR41,0)</f>
        <v>0.825</v>
      </c>
      <c r="AT42" s="82">
        <f>=IFERROR(AS19*AS41,0)</f>
        <v>1</v>
      </c>
      <c r="AU42" s="82">
        <f>=IFERROR(AT19*AT41,0)</f>
        <v>0.975</v>
      </c>
      <c r="AV42" s="82">
        <f>=IFERROR(AU19*AU41,0)</f>
        <v>0.975</v>
      </c>
      <c r="AW42" s="82">
        <f>=IFERROR(AV19*AV41,0)</f>
        <v>0.975</v>
      </c>
      <c r="AX42" s="82">
        <f>=IFERROR(AW19*AW41,0)</f>
        <v>1.1</v>
      </c>
      <c r="AY42" s="82">
        <f>=IFERROR(AX19*AX41,0)</f>
        <v>1.1</v>
      </c>
      <c r="AZ42" s="82">
        <f>=IFERROR(AY19*AY41,0)</f>
        <v>1.0625</v>
      </c>
      <c r="BA42" s="82">
        <f>=IFERROR(AZ19*AZ41,0)</f>
        <v>1.0375</v>
      </c>
      <c r="BB42" s="82">
        <f>=IFERROR(BA19*BA41,0)</f>
        <v>1.025</v>
      </c>
      <c r="BC42" s="82">
        <f>=IFERROR(BB19*BB41,0)</f>
        <v>1.175</v>
      </c>
      <c r="BD42" s="82">
        <f>=IFERROR(BC19*BC41,0)</f>
        <v>1.09</v>
      </c>
      <c r="BE42" s="82">
        <f>=IFERROR(BD19*BD41,0)</f>
        <v>1.04</v>
      </c>
      <c r="BF42" s="82">
        <f>=IFERROR(BE19*BE41,0)</f>
        <v>1.15</v>
      </c>
      <c r="BG42" s="82">
        <f>=IFERROR(BF19*BF41,0)</f>
        <v>1.1</v>
      </c>
      <c r="BH42" s="82">
        <f>=IFERROR(BG19*BG41,0)</f>
        <v>1.1</v>
      </c>
      <c r="BI42" s="82">
        <f>=IFERROR(BH19*BH41,0)</f>
        <v>1.4375</v>
      </c>
      <c r="BJ42" s="82">
        <f>=IFERROR(BI19*BI41,0)</f>
        <v>1.325</v>
      </c>
      <c r="BK42" s="82">
        <f>=IFERROR(BJ19*BJ41,0)</f>
        <v>1.425</v>
      </c>
      <c r="BL42" s="82">
        <f>=IFERROR(BK19*BK41,0)</f>
        <v>1.425</v>
      </c>
      <c r="BM42" s="82">
        <f>=IFERROR(BL19*BL41,0)</f>
        <v>1.4125</v>
      </c>
      <c r="BN42" s="82">
        <f>=IFERROR(BM19*BM41,0)</f>
        <v>0.9625</v>
      </c>
      <c r="BO42" s="82">
        <f>=IFERROR(BN19*BN41,0)</f>
        <v>0.9625</v>
      </c>
      <c r="BP42" s="82">
        <f>=IFERROR(BO19*BO41,0)</f>
        <v>0.875</v>
      </c>
      <c r="BQ42" s="82">
        <f>=IFERROR(BP19*BP41,0)</f>
        <v>0.72</v>
      </c>
      <c r="BR42" s="82">
        <f>=IFERROR(BQ19*BQ41,0)</f>
        <v>0.57</v>
      </c>
      <c r="BS42" s="82">
        <f>=IFERROR(BR19*BR41,0)</f>
        <v>0.56</v>
      </c>
      <c r="BT42" s="82">
        <f>=IFERROR(BS19*BS41,0)</f>
        <v>0.54</v>
      </c>
      <c r="BU42" s="82">
        <f>=IFERROR(BT19*BT41,0)</f>
        <v>0.54</v>
      </c>
      <c r="BV42" s="82">
        <f>=IFERROR(BU19*BU41,0)</f>
        <v>0.5625</v>
      </c>
      <c r="BW42" s="82">
        <f>=IFERROR(BV19*BV41,0)</f>
        <v>0.5625</v>
      </c>
      <c r="BX42" s="82">
        <f>=IFERROR(BW19*BW41,0)</f>
        <v>0.5625</v>
      </c>
      <c r="BY42" s="82">
        <f>=IFERROR(BX19*BX41,0)</f>
        <v>0.55</v>
      </c>
      <c r="BZ42" s="82">
        <f>=IFERROR(BY19*BY41,0)</f>
        <v>0.5625</v>
      </c>
      <c r="CA42" s="82">
        <f>=IFERROR(BZ19*BZ41,0)</f>
        <v>0.55546875</v>
      </c>
      <c r="CB42" s="82">
        <f>=IFERROR(CA19*CA41,0)</f>
        <v>0.548525390625</v>
      </c>
      <c r="CC42" s="82">
        <f>=IFERROR(CB19*CB41,0)</f>
        <v>0.5416688232421876</v>
      </c>
      <c r="CD42" s="82">
        <f>=IFERROR(CC19*CC41,0)</f>
        <v>0.4279183703613281</v>
      </c>
      <c r="CE42" s="82">
        <f>=IFERROR(CD19*CD41,0)</f>
        <v>0.42363918665771483</v>
      </c>
      <c r="CF42" s="82">
        <f>=IFERROR(CE19*CE41,0)</f>
        <v>0.41940279479113785</v>
      </c>
      <c r="CG42" s="82">
        <f>=IFERROR(CF19*CF41,0)</f>
        <v>0.31520876684322646</v>
      </c>
      <c r="CH42" s="82">
        <f>=IFERROR(CG19*CG41,0)</f>
        <v>0.31205667917479424</v>
      </c>
      <c r="CI42" s="82">
        <f>=IFERROR(CH19*CH41,0)</f>
        <v>0.3861701404788079</v>
      </c>
      <c r="CJ42" s="82">
        <f>=IFERROR(CI19*CI41,0)</f>
        <v>0.3813430137228228</v>
      </c>
      <c r="CK42" s="82">
        <f>=IFERROR(CJ19*CJ41,0)</f>
        <v>0.37657622605128754</v>
      </c>
      <c r="CL42" s="82">
        <f>=IFERROR(CK19*CK41,0)</f>
        <v>0.37186902322564647</v>
      </c>
      <c r="CM42" s="82">
        <f>=IFERROR(CL19*CL41,0)</f>
        <v>0.367220660435326</v>
      </c>
      <c r="CN42" s="82">
        <f>=IFERROR(CM19*CM41,0)</f>
        <v>0.36263040217988435</v>
      </c>
      <c r="CO42" s="82">
        <f>=IFERROR(CN19*CN41,0)</f>
        <v>0.35809752215263574</v>
      </c>
      <c r="CP42" s="82">
        <f>=IFERROR(CO19*CO41,0)</f>
        <v>0.35362130312572776</v>
      </c>
      <c r="CQ42" s="82">
        <f>=IFERROR(CP19*CP41,0)</f>
        <v>0.27936082946932494</v>
      </c>
      <c r="CR42" s="82">
        <f>=IFERROR(CQ19*CQ41,0)</f>
        <v>0.2765672211746317</v>
      </c>
      <c r="CS42" s="82">
        <f>=IFERROR(CR19*CR41,0)</f>
        <v>0.27380154896288533</v>
      </c>
      <c r="CT42" s="82">
        <f>=IFERROR(CS19*CS41,0)</f>
        <v>0.2710635334732565</v>
      </c>
      <c r="CU42" s="82">
        <f>=IFERROR(CT19*CT41,0)</f>
        <v>0.2683528981385239</v>
      </c>
      <c r="CV42" s="82">
        <f>=IFERROR(CU19*CU41,0)</f>
        <v>0.33208671144642343</v>
      </c>
      <c r="CW42" s="82">
        <f>=IFERROR(CV19*CV41,0)</f>
        <v>0.32793562755334316</v>
      </c>
      <c r="CX42" s="82">
        <f>=IFERROR(CW19*CW41,0)</f>
        <v>0.32383643220892633</v>
      </c>
      <c r="CY42" s="82">
        <f>=IFERROR(CX19*CX41,0)</f>
        <v>0.3197884768063147</v>
      </c>
      <c r="CZ42" s="82">
        <f>=IFERROR(CY19*CY41,0)</f>
        <v>0.3157911208462359</v>
      </c>
      <c r="DA42" s="82">
        <f>=IFERROR(CZ19*CZ41,0)</f>
        <v>0.31184373183565794</v>
      </c>
      <c r="DB42" s="82">
        <f>=IFERROR(DA19*DA41,0)</f>
        <v>0.3079456851877122</v>
      </c>
    </row>
    <row r="43" ht="18" customHeight="1" spans="1:106" x14ac:dyDescent="0.25">
      <c r="A43" s="20" t="s">
        <v>276</v>
      </c>
      <c r="B43" s="17"/>
      <c r="C43" s="45">
        <v>0.03</v>
      </c>
      <c r="D43" s="45">
        <v>0.03</v>
      </c>
      <c r="E43" s="45">
        <v>0.03</v>
      </c>
      <c r="F43" s="45">
        <v>0.03</v>
      </c>
      <c r="G43" s="45">
        <v>0.03</v>
      </c>
      <c r="H43" s="45">
        <v>0.03</v>
      </c>
      <c r="I43" s="45">
        <v>0.03</v>
      </c>
      <c r="J43" s="45">
        <v>0.03</v>
      </c>
      <c r="K43" s="45">
        <v>0.03</v>
      </c>
      <c r="L43" s="45">
        <v>0.03</v>
      </c>
      <c r="M43" s="45">
        <v>0.03</v>
      </c>
      <c r="N43" s="45">
        <v>0.03</v>
      </c>
      <c r="O43" s="45">
        <v>0.03</v>
      </c>
      <c r="P43" s="45">
        <v>0.03</v>
      </c>
      <c r="Q43" s="45">
        <v>0.03</v>
      </c>
      <c r="R43" s="45">
        <v>0.03</v>
      </c>
      <c r="S43" s="45">
        <v>0.03</v>
      </c>
      <c r="T43" s="45">
        <v>0.03</v>
      </c>
      <c r="U43" s="45">
        <v>0.03</v>
      </c>
      <c r="V43" s="45">
        <v>0.03</v>
      </c>
      <c r="W43" s="45">
        <v>0.03</v>
      </c>
      <c r="X43" s="45">
        <v>0.03</v>
      </c>
      <c r="Y43" s="45">
        <v>0.03</v>
      </c>
      <c r="Z43" s="45">
        <v>0.03</v>
      </c>
      <c r="AA43" s="45">
        <v>0.03</v>
      </c>
      <c r="AB43" s="45">
        <v>0.03</v>
      </c>
      <c r="AC43" s="45">
        <v>0.03</v>
      </c>
      <c r="AD43" s="45">
        <v>0.03</v>
      </c>
      <c r="AE43" s="45">
        <v>0.03</v>
      </c>
      <c r="AF43" s="45">
        <v>0.03</v>
      </c>
      <c r="AG43" s="45">
        <v>0.03</v>
      </c>
      <c r="AH43" s="45">
        <v>0.03</v>
      </c>
      <c r="AI43" s="45">
        <v>0.03</v>
      </c>
      <c r="AJ43" s="45">
        <v>0.03</v>
      </c>
      <c r="AK43" s="45">
        <v>0.03</v>
      </c>
      <c r="AL43" s="45">
        <v>0.03</v>
      </c>
      <c r="AM43" s="45">
        <v>0.03</v>
      </c>
      <c r="AN43" s="45">
        <v>0.03</v>
      </c>
      <c r="AO43" s="45">
        <v>0.03</v>
      </c>
      <c r="AP43" s="45">
        <v>0.03</v>
      </c>
      <c r="AQ43" s="45">
        <v>0.03</v>
      </c>
      <c r="AR43" s="45">
        <v>0.03</v>
      </c>
      <c r="AS43" s="45">
        <v>0.03</v>
      </c>
      <c r="AT43" s="45">
        <v>0.03</v>
      </c>
      <c r="AU43" s="45">
        <v>0.03</v>
      </c>
      <c r="AV43" s="45">
        <v>0.03</v>
      </c>
      <c r="AW43" s="45">
        <v>0.03</v>
      </c>
      <c r="AX43" s="45">
        <v>0.03</v>
      </c>
      <c r="AY43" s="45">
        <v>0.03</v>
      </c>
      <c r="AZ43" s="45">
        <v>0.03</v>
      </c>
      <c r="BA43" s="45">
        <v>0.03</v>
      </c>
      <c r="BB43" s="45">
        <v>0.03</v>
      </c>
      <c r="BC43" s="45">
        <v>0.03</v>
      </c>
      <c r="BD43" s="45">
        <v>0.03</v>
      </c>
      <c r="BE43" s="45">
        <v>0.03</v>
      </c>
      <c r="BF43" s="45">
        <v>0.03</v>
      </c>
      <c r="BG43" s="45">
        <v>0.03</v>
      </c>
      <c r="BH43" s="45">
        <v>0.03</v>
      </c>
      <c r="BI43" s="45">
        <v>0.03</v>
      </c>
      <c r="BJ43" s="45">
        <v>0.03</v>
      </c>
      <c r="BK43" s="45">
        <v>0.03</v>
      </c>
      <c r="BL43" s="45">
        <v>0.03</v>
      </c>
      <c r="BM43" s="45">
        <v>0.03</v>
      </c>
      <c r="BN43" s="45">
        <v>0.03</v>
      </c>
      <c r="BO43" s="45">
        <v>0.03</v>
      </c>
      <c r="BP43" s="45">
        <v>0.03</v>
      </c>
      <c r="BQ43" s="45">
        <v>0.03</v>
      </c>
      <c r="BR43" s="45">
        <v>0.03</v>
      </c>
      <c r="BS43" s="45">
        <v>0.03</v>
      </c>
      <c r="BT43" s="45">
        <v>0.03</v>
      </c>
      <c r="BU43" s="45">
        <v>0.03</v>
      </c>
      <c r="BV43" s="45">
        <v>0.03</v>
      </c>
      <c r="BW43" s="45">
        <v>0.03</v>
      </c>
      <c r="BX43" s="45">
        <v>0.03</v>
      </c>
      <c r="BY43" s="45">
        <v>0.03</v>
      </c>
      <c r="BZ43" s="45">
        <v>0.03</v>
      </c>
      <c r="CA43" s="45">
        <v>0.03</v>
      </c>
      <c r="CB43" s="45">
        <v>0.03</v>
      </c>
      <c r="CC43" s="45">
        <v>0.03</v>
      </c>
      <c r="CD43" s="45">
        <v>0.03</v>
      </c>
      <c r="CE43" s="45">
        <v>0.03</v>
      </c>
      <c r="CF43" s="45">
        <v>0.03</v>
      </c>
      <c r="CG43" s="45">
        <v>0.03</v>
      </c>
      <c r="CH43" s="45">
        <v>0.03</v>
      </c>
      <c r="CI43" s="45">
        <v>0.03</v>
      </c>
      <c r="CJ43" s="45">
        <v>0.03</v>
      </c>
      <c r="CK43" s="45">
        <v>0.03</v>
      </c>
      <c r="CL43" s="45">
        <v>0.03</v>
      </c>
      <c r="CM43" s="45">
        <v>0.03</v>
      </c>
      <c r="CN43" s="45">
        <v>0.03</v>
      </c>
      <c r="CO43" s="45">
        <v>0.03</v>
      </c>
      <c r="CP43" s="45">
        <v>0.03</v>
      </c>
      <c r="CQ43" s="45">
        <v>0.03</v>
      </c>
      <c r="CR43" s="45">
        <v>0.03</v>
      </c>
      <c r="CS43" s="45">
        <v>0.03</v>
      </c>
      <c r="CT43" s="45">
        <v>0.03</v>
      </c>
      <c r="CU43" s="45">
        <v>0.03</v>
      </c>
      <c r="CV43" s="45">
        <v>0.03</v>
      </c>
      <c r="CW43" s="45">
        <v>0.03</v>
      </c>
      <c r="CX43" s="45">
        <v>0.03</v>
      </c>
      <c r="CY43" s="45">
        <v>0.03</v>
      </c>
      <c r="CZ43" s="45">
        <v>0.03</v>
      </c>
      <c r="DA43" s="45">
        <v>0.03</v>
      </c>
      <c r="DB43" s="45">
        <v>0.03</v>
      </c>
    </row>
    <row r="44" ht="18" customHeight="1" spans="1:106" x14ac:dyDescent="0.25">
      <c r="A44" s="36" t="s">
        <v>277</v>
      </c>
      <c r="C44" s="38"/>
      <c r="D44" s="43">
        <f>=IFERROR(SUM(C119:C128)*C43,0)</f>
        <v>1.35</v>
      </c>
      <c r="E44" s="43">
        <f>=IFERROR(SUM(D119:D128)*D43,0)</f>
        <v>1.08</v>
      </c>
      <c r="F44" s="43">
        <f>=IFERROR(SUM(E119:E128)*E43,0)</f>
        <v>0.81</v>
      </c>
      <c r="G44" s="43">
        <f>=IFERROR(SUM(F119:F128)*F43,0)</f>
        <v>0.99</v>
      </c>
      <c r="H44" s="43">
        <f>=IFERROR(SUM(G119:G128)*G43,0)</f>
        <v>0.84</v>
      </c>
      <c r="I44" s="43">
        <f>=IFERROR(SUM(H119:H128)*H43,0)</f>
        <v>0.99</v>
      </c>
      <c r="J44" s="43">
        <f>=IFERROR(SUM(I119:I128)*I43,0)</f>
        <v>0.96</v>
      </c>
      <c r="K44" s="43">
        <f>=IFERROR(SUM(J119:J128)*J43,0)</f>
        <v>0.96</v>
      </c>
      <c r="L44" s="43">
        <f>=IFERROR(SUM(K119:K128)*K43,0)</f>
        <v>0.93</v>
      </c>
      <c r="M44" s="43">
        <f>=IFERROR(SUM(L119:L128)*L43,0)</f>
        <v>0.9</v>
      </c>
      <c r="N44" s="43">
        <f>=IFERROR(SUM(M119:M128)*M43,0)</f>
        <v>0.9</v>
      </c>
      <c r="O44" s="43">
        <f>=IFERROR(SUM(N119:N128)*N43,0)</f>
        <v>0.84</v>
      </c>
      <c r="P44" s="43">
        <f>=IFERROR(SUM(O119:O128)*O43,0)</f>
        <v>0.87</v>
      </c>
      <c r="Q44" s="43">
        <f>=IFERROR(SUM(P119:P128)*P43,0)</f>
        <v>0.57</v>
      </c>
      <c r="R44" s="43">
        <f>=IFERROR(SUM(Q119:Q128)*Q43,0)</f>
        <v>0.57</v>
      </c>
      <c r="S44" s="43">
        <f>=IFERROR(SUM(R119:R128)*R43,0)</f>
        <v>0.54</v>
      </c>
      <c r="T44" s="43">
        <f>=IFERROR(SUM(S119:S128)*S43,0)</f>
        <v>0.3</v>
      </c>
      <c r="U44" s="43">
        <f>=IFERROR(SUM(T119:T128)*T43,0)</f>
        <v>0.3</v>
      </c>
      <c r="V44" s="43">
        <f>=IFERROR(SUM(U119:U128)*U43,0)</f>
        <v>0</v>
      </c>
      <c r="W44" s="43">
        <f>=IFERROR(SUM(V119:V128)*V43,0)</f>
        <v>0</v>
      </c>
      <c r="X44" s="43">
        <f>=IFERROR(SUM(W119:W128)*W43,0)</f>
        <v>0</v>
      </c>
      <c r="Y44" s="43">
        <f>=IFERROR(SUM(X119:X128)*X43,0)</f>
        <v>0</v>
      </c>
      <c r="Z44" s="43">
        <f>=IFERROR(SUM(Y119:Y128)*Y43,0)</f>
        <v>0</v>
      </c>
      <c r="AA44" s="43">
        <f>=IFERROR(SUM(Z119:Z128)*Z43,0)</f>
        <v>0</v>
      </c>
      <c r="AB44" s="43">
        <f>=IFERROR(SUM(AA119:AA128)*AA43,0)</f>
        <v>0</v>
      </c>
      <c r="AC44" s="43">
        <f>=IFERROR(SUM(AB119:AB128)*AB43,0)</f>
        <v>0</v>
      </c>
      <c r="AD44" s="43">
        <f>=IFERROR(SUM(AC119:AC128)*AC43,0)</f>
        <v>0</v>
      </c>
      <c r="AE44" s="43">
        <f>=IFERROR(SUM(AD119:AD128)*AD43,0)</f>
        <v>0</v>
      </c>
      <c r="AF44" s="43">
        <f>=IFERROR(SUM(AE119:AE128)*AE43,0)</f>
        <v>0</v>
      </c>
      <c r="AG44" s="43">
        <f>=IFERROR(SUM(AF119:AF128)*AF43,0)</f>
        <v>0</v>
      </c>
      <c r="AH44" s="43">
        <f>=IFERROR(SUM(AG119:AG128)*AG43,0)</f>
        <v>0</v>
      </c>
      <c r="AI44" s="43">
        <f>=IFERROR(SUM(AH119:AH128)*AH43,0)</f>
        <v>0.09</v>
      </c>
      <c r="AJ44" s="43">
        <f>=IFERROR(SUM(AI119:AI128)*AI43,0)</f>
        <v>0.088875</v>
      </c>
      <c r="AK44" s="43">
        <f>=IFERROR(SUM(AJ119:AJ128)*AJ43,0)</f>
        <v>0.09</v>
      </c>
      <c r="AL44" s="43">
        <f>=IFERROR(SUM(AK119:AK128)*AK43,0)</f>
        <v>0</v>
      </c>
      <c r="AM44" s="43">
        <f>=IFERROR(SUM(AL119:AL128)*AL43,0)</f>
        <v>0</v>
      </c>
      <c r="AN44" s="43">
        <f>=IFERROR(SUM(AM119:AM128)*AM43,0)</f>
        <v>0.42</v>
      </c>
      <c r="AO44" s="43">
        <f>=IFERROR(SUM(AN119:AN128)*AN43,0)</f>
        <v>0.42</v>
      </c>
      <c r="AP44" s="43">
        <f>=IFERROR(SUM(AO119:AO128)*AO43,0)</f>
        <v>0.42</v>
      </c>
      <c r="AQ44" s="43">
        <f>=IFERROR(SUM(AP119:AP128)*AP43,0)</f>
        <v>0.42</v>
      </c>
      <c r="AR44" s="43">
        <f>=IFERROR(SUM(AQ119:AQ128)*AQ43,0)</f>
        <v>0.72</v>
      </c>
      <c r="AS44" s="43">
        <f>=IFERROR(SUM(AR119:AR128)*AR43,0)</f>
        <v>0.75</v>
      </c>
      <c r="AT44" s="43">
        <f>=IFERROR(SUM(AS119:AS128)*AS43,0)</f>
        <v>0.72</v>
      </c>
      <c r="AU44" s="43">
        <f>=IFERROR(SUM(AT119:AT128)*AT43,0)</f>
        <v>0.3</v>
      </c>
      <c r="AV44" s="43">
        <f>=IFERROR(SUM(AU119:AU128)*AU43,0)</f>
        <v>0.3</v>
      </c>
      <c r="AW44" s="43">
        <f>=IFERROR(SUM(AV119:AV128)*AV43,0)</f>
        <v>0.75</v>
      </c>
      <c r="AX44" s="43">
        <f>=IFERROR(SUM(AW119:AW128)*AW43,0)</f>
        <v>1.17</v>
      </c>
      <c r="AY44" s="43">
        <f>=IFERROR(SUM(AX119:AX128)*AX43,0)</f>
        <v>0.87</v>
      </c>
      <c r="AZ44" s="43">
        <f>=IFERROR(SUM(AY119:AY128)*AY43,0)</f>
        <v>1.17</v>
      </c>
      <c r="BA44" s="43">
        <f>=IFERROR(SUM(AZ119:AZ128)*AZ43,0)</f>
        <v>1.17</v>
      </c>
      <c r="BB44" s="43">
        <f>=IFERROR(SUM(BA119:BA128)*BA43,0)</f>
        <v>1.11</v>
      </c>
      <c r="BC44" s="43">
        <f>=IFERROR(SUM(BB119:BB128)*BB43,0)</f>
        <v>1.26</v>
      </c>
      <c r="BD44" s="43">
        <f>=IFERROR(SUM(BC119:BC128)*BC43,0)</f>
        <v>0.9</v>
      </c>
      <c r="BE44" s="43">
        <f>=IFERROR(SUM(BD119:BD128)*BD43,0)</f>
        <v>0.78</v>
      </c>
      <c r="BF44" s="43">
        <f>=IFERROR(SUM(BE119:BE128)*BE43,0)</f>
        <v>0.78</v>
      </c>
      <c r="BG44" s="43">
        <f>=IFERROR(SUM(BF119:BF128)*BF43,0)</f>
        <v>0.45</v>
      </c>
      <c r="BH44" s="43">
        <f>=IFERROR(SUM(BG119:BG128)*BG43,0)</f>
        <v>0.45</v>
      </c>
      <c r="BI44" s="43">
        <f>=IFERROR(SUM(BH119:BH128)*BH43,0)</f>
        <v>0.42</v>
      </c>
      <c r="BJ44" s="43">
        <f>=IFERROR(SUM(BI119:BI128)*BI43,0)</f>
        <v>0.27</v>
      </c>
      <c r="BK44" s="43">
        <f>=IFERROR(SUM(BJ119:BJ128)*BJ43,0)</f>
        <v>0.06</v>
      </c>
      <c r="BL44" s="43">
        <f>=IFERROR(SUM(BK119:BK128)*BK43,0)</f>
        <v>0</v>
      </c>
      <c r="BM44" s="43">
        <f>=IFERROR(SUM(BL119:BL128)*BL43,0)</f>
        <v>0</v>
      </c>
      <c r="BN44" s="43">
        <f>=IFERROR(SUM(BM119:BM128)*BM43,0)</f>
        <v>0</v>
      </c>
      <c r="BO44" s="43">
        <f>=IFERROR(SUM(BN119:BN128)*BN43,0)</f>
        <v>0</v>
      </c>
      <c r="BP44" s="43">
        <f>=IFERROR(SUM(BO119:BO128)*BO43,0)</f>
        <v>0</v>
      </c>
      <c r="BQ44" s="43">
        <f>=IFERROR(SUM(BP119:BP128)*BP43,0)</f>
        <v>0</v>
      </c>
      <c r="BR44" s="43">
        <f>=IFERROR(SUM(BQ119:BQ128)*BQ43,0)</f>
        <v>0</v>
      </c>
      <c r="BS44" s="43">
        <f>=IFERROR(SUM(BR119:BR128)*BR43,0)</f>
        <v>0</v>
      </c>
      <c r="BT44" s="43">
        <f>=IFERROR(SUM(BS119:BS128)*BS43,0)</f>
        <v>0</v>
      </c>
      <c r="BU44" s="43">
        <f>=IFERROR(SUM(BT119:BT128)*BT43,0)</f>
        <v>0</v>
      </c>
      <c r="BV44" s="43">
        <f>=IFERROR(SUM(BU119:BU128)*BU43,0)</f>
        <v>0</v>
      </c>
      <c r="BW44" s="43">
        <f>=IFERROR(SUM(BV119:BV128)*BV43,0)</f>
        <v>0</v>
      </c>
      <c r="BX44" s="43">
        <f>=IFERROR(SUM(BW119:BW128)*BW43,0)</f>
        <v>0</v>
      </c>
      <c r="BY44" s="43">
        <f>=IFERROR(SUM(BX119:BX128)*BX43,0)</f>
        <v>0</v>
      </c>
      <c r="BZ44" s="43">
        <f>=IFERROR(SUM(BY119:BY128)*BY43,0)</f>
        <v>0</v>
      </c>
      <c r="CA44" s="43">
        <f>=IFERROR(SUM(BZ119:BZ128)*BZ43,0)</f>
        <v>0</v>
      </c>
      <c r="CB44" s="43">
        <f>=IFERROR(SUM(CA119:CA128)*CA43,0)</f>
        <v>0</v>
      </c>
      <c r="CC44" s="43">
        <f>=IFERROR(SUM(CB119:CB128)*CB43,0)</f>
        <v>0</v>
      </c>
      <c r="CD44" s="43">
        <f>=IFERROR(SUM(CC119:CC128)*CC43,0)</f>
        <v>0</v>
      </c>
      <c r="CE44" s="43">
        <f>=IFERROR(SUM(CD119:CD128)*CD43,0)</f>
        <v>0</v>
      </c>
      <c r="CF44" s="43">
        <f>=IFERROR(SUM(CE119:CE128)*CE43,0)</f>
        <v>0</v>
      </c>
      <c r="CG44" s="43">
        <f>=IFERROR(SUM(CF119:CF128)*CF43,0)</f>
        <v>0</v>
      </c>
      <c r="CH44" s="43">
        <f>=IFERROR(SUM(CG119:CG128)*CG43,0)</f>
        <v>0</v>
      </c>
      <c r="CI44" s="43">
        <f>=IFERROR(SUM(CH119:CH128)*CH43,0)</f>
        <v>0</v>
      </c>
      <c r="CJ44" s="43">
        <f>=IFERROR(SUM(CI119:CI128)*CI43,0)</f>
        <v>0</v>
      </c>
      <c r="CK44" s="43">
        <f>=IFERROR(SUM(CJ119:CJ128)*CJ43,0)</f>
        <v>0</v>
      </c>
      <c r="CL44" s="43">
        <f>=IFERROR(SUM(CK119:CK128)*CK43,0)</f>
        <v>0</v>
      </c>
      <c r="CM44" s="43">
        <f>=IFERROR(SUM(CL119:CL128)*CL43,0)</f>
        <v>0</v>
      </c>
      <c r="CN44" s="43">
        <f>=IFERROR(SUM(CM119:CM128)*CM43,0)</f>
        <v>0</v>
      </c>
      <c r="CO44" s="43">
        <f>=IFERROR(SUM(CN119:CN128)*CN43,0)</f>
        <v>0</v>
      </c>
      <c r="CP44" s="43">
        <f>=IFERROR(SUM(CO119:CO128)*CO43,0)</f>
        <v>0</v>
      </c>
      <c r="CQ44" s="43">
        <f>=IFERROR(SUM(CP119:CP128)*CP43,0)</f>
        <v>0</v>
      </c>
      <c r="CR44" s="43">
        <f>=IFERROR(SUM(CQ119:CQ128)*CQ43,0)</f>
        <v>0</v>
      </c>
      <c r="CS44" s="43">
        <f>=IFERROR(SUM(CR119:CR128)*CR43,0)</f>
        <v>0</v>
      </c>
      <c r="CT44" s="43">
        <f>=IFERROR(SUM(CS119:CS128)*CS43,0)</f>
        <v>0</v>
      </c>
      <c r="CU44" s="43">
        <f>=IFERROR(SUM(CT119:CT128)*CT43,0)</f>
        <v>0</v>
      </c>
      <c r="CV44" s="43">
        <f>=IFERROR(SUM(CU119:CU128)*CU43,0)</f>
        <v>0</v>
      </c>
      <c r="CW44" s="43">
        <f>=IFERROR(SUM(CV119:CV128)*CV43,0)</f>
        <v>0</v>
      </c>
      <c r="CX44" s="43">
        <f>=IFERROR(SUM(CW119:CW128)*CW43,0)</f>
        <v>0</v>
      </c>
      <c r="CY44" s="43">
        <f>=IFERROR(SUM(CX119:CX128)*CX43,0)</f>
        <v>0</v>
      </c>
      <c r="CZ44" s="43">
        <f>=IFERROR(SUM(CY119:CY128)*CY43,0)</f>
        <v>0</v>
      </c>
      <c r="DA44" s="43">
        <f>=IFERROR(SUM(CZ119:CZ128)*CZ43,0)</f>
        <v>0</v>
      </c>
      <c r="DB44" s="43">
        <f>=IFERROR(SUM(DA119:DA128)*DA43,0)</f>
        <v>0</v>
      </c>
    </row>
    <row r="45" ht="18" customHeight="1" spans="1:106" x14ac:dyDescent="0.25">
      <c r="A45" s="16" t="s">
        <v>278</v>
      </c>
      <c r="C45" s="44">
        <v>1</v>
      </c>
      <c r="D45" s="44">
        <v>1</v>
      </c>
      <c r="E45" s="44">
        <v>1</v>
      </c>
      <c r="F45" s="44">
        <v>1</v>
      </c>
      <c r="G45" s="44">
        <v>1</v>
      </c>
      <c r="H45" s="44">
        <v>1</v>
      </c>
      <c r="I45" s="44">
        <v>1</v>
      </c>
      <c r="J45" s="44">
        <v>1</v>
      </c>
      <c r="K45" s="44">
        <v>1</v>
      </c>
      <c r="L45" s="44">
        <v>1</v>
      </c>
      <c r="M45" s="44">
        <v>1</v>
      </c>
      <c r="N45" s="44">
        <v>1</v>
      </c>
      <c r="O45" s="44">
        <v>1</v>
      </c>
      <c r="P45" s="44">
        <v>1</v>
      </c>
      <c r="Q45" s="44">
        <v>1</v>
      </c>
      <c r="R45" s="44">
        <v>1</v>
      </c>
      <c r="S45" s="44">
        <v>1</v>
      </c>
      <c r="T45" s="44">
        <v>1</v>
      </c>
      <c r="U45" s="44">
        <v>1</v>
      </c>
      <c r="V45" s="44">
        <v>1</v>
      </c>
      <c r="W45" s="44">
        <v>1</v>
      </c>
      <c r="X45" s="44">
        <v>1</v>
      </c>
      <c r="Y45" s="44">
        <v>1</v>
      </c>
      <c r="Z45" s="44">
        <v>1</v>
      </c>
      <c r="AA45" s="44">
        <v>1</v>
      </c>
      <c r="AB45" s="44">
        <v>1</v>
      </c>
      <c r="AC45" s="44">
        <v>1</v>
      </c>
      <c r="AD45" s="44">
        <v>1</v>
      </c>
      <c r="AE45" s="44">
        <v>1</v>
      </c>
      <c r="AF45" s="44">
        <v>1</v>
      </c>
      <c r="AG45" s="44">
        <v>1</v>
      </c>
      <c r="AH45" s="44">
        <v>1</v>
      </c>
      <c r="AI45" s="44">
        <v>1</v>
      </c>
      <c r="AJ45" s="44">
        <v>1</v>
      </c>
      <c r="AK45" s="44">
        <v>1</v>
      </c>
      <c r="AL45" s="44">
        <v>1</v>
      </c>
      <c r="AM45" s="44">
        <v>1</v>
      </c>
      <c r="AN45" s="44">
        <v>1</v>
      </c>
      <c r="AO45" s="44">
        <v>1</v>
      </c>
      <c r="AP45" s="44">
        <v>1</v>
      </c>
      <c r="AQ45" s="44">
        <v>1</v>
      </c>
      <c r="AR45" s="44">
        <v>1</v>
      </c>
      <c r="AS45" s="44">
        <v>1</v>
      </c>
      <c r="AT45" s="44">
        <v>1</v>
      </c>
      <c r="AU45" s="44">
        <v>1</v>
      </c>
      <c r="AV45" s="44">
        <v>1</v>
      </c>
      <c r="AW45" s="44">
        <v>1</v>
      </c>
      <c r="AX45" s="44">
        <v>1</v>
      </c>
      <c r="AY45" s="44">
        <v>1</v>
      </c>
      <c r="AZ45" s="44">
        <v>1</v>
      </c>
      <c r="BA45" s="44">
        <v>1</v>
      </c>
      <c r="BB45" s="44">
        <v>1</v>
      </c>
      <c r="BC45" s="44">
        <v>1</v>
      </c>
      <c r="BD45" s="44">
        <v>1</v>
      </c>
      <c r="BE45" s="44">
        <v>1</v>
      </c>
      <c r="BF45" s="44">
        <v>1</v>
      </c>
      <c r="BG45" s="44">
        <v>1</v>
      </c>
      <c r="BH45" s="44">
        <v>1</v>
      </c>
      <c r="BI45" s="44">
        <v>1</v>
      </c>
      <c r="BJ45" s="44">
        <v>1</v>
      </c>
      <c r="BK45" s="44">
        <v>1</v>
      </c>
      <c r="BL45" s="44">
        <v>1</v>
      </c>
      <c r="BM45" s="44">
        <v>1</v>
      </c>
      <c r="BN45" s="44">
        <v>1</v>
      </c>
      <c r="BO45" s="44">
        <v>1</v>
      </c>
      <c r="BP45" s="44">
        <v>1</v>
      </c>
      <c r="BQ45" s="44">
        <v>1</v>
      </c>
      <c r="BR45" s="44">
        <v>1</v>
      </c>
      <c r="BS45" s="44">
        <v>1</v>
      </c>
      <c r="BT45" s="44">
        <v>1</v>
      </c>
      <c r="BU45" s="44">
        <v>1</v>
      </c>
      <c r="BV45" s="44">
        <v>1</v>
      </c>
      <c r="BW45" s="44">
        <v>1</v>
      </c>
      <c r="BX45" s="44">
        <v>1</v>
      </c>
      <c r="BY45" s="44">
        <v>1</v>
      </c>
      <c r="BZ45" s="44">
        <v>1</v>
      </c>
      <c r="CA45" s="44">
        <v>1</v>
      </c>
      <c r="CB45" s="44">
        <v>1</v>
      </c>
      <c r="CC45" s="44">
        <v>1</v>
      </c>
      <c r="CD45" s="44">
        <v>1</v>
      </c>
      <c r="CE45" s="44">
        <v>1</v>
      </c>
      <c r="CF45" s="44">
        <v>1</v>
      </c>
      <c r="CG45" s="44">
        <v>1</v>
      </c>
      <c r="CH45" s="44">
        <v>1</v>
      </c>
      <c r="CI45" s="44">
        <v>1</v>
      </c>
      <c r="CJ45" s="44">
        <v>1</v>
      </c>
      <c r="CK45" s="44">
        <v>1</v>
      </c>
      <c r="CL45" s="44">
        <v>1</v>
      </c>
      <c r="CM45" s="44">
        <v>1</v>
      </c>
      <c r="CN45" s="44">
        <v>1</v>
      </c>
      <c r="CO45" s="44">
        <v>1</v>
      </c>
      <c r="CP45" s="44">
        <v>1</v>
      </c>
      <c r="CQ45" s="44">
        <v>1</v>
      </c>
      <c r="CR45" s="44">
        <v>1</v>
      </c>
      <c r="CS45" s="44">
        <v>1</v>
      </c>
      <c r="CT45" s="44">
        <v>1</v>
      </c>
      <c r="CU45" s="44">
        <v>1</v>
      </c>
      <c r="CV45" s="44">
        <v>1</v>
      </c>
      <c r="CW45" s="44">
        <v>1</v>
      </c>
      <c r="CX45" s="44">
        <v>1</v>
      </c>
      <c r="CY45" s="44">
        <v>1</v>
      </c>
      <c r="CZ45" s="44">
        <v>1</v>
      </c>
      <c r="DA45" s="44">
        <v>1</v>
      </c>
      <c r="DB45" s="44">
        <v>1</v>
      </c>
    </row>
    <row r="46" ht="18" customHeight="1" spans="1:106" x14ac:dyDescent="0.25">
      <c r="A46" s="16" t="s">
        <v>279</v>
      </c>
      <c r="B46" s="17"/>
      <c r="C46" s="45">
        <v>0</v>
      </c>
      <c r="D46" s="45">
        <v>0</v>
      </c>
      <c r="E46" s="45">
        <v>0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v>0</v>
      </c>
      <c r="O46" s="45">
        <v>0</v>
      </c>
      <c r="P46" s="45">
        <v>0</v>
      </c>
      <c r="Q46" s="45">
        <v>0</v>
      </c>
      <c r="R46" s="45">
        <v>0</v>
      </c>
      <c r="S46" s="45">
        <v>0</v>
      </c>
      <c r="T46" s="45">
        <v>0</v>
      </c>
      <c r="U46" s="45">
        <v>0</v>
      </c>
      <c r="V46" s="45">
        <v>0</v>
      </c>
      <c r="W46" s="45">
        <v>0</v>
      </c>
      <c r="X46" s="45">
        <v>0</v>
      </c>
      <c r="Y46" s="45">
        <v>0</v>
      </c>
      <c r="Z46" s="45">
        <v>0</v>
      </c>
      <c r="AA46" s="45">
        <v>0</v>
      </c>
      <c r="AB46" s="45">
        <v>0</v>
      </c>
      <c r="AC46" s="45">
        <v>0</v>
      </c>
      <c r="AD46" s="45">
        <v>0</v>
      </c>
      <c r="AE46" s="45">
        <v>0</v>
      </c>
      <c r="AF46" s="45">
        <v>0</v>
      </c>
      <c r="AG46" s="45">
        <v>0</v>
      </c>
      <c r="AH46" s="45">
        <v>0</v>
      </c>
      <c r="AI46" s="45">
        <v>0</v>
      </c>
      <c r="AJ46" s="45">
        <v>0</v>
      </c>
      <c r="AK46" s="45">
        <v>0</v>
      </c>
      <c r="AL46" s="45">
        <v>0</v>
      </c>
      <c r="AM46" s="45">
        <v>0</v>
      </c>
      <c r="AN46" s="45">
        <v>0</v>
      </c>
      <c r="AO46" s="45">
        <v>0</v>
      </c>
      <c r="AP46" s="45">
        <v>0</v>
      </c>
      <c r="AQ46" s="45">
        <v>0</v>
      </c>
      <c r="AR46" s="45">
        <v>0</v>
      </c>
      <c r="AS46" s="45">
        <v>0</v>
      </c>
      <c r="AT46" s="45">
        <v>0</v>
      </c>
      <c r="AU46" s="45">
        <v>0</v>
      </c>
      <c r="AV46" s="45">
        <v>0</v>
      </c>
      <c r="AW46" s="45">
        <v>0</v>
      </c>
      <c r="AX46" s="45">
        <v>0</v>
      </c>
      <c r="AY46" s="45">
        <v>0</v>
      </c>
      <c r="AZ46" s="45">
        <v>0</v>
      </c>
      <c r="BA46" s="45">
        <v>0</v>
      </c>
      <c r="BB46" s="45">
        <v>0</v>
      </c>
      <c r="BC46" s="45">
        <v>0</v>
      </c>
      <c r="BD46" s="45">
        <v>0</v>
      </c>
      <c r="BE46" s="45">
        <v>0</v>
      </c>
      <c r="BF46" s="45">
        <v>0</v>
      </c>
      <c r="BG46" s="45">
        <v>0</v>
      </c>
      <c r="BH46" s="45">
        <v>0</v>
      </c>
      <c r="BI46" s="45">
        <v>0</v>
      </c>
      <c r="BJ46" s="45">
        <v>0</v>
      </c>
      <c r="BK46" s="45">
        <v>0</v>
      </c>
      <c r="BL46" s="45">
        <v>0</v>
      </c>
      <c r="BM46" s="45">
        <v>0</v>
      </c>
      <c r="BN46" s="45">
        <v>0</v>
      </c>
      <c r="BO46" s="45">
        <v>0</v>
      </c>
      <c r="BP46" s="45">
        <v>0</v>
      </c>
      <c r="BQ46" s="45">
        <v>0</v>
      </c>
      <c r="BR46" s="45">
        <v>0</v>
      </c>
      <c r="BS46" s="45">
        <v>0</v>
      </c>
      <c r="BT46" s="45">
        <v>0</v>
      </c>
      <c r="BU46" s="45">
        <v>0</v>
      </c>
      <c r="BV46" s="45">
        <v>0</v>
      </c>
      <c r="BW46" s="45">
        <v>0</v>
      </c>
      <c r="BX46" s="45">
        <v>0</v>
      </c>
      <c r="BY46" s="45">
        <v>0</v>
      </c>
      <c r="BZ46" s="45">
        <v>0</v>
      </c>
      <c r="CA46" s="45">
        <v>0</v>
      </c>
      <c r="CB46" s="45">
        <v>0</v>
      </c>
      <c r="CC46" s="45">
        <v>0</v>
      </c>
      <c r="CD46" s="45">
        <v>0</v>
      </c>
      <c r="CE46" s="45">
        <v>0</v>
      </c>
      <c r="CF46" s="45">
        <v>0</v>
      </c>
      <c r="CG46" s="45">
        <v>0</v>
      </c>
      <c r="CH46" s="45">
        <v>0</v>
      </c>
      <c r="CI46" s="45">
        <v>0</v>
      </c>
      <c r="CJ46" s="45">
        <v>0</v>
      </c>
      <c r="CK46" s="45">
        <v>0</v>
      </c>
      <c r="CL46" s="45">
        <v>0</v>
      </c>
      <c r="CM46" s="45">
        <v>0</v>
      </c>
      <c r="CN46" s="45">
        <v>0</v>
      </c>
      <c r="CO46" s="45">
        <v>0</v>
      </c>
      <c r="CP46" s="45">
        <v>0</v>
      </c>
      <c r="CQ46" s="45">
        <v>0</v>
      </c>
      <c r="CR46" s="45">
        <v>0</v>
      </c>
      <c r="CS46" s="45">
        <v>0</v>
      </c>
      <c r="CT46" s="45">
        <v>0</v>
      </c>
      <c r="CU46" s="45">
        <v>0</v>
      </c>
      <c r="CV46" s="45">
        <v>0</v>
      </c>
      <c r="CW46" s="45">
        <v>0</v>
      </c>
      <c r="CX46" s="45">
        <v>0</v>
      </c>
      <c r="CY46" s="45">
        <v>0</v>
      </c>
      <c r="CZ46" s="45">
        <v>0</v>
      </c>
      <c r="DA46" s="45">
        <v>0</v>
      </c>
      <c r="DB46" s="45">
        <v>0</v>
      </c>
    </row>
    <row r="47" ht="18" customHeight="1" spans="1:106" x14ac:dyDescent="0.25">
      <c r="A47" s="16" t="s">
        <v>280</v>
      </c>
      <c r="B47" s="17"/>
      <c r="C47" s="46">
        <v>5</v>
      </c>
      <c r="D47" s="46">
        <v>5</v>
      </c>
      <c r="E47" s="46">
        <v>5</v>
      </c>
      <c r="F47" s="46">
        <v>5</v>
      </c>
      <c r="G47" s="46">
        <v>5</v>
      </c>
      <c r="H47" s="46">
        <v>5</v>
      </c>
      <c r="I47" s="46">
        <v>5</v>
      </c>
      <c r="J47" s="46">
        <v>5</v>
      </c>
      <c r="K47" s="46">
        <v>5</v>
      </c>
      <c r="L47" s="46">
        <v>5</v>
      </c>
      <c r="M47" s="46">
        <v>5</v>
      </c>
      <c r="N47" s="46">
        <v>5</v>
      </c>
      <c r="O47" s="46">
        <v>5</v>
      </c>
      <c r="P47" s="46">
        <v>5</v>
      </c>
      <c r="Q47" s="46">
        <v>5</v>
      </c>
      <c r="R47" s="46">
        <v>5</v>
      </c>
      <c r="S47" s="46">
        <v>5</v>
      </c>
      <c r="T47" s="46">
        <v>5</v>
      </c>
      <c r="U47" s="46">
        <v>5</v>
      </c>
      <c r="V47" s="46">
        <v>5</v>
      </c>
      <c r="W47" s="46">
        <v>5</v>
      </c>
      <c r="X47" s="46">
        <v>5</v>
      </c>
      <c r="Y47" s="46">
        <v>5</v>
      </c>
      <c r="Z47" s="46">
        <v>5</v>
      </c>
      <c r="AA47" s="46">
        <v>5</v>
      </c>
      <c r="AB47" s="46">
        <v>5</v>
      </c>
      <c r="AC47" s="46">
        <v>5</v>
      </c>
      <c r="AD47" s="46">
        <v>5</v>
      </c>
      <c r="AE47" s="46">
        <v>5</v>
      </c>
      <c r="AF47" s="46">
        <v>5</v>
      </c>
      <c r="AG47" s="46">
        <v>5</v>
      </c>
      <c r="AH47" s="46">
        <v>5</v>
      </c>
      <c r="AI47" s="46">
        <v>5</v>
      </c>
      <c r="AJ47" s="46">
        <v>5</v>
      </c>
      <c r="AK47" s="46">
        <v>5</v>
      </c>
      <c r="AL47" s="46">
        <v>5</v>
      </c>
      <c r="AM47" s="46">
        <v>5</v>
      </c>
      <c r="AN47" s="46">
        <v>5</v>
      </c>
      <c r="AO47" s="46">
        <v>5</v>
      </c>
      <c r="AP47" s="46">
        <v>5</v>
      </c>
      <c r="AQ47" s="46">
        <v>5</v>
      </c>
      <c r="AR47" s="46">
        <v>5</v>
      </c>
      <c r="AS47" s="46">
        <v>5</v>
      </c>
      <c r="AT47" s="46">
        <v>5</v>
      </c>
      <c r="AU47" s="46">
        <v>5</v>
      </c>
      <c r="AV47" s="46">
        <v>5</v>
      </c>
      <c r="AW47" s="46">
        <v>5</v>
      </c>
      <c r="AX47" s="46">
        <v>5</v>
      </c>
      <c r="AY47" s="46">
        <v>5</v>
      </c>
      <c r="AZ47" s="46">
        <v>5</v>
      </c>
      <c r="BA47" s="46">
        <v>5</v>
      </c>
      <c r="BB47" s="46">
        <v>5</v>
      </c>
      <c r="BC47" s="46">
        <v>5</v>
      </c>
      <c r="BD47" s="46">
        <v>5</v>
      </c>
      <c r="BE47" s="46">
        <v>5</v>
      </c>
      <c r="BF47" s="46">
        <v>5</v>
      </c>
      <c r="BG47" s="46">
        <v>5</v>
      </c>
      <c r="BH47" s="46">
        <v>5</v>
      </c>
      <c r="BI47" s="46">
        <v>5</v>
      </c>
      <c r="BJ47" s="46">
        <v>5</v>
      </c>
      <c r="BK47" s="46">
        <v>5</v>
      </c>
      <c r="BL47" s="46">
        <v>5</v>
      </c>
      <c r="BM47" s="46">
        <v>5</v>
      </c>
      <c r="BN47" s="46">
        <v>5</v>
      </c>
      <c r="BO47" s="46">
        <v>5</v>
      </c>
      <c r="BP47" s="46">
        <v>5</v>
      </c>
      <c r="BQ47" s="46">
        <v>5</v>
      </c>
      <c r="BR47" s="46">
        <v>5</v>
      </c>
      <c r="BS47" s="46">
        <v>5</v>
      </c>
      <c r="BT47" s="46">
        <v>5</v>
      </c>
      <c r="BU47" s="46">
        <v>5</v>
      </c>
      <c r="BV47" s="46">
        <v>5</v>
      </c>
      <c r="BW47" s="46">
        <v>5</v>
      </c>
      <c r="BX47" s="46">
        <v>5</v>
      </c>
      <c r="BY47" s="46">
        <v>5</v>
      </c>
      <c r="BZ47" s="46">
        <v>5</v>
      </c>
      <c r="CA47" s="46">
        <v>5</v>
      </c>
      <c r="CB47" s="46">
        <v>5</v>
      </c>
      <c r="CC47" s="46">
        <v>5</v>
      </c>
      <c r="CD47" s="46">
        <v>5</v>
      </c>
      <c r="CE47" s="46">
        <v>5</v>
      </c>
      <c r="CF47" s="46">
        <v>5</v>
      </c>
      <c r="CG47" s="46">
        <v>5</v>
      </c>
      <c r="CH47" s="46">
        <v>5</v>
      </c>
      <c r="CI47" s="46">
        <v>5</v>
      </c>
      <c r="CJ47" s="46">
        <v>5</v>
      </c>
      <c r="CK47" s="46">
        <v>5</v>
      </c>
      <c r="CL47" s="46">
        <v>5</v>
      </c>
      <c r="CM47" s="46">
        <v>5</v>
      </c>
      <c r="CN47" s="46">
        <v>5</v>
      </c>
      <c r="CO47" s="46">
        <v>5</v>
      </c>
      <c r="CP47" s="46">
        <v>5</v>
      </c>
      <c r="CQ47" s="46">
        <v>5</v>
      </c>
      <c r="CR47" s="46">
        <v>5</v>
      </c>
      <c r="CS47" s="46">
        <v>5</v>
      </c>
      <c r="CT47" s="46">
        <v>5</v>
      </c>
      <c r="CU47" s="46">
        <v>5</v>
      </c>
      <c r="CV47" s="46">
        <v>5</v>
      </c>
      <c r="CW47" s="46">
        <v>5</v>
      </c>
      <c r="CX47" s="46">
        <v>5</v>
      </c>
      <c r="CY47" s="46">
        <v>5</v>
      </c>
      <c r="CZ47" s="46">
        <v>5</v>
      </c>
      <c r="DA47" s="46">
        <v>5</v>
      </c>
      <c r="DB47" s="46">
        <v>5</v>
      </c>
    </row>
    <row r="48" ht="18" customHeight="1" spans="1:106" x14ac:dyDescent="0.25">
      <c r="A48" s="16" t="s">
        <v>281</v>
      </c>
      <c r="B48" s="17"/>
      <c r="C48" s="46">
        <v>8</v>
      </c>
      <c r="D48" s="46">
        <v>8</v>
      </c>
      <c r="E48" s="46">
        <v>8</v>
      </c>
      <c r="F48" s="46">
        <v>8</v>
      </c>
      <c r="G48" s="46">
        <v>8</v>
      </c>
      <c r="H48" s="46">
        <v>8</v>
      </c>
      <c r="I48" s="46">
        <v>8</v>
      </c>
      <c r="J48" s="46">
        <v>8</v>
      </c>
      <c r="K48" s="46">
        <v>8</v>
      </c>
      <c r="L48" s="46">
        <v>8</v>
      </c>
      <c r="M48" s="46">
        <v>8</v>
      </c>
      <c r="N48" s="46">
        <v>8</v>
      </c>
      <c r="O48" s="46">
        <v>8</v>
      </c>
      <c r="P48" s="46">
        <v>8</v>
      </c>
      <c r="Q48" s="46">
        <v>8</v>
      </c>
      <c r="R48" s="46">
        <v>8</v>
      </c>
      <c r="S48" s="46">
        <v>8</v>
      </c>
      <c r="T48" s="46">
        <v>8</v>
      </c>
      <c r="U48" s="46">
        <v>8</v>
      </c>
      <c r="V48" s="46">
        <v>8</v>
      </c>
      <c r="W48" s="46">
        <v>8</v>
      </c>
      <c r="X48" s="46">
        <v>8</v>
      </c>
      <c r="Y48" s="46">
        <v>8</v>
      </c>
      <c r="Z48" s="46">
        <v>8</v>
      </c>
      <c r="AA48" s="46">
        <v>8</v>
      </c>
      <c r="AB48" s="46">
        <v>8</v>
      </c>
      <c r="AC48" s="46">
        <v>8</v>
      </c>
      <c r="AD48" s="46">
        <v>8</v>
      </c>
      <c r="AE48" s="46">
        <v>8</v>
      </c>
      <c r="AF48" s="46">
        <v>8</v>
      </c>
      <c r="AG48" s="46">
        <v>8</v>
      </c>
      <c r="AH48" s="46">
        <v>8</v>
      </c>
      <c r="AI48" s="46">
        <v>8</v>
      </c>
      <c r="AJ48" s="46">
        <v>8</v>
      </c>
      <c r="AK48" s="46">
        <v>8</v>
      </c>
      <c r="AL48" s="46">
        <v>8</v>
      </c>
      <c r="AM48" s="46">
        <v>8</v>
      </c>
      <c r="AN48" s="46">
        <v>8</v>
      </c>
      <c r="AO48" s="46">
        <v>8</v>
      </c>
      <c r="AP48" s="46">
        <v>8</v>
      </c>
      <c r="AQ48" s="46">
        <v>8</v>
      </c>
      <c r="AR48" s="46">
        <v>8</v>
      </c>
      <c r="AS48" s="46">
        <v>8</v>
      </c>
      <c r="AT48" s="46">
        <v>8</v>
      </c>
      <c r="AU48" s="46">
        <v>8</v>
      </c>
      <c r="AV48" s="46">
        <v>8</v>
      </c>
      <c r="AW48" s="46">
        <v>8</v>
      </c>
      <c r="AX48" s="46">
        <v>8</v>
      </c>
      <c r="AY48" s="46">
        <v>8</v>
      </c>
      <c r="AZ48" s="46">
        <v>8</v>
      </c>
      <c r="BA48" s="46">
        <v>8</v>
      </c>
      <c r="BB48" s="46">
        <v>8</v>
      </c>
      <c r="BC48" s="46">
        <v>8</v>
      </c>
      <c r="BD48" s="46">
        <v>8</v>
      </c>
      <c r="BE48" s="46">
        <v>8</v>
      </c>
      <c r="BF48" s="46">
        <v>8</v>
      </c>
      <c r="BG48" s="46">
        <v>8</v>
      </c>
      <c r="BH48" s="46">
        <v>8</v>
      </c>
      <c r="BI48" s="46">
        <v>8</v>
      </c>
      <c r="BJ48" s="46">
        <v>8</v>
      </c>
      <c r="BK48" s="46">
        <v>8</v>
      </c>
      <c r="BL48" s="46">
        <v>8</v>
      </c>
      <c r="BM48" s="46">
        <v>8</v>
      </c>
      <c r="BN48" s="46">
        <v>8</v>
      </c>
      <c r="BO48" s="46">
        <v>8</v>
      </c>
      <c r="BP48" s="46">
        <v>8</v>
      </c>
      <c r="BQ48" s="46">
        <v>8</v>
      </c>
      <c r="BR48" s="46">
        <v>8</v>
      </c>
      <c r="BS48" s="46">
        <v>8</v>
      </c>
      <c r="BT48" s="46">
        <v>8</v>
      </c>
      <c r="BU48" s="46">
        <v>8</v>
      </c>
      <c r="BV48" s="46">
        <v>8</v>
      </c>
      <c r="BW48" s="46">
        <v>8</v>
      </c>
      <c r="BX48" s="46">
        <v>8</v>
      </c>
      <c r="BY48" s="46">
        <v>8</v>
      </c>
      <c r="BZ48" s="46">
        <v>8</v>
      </c>
      <c r="CA48" s="46">
        <v>8</v>
      </c>
      <c r="CB48" s="46">
        <v>8</v>
      </c>
      <c r="CC48" s="46">
        <v>8</v>
      </c>
      <c r="CD48" s="46">
        <v>8</v>
      </c>
      <c r="CE48" s="46">
        <v>8</v>
      </c>
      <c r="CF48" s="46">
        <v>8</v>
      </c>
      <c r="CG48" s="46">
        <v>8</v>
      </c>
      <c r="CH48" s="46">
        <v>8</v>
      </c>
      <c r="CI48" s="46">
        <v>8</v>
      </c>
      <c r="CJ48" s="46">
        <v>8</v>
      </c>
      <c r="CK48" s="46">
        <v>8</v>
      </c>
      <c r="CL48" s="46">
        <v>8</v>
      </c>
      <c r="CM48" s="46">
        <v>8</v>
      </c>
      <c r="CN48" s="46">
        <v>8</v>
      </c>
      <c r="CO48" s="46">
        <v>8</v>
      </c>
      <c r="CP48" s="46">
        <v>8</v>
      </c>
      <c r="CQ48" s="46">
        <v>8</v>
      </c>
      <c r="CR48" s="46">
        <v>8</v>
      </c>
      <c r="CS48" s="46">
        <v>8</v>
      </c>
      <c r="CT48" s="46">
        <v>8</v>
      </c>
      <c r="CU48" s="46">
        <v>8</v>
      </c>
      <c r="CV48" s="46">
        <v>8</v>
      </c>
      <c r="CW48" s="46">
        <v>8</v>
      </c>
      <c r="CX48" s="46">
        <v>8</v>
      </c>
      <c r="CY48" s="46">
        <v>8</v>
      </c>
      <c r="CZ48" s="46">
        <v>8</v>
      </c>
      <c r="DA48" s="46">
        <v>8</v>
      </c>
      <c r="DB48" s="46">
        <v>8</v>
      </c>
    </row>
    <row r="49" ht="18" customHeight="1" spans="1:106" x14ac:dyDescent="0.25">
      <c r="A49" s="16" t="s">
        <v>282</v>
      </c>
      <c r="B49" s="17"/>
      <c r="C49" s="46">
        <v>0</v>
      </c>
      <c r="D49" s="46">
        <v>0</v>
      </c>
      <c r="E49" s="46">
        <v>0</v>
      </c>
      <c r="F49" s="46">
        <v>0</v>
      </c>
      <c r="G49" s="46">
        <v>0</v>
      </c>
      <c r="H49" s="46">
        <v>0</v>
      </c>
      <c r="I49" s="46">
        <v>0</v>
      </c>
      <c r="J49" s="46">
        <v>0</v>
      </c>
      <c r="K49" s="46">
        <v>0</v>
      </c>
      <c r="L49" s="46">
        <v>0</v>
      </c>
      <c r="M49" s="46">
        <v>0</v>
      </c>
      <c r="N49" s="46">
        <v>0</v>
      </c>
      <c r="O49" s="46">
        <v>0</v>
      </c>
      <c r="P49" s="46">
        <v>0</v>
      </c>
      <c r="Q49" s="46">
        <v>0</v>
      </c>
      <c r="R49" s="46">
        <v>0</v>
      </c>
      <c r="S49" s="46">
        <v>0</v>
      </c>
      <c r="T49" s="46">
        <v>0</v>
      </c>
      <c r="U49" s="46">
        <v>0</v>
      </c>
      <c r="V49" s="46">
        <v>0</v>
      </c>
      <c r="W49" s="46">
        <v>0</v>
      </c>
      <c r="X49" s="46">
        <v>0</v>
      </c>
      <c r="Y49" s="46">
        <v>0</v>
      </c>
      <c r="Z49" s="46">
        <v>0</v>
      </c>
      <c r="AA49" s="46">
        <v>0</v>
      </c>
      <c r="AB49" s="46">
        <v>0</v>
      </c>
      <c r="AC49" s="46">
        <v>0</v>
      </c>
      <c r="AD49" s="46">
        <v>0</v>
      </c>
      <c r="AE49" s="46">
        <v>0</v>
      </c>
      <c r="AF49" s="46">
        <v>0</v>
      </c>
      <c r="AG49" s="46">
        <v>0</v>
      </c>
      <c r="AH49" s="46">
        <v>0</v>
      </c>
      <c r="AI49" s="46">
        <v>0</v>
      </c>
      <c r="AJ49" s="46">
        <v>0</v>
      </c>
      <c r="AK49" s="46">
        <v>0</v>
      </c>
      <c r="AL49" s="46">
        <v>0</v>
      </c>
      <c r="AM49" s="46">
        <v>0</v>
      </c>
      <c r="AN49" s="46">
        <v>0</v>
      </c>
      <c r="AO49" s="46">
        <v>0</v>
      </c>
      <c r="AP49" s="46">
        <v>0</v>
      </c>
      <c r="AQ49" s="46">
        <v>0</v>
      </c>
      <c r="AR49" s="46">
        <v>0</v>
      </c>
      <c r="AS49" s="46">
        <v>0</v>
      </c>
      <c r="AT49" s="46">
        <v>0</v>
      </c>
      <c r="AU49" s="46">
        <v>0</v>
      </c>
      <c r="AV49" s="46">
        <v>0</v>
      </c>
      <c r="AW49" s="46">
        <v>0</v>
      </c>
      <c r="AX49" s="46">
        <v>0</v>
      </c>
      <c r="AY49" s="46">
        <v>0</v>
      </c>
      <c r="AZ49" s="46">
        <v>0</v>
      </c>
      <c r="BA49" s="46">
        <v>0</v>
      </c>
      <c r="BB49" s="46">
        <v>0</v>
      </c>
      <c r="BC49" s="46">
        <v>0</v>
      </c>
      <c r="BD49" s="46">
        <v>0</v>
      </c>
      <c r="BE49" s="46">
        <v>0</v>
      </c>
      <c r="BF49" s="46">
        <v>0</v>
      </c>
      <c r="BG49" s="46">
        <v>0</v>
      </c>
      <c r="BH49" s="46">
        <v>0</v>
      </c>
      <c r="BI49" s="46">
        <v>0</v>
      </c>
      <c r="BJ49" s="46">
        <v>0</v>
      </c>
      <c r="BK49" s="46">
        <v>0</v>
      </c>
      <c r="BL49" s="46">
        <v>0</v>
      </c>
      <c r="BM49" s="46">
        <v>0</v>
      </c>
      <c r="BN49" s="46">
        <v>0</v>
      </c>
      <c r="BO49" s="46">
        <v>0</v>
      </c>
      <c r="BP49" s="46">
        <v>0</v>
      </c>
      <c r="BQ49" s="46">
        <v>0</v>
      </c>
      <c r="BR49" s="46">
        <v>0</v>
      </c>
      <c r="BS49" s="46">
        <v>0</v>
      </c>
      <c r="BT49" s="46">
        <v>0</v>
      </c>
      <c r="BU49" s="46">
        <v>0</v>
      </c>
      <c r="BV49" s="46">
        <v>0</v>
      </c>
      <c r="BW49" s="46">
        <v>0</v>
      </c>
      <c r="BX49" s="46">
        <v>0</v>
      </c>
      <c r="BY49" s="46">
        <v>0</v>
      </c>
      <c r="BZ49" s="46">
        <v>0</v>
      </c>
      <c r="CA49" s="46">
        <v>0</v>
      </c>
      <c r="CB49" s="46">
        <v>0</v>
      </c>
      <c r="CC49" s="46">
        <v>0</v>
      </c>
      <c r="CD49" s="46">
        <v>0</v>
      </c>
      <c r="CE49" s="46">
        <v>0</v>
      </c>
      <c r="CF49" s="46">
        <v>0</v>
      </c>
      <c r="CG49" s="46">
        <v>0</v>
      </c>
      <c r="CH49" s="46">
        <v>0</v>
      </c>
      <c r="CI49" s="46">
        <v>0</v>
      </c>
      <c r="CJ49" s="46">
        <v>0</v>
      </c>
      <c r="CK49" s="46">
        <v>0</v>
      </c>
      <c r="CL49" s="46">
        <v>0</v>
      </c>
      <c r="CM49" s="46">
        <v>0</v>
      </c>
      <c r="CN49" s="46">
        <v>0</v>
      </c>
      <c r="CO49" s="46">
        <v>0</v>
      </c>
      <c r="CP49" s="46">
        <v>0</v>
      </c>
      <c r="CQ49" s="46">
        <v>0</v>
      </c>
      <c r="CR49" s="46">
        <v>0</v>
      </c>
      <c r="CS49" s="46">
        <v>0</v>
      </c>
      <c r="CT49" s="46">
        <v>0</v>
      </c>
      <c r="CU49" s="46">
        <v>0</v>
      </c>
      <c r="CV49" s="46">
        <v>0</v>
      </c>
      <c r="CW49" s="46">
        <v>0</v>
      </c>
      <c r="CX49" s="46">
        <v>0</v>
      </c>
      <c r="CY49" s="46">
        <v>0</v>
      </c>
      <c r="CZ49" s="46">
        <v>0</v>
      </c>
      <c r="DA49" s="46">
        <v>0</v>
      </c>
      <c r="DB49" s="46">
        <v>0</v>
      </c>
    </row>
    <row r="50" ht="18" customHeight="1" spans="3:106" x14ac:dyDescent="0.25"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0"/>
      <c r="CI50" s="30"/>
      <c r="CJ50" s="30"/>
      <c r="CK50" s="30"/>
      <c r="CL50" s="30"/>
      <c r="CM50" s="30"/>
      <c r="CN50" s="30"/>
      <c r="CO50" s="30"/>
      <c r="CP50" s="30"/>
      <c r="CQ50" s="30"/>
      <c r="CR50" s="30"/>
      <c r="CS50" s="30"/>
      <c r="CT50" s="30"/>
      <c r="CU50" s="30"/>
      <c r="CV50" s="30"/>
      <c r="CW50" s="30"/>
      <c r="CX50" s="30"/>
      <c r="CY50" s="30"/>
      <c r="CZ50" s="30"/>
      <c r="DA50" s="30"/>
      <c r="DB50" s="30"/>
    </row>
    <row r="51" ht="18" customHeight="1" spans="1:106" x14ac:dyDescent="0.25">
      <c r="A51" s="9" t="s">
        <v>283</v>
      </c>
      <c r="B51" s="17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  <c r="CQ51" s="32"/>
      <c r="CR51" s="32"/>
      <c r="CS51" s="32"/>
      <c r="CT51" s="32"/>
      <c r="CU51" s="32"/>
      <c r="CV51" s="32"/>
      <c r="CW51" s="32"/>
      <c r="CX51" s="32"/>
      <c r="CY51" s="32"/>
      <c r="CZ51" s="32"/>
      <c r="DA51" s="32"/>
      <c r="DB51" s="32"/>
    </row>
    <row r="52" ht="18" customHeight="1" spans="1:106" x14ac:dyDescent="0.25">
      <c r="A52" s="33" t="s">
        <v>284</v>
      </c>
      <c r="B52" s="17"/>
      <c r="C52" s="34">
        <f>=IFERROR(1-((1-C53)*(1-C58)),0)</f>
        <v>0</v>
      </c>
      <c r="D52" s="34">
        <f>=IFERROR(1-((1-D53)*(1-D58)),0)</f>
        <v>0</v>
      </c>
      <c r="E52" s="34">
        <f>=IFERROR(1-((1-E53)*(1-E58)),0)</f>
        <v>0</v>
      </c>
      <c r="F52" s="34">
        <f>=IFERROR(1-((1-F53)*(1-F58)),0)</f>
        <v>0</v>
      </c>
      <c r="G52" s="34">
        <f>=IFERROR(1-((1-G53)*(1-G58)),0)</f>
        <v>0</v>
      </c>
      <c r="H52" s="34">
        <f>=IFERROR(1-((1-H53)*(1-H58)),0)</f>
        <v>0</v>
      </c>
      <c r="I52" s="34">
        <f>=IFERROR(1-((1-I53)*(1-I58)),0)</f>
        <v>0</v>
      </c>
      <c r="J52" s="34">
        <f>=IFERROR(1-((1-J53)*(1-J58)),0)</f>
        <v>0</v>
      </c>
      <c r="K52" s="34">
        <f>=IFERROR(1-((1-K53)*(1-K58)),0)</f>
        <v>0</v>
      </c>
      <c r="L52" s="34">
        <f>=IFERROR(1-((1-L53)*(1-L58)),0)</f>
        <v>0</v>
      </c>
      <c r="M52" s="34">
        <f>=IFERROR(1-((1-M53)*(1-M58)),0)</f>
        <v>0</v>
      </c>
      <c r="N52" s="34">
        <f>=IFERROR(1-((1-N53)*(1-N58)),0)</f>
        <v>0</v>
      </c>
      <c r="O52" s="34">
        <f>=IFERROR(1-((1-O53)*(1-O58)),0)</f>
        <v>0</v>
      </c>
      <c r="P52" s="34">
        <f>=IFERROR(1-((1-P53)*(1-P58)),0)</f>
        <v>0</v>
      </c>
      <c r="Q52" s="34">
        <f>=IFERROR(1-((1-Q53)*(1-Q58)),0)</f>
        <v>0</v>
      </c>
      <c r="R52" s="34">
        <f>=IFERROR(1-((1-R53)*(1-R58)),0)</f>
        <v>0</v>
      </c>
      <c r="S52" s="34">
        <f>=IFERROR(1-((1-S53)*(1-S58)),0)</f>
        <v>0</v>
      </c>
      <c r="T52" s="34">
        <f>=IFERROR(1-((1-T53)*(1-T58)),0)</f>
        <v>0</v>
      </c>
      <c r="U52" s="34">
        <f>=IFERROR(1-((1-U53)*(1-U58)),0)</f>
        <v>0</v>
      </c>
      <c r="V52" s="34">
        <f>=IFERROR(1-((1-V53)*(1-V58)),0)</f>
        <v>0</v>
      </c>
      <c r="W52" s="34">
        <f>=IFERROR(1-((1-W53)*(1-W58)),0)</f>
        <v>0</v>
      </c>
      <c r="X52" s="34">
        <f>=IFERROR(1-((1-X53)*(1-X58)),0)</f>
        <v>0</v>
      </c>
      <c r="Y52" s="34">
        <f>=IFERROR(1-((1-Y53)*(1-Y58)),0)</f>
        <v>0</v>
      </c>
      <c r="Z52" s="34">
        <f>=IFERROR(1-((1-Z53)*(1-Z58)),0)</f>
        <v>0</v>
      </c>
      <c r="AA52" s="34">
        <f>=IFERROR(1-((1-AA53)*(1-AA58)),0)</f>
        <v>0</v>
      </c>
      <c r="AB52" s="34">
        <f>=IFERROR(1-((1-AB53)*(1-AB58)),0)</f>
        <v>0</v>
      </c>
      <c r="AC52" s="34">
        <f>=IFERROR(1-((1-AC53)*(1-AC58)),0)</f>
        <v>0.229967577582214</v>
      </c>
      <c r="AD52" s="34">
        <f>=IFERROR(1-((1-AD53)*(1-AD58)),0)</f>
        <v>0.1559353781315852</v>
      </c>
      <c r="AE52" s="34">
        <f>=IFERROR(1-((1-AE53)*(1-AE58)),0)</f>
        <v>0.1639097744360901</v>
      </c>
      <c r="AF52" s="34">
        <f>=IFERROR(1-((1-AF53)*(1-AF58)),0)</f>
        <v>0.1478328173374613</v>
      </c>
      <c r="AG52" s="34">
        <f>=IFERROR(1-((1-AG53)*(1-AG58)),0)</f>
        <v>0.1300186120712576</v>
      </c>
      <c r="AH52" s="34">
        <f>=IFERROR(1-((1-AH53)*(1-AH58)),0)</f>
        <v>0.1194315386717685</v>
      </c>
      <c r="AI52" s="34">
        <f>=IFERROR(1-((1-AI53)*(1-AI58)),0)</f>
        <v>0.1240799158780233</v>
      </c>
      <c r="AJ52" s="34">
        <f>=IFERROR(1-((1-AJ53)*(1-AJ58)),0)</f>
        <v>0.1187739463601534</v>
      </c>
      <c r="AK52" s="34">
        <f>=IFERROR(1-((1-AK53)*(1-AK58)),0)</f>
        <v>0.1338279747183292</v>
      </c>
      <c r="AL52" s="34">
        <f>=IFERROR(1-((1-AL53)*(1-AL58)),0)</f>
        <v>0.1350574712643678</v>
      </c>
      <c r="AM52" s="34">
        <f>=IFERROR(1-((1-AM53)*(1-AM58)),0)</f>
        <v>0.1123595505617978</v>
      </c>
      <c r="AN52" s="34">
        <f>=IFERROR(1-((1-AN53)*(1-AN58)),0)</f>
        <v>0.1276720351390922</v>
      </c>
      <c r="AO52" s="34">
        <f>=IFERROR(1-((1-AO53)*(1-AO58)),0)</f>
        <v>0.1309370988446726</v>
      </c>
      <c r="AP52" s="34">
        <f>=IFERROR(1-((1-AP53)*(1-AP58)),0)</f>
        <v>0.088338270939941</v>
      </c>
      <c r="AQ52" s="34">
        <f>=IFERROR(1-((1-AQ53)*(1-AQ58)),0)</f>
        <v>0.053284093906621</v>
      </c>
      <c r="AR52" s="34">
        <f>=IFERROR(1-((1-AR53)*(1-AR58)),0)</f>
        <v>0.0627471658317954</v>
      </c>
      <c r="AS52" s="34">
        <f>=IFERROR(1-((1-AS53)*(1-AS58)),0)</f>
        <v>0.1235431235431237</v>
      </c>
      <c r="AT52" s="34">
        <f>=IFERROR(1-((1-AT53)*(1-AT58)),0)</f>
        <v>0.1204759543877046</v>
      </c>
      <c r="AU52" s="34">
        <f>=IFERROR(1-((1-AU53)*(1-AU58)),0)</f>
        <v>0.0684270952927672</v>
      </c>
      <c r="AV52" s="34">
        <f>=IFERROR(1-((1-AV53)*(1-AV58)),0)</f>
        <v>0.0677883443062666</v>
      </c>
      <c r="AW52" s="34">
        <f>=IFERROR(1-((1-AW53)*(1-AW58)),0)</f>
        <v>0.0936883629191322</v>
      </c>
      <c r="AX52" s="34">
        <f>=IFERROR(1-((1-AX53)*(1-AX58)),0)</f>
        <v>0.0808712529652798</v>
      </c>
      <c r="AY52" s="34">
        <f>=IFERROR(1-((1-AY53)*(1-AY58)),0)</f>
        <v>0.0859359458921822</v>
      </c>
      <c r="AZ52" s="34">
        <f>=IFERROR(1-((1-AZ53)*(1-AZ58)),0)</f>
        <v>0.1021557583996893</v>
      </c>
      <c r="BA52" s="34">
        <f>=IFERROR(1-((1-BA53)*(1-BA58)),0)</f>
        <v>0.0789522571057032</v>
      </c>
      <c r="BB52" s="34">
        <f>=IFERROR(1-((1-BB53)*(1-BB58)),0)</f>
        <v>0.0535748331744518</v>
      </c>
      <c r="BC52" s="34">
        <f>=IFERROR(1-((1-BC53)*(1-BC58)),0)</f>
        <v>0.1096863286644308</v>
      </c>
      <c r="BD52" s="34">
        <f>=IFERROR(1-((1-BD53)*(1-BD58)),0)</f>
        <v>0.0798201236649804</v>
      </c>
      <c r="BE52" s="34">
        <f>=IFERROR(1-((1-BE53)*(1-BE58)),0)</f>
        <v>0.110394537177542</v>
      </c>
      <c r="BF52" s="34">
        <f>=IFERROR(1-((1-BF53)*(1-BF58)),0)</f>
        <v>0.092875792614696</v>
      </c>
      <c r="BG52" s="34">
        <f>=IFERROR(1-((1-BG53)*(1-BG58)),0)</f>
        <v>0.1135174156289479</v>
      </c>
      <c r="BH52" s="34">
        <f>=IFERROR(1-((1-BH53)*(1-BH58)),0)</f>
        <v>0.0972644376899696</v>
      </c>
      <c r="BI52" s="34">
        <f>=IFERROR(1-((1-BI53)*(1-BI58)),0)</f>
        <v>0.0735575085976308</v>
      </c>
      <c r="BJ52" s="34">
        <f>=IFERROR(1-((1-BJ53)*(1-BJ58)),0)</f>
        <v>0.069732091962759</v>
      </c>
      <c r="BK52" s="34">
        <f>=IFERROR(1-((1-BK53)*(1-BK58)),0)</f>
        <v>0.0888803385917662</v>
      </c>
      <c r="BL52" s="34">
        <f>=IFERROR(1-((1-BL53)*(1-BL58)),0)</f>
        <v>0.092527386541471</v>
      </c>
      <c r="BM52" s="34">
        <f>=IFERROR(1-((1-BM53)*(1-BM58)),0)</f>
        <v>0.0879822370247018</v>
      </c>
      <c r="BN52" s="34">
        <f>=IFERROR(1-((1-BN53)*(1-BN58)),0)</f>
        <v>0.0803004043905256</v>
      </c>
      <c r="BO52" s="34">
        <f>=IFERROR(1-((1-BO53)*(1-BO58)),0)</f>
        <v>0.068609022556391</v>
      </c>
      <c r="BP52" s="34">
        <f>=IFERROR(1-((1-BP53)*(1-BP58)),0)</f>
        <v>0.0722239898186446</v>
      </c>
      <c r="BQ52" s="34">
        <f>=IFERROR(1-((1-BQ53)*(1-BQ58)),0)</f>
        <v>0.0593786865906412</v>
      </c>
      <c r="BR52" s="34">
        <f>=IFERROR(1-((1-BR53)*(1-BR58)),0)</f>
        <v>0.1029654036243823</v>
      </c>
      <c r="BS52" s="34">
        <f>=IFERROR(1-((1-BS53)*(1-BS58)),0)</f>
        <v>0.083159214375261</v>
      </c>
      <c r="BT52" s="34">
        <f>=IFERROR(1-((1-BT53)*(1-BT58)),0)</f>
        <v>0.0959183673469392</v>
      </c>
      <c r="BU52" s="34">
        <f>=IFERROR(1-((1-BU53)*(1-BU58)),0)</f>
        <v>0.0691036554832248</v>
      </c>
      <c r="BV52" s="34">
        <f>=IFERROR(1-((1-BV53)*(1-BV58)),0)</f>
        <v>0.0630541871921186</v>
      </c>
      <c r="BW52" s="34">
        <f>=IFERROR(1-((1-BW53)*(1-BW58)),0)</f>
        <v>0.0646913580246914</v>
      </c>
      <c r="BX52" s="34">
        <f>=IFERROR(1-((1-BX53)*(1-BX58)),0)</f>
        <v>0</v>
      </c>
      <c r="BY52" s="34">
        <f>=IFERROR(1-((1-BY53)*(1-BY58)),0)</f>
        <v>0</v>
      </c>
      <c r="BZ52" s="34">
        <f>=IFERROR(1-((1-BZ53)*(1-BZ58)),0)</f>
        <v>0</v>
      </c>
      <c r="CA52" s="34">
        <f>=IFERROR(1-((1-CA53)*(1-CA58)),0)</f>
        <v>0</v>
      </c>
      <c r="CB52" s="34">
        <f>=IFERROR(1-((1-CB53)*(1-CB58)),0)</f>
        <v>0</v>
      </c>
      <c r="CC52" s="34">
        <f>=IFERROR(1-((1-CC53)*(1-CC58)),0)</f>
        <v>0</v>
      </c>
      <c r="CD52" s="34">
        <f>=IFERROR(1-((1-CD53)*(1-CD58)),0)</f>
        <v>0</v>
      </c>
      <c r="CE52" s="34">
        <f>=IFERROR(1-((1-CE53)*(1-CE58)),0)</f>
        <v>0</v>
      </c>
      <c r="CF52" s="34">
        <f>=IFERROR(1-((1-CF53)*(1-CF58)),0)</f>
        <v>0</v>
      </c>
      <c r="CG52" s="34">
        <f>=IFERROR(1-((1-CG53)*(1-CG58)),0)</f>
        <v>0</v>
      </c>
      <c r="CH52" s="34">
        <f>=IFERROR(1-((1-CH53)*(1-CH58)),0)</f>
        <v>0</v>
      </c>
      <c r="CI52" s="34">
        <f>=IFERROR(1-((1-CI53)*(1-CI58)),0)</f>
        <v>0</v>
      </c>
      <c r="CJ52" s="34">
        <f>=IFERROR(1-((1-CJ53)*(1-CJ58)),0)</f>
        <v>0</v>
      </c>
      <c r="CK52" s="34">
        <f>=IFERROR(1-((1-CK53)*(1-CK58)),0)</f>
        <v>0</v>
      </c>
      <c r="CL52" s="34">
        <f>=IFERROR(1-((1-CL53)*(1-CL58)),0)</f>
        <v>0</v>
      </c>
      <c r="CM52" s="34">
        <f>=IFERROR(1-((1-CM53)*(1-CM58)),0)</f>
        <v>0</v>
      </c>
      <c r="CN52" s="34">
        <f>=IFERROR(1-((1-CN53)*(1-CN58)),0)</f>
        <v>0</v>
      </c>
      <c r="CO52" s="34">
        <f>=IFERROR(1-((1-CO53)*(1-CO58)),0)</f>
        <v>0</v>
      </c>
      <c r="CP52" s="34">
        <f>=IFERROR(1-((1-CP53)*(1-CP58)),0)</f>
        <v>0</v>
      </c>
      <c r="CQ52" s="34">
        <f>=IFERROR(1-((1-CQ53)*(1-CQ58)),0)</f>
        <v>0</v>
      </c>
      <c r="CR52" s="34">
        <f>=IFERROR(1-((1-CR53)*(1-CR58)),0)</f>
        <v>0</v>
      </c>
      <c r="CS52" s="34">
        <f>=IFERROR(1-((1-CS53)*(1-CS58)),0)</f>
        <v>0</v>
      </c>
      <c r="CT52" s="34">
        <f>=IFERROR(1-((1-CT53)*(1-CT58)),0)</f>
        <v>0</v>
      </c>
      <c r="CU52" s="34">
        <f>=IFERROR(1-((1-CU53)*(1-CU58)),0)</f>
        <v>0</v>
      </c>
      <c r="CV52" s="34">
        <f>=IFERROR(1-((1-CV53)*(1-CV58)),0)</f>
        <v>0</v>
      </c>
      <c r="CW52" s="34">
        <f>=IFERROR(1-((1-CW53)*(1-CW58)),0)</f>
        <v>0</v>
      </c>
      <c r="CX52" s="34">
        <f>=IFERROR(1-((1-CX53)*(1-CX58)),0)</f>
        <v>0</v>
      </c>
      <c r="CY52" s="34">
        <f>=IFERROR(1-((1-CY53)*(1-CY58)),0)</f>
        <v>0</v>
      </c>
      <c r="CZ52" s="34">
        <f>=IFERROR(1-((1-CZ53)*(1-CZ58)),0)</f>
        <v>0</v>
      </c>
      <c r="DA52" s="34">
        <f>=IFERROR(1-((1-DA53)*(1-DA58)),0)</f>
        <v>0</v>
      </c>
      <c r="DB52" s="34">
        <f>=IFERROR(1-((1-DB53)*(1-DB58)),0)</f>
        <v>0</v>
      </c>
    </row>
    <row r="53" ht="18" customHeight="1" spans="1:106" x14ac:dyDescent="0.25">
      <c r="A53" s="16" t="s">
        <v>285</v>
      </c>
      <c r="B53" s="17"/>
      <c r="C53" s="35">
        <f>=SUM(C54:C57)</f>
        <v>0</v>
      </c>
      <c r="D53" s="35">
        <f>=SUM(D54:D57)</f>
        <v>0</v>
      </c>
      <c r="E53" s="35">
        <f>=SUM(E54:E57)</f>
        <v>0</v>
      </c>
      <c r="F53" s="35">
        <f>=SUM(F54:F57)</f>
        <v>0</v>
      </c>
      <c r="G53" s="35">
        <f>=SUM(G54:G57)</f>
        <v>0</v>
      </c>
      <c r="H53" s="35">
        <f>=SUM(H54:H57)</f>
        <v>0</v>
      </c>
      <c r="I53" s="35">
        <f>=SUM(I54:I57)</f>
        <v>0</v>
      </c>
      <c r="J53" s="35">
        <f>=SUM(J54:J57)</f>
        <v>0</v>
      </c>
      <c r="K53" s="35">
        <f>=SUM(K54:K57)</f>
        <v>0</v>
      </c>
      <c r="L53" s="35">
        <f>=SUM(L54:L57)</f>
        <v>0</v>
      </c>
      <c r="M53" s="35">
        <f>=SUM(M54:M57)</f>
        <v>0</v>
      </c>
      <c r="N53" s="35">
        <f>=SUM(N54:N57)</f>
        <v>0</v>
      </c>
      <c r="O53" s="35">
        <f>=SUM(O54:O57)</f>
        <v>0</v>
      </c>
      <c r="P53" s="35">
        <f>=SUM(P54:P57)</f>
        <v>0</v>
      </c>
      <c r="Q53" s="35">
        <f>=SUM(Q54:Q57)</f>
        <v>0</v>
      </c>
      <c r="R53" s="35">
        <f>=SUM(R54:R57)</f>
        <v>0</v>
      </c>
      <c r="S53" s="35">
        <f>=SUM(S54:S57)</f>
        <v>0</v>
      </c>
      <c r="T53" s="35">
        <f>=SUM(T54:T57)</f>
        <v>0</v>
      </c>
      <c r="U53" s="35">
        <f>=SUM(U54:U57)</f>
        <v>0</v>
      </c>
      <c r="V53" s="35">
        <f>=SUM(V54:V57)</f>
        <v>0</v>
      </c>
      <c r="W53" s="35">
        <f>=SUM(W54:W57)</f>
        <v>0</v>
      </c>
      <c r="X53" s="35">
        <f>=SUM(X54:X57)</f>
        <v>0</v>
      </c>
      <c r="Y53" s="35">
        <f>=SUM(Y54:Y57)</f>
        <v>0</v>
      </c>
      <c r="Z53" s="35">
        <f>=SUM(Z54:Z57)</f>
        <v>0</v>
      </c>
      <c r="AA53" s="35">
        <f>=SUM(AA54:AA57)</f>
        <v>0</v>
      </c>
      <c r="AB53" s="35">
        <f>=SUM(AB54:AB57)</f>
        <v>0</v>
      </c>
      <c r="AC53" s="35">
        <f>=SUM(AC54:AC57)</f>
        <v>0.229967577582214</v>
      </c>
      <c r="AD53" s="35">
        <f>=SUM(AD54:AD57)</f>
        <v>0.1559353781315851</v>
      </c>
      <c r="AE53" s="35">
        <f>=SUM(AE54:AE57)</f>
        <v>0.16390977443609023</v>
      </c>
      <c r="AF53" s="35">
        <f>=SUM(AF54:AF57)</f>
        <v>0.1478328173374613</v>
      </c>
      <c r="AG53" s="35">
        <f>=SUM(AG54:AG57)</f>
        <v>0.13001861207125764</v>
      </c>
      <c r="AH53" s="35">
        <f>=SUM(AH54:AH57)</f>
        <v>0.11943153867176824</v>
      </c>
      <c r="AI53" s="35">
        <f>=SUM(AI54:AI57)</f>
        <v>0.12407991587802314</v>
      </c>
      <c r="AJ53" s="35">
        <f>=SUM(AJ54:AJ57)</f>
        <v>0.11877394636015326</v>
      </c>
      <c r="AK53" s="35">
        <f>=SUM(AK54:AK57)</f>
        <v>0.1338279747183292</v>
      </c>
      <c r="AL53" s="35">
        <f>=SUM(AL54:AL57)</f>
        <v>0.1350574712643678</v>
      </c>
      <c r="AM53" s="35">
        <f>=SUM(AM54:AM57)</f>
        <v>0.11235955056179776</v>
      </c>
      <c r="AN53" s="35">
        <f>=SUM(AN54:AN57)</f>
        <v>0.12767203513909223</v>
      </c>
      <c r="AO53" s="35">
        <f>=SUM(AO54:AO57)</f>
        <v>0.13093709884467267</v>
      </c>
      <c r="AP53" s="35">
        <f>=SUM(AP54:AP57)</f>
        <v>0.08833827093994073</v>
      </c>
      <c r="AQ53" s="35">
        <f>=SUM(AQ54:AQ57)</f>
        <v>0.05328409390662094</v>
      </c>
      <c r="AR53" s="35">
        <f>=SUM(AR54:AR57)</f>
        <v>0.0627471658317954</v>
      </c>
      <c r="AS53" s="35">
        <f>=SUM(AS54:AS57)</f>
        <v>0.12354312354312354</v>
      </c>
      <c r="AT53" s="35">
        <f>=SUM(AT54:AT57)</f>
        <v>0.12047595438770452</v>
      </c>
      <c r="AU53" s="35">
        <f>=SUM(AU54:AU57)</f>
        <v>0.06842709529276694</v>
      </c>
      <c r="AV53" s="35">
        <f>=SUM(AV54:AV57)</f>
        <v>0.06778834430626678</v>
      </c>
      <c r="AW53" s="35">
        <f>=SUM(AW54:AW57)</f>
        <v>0.09368836291913216</v>
      </c>
      <c r="AX53" s="35">
        <f>=SUM(AX54:AX57)</f>
        <v>0.08087125296527928</v>
      </c>
      <c r="AY53" s="35">
        <f>=SUM(AY54:AY57)</f>
        <v>0.0859359458921822</v>
      </c>
      <c r="AZ53" s="35">
        <f>=SUM(AZ54:AZ57)</f>
        <v>0.10215575839968925</v>
      </c>
      <c r="BA53" s="35">
        <f>=SUM(BA54:BA57)</f>
        <v>0.07895225710570314</v>
      </c>
      <c r="BB53" s="35">
        <f>=SUM(BB54:BB57)</f>
        <v>0.05357483317445186</v>
      </c>
      <c r="BC53" s="35">
        <f>=SUM(BC54:BC57)</f>
        <v>0.10968632866443084</v>
      </c>
      <c r="BD53" s="35">
        <f>=SUM(BD54:BD57)</f>
        <v>0.07982012366498031</v>
      </c>
      <c r="BE53" s="35">
        <f>=SUM(BE54:BE57)</f>
        <v>0.11039453717754173</v>
      </c>
      <c r="BF53" s="35">
        <f>=SUM(BF54:BF57)</f>
        <v>0.092875792614696</v>
      </c>
      <c r="BG53" s="35">
        <f>=SUM(BG54:BG57)</f>
        <v>0.11351741562894783</v>
      </c>
      <c r="BH53" s="35">
        <f>=SUM(BH54:BH57)</f>
        <v>0.0972644376899696</v>
      </c>
      <c r="BI53" s="35">
        <f>=SUM(BI54:BI57)</f>
        <v>0.07355750859763088</v>
      </c>
      <c r="BJ53" s="35">
        <f>=SUM(BJ54:BJ57)</f>
        <v>0.06973209196275888</v>
      </c>
      <c r="BK53" s="35">
        <f>=SUM(BK54:BK57)</f>
        <v>0.08888033859176607</v>
      </c>
      <c r="BL53" s="35">
        <f>=SUM(BL54:BL57)</f>
        <v>0.09252738654147104</v>
      </c>
      <c r="BM53" s="35">
        <f>=SUM(BM54:BM57)</f>
        <v>0.08798223702470163</v>
      </c>
      <c r="BN53" s="35">
        <f>=SUM(BN54:BN57)</f>
        <v>0.0803004043905257</v>
      </c>
      <c r="BO53" s="35">
        <f>=SUM(BO54:BO57)</f>
        <v>0.06860902255639098</v>
      </c>
      <c r="BP53" s="35">
        <f>=SUM(BP54:BP57)</f>
        <v>0.07222398981864461</v>
      </c>
      <c r="BQ53" s="35">
        <f>=SUM(BQ54:BQ57)</f>
        <v>0.05937868659064098</v>
      </c>
      <c r="BR53" s="35">
        <f>=SUM(BR54:BR57)</f>
        <v>0.10296540362438221</v>
      </c>
      <c r="BS53" s="35">
        <f>=SUM(BS54:BS57)</f>
        <v>0.08315921437526118</v>
      </c>
      <c r="BT53" s="35">
        <f>=SUM(BT54:BT57)</f>
        <v>0.09591836734693879</v>
      </c>
      <c r="BU53" s="35">
        <f>=SUM(BU54:BU57)</f>
        <v>0.06910365548322484</v>
      </c>
      <c r="BV53" s="35">
        <f>=SUM(BV54:BV57)</f>
        <v>0.06305418719211824</v>
      </c>
      <c r="BW53" s="35">
        <f>=SUM(BW54:BW57)</f>
        <v>0.06469135802469135</v>
      </c>
      <c r="BX53" s="35">
        <f>=SUM(BX54:BX57)</f>
        <v>0</v>
      </c>
      <c r="BY53" s="35">
        <f>=SUM(BY54:BY57)</f>
        <v>0</v>
      </c>
      <c r="BZ53" s="35">
        <f>=SUM(BZ54:BZ57)</f>
        <v>0</v>
      </c>
      <c r="CA53" s="35">
        <f>=SUM(CA54:CA57)</f>
        <v>0</v>
      </c>
      <c r="CB53" s="35">
        <f>=SUM(CB54:CB57)</f>
        <v>0</v>
      </c>
      <c r="CC53" s="35">
        <f>=SUM(CC54:CC57)</f>
        <v>0</v>
      </c>
      <c r="CD53" s="35">
        <f>=SUM(CD54:CD57)</f>
        <v>0</v>
      </c>
      <c r="CE53" s="35">
        <f>=SUM(CE54:CE57)</f>
        <v>0</v>
      </c>
      <c r="CF53" s="35">
        <f>=SUM(CF54:CF57)</f>
        <v>0</v>
      </c>
      <c r="CG53" s="35">
        <f>=SUM(CG54:CG57)</f>
        <v>0</v>
      </c>
      <c r="CH53" s="35">
        <f>=SUM(CH54:CH57)</f>
        <v>0</v>
      </c>
      <c r="CI53" s="35">
        <f>=SUM(CI54:CI57)</f>
        <v>0</v>
      </c>
      <c r="CJ53" s="35">
        <f>=SUM(CJ54:CJ57)</f>
        <v>0</v>
      </c>
      <c r="CK53" s="35">
        <f>=SUM(CK54:CK57)</f>
        <v>0</v>
      </c>
      <c r="CL53" s="35">
        <f>=SUM(CL54:CL57)</f>
        <v>0</v>
      </c>
      <c r="CM53" s="35">
        <f>=SUM(CM54:CM57)</f>
        <v>0</v>
      </c>
      <c r="CN53" s="35">
        <f>=SUM(CN54:CN57)</f>
        <v>0</v>
      </c>
      <c r="CO53" s="35">
        <f>=SUM(CO54:CO57)</f>
        <v>0</v>
      </c>
      <c r="CP53" s="35">
        <f>=SUM(CP54:CP57)</f>
        <v>0</v>
      </c>
      <c r="CQ53" s="35">
        <f>=SUM(CQ54:CQ57)</f>
        <v>0</v>
      </c>
      <c r="CR53" s="35">
        <f>=SUM(CR54:CR57)</f>
        <v>0</v>
      </c>
      <c r="CS53" s="35">
        <f>=SUM(CS54:CS57)</f>
        <v>0</v>
      </c>
      <c r="CT53" s="35">
        <f>=SUM(CT54:CT57)</f>
        <v>0</v>
      </c>
      <c r="CU53" s="35">
        <f>=SUM(CU54:CU57)</f>
        <v>0</v>
      </c>
      <c r="CV53" s="35">
        <f>=SUM(CV54:CV57)</f>
        <v>0</v>
      </c>
      <c r="CW53" s="35">
        <f>=SUM(CW54:CW57)</f>
        <v>0</v>
      </c>
      <c r="CX53" s="35">
        <f>=SUM(CX54:CX57)</f>
        <v>0</v>
      </c>
      <c r="CY53" s="35">
        <f>=SUM(CY54:CY57)</f>
        <v>0</v>
      </c>
      <c r="CZ53" s="35">
        <f>=SUM(CZ54:CZ57)</f>
        <v>0</v>
      </c>
      <c r="DA53" s="35">
        <f>=SUM(DA54:DA57)</f>
        <v>0</v>
      </c>
      <c r="DB53" s="35">
        <f>=SUM(DB54:DB57)</f>
        <v>0</v>
      </c>
    </row>
    <row r="54" ht="18" customHeight="1" spans="1:106" x14ac:dyDescent="0.25">
      <c r="A54" s="36" t="s">
        <v>263</v>
      </c>
      <c r="B54" s="17"/>
      <c r="C54" s="37">
        <f>=IFERROR(C137/C132,0)</f>
        <v>0</v>
      </c>
      <c r="D54" s="37">
        <f>=IFERROR(D137/D132,0)</f>
        <v>0</v>
      </c>
      <c r="E54" s="37">
        <f>=IFERROR(E137/E132,0)</f>
        <v>0</v>
      </c>
      <c r="F54" s="37">
        <f>=IFERROR(F137/F132,0)</f>
        <v>0</v>
      </c>
      <c r="G54" s="37">
        <f>=IFERROR(G137/G132,0)</f>
        <v>0</v>
      </c>
      <c r="H54" s="37">
        <f>=IFERROR(H137/H132,0)</f>
        <v>0</v>
      </c>
      <c r="I54" s="37">
        <f>=IFERROR(I137/I132,0)</f>
        <v>0</v>
      </c>
      <c r="J54" s="37">
        <f>=IFERROR(J137/J132,0)</f>
        <v>0</v>
      </c>
      <c r="K54" s="37">
        <f>=IFERROR(K137/K132,0)</f>
        <v>0</v>
      </c>
      <c r="L54" s="37">
        <f>=IFERROR(L137/L132,0)</f>
        <v>0</v>
      </c>
      <c r="M54" s="37">
        <f>=IFERROR(M137/M132,0)</f>
        <v>0</v>
      </c>
      <c r="N54" s="37">
        <f>=IFERROR(N137/N132,0)</f>
        <v>0</v>
      </c>
      <c r="O54" s="37">
        <f>=IFERROR(O137/O132,0)</f>
        <v>0</v>
      </c>
      <c r="P54" s="37">
        <f>=IFERROR(P137/P132,0)</f>
        <v>0</v>
      </c>
      <c r="Q54" s="37">
        <f>=IFERROR(Q137/Q132,0)</f>
        <v>0</v>
      </c>
      <c r="R54" s="37">
        <f>=IFERROR(R137/R132,0)</f>
        <v>0</v>
      </c>
      <c r="S54" s="37">
        <f>=IFERROR(S137/S132,0)</f>
        <v>0</v>
      </c>
      <c r="T54" s="37">
        <f>=IFERROR(T137/T132,0)</f>
        <v>0</v>
      </c>
      <c r="U54" s="37">
        <f>=IFERROR(U137/U132,0)</f>
        <v>0</v>
      </c>
      <c r="V54" s="37">
        <f>=IFERROR(V137/V132,0)</f>
        <v>0</v>
      </c>
      <c r="W54" s="37">
        <f>=IFERROR(W137/W132,0)</f>
        <v>0</v>
      </c>
      <c r="X54" s="37">
        <f>=IFERROR(X137/X132,0)</f>
        <v>0</v>
      </c>
      <c r="Y54" s="37">
        <f>=IFERROR(Y137/Y132,0)</f>
        <v>0</v>
      </c>
      <c r="Z54" s="37">
        <f>=IFERROR(Z137/Z132,0)</f>
        <v>0</v>
      </c>
      <c r="AA54" s="37">
        <f>=IFERROR(AA137/AA132,0)</f>
        <v>0</v>
      </c>
      <c r="AB54" s="37">
        <f>=IFERROR(AB137/AB132,0)</f>
        <v>0</v>
      </c>
      <c r="AC54" s="37">
        <f>=IFERROR(AC137/AC132,0)</f>
        <v>0.1412691060676239</v>
      </c>
      <c r="AD54" s="37">
        <f>=IFERROR(AD137/AD132,0)</f>
        <v>0.06462186841489112</v>
      </c>
      <c r="AE54" s="37">
        <f>=IFERROR(AE137/AE132,0)</f>
        <v>0.053132832080200504</v>
      </c>
      <c r="AF54" s="37">
        <f>=IFERROR(AF137/AF132,0)</f>
        <v>0.07352941176470588</v>
      </c>
      <c r="AG54" s="37">
        <f>=IFERROR(AG137/AG132,0)</f>
        <v>0.06354692900824249</v>
      </c>
      <c r="AH54" s="37">
        <f>=IFERROR(AH137/AH132,0)</f>
        <v>0.059305821262640064</v>
      </c>
      <c r="AI54" s="37">
        <f>=IFERROR(AI137/AI132,0)</f>
        <v>0.07912723449001051</v>
      </c>
      <c r="AJ54" s="37">
        <f>=IFERROR(AJ137/AJ132,0)</f>
        <v>0.06759715380405036</v>
      </c>
      <c r="AK54" s="37">
        <f>=IFERROR(AK137/AK132,0)</f>
        <v>0.07749381698268755</v>
      </c>
      <c r="AL54" s="37">
        <f>=IFERROR(AL137/AL132,0)</f>
        <v>0.04626436781609195</v>
      </c>
      <c r="AM54" s="37">
        <f>=IFERROR(AM137/AM132,0)</f>
        <v>0.04840103716508211</v>
      </c>
      <c r="AN54" s="37">
        <f>=IFERROR(AN137/AN132,0)</f>
        <v>0.07789165446559297</v>
      </c>
      <c r="AO54" s="37">
        <f>=IFERROR(AO137/AO132,0)</f>
        <v>0.0865211810012837</v>
      </c>
      <c r="AP54" s="37">
        <f>=IFERROR(AP137/AP132,0)</f>
        <v>0.03959062752491247</v>
      </c>
      <c r="AQ54" s="37">
        <f>=IFERROR(AQ137/AQ132,0)</f>
        <v>0.010023740437879188</v>
      </c>
      <c r="AR54" s="37">
        <f>=IFERROR(AR137/AR132,0)</f>
        <v>0.01713683100448194</v>
      </c>
      <c r="AS54" s="37">
        <f>=IFERROR(AS137/AS132,0)</f>
        <v>0.0473970473970474</v>
      </c>
      <c r="AT54" s="37">
        <f>=IFERROR(AT137/AT132,0)</f>
        <v>0.05428854734754586</v>
      </c>
      <c r="AU54" s="37">
        <f>=IFERROR(AU137/AU132,0)</f>
        <v>0.03788748564867968</v>
      </c>
      <c r="AV54" s="37">
        <f>=IFERROR(AV137/AV132,0)</f>
        <v>0.03633260180443794</v>
      </c>
      <c r="AW54" s="37">
        <f>=IFERROR(AW137/AW132,0)</f>
        <v>0.0604043392504931</v>
      </c>
      <c r="AX54" s="37">
        <f>=IFERROR(AX137/AX132,0)</f>
        <v>0.05477679534181583</v>
      </c>
      <c r="AY54" s="37">
        <f>=IFERROR(AY137/AY132,0)</f>
        <v>0.047742192162323456</v>
      </c>
      <c r="AZ54" s="37">
        <f>=IFERROR(AZ137/AZ132,0)</f>
        <v>0.0349582443192853</v>
      </c>
      <c r="BA54" s="37">
        <f>=IFERROR(BA137/BA132,0)</f>
        <v>0.047371354263421886</v>
      </c>
      <c r="BB54" s="37">
        <f>=IFERROR(BB137/BB132,0)</f>
        <v>0.04537654909437559</v>
      </c>
      <c r="BC54" s="37">
        <f>=IFERROR(BC137/BC132,0)</f>
        <v>0.04596567370289998</v>
      </c>
      <c r="BD54" s="37">
        <f>=IFERROR(BD137/BD132,0)</f>
        <v>0.03035413153456998</v>
      </c>
      <c r="BE54" s="37">
        <f>=IFERROR(BE137/BE132,0)</f>
        <v>0.030159332321699546</v>
      </c>
      <c r="BF54" s="37">
        <f>=IFERROR(BF137/BF132,0)</f>
        <v>0.02928011935844834</v>
      </c>
      <c r="BG54" s="37">
        <f>=IFERROR(BG137/BG132,0)</f>
        <v>0.0332070023461469</v>
      </c>
      <c r="BH54" s="37">
        <f>=IFERROR(BH137/BH132,0)</f>
        <v>0.03001519756838906</v>
      </c>
      <c r="BI54" s="37">
        <f>=IFERROR(BI137/BI132,0)</f>
        <v>0.02292701566679404</v>
      </c>
      <c r="BJ54" s="37">
        <f>=IFERROR(BJ137/BJ132,0)</f>
        <v>0.037051111533346</v>
      </c>
      <c r="BK54" s="37">
        <f>=IFERROR(BK137/BK132,0)</f>
        <v>0.04482493266641016</v>
      </c>
      <c r="BL54" s="37">
        <f>=IFERROR(BL137/BL132,0)</f>
        <v>0.04401408450704225</v>
      </c>
      <c r="BM54" s="37">
        <f>=IFERROR(BM137/BM132,0)</f>
        <v>0.04440743824590619</v>
      </c>
      <c r="BN54" s="37">
        <f>=IFERROR(BN137/BN132,0)</f>
        <v>0.037839399191218946</v>
      </c>
      <c r="BO54" s="37">
        <f>=IFERROR(BO137/BO132,0)</f>
        <v>0.03696741854636591</v>
      </c>
      <c r="BP54" s="37">
        <f>=IFERROR(BP137/BP132,0)</f>
        <v>0.031180400890868598</v>
      </c>
      <c r="BQ54" s="37">
        <f>=IFERROR(BQ137/BQ132,0)</f>
        <v>0.02595359811246559</v>
      </c>
      <c r="BR54" s="37">
        <f>=IFERROR(BR137/BR132,0)</f>
        <v>0.07413509060955518</v>
      </c>
      <c r="BS54" s="37">
        <f>=IFERROR(BS137/BS132,0)</f>
        <v>0.05265357292101964</v>
      </c>
      <c r="BT54" s="37">
        <f>=IFERROR(BT137/BT132,0)</f>
        <v>0.062448979591836734</v>
      </c>
      <c r="BU54" s="37">
        <f>=IFERROR(BU137/BU132,0)</f>
        <v>0.05358037055583375</v>
      </c>
      <c r="BV54" s="37">
        <f>=IFERROR(BV137/BV132,0)</f>
        <v>0.04926108374384237</v>
      </c>
      <c r="BW54" s="37">
        <f>=IFERROR(BW137/BW132,0)</f>
        <v>0.05185185185185185</v>
      </c>
      <c r="BX54" s="37">
        <f>=IFERROR(BX137/BX132,0)</f>
        <v>0</v>
      </c>
      <c r="BY54" s="37">
        <f>=IFERROR(BY137/BY132,0)</f>
        <v>0</v>
      </c>
      <c r="BZ54" s="37">
        <f>=IFERROR(BZ137/BZ132,0)</f>
        <v>0</v>
      </c>
      <c r="CA54" s="37">
        <f>=IFERROR(CA137/CA132,0)</f>
        <v>0</v>
      </c>
      <c r="CB54" s="37">
        <f>=IFERROR(CB137/CB132,0)</f>
        <v>0</v>
      </c>
      <c r="CC54" s="37">
        <f>=IFERROR(CC137/CC132,0)</f>
        <v>0</v>
      </c>
      <c r="CD54" s="37">
        <f>=IFERROR(CD137/CD132,0)</f>
        <v>0</v>
      </c>
      <c r="CE54" s="37">
        <f>=IFERROR(CE137/CE132,0)</f>
        <v>0</v>
      </c>
      <c r="CF54" s="37">
        <f>=IFERROR(CF137/CF132,0)</f>
        <v>0</v>
      </c>
      <c r="CG54" s="37">
        <f>=IFERROR(CG137/CG132,0)</f>
        <v>0</v>
      </c>
      <c r="CH54" s="37">
        <f>=IFERROR(CH137/CH132,0)</f>
        <v>0</v>
      </c>
      <c r="CI54" s="37">
        <f>=IFERROR(CI137/CI132,0)</f>
        <v>0</v>
      </c>
      <c r="CJ54" s="37">
        <f>=IFERROR(CJ137/CJ132,0)</f>
        <v>0</v>
      </c>
      <c r="CK54" s="37">
        <f>=IFERROR(CK137/CK132,0)</f>
        <v>0</v>
      </c>
      <c r="CL54" s="37">
        <f>=IFERROR(CL137/CL132,0)</f>
        <v>0</v>
      </c>
      <c r="CM54" s="37">
        <f>=IFERROR(CM137/CM132,0)</f>
        <v>0</v>
      </c>
      <c r="CN54" s="37">
        <f>=IFERROR(CN137/CN132,0)</f>
        <v>0</v>
      </c>
      <c r="CO54" s="37">
        <f>=IFERROR(CO137/CO132,0)</f>
        <v>0</v>
      </c>
      <c r="CP54" s="37">
        <f>=IFERROR(CP137/CP132,0)</f>
        <v>0</v>
      </c>
      <c r="CQ54" s="37">
        <f>=IFERROR(CQ137/CQ132,0)</f>
        <v>0</v>
      </c>
      <c r="CR54" s="37">
        <f>=IFERROR(CR137/CR132,0)</f>
        <v>0</v>
      </c>
      <c r="CS54" s="37">
        <f>=IFERROR(CS137/CS132,0)</f>
        <v>0</v>
      </c>
      <c r="CT54" s="37">
        <f>=IFERROR(CT137/CT132,0)</f>
        <v>0</v>
      </c>
      <c r="CU54" s="37">
        <f>=IFERROR(CU137/CU132,0)</f>
        <v>0</v>
      </c>
      <c r="CV54" s="37">
        <f>=IFERROR(CV137/CV132,0)</f>
        <v>0</v>
      </c>
      <c r="CW54" s="37">
        <f>=IFERROR(CW137/CW132,0)</f>
        <v>0</v>
      </c>
      <c r="CX54" s="37">
        <f>=IFERROR(CX137/CX132,0)</f>
        <v>0</v>
      </c>
      <c r="CY54" s="37">
        <f>=IFERROR(CY137/CY132,0)</f>
        <v>0</v>
      </c>
      <c r="CZ54" s="37">
        <f>=IFERROR(CZ137/CZ132,0)</f>
        <v>0</v>
      </c>
      <c r="DA54" s="37">
        <f>=IFERROR(DA137/DA132,0)</f>
        <v>0</v>
      </c>
      <c r="DB54" s="37">
        <f>=IFERROR(DB137/DB132,0)</f>
        <v>0</v>
      </c>
    </row>
    <row r="55" ht="18" customHeight="1" spans="1:106" x14ac:dyDescent="0.25">
      <c r="A55" s="36" t="s">
        <v>264</v>
      </c>
      <c r="B55" s="17"/>
      <c r="C55" s="37">
        <f>=IFERROR(C138/C132,0)</f>
        <v>0</v>
      </c>
      <c r="D55" s="37">
        <f>=IFERROR(D138/D132,0)</f>
        <v>0</v>
      </c>
      <c r="E55" s="37">
        <f>=IFERROR(E138/E132,0)</f>
        <v>0</v>
      </c>
      <c r="F55" s="37">
        <f>=IFERROR(F138/F132,0)</f>
        <v>0</v>
      </c>
      <c r="G55" s="37">
        <f>=IFERROR(G138/G132,0)</f>
        <v>0</v>
      </c>
      <c r="H55" s="37">
        <f>=IFERROR(H138/H132,0)</f>
        <v>0</v>
      </c>
      <c r="I55" s="37">
        <f>=IFERROR(I138/I132,0)</f>
        <v>0</v>
      </c>
      <c r="J55" s="37">
        <f>=IFERROR(J138/J132,0)</f>
        <v>0</v>
      </c>
      <c r="K55" s="37">
        <f>=IFERROR(K138/K132,0)</f>
        <v>0</v>
      </c>
      <c r="L55" s="37">
        <f>=IFERROR(L138/L132,0)</f>
        <v>0</v>
      </c>
      <c r="M55" s="37">
        <f>=IFERROR(M138/M132,0)</f>
        <v>0</v>
      </c>
      <c r="N55" s="37">
        <f>=IFERROR(N138/N132,0)</f>
        <v>0</v>
      </c>
      <c r="O55" s="37">
        <f>=IFERROR(O138/O132,0)</f>
        <v>0</v>
      </c>
      <c r="P55" s="37">
        <f>=IFERROR(P138/P132,0)</f>
        <v>0</v>
      </c>
      <c r="Q55" s="37">
        <f>=IFERROR(Q138/Q132,0)</f>
        <v>0</v>
      </c>
      <c r="R55" s="37">
        <f>=IFERROR(R138/R132,0)</f>
        <v>0</v>
      </c>
      <c r="S55" s="37">
        <f>=IFERROR(S138/S132,0)</f>
        <v>0</v>
      </c>
      <c r="T55" s="37">
        <f>=IFERROR(T138/T132,0)</f>
        <v>0</v>
      </c>
      <c r="U55" s="37">
        <f>=IFERROR(U138/U132,0)</f>
        <v>0</v>
      </c>
      <c r="V55" s="37">
        <f>=IFERROR(V138/V132,0)</f>
        <v>0</v>
      </c>
      <c r="W55" s="37">
        <f>=IFERROR(W138/W132,0)</f>
        <v>0</v>
      </c>
      <c r="X55" s="37">
        <f>=IFERROR(X138/X132,0)</f>
        <v>0</v>
      </c>
      <c r="Y55" s="37">
        <f>=IFERROR(Y138/Y132,0)</f>
        <v>0</v>
      </c>
      <c r="Z55" s="37">
        <f>=IFERROR(Z138/Z132,0)</f>
        <v>0</v>
      </c>
      <c r="AA55" s="37">
        <f>=IFERROR(AA138/AA132,0)</f>
        <v>0</v>
      </c>
      <c r="AB55" s="37">
        <f>=IFERROR(AB138/AB132,0)</f>
        <v>0</v>
      </c>
      <c r="AC55" s="37">
        <f>=IFERROR(AC138/AC132,0)</f>
        <v>0.0886984715145901</v>
      </c>
      <c r="AD55" s="37">
        <f>=IFERROR(AD138/AD132,0)</f>
        <v>0.09131350971669398</v>
      </c>
      <c r="AE55" s="37">
        <f>=IFERROR(AE138/AE132,0)</f>
        <v>0.11077694235588972</v>
      </c>
      <c r="AF55" s="37">
        <f>=IFERROR(AF138/AF132,0)</f>
        <v>0.07430340557275542</v>
      </c>
      <c r="AG55" s="37">
        <f>=IFERROR(AG138/AG132,0)</f>
        <v>0.06647168306301515</v>
      </c>
      <c r="AH55" s="37">
        <f>=IFERROR(AH138/AH132,0)</f>
        <v>0.06012571740912818</v>
      </c>
      <c r="AI55" s="37">
        <f>=IFERROR(AI138/AI132,0)</f>
        <v>0.044952681388012616</v>
      </c>
      <c r="AJ55" s="37">
        <f>=IFERROR(AJ138/AJ132,0)</f>
        <v>0.0511767925561029</v>
      </c>
      <c r="AK55" s="37">
        <f>=IFERROR(AK138/AK132,0)</f>
        <v>0.05633415773564166</v>
      </c>
      <c r="AL55" s="37">
        <f>=IFERROR(AL138/AL132,0)</f>
        <v>0.08879310344827586</v>
      </c>
      <c r="AM55" s="37">
        <f>=IFERROR(AM138/AM132,0)</f>
        <v>0.06395851339671564</v>
      </c>
      <c r="AN55" s="37">
        <f>=IFERROR(AN138/AN132,0)</f>
        <v>0.04978038067349927</v>
      </c>
      <c r="AO55" s="37">
        <f>=IFERROR(AO138/AO132,0)</f>
        <v>0.04441591784338896</v>
      </c>
      <c r="AP55" s="37">
        <f>=IFERROR(AP138/AP132,0)</f>
        <v>0.048747643415028276</v>
      </c>
      <c r="AQ55" s="37">
        <f>=IFERROR(AQ138/AQ132,0)</f>
        <v>0.043260353468741755</v>
      </c>
      <c r="AR55" s="37">
        <f>=IFERROR(AR138/AR132,0)</f>
        <v>0.04561033482731347</v>
      </c>
      <c r="AS55" s="37">
        <f>=IFERROR(AS138/AS132,0)</f>
        <v>0.07614607614607614</v>
      </c>
      <c r="AT55" s="37">
        <f>=IFERROR(AT138/AT132,0)</f>
        <v>0.06618740704015866</v>
      </c>
      <c r="AU55" s="37">
        <f>=IFERROR(AU138/AU132,0)</f>
        <v>0.030539609644087255</v>
      </c>
      <c r="AV55" s="37">
        <f>=IFERROR(AV138/AV132,0)</f>
        <v>0.03145574250182882</v>
      </c>
      <c r="AW55" s="37">
        <f>=IFERROR(AW138/AW132,0)</f>
        <v>0.03328402366863906</v>
      </c>
      <c r="AX55" s="37">
        <f>=IFERROR(AX138/AX132,0)</f>
        <v>0.026094457623463446</v>
      </c>
      <c r="AY55" s="37">
        <f>=IFERROR(AY138/AY132,0)</f>
        <v>0.03819375372985876</v>
      </c>
      <c r="AZ55" s="37">
        <f>=IFERROR(AZ138/AZ132,0)</f>
        <v>0.06719751408040396</v>
      </c>
      <c r="BA55" s="37">
        <f>=IFERROR(BA138/BA132,0)</f>
        <v>0.03158090284228125</v>
      </c>
      <c r="BB55" s="37">
        <f>=IFERROR(BB138/BB132,0)</f>
        <v>0.008198284080076263</v>
      </c>
      <c r="BC55" s="37">
        <f>=IFERROR(BC138/BC132,0)</f>
        <v>0.06372065496153087</v>
      </c>
      <c r="BD55" s="37">
        <f>=IFERROR(BD138/BD132,0)</f>
        <v>0.04946599213041034</v>
      </c>
      <c r="BE55" s="37">
        <f>=IFERROR(BE138/BE132,0)</f>
        <v>0.08023520485584218</v>
      </c>
      <c r="BF55" s="37">
        <f>=IFERROR(BF138/BF132,0)</f>
        <v>0.06359567325624767</v>
      </c>
      <c r="BG55" s="37">
        <f>=IFERROR(BG138/BG132,0)</f>
        <v>0.08031041328280093</v>
      </c>
      <c r="BH55" s="37">
        <f>=IFERROR(BH138/BH132,0)</f>
        <v>0.06724924012158055</v>
      </c>
      <c r="BI55" s="37">
        <f>=IFERROR(BI138/BI132,0)</f>
        <v>0.05063049293083684</v>
      </c>
      <c r="BJ55" s="37">
        <f>=IFERROR(BJ138/BJ132,0)</f>
        <v>0.032680980429412886</v>
      </c>
      <c r="BK55" s="37">
        <f>=IFERROR(BK138/BK132,0)</f>
        <v>0.04405540592535591</v>
      </c>
      <c r="BL55" s="37">
        <f>=IFERROR(BL138/BL132,0)</f>
        <v>0.048513302034428794</v>
      </c>
      <c r="BM55" s="37">
        <f>=IFERROR(BM138/BM132,0)</f>
        <v>0.04357479877879545</v>
      </c>
      <c r="BN55" s="37">
        <f>=IFERROR(BN138/BN132,0)</f>
        <v>0.04246100519930676</v>
      </c>
      <c r="BO55" s="37">
        <f>=IFERROR(BO138/BO132,0)</f>
        <v>0.03164160401002506</v>
      </c>
      <c r="BP55" s="37">
        <f>=IFERROR(BP138/BP132,0)</f>
        <v>0.04104358892777601</v>
      </c>
      <c r="BQ55" s="37">
        <f>=IFERROR(BQ138/BQ132,0)</f>
        <v>0.03342508847817539</v>
      </c>
      <c r="BR55" s="37">
        <f>=IFERROR(BR138/BR132,0)</f>
        <v>0.028830313014827018</v>
      </c>
      <c r="BS55" s="37">
        <f>=IFERROR(BS138/BS132,0)</f>
        <v>0.030505641454241537</v>
      </c>
      <c r="BT55" s="37">
        <f>=IFERROR(BT138/BT132,0)</f>
        <v>0.03346938775510204</v>
      </c>
      <c r="BU55" s="37">
        <f>=IFERROR(BU138/BU132,0)</f>
        <v>0.015523284927391086</v>
      </c>
      <c r="BV55" s="37">
        <f>=IFERROR(BV138/BV132,0)</f>
        <v>0.013793103448275862</v>
      </c>
      <c r="BW55" s="37">
        <f>=IFERROR(BW138/BW132,0)</f>
        <v>0.012839506172839505</v>
      </c>
      <c r="BX55" s="37">
        <f>=IFERROR(BX138/BX132,0)</f>
        <v>0</v>
      </c>
      <c r="BY55" s="37">
        <f>=IFERROR(BY138/BY132,0)</f>
        <v>0</v>
      </c>
      <c r="BZ55" s="37">
        <f>=IFERROR(BZ138/BZ132,0)</f>
        <v>0</v>
      </c>
      <c r="CA55" s="37">
        <f>=IFERROR(CA138/CA132,0)</f>
        <v>0</v>
      </c>
      <c r="CB55" s="37">
        <f>=IFERROR(CB138/CB132,0)</f>
        <v>0</v>
      </c>
      <c r="CC55" s="37">
        <f>=IFERROR(CC138/CC132,0)</f>
        <v>0</v>
      </c>
      <c r="CD55" s="37">
        <f>=IFERROR(CD138/CD132,0)</f>
        <v>0</v>
      </c>
      <c r="CE55" s="37">
        <f>=IFERROR(CE138/CE132,0)</f>
        <v>0</v>
      </c>
      <c r="CF55" s="37">
        <f>=IFERROR(CF138/CF132,0)</f>
        <v>0</v>
      </c>
      <c r="CG55" s="37">
        <f>=IFERROR(CG138/CG132,0)</f>
        <v>0</v>
      </c>
      <c r="CH55" s="37">
        <f>=IFERROR(CH138/CH132,0)</f>
        <v>0</v>
      </c>
      <c r="CI55" s="37">
        <f>=IFERROR(CI138/CI132,0)</f>
        <v>0</v>
      </c>
      <c r="CJ55" s="37">
        <f>=IFERROR(CJ138/CJ132,0)</f>
        <v>0</v>
      </c>
      <c r="CK55" s="37">
        <f>=IFERROR(CK138/CK132,0)</f>
        <v>0</v>
      </c>
      <c r="CL55" s="37">
        <f>=IFERROR(CL138/CL132,0)</f>
        <v>0</v>
      </c>
      <c r="CM55" s="37">
        <f>=IFERROR(CM138/CM132,0)</f>
        <v>0</v>
      </c>
      <c r="CN55" s="37">
        <f>=IFERROR(CN138/CN132,0)</f>
        <v>0</v>
      </c>
      <c r="CO55" s="37">
        <f>=IFERROR(CO138/CO132,0)</f>
        <v>0</v>
      </c>
      <c r="CP55" s="37">
        <f>=IFERROR(CP138/CP132,0)</f>
        <v>0</v>
      </c>
      <c r="CQ55" s="37">
        <f>=IFERROR(CQ138/CQ132,0)</f>
        <v>0</v>
      </c>
      <c r="CR55" s="37">
        <f>=IFERROR(CR138/CR132,0)</f>
        <v>0</v>
      </c>
      <c r="CS55" s="37">
        <f>=IFERROR(CS138/CS132,0)</f>
        <v>0</v>
      </c>
      <c r="CT55" s="37">
        <f>=IFERROR(CT138/CT132,0)</f>
        <v>0</v>
      </c>
      <c r="CU55" s="37">
        <f>=IFERROR(CU138/CU132,0)</f>
        <v>0</v>
      </c>
      <c r="CV55" s="37">
        <f>=IFERROR(CV138/CV132,0)</f>
        <v>0</v>
      </c>
      <c r="CW55" s="37">
        <f>=IFERROR(CW138/CW132,0)</f>
        <v>0</v>
      </c>
      <c r="CX55" s="37">
        <f>=IFERROR(CX138/CX132,0)</f>
        <v>0</v>
      </c>
      <c r="CY55" s="37">
        <f>=IFERROR(CY138/CY132,0)</f>
        <v>0</v>
      </c>
      <c r="CZ55" s="37">
        <f>=IFERROR(CZ138/CZ132,0)</f>
        <v>0</v>
      </c>
      <c r="DA55" s="37">
        <f>=IFERROR(DA138/DA132,0)</f>
        <v>0</v>
      </c>
      <c r="DB55" s="37">
        <f>=IFERROR(DB138/DB132,0)</f>
        <v>0</v>
      </c>
    </row>
    <row r="56" ht="18" customHeight="1" spans="1:106" x14ac:dyDescent="0.25">
      <c r="A56" s="36" t="s">
        <v>265</v>
      </c>
      <c r="B56" s="17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6"/>
      <c r="BK56" s="46"/>
      <c r="BL56" s="46"/>
      <c r="BM56" s="46"/>
      <c r="BN56" s="46"/>
      <c r="BO56" s="46"/>
      <c r="BP56" s="46"/>
      <c r="BQ56" s="46"/>
      <c r="BR56" s="46"/>
      <c r="BS56" s="46"/>
      <c r="BT56" s="46"/>
      <c r="BU56" s="46"/>
      <c r="BV56" s="46"/>
      <c r="BW56" s="46"/>
      <c r="BX56" s="46"/>
      <c r="BY56" s="46"/>
      <c r="BZ56" s="46"/>
      <c r="CA56" s="46"/>
      <c r="CB56" s="46"/>
      <c r="CC56" s="46"/>
      <c r="CD56" s="46"/>
      <c r="CE56" s="46"/>
      <c r="CF56" s="46"/>
      <c r="CG56" s="46"/>
      <c r="CH56" s="46"/>
      <c r="CI56" s="46"/>
      <c r="CJ56" s="46"/>
      <c r="CK56" s="46"/>
      <c r="CL56" s="46"/>
      <c r="CM56" s="46"/>
      <c r="CN56" s="46"/>
      <c r="CO56" s="46"/>
      <c r="CP56" s="46"/>
      <c r="CQ56" s="46"/>
      <c r="CR56" s="46"/>
      <c r="CS56" s="46"/>
      <c r="CT56" s="46"/>
      <c r="CU56" s="46"/>
      <c r="CV56" s="46"/>
      <c r="CW56" s="46"/>
      <c r="CX56" s="46"/>
      <c r="CY56" s="46"/>
      <c r="CZ56" s="46"/>
      <c r="DA56" s="46"/>
      <c r="DB56" s="46"/>
    </row>
    <row r="57" ht="18" customHeight="1" spans="1:106" x14ac:dyDescent="0.25">
      <c r="A57" s="36" t="s">
        <v>286</v>
      </c>
      <c r="B57" s="17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  <c r="CG57" s="38"/>
      <c r="CH57" s="38"/>
      <c r="CI57" s="38"/>
      <c r="CJ57" s="38"/>
      <c r="CK57" s="38"/>
      <c r="CL57" s="38"/>
      <c r="CM57" s="38"/>
      <c r="CN57" s="38"/>
      <c r="CO57" s="38"/>
      <c r="CP57" s="38"/>
      <c r="CQ57" s="38"/>
      <c r="CR57" s="38"/>
      <c r="CS57" s="38"/>
      <c r="CT57" s="38"/>
      <c r="CU57" s="38"/>
      <c r="CV57" s="38"/>
      <c r="CW57" s="38"/>
      <c r="CX57" s="38"/>
      <c r="CY57" s="38"/>
      <c r="CZ57" s="38"/>
      <c r="DA57" s="38"/>
      <c r="DB57" s="38"/>
    </row>
    <row r="58" ht="18" customHeight="1" spans="1:106" x14ac:dyDescent="0.25">
      <c r="A58" s="16" t="s">
        <v>287</v>
      </c>
      <c r="B58" s="17"/>
      <c r="C58" s="35">
        <f>=SUM(C59:C64)</f>
        <v>0</v>
      </c>
      <c r="D58" s="35">
        <f>=SUM(D59:D61)</f>
        <v>0</v>
      </c>
      <c r="E58" s="35">
        <f>=SUM(E59:E61)</f>
        <v>0</v>
      </c>
      <c r="F58" s="35">
        <f>=SUM(F59:F61)</f>
        <v>0</v>
      </c>
      <c r="G58" s="35">
        <f>=SUM(G59:G61)</f>
        <v>0</v>
      </c>
      <c r="H58" s="35">
        <f>=SUM(H59:H61)</f>
        <v>0</v>
      </c>
      <c r="I58" s="35">
        <f>=SUM(I59:I61)</f>
        <v>0</v>
      </c>
      <c r="J58" s="35">
        <f>=SUM(J59:J61)</f>
        <v>0</v>
      </c>
      <c r="K58" s="35">
        <f>=SUM(K59:K61)</f>
        <v>0</v>
      </c>
      <c r="L58" s="35">
        <f>=SUM(L59:L61)</f>
        <v>0</v>
      </c>
      <c r="M58" s="35">
        <f>=SUM(M59:M61)</f>
        <v>0</v>
      </c>
      <c r="N58" s="35">
        <f>=SUM(N59:N61)</f>
        <v>0</v>
      </c>
      <c r="O58" s="35">
        <f>=SUM(O59:O61)</f>
        <v>0</v>
      </c>
      <c r="P58" s="35">
        <f>=SUM(P59:P61)</f>
        <v>0</v>
      </c>
      <c r="Q58" s="35">
        <f>=SUM(Q59:Q61)</f>
        <v>0</v>
      </c>
      <c r="R58" s="35">
        <f>=SUM(R59:R61)</f>
        <v>0</v>
      </c>
      <c r="S58" s="35">
        <f>=SUM(S59:S61)</f>
        <v>0</v>
      </c>
      <c r="T58" s="35">
        <f>=SUM(T59:T61)</f>
        <v>0</v>
      </c>
      <c r="U58" s="35">
        <f>=SUM(U59:U61)</f>
        <v>0</v>
      </c>
      <c r="V58" s="35">
        <f>=SUM(V59:V61)</f>
        <v>0</v>
      </c>
      <c r="W58" s="35">
        <f>=SUM(W59:W61)</f>
        <v>0</v>
      </c>
      <c r="X58" s="35">
        <f>=SUM(X59:X61)</f>
        <v>0</v>
      </c>
      <c r="Y58" s="35">
        <f>=SUM(Y59:Y61)</f>
        <v>0</v>
      </c>
      <c r="Z58" s="35">
        <f>=SUM(Z59:Z61)</f>
        <v>0</v>
      </c>
      <c r="AA58" s="35">
        <f>=SUM(AA59:AA61)</f>
        <v>0</v>
      </c>
      <c r="AB58" s="35">
        <f>=SUM(AB59:AB61)</f>
        <v>0</v>
      </c>
      <c r="AC58" s="35">
        <f>=SUM(AC59:AC61)</f>
        <v>0</v>
      </c>
      <c r="AD58" s="35">
        <f>=SUM(AD59:AD61)</f>
        <v>0</v>
      </c>
      <c r="AE58" s="35">
        <f>=SUM(AE59:AE61)</f>
        <v>0</v>
      </c>
      <c r="AF58" s="35">
        <f>=SUM(AF59:AF61)</f>
        <v>0</v>
      </c>
      <c r="AG58" s="35">
        <f>=SUM(AG59:AG61)</f>
        <v>0</v>
      </c>
      <c r="AH58" s="35">
        <f>=SUM(AH59:AH61)</f>
        <v>0</v>
      </c>
      <c r="AI58" s="35">
        <f>=SUM(AI59:AI61)</f>
        <v>0</v>
      </c>
      <c r="AJ58" s="35">
        <f>=SUM(AJ59:AJ61)</f>
        <v>0</v>
      </c>
      <c r="AK58" s="35">
        <f>=SUM(AK59:AK61)</f>
        <v>0</v>
      </c>
      <c r="AL58" s="35">
        <f>=SUM(AL59:AL61)</f>
        <v>0</v>
      </c>
      <c r="AM58" s="35">
        <f>=SUM(AM59:AM61)</f>
        <v>0</v>
      </c>
      <c r="AN58" s="35">
        <f>=SUM(AN59:AN61)</f>
        <v>0</v>
      </c>
      <c r="AO58" s="35">
        <f>=SUM(AO59:AO61)</f>
        <v>0</v>
      </c>
      <c r="AP58" s="35">
        <f>=SUM(AP59:AP61)</f>
        <v>0</v>
      </c>
      <c r="AQ58" s="35">
        <f>=SUM(AQ59:AQ61)</f>
        <v>0</v>
      </c>
      <c r="AR58" s="35">
        <f>=SUM(AR59:AR61)</f>
        <v>0</v>
      </c>
      <c r="AS58" s="35">
        <f>=SUM(AS59:AS61)</f>
        <v>0</v>
      </c>
      <c r="AT58" s="35">
        <f>=SUM(AT59:AT61)</f>
        <v>0</v>
      </c>
      <c r="AU58" s="35">
        <f>=SUM(AU59:AU61)</f>
        <v>0</v>
      </c>
      <c r="AV58" s="35">
        <f>=SUM(AV59:AV61)</f>
        <v>0</v>
      </c>
      <c r="AW58" s="35">
        <f>=SUM(AW59:AW61)</f>
        <v>0</v>
      </c>
      <c r="AX58" s="35">
        <f>=SUM(AX59:AX61)</f>
        <v>0</v>
      </c>
      <c r="AY58" s="35">
        <f>=SUM(AY59:AY61)</f>
        <v>0</v>
      </c>
      <c r="AZ58" s="35">
        <f>=SUM(AZ59:AZ61)</f>
        <v>0</v>
      </c>
      <c r="BA58" s="35">
        <f>=SUM(BA59:BA61)</f>
        <v>0</v>
      </c>
      <c r="BB58" s="35">
        <f>=SUM(BB59:BB61)</f>
        <v>0</v>
      </c>
      <c r="BC58" s="35">
        <f>=SUM(BC59:BC61)</f>
        <v>0</v>
      </c>
      <c r="BD58" s="35">
        <f>=SUM(BD59:BD61)</f>
        <v>0</v>
      </c>
      <c r="BE58" s="35">
        <f>=SUM(BE59:BE61)</f>
        <v>0</v>
      </c>
      <c r="BF58" s="35">
        <f>=SUM(BF59:BF61)</f>
        <v>0</v>
      </c>
      <c r="BG58" s="35">
        <f>=SUM(BG59:BG61)</f>
        <v>0</v>
      </c>
      <c r="BH58" s="35">
        <f>=SUM(BH59:BH61)</f>
        <v>0</v>
      </c>
      <c r="BI58" s="35">
        <f>=SUM(BI59:BI61)</f>
        <v>0</v>
      </c>
      <c r="BJ58" s="35">
        <f>=SUM(BJ59:BJ61)</f>
        <v>0</v>
      </c>
      <c r="BK58" s="35">
        <f>=SUM(BK59:BK61)</f>
        <v>0</v>
      </c>
      <c r="BL58" s="35">
        <f>=SUM(BL59:BL61)</f>
        <v>0</v>
      </c>
      <c r="BM58" s="35">
        <f>=SUM(BM59:BM61)</f>
        <v>0</v>
      </c>
      <c r="BN58" s="35">
        <f>=SUM(BN59:BN61)</f>
        <v>0</v>
      </c>
      <c r="BO58" s="35">
        <f>=SUM(BO59:BO61)</f>
        <v>0</v>
      </c>
      <c r="BP58" s="35">
        <f>=SUM(BP59:BP61)</f>
        <v>0</v>
      </c>
      <c r="BQ58" s="35">
        <f>=SUM(BQ59:BQ61)</f>
        <v>0</v>
      </c>
      <c r="BR58" s="35">
        <f>=SUM(BR59:BR61)</f>
        <v>0</v>
      </c>
      <c r="BS58" s="35">
        <f>=SUM(BS59:BS61)</f>
        <v>0</v>
      </c>
      <c r="BT58" s="35">
        <f>=SUM(BT59:BT61)</f>
        <v>0</v>
      </c>
      <c r="BU58" s="35">
        <f>=SUM(BU59:BU61)</f>
        <v>0</v>
      </c>
      <c r="BV58" s="35">
        <f>=SUM(BV59:BV61)</f>
        <v>0</v>
      </c>
      <c r="BW58" s="35">
        <f>=SUM(BW59:BW61)</f>
        <v>0</v>
      </c>
      <c r="BX58" s="35">
        <f>=SUM(BX59:BX61)</f>
        <v>0</v>
      </c>
      <c r="BY58" s="35">
        <f>=SUM(BY59:BY61)</f>
        <v>0</v>
      </c>
      <c r="BZ58" s="35">
        <f>=SUM(BZ59:BZ61)</f>
        <v>0</v>
      </c>
      <c r="CA58" s="35">
        <f>=SUM(CA59:CA61)</f>
        <v>0</v>
      </c>
      <c r="CB58" s="35">
        <f>=SUM(CB59:CB61)</f>
        <v>0</v>
      </c>
      <c r="CC58" s="35">
        <f>=SUM(CC59:CC61)</f>
        <v>0</v>
      </c>
      <c r="CD58" s="35">
        <f>=SUM(CD59:CD61)</f>
        <v>0</v>
      </c>
      <c r="CE58" s="35">
        <f>=SUM(CE59:CE61)</f>
        <v>0</v>
      </c>
      <c r="CF58" s="35">
        <f>=SUM(CF59:CF61)</f>
        <v>0</v>
      </c>
      <c r="CG58" s="35">
        <f>=SUM(CG59:CG61)</f>
        <v>0</v>
      </c>
      <c r="CH58" s="35">
        <f>=SUM(CH59:CH61)</f>
        <v>0</v>
      </c>
      <c r="CI58" s="35">
        <f>=SUM(CI59:CI61)</f>
        <v>0</v>
      </c>
      <c r="CJ58" s="35">
        <f>=SUM(CJ59:CJ61)</f>
        <v>0</v>
      </c>
      <c r="CK58" s="35">
        <f>=SUM(CK59:CK61)</f>
        <v>0</v>
      </c>
      <c r="CL58" s="35">
        <f>=SUM(CL59:CL61)</f>
        <v>0</v>
      </c>
      <c r="CM58" s="35">
        <f>=SUM(CM59:CM61)</f>
        <v>0</v>
      </c>
      <c r="CN58" s="35">
        <f>=SUM(CN59:CN61)</f>
        <v>0</v>
      </c>
      <c r="CO58" s="35">
        <f>=SUM(CO59:CO61)</f>
        <v>0</v>
      </c>
      <c r="CP58" s="35">
        <f>=SUM(CP59:CP61)</f>
        <v>0</v>
      </c>
      <c r="CQ58" s="35">
        <f>=SUM(CQ59:CQ61)</f>
        <v>0</v>
      </c>
      <c r="CR58" s="35">
        <f>=SUM(CR59:CR61)</f>
        <v>0</v>
      </c>
      <c r="CS58" s="35">
        <f>=SUM(CS59:CS61)</f>
        <v>0</v>
      </c>
      <c r="CT58" s="35">
        <f>=SUM(CT59:CT61)</f>
        <v>0</v>
      </c>
      <c r="CU58" s="35">
        <f>=SUM(CU59:CU61)</f>
        <v>0</v>
      </c>
      <c r="CV58" s="35">
        <f>=SUM(CV59:CV61)</f>
        <v>0</v>
      </c>
      <c r="CW58" s="35">
        <f>=SUM(CW59:CW61)</f>
        <v>0</v>
      </c>
      <c r="CX58" s="35">
        <f>=SUM(CX59:CX61)</f>
        <v>0</v>
      </c>
      <c r="CY58" s="35">
        <f>=SUM(CY59:CY61)</f>
        <v>0</v>
      </c>
      <c r="CZ58" s="35">
        <f>=SUM(CZ59:CZ61)</f>
        <v>0</v>
      </c>
      <c r="DA58" s="35">
        <f>=SUM(DA59:DA61)</f>
        <v>0</v>
      </c>
      <c r="DB58" s="35">
        <f>=SUM(DB59:DB61)</f>
        <v>0</v>
      </c>
    </row>
    <row r="59" ht="18" customHeight="1" spans="1:106" x14ac:dyDescent="0.25">
      <c r="A59" s="36" t="s">
        <v>268</v>
      </c>
      <c r="B59" s="17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BH59" s="38"/>
      <c r="BI59" s="38"/>
      <c r="BJ59" s="38"/>
      <c r="BK59" s="38"/>
      <c r="BL59" s="38"/>
      <c r="BM59" s="38"/>
      <c r="BN59" s="38"/>
      <c r="BO59" s="38"/>
      <c r="BP59" s="38"/>
      <c r="BQ59" s="38"/>
      <c r="BR59" s="38"/>
      <c r="BS59" s="38"/>
      <c r="BT59" s="38"/>
      <c r="BU59" s="38"/>
      <c r="BV59" s="38"/>
      <c r="BW59" s="38"/>
      <c r="BX59" s="38"/>
      <c r="BY59" s="38"/>
      <c r="BZ59" s="38"/>
      <c r="CA59" s="38"/>
      <c r="CB59" s="38"/>
      <c r="CC59" s="38"/>
      <c r="CD59" s="38"/>
      <c r="CE59" s="38"/>
      <c r="CF59" s="38"/>
      <c r="CG59" s="38"/>
      <c r="CH59" s="38"/>
      <c r="CI59" s="38"/>
      <c r="CJ59" s="38"/>
      <c r="CK59" s="38"/>
      <c r="CL59" s="38"/>
      <c r="CM59" s="38"/>
      <c r="CN59" s="38"/>
      <c r="CO59" s="38"/>
      <c r="CP59" s="38"/>
      <c r="CQ59" s="38"/>
      <c r="CR59" s="38"/>
      <c r="CS59" s="38"/>
      <c r="CT59" s="38"/>
      <c r="CU59" s="38"/>
      <c r="CV59" s="38"/>
      <c r="CW59" s="38"/>
      <c r="CX59" s="38"/>
      <c r="CY59" s="38"/>
      <c r="CZ59" s="38"/>
      <c r="DA59" s="38"/>
      <c r="DB59" s="38"/>
    </row>
    <row r="60" ht="18" customHeight="1" spans="1:106" x14ac:dyDescent="0.25">
      <c r="A60" s="36" t="s">
        <v>269</v>
      </c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8"/>
      <c r="BH60" s="38"/>
      <c r="BI60" s="38"/>
      <c r="BJ60" s="38"/>
      <c r="BK60" s="38"/>
      <c r="BL60" s="38"/>
      <c r="BM60" s="38"/>
      <c r="BN60" s="38"/>
      <c r="BO60" s="38"/>
      <c r="BP60" s="38"/>
      <c r="BQ60" s="38"/>
      <c r="BR60" s="38"/>
      <c r="BS60" s="38"/>
      <c r="BT60" s="38"/>
      <c r="BU60" s="38"/>
      <c r="BV60" s="38"/>
      <c r="BW60" s="38"/>
      <c r="BX60" s="38"/>
      <c r="BY60" s="38"/>
      <c r="BZ60" s="38"/>
      <c r="CA60" s="38"/>
      <c r="CB60" s="38"/>
      <c r="CC60" s="38"/>
      <c r="CD60" s="38"/>
      <c r="CE60" s="38"/>
      <c r="CF60" s="38"/>
      <c r="CG60" s="38"/>
      <c r="CH60" s="38"/>
      <c r="CI60" s="38"/>
      <c r="CJ60" s="38"/>
      <c r="CK60" s="38"/>
      <c r="CL60" s="38"/>
      <c r="CM60" s="38"/>
      <c r="CN60" s="38"/>
      <c r="CO60" s="38"/>
      <c r="CP60" s="38"/>
      <c r="CQ60" s="38"/>
      <c r="CR60" s="38"/>
      <c r="CS60" s="38"/>
      <c r="CT60" s="38"/>
      <c r="CU60" s="38"/>
      <c r="CV60" s="38"/>
      <c r="CW60" s="38"/>
      <c r="CX60" s="38"/>
      <c r="CY60" s="38"/>
      <c r="CZ60" s="38"/>
      <c r="DA60" s="38"/>
      <c r="DB60" s="38"/>
    </row>
    <row r="61" ht="18" customHeight="1" spans="1:106" x14ac:dyDescent="0.25">
      <c r="A61" s="36" t="s">
        <v>288</v>
      </c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38"/>
      <c r="BM61" s="38"/>
      <c r="BN61" s="38"/>
      <c r="BO61" s="38"/>
      <c r="BP61" s="38"/>
      <c r="BQ61" s="38"/>
      <c r="BR61" s="38"/>
      <c r="BS61" s="38"/>
      <c r="BT61" s="38"/>
      <c r="BU61" s="38"/>
      <c r="BV61" s="38"/>
      <c r="BW61" s="38"/>
      <c r="BX61" s="38"/>
      <c r="BY61" s="38"/>
      <c r="BZ61" s="38"/>
      <c r="CA61" s="38"/>
      <c r="CB61" s="38"/>
      <c r="CC61" s="38"/>
      <c r="CD61" s="38"/>
      <c r="CE61" s="38"/>
      <c r="CF61" s="38"/>
      <c r="CG61" s="38"/>
      <c r="CH61" s="38"/>
      <c r="CI61" s="38"/>
      <c r="CJ61" s="38"/>
      <c r="CK61" s="38"/>
      <c r="CL61" s="38"/>
      <c r="CM61" s="38"/>
      <c r="CN61" s="38"/>
      <c r="CO61" s="38"/>
      <c r="CP61" s="38"/>
      <c r="CQ61" s="38"/>
      <c r="CR61" s="38"/>
      <c r="CS61" s="38"/>
      <c r="CT61" s="38"/>
      <c r="CU61" s="38"/>
      <c r="CV61" s="38"/>
      <c r="CW61" s="38"/>
      <c r="CX61" s="38"/>
      <c r="CY61" s="38"/>
      <c r="CZ61" s="38"/>
      <c r="DA61" s="38"/>
      <c r="DB61" s="38"/>
    </row>
    <row r="62" ht="18" customHeight="1" spans="1:1" x14ac:dyDescent="0.25">
      <c r="A62" s="36" t="s">
        <v>272</v>
      </c>
    </row>
    <row r="63" ht="18" customHeight="1" spans="1:1" x14ac:dyDescent="0.25">
      <c r="A63" s="36" t="s">
        <v>289</v>
      </c>
    </row>
    <row r="64" ht="18" customHeight="1" spans="1:106" x14ac:dyDescent="0.25">
      <c r="A64" s="36" t="s">
        <v>271</v>
      </c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</row>
    <row r="65" ht="18" customHeight="1" spans="1:106" x14ac:dyDescent="0.25">
      <c r="A65" s="20" t="s">
        <v>290</v>
      </c>
      <c r="C65" s="31">
        <f>=IF(LEN(C66)&gt;0,C66/C19,"")</f>
        <v>0.01020408163265306</v>
      </c>
      <c r="D65" s="31">
        <f>=IF(LEN(D66)&gt;0,D66/D19,"")</f>
        <v>0.043478260869565216</v>
      </c>
      <c r="E65" s="31">
        <f>=IF(LEN(E66)&gt;0,E66/E19,"")</f>
        <v>0.042105263157894736</v>
      </c>
      <c r="F65" s="31">
        <f>=IF(LEN(F66)&gt;0,F66/F19,"")</f>
        <v>0.05555555555555555</v>
      </c>
      <c r="G65" s="31">
        <f>=IF(LEN(G66)&gt;0,G66/G19,"")</f>
        <v>0.0449438202247191</v>
      </c>
      <c r="H65" s="31">
        <f>=IF(LEN(H66)&gt;0,H66/H19,"")</f>
        <v>0.05102040816326531</v>
      </c>
      <c r="I65" s="31">
        <f>=IF(LEN(I66)&gt;0,I66/I19,"")</f>
        <v>0.020833333333333332</v>
      </c>
      <c r="J65" s="31">
        <f>=IF(LEN(J66)&gt;0,J66/J19,"")</f>
        <v>0.011111111111111112</v>
      </c>
      <c r="K65" s="31">
        <f>=IF(LEN(K66)&gt;0,K66/K19,"")</f>
        <v>0.034482758620689655</v>
      </c>
      <c r="L65" s="31">
        <f>=IF(LEN(L66)&gt;0,L66/L19,"")</f>
        <v>0.010309278350515464</v>
      </c>
      <c r="M65" s="31">
        <f>=IF(LEN(M66)&gt;0,M66/M19,"")</f>
        <v>0.04395604395604396</v>
      </c>
      <c r="N65" s="31">
        <f>=IF(LEN(N66)&gt;0,N66/N19,"")</f>
        <v>0.031578947368421054</v>
      </c>
      <c r="O65" s="31">
        <f>=IF(LEN(O66)&gt;0,O66/O19,"")</f>
        <v>0.0196078431372549</v>
      </c>
      <c r="P65" s="31">
        <f>=IF(LEN(P66)&gt;0,P66/P19,"")</f>
        <v>0.020202020202020204</v>
      </c>
      <c r="Q65" s="31">
        <f>=IF(LEN(Q66)&gt;0,Q66/Q19,"")</f>
        <v>0.020618556701030927</v>
      </c>
      <c r="R65" s="31">
        <f>=IF(LEN(R66)&gt;0,R66/R19,"")</f>
        <v>0.019801980198019802</v>
      </c>
      <c r="S65" s="31">
        <f>=IF(LEN(S66)&gt;0,S66/S19,"")</f>
        <v>0.02040816326530612</v>
      </c>
      <c r="T65" s="31">
        <f>=IF(LEN(T66)&gt;0,T66/T19,"")</f>
        <v>0.028037383177570093</v>
      </c>
      <c r="U65" s="31">
        <f>=IF(LEN(U66)&gt;0,U66/U19,"")</f>
        <v>0.038834951456310676</v>
      </c>
      <c r="V65" s="31">
        <f>=IF(LEN(V66)&gt;0,V66/V19,"")</f>
        <v>0.049019607843137254</v>
      </c>
      <c r="W65" s="31">
        <f>=IF(LEN(W66)&gt;0,W66/W19,"")</f>
        <v>0.06315789473684211</v>
      </c>
      <c r="X65" s="31">
        <f>=IF(LEN(X66)&gt;0,X66/X19,"")</f>
        <v>0</v>
      </c>
      <c r="Y65" s="31">
        <f>=IF(LEN(Y66)&gt;0,Y66/Y19,"")</f>
        <v>0.010752688172043012</v>
      </c>
      <c r="Z65" s="31">
        <f>=IF(LEN(Z66)&gt;0,Z66/Z19,"")</f>
        <v>0</v>
      </c>
      <c r="AA65" s="31">
        <f>=IF(LEN(AA66)&gt;0,AA66/AA19,"")</f>
        <v>0</v>
      </c>
      <c r="AB65" s="31">
        <f>=IF(LEN(AB66)&gt;0,AB66/AB19,"")</f>
        <v>0.0449438202247191</v>
      </c>
      <c r="AC65" s="31">
        <f>=IF(LEN(AC66)&gt;0,AC66/AC19,"")</f>
        <v>0.011363636363636364</v>
      </c>
      <c r="AD65" s="31">
        <f>=IF(LEN(AD66)&gt;0,AD66/AD19,"")</f>
        <v>0.011235955056179775</v>
      </c>
      <c r="AE65" s="31">
        <f>=IF(LEN(AE66)&gt;0,AE66/AE19,"")</f>
        <v>0</v>
      </c>
      <c r="AF65" s="31">
        <f>=IF(LEN(AF66)&gt;0,AF66/AF19,"")</f>
        <v>0.023529411764705882</v>
      </c>
      <c r="AG65" s="31">
        <f>=IF(LEN(AG66)&gt;0,AG66/AG19,"")</f>
        <v>0.036585365853658534</v>
      </c>
      <c r="AH65" s="31">
        <f>=IF(LEN(AH66)&gt;0,AH66/AH19,"")</f>
        <v>0</v>
      </c>
      <c r="AI65" s="31">
        <f>=IF(LEN(AI66)&gt;0,AI66/AI19,"")</f>
        <v>0.0379746835443038</v>
      </c>
      <c r="AJ65" s="31">
        <f>=IF(LEN(AJ66)&gt;0,AJ66/AJ19,"")</f>
        <v>0.05333333333333334</v>
      </c>
      <c r="AK65" s="31">
        <f>=IF(LEN(AK66)&gt;0,AK66/AK19,"")</f>
        <v>0.012658227848101266</v>
      </c>
      <c r="AL65" s="31">
        <f>=IF(LEN(AL66)&gt;0,AL66/AL19,"")</f>
        <v>0.012987012987012988</v>
      </c>
      <c r="AM65" s="31">
        <f>=IF(LEN(AM66)&gt;0,AM66/AM19,"")</f>
        <v>0.013157894736842105</v>
      </c>
      <c r="AN65" s="31">
        <f>=IF(LEN(AN66)&gt;0,AN66/AN19,"")</f>
        <v>0.013513513513513514</v>
      </c>
      <c r="AO65" s="31">
        <f>=IF(LEN(AO66)&gt;0,AO66/AO19,"")</f>
        <v>0.013888888888888888</v>
      </c>
      <c r="AP65" s="31">
        <f>=IF(LEN(AP66)&gt;0,AP66/AP19,"")</f>
        <v>0.014925373134328358</v>
      </c>
      <c r="AQ65" s="31">
        <f>=IF(LEN(AQ66)&gt;0,AQ66/AQ19,"")</f>
        <v>0.015384615384615385</v>
      </c>
      <c r="AR65" s="31">
        <f>=IF(LEN(AR66)&gt;0,AR66/AR19,"")</f>
        <v>0</v>
      </c>
      <c r="AS65" s="31">
        <f>=IF(LEN(AS66)&gt;0,AS66/AS19,"")</f>
        <v>0</v>
      </c>
      <c r="AT65" s="31">
        <f>=IF(LEN(AT66)&gt;0,AT66/AT19,"")</f>
        <v>0</v>
      </c>
      <c r="AU65" s="31">
        <f>=IF(LEN(AU66)&gt;0,AU66/AU19,"")</f>
        <v>0</v>
      </c>
      <c r="AV65" s="31">
        <f>=IF(LEN(AV66)&gt;0,AV66/AV19,"")</f>
        <v>0</v>
      </c>
      <c r="AW65" s="31">
        <f>=IF(LEN(AW66)&gt;0,AW66/AW19,"")</f>
        <v>0</v>
      </c>
      <c r="AX65" s="31">
        <f>=IF(LEN(AX66)&gt;0,AX66/AX19,"")</f>
        <v>0</v>
      </c>
      <c r="AY65" s="31">
        <f>=IF(LEN(AY66)&gt;0,AY66/AY19,"")</f>
        <v>0</v>
      </c>
      <c r="AZ65" s="31">
        <f>=IF(LEN(AZ66)&gt;0,AZ66/AZ19,"")</f>
        <v>0.012048192771084338</v>
      </c>
      <c r="BA65" s="31">
        <f>=IF(LEN(BA66)&gt;0,BA66/BA19,"")</f>
        <v>0.012195121951219513</v>
      </c>
      <c r="BB65" s="31">
        <f>=IF(LEN(BB66)&gt;0,BB66/BB19,"")</f>
        <v>0.010638297872340425</v>
      </c>
      <c r="BC65" s="31">
        <f>=IF(LEN(BC66)&gt;0,BC66/BC19,"")</f>
        <v>0</v>
      </c>
      <c r="BD65" s="31">
        <f>=IF(LEN(BD66)&gt;0,BD66/BD19,"")</f>
        <v>0.009615384615384616</v>
      </c>
      <c r="BE65" s="31">
        <f>=IF(LEN(BE66)&gt;0,BE66/BE19,"")</f>
        <v>0.008695652173913044</v>
      </c>
      <c r="BF65" s="31">
        <f>=IF(LEN(BF66)&gt;0,BF66/BF19,"")</f>
        <v>0.00909090909090909</v>
      </c>
      <c r="BG65" s="31">
        <f>=IF(LEN(BG66)&gt;0,BG66/BG19,"")</f>
        <v>0</v>
      </c>
      <c r="BH65" s="31">
        <f>=IF(LEN(BH66)&gt;0,BH66/BH19,"")</f>
        <v>0.02608695652173913</v>
      </c>
      <c r="BI65" s="31">
        <f>=IF(LEN(BI66)&gt;0,BI66/BI19,"")</f>
        <v>0.009433962264150943</v>
      </c>
      <c r="BJ65" s="31">
        <f>=IF(LEN(BJ66)&gt;0,BJ66/BJ19,"")</f>
        <v>0.017543859649122806</v>
      </c>
      <c r="BK65" s="31">
        <f>=IF(LEN(BK66)&gt;0,BK66/BK19,"")</f>
        <v>0.008771929824561403</v>
      </c>
      <c r="BL65" s="31">
        <f>=IF(LEN(BL66)&gt;0,BL66/BL19,"")</f>
        <v>0</v>
      </c>
      <c r="BM65" s="31">
        <f>=IF(LEN(BM66)&gt;0,BM66/BM19,"")</f>
        <v>0</v>
      </c>
      <c r="BN65" s="31">
        <f>=IF(LEN(BN66)&gt;0,BN66/BN19,"")</f>
        <v>0</v>
      </c>
      <c r="BO65" s="31">
        <f>=IF(LEN(BO66)&gt;0,BO66/BO19,"")</f>
        <v>0</v>
      </c>
      <c r="BP65" s="31">
        <f>=IF(LEN(BP66)&gt;0,BP66/BP19,"")</f>
        <v>0</v>
      </c>
      <c r="BQ65" s="31">
        <f>=IF(LEN(BQ66)&gt;0,BQ66/BQ19,"")</f>
        <v>0.017543859649122806</v>
      </c>
      <c r="BR65" s="31">
        <f>=IF(LEN(BR66)&gt;0,BR66/BR19,"")</f>
        <v>0</v>
      </c>
      <c r="BS65" s="31">
        <f>=IF(LEN(BS66)&gt;0,BS66/BS19,"")</f>
        <v>0.018518518518518517</v>
      </c>
      <c r="BT65" s="31">
        <f>=IF(LEN(BT66)&gt;0,BT66/BT19,"")</f>
        <v>0</v>
      </c>
      <c r="BU65" s="31">
        <f>=IF(LEN(BU66)&gt;0,BU66/BU19,"")</f>
        <v>0.022222222222222223</v>
      </c>
      <c r="BV65" s="30">
        <f>=IF(LEN(BV66)&gt;0,BV66/BV19,"")</f>
        <v>0</v>
      </c>
      <c r="BW65" s="30">
        <f>=IF(LEN(BW66)&gt;0,BW66/BW19,"")</f>
        <v>0</v>
      </c>
      <c r="BX65" s="30">
        <f>=IF(LEN(BX66)&gt;0,BX66/BX19,"")</f>
        <v>0</v>
      </c>
      <c r="BY65" s="30">
        <f>=IF(LEN(BY66)&gt;0,BY66/BY19,"")</f>
        <v>0</v>
      </c>
      <c r="BZ65" s="30" t="str">
        <f>=IF(LEN(BZ66)&gt;0,BZ66/BZ19,"")</f>
        <v/>
      </c>
      <c r="CA65" s="30" t="str">
        <f>=IF(LEN(CA66)&gt;0,CA66/CA19,"")</f>
        <v/>
      </c>
      <c r="CB65" s="30" t="str">
        <f>=IF(LEN(CB66)&gt;0,CB66/CB19,"")</f>
        <v/>
      </c>
      <c r="CC65" s="30" t="str">
        <f>=IF(LEN(CC66)&gt;0,CC66/CC19,"")</f>
        <v/>
      </c>
      <c r="CD65" s="30" t="str">
        <f>=IF(LEN(CD66)&gt;0,CD66/CD19,"")</f>
        <v/>
      </c>
      <c r="CE65" s="30" t="str">
        <f>=IF(LEN(CE66)&gt;0,CE66/CE19,"")</f>
        <v/>
      </c>
      <c r="CF65" s="30" t="str">
        <f>=IF(LEN(CF66)&gt;0,CF66/CF19,"")</f>
        <v/>
      </c>
      <c r="CG65" s="30" t="str">
        <f>=IF(LEN(CG66)&gt;0,CG66/CG19,"")</f>
        <v/>
      </c>
      <c r="CH65" s="30" t="str">
        <f>=IF(LEN(CH66)&gt;0,CH66/CH19,"")</f>
        <v/>
      </c>
      <c r="CI65" s="30" t="str">
        <f>=IF(LEN(CI66)&gt;0,CI66/CI19,"")</f>
        <v/>
      </c>
      <c r="CJ65" s="30" t="str">
        <f>=IF(LEN(CJ66)&gt;0,CJ66/CJ19,"")</f>
        <v/>
      </c>
      <c r="CK65" s="30" t="str">
        <f>=IF(LEN(CK66)&gt;0,CK66/CK19,"")</f>
        <v/>
      </c>
      <c r="CL65" s="30" t="str">
        <f>=IF(LEN(CL66)&gt;0,CL66/CL19,"")</f>
        <v/>
      </c>
      <c r="CM65" s="30" t="str">
        <f>=IF(LEN(CM66)&gt;0,CM66/CM19,"")</f>
        <v/>
      </c>
      <c r="CN65" s="30" t="str">
        <f>=IF(LEN(CN66)&gt;0,CN66/CN19,"")</f>
        <v/>
      </c>
      <c r="CO65" s="30" t="str">
        <f>=IF(LEN(CO66)&gt;0,CO66/CO19,"")</f>
        <v/>
      </c>
      <c r="CP65" s="30" t="str">
        <f>=IF(LEN(CP66)&gt;0,CP66/CP19,"")</f>
        <v/>
      </c>
      <c r="CQ65" s="30" t="str">
        <f>=IF(LEN(CQ66)&gt;0,CQ66/CQ19,"")</f>
        <v/>
      </c>
      <c r="CR65" s="30" t="str">
        <f>=IF(LEN(CR66)&gt;0,CR66/CR19,"")</f>
        <v/>
      </c>
      <c r="CS65" s="30" t="str">
        <f>=IF(LEN(CS66)&gt;0,CS66/CS19,"")</f>
        <v/>
      </c>
      <c r="CT65" s="30" t="str">
        <f>=IF(LEN(CT66)&gt;0,CT66/CT19,"")</f>
        <v/>
      </c>
      <c r="CU65" s="30" t="str">
        <f>=IF(LEN(CU66)&gt;0,CU66/CU19,"")</f>
        <v/>
      </c>
      <c r="CV65" s="30" t="str">
        <f>=IF(LEN(CV66)&gt;0,CV66/CV19,"")</f>
        <v/>
      </c>
      <c r="CW65" s="30" t="str">
        <f>=IF(LEN(CW66)&gt;0,CW66/CW19,"")</f>
        <v/>
      </c>
      <c r="CX65" s="30" t="str">
        <f>=IF(LEN(CX66)&gt;0,CX66/CX19,"")</f>
        <v/>
      </c>
      <c r="CY65" s="30" t="str">
        <f>=IF(LEN(CY66)&gt;0,CY66/CY19,"")</f>
        <v/>
      </c>
      <c r="CZ65" s="30" t="str">
        <f>=IF(LEN(CZ66)&gt;0,CZ66/CZ19,"")</f>
        <v/>
      </c>
      <c r="DA65" s="30" t="str">
        <f>=IF(LEN(DA66)&gt;0,DA66/DA19,"")</f>
        <v/>
      </c>
      <c r="DB65" s="30" t="str">
        <f>=IF(LEN(DB66)&gt;0,DB66/DB19,"")</f>
        <v/>
      </c>
    </row>
    <row r="66" ht="18" customHeight="1" spans="1:106" x14ac:dyDescent="0.25">
      <c r="A66" s="36" t="s">
        <v>291</v>
      </c>
      <c r="C66" s="30">
        <f>=IF(Len(C82)&gt;0,C82,"")</f>
        <v>1</v>
      </c>
      <c r="D66" s="30">
        <f>=IF(Len(D82)&gt;0,D82,"")</f>
        <v>4</v>
      </c>
      <c r="E66" s="30">
        <f>=IF(Len(E82)&gt;0,E82,"")</f>
        <v>4</v>
      </c>
      <c r="F66" s="30">
        <f>=IF(Len(F82)&gt;0,F82,"")</f>
        <v>5</v>
      </c>
      <c r="G66" s="30">
        <f>=IF(Len(G82)&gt;0,G82,"")</f>
        <v>4</v>
      </c>
      <c r="H66" s="30">
        <f>=IF(Len(H82)&gt;0,H82,"")</f>
        <v>5</v>
      </c>
      <c r="I66" s="30">
        <f>=IF(Len(I82)&gt;0,I82,"")</f>
        <v>2</v>
      </c>
      <c r="J66" s="30">
        <f>=IF(Len(J82)&gt;0,J82,"")</f>
        <v>1</v>
      </c>
      <c r="K66" s="30">
        <f>=IF(Len(K82)&gt;0,K82,"")</f>
        <v>3</v>
      </c>
      <c r="L66" s="30">
        <f>=IF(Len(L82)&gt;0,L82,"")</f>
        <v>1</v>
      </c>
      <c r="M66" s="30">
        <f>=IF(Len(M82)&gt;0,M82,"")</f>
        <v>4</v>
      </c>
      <c r="N66" s="30">
        <f>=IF(Len(N82)&gt;0,N82,"")</f>
        <v>3</v>
      </c>
      <c r="O66" s="30">
        <f>=IF(Len(O82)&gt;0,O82,"")</f>
        <v>2</v>
      </c>
      <c r="P66" s="30">
        <f>=IF(Len(P82)&gt;0,P82,"")</f>
        <v>2</v>
      </c>
      <c r="Q66" s="30">
        <f>=IF(Len(Q82)&gt;0,Q82,"")</f>
        <v>2</v>
      </c>
      <c r="R66" s="30">
        <f>=IF(Len(R82)&gt;0,R82,"")</f>
        <v>2</v>
      </c>
      <c r="S66" s="30">
        <f>=IF(Len(S82)&gt;0,S82,"")</f>
        <v>2</v>
      </c>
      <c r="T66" s="30">
        <f>=IF(Len(T82)&gt;0,T82,"")</f>
        <v>3</v>
      </c>
      <c r="U66" s="30">
        <f>=IF(Len(U82)&gt;0,U82,"")</f>
        <v>4</v>
      </c>
      <c r="V66" s="30">
        <f>=IF(Len(V82)&gt;0,V82,"")</f>
        <v>5</v>
      </c>
      <c r="W66" s="30">
        <f>=IF(Len(W82)&gt;0,W82,"")</f>
        <v>6</v>
      </c>
      <c r="X66" s="30">
        <f>=IF(Len(X82)&gt;0,X82,"")</f>
        <v>0</v>
      </c>
      <c r="Y66" s="30">
        <f>=IF(Len(Y82)&gt;0,Y82,"")</f>
        <v>1</v>
      </c>
      <c r="Z66" s="30">
        <f>=IF(Len(Z82)&gt;0,Z82,"")</f>
        <v>0</v>
      </c>
      <c r="AA66" s="30">
        <f>=IF(Len(AA82)&gt;0,AA82,"")</f>
        <v>0</v>
      </c>
      <c r="AB66" s="30">
        <f>=IF(Len(AB82)&gt;0,AB82,"")</f>
        <v>4</v>
      </c>
      <c r="AC66" s="30">
        <f>=IF(Len(AC82)&gt;0,AC82,"")</f>
        <v>1</v>
      </c>
      <c r="AD66" s="30">
        <f>=IF(Len(AD82)&gt;0,AD82,"")</f>
        <v>1</v>
      </c>
      <c r="AE66" s="30">
        <f>=IF(Len(AE82)&gt;0,AE82,"")</f>
        <v>0</v>
      </c>
      <c r="AF66" s="30">
        <f>=IF(Len(AF82)&gt;0,AF82,"")</f>
        <v>2</v>
      </c>
      <c r="AG66" s="30">
        <f>=IF(Len(AG82)&gt;0,AG82,"")</f>
        <v>3</v>
      </c>
      <c r="AH66" s="30">
        <f>=IF(Len(AH82)&gt;0,AH82,"")</f>
        <v>0</v>
      </c>
      <c r="AI66" s="30">
        <f>=IF(Len(AI82)&gt;0,AI82,"")</f>
        <v>3</v>
      </c>
      <c r="AJ66" s="30">
        <f>=IF(Len(AJ82)&gt;0,AJ82,"")</f>
        <v>4</v>
      </c>
      <c r="AK66" s="30">
        <f>=IF(Len(AK82)&gt;0,AK82,"")</f>
        <v>1</v>
      </c>
      <c r="AL66" s="30">
        <f>=IF(Len(AL82)&gt;0,AL82,"")</f>
        <v>1</v>
      </c>
      <c r="AM66" s="30">
        <f>=IF(Len(AM82)&gt;0,AM82,"")</f>
        <v>1</v>
      </c>
      <c r="AN66" s="30">
        <f>=IF(Len(AN82)&gt;0,AN82,"")</f>
        <v>1</v>
      </c>
      <c r="AO66" s="30">
        <f>=IF(Len(AO82)&gt;0,AO82,"")</f>
        <v>1</v>
      </c>
      <c r="AP66" s="30">
        <f>=IF(Len(AP82)&gt;0,AP82,"")</f>
        <v>1</v>
      </c>
      <c r="AQ66" s="30">
        <f>=IF(Len(AQ82)&gt;0,AQ82,"")</f>
        <v>1</v>
      </c>
      <c r="AR66" s="30">
        <f>=IF(Len(AR82)&gt;0,AR82,"")</f>
        <v>0</v>
      </c>
      <c r="AS66" s="30">
        <f>=IF(Len(AS82)&gt;0,AS82,"")</f>
        <v>0</v>
      </c>
      <c r="AT66" s="30">
        <f>=IF(Len(AT82)&gt;0,AT82,"")</f>
        <v>0</v>
      </c>
      <c r="AU66" s="30">
        <f>=IF(Len(AU82)&gt;0,AU82,"")</f>
        <v>0</v>
      </c>
      <c r="AV66" s="30">
        <f>=IF(Len(AV82)&gt;0,AV82,"")</f>
        <v>0</v>
      </c>
      <c r="AW66" s="30">
        <f>=IF(Len(AW82)&gt;0,AW82,"")</f>
        <v>0</v>
      </c>
      <c r="AX66" s="30">
        <f>=IF(Len(AX82)&gt;0,AX82,"")</f>
        <v>0</v>
      </c>
      <c r="AY66" s="30">
        <f>=IF(Len(AY82)&gt;0,AY82,"")</f>
        <v>0</v>
      </c>
      <c r="AZ66" s="30">
        <f>=IF(Len(AZ82)&gt;0,AZ82,"")</f>
        <v>1</v>
      </c>
      <c r="BA66" s="30">
        <f>=IF(Len(BA82)&gt;0,BA82,"")</f>
        <v>1</v>
      </c>
      <c r="BB66" s="30">
        <f>=IF(Len(BB82)&gt;0,BB82,"")</f>
        <v>1</v>
      </c>
      <c r="BC66" s="30">
        <f>=IF(Len(BC82)&gt;0,BC82,"")</f>
        <v>0</v>
      </c>
      <c r="BD66" s="30">
        <f>=IF(Len(BD82)&gt;0,BD82,"")</f>
        <v>1</v>
      </c>
      <c r="BE66" s="30">
        <f>=IF(Len(BE82)&gt;0,BE82,"")</f>
        <v>1</v>
      </c>
      <c r="BF66" s="30">
        <f>=IF(Len(BF82)&gt;0,BF82,"")</f>
        <v>1</v>
      </c>
      <c r="BG66" s="30">
        <f>=IF(Len(BG82)&gt;0,BG82,"")</f>
        <v>0</v>
      </c>
      <c r="BH66" s="30">
        <f>=IF(Len(BH82)&gt;0,BH82,"")</f>
        <v>3</v>
      </c>
      <c r="BI66" s="30">
        <f>=IF(Len(BI82)&gt;0,BI82,"")</f>
        <v>1</v>
      </c>
      <c r="BJ66" s="30">
        <f>=IF(Len(BJ82)&gt;0,BJ82,"")</f>
        <v>2</v>
      </c>
      <c r="BK66" s="30">
        <f>=IF(Len(BK82)&gt;0,BK82,"")</f>
        <v>1</v>
      </c>
      <c r="BL66" s="30">
        <f>=IF(Len(BL82)&gt;0,BL82,"")</f>
        <v>0</v>
      </c>
      <c r="BM66" s="30">
        <f>=IF(Len(BM82)&gt;0,BM82,"")</f>
        <v>0</v>
      </c>
      <c r="BN66" s="30">
        <f>=IF(Len(BN82)&gt;0,BN82,"")</f>
        <v>0</v>
      </c>
      <c r="BO66" s="30">
        <f>=IF(Len(BO82)&gt;0,BO82,"")</f>
        <v>0</v>
      </c>
      <c r="BP66" s="30">
        <f>=IF(Len(BP82)&gt;0,BP82,"")</f>
        <v>0</v>
      </c>
      <c r="BQ66" s="30">
        <f>=IF(Len(BQ82)&gt;0,BQ82,"")</f>
        <v>1</v>
      </c>
      <c r="BR66" s="30">
        <f>=IF(Len(BR82)&gt;0,BR82,"")</f>
        <v>0</v>
      </c>
      <c r="BS66" s="30">
        <f>=IF(Len(BS82)&gt;0,BS82,"")</f>
        <v>1</v>
      </c>
      <c r="BT66" s="30">
        <f>=IF(Len(BT82)&gt;0,BT82,"")</f>
        <v>0</v>
      </c>
      <c r="BU66" s="30">
        <f>=IF(Len(BU82)&gt;0,BU82,"")</f>
        <v>1</v>
      </c>
      <c r="BV66" s="30">
        <f>=IF(Len(BV82)&gt;0,BV82,"")</f>
        <v>0</v>
      </c>
      <c r="BW66" s="30">
        <f>=IF(Len(BW82)&gt;0,BW82,"")</f>
        <v>0</v>
      </c>
      <c r="BX66" s="30">
        <f>=IF(Len(BX82)&gt;0,BX82,"")</f>
        <v>0</v>
      </c>
      <c r="BY66" s="30">
        <f>=IF(Len(BY82)&gt;0,BY82,"")</f>
        <v>0</v>
      </c>
      <c r="BZ66" s="30" t="str">
        <f>=IF(Len(BZ82)&gt;0,BZ82,"")</f>
        <v/>
      </c>
      <c r="CA66" s="30" t="str">
        <f>=IF(Len(CA82)&gt;0,CA82,"")</f>
        <v/>
      </c>
      <c r="CB66" s="30" t="str">
        <f>=IF(Len(CB82)&gt;0,CB82,"")</f>
        <v/>
      </c>
      <c r="CC66" s="30" t="str">
        <f>=IF(Len(CC82)&gt;0,CC82,"")</f>
        <v/>
      </c>
      <c r="CD66" s="30" t="str">
        <f>=IF(Len(CD82)&gt;0,CD82,"")</f>
        <v/>
      </c>
      <c r="CE66" s="30" t="str">
        <f>=IF(Len(CE82)&gt;0,CE82,"")</f>
        <v/>
      </c>
      <c r="CF66" s="30" t="str">
        <f>=IF(Len(CF82)&gt;0,CF82,"")</f>
        <v/>
      </c>
      <c r="CG66" s="30" t="str">
        <f>=IF(Len(CG82)&gt;0,CG82,"")</f>
        <v/>
      </c>
      <c r="CH66" s="30" t="str">
        <f>=IF(Len(CH82)&gt;0,CH82,"")</f>
        <v/>
      </c>
      <c r="CI66" s="30" t="str">
        <f>=IF(Len(CI82)&gt;0,CI82,"")</f>
        <v/>
      </c>
      <c r="CJ66" s="30" t="str">
        <f>=IF(Len(CJ82)&gt;0,CJ82,"")</f>
        <v/>
      </c>
      <c r="CK66" s="30" t="str">
        <f>=IF(Len(CK82)&gt;0,CK82,"")</f>
        <v/>
      </c>
      <c r="CL66" s="30" t="str">
        <f>=IF(Len(CL82)&gt;0,CL82,"")</f>
        <v/>
      </c>
      <c r="CM66" s="30" t="str">
        <f>=IF(Len(CM82)&gt;0,CM82,"")</f>
        <v/>
      </c>
      <c r="CN66" s="30" t="str">
        <f>=IF(Len(CN82)&gt;0,CN82,"")</f>
        <v/>
      </c>
      <c r="CO66" s="30" t="str">
        <f>=IF(Len(CO82)&gt;0,CO82,"")</f>
        <v/>
      </c>
      <c r="CP66" s="30" t="str">
        <f>=IF(Len(CP82)&gt;0,CP82,"")</f>
        <v/>
      </c>
      <c r="CQ66" s="30" t="str">
        <f>=IF(Len(CQ82)&gt;0,CQ82,"")</f>
        <v/>
      </c>
      <c r="CR66" s="30" t="str">
        <f>=IF(Len(CR82)&gt;0,CR82,"")</f>
        <v/>
      </c>
      <c r="CS66" s="30" t="str">
        <f>=IF(Len(CS82)&gt;0,CS82,"")</f>
        <v/>
      </c>
      <c r="CT66" s="30" t="str">
        <f>=IF(Len(CT82)&gt;0,CT82,"")</f>
        <v/>
      </c>
      <c r="CU66" s="30" t="str">
        <f>=IF(Len(CU82)&gt;0,CU82,"")</f>
        <v/>
      </c>
      <c r="CV66" s="30" t="str">
        <f>=IF(Len(CV82)&gt;0,CV82,"")</f>
        <v/>
      </c>
      <c r="CW66" s="30" t="str">
        <f>=IF(Len(CW82)&gt;0,CW82,"")</f>
        <v/>
      </c>
      <c r="CX66" s="30" t="str">
        <f>=IF(Len(CX82)&gt;0,CX82,"")</f>
        <v/>
      </c>
      <c r="CY66" s="30" t="str">
        <f>=IF(Len(CY82)&gt;0,CY82,"")</f>
        <v/>
      </c>
      <c r="CZ66" s="30" t="str">
        <f>=IF(Len(CZ82)&gt;0,CZ82,"")</f>
        <v/>
      </c>
      <c r="DA66" s="30" t="str">
        <f>=IF(Len(DA82)&gt;0,DA82,"")</f>
        <v/>
      </c>
      <c r="DB66" s="30" t="str">
        <f>=IF(Len(DB82)&gt;0,DB82,"")</f>
        <v/>
      </c>
    </row>
    <row r="67" ht="18" customHeight="1" spans="1:106" x14ac:dyDescent="0.25">
      <c r="A67" s="20" t="s">
        <v>292</v>
      </c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1">
        <f>=IF(LEN(BB68)&gt;0,IF(BB68&lt;=0,0,BB68/(((SUM(BA119:BA128)-BA128)+(SUM(BB119:BB128)-BB119)/2))),"")</f>
        <v>0.01818181818181818</v>
      </c>
      <c r="BC67" s="31">
        <f>=IF(LEN(BC68)&gt;0,IF(BC68&lt;=0,0,BC68/(((SUM(BB119:BB128)-BB128)+(SUM(BC119:BC128)-BC119)/2))),"")</f>
        <v>0</v>
      </c>
      <c r="BD67" s="31">
        <f>=IF(LEN(BD68)&gt;0,IF(BD68&lt;=0,0,BD68/(((SUM(BC119:BC128)-BC128)+(SUM(BD119:BD128)-BD119)/2))),"")</f>
        <v>0</v>
      </c>
      <c r="BE67" s="31">
        <f>=IF(LEN(BE68)&gt;0,IF(BE68&lt;=0,0,BE68/(((SUM(BD119:BD128)-BD128)+(SUM(BE119:BE128)-BE119)/2))),"")</f>
        <v>0</v>
      </c>
      <c r="BF67" s="31">
        <f>=IF(LEN(BF68)&gt;0,IF(BF68&lt;=0,0,BF68/(((SUM(BE119:BE128)-BE128)+(SUM(BF119:BF128)-BF119)/2))),"")</f>
        <v>0.0425531914893617</v>
      </c>
      <c r="BG67" s="31">
        <f>=IF(LEN(BG68)&gt;0,IF(BG68&lt;=0,0,BG68/(((SUM(BF119:BF128)-BF128)+(SUM(BG119:BG128)-BG119)/2))),"")</f>
        <v>0</v>
      </c>
      <c r="BH67" s="31">
        <f>=IF(LEN(BH68)&gt;0,IF(BH68&lt;=0,0,BH68/(((SUM(BG119:BG128)-BG128)+(SUM(BH119:BH128)-BH119)/2))),"")</f>
        <v>0.045454545454545456</v>
      </c>
      <c r="BI67" s="31">
        <f>=IF(LEN(BI68)&gt;0,IF(BI68&lt;=0,0,BI68/(((SUM(BH119:BH128)-BH128)+(SUM(BI119:BI128)-BI119)/2))),"")</f>
        <v>0</v>
      </c>
      <c r="BJ67" s="31">
        <f>=IF(LEN(BJ68)&gt;0,IF(BJ68&lt;=0,0,BJ68/(((SUM(BI119:BI128)-BI128)+(SUM(BJ119:BJ128)-BJ119)/2))),"")</f>
        <v>0.7</v>
      </c>
      <c r="BK67" s="31">
        <f>=IF(LEN(BK68)&gt;0,IF(BK68&lt;=0,0,BK68/(((SUM(BJ119:BJ128)-BJ128)+(SUM(BK119:BK128)-BK119)/2))),"")</f>
        <v>0</v>
      </c>
      <c r="BL67" s="31">
        <f>=IF(LEN(BL68)&gt;0,IF(BL68&lt;=0,0,BL68/(((SUM(BK119:BK128)-BK128)+(SUM(BL119:BL128)-BL119)/2))),"")</f>
        <v>0</v>
      </c>
      <c r="BM67" s="31">
        <f>=IF(LEN(BM68)&gt;0,IF(BM68&lt;=0,0,BM68/(((SUM(BL119:BL128)-BL128)+(SUM(BM119:BM128)-BM119)/2))),"")</f>
        <v>0</v>
      </c>
      <c r="BN67" s="31">
        <f>=IF(LEN(BN68)&gt;0,IF(BN68&lt;=0,0,BN68/(((SUM(BM119:BM128)-BM128)+(SUM(BN119:BN128)-BN119)/2))),"")</f>
        <v>0</v>
      </c>
      <c r="BO67" s="31">
        <f>=IF(LEN(BO68)&gt;0,IF(BO68&lt;=0,0,BO68/(((SUM(BN119:BN128)-BN128)+(SUM(BO119:BO128)-BO119)/2))),"")</f>
        <v>0</v>
      </c>
      <c r="BP67" s="31">
        <f>=IF(LEN(BP68)&gt;0,IF(BP68&lt;=0,0,BP68/(((SUM(BO119:BO128)-BO128)+(SUM(BP119:BP128)-BP119)/2))),"")</f>
        <v>0</v>
      </c>
      <c r="BQ67" s="31">
        <f>=IF(LEN(BQ68)&gt;0,IF(BQ68&lt;=0,0,BQ68/(((SUM(BP119:BP128)-BP128)+(SUM(BQ119:BQ128)-BQ119)/2))),"")</f>
        <v>0</v>
      </c>
      <c r="BR67" s="31">
        <f>=IF(LEN(BR68)&gt;0,IF(BR68&lt;=0,0,BR68/(((SUM(BQ119:BQ128)-BQ128)+(SUM(BR119:BR128)-BR119)/2))),"")</f>
        <v>0</v>
      </c>
      <c r="BS67" s="31">
        <f>=IF(LEN(BS68)&gt;0,IF(BS68&lt;=0,0,BS68/(((SUM(BR119:BR128)-BR128)+(SUM(BS119:BS128)-BS119)/2))),"")</f>
        <v>0</v>
      </c>
      <c r="BT67" s="31">
        <f>=IF(LEN(BT68)&gt;0,IF(BT68&lt;=0,0,BT68/(((SUM(BS119:BS128)-BS128)+(SUM(BT119:BT128)-BT119)/2))),"")</f>
        <v>0</v>
      </c>
      <c r="BU67" s="31">
        <f>=IF(LEN(BU68)&gt;0,IF(BU68&lt;=0,0,BU68/(((SUM(BT119:BT128)-BT128)+(SUM(BU119:BU128)-BU119)/2))),"")</f>
        <v>0</v>
      </c>
      <c r="BV67" s="30">
        <f>=IF(LEN(BV68)&gt;0,IF(BV68&lt;=0,0,BV68/(((SUM(BU119:BU128)-BU128)+(SUM(BV119:BV128)-BV119)/2))),"")</f>
        <v>0</v>
      </c>
      <c r="BW67" s="30" t="str">
        <f>=IF(LEN(BW68)&gt;0,IF(BW68&lt;=0,0,BW68/(((SUM(BV119:BV128)-BV128)+(SUM(BW119:BW128)-BW119)/2))),"")</f>
        <v/>
      </c>
      <c r="BX67" s="30" t="str">
        <f>=IF(LEN(BX68)&gt;0,IF(BX68&lt;=0,0,BX68/(((SUM(BW119:BW128)-BW128)+(SUM(BX119:BX128)-BX119)/2))),"")</f>
        <v/>
      </c>
      <c r="BY67" s="30" t="str">
        <f>=IF(LEN(BY68)&gt;0,IF(BY68&lt;=0,0,BY68/(((SUM(BX119:BX128)-BX128)+(SUM(BY119:BY128)-BY119)/2))),"")</f>
        <v/>
      </c>
      <c r="BZ67" s="30" t="str">
        <f>=IF(LEN(BZ68)&gt;0,IF(BZ68&lt;=0,0,BZ68/(((SUM(BY119:BY128)-BY128)+(SUM(BZ119:BZ128)-BZ119)/2))),"")</f>
        <v/>
      </c>
      <c r="CA67" s="30" t="str">
        <f>=IF(LEN(CA68)&gt;0,IF(CA68&lt;=0,0,CA68/(((SUM(BZ119:BZ128)-BZ128)+(SUM(CA119:CA128)-CA119)/2))),"")</f>
        <v/>
      </c>
      <c r="CB67" s="30" t="str">
        <f>=IF(LEN(CB68)&gt;0,IF(CB68&lt;=0,0,CB68/(((SUM(CA119:CA128)-CA128)+(SUM(CB119:CB128)-CB119)/2))),"")</f>
        <v/>
      </c>
      <c r="CC67" s="30" t="str">
        <f>=IF(LEN(CC68)&gt;0,IF(CC68&lt;=0,0,CC68/(((SUM(CB119:CB128)-CB128)+(SUM(CC119:CC128)-CC119)/2))),"")</f>
        <v/>
      </c>
      <c r="CD67" s="30" t="str">
        <f>=IF(LEN(CD68)&gt;0,IF(CD68&lt;=0,0,CD68/(((SUM(CC119:CC128)-CC128)+(SUM(CD119:CD128)-CD119)/2))),"")</f>
        <v/>
      </c>
      <c r="CE67" s="30" t="str">
        <f>=IF(LEN(CE68)&gt;0,IF(CE68&lt;=0,0,CE68/(((SUM(CD119:CD128)-CD128)+(SUM(CE119:CE128)-CE119)/2))),"")</f>
        <v/>
      </c>
      <c r="CF67" s="30" t="str">
        <f>=IF(LEN(CF68)&gt;0,IF(CF68&lt;=0,0,CF68/(((SUM(CE119:CE128)-CE128)+(SUM(CF119:CF128)-CF119)/2))),"")</f>
        <v/>
      </c>
      <c r="CG67" s="30" t="str">
        <f>=IF(LEN(CG68)&gt;0,IF(CG68&lt;=0,0,CG68/(((SUM(CF119:CF128)-CF128)+(SUM(CG119:CG128)-CG119)/2))),"")</f>
        <v/>
      </c>
      <c r="CH67" s="30" t="str">
        <f>=IF(LEN(CH68)&gt;0,IF(CH68&lt;=0,0,CH68/(((SUM(CG119:CG128)-CG128)+(SUM(CH119:CH128)-CH119)/2))),"")</f>
        <v/>
      </c>
      <c r="CI67" s="30" t="str">
        <f>=IF(LEN(CI68)&gt;0,IF(CI68&lt;=0,0,CI68/(((SUM(CH119:CH128)-CH128)+(SUM(CI119:CI128)-CI119)/2))),"")</f>
        <v/>
      </c>
      <c r="CJ67" s="30" t="str">
        <f>=IF(LEN(CJ68)&gt;0,IF(CJ68&lt;=0,0,CJ68/(((SUM(CI119:CI128)-CI128)+(SUM(CJ119:CJ128)-CJ119)/2))),"")</f>
        <v/>
      </c>
      <c r="CK67" s="30" t="str">
        <f>=IF(LEN(CK68)&gt;0,IF(CK68&lt;=0,0,CK68/(((SUM(CJ119:CJ128)-CJ128)+(SUM(CK119:CK128)-CK119)/2))),"")</f>
        <v/>
      </c>
      <c r="CL67" s="30" t="str">
        <f>=IF(LEN(CL68)&gt;0,IF(CL68&lt;=0,0,CL68/(((SUM(CK119:CK128)-CK128)+(SUM(CL119:CL128)-CL119)/2))),"")</f>
        <v/>
      </c>
      <c r="CM67" s="30" t="str">
        <f>=IF(LEN(CM68)&gt;0,IF(CM68&lt;=0,0,CM68/(((SUM(CL119:CL128)-CL128)+(SUM(CM119:CM128)-CM119)/2))),"")</f>
        <v/>
      </c>
      <c r="CN67" s="30" t="str">
        <f>=IF(LEN(CN68)&gt;0,IF(CN68&lt;=0,0,CN68/(((SUM(CM119:CM128)-CM128)+(SUM(CN119:CN128)-CN119)/2))),"")</f>
        <v/>
      </c>
      <c r="CO67" s="30" t="str">
        <f>=IF(LEN(CO68)&gt;0,IF(CO68&lt;=0,0,CO68/(((SUM(CN119:CN128)-CN128)+(SUM(CO119:CO128)-CO119)/2))),"")</f>
        <v/>
      </c>
      <c r="CP67" s="30" t="str">
        <f>=IF(LEN(CP68)&gt;0,IF(CP68&lt;=0,0,CP68/(((SUM(CO119:CO128)-CO128)+(SUM(CP119:CP128)-CP119)/2))),"")</f>
        <v/>
      </c>
      <c r="CQ67" s="30" t="str">
        <f>=IF(LEN(CQ68)&gt;0,IF(CQ68&lt;=0,0,CQ68/(((SUM(CP119:CP128)-CP128)+(SUM(CQ119:CQ128)-CQ119)/2))),"")</f>
        <v/>
      </c>
      <c r="CR67" s="30" t="str">
        <f>=IF(LEN(CR68)&gt;0,IF(CR68&lt;=0,0,CR68/(((SUM(CQ119:CQ128)-CQ128)+(SUM(CR119:CR128)-CR119)/2))),"")</f>
        <v/>
      </c>
      <c r="CS67" s="30" t="str">
        <f>=IF(LEN(CS68)&gt;0,IF(CS68&lt;=0,0,CS68/(((SUM(CR119:CR128)-CR128)+(SUM(CS119:CS128)-CS119)/2))),"")</f>
        <v/>
      </c>
      <c r="CT67" s="30" t="str">
        <f>=IF(LEN(CT68)&gt;0,IF(CT68&lt;=0,0,CT68/(((SUM(CS119:CS128)-CS128)+(SUM(CT119:CT128)-CT119)/2))),"")</f>
        <v/>
      </c>
      <c r="CU67" s="30" t="str">
        <f>=IF(LEN(CU68)&gt;0,IF(CU68&lt;=0,0,CU68/(((SUM(CT119:CT128)-CT128)+(SUM(CU119:CU128)-CU119)/2))),"")</f>
        <v/>
      </c>
      <c r="CV67" s="30" t="str">
        <f>=IF(LEN(CV68)&gt;0,IF(CV68&lt;=0,0,CV68/(((SUM(CU119:CU128)-CU128)+(SUM(CV119:CV128)-CV119)/2))),"")</f>
        <v/>
      </c>
      <c r="CW67" s="30" t="str">
        <f>=IF(LEN(CW68)&gt;0,IF(CW68&lt;=0,0,CW68/(((SUM(CV119:CV128)-CV128)+(SUM(CW119:CW128)-CW119)/2))),"")</f>
        <v/>
      </c>
      <c r="CX67" s="30" t="str">
        <f>=IF(LEN(CX68)&gt;0,IF(CX68&lt;=0,0,CX68/(((SUM(CW119:CW128)-CW128)+(SUM(CX119:CX128)-CX119)/2))),"")</f>
        <v/>
      </c>
      <c r="CY67" s="30" t="str">
        <f>=IF(LEN(CY68)&gt;0,IF(CY68&lt;=0,0,CY68/(((SUM(CX119:CX128)-CX128)+(SUM(CY119:CY128)-CY119)/2))),"")</f>
        <v/>
      </c>
      <c r="CZ67" s="30" t="str">
        <f>=IF(LEN(CZ68)&gt;0,IF(CZ68&lt;=0,0,CZ68/(((SUM(CY119:CY128)-CY128)+(SUM(CZ119:CZ128)-CZ119)/2))),"")</f>
        <v/>
      </c>
      <c r="DA67" s="30" t="str">
        <f>=IF(LEN(DA68)&gt;0,IF(DA68&lt;=0,0,DA68/(((SUM(CZ119:CZ128)-CZ128)+(SUM(DA119:DA128)-DA119)/2))),"")</f>
        <v/>
      </c>
      <c r="DB67" s="30" t="str">
        <f>=IF(LEN(DB68)&gt;0,IF(DB68&lt;=0,0,DB68/(((SUM(DA119:DA128)-DA128)+(SUM(DB119:DB128)-DB119)/2))),"")</f>
        <v/>
      </c>
    </row>
    <row r="68" ht="18" customHeight="1" spans="1:106" x14ac:dyDescent="0.25">
      <c r="A68" s="36" t="s">
        <v>293</v>
      </c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>
        <f>=IF(DATEVALUE(BB4)&lt;=$C$2-WEEKDAY($C$2,1)+1,IF(SUM(BA119:BA128)&lt;=0,0,(SUM(BA119:BA128)-BA128)-(SUM(BB119:BB128)-BB119)),"")</f>
        <v>1</v>
      </c>
      <c r="BC68" s="30">
        <f>=IF(DATEVALUE(BC4)&lt;=$C$2-WEEKDAY($C$2,1)+1,IF(SUM(BB119:BB128)&lt;=0,0,(SUM(BB119:BB128)-BB128)-(SUM(BC119:BC128)-BC119)),"")</f>
        <v>0</v>
      </c>
      <c r="BD68" s="30">
        <f>=IF(DATEVALUE(BD4)&lt;=$C$2-WEEKDAY($C$2,1)+1,IF(SUM(BC119:BC128)&lt;=0,0,(SUM(BC119:BC128)-BC128)-(SUM(BD119:BD128)-BD119)),"")</f>
        <v>0</v>
      </c>
      <c r="BE68" s="30">
        <f>=IF(DATEVALUE(BE4)&lt;=$C$2-WEEKDAY($C$2,1)+1,IF(SUM(BD119:BD128)&lt;=0,0,(SUM(BD119:BD128)-BD128)-(SUM(BE119:BE128)-BE119)),"")</f>
        <v>0</v>
      </c>
      <c r="BF68" s="30">
        <f>=IF(DATEVALUE(BF4)&lt;=$C$2-WEEKDAY($C$2,1)+1,IF(SUM(BE119:BE128)&lt;=0,0,(SUM(BE119:BE128)-BE128)-(SUM(BF119:BF128)-BF119)),"")</f>
        <v>1</v>
      </c>
      <c r="BG68" s="30">
        <f>=IF(DATEVALUE(BG4)&lt;=$C$2-WEEKDAY($C$2,1)+1,IF(SUM(BF119:BF128)&lt;=0,0,(SUM(BF119:BF128)-BF128)-(SUM(BG119:BG128)-BG119)),"")</f>
        <v>0</v>
      </c>
      <c r="BH68" s="30">
        <f>=IF(DATEVALUE(BH4)&lt;=$C$2-WEEKDAY($C$2,1)+1,IF(SUM(BG119:BG128)&lt;=0,0,(SUM(BG119:BG128)-BG128)-(SUM(BH119:BH128)-BH119)),"")</f>
        <v>1</v>
      </c>
      <c r="BI68" s="30">
        <f>=IF(DATEVALUE(BI4)&lt;=$C$2-WEEKDAY($C$2,1)+1,IF(SUM(BH119:BH128)&lt;=0,0,(SUM(BH119:BH128)-BH128)-(SUM(BI119:BI128)-BI119)),"")</f>
        <v>-1</v>
      </c>
      <c r="BJ68" s="30">
        <f>=IF(DATEVALUE(BJ4)&lt;=$C$2-WEEKDAY($C$2,1)+1,IF(SUM(BI119:BI128)&lt;=0,0,(SUM(BI119:BI128)-BI128)-(SUM(BJ119:BJ128)-BJ119)),"")</f>
        <v>7</v>
      </c>
      <c r="BK68" s="30">
        <f>=IF(DATEVALUE(BK4)&lt;=$C$2-WEEKDAY($C$2,1)+1,IF(SUM(BJ119:BJ128)&lt;=0,0,(SUM(BJ119:BJ128)-BJ128)-(SUM(BK119:BK128)-BK119)),"")</f>
        <v>0</v>
      </c>
      <c r="BL68" s="30">
        <f>=IF(DATEVALUE(BL4)&lt;=$C$2-WEEKDAY($C$2,1)+1,IF(SUM(BK119:BK128)&lt;=0,0,(SUM(BK119:BK128)-BK128)-(SUM(BL119:BL128)-BL119)),"")</f>
        <v>0</v>
      </c>
      <c r="BM68" s="30">
        <f>=IF(DATEVALUE(BM4)&lt;=$C$2-WEEKDAY($C$2,1)+1,IF(SUM(BL119:BL128)&lt;=0,0,(SUM(BL119:BL128)-BL128)-(SUM(BM119:BM128)-BM119)),"")</f>
        <v>0</v>
      </c>
      <c r="BN68" s="30">
        <f>=IF(DATEVALUE(BN4)&lt;=$C$2-WEEKDAY($C$2,1)+1,IF(SUM(BM119:BM128)&lt;=0,0,(SUM(BM119:BM128)-BM128)-(SUM(BN119:BN128)-BN119)),"")</f>
        <v>0</v>
      </c>
      <c r="BO68" s="30">
        <f>=IF(DATEVALUE(BO4)&lt;=$C$2-WEEKDAY($C$2,1)+1,IF(SUM(BN119:BN128)&lt;=0,0,(SUM(BN119:BN128)-BN128)-(SUM(BO119:BO128)-BO119)),"")</f>
        <v>0</v>
      </c>
      <c r="BP68" s="30">
        <f>=IF(DATEVALUE(BP4)&lt;=$C$2-WEEKDAY($C$2,1)+1,IF(SUM(BO119:BO128)&lt;=0,0,(SUM(BO119:BO128)-BO128)-(SUM(BP119:BP128)-BP119)),"")</f>
        <v>0</v>
      </c>
      <c r="BQ68" s="30">
        <f>=IF(DATEVALUE(BQ4)&lt;=$C$2-WEEKDAY($C$2,1)+1,IF(SUM(BP119:BP128)&lt;=0,0,(SUM(BP119:BP128)-BP128)-(SUM(BQ119:BQ128)-BQ119)),"")</f>
        <v>0</v>
      </c>
      <c r="BR68" s="30">
        <f>=IF(DATEVALUE(BR4)&lt;=$C$2-WEEKDAY($C$2,1)+1,IF(SUM(BQ119:BQ128)&lt;=0,0,(SUM(BQ119:BQ128)-BQ128)-(SUM(BR119:BR128)-BR119)),"")</f>
        <v>0</v>
      </c>
      <c r="BS68" s="30">
        <f>=IF(DATEVALUE(BS4)&lt;=$C$2-WEEKDAY($C$2,1)+1,IF(SUM(BR119:BR128)&lt;=0,0,(SUM(BR119:BR128)-BR128)-(SUM(BS119:BS128)-BS119)),"")</f>
        <v>0</v>
      </c>
      <c r="BT68" s="30">
        <f>=IF(DATEVALUE(BT4)&lt;=$C$2-WEEKDAY($C$2,1)+1,IF(SUM(BS119:BS128)&lt;=0,0,(SUM(BS119:BS128)-BS128)-(SUM(BT119:BT128)-BT119)),"")</f>
        <v>0</v>
      </c>
      <c r="BU68" s="30">
        <f>=IF(DATEVALUE(BU4)&lt;=$C$2-WEEKDAY($C$2,1)+1,IF(SUM(BT119:BT128)&lt;=0,0,(SUM(BT119:BT128)-BT128)-(SUM(BU119:BU128)-BU119)),"")</f>
        <v>0</v>
      </c>
      <c r="BV68" s="30">
        <f>=IF(DATEVALUE(BV4)&lt;=$C$2-WEEKDAY($C$2,1)+1,IF(SUM(BU119:BU128)&lt;=0,0,(SUM(BU119:BU128)-BU128)-(SUM(BV119:BV128)-BV119)),"")</f>
        <v>0</v>
      </c>
      <c r="BW68" s="30" t="str">
        <f>=IF(DATEVALUE(BW4)&lt;=$C$2-WEEKDAY($C$2,1)+1,IF(SUM(BV119:BV128)&lt;=0,0,(SUM(BV119:BV128)-BV128)-(SUM(BW119:BW128)-BW119)),"")</f>
        <v/>
      </c>
      <c r="BX68" s="30" t="str">
        <f>=IF(DATEVALUE(BX4)&lt;=$C$2-WEEKDAY($C$2,1)+1,IF(SUM(BW119:BW128)&lt;=0,0,(SUM(BW119:BW128)-BW128)-(SUM(BX119:BX128)-BX119)),"")</f>
        <v/>
      </c>
      <c r="BY68" s="30" t="str">
        <f>=IF(DATEVALUE(BY4)&lt;=$C$2-WEEKDAY($C$2,1)+1,IF(SUM(BX119:BX128)&lt;=0,0,(SUM(BX119:BX128)-BX128)-(SUM(BY119:BY128)-BY119)),"")</f>
        <v/>
      </c>
      <c r="BZ68" s="30" t="str">
        <f>=IF(DATEVALUE(BZ4)&lt;=$C$2-WEEKDAY($C$2,1)+1,IF(SUM(BY119:BY128)&lt;=0,0,(SUM(BY119:BY128)-BY128)-(SUM(BZ119:BZ128)-BZ119)),"")</f>
        <v/>
      </c>
      <c r="CA68" s="30" t="str">
        <f>=IF(DATEVALUE(CA4)&lt;=$C$2-WEEKDAY($C$2,1)+1,IF(SUM(BZ119:BZ128)&lt;=0,0,(SUM(BZ119:BZ128)-BZ128)-(SUM(CA119:CA128)-CA119)),"")</f>
        <v/>
      </c>
      <c r="CB68" s="30" t="str">
        <f>=IF(DATEVALUE(CB4)&lt;=$C$2-WEEKDAY($C$2,1)+1,IF(SUM(CA119:CA128)&lt;=0,0,(SUM(CA119:CA128)-CA128)-(SUM(CB119:CB128)-CB119)),"")</f>
        <v/>
      </c>
      <c r="CC68" s="30" t="str">
        <f>=IF(DATEVALUE(CC4)&lt;=$C$2-WEEKDAY($C$2,1)+1,IF(SUM(CB119:CB128)&lt;=0,0,(SUM(CB119:CB128)-CB128)-(SUM(CC119:CC128)-CC119)),"")</f>
        <v/>
      </c>
      <c r="CD68" s="30" t="str">
        <f>=IF(DATEVALUE(CD4)&lt;=$C$2-WEEKDAY($C$2,1)+1,IF(SUM(CC119:CC128)&lt;=0,0,(SUM(CC119:CC128)-CC128)-(SUM(CD119:CD128)-CD119)),"")</f>
        <v/>
      </c>
      <c r="CE68" s="30" t="str">
        <f>=IF(DATEVALUE(CE4)&lt;=$C$2-WEEKDAY($C$2,1)+1,IF(SUM(CD119:CD128)&lt;=0,0,(SUM(CD119:CD128)-CD128)-(SUM(CE119:CE128)-CE119)),"")</f>
        <v/>
      </c>
      <c r="CF68" s="30" t="str">
        <f>=IF(DATEVALUE(CF4)&lt;=$C$2-WEEKDAY($C$2,1)+1,IF(SUM(CE119:CE128)&lt;=0,0,(SUM(CE119:CE128)-CE128)-(SUM(CF119:CF128)-CF119)),"")</f>
        <v/>
      </c>
      <c r="CG68" s="30" t="str">
        <f>=IF(DATEVALUE(CG4)&lt;=$C$2-WEEKDAY($C$2,1)+1,IF(SUM(CF119:CF128)&lt;=0,0,(SUM(CF119:CF128)-CF128)-(SUM(CG119:CG128)-CG119)),"")</f>
        <v/>
      </c>
      <c r="CH68" s="30" t="str">
        <f>=IF(DATEVALUE(CH4)&lt;=$C$2-WEEKDAY($C$2,1)+1,IF(SUM(CG119:CG128)&lt;=0,0,(SUM(CG119:CG128)-CG128)-(SUM(CH119:CH128)-CH119)),"")</f>
        <v/>
      </c>
      <c r="CI68" s="30" t="str">
        <f>=IF(DATEVALUE(CI4)&lt;=$C$2-WEEKDAY($C$2,1)+1,IF(SUM(CH119:CH128)&lt;=0,0,(SUM(CH119:CH128)-CH128)-(SUM(CI119:CI128)-CI119)),"")</f>
        <v/>
      </c>
      <c r="CJ68" s="30" t="str">
        <f>=IF(DATEVALUE(CJ4)&lt;=$C$2-WEEKDAY($C$2,1)+1,IF(SUM(CI119:CI128)&lt;=0,0,(SUM(CI119:CI128)-CI128)-(SUM(CJ119:CJ128)-CJ119)),"")</f>
        <v/>
      </c>
      <c r="CK68" s="30" t="str">
        <f>=IF(DATEVALUE(CK4)&lt;=$C$2-WEEKDAY($C$2,1)+1,IF(SUM(CJ119:CJ128)&lt;=0,0,(SUM(CJ119:CJ128)-CJ128)-(SUM(CK119:CK128)-CK119)),"")</f>
        <v/>
      </c>
      <c r="CL68" s="30" t="str">
        <f>=IF(DATEVALUE(CL4)&lt;=$C$2-WEEKDAY($C$2,1)+1,IF(SUM(CK119:CK128)&lt;=0,0,(SUM(CK119:CK128)-CK128)-(SUM(CL119:CL128)-CL119)),"")</f>
        <v/>
      </c>
      <c r="CM68" s="30" t="str">
        <f>=IF(DATEVALUE(CM4)&lt;=$C$2-WEEKDAY($C$2,1)+1,IF(SUM(CL119:CL128)&lt;=0,0,(SUM(CL119:CL128)-CL128)-(SUM(CM119:CM128)-CM119)),"")</f>
        <v/>
      </c>
      <c r="CN68" s="30" t="str">
        <f>=IF(DATEVALUE(CN4)&lt;=$C$2-WEEKDAY($C$2,1)+1,IF(SUM(CM119:CM128)&lt;=0,0,(SUM(CM119:CM128)-CM128)-(SUM(CN119:CN128)-CN119)),"")</f>
        <v/>
      </c>
      <c r="CO68" s="30" t="str">
        <f>=IF(DATEVALUE(CO4)&lt;=$C$2-WEEKDAY($C$2,1)+1,IF(SUM(CN119:CN128)&lt;=0,0,(SUM(CN119:CN128)-CN128)-(SUM(CO119:CO128)-CO119)),"")</f>
        <v/>
      </c>
      <c r="CP68" s="30" t="str">
        <f>=IF(DATEVALUE(CP4)&lt;=$C$2-WEEKDAY($C$2,1)+1,IF(SUM(CO119:CO128)&lt;=0,0,(SUM(CO119:CO128)-CO128)-(SUM(CP119:CP128)-CP119)),"")</f>
        <v/>
      </c>
      <c r="CQ68" s="30" t="str">
        <f>=IF(DATEVALUE(CQ4)&lt;=$C$2-WEEKDAY($C$2,1)+1,IF(SUM(CP119:CP128)&lt;=0,0,(SUM(CP119:CP128)-CP128)-(SUM(CQ119:CQ128)-CQ119)),"")</f>
        <v/>
      </c>
      <c r="CR68" s="30" t="str">
        <f>=IF(DATEVALUE(CR4)&lt;=$C$2-WEEKDAY($C$2,1)+1,IF(SUM(CQ119:CQ128)&lt;=0,0,(SUM(CQ119:CQ128)-CQ128)-(SUM(CR119:CR128)-CR119)),"")</f>
        <v/>
      </c>
      <c r="CS68" s="30" t="str">
        <f>=IF(DATEVALUE(CS4)&lt;=$C$2-WEEKDAY($C$2,1)+1,IF(SUM(CR119:CR128)&lt;=0,0,(SUM(CR119:CR128)-CR128)-(SUM(CS119:CS128)-CS119)),"")</f>
        <v/>
      </c>
      <c r="CT68" s="30" t="str">
        <f>=IF(DATEVALUE(CT4)&lt;=$C$2-WEEKDAY($C$2,1)+1,IF(SUM(CS119:CS128)&lt;=0,0,(SUM(CS119:CS128)-CS128)-(SUM(CT119:CT128)-CT119)),"")</f>
        <v/>
      </c>
      <c r="CU68" s="30" t="str">
        <f>=IF(DATEVALUE(CU4)&lt;=$C$2-WEEKDAY($C$2,1)+1,IF(SUM(CT119:CT128)&lt;=0,0,(SUM(CT119:CT128)-CT128)-(SUM(CU119:CU128)-CU119)),"")</f>
        <v/>
      </c>
      <c r="CV68" s="30" t="str">
        <f>=IF(DATEVALUE(CV4)&lt;=$C$2-WEEKDAY($C$2,1)+1,IF(SUM(CU119:CU128)&lt;=0,0,(SUM(CU119:CU128)-CU128)-(SUM(CV119:CV128)-CV119)),"")</f>
        <v/>
      </c>
      <c r="CW68" s="30" t="str">
        <f>=IF(DATEVALUE(CW4)&lt;=$C$2-WEEKDAY($C$2,1)+1,IF(SUM(CV119:CV128)&lt;=0,0,(SUM(CV119:CV128)-CV128)-(SUM(CW119:CW128)-CW119)),"")</f>
        <v/>
      </c>
      <c r="CX68" s="30" t="str">
        <f>=IF(DATEVALUE(CX4)&lt;=$C$2-WEEKDAY($C$2,1)+1,IF(SUM(CW119:CW128)&lt;=0,0,(SUM(CW119:CW128)-CW128)-(SUM(CX119:CX128)-CX119)),"")</f>
        <v/>
      </c>
      <c r="CY68" s="30" t="str">
        <f>=IF(DATEVALUE(CY4)&lt;=$C$2-WEEKDAY($C$2,1)+1,IF(SUM(CX119:CX128)&lt;=0,0,(SUM(CX119:CX128)-CX128)-(SUM(CY119:CY128)-CY119)),"")</f>
        <v/>
      </c>
      <c r="CZ68" s="30" t="str">
        <f>=IF(DATEVALUE(CZ4)&lt;=$C$2-WEEKDAY($C$2,1)+1,IF(SUM(CY119:CY128)&lt;=0,0,(SUM(CY119:CY128)-CY128)-(SUM(CZ119:CZ128)-CZ119)),"")</f>
        <v/>
      </c>
      <c r="DA68" s="30" t="str">
        <f>=IF(DATEVALUE(DA4)&lt;=$C$2-WEEKDAY($C$2,1)+1,IF(SUM(CZ119:CZ128)&lt;=0,0,(SUM(CZ119:CZ128)-CZ128)-(SUM(DA119:DA128)-DA119)),"")</f>
        <v/>
      </c>
      <c r="DB68" s="30" t="str">
        <f>=IF(DATEVALUE(DB4)&lt;=$C$2-WEEKDAY($C$2,1)+1,IF(SUM(DA119:DA128)&lt;=0,0,(SUM(DA119:DA128)-DA128)-(SUM(DB119:DB128)-DB119)),"")</f>
        <v/>
      </c>
    </row>
    <row r="69" ht="18" customHeight="1" spans="1:106" x14ac:dyDescent="0.25">
      <c r="A69" s="16" t="s">
        <v>294</v>
      </c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  <c r="BP69" s="30"/>
      <c r="BQ69" s="30"/>
      <c r="BR69" s="30"/>
      <c r="BS69" s="30"/>
      <c r="BT69" s="30"/>
      <c r="BU69" s="30"/>
      <c r="BV69" s="30"/>
      <c r="BW69" s="30"/>
      <c r="BX69" s="30"/>
      <c r="BY69" s="30"/>
      <c r="BZ69" s="30"/>
      <c r="CA69" s="30"/>
      <c r="CB69" s="30"/>
      <c r="CC69" s="30"/>
      <c r="CD69" s="30"/>
      <c r="CE69" s="30"/>
      <c r="CF69" s="30"/>
      <c r="CG69" s="30"/>
      <c r="CH69" s="30"/>
      <c r="CI69" s="30"/>
      <c r="CJ69" s="30"/>
      <c r="CK69" s="30"/>
      <c r="CL69" s="30"/>
      <c r="CM69" s="30"/>
      <c r="CN69" s="30"/>
      <c r="CO69" s="30"/>
      <c r="CP69" s="30"/>
      <c r="CQ69" s="30"/>
      <c r="CR69" s="30"/>
      <c r="CS69" s="30"/>
      <c r="CT69" s="30"/>
      <c r="CU69" s="30"/>
      <c r="CV69" s="30"/>
      <c r="CW69" s="30"/>
      <c r="CX69" s="30"/>
      <c r="CY69" s="30"/>
      <c r="CZ69" s="30"/>
      <c r="DA69" s="30"/>
      <c r="DB69" s="30"/>
    </row>
    <row r="70" ht="18" customHeight="1" spans="1:106" x14ac:dyDescent="0.25">
      <c r="A70" s="16" t="s">
        <v>282</v>
      </c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/>
      <c r="BO70" s="30"/>
      <c r="BP70" s="30"/>
      <c r="BQ70" s="30"/>
      <c r="BR70" s="30"/>
      <c r="BS70" s="30"/>
      <c r="BT70" s="30"/>
      <c r="BU70" s="30"/>
      <c r="BV70" s="30"/>
      <c r="BW70" s="30"/>
      <c r="BX70" s="30"/>
      <c r="BY70" s="30"/>
      <c r="BZ70" s="30"/>
      <c r="CA70" s="30"/>
      <c r="CB70" s="30"/>
      <c r="CC70" s="30"/>
      <c r="CD70" s="30"/>
      <c r="CE70" s="30"/>
      <c r="CF70" s="30"/>
      <c r="CG70" s="30"/>
      <c r="CH70" s="30"/>
      <c r="CI70" s="30"/>
      <c r="CJ70" s="30"/>
      <c r="CK70" s="30"/>
      <c r="CL70" s="30"/>
      <c r="CM70" s="30"/>
      <c r="CN70" s="30"/>
      <c r="CO70" s="30"/>
      <c r="CP70" s="30"/>
      <c r="CQ70" s="30"/>
      <c r="CR70" s="30"/>
      <c r="CS70" s="30"/>
      <c r="CT70" s="30"/>
      <c r="CU70" s="30"/>
      <c r="CV70" s="30"/>
      <c r="CW70" s="30"/>
      <c r="CX70" s="30"/>
      <c r="CY70" s="30"/>
      <c r="CZ70" s="30"/>
      <c r="DA70" s="30"/>
      <c r="DB70" s="30"/>
    </row>
    <row r="71" ht="18" customHeight="1" spans="3:106" x14ac:dyDescent="0.25"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30"/>
      <c r="BN71" s="30"/>
      <c r="BO71" s="30"/>
      <c r="BP71" s="30"/>
      <c r="BQ71" s="30"/>
      <c r="BR71" s="30"/>
      <c r="BS71" s="30"/>
      <c r="BT71" s="30"/>
      <c r="BU71" s="30"/>
      <c r="BV71" s="30"/>
      <c r="BW71" s="30"/>
      <c r="BX71" s="30"/>
      <c r="BY71" s="30"/>
      <c r="BZ71" s="30"/>
      <c r="CA71" s="30"/>
      <c r="CB71" s="30"/>
      <c r="CC71" s="30"/>
      <c r="CD71" s="30"/>
      <c r="CE71" s="30"/>
      <c r="CF71" s="30"/>
      <c r="CG71" s="30"/>
      <c r="CH71" s="30"/>
      <c r="CI71" s="30"/>
      <c r="CJ71" s="30"/>
      <c r="CK71" s="30"/>
      <c r="CL71" s="30"/>
      <c r="CM71" s="30"/>
      <c r="CN71" s="30"/>
      <c r="CO71" s="30"/>
      <c r="CP71" s="30"/>
      <c r="CQ71" s="30"/>
      <c r="CR71" s="30"/>
      <c r="CS71" s="30"/>
      <c r="CT71" s="30"/>
      <c r="CU71" s="30"/>
      <c r="CV71" s="30"/>
      <c r="CW71" s="30"/>
      <c r="CX71" s="30"/>
      <c r="CY71" s="30"/>
      <c r="CZ71" s="30"/>
      <c r="DA71" s="30"/>
      <c r="DB71" s="30"/>
    </row>
    <row r="72" ht="18" customHeight="1" spans="1:106" x14ac:dyDescent="0.25">
      <c r="A72" s="49" t="s">
        <v>295</v>
      </c>
      <c r="B72" s="17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2"/>
      <c r="CH72" s="32"/>
      <c r="CI72" s="32"/>
      <c r="CJ72" s="32"/>
      <c r="CK72" s="32"/>
      <c r="CL72" s="32"/>
      <c r="CM72" s="32"/>
      <c r="CN72" s="32"/>
      <c r="CO72" s="32"/>
      <c r="CP72" s="32"/>
      <c r="CQ72" s="32"/>
      <c r="CR72" s="32"/>
      <c r="CS72" s="32"/>
      <c r="CT72" s="32"/>
      <c r="CU72" s="32"/>
      <c r="CV72" s="32"/>
      <c r="CW72" s="32"/>
      <c r="CX72" s="32"/>
      <c r="CY72" s="32"/>
      <c r="CZ72" s="32"/>
      <c r="DA72" s="32"/>
      <c r="DB72" s="32"/>
    </row>
    <row r="73" ht="18" customHeight="1" spans="1:106" x14ac:dyDescent="0.25">
      <c r="A73" s="16" t="s">
        <v>296</v>
      </c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</row>
    <row r="74" ht="18" customHeight="1" spans="1:106" x14ac:dyDescent="0.25">
      <c r="A74" s="16" t="s">
        <v>297</v>
      </c>
      <c r="B74" s="17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  <c r="BC74" s="50"/>
      <c r="BD74" s="50"/>
      <c r="BE74" s="50"/>
      <c r="BF74" s="50"/>
      <c r="BG74" s="50"/>
      <c r="BH74" s="50"/>
      <c r="BI74" s="50"/>
      <c r="BJ74" s="50"/>
      <c r="BK74" s="50"/>
      <c r="BL74" s="50"/>
      <c r="BM74" s="50"/>
      <c r="BN74" s="50"/>
      <c r="BO74" s="50"/>
      <c r="BP74" s="50"/>
      <c r="BQ74" s="50"/>
      <c r="BR74" s="50"/>
      <c r="BS74" s="50"/>
      <c r="BT74" s="50"/>
      <c r="BU74" s="50"/>
      <c r="BV74" s="50"/>
      <c r="BW74" s="50"/>
      <c r="BX74" s="50"/>
      <c r="BY74" s="50"/>
      <c r="BZ74" s="50"/>
      <c r="CA74" s="50"/>
      <c r="CB74" s="50"/>
      <c r="CC74" s="50"/>
      <c r="CD74" s="50"/>
      <c r="CE74" s="50"/>
      <c r="CF74" s="50"/>
      <c r="CG74" s="50"/>
      <c r="CH74" s="50"/>
      <c r="CI74" s="50"/>
      <c r="CJ74" s="50"/>
      <c r="CK74" s="50"/>
      <c r="CL74" s="50"/>
      <c r="CM74" s="50"/>
      <c r="CN74" s="50"/>
      <c r="CO74" s="50"/>
      <c r="CP74" s="50"/>
      <c r="CQ74" s="50"/>
      <c r="CR74" s="50"/>
      <c r="CS74" s="50"/>
      <c r="CT74" s="50"/>
      <c r="CU74" s="50"/>
      <c r="CV74" s="50"/>
      <c r="CW74" s="50"/>
      <c r="CX74" s="50"/>
      <c r="CY74" s="50"/>
      <c r="CZ74" s="50"/>
      <c r="DA74" s="50"/>
      <c r="DB74" s="50"/>
    </row>
    <row r="75" ht="18" customHeight="1" spans="1:106" x14ac:dyDescent="0.25">
      <c r="A75" s="51" t="s">
        <v>298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</row>
    <row r="76" ht="18" customHeight="1" spans="1:106" x14ac:dyDescent="0.25">
      <c r="A76" s="16" t="s">
        <v>299</v>
      </c>
      <c r="B76" s="17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50"/>
      <c r="AR76" s="50"/>
      <c r="AS76" s="50"/>
      <c r="AT76" s="50"/>
      <c r="AU76" s="50"/>
      <c r="AV76" s="50"/>
      <c r="AW76" s="50"/>
      <c r="AX76" s="50"/>
      <c r="AY76" s="50"/>
      <c r="AZ76" s="50"/>
      <c r="BA76" s="50"/>
      <c r="BB76" s="50"/>
      <c r="BC76" s="50"/>
      <c r="BD76" s="50"/>
      <c r="BE76" s="50"/>
      <c r="BF76" s="50"/>
      <c r="BG76" s="50"/>
      <c r="BH76" s="50"/>
      <c r="BI76" s="50"/>
      <c r="BJ76" s="50"/>
      <c r="BK76" s="50"/>
      <c r="BL76" s="50"/>
      <c r="BM76" s="50"/>
      <c r="BN76" s="50"/>
      <c r="BO76" s="50"/>
      <c r="BP76" s="50"/>
      <c r="BQ76" s="50"/>
      <c r="BR76" s="50"/>
      <c r="BS76" s="50"/>
      <c r="BT76" s="50"/>
      <c r="BU76" s="50"/>
      <c r="BV76" s="50"/>
      <c r="BW76" s="50"/>
      <c r="BX76" s="50"/>
      <c r="BY76" s="50"/>
      <c r="BZ76" s="50"/>
      <c r="CA76" s="50"/>
      <c r="CB76" s="50"/>
      <c r="CC76" s="50"/>
      <c r="CD76" s="50"/>
      <c r="CE76" s="50"/>
      <c r="CF76" s="50"/>
      <c r="CG76" s="50"/>
      <c r="CH76" s="50"/>
      <c r="CI76" s="50"/>
      <c r="CJ76" s="50"/>
      <c r="CK76" s="50"/>
      <c r="CL76" s="50"/>
      <c r="CM76" s="50"/>
      <c r="CN76" s="50"/>
      <c r="CO76" s="50"/>
      <c r="CP76" s="50"/>
      <c r="CQ76" s="50"/>
      <c r="CR76" s="50"/>
      <c r="CS76" s="50"/>
      <c r="CT76" s="50"/>
      <c r="CU76" s="50"/>
      <c r="CV76" s="50"/>
      <c r="CW76" s="50"/>
      <c r="CX76" s="50"/>
      <c r="CY76" s="50"/>
      <c r="CZ76" s="50"/>
      <c r="DA76" s="50"/>
      <c r="DB76" s="50"/>
    </row>
    <row r="77" ht="18" customHeight="1" spans="1:106" x14ac:dyDescent="0.25">
      <c r="A77" s="16" t="s">
        <v>300</v>
      </c>
      <c r="B77" s="17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50"/>
      <c r="BC77" s="50"/>
      <c r="BD77" s="50"/>
      <c r="BE77" s="50"/>
      <c r="BF77" s="50"/>
      <c r="BG77" s="50"/>
      <c r="BH77" s="50"/>
      <c r="BI77" s="50"/>
      <c r="BJ77" s="50"/>
      <c r="BK77" s="50"/>
      <c r="BL77" s="50"/>
      <c r="BM77" s="50"/>
      <c r="BN77" s="50"/>
      <c r="BO77" s="50"/>
      <c r="BP77" s="50"/>
      <c r="BQ77" s="50"/>
      <c r="BR77" s="50"/>
      <c r="BS77" s="50"/>
      <c r="BT77" s="50"/>
      <c r="BU77" s="50"/>
      <c r="BV77" s="50"/>
      <c r="BW77" s="50"/>
      <c r="BX77" s="50"/>
      <c r="BY77" s="50"/>
      <c r="BZ77" s="50"/>
      <c r="CA77" s="50"/>
      <c r="CB77" s="50"/>
      <c r="CC77" s="50"/>
      <c r="CD77" s="50"/>
      <c r="CE77" s="50"/>
      <c r="CF77" s="50"/>
      <c r="CG77" s="50"/>
      <c r="CH77" s="50"/>
      <c r="CI77" s="50"/>
      <c r="CJ77" s="50"/>
      <c r="CK77" s="50"/>
      <c r="CL77" s="50"/>
      <c r="CM77" s="50"/>
      <c r="CN77" s="50"/>
      <c r="CO77" s="50"/>
      <c r="CP77" s="50"/>
      <c r="CQ77" s="50"/>
      <c r="CR77" s="50"/>
      <c r="CS77" s="50"/>
      <c r="CT77" s="50"/>
      <c r="CU77" s="50"/>
      <c r="CV77" s="50"/>
      <c r="CW77" s="50"/>
      <c r="CX77" s="50"/>
      <c r="CY77" s="50"/>
      <c r="CZ77" s="50"/>
      <c r="DA77" s="50"/>
      <c r="DB77" s="50"/>
    </row>
    <row r="78" ht="18" customHeight="1" spans="1:106" x14ac:dyDescent="0.25">
      <c r="A78" s="16" t="s">
        <v>301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</row>
    <row r="79" ht="18" customHeight="1" spans="3:106" x14ac:dyDescent="0.25"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  <c r="BK79" s="30"/>
      <c r="BL79" s="30"/>
      <c r="BM79" s="30"/>
      <c r="BN79" s="30"/>
      <c r="BO79" s="30"/>
      <c r="BP79" s="30"/>
      <c r="BQ79" s="30"/>
      <c r="BR79" s="30"/>
      <c r="BS79" s="30"/>
      <c r="BT79" s="30"/>
      <c r="BU79" s="30"/>
      <c r="BV79" s="30"/>
      <c r="BW79" s="30"/>
      <c r="BX79" s="30"/>
      <c r="BY79" s="30"/>
      <c r="BZ79" s="30"/>
      <c r="CA79" s="30"/>
      <c r="CB79" s="30"/>
      <c r="CC79" s="30"/>
      <c r="CD79" s="30"/>
      <c r="CE79" s="30"/>
      <c r="CF79" s="30"/>
      <c r="CG79" s="30"/>
      <c r="CH79" s="30"/>
      <c r="CI79" s="30"/>
      <c r="CJ79" s="30"/>
      <c r="CK79" s="30"/>
      <c r="CL79" s="30"/>
      <c r="CM79" s="30"/>
      <c r="CN79" s="30"/>
      <c r="CO79" s="30"/>
      <c r="CP79" s="30"/>
      <c r="CQ79" s="30"/>
      <c r="CR79" s="30"/>
      <c r="CS79" s="30"/>
      <c r="CT79" s="30"/>
      <c r="CU79" s="30"/>
      <c r="CV79" s="30"/>
      <c r="CW79" s="30"/>
      <c r="CX79" s="30"/>
      <c r="CY79" s="30"/>
      <c r="CZ79" s="30"/>
      <c r="DA79" s="30"/>
      <c r="DB79" s="30"/>
    </row>
    <row r="80" ht="18" customHeight="1" spans="1:106" x14ac:dyDescent="0.25">
      <c r="A80" s="9" t="s">
        <v>302</v>
      </c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30"/>
      <c r="BN80" s="30"/>
      <c r="BO80" s="30"/>
      <c r="BP80" s="30"/>
      <c r="BQ80" s="30"/>
      <c r="BR80" s="30"/>
      <c r="BS80" s="30"/>
      <c r="BT80" s="30"/>
      <c r="BU80" s="30"/>
      <c r="BV80" s="30"/>
      <c r="BW80" s="30"/>
      <c r="BX80" s="30"/>
      <c r="BY80" s="30"/>
      <c r="BZ80" s="30"/>
      <c r="CA80" s="30"/>
      <c r="CB80" s="30"/>
      <c r="CC80" s="30"/>
      <c r="CD80" s="30"/>
      <c r="CE80" s="30"/>
      <c r="CF80" s="30"/>
      <c r="CG80" s="30"/>
      <c r="CH80" s="30"/>
      <c r="CI80" s="30"/>
      <c r="CJ80" s="30"/>
      <c r="CK80" s="30"/>
      <c r="CL80" s="30"/>
      <c r="CM80" s="30"/>
      <c r="CN80" s="30"/>
      <c r="CO80" s="30"/>
      <c r="CP80" s="30"/>
      <c r="CQ80" s="30"/>
      <c r="CR80" s="30"/>
      <c r="CS80" s="30"/>
      <c r="CT80" s="30"/>
      <c r="CU80" s="30"/>
      <c r="CV80" s="30"/>
      <c r="CW80" s="30"/>
      <c r="CX80" s="30"/>
      <c r="CY80" s="30"/>
      <c r="CZ80" s="30"/>
      <c r="DA80" s="30"/>
      <c r="DB80" s="30"/>
    </row>
    <row r="81" ht="18" customHeight="1" spans="1:106" x14ac:dyDescent="0.25">
      <c r="A81" s="33" t="s">
        <v>303</v>
      </c>
      <c r="B81" s="24"/>
      <c r="C81" s="74">
        <v>5</v>
      </c>
      <c r="D81" s="74">
        <v>6</v>
      </c>
      <c r="E81" s="74">
        <v>5</v>
      </c>
      <c r="F81" s="52">
        <v>5</v>
      </c>
      <c r="G81" s="52">
        <v>8</v>
      </c>
      <c r="H81" s="52">
        <v>6</v>
      </c>
      <c r="I81" s="52">
        <v>2</v>
      </c>
      <c r="J81" s="52">
        <v>6</v>
      </c>
      <c r="K81" s="52">
        <v>3</v>
      </c>
      <c r="L81" s="52">
        <v>1</v>
      </c>
      <c r="M81" s="52">
        <v>6</v>
      </c>
      <c r="N81" s="52">
        <v>5</v>
      </c>
      <c r="O81" s="52">
        <v>2</v>
      </c>
      <c r="P81" s="52">
        <v>4</v>
      </c>
      <c r="Q81" s="52">
        <v>2</v>
      </c>
      <c r="R81" s="52">
        <v>3</v>
      </c>
      <c r="S81" s="52">
        <v>3</v>
      </c>
      <c r="T81" s="52">
        <v>4</v>
      </c>
      <c r="U81" s="52">
        <v>4</v>
      </c>
      <c r="V81" s="52">
        <v>5</v>
      </c>
      <c r="W81" s="52">
        <v>7</v>
      </c>
      <c r="X81" s="52">
        <v>1</v>
      </c>
      <c r="Y81" s="52">
        <v>2</v>
      </c>
      <c r="Z81" s="52">
        <v>0</v>
      </c>
      <c r="AA81" s="52">
        <v>2</v>
      </c>
      <c r="AB81" s="52">
        <v>5</v>
      </c>
      <c r="AC81" s="52">
        <v>1</v>
      </c>
      <c r="AD81" s="52">
        <v>1</v>
      </c>
      <c r="AE81" s="52">
        <v>2</v>
      </c>
      <c r="AF81" s="52">
        <v>2</v>
      </c>
      <c r="AG81" s="52">
        <v>3</v>
      </c>
      <c r="AH81" s="52">
        <v>0</v>
      </c>
      <c r="AI81" s="52">
        <v>3</v>
      </c>
      <c r="AJ81" s="52">
        <v>4</v>
      </c>
      <c r="AK81" s="52">
        <v>1</v>
      </c>
      <c r="AL81" s="52">
        <v>2</v>
      </c>
      <c r="AM81" s="52">
        <v>1</v>
      </c>
      <c r="AN81" s="52">
        <v>2</v>
      </c>
      <c r="AO81" s="52">
        <v>2</v>
      </c>
      <c r="AP81" s="52">
        <v>5</v>
      </c>
      <c r="AQ81" s="52">
        <v>2</v>
      </c>
      <c r="AR81" s="52">
        <v>0</v>
      </c>
      <c r="AS81" s="52">
        <v>0</v>
      </c>
      <c r="AT81" s="52">
        <v>2</v>
      </c>
      <c r="AU81" s="52">
        <v>0</v>
      </c>
      <c r="AV81" s="52">
        <v>0</v>
      </c>
      <c r="AW81" s="52">
        <v>0</v>
      </c>
      <c r="AX81" s="52">
        <v>0</v>
      </c>
      <c r="AY81" s="52">
        <v>4</v>
      </c>
      <c r="AZ81" s="52">
        <v>2</v>
      </c>
      <c r="BA81" s="52">
        <v>1</v>
      </c>
      <c r="BB81" s="52">
        <v>1</v>
      </c>
      <c r="BC81" s="52">
        <v>1</v>
      </c>
      <c r="BD81" s="52">
        <v>5</v>
      </c>
      <c r="BE81" s="52">
        <v>1</v>
      </c>
      <c r="BF81" s="52">
        <v>5</v>
      </c>
      <c r="BG81" s="52">
        <v>1</v>
      </c>
      <c r="BH81" s="52">
        <v>3</v>
      </c>
      <c r="BI81" s="52">
        <v>9</v>
      </c>
      <c r="BJ81" s="52">
        <v>3</v>
      </c>
      <c r="BK81" s="52">
        <v>1</v>
      </c>
      <c r="BL81" s="52">
        <v>1</v>
      </c>
      <c r="BM81" s="52">
        <v>36</v>
      </c>
      <c r="BN81" s="53">
        <f>=SUM(BN82:BN97)</f>
        <v>2</v>
      </c>
      <c r="BO81" s="53">
        <f>=SUM(BO82:BO97)</f>
        <v>9</v>
      </c>
      <c r="BP81" s="53">
        <f>=SUM(BP82:BP97)</f>
        <v>0</v>
      </c>
      <c r="BQ81" s="53">
        <f>=SUM(BQ82:BQ97)</f>
        <v>16</v>
      </c>
      <c r="BR81" s="53">
        <f>=SUM(BR82:BR97)</f>
        <v>1</v>
      </c>
      <c r="BS81" s="53">
        <f>=SUM(BS82:BS97)</f>
        <v>3</v>
      </c>
      <c r="BT81" s="53">
        <f>=SUM(BT82:BT97)</f>
        <v>0</v>
      </c>
      <c r="BU81" s="53">
        <f>=SUM(BU82:BU97)</f>
        <v>9</v>
      </c>
      <c r="BV81" s="53">
        <f>=SUM(BV82:BV97)</f>
        <v>0</v>
      </c>
      <c r="BW81" s="53">
        <f>=SUM(BW82:BW97)</f>
        <v>0</v>
      </c>
      <c r="BX81" s="53">
        <f>=SUM(BX82:BX97)</f>
        <v>1</v>
      </c>
      <c r="BY81" s="53">
        <f>=SUM(BY82:BY97)</f>
        <v>0</v>
      </c>
      <c r="BZ81" s="53">
        <f>=SUM(BZ82:BZ97)</f>
        <v>0</v>
      </c>
      <c r="CA81" s="53">
        <f>=SUM(CA82:CA97)</f>
        <v>0</v>
      </c>
      <c r="CB81" s="53">
        <f>=SUM(CB82:CB97)</f>
        <v>0</v>
      </c>
      <c r="CC81" s="53">
        <f>=SUM(CC82:CC97)</f>
        <v>0</v>
      </c>
      <c r="CD81" s="53">
        <f>=SUM(CD82:CD97)</f>
        <v>0</v>
      </c>
      <c r="CE81" s="53">
        <f>=SUM(CE82:CE97)</f>
        <v>0</v>
      </c>
      <c r="CF81" s="53">
        <f>=SUM(CF82:CF97)</f>
        <v>10</v>
      </c>
      <c r="CG81" s="53">
        <f>=SUM(CG82:CG97)</f>
        <v>0</v>
      </c>
      <c r="CH81" s="53">
        <f>=SUM(CH82:CH97)</f>
        <v>0</v>
      </c>
      <c r="CI81" s="53">
        <f>=SUM(CI82:CI97)</f>
        <v>0</v>
      </c>
      <c r="CJ81" s="53">
        <f>=SUM(CJ82:CJ97)</f>
        <v>0</v>
      </c>
      <c r="CK81" s="53">
        <f>=SUM(CK82:CK97)</f>
        <v>0</v>
      </c>
      <c r="CL81" s="53">
        <f>=SUM(CL82:CL97)</f>
        <v>0</v>
      </c>
      <c r="CM81" s="53">
        <f>=SUM(CM82:CM97)</f>
        <v>0</v>
      </c>
      <c r="CN81" s="53">
        <f>=SUM(CN82:CN97)</f>
        <v>0</v>
      </c>
      <c r="CO81" s="53">
        <f>=SUM(CO82:CO97)</f>
        <v>0</v>
      </c>
      <c r="CP81" s="53">
        <f>=SUM(CP82:CP97)</f>
        <v>0</v>
      </c>
      <c r="CQ81" s="53">
        <f>=SUM(CQ82:CQ97)</f>
        <v>0</v>
      </c>
      <c r="CR81" s="53">
        <f>=SUM(CR82:CR97)</f>
        <v>0</v>
      </c>
      <c r="CS81" s="53">
        <f>=SUM(CS82:CS97)</f>
        <v>0</v>
      </c>
      <c r="CT81" s="53">
        <f>=SUM(CT82:CT97)</f>
        <v>0</v>
      </c>
      <c r="CU81" s="53">
        <f>=SUM(CU82:CU97)</f>
        <v>0</v>
      </c>
      <c r="CV81" s="53">
        <f>=SUM(CV82:CV97)</f>
        <v>0</v>
      </c>
      <c r="CW81" s="53">
        <f>=SUM(CW82:CW97)</f>
        <v>0</v>
      </c>
      <c r="CX81" s="53">
        <f>=SUM(CX82:CX97)</f>
        <v>0</v>
      </c>
      <c r="CY81" s="53">
        <f>=SUM(CY82:CY97)</f>
        <v>0</v>
      </c>
      <c r="CZ81" s="53">
        <f>=SUM(CZ82:CZ97)</f>
        <v>0</v>
      </c>
      <c r="DA81" s="53">
        <f>=SUM(DA82:DA97)</f>
        <v>0</v>
      </c>
      <c r="DB81" s="53">
        <f>=SUM(DB82:DB97)</f>
        <v>0</v>
      </c>
    </row>
    <row r="82" ht="18" customHeight="1" spans="1:106" x14ac:dyDescent="0.25">
      <c r="A82" s="50" t="s">
        <v>304</v>
      </c>
      <c r="C82" s="17">
        <v>1</v>
      </c>
      <c r="D82" s="17">
        <v>4</v>
      </c>
      <c r="E82" s="17">
        <v>4</v>
      </c>
      <c r="F82" s="17">
        <v>5</v>
      </c>
      <c r="G82" s="17">
        <v>4</v>
      </c>
      <c r="H82" s="17">
        <v>5</v>
      </c>
      <c r="I82" s="17">
        <v>2</v>
      </c>
      <c r="J82" s="17">
        <v>1</v>
      </c>
      <c r="K82" s="17">
        <v>3</v>
      </c>
      <c r="L82" s="17">
        <v>1</v>
      </c>
      <c r="M82" s="17">
        <v>4</v>
      </c>
      <c r="N82" s="17">
        <v>3</v>
      </c>
      <c r="O82" s="17">
        <v>2</v>
      </c>
      <c r="P82" s="17">
        <v>2</v>
      </c>
      <c r="Q82" s="17">
        <v>2</v>
      </c>
      <c r="R82" s="17">
        <v>2</v>
      </c>
      <c r="S82" s="17">
        <v>2</v>
      </c>
      <c r="T82" s="17">
        <v>3</v>
      </c>
      <c r="U82" s="17">
        <v>4</v>
      </c>
      <c r="V82" s="17">
        <v>5</v>
      </c>
      <c r="W82" s="17">
        <v>6</v>
      </c>
      <c r="X82" s="17">
        <v>0</v>
      </c>
      <c r="Y82" s="17">
        <v>1</v>
      </c>
      <c r="Z82" s="17">
        <v>0</v>
      </c>
      <c r="AA82" s="17">
        <v>0</v>
      </c>
      <c r="AB82" s="17">
        <v>4</v>
      </c>
      <c r="AC82" s="17">
        <v>1</v>
      </c>
      <c r="AD82" s="17">
        <v>1</v>
      </c>
      <c r="AE82" s="17">
        <v>0</v>
      </c>
      <c r="AF82" s="17">
        <v>2</v>
      </c>
      <c r="AG82" s="17">
        <v>3</v>
      </c>
      <c r="AH82" s="17">
        <v>0</v>
      </c>
      <c r="AI82" s="17">
        <v>3</v>
      </c>
      <c r="AJ82" s="17">
        <v>4</v>
      </c>
      <c r="AK82" s="17">
        <v>1</v>
      </c>
      <c r="AL82" s="17">
        <v>1</v>
      </c>
      <c r="AM82" s="17">
        <v>1</v>
      </c>
      <c r="AN82" s="17">
        <v>1</v>
      </c>
      <c r="AO82" s="17">
        <v>1</v>
      </c>
      <c r="AP82" s="17">
        <v>1</v>
      </c>
      <c r="AQ82" s="17">
        <v>1</v>
      </c>
      <c r="AR82" s="17">
        <v>0</v>
      </c>
      <c r="AS82" s="17">
        <v>0</v>
      </c>
      <c r="AT82" s="17">
        <v>0</v>
      </c>
      <c r="AU82" s="17">
        <v>0</v>
      </c>
      <c r="AV82" s="17">
        <v>0</v>
      </c>
      <c r="AW82" s="17">
        <v>0</v>
      </c>
      <c r="AX82" s="17">
        <v>0</v>
      </c>
      <c r="AY82" s="17">
        <v>0</v>
      </c>
      <c r="AZ82" s="17">
        <v>1</v>
      </c>
      <c r="BA82" s="17">
        <v>1</v>
      </c>
      <c r="BB82" s="17">
        <v>1</v>
      </c>
      <c r="BC82" s="17">
        <v>0</v>
      </c>
      <c r="BD82" s="17">
        <v>1</v>
      </c>
      <c r="BE82" s="17">
        <v>1</v>
      </c>
      <c r="BF82" s="17">
        <v>1</v>
      </c>
      <c r="BG82" s="17">
        <v>0</v>
      </c>
      <c r="BH82" s="17">
        <v>3</v>
      </c>
      <c r="BI82" s="17">
        <v>1</v>
      </c>
      <c r="BJ82" s="17">
        <v>2</v>
      </c>
      <c r="BK82" s="17">
        <v>1</v>
      </c>
      <c r="BL82" s="17">
        <v>0</v>
      </c>
      <c r="BM82" s="17">
        <v>0</v>
      </c>
      <c r="BN82" s="55">
        <v>0</v>
      </c>
      <c r="BO82" s="55">
        <v>0</v>
      </c>
      <c r="BP82" s="55">
        <v>0</v>
      </c>
      <c r="BQ82" s="55">
        <v>1</v>
      </c>
      <c r="BR82" s="55">
        <v>0</v>
      </c>
      <c r="BS82" s="55">
        <v>1</v>
      </c>
      <c r="BT82" s="55">
        <v>0</v>
      </c>
      <c r="BU82" s="55">
        <v>1</v>
      </c>
      <c r="BV82" s="17">
        <v>0</v>
      </c>
      <c r="BW82" s="17">
        <v>0</v>
      </c>
      <c r="BX82" s="17">
        <v>0</v>
      </c>
      <c r="BY82" s="17">
        <v>0</v>
      </c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</row>
    <row r="83" ht="18" customHeight="1" spans="1:106" x14ac:dyDescent="0.25">
      <c r="A83" s="50" t="s">
        <v>305</v>
      </c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>
        <v>1</v>
      </c>
      <c r="BM83" s="17">
        <v>34</v>
      </c>
      <c r="BN83" s="55"/>
      <c r="BO83" s="55">
        <v>9</v>
      </c>
      <c r="BP83" s="55"/>
      <c r="BQ83" s="55"/>
      <c r="BR83" s="55"/>
      <c r="BS83" s="55"/>
      <c r="BT83" s="55"/>
      <c r="BU83" s="55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>
        <v>8</v>
      </c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</row>
    <row r="84" ht="18" customHeight="1" spans="1:106" x14ac:dyDescent="0.25">
      <c r="A84" s="50" t="s">
        <v>306</v>
      </c>
      <c r="C84" s="17"/>
      <c r="D84" s="17"/>
      <c r="E84" s="17">
        <v>1</v>
      </c>
      <c r="F84" s="17"/>
      <c r="G84" s="17">
        <v>4</v>
      </c>
      <c r="H84" s="17"/>
      <c r="I84" s="17"/>
      <c r="J84" s="17">
        <v>1</v>
      </c>
      <c r="K84" s="17"/>
      <c r="L84" s="17"/>
      <c r="M84" s="17">
        <v>1</v>
      </c>
      <c r="N84" s="17">
        <v>1</v>
      </c>
      <c r="O84" s="17"/>
      <c r="P84" s="17"/>
      <c r="Q84" s="17"/>
      <c r="R84" s="17"/>
      <c r="S84" s="17">
        <v>1</v>
      </c>
      <c r="T84" s="17"/>
      <c r="U84" s="17"/>
      <c r="V84" s="17"/>
      <c r="W84" s="17">
        <v>1</v>
      </c>
      <c r="X84" s="17"/>
      <c r="Y84" s="17"/>
      <c r="Z84" s="17"/>
      <c r="AA84" s="17">
        <v>2</v>
      </c>
      <c r="AB84" s="17"/>
      <c r="AC84" s="17">
        <v>0</v>
      </c>
      <c r="AD84" s="17">
        <v>0</v>
      </c>
      <c r="AE84" s="17">
        <v>2</v>
      </c>
      <c r="AF84" s="17"/>
      <c r="AG84" s="17"/>
      <c r="AH84" s="17"/>
      <c r="AI84" s="17">
        <v>0</v>
      </c>
      <c r="AJ84" s="17">
        <v>0</v>
      </c>
      <c r="AK84" s="17">
        <v>0</v>
      </c>
      <c r="AL84" s="17">
        <v>1</v>
      </c>
      <c r="AM84" s="17"/>
      <c r="AN84" s="17">
        <v>1</v>
      </c>
      <c r="AO84" s="17"/>
      <c r="AP84" s="17">
        <v>1</v>
      </c>
      <c r="AQ84" s="17">
        <v>1</v>
      </c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>
        <v>1</v>
      </c>
      <c r="BD84" s="17"/>
      <c r="BE84" s="17"/>
      <c r="BF84" s="17"/>
      <c r="BG84" s="17"/>
      <c r="BH84" s="17"/>
      <c r="BI84" s="17"/>
      <c r="BJ84" s="17"/>
      <c r="BK84" s="17"/>
      <c r="BL84" s="17"/>
      <c r="BM84" s="17">
        <v>2</v>
      </c>
      <c r="BN84" s="55"/>
      <c r="BO84" s="55"/>
      <c r="BP84" s="55"/>
      <c r="BQ84" s="58">
        <v>15</v>
      </c>
      <c r="BR84" s="55"/>
      <c r="BS84" s="55"/>
      <c r="BT84" s="55"/>
      <c r="BU84" s="55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</row>
    <row r="85" ht="18" customHeight="1" spans="1:106" x14ac:dyDescent="0.25">
      <c r="A85" s="50" t="s">
        <v>307</v>
      </c>
      <c r="C85" s="17">
        <v>2</v>
      </c>
      <c r="D85" s="17">
        <v>2</v>
      </c>
      <c r="E85" s="17"/>
      <c r="F85" s="17"/>
      <c r="G85" s="17"/>
      <c r="H85" s="17"/>
      <c r="I85" s="17"/>
      <c r="J85" s="17">
        <v>1</v>
      </c>
      <c r="K85" s="17"/>
      <c r="L85" s="17"/>
      <c r="M85" s="17"/>
      <c r="N85" s="17"/>
      <c r="O85" s="17"/>
      <c r="P85" s="17"/>
      <c r="Q85" s="17"/>
      <c r="R85" s="17">
        <v>1</v>
      </c>
      <c r="S85" s="17"/>
      <c r="T85" s="17"/>
      <c r="U85" s="17"/>
      <c r="V85" s="17"/>
      <c r="W85" s="17"/>
      <c r="X85" s="17">
        <v>1</v>
      </c>
      <c r="Y85" s="17">
        <v>1</v>
      </c>
      <c r="Z85" s="17"/>
      <c r="AA85" s="17"/>
      <c r="AB85" s="17">
        <v>1</v>
      </c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>
        <v>1</v>
      </c>
      <c r="AP85" s="17">
        <v>3</v>
      </c>
      <c r="AQ85" s="17"/>
      <c r="AR85" s="17"/>
      <c r="AS85" s="17"/>
      <c r="AT85" s="17"/>
      <c r="AU85" s="17"/>
      <c r="AV85" s="17"/>
      <c r="AW85" s="17"/>
      <c r="AX85" s="17"/>
      <c r="AY85" s="17">
        <v>3</v>
      </c>
      <c r="AZ85" s="17">
        <v>1</v>
      </c>
      <c r="BA85" s="17"/>
      <c r="BB85" s="17"/>
      <c r="BC85" s="17"/>
      <c r="BD85" s="17">
        <v>4</v>
      </c>
      <c r="BE85" s="17"/>
      <c r="BF85" s="17">
        <v>3</v>
      </c>
      <c r="BG85" s="17">
        <v>1</v>
      </c>
      <c r="BH85" s="17"/>
      <c r="BI85" s="17">
        <v>1</v>
      </c>
      <c r="BJ85" s="17">
        <v>1</v>
      </c>
      <c r="BK85" s="17"/>
      <c r="BL85" s="17"/>
      <c r="BM85" s="17"/>
      <c r="BN85" s="55">
        <v>2</v>
      </c>
      <c r="BO85" s="55"/>
      <c r="BP85" s="55"/>
      <c r="BQ85" s="55"/>
      <c r="BR85" s="55">
        <v>1</v>
      </c>
      <c r="BS85" s="55">
        <v>2</v>
      </c>
      <c r="BT85" s="55"/>
      <c r="BU85" s="55"/>
      <c r="BV85" s="17"/>
      <c r="BW85" s="17"/>
      <c r="BX85" s="17">
        <v>1</v>
      </c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</row>
    <row r="86" ht="18" customHeight="1" spans="1:106" x14ac:dyDescent="0.25">
      <c r="A86" s="50" t="s">
        <v>308</v>
      </c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>
        <v>2</v>
      </c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</row>
    <row r="87" ht="18" customHeight="1" spans="1:106" x14ac:dyDescent="0.25">
      <c r="A87" s="50" t="s">
        <v>309</v>
      </c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>
        <v>1</v>
      </c>
      <c r="AZ87" s="17"/>
      <c r="BA87" s="17"/>
      <c r="BB87" s="17"/>
      <c r="BC87" s="17"/>
      <c r="BD87" s="17"/>
      <c r="BE87" s="17"/>
      <c r="BF87" s="17">
        <v>1</v>
      </c>
      <c r="BG87" s="17"/>
      <c r="BH87" s="17"/>
      <c r="BI87" s="17">
        <v>7</v>
      </c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</row>
    <row r="88" ht="18" customHeight="1" spans="1:106" x14ac:dyDescent="0.25">
      <c r="A88" s="46" t="s">
        <v>311</v>
      </c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</row>
    <row r="89" ht="18" customHeight="1" spans="1:106" x14ac:dyDescent="0.25">
      <c r="A89" s="46" t="s">
        <v>313</v>
      </c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>
        <v>2</v>
      </c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</row>
    <row r="90" ht="18" customHeight="1" spans="1:106" x14ac:dyDescent="0.25">
      <c r="A90" s="46" t="s">
        <v>0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>
        <v>1</v>
      </c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</row>
    <row r="91" ht="18" customHeight="1" spans="1:106" x14ac:dyDescent="0.25">
      <c r="A91" s="46" t="s">
        <v>314</v>
      </c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</row>
    <row r="92" ht="18" customHeight="1" spans="1:106" x14ac:dyDescent="0.25">
      <c r="A92" s="46" t="s">
        <v>315</v>
      </c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</row>
    <row r="93" ht="18" customHeight="1" spans="1:106" x14ac:dyDescent="0.25">
      <c r="A93" s="46" t="s">
        <v>316</v>
      </c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</row>
    <row r="94" ht="18" customHeight="1" spans="1:106" x14ac:dyDescent="0.25">
      <c r="A94" s="46" t="s">
        <v>317</v>
      </c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>
        <v>2</v>
      </c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</row>
    <row r="95" ht="18" customHeight="1" spans="1:106" x14ac:dyDescent="0.25">
      <c r="A95" s="46" t="s">
        <v>318</v>
      </c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</row>
    <row r="96" ht="18" customHeight="1" spans="1:106" x14ac:dyDescent="0.25">
      <c r="A96" s="46" t="s">
        <v>396</v>
      </c>
      <c r="C96" s="17">
        <v>2</v>
      </c>
      <c r="D96" s="17"/>
      <c r="E96" s="17"/>
      <c r="F96" s="17"/>
      <c r="G96" s="17"/>
      <c r="H96" s="17"/>
      <c r="I96" s="17"/>
      <c r="J96" s="17">
        <v>1</v>
      </c>
      <c r="K96" s="17"/>
      <c r="L96" s="17"/>
      <c r="M96" s="17"/>
      <c r="N96" s="17"/>
      <c r="O96" s="17"/>
      <c r="P96" s="17">
        <v>2</v>
      </c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>
        <v>6</v>
      </c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</row>
    <row r="97" ht="18" customHeight="1" spans="1:106" x14ac:dyDescent="0.25">
      <c r="A97" s="46" t="s">
        <v>310</v>
      </c>
      <c r="C97" s="17"/>
      <c r="D97" s="17"/>
      <c r="E97" s="17"/>
      <c r="F97" s="17"/>
      <c r="G97" s="17"/>
      <c r="H97" s="17">
        <v>1</v>
      </c>
      <c r="I97" s="17"/>
      <c r="J97" s="17">
        <v>2</v>
      </c>
      <c r="K97" s="17"/>
      <c r="L97" s="17"/>
      <c r="M97" s="17">
        <v>1</v>
      </c>
      <c r="N97" s="17">
        <v>1</v>
      </c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</row>
    <row r="98" ht="18" customHeight="1" spans="1:106" x14ac:dyDescent="0.25">
      <c r="A98" s="50" t="s">
        <v>320</v>
      </c>
      <c r="C98" s="17">
        <v>2</v>
      </c>
      <c r="D98" s="17">
        <v>0</v>
      </c>
      <c r="E98" s="17">
        <v>0</v>
      </c>
      <c r="F98" s="17">
        <v>0</v>
      </c>
      <c r="G98" s="17">
        <v>0</v>
      </c>
      <c r="H98" s="17">
        <v>1</v>
      </c>
      <c r="I98" s="17">
        <v>0</v>
      </c>
      <c r="J98" s="17">
        <v>3</v>
      </c>
      <c r="K98" s="17">
        <v>0</v>
      </c>
      <c r="L98" s="17">
        <v>0</v>
      </c>
      <c r="M98" s="17">
        <v>1</v>
      </c>
      <c r="N98" s="17">
        <v>1</v>
      </c>
      <c r="O98" s="17">
        <v>0</v>
      </c>
      <c r="P98" s="17">
        <v>2</v>
      </c>
      <c r="Q98" s="17">
        <v>0</v>
      </c>
      <c r="R98" s="17">
        <v>0</v>
      </c>
      <c r="S98" s="17">
        <v>0</v>
      </c>
      <c r="T98" s="17">
        <v>1</v>
      </c>
      <c r="U98" s="17">
        <v>0</v>
      </c>
      <c r="V98" s="17">
        <v>0</v>
      </c>
      <c r="W98" s="17">
        <v>0</v>
      </c>
      <c r="X98" s="17">
        <v>0</v>
      </c>
      <c r="Y98" s="17">
        <v>0</v>
      </c>
      <c r="Z98" s="17">
        <v>0</v>
      </c>
      <c r="AA98" s="17">
        <v>0</v>
      </c>
      <c r="AB98" s="17">
        <v>0</v>
      </c>
      <c r="AC98" s="17">
        <v>0</v>
      </c>
      <c r="AD98" s="17">
        <v>0</v>
      </c>
      <c r="AE98" s="17">
        <v>0</v>
      </c>
      <c r="AF98" s="17">
        <v>0</v>
      </c>
      <c r="AG98" s="17">
        <v>0</v>
      </c>
      <c r="AH98" s="17">
        <v>0</v>
      </c>
      <c r="AI98" s="17">
        <v>0</v>
      </c>
      <c r="AJ98" s="17">
        <v>0</v>
      </c>
      <c r="AK98" s="17">
        <v>0</v>
      </c>
      <c r="AL98" s="17">
        <v>0</v>
      </c>
      <c r="AM98" s="17">
        <v>0</v>
      </c>
      <c r="AN98" s="17">
        <v>0</v>
      </c>
      <c r="AO98" s="17">
        <v>0</v>
      </c>
      <c r="AP98" s="17">
        <v>0</v>
      </c>
      <c r="AQ98" s="17">
        <v>0</v>
      </c>
      <c r="AR98" s="17">
        <v>0</v>
      </c>
      <c r="AS98" s="17">
        <v>0</v>
      </c>
      <c r="AT98" s="17">
        <v>0</v>
      </c>
      <c r="AU98" s="17">
        <v>0</v>
      </c>
      <c r="AV98" s="17">
        <v>0</v>
      </c>
      <c r="AW98" s="17">
        <v>0</v>
      </c>
      <c r="AX98" s="17">
        <v>0</v>
      </c>
      <c r="AY98" s="17">
        <v>0</v>
      </c>
      <c r="AZ98" s="17">
        <v>0</v>
      </c>
      <c r="BA98" s="17">
        <v>0</v>
      </c>
      <c r="BB98" s="17">
        <v>0</v>
      </c>
      <c r="BC98" s="17">
        <v>0</v>
      </c>
      <c r="BD98" s="17">
        <v>0</v>
      </c>
      <c r="BE98" s="17">
        <v>0</v>
      </c>
      <c r="BF98" s="17">
        <v>0</v>
      </c>
      <c r="BG98" s="17">
        <v>0</v>
      </c>
      <c r="BH98" s="17">
        <v>0</v>
      </c>
      <c r="BI98" s="17">
        <v>0</v>
      </c>
      <c r="BJ98" s="17">
        <v>0</v>
      </c>
      <c r="BK98" s="17">
        <v>0</v>
      </c>
      <c r="BL98" s="17">
        <v>0</v>
      </c>
      <c r="BM98" s="17">
        <v>0</v>
      </c>
      <c r="BN98" s="30">
        <f>=SUM(BN88:BN97)</f>
        <v>0</v>
      </c>
      <c r="BO98" s="30">
        <f>=SUM(BO88:BO97)</f>
        <v>0</v>
      </c>
      <c r="BP98" s="30">
        <f>=SUM(BP88:BP97)</f>
        <v>0</v>
      </c>
      <c r="BQ98" s="30">
        <f>=SUM(BQ88:BQ97)</f>
        <v>0</v>
      </c>
      <c r="BR98" s="30">
        <f>=SUM(BR88:BR97)</f>
        <v>0</v>
      </c>
      <c r="BS98" s="30">
        <f>=SUM(BS88:BS97)</f>
        <v>0</v>
      </c>
      <c r="BT98" s="30">
        <f>=SUM(BT88:BT97)</f>
        <v>0</v>
      </c>
      <c r="BU98" s="30">
        <f>=SUM(BU88:BU97)</f>
        <v>8</v>
      </c>
      <c r="BV98" s="30">
        <f>=SUM(BV88:BV97)</f>
        <v>0</v>
      </c>
      <c r="BW98" s="30">
        <f>=SUM(BW88:BW97)</f>
        <v>0</v>
      </c>
      <c r="BX98" s="30">
        <f>=SUM(BX88:BX97)</f>
        <v>0</v>
      </c>
      <c r="BY98" s="30">
        <f>=SUM(BY88:BY97)</f>
        <v>0</v>
      </c>
      <c r="BZ98" s="30">
        <f>=SUM(BZ88:BZ97)</f>
        <v>0</v>
      </c>
      <c r="CA98" s="30">
        <f>=SUM(CA88:CA97)</f>
        <v>0</v>
      </c>
      <c r="CB98" s="30">
        <f>=SUM(CB88:CB97)</f>
        <v>0</v>
      </c>
      <c r="CC98" s="30">
        <f>=SUM(CC88:CC97)</f>
        <v>0</v>
      </c>
      <c r="CD98" s="30">
        <f>=SUM(CD88:CD97)</f>
        <v>0</v>
      </c>
      <c r="CE98" s="30">
        <f>=SUM(CE88:CE97)</f>
        <v>0</v>
      </c>
      <c r="CF98" s="30">
        <f>=SUM(CF88:CF97)</f>
        <v>2</v>
      </c>
      <c r="CG98" s="30">
        <f>=SUM(CG88:CG97)</f>
        <v>0</v>
      </c>
      <c r="CH98" s="30">
        <f>=SUM(CH88:CH97)</f>
        <v>0</v>
      </c>
      <c r="CI98" s="30">
        <f>=SUM(CI88:CI97)</f>
        <v>0</v>
      </c>
      <c r="CJ98" s="30">
        <f>=SUM(CJ88:CJ97)</f>
        <v>0</v>
      </c>
      <c r="CK98" s="30">
        <f>=SUM(CK88:CK97)</f>
        <v>0</v>
      </c>
      <c r="CL98" s="30">
        <f>=SUM(CL88:CL97)</f>
        <v>0</v>
      </c>
      <c r="CM98" s="30">
        <f>=SUM(CM88:CM97)</f>
        <v>0</v>
      </c>
      <c r="CN98" s="30">
        <f>=SUM(CN88:CN97)</f>
        <v>0</v>
      </c>
      <c r="CO98" s="30">
        <f>=SUM(CO88:CO97)</f>
        <v>0</v>
      </c>
      <c r="CP98" s="30">
        <f>=SUM(CP88:CP97)</f>
        <v>0</v>
      </c>
      <c r="CQ98" s="30">
        <f>=SUM(CQ88:CQ97)</f>
        <v>0</v>
      </c>
      <c r="CR98" s="30">
        <f>=SUM(CR88:CR97)</f>
        <v>0</v>
      </c>
      <c r="CS98" s="30">
        <f>=SUM(CS88:CS97)</f>
        <v>0</v>
      </c>
      <c r="CT98" s="30">
        <f>=SUM(CT88:CT97)</f>
        <v>0</v>
      </c>
      <c r="CU98" s="30">
        <f>=SUM(CU88:CU97)</f>
        <v>0</v>
      </c>
      <c r="CV98" s="30">
        <f>=SUM(CV88:CV97)</f>
        <v>0</v>
      </c>
      <c r="CW98" s="30">
        <f>=SUM(CW88:CW97)</f>
        <v>0</v>
      </c>
      <c r="CX98" s="30">
        <f>=SUM(CX88:CX97)</f>
        <v>0</v>
      </c>
      <c r="CY98" s="30">
        <f>=SUM(CY88:CY97)</f>
        <v>0</v>
      </c>
      <c r="CZ98" s="30">
        <f>=SUM(CZ88:CZ97)</f>
        <v>0</v>
      </c>
      <c r="DA98" s="30">
        <f>=SUM(DA88:DA97)</f>
        <v>0</v>
      </c>
      <c r="DB98" s="30">
        <f>=SUM(DB88:DB97)</f>
        <v>0</v>
      </c>
    </row>
    <row r="99" ht="18" customHeight="1" spans="1:106" x14ac:dyDescent="0.25">
      <c r="A99" s="33" t="s">
        <v>321</v>
      </c>
      <c r="B99" s="88"/>
      <c r="C99" s="52">
        <v>0</v>
      </c>
      <c r="D99" s="52">
        <v>0</v>
      </c>
      <c r="E99" s="52">
        <v>0</v>
      </c>
      <c r="F99" s="52">
        <v>0</v>
      </c>
      <c r="G99" s="52">
        <v>0</v>
      </c>
      <c r="H99" s="52">
        <v>6</v>
      </c>
      <c r="I99" s="52">
        <v>0</v>
      </c>
      <c r="J99" s="52">
        <v>0</v>
      </c>
      <c r="K99" s="52">
        <v>0</v>
      </c>
      <c r="L99" s="52">
        <v>2</v>
      </c>
      <c r="M99" s="52">
        <v>0</v>
      </c>
      <c r="N99" s="52">
        <v>0</v>
      </c>
      <c r="O99" s="52">
        <v>0</v>
      </c>
      <c r="P99" s="52">
        <v>1</v>
      </c>
      <c r="Q99" s="52">
        <v>0</v>
      </c>
      <c r="R99" s="52">
        <v>0</v>
      </c>
      <c r="S99" s="52">
        <v>0</v>
      </c>
      <c r="T99" s="52">
        <v>3</v>
      </c>
      <c r="U99" s="52">
        <v>0</v>
      </c>
      <c r="V99" s="52">
        <v>4</v>
      </c>
      <c r="W99" s="52">
        <v>0</v>
      </c>
      <c r="X99" s="52">
        <v>0</v>
      </c>
      <c r="Y99" s="52">
        <v>1</v>
      </c>
      <c r="Z99" s="52">
        <v>0</v>
      </c>
      <c r="AA99" s="52">
        <v>2</v>
      </c>
      <c r="AB99" s="52">
        <v>1</v>
      </c>
      <c r="AC99" s="52">
        <v>0</v>
      </c>
      <c r="AD99" s="52">
        <v>2</v>
      </c>
      <c r="AE99" s="52">
        <v>0</v>
      </c>
      <c r="AF99" s="52">
        <v>0</v>
      </c>
      <c r="AG99" s="52">
        <v>0</v>
      </c>
      <c r="AH99" s="52">
        <v>0</v>
      </c>
      <c r="AI99" s="52">
        <v>0</v>
      </c>
      <c r="AJ99" s="52">
        <v>0</v>
      </c>
      <c r="AK99" s="52">
        <v>5</v>
      </c>
      <c r="AL99" s="52">
        <v>0</v>
      </c>
      <c r="AM99" s="52">
        <v>0</v>
      </c>
      <c r="AN99" s="52">
        <v>0</v>
      </c>
      <c r="AO99" s="52">
        <v>0</v>
      </c>
      <c r="AP99" s="52">
        <v>0</v>
      </c>
      <c r="AQ99" s="52">
        <v>0</v>
      </c>
      <c r="AR99" s="52">
        <v>1</v>
      </c>
      <c r="AS99" s="52">
        <v>0</v>
      </c>
      <c r="AT99" s="52">
        <v>0</v>
      </c>
      <c r="AU99" s="52">
        <v>0</v>
      </c>
      <c r="AV99" s="52">
        <v>0</v>
      </c>
      <c r="AW99" s="52">
        <v>0</v>
      </c>
      <c r="AX99" s="52">
        <v>0</v>
      </c>
      <c r="AY99" s="52">
        <v>1</v>
      </c>
      <c r="AZ99" s="52">
        <v>0</v>
      </c>
      <c r="BA99" s="52">
        <v>0</v>
      </c>
      <c r="BB99" s="52">
        <v>1</v>
      </c>
      <c r="BC99" s="52">
        <v>2</v>
      </c>
      <c r="BD99" s="52">
        <v>0</v>
      </c>
      <c r="BE99" s="52">
        <v>2</v>
      </c>
      <c r="BF99" s="52">
        <v>0</v>
      </c>
      <c r="BG99" s="52">
        <v>1</v>
      </c>
      <c r="BH99" s="52">
        <v>2</v>
      </c>
      <c r="BI99" s="52">
        <v>0</v>
      </c>
      <c r="BJ99" s="52">
        <v>9</v>
      </c>
      <c r="BK99" s="52">
        <v>1</v>
      </c>
      <c r="BL99" s="52">
        <v>0</v>
      </c>
      <c r="BM99" s="53">
        <f>=SUM(BM100:BM106)</f>
        <v>0</v>
      </c>
      <c r="BN99" s="53">
        <f>=SUM(BN100:BN106)-BN103</f>
        <v>2</v>
      </c>
      <c r="BO99" s="53">
        <f>=SUM(BO100:BO106)-BO103</f>
        <v>2</v>
      </c>
      <c r="BP99" s="53">
        <f>=SUM(BP100:BP106)-BP103</f>
        <v>2</v>
      </c>
      <c r="BQ99" s="53">
        <f>=SUM(BQ100:BQ106)-BQ103</f>
        <v>1</v>
      </c>
      <c r="BR99" s="53">
        <f>=SUM(BR100:BR106)-BR103</f>
        <v>0</v>
      </c>
      <c r="BS99" s="53">
        <f>=SUM(BS100:BS106)-BS103</f>
        <v>1</v>
      </c>
      <c r="BT99" s="53">
        <f>=SUM(BT100:BT106)-BT103</f>
        <v>0</v>
      </c>
      <c r="BU99" s="53">
        <f>=SUM(BU100:BU106)-BU103</f>
        <v>0</v>
      </c>
      <c r="BV99" s="53">
        <f>=SUM(BV100:BV106)-BV103</f>
        <v>0</v>
      </c>
      <c r="BW99" s="53">
        <f>=SUM(BW100:BW106)-BW103</f>
        <v>0</v>
      </c>
      <c r="BX99" s="53">
        <f>=SUM(BX100:BX106)-BX103</f>
        <v>0</v>
      </c>
      <c r="BY99" s="53">
        <f>=SUM(BY100:BY106)-BY103</f>
        <v>1</v>
      </c>
      <c r="BZ99" s="53">
        <f>=SUM(BZ100:BZ106)-BZ103</f>
        <v>0</v>
      </c>
      <c r="CA99" s="53">
        <f>=SUM(CA100:CA106)-CA103</f>
        <v>0</v>
      </c>
      <c r="CB99" s="53">
        <f>=SUM(CB100:CB106)-CB103</f>
        <v>0</v>
      </c>
      <c r="CC99" s="53">
        <f>=SUM(CC100:CC106)-CC103</f>
        <v>0</v>
      </c>
      <c r="CD99" s="53">
        <f>=SUM(CD100:CD106)-CD103</f>
        <v>0</v>
      </c>
      <c r="CE99" s="53">
        <f>=SUM(CE100:CE106)-CE103</f>
        <v>0</v>
      </c>
      <c r="CF99" s="53">
        <f>=SUM(CF100:CF106)-CF103</f>
        <v>0</v>
      </c>
      <c r="CG99" s="53">
        <f>=SUM(CG100:CG106)-CG103</f>
        <v>0</v>
      </c>
      <c r="CH99" s="53">
        <f>=SUM(CH100:CH106)-CH103</f>
        <v>0</v>
      </c>
      <c r="CI99" s="53">
        <f>=SUM(CI100:CI106)-CI103</f>
        <v>0</v>
      </c>
      <c r="CJ99" s="53">
        <f>=SUM(CJ100:CJ106)-CJ103</f>
        <v>0</v>
      </c>
      <c r="CK99" s="53">
        <f>=SUM(CK100:CK106)-CK103</f>
        <v>0</v>
      </c>
      <c r="CL99" s="53">
        <f>=SUM(CL100:CL106)-CL103</f>
        <v>0</v>
      </c>
      <c r="CM99" s="53">
        <f>=SUM(CM100:CM106)-CM103</f>
        <v>0</v>
      </c>
      <c r="CN99" s="53">
        <f>=SUM(CN100:CN106)-CN103</f>
        <v>0</v>
      </c>
      <c r="CO99" s="53">
        <f>=SUM(CO100:CO106)-CO103</f>
        <v>0</v>
      </c>
      <c r="CP99" s="53">
        <f>=SUM(CP100:CP106)-CP103</f>
        <v>0</v>
      </c>
      <c r="CQ99" s="53">
        <f>=SUM(CQ100:CQ106)-CQ103</f>
        <v>0</v>
      </c>
      <c r="CR99" s="53">
        <f>=SUM(CR100:CR106)-CR103</f>
        <v>0</v>
      </c>
      <c r="CS99" s="53">
        <f>=SUM(CS100:CS106)-CS103</f>
        <v>0</v>
      </c>
      <c r="CT99" s="53">
        <f>=SUM(CT100:CT106)-CT103</f>
        <v>0</v>
      </c>
      <c r="CU99" s="53">
        <f>=SUM(CU100:CU106)-CU103</f>
        <v>0</v>
      </c>
      <c r="CV99" s="53">
        <f>=SUM(CV100:CV106)-CV103</f>
        <v>0</v>
      </c>
      <c r="CW99" s="53">
        <f>=SUM(CW100:CW106)-CW103</f>
        <v>0</v>
      </c>
      <c r="CX99" s="53">
        <f>=SUM(CX100:CX106)-CX103</f>
        <v>0</v>
      </c>
      <c r="CY99" s="53">
        <f>=SUM(CY100:CY106)-CY103</f>
        <v>0</v>
      </c>
      <c r="CZ99" s="53">
        <f>=SUM(CZ100:CZ106)-CZ103</f>
        <v>0</v>
      </c>
      <c r="DA99" s="53">
        <f>=SUM(DA100:DA106)-DA103</f>
        <v>0</v>
      </c>
      <c r="DB99" s="53">
        <f>=SUM(DB100:DB106)-DB103</f>
        <v>0</v>
      </c>
    </row>
    <row r="100" ht="18" customHeight="1" spans="1:106" x14ac:dyDescent="0.25">
      <c r="A100" s="57" t="s">
        <v>322</v>
      </c>
      <c r="C100" s="17"/>
      <c r="D100" s="17"/>
      <c r="E100" s="17"/>
      <c r="F100" s="17"/>
      <c r="G100" s="17"/>
      <c r="H100" s="17">
        <v>4</v>
      </c>
      <c r="I100" s="17"/>
      <c r="J100" s="17"/>
      <c r="K100" s="17"/>
      <c r="L100" s="17">
        <v>1</v>
      </c>
      <c r="M100" s="17"/>
      <c r="N100" s="17"/>
      <c r="O100" s="17"/>
      <c r="P100" s="17">
        <v>1</v>
      </c>
      <c r="Q100" s="17"/>
      <c r="R100" s="17"/>
      <c r="S100" s="17"/>
      <c r="T100" s="17"/>
      <c r="U100" s="17"/>
      <c r="V100" s="17">
        <v>1</v>
      </c>
      <c r="W100" s="17"/>
      <c r="X100" s="17"/>
      <c r="Y100" s="17">
        <v>1</v>
      </c>
      <c r="Z100" s="17"/>
      <c r="AA100" s="17"/>
      <c r="AB100" s="17"/>
      <c r="AC100" s="17"/>
      <c r="AD100" s="17">
        <v>2</v>
      </c>
      <c r="AE100" s="17"/>
      <c r="AF100" s="17"/>
      <c r="AG100" s="17"/>
      <c r="AH100" s="17"/>
      <c r="AI100" s="17"/>
      <c r="AJ100" s="17"/>
      <c r="AK100" s="17">
        <v>1</v>
      </c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>
        <v>1</v>
      </c>
      <c r="AZ100" s="17"/>
      <c r="BA100" s="17"/>
      <c r="BB100" s="17"/>
      <c r="BC100" s="17"/>
      <c r="BD100" s="17"/>
      <c r="BE100" s="17">
        <v>1</v>
      </c>
      <c r="BF100" s="17"/>
      <c r="BG100" s="17"/>
      <c r="BH100" s="17"/>
      <c r="BI100" s="17"/>
      <c r="BJ100" s="17"/>
      <c r="BK100" s="17">
        <v>1</v>
      </c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</row>
    <row r="101" ht="18" customHeight="1" spans="1:106" x14ac:dyDescent="0.25">
      <c r="A101" s="57" t="s">
        <v>323</v>
      </c>
      <c r="C101" s="17"/>
      <c r="D101" s="17"/>
      <c r="E101" s="17"/>
      <c r="F101" s="17"/>
      <c r="G101" s="17"/>
      <c r="H101" s="17">
        <v>2</v>
      </c>
      <c r="I101" s="17"/>
      <c r="J101" s="17"/>
      <c r="K101" s="17"/>
      <c r="L101" s="17">
        <v>1</v>
      </c>
      <c r="M101" s="17"/>
      <c r="N101" s="17"/>
      <c r="O101" s="17"/>
      <c r="P101" s="17"/>
      <c r="Q101" s="17"/>
      <c r="R101" s="17"/>
      <c r="S101" s="17"/>
      <c r="T101" s="17">
        <v>3</v>
      </c>
      <c r="U101" s="17"/>
      <c r="V101" s="17">
        <v>3</v>
      </c>
      <c r="W101" s="17"/>
      <c r="X101" s="17"/>
      <c r="Y101" s="17"/>
      <c r="Z101" s="17"/>
      <c r="AA101" s="17">
        <v>2</v>
      </c>
      <c r="AB101" s="17">
        <v>1</v>
      </c>
      <c r="AC101" s="17"/>
      <c r="AD101" s="17"/>
      <c r="AE101" s="17"/>
      <c r="AF101" s="17"/>
      <c r="AG101" s="17"/>
      <c r="AH101" s="17"/>
      <c r="AI101" s="17"/>
      <c r="AJ101" s="17"/>
      <c r="AK101" s="17">
        <v>4</v>
      </c>
      <c r="AL101" s="17"/>
      <c r="AM101" s="17"/>
      <c r="AN101" s="17"/>
      <c r="AO101" s="17"/>
      <c r="AP101" s="17"/>
      <c r="AQ101" s="17"/>
      <c r="AR101" s="17">
        <v>1</v>
      </c>
      <c r="AS101" s="17"/>
      <c r="AT101" s="17"/>
      <c r="AU101" s="17"/>
      <c r="AV101" s="17"/>
      <c r="AW101" s="17"/>
      <c r="AX101" s="17"/>
      <c r="AY101" s="17"/>
      <c r="AZ101" s="17"/>
      <c r="BA101" s="17"/>
      <c r="BB101" s="17">
        <v>1</v>
      </c>
      <c r="BC101" s="17">
        <v>2</v>
      </c>
      <c r="BD101" s="17"/>
      <c r="BE101" s="17">
        <v>1</v>
      </c>
      <c r="BF101" s="17"/>
      <c r="BG101" s="17">
        <v>1</v>
      </c>
      <c r="BH101" s="17">
        <v>2</v>
      </c>
      <c r="BI101" s="17"/>
      <c r="BJ101" s="17">
        <v>3</v>
      </c>
      <c r="BK101" s="17"/>
      <c r="BL101" s="17"/>
      <c r="BM101" s="17"/>
      <c r="BN101" s="55">
        <v>2</v>
      </c>
      <c r="BO101" s="55">
        <v>2</v>
      </c>
      <c r="BP101" s="55">
        <v>2</v>
      </c>
      <c r="BQ101" s="55">
        <v>1</v>
      </c>
      <c r="BR101" s="55"/>
      <c r="BS101" s="55">
        <v>1</v>
      </c>
      <c r="BT101" s="17"/>
      <c r="BU101" s="17"/>
      <c r="BV101" s="17"/>
      <c r="BW101" s="17"/>
      <c r="BX101" s="17"/>
      <c r="BY101" s="17">
        <f>=BX85</f>
        <v>1</v>
      </c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</row>
    <row r="102" ht="18" customHeight="1" spans="1:106" x14ac:dyDescent="0.25">
      <c r="A102" s="57" t="s">
        <v>324</v>
      </c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</row>
    <row r="103" ht="18" customHeight="1" spans="1:106" x14ac:dyDescent="0.25">
      <c r="A103" s="57" t="s">
        <v>325</v>
      </c>
      <c r="C103" s="17">
        <v>0</v>
      </c>
      <c r="D103" s="17">
        <v>0</v>
      </c>
      <c r="E103" s="17">
        <v>0</v>
      </c>
      <c r="F103" s="17">
        <v>14</v>
      </c>
      <c r="G103" s="17">
        <v>3</v>
      </c>
      <c r="H103" s="17">
        <v>14</v>
      </c>
      <c r="I103" s="17">
        <v>13</v>
      </c>
      <c r="J103" s="17">
        <v>0</v>
      </c>
      <c r="K103" s="17">
        <v>0</v>
      </c>
      <c r="L103" s="17">
        <v>0</v>
      </c>
      <c r="M103" s="17">
        <v>10</v>
      </c>
      <c r="N103" s="17">
        <v>0</v>
      </c>
      <c r="O103" s="17">
        <v>10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7">
        <v>0</v>
      </c>
      <c r="AH103" s="17">
        <v>3</v>
      </c>
      <c r="AI103" s="17">
        <v>0</v>
      </c>
      <c r="AJ103" s="17">
        <v>0</v>
      </c>
      <c r="AK103" s="17">
        <v>0</v>
      </c>
      <c r="AL103" s="17">
        <v>0</v>
      </c>
      <c r="AM103" s="17">
        <v>14</v>
      </c>
      <c r="AN103" s="17">
        <v>0</v>
      </c>
      <c r="AO103" s="17">
        <v>0</v>
      </c>
      <c r="AP103" s="17">
        <v>0</v>
      </c>
      <c r="AQ103" s="17">
        <v>10</v>
      </c>
      <c r="AR103" s="17">
        <v>0</v>
      </c>
      <c r="AS103" s="17">
        <v>0</v>
      </c>
      <c r="AT103" s="17">
        <v>0</v>
      </c>
      <c r="AU103" s="17">
        <v>0</v>
      </c>
      <c r="AV103" s="17">
        <v>15</v>
      </c>
      <c r="AW103" s="17">
        <v>15</v>
      </c>
      <c r="AX103" s="17">
        <v>0</v>
      </c>
      <c r="AY103" s="17">
        <v>12</v>
      </c>
      <c r="AZ103" s="17">
        <v>0</v>
      </c>
      <c r="BA103" s="17">
        <v>0</v>
      </c>
      <c r="BB103" s="17">
        <v>6</v>
      </c>
      <c r="BC103" s="17">
        <v>0</v>
      </c>
      <c r="BD103" s="17">
        <v>10</v>
      </c>
      <c r="BE103" s="17">
        <v>0</v>
      </c>
      <c r="BF103" s="17">
        <v>0</v>
      </c>
      <c r="BG103" s="17">
        <v>0</v>
      </c>
      <c r="BH103" s="17">
        <v>0</v>
      </c>
      <c r="BI103" s="17">
        <v>0</v>
      </c>
      <c r="BJ103" s="17">
        <v>6</v>
      </c>
      <c r="BK103" s="17">
        <v>0</v>
      </c>
      <c r="BL103" s="17">
        <v>0</v>
      </c>
      <c r="BM103" s="17">
        <v>0</v>
      </c>
      <c r="BN103" s="17">
        <v>0</v>
      </c>
      <c r="BO103" s="17">
        <v>0</v>
      </c>
      <c r="BP103" s="17">
        <v>0</v>
      </c>
      <c r="BQ103" s="17">
        <v>0</v>
      </c>
      <c r="BR103" s="17">
        <v>0</v>
      </c>
      <c r="BS103" s="17">
        <v>0</v>
      </c>
      <c r="BT103" s="17">
        <v>0</v>
      </c>
      <c r="BU103" s="17">
        <v>0</v>
      </c>
      <c r="BV103" s="17">
        <v>0</v>
      </c>
      <c r="BW103" s="17">
        <v>0</v>
      </c>
      <c r="BX103" s="17">
        <v>0</v>
      </c>
      <c r="BY103" s="17">
        <v>0</v>
      </c>
      <c r="BZ103" s="17">
        <v>0</v>
      </c>
      <c r="CA103" s="17">
        <v>0</v>
      </c>
      <c r="CB103" s="17">
        <v>0</v>
      </c>
      <c r="CC103" s="17">
        <v>0</v>
      </c>
      <c r="CD103" s="17">
        <v>0</v>
      </c>
      <c r="CE103" s="17">
        <v>0</v>
      </c>
      <c r="CF103" s="17">
        <v>0</v>
      </c>
      <c r="CG103" s="17">
        <v>0</v>
      </c>
      <c r="CH103" s="17">
        <v>0</v>
      </c>
      <c r="CI103" s="17">
        <v>0</v>
      </c>
      <c r="CJ103" s="17">
        <v>0</v>
      </c>
      <c r="CK103" s="17">
        <v>0</v>
      </c>
      <c r="CL103" s="17">
        <v>0</v>
      </c>
      <c r="CM103" s="17">
        <v>0</v>
      </c>
      <c r="CN103" s="17">
        <v>0</v>
      </c>
      <c r="CO103" s="17">
        <v>0</v>
      </c>
      <c r="CP103" s="17">
        <v>0</v>
      </c>
      <c r="CQ103" s="17">
        <v>0</v>
      </c>
      <c r="CR103" s="17">
        <v>0</v>
      </c>
      <c r="CS103" s="17">
        <v>0</v>
      </c>
      <c r="CT103" s="17">
        <v>0</v>
      </c>
      <c r="CU103" s="17">
        <v>0</v>
      </c>
      <c r="CV103" s="17">
        <v>0</v>
      </c>
      <c r="CW103" s="17">
        <v>0</v>
      </c>
      <c r="CX103" s="17">
        <v>0</v>
      </c>
      <c r="CY103" s="17">
        <v>0</v>
      </c>
      <c r="CZ103" s="17">
        <v>0</v>
      </c>
      <c r="DA103" s="17">
        <v>0</v>
      </c>
      <c r="DB103" s="17">
        <v>0</v>
      </c>
    </row>
    <row r="104" ht="18" customHeight="1" spans="1:106" x14ac:dyDescent="0.25">
      <c r="A104" s="57" t="s">
        <v>326</v>
      </c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30"/>
      <c r="CE104" s="30"/>
      <c r="CF104" s="30"/>
      <c r="CG104" s="30"/>
      <c r="CH104" s="30"/>
      <c r="CI104" s="30"/>
      <c r="CJ104" s="30"/>
      <c r="CK104" s="30"/>
      <c r="CL104" s="30"/>
      <c r="CM104" s="30"/>
      <c r="CN104" s="30"/>
      <c r="CO104" s="30"/>
      <c r="CP104" s="30"/>
      <c r="CQ104" s="30"/>
      <c r="CR104" s="30"/>
      <c r="CS104" s="30"/>
      <c r="CT104" s="30"/>
      <c r="CU104" s="30"/>
      <c r="CV104" s="30"/>
      <c r="CW104" s="30"/>
      <c r="CX104" s="30"/>
      <c r="CY104" s="30"/>
      <c r="CZ104" s="30"/>
      <c r="DA104" s="30"/>
      <c r="DB104" s="30"/>
    </row>
    <row r="105" ht="18" customHeight="1" spans="1:106" x14ac:dyDescent="0.25">
      <c r="A105" s="57" t="s">
        <v>266</v>
      </c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  <c r="AV105" s="30"/>
      <c r="AW105" s="30"/>
      <c r="AX105" s="30"/>
      <c r="AY105" s="30"/>
      <c r="AZ105" s="30"/>
      <c r="BA105" s="30"/>
      <c r="BB105" s="30"/>
      <c r="BC105" s="30"/>
      <c r="BD105" s="30"/>
      <c r="BE105" s="30"/>
      <c r="BF105" s="30"/>
      <c r="BG105" s="30"/>
      <c r="BH105" s="30"/>
      <c r="BI105" s="30"/>
      <c r="BJ105" s="30"/>
      <c r="BK105" s="30"/>
      <c r="BL105" s="30"/>
      <c r="BM105" s="30"/>
      <c r="BN105" s="30"/>
      <c r="BO105" s="30"/>
      <c r="BP105" s="30"/>
      <c r="BQ105" s="30"/>
      <c r="BR105" s="30"/>
      <c r="BS105" s="30"/>
      <c r="BT105" s="30"/>
      <c r="BU105" s="30"/>
      <c r="BV105" s="30"/>
      <c r="BW105" s="30"/>
      <c r="BX105" s="30"/>
      <c r="BY105" s="30"/>
      <c r="BZ105" s="30"/>
      <c r="CA105" s="30"/>
      <c r="CB105" s="30"/>
      <c r="CC105" s="30"/>
      <c r="CD105" s="30"/>
      <c r="CE105" s="30"/>
      <c r="CF105" s="30"/>
      <c r="CG105" s="30"/>
      <c r="CH105" s="30"/>
      <c r="CI105" s="30"/>
      <c r="CJ105" s="30"/>
      <c r="CK105" s="30"/>
      <c r="CL105" s="30"/>
      <c r="CM105" s="30"/>
      <c r="CN105" s="30"/>
      <c r="CO105" s="30"/>
      <c r="CP105" s="30"/>
      <c r="CQ105" s="30"/>
      <c r="CR105" s="30"/>
      <c r="CS105" s="30"/>
      <c r="CT105" s="30"/>
      <c r="CU105" s="30"/>
      <c r="CV105" s="30"/>
      <c r="CW105" s="30"/>
      <c r="CX105" s="30"/>
      <c r="CY105" s="30"/>
      <c r="CZ105" s="30"/>
      <c r="DA105" s="30"/>
      <c r="DB105" s="30"/>
    </row>
    <row r="106" ht="18" customHeight="1" spans="1:106" x14ac:dyDescent="0.25">
      <c r="A106" s="57" t="s">
        <v>266</v>
      </c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0"/>
      <c r="AY106" s="30"/>
      <c r="AZ106" s="30"/>
      <c r="BA106" s="30"/>
      <c r="BB106" s="30"/>
      <c r="BC106" s="30"/>
      <c r="BD106" s="30"/>
      <c r="BE106" s="30"/>
      <c r="BF106" s="30"/>
      <c r="BG106" s="30"/>
      <c r="BH106" s="30"/>
      <c r="BI106" s="30"/>
      <c r="BJ106" s="30"/>
      <c r="BK106" s="30"/>
      <c r="BL106" s="30"/>
      <c r="BM106" s="30"/>
      <c r="BN106" s="30"/>
      <c r="BO106" s="30"/>
      <c r="BP106" s="30"/>
      <c r="BQ106" s="30"/>
      <c r="BR106" s="30"/>
      <c r="BS106" s="30"/>
      <c r="BT106" s="30"/>
      <c r="BU106" s="30"/>
      <c r="BV106" s="30"/>
      <c r="BW106" s="30"/>
      <c r="BX106" s="30"/>
      <c r="BY106" s="30"/>
      <c r="BZ106" s="30"/>
      <c r="CA106" s="30"/>
      <c r="CB106" s="30"/>
      <c r="CC106" s="30"/>
      <c r="CD106" s="30"/>
      <c r="CE106" s="30"/>
      <c r="CF106" s="30"/>
      <c r="CG106" s="30"/>
      <c r="CH106" s="30"/>
      <c r="CI106" s="30"/>
      <c r="CJ106" s="30"/>
      <c r="CK106" s="30"/>
      <c r="CL106" s="30"/>
      <c r="CM106" s="30"/>
      <c r="CN106" s="30"/>
      <c r="CO106" s="30"/>
      <c r="CP106" s="30"/>
      <c r="CQ106" s="30"/>
      <c r="CR106" s="30"/>
      <c r="CS106" s="30"/>
      <c r="CT106" s="30"/>
      <c r="CU106" s="30"/>
      <c r="CV106" s="30"/>
      <c r="CW106" s="30"/>
      <c r="CX106" s="30"/>
      <c r="CY106" s="30"/>
      <c r="CZ106" s="30"/>
      <c r="DA106" s="30"/>
      <c r="DB106" s="30"/>
    </row>
    <row r="107" ht="18" customHeight="1" spans="3:106" x14ac:dyDescent="0.25"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  <c r="AX107" s="30"/>
      <c r="AY107" s="30"/>
      <c r="AZ107" s="30"/>
      <c r="BA107" s="30"/>
      <c r="BB107" s="30"/>
      <c r="BC107" s="30"/>
      <c r="BD107" s="30"/>
      <c r="BE107" s="30"/>
      <c r="BF107" s="30"/>
      <c r="BG107" s="30"/>
      <c r="BH107" s="30"/>
      <c r="BI107" s="30"/>
      <c r="BJ107" s="30"/>
      <c r="BK107" s="30"/>
      <c r="BL107" s="30"/>
      <c r="BM107" s="30"/>
      <c r="BN107" s="30"/>
      <c r="BO107" s="30"/>
      <c r="BP107" s="30"/>
      <c r="BQ107" s="30"/>
      <c r="BR107" s="30"/>
      <c r="BS107" s="30"/>
      <c r="BT107" s="30"/>
      <c r="BU107" s="30"/>
      <c r="BV107" s="30"/>
      <c r="BW107" s="30"/>
      <c r="BX107" s="30"/>
      <c r="BY107" s="30"/>
      <c r="BZ107" s="30"/>
      <c r="CA107" s="30"/>
      <c r="CB107" s="30"/>
      <c r="CC107" s="30"/>
      <c r="CD107" s="30"/>
      <c r="CE107" s="30"/>
      <c r="CF107" s="30"/>
      <c r="CG107" s="30"/>
      <c r="CH107" s="30"/>
      <c r="CI107" s="30"/>
      <c r="CJ107" s="30"/>
      <c r="CK107" s="30"/>
      <c r="CL107" s="30"/>
      <c r="CM107" s="30"/>
      <c r="CN107" s="30"/>
      <c r="CO107" s="30"/>
      <c r="CP107" s="30"/>
      <c r="CQ107" s="30"/>
      <c r="CR107" s="30"/>
      <c r="CS107" s="30"/>
      <c r="CT107" s="30"/>
      <c r="CU107" s="30"/>
      <c r="CV107" s="30"/>
      <c r="CW107" s="30"/>
      <c r="CX107" s="30"/>
      <c r="CY107" s="30"/>
      <c r="CZ107" s="30"/>
      <c r="DA107" s="30"/>
      <c r="DB107" s="30"/>
    </row>
    <row r="108" ht="18" customHeight="1" spans="1:106" x14ac:dyDescent="0.25">
      <c r="A108" s="9" t="s">
        <v>327</v>
      </c>
      <c r="B108" s="17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2"/>
      <c r="BF108" s="32"/>
      <c r="BG108" s="32"/>
      <c r="BH108" s="32"/>
      <c r="BI108" s="32"/>
      <c r="BJ108" s="32"/>
      <c r="BK108" s="32"/>
      <c r="BL108" s="32"/>
      <c r="BM108" s="32"/>
      <c r="BN108" s="32"/>
      <c r="BO108" s="32"/>
      <c r="BP108" s="32"/>
      <c r="BQ108" s="32"/>
      <c r="BR108" s="32"/>
      <c r="BS108" s="32"/>
      <c r="BT108" s="32"/>
      <c r="BU108" s="32"/>
      <c r="BV108" s="32"/>
      <c r="BW108" s="32"/>
      <c r="BX108" s="32"/>
      <c r="BY108" s="32"/>
      <c r="BZ108" s="32"/>
      <c r="CA108" s="32"/>
      <c r="CB108" s="32"/>
      <c r="CC108" s="32"/>
      <c r="CD108" s="32"/>
      <c r="CE108" s="32"/>
      <c r="CF108" s="32"/>
      <c r="CG108" s="32"/>
      <c r="CH108" s="32"/>
      <c r="CI108" s="32"/>
      <c r="CJ108" s="32"/>
      <c r="CK108" s="32"/>
      <c r="CL108" s="32"/>
      <c r="CM108" s="32"/>
      <c r="CN108" s="32"/>
      <c r="CO108" s="32"/>
      <c r="CP108" s="32"/>
      <c r="CQ108" s="32"/>
      <c r="CR108" s="32"/>
      <c r="CS108" s="32"/>
      <c r="CT108" s="32"/>
      <c r="CU108" s="32"/>
      <c r="CV108" s="32"/>
      <c r="CW108" s="32"/>
      <c r="CX108" s="32"/>
      <c r="CY108" s="32"/>
      <c r="CZ108" s="32"/>
      <c r="DA108" s="32"/>
      <c r="DB108" s="32"/>
    </row>
    <row r="109" ht="18" customHeight="1" spans="1:106" x14ac:dyDescent="0.25">
      <c r="A109" s="61" t="s">
        <v>328</v>
      </c>
      <c r="B109" s="13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</row>
    <row r="110" ht="18" customHeight="1" spans="1:106" x14ac:dyDescent="0.25">
      <c r="A110" s="62" t="s">
        <v>329</v>
      </c>
      <c r="B110" s="24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  <c r="AD110" s="63"/>
      <c r="AE110" s="63"/>
      <c r="AF110" s="63"/>
      <c r="AG110" s="63"/>
      <c r="AH110" s="63"/>
      <c r="AI110" s="63"/>
      <c r="AJ110" s="63"/>
      <c r="AK110" s="63"/>
      <c r="AL110" s="63"/>
      <c r="AM110" s="63"/>
      <c r="AN110" s="63"/>
      <c r="AO110" s="63"/>
      <c r="AP110" s="63"/>
      <c r="AQ110" s="63"/>
      <c r="AR110" s="63"/>
      <c r="AS110" s="63"/>
      <c r="AT110" s="63"/>
      <c r="AU110" s="63"/>
      <c r="AV110" s="63"/>
      <c r="AW110" s="63"/>
      <c r="AX110" s="63"/>
      <c r="AY110" s="63"/>
      <c r="AZ110" s="63"/>
      <c r="BA110" s="63"/>
      <c r="BB110" s="63"/>
      <c r="BC110" s="63"/>
      <c r="BD110" s="63"/>
      <c r="BE110" s="63"/>
      <c r="BF110" s="63"/>
      <c r="BG110" s="63"/>
      <c r="BH110" s="63"/>
      <c r="BI110" s="63"/>
      <c r="BJ110" s="63"/>
      <c r="BK110" s="63"/>
      <c r="BL110" s="63"/>
      <c r="BM110" s="63"/>
      <c r="BN110" s="63"/>
      <c r="BO110" s="63"/>
      <c r="BP110" s="63"/>
      <c r="BQ110" s="63"/>
      <c r="BR110" s="63"/>
      <c r="BS110" s="63"/>
      <c r="BT110" s="63"/>
      <c r="BU110" s="63"/>
      <c r="BV110" s="63"/>
      <c r="BW110" s="63"/>
      <c r="BX110" s="63"/>
      <c r="BY110" s="63"/>
      <c r="BZ110" s="63"/>
      <c r="CA110" s="63"/>
      <c r="CB110" s="63"/>
      <c r="CC110" s="63"/>
      <c r="CD110" s="63"/>
      <c r="CE110" s="63"/>
      <c r="CF110" s="63"/>
      <c r="CG110" s="63"/>
      <c r="CH110" s="63"/>
      <c r="CI110" s="63"/>
      <c r="CJ110" s="63"/>
      <c r="CK110" s="63"/>
      <c r="CL110" s="63"/>
      <c r="CM110" s="63"/>
      <c r="CN110" s="63"/>
      <c r="CO110" s="63"/>
      <c r="CP110" s="63"/>
      <c r="CQ110" s="63"/>
      <c r="CR110" s="63"/>
      <c r="CS110" s="63"/>
      <c r="CT110" s="63"/>
      <c r="CU110" s="63"/>
      <c r="CV110" s="63"/>
      <c r="CW110" s="63"/>
      <c r="CX110" s="63"/>
      <c r="CY110" s="63"/>
      <c r="CZ110" s="63"/>
      <c r="DA110" s="63"/>
      <c r="DB110" s="63"/>
    </row>
    <row r="111" ht="18" customHeight="1" spans="1:106" x14ac:dyDescent="0.25">
      <c r="A111" s="16" t="s">
        <v>330</v>
      </c>
      <c r="B111" s="17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/>
      <c r="AI111" s="50"/>
      <c r="AJ111" s="50"/>
      <c r="AK111" s="50"/>
      <c r="AL111" s="50"/>
      <c r="AM111" s="50"/>
      <c r="AN111" s="50"/>
      <c r="AO111" s="50"/>
      <c r="AP111" s="50"/>
      <c r="AQ111" s="50"/>
      <c r="AR111" s="50"/>
      <c r="AS111" s="50"/>
      <c r="AT111" s="50"/>
      <c r="AU111" s="50"/>
      <c r="AV111" s="50"/>
      <c r="AW111" s="50"/>
      <c r="AX111" s="50"/>
      <c r="AY111" s="50"/>
      <c r="AZ111" s="50"/>
      <c r="BA111" s="50"/>
      <c r="BB111" s="50"/>
      <c r="BC111" s="50"/>
      <c r="BD111" s="50"/>
      <c r="BE111" s="50"/>
      <c r="BF111" s="50"/>
      <c r="BG111" s="50"/>
      <c r="BH111" s="50"/>
      <c r="BI111" s="50"/>
      <c r="BJ111" s="50"/>
      <c r="BK111" s="50"/>
      <c r="BL111" s="50"/>
      <c r="BM111" s="50"/>
      <c r="BN111" s="50"/>
      <c r="BO111" s="50"/>
      <c r="BP111" s="50"/>
      <c r="BQ111" s="50"/>
      <c r="BR111" s="50"/>
      <c r="BS111" s="50"/>
      <c r="BT111" s="50"/>
      <c r="BU111" s="50"/>
      <c r="BV111" s="50"/>
      <c r="BW111" s="50"/>
      <c r="BX111" s="50"/>
      <c r="BY111" s="50"/>
      <c r="BZ111" s="50"/>
      <c r="CA111" s="50"/>
      <c r="CB111" s="50"/>
      <c r="CC111" s="50"/>
      <c r="CD111" s="50"/>
      <c r="CE111" s="50"/>
      <c r="CF111" s="50"/>
      <c r="CG111" s="50"/>
      <c r="CH111" s="50"/>
      <c r="CI111" s="50"/>
      <c r="CJ111" s="50"/>
      <c r="CK111" s="50"/>
      <c r="CL111" s="50"/>
      <c r="CM111" s="50"/>
      <c r="CN111" s="50"/>
      <c r="CO111" s="50"/>
      <c r="CP111" s="50"/>
      <c r="CQ111" s="50"/>
      <c r="CR111" s="50"/>
      <c r="CS111" s="50"/>
      <c r="CT111" s="50"/>
      <c r="CU111" s="50"/>
      <c r="CV111" s="50"/>
      <c r="CW111" s="50"/>
      <c r="CX111" s="50"/>
      <c r="CY111" s="50"/>
      <c r="CZ111" s="50"/>
      <c r="DA111" s="50"/>
      <c r="DB111" s="50"/>
    </row>
    <row r="112" ht="18" customHeight="1" spans="1:106" x14ac:dyDescent="0.25">
      <c r="A112" s="16" t="s">
        <v>331</v>
      </c>
      <c r="B112" s="17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  <c r="AK112" s="50"/>
      <c r="AL112" s="50"/>
      <c r="AM112" s="50"/>
      <c r="AN112" s="50"/>
      <c r="AO112" s="50"/>
      <c r="AP112" s="50"/>
      <c r="AQ112" s="50"/>
      <c r="AR112" s="50"/>
      <c r="AS112" s="50"/>
      <c r="AT112" s="50"/>
      <c r="AU112" s="50"/>
      <c r="AV112" s="50"/>
      <c r="AW112" s="50"/>
      <c r="AX112" s="50"/>
      <c r="AY112" s="50"/>
      <c r="AZ112" s="50"/>
      <c r="BA112" s="50"/>
      <c r="BB112" s="50"/>
      <c r="BC112" s="50"/>
      <c r="BD112" s="50"/>
      <c r="BE112" s="50"/>
      <c r="BF112" s="50"/>
      <c r="BG112" s="50"/>
      <c r="BH112" s="50"/>
      <c r="BI112" s="50"/>
      <c r="BJ112" s="50"/>
      <c r="BK112" s="50"/>
      <c r="BL112" s="50"/>
      <c r="BM112" s="50"/>
      <c r="BN112" s="50"/>
      <c r="BO112" s="50"/>
      <c r="BP112" s="50"/>
      <c r="BQ112" s="50"/>
      <c r="BR112" s="50"/>
      <c r="BS112" s="50"/>
      <c r="BT112" s="50"/>
      <c r="BU112" s="50"/>
      <c r="BV112" s="50"/>
      <c r="BW112" s="50"/>
      <c r="BX112" s="50"/>
      <c r="BY112" s="50"/>
      <c r="BZ112" s="50"/>
      <c r="CA112" s="50"/>
      <c r="CB112" s="50"/>
      <c r="CC112" s="50"/>
      <c r="CD112" s="50"/>
      <c r="CE112" s="50"/>
      <c r="CF112" s="50"/>
      <c r="CG112" s="50"/>
      <c r="CH112" s="50"/>
      <c r="CI112" s="50"/>
      <c r="CJ112" s="50"/>
      <c r="CK112" s="50"/>
      <c r="CL112" s="50"/>
      <c r="CM112" s="50"/>
      <c r="CN112" s="50"/>
      <c r="CO112" s="50"/>
      <c r="CP112" s="50"/>
      <c r="CQ112" s="50"/>
      <c r="CR112" s="50"/>
      <c r="CS112" s="50"/>
      <c r="CT112" s="50"/>
      <c r="CU112" s="50"/>
      <c r="CV112" s="50"/>
      <c r="CW112" s="50"/>
      <c r="CX112" s="50"/>
      <c r="CY112" s="50"/>
      <c r="CZ112" s="50"/>
      <c r="DA112" s="50"/>
      <c r="DB112" s="50"/>
    </row>
    <row r="113" ht="18" customHeight="1" spans="1:106" x14ac:dyDescent="0.25">
      <c r="A113" s="20" t="s">
        <v>332</v>
      </c>
      <c r="B113" s="13"/>
      <c r="C113" s="64">
        <f>=IFERROR(C112/C111,0)</f>
        <v>0</v>
      </c>
      <c r="D113" s="64">
        <f>=IFERROR(D112/D111,0)</f>
        <v>0</v>
      </c>
      <c r="E113" s="64">
        <f>=IFERROR(E112/E111,0)</f>
        <v>0</v>
      </c>
      <c r="F113" s="64">
        <f>=IFERROR(F112/F111,0)</f>
        <v>0</v>
      </c>
      <c r="G113" s="64">
        <f>=IFERROR(G112/G111,0)</f>
        <v>0</v>
      </c>
      <c r="H113" s="64">
        <f>=IFERROR(H112/H111,0)</f>
        <v>0</v>
      </c>
      <c r="I113" s="64">
        <f>=IFERROR(I112/I111,0)</f>
        <v>0</v>
      </c>
      <c r="J113" s="64">
        <f>=IFERROR(J112/J111,0)</f>
        <v>0</v>
      </c>
      <c r="K113" s="64">
        <f>=IFERROR(K112/K111,0)</f>
        <v>0</v>
      </c>
      <c r="L113" s="64">
        <f>=IFERROR(L112/L111,0)</f>
        <v>0</v>
      </c>
      <c r="M113" s="64">
        <f>=IFERROR(M112/M111,0)</f>
        <v>0</v>
      </c>
      <c r="N113" s="64">
        <f>=IFERROR(N112/N111,0)</f>
        <v>0</v>
      </c>
      <c r="O113" s="64">
        <f>=IFERROR(O112/O111,0)</f>
        <v>0</v>
      </c>
      <c r="P113" s="64">
        <f>=IFERROR(P112/P111,0)</f>
        <v>0</v>
      </c>
      <c r="Q113" s="64">
        <f>=IFERROR(Q112/Q111,0)</f>
        <v>0</v>
      </c>
      <c r="R113" s="64">
        <f>=IFERROR(R112/R111,0)</f>
        <v>0</v>
      </c>
      <c r="S113" s="64">
        <f>=IFERROR(S112/S111,0)</f>
        <v>0</v>
      </c>
      <c r="T113" s="64">
        <f>=IFERROR(T112/T111,0)</f>
        <v>0</v>
      </c>
      <c r="U113" s="64">
        <f>=IFERROR(U112/U111,0)</f>
        <v>0</v>
      </c>
      <c r="V113" s="64">
        <f>=IFERROR(V112/V111,0)</f>
        <v>0</v>
      </c>
      <c r="W113" s="64">
        <f>=IFERROR(W112/W111,0)</f>
        <v>0</v>
      </c>
      <c r="X113" s="64">
        <f>=IFERROR(X112/X111,0)</f>
        <v>0</v>
      </c>
      <c r="Y113" s="64">
        <f>=IFERROR(Y112/Y111,0)</f>
        <v>0</v>
      </c>
      <c r="Z113" s="64">
        <f>=IFERROR(Z112/Z111,0)</f>
        <v>0</v>
      </c>
      <c r="AA113" s="64">
        <f>=IFERROR(AA112/AA111,0)</f>
        <v>0</v>
      </c>
      <c r="AB113" s="64">
        <f>=IFERROR(AB112/AB111,0)</f>
        <v>0</v>
      </c>
      <c r="AC113" s="64">
        <f>=IFERROR(AC112/AC111,0)</f>
        <v>0</v>
      </c>
      <c r="AD113" s="64">
        <f>=IFERROR(AD112/AD111,0)</f>
        <v>0</v>
      </c>
      <c r="AE113" s="64">
        <f>=IFERROR(AE112/AE111,0)</f>
        <v>0</v>
      </c>
      <c r="AF113" s="64">
        <f>=IFERROR(AF112/AF111,0)</f>
        <v>0</v>
      </c>
      <c r="AG113" s="64">
        <f>=IFERROR(AG112/AG111,0)</f>
        <v>0</v>
      </c>
      <c r="AH113" s="64">
        <f>=IFERROR(AH112/AH111,0)</f>
        <v>0</v>
      </c>
      <c r="AI113" s="64">
        <f>=IFERROR(AI112/AI111,0)</f>
        <v>0</v>
      </c>
      <c r="AJ113" s="64">
        <f>=IFERROR(AJ112/AJ111,0)</f>
        <v>0</v>
      </c>
      <c r="AK113" s="64">
        <f>=IFERROR(AK112/AK111,0)</f>
        <v>0</v>
      </c>
      <c r="AL113" s="64">
        <f>=IFERROR(AL112/AL111,0)</f>
        <v>0</v>
      </c>
      <c r="AM113" s="64">
        <f>=IFERROR(AM112/AM111,0)</f>
        <v>0</v>
      </c>
      <c r="AN113" s="64">
        <f>=IFERROR(AN112/AN111,0)</f>
        <v>0</v>
      </c>
      <c r="AO113" s="64">
        <f>=IFERROR(AO112/AO111,0)</f>
        <v>0</v>
      </c>
      <c r="AP113" s="64">
        <f>=IFERROR(AP112/AP111,0)</f>
        <v>0</v>
      </c>
      <c r="AQ113" s="64">
        <f>=IFERROR(AQ112/AQ111,0)</f>
        <v>0</v>
      </c>
      <c r="AR113" s="64">
        <f>=IFERROR(AR112/AR111,0)</f>
        <v>0</v>
      </c>
      <c r="AS113" s="64">
        <f>=IFERROR(AS112/AS111,0)</f>
        <v>0</v>
      </c>
      <c r="AT113" s="64">
        <f>=IFERROR(AT112/AT111,0)</f>
        <v>0</v>
      </c>
      <c r="AU113" s="64">
        <f>=IFERROR(AU112/AU111,0)</f>
        <v>0</v>
      </c>
      <c r="AV113" s="64">
        <f>=IFERROR(AV112/AV111,0)</f>
        <v>0</v>
      </c>
      <c r="AW113" s="64">
        <f>=IFERROR(AW112/AW111,0)</f>
        <v>0</v>
      </c>
      <c r="AX113" s="64">
        <f>=IFERROR(AX112/AX111,0)</f>
        <v>0</v>
      </c>
      <c r="AY113" s="64">
        <f>=IFERROR(AY112/AY111,0)</f>
        <v>0</v>
      </c>
      <c r="AZ113" s="64">
        <f>=IFERROR(AZ112/AZ111,0)</f>
        <v>0</v>
      </c>
      <c r="BA113" s="64">
        <f>=IFERROR(BA112/BA111,0)</f>
        <v>0</v>
      </c>
      <c r="BB113" s="64">
        <f>=IFERROR(BB112/BB111,0)</f>
        <v>0</v>
      </c>
      <c r="BC113" s="64">
        <f>=IFERROR(BC112/BC111,0)</f>
        <v>0</v>
      </c>
      <c r="BD113" s="64">
        <f>=IFERROR(BD112/BD111,0)</f>
        <v>0</v>
      </c>
      <c r="BE113" s="64">
        <f>=IFERROR(BE112/BE111,0)</f>
        <v>0</v>
      </c>
      <c r="BF113" s="64">
        <f>=IFERROR(BF112/BF111,0)</f>
        <v>0</v>
      </c>
      <c r="BG113" s="64">
        <f>=IFERROR(BG112/BG111,0)</f>
        <v>0</v>
      </c>
      <c r="BH113" s="64">
        <f>=IFERROR(BH112/BH111,0)</f>
        <v>0</v>
      </c>
      <c r="BI113" s="64">
        <f>=IFERROR(BI112/BI111,0)</f>
        <v>0</v>
      </c>
      <c r="BJ113" s="64">
        <f>=IFERROR(BJ112/BJ111,0)</f>
        <v>0</v>
      </c>
      <c r="BK113" s="64">
        <f>=IFERROR(BK112/BK111,0)</f>
        <v>0</v>
      </c>
      <c r="BL113" s="64">
        <f>=IFERROR(BL112/BL111,0)</f>
        <v>0</v>
      </c>
      <c r="BM113" s="64">
        <f>=IFERROR(BM112/BM111,0)</f>
        <v>0</v>
      </c>
      <c r="BN113" s="64">
        <f>=IFERROR(BN112/BN111,0)</f>
        <v>0</v>
      </c>
      <c r="BO113" s="64">
        <f>=IFERROR(BO112/BO111,0)</f>
        <v>0</v>
      </c>
      <c r="BP113" s="64">
        <f>=IFERROR(BP112/BP111,0)</f>
        <v>0</v>
      </c>
      <c r="BQ113" s="64">
        <f>=IFERROR(BQ112/BQ111,0)</f>
        <v>0</v>
      </c>
      <c r="BR113" s="64">
        <f>=IFERROR(BR112/BR111,0)</f>
        <v>0</v>
      </c>
      <c r="BS113" s="64">
        <f>=IFERROR(BS112/BS111,0)</f>
        <v>0</v>
      </c>
      <c r="BT113" s="64">
        <f>=IFERROR(BT112/BT111,0)</f>
        <v>0</v>
      </c>
      <c r="BU113" s="64">
        <f>=IFERROR(BU112/BU111,0)</f>
        <v>0</v>
      </c>
      <c r="BV113" s="64">
        <f>=IFERROR(BV112/BV111,0)</f>
        <v>0</v>
      </c>
      <c r="BW113" s="64">
        <f>=IFERROR(BW112/BW111,0)</f>
        <v>0</v>
      </c>
      <c r="BX113" s="64">
        <f>=IFERROR(BX112/BX111,0)</f>
        <v>0</v>
      </c>
      <c r="BY113" s="64">
        <f>=IFERROR(BY112/BY111,0)</f>
        <v>0</v>
      </c>
      <c r="BZ113" s="64">
        <f>=IFERROR(BZ112/BZ111,0)</f>
        <v>0</v>
      </c>
      <c r="CA113" s="64">
        <f>=IFERROR(CA112/CA111,0)</f>
        <v>0</v>
      </c>
      <c r="CB113" s="64">
        <f>=IFERROR(CB112/CB111,0)</f>
        <v>0</v>
      </c>
      <c r="CC113" s="64">
        <f>=IFERROR(CC112/CC111,0)</f>
        <v>0</v>
      </c>
      <c r="CD113" s="64">
        <f>=IFERROR(CD112/CD111,0)</f>
        <v>0</v>
      </c>
      <c r="CE113" s="64">
        <f>=IFERROR(CE112/CE111,0)</f>
        <v>0</v>
      </c>
      <c r="CF113" s="64">
        <f>=IFERROR(CF112/CF111,0)</f>
        <v>0</v>
      </c>
      <c r="CG113" s="64">
        <f>=IFERROR(CG112/CG111,0)</f>
        <v>0</v>
      </c>
      <c r="CH113" s="64">
        <f>=IFERROR(CH112/CH111,0)</f>
        <v>0</v>
      </c>
      <c r="CI113" s="64">
        <f>=IFERROR(CI112/CI111,0)</f>
        <v>0</v>
      </c>
      <c r="CJ113" s="64">
        <f>=IFERROR(CJ112/CJ111,0)</f>
        <v>0</v>
      </c>
      <c r="CK113" s="64">
        <f>=IFERROR(CK112/CK111,0)</f>
        <v>0</v>
      </c>
      <c r="CL113" s="64">
        <f>=IFERROR(CL112/CL111,0)</f>
        <v>0</v>
      </c>
      <c r="CM113" s="64">
        <f>=IFERROR(CM112/CM111,0)</f>
        <v>0</v>
      </c>
      <c r="CN113" s="64">
        <f>=IFERROR(CN112/CN111,0)</f>
        <v>0</v>
      </c>
      <c r="CO113" s="64">
        <f>=IFERROR(CO112/CO111,0)</f>
        <v>0</v>
      </c>
      <c r="CP113" s="64">
        <f>=IFERROR(CP112/CP111,0)</f>
        <v>0</v>
      </c>
      <c r="CQ113" s="64">
        <f>=IFERROR(CQ112/CQ111,0)</f>
        <v>0</v>
      </c>
      <c r="CR113" s="64">
        <f>=IFERROR(CR112/CR111,0)</f>
        <v>0</v>
      </c>
      <c r="CS113" s="64">
        <f>=IFERROR(CS112/CS111,0)</f>
        <v>0</v>
      </c>
      <c r="CT113" s="64">
        <f>=IFERROR(CT112/CT111,0)</f>
        <v>0</v>
      </c>
      <c r="CU113" s="64">
        <f>=IFERROR(CU112/CU111,0)</f>
        <v>0</v>
      </c>
      <c r="CV113" s="64">
        <f>=IFERROR(CV112/CV111,0)</f>
        <v>0</v>
      </c>
      <c r="CW113" s="64">
        <f>=IFERROR(CW112/CW111,0)</f>
        <v>0</v>
      </c>
      <c r="CX113" s="64">
        <f>=IFERROR(CX112/CX111,0)</f>
        <v>0</v>
      </c>
      <c r="CY113" s="64">
        <f>=IFERROR(CY112/CY111,0)</f>
        <v>0</v>
      </c>
      <c r="CZ113" s="64">
        <f>=IFERROR(CZ112/CZ111,0)</f>
        <v>0</v>
      </c>
      <c r="DA113" s="64">
        <f>=IFERROR(DA112/DA111,0)</f>
        <v>0</v>
      </c>
      <c r="DB113" s="64">
        <f>=IFERROR(DB112/DB111,0)</f>
        <v>0</v>
      </c>
    </row>
    <row r="114" ht="18" customHeight="1" spans="1:106" x14ac:dyDescent="0.25">
      <c r="A114" s="17" t="s">
        <v>333</v>
      </c>
      <c r="B114" s="65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6"/>
      <c r="AR114" s="66"/>
      <c r="AS114" s="66"/>
      <c r="AT114" s="66"/>
      <c r="AU114" s="66"/>
      <c r="AV114" s="66"/>
      <c r="AW114" s="66"/>
      <c r="AX114" s="66"/>
      <c r="AY114" s="66"/>
      <c r="AZ114" s="66"/>
      <c r="BA114" s="66"/>
      <c r="BB114" s="66"/>
      <c r="BC114" s="66"/>
      <c r="BD114" s="66"/>
      <c r="BE114" s="66"/>
      <c r="BF114" s="66"/>
      <c r="BG114" s="66"/>
      <c r="BH114" s="66"/>
      <c r="BI114" s="66"/>
      <c r="BJ114" s="66"/>
      <c r="BK114" s="66"/>
      <c r="BL114" s="66"/>
      <c r="BM114" s="66"/>
      <c r="BN114" s="66"/>
      <c r="BO114" s="66"/>
      <c r="BP114" s="66"/>
      <c r="BQ114" s="66"/>
      <c r="BR114" s="66"/>
      <c r="BS114" s="66"/>
      <c r="BT114" s="66"/>
      <c r="BU114" s="66"/>
      <c r="BV114" s="66"/>
      <c r="BW114" s="66"/>
      <c r="BX114" s="66"/>
      <c r="BY114" s="66"/>
      <c r="BZ114" s="66"/>
      <c r="CA114" s="66"/>
      <c r="CB114" s="66"/>
      <c r="CC114" s="66"/>
      <c r="CD114" s="66"/>
      <c r="CE114" s="66"/>
      <c r="CF114" s="66"/>
      <c r="CG114" s="66"/>
      <c r="CH114" s="66"/>
      <c r="CI114" s="66"/>
      <c r="CJ114" s="66"/>
      <c r="CK114" s="66"/>
      <c r="CL114" s="66"/>
      <c r="CM114" s="66"/>
      <c r="CN114" s="66"/>
      <c r="CO114" s="66"/>
      <c r="CP114" s="66"/>
      <c r="CQ114" s="66"/>
      <c r="CR114" s="66"/>
      <c r="CS114" s="66"/>
      <c r="CT114" s="66"/>
      <c r="CU114" s="66"/>
      <c r="CV114" s="66"/>
      <c r="CW114" s="66"/>
      <c r="CX114" s="66"/>
      <c r="CY114" s="66"/>
      <c r="CZ114" s="66"/>
      <c r="DA114" s="66"/>
      <c r="DB114" s="66"/>
    </row>
    <row r="115" ht="18" customHeight="1" spans="1:106" x14ac:dyDescent="0.25">
      <c r="A115" s="17" t="s">
        <v>334</v>
      </c>
      <c r="B115" s="65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6"/>
      <c r="AT115" s="66"/>
      <c r="AU115" s="66"/>
      <c r="AV115" s="66"/>
      <c r="AW115" s="66"/>
      <c r="AX115" s="66"/>
      <c r="AY115" s="66"/>
      <c r="AZ115" s="66"/>
      <c r="BA115" s="66"/>
      <c r="BB115" s="66"/>
      <c r="BC115" s="66"/>
      <c r="BD115" s="66"/>
      <c r="BE115" s="66"/>
      <c r="BF115" s="66"/>
      <c r="BG115" s="66"/>
      <c r="BH115" s="66"/>
      <c r="BI115" s="66"/>
      <c r="BJ115" s="66"/>
      <c r="BK115" s="66"/>
      <c r="BL115" s="66"/>
      <c r="BM115" s="66"/>
      <c r="BN115" s="66"/>
      <c r="BO115" s="66"/>
      <c r="BP115" s="66"/>
      <c r="BQ115" s="66"/>
      <c r="BR115" s="66"/>
      <c r="BS115" s="66"/>
      <c r="BT115" s="66"/>
      <c r="BU115" s="66"/>
      <c r="BV115" s="66"/>
      <c r="BW115" s="66"/>
      <c r="BX115" s="66"/>
      <c r="BY115" s="66"/>
      <c r="BZ115" s="66"/>
      <c r="CA115" s="66"/>
      <c r="CB115" s="66"/>
      <c r="CC115" s="66"/>
      <c r="CD115" s="66"/>
      <c r="CE115" s="66"/>
      <c r="CF115" s="66"/>
      <c r="CG115" s="66"/>
      <c r="CH115" s="66"/>
      <c r="CI115" s="66"/>
      <c r="CJ115" s="66"/>
      <c r="CK115" s="66"/>
      <c r="CL115" s="66"/>
      <c r="CM115" s="66"/>
      <c r="CN115" s="66"/>
      <c r="CO115" s="66"/>
      <c r="CP115" s="66"/>
      <c r="CQ115" s="66"/>
      <c r="CR115" s="66"/>
      <c r="CS115" s="66"/>
      <c r="CT115" s="66"/>
      <c r="CU115" s="66"/>
      <c r="CV115" s="66"/>
      <c r="CW115" s="66"/>
      <c r="CX115" s="66"/>
      <c r="CY115" s="66"/>
      <c r="CZ115" s="66"/>
      <c r="DA115" s="66"/>
      <c r="DB115" s="66"/>
    </row>
    <row r="116" ht="18" customHeight="1" spans="1:106" x14ac:dyDescent="0.25">
      <c r="A116" s="17" t="s">
        <v>335</v>
      </c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  <c r="AV116" s="30"/>
      <c r="AW116" s="30"/>
      <c r="AX116" s="30"/>
      <c r="AY116" s="30"/>
      <c r="AZ116" s="30"/>
      <c r="BA116" s="30"/>
      <c r="BB116" s="30"/>
      <c r="BC116" s="30"/>
      <c r="BD116" s="30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  <c r="BT116" s="30"/>
      <c r="BU116" s="30"/>
      <c r="BV116" s="30"/>
      <c r="BW116" s="30"/>
      <c r="BX116" s="30"/>
      <c r="BY116" s="30"/>
      <c r="BZ116" s="30"/>
      <c r="CA116" s="30"/>
      <c r="CB116" s="30"/>
      <c r="CC116" s="30"/>
      <c r="CD116" s="30"/>
      <c r="CE116" s="30"/>
      <c r="CF116" s="30"/>
      <c r="CG116" s="30"/>
      <c r="CH116" s="30"/>
      <c r="CI116" s="30"/>
      <c r="CJ116" s="30"/>
      <c r="CK116" s="30"/>
      <c r="CL116" s="30"/>
      <c r="CM116" s="30"/>
      <c r="CN116" s="30"/>
      <c r="CO116" s="30"/>
      <c r="CP116" s="30"/>
      <c r="CQ116" s="30"/>
      <c r="CR116" s="30"/>
      <c r="CS116" s="30"/>
      <c r="CT116" s="30"/>
      <c r="CU116" s="30"/>
      <c r="CV116" s="30"/>
      <c r="CW116" s="30"/>
      <c r="CX116" s="30"/>
      <c r="CY116" s="30"/>
      <c r="CZ116" s="30"/>
      <c r="DA116" s="30"/>
      <c r="DB116" s="30"/>
    </row>
    <row r="117" ht="18" customHeight="1" spans="1:106" x14ac:dyDescent="0.25">
      <c r="A117" s="17" t="s">
        <v>266</v>
      </c>
      <c r="C117" s="28">
        <f>=C115+C114</f>
        <v>0</v>
      </c>
      <c r="D117" s="28">
        <f>=D115+D114</f>
        <v>0</v>
      </c>
      <c r="E117" s="28">
        <f>=E115+E114</f>
        <v>0</v>
      </c>
      <c r="F117" s="28">
        <f>=F115+F114</f>
        <v>0</v>
      </c>
      <c r="G117" s="28">
        <f>=G115+G114</f>
        <v>0</v>
      </c>
      <c r="H117" s="28">
        <f>=H115+H114</f>
        <v>0</v>
      </c>
      <c r="I117" s="28">
        <f>=I115+I114</f>
        <v>0</v>
      </c>
      <c r="J117" s="28">
        <f>=J115+J114</f>
        <v>0</v>
      </c>
      <c r="K117" s="28">
        <f>=K115+K114</f>
        <v>0</v>
      </c>
      <c r="L117" s="28">
        <f>=L115+L114</f>
        <v>0</v>
      </c>
      <c r="M117" s="28">
        <f>=M115+M114</f>
        <v>0</v>
      </c>
      <c r="N117" s="28">
        <f>=N115+N114</f>
        <v>0</v>
      </c>
      <c r="O117" s="28">
        <f>=O115+O114</f>
        <v>0</v>
      </c>
      <c r="P117" s="28">
        <f>=P115+P114</f>
        <v>0</v>
      </c>
      <c r="Q117" s="28">
        <f>=Q115+Q114</f>
        <v>0</v>
      </c>
      <c r="R117" s="28">
        <f>=R115+R114</f>
        <v>0</v>
      </c>
      <c r="S117" s="28">
        <f>=S115+S114</f>
        <v>0</v>
      </c>
      <c r="T117" s="28">
        <f>=T115+T114</f>
        <v>0</v>
      </c>
      <c r="U117" s="28">
        <f>=U115+U114</f>
        <v>0</v>
      </c>
      <c r="V117" s="28">
        <f>=V115+V114</f>
        <v>0</v>
      </c>
      <c r="W117" s="28">
        <f>=W115+W114</f>
        <v>0</v>
      </c>
      <c r="X117" s="28">
        <f>=X115+X114</f>
        <v>0</v>
      </c>
      <c r="Y117" s="28">
        <f>=Y115+Y114</f>
        <v>0</v>
      </c>
      <c r="Z117" s="28">
        <f>=Z115+Z114</f>
        <v>0</v>
      </c>
      <c r="AA117" s="28">
        <f>=AA115+AA114</f>
        <v>0</v>
      </c>
      <c r="AB117" s="28">
        <f>=AB115+AB114</f>
        <v>0</v>
      </c>
      <c r="AC117" s="28">
        <f>=AC115+AC114</f>
        <v>0</v>
      </c>
      <c r="AD117" s="28">
        <f>=AD115+AD114</f>
        <v>0</v>
      </c>
      <c r="AE117" s="28">
        <f>=AE115+AE114</f>
        <v>0</v>
      </c>
      <c r="AF117" s="28">
        <f>=AF115+AF114</f>
        <v>0</v>
      </c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30"/>
      <c r="CD117" s="30"/>
      <c r="CE117" s="30"/>
      <c r="CF117" s="30"/>
      <c r="CG117" s="30"/>
      <c r="CH117" s="30"/>
      <c r="CI117" s="30"/>
      <c r="CJ117" s="30"/>
      <c r="CK117" s="30"/>
      <c r="CL117" s="30"/>
      <c r="CM117" s="30"/>
      <c r="CN117" s="30"/>
      <c r="CO117" s="30"/>
      <c r="CP117" s="30"/>
      <c r="CQ117" s="30"/>
      <c r="CR117" s="30"/>
      <c r="CS117" s="30"/>
      <c r="CT117" s="30"/>
      <c r="CU117" s="30"/>
      <c r="CV117" s="30"/>
      <c r="CW117" s="30"/>
      <c r="CX117" s="30"/>
      <c r="CY117" s="30"/>
      <c r="CZ117" s="30"/>
      <c r="DA117" s="30"/>
      <c r="DB117" s="30"/>
    </row>
    <row r="118" ht="18" customHeight="1" spans="1:106" x14ac:dyDescent="0.25">
      <c r="A118" s="17" t="s">
        <v>266</v>
      </c>
      <c r="C118" s="30"/>
      <c r="D118" s="28">
        <f>=C117*(1-D$43)</f>
        <v>0</v>
      </c>
      <c r="E118" s="28">
        <f>=D117*(1-E$43)</f>
        <v>0</v>
      </c>
      <c r="F118" s="28">
        <f>=E117*(1-F$43)</f>
        <v>0</v>
      </c>
      <c r="G118" s="28">
        <f>=F117*(1-G$43)</f>
        <v>0</v>
      </c>
      <c r="H118" s="28">
        <f>=G117*(1-H$43)</f>
        <v>0</v>
      </c>
      <c r="I118" s="28">
        <f>=H117*(1-I$43)</f>
        <v>0</v>
      </c>
      <c r="J118" s="28">
        <f>=I117*(1-J$43)</f>
        <v>0</v>
      </c>
      <c r="K118" s="28">
        <f>=J117*(1-K$43)</f>
        <v>0</v>
      </c>
      <c r="L118" s="28">
        <f>=K117*(1-L$43)</f>
        <v>0</v>
      </c>
      <c r="M118" s="28">
        <f>=L117*(1-M$43)</f>
        <v>0</v>
      </c>
      <c r="N118" s="28">
        <f>=M117*(1-N$43)</f>
        <v>0</v>
      </c>
      <c r="O118" s="28">
        <f>=N117*(1-O$43)</f>
        <v>0</v>
      </c>
      <c r="P118" s="28">
        <f>=O117*(1-P$43)</f>
        <v>0</v>
      </c>
      <c r="Q118" s="28">
        <f>=P117*(1-Q$43)</f>
        <v>0</v>
      </c>
      <c r="R118" s="28">
        <f>=Q117*(1-R$43)</f>
        <v>0</v>
      </c>
      <c r="S118" s="28">
        <f>=R117*(1-S$43)</f>
        <v>0</v>
      </c>
      <c r="T118" s="28">
        <f>=S117*(1-T$43)</f>
        <v>0</v>
      </c>
      <c r="U118" s="28">
        <f>=T117*(1-U$43)</f>
        <v>0</v>
      </c>
      <c r="V118" s="28">
        <f>=U117*(1-V$43)</f>
        <v>0</v>
      </c>
      <c r="W118" s="28">
        <f>=V117*(1-W$43)</f>
        <v>0</v>
      </c>
      <c r="X118" s="28">
        <f>=W117*(1-X$43)</f>
        <v>0</v>
      </c>
      <c r="Y118" s="28">
        <f>=X117*(1-Y$43)</f>
        <v>0</v>
      </c>
      <c r="Z118" s="28">
        <f>=Y117*(1-Z$43)</f>
        <v>0</v>
      </c>
      <c r="AA118" s="28">
        <f>=Z117*(1-AA$43)</f>
        <v>0</v>
      </c>
      <c r="AB118" s="28">
        <f>=AA117*(1-AB$43)</f>
        <v>0</v>
      </c>
      <c r="AC118" s="28">
        <f>=AB117*(1-AC$43)</f>
        <v>0</v>
      </c>
      <c r="AD118" s="28">
        <f>=AC117*(1-AD$43)</f>
        <v>0</v>
      </c>
      <c r="AE118" s="28">
        <f>=AD117*(1-AE$43)</f>
        <v>0</v>
      </c>
      <c r="AF118" s="28">
        <f>=AE117*(1-AF$43)</f>
        <v>0</v>
      </c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30"/>
      <c r="CD118" s="30"/>
      <c r="CE118" s="30"/>
      <c r="CF118" s="30"/>
      <c r="CG118" s="30"/>
      <c r="CH118" s="30"/>
      <c r="CI118" s="30"/>
      <c r="CJ118" s="30"/>
      <c r="CK118" s="30"/>
      <c r="CL118" s="30"/>
      <c r="CM118" s="30"/>
      <c r="CN118" s="30"/>
      <c r="CO118" s="30"/>
      <c r="CP118" s="30"/>
      <c r="CQ118" s="30"/>
      <c r="CR118" s="30"/>
      <c r="CS118" s="30"/>
      <c r="CT118" s="30"/>
      <c r="CU118" s="30"/>
      <c r="CV118" s="30"/>
      <c r="CW118" s="30"/>
      <c r="CX118" s="30"/>
      <c r="CY118" s="30"/>
      <c r="CZ118" s="30"/>
      <c r="DA118" s="30"/>
      <c r="DB118" s="30"/>
    </row>
    <row r="119" ht="18" customHeight="1" spans="1:106" x14ac:dyDescent="0.25">
      <c r="A119" s="17" t="s">
        <v>336</v>
      </c>
      <c r="C119" s="17"/>
      <c r="D119" s="17">
        <v>0</v>
      </c>
      <c r="E119" s="17"/>
      <c r="F119" s="17">
        <v>14</v>
      </c>
      <c r="G119" s="17"/>
      <c r="H119" s="17">
        <v>14</v>
      </c>
      <c r="I119" s="17">
        <v>13</v>
      </c>
      <c r="J119" s="17"/>
      <c r="K119" s="17"/>
      <c r="L119" s="17">
        <v>0</v>
      </c>
      <c r="M119" s="17">
        <v>10</v>
      </c>
      <c r="N119" s="17">
        <v>0</v>
      </c>
      <c r="O119" s="17">
        <v>10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7">
        <v>3</v>
      </c>
      <c r="AI119" s="17">
        <v>0</v>
      </c>
      <c r="AJ119" s="17">
        <v>0</v>
      </c>
      <c r="AK119" s="17">
        <v>0</v>
      </c>
      <c r="AL119" s="17">
        <v>0</v>
      </c>
      <c r="AM119" s="17">
        <v>14</v>
      </c>
      <c r="AN119" s="17">
        <v>0</v>
      </c>
      <c r="AO119" s="17">
        <v>0</v>
      </c>
      <c r="AP119" s="17">
        <v>0</v>
      </c>
      <c r="AQ119" s="17">
        <v>10</v>
      </c>
      <c r="AR119" s="17">
        <v>0</v>
      </c>
      <c r="AS119" s="17">
        <v>0</v>
      </c>
      <c r="AT119" s="17">
        <v>0</v>
      </c>
      <c r="AU119" s="17">
        <v>0</v>
      </c>
      <c r="AV119" s="17">
        <v>15</v>
      </c>
      <c r="AW119" s="17">
        <v>15</v>
      </c>
      <c r="AX119" s="17">
        <v>0</v>
      </c>
      <c r="AY119" s="17">
        <v>12</v>
      </c>
      <c r="AZ119" s="17">
        <v>0</v>
      </c>
      <c r="BA119" s="17">
        <v>0</v>
      </c>
      <c r="BB119" s="17">
        <v>6</v>
      </c>
      <c r="BC119" s="17">
        <v>0</v>
      </c>
      <c r="BD119" s="17">
        <v>10</v>
      </c>
      <c r="BE119" s="17">
        <v>0</v>
      </c>
      <c r="BF119" s="17">
        <v>0</v>
      </c>
      <c r="BG119" s="17">
        <v>0</v>
      </c>
      <c r="BH119" s="17">
        <v>0</v>
      </c>
      <c r="BI119" s="17">
        <v>0</v>
      </c>
      <c r="BJ119" s="17">
        <f>=SUM(BJ114:BJ115)</f>
        <v>0</v>
      </c>
      <c r="BK119" s="17">
        <f>=SUM(BK114:BK115)</f>
        <v>0</v>
      </c>
      <c r="BL119" s="67">
        <f>=SUM(BL114:BL115)</f>
        <v>0</v>
      </c>
      <c r="BM119" s="67">
        <f>=SUM(BM114:BM115)</f>
        <v>0</v>
      </c>
      <c r="BN119" s="67">
        <f>=SUM(BN114:BN115)</f>
        <v>0</v>
      </c>
      <c r="BO119" s="67">
        <f>=SUM(BO114:BO115)</f>
        <v>0</v>
      </c>
      <c r="BP119" s="67">
        <f>=SUM(BP114:BP115)</f>
        <v>0</v>
      </c>
      <c r="BQ119" s="67">
        <f>=SUM(BQ114:BQ115)</f>
        <v>0</v>
      </c>
      <c r="BR119" s="67">
        <f>=SUM(BR114:BR115)</f>
        <v>0</v>
      </c>
      <c r="BS119" s="67">
        <f>=SUM(BS114:BS115)</f>
        <v>0</v>
      </c>
      <c r="BT119" s="67">
        <f>=SUM(BT114:BT115)</f>
        <v>0</v>
      </c>
      <c r="BU119" s="67">
        <f>=SUM(BU114:BU115)</f>
        <v>0</v>
      </c>
      <c r="BV119" s="67">
        <f>=SUM(BV114:BV115)</f>
        <v>0</v>
      </c>
      <c r="BW119" s="67">
        <f>=SUM(BW114:BW115)</f>
        <v>0</v>
      </c>
      <c r="BX119" s="67">
        <f>=SUM(BX114:BX115)</f>
        <v>0</v>
      </c>
      <c r="BY119" s="67">
        <f>=SUM(BY114:BY115)</f>
        <v>0</v>
      </c>
      <c r="BZ119" s="67">
        <f>=SUM(BZ114:BZ115)</f>
        <v>0</v>
      </c>
      <c r="CA119" s="67">
        <f>=SUM(CA114:CA115)</f>
        <v>0</v>
      </c>
      <c r="CB119" s="67">
        <f>=SUM(CB114:CB115)</f>
        <v>0</v>
      </c>
      <c r="CC119" s="67">
        <f>=SUM(CC114:CC115)</f>
        <v>0</v>
      </c>
      <c r="CD119" s="67">
        <f>=SUM(CD114:CD115)</f>
        <v>0</v>
      </c>
      <c r="CE119" s="67">
        <f>=SUM(CE114:CE115)</f>
        <v>0</v>
      </c>
      <c r="CF119" s="67">
        <f>=SUM(CF114:CF115)</f>
        <v>0</v>
      </c>
      <c r="CG119" s="67">
        <f>=SUM(CG114:CG115)</f>
        <v>0</v>
      </c>
      <c r="CH119" s="67">
        <f>=SUM(CH114:CH115)</f>
        <v>0</v>
      </c>
      <c r="CI119" s="67">
        <f>=SUM(CI114:CI115)</f>
        <v>0</v>
      </c>
      <c r="CJ119" s="67">
        <f>=SUM(CJ114:CJ115)</f>
        <v>0</v>
      </c>
      <c r="CK119" s="67">
        <f>=SUM(CK114:CK115)</f>
        <v>0</v>
      </c>
      <c r="CL119" s="67">
        <f>=SUM(CL114:CL115)</f>
        <v>0</v>
      </c>
      <c r="CM119" s="67">
        <f>=SUM(CM114:CM115)</f>
        <v>0</v>
      </c>
      <c r="CN119" s="67">
        <f>=SUM(CN114:CN115)</f>
        <v>0</v>
      </c>
      <c r="CO119" s="67">
        <f>=SUM(CO114:CO115)</f>
        <v>0</v>
      </c>
      <c r="CP119" s="67">
        <f>=SUM(CP114:CP115)</f>
        <v>0</v>
      </c>
      <c r="CQ119" s="67">
        <f>=SUM(CQ114:CQ115)</f>
        <v>0</v>
      </c>
      <c r="CR119" s="67">
        <f>=SUM(CR114:CR115)</f>
        <v>0</v>
      </c>
      <c r="CS119" s="67">
        <f>=SUM(CS114:CS115)</f>
        <v>0</v>
      </c>
      <c r="CT119" s="67">
        <f>=SUM(CT114:CT115)</f>
        <v>0</v>
      </c>
      <c r="CU119" s="67">
        <f>=SUM(CU114:CU115)</f>
        <v>0</v>
      </c>
      <c r="CV119" s="67">
        <f>=SUM(CV114:CV115)</f>
        <v>0</v>
      </c>
      <c r="CW119" s="67">
        <f>=SUM(CW114:CW115)</f>
        <v>0</v>
      </c>
      <c r="CX119" s="67">
        <f>=SUM(CX114:CX115)</f>
        <v>0</v>
      </c>
      <c r="CY119" s="67">
        <f>=SUM(CY114:CY115)</f>
        <v>0</v>
      </c>
      <c r="CZ119" s="67">
        <f>=SUM(CZ114:CZ115)</f>
        <v>0</v>
      </c>
      <c r="DA119" s="67">
        <f>=SUM(DA114:DA115)</f>
        <v>0</v>
      </c>
      <c r="DB119" s="67">
        <f>=SUM(DB114:DB115)</f>
        <v>0</v>
      </c>
    </row>
    <row r="120" ht="18" customHeight="1" spans="1:106" x14ac:dyDescent="0.25">
      <c r="A120" s="17" t="s">
        <v>337</v>
      </c>
      <c r="C120" s="17">
        <v>15</v>
      </c>
      <c r="D120" s="17">
        <v>0</v>
      </c>
      <c r="E120" s="17">
        <v>0</v>
      </c>
      <c r="F120" s="17">
        <v>0</v>
      </c>
      <c r="G120" s="17">
        <v>11</v>
      </c>
      <c r="H120" s="17">
        <v>0</v>
      </c>
      <c r="I120" s="17">
        <v>10</v>
      </c>
      <c r="J120" s="17">
        <v>13</v>
      </c>
      <c r="K120" s="17">
        <v>0</v>
      </c>
      <c r="L120" s="17">
        <v>0</v>
      </c>
      <c r="M120" s="17">
        <v>0</v>
      </c>
      <c r="N120" s="17">
        <v>10</v>
      </c>
      <c r="O120" s="17">
        <v>0</v>
      </c>
      <c r="P120" s="17">
        <v>12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7">
        <v>0</v>
      </c>
      <c r="AI120" s="89">
        <v>2.9625</v>
      </c>
      <c r="AJ120" s="17">
        <v>0</v>
      </c>
      <c r="AK120" s="17">
        <v>0</v>
      </c>
      <c r="AL120" s="17">
        <v>0</v>
      </c>
      <c r="AM120" s="17">
        <v>0</v>
      </c>
      <c r="AN120" s="17">
        <v>14</v>
      </c>
      <c r="AO120" s="17">
        <v>0</v>
      </c>
      <c r="AP120" s="17">
        <v>0</v>
      </c>
      <c r="AQ120" s="17">
        <v>0</v>
      </c>
      <c r="AR120" s="17">
        <v>11</v>
      </c>
      <c r="AS120" s="17">
        <v>0</v>
      </c>
      <c r="AT120" s="17">
        <v>0</v>
      </c>
      <c r="AU120" s="17">
        <v>0</v>
      </c>
      <c r="AV120" s="17">
        <v>0</v>
      </c>
      <c r="AW120" s="17">
        <v>14</v>
      </c>
      <c r="AX120" s="17">
        <v>15</v>
      </c>
      <c r="AY120" s="17">
        <v>0</v>
      </c>
      <c r="AZ120" s="17">
        <v>12</v>
      </c>
      <c r="BA120" s="17">
        <v>0</v>
      </c>
      <c r="BB120" s="17">
        <v>0</v>
      </c>
      <c r="BC120" s="17">
        <v>6</v>
      </c>
      <c r="BD120" s="17">
        <v>0</v>
      </c>
      <c r="BE120" s="17">
        <v>10</v>
      </c>
      <c r="BF120" s="17">
        <v>0</v>
      </c>
      <c r="BG120" s="17">
        <v>0</v>
      </c>
      <c r="BH120" s="17">
        <v>0</v>
      </c>
      <c r="BI120" s="17">
        <v>0</v>
      </c>
      <c r="BJ120" s="17">
        <v>0</v>
      </c>
      <c r="BK120" s="17">
        <f>=BJ119*(1-BK$43)</f>
        <v>0</v>
      </c>
      <c r="BL120" s="67">
        <f>=BK119*(1-BL$43)</f>
        <v>0</v>
      </c>
      <c r="BM120" s="67">
        <f>=BL119*(1-BM$43)</f>
        <v>0</v>
      </c>
      <c r="BN120" s="67">
        <f>=BM119*(1-BN$43)</f>
        <v>0</v>
      </c>
      <c r="BO120" s="67">
        <f>=BN119*(1-BO$43)</f>
        <v>0</v>
      </c>
      <c r="BP120" s="67">
        <f>=BO119*(1-BP$43)</f>
        <v>0</v>
      </c>
      <c r="BQ120" s="67">
        <f>=BP119*(1-BQ$43)</f>
        <v>0</v>
      </c>
      <c r="BR120" s="67">
        <f>=BQ119*(1-BR$43)</f>
        <v>0</v>
      </c>
      <c r="BS120" s="67">
        <f>=BR119*(1-BS$43)</f>
        <v>0</v>
      </c>
      <c r="BT120" s="67">
        <f>=BS119*(1-BT$43)</f>
        <v>0</v>
      </c>
      <c r="BU120" s="67">
        <f>=BT119*(1-BU$43)</f>
        <v>0</v>
      </c>
      <c r="BV120" s="67">
        <f>=BU119*(1-BV$43)</f>
        <v>0</v>
      </c>
      <c r="BW120" s="67">
        <f>=BV119*(1-BW$43)</f>
        <v>0</v>
      </c>
      <c r="BX120" s="67">
        <f>=BW119*(1-BX$43)</f>
        <v>0</v>
      </c>
      <c r="BY120" s="67">
        <f>=BX119*(1-BY$43)</f>
        <v>0</v>
      </c>
      <c r="BZ120" s="67">
        <f>=BY119*(1-BZ$43)</f>
        <v>0</v>
      </c>
      <c r="CA120" s="67">
        <f>=BZ119*(1-CA$43)</f>
        <v>0</v>
      </c>
      <c r="CB120" s="67">
        <f>=CA119*(1-CB$43)</f>
        <v>0</v>
      </c>
      <c r="CC120" s="67">
        <f>=CB119*(1-CC$43)</f>
        <v>0</v>
      </c>
      <c r="CD120" s="67">
        <f>=CC119*(1-CD$43)</f>
        <v>0</v>
      </c>
      <c r="CE120" s="67">
        <f>=CD119*(1-CE$43)</f>
        <v>0</v>
      </c>
      <c r="CF120" s="67">
        <f>=CE119*(1-CF$43)</f>
        <v>0</v>
      </c>
      <c r="CG120" s="67">
        <f>=CF119*(1-CG$43)</f>
        <v>0</v>
      </c>
      <c r="CH120" s="67">
        <f>=CG119*(1-CH$43)</f>
        <v>0</v>
      </c>
      <c r="CI120" s="67">
        <f>=CH119*(1-CI$43)</f>
        <v>0</v>
      </c>
      <c r="CJ120" s="67">
        <f>=CI119*(1-CJ$43)</f>
        <v>0</v>
      </c>
      <c r="CK120" s="67">
        <f>=CJ119*(1-CK$43)</f>
        <v>0</v>
      </c>
      <c r="CL120" s="67">
        <f>=CK119*(1-CL$43)</f>
        <v>0</v>
      </c>
      <c r="CM120" s="67">
        <f>=CL119*(1-CM$43)</f>
        <v>0</v>
      </c>
      <c r="CN120" s="67">
        <f>=CM119*(1-CN$43)</f>
        <v>0</v>
      </c>
      <c r="CO120" s="67">
        <f>=CN119*(1-CO$43)</f>
        <v>0</v>
      </c>
      <c r="CP120" s="67">
        <f>=CO119*(1-CP$43)</f>
        <v>0</v>
      </c>
      <c r="CQ120" s="67">
        <f>=CP119*(1-CQ$43)</f>
        <v>0</v>
      </c>
      <c r="CR120" s="67">
        <f>=CQ119*(1-CR$43)</f>
        <v>0</v>
      </c>
      <c r="CS120" s="67">
        <f>=CR119*(1-CS$43)</f>
        <v>0</v>
      </c>
      <c r="CT120" s="67">
        <f>=CS119*(1-CT$43)</f>
        <v>0</v>
      </c>
      <c r="CU120" s="67">
        <f>=CT119*(1-CU$43)</f>
        <v>0</v>
      </c>
      <c r="CV120" s="67">
        <f>=CU119*(1-CV$43)</f>
        <v>0</v>
      </c>
      <c r="CW120" s="67">
        <f>=CV119*(1-CW$43)</f>
        <v>0</v>
      </c>
      <c r="CX120" s="67">
        <f>=CW119*(1-CX$43)</f>
        <v>0</v>
      </c>
      <c r="CY120" s="67">
        <f>=CX119*(1-CY$43)</f>
        <v>0</v>
      </c>
      <c r="CZ120" s="67">
        <f>=CY119*(1-CZ$43)</f>
        <v>0</v>
      </c>
      <c r="DA120" s="67">
        <f>=CZ119*(1-DA$43)</f>
        <v>0</v>
      </c>
      <c r="DB120" s="67">
        <f>=DA119*(1-DB$43)</f>
        <v>0</v>
      </c>
    </row>
    <row r="121" ht="18" customHeight="1" spans="1:106" x14ac:dyDescent="0.25">
      <c r="A121" s="17" t="s">
        <v>338</v>
      </c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>
        <v>10</v>
      </c>
      <c r="P121" s="17">
        <v>0</v>
      </c>
      <c r="Q121" s="17">
        <v>12</v>
      </c>
      <c r="R121" s="17">
        <v>0</v>
      </c>
      <c r="S121" s="17">
        <v>0</v>
      </c>
      <c r="T121" s="17">
        <v>0</v>
      </c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67">
        <f>=BW120*(1-BX$43)</f>
        <v>0</v>
      </c>
      <c r="BY121" s="67">
        <f>=BX120*(1-BY$43)</f>
        <v>0</v>
      </c>
      <c r="BZ121" s="67">
        <f>=BY120*(1-BZ$43)</f>
        <v>0</v>
      </c>
      <c r="CA121" s="67">
        <f>=BZ120*(1-CA$43)</f>
        <v>0</v>
      </c>
      <c r="CB121" s="67">
        <f>=CA120*(1-CB$43)</f>
        <v>0</v>
      </c>
      <c r="CC121" s="67">
        <f>=CB120*(1-CC$43)</f>
        <v>0</v>
      </c>
      <c r="CD121" s="67">
        <f>=CC120*(1-CD$43)</f>
        <v>0</v>
      </c>
      <c r="CE121" s="67">
        <f>=CD120*(1-CE$43)</f>
        <v>0</v>
      </c>
      <c r="CF121" s="67">
        <f>=CE120*(1-CF$43)</f>
        <v>0</v>
      </c>
      <c r="CG121" s="67">
        <f>=CF120*(1-CG$43)</f>
        <v>0</v>
      </c>
      <c r="CH121" s="67">
        <f>=CG120*(1-CH$43)</f>
        <v>0</v>
      </c>
      <c r="CI121" s="67">
        <f>=CH120*(1-CI$43)</f>
        <v>0</v>
      </c>
      <c r="CJ121" s="67">
        <f>=CI120*(1-CJ$43)</f>
        <v>0</v>
      </c>
      <c r="CK121" s="67">
        <f>=CJ120*(1-CK$43)</f>
        <v>0</v>
      </c>
      <c r="CL121" s="67">
        <f>=CK120*(1-CL$43)</f>
        <v>0</v>
      </c>
      <c r="CM121" s="67">
        <f>=CL120*(1-CM$43)</f>
        <v>0</v>
      </c>
      <c r="CN121" s="67">
        <f>=CM120*(1-CN$43)</f>
        <v>0</v>
      </c>
      <c r="CO121" s="67">
        <f>=CN120*(1-CO$43)</f>
        <v>0</v>
      </c>
      <c r="CP121" s="67">
        <f>=CO120*(1-CP$43)</f>
        <v>0</v>
      </c>
      <c r="CQ121" s="67">
        <f>=CP120*(1-CQ$43)</f>
        <v>0</v>
      </c>
      <c r="CR121" s="67">
        <f>=CQ120*(1-CR$43)</f>
        <v>0</v>
      </c>
      <c r="CS121" s="67">
        <f>=CR120*(1-CS$43)</f>
        <v>0</v>
      </c>
      <c r="CT121" s="67">
        <f>=CS120*(1-CT$43)</f>
        <v>0</v>
      </c>
      <c r="CU121" s="67">
        <f>=CT120*(1-CU$43)</f>
        <v>0</v>
      </c>
      <c r="CV121" s="67">
        <f>=CU120*(1-CV$43)</f>
        <v>0</v>
      </c>
      <c r="CW121" s="67">
        <f>=CV120*(1-CW$43)</f>
        <v>0</v>
      </c>
      <c r="CX121" s="67">
        <f>=CW120*(1-CX$43)</f>
        <v>0</v>
      </c>
      <c r="CY121" s="67">
        <f>=CX120*(1-CY$43)</f>
        <v>0</v>
      </c>
      <c r="CZ121" s="67">
        <f>=CY120*(1-CZ$43)</f>
        <v>0</v>
      </c>
      <c r="DA121" s="67">
        <f>=CZ120*(1-DA$43)</f>
        <v>0</v>
      </c>
      <c r="DB121" s="67">
        <f>=DA120*(1-DB$43)</f>
        <v>0</v>
      </c>
    </row>
    <row r="122" ht="18" customHeight="1" spans="1:106" x14ac:dyDescent="0.25">
      <c r="A122" s="17" t="s">
        <v>397</v>
      </c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</row>
    <row r="123" ht="18" customHeight="1" spans="1:106" x14ac:dyDescent="0.25">
      <c r="A123" s="17" t="s">
        <v>266</v>
      </c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</row>
    <row r="124" ht="18" customHeight="1" spans="1:106" x14ac:dyDescent="0.25">
      <c r="A124" s="17" t="s">
        <v>340</v>
      </c>
      <c r="C124" s="17">
        <v>13</v>
      </c>
      <c r="D124" s="17">
        <v>14</v>
      </c>
      <c r="E124" s="17">
        <v>0</v>
      </c>
      <c r="F124" s="17">
        <v>0</v>
      </c>
      <c r="G124" s="17">
        <v>0</v>
      </c>
      <c r="H124" s="17">
        <v>10</v>
      </c>
      <c r="I124" s="17">
        <v>0</v>
      </c>
      <c r="J124" s="17">
        <v>10</v>
      </c>
      <c r="K124" s="17">
        <v>12</v>
      </c>
      <c r="L124" s="17">
        <v>0</v>
      </c>
      <c r="M124" s="17">
        <v>0</v>
      </c>
      <c r="N124" s="17">
        <v>0</v>
      </c>
      <c r="O124" s="17"/>
      <c r="P124" s="17">
        <v>7</v>
      </c>
      <c r="Q124" s="17">
        <v>0</v>
      </c>
      <c r="R124" s="17">
        <v>11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  <c r="AE124" s="17">
        <v>0</v>
      </c>
      <c r="AF124" s="17">
        <v>0</v>
      </c>
      <c r="AG124" s="17">
        <v>0</v>
      </c>
      <c r="AH124" s="17">
        <v>0</v>
      </c>
      <c r="AI124" s="17">
        <v>0</v>
      </c>
      <c r="AJ124" s="17">
        <v>3</v>
      </c>
      <c r="AK124" s="17">
        <v>0</v>
      </c>
      <c r="AL124" s="17">
        <v>0</v>
      </c>
      <c r="AM124" s="17">
        <v>0</v>
      </c>
      <c r="AN124" s="17">
        <v>0</v>
      </c>
      <c r="AO124" s="17">
        <v>14</v>
      </c>
      <c r="AP124" s="17">
        <v>0</v>
      </c>
      <c r="AQ124" s="17">
        <v>0</v>
      </c>
      <c r="AR124" s="17">
        <v>0</v>
      </c>
      <c r="AS124" s="17">
        <v>10</v>
      </c>
      <c r="AT124" s="17">
        <v>0</v>
      </c>
      <c r="AU124" s="17">
        <v>0</v>
      </c>
      <c r="AV124" s="17">
        <v>0</v>
      </c>
      <c r="AW124" s="17">
        <v>0</v>
      </c>
      <c r="AX124" s="17">
        <v>14</v>
      </c>
      <c r="AY124" s="17">
        <v>15</v>
      </c>
      <c r="AZ124" s="17">
        <v>0</v>
      </c>
      <c r="BA124" s="17">
        <v>10</v>
      </c>
      <c r="BB124" s="17">
        <v>0</v>
      </c>
      <c r="BC124" s="17">
        <v>0</v>
      </c>
      <c r="BD124" s="17">
        <v>6</v>
      </c>
      <c r="BE124" s="17">
        <v>0</v>
      </c>
      <c r="BF124" s="17">
        <v>9</v>
      </c>
      <c r="BG124" s="17">
        <v>0</v>
      </c>
      <c r="BH124" s="17">
        <v>0</v>
      </c>
      <c r="BI124" s="17">
        <v>0</v>
      </c>
      <c r="BJ124" s="17">
        <v>0</v>
      </c>
      <c r="BK124" s="17">
        <f>=BJ120*(1-BK$43)</f>
        <v>0</v>
      </c>
      <c r="BL124" s="67">
        <f>=BK120*(1-BL$43)</f>
        <v>0</v>
      </c>
      <c r="BM124" s="67">
        <f>=BL120*(1-BM$43)</f>
        <v>0</v>
      </c>
      <c r="BN124" s="67">
        <f>=BM120*(1-BN$43)</f>
        <v>0</v>
      </c>
      <c r="BO124" s="67">
        <f>=BN120*(1-BO$43)</f>
        <v>0</v>
      </c>
      <c r="BP124" s="67">
        <f>=BO120*(1-BP$43)</f>
        <v>0</v>
      </c>
      <c r="BQ124" s="67">
        <f>=BP120*(1-BQ$43)</f>
        <v>0</v>
      </c>
      <c r="BR124" s="67">
        <f>=BQ120*(1-BR$43)</f>
        <v>0</v>
      </c>
      <c r="BS124" s="67">
        <f>=BR120*(1-BS$43)</f>
        <v>0</v>
      </c>
      <c r="BT124" s="67">
        <f>=BS120*(1-BT$43)</f>
        <v>0</v>
      </c>
      <c r="BU124" s="67">
        <f>=BT120*(1-BU$43)</f>
        <v>0</v>
      </c>
      <c r="BV124" s="67">
        <f>=BU120*(1-BV$43)</f>
        <v>0</v>
      </c>
      <c r="BW124" s="67">
        <f>=BV120*(1-BW$43)</f>
        <v>0</v>
      </c>
      <c r="BX124" s="67">
        <f>=BW121*(1-BX$43)</f>
        <v>0</v>
      </c>
      <c r="BY124" s="67">
        <f>=BX121*(1-BY$43)</f>
        <v>0</v>
      </c>
      <c r="BZ124" s="67">
        <f>=BY121*(1-BZ$43)</f>
        <v>0</v>
      </c>
      <c r="CA124" s="67">
        <f>=BZ121*(1-CA$43)</f>
        <v>0</v>
      </c>
      <c r="CB124" s="67">
        <f>=CA121*(1-CB$43)</f>
        <v>0</v>
      </c>
      <c r="CC124" s="67">
        <f>=CB121*(1-CC$43)</f>
        <v>0</v>
      </c>
      <c r="CD124" s="67">
        <f>=CC121*(1-CD$43)</f>
        <v>0</v>
      </c>
      <c r="CE124" s="67">
        <f>=CD121*(1-CE$43)</f>
        <v>0</v>
      </c>
      <c r="CF124" s="67">
        <f>=CE121*(1-CF$43)</f>
        <v>0</v>
      </c>
      <c r="CG124" s="67">
        <f>=CF121*(1-CG$43)</f>
        <v>0</v>
      </c>
      <c r="CH124" s="67">
        <f>=CG121*(1-CH$43)</f>
        <v>0</v>
      </c>
      <c r="CI124" s="67">
        <f>=CH121*(1-CI$43)</f>
        <v>0</v>
      </c>
      <c r="CJ124" s="67">
        <f>=CI121*(1-CJ$43)</f>
        <v>0</v>
      </c>
      <c r="CK124" s="67">
        <f>=CJ121*(1-CK$43)</f>
        <v>0</v>
      </c>
      <c r="CL124" s="67">
        <f>=CK121*(1-CL$43)</f>
        <v>0</v>
      </c>
      <c r="CM124" s="67">
        <f>=CL121*(1-CM$43)</f>
        <v>0</v>
      </c>
      <c r="CN124" s="67">
        <f>=CM121*(1-CN$43)</f>
        <v>0</v>
      </c>
      <c r="CO124" s="67">
        <f>=CN121*(1-CO$43)</f>
        <v>0</v>
      </c>
      <c r="CP124" s="67">
        <f>=CO121*(1-CP$43)</f>
        <v>0</v>
      </c>
      <c r="CQ124" s="67">
        <f>=CP121*(1-CQ$43)</f>
        <v>0</v>
      </c>
      <c r="CR124" s="67">
        <f>=CQ121*(1-CR$43)</f>
        <v>0</v>
      </c>
      <c r="CS124" s="67">
        <f>=CR121*(1-CS$43)</f>
        <v>0</v>
      </c>
      <c r="CT124" s="67">
        <f>=CS121*(1-CT$43)</f>
        <v>0</v>
      </c>
      <c r="CU124" s="67">
        <f>=CT121*(1-CU$43)</f>
        <v>0</v>
      </c>
      <c r="CV124" s="67">
        <f>=CU121*(1-CV$43)</f>
        <v>0</v>
      </c>
      <c r="CW124" s="67">
        <f>=CV121*(1-CW$43)</f>
        <v>0</v>
      </c>
      <c r="CX124" s="67">
        <f>=CW121*(1-CX$43)</f>
        <v>0</v>
      </c>
      <c r="CY124" s="67">
        <f>=CX121*(1-CY$43)</f>
        <v>0</v>
      </c>
      <c r="CZ124" s="67">
        <f>=CY121*(1-CZ$43)</f>
        <v>0</v>
      </c>
      <c r="DA124" s="67">
        <f>=CZ121*(1-DA$43)</f>
        <v>0</v>
      </c>
      <c r="DB124" s="67">
        <f>=DA121*(1-DB$43)</f>
        <v>0</v>
      </c>
    </row>
    <row r="125" ht="18" customHeight="1" spans="1:106" x14ac:dyDescent="0.25">
      <c r="A125" s="17" t="s">
        <v>341</v>
      </c>
      <c r="C125" s="17">
        <v>11</v>
      </c>
      <c r="D125" s="17">
        <v>11</v>
      </c>
      <c r="E125" s="17">
        <v>11</v>
      </c>
      <c r="F125" s="17">
        <v>0</v>
      </c>
      <c r="G125" s="17">
        <v>0</v>
      </c>
      <c r="H125" s="17">
        <v>0</v>
      </c>
      <c r="I125" s="17">
        <v>9</v>
      </c>
      <c r="J125" s="17">
        <v>0</v>
      </c>
      <c r="K125" s="17">
        <v>10</v>
      </c>
      <c r="L125" s="17">
        <v>12</v>
      </c>
      <c r="M125" s="17">
        <v>0</v>
      </c>
      <c r="N125" s="17">
        <v>0</v>
      </c>
      <c r="O125" s="17">
        <v>0</v>
      </c>
      <c r="P125" s="17">
        <v>0</v>
      </c>
      <c r="Q125" s="17">
        <v>7</v>
      </c>
      <c r="R125" s="17">
        <v>0</v>
      </c>
      <c r="S125" s="17">
        <v>10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7">
        <v>0</v>
      </c>
      <c r="AI125" s="17">
        <v>0</v>
      </c>
      <c r="AJ125" s="17">
        <v>0</v>
      </c>
      <c r="AK125" s="17"/>
      <c r="AL125" s="17">
        <v>0</v>
      </c>
      <c r="AM125" s="17">
        <v>0</v>
      </c>
      <c r="AN125" s="17">
        <v>0</v>
      </c>
      <c r="AO125" s="17">
        <v>0</v>
      </c>
      <c r="AP125" s="17">
        <v>14</v>
      </c>
      <c r="AQ125" s="17">
        <v>0</v>
      </c>
      <c r="AR125" s="17">
        <v>0</v>
      </c>
      <c r="AS125" s="17">
        <v>0</v>
      </c>
      <c r="AT125" s="17">
        <v>10</v>
      </c>
      <c r="AU125" s="17">
        <v>0</v>
      </c>
      <c r="AV125" s="17">
        <v>0</v>
      </c>
      <c r="AW125" s="17">
        <v>0</v>
      </c>
      <c r="AX125" s="17">
        <v>0</v>
      </c>
      <c r="AY125" s="17">
        <v>12</v>
      </c>
      <c r="AZ125" s="17">
        <v>15</v>
      </c>
      <c r="BA125" s="17">
        <v>0</v>
      </c>
      <c r="BB125" s="17">
        <v>10</v>
      </c>
      <c r="BC125" s="17">
        <v>0</v>
      </c>
      <c r="BD125" s="17">
        <v>0</v>
      </c>
      <c r="BE125" s="17">
        <v>6</v>
      </c>
      <c r="BF125" s="17">
        <v>0</v>
      </c>
      <c r="BG125" s="17">
        <v>9</v>
      </c>
      <c r="BH125" s="17">
        <v>0</v>
      </c>
      <c r="BI125" s="17">
        <v>0</v>
      </c>
      <c r="BJ125" s="17">
        <v>0</v>
      </c>
      <c r="BK125" s="17">
        <f>=BJ124*(1-BK$43)</f>
        <v>0</v>
      </c>
      <c r="BL125" s="67">
        <f>=BK124*(1-BL$43)</f>
        <v>0</v>
      </c>
      <c r="BM125" s="67">
        <f>=BL124*(1-BM$43)</f>
        <v>0</v>
      </c>
      <c r="BN125" s="67">
        <f>=BM124*(1-BN$43)</f>
        <v>0</v>
      </c>
      <c r="BO125" s="67">
        <f>=BN124*(1-BO$43)</f>
        <v>0</v>
      </c>
      <c r="BP125" s="67">
        <f>=BO124*(1-BP$43)</f>
        <v>0</v>
      </c>
      <c r="BQ125" s="67">
        <f>=BP124*(1-BQ$43)</f>
        <v>0</v>
      </c>
      <c r="BR125" s="67">
        <f>=BQ124*(1-BR$43)</f>
        <v>0</v>
      </c>
      <c r="BS125" s="67">
        <f>=BR124*(1-BS$43)</f>
        <v>0</v>
      </c>
      <c r="BT125" s="67">
        <f>=BS124*(1-BT$43)</f>
        <v>0</v>
      </c>
      <c r="BU125" s="67">
        <f>=BT124*(1-BU$43)</f>
        <v>0</v>
      </c>
      <c r="BV125" s="67">
        <f>=BU124*(1-BV$43)</f>
        <v>0</v>
      </c>
      <c r="BW125" s="67">
        <f>=BV124*(1-BW$43)</f>
        <v>0</v>
      </c>
      <c r="BX125" s="67">
        <f>=BW124*(1-BX$43)</f>
        <v>0</v>
      </c>
      <c r="BY125" s="67">
        <f>=BX124*(1-BY$43)</f>
        <v>0</v>
      </c>
      <c r="BZ125" s="67">
        <f>=BY124*(1-BZ$43)</f>
        <v>0</v>
      </c>
      <c r="CA125" s="67">
        <f>=BZ124*(1-CA$43)</f>
        <v>0</v>
      </c>
      <c r="CB125" s="67">
        <f>=CA124*(1-CB$43)</f>
        <v>0</v>
      </c>
      <c r="CC125" s="67">
        <f>=CB124*(1-CC$43)</f>
        <v>0</v>
      </c>
      <c r="CD125" s="67">
        <f>=CC124*(1-CD$43)</f>
        <v>0</v>
      </c>
      <c r="CE125" s="67">
        <f>=CD124*(1-CE$43)</f>
        <v>0</v>
      </c>
      <c r="CF125" s="67">
        <f>=CE124*(1-CF$43)</f>
        <v>0</v>
      </c>
      <c r="CG125" s="67">
        <f>=CF124*(1-CG$43)</f>
        <v>0</v>
      </c>
      <c r="CH125" s="67">
        <f>=CG124*(1-CH$43)</f>
        <v>0</v>
      </c>
      <c r="CI125" s="67">
        <f>=CH124*(1-CI$43)</f>
        <v>0</v>
      </c>
      <c r="CJ125" s="67">
        <f>=CI124*(1-CJ$43)</f>
        <v>0</v>
      </c>
      <c r="CK125" s="67">
        <f>=CJ124*(1-CK$43)</f>
        <v>0</v>
      </c>
      <c r="CL125" s="67">
        <f>=CK124*(1-CL$43)</f>
        <v>0</v>
      </c>
      <c r="CM125" s="67">
        <f>=CL124*(1-CM$43)</f>
        <v>0</v>
      </c>
      <c r="CN125" s="67">
        <f>=CM124*(1-CN$43)</f>
        <v>0</v>
      </c>
      <c r="CO125" s="67">
        <f>=CN124*(1-CO$43)</f>
        <v>0</v>
      </c>
      <c r="CP125" s="67">
        <f>=CO124*(1-CP$43)</f>
        <v>0</v>
      </c>
      <c r="CQ125" s="67">
        <f>=CP124*(1-CQ$43)</f>
        <v>0</v>
      </c>
      <c r="CR125" s="67">
        <f>=CQ124*(1-CR$43)</f>
        <v>0</v>
      </c>
      <c r="CS125" s="67">
        <f>=CR124*(1-CS$43)</f>
        <v>0</v>
      </c>
      <c r="CT125" s="67">
        <f>=CS124*(1-CT$43)</f>
        <v>0</v>
      </c>
      <c r="CU125" s="67">
        <f>=CT124*(1-CU$43)</f>
        <v>0</v>
      </c>
      <c r="CV125" s="67">
        <f>=CU124*(1-CV$43)</f>
        <v>0</v>
      </c>
      <c r="CW125" s="67">
        <f>=CV124*(1-CW$43)</f>
        <v>0</v>
      </c>
      <c r="CX125" s="67">
        <f>=CW124*(1-CX$43)</f>
        <v>0</v>
      </c>
      <c r="CY125" s="67">
        <f>=CX124*(1-CY$43)</f>
        <v>0</v>
      </c>
      <c r="CZ125" s="67">
        <f>=CY124*(1-CZ$43)</f>
        <v>0</v>
      </c>
      <c r="DA125" s="67">
        <f>=CZ124*(1-DA$43)</f>
        <v>0</v>
      </c>
      <c r="DB125" s="67">
        <f>=DA124*(1-DB$43)</f>
        <v>0</v>
      </c>
    </row>
    <row r="126" ht="18" customHeight="1" spans="1:106" x14ac:dyDescent="0.25">
      <c r="A126" s="17" t="s">
        <v>398</v>
      </c>
      <c r="C126" s="17">
        <v>0</v>
      </c>
      <c r="D126" s="17">
        <v>11</v>
      </c>
      <c r="E126" s="17">
        <v>8</v>
      </c>
      <c r="F126" s="17">
        <v>11</v>
      </c>
      <c r="G126" s="17">
        <v>0</v>
      </c>
      <c r="H126" s="17">
        <v>0</v>
      </c>
      <c r="I126" s="17">
        <v>0</v>
      </c>
      <c r="J126" s="17">
        <v>9</v>
      </c>
      <c r="K126" s="17">
        <v>0</v>
      </c>
      <c r="L126" s="17">
        <v>9</v>
      </c>
      <c r="M126" s="17">
        <v>11</v>
      </c>
      <c r="N126" s="17">
        <v>0</v>
      </c>
      <c r="O126" s="17"/>
      <c r="P126" s="17"/>
      <c r="Q126" s="17"/>
      <c r="R126" s="17"/>
      <c r="S126" s="17"/>
      <c r="T126" s="17"/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7">
        <v>0</v>
      </c>
      <c r="AH126" s="17">
        <v>0</v>
      </c>
      <c r="AI126" s="17">
        <v>0</v>
      </c>
      <c r="AJ126" s="17">
        <v>0</v>
      </c>
      <c r="AK126" s="17">
        <v>0</v>
      </c>
      <c r="AL126" s="17">
        <v>0</v>
      </c>
      <c r="AM126" s="17">
        <v>0</v>
      </c>
      <c r="AN126" s="17">
        <v>0</v>
      </c>
      <c r="AO126" s="17">
        <v>0</v>
      </c>
      <c r="AP126" s="17">
        <v>0</v>
      </c>
      <c r="AQ126" s="17">
        <v>14</v>
      </c>
      <c r="AR126" s="17">
        <v>0</v>
      </c>
      <c r="AS126" s="17">
        <v>0</v>
      </c>
      <c r="AT126" s="17">
        <v>0</v>
      </c>
      <c r="AU126" s="17">
        <v>10</v>
      </c>
      <c r="AV126" s="17">
        <v>0</v>
      </c>
      <c r="AW126" s="17">
        <v>0</v>
      </c>
      <c r="AX126" s="17">
        <v>0</v>
      </c>
      <c r="AY126" s="17">
        <v>0</v>
      </c>
      <c r="AZ126" s="17">
        <v>12</v>
      </c>
      <c r="BA126" s="17">
        <v>15</v>
      </c>
      <c r="BB126" s="17">
        <v>0</v>
      </c>
      <c r="BC126" s="17">
        <v>10</v>
      </c>
      <c r="BD126" s="17">
        <v>0</v>
      </c>
      <c r="BE126" s="17">
        <v>0</v>
      </c>
      <c r="BF126" s="17">
        <v>6</v>
      </c>
      <c r="BG126" s="17">
        <v>0</v>
      </c>
      <c r="BH126" s="17">
        <v>8</v>
      </c>
      <c r="BI126" s="17">
        <v>0</v>
      </c>
      <c r="BJ126" s="17">
        <v>0</v>
      </c>
      <c r="BK126" s="17">
        <f>=BJ125*(1-BK$43)</f>
        <v>0</v>
      </c>
      <c r="BL126" s="67">
        <f>=BK125*(1-BL$43)</f>
        <v>0</v>
      </c>
      <c r="BM126" s="67">
        <f>=BL125*(1-BM$43)</f>
        <v>0</v>
      </c>
      <c r="BN126" s="67">
        <f>=BM125*(1-BN$43)</f>
        <v>0</v>
      </c>
      <c r="BO126" s="67">
        <f>=BN125*(1-BO$43)</f>
        <v>0</v>
      </c>
      <c r="BP126" s="67">
        <f>=BO125*(1-BP$43)</f>
        <v>0</v>
      </c>
      <c r="BQ126" s="67">
        <f>=BP125*(1-BQ$43)</f>
        <v>0</v>
      </c>
      <c r="BR126" s="67">
        <f>=BQ125*(1-BR$43)</f>
        <v>0</v>
      </c>
      <c r="BS126" s="67">
        <f>=BR125*(1-BS$43)</f>
        <v>0</v>
      </c>
      <c r="BT126" s="67">
        <f>=BS125*(1-BT$43)</f>
        <v>0</v>
      </c>
      <c r="BU126" s="67">
        <f>=BT125*(1-BU$43)</f>
        <v>0</v>
      </c>
      <c r="BV126" s="67">
        <f>=BU125*(1-BV$43)</f>
        <v>0</v>
      </c>
      <c r="BW126" s="67">
        <f>=BV125*(1-BW$43)</f>
        <v>0</v>
      </c>
      <c r="BX126" s="67">
        <f>=BW125*(1-BX$43)</f>
        <v>0</v>
      </c>
      <c r="BY126" s="67">
        <f>=BX125*(1-BY$43)</f>
        <v>0</v>
      </c>
      <c r="BZ126" s="67">
        <f>=BY125*(1-BZ$43)</f>
        <v>0</v>
      </c>
      <c r="CA126" s="67">
        <f>=BZ125*(1-CA$43)</f>
        <v>0</v>
      </c>
      <c r="CB126" s="67">
        <f>=CA125*(1-CB$43)</f>
        <v>0</v>
      </c>
      <c r="CC126" s="67">
        <f>=CB125*(1-CC$43)</f>
        <v>0</v>
      </c>
      <c r="CD126" s="67">
        <f>=CC125*(1-CD$43)</f>
        <v>0</v>
      </c>
      <c r="CE126" s="67">
        <f>=CD125*(1-CE$43)</f>
        <v>0</v>
      </c>
      <c r="CF126" s="67">
        <f>=CE125*(1-CF$43)</f>
        <v>0</v>
      </c>
      <c r="CG126" s="67">
        <f>=CF125*(1-CG$43)</f>
        <v>0</v>
      </c>
      <c r="CH126" s="67">
        <f>=CG125*(1-CH$43)</f>
        <v>0</v>
      </c>
      <c r="CI126" s="67">
        <f>=CH125*(1-CI$43)</f>
        <v>0</v>
      </c>
      <c r="CJ126" s="67">
        <f>=CI125*(1-CJ$43)</f>
        <v>0</v>
      </c>
      <c r="CK126" s="67">
        <f>=CJ125*(1-CK$43)</f>
        <v>0</v>
      </c>
      <c r="CL126" s="67">
        <f>=CK125*(1-CL$43)</f>
        <v>0</v>
      </c>
      <c r="CM126" s="67">
        <f>=CL125*(1-CM$43)</f>
        <v>0</v>
      </c>
      <c r="CN126" s="67">
        <f>=CM125*(1-CN$43)</f>
        <v>0</v>
      </c>
      <c r="CO126" s="67">
        <f>=CN125*(1-CO$43)</f>
        <v>0</v>
      </c>
      <c r="CP126" s="67">
        <f>=CO125*(1-CP$43)</f>
        <v>0</v>
      </c>
      <c r="CQ126" s="67">
        <f>=CP125*(1-CQ$43)</f>
        <v>0</v>
      </c>
      <c r="CR126" s="67">
        <f>=CQ125*(1-CR$43)</f>
        <v>0</v>
      </c>
      <c r="CS126" s="67">
        <f>=CR125*(1-CS$43)</f>
        <v>0</v>
      </c>
      <c r="CT126" s="67">
        <f>=CS125*(1-CT$43)</f>
        <v>0</v>
      </c>
      <c r="CU126" s="67">
        <f>=CT125*(1-CU$43)</f>
        <v>0</v>
      </c>
      <c r="CV126" s="67">
        <f>=CU125*(1-CV$43)</f>
        <v>0</v>
      </c>
      <c r="CW126" s="67">
        <f>=CV125*(1-CW$43)</f>
        <v>0</v>
      </c>
      <c r="CX126" s="67">
        <f>=CW125*(1-CX$43)</f>
        <v>0</v>
      </c>
      <c r="CY126" s="67">
        <f>=CX125*(1-CY$43)</f>
        <v>0</v>
      </c>
      <c r="CZ126" s="67">
        <f>=CY125*(1-CZ$43)</f>
        <v>0</v>
      </c>
      <c r="DA126" s="67">
        <f>=CZ125*(1-DA$43)</f>
        <v>0</v>
      </c>
      <c r="DB126" s="67">
        <f>=DA125*(1-DB$43)</f>
        <v>0</v>
      </c>
    </row>
    <row r="127" ht="18" customHeight="1" spans="1:106" x14ac:dyDescent="0.25">
      <c r="A127" s="17" t="s">
        <v>379</v>
      </c>
      <c r="C127" s="17"/>
      <c r="D127" s="17"/>
      <c r="E127" s="17"/>
      <c r="F127" s="17">
        <v>8</v>
      </c>
      <c r="G127" s="17">
        <v>10</v>
      </c>
      <c r="H127" s="17">
        <v>0</v>
      </c>
      <c r="I127" s="17">
        <v>0</v>
      </c>
      <c r="J127" s="17">
        <v>0</v>
      </c>
      <c r="K127" s="17">
        <v>9</v>
      </c>
      <c r="L127" s="17">
        <v>0</v>
      </c>
      <c r="M127" s="17">
        <v>9</v>
      </c>
      <c r="N127" s="17">
        <v>9</v>
      </c>
      <c r="O127" s="17">
        <v>0</v>
      </c>
      <c r="P127" s="17">
        <v>0</v>
      </c>
      <c r="Q127" s="17">
        <v>0</v>
      </c>
      <c r="R127" s="17">
        <v>0</v>
      </c>
      <c r="S127" s="17">
        <v>0</v>
      </c>
      <c r="T127" s="17">
        <v>0</v>
      </c>
      <c r="U127" s="17">
        <v>0</v>
      </c>
      <c r="V127" s="17">
        <v>0</v>
      </c>
      <c r="W127" s="17">
        <v>0</v>
      </c>
      <c r="X127" s="17">
        <v>0</v>
      </c>
      <c r="Y127" s="17">
        <v>0</v>
      </c>
      <c r="Z127" s="17">
        <v>0</v>
      </c>
      <c r="AA127" s="17">
        <v>0</v>
      </c>
      <c r="AB127" s="17">
        <v>0</v>
      </c>
      <c r="AC127" s="17">
        <v>0</v>
      </c>
      <c r="AD127" s="17">
        <v>0</v>
      </c>
      <c r="AE127" s="17">
        <v>0</v>
      </c>
      <c r="AF127" s="17">
        <v>0</v>
      </c>
      <c r="AG127" s="17">
        <v>0</v>
      </c>
      <c r="AH127" s="17">
        <v>0</v>
      </c>
      <c r="AI127" s="17">
        <v>0</v>
      </c>
      <c r="AJ127" s="17">
        <v>0</v>
      </c>
      <c r="AK127" s="17">
        <v>0</v>
      </c>
      <c r="AL127" s="17">
        <v>0</v>
      </c>
      <c r="AM127" s="17">
        <v>0</v>
      </c>
      <c r="AN127" s="17">
        <v>0</v>
      </c>
      <c r="AO127" s="17">
        <v>0</v>
      </c>
      <c r="AP127" s="17">
        <v>0</v>
      </c>
      <c r="AQ127" s="17">
        <v>0</v>
      </c>
      <c r="AR127" s="17">
        <v>14</v>
      </c>
      <c r="AS127" s="17">
        <v>0</v>
      </c>
      <c r="AT127" s="17">
        <v>0</v>
      </c>
      <c r="AU127" s="17">
        <v>0</v>
      </c>
      <c r="AV127" s="17">
        <v>10</v>
      </c>
      <c r="AW127" s="17">
        <v>0</v>
      </c>
      <c r="AX127" s="17">
        <v>0</v>
      </c>
      <c r="AY127" s="17">
        <v>0</v>
      </c>
      <c r="AZ127" s="17">
        <v>0</v>
      </c>
      <c r="BA127" s="17">
        <v>12</v>
      </c>
      <c r="BB127" s="17">
        <v>14</v>
      </c>
      <c r="BC127" s="17">
        <v>0</v>
      </c>
      <c r="BD127" s="17">
        <v>10</v>
      </c>
      <c r="BE127" s="17">
        <v>0</v>
      </c>
      <c r="BF127" s="17">
        <v>0</v>
      </c>
      <c r="BG127" s="17">
        <v>6</v>
      </c>
      <c r="BH127" s="17">
        <v>0</v>
      </c>
      <c r="BI127" s="17">
        <v>9</v>
      </c>
      <c r="BJ127" s="17">
        <v>0</v>
      </c>
      <c r="BK127" s="17">
        <f>=BJ126*(1-BK$43)</f>
        <v>0</v>
      </c>
      <c r="BL127" s="67">
        <f>=BK126*(1-BL$43)</f>
        <v>0</v>
      </c>
      <c r="BM127" s="67">
        <f>=BL126*(1-BM$43)</f>
        <v>0</v>
      </c>
      <c r="BN127" s="67">
        <f>=BM126*(1-BN$43)</f>
        <v>0</v>
      </c>
      <c r="BO127" s="67">
        <f>=BN126*(1-BO$43)</f>
        <v>0</v>
      </c>
      <c r="BP127" s="67">
        <f>=BO126*(1-BP$43)</f>
        <v>0</v>
      </c>
      <c r="BQ127" s="67">
        <f>=BP126*(1-BQ$43)</f>
        <v>0</v>
      </c>
      <c r="BR127" s="67">
        <f>=BQ126*(1-BR$43)</f>
        <v>0</v>
      </c>
      <c r="BS127" s="67">
        <f>=BR126*(1-BS$43)</f>
        <v>0</v>
      </c>
      <c r="BT127" s="67">
        <f>=BS126*(1-BT$43)</f>
        <v>0</v>
      </c>
      <c r="BU127" s="67">
        <f>=BT126*(1-BU$43)</f>
        <v>0</v>
      </c>
      <c r="BV127" s="67">
        <f>=BU126*(1-BV$43)</f>
        <v>0</v>
      </c>
      <c r="BW127" s="67">
        <f>=BV126*(1-BW$43)</f>
        <v>0</v>
      </c>
      <c r="BX127" s="67">
        <f>=BW126*(1-BX$43)</f>
        <v>0</v>
      </c>
      <c r="BY127" s="67">
        <f>=BX126*(1-BY$43)</f>
        <v>0</v>
      </c>
      <c r="BZ127" s="67">
        <f>=BY126*(1-BZ$43)</f>
        <v>0</v>
      </c>
      <c r="CA127" s="67">
        <f>=BZ126*(1-CA$43)</f>
        <v>0</v>
      </c>
      <c r="CB127" s="67">
        <f>=CA126*(1-CB$43)</f>
        <v>0</v>
      </c>
      <c r="CC127" s="67">
        <f>=CB126*(1-CC$43)</f>
        <v>0</v>
      </c>
      <c r="CD127" s="67">
        <f>=CC126*(1-CD$43)</f>
        <v>0</v>
      </c>
      <c r="CE127" s="67">
        <f>=CD126*(1-CE$43)</f>
        <v>0</v>
      </c>
      <c r="CF127" s="67">
        <f>=CE126*(1-CF$43)</f>
        <v>0</v>
      </c>
      <c r="CG127" s="67">
        <f>=CF126*(1-CG$43)</f>
        <v>0</v>
      </c>
      <c r="CH127" s="67">
        <f>=CG126*(1-CH$43)</f>
        <v>0</v>
      </c>
      <c r="CI127" s="67">
        <f>=CH126*(1-CI$43)</f>
        <v>0</v>
      </c>
      <c r="CJ127" s="67">
        <f>=CI126*(1-CJ$43)</f>
        <v>0</v>
      </c>
      <c r="CK127" s="67">
        <f>=CJ126*(1-CK$43)</f>
        <v>0</v>
      </c>
      <c r="CL127" s="67">
        <f>=CK126*(1-CL$43)</f>
        <v>0</v>
      </c>
      <c r="CM127" s="67">
        <f>=CL126*(1-CM$43)</f>
        <v>0</v>
      </c>
      <c r="CN127" s="67">
        <f>=CM126*(1-CN$43)</f>
        <v>0</v>
      </c>
      <c r="CO127" s="67">
        <f>=CN126*(1-CO$43)</f>
        <v>0</v>
      </c>
      <c r="CP127" s="67">
        <f>=CO126*(1-CP$43)</f>
        <v>0</v>
      </c>
      <c r="CQ127" s="67">
        <f>=CP126*(1-CQ$43)</f>
        <v>0</v>
      </c>
      <c r="CR127" s="67">
        <f>=CQ126*(1-CR$43)</f>
        <v>0</v>
      </c>
      <c r="CS127" s="67">
        <f>=CR126*(1-CS$43)</f>
        <v>0</v>
      </c>
      <c r="CT127" s="67">
        <f>=CS126*(1-CT$43)</f>
        <v>0</v>
      </c>
      <c r="CU127" s="67">
        <f>=CT126*(1-CU$43)</f>
        <v>0</v>
      </c>
      <c r="CV127" s="67">
        <f>=CU126*(1-CV$43)</f>
        <v>0</v>
      </c>
      <c r="CW127" s="67">
        <f>=CV126*(1-CW$43)</f>
        <v>0</v>
      </c>
      <c r="CX127" s="67">
        <f>=CW126*(1-CX$43)</f>
        <v>0</v>
      </c>
      <c r="CY127" s="67">
        <f>=CX126*(1-CY$43)</f>
        <v>0</v>
      </c>
      <c r="CZ127" s="67">
        <f>=CY126*(1-CZ$43)</f>
        <v>0</v>
      </c>
      <c r="DA127" s="67">
        <f>=CZ126*(1-DA$43)</f>
        <v>0</v>
      </c>
      <c r="DB127" s="67">
        <f>=DA126*(1-DB$43)</f>
        <v>0</v>
      </c>
    </row>
    <row r="128" ht="18" customHeight="1" spans="1:106" x14ac:dyDescent="0.25">
      <c r="A128" s="17" t="s">
        <v>344</v>
      </c>
      <c r="C128" s="17">
        <v>6</v>
      </c>
      <c r="D128" s="17">
        <v>0</v>
      </c>
      <c r="E128" s="17">
        <v>8</v>
      </c>
      <c r="F128" s="17">
        <v>0</v>
      </c>
      <c r="G128" s="17">
        <v>7</v>
      </c>
      <c r="H128" s="17">
        <v>9</v>
      </c>
      <c r="I128" s="17">
        <v>0</v>
      </c>
      <c r="J128" s="17">
        <v>0</v>
      </c>
      <c r="K128" s="17">
        <v>0</v>
      </c>
      <c r="L128" s="17">
        <v>9</v>
      </c>
      <c r="M128" s="17">
        <v>0</v>
      </c>
      <c r="N128" s="17">
        <v>9</v>
      </c>
      <c r="O128" s="17">
        <v>9</v>
      </c>
      <c r="P128" s="17">
        <v>0</v>
      </c>
      <c r="Q128" s="17">
        <v>0</v>
      </c>
      <c r="R128" s="17">
        <v>7</v>
      </c>
      <c r="S128" s="17">
        <v>0</v>
      </c>
      <c r="T128" s="17">
        <v>10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7">
        <v>0</v>
      </c>
      <c r="AI128" s="17">
        <v>0</v>
      </c>
      <c r="AJ128" s="17">
        <v>0</v>
      </c>
      <c r="AK128" s="17">
        <v>0</v>
      </c>
      <c r="AL128" s="17">
        <v>0</v>
      </c>
      <c r="AM128" s="17">
        <v>0</v>
      </c>
      <c r="AN128" s="17">
        <v>0</v>
      </c>
      <c r="AO128" s="17">
        <v>0</v>
      </c>
      <c r="AP128" s="17">
        <v>0</v>
      </c>
      <c r="AQ128" s="17">
        <v>0</v>
      </c>
      <c r="AR128" s="17">
        <v>0</v>
      </c>
      <c r="AS128" s="17">
        <v>14</v>
      </c>
      <c r="AT128" s="17">
        <v>0</v>
      </c>
      <c r="AU128" s="17">
        <v>0</v>
      </c>
      <c r="AV128" s="17">
        <v>0</v>
      </c>
      <c r="AW128" s="17">
        <v>10</v>
      </c>
      <c r="AX128" s="17">
        <v>0</v>
      </c>
      <c r="AY128" s="17">
        <v>0</v>
      </c>
      <c r="AZ128" s="17">
        <v>0</v>
      </c>
      <c r="BA128" s="17">
        <v>0</v>
      </c>
      <c r="BB128" s="17">
        <v>12</v>
      </c>
      <c r="BC128" s="17">
        <v>14</v>
      </c>
      <c r="BD128" s="17">
        <v>0</v>
      </c>
      <c r="BE128" s="17">
        <v>10</v>
      </c>
      <c r="BF128" s="17">
        <v>0</v>
      </c>
      <c r="BG128" s="17">
        <v>0</v>
      </c>
      <c r="BH128" s="17">
        <v>6</v>
      </c>
      <c r="BI128" s="17">
        <v>0</v>
      </c>
      <c r="BJ128" s="17">
        <v>2</v>
      </c>
      <c r="BK128" s="17">
        <f>=BJ127*(1-BK$43)</f>
        <v>0</v>
      </c>
      <c r="BL128" s="67">
        <f>=BK127*(1-BL$43)</f>
        <v>0</v>
      </c>
      <c r="BM128" s="67">
        <f>=BL127*(1-BM$43)</f>
        <v>0</v>
      </c>
      <c r="BN128" s="67">
        <f>=BM127*(1-BN$43)</f>
        <v>0</v>
      </c>
      <c r="BO128" s="67">
        <f>=BN127*(1-BO$43)</f>
        <v>0</v>
      </c>
      <c r="BP128" s="67">
        <f>=BO127*(1-BP$43)</f>
        <v>0</v>
      </c>
      <c r="BQ128" s="67">
        <f>=BP127*(1-BQ$43)</f>
        <v>0</v>
      </c>
      <c r="BR128" s="67">
        <f>=BQ127*(1-BR$43)</f>
        <v>0</v>
      </c>
      <c r="BS128" s="67">
        <f>=BR127*(1-BS$43)</f>
        <v>0</v>
      </c>
      <c r="BT128" s="67">
        <f>=BS127*(1-BT$43)</f>
        <v>0</v>
      </c>
      <c r="BU128" s="67">
        <f>=BT127*(1-BU$43)</f>
        <v>0</v>
      </c>
      <c r="BV128" s="67">
        <f>=BU127*(1-BV$43)</f>
        <v>0</v>
      </c>
      <c r="BW128" s="67">
        <f>=BV127*(1-BW$43)</f>
        <v>0</v>
      </c>
      <c r="BX128" s="67">
        <f>=BW127*(1-BX$43)</f>
        <v>0</v>
      </c>
      <c r="BY128" s="67">
        <f>=BX127*(1-BY$43)</f>
        <v>0</v>
      </c>
      <c r="BZ128" s="90">
        <f>=BY127*(1-BZ$43)</f>
        <v>0</v>
      </c>
      <c r="CA128" s="90">
        <f>=BZ127*(1-CA$43)</f>
        <v>0</v>
      </c>
      <c r="CB128" s="90">
        <f>=CA127*(1-CB$43)</f>
        <v>0</v>
      </c>
      <c r="CC128" s="90">
        <f>=CB127*(1-CC$43)</f>
        <v>0</v>
      </c>
      <c r="CD128" s="90">
        <f>=CC127*(1-CD$43)</f>
        <v>0</v>
      </c>
      <c r="CE128" s="90">
        <f>=CD127*(1-CE$43)</f>
        <v>0</v>
      </c>
      <c r="CF128" s="90">
        <f>=CE127*(1-CF$43)</f>
        <v>0</v>
      </c>
      <c r="CG128" s="90">
        <f>=CF127*(1-CG$43)</f>
        <v>0</v>
      </c>
      <c r="CH128" s="90">
        <f>=CG127*(1-CH$43)</f>
        <v>0</v>
      </c>
      <c r="CI128" s="90">
        <f>=CH127*(1-CI$43)</f>
        <v>0</v>
      </c>
      <c r="CJ128" s="90">
        <f>=CI127*(1-CJ$43)</f>
        <v>0</v>
      </c>
      <c r="CK128" s="90">
        <f>=CJ127*(1-CK$43)</f>
        <v>0</v>
      </c>
      <c r="CL128" s="90">
        <f>=CK127*(1-CL$43)</f>
        <v>0</v>
      </c>
      <c r="CM128" s="90">
        <f>=CL127*(1-CM$43)</f>
        <v>0</v>
      </c>
      <c r="CN128" s="90">
        <f>=CM127*(1-CN$43)</f>
        <v>0</v>
      </c>
      <c r="CO128" s="90">
        <f>=CN127*(1-CO$43)</f>
        <v>0</v>
      </c>
      <c r="CP128" s="90">
        <f>=CO127*(1-CP$43)</f>
        <v>0</v>
      </c>
      <c r="CQ128" s="90">
        <f>=CP127*(1-CQ$43)</f>
        <v>0</v>
      </c>
      <c r="CR128" s="90">
        <f>=CQ127*(1-CR$43)</f>
        <v>0</v>
      </c>
      <c r="CS128" s="90">
        <f>=CR127*(1-CS$43)</f>
        <v>0</v>
      </c>
      <c r="CT128" s="90">
        <f>=CS127*(1-CT$43)</f>
        <v>0</v>
      </c>
      <c r="CU128" s="90">
        <f>=CT127*(1-CU$43)</f>
        <v>0</v>
      </c>
      <c r="CV128" s="90">
        <f>=CU127*(1-CV$43)</f>
        <v>0</v>
      </c>
      <c r="CW128" s="90">
        <f>=CV127*(1-CW$43)</f>
        <v>0</v>
      </c>
      <c r="CX128" s="90">
        <f>=CW127*(1-CX$43)</f>
        <v>0</v>
      </c>
      <c r="CY128" s="90">
        <f>=CX127*(1-CY$43)</f>
        <v>0</v>
      </c>
      <c r="CZ128" s="90">
        <f>=CY127*(1-CZ$43)</f>
        <v>0</v>
      </c>
      <c r="DA128" s="90">
        <f>=CZ127*(1-DA$43)</f>
        <v>0</v>
      </c>
      <c r="DB128" s="90">
        <f>=DA127*(1-DB$43)</f>
        <v>0</v>
      </c>
    </row>
    <row r="129" ht="18" customHeight="1" spans="3:106" x14ac:dyDescent="0.25"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  <c r="BA129" s="30"/>
      <c r="BB129" s="30"/>
      <c r="BC129" s="30"/>
      <c r="BD129" s="30"/>
      <c r="BE129" s="30"/>
      <c r="BF129" s="30"/>
      <c r="BG129" s="30"/>
      <c r="BH129" s="30"/>
      <c r="BI129" s="30"/>
      <c r="BJ129" s="30"/>
      <c r="BK129" s="30"/>
      <c r="BL129" s="30"/>
      <c r="BM129" s="30"/>
      <c r="BN129" s="30"/>
      <c r="BO129" s="30"/>
      <c r="BP129" s="30"/>
      <c r="BQ129" s="30"/>
      <c r="BR129" s="30"/>
      <c r="BS129" s="30"/>
      <c r="BT129" s="30"/>
      <c r="BU129" s="30"/>
      <c r="BV129" s="30"/>
      <c r="BW129" s="30"/>
      <c r="BX129" s="30"/>
      <c r="BY129" s="30"/>
      <c r="BZ129" s="30"/>
      <c r="CA129" s="30"/>
      <c r="CB129" s="30"/>
      <c r="CC129" s="30"/>
      <c r="CD129" s="30"/>
      <c r="CE129" s="30"/>
      <c r="CF129" s="30"/>
      <c r="CG129" s="30"/>
      <c r="CH129" s="30"/>
      <c r="CI129" s="30"/>
      <c r="CJ129" s="30"/>
      <c r="CK129" s="30"/>
      <c r="CL129" s="30"/>
      <c r="CM129" s="30"/>
      <c r="CN129" s="30"/>
      <c r="CO129" s="30"/>
      <c r="CP129" s="30"/>
      <c r="CQ129" s="30"/>
      <c r="CR129" s="30"/>
      <c r="CS129" s="30"/>
      <c r="CT129" s="30"/>
      <c r="CU129" s="30"/>
      <c r="CV129" s="30"/>
      <c r="CW129" s="30"/>
      <c r="CX129" s="30"/>
      <c r="CY129" s="30"/>
      <c r="CZ129" s="30"/>
      <c r="DA129" s="30"/>
      <c r="DB129" s="30"/>
    </row>
    <row r="130" ht="18" customHeight="1" spans="1:106" x14ac:dyDescent="0.25">
      <c r="A130" s="9" t="s">
        <v>345</v>
      </c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  <c r="AV130" s="30"/>
      <c r="AW130" s="30"/>
      <c r="AX130" s="30"/>
      <c r="AY130" s="30"/>
      <c r="AZ130" s="30"/>
      <c r="BA130" s="30"/>
      <c r="BB130" s="30"/>
      <c r="BC130" s="30"/>
      <c r="BD130" s="30"/>
      <c r="BE130" s="30"/>
      <c r="BF130" s="30"/>
      <c r="BG130" s="30"/>
      <c r="BH130" s="30"/>
      <c r="BI130" s="30"/>
      <c r="BJ130" s="30"/>
      <c r="BK130" s="30"/>
      <c r="BL130" s="30"/>
      <c r="BM130" s="30"/>
      <c r="BN130" s="30"/>
      <c r="BO130" s="30"/>
      <c r="BP130" s="30"/>
      <c r="BQ130" s="30"/>
      <c r="BR130" s="30"/>
      <c r="BS130" s="30"/>
      <c r="BT130" s="30"/>
      <c r="BU130" s="30"/>
      <c r="BV130" s="30"/>
      <c r="BW130" s="30"/>
      <c r="BX130" s="30"/>
      <c r="BY130" s="30"/>
      <c r="BZ130" s="30"/>
      <c r="CA130" s="30"/>
      <c r="CB130" s="30"/>
      <c r="CC130" s="30"/>
      <c r="CD130" s="30"/>
      <c r="CE130" s="30"/>
      <c r="CF130" s="30"/>
      <c r="CG130" s="30"/>
      <c r="CH130" s="30"/>
      <c r="CI130" s="30"/>
      <c r="CJ130" s="30"/>
      <c r="CK130" s="30"/>
      <c r="CL130" s="30"/>
      <c r="CM130" s="30"/>
      <c r="CN130" s="30"/>
      <c r="CO130" s="30"/>
      <c r="CP130" s="30"/>
      <c r="CQ130" s="30"/>
      <c r="CR130" s="30"/>
      <c r="CS130" s="30"/>
      <c r="CT130" s="30"/>
      <c r="CU130" s="30"/>
      <c r="CV130" s="30"/>
      <c r="CW130" s="30"/>
      <c r="CX130" s="30"/>
      <c r="CY130" s="30"/>
      <c r="CZ130" s="30"/>
      <c r="DA130" s="30"/>
      <c r="DB130" s="30"/>
    </row>
    <row r="131" ht="18" customHeight="1" spans="1:106" x14ac:dyDescent="0.25">
      <c r="A131" s="68" t="s">
        <v>346</v>
      </c>
      <c r="C131" s="19">
        <f>=C8</f>
        <v>4517</v>
      </c>
      <c r="D131" s="19">
        <f>=D8</f>
        <v>4767</v>
      </c>
      <c r="E131" s="19">
        <f>=E8</f>
        <v>4757</v>
      </c>
      <c r="F131" s="19">
        <f>=F8</f>
        <v>4950</v>
      </c>
      <c r="G131" s="19">
        <f>=G8</f>
        <v>4946</v>
      </c>
      <c r="H131" s="19">
        <f>=H8</f>
        <v>5032</v>
      </c>
      <c r="I131" s="19">
        <f>=I8</f>
        <v>5026</v>
      </c>
      <c r="J131" s="19">
        <f>=J8</f>
        <v>4840</v>
      </c>
      <c r="K131" s="19">
        <f>=K8</f>
        <v>4842</v>
      </c>
      <c r="L131" s="19">
        <f>=L8</f>
        <v>4313</v>
      </c>
      <c r="M131" s="19">
        <f>=M8</f>
        <v>4114</v>
      </c>
      <c r="N131" s="19">
        <f>=N8</f>
        <v>3692</v>
      </c>
      <c r="O131" s="19">
        <f>=O8</f>
        <v>3682</v>
      </c>
      <c r="P131" s="19">
        <f>=P8</f>
        <v>3698</v>
      </c>
      <c r="Q131" s="19">
        <f>=Q8</f>
        <v>3694</v>
      </c>
      <c r="R131" s="19">
        <f>=R8</f>
        <v>3694</v>
      </c>
      <c r="S131" s="19">
        <f>=S8</f>
        <v>3507</v>
      </c>
      <c r="T131" s="19">
        <f>=T8</f>
        <v>3509</v>
      </c>
      <c r="U131" s="19">
        <f>=U8</f>
        <v>3489</v>
      </c>
      <c r="V131" s="19">
        <f>=V8</f>
        <v>3489</v>
      </c>
      <c r="W131" s="19">
        <f>=W8</f>
        <v>3489</v>
      </c>
      <c r="X131" s="19">
        <f>=X8</f>
        <v>3489</v>
      </c>
      <c r="Y131" s="19">
        <f>=Y8</f>
        <v>3485</v>
      </c>
      <c r="Z131" s="19">
        <f>=Z8</f>
        <v>3485</v>
      </c>
      <c r="AA131" s="19">
        <f>=AA8</f>
        <v>3485</v>
      </c>
      <c r="AB131" s="19">
        <f>=AB8</f>
        <v>3485</v>
      </c>
      <c r="AC131" s="19">
        <f>=AC8</f>
        <v>3152</v>
      </c>
      <c r="AD131" s="19">
        <f>=AD8</f>
        <v>2793</v>
      </c>
      <c r="AE131" s="19">
        <f>=AE8</f>
        <v>2793</v>
      </c>
      <c r="AF131" s="19">
        <f>=AF8</f>
        <v>2793</v>
      </c>
      <c r="AG131" s="19">
        <f>=AG8</f>
        <v>2790</v>
      </c>
      <c r="AH131" s="19">
        <f>=AH8</f>
        <v>2787</v>
      </c>
      <c r="AI131" s="19">
        <f>=AI8</f>
        <v>2778</v>
      </c>
      <c r="AJ131" s="19">
        <f>=AJ8</f>
        <v>2787</v>
      </c>
      <c r="AK131" s="19">
        <f>=AK8</f>
        <v>2780</v>
      </c>
      <c r="AL131" s="19">
        <f>=AL8</f>
        <v>2799</v>
      </c>
      <c r="AM131" s="19">
        <f>=AM8</f>
        <v>2799</v>
      </c>
      <c r="AN131" s="19">
        <f>=AN8</f>
        <v>2799</v>
      </c>
      <c r="AO131" s="19">
        <f>=AO8</f>
        <v>2799</v>
      </c>
      <c r="AP131" s="19">
        <f>=AP8</f>
        <v>3050</v>
      </c>
      <c r="AQ131" s="19">
        <f>=AQ8</f>
        <v>3046</v>
      </c>
      <c r="AR131" s="19">
        <f>=AR8</f>
        <v>3046</v>
      </c>
      <c r="AS131" s="19">
        <f>=AS8</f>
        <v>3046</v>
      </c>
      <c r="AT131" s="19">
        <f>=AT8</f>
        <v>3052</v>
      </c>
      <c r="AU131" s="19">
        <f>=AU8</f>
        <v>3051</v>
      </c>
      <c r="AV131" s="19">
        <f>=AV8</f>
        <v>3051</v>
      </c>
      <c r="AW131" s="19">
        <f>=AW8</f>
        <v>3052</v>
      </c>
      <c r="AX131" s="19">
        <f>=AX8</f>
        <v>3051</v>
      </c>
      <c r="AY131" s="19">
        <f>=AY8</f>
        <v>3964</v>
      </c>
      <c r="AZ131" s="19">
        <f>=AZ8</f>
        <v>4144</v>
      </c>
      <c r="BA131" s="19">
        <f>=BA8</f>
        <v>4144</v>
      </c>
      <c r="BB131" s="19">
        <f>=BB8</f>
        <v>4144</v>
      </c>
      <c r="BC131" s="19">
        <f>=BC8</f>
        <v>4145</v>
      </c>
      <c r="BD131" s="19">
        <f>=BD8</f>
        <v>4146</v>
      </c>
      <c r="BE131" s="19">
        <f>=BE8</f>
        <v>4146</v>
      </c>
      <c r="BF131" s="19">
        <f>=BF8</f>
        <v>4145</v>
      </c>
      <c r="BG131" s="19">
        <f>=BG8</f>
        <v>4144</v>
      </c>
      <c r="BH131" s="19">
        <f>=BH8</f>
        <v>4139</v>
      </c>
      <c r="BI131" s="19">
        <f>=BI8</f>
        <v>4139</v>
      </c>
      <c r="BJ131" s="19">
        <f>=BJ8</f>
        <v>4139</v>
      </c>
      <c r="BK131" s="19">
        <f>=BK8</f>
        <v>4139</v>
      </c>
      <c r="BL131" s="19">
        <f>=BL8</f>
        <v>3421</v>
      </c>
      <c r="BM131" s="19">
        <f>=BM8</f>
        <v>2878</v>
      </c>
      <c r="BN131" s="19">
        <f>=BN8</f>
        <v>2518</v>
      </c>
      <c r="BO131" s="19">
        <f>=BO8</f>
        <v>2338</v>
      </c>
      <c r="BP131" s="19">
        <f>=BP8</f>
        <v>2159</v>
      </c>
      <c r="BQ131" s="19">
        <f>=BQ8</f>
        <v>1796</v>
      </c>
      <c r="BR131" s="19">
        <f>=BR8</f>
        <v>1796</v>
      </c>
      <c r="BS131" s="19">
        <f>=BS8</f>
        <v>1796</v>
      </c>
      <c r="BT131" s="19">
        <f>=BT8</f>
        <v>1795</v>
      </c>
      <c r="BU131" s="19">
        <f>=BU8</f>
        <v>1438</v>
      </c>
      <c r="BV131" s="19">
        <f>=BV8</f>
        <v>1438</v>
      </c>
      <c r="BW131" s="19">
        <f>=BW8</f>
        <v>1438</v>
      </c>
      <c r="BX131" s="19">
        <f>=BX8</f>
        <v>1438</v>
      </c>
      <c r="BY131" s="19">
        <f>=BY8</f>
        <v>1401</v>
      </c>
      <c r="BZ131" s="19">
        <f>=BZ8</f>
        <v>1404</v>
      </c>
      <c r="CA131" s="19">
        <f>=CA8</f>
        <v>1404</v>
      </c>
      <c r="CB131" s="19">
        <f>=CB8</f>
        <v>1403</v>
      </c>
      <c r="CC131" s="19">
        <f>=CC8</f>
        <v>1403</v>
      </c>
      <c r="CD131" s="19">
        <f>=CD8</f>
        <v>1402</v>
      </c>
      <c r="CE131" s="19">
        <f>=CE8</f>
        <v>1403</v>
      </c>
      <c r="CF131" s="19">
        <f>=CF8</f>
        <v>1052</v>
      </c>
      <c r="CG131" s="19">
        <f>=CG8</f>
        <v>1052</v>
      </c>
      <c r="CH131" s="19">
        <f>=CH8</f>
        <v>1402</v>
      </c>
      <c r="CI131" s="19">
        <f>=CI8</f>
        <v>1402</v>
      </c>
      <c r="CJ131" s="19">
        <f>=CJ8</f>
        <v>1402</v>
      </c>
      <c r="CK131" s="19">
        <f>=CK8</f>
        <v>1402</v>
      </c>
      <c r="CL131" s="19">
        <f>=CL8</f>
        <v>1576</v>
      </c>
      <c r="CM131" s="19">
        <f>=CM8</f>
        <v>1576</v>
      </c>
      <c r="CN131" s="19">
        <f>=CN8</f>
        <v>1576</v>
      </c>
      <c r="CO131" s="19">
        <f>=CO8</f>
        <v>1753</v>
      </c>
      <c r="CP131" s="19">
        <f>=CP8</f>
        <v>1754</v>
      </c>
      <c r="CQ131" s="19">
        <f>=CQ8</f>
        <v>2109</v>
      </c>
      <c r="CR131" s="19">
        <f>=CR8</f>
        <v>2109</v>
      </c>
      <c r="CS131" s="19">
        <f>=CS8</f>
        <v>2109</v>
      </c>
      <c r="CT131" s="19">
        <f>=CT8</f>
        <v>2103</v>
      </c>
      <c r="CU131" s="19">
        <f>=CU8</f>
        <v>2458</v>
      </c>
      <c r="CV131" s="19">
        <f>=CV8</f>
        <v>2458</v>
      </c>
      <c r="CW131" s="19">
        <f>=CW8</f>
        <v>2458</v>
      </c>
      <c r="CX131" s="19">
        <f>=CX8</f>
        <v>2458</v>
      </c>
      <c r="CY131" s="19">
        <f>=CY8</f>
        <v>2811</v>
      </c>
      <c r="CZ131" s="19">
        <f>=CZ8</f>
        <v>2809</v>
      </c>
      <c r="DA131" s="19">
        <f>=DA8</f>
        <v>2809</v>
      </c>
      <c r="DB131" s="19">
        <f>=DB8</f>
        <v>3160</v>
      </c>
    </row>
    <row r="132" ht="18" customHeight="1" spans="1:106" x14ac:dyDescent="0.25">
      <c r="A132" s="68" t="s">
        <v>347</v>
      </c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50">
        <v>4318</v>
      </c>
      <c r="AD132" s="50">
        <v>4271</v>
      </c>
      <c r="AE132" s="50">
        <v>3990</v>
      </c>
      <c r="AF132" s="50">
        <v>3876</v>
      </c>
      <c r="AG132" s="50">
        <v>3761</v>
      </c>
      <c r="AH132" s="50">
        <v>3659</v>
      </c>
      <c r="AI132" s="50">
        <v>3804</v>
      </c>
      <c r="AJ132" s="50">
        <v>3654</v>
      </c>
      <c r="AK132" s="50">
        <v>3639</v>
      </c>
      <c r="AL132" s="50">
        <v>3480</v>
      </c>
      <c r="AM132" s="50">
        <v>3471</v>
      </c>
      <c r="AN132" s="50">
        <v>3415</v>
      </c>
      <c r="AO132" s="50">
        <v>3895</v>
      </c>
      <c r="AP132" s="50">
        <v>3713</v>
      </c>
      <c r="AQ132" s="50">
        <v>3791</v>
      </c>
      <c r="AR132" s="50">
        <v>3793</v>
      </c>
      <c r="AS132" s="50">
        <v>3861</v>
      </c>
      <c r="AT132" s="50">
        <v>4034</v>
      </c>
      <c r="AU132" s="50">
        <v>4355</v>
      </c>
      <c r="AV132" s="50">
        <v>4101</v>
      </c>
      <c r="AW132" s="50">
        <v>4056</v>
      </c>
      <c r="AX132" s="50">
        <v>4637</v>
      </c>
      <c r="AY132" s="50">
        <v>5027</v>
      </c>
      <c r="AZ132" s="50">
        <v>5149</v>
      </c>
      <c r="BA132" s="50">
        <v>5383</v>
      </c>
      <c r="BB132" s="50">
        <v>5245</v>
      </c>
      <c r="BC132" s="50">
        <v>5069</v>
      </c>
      <c r="BD132" s="50">
        <v>5337</v>
      </c>
      <c r="BE132" s="50">
        <v>5272</v>
      </c>
      <c r="BF132" s="50">
        <v>5362</v>
      </c>
      <c r="BG132" s="50">
        <v>5541</v>
      </c>
      <c r="BH132" s="50">
        <v>5264</v>
      </c>
      <c r="BI132" s="50">
        <v>5234</v>
      </c>
      <c r="BJ132" s="50">
        <v>5263</v>
      </c>
      <c r="BK132" s="50">
        <v>5198</v>
      </c>
      <c r="BL132" s="50">
        <v>5112</v>
      </c>
      <c r="BM132" s="50">
        <v>3603</v>
      </c>
      <c r="BN132" s="69">
        <v>3462</v>
      </c>
      <c r="BO132" s="69">
        <v>3192</v>
      </c>
      <c r="BP132" s="69">
        <v>3143</v>
      </c>
      <c r="BQ132" s="69">
        <v>2543</v>
      </c>
      <c r="BR132" s="69">
        <v>2428</v>
      </c>
      <c r="BS132" s="69">
        <v>2393</v>
      </c>
      <c r="BT132" s="69">
        <v>2450</v>
      </c>
      <c r="BU132" s="69">
        <v>1997</v>
      </c>
      <c r="BV132" s="69">
        <v>2030</v>
      </c>
      <c r="BW132" s="69">
        <v>2025</v>
      </c>
      <c r="BX132" s="30"/>
      <c r="BY132" s="30"/>
      <c r="BZ132" s="30"/>
      <c r="CA132" s="30"/>
      <c r="CB132" s="30"/>
      <c r="CC132" s="30"/>
      <c r="CD132" s="30"/>
      <c r="CE132" s="30"/>
      <c r="CF132" s="30"/>
      <c r="CG132" s="30"/>
      <c r="CH132" s="30"/>
      <c r="CI132" s="30"/>
      <c r="CJ132" s="30"/>
      <c r="CK132" s="30"/>
      <c r="CL132" s="30"/>
      <c r="CM132" s="30"/>
      <c r="CN132" s="30"/>
      <c r="CO132" s="30"/>
      <c r="CP132" s="30"/>
      <c r="CQ132" s="30"/>
      <c r="CR132" s="30"/>
      <c r="CS132" s="30"/>
      <c r="CT132" s="30"/>
      <c r="CU132" s="30"/>
      <c r="CV132" s="30"/>
      <c r="CW132" s="30"/>
      <c r="CX132" s="30"/>
      <c r="CY132" s="30"/>
      <c r="CZ132" s="30"/>
      <c r="DA132" s="30"/>
      <c r="DB132" s="30"/>
    </row>
    <row r="133" ht="18" customHeight="1" spans="1:106" x14ac:dyDescent="0.25">
      <c r="A133" s="68" t="s">
        <v>348</v>
      </c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50">
        <v>2958</v>
      </c>
      <c r="AD133" s="50">
        <v>3274</v>
      </c>
      <c r="AE133" s="50">
        <v>2917</v>
      </c>
      <c r="AF133" s="50">
        <v>2846</v>
      </c>
      <c r="AG133" s="50">
        <v>2889</v>
      </c>
      <c r="AH133" s="50">
        <v>2746</v>
      </c>
      <c r="AI133" s="50">
        <v>2940</v>
      </c>
      <c r="AJ133" s="50">
        <v>2980</v>
      </c>
      <c r="AK133" s="50">
        <v>2861</v>
      </c>
      <c r="AL133" s="50">
        <v>2668</v>
      </c>
      <c r="AM133" s="50">
        <v>2702</v>
      </c>
      <c r="AN133" s="50">
        <v>2625</v>
      </c>
      <c r="AO133" s="50">
        <v>2935</v>
      </c>
      <c r="AP133" s="50">
        <v>3006</v>
      </c>
      <c r="AQ133" s="50">
        <v>3045</v>
      </c>
      <c r="AR133" s="50">
        <v>3160</v>
      </c>
      <c r="AS133" s="50">
        <v>2992</v>
      </c>
      <c r="AT133" s="50">
        <v>3087</v>
      </c>
      <c r="AU133" s="50">
        <v>3502</v>
      </c>
      <c r="AV133" s="50">
        <v>3361</v>
      </c>
      <c r="AW133" s="50">
        <v>3195</v>
      </c>
      <c r="AX133" s="50">
        <v>3655</v>
      </c>
      <c r="AY133" s="50">
        <v>4013</v>
      </c>
      <c r="AZ133" s="50">
        <v>4006</v>
      </c>
      <c r="BA133" s="50">
        <v>4219</v>
      </c>
      <c r="BB133" s="50">
        <v>4293</v>
      </c>
      <c r="BC133" s="50">
        <v>4154</v>
      </c>
      <c r="BD133" s="50">
        <v>4314</v>
      </c>
      <c r="BE133" s="50">
        <v>4128</v>
      </c>
      <c r="BF133" s="50">
        <v>4241</v>
      </c>
      <c r="BG133" s="50">
        <v>4300</v>
      </c>
      <c r="BH133" s="50">
        <v>4184</v>
      </c>
      <c r="BI133" s="50">
        <v>4317</v>
      </c>
      <c r="BJ133" s="50">
        <v>4356</v>
      </c>
      <c r="BK133" s="50">
        <v>4220</v>
      </c>
      <c r="BL133" s="50">
        <v>4083</v>
      </c>
      <c r="BM133" s="50">
        <v>2938</v>
      </c>
      <c r="BN133" s="69">
        <v>2832</v>
      </c>
      <c r="BO133" s="69">
        <v>2640</v>
      </c>
      <c r="BP133" s="69">
        <v>2563</v>
      </c>
      <c r="BQ133" s="69">
        <v>2148</v>
      </c>
      <c r="BR133" s="69">
        <v>1966</v>
      </c>
      <c r="BS133" s="69">
        <v>1917</v>
      </c>
      <c r="BT133" s="69">
        <v>1713</v>
      </c>
      <c r="BU133" s="69">
        <v>1642</v>
      </c>
      <c r="BV133" s="69">
        <v>1671</v>
      </c>
      <c r="BW133" s="69">
        <v>1667</v>
      </c>
      <c r="BX133" s="30"/>
      <c r="BY133" s="30"/>
      <c r="BZ133" s="30"/>
      <c r="CA133" s="30"/>
      <c r="CB133" s="30"/>
      <c r="CC133" s="30"/>
      <c r="CD133" s="30"/>
      <c r="CE133" s="30"/>
      <c r="CF133" s="30"/>
      <c r="CG133" s="30"/>
      <c r="CH133" s="30"/>
      <c r="CI133" s="30"/>
      <c r="CJ133" s="30"/>
      <c r="CK133" s="30"/>
      <c r="CL133" s="30"/>
      <c r="CM133" s="30"/>
      <c r="CN133" s="30"/>
      <c r="CO133" s="30"/>
      <c r="CP133" s="30"/>
      <c r="CQ133" s="30"/>
      <c r="CR133" s="30"/>
      <c r="CS133" s="30"/>
      <c r="CT133" s="30"/>
      <c r="CU133" s="30"/>
      <c r="CV133" s="30"/>
      <c r="CW133" s="30"/>
      <c r="CX133" s="30"/>
      <c r="CY133" s="30"/>
      <c r="CZ133" s="30"/>
      <c r="DA133" s="30"/>
      <c r="DB133" s="30"/>
    </row>
    <row r="134" ht="18" customHeight="1" spans="1:106" x14ac:dyDescent="0.25">
      <c r="A134" s="70" t="s">
        <v>349</v>
      </c>
      <c r="C134" s="31">
        <f>=IFERROR(C133/C131,0)</f>
        <v>0</v>
      </c>
      <c r="D134" s="31">
        <f>=IFERROR(D133/D131,0)</f>
        <v>0</v>
      </c>
      <c r="E134" s="31">
        <f>=IFERROR(E133/E131,0)</f>
        <v>0</v>
      </c>
      <c r="F134" s="31">
        <f>=IFERROR(F133/F131,0)</f>
        <v>0</v>
      </c>
      <c r="G134" s="31">
        <f>=IFERROR(G133/G131,0)</f>
        <v>0</v>
      </c>
      <c r="H134" s="31">
        <f>=IFERROR(H133/H131,0)</f>
        <v>0</v>
      </c>
      <c r="I134" s="31">
        <f>=IFERROR(I133/I131,0)</f>
        <v>0</v>
      </c>
      <c r="J134" s="31">
        <f>=IFERROR(J133/J131,0)</f>
        <v>0</v>
      </c>
      <c r="K134" s="31">
        <f>=IFERROR(K133/K131,0)</f>
        <v>0</v>
      </c>
      <c r="L134" s="31">
        <f>=IFERROR(L133/L131,0)</f>
        <v>0</v>
      </c>
      <c r="M134" s="31">
        <f>=IFERROR(M133/M131,0)</f>
        <v>0</v>
      </c>
      <c r="N134" s="31">
        <f>=IFERROR(N133/N131,0)</f>
        <v>0</v>
      </c>
      <c r="O134" s="31">
        <f>=IFERROR(O133/O131,0)</f>
        <v>0</v>
      </c>
      <c r="P134" s="31">
        <f>=IFERROR(P133/P131,0)</f>
        <v>0</v>
      </c>
      <c r="Q134" s="31">
        <f>=IFERROR(Q133/Q131,0)</f>
        <v>0</v>
      </c>
      <c r="R134" s="31">
        <f>=IFERROR(R133/R131,0)</f>
        <v>0</v>
      </c>
      <c r="S134" s="31">
        <f>=IFERROR(S133/S131,0)</f>
        <v>0</v>
      </c>
      <c r="T134" s="31">
        <f>=IFERROR(T133/T131,0)</f>
        <v>0</v>
      </c>
      <c r="U134" s="31">
        <f>=IFERROR(U133/U131,0)</f>
        <v>0</v>
      </c>
      <c r="V134" s="31">
        <f>=IFERROR(V133/V131,0)</f>
        <v>0</v>
      </c>
      <c r="W134" s="31">
        <f>=IFERROR(W133/W131,0)</f>
        <v>0</v>
      </c>
      <c r="X134" s="31">
        <f>=IFERROR(X133/X131,0)</f>
        <v>0</v>
      </c>
      <c r="Y134" s="31">
        <f>=IFERROR(Y133/Y131,0)</f>
        <v>0</v>
      </c>
      <c r="Z134" s="31">
        <f>=IFERROR(Z133/Z131,0)</f>
        <v>0</v>
      </c>
      <c r="AA134" s="31">
        <f>=IFERROR(AA133/AA131,0)</f>
        <v>0</v>
      </c>
      <c r="AB134" s="31">
        <f>=IFERROR(AB133/AB131,0)</f>
        <v>0</v>
      </c>
      <c r="AC134" s="31">
        <f>=IFERROR(AC133/AC131,0)</f>
        <v>0.9384517766497462</v>
      </c>
      <c r="AD134" s="31">
        <f>=IFERROR(AD133/AD131,0)</f>
        <v>1.172216254923022</v>
      </c>
      <c r="AE134" s="31">
        <f>=IFERROR(AE133/AE131,0)</f>
        <v>1.0443967060508415</v>
      </c>
      <c r="AF134" s="31">
        <f>=IFERROR(AF133/AF131,0)</f>
        <v>1.0189760114572144</v>
      </c>
      <c r="AG134" s="31">
        <f>=IFERROR(AG133/AG131,0)</f>
        <v>1.0354838709677419</v>
      </c>
      <c r="AH134" s="31">
        <f>=IFERROR(AH133/AH131,0)</f>
        <v>0.9852888410477215</v>
      </c>
      <c r="AI134" s="31">
        <f>=IFERROR(AI133/AI131,0)</f>
        <v>1.0583153347732182</v>
      </c>
      <c r="AJ134" s="31">
        <f>=IFERROR(AJ133/AJ131,0)</f>
        <v>1.0692500897021888</v>
      </c>
      <c r="AK134" s="31">
        <f>=IFERROR(AK133/AK131,0)</f>
        <v>1.029136690647482</v>
      </c>
      <c r="AL134" s="31">
        <f>=IFERROR(AL133/AL131,0)</f>
        <v>0.9531975705609146</v>
      </c>
      <c r="AM134" s="31">
        <f>=IFERROR(AM133/AM131,0)</f>
        <v>0.9653447659878528</v>
      </c>
      <c r="AN134" s="31">
        <f>=IFERROR(AN133/AN131,0)</f>
        <v>0.9378349410503751</v>
      </c>
      <c r="AO134" s="31">
        <f>=IFERROR(AO133/AO131,0)</f>
        <v>1.0485887817077528</v>
      </c>
      <c r="AP134" s="31">
        <f>=IFERROR(AP133/AP131,0)</f>
        <v>0.9855737704918033</v>
      </c>
      <c r="AQ134" s="31">
        <f>=IFERROR(AQ133/AQ131,0)</f>
        <v>0.9996717005909389</v>
      </c>
      <c r="AR134" s="31">
        <f>=IFERROR(AR133/AR131,0)</f>
        <v>1.0374261326329612</v>
      </c>
      <c r="AS134" s="31">
        <f>=IFERROR(AS133/AS131,0)</f>
        <v>0.9822718319107026</v>
      </c>
      <c r="AT134" s="31">
        <f>=IFERROR(AT133/AT131,0)</f>
        <v>1.011467889908257</v>
      </c>
      <c r="AU134" s="31">
        <f>=IFERROR(AU133/AU131,0)</f>
        <v>1.1478203867584398</v>
      </c>
      <c r="AV134" s="31">
        <f>=IFERROR(AV133/AV131,0)</f>
        <v>1.1016060308095705</v>
      </c>
      <c r="AW134" s="31">
        <f>=IFERROR(AW133/AW131,0)</f>
        <v>1.046854521625164</v>
      </c>
      <c r="AX134" s="31">
        <f>=IFERROR(AX133/AX131,0)</f>
        <v>1.1979678793838087</v>
      </c>
      <c r="AY134" s="31">
        <f>=IFERROR(AY133/AY131,0)</f>
        <v>1.0123612512613522</v>
      </c>
      <c r="AZ134" s="31">
        <f>=IFERROR(AZ133/AZ131,0)</f>
        <v>0.9666988416988417</v>
      </c>
      <c r="BA134" s="31">
        <f>=IFERROR(BA133/BA131,0)</f>
        <v>1.0180984555984556</v>
      </c>
      <c r="BB134" s="31">
        <f>=IFERROR(BB133/BB131,0)</f>
        <v>1.0359555984555984</v>
      </c>
      <c r="BC134" s="31">
        <f>=IFERROR(BC133/BC131,0)</f>
        <v>1.0021712907117009</v>
      </c>
      <c r="BD134" s="31">
        <f>=IFERROR(BD133/BD131,0)</f>
        <v>1.0405209840810419</v>
      </c>
      <c r="BE134" s="31">
        <f>=IFERROR(BE133/BE131,0)</f>
        <v>0.9956584659913169</v>
      </c>
      <c r="BF134" s="31">
        <f>=IFERROR(BF133/BF131,0)</f>
        <v>1.0231604342581424</v>
      </c>
      <c r="BG134" s="31">
        <f>=IFERROR(BG133/BG131,0)</f>
        <v>1.0376447876447876</v>
      </c>
      <c r="BH134" s="31">
        <f>=IFERROR(BH133/BH131,0)</f>
        <v>1.0108721913505678</v>
      </c>
      <c r="BI134" s="31">
        <f>=IFERROR(BI133/BI131,0)</f>
        <v>1.0430055568978014</v>
      </c>
      <c r="BJ134" s="31">
        <f>=IFERROR(BJ133/BJ131,0)</f>
        <v>1.0524281227349601</v>
      </c>
      <c r="BK134" s="31">
        <f>=IFERROR(BK133/BK131,0)</f>
        <v>1.019569944431022</v>
      </c>
      <c r="BL134" s="31">
        <f>=IFERROR(BL133/BL131,0)</f>
        <v>1.1935106693949138</v>
      </c>
      <c r="BM134" s="31">
        <f>=IFERROR(BM133/BM131,0)</f>
        <v>1.0208478109798471</v>
      </c>
      <c r="BN134" s="31">
        <f>=IFERROR(BN133/BN131,0)</f>
        <v>1.124702144559174</v>
      </c>
      <c r="BO134" s="31">
        <f>=IFERROR(BO133/BO131,0)</f>
        <v>1.129170230966638</v>
      </c>
      <c r="BP134" s="31">
        <f>=IFERROR(BP133/BP131,0)</f>
        <v>1.1871236683649837</v>
      </c>
      <c r="BQ134" s="31">
        <f>=IFERROR(BQ133/BQ131,0)</f>
        <v>1.1959910913140313</v>
      </c>
      <c r="BR134" s="31">
        <f>=IFERROR(BR133/BR131,0)</f>
        <v>1.0946547884187083</v>
      </c>
      <c r="BS134" s="31">
        <f>=IFERROR(BS133/BS131,0)</f>
        <v>1.0673719376391981</v>
      </c>
      <c r="BT134" s="31">
        <f>=IFERROR(BT133/BT131,0)</f>
        <v>0.9543175487465181</v>
      </c>
      <c r="BU134" s="31">
        <f>=IFERROR(BU133/BU131,0)</f>
        <v>1.1418636995827538</v>
      </c>
      <c r="BV134" s="31">
        <f>=IFERROR(BV133/BV131,0)</f>
        <v>1.1620305980528511</v>
      </c>
      <c r="BW134" s="31">
        <f>=IFERROR(BW133/BW131,0)</f>
        <v>1.1592489568845619</v>
      </c>
      <c r="BX134" s="31">
        <f>=IFERROR(BX133/BX131,0)</f>
        <v>0</v>
      </c>
      <c r="BY134" s="31">
        <f>=IFERROR(BY133/BY131,0)</f>
        <v>0</v>
      </c>
      <c r="BZ134" s="31">
        <f>=IFERROR(BZ133/BZ131,0)</f>
        <v>0</v>
      </c>
      <c r="CA134" s="31">
        <f>=IFERROR(CA133/CA131,0)</f>
        <v>0</v>
      </c>
      <c r="CB134" s="31">
        <f>=IFERROR(CB133/CB131,0)</f>
        <v>0</v>
      </c>
      <c r="CC134" s="31">
        <f>=IFERROR(CC133/CC131,0)</f>
        <v>0</v>
      </c>
      <c r="CD134" s="31">
        <f>=IFERROR(CD133/CD131,0)</f>
        <v>0</v>
      </c>
      <c r="CE134" s="31">
        <f>=IFERROR(CE133/CE131,0)</f>
        <v>0</v>
      </c>
      <c r="CF134" s="31">
        <f>=IFERROR(CF133/CF131,0)</f>
        <v>0</v>
      </c>
      <c r="CG134" s="31">
        <f>=IFERROR(CG133/CG131,0)</f>
        <v>0</v>
      </c>
      <c r="CH134" s="31">
        <f>=IFERROR(CH133/CH131,0)</f>
        <v>0</v>
      </c>
      <c r="CI134" s="31">
        <f>=IFERROR(CI133/CI131,0)</f>
        <v>0</v>
      </c>
      <c r="CJ134" s="31">
        <f>=IFERROR(CJ133/CJ131,0)</f>
        <v>0</v>
      </c>
      <c r="CK134" s="31">
        <f>=IFERROR(CK133/CK131,0)</f>
        <v>0</v>
      </c>
      <c r="CL134" s="31">
        <f>=IFERROR(CL133/CL131,0)</f>
        <v>0</v>
      </c>
      <c r="CM134" s="31">
        <f>=IFERROR(CM133/CM131,0)</f>
        <v>0</v>
      </c>
      <c r="CN134" s="31">
        <f>=IFERROR(CN133/CN131,0)</f>
        <v>0</v>
      </c>
      <c r="CO134" s="31">
        <f>=IFERROR(CO133/CO131,0)</f>
        <v>0</v>
      </c>
      <c r="CP134" s="31">
        <f>=IFERROR(CP133/CP131,0)</f>
        <v>0</v>
      </c>
      <c r="CQ134" s="31">
        <f>=IFERROR(CQ133/CQ131,0)</f>
        <v>0</v>
      </c>
      <c r="CR134" s="31">
        <f>=IFERROR(CR133/CR131,0)</f>
        <v>0</v>
      </c>
      <c r="CS134" s="31">
        <f>=IFERROR(CS133/CS131,0)</f>
        <v>0</v>
      </c>
      <c r="CT134" s="31">
        <f>=IFERROR(CT133/CT131,0)</f>
        <v>0</v>
      </c>
      <c r="CU134" s="31">
        <f>=IFERROR(CU133/CU131,0)</f>
        <v>0</v>
      </c>
      <c r="CV134" s="31">
        <f>=IFERROR(CV133/CV131,0)</f>
        <v>0</v>
      </c>
      <c r="CW134" s="31">
        <f>=IFERROR(CW133/CW131,0)</f>
        <v>0</v>
      </c>
      <c r="CX134" s="31">
        <f>=IFERROR(CX133/CX131,0)</f>
        <v>0</v>
      </c>
      <c r="CY134" s="31">
        <f>=IFERROR(CY133/CY131,0)</f>
        <v>0</v>
      </c>
      <c r="CZ134" s="31">
        <f>=IFERROR(CZ133/CZ131,0)</f>
        <v>0</v>
      </c>
      <c r="DA134" s="31">
        <f>=IFERROR(DA133/DA131,0)</f>
        <v>0</v>
      </c>
      <c r="DB134" s="31">
        <f>=IFERROR(DB133/DB131,0)</f>
        <v>0</v>
      </c>
    </row>
    <row r="135" ht="18" customHeight="1" spans="1:106" x14ac:dyDescent="0.25">
      <c r="A135" s="68" t="s">
        <v>350</v>
      </c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50">
        <v>2790</v>
      </c>
      <c r="AD135" s="50">
        <v>3087</v>
      </c>
      <c r="AE135" s="50">
        <v>2625</v>
      </c>
      <c r="AF135" s="50">
        <v>2542</v>
      </c>
      <c r="AG135" s="50">
        <v>2595</v>
      </c>
      <c r="AH135" s="50">
        <v>2452</v>
      </c>
      <c r="AI135" s="50">
        <v>2602</v>
      </c>
      <c r="AJ135" s="50">
        <v>2691</v>
      </c>
      <c r="AK135" s="50">
        <v>2582</v>
      </c>
      <c r="AL135" s="50">
        <v>2402</v>
      </c>
      <c r="AM135" s="50">
        <v>2428</v>
      </c>
      <c r="AN135" s="50">
        <v>2370</v>
      </c>
      <c r="AO135" s="50">
        <v>2361</v>
      </c>
      <c r="AP135" s="50">
        <v>2577</v>
      </c>
      <c r="AQ135" s="50">
        <v>2449</v>
      </c>
      <c r="AR135" s="50">
        <v>2708</v>
      </c>
      <c r="AS135" s="50">
        <v>2315</v>
      </c>
      <c r="AT135" s="50">
        <v>2636</v>
      </c>
      <c r="AU135" s="50">
        <v>2807</v>
      </c>
      <c r="AV135" s="50">
        <v>2992</v>
      </c>
      <c r="AW135" s="50">
        <v>2842</v>
      </c>
      <c r="AX135" s="50">
        <v>2971</v>
      </c>
      <c r="AY135" s="50">
        <v>3252</v>
      </c>
      <c r="AZ135" s="50">
        <v>3111</v>
      </c>
      <c r="BA135" s="50">
        <v>3264</v>
      </c>
      <c r="BB135" s="50">
        <v>3752</v>
      </c>
      <c r="BC135" s="50">
        <v>3506</v>
      </c>
      <c r="BD135" s="50">
        <v>3788</v>
      </c>
      <c r="BE135" s="50">
        <v>3654</v>
      </c>
      <c r="BF135" s="50">
        <v>3557</v>
      </c>
      <c r="BG135" s="50">
        <v>3798</v>
      </c>
      <c r="BH135" s="50">
        <v>3517</v>
      </c>
      <c r="BI135" s="50">
        <v>3832</v>
      </c>
      <c r="BJ135" s="50">
        <v>3892</v>
      </c>
      <c r="BK135" s="50">
        <v>3775</v>
      </c>
      <c r="BL135" s="50">
        <v>3633</v>
      </c>
      <c r="BM135" s="50">
        <v>2622</v>
      </c>
      <c r="BN135" s="69">
        <v>2528</v>
      </c>
      <c r="BO135" s="69">
        <v>2286</v>
      </c>
      <c r="BP135" s="69">
        <v>2263</v>
      </c>
      <c r="BQ135" s="69">
        <v>1922</v>
      </c>
      <c r="BR135" s="69">
        <v>1750</v>
      </c>
      <c r="BS135" s="69">
        <v>1705</v>
      </c>
      <c r="BT135" s="69">
        <v>1524</v>
      </c>
      <c r="BU135" s="69">
        <v>1381</v>
      </c>
      <c r="BV135" s="69">
        <v>1430</v>
      </c>
      <c r="BW135" s="69">
        <v>1433</v>
      </c>
      <c r="BX135" s="30"/>
      <c r="BY135" s="30"/>
      <c r="BZ135" s="30"/>
      <c r="CA135" s="30"/>
      <c r="CB135" s="30"/>
      <c r="CC135" s="30"/>
      <c r="CD135" s="30"/>
      <c r="CE135" s="30"/>
      <c r="CF135" s="30"/>
      <c r="CG135" s="30"/>
      <c r="CH135" s="30"/>
      <c r="CI135" s="30"/>
      <c r="CJ135" s="30"/>
      <c r="CK135" s="30"/>
      <c r="CL135" s="30"/>
      <c r="CM135" s="30"/>
      <c r="CN135" s="30"/>
      <c r="CO135" s="30"/>
      <c r="CP135" s="30"/>
      <c r="CQ135" s="30"/>
      <c r="CR135" s="30"/>
      <c r="CS135" s="30"/>
      <c r="CT135" s="30"/>
      <c r="CU135" s="30"/>
      <c r="CV135" s="30"/>
      <c r="CW135" s="30"/>
      <c r="CX135" s="30"/>
      <c r="CY135" s="30"/>
      <c r="CZ135" s="30"/>
      <c r="DA135" s="30"/>
      <c r="DB135" s="30"/>
    </row>
    <row r="136" ht="18" customHeight="1" spans="1:106" x14ac:dyDescent="0.25">
      <c r="A136" s="68" t="s">
        <v>351</v>
      </c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30"/>
      <c r="BD136" s="30"/>
      <c r="BE136" s="30"/>
      <c r="BF136" s="30"/>
      <c r="BG136" s="30"/>
      <c r="BH136" s="30"/>
      <c r="BI136" s="30"/>
      <c r="BJ136" s="30"/>
      <c r="BK136" s="30"/>
      <c r="BL136" s="30"/>
      <c r="BM136" s="30"/>
      <c r="BN136" s="30"/>
      <c r="BO136" s="30"/>
      <c r="BP136" s="30"/>
      <c r="BQ136" s="30"/>
      <c r="BR136" s="30"/>
      <c r="BS136" s="30"/>
      <c r="BT136" s="30"/>
      <c r="BU136" s="30"/>
      <c r="BV136" s="30"/>
      <c r="BW136" s="30"/>
      <c r="BX136" s="30"/>
      <c r="BY136" s="30"/>
      <c r="BZ136" s="30"/>
      <c r="CA136" s="30"/>
      <c r="CB136" s="30"/>
      <c r="CC136" s="30"/>
      <c r="CD136" s="30"/>
      <c r="CE136" s="30"/>
      <c r="CF136" s="30"/>
      <c r="CG136" s="30"/>
      <c r="CH136" s="30"/>
      <c r="CI136" s="30"/>
      <c r="CJ136" s="30"/>
      <c r="CK136" s="30"/>
      <c r="CL136" s="30"/>
      <c r="CM136" s="30"/>
      <c r="CN136" s="30"/>
      <c r="CO136" s="30"/>
      <c r="CP136" s="30"/>
      <c r="CQ136" s="30"/>
      <c r="CR136" s="30"/>
      <c r="CS136" s="30"/>
      <c r="CT136" s="30"/>
      <c r="CU136" s="30"/>
      <c r="CV136" s="30"/>
      <c r="CW136" s="30"/>
      <c r="CX136" s="30"/>
      <c r="CY136" s="30"/>
      <c r="CZ136" s="30"/>
      <c r="DA136" s="30"/>
      <c r="DB136" s="30"/>
    </row>
    <row r="137" ht="18" customHeight="1" spans="1:75" x14ac:dyDescent="0.25">
      <c r="A137" s="72" t="s">
        <v>263</v>
      </c>
      <c r="AC137" s="50">
        <v>610</v>
      </c>
      <c r="AD137" s="50">
        <v>276</v>
      </c>
      <c r="AE137" s="50">
        <v>212</v>
      </c>
      <c r="AF137" s="50">
        <v>285</v>
      </c>
      <c r="AG137" s="50">
        <v>239</v>
      </c>
      <c r="AH137" s="50">
        <v>217</v>
      </c>
      <c r="AI137" s="50">
        <v>301</v>
      </c>
      <c r="AJ137" s="50">
        <v>247</v>
      </c>
      <c r="AK137" s="50">
        <v>282</v>
      </c>
      <c r="AL137" s="50">
        <v>161</v>
      </c>
      <c r="AM137" s="50">
        <v>168</v>
      </c>
      <c r="AN137" s="50">
        <v>266</v>
      </c>
      <c r="AO137" s="50">
        <v>337</v>
      </c>
      <c r="AP137" s="50">
        <v>147</v>
      </c>
      <c r="AQ137" s="50">
        <v>38</v>
      </c>
      <c r="AR137" s="50">
        <v>65</v>
      </c>
      <c r="AS137" s="50">
        <v>183</v>
      </c>
      <c r="AT137" s="50">
        <v>219</v>
      </c>
      <c r="AU137" s="50">
        <v>165</v>
      </c>
      <c r="AV137" s="50">
        <v>149</v>
      </c>
      <c r="AW137" s="50">
        <v>245</v>
      </c>
      <c r="AX137" s="50">
        <v>254</v>
      </c>
      <c r="AY137" s="50">
        <v>240</v>
      </c>
      <c r="AZ137" s="50">
        <v>180</v>
      </c>
      <c r="BA137" s="50">
        <v>255</v>
      </c>
      <c r="BB137" s="50">
        <v>238</v>
      </c>
      <c r="BC137" s="50">
        <v>233</v>
      </c>
      <c r="BD137" s="50">
        <v>162</v>
      </c>
      <c r="BE137" s="50">
        <v>159</v>
      </c>
      <c r="BF137" s="50">
        <v>157</v>
      </c>
      <c r="BG137" s="50">
        <v>184</v>
      </c>
      <c r="BH137" s="50">
        <v>158</v>
      </c>
      <c r="BI137" s="50">
        <v>120</v>
      </c>
      <c r="BJ137" s="50">
        <v>195</v>
      </c>
      <c r="BK137" s="50">
        <v>233</v>
      </c>
      <c r="BL137" s="50">
        <v>225</v>
      </c>
      <c r="BM137" s="50">
        <v>160</v>
      </c>
      <c r="BN137" s="69">
        <v>131</v>
      </c>
      <c r="BO137" s="69">
        <v>118</v>
      </c>
      <c r="BP137" s="69">
        <v>98</v>
      </c>
      <c r="BQ137" s="69">
        <v>66</v>
      </c>
      <c r="BR137" s="69">
        <v>180</v>
      </c>
      <c r="BS137" s="69">
        <v>126</v>
      </c>
      <c r="BT137" s="69">
        <v>153</v>
      </c>
      <c r="BU137" s="69">
        <v>107</v>
      </c>
      <c r="BV137" s="69">
        <v>100</v>
      </c>
      <c r="BW137" s="69">
        <v>105</v>
      </c>
    </row>
    <row r="138" ht="18" customHeight="1" spans="1:75" x14ac:dyDescent="0.25">
      <c r="A138" s="72" t="s">
        <v>264</v>
      </c>
      <c r="AC138" s="50">
        <v>383</v>
      </c>
      <c r="AD138" s="50">
        <v>390</v>
      </c>
      <c r="AE138" s="50">
        <v>442</v>
      </c>
      <c r="AF138" s="50">
        <v>288</v>
      </c>
      <c r="AG138" s="50">
        <v>250</v>
      </c>
      <c r="AH138" s="50">
        <v>220</v>
      </c>
      <c r="AI138" s="50">
        <v>171</v>
      </c>
      <c r="AJ138" s="50">
        <v>187</v>
      </c>
      <c r="AK138" s="50">
        <v>205</v>
      </c>
      <c r="AL138" s="50">
        <v>309</v>
      </c>
      <c r="AM138" s="50">
        <v>222</v>
      </c>
      <c r="AN138" s="50">
        <v>170</v>
      </c>
      <c r="AO138" s="50">
        <v>173</v>
      </c>
      <c r="AP138" s="50">
        <v>181</v>
      </c>
      <c r="AQ138" s="50">
        <v>164</v>
      </c>
      <c r="AR138" s="50">
        <v>173</v>
      </c>
      <c r="AS138" s="50">
        <v>294</v>
      </c>
      <c r="AT138" s="50">
        <v>267</v>
      </c>
      <c r="AU138" s="50">
        <v>133</v>
      </c>
      <c r="AV138" s="50">
        <v>129</v>
      </c>
      <c r="AW138" s="50">
        <v>135</v>
      </c>
      <c r="AX138" s="50">
        <v>121</v>
      </c>
      <c r="AY138" s="50">
        <v>192</v>
      </c>
      <c r="AZ138" s="50">
        <v>346</v>
      </c>
      <c r="BA138" s="50">
        <v>170</v>
      </c>
      <c r="BB138" s="50">
        <v>43</v>
      </c>
      <c r="BC138" s="50">
        <v>323</v>
      </c>
      <c r="BD138" s="50">
        <v>264</v>
      </c>
      <c r="BE138" s="50">
        <v>423</v>
      </c>
      <c r="BF138" s="50">
        <v>341</v>
      </c>
      <c r="BG138" s="50">
        <v>445</v>
      </c>
      <c r="BH138" s="50">
        <v>354</v>
      </c>
      <c r="BI138" s="50">
        <v>265</v>
      </c>
      <c r="BJ138" s="50">
        <v>172</v>
      </c>
      <c r="BK138" s="50">
        <v>229</v>
      </c>
      <c r="BL138" s="50">
        <v>248</v>
      </c>
      <c r="BM138" s="50">
        <v>157</v>
      </c>
      <c r="BN138" s="69">
        <v>147</v>
      </c>
      <c r="BO138" s="69">
        <v>101</v>
      </c>
      <c r="BP138" s="69">
        <v>129</v>
      </c>
      <c r="BQ138" s="69">
        <v>85</v>
      </c>
      <c r="BR138" s="69">
        <v>70</v>
      </c>
      <c r="BS138" s="69">
        <v>73</v>
      </c>
      <c r="BT138" s="69">
        <v>82</v>
      </c>
      <c r="BU138" s="69">
        <v>31</v>
      </c>
      <c r="BV138" s="69">
        <v>28</v>
      </c>
      <c r="BW138" s="69">
        <v>26</v>
      </c>
    </row>
    <row r="139" ht="18" customHeight="1" spans="1:106" x14ac:dyDescent="0.25">
      <c r="A139" s="72" t="s">
        <v>265</v>
      </c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  <c r="BA139" s="30"/>
      <c r="BB139" s="30"/>
      <c r="BC139" s="30"/>
      <c r="BD139" s="30"/>
      <c r="BE139" s="30"/>
      <c r="BF139" s="30"/>
      <c r="BG139" s="30"/>
      <c r="BH139" s="30"/>
      <c r="BI139" s="30"/>
      <c r="BJ139" s="30"/>
      <c r="BK139" s="30"/>
      <c r="BL139" s="30"/>
      <c r="BM139" s="30"/>
      <c r="BN139" s="30"/>
      <c r="BO139" s="30"/>
      <c r="BP139" s="30"/>
      <c r="BQ139" s="30"/>
      <c r="BR139" s="30"/>
      <c r="BS139" s="30"/>
      <c r="BT139" s="30"/>
      <c r="BU139" s="30"/>
      <c r="BV139" s="30"/>
      <c r="BW139" s="30"/>
      <c r="BX139" s="30"/>
      <c r="BY139" s="30"/>
      <c r="BZ139" s="30"/>
      <c r="CA139" s="30"/>
      <c r="CB139" s="30"/>
      <c r="CC139" s="30"/>
      <c r="CD139" s="30"/>
      <c r="CE139" s="30"/>
      <c r="CF139" s="30"/>
      <c r="CG139" s="30"/>
      <c r="CH139" s="30"/>
      <c r="CI139" s="30"/>
      <c r="CJ139" s="30"/>
      <c r="CK139" s="30"/>
      <c r="CL139" s="30"/>
      <c r="CM139" s="30"/>
      <c r="CN139" s="30"/>
      <c r="CO139" s="30"/>
      <c r="CP139" s="30"/>
      <c r="CQ139" s="30"/>
      <c r="CR139" s="30"/>
      <c r="CS139" s="30"/>
      <c r="CT139" s="30"/>
      <c r="CU139" s="30"/>
      <c r="CV139" s="30"/>
      <c r="CW139" s="30"/>
      <c r="CX139" s="30"/>
      <c r="CY139" s="30"/>
      <c r="CZ139" s="30"/>
      <c r="DA139" s="30"/>
      <c r="DB139" s="30"/>
    </row>
    <row r="140" ht="18" customHeight="1" spans="1:106" x14ac:dyDescent="0.25">
      <c r="A140" s="72" t="s">
        <v>266</v>
      </c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  <c r="BA140" s="30"/>
      <c r="BB140" s="30"/>
      <c r="BC140" s="30"/>
      <c r="BD140" s="30"/>
      <c r="BE140" s="30"/>
      <c r="BF140" s="30"/>
      <c r="BG140" s="30"/>
      <c r="BH140" s="30"/>
      <c r="BI140" s="30"/>
      <c r="BJ140" s="30"/>
      <c r="BK140" s="30"/>
      <c r="BL140" s="30"/>
      <c r="BM140" s="30"/>
      <c r="BN140" s="30"/>
      <c r="BO140" s="30"/>
      <c r="BP140" s="30"/>
      <c r="BQ140" s="30"/>
      <c r="BR140" s="30"/>
      <c r="BS140" s="30"/>
      <c r="BT140" s="30"/>
      <c r="BU140" s="30"/>
      <c r="BV140" s="30"/>
      <c r="BW140" s="30"/>
      <c r="BX140" s="30"/>
      <c r="BY140" s="30"/>
      <c r="BZ140" s="30"/>
      <c r="CA140" s="30"/>
      <c r="CB140" s="30"/>
      <c r="CC140" s="30"/>
      <c r="CD140" s="30"/>
      <c r="CE140" s="30"/>
      <c r="CF140" s="30"/>
      <c r="CG140" s="30"/>
      <c r="CH140" s="30"/>
      <c r="CI140" s="30"/>
      <c r="CJ140" s="30"/>
      <c r="CK140" s="30"/>
      <c r="CL140" s="30"/>
      <c r="CM140" s="30"/>
      <c r="CN140" s="30"/>
      <c r="CO140" s="30"/>
      <c r="CP140" s="30"/>
      <c r="CQ140" s="30"/>
      <c r="CR140" s="30"/>
      <c r="CS140" s="30"/>
      <c r="CT140" s="30"/>
      <c r="CU140" s="30"/>
      <c r="CV140" s="30"/>
      <c r="CW140" s="30"/>
      <c r="CX140" s="30"/>
      <c r="CY140" s="30"/>
      <c r="CZ140" s="30"/>
      <c r="DA140" s="30"/>
      <c r="DB140" s="30"/>
    </row>
    <row r="141" ht="18" customHeight="1" spans="1:106" x14ac:dyDescent="0.25">
      <c r="A141" s="68" t="s">
        <v>352</v>
      </c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  <c r="BA141" s="30"/>
      <c r="BB141" s="30"/>
      <c r="BC141" s="30"/>
      <c r="BD141" s="30"/>
      <c r="BE141" s="30"/>
      <c r="BF141" s="30"/>
      <c r="BG141" s="30"/>
      <c r="BH141" s="30"/>
      <c r="BI141" s="30"/>
      <c r="BJ141" s="30"/>
      <c r="BK141" s="30"/>
      <c r="BL141" s="30"/>
      <c r="BM141" s="30"/>
      <c r="BN141" s="30"/>
      <c r="BO141" s="30"/>
      <c r="BP141" s="30"/>
      <c r="BQ141" s="30"/>
      <c r="BR141" s="30"/>
      <c r="BS141" s="30"/>
      <c r="BT141" s="30"/>
      <c r="BU141" s="30"/>
      <c r="BV141" s="30"/>
      <c r="BW141" s="30"/>
      <c r="BX141" s="30"/>
      <c r="BY141" s="30"/>
      <c r="BZ141" s="30"/>
      <c r="CA141" s="30"/>
      <c r="CB141" s="30"/>
      <c r="CC141" s="30"/>
      <c r="CD141" s="30"/>
      <c r="CE141" s="30"/>
      <c r="CF141" s="30"/>
      <c r="CG141" s="30"/>
      <c r="CH141" s="30"/>
      <c r="CI141" s="30"/>
      <c r="CJ141" s="30"/>
      <c r="CK141" s="30"/>
      <c r="CL141" s="30"/>
      <c r="CM141" s="30"/>
      <c r="CN141" s="30"/>
      <c r="CO141" s="30"/>
      <c r="CP141" s="30"/>
      <c r="CQ141" s="30"/>
      <c r="CR141" s="30"/>
      <c r="CS141" s="30"/>
      <c r="CT141" s="30"/>
      <c r="CU141" s="30"/>
      <c r="CV141" s="30"/>
      <c r="CW141" s="30"/>
      <c r="CX141" s="30"/>
      <c r="CY141" s="30"/>
      <c r="CZ141" s="30"/>
      <c r="DA141" s="30"/>
      <c r="DB141" s="30"/>
    </row>
    <row r="142" ht="18" customHeight="1" spans="1:106" x14ac:dyDescent="0.25">
      <c r="A142" s="36" t="s">
        <v>268</v>
      </c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  <c r="BA142" s="30"/>
      <c r="BB142" s="30"/>
      <c r="BC142" s="30"/>
      <c r="BD142" s="30"/>
      <c r="BE142" s="30"/>
      <c r="BF142" s="30"/>
      <c r="BG142" s="30"/>
      <c r="BH142" s="30"/>
      <c r="BI142" s="30"/>
      <c r="BJ142" s="30"/>
      <c r="BK142" s="30"/>
      <c r="BL142" s="30"/>
      <c r="BM142" s="30"/>
      <c r="BN142" s="30"/>
      <c r="BO142" s="30"/>
      <c r="BP142" s="30"/>
      <c r="BQ142" s="30"/>
      <c r="BR142" s="30"/>
      <c r="BS142" s="30"/>
      <c r="BT142" s="30"/>
      <c r="BU142" s="30"/>
      <c r="BV142" s="30"/>
      <c r="BW142" s="30"/>
      <c r="BX142" s="30"/>
      <c r="BY142" s="30"/>
      <c r="BZ142" s="30"/>
      <c r="CA142" s="30"/>
      <c r="CB142" s="30"/>
      <c r="CC142" s="30"/>
      <c r="CD142" s="30"/>
      <c r="CE142" s="30"/>
      <c r="CF142" s="30"/>
      <c r="CG142" s="30"/>
      <c r="CH142" s="30"/>
      <c r="CI142" s="30"/>
      <c r="CJ142" s="30"/>
      <c r="CK142" s="30"/>
      <c r="CL142" s="30"/>
      <c r="CM142" s="30"/>
      <c r="CN142" s="30"/>
      <c r="CO142" s="30"/>
      <c r="CP142" s="30"/>
      <c r="CQ142" s="30"/>
      <c r="CR142" s="30"/>
      <c r="CS142" s="30"/>
      <c r="CT142" s="30"/>
      <c r="CU142" s="30"/>
      <c r="CV142" s="30"/>
      <c r="CW142" s="30"/>
      <c r="CX142" s="30"/>
      <c r="CY142" s="30"/>
      <c r="CZ142" s="30"/>
      <c r="DA142" s="30"/>
      <c r="DB142" s="30"/>
    </row>
    <row r="143" ht="18" customHeight="1" spans="1:106" x14ac:dyDescent="0.25">
      <c r="A143" s="36" t="s">
        <v>269</v>
      </c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  <c r="AX143" s="30"/>
      <c r="AY143" s="30"/>
      <c r="AZ143" s="30"/>
      <c r="BA143" s="30"/>
      <c r="BB143" s="30"/>
      <c r="BC143" s="30"/>
      <c r="BD143" s="30"/>
      <c r="BE143" s="30"/>
      <c r="BF143" s="30"/>
      <c r="BG143" s="30"/>
      <c r="BH143" s="30"/>
      <c r="BI143" s="30"/>
      <c r="BJ143" s="30"/>
      <c r="BK143" s="30"/>
      <c r="BL143" s="30"/>
      <c r="BM143" s="30"/>
      <c r="BN143" s="30"/>
      <c r="BO143" s="30"/>
      <c r="BP143" s="30"/>
      <c r="BQ143" s="30"/>
      <c r="BR143" s="30"/>
      <c r="BS143" s="30"/>
      <c r="BT143" s="30"/>
      <c r="BU143" s="30"/>
      <c r="BV143" s="30"/>
      <c r="BW143" s="30"/>
      <c r="BX143" s="30"/>
      <c r="BY143" s="30"/>
      <c r="BZ143" s="30"/>
      <c r="CA143" s="30"/>
      <c r="CB143" s="30"/>
      <c r="CC143" s="30"/>
      <c r="CD143" s="30"/>
      <c r="CE143" s="30"/>
      <c r="CF143" s="30"/>
      <c r="CG143" s="30"/>
      <c r="CH143" s="30"/>
      <c r="CI143" s="30"/>
      <c r="CJ143" s="30"/>
      <c r="CK143" s="30"/>
      <c r="CL143" s="30"/>
      <c r="CM143" s="30"/>
      <c r="CN143" s="30"/>
      <c r="CO143" s="30"/>
      <c r="CP143" s="30"/>
      <c r="CQ143" s="30"/>
      <c r="CR143" s="30"/>
      <c r="CS143" s="30"/>
      <c r="CT143" s="30"/>
      <c r="CU143" s="30"/>
      <c r="CV143" s="30"/>
      <c r="CW143" s="30"/>
      <c r="CX143" s="30"/>
      <c r="CY143" s="30"/>
      <c r="CZ143" s="30"/>
      <c r="DA143" s="30"/>
      <c r="DB143" s="30"/>
    </row>
    <row r="144" ht="18" customHeight="1" spans="1:106" x14ac:dyDescent="0.25">
      <c r="A144" s="36" t="s">
        <v>288</v>
      </c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  <c r="AV144" s="30"/>
      <c r="AW144" s="30"/>
      <c r="AX144" s="30"/>
      <c r="AY144" s="30"/>
      <c r="AZ144" s="30"/>
      <c r="BA144" s="30"/>
      <c r="BB144" s="30"/>
      <c r="BC144" s="30"/>
      <c r="BD144" s="30"/>
      <c r="BE144" s="30"/>
      <c r="BF144" s="30"/>
      <c r="BG144" s="30"/>
      <c r="BH144" s="30"/>
      <c r="BI144" s="30"/>
      <c r="BJ144" s="30"/>
      <c r="BK144" s="30"/>
      <c r="BL144" s="30"/>
      <c r="BM144" s="30"/>
      <c r="BN144" s="30"/>
      <c r="BO144" s="30"/>
      <c r="BP144" s="30"/>
      <c r="BQ144" s="30"/>
      <c r="BR144" s="30"/>
      <c r="BS144" s="30"/>
      <c r="BT144" s="30"/>
      <c r="BU144" s="30"/>
      <c r="BV144" s="30"/>
      <c r="BW144" s="30"/>
      <c r="BX144" s="30"/>
      <c r="BY144" s="30"/>
      <c r="BZ144" s="30"/>
      <c r="CA144" s="30"/>
      <c r="CB144" s="30"/>
      <c r="CC144" s="30"/>
      <c r="CD144" s="30"/>
      <c r="CE144" s="30"/>
      <c r="CF144" s="30"/>
      <c r="CG144" s="30"/>
      <c r="CH144" s="30"/>
      <c r="CI144" s="30"/>
      <c r="CJ144" s="30"/>
      <c r="CK144" s="30"/>
      <c r="CL144" s="30"/>
      <c r="CM144" s="30"/>
      <c r="CN144" s="30"/>
      <c r="CO144" s="30"/>
      <c r="CP144" s="30"/>
      <c r="CQ144" s="30"/>
      <c r="CR144" s="30"/>
      <c r="CS144" s="30"/>
      <c r="CT144" s="30"/>
      <c r="CU144" s="30"/>
      <c r="CV144" s="30"/>
      <c r="CW144" s="30"/>
      <c r="CX144" s="30"/>
      <c r="CY144" s="30"/>
      <c r="CZ144" s="30"/>
      <c r="DA144" s="30"/>
      <c r="DB144" s="30"/>
    </row>
    <row r="145" ht="18" customHeight="1" spans="1:1" x14ac:dyDescent="0.25">
      <c r="A145" s="36" t="s">
        <v>272</v>
      </c>
    </row>
    <row r="146" ht="18" customHeight="1" spans="1:1" x14ac:dyDescent="0.25">
      <c r="A146" s="36" t="s">
        <v>289</v>
      </c>
    </row>
    <row r="147" ht="18" customHeight="1" spans="1:106" x14ac:dyDescent="0.25">
      <c r="A147" s="36" t="s">
        <v>271</v>
      </c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30"/>
      <c r="BI147" s="30"/>
      <c r="BJ147" s="30"/>
      <c r="BK147" s="30"/>
      <c r="BL147" s="30"/>
      <c r="BM147" s="30"/>
      <c r="BN147" s="30"/>
      <c r="BO147" s="30"/>
      <c r="BP147" s="30"/>
      <c r="BQ147" s="30"/>
      <c r="BR147" s="30"/>
      <c r="BS147" s="30"/>
      <c r="BT147" s="30"/>
      <c r="BU147" s="30"/>
      <c r="BV147" s="30"/>
      <c r="BW147" s="30"/>
      <c r="BX147" s="30"/>
      <c r="BY147" s="30"/>
      <c r="BZ147" s="30"/>
      <c r="CA147" s="30"/>
      <c r="CB147" s="30"/>
      <c r="CC147" s="30"/>
      <c r="CD147" s="30"/>
      <c r="CE147" s="30"/>
      <c r="CF147" s="30"/>
      <c r="CG147" s="30"/>
      <c r="CH147" s="30"/>
      <c r="CI147" s="30"/>
      <c r="CJ147" s="30"/>
      <c r="CK147" s="30"/>
      <c r="CL147" s="30"/>
      <c r="CM147" s="30"/>
      <c r="CN147" s="30"/>
      <c r="CO147" s="30"/>
      <c r="CP147" s="30"/>
      <c r="CQ147" s="30"/>
      <c r="CR147" s="30"/>
      <c r="CS147" s="30"/>
      <c r="CT147" s="30"/>
      <c r="CU147" s="30"/>
      <c r="CV147" s="30"/>
      <c r="CW147" s="30"/>
      <c r="CX147" s="30"/>
      <c r="CY147" s="30"/>
      <c r="CZ147" s="30"/>
      <c r="DA147" s="30"/>
      <c r="DB147" s="30"/>
    </row>
    <row r="148" ht="18" customHeight="1" spans="3:106" x14ac:dyDescent="0.25"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  <c r="AU148" s="30"/>
      <c r="AV148" s="30"/>
      <c r="AW148" s="30"/>
      <c r="AX148" s="30"/>
      <c r="AY148" s="30"/>
      <c r="AZ148" s="30"/>
      <c r="BA148" s="30"/>
      <c r="BB148" s="30"/>
      <c r="BC148" s="30"/>
      <c r="BD148" s="30"/>
      <c r="BE148" s="30"/>
      <c r="BF148" s="30"/>
      <c r="BG148" s="30"/>
      <c r="BH148" s="30"/>
      <c r="BI148" s="30"/>
      <c r="BJ148" s="30"/>
      <c r="BK148" s="30"/>
      <c r="BL148" s="30"/>
      <c r="BM148" s="30"/>
      <c r="BN148" s="30"/>
      <c r="BO148" s="30"/>
      <c r="BP148" s="30"/>
      <c r="BQ148" s="30"/>
      <c r="BR148" s="30"/>
      <c r="BS148" s="30"/>
      <c r="BT148" s="30"/>
      <c r="BU148" s="30"/>
      <c r="BV148" s="30"/>
      <c r="BW148" s="30"/>
      <c r="BX148" s="30"/>
      <c r="BY148" s="30"/>
      <c r="BZ148" s="30"/>
      <c r="CA148" s="30"/>
      <c r="CB148" s="30"/>
      <c r="CC148" s="30"/>
      <c r="CD148" s="30"/>
      <c r="CE148" s="30"/>
      <c r="CF148" s="30"/>
      <c r="CG148" s="30"/>
      <c r="CH148" s="30"/>
      <c r="CI148" s="30"/>
      <c r="CJ148" s="30"/>
      <c r="CK148" s="30"/>
      <c r="CL148" s="30"/>
      <c r="CM148" s="30"/>
      <c r="CN148" s="30"/>
      <c r="CO148" s="30"/>
      <c r="CP148" s="30"/>
      <c r="CQ148" s="30"/>
      <c r="CR148" s="30"/>
      <c r="CS148" s="30"/>
      <c r="CT148" s="30"/>
      <c r="CU148" s="30"/>
      <c r="CV148" s="30"/>
      <c r="CW148" s="30"/>
      <c r="CX148" s="30"/>
      <c r="CY148" s="30"/>
      <c r="CZ148" s="30"/>
      <c r="DA148" s="30"/>
      <c r="DB148" s="30"/>
    </row>
    <row r="149" ht="18" customHeight="1" spans="1:106" x14ac:dyDescent="0.25">
      <c r="A149" s="9" t="s">
        <v>353</v>
      </c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0"/>
      <c r="AV149" s="30"/>
      <c r="AW149" s="30"/>
      <c r="AX149" s="30"/>
      <c r="AY149" s="30"/>
      <c r="AZ149" s="30"/>
      <c r="BA149" s="30"/>
      <c r="BB149" s="30"/>
      <c r="BC149" s="30"/>
      <c r="BD149" s="30"/>
      <c r="BE149" s="30"/>
      <c r="BF149" s="30"/>
      <c r="BG149" s="30"/>
      <c r="BH149" s="30"/>
      <c r="BI149" s="30"/>
      <c r="BJ149" s="30"/>
      <c r="BK149" s="30"/>
      <c r="BL149" s="30"/>
      <c r="BM149" s="30"/>
      <c r="BN149" s="30"/>
      <c r="BO149" s="30"/>
      <c r="BP149" s="30"/>
      <c r="BQ149" s="30"/>
      <c r="BR149" s="30"/>
      <c r="BS149" s="30"/>
      <c r="BT149" s="30"/>
      <c r="BU149" s="30"/>
      <c r="BV149" s="30"/>
      <c r="BW149" s="30"/>
      <c r="BX149" s="30"/>
      <c r="BY149" s="30"/>
      <c r="BZ149" s="30"/>
      <c r="CA149" s="30"/>
      <c r="CB149" s="30"/>
      <c r="CC149" s="30"/>
      <c r="CD149" s="30"/>
      <c r="CE149" s="30"/>
      <c r="CF149" s="30"/>
      <c r="CG149" s="30"/>
      <c r="CH149" s="30"/>
      <c r="CI149" s="30"/>
      <c r="CJ149" s="30"/>
      <c r="CK149" s="30"/>
      <c r="CL149" s="30"/>
      <c r="CM149" s="30"/>
      <c r="CN149" s="30"/>
      <c r="CO149" s="30"/>
      <c r="CP149" s="30"/>
      <c r="CQ149" s="30"/>
      <c r="CR149" s="30"/>
      <c r="CS149" s="30"/>
      <c r="CT149" s="30"/>
      <c r="CU149" s="30"/>
      <c r="CV149" s="30"/>
      <c r="CW149" s="30"/>
      <c r="CX149" s="30"/>
      <c r="CY149" s="30"/>
      <c r="CZ149" s="30"/>
      <c r="DA149" s="30"/>
      <c r="DB149" s="30"/>
    </row>
    <row r="150" ht="18" customHeight="1" spans="1:106" x14ac:dyDescent="0.25">
      <c r="A150" s="33" t="s">
        <v>354</v>
      </c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  <c r="AX150" s="30"/>
      <c r="AY150" s="30"/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  <c r="BN150" s="30"/>
      <c r="BO150" s="30"/>
      <c r="BP150" s="30"/>
      <c r="BQ150" s="30"/>
      <c r="BR150" s="30"/>
      <c r="BS150" s="30"/>
      <c r="BT150" s="30"/>
      <c r="BU150" s="30"/>
      <c r="BV150" s="30"/>
      <c r="BW150" s="30"/>
      <c r="BX150" s="30"/>
      <c r="BY150" s="30"/>
      <c r="BZ150" s="30"/>
      <c r="CA150" s="30"/>
      <c r="CB150" s="30"/>
      <c r="CC150" s="30"/>
      <c r="CD150" s="30"/>
      <c r="CE150" s="30"/>
      <c r="CF150" s="30"/>
      <c r="CG150" s="30"/>
      <c r="CH150" s="30"/>
      <c r="CI150" s="30"/>
      <c r="CJ150" s="30"/>
      <c r="CK150" s="30"/>
      <c r="CL150" s="30"/>
      <c r="CM150" s="30"/>
      <c r="CN150" s="30"/>
      <c r="CO150" s="30"/>
      <c r="CP150" s="30"/>
      <c r="CQ150" s="30"/>
      <c r="CR150" s="30"/>
      <c r="CS150" s="30"/>
      <c r="CT150" s="30"/>
      <c r="CU150" s="30"/>
      <c r="CV150" s="30"/>
      <c r="CW150" s="30"/>
      <c r="CX150" s="30"/>
      <c r="CY150" s="30"/>
      <c r="CZ150" s="30"/>
      <c r="DA150" s="30"/>
      <c r="DB150" s="30"/>
    </row>
    <row r="151" ht="18" customHeight="1" spans="1:106" x14ac:dyDescent="0.25">
      <c r="A151" s="17" t="s">
        <v>355</v>
      </c>
      <c r="B151" s="17">
        <v>15</v>
      </c>
      <c r="C151" s="46">
        <f>=IFERROR(ROUND((C19+C23)/$B151,0),0)</f>
        <v>7</v>
      </c>
      <c r="D151" s="46">
        <f>=IFERROR(ROUND((D19+D23)/$B151,0),0)</f>
        <v>6</v>
      </c>
      <c r="E151" s="46">
        <f>=IFERROR(ROUND((E19+E23)/$B151,0),0)</f>
        <v>6</v>
      </c>
      <c r="F151" s="46">
        <f>=IFERROR(ROUND((F19+F23)/$B151,0),0)</f>
        <v>6</v>
      </c>
      <c r="G151" s="46">
        <f>=IFERROR(ROUND((G19+G23)/$B151,0),0)</f>
        <v>6</v>
      </c>
      <c r="H151" s="46">
        <f>=IFERROR(ROUND((H19+H23)/$B151,0),0)</f>
        <v>7</v>
      </c>
      <c r="I151" s="46">
        <f>=IFERROR(ROUND((I19+I23)/$B151,0),0)</f>
        <v>6</v>
      </c>
      <c r="J151" s="46">
        <f>=IFERROR(ROUND((J19+J23)/$B151,0),0)</f>
        <v>6</v>
      </c>
      <c r="K151" s="46">
        <f>=IFERROR(ROUND((K19+K23)/$B151,0),0)</f>
        <v>6</v>
      </c>
      <c r="L151" s="46">
        <f>=IFERROR(ROUND((L19+L23)/$B151,0),0)</f>
        <v>6</v>
      </c>
      <c r="M151" s="46">
        <f>=IFERROR(ROUND((M19+M23)/$B151,0),0)</f>
        <v>6</v>
      </c>
      <c r="N151" s="46">
        <f>=IFERROR(ROUND((N19+N23)/$B151,0),0)</f>
        <v>6</v>
      </c>
      <c r="O151" s="46">
        <f>=IFERROR(ROUND((O19+O23)/$B151,0),0)</f>
        <v>7</v>
      </c>
      <c r="P151" s="46">
        <f>=IFERROR(ROUND((P19+P23)/$B151,0),0)</f>
        <v>7</v>
      </c>
      <c r="Q151" s="46">
        <f>=IFERROR(ROUND((Q19+Q23)/$B151,0),0)</f>
        <v>6</v>
      </c>
      <c r="R151" s="46">
        <f>=IFERROR(ROUND((R19+R23)/$B151,0),0)</f>
        <v>7</v>
      </c>
      <c r="S151" s="46">
        <f>=IFERROR(ROUND((S19+S23)/$B151,0),0)</f>
        <v>7</v>
      </c>
      <c r="T151" s="46">
        <f>=IFERROR(ROUND((T19+T23)/$B151,0),0)</f>
        <v>7</v>
      </c>
      <c r="U151" s="46">
        <f>=IFERROR(ROUND((U19+U23)/$B151,0),0)</f>
        <v>7</v>
      </c>
      <c r="V151" s="46">
        <f>=IFERROR(ROUND((V19+V23)/$B151,0),0)</f>
        <v>7</v>
      </c>
      <c r="W151" s="46">
        <f>=IFERROR(ROUND((W19+W23)/$B151,0),0)</f>
        <v>6</v>
      </c>
      <c r="X151" s="46">
        <f>=IFERROR(ROUND((X19+X23)/$B151,0),0)</f>
        <v>6</v>
      </c>
      <c r="Y151" s="46">
        <f>=IFERROR(ROUND((Y19+Y23)/$B151,0),0)</f>
        <v>6</v>
      </c>
      <c r="Z151" s="46">
        <f>=IFERROR(ROUND((Z19+Z23)/$B151,0),0)</f>
        <v>6</v>
      </c>
      <c r="AA151" s="46">
        <f>=IFERROR(ROUND((AA19+AA23)/$B151,0),0)</f>
        <v>6</v>
      </c>
      <c r="AB151" s="46">
        <f>=IFERROR(ROUND((AB19+AB23)/$B151,0),0)</f>
        <v>6</v>
      </c>
      <c r="AC151" s="46">
        <f>=IFERROR(ROUND((AC19+AC23)/$B151,0),0)</f>
        <v>6</v>
      </c>
      <c r="AD151" s="46">
        <f>=IFERROR(ROUND((AD19+AD23)/$B151,0),0)</f>
        <v>6</v>
      </c>
      <c r="AE151" s="46">
        <f>=IFERROR(ROUND((AE19+AE23)/$B151,0),0)</f>
        <v>6</v>
      </c>
      <c r="AF151" s="46">
        <f>=IFERROR(ROUND((AF19+AF23)/$B151,0),0)</f>
        <v>6</v>
      </c>
      <c r="AG151" s="46">
        <f>=IFERROR(ROUND((AG19+AG23)/$B151,0),0)</f>
        <v>5</v>
      </c>
      <c r="AH151" s="46">
        <f>=IFERROR(ROUND((AH19+AH23)/$B151,0),0)</f>
        <v>5</v>
      </c>
      <c r="AI151" s="46">
        <f>=IFERROR(ROUND((AI19+AI23)/$B151,0),0)</f>
        <v>5</v>
      </c>
      <c r="AJ151" s="46">
        <f>=IFERROR(ROUND((AJ19+AJ23)/$B151,0),0)</f>
        <v>5</v>
      </c>
      <c r="AK151" s="46">
        <f>=IFERROR(ROUND((AK19+AK23)/$B151,0),0)</f>
        <v>5</v>
      </c>
      <c r="AL151" s="46">
        <f>=IFERROR(ROUND((AL19+AL23)/$B151,0),0)</f>
        <v>5</v>
      </c>
      <c r="AM151" s="46">
        <f>=IFERROR(ROUND((AM19+AM23)/$B151,0),0)</f>
        <v>5</v>
      </c>
      <c r="AN151" s="46">
        <f>=IFERROR(ROUND((AN19+AN23)/$B151,0),0)</f>
        <v>5</v>
      </c>
      <c r="AO151" s="46">
        <f>=IFERROR(ROUND((AO19+AO23)/$B151,0),0)</f>
        <v>5</v>
      </c>
      <c r="AP151" s="46">
        <f>=IFERROR(ROUND((AP19+AP23)/$B151,0),0)</f>
        <v>4</v>
      </c>
      <c r="AQ151" s="46">
        <f>=IFERROR(ROUND((AQ19+AQ23)/$B151,0),0)</f>
        <v>4</v>
      </c>
      <c r="AR151" s="46">
        <f>=IFERROR(ROUND((AR19+AR23)/$B151,0),0)</f>
        <v>4</v>
      </c>
      <c r="AS151" s="46">
        <f>=IFERROR(ROUND((AS19+AS23)/$B151,0),0)</f>
        <v>5</v>
      </c>
      <c r="AT151" s="46">
        <f>=IFERROR(ROUND((AT19+AT23)/$B151,0),0)</f>
        <v>5</v>
      </c>
      <c r="AU151" s="46">
        <f>=IFERROR(ROUND((AU19+AU23)/$B151,0),0)</f>
        <v>5</v>
      </c>
      <c r="AV151" s="46">
        <f>=IFERROR(ROUND((AV19+AV23)/$B151,0),0)</f>
        <v>5</v>
      </c>
      <c r="AW151" s="46">
        <f>=IFERROR(ROUND((AW19+AW23)/$B151,0),0)</f>
        <v>6</v>
      </c>
      <c r="AX151" s="46">
        <f>=IFERROR(ROUND((AX19+AX23)/$B151,0),0)</f>
        <v>6</v>
      </c>
      <c r="AY151" s="46">
        <f>=IFERROR(ROUND((AY19+AY23)/$B151,0),0)</f>
        <v>6</v>
      </c>
      <c r="AZ151" s="46">
        <f>=IFERROR(ROUND((AZ19+AZ23)/$B151,0),0)</f>
        <v>6</v>
      </c>
      <c r="BA151" s="46">
        <f>=IFERROR(ROUND((BA19+BA23)/$B151,0),0)</f>
        <v>5</v>
      </c>
      <c r="BB151" s="46">
        <f>=IFERROR(ROUND((BB19+BB23)/$B151,0),0)</f>
        <v>6</v>
      </c>
      <c r="BC151" s="46">
        <f>=IFERROR(ROUND((BC19+BC23)/$B151,0),0)</f>
        <v>7</v>
      </c>
      <c r="BD151" s="73">
        <f>=IFERROR(ROUND((BD19+BD23)/$B151,0),0)</f>
        <v>7</v>
      </c>
      <c r="BE151" s="46">
        <f>=IFERROR(ROUND((BE19+BE23)/$B151,0),0)</f>
        <v>8</v>
      </c>
      <c r="BF151" s="46">
        <f>=IFERROR(ROUND((BF19+BF23)/$B151,0),0)</f>
        <v>7</v>
      </c>
      <c r="BG151" s="46">
        <f>=IFERROR(ROUND((BG19+BG23)/$B151,0),0)</f>
        <v>7</v>
      </c>
      <c r="BH151" s="46">
        <f>=IFERROR(ROUND((BH19+BH23)/$B151,0),0)</f>
        <v>8</v>
      </c>
      <c r="BI151" s="46">
        <f>=IFERROR(ROUND((BI19+BI23)/$B151,0),0)</f>
        <v>7</v>
      </c>
      <c r="BJ151" s="46">
        <f>=IFERROR(ROUND((BJ19+BJ23)/$B151,0),0)</f>
        <v>8</v>
      </c>
      <c r="BK151" s="46">
        <f>=IFERROR(ROUND((BK19+BK23)/$B151,0),0)</f>
        <v>8</v>
      </c>
      <c r="BL151" s="73">
        <f>=IFERROR(ROUND((BL19+BL23)/$B151,0),0)</f>
        <v>8</v>
      </c>
      <c r="BM151" s="46">
        <f>=IFERROR(ROUND((BM19+BM23)/$B151,0),0)</f>
        <v>5</v>
      </c>
      <c r="BN151" s="46">
        <f>=IFERROR(ROUND((BN19+BN23)/$B151,0),0)</f>
        <v>5</v>
      </c>
      <c r="BO151" s="46">
        <f>=IFERROR(ROUND((BO19+BO23)/$B151,0),0)</f>
        <v>5</v>
      </c>
      <c r="BP151" s="46">
        <f>=IFERROR(ROUND((BP19+BP23)/$B151,0),0)</f>
        <v>5</v>
      </c>
      <c r="BQ151" s="46">
        <f>=IFERROR(ROUND((BQ19+BQ23)/$B151,0),0)</f>
        <v>4</v>
      </c>
      <c r="BR151" s="46">
        <f>=IFERROR(ROUND((BR19+BR23)/$B151,0),0)</f>
        <v>4</v>
      </c>
      <c r="BS151" s="46">
        <f>=IFERROR(ROUND((BS19+BS23)/$B151,0),0)</f>
        <v>4</v>
      </c>
      <c r="BT151" s="46">
        <f>=IFERROR(ROUND((BT19+BT23)/$B151,0),0)</f>
        <v>4</v>
      </c>
      <c r="BU151" s="46">
        <f>=IFERROR(ROUND((BU19+BU23)/$B151,0),0)</f>
        <v>3</v>
      </c>
      <c r="BV151" s="46">
        <f>=IFERROR(ROUND((BV19+BV23)/$B151,0),0)</f>
        <v>3</v>
      </c>
      <c r="BW151" s="46">
        <f>=IFERROR(ROUND((BW19+BW23)/$B151,0),0)</f>
        <v>3</v>
      </c>
      <c r="BX151" s="46">
        <f>=IFERROR(ROUND((BX19+BX23)/$B151,0),0)</f>
        <v>3</v>
      </c>
      <c r="BY151" s="73">
        <f>=IFERROR(ROUND((BY19+BY23)/$B151,0),0)</f>
        <v>3</v>
      </c>
      <c r="BZ151" s="46">
        <f>=IFERROR(ROUND((BZ19+BZ23)/$B151,0),0)</f>
        <v>3</v>
      </c>
      <c r="CA151" s="46">
        <f>=IFERROR(ROUND((CA19+CA23)/$B151,0),0)</f>
        <v>3</v>
      </c>
      <c r="CB151" s="46">
        <f>=IFERROR(ROUND((CB19+CB23)/$B151,0),0)</f>
        <v>3</v>
      </c>
      <c r="CC151" s="46">
        <f>=IFERROR(ROUND((CC19+CC23)/$B151,0),0)</f>
        <v>3</v>
      </c>
      <c r="CD151" s="46">
        <f>=IFERROR(ROUND((CD19+CD23)/$B151,0),0)</f>
        <v>3</v>
      </c>
      <c r="CE151" s="46">
        <f>=IFERROR(ROUND((CE19+CE23)/$B151,0),0)</f>
        <v>3</v>
      </c>
      <c r="CF151" s="46">
        <f>=IFERROR(ROUND((CF19+CF23)/$B151,0),0)</f>
        <v>2</v>
      </c>
      <c r="CG151" s="46">
        <f>=IFERROR(ROUND((CG19+CG23)/$B151,0),0)</f>
        <v>2</v>
      </c>
      <c r="CH151" s="46">
        <f>=IFERROR(ROUND((CH19+CH23)/$B151,0),0)</f>
        <v>2</v>
      </c>
      <c r="CI151" s="46">
        <f>=IFERROR(ROUND((CI19+CI23)/$B151,0),0)</f>
        <v>2</v>
      </c>
      <c r="CJ151" s="46">
        <f>=IFERROR(ROUND((CJ19+CJ23)/$B151,0),0)</f>
        <v>2</v>
      </c>
      <c r="CK151" s="46">
        <f>=IFERROR(ROUND((CK19+CK23)/$B151,0),0)</f>
        <v>2</v>
      </c>
      <c r="CL151" s="46">
        <f>=IFERROR(ROUND((CL19+CL23)/$B151,0),0)</f>
        <v>2</v>
      </c>
      <c r="CM151" s="46">
        <f>=IFERROR(ROUND((CM19+CM23)/$B151,0),0)</f>
        <v>2</v>
      </c>
      <c r="CN151" s="46">
        <f>=IFERROR(ROUND((CN19+CN23)/$B151,0),0)</f>
        <v>2</v>
      </c>
      <c r="CO151" s="46">
        <f>=IFERROR(ROUND((CO19+CO23)/$B151,0),0)</f>
        <v>2</v>
      </c>
      <c r="CP151" s="46">
        <f>=IFERROR(ROUND((CP19+CP23)/$B151,0),0)</f>
        <v>2</v>
      </c>
      <c r="CQ151" s="46">
        <f>=IFERROR(ROUND((CQ19+CQ23)/$B151,0),0)</f>
        <v>2</v>
      </c>
      <c r="CR151" s="46">
        <f>=IFERROR(ROUND((CR19+CR23)/$B151,0),0)</f>
        <v>2</v>
      </c>
      <c r="CS151" s="46">
        <f>=IFERROR(ROUND((CS19+CS23)/$B151,0),0)</f>
        <v>2</v>
      </c>
      <c r="CT151" s="73">
        <f>=IFERROR(ROUND((CT19+CT23)/$B151,0),0)</f>
        <v>2</v>
      </c>
      <c r="CU151" s="46">
        <f>=IFERROR(ROUND((CU19+CU23)/$B151,0),0)</f>
        <v>2</v>
      </c>
      <c r="CV151" s="46">
        <f>=IFERROR(ROUND((CV19+CV23)/$B151,0),0)</f>
        <v>2</v>
      </c>
      <c r="CW151" s="73">
        <f>=IFERROR(ROUND((CW19+CW23)/$B151,0),0)</f>
        <v>2</v>
      </c>
      <c r="CX151" s="73">
        <f>=IFERROR(ROUND((CX19+CX23)/$B151,0),0)</f>
        <v>2</v>
      </c>
      <c r="CY151" s="46">
        <f>=IFERROR(ROUND((CY19+CY23)/$B151,0),0)</f>
        <v>2</v>
      </c>
      <c r="CZ151" s="46">
        <f>=IFERROR(ROUND((CZ19+CZ23)/$B151,0),0)</f>
        <v>2</v>
      </c>
      <c r="DA151" s="46">
        <f>=IFERROR(ROUND((DA19+DA23)/$B151,0),0)</f>
        <v>2</v>
      </c>
      <c r="DB151" s="46">
        <f>=IFERROR(ROUND((DB19+DB23)/$B151,0),0)</f>
        <v>2</v>
      </c>
    </row>
    <row r="152" ht="18" customHeight="1" spans="1:106" x14ac:dyDescent="0.25">
      <c r="A152" s="17" t="s">
        <v>356</v>
      </c>
      <c r="B152" s="17">
        <v>15</v>
      </c>
      <c r="C152" s="46">
        <f>=IFERROR(ROUND((C21+C22)/$B152,0),0)</f>
        <v>2</v>
      </c>
      <c r="D152" s="46">
        <f>=IFERROR(ROUND((D21+D22)/$B152,0),0)</f>
        <v>2</v>
      </c>
      <c r="E152" s="46">
        <f>=IFERROR(ROUND((E21+E22)/$B152,0),0)</f>
        <v>1</v>
      </c>
      <c r="F152" s="46">
        <f>=IFERROR(ROUND((F21+F22)/$B152,0),0)</f>
        <v>1</v>
      </c>
      <c r="G152" s="46">
        <f>=IFERROR(ROUND((G21+G22)/$B152,0),0)</f>
        <v>1</v>
      </c>
      <c r="H152" s="46">
        <f>=IFERROR(ROUND((H21+H22)/$B152,0),0)</f>
        <v>1</v>
      </c>
      <c r="I152" s="46">
        <f>=IFERROR(ROUND((I21+I22)/$B152,0),0)</f>
        <v>1</v>
      </c>
      <c r="J152" s="46">
        <f>=IFERROR(ROUND((J21+J22)/$B152,0),0)</f>
        <v>1</v>
      </c>
      <c r="K152" s="46">
        <f>=IFERROR(ROUND((K21+K22)/$B152,0),0)</f>
        <v>2</v>
      </c>
      <c r="L152" s="46">
        <f>=IFERROR(ROUND((L21+L22)/$B152,0),0)</f>
        <v>1</v>
      </c>
      <c r="M152" s="46">
        <f>=IFERROR(ROUND((M21+M22)/$B152,0),0)</f>
        <v>1</v>
      </c>
      <c r="N152" s="46">
        <f>=IFERROR(ROUND((N21+N22)/$B152,0),0)</f>
        <v>1</v>
      </c>
      <c r="O152" s="46">
        <f>=IFERROR(ROUND((O21+O22)/$B152,0),0)</f>
        <v>0</v>
      </c>
      <c r="P152" s="46">
        <f>=IFERROR(ROUND((P21+P22)/$B152,0),0)</f>
        <v>0</v>
      </c>
      <c r="Q152" s="46">
        <f>=IFERROR(ROUND((Q21+Q22)/$B152,0),0)</f>
        <v>0</v>
      </c>
      <c r="R152" s="46">
        <f>=IFERROR(ROUND((R21+R22)/$B152,0),0)</f>
        <v>1</v>
      </c>
      <c r="S152" s="46">
        <f>=IFERROR(ROUND((S21+S22)/$B152,0),0)</f>
        <v>1</v>
      </c>
      <c r="T152" s="46">
        <f>=IFERROR(ROUND((T21+T22)/$B152,0),0)</f>
        <v>0</v>
      </c>
      <c r="U152" s="46">
        <f>=IFERROR(ROUND((U21+U22)/$B152,0),0)</f>
        <v>0</v>
      </c>
      <c r="V152" s="46">
        <f>=IFERROR(ROUND((V21+V22)/$B152,0),0)</f>
        <v>0</v>
      </c>
      <c r="W152" s="46">
        <f>=IFERROR(ROUND((W21+W22)/$B152,0),0)</f>
        <v>0</v>
      </c>
      <c r="X152" s="46">
        <f>=IFERROR(ROUND((X21+X22)/$B152,0),0)</f>
        <v>0</v>
      </c>
      <c r="Y152" s="46">
        <f>=IFERROR(ROUND((Y21+Y22)/$B152,0),0)</f>
        <v>0</v>
      </c>
      <c r="Z152" s="46">
        <f>=IFERROR(ROUND((Z21+Z22)/$B152,0),0)</f>
        <v>0</v>
      </c>
      <c r="AA152" s="46">
        <f>=IFERROR(ROUND((AA21+AA22)/$B152,0),0)</f>
        <v>0</v>
      </c>
      <c r="AB152" s="46">
        <f>=IFERROR(ROUND((AB21+AB22)/$B152,0),0)</f>
        <v>0</v>
      </c>
      <c r="AC152" s="46">
        <f>=IFERROR(ROUND((AC21+AC22)/$B152,0),0)</f>
        <v>0</v>
      </c>
      <c r="AD152" s="46">
        <f>=IFERROR(ROUND((AD21+AD22)/$B152,0),0)</f>
        <v>0</v>
      </c>
      <c r="AE152" s="46">
        <f>=IFERROR(ROUND((AE21+AE22)/$B152,0),0)</f>
        <v>0</v>
      </c>
      <c r="AF152" s="46">
        <f>=IFERROR(ROUND((AF21+AF22)/$B152,0),0)</f>
        <v>0</v>
      </c>
      <c r="AG152" s="46">
        <f>=IFERROR(ROUND((AG21+AG22)/$B152,0),0)</f>
        <v>0</v>
      </c>
      <c r="AH152" s="46">
        <f>=IFERROR(ROUND((AH21+AH22)/$B152,0),0)</f>
        <v>0</v>
      </c>
      <c r="AI152" s="46">
        <f>=IFERROR(ROUND((AI21+AI22)/$B152,0),0)</f>
        <v>0</v>
      </c>
      <c r="AJ152" s="46">
        <f>=IFERROR(ROUND((AJ21+AJ22)/$B152,0),0)</f>
        <v>0</v>
      </c>
      <c r="AK152" s="46">
        <f>=IFERROR(ROUND((AK21+AK22)/$B152,0),0)</f>
        <v>0</v>
      </c>
      <c r="AL152" s="46">
        <f>=IFERROR(ROUND((AL21+AL22)/$B152,0),0)</f>
        <v>0</v>
      </c>
      <c r="AM152" s="46">
        <f>=IFERROR(ROUND((AM21+AM22)/$B152,0),0)</f>
        <v>0</v>
      </c>
      <c r="AN152" s="46">
        <f>=IFERROR(ROUND((AN21+AN22)/$B152,0),0)</f>
        <v>0</v>
      </c>
      <c r="AO152" s="46">
        <f>=IFERROR(ROUND((AO21+AO22)/$B152,0),0)</f>
        <v>1</v>
      </c>
      <c r="AP152" s="46">
        <f>=IFERROR(ROUND((AP21+AP22)/$B152,0),0)</f>
        <v>1</v>
      </c>
      <c r="AQ152" s="46">
        <f>=IFERROR(ROUND((AQ21+AQ22)/$B152,0),0)</f>
        <v>0</v>
      </c>
      <c r="AR152" s="46">
        <f>=IFERROR(ROUND((AR21+AR22)/$B152,0),0)</f>
        <v>1</v>
      </c>
      <c r="AS152" s="46">
        <f>=IFERROR(ROUND((AS21+AS22)/$B152,0),0)</f>
        <v>1</v>
      </c>
      <c r="AT152" s="46">
        <f>=IFERROR(ROUND((AT21+AT22)/$B152,0),0)</f>
        <v>1</v>
      </c>
      <c r="AU152" s="46">
        <f>=IFERROR(ROUND((AU21+AU22)/$B152,0),0)</f>
        <v>0</v>
      </c>
      <c r="AV152" s="46">
        <f>=IFERROR(ROUND((AV21+AV22)/$B152,0),0)</f>
        <v>1</v>
      </c>
      <c r="AW152" s="46">
        <f>=IFERROR(ROUND((AW21+AW22)/$B152,0),0)</f>
        <v>0</v>
      </c>
      <c r="AX152" s="46">
        <f>=IFERROR(ROUND((AX21+AX22)/$B152,0),0)</f>
        <v>1</v>
      </c>
      <c r="AY152" s="46">
        <f>=IFERROR(ROUND((AY21+AY22)/$B152,0),0)</f>
        <v>2</v>
      </c>
      <c r="AZ152" s="46">
        <f>=IFERROR(ROUND((AZ21+AZ22)/$B152,0),0)</f>
        <v>1</v>
      </c>
      <c r="BA152" s="46">
        <f>=IFERROR(ROUND((BA21+BA22)/$B152,0),0)</f>
        <v>1</v>
      </c>
      <c r="BB152" s="46">
        <f>=IFERROR(ROUND((BB21+BB22)/$B152,0),0)</f>
        <v>2</v>
      </c>
      <c r="BC152" s="46">
        <f>=IFERROR(ROUND((BC21+BC22)/$B152,0),0)</f>
        <v>0</v>
      </c>
      <c r="BD152" s="46">
        <f>=IFERROR(ROUND((BD21+BD22)/$B152,0),0)</f>
        <v>1</v>
      </c>
      <c r="BE152" s="46">
        <f>=IFERROR(ROUND((BE21+BE22)/$B152,0),0)</f>
        <v>0</v>
      </c>
      <c r="BF152" s="46">
        <f>=IFERROR(ROUND((BF21+BF22)/$B152,0),0)</f>
        <v>1</v>
      </c>
      <c r="BG152" s="46">
        <f>=IFERROR(ROUND((BG21+BG22)/$B152,0),0)</f>
        <v>1</v>
      </c>
      <c r="BH152" s="46">
        <f>=IFERROR(ROUND((BH21+BH22)/$B152,0),0)</f>
        <v>0</v>
      </c>
      <c r="BI152" s="46">
        <f>=IFERROR(ROUND((BI21+BI22)/$B152,0),0)</f>
        <v>1</v>
      </c>
      <c r="BJ152" s="46">
        <f>=IFERROR(ROUND((BJ21+BJ22)/$B152,0),0)</f>
        <v>0</v>
      </c>
      <c r="BK152" s="46">
        <f>=IFERROR(ROUND((BK21+BK22)/$B152,0),0)</f>
        <v>0</v>
      </c>
      <c r="BL152" s="46">
        <f>=IFERROR(ROUND((BL21+BL22)/$B152,0),0)</f>
        <v>0</v>
      </c>
      <c r="BM152" s="46">
        <f>=IFERROR(ROUND((BM21+BM22)/$B152,0),0)</f>
        <v>0</v>
      </c>
      <c r="BN152" s="46">
        <f>=IFERROR(ROUND((BN21+BN22)/$B152,0),0)</f>
        <v>0</v>
      </c>
      <c r="BO152" s="46">
        <f>=IFERROR(ROUND((BO21+BO22)/$B152,0),0)</f>
        <v>0</v>
      </c>
      <c r="BP152" s="46">
        <f>=IFERROR(ROUND((BP21+BP22)/$B152,0),0)</f>
        <v>0</v>
      </c>
      <c r="BQ152" s="46">
        <f>=IFERROR(ROUND((BQ21+BQ22)/$B152,0),0)</f>
        <v>0</v>
      </c>
      <c r="BR152" s="46">
        <f>=IFERROR(ROUND((BR21+BR22)/$B152,0),0)</f>
        <v>0</v>
      </c>
      <c r="BS152" s="46">
        <f>=IFERROR(ROUND((BS21+BS22)/$B152,0),0)</f>
        <v>0</v>
      </c>
      <c r="BT152" s="46">
        <f>=IFERROR(ROUND((BT21+BT22)/$B152,0),0)</f>
        <v>0</v>
      </c>
      <c r="BU152" s="46">
        <f>=IFERROR(ROUND((BU21+BU22)/$B152,0),0)</f>
        <v>0</v>
      </c>
      <c r="BV152" s="46">
        <f>=IFERROR(ROUND((BV21+BV22)/$B152,0),0)</f>
        <v>0</v>
      </c>
      <c r="BW152" s="46">
        <f>=IFERROR(ROUND((BW21+BW22)/$B152,0),0)</f>
        <v>0</v>
      </c>
      <c r="BX152" s="46">
        <f>=IFERROR(ROUND((BX21+BX22)/$B152,0),0)</f>
        <v>0</v>
      </c>
      <c r="BY152" s="46">
        <f>=IFERROR(ROUND((BY21+BY22)/$B152,0),0)</f>
        <v>0</v>
      </c>
      <c r="BZ152" s="46">
        <f>=IFERROR(ROUND((BZ21+BZ22)/$B152,0),0)</f>
        <v>0</v>
      </c>
      <c r="CA152" s="46">
        <f>=IFERROR(ROUND((CA21+CA22)/$B152,0),0)</f>
        <v>0</v>
      </c>
      <c r="CB152" s="46">
        <f>=IFERROR(ROUND((CB21+CB22)/$B152,0),0)</f>
        <v>0</v>
      </c>
      <c r="CC152" s="46">
        <f>=IFERROR(ROUND((CC21+CC22)/$B152,0),0)</f>
        <v>0</v>
      </c>
      <c r="CD152" s="46">
        <f>=IFERROR(ROUND((CD21+CD22)/$B152,0),0)</f>
        <v>0</v>
      </c>
      <c r="CE152" s="46">
        <f>=IFERROR(ROUND((CE21+CE22)/$B152,0),0)</f>
        <v>0</v>
      </c>
      <c r="CF152" s="46">
        <f>=IFERROR(ROUND((CF21+CF22)/$B152,0),0)</f>
        <v>0</v>
      </c>
      <c r="CG152" s="46">
        <f>=IFERROR(ROUND((CG21+CG22)/$B152,0),0)</f>
        <v>0</v>
      </c>
      <c r="CH152" s="46">
        <f>=IFERROR(ROUND((CH21+CH22)/$B152,0),0)</f>
        <v>0</v>
      </c>
      <c r="CI152" s="46">
        <f>=IFERROR(ROUND((CI21+CI22)/$B152,0),0)</f>
        <v>0</v>
      </c>
      <c r="CJ152" s="46">
        <f>=IFERROR(ROUND((CJ21+CJ22)/$B152,0),0)</f>
        <v>0</v>
      </c>
      <c r="CK152" s="46">
        <f>=IFERROR(ROUND((CK21+CK22)/$B152,0),0)</f>
        <v>0</v>
      </c>
      <c r="CL152" s="46">
        <f>=IFERROR(ROUND((CL21+CL22)/$B152,0),0)</f>
        <v>0</v>
      </c>
      <c r="CM152" s="46">
        <f>=IFERROR(ROUND((CM21+CM22)/$B152,0),0)</f>
        <v>0</v>
      </c>
      <c r="CN152" s="46">
        <f>=IFERROR(ROUND((CN21+CN22)/$B152,0),0)</f>
        <v>0</v>
      </c>
      <c r="CO152" s="46">
        <f>=IFERROR(ROUND((CO21+CO22)/$B152,0),0)</f>
        <v>0</v>
      </c>
      <c r="CP152" s="46">
        <f>=IFERROR(ROUND((CP21+CP22)/$B152,0),0)</f>
        <v>0</v>
      </c>
      <c r="CQ152" s="46">
        <f>=IFERROR(ROUND((CQ21+CQ22)/$B152,0),0)</f>
        <v>0</v>
      </c>
      <c r="CR152" s="46">
        <f>=IFERROR(ROUND((CR21+CR22)/$B152,0),0)</f>
        <v>0</v>
      </c>
      <c r="CS152" s="46">
        <f>=IFERROR(ROUND((CS21+CS22)/$B152,0),0)</f>
        <v>0</v>
      </c>
      <c r="CT152" s="46">
        <f>=IFERROR(ROUND((CT21+CT22)/$B152,0),0)</f>
        <v>0</v>
      </c>
      <c r="CU152" s="46">
        <f>=IFERROR(ROUND((CU21+CU22)/$B152,0),0)</f>
        <v>0</v>
      </c>
      <c r="CV152" s="46">
        <f>=IFERROR(ROUND((CV21+CV22)/$B152,0),0)</f>
        <v>0</v>
      </c>
      <c r="CW152" s="46">
        <f>=IFERROR(ROUND((CW21+CW22)/$B152,0),0)</f>
        <v>0</v>
      </c>
      <c r="CX152" s="46">
        <f>=IFERROR(ROUND((CX21+CX22)/$B152,0),0)</f>
        <v>0</v>
      </c>
      <c r="CY152" s="46">
        <f>=IFERROR(ROUND((CY21+CY22)/$B152,0),0)</f>
        <v>0</v>
      </c>
      <c r="CZ152" s="46">
        <f>=IFERROR(ROUND((CZ21+CZ22)/$B152,0),0)</f>
        <v>0</v>
      </c>
      <c r="DA152" s="46">
        <f>=IFERROR(ROUND((DA21+DA22)/$B152,0),0)</f>
        <v>0</v>
      </c>
      <c r="DB152" s="46">
        <f>=IFERROR(ROUND((DB21+DB22)/$B152,0),0)</f>
        <v>0</v>
      </c>
    </row>
    <row r="153" ht="18" customHeight="1" spans="1:106" x14ac:dyDescent="0.25">
      <c r="A153" s="17" t="s">
        <v>357</v>
      </c>
      <c r="B153" s="17">
        <v>15</v>
      </c>
      <c r="C153" s="46">
        <f>=IFERROR(ROUND((C19+C23)/$B153,0),0)</f>
        <v>7</v>
      </c>
      <c r="D153" s="46">
        <f>=IFERROR(ROUND((D19+D23)/$B153,0),0)</f>
        <v>6</v>
      </c>
      <c r="E153" s="46">
        <f>=IFERROR(ROUND((E19+E23)/$B153,0),0)</f>
        <v>6</v>
      </c>
      <c r="F153" s="46">
        <f>=IFERROR(ROUND((F19+F23)/$B153,0),0)</f>
        <v>6</v>
      </c>
      <c r="G153" s="46">
        <f>=IFERROR(ROUND((G19+G23)/$B153,0),0)</f>
        <v>6</v>
      </c>
      <c r="H153" s="46">
        <f>=IFERROR(ROUND((H19+H23)/$B153,0),0)</f>
        <v>7</v>
      </c>
      <c r="I153" s="46">
        <f>=IFERROR(ROUND((I19+I23)/$B153,0),0)</f>
        <v>6</v>
      </c>
      <c r="J153" s="46">
        <f>=IFERROR(ROUND((J19+J23)/$B153,0),0)</f>
        <v>6</v>
      </c>
      <c r="K153" s="46">
        <f>=IFERROR(ROUND((K19+K23)/$B153,0),0)</f>
        <v>6</v>
      </c>
      <c r="L153" s="46">
        <f>=IFERROR(ROUND((L19+L23)/$B153,0),0)</f>
        <v>6</v>
      </c>
      <c r="M153" s="46">
        <f>=IFERROR(ROUND((M19+M23)/$B153,0),0)</f>
        <v>6</v>
      </c>
      <c r="N153" s="46">
        <f>=IFERROR(ROUND((N19+N23)/$B153,0),0)</f>
        <v>6</v>
      </c>
      <c r="O153" s="46">
        <f>=IFERROR(ROUND((O19+O23)/$B153,0),0)</f>
        <v>7</v>
      </c>
      <c r="P153" s="46">
        <f>=IFERROR(ROUND((P19+P23)/$B153,0),0)</f>
        <v>7</v>
      </c>
      <c r="Q153" s="46">
        <f>=IFERROR(ROUND((Q19+Q23)/$B153,0),0)</f>
        <v>6</v>
      </c>
      <c r="R153" s="46">
        <f>=IFERROR(ROUND((R19+R23)/$B153,0),0)</f>
        <v>7</v>
      </c>
      <c r="S153" s="46">
        <f>=IFERROR(ROUND((S19+S23)/$B153,0),0)</f>
        <v>7</v>
      </c>
      <c r="T153" s="46">
        <f>=IFERROR(ROUND((T19+T23)/$B153,0),0)</f>
        <v>7</v>
      </c>
      <c r="U153" s="46">
        <f>=IFERROR(ROUND((U19+U23)/$B153,0),0)</f>
        <v>7</v>
      </c>
      <c r="V153" s="46">
        <f>=IFERROR(ROUND((V19+V23)/$B153,0),0)</f>
        <v>7</v>
      </c>
      <c r="W153" s="46">
        <f>=IFERROR(ROUND((W19+W23)/$B153,0),0)</f>
        <v>6</v>
      </c>
      <c r="X153" s="46">
        <f>=IFERROR(ROUND((X19+X23)/$B153,0),0)</f>
        <v>6</v>
      </c>
      <c r="Y153" s="46">
        <f>=IFERROR(ROUND((Y19+Y23)/$B153,0),0)</f>
        <v>6</v>
      </c>
      <c r="Z153" s="46">
        <f>=IFERROR(ROUND((Z19+Z23)/$B153,0),0)</f>
        <v>6</v>
      </c>
      <c r="AA153" s="46">
        <f>=IFERROR(ROUND((AA19+AA23)/$B153,0),0)</f>
        <v>6</v>
      </c>
      <c r="AB153" s="46">
        <f>=IFERROR(ROUND((AB19+AB23)/$B153,0),0)</f>
        <v>6</v>
      </c>
      <c r="AC153" s="46">
        <f>=IFERROR(ROUND((AC19+AC23)/$B153,0),0)</f>
        <v>6</v>
      </c>
      <c r="AD153" s="46">
        <f>=IFERROR(ROUND((AD19+AD23)/$B153,0),0)</f>
        <v>6</v>
      </c>
      <c r="AE153" s="46">
        <f>=IFERROR(ROUND((AE19+AE23)/$B153,0),0)</f>
        <v>6</v>
      </c>
      <c r="AF153" s="46">
        <f>=IFERROR(ROUND((AF19+AF23)/$B153,0),0)</f>
        <v>6</v>
      </c>
      <c r="AG153" s="46">
        <f>=IFERROR(ROUND((AG19+AG23)/$B153,0),0)</f>
        <v>5</v>
      </c>
      <c r="AH153" s="46">
        <f>=IFERROR(ROUND((AH19+AH23)/$B153,0),0)</f>
        <v>5</v>
      </c>
      <c r="AI153" s="46">
        <f>=IFERROR(ROUND((AI19+AI23)/$B153,0),0)</f>
        <v>5</v>
      </c>
      <c r="AJ153" s="46">
        <f>=IFERROR(ROUND((AJ19+AJ23)/$B153,0),0)</f>
        <v>5</v>
      </c>
      <c r="AK153" s="46">
        <f>=IFERROR(ROUND((AK19+AK23)/$B153,0),0)</f>
        <v>5</v>
      </c>
      <c r="AL153" s="46">
        <f>=IFERROR(ROUND((AL19+AL23)/$B153,0),0)</f>
        <v>5</v>
      </c>
      <c r="AM153" s="46">
        <f>=IFERROR(ROUND((AM19+AM23)/$B153,0),0)</f>
        <v>5</v>
      </c>
      <c r="AN153" s="46">
        <f>=IFERROR(ROUND((AN19+AN23)/$B153,0),0)</f>
        <v>5</v>
      </c>
      <c r="AO153" s="46">
        <f>=IFERROR(ROUND((AO19+AO23)/$B153,0),0)</f>
        <v>5</v>
      </c>
      <c r="AP153" s="46">
        <f>=IFERROR(ROUND((AP19+AP23)/$B153,0),0)</f>
        <v>4</v>
      </c>
      <c r="AQ153" s="46">
        <f>=IFERROR(ROUND((AQ19+AQ23)/$B153,0),0)</f>
        <v>4</v>
      </c>
      <c r="AR153" s="46">
        <f>=IFERROR(ROUND((AR19+AR23)/$B153,0),0)</f>
        <v>4</v>
      </c>
      <c r="AS153" s="46">
        <f>=IFERROR(ROUND((AS19+AS23)/$B153,0),0)</f>
        <v>5</v>
      </c>
      <c r="AT153" s="46">
        <f>=IFERROR(ROUND((AT19+AT23)/$B153,0),0)</f>
        <v>5</v>
      </c>
      <c r="AU153" s="46">
        <f>=IFERROR(ROUND((AU19+AU23)/$B153,0),0)</f>
        <v>5</v>
      </c>
      <c r="AV153" s="46">
        <f>=IFERROR(ROUND((AV19+AV23)/$B153,0),0)</f>
        <v>5</v>
      </c>
      <c r="AW153" s="46">
        <f>=IFERROR(ROUND((AW19+AW23)/$B153,0),0)</f>
        <v>6</v>
      </c>
      <c r="AX153" s="46">
        <f>=IFERROR(ROUND((AX19+AX23)/$B153,0),0)</f>
        <v>6</v>
      </c>
      <c r="AY153" s="46">
        <f>=IFERROR(ROUND((AY19+AY23)/$B153,0),0)</f>
        <v>6</v>
      </c>
      <c r="AZ153" s="46">
        <f>=IFERROR(ROUND((AZ19+AZ23)/$B153,0),0)</f>
        <v>6</v>
      </c>
      <c r="BA153" s="46">
        <f>=IFERROR(ROUND((BA19+BA23)/$B153,0),0)</f>
        <v>5</v>
      </c>
      <c r="BB153" s="46">
        <f>=IFERROR(ROUND((BB19+BB23)/$B153,0),0)</f>
        <v>6</v>
      </c>
      <c r="BC153" s="46">
        <f>=IFERROR(ROUND((BC19+BC23)/$B153,0),0)</f>
        <v>7</v>
      </c>
      <c r="BD153" s="73">
        <f>=IFERROR(ROUND((BD19+BD23)/$B153,0),0)</f>
        <v>7</v>
      </c>
      <c r="BE153" s="46">
        <f>=IFERROR(ROUND((BE19+BE23)/$B153,0),0)</f>
        <v>8</v>
      </c>
      <c r="BF153" s="46">
        <f>=IFERROR(ROUND((BF19+BF23)/$B153,0),0)</f>
        <v>7</v>
      </c>
      <c r="BG153" s="46">
        <f>=IFERROR(ROUND((BG19+BG23)/$B153,0),0)</f>
        <v>7</v>
      </c>
      <c r="BH153" s="46">
        <f>=IFERROR(ROUND((BH19+BH23)/$B153,0),0)</f>
        <v>8</v>
      </c>
      <c r="BI153" s="46">
        <f>=IFERROR(ROUND((BI19+BI23)/$B153,0),0)</f>
        <v>7</v>
      </c>
      <c r="BJ153" s="46">
        <f>=IFERROR(ROUND((BJ19+BJ23)/$B153,0),0)</f>
        <v>8</v>
      </c>
      <c r="BK153" s="46">
        <f>=IFERROR(ROUND((BK19+BK23)/$B153,0),0)</f>
        <v>8</v>
      </c>
      <c r="BL153" s="73">
        <f>=IFERROR(ROUND((BL19+BL23)/$B153,0),0)</f>
        <v>8</v>
      </c>
      <c r="BM153" s="46">
        <f>=IFERROR(ROUND((BM19+BM23)/$B153,0),0)</f>
        <v>5</v>
      </c>
      <c r="BN153" s="46">
        <f>=IFERROR(ROUND((BN19+BN23)/$B153,0),0)</f>
        <v>5</v>
      </c>
      <c r="BO153" s="46">
        <f>=IFERROR(ROUND((BO19+BO23)/$B153,0),0)</f>
        <v>5</v>
      </c>
      <c r="BP153" s="46">
        <f>=IFERROR(ROUND((BP19+BP23)/$B153,0),0)</f>
        <v>5</v>
      </c>
      <c r="BQ153" s="46">
        <f>=IFERROR(ROUND((BQ19+BQ23)/$B153,0),0)</f>
        <v>4</v>
      </c>
      <c r="BR153" s="46">
        <f>=IFERROR(ROUND((BR19+BR23)/$B153,0),0)</f>
        <v>4</v>
      </c>
      <c r="BS153" s="46">
        <f>=IFERROR(ROUND((BS19+BS23)/$B153,0),0)</f>
        <v>4</v>
      </c>
      <c r="BT153" s="46">
        <f>=IFERROR(ROUND((BT19+BT23)/$B153,0),0)</f>
        <v>4</v>
      </c>
      <c r="BU153" s="46">
        <f>=IFERROR(ROUND((BU19+BU23)/$B153,0),0)</f>
        <v>3</v>
      </c>
      <c r="BV153" s="46">
        <f>=IFERROR(ROUND((BV19+BV23)/$B153,0),0)</f>
        <v>3</v>
      </c>
      <c r="BW153" s="46">
        <f>=IFERROR(ROUND((BW19+BW23)/$B153,0),0)</f>
        <v>3</v>
      </c>
      <c r="BX153" s="46">
        <f>=IFERROR(ROUND((BX19+BX23)/$B153,0),0)</f>
        <v>3</v>
      </c>
      <c r="BY153" s="73">
        <f>=IFERROR(ROUND((BY19+BY23)/$B153,0),0)</f>
        <v>3</v>
      </c>
      <c r="BZ153" s="46">
        <f>=IFERROR(ROUND((BZ19+BZ23)/$B153,0),0)</f>
        <v>3</v>
      </c>
      <c r="CA153" s="46">
        <f>=IFERROR(ROUND((CA19+CA23)/$B153,0),0)</f>
        <v>3</v>
      </c>
      <c r="CB153" s="46">
        <f>=IFERROR(ROUND((CB19+CB23)/$B153,0),0)</f>
        <v>3</v>
      </c>
      <c r="CC153" s="46">
        <f>=IFERROR(ROUND((CC19+CC23)/$B153,0),0)</f>
        <v>3</v>
      </c>
      <c r="CD153" s="46">
        <f>=IFERROR(ROUND((CD19+CD23)/$B153,0),0)</f>
        <v>3</v>
      </c>
      <c r="CE153" s="46">
        <f>=IFERROR(ROUND((CE19+CE23)/$B153,0),0)</f>
        <v>3</v>
      </c>
      <c r="CF153" s="46">
        <f>=IFERROR(ROUND((CF19+CF23)/$B153,0),0)</f>
        <v>2</v>
      </c>
      <c r="CG153" s="46">
        <f>=IFERROR(ROUND((CG19+CG23)/$B153,0),0)</f>
        <v>2</v>
      </c>
      <c r="CH153" s="46">
        <f>=IFERROR(ROUND((CH19+CH23)/$B153,0),0)</f>
        <v>2</v>
      </c>
      <c r="CI153" s="46">
        <f>=IFERROR(ROUND((CI19+CI23)/$B153,0),0)</f>
        <v>2</v>
      </c>
      <c r="CJ153" s="46">
        <f>=IFERROR(ROUND((CJ19+CJ23)/$B153,0),0)</f>
        <v>2</v>
      </c>
      <c r="CK153" s="46">
        <f>=IFERROR(ROUND((CK19+CK23)/$B153,0),0)</f>
        <v>2</v>
      </c>
      <c r="CL153" s="46">
        <f>=IFERROR(ROUND((CL19+CL23)/$B153,0),0)</f>
        <v>2</v>
      </c>
      <c r="CM153" s="46">
        <f>=IFERROR(ROUND((CM19+CM23)/$B153,0),0)</f>
        <v>2</v>
      </c>
      <c r="CN153" s="46">
        <f>=IFERROR(ROUND((CN19+CN23)/$B153,0),0)</f>
        <v>2</v>
      </c>
      <c r="CO153" s="46">
        <f>=IFERROR(ROUND((CO19+CO23)/$B153,0),0)</f>
        <v>2</v>
      </c>
      <c r="CP153" s="46">
        <f>=IFERROR(ROUND((CP19+CP23)/$B153,0),0)</f>
        <v>2</v>
      </c>
      <c r="CQ153" s="46">
        <f>=IFERROR(ROUND((CQ19+CQ23)/$B153,0),0)</f>
        <v>2</v>
      </c>
      <c r="CR153" s="46">
        <f>=IFERROR(ROUND((CR19+CR23)/$B153,0),0)</f>
        <v>2</v>
      </c>
      <c r="CS153" s="46">
        <f>=IFERROR(ROUND((CS19+CS23)/$B153,0),0)</f>
        <v>2</v>
      </c>
      <c r="CT153" s="73">
        <f>=IFERROR(ROUND((CT19+CT23)/$B153,0),0)</f>
        <v>2</v>
      </c>
      <c r="CU153" s="46">
        <f>=IFERROR(ROUND((CU19+CU23)/$B153,0),0)</f>
        <v>2</v>
      </c>
      <c r="CV153" s="46">
        <f>=IFERROR(ROUND((CV19+CV23)/$B153,0),0)</f>
        <v>2</v>
      </c>
      <c r="CW153" s="73">
        <f>=IFERROR(ROUND((CW19+CW23)/$B153,0),0)</f>
        <v>2</v>
      </c>
      <c r="CX153" s="73">
        <f>=IFERROR(ROUND((CX19+CX23)/$B153,0),0)</f>
        <v>2</v>
      </c>
      <c r="CY153" s="46">
        <f>=IFERROR(ROUND((CY19+CY23)/$B153,0),0)</f>
        <v>2</v>
      </c>
      <c r="CZ153" s="46">
        <f>=IFERROR(ROUND((CZ19+CZ23)/$B153,0),0)</f>
        <v>2</v>
      </c>
      <c r="DA153" s="46">
        <f>=IFERROR(ROUND((DA19+DA23)/$B153,0),0)</f>
        <v>2</v>
      </c>
      <c r="DB153" s="46">
        <f>=IFERROR(ROUND((DB19+DB23)/$B153,0),0)</f>
        <v>2</v>
      </c>
    </row>
    <row r="154" ht="18" customHeight="1" spans="1:106" x14ac:dyDescent="0.25">
      <c r="A154" s="17" t="s">
        <v>358</v>
      </c>
      <c r="B154" s="17">
        <v>40</v>
      </c>
      <c r="C154" s="46">
        <f>=IFERROR(ROUND((C19+C23)/$B154,0),0)</f>
        <v>2</v>
      </c>
      <c r="D154" s="46">
        <f>=IFERROR(ROUND((D19+D23)/$B154,0),0)</f>
        <v>2</v>
      </c>
      <c r="E154" s="46">
        <f>=IFERROR(ROUND((E19+E23)/$B154,0),0)</f>
        <v>2</v>
      </c>
      <c r="F154" s="46">
        <f>=IFERROR(ROUND((F19+F23)/$B154,0),0)</f>
        <v>2</v>
      </c>
      <c r="G154" s="46">
        <f>=IFERROR(ROUND((G19+G23)/$B154,0),0)</f>
        <v>2</v>
      </c>
      <c r="H154" s="46">
        <f>=IFERROR(ROUND((H19+H23)/$B154,0),0)</f>
        <v>2</v>
      </c>
      <c r="I154" s="46">
        <f>=IFERROR(ROUND((I19+I23)/$B154,0),0)</f>
        <v>2</v>
      </c>
      <c r="J154" s="46">
        <f>=IFERROR(ROUND((J19+J23)/$B154,0),0)</f>
        <v>2</v>
      </c>
      <c r="K154" s="46">
        <f>=IFERROR(ROUND((K19+K23)/$B154,0),0)</f>
        <v>2</v>
      </c>
      <c r="L154" s="46">
        <f>=IFERROR(ROUND((L19+L23)/$B154,0),0)</f>
        <v>2</v>
      </c>
      <c r="M154" s="46">
        <f>=IFERROR(ROUND((M19+M23)/$B154,0),0)</f>
        <v>2</v>
      </c>
      <c r="N154" s="46">
        <f>=IFERROR(ROUND((N19+N23)/$B154,0),0)</f>
        <v>2</v>
      </c>
      <c r="O154" s="46">
        <f>=IFERROR(ROUND((O19+O23)/$B154,0),0)</f>
        <v>3</v>
      </c>
      <c r="P154" s="46">
        <f>=IFERROR(ROUND((P19+P23)/$B154,0),0)</f>
        <v>2</v>
      </c>
      <c r="Q154" s="46">
        <f>=IFERROR(ROUND((Q19+Q23)/$B154,0),0)</f>
        <v>2</v>
      </c>
      <c r="R154" s="46">
        <f>=IFERROR(ROUND((R19+R23)/$B154,0),0)</f>
        <v>3</v>
      </c>
      <c r="S154" s="46">
        <f>=IFERROR(ROUND((S19+S23)/$B154,0),0)</f>
        <v>2</v>
      </c>
      <c r="T154" s="46">
        <f>=IFERROR(ROUND((T19+T23)/$B154,0),0)</f>
        <v>3</v>
      </c>
      <c r="U154" s="46">
        <f>=IFERROR(ROUND((U19+U23)/$B154,0),0)</f>
        <v>3</v>
      </c>
      <c r="V154" s="46">
        <f>=IFERROR(ROUND((V19+V23)/$B154,0),0)</f>
        <v>3</v>
      </c>
      <c r="W154" s="46">
        <f>=IFERROR(ROUND((W19+W23)/$B154,0),0)</f>
        <v>2</v>
      </c>
      <c r="X154" s="46">
        <f>=IFERROR(ROUND((X19+X23)/$B154,0),0)</f>
        <v>2</v>
      </c>
      <c r="Y154" s="46">
        <f>=IFERROR(ROUND((Y19+Y23)/$B154,0),0)</f>
        <v>2</v>
      </c>
      <c r="Z154" s="46">
        <f>=IFERROR(ROUND((Z19+Z23)/$B154,0),0)</f>
        <v>2</v>
      </c>
      <c r="AA154" s="46">
        <f>=IFERROR(ROUND((AA19+AA23)/$B154,0),0)</f>
        <v>2</v>
      </c>
      <c r="AB154" s="46">
        <f>=IFERROR(ROUND((AB19+AB23)/$B154,0),0)</f>
        <v>2</v>
      </c>
      <c r="AC154" s="46">
        <f>=IFERROR(ROUND((AC19+AC23)/$B154,0),0)</f>
        <v>2</v>
      </c>
      <c r="AD154" s="46">
        <f>=IFERROR(ROUND((AD19+AD23)/$B154,0),0)</f>
        <v>2</v>
      </c>
      <c r="AE154" s="46">
        <f>=IFERROR(ROUND((AE19+AE23)/$B154,0),0)</f>
        <v>2</v>
      </c>
      <c r="AF154" s="46">
        <f>=IFERROR(ROUND((AF19+AF23)/$B154,0),0)</f>
        <v>2</v>
      </c>
      <c r="AG154" s="46">
        <f>=IFERROR(ROUND((AG19+AG23)/$B154,0),0)</f>
        <v>2</v>
      </c>
      <c r="AH154" s="46">
        <f>=IFERROR(ROUND((AH19+AH23)/$B154,0),0)</f>
        <v>2</v>
      </c>
      <c r="AI154" s="46">
        <f>=IFERROR(ROUND((AI19+AI23)/$B154,0),0)</f>
        <v>2</v>
      </c>
      <c r="AJ154" s="46">
        <f>=IFERROR(ROUND((AJ19+AJ23)/$B154,0),0)</f>
        <v>2</v>
      </c>
      <c r="AK154" s="46">
        <f>=IFERROR(ROUND((AK19+AK23)/$B154,0),0)</f>
        <v>2</v>
      </c>
      <c r="AL154" s="46">
        <f>=IFERROR(ROUND((AL19+AL23)/$B154,0),0)</f>
        <v>2</v>
      </c>
      <c r="AM154" s="46">
        <f>=IFERROR(ROUND((AM19+AM23)/$B154,0),0)</f>
        <v>2</v>
      </c>
      <c r="AN154" s="46">
        <f>=IFERROR(ROUND((AN19+AN23)/$B154,0),0)</f>
        <v>2</v>
      </c>
      <c r="AO154" s="46">
        <f>=IFERROR(ROUND((AO19+AO23)/$B154,0),0)</f>
        <v>2</v>
      </c>
      <c r="AP154" s="46">
        <f>=IFERROR(ROUND((AP19+AP23)/$B154,0),0)</f>
        <v>2</v>
      </c>
      <c r="AQ154" s="46">
        <f>=IFERROR(ROUND((AQ19+AQ23)/$B154,0),0)</f>
        <v>2</v>
      </c>
      <c r="AR154" s="46">
        <f>=IFERROR(ROUND((AR19+AR23)/$B154,0),0)</f>
        <v>2</v>
      </c>
      <c r="AS154" s="46">
        <f>=IFERROR(ROUND((AS19+AS23)/$B154,0),0)</f>
        <v>2</v>
      </c>
      <c r="AT154" s="46">
        <f>=IFERROR(ROUND((AT19+AT23)/$B154,0),0)</f>
        <v>2</v>
      </c>
      <c r="AU154" s="46">
        <f>=IFERROR(ROUND((AU19+AU23)/$B154,0),0)</f>
        <v>2</v>
      </c>
      <c r="AV154" s="46">
        <f>=IFERROR(ROUND((AV19+AV23)/$B154,0),0)</f>
        <v>2</v>
      </c>
      <c r="AW154" s="46">
        <f>=IFERROR(ROUND((AW19+AW23)/$B154,0),0)</f>
        <v>2</v>
      </c>
      <c r="AX154" s="46">
        <f>=IFERROR(ROUND((AX19+AX23)/$B154,0),0)</f>
        <v>2</v>
      </c>
      <c r="AY154" s="46">
        <f>=IFERROR(ROUND((AY19+AY23)/$B154,0),0)</f>
        <v>2</v>
      </c>
      <c r="AZ154" s="46">
        <f>=IFERROR(ROUND((AZ19+AZ23)/$B154,0),0)</f>
        <v>2</v>
      </c>
      <c r="BA154" s="46">
        <f>=IFERROR(ROUND((BA19+BA23)/$B154,0),0)</f>
        <v>2</v>
      </c>
      <c r="BB154" s="46">
        <f>=IFERROR(ROUND((BB19+BB23)/$B154,0),0)</f>
        <v>2</v>
      </c>
      <c r="BC154" s="73">
        <f>=IFERROR(ROUND((BC19+BC23)/$B154,0),0)</f>
        <v>3</v>
      </c>
      <c r="BD154" s="46">
        <f>=IFERROR(ROUND((BD19+BD23)/$B154,0),0)</f>
        <v>3</v>
      </c>
      <c r="BE154" s="46">
        <f>=IFERROR(ROUND((BE19+BE23)/$B154,0),0)</f>
        <v>3</v>
      </c>
      <c r="BF154" s="46">
        <f>=IFERROR(ROUND((BF19+BF23)/$B154,0),0)</f>
        <v>3</v>
      </c>
      <c r="BG154" s="46">
        <f>=IFERROR(ROUND((BG19+BG23)/$B154,0),0)</f>
        <v>3</v>
      </c>
      <c r="BH154" s="46">
        <f>=IFERROR(ROUND((BH19+BH23)/$B154,0),0)</f>
        <v>3</v>
      </c>
      <c r="BI154" s="46">
        <f>=IFERROR(ROUND((BI19+BI23)/$B154,0),0)</f>
        <v>3</v>
      </c>
      <c r="BJ154" s="46">
        <f>=IFERROR(ROUND((BJ19+BJ23)/$B154,0),0)</f>
        <v>3</v>
      </c>
      <c r="BK154" s="46">
        <f>=IFERROR(ROUND((BK19+BK23)/$B154,0),0)</f>
        <v>3</v>
      </c>
      <c r="BL154" s="46">
        <f>=IFERROR(ROUND((BL19+BL23)/$B154,0),0)</f>
        <v>3</v>
      </c>
      <c r="BM154" s="46">
        <f>=IFERROR(ROUND((BM19+BM23)/$B154,0),0)</f>
        <v>2</v>
      </c>
      <c r="BN154" s="46">
        <f>=IFERROR(ROUND((BN19+BN23)/$B154,0),0)</f>
        <v>2</v>
      </c>
      <c r="BO154" s="46">
        <f>=IFERROR(ROUND((BO19+BO23)/$B154,0),0)</f>
        <v>2</v>
      </c>
      <c r="BP154" s="46">
        <f>=IFERROR(ROUND((BP19+BP23)/$B154,0),0)</f>
        <v>2</v>
      </c>
      <c r="BQ154" s="46">
        <f>=IFERROR(ROUND((BQ19+BQ23)/$B154,0),0)</f>
        <v>1</v>
      </c>
      <c r="BR154" s="46">
        <f>=IFERROR(ROUND((BR19+BR23)/$B154,0),0)</f>
        <v>1</v>
      </c>
      <c r="BS154" s="46">
        <f>=IFERROR(ROUND((BS19+BS23)/$B154,0),0)</f>
        <v>1</v>
      </c>
      <c r="BT154" s="46">
        <f>=IFERROR(ROUND((BT19+BT23)/$B154,0),0)</f>
        <v>1</v>
      </c>
      <c r="BU154" s="46">
        <f>=IFERROR(ROUND((BU19+BU23)/$B154,0),0)</f>
        <v>1</v>
      </c>
      <c r="BV154" s="46">
        <f>=IFERROR(ROUND((BV19+BV23)/$B154,0),0)</f>
        <v>1</v>
      </c>
      <c r="BW154" s="46">
        <f>=IFERROR(ROUND((BW19+BW23)/$B154,0),0)</f>
        <v>1</v>
      </c>
      <c r="BX154" s="46">
        <f>=IFERROR(ROUND((BX19+BX23)/$B154,0),0)</f>
        <v>1</v>
      </c>
      <c r="BY154" s="46">
        <f>=IFERROR(ROUND((BY19+BY23)/$B154,0),0)</f>
        <v>1</v>
      </c>
      <c r="BZ154" s="46">
        <f>=IFERROR(ROUND((BZ19+BZ23)/$B154,0),0)</f>
        <v>1</v>
      </c>
      <c r="CA154" s="46">
        <f>=IFERROR(ROUND((CA19+CA23)/$B154,0),0)</f>
        <v>1</v>
      </c>
      <c r="CB154" s="46">
        <f>=IFERROR(ROUND((CB19+CB23)/$B154,0),0)</f>
        <v>1</v>
      </c>
      <c r="CC154" s="46">
        <f>=IFERROR(ROUND((CC19+CC23)/$B154,0),0)</f>
        <v>1</v>
      </c>
      <c r="CD154" s="46">
        <f>=IFERROR(ROUND((CD19+CD23)/$B154,0),0)</f>
        <v>1</v>
      </c>
      <c r="CE154" s="46">
        <f>=IFERROR(ROUND((CE19+CE23)/$B154,0),0)</f>
        <v>1</v>
      </c>
      <c r="CF154" s="46">
        <f>=IFERROR(ROUND((CF19+CF23)/$B154,0),0)</f>
        <v>1</v>
      </c>
      <c r="CG154" s="46">
        <f>=IFERROR(ROUND((CG19+CG23)/$B154,0),0)</f>
        <v>1</v>
      </c>
      <c r="CH154" s="46">
        <f>=IFERROR(ROUND((CH19+CH23)/$B154,0),0)</f>
        <v>1</v>
      </c>
      <c r="CI154" s="46">
        <f>=IFERROR(ROUND((CI19+CI23)/$B154,0),0)</f>
        <v>1</v>
      </c>
      <c r="CJ154" s="73">
        <f>=IFERROR(ROUND((CJ19+CJ23)/$B154,0),0)</f>
        <v>1</v>
      </c>
      <c r="CK154" s="46">
        <f>=IFERROR(ROUND((CK19+CK23)/$B154,0),0)</f>
        <v>1</v>
      </c>
      <c r="CL154" s="73">
        <f>=IFERROR(ROUND((CL19+CL23)/$B154,0),0)</f>
        <v>1</v>
      </c>
      <c r="CM154" s="46">
        <f>=IFERROR(ROUND((CM19+CM23)/$B154,0),0)</f>
        <v>1</v>
      </c>
      <c r="CN154" s="46">
        <f>=IFERROR(ROUND((CN19+CN23)/$B154,0),0)</f>
        <v>1</v>
      </c>
      <c r="CO154" s="46">
        <f>=IFERROR(ROUND((CO19+CO23)/$B154,0),0)</f>
        <v>1</v>
      </c>
      <c r="CP154" s="46">
        <f>=IFERROR(ROUND((CP19+CP23)/$B154,0),0)</f>
        <v>1</v>
      </c>
      <c r="CQ154" s="46">
        <f>=IFERROR(ROUND((CQ19+CQ23)/$B154,0),0)</f>
        <v>1</v>
      </c>
      <c r="CR154" s="46">
        <f>=IFERROR(ROUND((CR19+CR23)/$B154,0),0)</f>
        <v>1</v>
      </c>
      <c r="CS154" s="46">
        <f>=IFERROR(ROUND((CS19+CS23)/$B154,0),0)</f>
        <v>1</v>
      </c>
      <c r="CT154" s="46">
        <f>=IFERROR(ROUND((CT19+CT23)/$B154,0),0)</f>
        <v>1</v>
      </c>
      <c r="CU154" s="46">
        <f>=IFERROR(ROUND((CU19+CU23)/$B154,0),0)</f>
        <v>1</v>
      </c>
      <c r="CV154" s="46">
        <f>=IFERROR(ROUND((CV19+CV23)/$B154,0),0)</f>
        <v>1</v>
      </c>
      <c r="CW154" s="46">
        <f>=IFERROR(ROUND((CW19+CW23)/$B154,0),0)</f>
        <v>1</v>
      </c>
      <c r="CX154" s="46">
        <f>=IFERROR(ROUND((CX19+CX23)/$B154,0),0)</f>
        <v>1</v>
      </c>
      <c r="CY154" s="46">
        <f>=IFERROR(ROUND((CY19+CY23)/$B154,0),0)</f>
        <v>1</v>
      </c>
      <c r="CZ154" s="46">
        <f>=IFERROR(ROUND((CZ19+CZ23)/$B154,0),0)</f>
        <v>1</v>
      </c>
      <c r="DA154" s="46">
        <f>=IFERROR(ROUND((DA19+DA23)/$B154,0),0)</f>
        <v>1</v>
      </c>
      <c r="DB154" s="46">
        <f>=IFERROR(ROUND((DB19+DB23)/$B154,0),0)</f>
        <v>1</v>
      </c>
    </row>
    <row r="155" ht="18" customHeight="1" spans="1:106" x14ac:dyDescent="0.25">
      <c r="A155" s="17" t="s">
        <v>359</v>
      </c>
      <c r="B155" s="17">
        <v>30</v>
      </c>
      <c r="C155" s="46">
        <f>=IFERROR(ROUND(C19/$B155,0),0)</f>
        <v>3</v>
      </c>
      <c r="D155" s="46">
        <f>=IFERROR(ROUND(D19/$B155,0),0)</f>
        <v>3</v>
      </c>
      <c r="E155" s="46">
        <f>=IFERROR(ROUND(E19/$B155,0),0)</f>
        <v>3</v>
      </c>
      <c r="F155" s="46">
        <f>=IFERROR(ROUND(F19/$B155,0),0)</f>
        <v>3</v>
      </c>
      <c r="G155" s="46">
        <f>=IFERROR(ROUND(G19/$B155,0),0)</f>
        <v>3</v>
      </c>
      <c r="H155" s="46">
        <f>=IFERROR(ROUND(H19/$B155,0),0)</f>
        <v>3</v>
      </c>
      <c r="I155" s="46">
        <f>=IFERROR(ROUND(I19/$B155,0),0)</f>
        <v>3</v>
      </c>
      <c r="J155" s="46">
        <f>=IFERROR(ROUND(J19/$B155,0),0)</f>
        <v>3</v>
      </c>
      <c r="K155" s="46">
        <f>=IFERROR(ROUND(K19/$B155,0),0)</f>
        <v>3</v>
      </c>
      <c r="L155" s="46">
        <f>=IFERROR(ROUND(L19/$B155,0),0)</f>
        <v>3</v>
      </c>
      <c r="M155" s="46">
        <f>=IFERROR(ROUND(M19/$B155,0),0)</f>
        <v>3</v>
      </c>
      <c r="N155" s="46">
        <f>=IFERROR(ROUND(N19/$B155,0),0)</f>
        <v>3</v>
      </c>
      <c r="O155" s="46">
        <f>=IFERROR(ROUND(O19/$B155,0),0)</f>
        <v>3</v>
      </c>
      <c r="P155" s="46">
        <f>=IFERROR(ROUND(P19/$B155,0),0)</f>
        <v>3</v>
      </c>
      <c r="Q155" s="46">
        <f>=IFERROR(ROUND(Q19/$B155,0),0)</f>
        <v>3</v>
      </c>
      <c r="R155" s="46">
        <f>=IFERROR(ROUND(R19/$B155,0),0)</f>
        <v>3</v>
      </c>
      <c r="S155" s="46">
        <f>=IFERROR(ROUND(S19/$B155,0),0)</f>
        <v>3</v>
      </c>
      <c r="T155" s="46">
        <f>=IFERROR(ROUND(T19/$B155,0),0)</f>
        <v>4</v>
      </c>
      <c r="U155" s="46">
        <f>=IFERROR(ROUND(U19/$B155,0),0)</f>
        <v>3</v>
      </c>
      <c r="V155" s="46">
        <f>=IFERROR(ROUND(V19/$B155,0),0)</f>
        <v>3</v>
      </c>
      <c r="W155" s="46">
        <f>=IFERROR(ROUND(W19/$B155,0),0)</f>
        <v>3</v>
      </c>
      <c r="X155" s="46">
        <f>=IFERROR(ROUND(X19/$B155,0),0)</f>
        <v>3</v>
      </c>
      <c r="Y155" s="46">
        <f>=IFERROR(ROUND(Y19/$B155,0),0)</f>
        <v>3</v>
      </c>
      <c r="Z155" s="46">
        <f>=IFERROR(ROUND(Z19/$B155,0),0)</f>
        <v>3</v>
      </c>
      <c r="AA155" s="46">
        <f>=IFERROR(ROUND(AA19/$B155,0),0)</f>
        <v>3</v>
      </c>
      <c r="AB155" s="46">
        <f>=IFERROR(ROUND(AB19/$B155,0),0)</f>
        <v>3</v>
      </c>
      <c r="AC155" s="46">
        <f>=IFERROR(ROUND(AC19/$B155,0),0)</f>
        <v>3</v>
      </c>
      <c r="AD155" s="46">
        <f>=IFERROR(ROUND(AD19/$B155,0),0)</f>
        <v>3</v>
      </c>
      <c r="AE155" s="46">
        <f>=IFERROR(ROUND(AE19/$B155,0),0)</f>
        <v>3</v>
      </c>
      <c r="AF155" s="46">
        <f>=IFERROR(ROUND(AF19/$B155,0),0)</f>
        <v>3</v>
      </c>
      <c r="AG155" s="46">
        <f>=IFERROR(ROUND(AG19/$B155,0),0)</f>
        <v>3</v>
      </c>
      <c r="AH155" s="46">
        <f>=IFERROR(ROUND(AH19/$B155,0),0)</f>
        <v>3</v>
      </c>
      <c r="AI155" s="46">
        <f>=IFERROR(ROUND(AI19/$B155,0),0)</f>
        <v>3</v>
      </c>
      <c r="AJ155" s="46">
        <f>=IFERROR(ROUND(AJ19/$B155,0),0)</f>
        <v>3</v>
      </c>
      <c r="AK155" s="46">
        <f>=IFERROR(ROUND(AK19/$B155,0),0)</f>
        <v>3</v>
      </c>
      <c r="AL155" s="46">
        <f>=IFERROR(ROUND(AL19/$B155,0),0)</f>
        <v>3</v>
      </c>
      <c r="AM155" s="46">
        <f>=IFERROR(ROUND(AM19/$B155,0),0)</f>
        <v>3</v>
      </c>
      <c r="AN155" s="46">
        <f>=IFERROR(ROUND(AN19/$B155,0),0)</f>
        <v>2</v>
      </c>
      <c r="AO155" s="46">
        <f>=IFERROR(ROUND(AO19/$B155,0),0)</f>
        <v>2</v>
      </c>
      <c r="AP155" s="46">
        <f>=IFERROR(ROUND(AP19/$B155,0),0)</f>
        <v>2</v>
      </c>
      <c r="AQ155" s="46">
        <f>=IFERROR(ROUND(AQ19/$B155,0),0)</f>
        <v>2</v>
      </c>
      <c r="AR155" s="46">
        <f>=IFERROR(ROUND(AR19/$B155,0),0)</f>
        <v>2</v>
      </c>
      <c r="AS155" s="46">
        <f>=IFERROR(ROUND(AS19/$B155,0),0)</f>
        <v>3</v>
      </c>
      <c r="AT155" s="46">
        <f>=IFERROR(ROUND(AT19/$B155,0),0)</f>
        <v>3</v>
      </c>
      <c r="AU155" s="46">
        <f>=IFERROR(ROUND(AU19/$B155,0),0)</f>
        <v>3</v>
      </c>
      <c r="AV155" s="46">
        <f>=IFERROR(ROUND(AV19/$B155,0),0)</f>
        <v>3</v>
      </c>
      <c r="AW155" s="46">
        <f>=IFERROR(ROUND(AW19/$B155,0),0)</f>
        <v>3</v>
      </c>
      <c r="AX155" s="46">
        <f>=IFERROR(ROUND(AX19/$B155,0),0)</f>
        <v>3</v>
      </c>
      <c r="AY155" s="46">
        <f>=IFERROR(ROUND(AY19/$B155,0),0)</f>
        <v>3</v>
      </c>
      <c r="AZ155" s="46">
        <f>=IFERROR(ROUND(AZ19/$B155,0),0)</f>
        <v>3</v>
      </c>
      <c r="BA155" s="46">
        <f>=IFERROR(ROUND(BA19/$B155,0),0)</f>
        <v>3</v>
      </c>
      <c r="BB155" s="46">
        <f>=IFERROR(ROUND(BB19/$B155,0),0)</f>
        <v>3</v>
      </c>
      <c r="BC155" s="46">
        <f>=IFERROR(ROUND(BC19/$B155,0),0)</f>
        <v>4</v>
      </c>
      <c r="BD155" s="46">
        <f>=IFERROR(ROUND(BD19/$B155,0),0)</f>
        <v>3</v>
      </c>
      <c r="BE155" s="46">
        <f>=IFERROR(ROUND(BE19/$B155,0),0)</f>
        <v>4</v>
      </c>
      <c r="BF155" s="46">
        <f>=IFERROR(ROUND(BF19/$B155,0),0)</f>
        <v>4</v>
      </c>
      <c r="BG155" s="46">
        <f>=IFERROR(ROUND(BG19/$B155,0),0)</f>
        <v>4</v>
      </c>
      <c r="BH155" s="46">
        <f>=IFERROR(ROUND(BH19/$B155,0),0)</f>
        <v>4</v>
      </c>
      <c r="BI155" s="46">
        <f>=IFERROR(ROUND(BI19/$B155,0),0)</f>
        <v>4</v>
      </c>
      <c r="BJ155" s="46">
        <f>=IFERROR(ROUND(BJ19/$B155,0),0)</f>
        <v>4</v>
      </c>
      <c r="BK155" s="46">
        <f>=IFERROR(ROUND(BK19/$B155,0),0)</f>
        <v>4</v>
      </c>
      <c r="BL155" s="73">
        <f>=IFERROR(ROUND(BL19/$B155,0),0)</f>
        <v>4</v>
      </c>
      <c r="BM155" s="46">
        <f>=IFERROR(ROUND(BM19/$B155,0),0)</f>
        <v>3</v>
      </c>
      <c r="BN155" s="46">
        <f>=IFERROR(ROUND(BN19/$B155,0),0)</f>
        <v>3</v>
      </c>
      <c r="BO155" s="46">
        <f>=IFERROR(ROUND(BO19/$B155,0),0)</f>
        <v>2</v>
      </c>
      <c r="BP155" s="46">
        <f>=IFERROR(ROUND(BP19/$B155,0),0)</f>
        <v>2</v>
      </c>
      <c r="BQ155" s="46">
        <f>=IFERROR(ROUND(BQ19/$B155,0),0)</f>
        <v>2</v>
      </c>
      <c r="BR155" s="46">
        <f>=IFERROR(ROUND(BR19/$B155,0),0)</f>
        <v>2</v>
      </c>
      <c r="BS155" s="46">
        <f>=IFERROR(ROUND(BS19/$B155,0),0)</f>
        <v>2</v>
      </c>
      <c r="BT155" s="46">
        <f>=IFERROR(ROUND(BT19/$B155,0),0)</f>
        <v>2</v>
      </c>
      <c r="BU155" s="46">
        <f>=IFERROR(ROUND(BU19/$B155,0),0)</f>
        <v>2</v>
      </c>
      <c r="BV155" s="46">
        <f>=IFERROR(ROUND(BV19/$B155,0),0)</f>
        <v>2</v>
      </c>
      <c r="BW155" s="46">
        <f>=IFERROR(ROUND(BW19/$B155,0),0)</f>
        <v>2</v>
      </c>
      <c r="BX155" s="46">
        <f>=IFERROR(ROUND(BX19/$B155,0),0)</f>
        <v>1</v>
      </c>
      <c r="BY155" s="73">
        <f>=IFERROR(ROUND(BY19/$B155,0),0)</f>
        <v>2</v>
      </c>
      <c r="BZ155" s="46">
        <f>=IFERROR(ROUND(BZ19/$B155,0),0)</f>
        <v>1</v>
      </c>
      <c r="CA155" s="46">
        <f>=IFERROR(ROUND(CA19/$B155,0),0)</f>
        <v>1</v>
      </c>
      <c r="CB155" s="46">
        <f>=IFERROR(ROUND(CB19/$B155,0),0)</f>
        <v>1</v>
      </c>
      <c r="CC155" s="46">
        <f>=IFERROR(ROUND(CC19/$B155,0),0)</f>
        <v>1</v>
      </c>
      <c r="CD155" s="46">
        <f>=IFERROR(ROUND(CD19/$B155,0),0)</f>
        <v>1</v>
      </c>
      <c r="CE155" s="46">
        <f>=IFERROR(ROUND(CE19/$B155,0),0)</f>
        <v>1</v>
      </c>
      <c r="CF155" s="46">
        <f>=IFERROR(ROUND(CF19/$B155,0),0)</f>
        <v>1</v>
      </c>
      <c r="CG155" s="46">
        <f>=IFERROR(ROUND(CG19/$B155,0),0)</f>
        <v>1</v>
      </c>
      <c r="CH155" s="46">
        <f>=IFERROR(ROUND(CH19/$B155,0),0)</f>
        <v>1</v>
      </c>
      <c r="CI155" s="46">
        <f>=IFERROR(ROUND(CI19/$B155,0),0)</f>
        <v>1</v>
      </c>
      <c r="CJ155" s="46">
        <f>=IFERROR(ROUND(CJ19/$B155,0),0)</f>
        <v>1</v>
      </c>
      <c r="CK155" s="46">
        <f>=IFERROR(ROUND(CK19/$B155,0),0)</f>
        <v>1</v>
      </c>
      <c r="CL155" s="46">
        <f>=IFERROR(ROUND(CL19/$B155,0),0)</f>
        <v>1</v>
      </c>
      <c r="CM155" s="46">
        <f>=IFERROR(ROUND(CM19/$B155,0),0)</f>
        <v>1</v>
      </c>
      <c r="CN155" s="46">
        <f>=IFERROR(ROUND(CN19/$B155,0),0)</f>
        <v>1</v>
      </c>
      <c r="CO155" s="46">
        <f>=IFERROR(ROUND(CO19/$B155,0),0)</f>
        <v>1</v>
      </c>
      <c r="CP155" s="46">
        <f>=IFERROR(ROUND(CP19/$B155,0),0)</f>
        <v>1</v>
      </c>
      <c r="CQ155" s="46">
        <f>=IFERROR(ROUND(CQ19/$B155,0),0)</f>
        <v>1</v>
      </c>
      <c r="CR155" s="46">
        <f>=IFERROR(ROUND(CR19/$B155,0),0)</f>
        <v>1</v>
      </c>
      <c r="CS155" s="46">
        <f>=IFERROR(ROUND(CS19/$B155,0),0)</f>
        <v>1</v>
      </c>
      <c r="CT155" s="73">
        <f>=IFERROR(ROUND(CT19/$B155,0),0)</f>
        <v>1</v>
      </c>
      <c r="CU155" s="46">
        <f>=IFERROR(ROUND(CU19/$B155,0),0)</f>
        <v>1</v>
      </c>
      <c r="CV155" s="46">
        <f>=IFERROR(ROUND(CV19/$B155,0),0)</f>
        <v>1</v>
      </c>
      <c r="CW155" s="73">
        <f>=IFERROR(ROUND(CW19/$B155,0),0)</f>
        <v>1</v>
      </c>
      <c r="CX155" s="73">
        <f>=IFERROR(ROUND(CX19/$B155,0),0)</f>
        <v>1</v>
      </c>
      <c r="CY155" s="46">
        <f>=IFERROR(ROUND(CY19/$B155,0),0)</f>
        <v>1</v>
      </c>
      <c r="CZ155" s="46">
        <f>=IFERROR(ROUND(CZ19/$B155,0),0)</f>
        <v>1</v>
      </c>
      <c r="DA155" s="46">
        <f>=IFERROR(ROUND(DA19/$B155,0),0)</f>
        <v>1</v>
      </c>
      <c r="DB155" s="46">
        <f>=IFERROR(ROUND(DB19/$B155,0),0)</f>
        <v>1</v>
      </c>
    </row>
    <row r="156" ht="18" customHeight="1" spans="1:106" x14ac:dyDescent="0.25">
      <c r="A156" s="17" t="s">
        <v>360</v>
      </c>
      <c r="B156" s="17">
        <v>100</v>
      </c>
      <c r="C156" s="46">
        <f>=IFERROR(ROUND(C10/$B156,0),0)</f>
        <v>1</v>
      </c>
      <c r="D156" s="46">
        <f>=IFERROR(ROUND(D10/$B156,0),0)</f>
        <v>1</v>
      </c>
      <c r="E156" s="46">
        <f>=IFERROR(ROUND(E10/$B156,0),0)</f>
        <v>1</v>
      </c>
      <c r="F156" s="46">
        <f>=IFERROR(ROUND(F10/$B156,0),0)</f>
        <v>1</v>
      </c>
      <c r="G156" s="46">
        <f>=IFERROR(ROUND(G10/$B156,0),0)</f>
        <v>1</v>
      </c>
      <c r="H156" s="46">
        <f>=IFERROR(ROUND(H10/$B156,0),0)</f>
        <v>1</v>
      </c>
      <c r="I156" s="46">
        <f>=IFERROR(ROUND(I10/$B156,0),0)</f>
        <v>1</v>
      </c>
      <c r="J156" s="46">
        <f>=IFERROR(ROUND(J10/$B156,0),0)</f>
        <v>1</v>
      </c>
      <c r="K156" s="46">
        <f>=IFERROR(ROUND(K10/$B156,0),0)</f>
        <v>1</v>
      </c>
      <c r="L156" s="46">
        <f>=IFERROR(ROUND(L10/$B156,0),0)</f>
        <v>1</v>
      </c>
      <c r="M156" s="46">
        <f>=IFERROR(ROUND(M10/$B156,0),0)</f>
        <v>1</v>
      </c>
      <c r="N156" s="46">
        <f>=IFERROR(ROUND(N10/$B156,0),0)</f>
        <v>1</v>
      </c>
      <c r="O156" s="46">
        <f>=IFERROR(ROUND(O10/$B156,0),0)</f>
        <v>1</v>
      </c>
      <c r="P156" s="46">
        <f>=IFERROR(ROUND(P10/$B156,0),0)</f>
        <v>1</v>
      </c>
      <c r="Q156" s="46">
        <f>=IFERROR(ROUND(Q10/$B156,0),0)</f>
        <v>1</v>
      </c>
      <c r="R156" s="46">
        <f>=IFERROR(ROUND(R10/$B156,0),0)</f>
        <v>1</v>
      </c>
      <c r="S156" s="46">
        <f>=IFERROR(ROUND(S10/$B156,0),0)</f>
        <v>1</v>
      </c>
      <c r="T156" s="46">
        <f>=IFERROR(ROUND(T10/$B156,0),0)</f>
        <v>1</v>
      </c>
      <c r="U156" s="46">
        <f>=IFERROR(ROUND(U10/$B156,0),0)</f>
        <v>1</v>
      </c>
      <c r="V156" s="46">
        <f>=IFERROR(ROUND(V10/$B156,0),0)</f>
        <v>1</v>
      </c>
      <c r="W156" s="46">
        <f>=IFERROR(ROUND(W10/$B156,0),0)</f>
        <v>1</v>
      </c>
      <c r="X156" s="46">
        <f>=IFERROR(ROUND(X10/$B156,0),0)</f>
        <v>1</v>
      </c>
      <c r="Y156" s="46">
        <f>=IFERROR(ROUND(Y10/$B156,0),0)</f>
        <v>1</v>
      </c>
      <c r="Z156" s="46">
        <f>=IFERROR(ROUND(Z10/$B156,0),0)</f>
        <v>1</v>
      </c>
      <c r="AA156" s="46">
        <f>=IFERROR(ROUND(AA10/$B156,0),0)</f>
        <v>1</v>
      </c>
      <c r="AB156" s="46">
        <f>=IFERROR(ROUND(AB10/$B156,0),0)</f>
        <v>1</v>
      </c>
      <c r="AC156" s="46">
        <f>=IFERROR(ROUND(AC10/$B156,0),0)</f>
        <v>1</v>
      </c>
      <c r="AD156" s="46">
        <f>=IFERROR(ROUND(AD10/$B156,0),0)</f>
        <v>1</v>
      </c>
      <c r="AE156" s="46">
        <f>=IFERROR(ROUND(AE10/$B156,0),0)</f>
        <v>1</v>
      </c>
      <c r="AF156" s="46">
        <f>=IFERROR(ROUND(AF10/$B156,0),0)</f>
        <v>1</v>
      </c>
      <c r="AG156" s="46">
        <f>=IFERROR(ROUND(AG10/$B156,0),0)</f>
        <v>1</v>
      </c>
      <c r="AH156" s="46">
        <f>=IFERROR(ROUND(AH10/$B156,0),0)</f>
        <v>1</v>
      </c>
      <c r="AI156" s="46">
        <f>=IFERROR(ROUND(AI10/$B156,0),0)</f>
        <v>1</v>
      </c>
      <c r="AJ156" s="46">
        <f>=IFERROR(ROUND(AJ10/$B156,0),0)</f>
        <v>1</v>
      </c>
      <c r="AK156" s="46">
        <f>=IFERROR(ROUND(AK10/$B156,0),0)</f>
        <v>1</v>
      </c>
      <c r="AL156" s="46">
        <f>=IFERROR(ROUND(AL10/$B156,0),0)</f>
        <v>1</v>
      </c>
      <c r="AM156" s="46">
        <f>=IFERROR(ROUND(AM10/$B156,0),0)</f>
        <v>1</v>
      </c>
      <c r="AN156" s="46">
        <f>=IFERROR(ROUND(AN10/$B156,0),0)</f>
        <v>1</v>
      </c>
      <c r="AO156" s="46">
        <f>=IFERROR(ROUND(AO10/$B156,0),0)</f>
        <v>1</v>
      </c>
      <c r="AP156" s="46">
        <f>=IFERROR(ROUND(AP10/$B156,0),0)</f>
        <v>1</v>
      </c>
      <c r="AQ156" s="46">
        <f>=IFERROR(ROUND(AQ10/$B156,0),0)</f>
        <v>1</v>
      </c>
      <c r="AR156" s="46">
        <f>=IFERROR(ROUND(AR10/$B156,0),0)</f>
        <v>1</v>
      </c>
      <c r="AS156" s="46">
        <f>=IFERROR(ROUND(AS10/$B156,0),0)</f>
        <v>1</v>
      </c>
      <c r="AT156" s="46">
        <f>=IFERROR(ROUND(AT10/$B156,0),0)</f>
        <v>1</v>
      </c>
      <c r="AU156" s="46">
        <f>=IFERROR(ROUND(AU10/$B156,0),0)</f>
        <v>1</v>
      </c>
      <c r="AV156" s="46">
        <f>=IFERROR(ROUND(AV10/$B156,0),0)</f>
        <v>1</v>
      </c>
      <c r="AW156" s="46">
        <f>=IFERROR(ROUND(AW10/$B156,0),0)</f>
        <v>1</v>
      </c>
      <c r="AX156" s="46">
        <f>=IFERROR(ROUND(AX10/$B156,0),0)</f>
        <v>1</v>
      </c>
      <c r="AY156" s="46">
        <f>=IFERROR(ROUND(AY10/$B156,0),0)</f>
        <v>1</v>
      </c>
      <c r="AZ156" s="46">
        <f>=IFERROR(ROUND(AZ10/$B156,0),0)</f>
        <v>1</v>
      </c>
      <c r="BA156" s="46">
        <f>=IFERROR(ROUND(BA10/$B156,0),0)</f>
        <v>1</v>
      </c>
      <c r="BB156" s="46">
        <f>=IFERROR(ROUND(BB10/$B156,0),0)</f>
        <v>1</v>
      </c>
      <c r="BC156" s="46">
        <f>=IFERROR(ROUND(BC10/$B156,0),0)</f>
        <v>1</v>
      </c>
      <c r="BD156" s="46">
        <f>=IFERROR(ROUND(BD10/$B156,0),0)</f>
        <v>1</v>
      </c>
      <c r="BE156" s="46">
        <f>=IFERROR(ROUND(BE10/$B156,0),0)</f>
        <v>1</v>
      </c>
      <c r="BF156" s="46">
        <f>=IFERROR(ROUND(BF10/$B156,0),0)</f>
        <v>1</v>
      </c>
      <c r="BG156" s="46">
        <f>=IFERROR(ROUND(BG10/$B156,0),0)</f>
        <v>1</v>
      </c>
      <c r="BH156" s="73">
        <f>=IFERROR(ROUND(BH10/$B156,0),0)</f>
        <v>1</v>
      </c>
      <c r="BI156" s="46">
        <f>=IFERROR(ROUND(BI10/$B156,0),0)</f>
        <v>1</v>
      </c>
      <c r="BJ156" s="46">
        <f>=IFERROR(ROUND(BJ10/$B156,0),0)</f>
        <v>1</v>
      </c>
      <c r="BK156" s="46">
        <f>=IFERROR(ROUND(BK10/$B156,0),0)</f>
        <v>1</v>
      </c>
      <c r="BL156" s="73">
        <f>=IFERROR(ROUND(BL10/$B156,0),0)</f>
        <v>1</v>
      </c>
      <c r="BM156" s="46">
        <f>=IFERROR(ROUND(BM10/$B156,0),0)</f>
        <v>1</v>
      </c>
      <c r="BN156" s="46">
        <f>=IFERROR(ROUND(BN10/$B156,0),0)</f>
        <v>1</v>
      </c>
      <c r="BO156" s="73">
        <f>=IFERROR(ROUND(BO10/$B156,0),0)</f>
        <v>1</v>
      </c>
      <c r="BP156" s="46">
        <f>=IFERROR(ROUND(BP10/$B156,0),0)</f>
        <v>1</v>
      </c>
      <c r="BQ156" s="46">
        <f>=IFERROR(ROUND(BQ10/$B156,0),0)</f>
        <v>1</v>
      </c>
      <c r="BR156" s="46">
        <f>=IFERROR(ROUND(BR10/$B156,0),0)</f>
        <v>1</v>
      </c>
      <c r="BS156" s="46">
        <f>=IFERROR(ROUND(BS10/$B156,0),0)</f>
        <v>1</v>
      </c>
      <c r="BT156" s="46">
        <f>=IFERROR(ROUND(BT10/$B156,0),0)</f>
        <v>1</v>
      </c>
      <c r="BU156" s="46">
        <f>=IFERROR(ROUND(BU10/$B156,0),0)</f>
        <v>0</v>
      </c>
      <c r="BV156" s="46">
        <f>=IFERROR(ROUND(BV10/$B156,0),0)</f>
        <v>0</v>
      </c>
      <c r="BW156" s="46">
        <f>=IFERROR(ROUND(BW10/$B156,0),0)</f>
        <v>0</v>
      </c>
      <c r="BX156" s="46">
        <f>=IFERROR(ROUND(BX10/$B156,0),0)</f>
        <v>0</v>
      </c>
      <c r="BY156" s="46">
        <f>=IFERROR(ROUND(BY10/$B156,0),0)</f>
        <v>0</v>
      </c>
      <c r="BZ156" s="46">
        <f>=IFERROR(ROUND(BZ10/$B156,0),0)</f>
        <v>0</v>
      </c>
      <c r="CA156" s="46">
        <f>=IFERROR(ROUND(CA10/$B156,0),0)</f>
        <v>0</v>
      </c>
      <c r="CB156" s="46">
        <f>=IFERROR(ROUND(CB10/$B156,0),0)</f>
        <v>0</v>
      </c>
      <c r="CC156" s="46">
        <f>=IFERROR(ROUND(CC10/$B156,0),0)</f>
        <v>0</v>
      </c>
      <c r="CD156" s="73">
        <f>=IFERROR(ROUND(CD10/$B156,0),0)</f>
        <v>0</v>
      </c>
      <c r="CE156" s="73">
        <f>=IFERROR(ROUND(CE10/$B156,0),0)</f>
        <v>0</v>
      </c>
      <c r="CF156" s="46">
        <f>=IFERROR(ROUND(CF10/$B156,0),0)</f>
        <v>0</v>
      </c>
      <c r="CG156" s="46">
        <f>=IFERROR(ROUND(CG10/$B156,0),0)</f>
        <v>0</v>
      </c>
      <c r="CH156" s="46">
        <f>=IFERROR(ROUND(CH10/$B156,0),0)</f>
        <v>0</v>
      </c>
      <c r="CI156" s="46">
        <f>=IFERROR(ROUND(CI10/$B156,0),0)</f>
        <v>0</v>
      </c>
      <c r="CJ156" s="46">
        <f>=IFERROR(ROUND(CJ10/$B156,0),0)</f>
        <v>0</v>
      </c>
      <c r="CK156" s="46">
        <f>=IFERROR(ROUND(CK10/$B156,0),0)</f>
        <v>0</v>
      </c>
      <c r="CL156" s="46">
        <f>=IFERROR(ROUND(CL10/$B156,0),0)</f>
        <v>0</v>
      </c>
      <c r="CM156" s="46">
        <f>=IFERROR(ROUND(CM10/$B156,0),0)</f>
        <v>0</v>
      </c>
      <c r="CN156" s="46">
        <f>=IFERROR(ROUND(CN10/$B156,0),0)</f>
        <v>0</v>
      </c>
      <c r="CO156" s="46">
        <f>=IFERROR(ROUND(CO10/$B156,0),0)</f>
        <v>0</v>
      </c>
      <c r="CP156" s="46">
        <f>=IFERROR(ROUND(CP10/$B156,0),0)</f>
        <v>0</v>
      </c>
      <c r="CQ156" s="46">
        <f>=IFERROR(ROUND(CQ10/$B156,0),0)</f>
        <v>0</v>
      </c>
      <c r="CR156" s="46">
        <f>=IFERROR(ROUND(CR10/$B156,0),0)</f>
        <v>0</v>
      </c>
      <c r="CS156" s="46">
        <f>=IFERROR(ROUND(CS10/$B156,0),0)</f>
        <v>0</v>
      </c>
      <c r="CT156" s="46">
        <f>=IFERROR(ROUND(CT10/$B156,0),0)</f>
        <v>0</v>
      </c>
      <c r="CU156" s="46">
        <f>=IFERROR(ROUND(CU10/$B156,0),0)</f>
        <v>0</v>
      </c>
      <c r="CV156" s="46">
        <f>=IFERROR(ROUND(CV10/$B156,0),0)</f>
        <v>0</v>
      </c>
      <c r="CW156" s="73">
        <f>=IFERROR(ROUND(CW10/$B156,0),0)</f>
        <v>0</v>
      </c>
      <c r="CX156" s="46">
        <f>=IFERROR(ROUND(CX10/$B156,0),0)</f>
        <v>0</v>
      </c>
      <c r="CY156" s="46">
        <f>=IFERROR(ROUND(CY10/$B156,0),0)</f>
        <v>0</v>
      </c>
      <c r="CZ156" s="46">
        <f>=IFERROR(ROUND(CZ10/$B156,0),0)</f>
        <v>0</v>
      </c>
      <c r="DA156" s="46">
        <f>=IFERROR(ROUND(DA10/$B156,0),0)</f>
        <v>0</v>
      </c>
      <c r="DB156" s="46">
        <f>=IFERROR(ROUND(DB10/$B156,0),0)</f>
        <v>0</v>
      </c>
    </row>
    <row r="157" ht="18" customHeight="1" spans="1:106" x14ac:dyDescent="0.25">
      <c r="A157" s="17" t="s">
        <v>361</v>
      </c>
      <c r="B157" s="17">
        <v>5</v>
      </c>
      <c r="C157" s="46">
        <f>=IFERROR(ROUND((C21+C22)/$B157,0),0)</f>
        <v>5</v>
      </c>
      <c r="D157" s="46">
        <f>=IFERROR(ROUND((D21+D22)/$B157,0),0)</f>
        <v>7</v>
      </c>
      <c r="E157" s="46">
        <f>=IFERROR(ROUND((E21+E22)/$B157,0),0)</f>
        <v>4</v>
      </c>
      <c r="F157" s="46">
        <f>=IFERROR(ROUND((F21+F22)/$B157,0),0)</f>
        <v>4</v>
      </c>
      <c r="G157" s="46">
        <f>=IFERROR(ROUND((G21+G22)/$B157,0),0)</f>
        <v>2</v>
      </c>
      <c r="H157" s="46">
        <f>=IFERROR(ROUND((H21+H22)/$B157,0),0)</f>
        <v>2</v>
      </c>
      <c r="I157" s="46">
        <f>=IFERROR(ROUND((I21+I22)/$B157,0),0)</f>
        <v>2</v>
      </c>
      <c r="J157" s="46">
        <f>=IFERROR(ROUND((J21+J22)/$B157,0),0)</f>
        <v>4</v>
      </c>
      <c r="K157" s="46">
        <f>=IFERROR(ROUND((K21+K22)/$B157,0),0)</f>
        <v>6</v>
      </c>
      <c r="L157" s="46">
        <f>=IFERROR(ROUND((L21+L22)/$B157,0),0)</f>
        <v>4</v>
      </c>
      <c r="M157" s="46">
        <f>=IFERROR(ROUND((M21+M22)/$B157,0),0)</f>
        <v>4</v>
      </c>
      <c r="N157" s="46">
        <f>=IFERROR(ROUND((N21+N22)/$B157,0),0)</f>
        <v>2</v>
      </c>
      <c r="O157" s="46">
        <f>=IFERROR(ROUND((O21+O22)/$B157,0),0)</f>
        <v>0</v>
      </c>
      <c r="P157" s="46">
        <f>=IFERROR(ROUND((P21+P22)/$B157,0),0)</f>
        <v>1</v>
      </c>
      <c r="Q157" s="46">
        <f>=IFERROR(ROUND((Q21+Q22)/$B157,0),0)</f>
        <v>1</v>
      </c>
      <c r="R157" s="46">
        <f>=IFERROR(ROUND((R21+R22)/$B157,0),0)</f>
        <v>2</v>
      </c>
      <c r="S157" s="46">
        <f>=IFERROR(ROUND((S21+S22)/$B157,0),0)</f>
        <v>2</v>
      </c>
      <c r="T157" s="46">
        <f>=IFERROR(ROUND((T21+T22)/$B157,0),0)</f>
        <v>0</v>
      </c>
      <c r="U157" s="46">
        <f>=IFERROR(ROUND((U21+U22)/$B157,0),0)</f>
        <v>0</v>
      </c>
      <c r="V157" s="46">
        <f>=IFERROR(ROUND((V21+V22)/$B157,0),0)</f>
        <v>0</v>
      </c>
      <c r="W157" s="46">
        <f>=IFERROR(ROUND((W21+W22)/$B157,0),0)</f>
        <v>0</v>
      </c>
      <c r="X157" s="46">
        <f>=IFERROR(ROUND((X21+X22)/$B157,0),0)</f>
        <v>0</v>
      </c>
      <c r="Y157" s="46">
        <f>=IFERROR(ROUND((Y21+Y22)/$B157,0),0)</f>
        <v>0</v>
      </c>
      <c r="Z157" s="46">
        <f>=IFERROR(ROUND((Z21+Z22)/$B157,0),0)</f>
        <v>0</v>
      </c>
      <c r="AA157" s="46">
        <f>=IFERROR(ROUND((AA21+AA22)/$B157,0),0)</f>
        <v>0</v>
      </c>
      <c r="AB157" s="46">
        <f>=IFERROR(ROUND((AB21+AB22)/$B157,0),0)</f>
        <v>0</v>
      </c>
      <c r="AC157" s="46">
        <f>=IFERROR(ROUND((AC21+AC22)/$B157,0),0)</f>
        <v>0</v>
      </c>
      <c r="AD157" s="46">
        <f>=IFERROR(ROUND((AD21+AD22)/$B157,0),0)</f>
        <v>0</v>
      </c>
      <c r="AE157" s="46">
        <f>=IFERROR(ROUND((AE21+AE22)/$B157,0),0)</f>
        <v>0</v>
      </c>
      <c r="AF157" s="46">
        <f>=IFERROR(ROUND((AF21+AF22)/$B157,0),0)</f>
        <v>0</v>
      </c>
      <c r="AG157" s="46">
        <f>=IFERROR(ROUND((AG21+AG22)/$B157,0),0)</f>
        <v>0</v>
      </c>
      <c r="AH157" s="46">
        <f>=IFERROR(ROUND((AH21+AH22)/$B157,0),0)</f>
        <v>0</v>
      </c>
      <c r="AI157" s="46">
        <f>=IFERROR(ROUND((AI21+AI22)/$B157,0),0)</f>
        <v>0</v>
      </c>
      <c r="AJ157" s="46">
        <f>=IFERROR(ROUND((AJ21+AJ22)/$B157,0),0)</f>
        <v>1</v>
      </c>
      <c r="AK157" s="46">
        <f>=IFERROR(ROUND((AK21+AK22)/$B157,0),0)</f>
        <v>0</v>
      </c>
      <c r="AL157" s="46">
        <f>=IFERROR(ROUND((AL21+AL22)/$B157,0),0)</f>
        <v>0</v>
      </c>
      <c r="AM157" s="46">
        <f>=IFERROR(ROUND((AM21+AM22)/$B157,0),0)</f>
        <v>0</v>
      </c>
      <c r="AN157" s="46">
        <f>=IFERROR(ROUND((AN21+AN22)/$B157,0),0)</f>
        <v>0</v>
      </c>
      <c r="AO157" s="46">
        <f>=IFERROR(ROUND((AO21+AO22)/$B157,0),0)</f>
        <v>3</v>
      </c>
      <c r="AP157" s="46">
        <f>=IFERROR(ROUND((AP21+AP22)/$B157,0),0)</f>
        <v>3</v>
      </c>
      <c r="AQ157" s="46">
        <f>=IFERROR(ROUND((AQ21+AQ22)/$B157,0),0)</f>
        <v>0</v>
      </c>
      <c r="AR157" s="46">
        <f>=IFERROR(ROUND((AR21+AR22)/$B157,0),0)</f>
        <v>3</v>
      </c>
      <c r="AS157" s="46">
        <f>=IFERROR(ROUND((AS21+AS22)/$B157,0),0)</f>
        <v>2</v>
      </c>
      <c r="AT157" s="46">
        <f>=IFERROR(ROUND((AT21+AT22)/$B157,0),0)</f>
        <v>2</v>
      </c>
      <c r="AU157" s="46">
        <f>=IFERROR(ROUND((AU21+AU22)/$B157,0),0)</f>
        <v>0</v>
      </c>
      <c r="AV157" s="46">
        <f>=IFERROR(ROUND((AV21+AV22)/$B157,0),0)</f>
        <v>2</v>
      </c>
      <c r="AW157" s="46">
        <f>=IFERROR(ROUND((AW21+AW22)/$B157,0),0)</f>
        <v>0</v>
      </c>
      <c r="AX157" s="46">
        <f>=IFERROR(ROUND((AX21+AX22)/$B157,0),0)</f>
        <v>3</v>
      </c>
      <c r="AY157" s="46">
        <f>=IFERROR(ROUND((AY21+AY22)/$B157,0),0)</f>
        <v>5</v>
      </c>
      <c r="AZ157" s="46">
        <f>=IFERROR(ROUND((AZ21+AZ22)/$B157,0),0)</f>
        <v>3</v>
      </c>
      <c r="BA157" s="46">
        <f>=IFERROR(ROUND((BA21+BA22)/$B157,0),0)</f>
        <v>4</v>
      </c>
      <c r="BB157" s="46">
        <f>=IFERROR(ROUND((BB21+BB22)/$B157,0),0)</f>
        <v>5</v>
      </c>
      <c r="BC157" s="46">
        <f>=IFERROR(ROUND((BC21+BC22)/$B157,0),0)</f>
        <v>0</v>
      </c>
      <c r="BD157" s="46">
        <f>=IFERROR(ROUND((BD21+BD22)/$B157,0),0)</f>
        <v>3</v>
      </c>
      <c r="BE157" s="46">
        <f>=IFERROR(ROUND((BE21+BE22)/$B157,0),0)</f>
        <v>1</v>
      </c>
      <c r="BF157" s="46">
        <f>=IFERROR(ROUND((BF21+BF22)/$B157,0),0)</f>
        <v>2</v>
      </c>
      <c r="BG157" s="46">
        <f>=IFERROR(ROUND((BG21+BG22)/$B157,0),0)</f>
        <v>3</v>
      </c>
      <c r="BH157" s="46">
        <f>=IFERROR(ROUND((BH21+BH22)/$B157,0),0)</f>
        <v>0</v>
      </c>
      <c r="BI157" s="46">
        <f>=IFERROR(ROUND((BI21+BI22)/$B157,0),0)</f>
        <v>2</v>
      </c>
      <c r="BJ157" s="46">
        <f>=IFERROR(ROUND((BJ21+BJ22)/$B157,0),0)</f>
        <v>0</v>
      </c>
      <c r="BK157" s="46">
        <f>=IFERROR(ROUND((BK21+BK22)/$B157,0),0)</f>
        <v>0</v>
      </c>
      <c r="BL157" s="46">
        <f>=IFERROR(ROUND((BL21+BL22)/$B157,0),0)</f>
        <v>0</v>
      </c>
      <c r="BM157" s="46">
        <f>=IFERROR(ROUND((BM21+BM22)/$B157,0),0)</f>
        <v>0</v>
      </c>
      <c r="BN157" s="46">
        <f>=IFERROR(ROUND((BN21+BN22)/$B157,0),0)</f>
        <v>0</v>
      </c>
      <c r="BO157" s="46">
        <f>=IFERROR(ROUND((BO21+BO22)/$B157,0),0)</f>
        <v>0</v>
      </c>
      <c r="BP157" s="46">
        <f>=IFERROR(ROUND((BP21+BP22)/$B157,0),0)</f>
        <v>0</v>
      </c>
      <c r="BQ157" s="46">
        <f>=IFERROR(ROUND((BQ21+BQ22)/$B157,0),0)</f>
        <v>0</v>
      </c>
      <c r="BR157" s="46">
        <f>=IFERROR(ROUND((BR21+BR22)/$B157,0),0)</f>
        <v>0</v>
      </c>
      <c r="BS157" s="46">
        <f>=IFERROR(ROUND((BS21+BS22)/$B157,0),0)</f>
        <v>0</v>
      </c>
      <c r="BT157" s="46">
        <f>=IFERROR(ROUND((BT21+BT22)/$B157,0),0)</f>
        <v>0</v>
      </c>
      <c r="BU157" s="46">
        <f>=IFERROR(ROUND((BU21+BU22)/$B157,0),0)</f>
        <v>0</v>
      </c>
      <c r="BV157" s="46">
        <f>=IFERROR(ROUND((BV21+BV22)/$B157,0),0)</f>
        <v>0</v>
      </c>
      <c r="BW157" s="46">
        <f>=IFERROR(ROUND((BW21+BW22)/$B157,0),0)</f>
        <v>0</v>
      </c>
      <c r="BX157" s="46">
        <f>=IFERROR(ROUND((BX21+BX22)/$B157,0),0)</f>
        <v>0</v>
      </c>
      <c r="BY157" s="46">
        <f>=IFERROR(ROUND((BY21+BY22)/$B157,0),0)</f>
        <v>0</v>
      </c>
      <c r="BZ157" s="46">
        <f>=IFERROR(ROUND((BZ21+BZ22)/$B157,0),0)</f>
        <v>0</v>
      </c>
      <c r="CA157" s="46">
        <f>=IFERROR(ROUND((CA21+CA22)/$B157,0),0)</f>
        <v>0</v>
      </c>
      <c r="CB157" s="46">
        <f>=IFERROR(ROUND((CB21+CB22)/$B157,0),0)</f>
        <v>0</v>
      </c>
      <c r="CC157" s="46">
        <f>=IFERROR(ROUND((CC21+CC22)/$B157,0),0)</f>
        <v>0</v>
      </c>
      <c r="CD157" s="46">
        <f>=IFERROR(ROUND((CD21+CD22)/$B157,0),0)</f>
        <v>0</v>
      </c>
      <c r="CE157" s="46">
        <f>=IFERROR(ROUND((CE21+CE22)/$B157,0),0)</f>
        <v>0</v>
      </c>
      <c r="CF157" s="46">
        <f>=IFERROR(ROUND((CF21+CF22)/$B157,0),0)</f>
        <v>0</v>
      </c>
      <c r="CG157" s="46">
        <f>=IFERROR(ROUND((CG21+CG22)/$B157,0),0)</f>
        <v>0</v>
      </c>
      <c r="CH157" s="46">
        <f>=IFERROR(ROUND((CH21+CH22)/$B157,0),0)</f>
        <v>0</v>
      </c>
      <c r="CI157" s="46">
        <f>=IFERROR(ROUND((CI21+CI22)/$B157,0),0)</f>
        <v>0</v>
      </c>
      <c r="CJ157" s="46">
        <f>=IFERROR(ROUND((CJ21+CJ22)/$B157,0),0)</f>
        <v>0</v>
      </c>
      <c r="CK157" s="46">
        <f>=IFERROR(ROUND((CK21+CK22)/$B157,0),0)</f>
        <v>0</v>
      </c>
      <c r="CL157" s="46">
        <f>=IFERROR(ROUND((CL21+CL22)/$B157,0),0)</f>
        <v>0</v>
      </c>
      <c r="CM157" s="46">
        <f>=IFERROR(ROUND((CM21+CM22)/$B157,0),0)</f>
        <v>0</v>
      </c>
      <c r="CN157" s="46">
        <f>=IFERROR(ROUND((CN21+CN22)/$B157,0),0)</f>
        <v>0</v>
      </c>
      <c r="CO157" s="46">
        <f>=IFERROR(ROUND((CO21+CO22)/$B157,0),0)</f>
        <v>0</v>
      </c>
      <c r="CP157" s="46">
        <f>=IFERROR(ROUND((CP21+CP22)/$B157,0),0)</f>
        <v>0</v>
      </c>
      <c r="CQ157" s="46">
        <f>=IFERROR(ROUND((CQ21+CQ22)/$B157,0),0)</f>
        <v>0</v>
      </c>
      <c r="CR157" s="46">
        <f>=IFERROR(ROUND((CR21+CR22)/$B157,0),0)</f>
        <v>0</v>
      </c>
      <c r="CS157" s="46">
        <f>=IFERROR(ROUND((CS21+CS22)/$B157,0),0)</f>
        <v>0</v>
      </c>
      <c r="CT157" s="46">
        <f>=IFERROR(ROUND((CT21+CT22)/$B157,0),0)</f>
        <v>0</v>
      </c>
      <c r="CU157" s="46">
        <f>=IFERROR(ROUND((CU21+CU22)/$B157,0),0)</f>
        <v>0</v>
      </c>
      <c r="CV157" s="46">
        <f>=IFERROR(ROUND((CV21+CV22)/$B157,0),0)</f>
        <v>0</v>
      </c>
      <c r="CW157" s="46">
        <f>=IFERROR(ROUND((CW21+CW22)/$B157,0),0)</f>
        <v>0</v>
      </c>
      <c r="CX157" s="46">
        <f>=IFERROR(ROUND((CX21+CX22)/$B157,0),0)</f>
        <v>0</v>
      </c>
      <c r="CY157" s="46">
        <f>=IFERROR(ROUND((CY21+CY22)/$B157,0),0)</f>
        <v>0</v>
      </c>
      <c r="CZ157" s="46">
        <f>=IFERROR(ROUND((CZ21+CZ22)/$B157,0),0)</f>
        <v>0</v>
      </c>
      <c r="DA157" s="46">
        <f>=IFERROR(ROUND((DA21+DA22)/$B157,0),0)</f>
        <v>0</v>
      </c>
      <c r="DB157" s="46">
        <f>=IFERROR(ROUND((DB21+DB22)/$B157,0),0)</f>
        <v>0</v>
      </c>
    </row>
    <row r="158" ht="18" customHeight="1" spans="1:106" x14ac:dyDescent="0.25">
      <c r="A158" s="17" t="s">
        <v>362</v>
      </c>
      <c r="B158" s="17">
        <v>15</v>
      </c>
      <c r="C158" s="46">
        <f>=IFERROR(ROUND(C23/$B158,0),0)</f>
        <v>0</v>
      </c>
      <c r="D158" s="46">
        <f>=IFERROR(ROUND(D23/$B158,0),0)</f>
        <v>0</v>
      </c>
      <c r="E158" s="46">
        <f>=IFERROR(ROUND(E23/$B158,0),0)</f>
        <v>0</v>
      </c>
      <c r="F158" s="46">
        <f>=IFERROR(ROUND(F23/$B158,0),0)</f>
        <v>0</v>
      </c>
      <c r="G158" s="46">
        <f>=IFERROR(ROUND(G23/$B158,0),0)</f>
        <v>0</v>
      </c>
      <c r="H158" s="46">
        <f>=IFERROR(ROUND(H23/$B158,0),0)</f>
        <v>0</v>
      </c>
      <c r="I158" s="46">
        <f>=IFERROR(ROUND(I23/$B158,0),0)</f>
        <v>0</v>
      </c>
      <c r="J158" s="46">
        <f>=IFERROR(ROUND(J23/$B158,0),0)</f>
        <v>0</v>
      </c>
      <c r="K158" s="46">
        <f>=IFERROR(ROUND(K23/$B158,0),0)</f>
        <v>0</v>
      </c>
      <c r="L158" s="46">
        <f>=IFERROR(ROUND(L23/$B158,0),0)</f>
        <v>0</v>
      </c>
      <c r="M158" s="46">
        <f>=IFERROR(ROUND(M23/$B158,0),0)</f>
        <v>0</v>
      </c>
      <c r="N158" s="46">
        <f>=IFERROR(ROUND(N23/$B158,0),0)</f>
        <v>0</v>
      </c>
      <c r="O158" s="46">
        <f>=IFERROR(ROUND(O23/$B158,0),0)</f>
        <v>0</v>
      </c>
      <c r="P158" s="46">
        <f>=IFERROR(ROUND(P23/$B158,0),0)</f>
        <v>0</v>
      </c>
      <c r="Q158" s="46">
        <f>=IFERROR(ROUND(Q23/$B158,0),0)</f>
        <v>0</v>
      </c>
      <c r="R158" s="46">
        <f>=IFERROR(ROUND(R23/$B158,0),0)</f>
        <v>0</v>
      </c>
      <c r="S158" s="46">
        <f>=IFERROR(ROUND(S23/$B158,0),0)</f>
        <v>0</v>
      </c>
      <c r="T158" s="46">
        <f>=IFERROR(ROUND(T23/$B158,0),0)</f>
        <v>0</v>
      </c>
      <c r="U158" s="46">
        <f>=IFERROR(ROUND(U23/$B158,0),0)</f>
        <v>0</v>
      </c>
      <c r="V158" s="46">
        <f>=IFERROR(ROUND(V23/$B158,0),0)</f>
        <v>0</v>
      </c>
      <c r="W158" s="46">
        <f>=IFERROR(ROUND(W23/$B158,0),0)</f>
        <v>0</v>
      </c>
      <c r="X158" s="46">
        <f>=IFERROR(ROUND(X23/$B158,0),0)</f>
        <v>0</v>
      </c>
      <c r="Y158" s="46">
        <f>=IFERROR(ROUND(Y23/$B158,0),0)</f>
        <v>0</v>
      </c>
      <c r="Z158" s="46">
        <f>=IFERROR(ROUND(Z23/$B158,0),0)</f>
        <v>0</v>
      </c>
      <c r="AA158" s="46">
        <f>=IFERROR(ROUND(AA23/$B158,0),0)</f>
        <v>0</v>
      </c>
      <c r="AB158" s="46">
        <f>=IFERROR(ROUND(AB23/$B158,0),0)</f>
        <v>0</v>
      </c>
      <c r="AC158" s="46">
        <f>=IFERROR(ROUND(AC23/$B158,0),0)</f>
        <v>0</v>
      </c>
      <c r="AD158" s="46">
        <f>=IFERROR(ROUND(AD23/$B158,0),0)</f>
        <v>0</v>
      </c>
      <c r="AE158" s="46">
        <f>=IFERROR(ROUND(AE23/$B158,0),0)</f>
        <v>0</v>
      </c>
      <c r="AF158" s="46">
        <f>=IFERROR(ROUND(AF23/$B158,0),0)</f>
        <v>0</v>
      </c>
      <c r="AG158" s="46">
        <f>=IFERROR(ROUND(AG23/$B158,0),0)</f>
        <v>0</v>
      </c>
      <c r="AH158" s="46">
        <f>=IFERROR(ROUND(AH23/$B158,0),0)</f>
        <v>0</v>
      </c>
      <c r="AI158" s="46">
        <f>=IFERROR(ROUND(AI23/$B158,0),0)</f>
        <v>0</v>
      </c>
      <c r="AJ158" s="46">
        <f>=IFERROR(ROUND(AJ23/$B158,0),0)</f>
        <v>0</v>
      </c>
      <c r="AK158" s="46">
        <f>=IFERROR(ROUND(AK23/$B158,0),0)</f>
        <v>0</v>
      </c>
      <c r="AL158" s="46">
        <f>=IFERROR(ROUND(AL23/$B158,0),0)</f>
        <v>0</v>
      </c>
      <c r="AM158" s="46">
        <f>=IFERROR(ROUND(AM23/$B158,0),0)</f>
        <v>0</v>
      </c>
      <c r="AN158" s="46">
        <f>=IFERROR(ROUND(AN23/$B158,0),0)</f>
        <v>0</v>
      </c>
      <c r="AO158" s="46">
        <f>=IFERROR(ROUND(AO23/$B158,0),0)</f>
        <v>0</v>
      </c>
      <c r="AP158" s="46">
        <f>=IFERROR(ROUND(AP23/$B158,0),0)</f>
        <v>0</v>
      </c>
      <c r="AQ158" s="46">
        <f>=IFERROR(ROUND(AQ23/$B158,0),0)</f>
        <v>0</v>
      </c>
      <c r="AR158" s="46">
        <f>=IFERROR(ROUND(AR23/$B158,0),0)</f>
        <v>0</v>
      </c>
      <c r="AS158" s="46">
        <f>=IFERROR(ROUND(AS23/$B158,0),0)</f>
        <v>0</v>
      </c>
      <c r="AT158" s="46">
        <f>=IFERROR(ROUND(AT23/$B158,0),0)</f>
        <v>0</v>
      </c>
      <c r="AU158" s="46">
        <f>=IFERROR(ROUND(AU23/$B158,0),0)</f>
        <v>0</v>
      </c>
      <c r="AV158" s="46">
        <f>=IFERROR(ROUND(AV23/$B158,0),0)</f>
        <v>0</v>
      </c>
      <c r="AW158" s="46">
        <f>=IFERROR(ROUND(AW23/$B158,0),0)</f>
        <v>0</v>
      </c>
      <c r="AX158" s="46">
        <f>=IFERROR(ROUND(AX23/$B158,0),0)</f>
        <v>0</v>
      </c>
      <c r="AY158" s="46">
        <f>=IFERROR(ROUND(AY23/$B158,0),0)</f>
        <v>0</v>
      </c>
      <c r="AZ158" s="46">
        <f>=IFERROR(ROUND(AZ23/$B158,0),0)</f>
        <v>0</v>
      </c>
      <c r="BA158" s="46">
        <f>=IFERROR(ROUND(BA23/$B158,0),0)</f>
        <v>0</v>
      </c>
      <c r="BB158" s="46">
        <f>=IFERROR(ROUND(BB23/$B158,0),0)</f>
        <v>0</v>
      </c>
      <c r="BC158" s="46">
        <f>=IFERROR(ROUND(BC23/$B158,0),0)</f>
        <v>0</v>
      </c>
      <c r="BD158" s="46">
        <f>=IFERROR(ROUND(BD23/$B158,0),0)</f>
        <v>0</v>
      </c>
      <c r="BE158" s="46">
        <f>=IFERROR(ROUND(BE23/$B158,0),0)</f>
        <v>0</v>
      </c>
      <c r="BF158" s="46">
        <f>=IFERROR(ROUND(BF23/$B158,0),0)</f>
        <v>0</v>
      </c>
      <c r="BG158" s="46">
        <f>=IFERROR(ROUND(BG23/$B158,0),0)</f>
        <v>0</v>
      </c>
      <c r="BH158" s="46">
        <f>=IFERROR(ROUND(BH23/$B158,0),0)</f>
        <v>0</v>
      </c>
      <c r="BI158" s="46">
        <f>=IFERROR(ROUND(BI23/$B158,0),0)</f>
        <v>0</v>
      </c>
      <c r="BJ158" s="46">
        <f>=IFERROR(ROUND(BJ23/$B158,0),0)</f>
        <v>0</v>
      </c>
      <c r="BK158" s="46">
        <f>=IFERROR(ROUND(BK23/$B158,0),0)</f>
        <v>0</v>
      </c>
      <c r="BL158" s="46">
        <f>=IFERROR(ROUND(BL23/$B158,0),0)</f>
        <v>0</v>
      </c>
      <c r="BM158" s="46">
        <f>=IFERROR(ROUND(BM23/$B158,0),0)</f>
        <v>0</v>
      </c>
      <c r="BN158" s="46">
        <f>=IFERROR(ROUND(BN23/$B158,0),0)</f>
        <v>0</v>
      </c>
      <c r="BO158" s="46">
        <f>=IFERROR(ROUND(BO23/$B158,0),0)</f>
        <v>0</v>
      </c>
      <c r="BP158" s="46">
        <f>=IFERROR(ROUND(BP23/$B158,0),0)</f>
        <v>0</v>
      </c>
      <c r="BQ158" s="46">
        <f>=IFERROR(ROUND(BQ23/$B158,0),0)</f>
        <v>0</v>
      </c>
      <c r="BR158" s="46">
        <f>=IFERROR(ROUND(BR23/$B158,0),0)</f>
        <v>0</v>
      </c>
      <c r="BS158" s="46">
        <f>=IFERROR(ROUND(BS23/$B158,0),0)</f>
        <v>0</v>
      </c>
      <c r="BT158" s="46">
        <f>=IFERROR(ROUND(BT23/$B158,0),0)</f>
        <v>0</v>
      </c>
      <c r="BU158" s="46">
        <f>=IFERROR(ROUND(BU23/$B158,0),0)</f>
        <v>0</v>
      </c>
      <c r="BV158" s="46">
        <f>=IFERROR(ROUND(BV23/$B158,0),0)</f>
        <v>0</v>
      </c>
      <c r="BW158" s="46">
        <f>=IFERROR(ROUND(BW23/$B158,0),0)</f>
        <v>0</v>
      </c>
      <c r="BX158" s="46">
        <f>=IFERROR(ROUND(BX23/$B158,0),0)</f>
        <v>0</v>
      </c>
      <c r="BY158" s="46">
        <f>=IFERROR(ROUND(BY23/$B158,0),0)</f>
        <v>0</v>
      </c>
      <c r="BZ158" s="46">
        <f>=IFERROR(ROUND(BZ23/$B158,0),0)</f>
        <v>0</v>
      </c>
      <c r="CA158" s="46">
        <f>=IFERROR(ROUND(CA23/$B158,0),0)</f>
        <v>0</v>
      </c>
      <c r="CB158" s="46">
        <f>=IFERROR(ROUND(CB23/$B158,0),0)</f>
        <v>0</v>
      </c>
      <c r="CC158" s="46">
        <f>=IFERROR(ROUND(CC23/$B158,0),0)</f>
        <v>0</v>
      </c>
      <c r="CD158" s="46">
        <f>=IFERROR(ROUND(CD23/$B158,0),0)</f>
        <v>0</v>
      </c>
      <c r="CE158" s="46">
        <f>=IFERROR(ROUND(CE23/$B158,0),0)</f>
        <v>0</v>
      </c>
      <c r="CF158" s="46">
        <f>=IFERROR(ROUND(CF23/$B158,0),0)</f>
        <v>0</v>
      </c>
      <c r="CG158" s="46">
        <f>=IFERROR(ROUND(CG23/$B158,0),0)</f>
        <v>0</v>
      </c>
      <c r="CH158" s="46">
        <f>=IFERROR(ROUND(CH23/$B158,0),0)</f>
        <v>0</v>
      </c>
      <c r="CI158" s="46">
        <f>=IFERROR(ROUND(CI23/$B158,0),0)</f>
        <v>0</v>
      </c>
      <c r="CJ158" s="46">
        <f>=IFERROR(ROUND(CJ23/$B158,0),0)</f>
        <v>0</v>
      </c>
      <c r="CK158" s="46">
        <f>=IFERROR(ROUND(CK23/$B158,0),0)</f>
        <v>0</v>
      </c>
      <c r="CL158" s="46">
        <f>=IFERROR(ROUND(CL23/$B158,0),0)</f>
        <v>0</v>
      </c>
      <c r="CM158" s="46">
        <f>=IFERROR(ROUND(CM23/$B158,0),0)</f>
        <v>0</v>
      </c>
      <c r="CN158" s="46">
        <f>=IFERROR(ROUND(CN23/$B158,0),0)</f>
        <v>0</v>
      </c>
      <c r="CO158" s="46">
        <f>=IFERROR(ROUND(CO23/$B158,0),0)</f>
        <v>0</v>
      </c>
      <c r="CP158" s="46">
        <f>=IFERROR(ROUND(CP23/$B158,0),0)</f>
        <v>0</v>
      </c>
      <c r="CQ158" s="46">
        <f>=IFERROR(ROUND(CQ23/$B158,0),0)</f>
        <v>0</v>
      </c>
      <c r="CR158" s="46">
        <f>=IFERROR(ROUND(CR23/$B158,0),0)</f>
        <v>0</v>
      </c>
      <c r="CS158" s="46">
        <f>=IFERROR(ROUND(CS23/$B158,0),0)</f>
        <v>0</v>
      </c>
      <c r="CT158" s="46">
        <f>=IFERROR(ROUND(CT23/$B158,0),0)</f>
        <v>0</v>
      </c>
      <c r="CU158" s="46">
        <f>=IFERROR(ROUND(CU23/$B158,0),0)</f>
        <v>0</v>
      </c>
      <c r="CV158" s="46">
        <f>=IFERROR(ROUND(CV23/$B158,0),0)</f>
        <v>0</v>
      </c>
      <c r="CW158" s="46">
        <f>=IFERROR(ROUND(CW23/$B158,0),0)</f>
        <v>0</v>
      </c>
      <c r="CX158" s="46">
        <f>=IFERROR(ROUND(CX23/$B158,0),0)</f>
        <v>0</v>
      </c>
      <c r="CY158" s="46">
        <f>=IFERROR(ROUND(CY23/$B158,0),0)</f>
        <v>0</v>
      </c>
      <c r="CZ158" s="46">
        <f>=IFERROR(ROUND(CZ23/$B158,0),0)</f>
        <v>0</v>
      </c>
      <c r="DA158" s="46">
        <f>=IFERROR(ROUND(DA23/$B158,0),0)</f>
        <v>0</v>
      </c>
      <c r="DB158" s="46">
        <f>=IFERROR(ROUND(DB23/$B158,0),0)</f>
        <v>0</v>
      </c>
    </row>
    <row r="159" ht="18" customHeight="1" spans="1:106" x14ac:dyDescent="0.25">
      <c r="A159" s="17" t="s">
        <v>363</v>
      </c>
      <c r="B159" s="17">
        <v>15</v>
      </c>
      <c r="C159" s="46">
        <f>=IFERROR(ROUND(C24/$B159,0),0)</f>
        <v>0</v>
      </c>
      <c r="D159" s="46">
        <f>=IFERROR(ROUND(D24/$B159,0),0)</f>
        <v>0</v>
      </c>
      <c r="E159" s="46">
        <f>=IFERROR(ROUND(E24/$B159,0),0)</f>
        <v>0</v>
      </c>
      <c r="F159" s="46">
        <f>=IFERROR(ROUND(F24/$B159,0),0)</f>
        <v>0</v>
      </c>
      <c r="G159" s="46">
        <f>=IFERROR(ROUND(G24/$B159,0),0)</f>
        <v>0</v>
      </c>
      <c r="H159" s="46">
        <f>=IFERROR(ROUND(H24/$B159,0),0)</f>
        <v>0</v>
      </c>
      <c r="I159" s="46">
        <f>=IFERROR(ROUND(I24/$B159,0),0)</f>
        <v>0</v>
      </c>
      <c r="J159" s="46">
        <f>=IFERROR(ROUND(J24/$B159,0),0)</f>
        <v>0</v>
      </c>
      <c r="K159" s="46">
        <f>=IFERROR(ROUND(K24/$B159,0),0)</f>
        <v>0</v>
      </c>
      <c r="L159" s="46">
        <f>=IFERROR(ROUND(L24/$B159,0),0)</f>
        <v>0</v>
      </c>
      <c r="M159" s="46">
        <f>=IFERROR(ROUND(M24/$B159,0),0)</f>
        <v>0</v>
      </c>
      <c r="N159" s="46">
        <f>=IFERROR(ROUND(N24/$B159,0),0)</f>
        <v>0</v>
      </c>
      <c r="O159" s="46">
        <f>=IFERROR(ROUND(O24/$B159,0),0)</f>
        <v>0</v>
      </c>
      <c r="P159" s="46">
        <f>=IFERROR(ROUND(P24/$B159,0),0)</f>
        <v>0</v>
      </c>
      <c r="Q159" s="46">
        <f>=IFERROR(ROUND(Q24/$B159,0),0)</f>
        <v>0</v>
      </c>
      <c r="R159" s="46">
        <f>=IFERROR(ROUND(R24/$B159,0),0)</f>
        <v>0</v>
      </c>
      <c r="S159" s="46">
        <f>=IFERROR(ROUND(S24/$B159,0),0)</f>
        <v>0</v>
      </c>
      <c r="T159" s="46">
        <f>=IFERROR(ROUND(T24/$B159,0),0)</f>
        <v>0</v>
      </c>
      <c r="U159" s="46">
        <f>=IFERROR(ROUND(U24/$B159,0),0)</f>
        <v>0</v>
      </c>
      <c r="V159" s="46">
        <f>=IFERROR(ROUND(V24/$B159,0),0)</f>
        <v>0</v>
      </c>
      <c r="W159" s="46">
        <f>=IFERROR(ROUND(W24/$B159,0),0)</f>
        <v>0</v>
      </c>
      <c r="X159" s="46">
        <f>=IFERROR(ROUND(X24/$B159,0),0)</f>
        <v>0</v>
      </c>
      <c r="Y159" s="46">
        <f>=IFERROR(ROUND(Y24/$B159,0),0)</f>
        <v>0</v>
      </c>
      <c r="Z159" s="46">
        <f>=IFERROR(ROUND(Z24/$B159,0),0)</f>
        <v>0</v>
      </c>
      <c r="AA159" s="46">
        <f>=IFERROR(ROUND(AA24/$B159,0),0)</f>
        <v>0</v>
      </c>
      <c r="AB159" s="46">
        <f>=IFERROR(ROUND(AB24/$B159,0),0)</f>
        <v>0</v>
      </c>
      <c r="AC159" s="46">
        <f>=IFERROR(ROUND(AC24/$B159,0),0)</f>
        <v>0</v>
      </c>
      <c r="AD159" s="46">
        <f>=IFERROR(ROUND(AD24/$B159,0),0)</f>
        <v>0</v>
      </c>
      <c r="AE159" s="46">
        <f>=IFERROR(ROUND(AE24/$B159,0),0)</f>
        <v>0</v>
      </c>
      <c r="AF159" s="46">
        <f>=IFERROR(ROUND(AF24/$B159,0),0)</f>
        <v>0</v>
      </c>
      <c r="AG159" s="46">
        <f>=IFERROR(ROUND(AG24/$B159,0),0)</f>
        <v>0</v>
      </c>
      <c r="AH159" s="46">
        <f>=IFERROR(ROUND(AH24/$B159,0),0)</f>
        <v>0</v>
      </c>
      <c r="AI159" s="46">
        <f>=IFERROR(ROUND(AI24/$B159,0),0)</f>
        <v>0</v>
      </c>
      <c r="AJ159" s="46">
        <f>=IFERROR(ROUND(AJ24/$B159,0),0)</f>
        <v>0</v>
      </c>
      <c r="AK159" s="46">
        <f>=IFERROR(ROUND(AK24/$B159,0),0)</f>
        <v>0</v>
      </c>
      <c r="AL159" s="46">
        <f>=IFERROR(ROUND(AL24/$B159,0),0)</f>
        <v>0</v>
      </c>
      <c r="AM159" s="46">
        <f>=IFERROR(ROUND(AM24/$B159,0),0)</f>
        <v>0</v>
      </c>
      <c r="AN159" s="46">
        <f>=IFERROR(ROUND(AN24/$B159,0),0)</f>
        <v>0</v>
      </c>
      <c r="AO159" s="46">
        <f>=IFERROR(ROUND(AO24/$B159,0),0)</f>
        <v>0</v>
      </c>
      <c r="AP159" s="46">
        <f>=IFERROR(ROUND(AP24/$B159,0),0)</f>
        <v>0</v>
      </c>
      <c r="AQ159" s="46">
        <f>=IFERROR(ROUND(AQ24/$B159,0),0)</f>
        <v>0</v>
      </c>
      <c r="AR159" s="46">
        <f>=IFERROR(ROUND(AR24/$B159,0),0)</f>
        <v>0</v>
      </c>
      <c r="AS159" s="46">
        <f>=IFERROR(ROUND(AS24/$B159,0),0)</f>
        <v>0</v>
      </c>
      <c r="AT159" s="46">
        <f>=IFERROR(ROUND(AT24/$B159,0),0)</f>
        <v>0</v>
      </c>
      <c r="AU159" s="46">
        <f>=IFERROR(ROUND(AU24/$B159,0),0)</f>
        <v>0</v>
      </c>
      <c r="AV159" s="46">
        <f>=IFERROR(ROUND(AV24/$B159,0),0)</f>
        <v>0</v>
      </c>
      <c r="AW159" s="46">
        <f>=IFERROR(ROUND(AW24/$B159,0),0)</f>
        <v>0</v>
      </c>
      <c r="AX159" s="46">
        <f>=IFERROR(ROUND(AX24/$B159,0),0)</f>
        <v>0</v>
      </c>
      <c r="AY159" s="46">
        <f>=IFERROR(ROUND(AY24/$B159,0),0)</f>
        <v>0</v>
      </c>
      <c r="AZ159" s="46">
        <f>=IFERROR(ROUND(AZ24/$B159,0),0)</f>
        <v>0</v>
      </c>
      <c r="BA159" s="46">
        <f>=IFERROR(ROUND(BA24/$B159,0),0)</f>
        <v>0</v>
      </c>
      <c r="BB159" s="46">
        <f>=IFERROR(ROUND(BB24/$B159,0),0)</f>
        <v>0</v>
      </c>
      <c r="BC159" s="46">
        <f>=IFERROR(ROUND(BC24/$B159,0),0)</f>
        <v>0</v>
      </c>
      <c r="BD159" s="46">
        <f>=IFERROR(ROUND(BD24/$B159,0),0)</f>
        <v>0</v>
      </c>
      <c r="BE159" s="46">
        <f>=IFERROR(ROUND(BE24/$B159,0),0)</f>
        <v>0</v>
      </c>
      <c r="BF159" s="46">
        <f>=IFERROR(ROUND(BF24/$B159,0),0)</f>
        <v>0</v>
      </c>
      <c r="BG159" s="46">
        <f>=IFERROR(ROUND(BG24/$B159,0),0)</f>
        <v>0</v>
      </c>
      <c r="BH159" s="46">
        <f>=IFERROR(ROUND(BH24/$B159,0),0)</f>
        <v>0</v>
      </c>
      <c r="BI159" s="46">
        <f>=IFERROR(ROUND(BI24/$B159,0),0)</f>
        <v>0</v>
      </c>
      <c r="BJ159" s="46">
        <f>=IFERROR(ROUND(BJ24/$B159,0),0)</f>
        <v>0</v>
      </c>
      <c r="BK159" s="46">
        <f>=IFERROR(ROUND(BK24/$B159,0),0)</f>
        <v>0</v>
      </c>
      <c r="BL159" s="46">
        <f>=IFERROR(ROUND(BL24/$B159,0),0)</f>
        <v>0</v>
      </c>
      <c r="BM159" s="46">
        <f>=IFERROR(ROUND(BM24/$B159,0),0)</f>
        <v>0</v>
      </c>
      <c r="BN159" s="46">
        <f>=IFERROR(ROUND(BN24/$B159,0),0)</f>
        <v>0</v>
      </c>
      <c r="BO159" s="46">
        <f>=IFERROR(ROUND(BO24/$B159,0),0)</f>
        <v>0</v>
      </c>
      <c r="BP159" s="46">
        <f>=IFERROR(ROUND(BP24/$B159,0),0)</f>
        <v>0</v>
      </c>
      <c r="BQ159" s="46">
        <f>=IFERROR(ROUND(BQ24/$B159,0),0)</f>
        <v>0</v>
      </c>
      <c r="BR159" s="46">
        <f>=IFERROR(ROUND(BR24/$B159,0),0)</f>
        <v>0</v>
      </c>
      <c r="BS159" s="46">
        <f>=IFERROR(ROUND(BS24/$B159,0),0)</f>
        <v>0</v>
      </c>
      <c r="BT159" s="46">
        <f>=IFERROR(ROUND(BT24/$B159,0),0)</f>
        <v>0</v>
      </c>
      <c r="BU159" s="46">
        <f>=IFERROR(ROUND(BU24/$B159,0),0)</f>
        <v>0</v>
      </c>
      <c r="BV159" s="46">
        <f>=IFERROR(ROUND(BV24/$B159,0),0)</f>
        <v>0</v>
      </c>
      <c r="BW159" s="46">
        <f>=IFERROR(ROUND(BW24/$B159,0),0)</f>
        <v>0</v>
      </c>
      <c r="BX159" s="46">
        <f>=IFERROR(ROUND(BX24/$B159,0),0)</f>
        <v>0</v>
      </c>
      <c r="BY159" s="46">
        <f>=IFERROR(ROUND(BY24/$B159,0),0)</f>
        <v>0</v>
      </c>
      <c r="BZ159" s="46">
        <f>=IFERROR(ROUND(BZ24/$B159,0),0)</f>
        <v>0</v>
      </c>
      <c r="CA159" s="46">
        <f>=IFERROR(ROUND(CA24/$B159,0),0)</f>
        <v>0</v>
      </c>
      <c r="CB159" s="46">
        <f>=IFERROR(ROUND(CB24/$B159,0),0)</f>
        <v>0</v>
      </c>
      <c r="CC159" s="46">
        <f>=IFERROR(ROUND(CC24/$B159,0),0)</f>
        <v>0</v>
      </c>
      <c r="CD159" s="46">
        <f>=IFERROR(ROUND(CD24/$B159,0),0)</f>
        <v>0</v>
      </c>
      <c r="CE159" s="46">
        <f>=IFERROR(ROUND(CE24/$B159,0),0)</f>
        <v>0</v>
      </c>
      <c r="CF159" s="46">
        <f>=IFERROR(ROUND(CF24/$B159,0),0)</f>
        <v>0</v>
      </c>
      <c r="CG159" s="46">
        <f>=IFERROR(ROUND(CG24/$B159,0),0)</f>
        <v>0</v>
      </c>
      <c r="CH159" s="46">
        <f>=IFERROR(ROUND(CH24/$B159,0),0)</f>
        <v>0</v>
      </c>
      <c r="CI159" s="46">
        <f>=IFERROR(ROUND(CI24/$B159,0),0)</f>
        <v>0</v>
      </c>
      <c r="CJ159" s="46">
        <f>=IFERROR(ROUND(CJ24/$B159,0),0)</f>
        <v>0</v>
      </c>
      <c r="CK159" s="46">
        <f>=IFERROR(ROUND(CK24/$B159,0),0)</f>
        <v>0</v>
      </c>
      <c r="CL159" s="46">
        <f>=IFERROR(ROUND(CL24/$B159,0),0)</f>
        <v>0</v>
      </c>
      <c r="CM159" s="46">
        <f>=IFERROR(ROUND(CM24/$B159,0),0)</f>
        <v>0</v>
      </c>
      <c r="CN159" s="46">
        <f>=IFERROR(ROUND(CN24/$B159,0),0)</f>
        <v>0</v>
      </c>
      <c r="CO159" s="46">
        <f>=IFERROR(ROUND(CO24/$B159,0),0)</f>
        <v>0</v>
      </c>
      <c r="CP159" s="46">
        <f>=IFERROR(ROUND(CP24/$B159,0),0)</f>
        <v>0</v>
      </c>
      <c r="CQ159" s="46">
        <f>=IFERROR(ROUND(CQ24/$B159,0),0)</f>
        <v>0</v>
      </c>
      <c r="CR159" s="46">
        <f>=IFERROR(ROUND(CR24/$B159,0),0)</f>
        <v>0</v>
      </c>
      <c r="CS159" s="46">
        <f>=IFERROR(ROUND(CS24/$B159,0),0)</f>
        <v>0</v>
      </c>
      <c r="CT159" s="46">
        <f>=IFERROR(ROUND(CT24/$B159,0),0)</f>
        <v>0</v>
      </c>
      <c r="CU159" s="46">
        <f>=IFERROR(ROUND(CU24/$B159,0),0)</f>
        <v>0</v>
      </c>
      <c r="CV159" s="46">
        <f>=IFERROR(ROUND(CV24/$B159,0),0)</f>
        <v>0</v>
      </c>
      <c r="CW159" s="46">
        <f>=IFERROR(ROUND(CW24/$B159,0),0)</f>
        <v>0</v>
      </c>
      <c r="CX159" s="46">
        <f>=IFERROR(ROUND(CX24/$B159,0),0)</f>
        <v>0</v>
      </c>
      <c r="CY159" s="46">
        <f>=IFERROR(ROUND(CY24/$B159,0),0)</f>
        <v>0</v>
      </c>
      <c r="CZ159" s="46">
        <f>=IFERROR(ROUND(CZ24/$B159,0),0)</f>
        <v>0</v>
      </c>
      <c r="DA159" s="46">
        <f>=IFERROR(ROUND(DA24/$B159,0),0)</f>
        <v>0</v>
      </c>
      <c r="DB159" s="46">
        <f>=IFERROR(ROUND(DB24/$B159,0),0)</f>
        <v>0</v>
      </c>
    </row>
    <row r="160" ht="18" customHeight="1" spans="1:106" x14ac:dyDescent="0.25">
      <c r="A160" s="17" t="s">
        <v>364</v>
      </c>
      <c r="B160" s="17">
        <v>30</v>
      </c>
      <c r="C160" s="46">
        <f>=IFERROR(ROUND(C23/$B160,0),0)</f>
        <v>0</v>
      </c>
      <c r="D160" s="46">
        <f>=IFERROR(ROUND(D23/$B160,0),0)</f>
        <v>0</v>
      </c>
      <c r="E160" s="46">
        <f>=IFERROR(ROUND(E23/$B160,0),0)</f>
        <v>0</v>
      </c>
      <c r="F160" s="46">
        <f>=IFERROR(ROUND(F23/$B160,0),0)</f>
        <v>0</v>
      </c>
      <c r="G160" s="46">
        <f>=IFERROR(ROUND(G23/$B160,0),0)</f>
        <v>0</v>
      </c>
      <c r="H160" s="46">
        <f>=IFERROR(ROUND(H23/$B160,0),0)</f>
        <v>0</v>
      </c>
      <c r="I160" s="46">
        <f>=IFERROR(ROUND(I23/$B160,0),0)</f>
        <v>0</v>
      </c>
      <c r="J160" s="46">
        <f>=IFERROR(ROUND(J23/$B160,0),0)</f>
        <v>0</v>
      </c>
      <c r="K160" s="46">
        <f>=IFERROR(ROUND(K23/$B160,0),0)</f>
        <v>0</v>
      </c>
      <c r="L160" s="46">
        <f>=IFERROR(ROUND(L23/$B160,0),0)</f>
        <v>0</v>
      </c>
      <c r="M160" s="46">
        <f>=IFERROR(ROUND(M23/$B160,0),0)</f>
        <v>0</v>
      </c>
      <c r="N160" s="46">
        <f>=IFERROR(ROUND(N23/$B160,0),0)</f>
        <v>0</v>
      </c>
      <c r="O160" s="46">
        <f>=IFERROR(ROUND(O23/$B160,0),0)</f>
        <v>0</v>
      </c>
      <c r="P160" s="46">
        <f>=IFERROR(ROUND(P23/$B160,0),0)</f>
        <v>0</v>
      </c>
      <c r="Q160" s="46">
        <f>=IFERROR(ROUND(Q23/$B160,0),0)</f>
        <v>0</v>
      </c>
      <c r="R160" s="46">
        <f>=IFERROR(ROUND(R23/$B160,0),0)</f>
        <v>0</v>
      </c>
      <c r="S160" s="46">
        <f>=IFERROR(ROUND(S23/$B160,0),0)</f>
        <v>0</v>
      </c>
      <c r="T160" s="46">
        <f>=IFERROR(ROUND(T23/$B160,0),0)</f>
        <v>0</v>
      </c>
      <c r="U160" s="46">
        <f>=IFERROR(ROUND(U23/$B160,0),0)</f>
        <v>0</v>
      </c>
      <c r="V160" s="46">
        <f>=IFERROR(ROUND(V23/$B160,0),0)</f>
        <v>0</v>
      </c>
      <c r="W160" s="46">
        <f>=IFERROR(ROUND(W23/$B160,0),0)</f>
        <v>0</v>
      </c>
      <c r="X160" s="46">
        <f>=IFERROR(ROUND(X23/$B160,0),0)</f>
        <v>0</v>
      </c>
      <c r="Y160" s="46">
        <f>=IFERROR(ROUND(Y23/$B160,0),0)</f>
        <v>0</v>
      </c>
      <c r="Z160" s="46">
        <f>=IFERROR(ROUND(Z23/$B160,0),0)</f>
        <v>0</v>
      </c>
      <c r="AA160" s="46">
        <f>=IFERROR(ROUND(AA23/$B160,0),0)</f>
        <v>0</v>
      </c>
      <c r="AB160" s="46">
        <f>=IFERROR(ROUND(AB23/$B160,0),0)</f>
        <v>0</v>
      </c>
      <c r="AC160" s="46">
        <f>=IFERROR(ROUND(AC23/$B160,0),0)</f>
        <v>0</v>
      </c>
      <c r="AD160" s="46">
        <f>=IFERROR(ROUND(AD23/$B160,0),0)</f>
        <v>0</v>
      </c>
      <c r="AE160" s="46">
        <f>=IFERROR(ROUND(AE23/$B160,0),0)</f>
        <v>0</v>
      </c>
      <c r="AF160" s="46">
        <f>=IFERROR(ROUND(AF23/$B160,0),0)</f>
        <v>0</v>
      </c>
      <c r="AG160" s="46">
        <f>=IFERROR(ROUND(AG23/$B160,0),0)</f>
        <v>0</v>
      </c>
      <c r="AH160" s="46">
        <f>=IFERROR(ROUND(AH23/$B160,0),0)</f>
        <v>0</v>
      </c>
      <c r="AI160" s="46">
        <f>=IFERROR(ROUND(AI23/$B160,0),0)</f>
        <v>0</v>
      </c>
      <c r="AJ160" s="46">
        <f>=IFERROR(ROUND(AJ23/$B160,0),0)</f>
        <v>0</v>
      </c>
      <c r="AK160" s="46">
        <f>=IFERROR(ROUND(AK23/$B160,0),0)</f>
        <v>0</v>
      </c>
      <c r="AL160" s="46">
        <f>=IFERROR(ROUND(AL23/$B160,0),0)</f>
        <v>0</v>
      </c>
      <c r="AM160" s="46">
        <f>=IFERROR(ROUND(AM23/$B160,0),0)</f>
        <v>0</v>
      </c>
      <c r="AN160" s="46">
        <f>=IFERROR(ROUND(AN23/$B160,0),0)</f>
        <v>0</v>
      </c>
      <c r="AO160" s="46">
        <f>=IFERROR(ROUND(AO23/$B160,0),0)</f>
        <v>0</v>
      </c>
      <c r="AP160" s="46">
        <f>=IFERROR(ROUND(AP23/$B160,0),0)</f>
        <v>0</v>
      </c>
      <c r="AQ160" s="46">
        <f>=IFERROR(ROUND(AQ23/$B160,0),0)</f>
        <v>0</v>
      </c>
      <c r="AR160" s="46">
        <f>=IFERROR(ROUND(AR23/$B160,0),0)</f>
        <v>0</v>
      </c>
      <c r="AS160" s="46">
        <f>=IFERROR(ROUND(AS23/$B160,0),0)</f>
        <v>0</v>
      </c>
      <c r="AT160" s="46">
        <f>=IFERROR(ROUND(AT23/$B160,0),0)</f>
        <v>0</v>
      </c>
      <c r="AU160" s="46">
        <f>=IFERROR(ROUND(AU23/$B160,0),0)</f>
        <v>0</v>
      </c>
      <c r="AV160" s="46">
        <f>=IFERROR(ROUND(AV23/$B160,0),0)</f>
        <v>0</v>
      </c>
      <c r="AW160" s="46">
        <f>=IFERROR(ROUND(AW23/$B160,0),0)</f>
        <v>0</v>
      </c>
      <c r="AX160" s="46">
        <f>=IFERROR(ROUND(AX23/$B160,0),0)</f>
        <v>0</v>
      </c>
      <c r="AY160" s="46">
        <f>=IFERROR(ROUND(AY23/$B160,0),0)</f>
        <v>0</v>
      </c>
      <c r="AZ160" s="46">
        <f>=IFERROR(ROUND(AZ23/$B160,0),0)</f>
        <v>0</v>
      </c>
      <c r="BA160" s="46">
        <f>=IFERROR(ROUND(BA23/$B160,0),0)</f>
        <v>0</v>
      </c>
      <c r="BB160" s="46">
        <f>=IFERROR(ROUND(BB23/$B160,0),0)</f>
        <v>0</v>
      </c>
      <c r="BC160" s="46">
        <f>=IFERROR(ROUND(BC23/$B160,0),0)</f>
        <v>0</v>
      </c>
      <c r="BD160" s="46">
        <f>=IFERROR(ROUND(BD23/$B160,0),0)</f>
        <v>0</v>
      </c>
      <c r="BE160" s="46">
        <f>=IFERROR(ROUND(BE23/$B160,0),0)</f>
        <v>0</v>
      </c>
      <c r="BF160" s="46">
        <f>=IFERROR(ROUND(BF23/$B160,0),0)</f>
        <v>0</v>
      </c>
      <c r="BG160" s="46">
        <f>=IFERROR(ROUND(BG23/$B160,0),0)</f>
        <v>0</v>
      </c>
      <c r="BH160" s="46">
        <f>=IFERROR(ROUND(BH23/$B160,0),0)</f>
        <v>0</v>
      </c>
      <c r="BI160" s="46">
        <f>=IFERROR(ROUND(BI23/$B160,0),0)</f>
        <v>0</v>
      </c>
      <c r="BJ160" s="46">
        <f>=IFERROR(ROUND(BJ23/$B160,0),0)</f>
        <v>0</v>
      </c>
      <c r="BK160" s="46">
        <f>=IFERROR(ROUND(BK23/$B160,0),0)</f>
        <v>0</v>
      </c>
      <c r="BL160" s="46">
        <f>=IFERROR(ROUND(BL23/$B160,0),0)</f>
        <v>0</v>
      </c>
      <c r="BM160" s="46">
        <f>=IFERROR(ROUND(BM23/$B160,0),0)</f>
        <v>0</v>
      </c>
      <c r="BN160" s="46">
        <f>=IFERROR(ROUND(BN23/$B160,0),0)</f>
        <v>0</v>
      </c>
      <c r="BO160" s="46">
        <f>=IFERROR(ROUND(BO23/$B160,0),0)</f>
        <v>0</v>
      </c>
      <c r="BP160" s="46">
        <f>=IFERROR(ROUND(BP23/$B160,0),0)</f>
        <v>0</v>
      </c>
      <c r="BQ160" s="46">
        <f>=IFERROR(ROUND(BQ23/$B160,0),0)</f>
        <v>0</v>
      </c>
      <c r="BR160" s="46">
        <f>=IFERROR(ROUND(BR23/$B160,0),0)</f>
        <v>0</v>
      </c>
      <c r="BS160" s="46">
        <f>=IFERROR(ROUND(BS23/$B160,0),0)</f>
        <v>0</v>
      </c>
      <c r="BT160" s="46">
        <f>=IFERROR(ROUND(BT23/$B160,0),0)</f>
        <v>0</v>
      </c>
      <c r="BU160" s="46">
        <f>=IFERROR(ROUND(BU23/$B160,0),0)</f>
        <v>0</v>
      </c>
      <c r="BV160" s="46">
        <f>=IFERROR(ROUND(BV23/$B160,0),0)</f>
        <v>0</v>
      </c>
      <c r="BW160" s="46">
        <f>=IFERROR(ROUND(BW23/$B160,0),0)</f>
        <v>0</v>
      </c>
      <c r="BX160" s="46">
        <f>=IFERROR(ROUND(BX23/$B160,0),0)</f>
        <v>0</v>
      </c>
      <c r="BY160" s="46">
        <f>=IFERROR(ROUND(BY23/$B160,0),0)</f>
        <v>0</v>
      </c>
      <c r="BZ160" s="46">
        <f>=IFERROR(ROUND(BZ23/$B160,0),0)</f>
        <v>0</v>
      </c>
      <c r="CA160" s="46">
        <f>=IFERROR(ROUND(CA23/$B160,0),0)</f>
        <v>0</v>
      </c>
      <c r="CB160" s="46">
        <f>=IFERROR(ROUND(CB23/$B160,0),0)</f>
        <v>0</v>
      </c>
      <c r="CC160" s="46">
        <f>=IFERROR(ROUND(CC23/$B160,0),0)</f>
        <v>0</v>
      </c>
      <c r="CD160" s="46">
        <f>=IFERROR(ROUND(CD23/$B160,0),0)</f>
        <v>0</v>
      </c>
      <c r="CE160" s="46">
        <f>=IFERROR(ROUND(CE23/$B160,0),0)</f>
        <v>0</v>
      </c>
      <c r="CF160" s="46">
        <f>=IFERROR(ROUND(CF23/$B160,0),0)</f>
        <v>0</v>
      </c>
      <c r="CG160" s="46">
        <f>=IFERROR(ROUND(CG23/$B160,0),0)</f>
        <v>0</v>
      </c>
      <c r="CH160" s="46">
        <f>=IFERROR(ROUND(CH23/$B160,0),0)</f>
        <v>0</v>
      </c>
      <c r="CI160" s="46">
        <f>=IFERROR(ROUND(CI23/$B160,0),0)</f>
        <v>0</v>
      </c>
      <c r="CJ160" s="46">
        <f>=IFERROR(ROUND(CJ23/$B160,0),0)</f>
        <v>0</v>
      </c>
      <c r="CK160" s="46">
        <f>=IFERROR(ROUND(CK23/$B160,0),0)</f>
        <v>0</v>
      </c>
      <c r="CL160" s="46">
        <f>=IFERROR(ROUND(CL23/$B160,0),0)</f>
        <v>0</v>
      </c>
      <c r="CM160" s="46">
        <f>=IFERROR(ROUND(CM23/$B160,0),0)</f>
        <v>0</v>
      </c>
      <c r="CN160" s="46">
        <f>=IFERROR(ROUND(CN23/$B160,0),0)</f>
        <v>0</v>
      </c>
      <c r="CO160" s="46">
        <f>=IFERROR(ROUND(CO23/$B160,0),0)</f>
        <v>0</v>
      </c>
      <c r="CP160" s="46">
        <f>=IFERROR(ROUND(CP23/$B160,0),0)</f>
        <v>0</v>
      </c>
      <c r="CQ160" s="46">
        <f>=IFERROR(ROUND(CQ23/$B160,0),0)</f>
        <v>0</v>
      </c>
      <c r="CR160" s="46">
        <f>=IFERROR(ROUND(CR23/$B160,0),0)</f>
        <v>0</v>
      </c>
      <c r="CS160" s="46">
        <f>=IFERROR(ROUND(CS23/$B160,0),0)</f>
        <v>0</v>
      </c>
      <c r="CT160" s="46">
        <f>=IFERROR(ROUND(CT23/$B160,0),0)</f>
        <v>0</v>
      </c>
      <c r="CU160" s="46">
        <f>=IFERROR(ROUND(CU23/$B160,0),0)</f>
        <v>0</v>
      </c>
      <c r="CV160" s="46">
        <f>=IFERROR(ROUND(CV23/$B160,0),0)</f>
        <v>0</v>
      </c>
      <c r="CW160" s="46">
        <f>=IFERROR(ROUND(CW23/$B160,0),0)</f>
        <v>0</v>
      </c>
      <c r="CX160" s="46">
        <f>=IFERROR(ROUND(CX23/$B160,0),0)</f>
        <v>0</v>
      </c>
      <c r="CY160" s="46">
        <f>=IFERROR(ROUND(CY23/$B160,0),0)</f>
        <v>0</v>
      </c>
      <c r="CZ160" s="46">
        <f>=IFERROR(ROUND(CZ23/$B160,0),0)</f>
        <v>0</v>
      </c>
      <c r="DA160" s="46">
        <f>=IFERROR(ROUND(DA23/$B160,0),0)</f>
        <v>0</v>
      </c>
      <c r="DB160" s="46">
        <f>=IFERROR(ROUND(DB23/$B160,0),0)</f>
        <v>0</v>
      </c>
    </row>
    <row r="161" ht="18" customHeight="1" spans="1:106" x14ac:dyDescent="0.25">
      <c r="A161" s="17" t="s">
        <v>365</v>
      </c>
      <c r="B161" s="17">
        <v>15</v>
      </c>
      <c r="C161" s="46">
        <f>=IFERROR(ROUND(C22/$B161,0),0)</f>
        <v>2</v>
      </c>
      <c r="D161" s="46">
        <f>=IFERROR(ROUND(D22/$B161,0),0)</f>
        <v>2</v>
      </c>
      <c r="E161" s="46">
        <f>=IFERROR(ROUND(E22/$B161,0),0)</f>
        <v>1</v>
      </c>
      <c r="F161" s="46">
        <f>=IFERROR(ROUND(F22/$B161,0),0)</f>
        <v>1</v>
      </c>
      <c r="G161" s="46">
        <f>=IFERROR(ROUND(G22/$B161,0),0)</f>
        <v>1</v>
      </c>
      <c r="H161" s="46">
        <f>=IFERROR(ROUND(H22/$B161,0),0)</f>
        <v>1</v>
      </c>
      <c r="I161" s="46">
        <f>=IFERROR(ROUND(I22/$B161,0),0)</f>
        <v>1</v>
      </c>
      <c r="J161" s="46">
        <f>=IFERROR(ROUND(J22/$B161,0),0)</f>
        <v>1</v>
      </c>
      <c r="K161" s="46">
        <f>=IFERROR(ROUND(K22/$B161,0),0)</f>
        <v>2</v>
      </c>
      <c r="L161" s="46">
        <f>=IFERROR(ROUND(L22/$B161,0),0)</f>
        <v>1</v>
      </c>
      <c r="M161" s="46">
        <f>=IFERROR(ROUND(M22/$B161,0),0)</f>
        <v>1</v>
      </c>
      <c r="N161" s="46">
        <f>=IFERROR(ROUND(N22/$B161,0),0)</f>
        <v>1</v>
      </c>
      <c r="O161" s="46">
        <f>=IFERROR(ROUND(O22/$B161,0),0)</f>
        <v>0</v>
      </c>
      <c r="P161" s="46">
        <f>=IFERROR(ROUND(P22/$B161,0),0)</f>
        <v>0</v>
      </c>
      <c r="Q161" s="46">
        <f>=IFERROR(ROUND(Q22/$B161,0),0)</f>
        <v>0</v>
      </c>
      <c r="R161" s="46">
        <f>=IFERROR(ROUND(R22/$B161,0),0)</f>
        <v>1</v>
      </c>
      <c r="S161" s="46">
        <f>=IFERROR(ROUND(S22/$B161,0),0)</f>
        <v>1</v>
      </c>
      <c r="T161" s="46">
        <f>=IFERROR(ROUND(T22/$B161,0),0)</f>
        <v>0</v>
      </c>
      <c r="U161" s="46">
        <f>=IFERROR(ROUND(U22/$B161,0),0)</f>
        <v>0</v>
      </c>
      <c r="V161" s="46">
        <f>=IFERROR(ROUND(V22/$B161,0),0)</f>
        <v>0</v>
      </c>
      <c r="W161" s="46">
        <f>=IFERROR(ROUND(W22/$B161,0),0)</f>
        <v>0</v>
      </c>
      <c r="X161" s="46">
        <f>=IFERROR(ROUND(X22/$B161,0),0)</f>
        <v>0</v>
      </c>
      <c r="Y161" s="46">
        <f>=IFERROR(ROUND(Y22/$B161,0),0)</f>
        <v>0</v>
      </c>
      <c r="Z161" s="46">
        <f>=IFERROR(ROUND(Z22/$B161,0),0)</f>
        <v>0</v>
      </c>
      <c r="AA161" s="46">
        <f>=IFERROR(ROUND(AA22/$B161,0),0)</f>
        <v>0</v>
      </c>
      <c r="AB161" s="46">
        <f>=IFERROR(ROUND(AB22/$B161,0),0)</f>
        <v>0</v>
      </c>
      <c r="AC161" s="46">
        <f>=IFERROR(ROUND(AC22/$B161,0),0)</f>
        <v>0</v>
      </c>
      <c r="AD161" s="46">
        <f>=IFERROR(ROUND(AD22/$B161,0),0)</f>
        <v>0</v>
      </c>
      <c r="AE161" s="46">
        <f>=IFERROR(ROUND(AE22/$B161,0),0)</f>
        <v>0</v>
      </c>
      <c r="AF161" s="46">
        <f>=IFERROR(ROUND(AF22/$B161,0),0)</f>
        <v>0</v>
      </c>
      <c r="AG161" s="46">
        <f>=IFERROR(ROUND(AG22/$B161,0),0)</f>
        <v>0</v>
      </c>
      <c r="AH161" s="46">
        <f>=IFERROR(ROUND(AH22/$B161,0),0)</f>
        <v>0</v>
      </c>
      <c r="AI161" s="46">
        <f>=IFERROR(ROUND(AI22/$B161,0),0)</f>
        <v>0</v>
      </c>
      <c r="AJ161" s="46">
        <f>=IFERROR(ROUND(AJ22/$B161,0),0)</f>
        <v>0</v>
      </c>
      <c r="AK161" s="46">
        <f>=IFERROR(ROUND(AK22/$B161,0),0)</f>
        <v>0</v>
      </c>
      <c r="AL161" s="46">
        <f>=IFERROR(ROUND(AL22/$B161,0),0)</f>
        <v>0</v>
      </c>
      <c r="AM161" s="46">
        <f>=IFERROR(ROUND(AM22/$B161,0),0)</f>
        <v>0</v>
      </c>
      <c r="AN161" s="46">
        <f>=IFERROR(ROUND(AN22/$B161,0),0)</f>
        <v>0</v>
      </c>
      <c r="AO161" s="46">
        <f>=IFERROR(ROUND(AO22/$B161,0),0)</f>
        <v>1</v>
      </c>
      <c r="AP161" s="46">
        <f>=IFERROR(ROUND(AP22/$B161,0),0)</f>
        <v>1</v>
      </c>
      <c r="AQ161" s="46">
        <f>=IFERROR(ROUND(AQ22/$B161,0),0)</f>
        <v>0</v>
      </c>
      <c r="AR161" s="46">
        <f>=IFERROR(ROUND(AR22/$B161,0),0)</f>
        <v>1</v>
      </c>
      <c r="AS161" s="46">
        <f>=IFERROR(ROUND(AS22/$B161,0),0)</f>
        <v>1</v>
      </c>
      <c r="AT161" s="46">
        <f>=IFERROR(ROUND(AT22/$B161,0),0)</f>
        <v>1</v>
      </c>
      <c r="AU161" s="46">
        <f>=IFERROR(ROUND(AU22/$B161,0),0)</f>
        <v>0</v>
      </c>
      <c r="AV161" s="46">
        <f>=IFERROR(ROUND(AV22/$B161,0),0)</f>
        <v>1</v>
      </c>
      <c r="AW161" s="46">
        <f>=IFERROR(ROUND(AW22/$B161,0),0)</f>
        <v>0</v>
      </c>
      <c r="AX161" s="46">
        <f>=IFERROR(ROUND(AX22/$B161,0),0)</f>
        <v>1</v>
      </c>
      <c r="AY161" s="46">
        <f>=IFERROR(ROUND(AY22/$B161,0),0)</f>
        <v>2</v>
      </c>
      <c r="AZ161" s="46">
        <f>=IFERROR(ROUND(AZ22/$B161,0),0)</f>
        <v>1</v>
      </c>
      <c r="BA161" s="46">
        <f>=IFERROR(ROUND(BA22/$B161,0),0)</f>
        <v>1</v>
      </c>
      <c r="BB161" s="46">
        <f>=IFERROR(ROUND(BB22/$B161,0),0)</f>
        <v>2</v>
      </c>
      <c r="BC161" s="46">
        <f>=IFERROR(ROUND(BC22/$B161,0),0)</f>
        <v>0</v>
      </c>
      <c r="BD161" s="46">
        <f>=IFERROR(ROUND(BD22/$B161,0),0)</f>
        <v>1</v>
      </c>
      <c r="BE161" s="46">
        <f>=IFERROR(ROUND(BE22/$B161,0),0)</f>
        <v>0</v>
      </c>
      <c r="BF161" s="46">
        <f>=IFERROR(ROUND(BF22/$B161,0),0)</f>
        <v>1</v>
      </c>
      <c r="BG161" s="46">
        <f>=IFERROR(ROUND(BG22/$B161,0),0)</f>
        <v>1</v>
      </c>
      <c r="BH161" s="46">
        <f>=IFERROR(ROUND(BH22/$B161,0),0)</f>
        <v>0</v>
      </c>
      <c r="BI161" s="46">
        <f>=IFERROR(ROUND(BI22/$B161,0),0)</f>
        <v>1</v>
      </c>
      <c r="BJ161" s="46">
        <f>=IFERROR(ROUND(BJ22/$B161,0),0)</f>
        <v>0</v>
      </c>
      <c r="BK161" s="46">
        <f>=IFERROR(ROUND(BK22/$B161,0),0)</f>
        <v>0</v>
      </c>
      <c r="BL161" s="46">
        <f>=IFERROR(ROUND(BL22/$B161,0),0)</f>
        <v>0</v>
      </c>
      <c r="BM161" s="46">
        <f>=IFERROR(ROUND(BM22/$B161,0),0)</f>
        <v>0</v>
      </c>
      <c r="BN161" s="46">
        <f>=IFERROR(ROUND(BN22/$B161,0),0)</f>
        <v>0</v>
      </c>
      <c r="BO161" s="46">
        <f>=IFERROR(ROUND(BO22/$B161,0),0)</f>
        <v>0</v>
      </c>
      <c r="BP161" s="46">
        <f>=IFERROR(ROUND(BP22/$B161,0),0)</f>
        <v>0</v>
      </c>
      <c r="BQ161" s="46">
        <f>=IFERROR(ROUND(BQ22/$B161,0),0)</f>
        <v>0</v>
      </c>
      <c r="BR161" s="46">
        <f>=IFERROR(ROUND(BR22/$B161,0),0)</f>
        <v>0</v>
      </c>
      <c r="BS161" s="46">
        <f>=IFERROR(ROUND(BS22/$B161,0),0)</f>
        <v>0</v>
      </c>
      <c r="BT161" s="46">
        <f>=IFERROR(ROUND(BT22/$B161,0),0)</f>
        <v>0</v>
      </c>
      <c r="BU161" s="46">
        <f>=IFERROR(ROUND(BU22/$B161,0),0)</f>
        <v>0</v>
      </c>
      <c r="BV161" s="46">
        <f>=IFERROR(ROUND(BV22/$B161,0),0)</f>
        <v>0</v>
      </c>
      <c r="BW161" s="46">
        <f>=IFERROR(ROUND(BW22/$B161,0),0)</f>
        <v>0</v>
      </c>
      <c r="BX161" s="46">
        <f>=IFERROR(ROUND(BX22/$B161,0),0)</f>
        <v>0</v>
      </c>
      <c r="BY161" s="46">
        <f>=IFERROR(ROUND(BY22/$B161,0),0)</f>
        <v>0</v>
      </c>
      <c r="BZ161" s="46">
        <f>=IFERROR(ROUND(BZ22/$B161,0),0)</f>
        <v>0</v>
      </c>
      <c r="CA161" s="46">
        <f>=IFERROR(ROUND(CA22/$B161,0),0)</f>
        <v>0</v>
      </c>
      <c r="CB161" s="46">
        <f>=IFERROR(ROUND(CB22/$B161,0),0)</f>
        <v>0</v>
      </c>
      <c r="CC161" s="46">
        <f>=IFERROR(ROUND(CC22/$B161,0),0)</f>
        <v>0</v>
      </c>
      <c r="CD161" s="46">
        <f>=IFERROR(ROUND(CD22/$B161,0),0)</f>
        <v>0</v>
      </c>
      <c r="CE161" s="46">
        <f>=IFERROR(ROUND(CE22/$B161,0),0)</f>
        <v>0</v>
      </c>
      <c r="CF161" s="46">
        <f>=IFERROR(ROUND(CF22/$B161,0),0)</f>
        <v>0</v>
      </c>
      <c r="CG161" s="46">
        <f>=IFERROR(ROUND(CG22/$B161,0),0)</f>
        <v>0</v>
      </c>
      <c r="CH161" s="46">
        <f>=IFERROR(ROUND(CH22/$B161,0),0)</f>
        <v>0</v>
      </c>
      <c r="CI161" s="46">
        <f>=IFERROR(ROUND(CI22/$B161,0),0)</f>
        <v>0</v>
      </c>
      <c r="CJ161" s="46">
        <f>=IFERROR(ROUND(CJ22/$B161,0),0)</f>
        <v>0</v>
      </c>
      <c r="CK161" s="46">
        <f>=IFERROR(ROUND(CK22/$B161,0),0)</f>
        <v>0</v>
      </c>
      <c r="CL161" s="46">
        <f>=IFERROR(ROUND(CL22/$B161,0),0)</f>
        <v>0</v>
      </c>
      <c r="CM161" s="46">
        <f>=IFERROR(ROUND(CM22/$B161,0),0)</f>
        <v>0</v>
      </c>
      <c r="CN161" s="46">
        <f>=IFERROR(ROUND(CN22/$B161,0),0)</f>
        <v>0</v>
      </c>
      <c r="CO161" s="46">
        <f>=IFERROR(ROUND(CO22/$B161,0),0)</f>
        <v>0</v>
      </c>
      <c r="CP161" s="46">
        <f>=IFERROR(ROUND(CP22/$B161,0),0)</f>
        <v>0</v>
      </c>
      <c r="CQ161" s="46">
        <f>=IFERROR(ROUND(CQ22/$B161,0),0)</f>
        <v>0</v>
      </c>
      <c r="CR161" s="46">
        <f>=IFERROR(ROUND(CR22/$B161,0),0)</f>
        <v>0</v>
      </c>
      <c r="CS161" s="46">
        <f>=IFERROR(ROUND(CS22/$B161,0),0)</f>
        <v>0</v>
      </c>
      <c r="CT161" s="46">
        <f>=IFERROR(ROUND(CT22/$B161,0),0)</f>
        <v>0</v>
      </c>
      <c r="CU161" s="46">
        <f>=IFERROR(ROUND(CU22/$B161,0),0)</f>
        <v>0</v>
      </c>
      <c r="CV161" s="46">
        <f>=IFERROR(ROUND(CV22/$B161,0),0)</f>
        <v>0</v>
      </c>
      <c r="CW161" s="46">
        <f>=IFERROR(ROUND(CW22/$B161,0),0)</f>
        <v>0</v>
      </c>
      <c r="CX161" s="46">
        <f>=IFERROR(ROUND(CX22/$B161,0),0)</f>
        <v>0</v>
      </c>
      <c r="CY161" s="46">
        <f>=IFERROR(ROUND(CY22/$B161,0),0)</f>
        <v>0</v>
      </c>
      <c r="CZ161" s="46">
        <f>=IFERROR(ROUND(CZ22/$B161,0),0)</f>
        <v>0</v>
      </c>
      <c r="DA161" s="46">
        <f>=IFERROR(ROUND(DA22/$B161,0),0)</f>
        <v>0</v>
      </c>
      <c r="DB161" s="46">
        <f>=IFERROR(ROUND(DB22/$B161,0),0)</f>
        <v>0</v>
      </c>
    </row>
    <row r="162" ht="18" customHeight="1" spans="3:106" x14ac:dyDescent="0.25"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30"/>
      <c r="BP162" s="30"/>
      <c r="BQ162" s="30"/>
      <c r="BR162" s="30"/>
      <c r="BS162" s="30"/>
      <c r="BT162" s="30"/>
      <c r="BU162" s="30"/>
      <c r="BV162" s="30"/>
      <c r="BW162" s="30"/>
      <c r="BX162" s="30"/>
      <c r="BY162" s="30"/>
      <c r="BZ162" s="30"/>
      <c r="CA162" s="30"/>
      <c r="CB162" s="30"/>
      <c r="CC162" s="30"/>
      <c r="CD162" s="30"/>
      <c r="CE162" s="30"/>
      <c r="CF162" s="30"/>
      <c r="CG162" s="30"/>
      <c r="CH162" s="30"/>
      <c r="CI162" s="30"/>
      <c r="CJ162" s="30"/>
      <c r="CK162" s="30"/>
      <c r="CL162" s="30"/>
      <c r="CM162" s="30"/>
      <c r="CN162" s="30"/>
      <c r="CO162" s="30"/>
      <c r="CP162" s="30"/>
      <c r="CQ162" s="30"/>
      <c r="CR162" s="30"/>
      <c r="CS162" s="30"/>
      <c r="CT162" s="30"/>
      <c r="CU162" s="30"/>
      <c r="CV162" s="30"/>
      <c r="CW162" s="30"/>
      <c r="CX162" s="30"/>
      <c r="CY162" s="30"/>
      <c r="CZ162" s="30"/>
      <c r="DA162" s="30"/>
      <c r="DB162" s="30"/>
    </row>
    <row r="163" ht="18" customHeight="1" spans="1:106" x14ac:dyDescent="0.25">
      <c r="A163" s="33" t="s">
        <v>366</v>
      </c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/>
      <c r="BE163" s="30"/>
      <c r="BF163" s="30"/>
      <c r="BG163" s="30"/>
      <c r="BH163" s="30"/>
      <c r="BI163" s="30"/>
      <c r="BJ163" s="30"/>
      <c r="BK163" s="30"/>
      <c r="BL163" s="30"/>
      <c r="BM163" s="30"/>
      <c r="BN163" s="30"/>
      <c r="BO163" s="30"/>
      <c r="BP163" s="30"/>
      <c r="BQ163" s="30"/>
      <c r="BR163" s="30"/>
      <c r="BS163" s="30"/>
      <c r="BT163" s="30"/>
      <c r="BU163" s="30"/>
      <c r="BV163" s="30"/>
      <c r="BW163" s="30"/>
      <c r="BX163" s="30"/>
      <c r="BY163" s="30"/>
      <c r="BZ163" s="30"/>
      <c r="CA163" s="30"/>
      <c r="CB163" s="30"/>
      <c r="CC163" s="30"/>
      <c r="CD163" s="30"/>
      <c r="CE163" s="30"/>
      <c r="CF163" s="30"/>
      <c r="CG163" s="30"/>
      <c r="CH163" s="30"/>
      <c r="CI163" s="30"/>
      <c r="CJ163" s="30"/>
      <c r="CK163" s="30"/>
      <c r="CL163" s="30"/>
      <c r="CM163" s="30"/>
      <c r="CN163" s="30"/>
      <c r="CO163" s="30"/>
      <c r="CP163" s="30"/>
      <c r="CQ163" s="30"/>
      <c r="CR163" s="30"/>
      <c r="CS163" s="30"/>
      <c r="CT163" s="30"/>
      <c r="CU163" s="30"/>
      <c r="CV163" s="30"/>
      <c r="CW163" s="30"/>
      <c r="CX163" s="30"/>
      <c r="CY163" s="30"/>
      <c r="CZ163" s="30"/>
      <c r="DA163" s="30"/>
      <c r="DB163" s="30"/>
    </row>
    <row r="164" ht="18" customHeight="1" spans="1:106" x14ac:dyDescent="0.25">
      <c r="A164" s="17" t="s">
        <v>367</v>
      </c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30"/>
      <c r="BD164" s="30"/>
      <c r="BE164" s="30"/>
      <c r="BF164" s="30"/>
      <c r="BG164" s="30"/>
      <c r="BH164" s="30"/>
      <c r="BI164" s="30"/>
      <c r="BJ164" s="30"/>
      <c r="BK164" s="30"/>
      <c r="BL164" s="30"/>
      <c r="BM164" s="30"/>
      <c r="BN164" s="30"/>
      <c r="BO164" s="30"/>
      <c r="BP164" s="30"/>
      <c r="BQ164" s="30"/>
      <c r="BR164" s="30"/>
      <c r="BS164" s="30"/>
      <c r="BT164" s="30"/>
      <c r="BU164" s="30"/>
      <c r="BV164" s="30"/>
      <c r="BW164" s="30"/>
      <c r="BX164" s="30"/>
      <c r="BY164" s="30"/>
      <c r="BZ164" s="30"/>
      <c r="CA164" s="30"/>
      <c r="CB164" s="30"/>
      <c r="CC164" s="30"/>
      <c r="CD164" s="30"/>
      <c r="CE164" s="30"/>
      <c r="CF164" s="30"/>
      <c r="CG164" s="30"/>
      <c r="CH164" s="30"/>
      <c r="CI164" s="30"/>
      <c r="CJ164" s="30"/>
      <c r="CK164" s="30"/>
      <c r="CL164" s="30"/>
      <c r="CM164" s="30"/>
      <c r="CN164" s="30"/>
      <c r="CO164" s="30"/>
      <c r="CP164" s="30"/>
      <c r="CQ164" s="30"/>
      <c r="CR164" s="30"/>
      <c r="CS164" s="30"/>
      <c r="CT164" s="30"/>
      <c r="CU164" s="30"/>
      <c r="CV164" s="30"/>
      <c r="CW164" s="30"/>
      <c r="CX164" s="30"/>
      <c r="CY164" s="30"/>
      <c r="CZ164" s="30"/>
      <c r="DA164" s="30"/>
      <c r="DB164" s="30"/>
    </row>
    <row r="165" ht="18" customHeight="1" spans="1:106" x14ac:dyDescent="0.25">
      <c r="A165" s="17" t="s">
        <v>357</v>
      </c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30"/>
      <c r="BD165" s="30"/>
      <c r="BE165" s="30"/>
      <c r="BF165" s="30"/>
      <c r="BG165" s="30"/>
      <c r="BH165" s="30"/>
      <c r="BI165" s="30"/>
      <c r="BJ165" s="30"/>
      <c r="BK165" s="30"/>
      <c r="BL165" s="30"/>
      <c r="BM165" s="30"/>
      <c r="BN165" s="30"/>
      <c r="BO165" s="30"/>
      <c r="BP165" s="30"/>
      <c r="BQ165" s="30"/>
      <c r="BR165" s="30"/>
      <c r="BS165" s="30"/>
      <c r="BT165" s="30"/>
      <c r="BU165" s="30"/>
      <c r="BV165" s="30"/>
      <c r="BW165" s="30"/>
      <c r="BX165" s="30"/>
      <c r="BY165" s="30"/>
      <c r="BZ165" s="30"/>
      <c r="CA165" s="30"/>
      <c r="CB165" s="30"/>
      <c r="CC165" s="30"/>
      <c r="CD165" s="30"/>
      <c r="CE165" s="30"/>
      <c r="CF165" s="30"/>
      <c r="CG165" s="30"/>
      <c r="CH165" s="30"/>
      <c r="CI165" s="30"/>
      <c r="CJ165" s="30"/>
      <c r="CK165" s="30"/>
      <c r="CL165" s="30"/>
      <c r="CM165" s="30"/>
      <c r="CN165" s="30"/>
      <c r="CO165" s="30"/>
      <c r="CP165" s="30"/>
      <c r="CQ165" s="30"/>
      <c r="CR165" s="30"/>
      <c r="CS165" s="30"/>
      <c r="CT165" s="30"/>
      <c r="CU165" s="30"/>
      <c r="CV165" s="30"/>
      <c r="CW165" s="30"/>
      <c r="CX165" s="30"/>
      <c r="CY165" s="30"/>
      <c r="CZ165" s="30"/>
      <c r="DA165" s="30"/>
      <c r="DB165" s="30"/>
    </row>
    <row r="166" ht="18" customHeight="1" spans="1:106" x14ac:dyDescent="0.25">
      <c r="A166" s="17" t="s">
        <v>358</v>
      </c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  <c r="BA166" s="30"/>
      <c r="BB166" s="30"/>
      <c r="BC166" s="30"/>
      <c r="BD166" s="30"/>
      <c r="BE166" s="30"/>
      <c r="BF166" s="30"/>
      <c r="BG166" s="30"/>
      <c r="BH166" s="30"/>
      <c r="BI166" s="30"/>
      <c r="BJ166" s="30"/>
      <c r="BK166" s="30"/>
      <c r="BL166" s="30"/>
      <c r="BM166" s="30"/>
      <c r="BN166" s="30"/>
      <c r="BO166" s="30"/>
      <c r="BP166" s="30"/>
      <c r="BQ166" s="30"/>
      <c r="BR166" s="30"/>
      <c r="BS166" s="30"/>
      <c r="BT166" s="30"/>
      <c r="BU166" s="30"/>
      <c r="BV166" s="30"/>
      <c r="BW166" s="30"/>
      <c r="BX166" s="30"/>
      <c r="BY166" s="30"/>
      <c r="BZ166" s="30"/>
      <c r="CA166" s="30"/>
      <c r="CB166" s="30"/>
      <c r="CC166" s="30"/>
      <c r="CD166" s="30"/>
      <c r="CE166" s="30"/>
      <c r="CF166" s="30"/>
      <c r="CG166" s="30"/>
      <c r="CH166" s="30"/>
      <c r="CI166" s="30"/>
      <c r="CJ166" s="30"/>
      <c r="CK166" s="30"/>
      <c r="CL166" s="30"/>
      <c r="CM166" s="30"/>
      <c r="CN166" s="30"/>
      <c r="CO166" s="30"/>
      <c r="CP166" s="30"/>
      <c r="CQ166" s="30"/>
      <c r="CR166" s="30"/>
      <c r="CS166" s="30"/>
      <c r="CT166" s="30"/>
      <c r="CU166" s="30"/>
      <c r="CV166" s="30"/>
      <c r="CW166" s="30"/>
      <c r="CX166" s="30"/>
      <c r="CY166" s="30"/>
      <c r="CZ166" s="30"/>
      <c r="DA166" s="30"/>
      <c r="DB166" s="30"/>
    </row>
    <row r="167" ht="18" customHeight="1" spans="1:106" x14ac:dyDescent="0.25">
      <c r="A167" s="17" t="s">
        <v>359</v>
      </c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  <c r="BC167" s="30"/>
      <c r="BD167" s="30"/>
      <c r="BE167" s="30"/>
      <c r="BF167" s="30"/>
      <c r="BG167" s="30"/>
      <c r="BH167" s="30"/>
      <c r="BI167" s="30"/>
      <c r="BJ167" s="30"/>
      <c r="BK167" s="30"/>
      <c r="BL167" s="30"/>
      <c r="BM167" s="30"/>
      <c r="BN167" s="30"/>
      <c r="BO167" s="30"/>
      <c r="BP167" s="30"/>
      <c r="BQ167" s="30"/>
      <c r="BR167" s="30"/>
      <c r="BS167" s="30"/>
      <c r="BT167" s="30"/>
      <c r="BU167" s="30"/>
      <c r="BV167" s="30"/>
      <c r="BW167" s="30"/>
      <c r="BX167" s="30"/>
      <c r="BY167" s="30"/>
      <c r="BZ167" s="30"/>
      <c r="CA167" s="30"/>
      <c r="CB167" s="30"/>
      <c r="CC167" s="30"/>
      <c r="CD167" s="30"/>
      <c r="CE167" s="30"/>
      <c r="CF167" s="30"/>
      <c r="CG167" s="30"/>
      <c r="CH167" s="30"/>
      <c r="CI167" s="30"/>
      <c r="CJ167" s="30"/>
      <c r="CK167" s="30"/>
      <c r="CL167" s="30"/>
      <c r="CM167" s="30"/>
      <c r="CN167" s="30"/>
      <c r="CO167" s="30"/>
      <c r="CP167" s="30"/>
      <c r="CQ167" s="30"/>
      <c r="CR167" s="30"/>
      <c r="CS167" s="30"/>
      <c r="CT167" s="30"/>
      <c r="CU167" s="30"/>
      <c r="CV167" s="30"/>
      <c r="CW167" s="30"/>
      <c r="CX167" s="30"/>
      <c r="CY167" s="30"/>
      <c r="CZ167" s="30"/>
      <c r="DA167" s="30"/>
      <c r="DB167" s="30"/>
    </row>
    <row r="168" ht="18" customHeight="1" spans="1:106" x14ac:dyDescent="0.25">
      <c r="A168" s="17" t="s">
        <v>360</v>
      </c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  <c r="BA168" s="30"/>
      <c r="BB168" s="30"/>
      <c r="BC168" s="30"/>
      <c r="BD168" s="30"/>
      <c r="BE168" s="30"/>
      <c r="BF168" s="30"/>
      <c r="BG168" s="30"/>
      <c r="BH168" s="30"/>
      <c r="BI168" s="30"/>
      <c r="BJ168" s="30"/>
      <c r="BK168" s="30"/>
      <c r="BL168" s="30"/>
      <c r="BM168" s="30"/>
      <c r="BN168" s="30"/>
      <c r="BO168" s="30"/>
      <c r="BP168" s="30"/>
      <c r="BQ168" s="30"/>
      <c r="BR168" s="30"/>
      <c r="BS168" s="30"/>
      <c r="BT168" s="30"/>
      <c r="BU168" s="30"/>
      <c r="BV168" s="30"/>
      <c r="BW168" s="30"/>
      <c r="BX168" s="30"/>
      <c r="BY168" s="30"/>
      <c r="BZ168" s="30"/>
      <c r="CA168" s="30"/>
      <c r="CB168" s="30"/>
      <c r="CC168" s="30"/>
      <c r="CD168" s="30"/>
      <c r="CE168" s="30"/>
      <c r="CF168" s="30"/>
      <c r="CG168" s="30"/>
      <c r="CH168" s="30"/>
      <c r="CI168" s="30"/>
      <c r="CJ168" s="30"/>
      <c r="CK168" s="30"/>
      <c r="CL168" s="30"/>
      <c r="CM168" s="30"/>
      <c r="CN168" s="30"/>
      <c r="CO168" s="30"/>
      <c r="CP168" s="30"/>
      <c r="CQ168" s="30"/>
      <c r="CR168" s="30"/>
      <c r="CS168" s="30"/>
      <c r="CT168" s="30"/>
      <c r="CU168" s="30"/>
      <c r="CV168" s="30"/>
      <c r="CW168" s="30"/>
      <c r="CX168" s="30"/>
      <c r="CY168" s="30"/>
      <c r="CZ168" s="30"/>
      <c r="DA168" s="30"/>
      <c r="DB168" s="30"/>
    </row>
    <row r="169" ht="18" customHeight="1" spans="1:106" x14ac:dyDescent="0.25">
      <c r="A169" s="17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  <c r="BA169" s="30"/>
      <c r="BB169" s="30"/>
      <c r="BC169" s="30"/>
      <c r="BD169" s="30"/>
      <c r="BE169" s="30"/>
      <c r="BF169" s="30"/>
      <c r="BG169" s="30"/>
      <c r="BH169" s="30"/>
      <c r="BI169" s="30"/>
      <c r="BJ169" s="30"/>
      <c r="BK169" s="30"/>
      <c r="BL169" s="30"/>
      <c r="BM169" s="30"/>
      <c r="BN169" s="30"/>
      <c r="BO169" s="30"/>
      <c r="BP169" s="30"/>
      <c r="BQ169" s="30"/>
      <c r="BR169" s="30"/>
      <c r="BS169" s="30"/>
      <c r="BT169" s="30"/>
      <c r="BU169" s="30"/>
      <c r="BV169" s="30"/>
      <c r="BW169" s="30"/>
      <c r="BX169" s="30"/>
      <c r="BY169" s="30"/>
      <c r="BZ169" s="30"/>
      <c r="CA169" s="30"/>
      <c r="CB169" s="30"/>
      <c r="CC169" s="30"/>
      <c r="CD169" s="30"/>
      <c r="CE169" s="30"/>
      <c r="CF169" s="30"/>
      <c r="CG169" s="30"/>
      <c r="CH169" s="30"/>
      <c r="CI169" s="30"/>
      <c r="CJ169" s="30"/>
      <c r="CK169" s="30"/>
      <c r="CL169" s="30"/>
      <c r="CM169" s="30"/>
      <c r="CN169" s="30"/>
      <c r="CO169" s="30"/>
      <c r="CP169" s="30"/>
      <c r="CQ169" s="30"/>
      <c r="CR169" s="30"/>
      <c r="CS169" s="30"/>
      <c r="CT169" s="30"/>
      <c r="CU169" s="30"/>
      <c r="CV169" s="30"/>
      <c r="CW169" s="30"/>
      <c r="CX169" s="30"/>
      <c r="CY169" s="30"/>
      <c r="CZ169" s="30"/>
      <c r="DA169" s="30"/>
      <c r="DB169" s="30"/>
    </row>
    <row r="170" ht="18" customHeight="1" spans="1:106" x14ac:dyDescent="0.25">
      <c r="A170" s="33" t="s">
        <v>368</v>
      </c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  <c r="BF170" s="30"/>
      <c r="BG170" s="30"/>
      <c r="BH170" s="30"/>
      <c r="BI170" s="30"/>
      <c r="BJ170" s="30"/>
      <c r="BK170" s="30"/>
      <c r="BL170" s="30"/>
      <c r="BM170" s="30"/>
      <c r="BN170" s="30"/>
      <c r="BO170" s="30"/>
      <c r="BP170" s="30"/>
      <c r="BQ170" s="30"/>
      <c r="BR170" s="30"/>
      <c r="BS170" s="30"/>
      <c r="BT170" s="30"/>
      <c r="BU170" s="30"/>
      <c r="BV170" s="30"/>
      <c r="BW170" s="30"/>
      <c r="BX170" s="30"/>
      <c r="BY170" s="30"/>
      <c r="BZ170" s="30"/>
      <c r="CA170" s="30"/>
      <c r="CB170" s="30"/>
      <c r="CC170" s="30"/>
      <c r="CD170" s="30"/>
      <c r="CE170" s="30"/>
      <c r="CF170" s="30"/>
      <c r="CG170" s="30"/>
      <c r="CH170" s="30"/>
      <c r="CI170" s="30"/>
      <c r="CJ170" s="30"/>
      <c r="CK170" s="30"/>
      <c r="CL170" s="30"/>
      <c r="CM170" s="30"/>
      <c r="CN170" s="30"/>
      <c r="CO170" s="30"/>
      <c r="CP170" s="30"/>
      <c r="CQ170" s="30"/>
      <c r="CR170" s="30"/>
      <c r="CS170" s="30"/>
      <c r="CT170" s="30"/>
      <c r="CU170" s="30"/>
      <c r="CV170" s="30"/>
      <c r="CW170" s="30"/>
      <c r="CX170" s="30"/>
      <c r="CY170" s="30"/>
      <c r="CZ170" s="30"/>
      <c r="DA170" s="30"/>
      <c r="DB170" s="30"/>
    </row>
    <row r="171" ht="18" customHeight="1" spans="1:106" x14ac:dyDescent="0.25">
      <c r="A171" s="17" t="s">
        <v>367</v>
      </c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  <c r="BA171" s="30"/>
      <c r="BB171" s="30"/>
      <c r="BC171" s="30"/>
      <c r="BD171" s="30"/>
      <c r="BE171" s="30"/>
      <c r="BF171" s="30"/>
      <c r="BG171" s="30"/>
      <c r="BH171" s="30"/>
      <c r="BI171" s="30"/>
      <c r="BJ171" s="30"/>
      <c r="BK171" s="30"/>
      <c r="BL171" s="30"/>
      <c r="BM171" s="30"/>
      <c r="BN171" s="30"/>
      <c r="BO171" s="30"/>
      <c r="BP171" s="30"/>
      <c r="BQ171" s="30"/>
      <c r="BR171" s="30"/>
      <c r="BS171" s="30"/>
      <c r="BT171" s="30"/>
      <c r="BU171" s="30"/>
      <c r="BV171" s="30"/>
      <c r="BW171" s="30"/>
      <c r="BX171" s="30"/>
      <c r="BY171" s="30"/>
      <c r="BZ171" s="30"/>
      <c r="CA171" s="30"/>
      <c r="CB171" s="30"/>
      <c r="CC171" s="30"/>
      <c r="CD171" s="30"/>
      <c r="CE171" s="30"/>
      <c r="CF171" s="30"/>
      <c r="CG171" s="30"/>
      <c r="CH171" s="30"/>
      <c r="CI171" s="30"/>
      <c r="CJ171" s="30"/>
      <c r="CK171" s="30"/>
      <c r="CL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</row>
    <row r="172" ht="18" customHeight="1" spans="1:106" x14ac:dyDescent="0.25">
      <c r="A172" s="17" t="s">
        <v>357</v>
      </c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  <c r="BA172" s="30"/>
      <c r="BB172" s="30"/>
      <c r="BC172" s="30"/>
      <c r="BD172" s="30"/>
      <c r="BE172" s="30"/>
      <c r="BF172" s="30"/>
      <c r="BG172" s="30"/>
      <c r="BH172" s="30"/>
      <c r="BI172" s="30"/>
      <c r="BJ172" s="30"/>
      <c r="BK172" s="30"/>
      <c r="BL172" s="30"/>
      <c r="BM172" s="30"/>
      <c r="BN172" s="30"/>
      <c r="BO172" s="30"/>
      <c r="BP172" s="30"/>
      <c r="BQ172" s="30"/>
      <c r="BR172" s="30"/>
      <c r="BS172" s="30"/>
      <c r="BT172" s="30"/>
      <c r="BU172" s="30"/>
      <c r="BV172" s="30"/>
      <c r="BW172" s="30"/>
      <c r="BX172" s="30"/>
      <c r="BY172" s="30"/>
      <c r="BZ172" s="30"/>
      <c r="CA172" s="30"/>
      <c r="CB172" s="30"/>
      <c r="CC172" s="30"/>
      <c r="CD172" s="30"/>
      <c r="CE172" s="30"/>
      <c r="CF172" s="30"/>
      <c r="CG172" s="30"/>
      <c r="CH172" s="30"/>
      <c r="CI172" s="30"/>
      <c r="CJ172" s="30"/>
      <c r="CK172" s="30"/>
      <c r="CL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</row>
    <row r="173" ht="18" customHeight="1" spans="1:106" x14ac:dyDescent="0.25">
      <c r="A173" s="17" t="s">
        <v>358</v>
      </c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  <c r="BA173" s="30"/>
      <c r="BB173" s="30"/>
      <c r="BC173" s="30"/>
      <c r="BD173" s="30"/>
      <c r="BE173" s="30"/>
      <c r="BF173" s="30"/>
      <c r="BG173" s="30"/>
      <c r="BH173" s="30"/>
      <c r="BI173" s="30"/>
      <c r="BJ173" s="30"/>
      <c r="BK173" s="30"/>
      <c r="BL173" s="30"/>
      <c r="BM173" s="30"/>
      <c r="BN173" s="30"/>
      <c r="BO173" s="30"/>
      <c r="BP173" s="30"/>
      <c r="BQ173" s="30"/>
      <c r="BR173" s="30"/>
      <c r="BS173" s="30"/>
      <c r="BT173" s="30"/>
      <c r="BU173" s="30"/>
      <c r="BV173" s="30"/>
      <c r="BW173" s="30"/>
      <c r="BX173" s="30"/>
      <c r="BY173" s="30"/>
      <c r="BZ173" s="30"/>
      <c r="CA173" s="30"/>
      <c r="CB173" s="30"/>
      <c r="CC173" s="30"/>
      <c r="CD173" s="30"/>
      <c r="CE173" s="30"/>
      <c r="CF173" s="30"/>
      <c r="CG173" s="30"/>
      <c r="CH173" s="30"/>
      <c r="CI173" s="30"/>
      <c r="CJ173" s="30"/>
      <c r="CK173" s="30"/>
      <c r="CL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</row>
    <row r="174" ht="18" customHeight="1" spans="1:106" x14ac:dyDescent="0.25">
      <c r="A174" s="17" t="s">
        <v>359</v>
      </c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  <c r="BA174" s="30"/>
      <c r="BB174" s="30"/>
      <c r="BC174" s="30"/>
      <c r="BD174" s="30"/>
      <c r="BE174" s="30"/>
      <c r="BF174" s="30"/>
      <c r="BG174" s="30"/>
      <c r="BH174" s="30"/>
      <c r="BI174" s="30"/>
      <c r="BJ174" s="30"/>
      <c r="BK174" s="30"/>
      <c r="BL174" s="30"/>
      <c r="BM174" s="30"/>
      <c r="BN174" s="30"/>
      <c r="BO174" s="30"/>
      <c r="BP174" s="30"/>
      <c r="BQ174" s="30"/>
      <c r="BR174" s="30"/>
      <c r="BS174" s="30"/>
      <c r="BT174" s="30"/>
      <c r="BU174" s="30"/>
      <c r="BV174" s="30"/>
      <c r="BW174" s="30"/>
      <c r="BX174" s="30"/>
      <c r="BY174" s="30"/>
      <c r="BZ174" s="30"/>
      <c r="CA174" s="30"/>
      <c r="CB174" s="30"/>
      <c r="CC174" s="30"/>
      <c r="CD174" s="30"/>
      <c r="CE174" s="30"/>
      <c r="CF174" s="30"/>
      <c r="CG174" s="30"/>
      <c r="CH174" s="30"/>
      <c r="CI174" s="30"/>
      <c r="CJ174" s="30"/>
      <c r="CK174" s="30"/>
      <c r="CL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</row>
    <row r="175" ht="18" customHeight="1" spans="1:106" x14ac:dyDescent="0.25">
      <c r="A175" s="17" t="s">
        <v>360</v>
      </c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  <c r="BA175" s="30"/>
      <c r="BB175" s="30"/>
      <c r="BC175" s="30"/>
      <c r="BD175" s="30"/>
      <c r="BE175" s="30"/>
      <c r="BF175" s="30"/>
      <c r="BG175" s="30"/>
      <c r="BH175" s="30"/>
      <c r="BI175" s="30"/>
      <c r="BJ175" s="30"/>
      <c r="BK175" s="30"/>
      <c r="BL175" s="30"/>
      <c r="BM175" s="30"/>
      <c r="BN175" s="30"/>
      <c r="BO175" s="30"/>
      <c r="BP175" s="30"/>
      <c r="BQ175" s="30"/>
      <c r="BR175" s="30"/>
      <c r="BS175" s="30"/>
      <c r="BT175" s="30"/>
      <c r="BU175" s="30"/>
      <c r="BV175" s="30"/>
      <c r="BW175" s="30"/>
      <c r="BX175" s="30"/>
      <c r="BY175" s="30"/>
      <c r="BZ175" s="30"/>
      <c r="CA175" s="30"/>
      <c r="CB175" s="30"/>
      <c r="CC175" s="30"/>
      <c r="CD175" s="30"/>
      <c r="CE175" s="30"/>
      <c r="CF175" s="30"/>
      <c r="CG175" s="30"/>
      <c r="CH175" s="30"/>
      <c r="CI175" s="30"/>
      <c r="CJ175" s="30"/>
      <c r="CK175" s="30"/>
      <c r="CL175" s="30"/>
      <c r="CM175" s="30"/>
      <c r="CN175" s="30"/>
      <c r="CO175" s="30"/>
      <c r="CP175" s="30"/>
      <c r="CQ175" s="30"/>
      <c r="CR175" s="30"/>
      <c r="CS175" s="30"/>
      <c r="CT175" s="30"/>
      <c r="CU175" s="30"/>
      <c r="CV175" s="30"/>
      <c r="CW175" s="30"/>
      <c r="CX175" s="30"/>
      <c r="CY175" s="30"/>
      <c r="CZ175" s="30"/>
      <c r="DA175" s="30"/>
      <c r="DB175" s="30"/>
    </row>
    <row r="176" ht="18" customHeight="1" spans="3:106" x14ac:dyDescent="0.25"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  <c r="BA176" s="30"/>
      <c r="BB176" s="30"/>
      <c r="BC176" s="30"/>
      <c r="BD176" s="30"/>
      <c r="BE176" s="30"/>
      <c r="BF176" s="30"/>
      <c r="BG176" s="30"/>
      <c r="BH176" s="30"/>
      <c r="BI176" s="30"/>
      <c r="BJ176" s="30"/>
      <c r="BK176" s="30"/>
      <c r="BL176" s="30"/>
      <c r="BM176" s="30"/>
      <c r="BN176" s="30"/>
      <c r="BO176" s="30"/>
      <c r="BP176" s="30"/>
      <c r="BQ176" s="30"/>
      <c r="BR176" s="30"/>
      <c r="BS176" s="30"/>
      <c r="BT176" s="30"/>
      <c r="BU176" s="30"/>
      <c r="BV176" s="30"/>
      <c r="BW176" s="30"/>
      <c r="BX176" s="30"/>
      <c r="BY176" s="30"/>
      <c r="BZ176" s="30"/>
      <c r="CA176" s="30"/>
      <c r="CB176" s="30"/>
      <c r="CC176" s="30"/>
      <c r="CD176" s="30"/>
      <c r="CE176" s="30"/>
      <c r="CF176" s="30"/>
      <c r="CG176" s="30"/>
      <c r="CH176" s="30"/>
      <c r="CI176" s="30"/>
      <c r="CJ176" s="30"/>
      <c r="CK176" s="30"/>
      <c r="CL176" s="30"/>
      <c r="CM176" s="30"/>
      <c r="CN176" s="30"/>
      <c r="CO176" s="30"/>
      <c r="CP176" s="30"/>
      <c r="CQ176" s="30"/>
      <c r="CR176" s="30"/>
      <c r="CS176" s="30"/>
      <c r="CT176" s="30"/>
      <c r="CU176" s="30"/>
      <c r="CV176" s="30"/>
      <c r="CW176" s="30"/>
      <c r="CX176" s="30"/>
      <c r="CY176" s="30"/>
      <c r="CZ176" s="30"/>
      <c r="DA176" s="30"/>
      <c r="DB176" s="30"/>
    </row>
    <row r="177" ht="18" customHeight="1" spans="3:106" x14ac:dyDescent="0.25"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  <c r="AW177" s="30"/>
      <c r="AX177" s="30"/>
      <c r="AY177" s="30"/>
      <c r="AZ177" s="30"/>
      <c r="BA177" s="30"/>
      <c r="BB177" s="30"/>
      <c r="BC177" s="30"/>
      <c r="BD177" s="30"/>
      <c r="BE177" s="30"/>
      <c r="BF177" s="30"/>
      <c r="BG177" s="30"/>
      <c r="BH177" s="30"/>
      <c r="BI177" s="30"/>
      <c r="BJ177" s="30"/>
      <c r="BK177" s="30"/>
      <c r="BL177" s="30"/>
      <c r="BM177" s="30"/>
      <c r="BN177" s="30"/>
      <c r="BO177" s="30"/>
      <c r="BP177" s="30"/>
      <c r="BQ177" s="30"/>
      <c r="BR177" s="30"/>
      <c r="BS177" s="30"/>
      <c r="BT177" s="30"/>
      <c r="BU177" s="30"/>
      <c r="BV177" s="30"/>
      <c r="BW177" s="30"/>
      <c r="BX177" s="30"/>
      <c r="BY177" s="30"/>
      <c r="BZ177" s="30"/>
      <c r="CA177" s="30"/>
      <c r="CB177" s="30"/>
      <c r="CC177" s="30"/>
      <c r="CD177" s="30"/>
      <c r="CE177" s="30"/>
      <c r="CF177" s="30"/>
      <c r="CG177" s="30"/>
      <c r="CH177" s="30"/>
      <c r="CI177" s="30"/>
      <c r="CJ177" s="30"/>
      <c r="CK177" s="30"/>
      <c r="CL177" s="30"/>
      <c r="CM177" s="30"/>
      <c r="CN177" s="30"/>
      <c r="CO177" s="30"/>
      <c r="CP177" s="30"/>
      <c r="CQ177" s="30"/>
      <c r="CR177" s="30"/>
      <c r="CS177" s="30"/>
      <c r="CT177" s="30"/>
      <c r="CU177" s="30"/>
      <c r="CV177" s="30"/>
      <c r="CW177" s="30"/>
      <c r="CX177" s="30"/>
      <c r="CY177" s="30"/>
      <c r="CZ177" s="30"/>
      <c r="DA177" s="30"/>
      <c r="DB177" s="30"/>
    </row>
    <row r="178" ht="18" customHeight="1" spans="3:106" x14ac:dyDescent="0.25"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/>
      <c r="AZ178" s="30"/>
      <c r="BA178" s="30"/>
      <c r="BB178" s="30"/>
      <c r="BC178" s="30"/>
      <c r="BD178" s="30"/>
      <c r="BE178" s="30"/>
      <c r="BF178" s="30"/>
      <c r="BG178" s="30"/>
      <c r="BH178" s="30"/>
      <c r="BI178" s="30"/>
      <c r="BJ178" s="30"/>
      <c r="BK178" s="30"/>
      <c r="BL178" s="30"/>
      <c r="BM178" s="30"/>
      <c r="BN178" s="30"/>
      <c r="BO178" s="30"/>
      <c r="BP178" s="30"/>
      <c r="BQ178" s="30"/>
      <c r="BR178" s="30"/>
      <c r="BS178" s="30"/>
      <c r="BT178" s="30"/>
      <c r="BU178" s="30"/>
      <c r="BV178" s="30"/>
      <c r="BW178" s="30"/>
      <c r="BX178" s="30"/>
      <c r="BY178" s="30"/>
      <c r="BZ178" s="30"/>
      <c r="CA178" s="30"/>
      <c r="CB178" s="30"/>
      <c r="CC178" s="30"/>
      <c r="CD178" s="30"/>
      <c r="CE178" s="30"/>
      <c r="CF178" s="30"/>
      <c r="CG178" s="30"/>
      <c r="CH178" s="30"/>
      <c r="CI178" s="30"/>
      <c r="CJ178" s="30"/>
      <c r="CK178" s="30"/>
      <c r="CL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</row>
    <row r="179" ht="18" customHeight="1" spans="1:106" x14ac:dyDescent="0.25">
      <c r="A179" s="17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  <c r="AP179" s="30"/>
      <c r="AQ179" s="30"/>
      <c r="AR179" s="30"/>
      <c r="AS179" s="30"/>
      <c r="AT179" s="30"/>
      <c r="AU179" s="30"/>
      <c r="AV179" s="30"/>
      <c r="AW179" s="30"/>
      <c r="AX179" s="30"/>
      <c r="AY179" s="30"/>
      <c r="AZ179" s="30"/>
      <c r="BA179" s="30"/>
      <c r="BB179" s="30"/>
      <c r="BC179" s="30"/>
      <c r="BD179" s="30"/>
      <c r="BE179" s="30"/>
      <c r="BF179" s="30"/>
      <c r="BG179" s="30"/>
      <c r="BH179" s="30"/>
      <c r="BI179" s="30"/>
      <c r="BJ179" s="30"/>
      <c r="BK179" s="30"/>
      <c r="BL179" s="30"/>
      <c r="BM179" s="30"/>
      <c r="BN179" s="30"/>
      <c r="BO179" s="30"/>
      <c r="BP179" s="30"/>
      <c r="BQ179" s="30"/>
      <c r="BR179" s="30"/>
      <c r="BS179" s="30"/>
      <c r="BT179" s="30"/>
      <c r="BU179" s="30"/>
      <c r="BV179" s="30"/>
      <c r="BW179" s="30"/>
      <c r="BX179" s="30"/>
      <c r="BY179" s="30"/>
      <c r="BZ179" s="30"/>
      <c r="CA179" s="30"/>
      <c r="CB179" s="30"/>
      <c r="CC179" s="30"/>
      <c r="CD179" s="30"/>
      <c r="CE179" s="30"/>
      <c r="CF179" s="30"/>
      <c r="CG179" s="30"/>
      <c r="CH179" s="30"/>
      <c r="CI179" s="30"/>
      <c r="CJ179" s="30"/>
      <c r="CK179" s="30"/>
      <c r="CL179" s="30"/>
      <c r="CM179" s="30"/>
      <c r="CN179" s="30"/>
      <c r="CO179" s="30"/>
      <c r="CP179" s="30"/>
      <c r="CQ179" s="30"/>
      <c r="CR179" s="30"/>
      <c r="CS179" s="30"/>
      <c r="CT179" s="30"/>
      <c r="CU179" s="30"/>
      <c r="CV179" s="30"/>
      <c r="CW179" s="30"/>
      <c r="CX179" s="30"/>
      <c r="CY179" s="30"/>
      <c r="CZ179" s="30"/>
      <c r="DA179" s="30"/>
      <c r="DB179" s="30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181"/>
  <sheetFormatPr defaultRowHeight="15" outlineLevelRow="0" outlineLevelCol="0" x14ac:dyDescent="55"/>
  <cols>
    <col min="1" max="1" width="33" customWidth="1"/>
    <col min="2" max="2" width="17" customWidth="1"/>
    <col min="3" max="3" width="11" customWidth="1"/>
  </cols>
  <sheetData>
    <row r="1" ht="17" customHeight="1" spans="1:106" x14ac:dyDescent="0.25">
      <c r="A1" s="1" t="s">
        <v>399</v>
      </c>
      <c r="B1" t="s">
        <v>1</v>
      </c>
      <c r="C1" t="s">
        <v>2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2</v>
      </c>
      <c r="X1" t="s">
        <v>2</v>
      </c>
      <c r="Y1" t="s">
        <v>2</v>
      </c>
      <c r="Z1" t="s">
        <v>2</v>
      </c>
      <c r="AA1" t="s">
        <v>2</v>
      </c>
      <c r="AB1" t="s">
        <v>2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 t="s">
        <v>2</v>
      </c>
      <c r="AI1" t="s">
        <v>2</v>
      </c>
      <c r="AJ1" t="s">
        <v>2</v>
      </c>
      <c r="AK1" t="s">
        <v>2</v>
      </c>
      <c r="AL1" t="s">
        <v>2</v>
      </c>
      <c r="AM1" t="s">
        <v>2</v>
      </c>
      <c r="AN1" t="s">
        <v>2</v>
      </c>
      <c r="AO1" t="s">
        <v>2</v>
      </c>
      <c r="AP1" t="s">
        <v>2</v>
      </c>
      <c r="AQ1" t="s">
        <v>2</v>
      </c>
      <c r="AR1" t="s">
        <v>2</v>
      </c>
      <c r="AS1" t="s">
        <v>2</v>
      </c>
      <c r="AT1" t="s">
        <v>2</v>
      </c>
      <c r="AU1" t="s">
        <v>2</v>
      </c>
      <c r="AV1" t="s">
        <v>2</v>
      </c>
      <c r="AW1" t="s">
        <v>2</v>
      </c>
      <c r="AX1" t="s">
        <v>2</v>
      </c>
      <c r="AY1" t="s">
        <v>2</v>
      </c>
      <c r="AZ1" t="s">
        <v>2</v>
      </c>
      <c r="BA1" t="s">
        <v>2</v>
      </c>
      <c r="BB1" t="s">
        <v>2</v>
      </c>
      <c r="BC1" t="s">
        <v>2</v>
      </c>
      <c r="BD1" t="s">
        <v>2</v>
      </c>
      <c r="BE1" t="s">
        <v>2</v>
      </c>
      <c r="BF1" t="s">
        <v>2</v>
      </c>
      <c r="BG1" t="s">
        <v>2</v>
      </c>
      <c r="BH1" t="s">
        <v>2</v>
      </c>
      <c r="BI1" t="s">
        <v>2</v>
      </c>
      <c r="BJ1" t="s">
        <v>2</v>
      </c>
      <c r="BK1" t="s">
        <v>2</v>
      </c>
      <c r="BL1" t="s">
        <v>2</v>
      </c>
      <c r="BM1" t="s">
        <v>2</v>
      </c>
      <c r="BN1" t="s">
        <v>2</v>
      </c>
      <c r="BO1" t="s">
        <v>2</v>
      </c>
      <c r="BP1" t="s">
        <v>2</v>
      </c>
      <c r="BQ1" t="s">
        <v>2</v>
      </c>
      <c r="BR1" t="s">
        <v>2</v>
      </c>
      <c r="BS1" t="s">
        <v>2</v>
      </c>
      <c r="BT1" t="s">
        <v>2</v>
      </c>
      <c r="BU1" t="s">
        <v>2</v>
      </c>
      <c r="BV1" t="s">
        <v>2</v>
      </c>
      <c r="BW1" t="s">
        <v>2</v>
      </c>
      <c r="BX1" t="s">
        <v>2</v>
      </c>
      <c r="BY1" t="s">
        <v>2</v>
      </c>
      <c r="BZ1" t="s">
        <v>2</v>
      </c>
      <c r="CA1" t="s">
        <v>2</v>
      </c>
      <c r="CB1" t="s">
        <v>2</v>
      </c>
      <c r="CC1" t="s">
        <v>2</v>
      </c>
      <c r="CD1" t="s">
        <v>2</v>
      </c>
      <c r="CE1" t="s">
        <v>2</v>
      </c>
      <c r="CF1" t="s">
        <v>2</v>
      </c>
      <c r="CG1" t="s">
        <v>2</v>
      </c>
      <c r="CH1" t="s">
        <v>2</v>
      </c>
      <c r="CI1" t="s">
        <v>2</v>
      </c>
      <c r="CJ1" t="s">
        <v>2</v>
      </c>
      <c r="CK1" t="s">
        <v>2</v>
      </c>
      <c r="CL1" t="s">
        <v>2</v>
      </c>
      <c r="CM1" t="s">
        <v>2</v>
      </c>
      <c r="CN1" t="s">
        <v>2</v>
      </c>
      <c r="CO1" t="s">
        <v>2</v>
      </c>
      <c r="CP1" t="s">
        <v>2</v>
      </c>
      <c r="CQ1" t="s">
        <v>2</v>
      </c>
      <c r="CR1" t="s">
        <v>2</v>
      </c>
      <c r="CS1" t="s">
        <v>2</v>
      </c>
      <c r="CT1" t="s">
        <v>2</v>
      </c>
      <c r="CU1" t="s">
        <v>2</v>
      </c>
      <c r="CV1" t="s">
        <v>2</v>
      </c>
      <c r="CW1" t="s">
        <v>2</v>
      </c>
      <c r="CX1" t="s">
        <v>2</v>
      </c>
      <c r="CY1" t="s">
        <v>2</v>
      </c>
      <c r="CZ1" t="s">
        <v>2</v>
      </c>
      <c r="DA1" t="s">
        <v>2</v>
      </c>
      <c r="DB1" t="s">
        <v>2</v>
      </c>
    </row>
    <row r="2" ht="14" customHeight="1" spans="1:106" x14ac:dyDescent="0.25">
      <c r="B2" t="s">
        <v>3</v>
      </c>
      <c r="C2" s="2">
        <f>=TODAY()</f>
        <v>45972</v>
      </c>
      <c r="D2" t="str">
        <f>=IF(C2="Current WK","Next Week",IF(DATEVALUE(D4)=$C$2-WEEKDAY($C$2,1)+1,"Current WK",""))</f>
        <v/>
      </c>
      <c r="E2" t="str">
        <f>=IF(D2="Current WK","Next Week",IF(DATEVALUE(E4)=$C$2-WEEKDAY($C$2,1)+1,"Current WK",""))</f>
        <v/>
      </c>
      <c r="F2" t="str">
        <f>=IF(E2="Current WK","Next Week",IF(DATEVALUE(F4)=$C$2-WEEKDAY($C$2,1)+1,"Current WK",""))</f>
        <v/>
      </c>
      <c r="G2" t="str">
        <f>=IF(F2="Current WK","Next Week",IF(DATEVALUE(G4)=$C$2-WEEKDAY($C$2,1)+1,"Current WK",""))</f>
        <v/>
      </c>
      <c r="H2" t="str">
        <f>=IF(G2="Current WK","Next Week",IF(DATEVALUE(H4)=$C$2-WEEKDAY($C$2,1)+1,"Current WK",""))</f>
        <v/>
      </c>
      <c r="I2" t="str">
        <f>=IF(H2="Current WK","Next Week",IF(DATEVALUE(I4)=$C$2-WEEKDAY($C$2,1)+1,"Current WK",""))</f>
        <v/>
      </c>
      <c r="J2" t="str">
        <f>=IF(I2="Current WK","Next Week",IF(DATEVALUE(J4)=$C$2-WEEKDAY($C$2,1)+1,"Current WK",""))</f>
        <v/>
      </c>
      <c r="K2" t="str">
        <f>=IF(J2="Current WK","Next Week",IF(DATEVALUE(K4)=$C$2-WEEKDAY($C$2,1)+1,"Current WK",""))</f>
        <v/>
      </c>
      <c r="L2" t="str">
        <f>=IF(K2="Current WK","Next Week",IF(DATEVALUE(L4)=$C$2-WEEKDAY($C$2,1)+1,"Current WK",""))</f>
        <v/>
      </c>
      <c r="M2" t="str">
        <f>=IF(L2="Current WK","Next Week",IF(DATEVALUE(M4)=$C$2-WEEKDAY($C$2,1)+1,"Current WK",""))</f>
        <v/>
      </c>
      <c r="N2" t="str">
        <f>=IF(M2="Current WK","Next Week",IF(DATEVALUE(N4)=$C$2-WEEKDAY($C$2,1)+1,"Current WK",""))</f>
        <v/>
      </c>
      <c r="O2" t="str">
        <f>=IF(N2="Current WK","Next Week",IF(DATEVALUE(O4)=$C$2-WEEKDAY($C$2,1)+1,"Current WK",""))</f>
        <v/>
      </c>
      <c r="P2" t="str">
        <f>=IF(O2="Current WK","Next Week",IF(DATEVALUE(P4)=$C$2-WEEKDAY($C$2,1)+1,"Current WK",""))</f>
        <v/>
      </c>
      <c r="Q2" t="str">
        <f>=IF(P2="Current WK","Next Week",IF(DATEVALUE(Q4)=$C$2-WEEKDAY($C$2,1)+1,"Current WK",""))</f>
        <v/>
      </c>
      <c r="R2" t="str">
        <f>=IF(Q2="Current WK","Next Week",IF(DATEVALUE(R4)=$C$2-WEEKDAY($C$2,1)+1,"Current WK",""))</f>
        <v/>
      </c>
      <c r="S2" t="str">
        <f>=IF(R2="Current WK","Next Week",IF(DATEVALUE(S4)=$C$2-WEEKDAY($C$2,1)+1,"Current WK",""))</f>
        <v/>
      </c>
      <c r="T2" t="str">
        <f>=IF(S2="Current WK","Next Week",IF(DATEVALUE(T4)=$C$2-WEEKDAY($C$2,1)+1,"Current WK",""))</f>
        <v/>
      </c>
      <c r="U2" t="str">
        <f>=IF(T2="Current WK","Next Week",IF(DATEVALUE(U4)=$C$2-WEEKDAY($C$2,1)+1,"Current WK",""))</f>
        <v/>
      </c>
      <c r="V2" t="str">
        <f>=IF(U2="Current WK","Next Week",IF(DATEVALUE(V4)=$C$2-WEEKDAY($C$2,1)+1,"Current WK",""))</f>
        <v/>
      </c>
      <c r="W2" t="str">
        <f>=IF(V2="Current WK","Next Week",IF(DATEVALUE(W4)=$C$2-WEEKDAY($C$2,1)+1,"Current WK",""))</f>
        <v/>
      </c>
      <c r="X2" t="str">
        <f>=IF(W2="Current WK","Next Week",IF(DATEVALUE(X4)=$C$2-WEEKDAY($C$2,1)+1,"Current WK",""))</f>
        <v/>
      </c>
      <c r="Y2" t="str">
        <f>=IF(X2="Current WK","Next Week",IF(DATEVALUE(Y4)=$C$2-WEEKDAY($C$2,1)+1,"Current WK",""))</f>
        <v/>
      </c>
      <c r="Z2" t="str">
        <f>=IF(Y2="Current WK","Next Week",IF(DATEVALUE(Z4)=$C$2-WEEKDAY($C$2,1)+1,"Current WK",""))</f>
        <v/>
      </c>
      <c r="AA2" t="str">
        <f>=IF(Z2="Current WK","Next Week",IF(DATEVALUE(AA4)=$C$2-WEEKDAY($C$2,1)+1,"Current WK",""))</f>
        <v/>
      </c>
      <c r="AB2" t="str">
        <f>=IF(AA2="Current WK","Next Week",IF(DATEVALUE(AB4)=$C$2-WEEKDAY($C$2,1)+1,"Current WK",""))</f>
        <v/>
      </c>
      <c r="AC2" t="str">
        <f>=IF(AB2="Current WK","Next Week",IF(DATEVALUE(AC4)=$C$2-WEEKDAY($C$2,1)+1,"Current WK",""))</f>
        <v/>
      </c>
      <c r="AD2" t="str">
        <f>=IF(AC2="Current WK","Next Week",IF(DATEVALUE(AD4)=$C$2-WEEKDAY($C$2,1)+1,"Current WK",""))</f>
        <v/>
      </c>
      <c r="AE2" t="str">
        <f>=IF(AD2="Current WK","Next Week",IF(DATEVALUE(AE4)=$C$2-WEEKDAY($C$2,1)+1,"Current WK",""))</f>
        <v/>
      </c>
      <c r="AF2" t="str">
        <f>=IF(AE2="Current WK","Next Week",IF(DATEVALUE(AF4)=$C$2-WEEKDAY($C$2,1)+1,"Current WK",""))</f>
        <v/>
      </c>
      <c r="AG2" t="str">
        <f>=IF(AF2="Current WK","Next Week",IF(DATEVALUE(AG4)=$C$2-WEEKDAY($C$2,1)+1,"Current WK",""))</f>
        <v/>
      </c>
      <c r="AH2" t="str">
        <f>=IF(AG2="Current WK","Next Week",IF(DATEVALUE(AH4)=$C$2-WEEKDAY($C$2,1)+1,"Current WK",""))</f>
        <v/>
      </c>
      <c r="AI2" t="str">
        <f>=IF(AH2="Current WK","Next Week",IF(DATEVALUE(AI4)=$C$2-WEEKDAY($C$2,1)+1,"Current WK",""))</f>
        <v/>
      </c>
      <c r="AJ2" t="str">
        <f>=IF(AI2="Current WK","Next Week",IF(DATEVALUE(AJ4)=$C$2-WEEKDAY($C$2,1)+1,"Current WK",""))</f>
        <v/>
      </c>
      <c r="AK2" t="str">
        <f>=IF(AJ2="Current WK","Next Week",IF(DATEVALUE(AK4)=$C$2-WEEKDAY($C$2,1)+1,"Current WK",""))</f>
        <v/>
      </c>
      <c r="AL2" t="str">
        <f>=IF(AK2="Current WK","Next Week",IF(DATEVALUE(AL4)=$C$2-WEEKDAY($C$2,1)+1,"Current WK",""))</f>
        <v/>
      </c>
      <c r="AM2" t="str">
        <f>=IF(AL2="Current WK","Next Week",IF(DATEVALUE(AM4)=$C$2-WEEKDAY($C$2,1)+1,"Current WK",""))</f>
        <v/>
      </c>
      <c r="AN2" t="str">
        <f>=IF(AM2="Current WK","Next Week",IF(DATEVALUE(AN4)=$C$2-WEEKDAY($C$2,1)+1,"Current WK",""))</f>
        <v/>
      </c>
      <c r="AO2" t="str">
        <f>=IF(AN2="Current WK","Next Week",IF(DATEVALUE(AO4)=$C$2-WEEKDAY($C$2,1)+1,"Current WK",""))</f>
        <v/>
      </c>
      <c r="AP2" t="str">
        <f>=IF(AO2="Current WK","Next Week",IF(DATEVALUE(AP4)=$C$2-WEEKDAY($C$2,1)+1,"Current WK",""))</f>
        <v/>
      </c>
      <c r="AQ2" t="str">
        <f>=IF(AP2="Current WK","Next Week",IF(DATEVALUE(AQ4)=$C$2-WEEKDAY($C$2,1)+1,"Current WK",""))</f>
        <v/>
      </c>
      <c r="AR2" t="str">
        <f>=IF(AQ2="Current WK","Next Week",IF(DATEVALUE(AR4)=$C$2-WEEKDAY($C$2,1)+1,"Current WK",""))</f>
        <v/>
      </c>
      <c r="AS2" t="str">
        <f>=IF(AR2="Current WK","Next Week",IF(DATEVALUE(AS4)=$C$2-WEEKDAY($C$2,1)+1,"Current WK",""))</f>
        <v/>
      </c>
      <c r="AT2" t="str">
        <f>=IF(AS2="Current WK","Next Week",IF(DATEVALUE(AT4)=$C$2-WEEKDAY($C$2,1)+1,"Current WK",""))</f>
        <v/>
      </c>
      <c r="AU2" t="str">
        <f>=IF(AT2="Current WK","Next Week",IF(DATEVALUE(AU4)=$C$2-WEEKDAY($C$2,1)+1,"Current WK",""))</f>
        <v/>
      </c>
      <c r="AV2" t="str">
        <f>=IF(AU2="Current WK","Next Week",IF(DATEVALUE(AV4)=$C$2-WEEKDAY($C$2,1)+1,"Current WK",""))</f>
        <v/>
      </c>
      <c r="AW2" t="str">
        <f>=IF(AV2="Current WK","Next Week",IF(DATEVALUE(AW4)=$C$2-WEEKDAY($C$2,1)+1,"Current WK",""))</f>
        <v/>
      </c>
      <c r="AX2" t="str">
        <f>=IF(AW2="Current WK","Next Week",IF(DATEVALUE(AX4)=$C$2-WEEKDAY($C$2,1)+1,"Current WK",""))</f>
        <v/>
      </c>
      <c r="AY2" t="str">
        <f>=IF(AX2="Current WK","Next Week",IF(DATEVALUE(AY4)=$C$2-WEEKDAY($C$2,1)+1,"Current WK",""))</f>
        <v/>
      </c>
      <c r="AZ2" t="str">
        <f>=IF(AY2="Current WK","Next Week",IF(DATEVALUE(AZ4)=$C$2-WEEKDAY($C$2,1)+1,"Current WK",""))</f>
        <v/>
      </c>
      <c r="BA2" t="str">
        <f>=IF(AZ2="Current WK","Next Week",IF(DATEVALUE(BA4)=$C$2-WEEKDAY($C$2,1)+1,"Current WK",""))</f>
        <v/>
      </c>
      <c r="BB2" t="str">
        <f>=IF(BA2="Current WK","Next Week",IF(DATEVALUE(BB4)=$C$2-WEEKDAY($C$2,1)+1,"Current WK",""))</f>
        <v/>
      </c>
      <c r="BC2" t="str">
        <f>=IF(BB2="Current WK","Next Week",IF(DATEVALUE(BC4)=$C$2-WEEKDAY($C$2,1)+1,"Current WK",""))</f>
        <v/>
      </c>
      <c r="BD2" t="str">
        <f>=IF(BC2="Current WK","Next Week",IF(DATEVALUE(BD4)=$C$2-WEEKDAY($C$2,1)+1,"Current WK",""))</f>
        <v/>
      </c>
      <c r="BE2" t="str">
        <f>=IF(BD2="Current WK","Next Week",IF(DATEVALUE(BE4)=$C$2-WEEKDAY($C$2,1)+1,"Current WK",""))</f>
        <v/>
      </c>
      <c r="BF2" t="str">
        <f>=IF(BE2="Current WK","Next Week",IF(DATEVALUE(BF4)=$C$2-WEEKDAY($C$2,1)+1,"Current WK",""))</f>
        <v/>
      </c>
      <c r="BG2" t="str">
        <f>=IF(BF2="Current WK","Next Week",IF(DATEVALUE(BG4)=$C$2-WEEKDAY($C$2,1)+1,"Current WK",""))</f>
        <v/>
      </c>
      <c r="BH2" t="str">
        <f>=IF(BG2="Current WK","Next Week",IF(DATEVALUE(BH4)=$C$2-WEEKDAY($C$2,1)+1,"Current WK",""))</f>
        <v/>
      </c>
      <c r="BI2" t="str">
        <f>=IF(BH2="Current WK","Next Week",IF(DATEVALUE(BI4)=$C$2-WEEKDAY($C$2,1)+1,"Current WK",""))</f>
        <v/>
      </c>
      <c r="BJ2" t="str">
        <f>=IF(BI2="Current WK","Next Week",IF(DATEVALUE(BJ4)=$C$2-WEEKDAY($C$2,1)+1,"Current WK",""))</f>
        <v/>
      </c>
      <c r="BK2" t="str">
        <f>=IF(BJ2="Current WK","Next Week",IF(DATEVALUE(BK4)=$C$2-WEEKDAY($C$2,1)+1,"Current WK",""))</f>
        <v/>
      </c>
      <c r="BL2" t="str">
        <f>=IF(BK2="Current WK","Next Week",IF(DATEVALUE(BL4)=$C$2-WEEKDAY($C$2,1)+1,"Current WK",""))</f>
        <v/>
      </c>
      <c r="BM2" t="str">
        <f>=IF(BL2="Current WK","Next Week",IF(DATEVALUE(BM4)=$C$2-WEEKDAY($C$2,1)+1,"Current WK",""))</f>
        <v/>
      </c>
      <c r="BN2" t="str">
        <f>=IF(BM2="Current WK","Next Week",IF(DATEVALUE(BN4)=$C$2-WEEKDAY($C$2,1)+1,"Current WK",""))</f>
        <v/>
      </c>
      <c r="BO2" t="str">
        <f>=IF(BN2="Current WK","Next Week",IF(DATEVALUE(BO4)=$C$2-WEEKDAY($C$2,1)+1,"Current WK",""))</f>
        <v/>
      </c>
      <c r="BP2" t="str">
        <f>=IF(BO2="Current WK","Next Week",IF(DATEVALUE(BP4)=$C$2-WEEKDAY($C$2,1)+1,"Current WK",""))</f>
        <v/>
      </c>
      <c r="BQ2" t="str">
        <f>=IF(BP2="Current WK","Next Week",IF(DATEVALUE(BQ4)=$C$2-WEEKDAY($C$2,1)+1,"Current WK",""))</f>
        <v/>
      </c>
      <c r="BR2" t="str">
        <f>=IF(BQ2="Current WK","Next Week",IF(DATEVALUE(BR4)=$C$2-WEEKDAY($C$2,1)+1,"Current WK",""))</f>
        <v/>
      </c>
      <c r="BS2" t="str">
        <f>=IF(BR2="Current WK","Next Week",IF(DATEVALUE(BS4)=$C$2-WEEKDAY($C$2,1)+1,"Current WK",""))</f>
        <v/>
      </c>
      <c r="BT2" t="str">
        <f>=IF(BS2="Current WK","Next Week",IF(DATEVALUE(BT4)=$C$2-WEEKDAY($C$2,1)+1,"Current WK",""))</f>
        <v/>
      </c>
      <c r="BU2" t="str">
        <f>=IF(BT2="Current WK","Next Week",IF(DATEVALUE(BU4)=$C$2-WEEKDAY($C$2,1)+1,"Current WK",""))</f>
        <v/>
      </c>
      <c r="BV2" s="4" t="str">
        <f>=IF(BU2="Current WK","Next Week",IF(DATEVALUE(BV4)=$C$2-WEEKDAY($C$2,1)+1,"Current WK",""))</f>
        <v>Current WK</v>
      </c>
      <c r="BW2" s="4" t="str">
        <f>=IF(BV2="Current WK","Next Week",IF(DATEVALUE(BW4)=$C$2-WEEKDAY($C$2,1)+1,"Current WK",""))</f>
        <v>Next Week</v>
      </c>
      <c r="BX2" t="str">
        <f>=IF(BW2="Current WK","Next Week",IF(DATEVALUE(BX4)=$C$2-WEEKDAY($C$2,1)+1,"Current WK",""))</f>
        <v/>
      </c>
      <c r="BY2" t="str">
        <f>=IF(BX2="Current WK","Next Week",IF(DATEVALUE(BY4)=$C$2-WEEKDAY($C$2,1)+1,"Current WK",""))</f>
        <v/>
      </c>
      <c r="BZ2" t="str">
        <f>=IF(BY2="Current WK","Next Week",IF(DATEVALUE(BZ4)=$C$2-WEEKDAY($C$2,1)+1,"Current WK",""))</f>
        <v/>
      </c>
      <c r="CA2" t="str">
        <f>=IF(BZ2="Current WK","Next Week",IF(DATEVALUE(CA4)=$C$2-WEEKDAY($C$2,1)+1,"Current WK",""))</f>
        <v/>
      </c>
      <c r="CB2" t="str">
        <f>=IF(CA2="Current WK","Next Week",IF(DATEVALUE(CB4)=$C$2-WEEKDAY($C$2,1)+1,"Current WK",""))</f>
        <v/>
      </c>
      <c r="CC2" t="str">
        <f>=IF(CB2="Current WK","Next Week",IF(DATEVALUE(CC4)=$C$2-WEEKDAY($C$2,1)+1,"Current WK",""))</f>
        <v/>
      </c>
      <c r="CD2" t="str">
        <f>=IF(CC2="Current WK","Next Week",IF(DATEVALUE(CD4)=$C$2-WEEKDAY($C$2,1)+1,"Current WK",""))</f>
        <v/>
      </c>
      <c r="CE2" t="str">
        <f>=IF(CD2="Current WK","Next Week",IF(DATEVALUE(CE4)=$C$2-WEEKDAY($C$2,1)+1,"Current WK",""))</f>
        <v/>
      </c>
      <c r="CF2" t="str">
        <f>=IF(CE2="Current WK","Next Week",IF(DATEVALUE(CF4)=$C$2-WEEKDAY($C$2,1)+1,"Current WK",""))</f>
        <v/>
      </c>
      <c r="CG2" t="str">
        <f>=IF(CF2="Current WK","Next Week",IF(DATEVALUE(CG4)=$C$2-WEEKDAY($C$2,1)+1,"Current WK",""))</f>
        <v/>
      </c>
      <c r="CH2" t="str">
        <f>=IF(CG2="Current WK","Next Week",IF(DATEVALUE(CH4)=$C$2-WEEKDAY($C$2,1)+1,"Current WK",""))</f>
        <v/>
      </c>
      <c r="CI2" t="str">
        <f>=IF(CH2="Current WK","Next Week",IF(DATEVALUE(CI4)=$C$2-WEEKDAY($C$2,1)+1,"Current WK",""))</f>
        <v/>
      </c>
      <c r="CJ2" t="str">
        <f>=IF(CI2="Current WK","Next Week",IF(DATEVALUE(CJ4)=$C$2-WEEKDAY($C$2,1)+1,"Current WK",""))</f>
        <v/>
      </c>
      <c r="CK2" t="str">
        <f>=IF(CJ2="Current WK","Next Week",IF(DATEVALUE(CK4)=$C$2-WEEKDAY($C$2,1)+1,"Current WK",""))</f>
        <v/>
      </c>
      <c r="CL2" t="str">
        <f>=IF(CK2="Current WK","Next Week",IF(DATEVALUE(CL4)=$C$2-WEEKDAY($C$2,1)+1,"Current WK",""))</f>
        <v/>
      </c>
      <c r="CM2" t="str">
        <f>=IF(CL2="Current WK","Next Week",IF(DATEVALUE(CM4)=$C$2-WEEKDAY($C$2,1)+1,"Current WK",""))</f>
        <v/>
      </c>
      <c r="CN2" t="str">
        <f>=IF(CM2="Current WK","Next Week",IF(DATEVALUE(CN4)=$C$2-WEEKDAY($C$2,1)+1,"Current WK",""))</f>
        <v/>
      </c>
      <c r="CO2" t="str">
        <f>=IF(CN2="Current WK","Next Week",IF(DATEVALUE(CO4)=$C$2-WEEKDAY($C$2,1)+1,"Current WK",""))</f>
        <v/>
      </c>
      <c r="CP2" t="str">
        <f>=IF(CO2="Current WK","Next Week",IF(DATEVALUE(CP4)=$C$2-WEEKDAY($C$2,1)+1,"Current WK",""))</f>
        <v/>
      </c>
      <c r="CQ2" t="str">
        <f>=IF(CP2="Current WK","Next Week",IF(DATEVALUE(CQ4)=$C$2-WEEKDAY($C$2,1)+1,"Current WK",""))</f>
        <v/>
      </c>
      <c r="CR2" t="str">
        <f>=IF(CQ2="Current WK","Next Week",IF(DATEVALUE(CR4)=$C$2-WEEKDAY($C$2,1)+1,"Current WK",""))</f>
        <v/>
      </c>
      <c r="CS2" t="str">
        <f>=IF(CR2="Current WK","Next Week",IF(DATEVALUE(CS4)=$C$2-WEEKDAY($C$2,1)+1,"Current WK",""))</f>
        <v/>
      </c>
      <c r="CT2" t="str">
        <f>=IF(CS2="Current WK","Next Week",IF(DATEVALUE(CT4)=$C$2-WEEKDAY($C$2,1)+1,"Current WK",""))</f>
        <v/>
      </c>
      <c r="CU2" t="str">
        <f>=IF(CT2="Current WK","Next Week",IF(DATEVALUE(CU4)=$C$2-WEEKDAY($C$2,1)+1,"Current WK",""))</f>
        <v/>
      </c>
      <c r="CV2" t="str">
        <f>=IF(CU2="Current WK","Next Week",IF(DATEVALUE(CV4)=$C$2-WEEKDAY($C$2,1)+1,"Current WK",""))</f>
        <v/>
      </c>
      <c r="CW2" t="str">
        <f>=IF(CV2="Current WK","Next Week",IF(DATEVALUE(CW4)=$C$2-WEEKDAY($C$2,1)+1,"Current WK",""))</f>
        <v/>
      </c>
      <c r="CX2" t="str">
        <f>=IF(CW2="Current WK","Next Week",IF(DATEVALUE(CX4)=$C$2-WEEKDAY($C$2,1)+1,"Current WK",""))</f>
        <v/>
      </c>
      <c r="CY2" t="str">
        <f>=IF(CX2="Current WK","Next Week",IF(DATEVALUE(CY4)=$C$2-WEEKDAY($C$2,1)+1,"Current WK",""))</f>
        <v/>
      </c>
      <c r="CZ2" t="str">
        <f>=IF(CY2="Current WK","Next Week",IF(DATEVALUE(CZ4)=$C$2-WEEKDAY($C$2,1)+1,"Current WK",""))</f>
        <v/>
      </c>
      <c r="DA2" t="str">
        <f>=IF(CZ2="Current WK","Next Week",IF(DATEVALUE(DA4)=$C$2-WEEKDAY($C$2,1)+1,"Current WK",""))</f>
        <v/>
      </c>
      <c r="DB2" t="str">
        <f>=IF(DA2="Current WK","Next Week",IF(DATEVALUE(DB4)=$C$2-WEEKDAY($C$2,1)+1,"Current WK",""))</f>
        <v/>
      </c>
    </row>
    <row r="3" spans="1:106" x14ac:dyDescent="0.25">
      <c r="A3" s="1"/>
      <c r="B3" s="5" t="s">
        <v>4</v>
      </c>
      <c r="C3" t="s">
        <v>5</v>
      </c>
      <c r="D3" t="s">
        <v>6</v>
      </c>
      <c r="E3" t="s">
        <v>6</v>
      </c>
      <c r="F3" t="s">
        <v>6</v>
      </c>
      <c r="G3" t="s">
        <v>6</v>
      </c>
      <c r="H3" t="s">
        <v>7</v>
      </c>
      <c r="I3" t="s">
        <v>7</v>
      </c>
      <c r="J3" t="s">
        <v>7</v>
      </c>
      <c r="K3" t="s">
        <v>7</v>
      </c>
      <c r="L3" t="s">
        <v>8</v>
      </c>
      <c r="M3" t="s">
        <v>8</v>
      </c>
      <c r="N3" t="s">
        <v>8</v>
      </c>
      <c r="O3" t="s">
        <v>8</v>
      </c>
      <c r="P3" t="s">
        <v>8</v>
      </c>
      <c r="Q3" t="s">
        <v>9</v>
      </c>
      <c r="R3" t="s">
        <v>9</v>
      </c>
      <c r="S3" t="s">
        <v>9</v>
      </c>
      <c r="T3" t="s">
        <v>9</v>
      </c>
      <c r="U3" t="s">
        <v>10</v>
      </c>
      <c r="V3" t="s">
        <v>10</v>
      </c>
      <c r="W3" t="s">
        <v>10</v>
      </c>
      <c r="X3" t="s">
        <v>10</v>
      </c>
      <c r="Y3" t="s">
        <v>11</v>
      </c>
      <c r="Z3" t="s">
        <v>11</v>
      </c>
      <c r="AA3" t="s">
        <v>11</v>
      </c>
      <c r="AB3" t="s">
        <v>11</v>
      </c>
      <c r="AC3" t="s">
        <v>11</v>
      </c>
      <c r="AD3" t="s">
        <v>12</v>
      </c>
      <c r="AE3" t="s">
        <v>12</v>
      </c>
      <c r="AF3" t="s">
        <v>12</v>
      </c>
      <c r="AG3" t="s">
        <v>12</v>
      </c>
      <c r="AH3" t="s">
        <v>13</v>
      </c>
      <c r="AI3" t="s">
        <v>13</v>
      </c>
      <c r="AJ3" t="s">
        <v>13</v>
      </c>
      <c r="AK3" t="s">
        <v>13</v>
      </c>
      <c r="AL3" t="s">
        <v>14</v>
      </c>
      <c r="AM3" t="s">
        <v>14</v>
      </c>
      <c r="AN3" t="s">
        <v>14</v>
      </c>
      <c r="AO3" t="s">
        <v>14</v>
      </c>
      <c r="AP3" t="s">
        <v>14</v>
      </c>
      <c r="AQ3" t="s">
        <v>15</v>
      </c>
      <c r="AR3" t="s">
        <v>15</v>
      </c>
      <c r="AS3" t="s">
        <v>15</v>
      </c>
      <c r="AT3" t="s">
        <v>15</v>
      </c>
      <c r="AU3" t="s">
        <v>16</v>
      </c>
      <c r="AV3" t="s">
        <v>16</v>
      </c>
      <c r="AW3" t="s">
        <v>16</v>
      </c>
      <c r="AX3" t="s">
        <v>16</v>
      </c>
      <c r="AY3" t="s">
        <v>17</v>
      </c>
      <c r="AZ3" t="s">
        <v>17</v>
      </c>
      <c r="BA3" t="s">
        <v>17</v>
      </c>
      <c r="BB3" t="s">
        <v>17</v>
      </c>
      <c r="BC3" t="s">
        <v>17</v>
      </c>
      <c r="BD3" t="s">
        <v>18</v>
      </c>
      <c r="BE3" t="s">
        <v>18</v>
      </c>
      <c r="BF3" t="s">
        <v>18</v>
      </c>
      <c r="BG3" t="s">
        <v>18</v>
      </c>
      <c r="BH3" t="s">
        <v>19</v>
      </c>
      <c r="BI3" t="s">
        <v>19</v>
      </c>
      <c r="BJ3" t="s">
        <v>19</v>
      </c>
      <c r="BK3" t="s">
        <v>19</v>
      </c>
      <c r="BL3" t="s">
        <v>19</v>
      </c>
      <c r="BM3" t="s">
        <v>20</v>
      </c>
      <c r="BN3" t="s">
        <v>20</v>
      </c>
      <c r="BO3" t="s">
        <v>20</v>
      </c>
      <c r="BP3" t="s">
        <v>20</v>
      </c>
      <c r="BQ3" t="s">
        <v>21</v>
      </c>
      <c r="BR3" t="s">
        <v>21</v>
      </c>
      <c r="BS3" t="s">
        <v>21</v>
      </c>
      <c r="BT3" t="s">
        <v>21</v>
      </c>
      <c r="BU3" t="s">
        <v>22</v>
      </c>
      <c r="BV3" t="s">
        <v>22</v>
      </c>
      <c r="BW3" t="s">
        <v>22</v>
      </c>
      <c r="BX3" t="s">
        <v>22</v>
      </c>
      <c r="BY3" t="s">
        <v>22</v>
      </c>
      <c r="BZ3" t="s">
        <v>23</v>
      </c>
      <c r="CA3" t="s">
        <v>23</v>
      </c>
      <c r="CB3" t="s">
        <v>23</v>
      </c>
      <c r="CC3" t="s">
        <v>23</v>
      </c>
      <c r="CD3" t="s">
        <v>24</v>
      </c>
      <c r="CE3" t="s">
        <v>24</v>
      </c>
      <c r="CF3" t="s">
        <v>24</v>
      </c>
      <c r="CG3" t="s">
        <v>24</v>
      </c>
      <c r="CH3" t="s">
        <v>25</v>
      </c>
      <c r="CI3" t="s">
        <v>25</v>
      </c>
      <c r="CJ3" t="s">
        <v>25</v>
      </c>
      <c r="CK3" t="s">
        <v>25</v>
      </c>
      <c r="CL3" t="s">
        <v>26</v>
      </c>
      <c r="CM3" t="s">
        <v>26</v>
      </c>
      <c r="CN3" t="s">
        <v>26</v>
      </c>
      <c r="CO3" t="s">
        <v>26</v>
      </c>
      <c r="CP3" t="s">
        <v>26</v>
      </c>
      <c r="CQ3" t="s">
        <v>27</v>
      </c>
      <c r="CR3" t="s">
        <v>27</v>
      </c>
      <c r="CS3" t="s">
        <v>27</v>
      </c>
      <c r="CT3" t="s">
        <v>27</v>
      </c>
      <c r="CU3" t="s">
        <v>28</v>
      </c>
      <c r="CV3" t="s">
        <v>28</v>
      </c>
      <c r="CW3" t="s">
        <v>28</v>
      </c>
      <c r="CX3" t="s">
        <v>28</v>
      </c>
      <c r="CY3" t="s">
        <v>28</v>
      </c>
      <c r="CZ3" t="s">
        <v>29</v>
      </c>
      <c r="DA3" t="s">
        <v>29</v>
      </c>
      <c r="DB3" t="s">
        <v>29</v>
      </c>
    </row>
    <row r="4" spans="1:106" x14ac:dyDescent="0.25">
      <c r="A4" s="1"/>
      <c r="B4" s="5" t="s">
        <v>30</v>
      </c>
      <c r="C4" s="7" t="s">
        <v>31</v>
      </c>
      <c r="D4" s="7" t="s">
        <v>32</v>
      </c>
      <c r="E4" s="7" t="s">
        <v>33</v>
      </c>
      <c r="F4" s="7" t="s">
        <v>34</v>
      </c>
      <c r="G4" s="7" t="s">
        <v>35</v>
      </c>
      <c r="H4" s="7" t="s">
        <v>36</v>
      </c>
      <c r="I4" s="7" t="s">
        <v>37</v>
      </c>
      <c r="J4" s="7" t="s">
        <v>38</v>
      </c>
      <c r="K4" s="7" t="s">
        <v>39</v>
      </c>
      <c r="L4" s="7" t="s">
        <v>40</v>
      </c>
      <c r="M4" s="7" t="s">
        <v>41</v>
      </c>
      <c r="N4" s="7" t="s">
        <v>42</v>
      </c>
      <c r="O4" s="7" t="s">
        <v>43</v>
      </c>
      <c r="P4" s="7" t="s">
        <v>44</v>
      </c>
      <c r="Q4" s="7" t="s">
        <v>45</v>
      </c>
      <c r="R4" s="7" t="s">
        <v>46</v>
      </c>
      <c r="S4" s="7" t="s">
        <v>47</v>
      </c>
      <c r="T4" s="7" t="s">
        <v>48</v>
      </c>
      <c r="U4" s="7" t="s">
        <v>49</v>
      </c>
      <c r="V4" s="7" t="s">
        <v>50</v>
      </c>
      <c r="W4" s="7" t="s">
        <v>51</v>
      </c>
      <c r="X4" s="7" t="s">
        <v>52</v>
      </c>
      <c r="Y4" s="7" t="s">
        <v>53</v>
      </c>
      <c r="Z4" s="7" t="s">
        <v>54</v>
      </c>
      <c r="AA4" s="7" t="s">
        <v>55</v>
      </c>
      <c r="AB4" s="7" t="s">
        <v>56</v>
      </c>
      <c r="AC4" s="7" t="s">
        <v>57</v>
      </c>
      <c r="AD4" s="7" t="s">
        <v>58</v>
      </c>
      <c r="AE4" s="7" t="s">
        <v>59</v>
      </c>
      <c r="AF4" s="7" t="s">
        <v>60</v>
      </c>
      <c r="AG4" s="7" t="s">
        <v>61</v>
      </c>
      <c r="AH4" s="7" t="s">
        <v>62</v>
      </c>
      <c r="AI4" s="7" t="s">
        <v>63</v>
      </c>
      <c r="AJ4" s="7" t="s">
        <v>64</v>
      </c>
      <c r="AK4" s="7" t="s">
        <v>65</v>
      </c>
      <c r="AL4" s="7" t="s">
        <v>66</v>
      </c>
      <c r="AM4" s="7" t="s">
        <v>67</v>
      </c>
      <c r="AN4" s="7" t="s">
        <v>68</v>
      </c>
      <c r="AO4" s="7" t="s">
        <v>69</v>
      </c>
      <c r="AP4" s="7" t="s">
        <v>70</v>
      </c>
      <c r="AQ4" s="7" t="s">
        <v>71</v>
      </c>
      <c r="AR4" s="7" t="s">
        <v>72</v>
      </c>
      <c r="AS4" s="7" t="s">
        <v>73</v>
      </c>
      <c r="AT4" s="7" t="s">
        <v>74</v>
      </c>
      <c r="AU4" s="7" t="s">
        <v>75</v>
      </c>
      <c r="AV4" s="7" t="s">
        <v>76</v>
      </c>
      <c r="AW4" s="7" t="s">
        <v>77</v>
      </c>
      <c r="AX4" s="7" t="s">
        <v>78</v>
      </c>
      <c r="AY4" s="7" t="s">
        <v>79</v>
      </c>
      <c r="AZ4" s="7" t="s">
        <v>80</v>
      </c>
      <c r="BA4" s="7" t="s">
        <v>81</v>
      </c>
      <c r="BB4" s="7" t="s">
        <v>82</v>
      </c>
      <c r="BC4" s="7" t="s">
        <v>83</v>
      </c>
      <c r="BD4" s="7" t="s">
        <v>84</v>
      </c>
      <c r="BE4" s="7" t="s">
        <v>85</v>
      </c>
      <c r="BF4" s="7" t="s">
        <v>86</v>
      </c>
      <c r="BG4" s="7" t="s">
        <v>87</v>
      </c>
      <c r="BH4" s="7" t="s">
        <v>88</v>
      </c>
      <c r="BI4" s="7" t="s">
        <v>89</v>
      </c>
      <c r="BJ4" s="7" t="s">
        <v>90</v>
      </c>
      <c r="BK4" s="7" t="s">
        <v>91</v>
      </c>
      <c r="BL4" s="7" t="s">
        <v>92</v>
      </c>
      <c r="BM4" s="7" t="s">
        <v>93</v>
      </c>
      <c r="BN4" s="7" t="s">
        <v>94</v>
      </c>
      <c r="BO4" s="7" t="s">
        <v>95</v>
      </c>
      <c r="BP4" s="7" t="s">
        <v>96</v>
      </c>
      <c r="BQ4" s="7" t="s">
        <v>97</v>
      </c>
      <c r="BR4" s="7" t="s">
        <v>98</v>
      </c>
      <c r="BS4" s="7" t="s">
        <v>99</v>
      </c>
      <c r="BT4" s="7" t="s">
        <v>100</v>
      </c>
      <c r="BU4" s="7" t="s">
        <v>101</v>
      </c>
      <c r="BV4" s="7" t="s">
        <v>102</v>
      </c>
      <c r="BW4" s="7" t="s">
        <v>103</v>
      </c>
      <c r="BX4" s="7" t="s">
        <v>104</v>
      </c>
      <c r="BY4" s="7" t="s">
        <v>105</v>
      </c>
      <c r="BZ4" s="7" t="s">
        <v>106</v>
      </c>
      <c r="CA4" s="7" t="s">
        <v>107</v>
      </c>
      <c r="CB4" s="7" t="s">
        <v>108</v>
      </c>
      <c r="CC4" s="7" t="s">
        <v>109</v>
      </c>
      <c r="CD4" s="7" t="s">
        <v>110</v>
      </c>
      <c r="CE4" s="7" t="s">
        <v>111</v>
      </c>
      <c r="CF4" s="7" t="s">
        <v>112</v>
      </c>
      <c r="CG4" s="7" t="s">
        <v>113</v>
      </c>
      <c r="CH4" s="7" t="s">
        <v>114</v>
      </c>
      <c r="CI4" s="7" t="s">
        <v>115</v>
      </c>
      <c r="CJ4" s="7" t="s">
        <v>116</v>
      </c>
      <c r="CK4" s="7" t="s">
        <v>117</v>
      </c>
      <c r="CL4" s="7" t="s">
        <v>118</v>
      </c>
      <c r="CM4" s="7" t="s">
        <v>119</v>
      </c>
      <c r="CN4" s="7" t="s">
        <v>120</v>
      </c>
      <c r="CO4" s="7" t="s">
        <v>121</v>
      </c>
      <c r="CP4" s="7" t="s">
        <v>122</v>
      </c>
      <c r="CQ4" s="7" t="s">
        <v>123</v>
      </c>
      <c r="CR4" s="7" t="s">
        <v>124</v>
      </c>
      <c r="CS4" s="7" t="s">
        <v>125</v>
      </c>
      <c r="CT4" s="7" t="s">
        <v>126</v>
      </c>
      <c r="CU4" s="7" t="s">
        <v>127</v>
      </c>
      <c r="CV4" s="7" t="s">
        <v>128</v>
      </c>
      <c r="CW4" s="7" t="s">
        <v>129</v>
      </c>
      <c r="CX4" s="7" t="s">
        <v>130</v>
      </c>
      <c r="CY4" s="7" t="s">
        <v>131</v>
      </c>
      <c r="CZ4" s="7" t="s">
        <v>132</v>
      </c>
      <c r="DA4" s="7" t="s">
        <v>133</v>
      </c>
      <c r="DB4" s="7" t="s">
        <v>134</v>
      </c>
    </row>
    <row r="5" spans="1:106" x14ac:dyDescent="0.25">
      <c r="A5" s="1"/>
      <c r="B5" s="5" t="s">
        <v>135</v>
      </c>
      <c r="C5" s="8" t="s">
        <v>136</v>
      </c>
      <c r="D5" s="8" t="s">
        <v>137</v>
      </c>
      <c r="E5" s="8" t="s">
        <v>138</v>
      </c>
      <c r="F5" s="8" t="s">
        <v>139</v>
      </c>
      <c r="G5" s="8" t="s">
        <v>140</v>
      </c>
      <c r="H5" s="8" t="s">
        <v>141</v>
      </c>
      <c r="I5" s="8" t="s">
        <v>142</v>
      </c>
      <c r="J5" s="8" t="s">
        <v>143</v>
      </c>
      <c r="K5" s="8" t="s">
        <v>144</v>
      </c>
      <c r="L5" s="8" t="s">
        <v>145</v>
      </c>
      <c r="M5" s="8" t="s">
        <v>146</v>
      </c>
      <c r="N5" s="8" t="s">
        <v>147</v>
      </c>
      <c r="O5" s="8" t="s">
        <v>148</v>
      </c>
      <c r="P5" s="8" t="s">
        <v>149</v>
      </c>
      <c r="Q5" s="8" t="s">
        <v>150</v>
      </c>
      <c r="R5" s="8" t="s">
        <v>151</v>
      </c>
      <c r="S5" s="8" t="s">
        <v>152</v>
      </c>
      <c r="T5" s="8" t="s">
        <v>153</v>
      </c>
      <c r="U5" s="8" t="s">
        <v>154</v>
      </c>
      <c r="V5" s="8" t="s">
        <v>155</v>
      </c>
      <c r="W5" s="8" t="s">
        <v>156</v>
      </c>
      <c r="X5" s="8" t="s">
        <v>157</v>
      </c>
      <c r="Y5" s="8" t="s">
        <v>158</v>
      </c>
      <c r="Z5" s="8" t="s">
        <v>159</v>
      </c>
      <c r="AA5" s="8" t="s">
        <v>160</v>
      </c>
      <c r="AB5" s="8" t="s">
        <v>161</v>
      </c>
      <c r="AC5" s="8" t="s">
        <v>162</v>
      </c>
      <c r="AD5" s="8" t="s">
        <v>163</v>
      </c>
      <c r="AE5" s="8" t="s">
        <v>164</v>
      </c>
      <c r="AF5" s="8" t="s">
        <v>165</v>
      </c>
      <c r="AG5" s="8" t="s">
        <v>166</v>
      </c>
      <c r="AH5" s="8" t="s">
        <v>167</v>
      </c>
      <c r="AI5" s="8" t="s">
        <v>168</v>
      </c>
      <c r="AJ5" s="8" t="s">
        <v>169</v>
      </c>
      <c r="AK5" s="8" t="s">
        <v>170</v>
      </c>
      <c r="AL5" s="8" t="s">
        <v>171</v>
      </c>
      <c r="AM5" s="8" t="s">
        <v>172</v>
      </c>
      <c r="AN5" s="8" t="s">
        <v>173</v>
      </c>
      <c r="AO5" s="8" t="s">
        <v>174</v>
      </c>
      <c r="AP5" s="8" t="s">
        <v>175</v>
      </c>
      <c r="AQ5" s="8" t="s">
        <v>176</v>
      </c>
      <c r="AR5" s="8" t="s">
        <v>177</v>
      </c>
      <c r="AS5" s="8" t="s">
        <v>178</v>
      </c>
      <c r="AT5" s="8" t="s">
        <v>179</v>
      </c>
      <c r="AU5" s="8" t="s">
        <v>180</v>
      </c>
      <c r="AV5" s="8" t="s">
        <v>181</v>
      </c>
      <c r="AW5" s="8" t="s">
        <v>182</v>
      </c>
      <c r="AX5" s="8" t="s">
        <v>183</v>
      </c>
      <c r="AY5" s="8" t="s">
        <v>184</v>
      </c>
      <c r="AZ5" s="8" t="s">
        <v>185</v>
      </c>
      <c r="BA5" s="8" t="s">
        <v>186</v>
      </c>
      <c r="BB5" s="8" t="s">
        <v>187</v>
      </c>
      <c r="BC5" s="8" t="s">
        <v>188</v>
      </c>
      <c r="BD5" s="8" t="s">
        <v>189</v>
      </c>
      <c r="BE5" s="8" t="s">
        <v>190</v>
      </c>
      <c r="BF5" s="8" t="s">
        <v>191</v>
      </c>
      <c r="BG5" s="8" t="s">
        <v>192</v>
      </c>
      <c r="BH5" s="8" t="s">
        <v>193</v>
      </c>
      <c r="BI5" s="8" t="s">
        <v>194</v>
      </c>
      <c r="BJ5" s="8" t="s">
        <v>195</v>
      </c>
      <c r="BK5" s="8" t="s">
        <v>196</v>
      </c>
      <c r="BL5" s="8" t="s">
        <v>197</v>
      </c>
      <c r="BM5" s="8" t="s">
        <v>198</v>
      </c>
      <c r="BN5" s="8" t="s">
        <v>199</v>
      </c>
      <c r="BO5" s="8" t="s">
        <v>200</v>
      </c>
      <c r="BP5" s="8" t="s">
        <v>201</v>
      </c>
      <c r="BQ5" s="8" t="s">
        <v>202</v>
      </c>
      <c r="BR5" s="8" t="s">
        <v>203</v>
      </c>
      <c r="BS5" s="8" t="s">
        <v>204</v>
      </c>
      <c r="BT5" s="8" t="s">
        <v>205</v>
      </c>
      <c r="BU5" s="8" t="s">
        <v>206</v>
      </c>
      <c r="BV5" s="8" t="s">
        <v>207</v>
      </c>
      <c r="BW5" s="8" t="s">
        <v>208</v>
      </c>
      <c r="BX5" s="8" t="s">
        <v>209</v>
      </c>
      <c r="BY5" s="8" t="s">
        <v>210</v>
      </c>
      <c r="BZ5" s="8" t="s">
        <v>211</v>
      </c>
      <c r="CA5" s="8" t="s">
        <v>212</v>
      </c>
      <c r="CB5" s="8" t="s">
        <v>213</v>
      </c>
      <c r="CC5" s="8" t="s">
        <v>214</v>
      </c>
      <c r="CD5" s="8" t="s">
        <v>215</v>
      </c>
      <c r="CE5" s="8" t="s">
        <v>216</v>
      </c>
      <c r="CF5" s="8" t="s">
        <v>217</v>
      </c>
      <c r="CG5" s="8" t="s">
        <v>218</v>
      </c>
      <c r="CH5" s="8" t="s">
        <v>219</v>
      </c>
      <c r="CI5" s="8" t="s">
        <v>220</v>
      </c>
      <c r="CJ5" s="8" t="s">
        <v>221</v>
      </c>
      <c r="CK5" s="8" t="s">
        <v>222</v>
      </c>
      <c r="CL5" s="8" t="s">
        <v>223</v>
      </c>
      <c r="CM5" s="8" t="s">
        <v>224</v>
      </c>
      <c r="CN5" s="8" t="s">
        <v>225</v>
      </c>
      <c r="CO5" s="8" t="s">
        <v>226</v>
      </c>
      <c r="CP5" s="8" t="s">
        <v>227</v>
      </c>
      <c r="CQ5" s="8" t="s">
        <v>228</v>
      </c>
      <c r="CR5" s="8" t="s">
        <v>229</v>
      </c>
      <c r="CS5" s="8" t="s">
        <v>230</v>
      </c>
      <c r="CT5" s="8" t="s">
        <v>231</v>
      </c>
      <c r="CU5" s="8" t="s">
        <v>232</v>
      </c>
      <c r="CV5" s="8" t="s">
        <v>233</v>
      </c>
      <c r="CW5" s="8" t="s">
        <v>234</v>
      </c>
      <c r="CX5" s="8" t="s">
        <v>235</v>
      </c>
      <c r="CY5" s="8" t="s">
        <v>236</v>
      </c>
      <c r="CZ5" s="8" t="s">
        <v>237</v>
      </c>
      <c r="DA5" s="8" t="s">
        <v>238</v>
      </c>
      <c r="DB5" s="8" t="s">
        <v>239</v>
      </c>
    </row>
    <row r="6" spans="1:106" x14ac:dyDescent="0.25">
      <c r="A6" s="9" t="s">
        <v>240</v>
      </c>
      <c r="B6" s="10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</row>
    <row r="7" ht="18" customHeight="1" spans="1:106" x14ac:dyDescent="0.25">
      <c r="A7" s="12" t="s">
        <v>241</v>
      </c>
      <c r="B7" s="13"/>
      <c r="C7" s="74">
        <v>60</v>
      </c>
      <c r="D7" s="74">
        <v>65</v>
      </c>
      <c r="E7" s="74">
        <v>65</v>
      </c>
      <c r="F7" s="74">
        <v>75</v>
      </c>
      <c r="G7" s="74">
        <v>75</v>
      </c>
      <c r="H7" s="74">
        <v>75</v>
      </c>
      <c r="I7" s="74">
        <v>75</v>
      </c>
      <c r="J7" s="74">
        <v>70</v>
      </c>
      <c r="K7" s="74">
        <v>65</v>
      </c>
      <c r="L7" s="74">
        <v>60</v>
      </c>
      <c r="M7" s="74">
        <v>60</v>
      </c>
      <c r="N7" s="74">
        <v>55</v>
      </c>
      <c r="O7" s="74">
        <v>55</v>
      </c>
      <c r="P7" s="74">
        <v>50</v>
      </c>
      <c r="Q7" s="74">
        <v>50</v>
      </c>
      <c r="R7" s="74">
        <v>50</v>
      </c>
      <c r="S7" s="74">
        <v>50</v>
      </c>
      <c r="T7" s="74">
        <v>46</v>
      </c>
      <c r="U7" s="74">
        <v>46</v>
      </c>
      <c r="V7" s="74">
        <v>46</v>
      </c>
      <c r="W7" s="74">
        <v>46</v>
      </c>
      <c r="X7" s="74">
        <v>46</v>
      </c>
      <c r="Y7" s="74">
        <v>46</v>
      </c>
      <c r="Z7" s="74">
        <v>46</v>
      </c>
      <c r="AA7" s="74">
        <v>46</v>
      </c>
      <c r="AB7" s="74">
        <v>46</v>
      </c>
      <c r="AC7" s="74">
        <v>46</v>
      </c>
      <c r="AD7" s="74">
        <v>46</v>
      </c>
      <c r="AE7" s="74">
        <v>46</v>
      </c>
      <c r="AF7" s="74">
        <v>46</v>
      </c>
      <c r="AG7" s="74">
        <v>46</v>
      </c>
      <c r="AH7" s="74">
        <v>46</v>
      </c>
      <c r="AI7" s="74">
        <v>46</v>
      </c>
      <c r="AJ7" s="74">
        <v>46</v>
      </c>
      <c r="AK7" s="74">
        <v>46</v>
      </c>
      <c r="AL7" s="74">
        <v>46</v>
      </c>
      <c r="AM7" s="74">
        <v>46</v>
      </c>
      <c r="AN7" s="74">
        <v>46</v>
      </c>
      <c r="AO7" s="74">
        <v>46</v>
      </c>
      <c r="AP7" s="74">
        <v>46</v>
      </c>
      <c r="AQ7" s="74">
        <v>46</v>
      </c>
      <c r="AR7" s="74">
        <v>46</v>
      </c>
      <c r="AS7" s="74">
        <v>46</v>
      </c>
      <c r="AT7" s="74">
        <v>46</v>
      </c>
      <c r="AU7" s="74">
        <v>46</v>
      </c>
      <c r="AV7" s="74">
        <v>46</v>
      </c>
      <c r="AW7" s="74">
        <v>46</v>
      </c>
      <c r="AX7" s="74">
        <v>46</v>
      </c>
      <c r="AY7" s="74">
        <v>46</v>
      </c>
      <c r="AZ7" s="74">
        <v>46</v>
      </c>
      <c r="BA7" s="74">
        <v>46</v>
      </c>
      <c r="BB7" s="74">
        <v>46</v>
      </c>
      <c r="BC7" s="74">
        <v>46</v>
      </c>
      <c r="BD7" s="74">
        <v>46</v>
      </c>
      <c r="BE7" s="74">
        <v>46</v>
      </c>
      <c r="BF7" s="74">
        <v>46</v>
      </c>
      <c r="BG7" s="74">
        <v>46</v>
      </c>
      <c r="BH7" s="74">
        <v>46</v>
      </c>
      <c r="BI7" s="74">
        <v>46</v>
      </c>
      <c r="BJ7" s="74">
        <v>46</v>
      </c>
      <c r="BK7" s="74">
        <v>46</v>
      </c>
      <c r="BL7" s="74">
        <v>33</v>
      </c>
      <c r="BM7" s="74">
        <v>33</v>
      </c>
      <c r="BN7" s="74">
        <v>33</v>
      </c>
      <c r="BO7" s="14">
        <v>33</v>
      </c>
      <c r="BP7" s="14">
        <v>33</v>
      </c>
      <c r="BQ7" s="14">
        <v>33</v>
      </c>
      <c r="BR7" s="14">
        <v>33</v>
      </c>
      <c r="BS7" s="14">
        <v>33</v>
      </c>
      <c r="BT7" s="14">
        <v>33</v>
      </c>
      <c r="BU7" s="14">
        <v>33</v>
      </c>
      <c r="BV7" s="14">
        <v>33</v>
      </c>
      <c r="BW7" s="14">
        <v>33</v>
      </c>
      <c r="BX7" s="14">
        <v>33</v>
      </c>
      <c r="BY7" s="14">
        <v>33</v>
      </c>
      <c r="BZ7" s="14">
        <v>33</v>
      </c>
      <c r="CA7" s="14">
        <v>33</v>
      </c>
      <c r="CB7" s="14">
        <v>33</v>
      </c>
      <c r="CC7" s="14">
        <v>33</v>
      </c>
      <c r="CD7" s="14">
        <v>33</v>
      </c>
      <c r="CE7" s="14">
        <v>33</v>
      </c>
      <c r="CF7" s="14">
        <v>25</v>
      </c>
      <c r="CG7" s="14">
        <v>25</v>
      </c>
      <c r="CH7" s="14">
        <v>33</v>
      </c>
      <c r="CI7" s="14">
        <v>33</v>
      </c>
      <c r="CJ7" s="14">
        <v>33</v>
      </c>
      <c r="CK7" s="14">
        <v>33</v>
      </c>
      <c r="CL7" s="14">
        <v>33</v>
      </c>
      <c r="CM7" s="14">
        <v>33</v>
      </c>
      <c r="CN7" s="14">
        <v>33</v>
      </c>
      <c r="CO7" s="14">
        <v>33</v>
      </c>
      <c r="CP7" s="14">
        <v>33</v>
      </c>
      <c r="CQ7" s="14">
        <v>40</v>
      </c>
      <c r="CR7" s="14">
        <v>40</v>
      </c>
      <c r="CS7" s="14">
        <v>40</v>
      </c>
      <c r="CT7" s="14">
        <v>45</v>
      </c>
      <c r="CU7" s="14">
        <v>45</v>
      </c>
      <c r="CV7" s="14">
        <v>45</v>
      </c>
      <c r="CW7" s="14">
        <v>45</v>
      </c>
      <c r="CX7" s="14">
        <v>45</v>
      </c>
      <c r="CY7" s="14">
        <v>60</v>
      </c>
      <c r="CZ7" s="14">
        <v>65</v>
      </c>
      <c r="DA7" s="14">
        <v>65</v>
      </c>
      <c r="DB7" s="14">
        <v>65</v>
      </c>
    </row>
    <row r="8" ht="18" customHeight="1" spans="1:106" x14ac:dyDescent="0.25">
      <c r="A8" s="12" t="s">
        <v>242</v>
      </c>
      <c r="B8" s="13"/>
      <c r="C8" s="74">
        <v>2076</v>
      </c>
      <c r="D8" s="74">
        <v>2251</v>
      </c>
      <c r="E8" s="74">
        <v>2248</v>
      </c>
      <c r="F8" s="74">
        <v>2602</v>
      </c>
      <c r="G8" s="74">
        <v>2598</v>
      </c>
      <c r="H8" s="74">
        <v>2603</v>
      </c>
      <c r="I8" s="74">
        <v>2603</v>
      </c>
      <c r="J8" s="74">
        <v>2433</v>
      </c>
      <c r="K8" s="74">
        <v>2256</v>
      </c>
      <c r="L8" s="74">
        <v>2081</v>
      </c>
      <c r="M8" s="74">
        <v>2073</v>
      </c>
      <c r="N8" s="74">
        <v>1921</v>
      </c>
      <c r="O8" s="74">
        <v>1922</v>
      </c>
      <c r="P8" s="74">
        <v>1730</v>
      </c>
      <c r="Q8" s="74">
        <v>1729</v>
      </c>
      <c r="R8" s="74">
        <v>1729</v>
      </c>
      <c r="S8" s="74">
        <v>1724</v>
      </c>
      <c r="T8" s="74">
        <v>1587</v>
      </c>
      <c r="U8" s="74">
        <v>1587</v>
      </c>
      <c r="V8" s="74">
        <v>1587</v>
      </c>
      <c r="W8" s="74">
        <v>1587</v>
      </c>
      <c r="X8" s="74">
        <v>1587</v>
      </c>
      <c r="Y8" s="74">
        <v>1592</v>
      </c>
      <c r="Z8" s="74">
        <v>1592</v>
      </c>
      <c r="AA8" s="74">
        <v>1592</v>
      </c>
      <c r="AB8" s="74">
        <v>1592</v>
      </c>
      <c r="AC8" s="74">
        <v>1592</v>
      </c>
      <c r="AD8" s="74">
        <v>1592</v>
      </c>
      <c r="AE8" s="74">
        <v>1592</v>
      </c>
      <c r="AF8" s="74">
        <v>1592</v>
      </c>
      <c r="AG8" s="74">
        <v>1592</v>
      </c>
      <c r="AH8" s="74">
        <v>1592</v>
      </c>
      <c r="AI8" s="74">
        <v>1592</v>
      </c>
      <c r="AJ8" s="74">
        <v>1592</v>
      </c>
      <c r="AK8" s="74">
        <v>1592</v>
      </c>
      <c r="AL8" s="74">
        <v>1592</v>
      </c>
      <c r="AM8" s="74">
        <v>1592</v>
      </c>
      <c r="AN8" s="74">
        <v>1592</v>
      </c>
      <c r="AO8" s="74">
        <v>1592</v>
      </c>
      <c r="AP8" s="74">
        <v>1604</v>
      </c>
      <c r="AQ8" s="74">
        <v>1607</v>
      </c>
      <c r="AR8" s="74">
        <v>1607</v>
      </c>
      <c r="AS8" s="74">
        <v>1607</v>
      </c>
      <c r="AT8" s="74">
        <v>1609</v>
      </c>
      <c r="AU8" s="74">
        <v>1607</v>
      </c>
      <c r="AV8" s="74">
        <v>1613</v>
      </c>
      <c r="AW8" s="74">
        <v>1613</v>
      </c>
      <c r="AX8" s="74">
        <v>1607</v>
      </c>
      <c r="AY8" s="74">
        <v>1600</v>
      </c>
      <c r="AZ8" s="74">
        <v>1600</v>
      </c>
      <c r="BA8" s="74">
        <v>1600</v>
      </c>
      <c r="BB8" s="74">
        <v>1600</v>
      </c>
      <c r="BC8" s="74">
        <v>1600</v>
      </c>
      <c r="BD8" s="74">
        <v>1600</v>
      </c>
      <c r="BE8" s="74">
        <v>1600</v>
      </c>
      <c r="BF8" s="74">
        <v>1600</v>
      </c>
      <c r="BG8" s="74">
        <v>1600</v>
      </c>
      <c r="BH8" s="74">
        <v>1600</v>
      </c>
      <c r="BI8" s="74">
        <v>1600</v>
      </c>
      <c r="BJ8" s="74">
        <v>1600</v>
      </c>
      <c r="BK8" s="74">
        <v>1600</v>
      </c>
      <c r="BL8" s="74">
        <v>1148</v>
      </c>
      <c r="BM8" s="74">
        <v>1148</v>
      </c>
      <c r="BN8" s="74">
        <v>1148</v>
      </c>
      <c r="BO8" s="14">
        <v>1148</v>
      </c>
      <c r="BP8" s="14">
        <v>1148</v>
      </c>
      <c r="BQ8" s="14">
        <v>1148</v>
      </c>
      <c r="BR8" s="14">
        <v>1148</v>
      </c>
      <c r="BS8" s="14">
        <v>1148</v>
      </c>
      <c r="BT8" s="14">
        <v>1148</v>
      </c>
      <c r="BU8" s="14">
        <v>1148</v>
      </c>
      <c r="BV8" s="14">
        <v>1148</v>
      </c>
      <c r="BW8" s="14">
        <v>1148</v>
      </c>
      <c r="BX8" s="14">
        <v>1148</v>
      </c>
      <c r="BY8" s="14">
        <v>1147</v>
      </c>
      <c r="BZ8" s="14">
        <v>1150</v>
      </c>
      <c r="CA8" s="14">
        <v>1147</v>
      </c>
      <c r="CB8" s="14">
        <v>1147</v>
      </c>
      <c r="CC8" s="14">
        <v>1140</v>
      </c>
      <c r="CD8" s="14">
        <v>1141</v>
      </c>
      <c r="CE8" s="14">
        <v>1141</v>
      </c>
      <c r="CF8" s="14">
        <v>864</v>
      </c>
      <c r="CG8" s="14">
        <v>864</v>
      </c>
      <c r="CH8" s="14">
        <v>1140</v>
      </c>
      <c r="CI8" s="14">
        <v>1140</v>
      </c>
      <c r="CJ8" s="14">
        <v>1140</v>
      </c>
      <c r="CK8" s="14">
        <v>1140</v>
      </c>
      <c r="CL8" s="14">
        <v>1140</v>
      </c>
      <c r="CM8" s="14">
        <v>1140</v>
      </c>
      <c r="CN8" s="14">
        <v>1140</v>
      </c>
      <c r="CO8" s="14">
        <v>1140</v>
      </c>
      <c r="CP8" s="14">
        <v>1134</v>
      </c>
      <c r="CQ8" s="14">
        <v>1383</v>
      </c>
      <c r="CR8" s="14">
        <v>1383</v>
      </c>
      <c r="CS8" s="14">
        <v>1383</v>
      </c>
      <c r="CT8" s="14">
        <v>1555</v>
      </c>
      <c r="CU8" s="14">
        <v>1554</v>
      </c>
      <c r="CV8" s="14">
        <v>1554</v>
      </c>
      <c r="CW8" s="14">
        <v>1554</v>
      </c>
      <c r="CX8" s="14">
        <v>1554</v>
      </c>
      <c r="CY8" s="14">
        <v>2070</v>
      </c>
      <c r="CZ8" s="14">
        <v>2255</v>
      </c>
      <c r="DA8" s="14">
        <v>2255</v>
      </c>
      <c r="DB8" s="14">
        <v>2255</v>
      </c>
    </row>
    <row r="9" ht="18" customHeight="1" spans="1:106" x14ac:dyDescent="0.25">
      <c r="A9" s="12" t="s">
        <v>243</v>
      </c>
      <c r="B9" s="13"/>
      <c r="C9" s="15">
        <f>=IFERROR(ROUND((C8/(C47*C48))/(1-C29)/C45,0),"")</f>
        <v>59</v>
      </c>
      <c r="D9" s="15">
        <f>=IFERROR(ROUND((D8/(D47*D48))/(1-D29)/D45,0),"")</f>
        <v>64</v>
      </c>
      <c r="E9" s="15">
        <f>=IFERROR(ROUND((E8/(E47*E48))/(1-E29)/E45,0),"")</f>
        <v>64</v>
      </c>
      <c r="F9" s="15">
        <f>=IFERROR(ROUND((F8/(F47*F48))/(1-F29)/F45,0),"")</f>
        <v>74</v>
      </c>
      <c r="G9" s="15">
        <f>=IFERROR(ROUND((G8/(G47*G48))/(1-G29)/G45,0),"")</f>
        <v>74</v>
      </c>
      <c r="H9" s="15">
        <f>=IFERROR(ROUND((H8/(H47*H48))/(1-H29)/H45,0),"")</f>
        <v>74</v>
      </c>
      <c r="I9" s="15">
        <f>=IFERROR(ROUND((I8/(I47*I48))/(1-I29)/I45,0),"")</f>
        <v>74</v>
      </c>
      <c r="J9" s="15">
        <f>=IFERROR(ROUND((J8/(J47*J48))/(1-J29)/J45,0),"")</f>
        <v>69</v>
      </c>
      <c r="K9" s="15">
        <f>=IFERROR(ROUND((K8/(K47*K48))/(1-K29)/K45,0),"")</f>
        <v>64</v>
      </c>
      <c r="L9" s="15">
        <f>=IFERROR(ROUND((L8/(L47*L48))/(1-L29)/L45,0),"")</f>
        <v>59</v>
      </c>
      <c r="M9" s="15">
        <f>=IFERROR(ROUND((M8/(M47*M48))/(1-M29)/M45,0),"")</f>
        <v>59</v>
      </c>
      <c r="N9" s="15">
        <f>=IFERROR(ROUND((N8/(N47*N48))/(1-N29)/N45,0),"")</f>
        <v>55</v>
      </c>
      <c r="O9" s="15">
        <f>=IFERROR(ROUND((O8/(O47*O48))/(1-O29)/O45,0),"")</f>
        <v>55</v>
      </c>
      <c r="P9" s="15">
        <f>=IFERROR(ROUND((P8/(P47*P48))/(1-P29)/P45,0),"")</f>
        <v>49</v>
      </c>
      <c r="Q9" s="15">
        <f>=IFERROR(ROUND((Q8/(Q47*Q48))/(1-Q29)/Q45,0),"")</f>
        <v>49</v>
      </c>
      <c r="R9" s="15">
        <f>=IFERROR(ROUND((R8/(R47*R48))/(1-R29)/R45,0),"")</f>
        <v>49</v>
      </c>
      <c r="S9" s="15">
        <f>=IFERROR(ROUND((S8/(S47*S48))/(1-S29)/S45,0),"")</f>
        <v>49</v>
      </c>
      <c r="T9" s="15">
        <f>=IFERROR(ROUND((T8/(T47*T48))/(1-T29)/T45,0),"")</f>
        <v>45</v>
      </c>
      <c r="U9" s="15">
        <f>=IFERROR(ROUND((U8/(U47*U48))/(1-U29)/U45,0),"")</f>
        <v>45</v>
      </c>
      <c r="V9" s="15">
        <f>=IFERROR(ROUND((V8/(V47*V48))/(1-V29)/V45,0),"")</f>
        <v>45</v>
      </c>
      <c r="W9" s="15">
        <f>=IFERROR(ROUND((W8/(W47*W48))/(1-W29)/W45,0),"")</f>
        <v>45</v>
      </c>
      <c r="X9" s="15">
        <f>=IFERROR(ROUND((X8/(X47*X48))/(1-X29)/X45,0),"")</f>
        <v>45</v>
      </c>
      <c r="Y9" s="15">
        <f>=IFERROR(ROUND((Y8/(Y47*Y48))/(1-Y29)/Y45,0),"")</f>
        <v>45</v>
      </c>
      <c r="Z9" s="15">
        <f>=IFERROR(ROUND((Z8/(Z47*Z48))/(1-Z29)/Z45,0),"")</f>
        <v>45</v>
      </c>
      <c r="AA9" s="15">
        <f>=IFERROR(ROUND((AA8/(AA47*AA48))/(1-AA29)/AA45,0),"")</f>
        <v>45</v>
      </c>
      <c r="AB9" s="15">
        <f>=IFERROR(ROUND((AB8/(AB47*AB48))/(1-AB29)/AB45,0),"")</f>
        <v>45</v>
      </c>
      <c r="AC9" s="15">
        <f>=IFERROR(ROUND((AC8/(AC47*AC48))/(1-AC29)/AC45,0),"")</f>
        <v>45</v>
      </c>
      <c r="AD9" s="15">
        <f>=IFERROR(ROUND((AD8/(AD47*AD48))/(1-AD29)/AD45,0),"")</f>
        <v>45</v>
      </c>
      <c r="AE9" s="15">
        <f>=IFERROR(ROUND((AE8/(AE47*AE48))/(1-AE29)/AE45,0),"")</f>
        <v>45</v>
      </c>
      <c r="AF9" s="15">
        <f>=IFERROR(ROUND((AF8/(AF47*AF48))/(1-AF29)/AF45,0),"")</f>
        <v>45</v>
      </c>
      <c r="AG9" s="15">
        <f>=IFERROR(ROUND((AG8/(AG47*AG48))/(1-AG29)/AG45,0),"")</f>
        <v>45</v>
      </c>
      <c r="AH9" s="15">
        <f>=IFERROR(ROUND((AH8/(AH47*AH48))/(1-AH29)/AH45,0),"")</f>
        <v>45</v>
      </c>
      <c r="AI9" s="15">
        <f>=IFERROR(ROUND((AI8/(AI47*AI48))/(1-AI29)/AI45,0),"")</f>
        <v>45</v>
      </c>
      <c r="AJ9" s="15">
        <f>=IFERROR(ROUND((AJ8/(AJ47*AJ48))/(1-AJ29)/AJ45,0),"")</f>
        <v>45</v>
      </c>
      <c r="AK9" s="15">
        <f>=IFERROR(ROUND((AK8/(AK47*AK48))/(1-AK29)/AK45,0),"")</f>
        <v>45</v>
      </c>
      <c r="AL9" s="15">
        <f>=IFERROR(ROUND((AL8/(AL47*AL48))/(1-AL29)/AL45,0),"")</f>
        <v>45</v>
      </c>
      <c r="AM9" s="15">
        <f>=IFERROR(ROUND((AM8/(AM47*AM48))/(1-AM29)/AM45,0),"")</f>
        <v>45</v>
      </c>
      <c r="AN9" s="15">
        <f>=IFERROR(ROUND((AN8/(AN47*AN48))/(1-AN29)/AN45,0),"")</f>
        <v>45</v>
      </c>
      <c r="AO9" s="15">
        <f>=IFERROR(ROUND((AO8/(AO47*AO48))/(1-AO29)/AO45,0),"")</f>
        <v>45</v>
      </c>
      <c r="AP9" s="15">
        <f>=IFERROR(ROUND((AP8/(AP47*AP48))/(1-AP29)/AP45,0),"")</f>
        <v>46</v>
      </c>
      <c r="AQ9" s="15">
        <f>=IFERROR(ROUND((AQ8/(AQ47*AQ48))/(1-AQ29)/AQ45,0),"")</f>
        <v>46</v>
      </c>
      <c r="AR9" s="15">
        <f>=IFERROR(ROUND((AR8/(AR47*AR48))/(1-AR29)/AR45,0),"")</f>
        <v>46</v>
      </c>
      <c r="AS9" s="15">
        <f>=IFERROR(ROUND((AS8/(AS47*AS48))/(1-AS29)/AS45,0),"")</f>
        <v>46</v>
      </c>
      <c r="AT9" s="15">
        <f>=IFERROR(ROUND((AT8/(AT47*AT48))/(1-AT29)/AT45,0),"")</f>
        <v>46</v>
      </c>
      <c r="AU9" s="15">
        <f>=IFERROR(ROUND((AU8/(AU47*AU48))/(1-AU29)/AU45,0),"")</f>
        <v>46</v>
      </c>
      <c r="AV9" s="15">
        <f>=IFERROR(ROUND((AV8/(AV47*AV48))/(1-AV29)/AV45,0),"")</f>
        <v>46</v>
      </c>
      <c r="AW9" s="15">
        <f>=IFERROR(ROUND((AW8/(AW47*AW48))/(1-AW29)/AW45,0),"")</f>
        <v>46</v>
      </c>
      <c r="AX9" s="15">
        <f>=IFERROR(ROUND((AX8/(AX47*AX48))/(1-AX29)/AX45,0),"")</f>
        <v>46</v>
      </c>
      <c r="AY9" s="15">
        <f>=IFERROR(ROUND((AY8/(AY47*AY48))/(1-AY29)/AY45,0),"")</f>
        <v>46</v>
      </c>
      <c r="AZ9" s="15">
        <f>=IFERROR(ROUND((AZ8/(AZ47*AZ48))/(1-AZ29)/AZ45,0),"")</f>
        <v>46</v>
      </c>
      <c r="BA9" s="15">
        <f>=IFERROR(ROUND((BA8/(BA47*BA48))/(1-BA29)/BA45,0),"")</f>
        <v>46</v>
      </c>
      <c r="BB9" s="15">
        <f>=IFERROR(ROUND((BB8/(BB47*BB48))/(1-BB29)/BB45,0),"")</f>
        <v>46</v>
      </c>
      <c r="BC9" s="15">
        <f>=IFERROR(ROUND((BC8/(BC47*BC48))/(1-BC29)/BC45,0),"")</f>
        <v>47</v>
      </c>
      <c r="BD9" s="15">
        <f>=IFERROR(ROUND((BD8/(BD47*BD48))/(1-BD29)/BD45,0),"")</f>
        <v>47</v>
      </c>
      <c r="BE9" s="15">
        <f>=IFERROR(ROUND((BE8/(BE47*BE48))/(1-BE29)/BE45,0),"")</f>
        <v>47</v>
      </c>
      <c r="BF9" s="15">
        <f>=IFERROR(ROUND((BF8/(BF47*BF48))/(1-BF29)/BF45,0),"")</f>
        <v>47</v>
      </c>
      <c r="BG9" s="15">
        <f>=IFERROR(ROUND((BG8/(BG47*BG48))/(1-BG29)/BG45,0),"")</f>
        <v>47</v>
      </c>
      <c r="BH9" s="15">
        <f>=IFERROR(ROUND((BH8/(BH47*BH48))/(1-BH29)/BH45,0),"")</f>
        <v>47</v>
      </c>
      <c r="BI9" s="15">
        <f>=IFERROR(ROUND((BI8/(BI47*BI48))/(1-BI29)/BI45,0),"")</f>
        <v>47</v>
      </c>
      <c r="BJ9" s="15">
        <f>=IFERROR(ROUND((BJ8/(BJ47*BJ48))/(1-BJ29)/BJ45,0),"")</f>
        <v>47</v>
      </c>
      <c r="BK9" s="15">
        <f>=IFERROR(ROUND((BK8/(BK47*BK48))/(1-BK29)/BK45,0),"")</f>
        <v>47</v>
      </c>
      <c r="BL9" s="15">
        <f>=IFERROR(ROUND((BL8/(BL47*BL48))/(1-BL29)/BL45,0),"")</f>
        <v>33</v>
      </c>
      <c r="BM9" s="15">
        <f>=IFERROR(ROUND((BM8/(BM47*BM48))/(1-BM29)/BM45,0),"")</f>
        <v>33</v>
      </c>
      <c r="BN9" s="15">
        <f>=IFERROR(ROUND((BN8/(BN47*BN48))/(1-BN29)/BN45,0),"")</f>
        <v>33</v>
      </c>
      <c r="BO9" s="15">
        <f>=IFERROR(ROUND((BO8/(BO47*BO48))/(1-BO29)/BO45,0),"")</f>
        <v>33</v>
      </c>
      <c r="BP9" s="15">
        <f>=IFERROR(ROUND((BP8/(BP47*BP48))/(1-BP29)/BP45,0),"")</f>
        <v>33</v>
      </c>
      <c r="BQ9" s="15">
        <f>=IFERROR(ROUND((BQ8/(BQ47*BQ48))/(1-BQ29)/BQ45,0),"")</f>
        <v>33</v>
      </c>
      <c r="BR9" s="15">
        <f>=IFERROR(ROUND((BR8/(BR47*BR48))/(1-BR29)/BR45,0),"")</f>
        <v>33</v>
      </c>
      <c r="BS9" s="15">
        <f>=IFERROR(ROUND((BS8/(BS47*BS48))/(1-BS29)/BS45,0),"")</f>
        <v>33</v>
      </c>
      <c r="BT9" s="15">
        <f>=IFERROR(ROUND((BT8/(BT47*BT48))/(1-BT29)/BT45,0),"")</f>
        <v>33</v>
      </c>
      <c r="BU9" s="15">
        <f>=IFERROR(ROUND((BU8/(BU47*BU48))/(1-BU29)/BU45,0),"")</f>
        <v>33</v>
      </c>
      <c r="BV9" s="15">
        <f>=IFERROR(ROUND((BV8/(BV47*BV48))/(1-BV29)/BV45,0),"")</f>
        <v>33</v>
      </c>
      <c r="BW9" s="15">
        <f>=IFERROR(ROUND((BW8/(BW47*BW48))/(1-BW29)/BW45,0),"")</f>
        <v>33</v>
      </c>
      <c r="BX9" s="15">
        <f>=IFERROR(ROUND((BX8/(BX47*BX48))/(1-BX29)/BX45,0),"")</f>
        <v>33</v>
      </c>
      <c r="BY9" s="15">
        <f>=IFERROR(ROUND((BY8/(BY47*BY48))/(1-BY29)/BY45,0),"")</f>
        <v>33</v>
      </c>
      <c r="BZ9" s="15">
        <f>=IFERROR(ROUND((BZ8/(BZ47*BZ48))/(1-BZ29)/BZ45,0),"")</f>
        <v>33</v>
      </c>
      <c r="CA9" s="15">
        <f>=IFERROR(ROUND((CA8/(CA47*CA48))/(1-CA29)/CA45,0),"")</f>
        <v>33</v>
      </c>
      <c r="CB9" s="15">
        <f>=IFERROR(ROUND((CB8/(CB47*CB48))/(1-CB29)/CB45,0),"")</f>
        <v>33</v>
      </c>
      <c r="CC9" s="15">
        <f>=IFERROR(ROUND((CC8/(CC47*CC48))/(1-CC29)/CC45,0),"")</f>
        <v>33</v>
      </c>
      <c r="CD9" s="15">
        <f>=IFERROR(ROUND((CD8/(CD47*CD48))/(1-CD29)/CD45,0),"")</f>
        <v>33</v>
      </c>
      <c r="CE9" s="15">
        <f>=IFERROR(ROUND((CE8/(CE47*CE48))/(1-CE29)/CE45,0),"")</f>
        <v>33</v>
      </c>
      <c r="CF9" s="15">
        <f>=IFERROR(ROUND((CF8/(CF47*CF48))/(1-CF29)/CF45,0),"")</f>
        <v>25</v>
      </c>
      <c r="CG9" s="15">
        <f>=IFERROR(ROUND((CG8/(CG47*CG48))/(1-CG29)/CG45,0),"")</f>
        <v>25</v>
      </c>
      <c r="CH9" s="15">
        <f>=IFERROR(ROUND((CH8/(CH47*CH48))/(1-CH29)/CH45,0),"")</f>
        <v>33</v>
      </c>
      <c r="CI9" s="15">
        <f>=IFERROR(ROUND((CI8/(CI47*CI48))/(1-CI29)/CI45,0),"")</f>
        <v>33</v>
      </c>
      <c r="CJ9" s="15">
        <f>=IFERROR(ROUND((CJ8/(CJ47*CJ48))/(1-CJ29)/CJ45,0),"")</f>
        <v>33</v>
      </c>
      <c r="CK9" s="15">
        <f>=IFERROR(ROUND((CK8/(CK47*CK48))/(1-CK29)/CK45,0),"")</f>
        <v>33</v>
      </c>
      <c r="CL9" s="15">
        <f>=IFERROR(ROUND((CL8/(CL47*CL48))/(1-CL29)/CL45,0),"")</f>
        <v>33</v>
      </c>
      <c r="CM9" s="15">
        <f>=IFERROR(ROUND((CM8/(CM47*CM48))/(1-CM29)/CM45,0),"")</f>
        <v>33</v>
      </c>
      <c r="CN9" s="15">
        <f>=IFERROR(ROUND((CN8/(CN47*CN48))/(1-CN29)/CN45,0),"")</f>
        <v>33</v>
      </c>
      <c r="CO9" s="15">
        <f>=IFERROR(ROUND((CO8/(CO47*CO48))/(1-CO29)/CO45,0),"")</f>
        <v>33</v>
      </c>
      <c r="CP9" s="15">
        <f>=IFERROR(ROUND((CP8/(CP47*CP48))/(1-CP29)/CP45,0),"")</f>
        <v>33</v>
      </c>
      <c r="CQ9" s="15">
        <f>=IFERROR(ROUND((CQ8/(CQ47*CQ48))/(1-CQ29)/CQ45,0),"")</f>
        <v>40</v>
      </c>
      <c r="CR9" s="15">
        <f>=IFERROR(ROUND((CR8/(CR47*CR48))/(1-CR29)/CR45,0),"")</f>
        <v>40</v>
      </c>
      <c r="CS9" s="15">
        <f>=IFERROR(ROUND((CS8/(CS47*CS48))/(1-CS29)/CS45,0),"")</f>
        <v>40</v>
      </c>
      <c r="CT9" s="15">
        <f>=IFERROR(ROUND((CT8/(CT47*CT48))/(1-CT29)/CT45,0),"")</f>
        <v>45</v>
      </c>
      <c r="CU9" s="15">
        <f>=IFERROR(ROUND((CU8/(CU47*CU48))/(1-CU29)/CU45,0),"")</f>
        <v>45</v>
      </c>
      <c r="CV9" s="15">
        <f>=IFERROR(ROUND((CV8/(CV47*CV48))/(1-CV29)/CV45,0),"")</f>
        <v>45</v>
      </c>
      <c r="CW9" s="15">
        <f>=IFERROR(ROUND((CW8/(CW47*CW48))/(1-CW29)/CW45,0),"")</f>
        <v>45</v>
      </c>
      <c r="CX9" s="15">
        <f>=IFERROR(ROUND((CX8/(CX47*CX48))/(1-CX29)/CX45,0),"")</f>
        <v>45</v>
      </c>
      <c r="CY9" s="15">
        <f>=IFERROR(ROUND((CY8/(CY47*CY48))/(1-CY29)/CY45,0),"")</f>
        <v>60</v>
      </c>
      <c r="CZ9" s="15">
        <f>=IFERROR(ROUND((CZ8/(CZ47*CZ48))/(1-CZ29)/CZ45,0),"")</f>
        <v>66</v>
      </c>
      <c r="DA9" s="15">
        <f>=IFERROR(ROUND((DA8/(DA47*DA48))/(1-DA29)/DA45,0),"")</f>
        <v>66</v>
      </c>
      <c r="DB9" s="15">
        <f>=IFERROR(ROUND((DB8/(DB47*DB48))/(1-DB29)/DB45,0),"")</f>
        <v>66</v>
      </c>
    </row>
    <row r="10" ht="15" customHeight="1" spans="1:106" x14ac:dyDescent="0.25">
      <c r="A10" s="16" t="s">
        <v>244</v>
      </c>
      <c r="B10" s="17"/>
      <c r="C10" s="18">
        <f>=IFERROR(C19+C22+C23,0)</f>
        <v>53</v>
      </c>
      <c r="D10" s="18">
        <f>=IFERROR(D19+D22+D23,0)</f>
        <v>62</v>
      </c>
      <c r="E10" s="18">
        <f>=IFERROR(E19+E22+E23,0)</f>
        <v>60</v>
      </c>
      <c r="F10" s="18">
        <f>=IFERROR(F19+F22+F23,0)</f>
        <v>70</v>
      </c>
      <c r="G10" s="18">
        <f>=IFERROR(G19+G22+G23,0)</f>
        <v>69</v>
      </c>
      <c r="H10" s="18">
        <f>=IFERROR(H19+H22+H23,0)</f>
        <v>67</v>
      </c>
      <c r="I10" s="18">
        <f>=IFERROR(I19+I22+I23,0)</f>
        <v>66</v>
      </c>
      <c r="J10" s="18">
        <f>=IFERROR(J19+J22+J23,0)</f>
        <v>65</v>
      </c>
      <c r="K10" s="18">
        <f>=IFERROR(K19+K22+K23,0)</f>
        <v>63</v>
      </c>
      <c r="L10" s="18">
        <f>=IFERROR(L19+L22+L23,0)</f>
        <v>64</v>
      </c>
      <c r="M10" s="18">
        <f>=IFERROR(M19+M22+M23,0)</f>
        <v>59</v>
      </c>
      <c r="N10" s="18">
        <f>=IFERROR(N19+N22+N23,0)</f>
        <v>57</v>
      </c>
      <c r="O10" s="18">
        <f>=IFERROR(O19+O22+O23,0)</f>
        <v>53</v>
      </c>
      <c r="P10" s="18">
        <f>=IFERROR(P19+P22+P23,0)</f>
        <v>54</v>
      </c>
      <c r="Q10" s="18">
        <f>=IFERROR(Q19+Q22+Q23,0)</f>
        <v>55</v>
      </c>
      <c r="R10" s="18">
        <f>=IFERROR(R19+R22+R23,0)</f>
        <v>56</v>
      </c>
      <c r="S10" s="18">
        <f>=IFERROR(S19+S22+S23,0)</f>
        <v>56</v>
      </c>
      <c r="T10" s="18">
        <f>=IFERROR(T19+T22+T23,0)</f>
        <v>50</v>
      </c>
      <c r="U10" s="18">
        <f>=IFERROR(U19+U22+U23,0)</f>
        <v>50</v>
      </c>
      <c r="V10" s="18">
        <f>=IFERROR(V19+V22+V23,0)</f>
        <v>50</v>
      </c>
      <c r="W10" s="18">
        <f>=IFERROR(W19+W22+W23,0)</f>
        <v>48</v>
      </c>
      <c r="X10" s="18">
        <f>=IFERROR(X19+X22+X23,0)</f>
        <v>48</v>
      </c>
      <c r="Y10" s="18">
        <f>=IFERROR(Y19+Y22+Y23,0)</f>
        <v>47</v>
      </c>
      <c r="Z10" s="18">
        <f>=IFERROR(Z19+Z22+Z23,0)</f>
        <v>47</v>
      </c>
      <c r="AA10" s="18">
        <f>=IFERROR(AA19+AA22+AA23,0)</f>
        <v>46</v>
      </c>
      <c r="AB10" s="18">
        <f>=IFERROR(AB19+AB22+AB23,0)</f>
        <v>45</v>
      </c>
      <c r="AC10" s="18">
        <f>=IFERROR(AC19+AC22+AC23,0)</f>
        <v>46</v>
      </c>
      <c r="AD10" s="18">
        <f>=IFERROR(AD19+AD22+AD23,0)</f>
        <v>47</v>
      </c>
      <c r="AE10" s="18">
        <f>=IFERROR(AE19+AE22+AE23,0)</f>
        <v>46</v>
      </c>
      <c r="AF10" s="18">
        <f>=IFERROR(AF19+AF22+AF23,0)</f>
        <v>46</v>
      </c>
      <c r="AG10" s="18">
        <f>=IFERROR(AG19+AG22+AG23,0)</f>
        <v>46</v>
      </c>
      <c r="AH10" s="18">
        <f>=IFERROR(AH19+AH22+AH23,0)</f>
        <v>46</v>
      </c>
      <c r="AI10" s="18">
        <f>=IFERROR(AI19+AI22+AI23,0)</f>
        <v>44</v>
      </c>
      <c r="AJ10" s="18">
        <f>=IFERROR(AJ19+AJ22+AJ23,0)</f>
        <v>44</v>
      </c>
      <c r="AK10" s="18">
        <f>=IFERROR(AK19+AK22+AK23,0)</f>
        <v>44</v>
      </c>
      <c r="AL10" s="18">
        <f>=IFERROR(AL19+AL22+AL23,0)</f>
        <v>43</v>
      </c>
      <c r="AM10" s="18">
        <f>=IFERROR(AM19+AM22+AM23,0)</f>
        <v>42</v>
      </c>
      <c r="AN10" s="18">
        <f>=IFERROR(AN19+AN22+AN23,0)</f>
        <v>42</v>
      </c>
      <c r="AO10" s="18">
        <f>=IFERROR(AO19+AO22+AO23,0)</f>
        <v>55</v>
      </c>
      <c r="AP10" s="18">
        <f>=IFERROR(AP19+AP22+AP23,0)</f>
        <v>55</v>
      </c>
      <c r="AQ10" s="18">
        <f>=IFERROR(AQ19+AQ22+AQ23,0)</f>
        <v>52</v>
      </c>
      <c r="AR10" s="18">
        <f>=IFERROR(AR19+AR22+AR23,0)</f>
        <v>51</v>
      </c>
      <c r="AS10" s="18">
        <f>=IFERROR(AS19+AS22+AS23,0)</f>
        <v>51</v>
      </c>
      <c r="AT10" s="18">
        <f>=IFERROR(AT19+AT22+AT23,0)</f>
        <v>48</v>
      </c>
      <c r="AU10" s="18">
        <f>=IFERROR(AU19+AU22+AU23,0)</f>
        <v>60</v>
      </c>
      <c r="AV10" s="18">
        <f>=IFERROR(AV19+AV22+AV23,0)</f>
        <v>44</v>
      </c>
      <c r="AW10" s="18">
        <f>=IFERROR(AW19+AW22+AW23,0)</f>
        <v>44</v>
      </c>
      <c r="AX10" s="18">
        <f>=IFERROR(AX19+AX22+AX23,0)</f>
        <v>44</v>
      </c>
      <c r="AY10" s="18">
        <f>=IFERROR(AY19+AY22+AY23,0)</f>
        <v>47</v>
      </c>
      <c r="AZ10" s="18">
        <f>=IFERROR(AZ19+AZ22+AZ23,0)</f>
        <v>44</v>
      </c>
      <c r="BA10" s="18">
        <f>=IFERROR(BA19+BA22+BA23,0)</f>
        <v>46</v>
      </c>
      <c r="BB10" s="18">
        <f>=IFERROR(BB19+BB22+BB23,0)</f>
        <v>45</v>
      </c>
      <c r="BC10" s="18">
        <f>=IFERROR(BC19+BC22+BC23,0)</f>
        <v>45</v>
      </c>
      <c r="BD10" s="18">
        <f>=IFERROR(BD19+BD22+BD23,0)</f>
        <v>44</v>
      </c>
      <c r="BE10" s="18">
        <f>=IFERROR(BE19+BE22+BE23,0)</f>
        <v>48</v>
      </c>
      <c r="BF10" s="18">
        <f>=IFERROR(BF19+BF22+BF23,0)</f>
        <v>49</v>
      </c>
      <c r="BG10" s="18">
        <f>=IFERROR(BG19+BG22+BG23,0)</f>
        <v>49</v>
      </c>
      <c r="BH10" s="18">
        <f>=IFERROR(BH19+BH22+BH23,0)</f>
        <v>49</v>
      </c>
      <c r="BI10" s="18">
        <f>=IFERROR(BI19+BI22+BI23,0)</f>
        <v>55</v>
      </c>
      <c r="BJ10" s="18">
        <f>=IFERROR(BJ19+BJ22+BJ23,0)</f>
        <v>54</v>
      </c>
      <c r="BK10" s="18">
        <f>=IFERROR(BK19+BK22+BK23,0)</f>
        <v>53</v>
      </c>
      <c r="BL10" s="18">
        <f>=IFERROR(BL19+BL22+BL23,0)</f>
        <v>53</v>
      </c>
      <c r="BM10" s="18">
        <f>=IFERROR(BM19+BM22+BM23,0)</f>
        <v>42</v>
      </c>
      <c r="BN10" s="18">
        <f>=IFERROR(BN19+BN22+BN23,0)</f>
        <v>43</v>
      </c>
      <c r="BO10" s="18">
        <f>=IFERROR(BO19+BO22+BO23,0)</f>
        <v>39</v>
      </c>
      <c r="BP10" s="18">
        <f>=IFERROR(BP19+BP22+BP23,0)</f>
        <v>35</v>
      </c>
      <c r="BQ10" s="18">
        <f>=IFERROR(BQ19+BQ22+BQ23,0)</f>
        <v>35</v>
      </c>
      <c r="BR10" s="18">
        <f>=IFERROR(BR19+BR22+BR23,0)</f>
        <v>35</v>
      </c>
      <c r="BS10" s="18">
        <f>=IFERROR(BS19+BS22+BS23,0)</f>
        <v>35</v>
      </c>
      <c r="BT10" s="18">
        <f>=IFERROR(BT19+BT22+BT23,0)</f>
        <v>34</v>
      </c>
      <c r="BU10" s="18">
        <f>=IFERROR(BU19+BU22+BU23,0)</f>
        <v>33</v>
      </c>
      <c r="BV10" s="18">
        <f>=IFERROR(BV19+BV22+BV23,0)</f>
        <v>33</v>
      </c>
      <c r="BW10" s="18">
        <f>=IFERROR(BW19+BW22+BW23,0)</f>
        <v>35</v>
      </c>
      <c r="BX10" s="18">
        <f>=IFERROR(BX19+BX22+BX23,0)</f>
        <v>35</v>
      </c>
      <c r="BY10" s="18">
        <f>=IFERROR(BY19+BY22+BY23,0)</f>
        <v>35</v>
      </c>
      <c r="BZ10" s="18">
        <f>=IFERROR(BZ19+BZ22+BZ23,0)</f>
        <v>34.5275</v>
      </c>
      <c r="CA10" s="18">
        <f>=IFERROR(CA19+CA22+CA23,0)</f>
        <v>34.09590625</v>
      </c>
      <c r="CB10" s="18">
        <f>=IFERROR(CB19+CB22+CB23,0)</f>
        <v>33.669707421875</v>
      </c>
      <c r="CC10" s="18">
        <f>=IFERROR(CC19+CC22+CC23,0)</f>
        <v>33.248836079101565</v>
      </c>
      <c r="CD10" s="18">
        <f>=IFERROR(CD19+CD22+CD23,0)</f>
        <v>32.91634771831055</v>
      </c>
      <c r="CE10" s="18">
        <f>=IFERROR(CE19+CE22+CE23,0)</f>
        <v>32.58718424112746</v>
      </c>
      <c r="CF10" s="18">
        <f>=IFERROR(CF19+CF22+CF23,0)</f>
        <v>26.261312398716186</v>
      </c>
      <c r="CG10" s="18">
        <f>=IFERROR(CG19+CG22+CG23,0)</f>
        <v>25.998699274729024</v>
      </c>
      <c r="CH10" s="18">
        <f>=IFERROR(CH19+CH22+CH23,0)</f>
        <v>25.738712281981734</v>
      </c>
      <c r="CI10" s="18">
        <f>=IFERROR(CI19+CI22+CI23,0)</f>
        <v>25.41697837845696</v>
      </c>
      <c r="CJ10" s="18">
        <f>=IFERROR(CJ19+CJ22+CJ23,0)</f>
        <v>25.09926614872625</v>
      </c>
      <c r="CK10" s="18">
        <f>=IFERROR(CK19+CK22+CK23,0)</f>
        <v>24.785525321867173</v>
      </c>
      <c r="CL10" s="18">
        <f>=IFERROR(CL19+CL22+CL23,0)</f>
        <v>24.47570625534383</v>
      </c>
      <c r="CM10" s="18">
        <f>=IFERROR(CM19+CM22+CM23,0)</f>
        <v>24.169759927152032</v>
      </c>
      <c r="CN10" s="18">
        <f>=IFERROR(CN19+CN22+CN23,0)</f>
        <v>23.86763792806263</v>
      </c>
      <c r="CO10" s="18">
        <f>=IFERROR(CO19+CO22+CO23,0)</f>
        <v>23.569292453961847</v>
      </c>
      <c r="CP10" s="18">
        <f>=IFERROR(CP19+CP22+CP23,0)</f>
        <v>23.274676298287325</v>
      </c>
      <c r="CQ10" s="18">
        <f>=IFERROR(CQ19+CQ22+CQ23,0)</f>
        <v>23.04192953530445</v>
      </c>
      <c r="CR10" s="18">
        <f>=IFERROR(CR19+CR22+CR23,0)</f>
        <v>22.811510239951406</v>
      </c>
      <c r="CS10" s="18">
        <f>=IFERROR(CS19+CS22+CS23,0)</f>
        <v>22.583395137551896</v>
      </c>
      <c r="CT10" s="18">
        <f>=IFERROR(CT19+CT22+CT23,0)</f>
        <v>22.357561186176376</v>
      </c>
      <c r="CU10" s="18">
        <f>=IFERROR(CU19+CU22+CU23,0)</f>
        <v>22.13398557431461</v>
      </c>
      <c r="CV10" s="18">
        <f>=IFERROR(CV19+CV22+CV23,0)</f>
        <v>21.85731075463568</v>
      </c>
      <c r="CW10" s="18">
        <f>=IFERROR(CW19+CW22+CW23,0)</f>
        <v>21.584094370202735</v>
      </c>
      <c r="CX10" s="18">
        <f>=IFERROR(CX19+CX22+CX23,0)</f>
        <v>21.314293190575203</v>
      </c>
      <c r="CY10" s="18">
        <f>=IFERROR(CY19+CY22+CY23,0)</f>
        <v>21.047864525693015</v>
      </c>
      <c r="CZ10" s="18">
        <f>=IFERROR(CZ19+CZ22+CZ23,0)</f>
        <v>20.784766219121856</v>
      </c>
      <c r="DA10" s="18">
        <f>=IFERROR(DA19+DA22+DA23,0)</f>
        <v>20.524956641382833</v>
      </c>
      <c r="DB10" s="18">
        <f>=IFERROR(DB19+DB22+DB23,0)</f>
        <v>20.268394683365543</v>
      </c>
    </row>
    <row r="11" ht="15" customHeight="1" spans="1:106" x14ac:dyDescent="0.25">
      <c r="A11" s="16" t="s">
        <v>245</v>
      </c>
      <c r="B11" s="17"/>
      <c r="C11" s="18">
        <f>=C10*(C47*C48*(1-C29)*(1-C46))</f>
        <v>1865.6</v>
      </c>
      <c r="D11" s="18">
        <f>=D10*(D47*D48*(1-D29)*(1-D46))</f>
        <v>2182.4</v>
      </c>
      <c r="E11" s="18">
        <f>=E10*(E47*E48*(1-E29)*(1-E46))</f>
        <v>2112</v>
      </c>
      <c r="F11" s="18">
        <f>=F10*(F47*F48*(1-F29)*(1-F46))</f>
        <v>2464</v>
      </c>
      <c r="G11" s="18">
        <f>=G10*(G47*G48*(1-G29)*(1-G46))</f>
        <v>2428.8</v>
      </c>
      <c r="H11" s="18">
        <f>=H10*(H47*H48*(1-H29)*(1-H46))</f>
        <v>2358.4</v>
      </c>
      <c r="I11" s="18">
        <f>=I10*(I47*I48*(1-I29)*(1-I46))</f>
        <v>2323.2</v>
      </c>
      <c r="J11" s="18">
        <f>=J10*(J47*J48*(1-J29)*(1-J46))</f>
        <v>2288</v>
      </c>
      <c r="K11" s="18">
        <f>=K10*(K47*K48*(1-K29)*(1-K46))</f>
        <v>2217.6</v>
      </c>
      <c r="L11" s="18">
        <f>=L10*(L47*L48*(1-L29)*(1-L46))</f>
        <v>2252.8</v>
      </c>
      <c r="M11" s="18">
        <f>=M10*(M47*M48*(1-M29)*(1-M46))</f>
        <v>2076.8</v>
      </c>
      <c r="N11" s="18">
        <f>=N10*(N47*N48*(1-N29)*(1-N46))</f>
        <v>2006.4</v>
      </c>
      <c r="O11" s="18">
        <f>=O10*(O47*O48*(1-O29)*(1-O46))</f>
        <v>1865.6</v>
      </c>
      <c r="P11" s="18">
        <f>=P10*(P47*P48*(1-P29)*(1-P46))</f>
        <v>1900.8</v>
      </c>
      <c r="Q11" s="18">
        <f>=Q10*(Q47*Q48*(1-Q29)*(1-Q46))</f>
        <v>1936</v>
      </c>
      <c r="R11" s="18">
        <f>=R10*(R47*R48*(1-R29)*(1-R46))</f>
        <v>1971.2</v>
      </c>
      <c r="S11" s="18">
        <f>=S10*(S47*S48*(1-S29)*(1-S46))</f>
        <v>1971.2</v>
      </c>
      <c r="T11" s="18">
        <f>=T10*(T47*T48*(1-T29)*(1-T46))</f>
        <v>1760</v>
      </c>
      <c r="U11" s="18">
        <f>=U10*(U47*U48*(1-U29)*(1-U46))</f>
        <v>1760</v>
      </c>
      <c r="V11" s="18">
        <f>=V10*(V47*V48*(1-V29)*(1-V46))</f>
        <v>1760</v>
      </c>
      <c r="W11" s="18">
        <f>=W10*(W47*W48*(1-W29)*(1-W46))</f>
        <v>1689.6</v>
      </c>
      <c r="X11" s="18">
        <f>=X10*(X47*X48*(1-X29)*(1-X46))</f>
        <v>1689.6</v>
      </c>
      <c r="Y11" s="18">
        <f>=Y10*(Y47*Y48*(1-Y29)*(1-Y46))</f>
        <v>1654.4</v>
      </c>
      <c r="Z11" s="18">
        <f>=Z10*(Z47*Z48*(1-Z29)*(1-Z46))</f>
        <v>1654.4</v>
      </c>
      <c r="AA11" s="18">
        <f>=AA10*(AA47*AA48*(1-AA29)*(1-AA46))</f>
        <v>1619.2</v>
      </c>
      <c r="AB11" s="18">
        <f>=AB10*(AB47*AB48*(1-AB29)*(1-AB46))</f>
        <v>1584</v>
      </c>
      <c r="AC11" s="18">
        <f>=AC10*(AC47*AC48*(1-AC29)*(1-AC46))</f>
        <v>1619.2</v>
      </c>
      <c r="AD11" s="18">
        <f>=AD10*(AD47*AD48*(1-AD29)*(1-AD46))</f>
        <v>1654.4</v>
      </c>
      <c r="AE11" s="18">
        <f>=AE10*(AE47*AE48*(1-AE29)*(1-AE46))</f>
        <v>1619.2</v>
      </c>
      <c r="AF11" s="18">
        <f>=AF10*(AF47*AF48*(1-AF29)*(1-AF46))</f>
        <v>1619.2</v>
      </c>
      <c r="AG11" s="18">
        <f>=AG10*(AG47*AG48*(1-AG29)*(1-AG46))</f>
        <v>1619.2</v>
      </c>
      <c r="AH11" s="18">
        <f>=AH10*(AH47*AH48*(1-AH29)*(1-AH46))</f>
        <v>1619.2</v>
      </c>
      <c r="AI11" s="18">
        <f>=AI10*(AI47*AI48*(1-AI29)*(1-AI46))</f>
        <v>1548.8</v>
      </c>
      <c r="AJ11" s="18">
        <f>=AJ10*(AJ47*AJ48*(1-AJ29)*(1-AJ46))</f>
        <v>1548.8</v>
      </c>
      <c r="AK11" s="18">
        <f>=AK10*(AK47*AK48*(1-AK29)*(1-AK46))</f>
        <v>1548.8</v>
      </c>
      <c r="AL11" s="18">
        <f>=AL10*(AL47*AL48*(1-AL29)*(1-AL46))</f>
        <v>1513.6</v>
      </c>
      <c r="AM11" s="18">
        <f>=AM10*(AM47*AM48*(1-AM29)*(1-AM46))</f>
        <v>1478.4</v>
      </c>
      <c r="AN11" s="18">
        <f>=AN10*(AN47*AN48*(1-AN29)*(1-AN46))</f>
        <v>1478.4</v>
      </c>
      <c r="AO11" s="18">
        <f>=AO10*(AO47*AO48*(1-AO29)*(1-AO46))</f>
        <v>1936</v>
      </c>
      <c r="AP11" s="18">
        <f>=AP10*(AP47*AP48*(1-AP29)*(1-AP46))</f>
        <v>1914</v>
      </c>
      <c r="AQ11" s="18">
        <f>=AQ10*(AQ47*AQ48*(1-AQ29)*(1-AQ46))</f>
        <v>1809.6</v>
      </c>
      <c r="AR11" s="18">
        <f>=AR10*(AR47*AR48*(1-AR29)*(1-AR46))</f>
        <v>1774.8</v>
      </c>
      <c r="AS11" s="18">
        <f>=AS10*(AS47*AS48*(1-AS29)*(1-AS46))</f>
        <v>1774.8</v>
      </c>
      <c r="AT11" s="18">
        <f>=AT10*(AT47*AT48*(1-AT29)*(1-AT46))</f>
        <v>1670.4</v>
      </c>
      <c r="AU11" s="18">
        <f>=AU10*(AU47*AU48*(1-AU29)*(1-AU46))</f>
        <v>2088</v>
      </c>
      <c r="AV11" s="18">
        <f>=AV10*(AV47*AV48*(1-AV29)*(1-AV46))</f>
        <v>1531.2</v>
      </c>
      <c r="AW11" s="18">
        <f>=AW10*(AW47*AW48*(1-AW29)*(1-AW46))</f>
        <v>1531.2</v>
      </c>
      <c r="AX11" s="18">
        <f>=AX10*(AX47*AX48*(1-AX29)*(1-AX46))</f>
        <v>1531.2</v>
      </c>
      <c r="AY11" s="18">
        <f>=AY10*(AY47*AY48*(1-AY29)*(1-AY46))</f>
        <v>1635.6</v>
      </c>
      <c r="AZ11" s="18">
        <f>=AZ10*(AZ47*AZ48*(1-AZ29)*(1-AZ46))</f>
        <v>1531.2</v>
      </c>
      <c r="BA11" s="18">
        <f>=BA10*(BA47*BA48*(1-BA29)*(1-BA46))</f>
        <v>1600.8</v>
      </c>
      <c r="BB11" s="18">
        <f>=BB10*(BB47*BB48*(1-BB29)*(1-BB46))</f>
        <v>1566</v>
      </c>
      <c r="BC11" s="18">
        <f>=BC10*(BC47*BC48*(1-BC29)*(1-BC46))</f>
        <v>1548</v>
      </c>
      <c r="BD11" s="18">
        <f>=BD10*(BD47*BD48*(1-BD29)*(1-BD46))</f>
        <v>1513.6</v>
      </c>
      <c r="BE11" s="18">
        <f>=BE10*(BE47*BE48*(1-BE29)*(1-BE46))</f>
        <v>1651.2</v>
      </c>
      <c r="BF11" s="18">
        <f>=BF10*(BF47*BF48*(1-BF29)*(1-BF46))</f>
        <v>1685.6</v>
      </c>
      <c r="BG11" s="18">
        <f>=BG10*(BG47*BG48*(1-BG29)*(1-BG46))</f>
        <v>1685.6</v>
      </c>
      <c r="BH11" s="18">
        <f>=BH10*(BH47*BH48*(1-BH29)*(1-BH46))</f>
        <v>1685.6</v>
      </c>
      <c r="BI11" s="18">
        <f>=BI10*(BI47*BI48*(1-BI29)*(1-BI46))</f>
        <v>1892</v>
      </c>
      <c r="BJ11" s="18">
        <f>=BJ10*(BJ47*BJ48*(1-BJ29)*(1-BJ46))</f>
        <v>1857.6</v>
      </c>
      <c r="BK11" s="18">
        <f>=BK10*(BK47*BK48*(1-BK29)*(1-BK46))</f>
        <v>1823.2</v>
      </c>
      <c r="BL11" s="18">
        <f>=BL10*(BL47*BL48*(1-BL29)*(1-BL46))</f>
        <v>1823.2</v>
      </c>
      <c r="BM11" s="18">
        <f>=BM10*(BM47*BM48*(1-BM29)*(1-BM46))</f>
        <v>1444.8</v>
      </c>
      <c r="BN11" s="18">
        <f>=BN10*(BN47*BN48*(1-BN29)*(1-BN46))</f>
        <v>1479.2</v>
      </c>
      <c r="BO11" s="18">
        <f>=BO10*(BO47*BO48*(1-BO29)*(1-BO46))</f>
        <v>1341.6</v>
      </c>
      <c r="BP11" s="18">
        <f>=BP10*(BP47*BP48*(1-BP29)*(1-BP46))</f>
        <v>1204</v>
      </c>
      <c r="BQ11" s="18">
        <f>=BQ10*(BQ47*BQ48*(1-BQ29)*(1-BQ46))</f>
        <v>1204</v>
      </c>
      <c r="BR11" s="18">
        <f>=BR10*(BR47*BR48*(1-BR29)*(1-BR46))</f>
        <v>1204</v>
      </c>
      <c r="BS11" s="18">
        <f>=BS10*(BS47*BS48*(1-BS29)*(1-BS46))</f>
        <v>1204</v>
      </c>
      <c r="BT11" s="18">
        <f>=BT10*(BT47*BT48*(1-BT29)*(1-BT46))</f>
        <v>1169.6</v>
      </c>
      <c r="BU11" s="18">
        <f>=BU10*(BU47*BU48*(1-BU29)*(1-BU46))</f>
        <v>1135.2</v>
      </c>
      <c r="BV11" s="18">
        <f>=BV10*(BV47*BV48*(1-BV29)*(1-BV46))</f>
        <v>1135.2</v>
      </c>
      <c r="BW11" s="18">
        <f>=BW10*(BW47*BW48*(1-BW29)*(1-BW46))</f>
        <v>1204</v>
      </c>
      <c r="BX11" s="18">
        <f>=BX10*(BX47*BX48*(1-BX29)*(1-BX46))</f>
        <v>1204</v>
      </c>
      <c r="BY11" s="18">
        <f>=BY10*(BY47*BY48*(1-BY29)*(1-BY46))</f>
        <v>1204</v>
      </c>
      <c r="BZ11" s="18">
        <f>=BZ10*(BZ47*BZ48*(1-BZ29)*(1-BZ46))</f>
        <v>1187.746</v>
      </c>
      <c r="CA11" s="18">
        <f>=CA10*(CA47*CA48*(1-CA29)*(1-CA46))</f>
        <v>1172.899175</v>
      </c>
      <c r="CB11" s="18">
        <f>=CB10*(CB47*CB48*(1-CB29)*(1-CB46))</f>
        <v>1158.2379353125</v>
      </c>
      <c r="CC11" s="18">
        <f>=CC10*(CC47*CC48*(1-CC29)*(1-CC46))</f>
        <v>1143.7599611210937</v>
      </c>
      <c r="CD11" s="18">
        <f>=CD10*(CD47*CD48*(1-CD29)*(1-CD46))</f>
        <v>1132.3223615098832</v>
      </c>
      <c r="CE11" s="18">
        <f>=CE10*(CE47*CE48*(1-CE29)*(1-CE46))</f>
        <v>1120.9991378947848</v>
      </c>
      <c r="CF11" s="18">
        <f>=CF10*(CF47*CF48*(1-CF29)*(1-CF46))</f>
        <v>903.3891465158366</v>
      </c>
      <c r="CG11" s="18">
        <f>=CG10*(CG47*CG48*(1-CG29)*(1-CG46))</f>
        <v>894.3552550506785</v>
      </c>
      <c r="CH11" s="18">
        <f>=CH10*(CH47*CH48*(1-CH29)*(1-CH46))</f>
        <v>885.4117025001716</v>
      </c>
      <c r="CI11" s="18">
        <f>=CI10*(CI47*CI48*(1-CI29)*(1-CI46))</f>
        <v>874.3440562189195</v>
      </c>
      <c r="CJ11" s="18">
        <f>=CJ10*(CJ47*CJ48*(1-CJ29)*(1-CJ46))</f>
        <v>863.414755516183</v>
      </c>
      <c r="CK11" s="18">
        <f>=CK10*(CK47*CK48*(1-CK29)*(1-CK46))</f>
        <v>852.6220710722306</v>
      </c>
      <c r="CL11" s="18">
        <f>=CL10*(CL47*CL48*(1-CL29)*(1-CL46))</f>
        <v>841.9642951838277</v>
      </c>
      <c r="CM11" s="18">
        <f>=CM10*(CM47*CM48*(1-CM29)*(1-CM46))</f>
        <v>831.4397414940299</v>
      </c>
      <c r="CN11" s="18">
        <f>=CN10*(CN47*CN48*(1-CN29)*(1-CN46))</f>
        <v>821.0467447253545</v>
      </c>
      <c r="CO11" s="18">
        <f>=CO10*(CO47*CO48*(1-CO29)*(1-CO46))</f>
        <v>810.7836604162875</v>
      </c>
      <c r="CP11" s="18">
        <f>=CP10*(CP47*CP48*(1-CP29)*(1-CP46))</f>
        <v>800.648864661084</v>
      </c>
      <c r="CQ11" s="18">
        <f>=CQ10*(CQ47*CQ48*(1-CQ29)*(1-CQ46))</f>
        <v>792.642376014473</v>
      </c>
      <c r="CR11" s="18">
        <f>=CR10*(CR47*CR48*(1-CR29)*(1-CR46))</f>
        <v>784.7159522543285</v>
      </c>
      <c r="CS11" s="18">
        <f>=CS10*(CS47*CS48*(1-CS29)*(1-CS46))</f>
        <v>776.8687927317852</v>
      </c>
      <c r="CT11" s="18">
        <f>=CT10*(CT47*CT48*(1-CT29)*(1-CT46))</f>
        <v>769.1001048044674</v>
      </c>
      <c r="CU11" s="18">
        <f>=CU10*(CU47*CU48*(1-CU29)*(1-CU46))</f>
        <v>761.4091037564226</v>
      </c>
      <c r="CV11" s="18">
        <f>=CV10*(CV47*CV48*(1-CV29)*(1-CV46))</f>
        <v>751.8914899594674</v>
      </c>
      <c r="CW11" s="18">
        <f>=CW10*(CW47*CW48*(1-CW29)*(1-CW46))</f>
        <v>742.492846334974</v>
      </c>
      <c r="CX11" s="18">
        <f>=CX10*(CX47*CX48*(1-CX29)*(1-CX46))</f>
        <v>733.211685755787</v>
      </c>
      <c r="CY11" s="18">
        <f>=CY10*(CY47*CY48*(1-CY29)*(1-CY46))</f>
        <v>724.0465396838398</v>
      </c>
      <c r="CZ11" s="18">
        <f>=CZ10*(CZ47*CZ48*(1-CZ29)*(1-CZ46))</f>
        <v>714.9959579377919</v>
      </c>
      <c r="DA11" s="18">
        <f>=DA10*(DA47*DA48*(1-DA29)*(1-DA46))</f>
        <v>706.0585084635694</v>
      </c>
      <c r="DB11" s="18">
        <f>=DB10*(DB47*DB48*(1-DB29)*(1-DB46))</f>
        <v>697.2327771077748</v>
      </c>
    </row>
    <row r="12" spans="1:106" x14ac:dyDescent="0.25">
      <c r="A12" s="16" t="s">
        <v>246</v>
      </c>
      <c r="C12" s="19">
        <f>=IFERROR(C10-C7,0)</f>
        <v>-7</v>
      </c>
      <c r="D12" s="19">
        <f>=IFERROR(D10-D7,0)</f>
        <v>-3</v>
      </c>
      <c r="E12" s="19">
        <f>=IFERROR(E10-E7,0)</f>
        <v>-5</v>
      </c>
      <c r="F12" s="19">
        <f>=IFERROR(F10-F7,0)</f>
        <v>-5</v>
      </c>
      <c r="G12" s="19">
        <f>=IFERROR(G10-G7,0)</f>
        <v>-6</v>
      </c>
      <c r="H12" s="19">
        <f>=IFERROR(H10-H7,0)</f>
        <v>-8</v>
      </c>
      <c r="I12" s="19">
        <f>=IFERROR(I10-I7,0)</f>
        <v>-9</v>
      </c>
      <c r="J12" s="19">
        <f>=IFERROR(J10-J7,0)</f>
        <v>-5</v>
      </c>
      <c r="K12" s="19">
        <f>=IFERROR(K10-K7,0)</f>
        <v>-2</v>
      </c>
      <c r="L12" s="19">
        <f>=IFERROR(L10-L7,0)</f>
        <v>4</v>
      </c>
      <c r="M12" s="19">
        <f>=IFERROR(M10-M7,0)</f>
        <v>-1</v>
      </c>
      <c r="N12" s="19">
        <f>=IFERROR(N10-N7,0)</f>
        <v>2</v>
      </c>
      <c r="O12" s="19">
        <f>=IFERROR(O10-O7,0)</f>
        <v>-2</v>
      </c>
      <c r="P12" s="19">
        <f>=IFERROR(P10-P7,0)</f>
        <v>4</v>
      </c>
      <c r="Q12" s="19">
        <f>=IFERROR(Q10-Q7,0)</f>
        <v>5</v>
      </c>
      <c r="R12" s="19">
        <f>=IFERROR(R10-R7,0)</f>
        <v>6</v>
      </c>
      <c r="S12" s="19">
        <f>=IFERROR(S10-S7,0)</f>
        <v>6</v>
      </c>
      <c r="T12" s="19">
        <f>=IFERROR(T10-T7,0)</f>
        <v>4</v>
      </c>
      <c r="U12" s="19">
        <f>=IFERROR(U10-U7,0)</f>
        <v>4</v>
      </c>
      <c r="V12" s="19">
        <f>=IFERROR(V10-V7,0)</f>
        <v>4</v>
      </c>
      <c r="W12" s="19">
        <f>=IFERROR(W10-W7,0)</f>
        <v>2</v>
      </c>
      <c r="X12" s="19">
        <f>=IFERROR(X10-X7,0)</f>
        <v>2</v>
      </c>
      <c r="Y12" s="19">
        <f>=IFERROR(Y10-Y7,0)</f>
        <v>1</v>
      </c>
      <c r="Z12" s="19">
        <f>=IFERROR(Z10-Z7,0)</f>
        <v>1</v>
      </c>
      <c r="AA12" s="19">
        <f>=IFERROR(AA10-AA7,0)</f>
        <v>0</v>
      </c>
      <c r="AB12" s="19">
        <f>=IFERROR(AB10-AB7,0)</f>
        <v>-1</v>
      </c>
      <c r="AC12" s="19">
        <f>=IFERROR(AC10-AC7,0)</f>
        <v>0</v>
      </c>
      <c r="AD12" s="19">
        <f>=IFERROR(AD10-AD7,0)</f>
        <v>1</v>
      </c>
      <c r="AE12" s="19">
        <f>=IFERROR(AE10-AE7,0)</f>
        <v>0</v>
      </c>
      <c r="AF12" s="19">
        <f>=IFERROR(AF10-AF7,0)</f>
        <v>0</v>
      </c>
      <c r="AG12" s="19">
        <f>=IFERROR(AG10-AG7,0)</f>
        <v>0</v>
      </c>
      <c r="AH12" s="19">
        <f>=IFERROR(AH10-AH7,0)</f>
        <v>0</v>
      </c>
      <c r="AI12" s="19">
        <f>=IFERROR(AI10-AI7,0)</f>
        <v>-2</v>
      </c>
      <c r="AJ12" s="19">
        <f>=IFERROR(AJ10-AJ7,0)</f>
        <v>-2</v>
      </c>
      <c r="AK12" s="19">
        <f>=IFERROR(AK10-AK7,0)</f>
        <v>-2</v>
      </c>
      <c r="AL12" s="19">
        <f>=IFERROR(AL10-AL7,0)</f>
        <v>-3</v>
      </c>
      <c r="AM12" s="19">
        <f>=IFERROR(AM10-AM7,0)</f>
        <v>-4</v>
      </c>
      <c r="AN12" s="19">
        <f>=IFERROR(AN10-AN7,0)</f>
        <v>-4</v>
      </c>
      <c r="AO12" s="19">
        <f>=IFERROR(AO10-AO7,0)</f>
        <v>9</v>
      </c>
      <c r="AP12" s="19">
        <f>=IFERROR(AP10-AP7,0)</f>
        <v>9</v>
      </c>
      <c r="AQ12" s="19">
        <f>=IFERROR(AQ10-AQ7,0)</f>
        <v>6</v>
      </c>
      <c r="AR12" s="19">
        <f>=IFERROR(AR10-AR7,0)</f>
        <v>5</v>
      </c>
      <c r="AS12" s="19">
        <f>=IFERROR(AS10-AS7,0)</f>
        <v>5</v>
      </c>
      <c r="AT12" s="19">
        <f>=IFERROR(AT10-AT7,0)</f>
        <v>2</v>
      </c>
      <c r="AU12" s="19">
        <f>=IFERROR(AU10-AU7,0)</f>
        <v>14</v>
      </c>
      <c r="AV12" s="19">
        <f>=IFERROR(AV10-AV7,0)</f>
        <v>-2</v>
      </c>
      <c r="AW12" s="19">
        <f>=IFERROR(AW10-AW7,0)</f>
        <v>-2</v>
      </c>
      <c r="AX12" s="19">
        <f>=IFERROR(AX10-AX7,0)</f>
        <v>-2</v>
      </c>
      <c r="AY12" s="19">
        <f>=IFERROR(AY10-AY7,0)</f>
        <v>1</v>
      </c>
      <c r="AZ12" s="19">
        <f>=IFERROR(AZ10-AZ7,0)</f>
        <v>-2</v>
      </c>
      <c r="BA12" s="19">
        <f>=IFERROR(BA10-BA7,0)</f>
        <v>0</v>
      </c>
      <c r="BB12" s="19">
        <f>=IFERROR(BB10-BB7,0)</f>
        <v>-1</v>
      </c>
      <c r="BC12" s="19">
        <f>=IFERROR(BC10-BC7,0)</f>
        <v>-1</v>
      </c>
      <c r="BD12" s="19">
        <f>=IFERROR(BD10-BD7,0)</f>
        <v>-2</v>
      </c>
      <c r="BE12" s="19">
        <f>=IFERROR(BE10-BE7,0)</f>
        <v>2</v>
      </c>
      <c r="BF12" s="19">
        <f>=IFERROR(BF10-BF7,0)</f>
        <v>3</v>
      </c>
      <c r="BG12" s="19">
        <f>=IFERROR(BG10-BG7,0)</f>
        <v>3</v>
      </c>
      <c r="BH12" s="19">
        <f>=IFERROR(BH10-BH7,0)</f>
        <v>3</v>
      </c>
      <c r="BI12" s="19">
        <f>=IFERROR(BI10-BI7,0)</f>
        <v>9</v>
      </c>
      <c r="BJ12" s="19">
        <f>=IFERROR(BJ10-BJ7,0)</f>
        <v>8</v>
      </c>
      <c r="BK12" s="19">
        <f>=IFERROR(BK10-BK7,0)</f>
        <v>7</v>
      </c>
      <c r="BL12" s="19">
        <f>=IFERROR(BL10-BL7,0)</f>
        <v>20</v>
      </c>
      <c r="BM12" s="19">
        <f>=IFERROR(BM10-BM7,0)</f>
        <v>9</v>
      </c>
      <c r="BN12" s="19">
        <f>=IFERROR(BN10-BN7,0)</f>
        <v>10</v>
      </c>
      <c r="BO12" s="19">
        <f>=IFERROR(BO10-BO7,0)</f>
        <v>6</v>
      </c>
      <c r="BP12" s="19">
        <f>=IFERROR(BP10-BP7,0)</f>
        <v>2</v>
      </c>
      <c r="BQ12" s="19">
        <f>=IFERROR(BQ10-BQ7,0)</f>
        <v>2</v>
      </c>
      <c r="BR12" s="19">
        <f>=IFERROR(BR10-BR7,0)</f>
        <v>2</v>
      </c>
      <c r="BS12" s="19">
        <f>=IFERROR(BS10-BS7,0)</f>
        <v>2</v>
      </c>
      <c r="BT12" s="19">
        <f>=IFERROR(BT10-BT7,0)</f>
        <v>1</v>
      </c>
      <c r="BU12" s="19">
        <f>=IFERROR(BU10-BU7,0)</f>
        <v>0</v>
      </c>
      <c r="BV12" s="19">
        <f>=IFERROR(BV10-BV7,0)</f>
        <v>0</v>
      </c>
      <c r="BW12" s="19">
        <f>=IFERROR(BW10-BW7,0)</f>
        <v>2</v>
      </c>
      <c r="BX12" s="19">
        <f>=IFERROR(BX10-BX7,0)</f>
        <v>2</v>
      </c>
      <c r="BY12" s="19">
        <f>=IFERROR(BY10-BY7,0)</f>
        <v>2</v>
      </c>
      <c r="BZ12" s="19">
        <f>=IFERROR(BZ10-BZ7,0)</f>
        <v>1.5275</v>
      </c>
      <c r="CA12" s="19">
        <f>=IFERROR(CA10-CA7,0)</f>
        <v>1.09590625</v>
      </c>
      <c r="CB12" s="19">
        <f>=IFERROR(CB10-CB7,0)</f>
        <v>0.669707421875</v>
      </c>
      <c r="CC12" s="19">
        <f>=IFERROR(CC10-CC7,0)</f>
        <v>0.248836079101564</v>
      </c>
      <c r="CD12" s="19">
        <f>=IFERROR(CD10-CD7,0)</f>
        <v>-0.08365228168945</v>
      </c>
      <c r="CE12" s="19">
        <f>=IFERROR(CE10-CE7,0)</f>
        <v>-0.41281575887254</v>
      </c>
      <c r="CF12" s="19">
        <f>=IFERROR(CF10-CF7,0)</f>
        <v>1.261312398716184</v>
      </c>
      <c r="CG12" s="19">
        <f>=IFERROR(CG10-CG7,0)</f>
        <v>0.998699274729024</v>
      </c>
      <c r="CH12" s="19">
        <f>=IFERROR(CH10-CH7,0)</f>
        <v>-7.261287718018268</v>
      </c>
      <c r="CI12" s="19">
        <f>=IFERROR(CI10-CI7,0)</f>
        <v>-7.58302162154304</v>
      </c>
      <c r="CJ12" s="19">
        <f>=IFERROR(CJ10-CJ7,0)</f>
        <v>-7.90073385127375</v>
      </c>
      <c r="CK12" s="19">
        <f>=IFERROR(CK10-CK7,0)</f>
        <v>-8.214474678132827</v>
      </c>
      <c r="CL12" s="19">
        <f>=IFERROR(CL10-CL7,0)</f>
        <v>-8.52429374465617</v>
      </c>
      <c r="CM12" s="19">
        <f>=IFERROR(CM10-CM7,0)</f>
        <v>-8.830240072847968</v>
      </c>
      <c r="CN12" s="19">
        <f>=IFERROR(CN10-CN7,0)</f>
        <v>-9.13236207193737</v>
      </c>
      <c r="CO12" s="19">
        <f>=IFERROR(CO10-CO7,0)</f>
        <v>-9.430707546038152</v>
      </c>
      <c r="CP12" s="19">
        <f>=IFERROR(CP10-CP7,0)</f>
        <v>-9.725323701712677</v>
      </c>
      <c r="CQ12" s="19">
        <f>=IFERROR(CQ10-CQ7,0)</f>
        <v>-16.95807046469555</v>
      </c>
      <c r="CR12" s="19">
        <f>=IFERROR(CR10-CR7,0)</f>
        <v>-17.188489760048594</v>
      </c>
      <c r="CS12" s="19">
        <f>=IFERROR(CS10-CS7,0)</f>
        <v>-17.416604862448104</v>
      </c>
      <c r="CT12" s="19">
        <f>=IFERROR(CT10-CT7,0)</f>
        <v>-22.642438813823624</v>
      </c>
      <c r="CU12" s="19">
        <f>=IFERROR(CU10-CU7,0)</f>
        <v>-22.86601442568539</v>
      </c>
      <c r="CV12" s="19">
        <f>=IFERROR(CV10-CV7,0)</f>
        <v>-23.14268924536432</v>
      </c>
      <c r="CW12" s="19">
        <f>=IFERROR(CW10-CW7,0)</f>
        <v>-23.415905629797265</v>
      </c>
      <c r="CX12" s="19">
        <f>=IFERROR(CX10-CX7,0)</f>
        <v>-23.685706809424797</v>
      </c>
      <c r="CY12" s="19">
        <f>=IFERROR(CY10-CY7,0)</f>
        <v>-38.952135474306985</v>
      </c>
      <c r="CZ12" s="19">
        <f>=IFERROR(CZ10-CZ7,0)</f>
        <v>-44.215233780878144</v>
      </c>
      <c r="DA12" s="19">
        <f>=IFERROR(DA10-DA7,0)</f>
        <v>-44.47504335861717</v>
      </c>
      <c r="DB12" s="19">
        <f>=IFERROR(DB10-DB7,0)</f>
        <v>-44.73160531663446</v>
      </c>
    </row>
    <row r="13" ht="15" customHeight="1" spans="1:106" x14ac:dyDescent="0.25">
      <c r="A13" s="20" t="s">
        <v>247</v>
      </c>
      <c r="B13" s="17"/>
      <c r="C13" s="21">
        <f>=IFERROR(C10-C9,0)</f>
        <v>-6</v>
      </c>
      <c r="D13" s="21">
        <f>=IFERROR(D10-D9,0)</f>
        <v>-2</v>
      </c>
      <c r="E13" s="21">
        <f>=IFERROR(E10-E9,0)</f>
        <v>-4</v>
      </c>
      <c r="F13" s="21">
        <f>=IFERROR(F10-F9,0)</f>
        <v>-4</v>
      </c>
      <c r="G13" s="21">
        <f>=IFERROR(G10-G9,0)</f>
        <v>-5</v>
      </c>
      <c r="H13" s="21">
        <f>=IFERROR(H10-H9,0)</f>
        <v>-7</v>
      </c>
      <c r="I13" s="21">
        <f>=IFERROR(I10-I9,0)</f>
        <v>-8</v>
      </c>
      <c r="J13" s="21">
        <f>=IFERROR(J10-J9,0)</f>
        <v>-4</v>
      </c>
      <c r="K13" s="21">
        <f>=IFERROR(K10-K9,0)</f>
        <v>-1</v>
      </c>
      <c r="L13" s="21">
        <f>=IFERROR(L10-L9,0)</f>
        <v>5</v>
      </c>
      <c r="M13" s="21">
        <f>=IFERROR(M10-M9,0)</f>
        <v>0</v>
      </c>
      <c r="N13" s="21">
        <f>=IFERROR(N10-N9,0)</f>
        <v>2</v>
      </c>
      <c r="O13" s="21">
        <f>=IFERROR(O10-O9,0)</f>
        <v>-2</v>
      </c>
      <c r="P13" s="21">
        <f>=IFERROR(P10-P9,0)</f>
        <v>5</v>
      </c>
      <c r="Q13" s="21">
        <f>=IFERROR(Q10-Q9,0)</f>
        <v>6</v>
      </c>
      <c r="R13" s="21">
        <f>=IFERROR(R10-R9,0)</f>
        <v>7</v>
      </c>
      <c r="S13" s="21">
        <f>=IFERROR(S10-S9,0)</f>
        <v>7</v>
      </c>
      <c r="T13" s="21">
        <f>=IFERROR(T10-T9,0)</f>
        <v>5</v>
      </c>
      <c r="U13" s="21">
        <f>=IFERROR(U10-U9,0)</f>
        <v>5</v>
      </c>
      <c r="V13" s="21">
        <f>=IFERROR(V10-V9,0)</f>
        <v>5</v>
      </c>
      <c r="W13" s="21">
        <f>=IFERROR(W10-W9,0)</f>
        <v>3</v>
      </c>
      <c r="X13" s="21">
        <f>=IFERROR(X10-X9,0)</f>
        <v>3</v>
      </c>
      <c r="Y13" s="21">
        <f>=IFERROR(Y10-Y9,0)</f>
        <v>2</v>
      </c>
      <c r="Z13" s="21">
        <f>=IFERROR(Z10-Z9,0)</f>
        <v>2</v>
      </c>
      <c r="AA13" s="21">
        <f>=IFERROR(AA10-AA9,0)</f>
        <v>1</v>
      </c>
      <c r="AB13" s="21">
        <f>=IFERROR(AB10-AB9,0)</f>
        <v>0</v>
      </c>
      <c r="AC13" s="21">
        <f>=IFERROR(AC10-AC9,0)</f>
        <v>1</v>
      </c>
      <c r="AD13" s="21">
        <f>=IFERROR(AD10-AD9,0)</f>
        <v>2</v>
      </c>
      <c r="AE13" s="21">
        <f>=IFERROR(AE10-AE9,0)</f>
        <v>1</v>
      </c>
      <c r="AF13" s="21">
        <f>=IFERROR(AF10-AF9,0)</f>
        <v>1</v>
      </c>
      <c r="AG13" s="21">
        <f>=IFERROR(AG10-AG9,0)</f>
        <v>1</v>
      </c>
      <c r="AH13" s="21">
        <f>=IFERROR(AH10-AH9,0)</f>
        <v>1</v>
      </c>
      <c r="AI13" s="21">
        <f>=IFERROR(AI10-AI9,0)</f>
        <v>-1</v>
      </c>
      <c r="AJ13" s="21">
        <f>=IFERROR(AJ10-AJ9,0)</f>
        <v>-1</v>
      </c>
      <c r="AK13" s="21">
        <f>=IFERROR(AK10-AK9,0)</f>
        <v>-1</v>
      </c>
      <c r="AL13" s="21">
        <f>=IFERROR(AL10-AL9,0)</f>
        <v>-2</v>
      </c>
      <c r="AM13" s="21">
        <f>=IFERROR(AM10-AM9,0)</f>
        <v>-3</v>
      </c>
      <c r="AN13" s="21">
        <f>=IFERROR(AN10-AN9,0)</f>
        <v>-3</v>
      </c>
      <c r="AO13" s="21">
        <f>=IFERROR(AO10-AO9,0)</f>
        <v>10</v>
      </c>
      <c r="AP13" s="21">
        <f>=IFERROR(AP10-AP9,0)</f>
        <v>9</v>
      </c>
      <c r="AQ13" s="21">
        <f>=IFERROR(AQ10-AQ9,0)</f>
        <v>6</v>
      </c>
      <c r="AR13" s="21">
        <f>=IFERROR(AR10-AR9,0)</f>
        <v>5</v>
      </c>
      <c r="AS13" s="21">
        <f>=IFERROR(AS10-AS9,0)</f>
        <v>5</v>
      </c>
      <c r="AT13" s="21">
        <f>=IFERROR(AT10-AT9,0)</f>
        <v>2</v>
      </c>
      <c r="AU13" s="21">
        <f>=IFERROR(AU10-AU9,0)</f>
        <v>14</v>
      </c>
      <c r="AV13" s="21">
        <f>=IFERROR(AV10-AV9,0)</f>
        <v>-2</v>
      </c>
      <c r="AW13" s="21">
        <f>=IFERROR(AW10-AW9,0)</f>
        <v>-2</v>
      </c>
      <c r="AX13" s="21">
        <f>=IFERROR(AX10-AX9,0)</f>
        <v>-2</v>
      </c>
      <c r="AY13" s="21">
        <f>=IFERROR(AY10-AY9,0)</f>
        <v>1</v>
      </c>
      <c r="AZ13" s="21">
        <f>=IFERROR(AZ10-AZ9,0)</f>
        <v>-2</v>
      </c>
      <c r="BA13" s="21">
        <f>=IFERROR(BA10-BA9,0)</f>
        <v>0</v>
      </c>
      <c r="BB13" s="21">
        <f>=IFERROR(BB10-BB9,0)</f>
        <v>-1</v>
      </c>
      <c r="BC13" s="21">
        <f>=IFERROR(BC10-BC9,0)</f>
        <v>-2</v>
      </c>
      <c r="BD13" s="21">
        <f>=IFERROR(BD10-BD9,0)</f>
        <v>-3</v>
      </c>
      <c r="BE13" s="21">
        <f>=IFERROR(BE10-BE9,0)</f>
        <v>1</v>
      </c>
      <c r="BF13" s="21">
        <f>=IFERROR(BF10-BF9,0)</f>
        <v>2</v>
      </c>
      <c r="BG13" s="21">
        <f>=IFERROR(BG10-BG9,0)</f>
        <v>2</v>
      </c>
      <c r="BH13" s="21">
        <f>=IFERROR(BH10-BH9,0)</f>
        <v>2</v>
      </c>
      <c r="BI13" s="21">
        <f>=IFERROR(BI10-BI9,0)</f>
        <v>8</v>
      </c>
      <c r="BJ13" s="21">
        <f>=IFERROR(BJ10-BJ9,0)</f>
        <v>7</v>
      </c>
      <c r="BK13" s="21">
        <f>=IFERROR(BK10-BK9,0)</f>
        <v>6</v>
      </c>
      <c r="BL13" s="21">
        <f>=IFERROR(BL10-BL9,0)</f>
        <v>20</v>
      </c>
      <c r="BM13" s="21">
        <f>=IFERROR(BM10-BM9,0)</f>
        <v>9</v>
      </c>
      <c r="BN13" s="21">
        <f>=IFERROR(BN10-BN9,0)</f>
        <v>10</v>
      </c>
      <c r="BO13" s="21">
        <f>=IFERROR(BO10-BO9,0)</f>
        <v>6</v>
      </c>
      <c r="BP13" s="21">
        <f>=IFERROR(BP10-BP9,0)</f>
        <v>2</v>
      </c>
      <c r="BQ13" s="21">
        <f>=IFERROR(BQ10-BQ9,0)</f>
        <v>2</v>
      </c>
      <c r="BR13" s="21">
        <f>=IFERROR(BR10-BR9,0)</f>
        <v>2</v>
      </c>
      <c r="BS13" s="21">
        <f>=IFERROR(BS10-BS9,0)</f>
        <v>2</v>
      </c>
      <c r="BT13" s="21">
        <f>=IFERROR(BT10-BT9,0)</f>
        <v>1</v>
      </c>
      <c r="BU13" s="21">
        <f>=IFERROR(BU10-BU9,0)</f>
        <v>0</v>
      </c>
      <c r="BV13" s="21">
        <f>=IFERROR(BV10-BV9,0)</f>
        <v>0</v>
      </c>
      <c r="BW13" s="21">
        <f>=IFERROR(BW10-BW9,0)</f>
        <v>2</v>
      </c>
      <c r="BX13" s="21">
        <f>=IFERROR(BX10-BX9,0)</f>
        <v>2</v>
      </c>
      <c r="BY13" s="21">
        <f>=IFERROR(BY10-BY9,0)</f>
        <v>2</v>
      </c>
      <c r="BZ13" s="21">
        <f>=IFERROR(BZ10-BZ9,0)</f>
        <v>1.5275</v>
      </c>
      <c r="CA13" s="21">
        <f>=IFERROR(CA10-CA9,0)</f>
        <v>1.09590625</v>
      </c>
      <c r="CB13" s="21">
        <f>=IFERROR(CB10-CB9,0)</f>
        <v>0.669707421875</v>
      </c>
      <c r="CC13" s="21">
        <f>=IFERROR(CC10-CC9,0)</f>
        <v>0.248836079101564</v>
      </c>
      <c r="CD13" s="21">
        <f>=IFERROR(CD10-CD9,0)</f>
        <v>-0.08365228168945</v>
      </c>
      <c r="CE13" s="21">
        <f>=IFERROR(CE10-CE9,0)</f>
        <v>-0.41281575887254</v>
      </c>
      <c r="CF13" s="21">
        <f>=IFERROR(CF10-CF9,0)</f>
        <v>1.261312398716184</v>
      </c>
      <c r="CG13" s="21">
        <f>=IFERROR(CG10-CG9,0)</f>
        <v>0.998699274729024</v>
      </c>
      <c r="CH13" s="21">
        <f>=IFERROR(CH10-CH9,0)</f>
        <v>-7.261287718018268</v>
      </c>
      <c r="CI13" s="21">
        <f>=IFERROR(CI10-CI9,0)</f>
        <v>-7.58302162154304</v>
      </c>
      <c r="CJ13" s="21">
        <f>=IFERROR(CJ10-CJ9,0)</f>
        <v>-7.90073385127375</v>
      </c>
      <c r="CK13" s="21">
        <f>=IFERROR(CK10-CK9,0)</f>
        <v>-8.214474678132827</v>
      </c>
      <c r="CL13" s="21">
        <f>=IFERROR(CL10-CL9,0)</f>
        <v>-8.52429374465617</v>
      </c>
      <c r="CM13" s="21">
        <f>=IFERROR(CM10-CM9,0)</f>
        <v>-8.830240072847968</v>
      </c>
      <c r="CN13" s="21">
        <f>=IFERROR(CN10-CN9,0)</f>
        <v>-9.13236207193737</v>
      </c>
      <c r="CO13" s="21">
        <f>=IFERROR(CO10-CO9,0)</f>
        <v>-9.430707546038152</v>
      </c>
      <c r="CP13" s="21">
        <f>=IFERROR(CP10-CP9,0)</f>
        <v>-9.725323701712677</v>
      </c>
      <c r="CQ13" s="21">
        <f>=IFERROR(CQ10-CQ9,0)</f>
        <v>-16.95807046469555</v>
      </c>
      <c r="CR13" s="21">
        <f>=IFERROR(CR10-CR9,0)</f>
        <v>-17.188489760048594</v>
      </c>
      <c r="CS13" s="21">
        <f>=IFERROR(CS10-CS9,0)</f>
        <v>-17.416604862448104</v>
      </c>
      <c r="CT13" s="21">
        <f>=IFERROR(CT10-CT9,0)</f>
        <v>-22.642438813823624</v>
      </c>
      <c r="CU13" s="21">
        <f>=IFERROR(CU10-CU9,0)</f>
        <v>-22.86601442568539</v>
      </c>
      <c r="CV13" s="21">
        <f>=IFERROR(CV10-CV9,0)</f>
        <v>-23.14268924536432</v>
      </c>
      <c r="CW13" s="21">
        <f>=IFERROR(CW10-CW9,0)</f>
        <v>-23.415905629797265</v>
      </c>
      <c r="CX13" s="21">
        <f>=IFERROR(CX10-CX9,0)</f>
        <v>-23.685706809424797</v>
      </c>
      <c r="CY13" s="21">
        <f>=IFERROR(CY10-CY9,0)</f>
        <v>-38.952135474306985</v>
      </c>
      <c r="CZ13" s="21">
        <f>=IFERROR(CZ10-CZ9,0)</f>
        <v>-45.215233780878144</v>
      </c>
      <c r="DA13" s="21">
        <f>=IFERROR(DA10-DA9,0)</f>
        <v>-45.47504335861717</v>
      </c>
      <c r="DB13" s="21">
        <f>=IFERROR(DB10-DB9,0)</f>
        <v>-45.73160531663446</v>
      </c>
    </row>
    <row r="14" ht="15" customHeight="1" spans="1:106" x14ac:dyDescent="0.25">
      <c r="A14" s="22" t="s">
        <v>248</v>
      </c>
      <c r="B14" s="17"/>
      <c r="C14" s="18">
        <f>=Round(C11-C8,0)</f>
        <v>-210</v>
      </c>
      <c r="D14" s="18">
        <f>=Round(D11-D8,0)</f>
        <v>-69</v>
      </c>
      <c r="E14" s="18">
        <f>=Round(E11-E8,0)</f>
        <v>-136</v>
      </c>
      <c r="F14" s="18">
        <f>=Round(F11-F8,0)</f>
        <v>-138</v>
      </c>
      <c r="G14" s="18">
        <f>=Round(G11-G8,0)</f>
        <v>-169</v>
      </c>
      <c r="H14" s="18">
        <f>=Round(H11-H8,0)</f>
        <v>-245</v>
      </c>
      <c r="I14" s="18">
        <f>=Round(I11-I8,0)</f>
        <v>-280</v>
      </c>
      <c r="J14" s="18">
        <f>=Round(J11-J8,0)</f>
        <v>-145</v>
      </c>
      <c r="K14" s="18">
        <f>=Round(K11-K8,0)</f>
        <v>-38</v>
      </c>
      <c r="L14" s="18">
        <f>=Round(L11-L8,0)</f>
        <v>172</v>
      </c>
      <c r="M14" s="18">
        <f>=Round(M11-M8,0)</f>
        <v>4</v>
      </c>
      <c r="N14" s="18">
        <f>=Round(N11-N8,0)</f>
        <v>85</v>
      </c>
      <c r="O14" s="18">
        <f>=Round(O11-O8,0)</f>
        <v>-56</v>
      </c>
      <c r="P14" s="18">
        <f>=Round(P11-P8,0)</f>
        <v>171</v>
      </c>
      <c r="Q14" s="18">
        <f>=Round(Q11-Q8,0)</f>
        <v>207</v>
      </c>
      <c r="R14" s="18">
        <f>=Round(R11-R8,0)</f>
        <v>242</v>
      </c>
      <c r="S14" s="18">
        <f>=Round(S11-S8,0)</f>
        <v>247</v>
      </c>
      <c r="T14" s="18">
        <f>=Round(T11-T8,0)</f>
        <v>173</v>
      </c>
      <c r="U14" s="18">
        <f>=Round(U11-U8,0)</f>
        <v>173</v>
      </c>
      <c r="V14" s="18">
        <f>=Round(V11-V8,0)</f>
        <v>173</v>
      </c>
      <c r="W14" s="18">
        <f>=Round(W11-W8,0)</f>
        <v>103</v>
      </c>
      <c r="X14" s="18">
        <f>=Round(X11-X8,0)</f>
        <v>103</v>
      </c>
      <c r="Y14" s="18">
        <f>=Round(Y11-Y8,0)</f>
        <v>62</v>
      </c>
      <c r="Z14" s="18">
        <f>=Round(Z11-Z8,0)</f>
        <v>62</v>
      </c>
      <c r="AA14" s="18">
        <f>=Round(AA11-AA8,0)</f>
        <v>27</v>
      </c>
      <c r="AB14" s="18">
        <f>=Round(AB11-AB8,0)</f>
        <v>-8</v>
      </c>
      <c r="AC14" s="18">
        <f>=Round(AC11-AC8,0)</f>
        <v>27</v>
      </c>
      <c r="AD14" s="18">
        <f>=Round(AD11-AD8,0)</f>
        <v>62</v>
      </c>
      <c r="AE14" s="18">
        <f>=Round(AE11-AE8,0)</f>
        <v>27</v>
      </c>
      <c r="AF14" s="18">
        <f>=Round(AF11-AF8,0)</f>
        <v>27</v>
      </c>
      <c r="AG14" s="18">
        <f>=Round(AG11-AG8,0)</f>
        <v>27</v>
      </c>
      <c r="AH14" s="18">
        <f>=Round(AH11-AH8,0)</f>
        <v>27</v>
      </c>
      <c r="AI14" s="18">
        <f>=Round(AI11-AI8,0)</f>
        <v>-43</v>
      </c>
      <c r="AJ14" s="18">
        <f>=Round(AJ11-AJ8,0)</f>
        <v>-43</v>
      </c>
      <c r="AK14" s="18">
        <f>=Round(AK11-AK8,0)</f>
        <v>-43</v>
      </c>
      <c r="AL14" s="18">
        <f>=Round(AL11-AL8,0)</f>
        <v>-78</v>
      </c>
      <c r="AM14" s="18">
        <f>=Round(AM11-AM8,0)</f>
        <v>-114</v>
      </c>
      <c r="AN14" s="18">
        <f>=Round(AN11-AN8,0)</f>
        <v>-114</v>
      </c>
      <c r="AO14" s="18">
        <f>=Round(AO11-AO8,0)</f>
        <v>344</v>
      </c>
      <c r="AP14" s="18">
        <f>=Round(AP11-AP8,0)</f>
        <v>310</v>
      </c>
      <c r="AQ14" s="18">
        <f>=Round(AQ11-AQ8,0)</f>
        <v>203</v>
      </c>
      <c r="AR14" s="18">
        <f>=Round(AR11-AR8,0)</f>
        <v>168</v>
      </c>
      <c r="AS14" s="18">
        <f>=Round(AS11-AS8,0)</f>
        <v>168</v>
      </c>
      <c r="AT14" s="18">
        <f>=Round(AT11-AT8,0)</f>
        <v>61</v>
      </c>
      <c r="AU14" s="18">
        <f>=Round(AU11-AU8,0)</f>
        <v>481</v>
      </c>
      <c r="AV14" s="18">
        <f>=Round(AV11-AV8,0)</f>
        <v>-82</v>
      </c>
      <c r="AW14" s="18">
        <f>=Round(AW11-AW8,0)</f>
        <v>-82</v>
      </c>
      <c r="AX14" s="18">
        <f>=Round(AX11-AX8,0)</f>
        <v>-76</v>
      </c>
      <c r="AY14" s="18">
        <f>=Round(AY11-AY8,0)</f>
        <v>36</v>
      </c>
      <c r="AZ14" s="18">
        <f>=Round(AZ11-AZ8,0)</f>
        <v>-69</v>
      </c>
      <c r="BA14" s="18">
        <f>=Round(BA11-BA8,0)</f>
        <v>1</v>
      </c>
      <c r="BB14" s="18">
        <f>=Round(BB11-BB8,0)</f>
        <v>-34</v>
      </c>
      <c r="BC14" s="18">
        <f>=Round(BC11-BC8,0)</f>
        <v>-52</v>
      </c>
      <c r="BD14" s="18">
        <f>=Round(BD11-BD8,0)</f>
        <v>-86</v>
      </c>
      <c r="BE14" s="18">
        <f>=Round(BE11-BE8,0)</f>
        <v>51</v>
      </c>
      <c r="BF14" s="18">
        <f>=Round(BF11-BF8,0)</f>
        <v>86</v>
      </c>
      <c r="BG14" s="18">
        <f>=Round(BG11-BG8,0)</f>
        <v>86</v>
      </c>
      <c r="BH14" s="18">
        <f>=Round(BH11-BH8,0)</f>
        <v>86</v>
      </c>
      <c r="BI14" s="18">
        <f>=Round(BI11-BI8,0)</f>
        <v>292</v>
      </c>
      <c r="BJ14" s="18">
        <f>=Round(BJ11-BJ8,0)</f>
        <v>258</v>
      </c>
      <c r="BK14" s="18">
        <f>=Round(BK11-BK8,0)</f>
        <v>223</v>
      </c>
      <c r="BL14" s="18">
        <f>=Round(BL11-BL8,0)</f>
        <v>675</v>
      </c>
      <c r="BM14" s="18">
        <f>=Round(BM11-BM8,0)</f>
        <v>297</v>
      </c>
      <c r="BN14" s="18">
        <f>=Round(BN11-BN8,0)</f>
        <v>331</v>
      </c>
      <c r="BO14" s="18">
        <f>=Round(BO11-BO8,0)</f>
        <v>194</v>
      </c>
      <c r="BP14" s="18">
        <f>=Round(BP11-BP8,0)</f>
        <v>56</v>
      </c>
      <c r="BQ14" s="18">
        <f>=Round(BQ11-BQ8,0)</f>
        <v>56</v>
      </c>
      <c r="BR14" s="18">
        <f>=Round(BR11-BR8,0)</f>
        <v>56</v>
      </c>
      <c r="BS14" s="18">
        <f>=Round(BS11-BS8,0)</f>
        <v>56</v>
      </c>
      <c r="BT14" s="18">
        <f>=Round(BT11-BT8,0)</f>
        <v>22</v>
      </c>
      <c r="BU14" s="18">
        <f>=Round(BU11-BU8,0)</f>
        <v>-13</v>
      </c>
      <c r="BV14" s="18">
        <f>=Round(BV11-BV8,0)</f>
        <v>-13</v>
      </c>
      <c r="BW14" s="18">
        <f>=Round(BW11-BW8,0)</f>
        <v>56</v>
      </c>
      <c r="BX14" s="18">
        <f>=Round(BX11-BX8,0)</f>
        <v>56</v>
      </c>
      <c r="BY14" s="18">
        <f>=Round(BY11-BY8,0)</f>
        <v>57</v>
      </c>
      <c r="BZ14" s="18">
        <f>=Round(BZ11-BZ8,0)</f>
        <v>38</v>
      </c>
      <c r="CA14" s="18">
        <f>=Round(CA11-CA8,0)</f>
        <v>26</v>
      </c>
      <c r="CB14" s="18">
        <f>=Round(CB11-CB8,0)</f>
        <v>11</v>
      </c>
      <c r="CC14" s="18">
        <f>=Round(CC11-CC8,0)</f>
        <v>4</v>
      </c>
      <c r="CD14" s="18">
        <f>=Round(CD11-CD8,0)</f>
        <v>-9</v>
      </c>
      <c r="CE14" s="18">
        <f>=Round(CE11-CE8,0)</f>
        <v>-20</v>
      </c>
      <c r="CF14" s="18">
        <f>=Round(CF11-CF8,0)</f>
        <v>39</v>
      </c>
      <c r="CG14" s="18">
        <f>=Round(CG11-CG8,0)</f>
        <v>30</v>
      </c>
      <c r="CH14" s="18">
        <f>=Round(CH11-CH8,0)</f>
        <v>-255</v>
      </c>
      <c r="CI14" s="18">
        <f>=Round(CI11-CI8,0)</f>
        <v>-266</v>
      </c>
      <c r="CJ14" s="18">
        <f>=Round(CJ11-CJ8,0)</f>
        <v>-277</v>
      </c>
      <c r="CK14" s="18">
        <f>=Round(CK11-CK8,0)</f>
        <v>-287</v>
      </c>
      <c r="CL14" s="18">
        <f>=Round(CL11-CL8,0)</f>
        <v>-298</v>
      </c>
      <c r="CM14" s="18">
        <f>=Round(CM11-CM8,0)</f>
        <v>-309</v>
      </c>
      <c r="CN14" s="18">
        <f>=Round(CN11-CN8,0)</f>
        <v>-319</v>
      </c>
      <c r="CO14" s="18">
        <f>=Round(CO11-CO8,0)</f>
        <v>-329</v>
      </c>
      <c r="CP14" s="18">
        <f>=Round(CP11-CP8,0)</f>
        <v>-333</v>
      </c>
      <c r="CQ14" s="18">
        <f>=Round(CQ11-CQ8,0)</f>
        <v>-590</v>
      </c>
      <c r="CR14" s="18">
        <f>=Round(CR11-CR8,0)</f>
        <v>-598</v>
      </c>
      <c r="CS14" s="18">
        <f>=Round(CS11-CS8,0)</f>
        <v>-606</v>
      </c>
      <c r="CT14" s="18">
        <f>=Round(CT11-CT8,0)</f>
        <v>-786</v>
      </c>
      <c r="CU14" s="18">
        <f>=Round(CU11-CU8,0)</f>
        <v>-793</v>
      </c>
      <c r="CV14" s="18">
        <f>=Round(CV11-CV8,0)</f>
        <v>-802</v>
      </c>
      <c r="CW14" s="18">
        <f>=Round(CW11-CW8,0)</f>
        <v>-812</v>
      </c>
      <c r="CX14" s="18">
        <f>=Round(CX11-CX8,0)</f>
        <v>-821</v>
      </c>
      <c r="CY14" s="18">
        <f>=Round(CY11-CY8,0)</f>
        <v>-1346</v>
      </c>
      <c r="CZ14" s="18">
        <f>=Round(CZ11-CZ8,0)</f>
        <v>-1540</v>
      </c>
      <c r="DA14" s="18">
        <f>=Round(DA11-DA8,0)</f>
        <v>-1549</v>
      </c>
      <c r="DB14" s="18">
        <f>=Round(DB11-DB8,0)</f>
        <v>-1558</v>
      </c>
    </row>
    <row r="15" ht="14" customHeight="1" spans="1:106" x14ac:dyDescent="0.25">
      <c r="A15" s="23" t="s">
        <v>249</v>
      </c>
      <c r="B15" s="24"/>
      <c r="C15" s="25">
        <f>=Round(IFERROR(C10/C7,0),2)</f>
        <v>0.88</v>
      </c>
      <c r="D15" s="25">
        <f>=Round(IFERROR(D10/D7,0),2)</f>
        <v>0.95</v>
      </c>
      <c r="E15" s="25">
        <f>=Round(IFERROR(E10/E7,0),2)</f>
        <v>0.92</v>
      </c>
      <c r="F15" s="25">
        <f>=Round(IFERROR(F10/F7,0),2)</f>
        <v>0.93</v>
      </c>
      <c r="G15" s="25">
        <f>=Round(IFERROR(G10/G7,0),2)</f>
        <v>0.92</v>
      </c>
      <c r="H15" s="25">
        <f>=Round(IFERROR(H10/H7,0),2)</f>
        <v>0.89</v>
      </c>
      <c r="I15" s="25">
        <f>=Round(IFERROR(I10/I7,0),2)</f>
        <v>0.88</v>
      </c>
      <c r="J15" s="25">
        <f>=Round(IFERROR(J10/J7,0),2)</f>
        <v>0.93</v>
      </c>
      <c r="K15" s="25">
        <f>=Round(IFERROR(K10/K7,0),2)</f>
        <v>0.97</v>
      </c>
      <c r="L15" s="25">
        <f>=Round(IFERROR(L10/L7,0),2)</f>
        <v>1.07</v>
      </c>
      <c r="M15" s="25">
        <f>=Round(IFERROR(M10/M7,0),2)</f>
        <v>0.98</v>
      </c>
      <c r="N15" s="25">
        <f>=Round(IFERROR(N10/N7,0),2)</f>
        <v>1.04</v>
      </c>
      <c r="O15" s="25">
        <f>=Round(IFERROR(O10/O7,0),2)</f>
        <v>0.96</v>
      </c>
      <c r="P15" s="25">
        <f>=Round(IFERROR(P10/P7,0),2)</f>
        <v>1.08</v>
      </c>
      <c r="Q15" s="25">
        <f>=Round(IFERROR(Q10/Q7,0),2)</f>
        <v>1.1</v>
      </c>
      <c r="R15" s="25">
        <f>=Round(IFERROR(R10/R7,0),2)</f>
        <v>1.12</v>
      </c>
      <c r="S15" s="25">
        <f>=Round(IFERROR(S10/S7,0),2)</f>
        <v>1.12</v>
      </c>
      <c r="T15" s="25">
        <f>=Round(IFERROR(T10/T7,0),2)</f>
        <v>1.09</v>
      </c>
      <c r="U15" s="25">
        <f>=Round(IFERROR(U10/U7,0),2)</f>
        <v>1.09</v>
      </c>
      <c r="V15" s="25">
        <f>=Round(IFERROR(V10/V7,0),2)</f>
        <v>1.09</v>
      </c>
      <c r="W15" s="25">
        <f>=Round(IFERROR(W10/W7,0),2)</f>
        <v>1.04</v>
      </c>
      <c r="X15" s="25">
        <f>=Round(IFERROR(X10/X7,0),2)</f>
        <v>1.04</v>
      </c>
      <c r="Y15" s="25">
        <f>=Round(IFERROR(Y10/Y7,0),2)</f>
        <v>1.02</v>
      </c>
      <c r="Z15" s="25">
        <f>=Round(IFERROR(Z10/Z7,0),2)</f>
        <v>1.02</v>
      </c>
      <c r="AA15" s="25">
        <f>=Round(IFERROR(AA10/AA7,0),2)</f>
        <v>1</v>
      </c>
      <c r="AB15" s="25">
        <f>=Round(IFERROR(AB10/AB7,0),2)</f>
        <v>0.98</v>
      </c>
      <c r="AC15" s="25">
        <f>=Round(IFERROR(AC10/AC7,0),2)</f>
        <v>1</v>
      </c>
      <c r="AD15" s="25">
        <f>=Round(IFERROR(AD10/AD7,0),2)</f>
        <v>1.02</v>
      </c>
      <c r="AE15" s="25">
        <f>=Round(IFERROR(AE10/AE7,0),2)</f>
        <v>1</v>
      </c>
      <c r="AF15" s="25">
        <f>=Round(IFERROR(AF10/AF7,0),2)</f>
        <v>1</v>
      </c>
      <c r="AG15" s="25">
        <f>=Round(IFERROR(AG10/AG7,0),2)</f>
        <v>1</v>
      </c>
      <c r="AH15" s="25">
        <f>=Round(IFERROR(AH10/AH7,0),2)</f>
        <v>1</v>
      </c>
      <c r="AI15" s="25">
        <f>=Round(IFERROR(AI10/AI7,0),2)</f>
        <v>0.96</v>
      </c>
      <c r="AJ15" s="25">
        <f>=Round(IFERROR(AJ10/AJ7,0),2)</f>
        <v>0.96</v>
      </c>
      <c r="AK15" s="25">
        <f>=Round(IFERROR(AK10/AK7,0),2)</f>
        <v>0.96</v>
      </c>
      <c r="AL15" s="25">
        <f>=Round(IFERROR(AL10/AL7,0),2)</f>
        <v>0.93</v>
      </c>
      <c r="AM15" s="25">
        <f>=Round(IFERROR(AM10/AM7,0),2)</f>
        <v>0.91</v>
      </c>
      <c r="AN15" s="25">
        <f>=Round(IFERROR(AN10/AN7,0),2)</f>
        <v>0.91</v>
      </c>
      <c r="AO15" s="25">
        <f>=Round(IFERROR(AO10/AO7,0),2)</f>
        <v>1.2</v>
      </c>
      <c r="AP15" s="25">
        <f>=Round(IFERROR(AP10/AP7,0),2)</f>
        <v>1.2</v>
      </c>
      <c r="AQ15" s="25">
        <f>=Round(IFERROR(AQ10/AQ7,0),2)</f>
        <v>1.13</v>
      </c>
      <c r="AR15" s="25">
        <f>=Round(IFERROR(AR10/AR7,0),2)</f>
        <v>1.11</v>
      </c>
      <c r="AS15" s="25">
        <f>=Round(IFERROR(AS10/AS7,0),2)</f>
        <v>1.11</v>
      </c>
      <c r="AT15" s="25">
        <f>=Round(IFERROR(AT10/AT7,0),2)</f>
        <v>1.04</v>
      </c>
      <c r="AU15" s="25">
        <f>=Round(IFERROR(AU10/AU7,0),2)</f>
        <v>1.3</v>
      </c>
      <c r="AV15" s="25">
        <f>=Round(IFERROR(AV10/AV7,0),2)</f>
        <v>0.96</v>
      </c>
      <c r="AW15" s="25">
        <f>=Round(IFERROR(AW10/AW7,0),2)</f>
        <v>0.96</v>
      </c>
      <c r="AX15" s="25">
        <f>=Round(IFERROR(AX10/AX7,0),2)</f>
        <v>0.96</v>
      </c>
      <c r="AY15" s="25">
        <f>=Round(IFERROR(AY10/AY7,0),2)</f>
        <v>1.02</v>
      </c>
      <c r="AZ15" s="25">
        <f>=Round(IFERROR(AZ10/AZ7,0),2)</f>
        <v>0.96</v>
      </c>
      <c r="BA15" s="25">
        <f>=Round(IFERROR(BA10/BA7,0),2)</f>
        <v>1</v>
      </c>
      <c r="BB15" s="25">
        <f>=Round(IFERROR(BB10/BB7,0),2)</f>
        <v>0.98</v>
      </c>
      <c r="BC15" s="25">
        <f>=Round(IFERROR(BC10/BC7,0),2)</f>
        <v>0.98</v>
      </c>
      <c r="BD15" s="25">
        <f>=Round(IFERROR(BD10/BD7,0),2)</f>
        <v>0.96</v>
      </c>
      <c r="BE15" s="25">
        <f>=Round(IFERROR(BE10/BE7,0),2)</f>
        <v>1.04</v>
      </c>
      <c r="BF15" s="25">
        <f>=Round(IFERROR(BF10/BF7,0),2)</f>
        <v>1.07</v>
      </c>
      <c r="BG15" s="25">
        <f>=Round(IFERROR(BG10/BG7,0),2)</f>
        <v>1.07</v>
      </c>
      <c r="BH15" s="25">
        <f>=Round(IFERROR(BH10/BH7,0),2)</f>
        <v>1.07</v>
      </c>
      <c r="BI15" s="25">
        <f>=Round(IFERROR(BI10/BI7,0),2)</f>
        <v>1.2</v>
      </c>
      <c r="BJ15" s="25">
        <f>=Round(IFERROR(BJ10/BJ7,0),2)</f>
        <v>1.17</v>
      </c>
      <c r="BK15" s="25">
        <f>=Round(IFERROR(BK10/BK7,0),2)</f>
        <v>1.15</v>
      </c>
      <c r="BL15" s="25">
        <f>=Round(IFERROR(BL10/BL7,0),2)</f>
        <v>1.61</v>
      </c>
      <c r="BM15" s="25">
        <f>=Round(IFERROR(BM10/BM7,0),2)</f>
        <v>1.27</v>
      </c>
      <c r="BN15" s="25">
        <f>=Round(IFERROR(BN10/BN7,0),2)</f>
        <v>1.3</v>
      </c>
      <c r="BO15" s="25">
        <f>=Round(IFERROR(BO10/BO7,0),2)</f>
        <v>1.18</v>
      </c>
      <c r="BP15" s="25">
        <f>=Round(IFERROR(BP10/BP7,0),2)</f>
        <v>1.06</v>
      </c>
      <c r="BQ15" s="25">
        <f>=Round(IFERROR(BQ10/BQ7,0),2)</f>
        <v>1.06</v>
      </c>
      <c r="BR15" s="25">
        <f>=Round(IFERROR(BR10/BR7,0),2)</f>
        <v>1.06</v>
      </c>
      <c r="BS15" s="25">
        <f>=Round(IFERROR(BS10/BS7,0),2)</f>
        <v>1.06</v>
      </c>
      <c r="BT15" s="25">
        <f>=Round(IFERROR(BT10/BT7,0),2)</f>
        <v>1.03</v>
      </c>
      <c r="BU15" s="25">
        <f>=Round(IFERROR(BU10/BU7,0),2)</f>
        <v>1</v>
      </c>
      <c r="BV15" s="25">
        <f>=Round(IFERROR(BV10/BV7,0),2)</f>
        <v>1</v>
      </c>
      <c r="BW15" s="25">
        <f>=Round(IFERROR(BW10/BW7,0),2)</f>
        <v>1.06</v>
      </c>
      <c r="BX15" s="25">
        <f>=Round(IFERROR(BX10/BX7,0),2)</f>
        <v>1.06</v>
      </c>
      <c r="BY15" s="25">
        <f>=Round(IFERROR(BY10/BY7,0),2)</f>
        <v>1.06</v>
      </c>
      <c r="BZ15" s="25">
        <f>=Round(IFERROR(BZ10/BZ7,0),2)</f>
        <v>1.05</v>
      </c>
      <c r="CA15" s="25">
        <f>=Round(IFERROR(CA10/CA7,0),2)</f>
        <v>1.03</v>
      </c>
      <c r="CB15" s="25">
        <f>=Round(IFERROR(CB10/CB7,0),2)</f>
        <v>1.02</v>
      </c>
      <c r="CC15" s="25">
        <f>=Round(IFERROR(CC10/CC7,0),2)</f>
        <v>1.01</v>
      </c>
      <c r="CD15" s="25">
        <f>=Round(IFERROR(CD10/CD7,0),2)</f>
        <v>1</v>
      </c>
      <c r="CE15" s="25">
        <f>=Round(IFERROR(CE10/CE7,0),2)</f>
        <v>0.99</v>
      </c>
      <c r="CF15" s="25">
        <f>=Round(IFERROR(CF10/CF7,0),2)</f>
        <v>1.05</v>
      </c>
      <c r="CG15" s="25">
        <f>=Round(IFERROR(CG10/CG7,0),2)</f>
        <v>1.04</v>
      </c>
      <c r="CH15" s="25">
        <f>=Round(IFERROR(CH10/CH7,0),2)</f>
        <v>0.78</v>
      </c>
      <c r="CI15" s="25">
        <f>=Round(IFERROR(CI10/CI7,0),2)</f>
        <v>0.77</v>
      </c>
      <c r="CJ15" s="25">
        <f>=Round(IFERROR(CJ10/CJ7,0),2)</f>
        <v>0.76</v>
      </c>
      <c r="CK15" s="25">
        <f>=Round(IFERROR(CK10/CK7,0),2)</f>
        <v>0.75</v>
      </c>
      <c r="CL15" s="25">
        <f>=Round(IFERROR(CL10/CL7,0),2)</f>
        <v>0.74</v>
      </c>
      <c r="CM15" s="25">
        <f>=Round(IFERROR(CM10/CM7,0),2)</f>
        <v>0.73</v>
      </c>
      <c r="CN15" s="25">
        <f>=Round(IFERROR(CN10/CN7,0),2)</f>
        <v>0.72</v>
      </c>
      <c r="CO15" s="25">
        <f>=Round(IFERROR(CO10/CO7,0),2)</f>
        <v>0.71</v>
      </c>
      <c r="CP15" s="25">
        <f>=Round(IFERROR(CP10/CP7,0),2)</f>
        <v>0.71</v>
      </c>
      <c r="CQ15" s="25">
        <f>=Round(IFERROR(CQ10/CQ7,0),2)</f>
        <v>0.58</v>
      </c>
      <c r="CR15" s="25">
        <f>=Round(IFERROR(CR10/CR7,0),2)</f>
        <v>0.57</v>
      </c>
      <c r="CS15" s="25">
        <f>=Round(IFERROR(CS10/CS7,0),2)</f>
        <v>0.56</v>
      </c>
      <c r="CT15" s="25">
        <f>=Round(IFERROR(CT10/CT7,0),2)</f>
        <v>0.5</v>
      </c>
      <c r="CU15" s="25">
        <f>=Round(IFERROR(CU10/CU7,0),2)</f>
        <v>0.49</v>
      </c>
      <c r="CV15" s="25">
        <f>=Round(IFERROR(CV10/CV7,0),2)</f>
        <v>0.49</v>
      </c>
      <c r="CW15" s="25">
        <f>=Round(IFERROR(CW10/CW7,0),2)</f>
        <v>0.48</v>
      </c>
      <c r="CX15" s="25">
        <f>=Round(IFERROR(CX10/CX7,0),2)</f>
        <v>0.47</v>
      </c>
      <c r="CY15" s="25">
        <f>=Round(IFERROR(CY10/CY7,0),2)</f>
        <v>0.35</v>
      </c>
      <c r="CZ15" s="25">
        <f>=Round(IFERROR(CZ10/CZ7,0),2)</f>
        <v>0.32</v>
      </c>
      <c r="DA15" s="25">
        <f>=Round(IFERROR(DA10/DA7,0),2)</f>
        <v>0.32</v>
      </c>
      <c r="DB15" s="25">
        <f>=Round(IFERROR(DB10/DB7,0),2)</f>
        <v>0.31</v>
      </c>
    </row>
    <row r="16" spans="1:106" x14ac:dyDescent="0.25">
      <c r="A16" s="23" t="s">
        <v>250</v>
      </c>
      <c r="B16" s="24"/>
      <c r="C16" s="25">
        <f>=Round(IFERROR(C10/C9,0),2)</f>
        <v>0.9</v>
      </c>
      <c r="D16" s="25">
        <f>=Round(IFERROR(D10/D9,0),2)</f>
        <v>0.97</v>
      </c>
      <c r="E16" s="25">
        <f>=Round(IFERROR(E10/E9,0),2)</f>
        <v>0.94</v>
      </c>
      <c r="F16" s="25">
        <f>=Round(IFERROR(F10/F9,0),2)</f>
        <v>0.95</v>
      </c>
      <c r="G16" s="25">
        <f>=Round(IFERROR(G10/G9,0),2)</f>
        <v>0.93</v>
      </c>
      <c r="H16" s="25">
        <f>=Round(IFERROR(H10/H9,0),2)</f>
        <v>0.91</v>
      </c>
      <c r="I16" s="25">
        <f>=Round(IFERROR(I10/I9,0),2)</f>
        <v>0.89</v>
      </c>
      <c r="J16" s="25">
        <f>=Round(IFERROR(J10/J9,0),2)</f>
        <v>0.94</v>
      </c>
      <c r="K16" s="25">
        <f>=Round(IFERROR(K10/K9,0),2)</f>
        <v>0.98</v>
      </c>
      <c r="L16" s="25">
        <f>=Round(IFERROR(L10/L9,0),2)</f>
        <v>1.08</v>
      </c>
      <c r="M16" s="25">
        <f>=Round(IFERROR(M10/M9,0),2)</f>
        <v>1</v>
      </c>
      <c r="N16" s="25">
        <f>=Round(IFERROR(N10/N9,0),2)</f>
        <v>1.04</v>
      </c>
      <c r="O16" s="25">
        <f>=Round(IFERROR(O10/O9,0),2)</f>
        <v>0.96</v>
      </c>
      <c r="P16" s="25">
        <f>=Round(IFERROR(P10/P9,0),2)</f>
        <v>1.1</v>
      </c>
      <c r="Q16" s="25">
        <f>=Round(IFERROR(Q10/Q9,0),2)</f>
        <v>1.12</v>
      </c>
      <c r="R16" s="25">
        <f>=Round(IFERROR(R10/R9,0),2)</f>
        <v>1.14</v>
      </c>
      <c r="S16" s="25">
        <f>=Round(IFERROR(S10/S9,0),2)</f>
        <v>1.14</v>
      </c>
      <c r="T16" s="25">
        <f>=Round(IFERROR(T10/T9,0),2)</f>
        <v>1.11</v>
      </c>
      <c r="U16" s="25">
        <f>=Round(IFERROR(U10/U9,0),2)</f>
        <v>1.11</v>
      </c>
      <c r="V16" s="25">
        <f>=Round(IFERROR(V10/V9,0),2)</f>
        <v>1.11</v>
      </c>
      <c r="W16" s="25">
        <f>=Round(IFERROR(W10/W9,0),2)</f>
        <v>1.07</v>
      </c>
      <c r="X16" s="25">
        <f>=Round(IFERROR(X10/X9,0),2)</f>
        <v>1.07</v>
      </c>
      <c r="Y16" s="25">
        <f>=Round(IFERROR(Y10/Y9,0),2)</f>
        <v>1.04</v>
      </c>
      <c r="Z16" s="25">
        <f>=Round(IFERROR(Z10/Z9,0),2)</f>
        <v>1.04</v>
      </c>
      <c r="AA16" s="25">
        <f>=Round(IFERROR(AA10/AA9,0),2)</f>
        <v>1.02</v>
      </c>
      <c r="AB16" s="25">
        <f>=Round(IFERROR(AB10/AB9,0),2)</f>
        <v>1</v>
      </c>
      <c r="AC16" s="25">
        <f>=Round(IFERROR(AC10/AC9,0),2)</f>
        <v>1.02</v>
      </c>
      <c r="AD16" s="25">
        <f>=Round(IFERROR(AD10/AD9,0),2)</f>
        <v>1.04</v>
      </c>
      <c r="AE16" s="25">
        <f>=Round(IFERROR(AE10/AE9,0),2)</f>
        <v>1.02</v>
      </c>
      <c r="AF16" s="25">
        <f>=Round(IFERROR(AF10/AF9,0),2)</f>
        <v>1.02</v>
      </c>
      <c r="AG16" s="25">
        <f>=Round(IFERROR(AG10/AG9,0),2)</f>
        <v>1.02</v>
      </c>
      <c r="AH16" s="25">
        <f>=Round(IFERROR(AH10/AH9,0),2)</f>
        <v>1.02</v>
      </c>
      <c r="AI16" s="25">
        <f>=Round(IFERROR(AI10/AI9,0),2)</f>
        <v>0.98</v>
      </c>
      <c r="AJ16" s="25">
        <f>=Round(IFERROR(AJ10/AJ9,0),2)</f>
        <v>0.98</v>
      </c>
      <c r="AK16" s="25">
        <f>=Round(IFERROR(AK10/AK9,0),2)</f>
        <v>0.98</v>
      </c>
      <c r="AL16" s="25">
        <f>=Round(IFERROR(AL10/AL9,0),2)</f>
        <v>0.96</v>
      </c>
      <c r="AM16" s="25">
        <f>=Round(IFERROR(AM10/AM9,0),2)</f>
        <v>0.93</v>
      </c>
      <c r="AN16" s="25">
        <f>=Round(IFERROR(AN10/AN9,0),2)</f>
        <v>0.93</v>
      </c>
      <c r="AO16" s="25">
        <f>=Round(IFERROR(AO10/AO9,0),2)</f>
        <v>1.22</v>
      </c>
      <c r="AP16" s="25">
        <f>=Round(IFERROR(AP10/AP9,0),2)</f>
        <v>1.2</v>
      </c>
      <c r="AQ16" s="25">
        <f>=Round(IFERROR(AQ10/AQ9,0),2)</f>
        <v>1.13</v>
      </c>
      <c r="AR16" s="25">
        <f>=Round(IFERROR(AR10/AR9,0),2)</f>
        <v>1.11</v>
      </c>
      <c r="AS16" s="25">
        <f>=Round(IFERROR(AS10/AS9,0),2)</f>
        <v>1.11</v>
      </c>
      <c r="AT16" s="25">
        <f>=Round(IFERROR(AT10/AT9,0),2)</f>
        <v>1.04</v>
      </c>
      <c r="AU16" s="25">
        <f>=Round(IFERROR(AU10/AU9,0),2)</f>
        <v>1.3</v>
      </c>
      <c r="AV16" s="25">
        <f>=Round(IFERROR(AV10/AV9,0),2)</f>
        <v>0.96</v>
      </c>
      <c r="AW16" s="25">
        <f>=Round(IFERROR(AW10/AW9,0),2)</f>
        <v>0.96</v>
      </c>
      <c r="AX16" s="25">
        <f>=Round(IFERROR(AX10/AX9,0),2)</f>
        <v>0.96</v>
      </c>
      <c r="AY16" s="25">
        <f>=Round(IFERROR(AY10/AY9,0),2)</f>
        <v>1.02</v>
      </c>
      <c r="AZ16" s="25">
        <f>=Round(IFERROR(AZ10/AZ9,0),2)</f>
        <v>0.96</v>
      </c>
      <c r="BA16" s="25">
        <f>=Round(IFERROR(BA10/BA9,0),2)</f>
        <v>1</v>
      </c>
      <c r="BB16" s="25">
        <f>=Round(IFERROR(BB10/BB9,0),2)</f>
        <v>0.98</v>
      </c>
      <c r="BC16" s="25">
        <f>=Round(IFERROR(BC10/BC9,0),2)</f>
        <v>0.96</v>
      </c>
      <c r="BD16" s="25">
        <f>=Round(IFERROR(BD10/BD9,0),2)</f>
        <v>0.94</v>
      </c>
      <c r="BE16" s="25">
        <f>=Round(IFERROR(BE10/BE9,0),2)</f>
        <v>1.02</v>
      </c>
      <c r="BF16" s="25">
        <f>=Round(IFERROR(BF10/BF9,0),2)</f>
        <v>1.04</v>
      </c>
      <c r="BG16" s="25">
        <f>=Round(IFERROR(BG10/BG9,0),2)</f>
        <v>1.04</v>
      </c>
      <c r="BH16" s="25">
        <f>=Round(IFERROR(BH10/BH9,0),2)</f>
        <v>1.04</v>
      </c>
      <c r="BI16" s="25">
        <f>=Round(IFERROR(BI10/BI9,0),2)</f>
        <v>1.17</v>
      </c>
      <c r="BJ16" s="25">
        <f>=Round(IFERROR(BJ10/BJ9,0),2)</f>
        <v>1.15</v>
      </c>
      <c r="BK16" s="25">
        <f>=Round(IFERROR(BK10/BK9,0),2)</f>
        <v>1.13</v>
      </c>
      <c r="BL16" s="25">
        <f>=Round(IFERROR(BL10/BL9,0),2)</f>
        <v>1.61</v>
      </c>
      <c r="BM16" s="25">
        <f>=Round(IFERROR(BM10/BM9,0),2)</f>
        <v>1.27</v>
      </c>
      <c r="BN16" s="25">
        <f>=Round(IFERROR(BN10/BN9,0),2)</f>
        <v>1.3</v>
      </c>
      <c r="BO16" s="25">
        <f>=Round(IFERROR(BO10/BO9,0),2)</f>
        <v>1.18</v>
      </c>
      <c r="BP16" s="25">
        <f>=Round(IFERROR(BP10/BP9,0),2)</f>
        <v>1.06</v>
      </c>
      <c r="BQ16" s="25">
        <f>=Round(IFERROR(BQ10/BQ9,0),2)</f>
        <v>1.06</v>
      </c>
      <c r="BR16" s="25">
        <f>=Round(IFERROR(BR10/BR9,0),2)</f>
        <v>1.06</v>
      </c>
      <c r="BS16" s="25">
        <f>=Round(IFERROR(BS10/BS9,0),2)</f>
        <v>1.06</v>
      </c>
      <c r="BT16" s="25">
        <f>=Round(IFERROR(BT10/BT9,0),2)</f>
        <v>1.03</v>
      </c>
      <c r="BU16" s="25">
        <f>=Round(IFERROR(BU10/BU9,0),2)</f>
        <v>1</v>
      </c>
      <c r="BV16" s="25">
        <f>=Round(IFERROR(BV10/BV9,0),2)</f>
        <v>1</v>
      </c>
      <c r="BW16" s="25">
        <f>=Round(IFERROR(BW10/BW9,0),2)</f>
        <v>1.06</v>
      </c>
      <c r="BX16" s="25">
        <f>=Round(IFERROR(BX10/BX9,0),2)</f>
        <v>1.06</v>
      </c>
      <c r="BY16" s="25">
        <f>=Round(IFERROR(BY10/BY9,0),2)</f>
        <v>1.06</v>
      </c>
      <c r="BZ16" s="25">
        <f>=Round(IFERROR(BZ10/BZ9,0),2)</f>
        <v>1.05</v>
      </c>
      <c r="CA16" s="25">
        <f>=Round(IFERROR(CA10/CA9,0),2)</f>
        <v>1.03</v>
      </c>
      <c r="CB16" s="25">
        <f>=Round(IFERROR(CB10/CB9,0),2)</f>
        <v>1.02</v>
      </c>
      <c r="CC16" s="25">
        <f>=Round(IFERROR(CC10/CC9,0),2)</f>
        <v>1.01</v>
      </c>
      <c r="CD16" s="25">
        <f>=Round(IFERROR(CD10/CD9,0),2)</f>
        <v>1</v>
      </c>
      <c r="CE16" s="25">
        <f>=Round(IFERROR(CE10/CE9,0),2)</f>
        <v>0.99</v>
      </c>
      <c r="CF16" s="25">
        <f>=Round(IFERROR(CF10/CF9,0),2)</f>
        <v>1.05</v>
      </c>
      <c r="CG16" s="25">
        <f>=Round(IFERROR(CG10/CG9,0),2)</f>
        <v>1.04</v>
      </c>
      <c r="CH16" s="25">
        <f>=Round(IFERROR(CH10/CH9,0),2)</f>
        <v>0.78</v>
      </c>
      <c r="CI16" s="25">
        <f>=Round(IFERROR(CI10/CI9,0),2)</f>
        <v>0.77</v>
      </c>
      <c r="CJ16" s="25">
        <f>=Round(IFERROR(CJ10/CJ9,0),2)</f>
        <v>0.76</v>
      </c>
      <c r="CK16" s="25">
        <f>=Round(IFERROR(CK10/CK9,0),2)</f>
        <v>0.75</v>
      </c>
      <c r="CL16" s="25">
        <f>=Round(IFERROR(CL10/CL9,0),2)</f>
        <v>0.74</v>
      </c>
      <c r="CM16" s="25">
        <f>=Round(IFERROR(CM10/CM9,0),2)</f>
        <v>0.73</v>
      </c>
      <c r="CN16" s="25">
        <f>=Round(IFERROR(CN10/CN9,0),2)</f>
        <v>0.72</v>
      </c>
      <c r="CO16" s="25">
        <f>=Round(IFERROR(CO10/CO9,0),2)</f>
        <v>0.71</v>
      </c>
      <c r="CP16" s="25">
        <f>=Round(IFERROR(CP10/CP9,0),2)</f>
        <v>0.71</v>
      </c>
      <c r="CQ16" s="25">
        <f>=Round(IFERROR(CQ10/CQ9,0),2)</f>
        <v>0.58</v>
      </c>
      <c r="CR16" s="25">
        <f>=Round(IFERROR(CR10/CR9,0),2)</f>
        <v>0.57</v>
      </c>
      <c r="CS16" s="25">
        <f>=Round(IFERROR(CS10/CS9,0),2)</f>
        <v>0.56</v>
      </c>
      <c r="CT16" s="25">
        <f>=Round(IFERROR(CT10/CT9,0),2)</f>
        <v>0.5</v>
      </c>
      <c r="CU16" s="25">
        <f>=Round(IFERROR(CU10/CU9,0),2)</f>
        <v>0.49</v>
      </c>
      <c r="CV16" s="25">
        <f>=Round(IFERROR(CV10/CV9,0),2)</f>
        <v>0.49</v>
      </c>
      <c r="CW16" s="25">
        <f>=Round(IFERROR(CW10/CW9,0),2)</f>
        <v>0.48</v>
      </c>
      <c r="CX16" s="25">
        <f>=Round(IFERROR(CX10/CX9,0),2)</f>
        <v>0.47</v>
      </c>
      <c r="CY16" s="25">
        <f>=Round(IFERROR(CY10/CY9,0),2)</f>
        <v>0.35</v>
      </c>
      <c r="CZ16" s="25">
        <f>=Round(IFERROR(CZ10/CZ9,0),2)</f>
        <v>0.31</v>
      </c>
      <c r="DA16" s="25">
        <f>=Round(IFERROR(DA10/DA9,0),2)</f>
        <v>0.31</v>
      </c>
      <c r="DB16" s="25">
        <f>=Round(IFERROR(DB10/DB9,0),2)</f>
        <v>0.31</v>
      </c>
    </row>
    <row r="17" ht="14" customHeight="1" spans="1:106" x14ac:dyDescent="0.25">
      <c r="A17" s="23" t="s">
        <v>251</v>
      </c>
      <c r="B17" s="24"/>
      <c r="C17" s="26">
        <f>=IFERROR(C11/C8,0)</f>
        <v>0.8986512524084779</v>
      </c>
      <c r="D17" s="26">
        <f>=IFERROR(D11/D8,0)</f>
        <v>0.9695246557085739</v>
      </c>
      <c r="E17" s="25">
        <f>=IFERROR(E11/E8,0)</f>
        <v>0.9395017793594306</v>
      </c>
      <c r="F17" s="25">
        <f>=IFERROR(F11/F8,0)</f>
        <v>0.9469638739431206</v>
      </c>
      <c r="G17" s="25">
        <f>=IFERROR(G11/G8,0)</f>
        <v>0.9348729792147806</v>
      </c>
      <c r="H17" s="25">
        <f>=IFERROR(H11/H8,0)</f>
        <v>0.9060315021129466</v>
      </c>
      <c r="I17" s="25">
        <f>=IFERROR(I11/I8,0)</f>
        <v>0.8925086438724549</v>
      </c>
      <c r="J17" s="25">
        <f>=IFERROR(J11/J8,0)</f>
        <v>0.9404027949034114</v>
      </c>
      <c r="K17" s="25">
        <f>=IFERROR(K11/K8,0)</f>
        <v>0.9829787234042553</v>
      </c>
      <c r="L17" s="25">
        <f>=IFERROR(L11/L8,0)</f>
        <v>1.0825564632388276</v>
      </c>
      <c r="M17" s="25">
        <f>=IFERROR(M11/M8,0)</f>
        <v>1.0018330921369996</v>
      </c>
      <c r="N17" s="25">
        <f>=IFERROR(N11/N8,0)</f>
        <v>1.044456012493493</v>
      </c>
      <c r="O17" s="25">
        <f>=IFERROR(O11/O8,0)</f>
        <v>0.9706555671175858</v>
      </c>
      <c r="P17" s="25">
        <f>=IFERROR(P11/P8,0)</f>
        <v>1.0987283236994219</v>
      </c>
      <c r="Q17" s="25">
        <f>=IFERROR(Q11/Q8,0)</f>
        <v>1.1197223828802776</v>
      </c>
      <c r="R17" s="25">
        <f>=IFERROR(R11/R8,0)</f>
        <v>1.140080971659919</v>
      </c>
      <c r="S17" s="25">
        <f>=IFERROR(S11/S8,0)</f>
        <v>1.14338747099768</v>
      </c>
      <c r="T17" s="25">
        <f>=IFERROR(T11/T8,0)</f>
        <v>1.1090107120352868</v>
      </c>
      <c r="U17" s="25">
        <f>=IFERROR(U11/U8,0)</f>
        <v>1.1090107120352868</v>
      </c>
      <c r="V17" s="25">
        <f>=IFERROR(V11/V8,0)</f>
        <v>1.1090107120352868</v>
      </c>
      <c r="W17" s="25">
        <f>=IFERROR(W11/W8,0)</f>
        <v>1.0646502835538751</v>
      </c>
      <c r="X17" s="25">
        <f>=IFERROR(X11/X8,0)</f>
        <v>1.0646502835538751</v>
      </c>
      <c r="Y17" s="25">
        <f>=IFERROR(Y11/Y8,0)</f>
        <v>1.0391959798994974</v>
      </c>
      <c r="Z17" s="25">
        <f>=IFERROR(Z11/Z8,0)</f>
        <v>1.0391959798994974</v>
      </c>
      <c r="AA17" s="25">
        <f>=IFERROR(AA11/AA8,0)</f>
        <v>1.0170854271356784</v>
      </c>
      <c r="AB17" s="25">
        <f>=IFERROR(AB11/AB8,0)</f>
        <v>0.9949748743718593</v>
      </c>
      <c r="AC17" s="25">
        <f>=IFERROR(AC11/AC8,0)</f>
        <v>1.0170854271356784</v>
      </c>
      <c r="AD17" s="25">
        <f>=IFERROR(AD11/AD8,0)</f>
        <v>1.0391959798994974</v>
      </c>
      <c r="AE17" s="25">
        <f>=IFERROR(AE11/AE8,0)</f>
        <v>1.0170854271356784</v>
      </c>
      <c r="AF17" s="25">
        <f>=IFERROR(AF11/AF8,0)</f>
        <v>1.0170854271356784</v>
      </c>
      <c r="AG17" s="25">
        <f>=IFERROR(AG11/AG8,0)</f>
        <v>1.0170854271356784</v>
      </c>
      <c r="AH17" s="25">
        <f>=IFERROR(AH11/AH8,0)</f>
        <v>1.0170854271356784</v>
      </c>
      <c r="AI17" s="25">
        <f>=IFERROR(AI11/AI8,0)</f>
        <v>0.9728643216080402</v>
      </c>
      <c r="AJ17" s="25">
        <f>=IFERROR(AJ11/AJ8,0)</f>
        <v>0.9728643216080402</v>
      </c>
      <c r="AK17" s="25">
        <f>=IFERROR(AK11/AK8,0)</f>
        <v>0.9728643216080402</v>
      </c>
      <c r="AL17" s="25">
        <f>=IFERROR(AL11/AL8,0)</f>
        <v>0.9507537688442211</v>
      </c>
      <c r="AM17" s="25">
        <f>=IFERROR(AM11/AM8,0)</f>
        <v>0.928643216080402</v>
      </c>
      <c r="AN17" s="25">
        <f>=IFERROR(AN11/AN8,0)</f>
        <v>0.928643216080402</v>
      </c>
      <c r="AO17" s="25">
        <f>=IFERROR(AO11/AO8,0)</f>
        <v>1.2160804020100502</v>
      </c>
      <c r="AP17" s="25">
        <f>=IFERROR(AP11/AP8,0)</f>
        <v>1.1932668329177056</v>
      </c>
      <c r="AQ17" s="25">
        <f>=IFERROR(AQ11/AQ8,0)</f>
        <v>1.1260734287492222</v>
      </c>
      <c r="AR17" s="25">
        <f>=IFERROR(AR11/AR8,0)</f>
        <v>1.1044181705040448</v>
      </c>
      <c r="AS17" s="25">
        <f>=IFERROR(AS11/AS8,0)</f>
        <v>1.1044181705040448</v>
      </c>
      <c r="AT17" s="25">
        <f>=IFERROR(AT11/AT8,0)</f>
        <v>1.0381603480422623</v>
      </c>
      <c r="AU17" s="25">
        <f>=IFERROR(AU11/AU8,0)</f>
        <v>1.299315494710641</v>
      </c>
      <c r="AV17" s="25">
        <f>=IFERROR(AV11/AV8,0)</f>
        <v>0.9492870427774334</v>
      </c>
      <c r="AW17" s="25">
        <f>=IFERROR(AW11/AW8,0)</f>
        <v>0.9492870427774334</v>
      </c>
      <c r="AX17" s="25">
        <f>=IFERROR(AX11/AX8,0)</f>
        <v>0.9528313627878033</v>
      </c>
      <c r="AY17" s="25">
        <f>=IFERROR(AY11/AY8,0)</f>
        <v>1.02225</v>
      </c>
      <c r="AZ17" s="25">
        <f>=IFERROR(AZ11/AZ8,0)</f>
        <v>0.957</v>
      </c>
      <c r="BA17" s="25">
        <f>=IFERROR(BA11/BA8,0)</f>
        <v>1.0005</v>
      </c>
      <c r="BB17" s="25">
        <f>=IFERROR(BB11/BB8,0)</f>
        <v>0.97875</v>
      </c>
      <c r="BC17" s="25">
        <f>=IFERROR(BC11/BC8,0)</f>
        <v>0.9675</v>
      </c>
      <c r="BD17" s="25">
        <f>=IFERROR(BD11/BD8,0)</f>
        <v>0.946</v>
      </c>
      <c r="BE17" s="25">
        <f>=IFERROR(BE11/BE8,0)</f>
        <v>1.032</v>
      </c>
      <c r="BF17" s="25">
        <f>=IFERROR(BF11/BF8,0)</f>
        <v>1.0535</v>
      </c>
      <c r="BG17" s="25">
        <f>=IFERROR(BG11/BG8,0)</f>
        <v>1.0535</v>
      </c>
      <c r="BH17" s="25">
        <f>=IFERROR(BH11/BH8,0)</f>
        <v>1.0535</v>
      </c>
      <c r="BI17" s="25">
        <f>=IFERROR(BI11/BI8,0)</f>
        <v>1.1825</v>
      </c>
      <c r="BJ17" s="25">
        <f>=IFERROR(BJ11/BJ8,0)</f>
        <v>1.161</v>
      </c>
      <c r="BK17" s="25">
        <f>=IFERROR(BK11/BK8,0)</f>
        <v>1.1395</v>
      </c>
      <c r="BL17" s="25">
        <f>=IFERROR(BL11/BL8,0)</f>
        <v>1.5881533101045295</v>
      </c>
      <c r="BM17" s="25">
        <f>=IFERROR(BM11/BM8,0)</f>
        <v>1.2585365853658537</v>
      </c>
      <c r="BN17" s="25">
        <f>=IFERROR(BN11/BN8,0)</f>
        <v>1.2885017421602787</v>
      </c>
      <c r="BO17" s="25">
        <f>=IFERROR(BO11/BO8,0)</f>
        <v>1.1686411149825784</v>
      </c>
      <c r="BP17" s="25">
        <f>=IFERROR(BP11/BP8,0)</f>
        <v>1.048780487804878</v>
      </c>
      <c r="BQ17" s="25">
        <f>=IFERROR(BQ11/BQ8,0)</f>
        <v>1.048780487804878</v>
      </c>
      <c r="BR17" s="25">
        <f>=IFERROR(BR11/BR8,0)</f>
        <v>1.048780487804878</v>
      </c>
      <c r="BS17" s="25">
        <f>=IFERROR(BS11/BS8,0)</f>
        <v>1.048780487804878</v>
      </c>
      <c r="BT17" s="25">
        <f>=IFERROR(BT11/BT8,0)</f>
        <v>1.0188153310104529</v>
      </c>
      <c r="BU17" s="25">
        <f>=IFERROR(BU11/BU8,0)</f>
        <v>0.9888501742160278</v>
      </c>
      <c r="BV17" s="25">
        <f>=IFERROR(BV11/BV8,0)</f>
        <v>0.9888501742160278</v>
      </c>
      <c r="BW17" s="25">
        <f>=IFERROR(BW11/BW8,0)</f>
        <v>1.048780487804878</v>
      </c>
      <c r="BX17" s="25">
        <f>=IFERROR(BX11/BX8,0)</f>
        <v>1.048780487804878</v>
      </c>
      <c r="BY17" s="25">
        <f>=IFERROR(BY11/BY8,0)</f>
        <v>1.049694856146469</v>
      </c>
      <c r="BZ17" s="25">
        <f>=IFERROR(BZ11/BZ8,0)</f>
        <v>1.0328226086956522</v>
      </c>
      <c r="CA17" s="25">
        <f>=IFERROR(CA11/CA8,0)</f>
        <v>1.0225799258936357</v>
      </c>
      <c r="CB17" s="25">
        <f>=IFERROR(CB11/CB8,0)</f>
        <v>1.009797676819965</v>
      </c>
      <c r="CC17" s="25">
        <f>=IFERROR(CC11/CC8,0)</f>
        <v>1.0032982115097313</v>
      </c>
      <c r="CD17" s="25">
        <f>=IFERROR(CD11/CD8,0)</f>
        <v>0.9923947077211948</v>
      </c>
      <c r="CE17" s="25">
        <f>=IFERROR(CE11/CE8,0)</f>
        <v>0.9824707606439832</v>
      </c>
      <c r="CF17" s="25">
        <f>=IFERROR(CF11/CF8,0)</f>
        <v>1.045589289948885</v>
      </c>
      <c r="CG17" s="25">
        <f>=IFERROR(CG11/CG8,0)</f>
        <v>1.0351333970493963</v>
      </c>
      <c r="CH17" s="25">
        <f>=IFERROR(CH11/CH8,0)</f>
        <v>0.7766769320176944</v>
      </c>
      <c r="CI17" s="25">
        <f>=IFERROR(CI11/CI8,0)</f>
        <v>0.7669684703674733</v>
      </c>
      <c r="CJ17" s="25">
        <f>=IFERROR(CJ11/CJ8,0)</f>
        <v>0.7573813644878798</v>
      </c>
      <c r="CK17" s="25">
        <f>=IFERROR(CK11/CK8,0)</f>
        <v>0.7479140974317813</v>
      </c>
      <c r="CL17" s="25">
        <f>=IFERROR(CL11/CL8,0)</f>
        <v>0.738565171213884</v>
      </c>
      <c r="CM17" s="25">
        <f>=IFERROR(CM11/CM8,0)</f>
        <v>0.7293331065737104</v>
      </c>
      <c r="CN17" s="25">
        <f>=IFERROR(CN11/CN8,0)</f>
        <v>0.7202164427415391</v>
      </c>
      <c r="CO17" s="25">
        <f>=IFERROR(CO11/CO8,0)</f>
        <v>0.7112137372072698</v>
      </c>
      <c r="CP17" s="25">
        <f>=IFERROR(CP11/CP8,0)</f>
        <v>0.7060395631931957</v>
      </c>
      <c r="CQ17" s="25">
        <f>=IFERROR(CQ11/CQ8,0)</f>
        <v>0.5731325929244201</v>
      </c>
      <c r="CR17" s="25">
        <f>=IFERROR(CR11/CR8,0)</f>
        <v>0.567401266995176</v>
      </c>
      <c r="CS17" s="25">
        <f>=IFERROR(CS11/CS8,0)</f>
        <v>0.5617272543252243</v>
      </c>
      <c r="CT17" s="25">
        <f>=IFERROR(CT11/CT8,0)</f>
        <v>0.49459813813792114</v>
      </c>
      <c r="CU17" s="25">
        <f>=IFERROR(CU11/CU8,0)</f>
        <v>0.48996724823450616</v>
      </c>
      <c r="CV17" s="25">
        <f>=IFERROR(CV11/CV8,0)</f>
        <v>0.4838426576315749</v>
      </c>
      <c r="CW17" s="25">
        <f>=IFERROR(CW11/CW8,0)</f>
        <v>0.4777946244111802</v>
      </c>
      <c r="CX17" s="25">
        <f>=IFERROR(CX11/CX8,0)</f>
        <v>0.47182219160604055</v>
      </c>
      <c r="CY17" s="25">
        <f>=IFERROR(CY11/CY8,0)</f>
        <v>0.34978093704533325</v>
      </c>
      <c r="CZ17" s="25">
        <f>=IFERROR(CZ11/CZ8,0)</f>
        <v>0.31707137824292325</v>
      </c>
      <c r="DA17" s="25">
        <f>=IFERROR(DA11/DA8,0)</f>
        <v>0.31310798601488665</v>
      </c>
      <c r="DB17" s="25">
        <f>=IFERROR(DB11/DB8,0)</f>
        <v>0.3091941361897006</v>
      </c>
    </row>
    <row r="18" spans="1:106" x14ac:dyDescent="0.25">
      <c r="A18" s="27" t="s">
        <v>252</v>
      </c>
      <c r="C18" s="28">
        <f>=SUM(C19:C23)</f>
        <v>63</v>
      </c>
      <c r="D18" s="28">
        <f>=SUM(D19:D23)</f>
        <v>73</v>
      </c>
      <c r="E18" s="28">
        <f>=SUM(E19:E23)</f>
        <v>71</v>
      </c>
      <c r="F18" s="28">
        <f>=SUM(F19:F23)</f>
        <v>70</v>
      </c>
      <c r="G18" s="28">
        <f>=SUM(G19:G23)</f>
        <v>69</v>
      </c>
      <c r="H18" s="28">
        <f>=SUM(H19:H23)</f>
        <v>67</v>
      </c>
      <c r="I18" s="28">
        <f>=SUM(I19:I23)</f>
        <v>66</v>
      </c>
      <c r="J18" s="28">
        <f>=SUM(J19:J23)</f>
        <v>65</v>
      </c>
      <c r="K18" s="28">
        <f>=SUM(K19:K23)</f>
        <v>63</v>
      </c>
      <c r="L18" s="28">
        <f>=SUM(L19:L23)</f>
        <v>64</v>
      </c>
      <c r="M18" s="28">
        <f>=SUM(M19:M23)</f>
        <v>59</v>
      </c>
      <c r="N18" s="28">
        <f>=SUM(N19:N23)</f>
        <v>57</v>
      </c>
      <c r="O18" s="28">
        <f>=SUM(O19:O23)</f>
        <v>53</v>
      </c>
      <c r="P18" s="28">
        <f>=SUM(P19:P23)</f>
        <v>54</v>
      </c>
      <c r="Q18" s="28">
        <f>=SUM(Q19:Q23)</f>
        <v>55</v>
      </c>
      <c r="R18" s="28">
        <f>=SUM(R19:R23)</f>
        <v>56</v>
      </c>
      <c r="S18" s="28">
        <f>=SUM(S19:S23)</f>
        <v>56</v>
      </c>
      <c r="T18" s="28">
        <f>=SUM(T19:T23)</f>
        <v>50</v>
      </c>
      <c r="U18" s="28">
        <f>=SUM(U19:U23)</f>
        <v>50</v>
      </c>
      <c r="V18" s="28">
        <f>=SUM(V19:V23)</f>
        <v>50</v>
      </c>
      <c r="W18" s="28">
        <f>=SUM(W19:W23)</f>
        <v>48</v>
      </c>
      <c r="X18" s="28">
        <f>=SUM(X19:X23)</f>
        <v>48</v>
      </c>
      <c r="Y18" s="28">
        <f>=SUM(Y19:Y23)</f>
        <v>47</v>
      </c>
      <c r="Z18" s="28">
        <f>=SUM(Z19:Z23)</f>
        <v>47</v>
      </c>
      <c r="AA18" s="28">
        <f>=SUM(AA19:AA23)</f>
        <v>46</v>
      </c>
      <c r="AB18" s="28">
        <f>=SUM(AB19:AB23)</f>
        <v>45</v>
      </c>
      <c r="AC18" s="28">
        <f>=SUM(AC19:AC23)</f>
        <v>46</v>
      </c>
      <c r="AD18" s="28">
        <f>=SUM(AD19:AD23)</f>
        <v>47</v>
      </c>
      <c r="AE18" s="28">
        <f>=SUM(AE19:AE23)</f>
        <v>46</v>
      </c>
      <c r="AF18" s="28">
        <f>=SUM(AF19:AF23)</f>
        <v>46</v>
      </c>
      <c r="AG18" s="29">
        <f>=SUM(AG19:AG23)</f>
        <v>46</v>
      </c>
      <c r="AH18" s="28">
        <f>=SUM(AH19:AH23)</f>
        <v>46</v>
      </c>
      <c r="AI18" s="28">
        <f>=SUM(AI19:AI23)</f>
        <v>44</v>
      </c>
      <c r="AJ18" s="28">
        <f>=SUM(AJ19:AJ23)</f>
        <v>44</v>
      </c>
      <c r="AK18" s="28">
        <f>=SUM(AK19:AK23)</f>
        <v>57</v>
      </c>
      <c r="AL18" s="28">
        <f>=SUM(AL19:AL23)</f>
        <v>56</v>
      </c>
      <c r="AM18" s="28">
        <f>=SUM(AM19:AM23)</f>
        <v>53</v>
      </c>
      <c r="AN18" s="28">
        <f>=SUM(AN19:AN23)</f>
        <v>54</v>
      </c>
      <c r="AO18" s="28">
        <f>=SUM(AO19:AO23)</f>
        <v>55</v>
      </c>
      <c r="AP18" s="28">
        <f>=SUM(AP19:AP23)</f>
        <v>55</v>
      </c>
      <c r="AQ18" s="28">
        <f>=SUM(AQ19:AQ23)</f>
        <v>52</v>
      </c>
      <c r="AR18" s="28">
        <f>=SUM(AR19:AR23)</f>
        <v>51</v>
      </c>
      <c r="AS18" s="28">
        <f>=SUM(AS19:AS23)</f>
        <v>65</v>
      </c>
      <c r="AT18" s="28">
        <f>=SUM(AT19:AT23)</f>
        <v>62</v>
      </c>
      <c r="AU18" s="28">
        <f>=SUM(AU19:AU23)</f>
        <v>60</v>
      </c>
      <c r="AV18" s="28">
        <f>=SUM(AV19:AV23)</f>
        <v>54</v>
      </c>
      <c r="AW18" s="28">
        <f>=SUM(AW19:AW23)</f>
        <v>60</v>
      </c>
      <c r="AX18" s="28">
        <f>=SUM(AX19:AX23)</f>
        <v>60</v>
      </c>
      <c r="AY18" s="28">
        <f>=SUM(AY19:AY23)</f>
        <v>55</v>
      </c>
      <c r="AZ18" s="28">
        <f>=SUM(AZ19:AZ23)</f>
        <v>51</v>
      </c>
      <c r="BA18" s="28">
        <f>=SUM(BA19:BA23)</f>
        <v>46</v>
      </c>
      <c r="BB18" s="28">
        <f>=SUM(BB19:BB23)</f>
        <v>57</v>
      </c>
      <c r="BC18" s="28">
        <f>=SUM(BC19:BC23)</f>
        <v>63</v>
      </c>
      <c r="BD18" s="28">
        <f>=SUM(BD19:BD23)</f>
        <v>50</v>
      </c>
      <c r="BE18" s="28">
        <f>=SUM(BE19:BE23)</f>
        <v>48</v>
      </c>
      <c r="BF18" s="28">
        <f>=SUM(BF19:BF23)</f>
        <v>49</v>
      </c>
      <c r="BG18" s="28">
        <f>=SUM(BG19:BG23)</f>
        <v>49</v>
      </c>
      <c r="BH18" s="28">
        <f>=SUM(BH19:BH23)</f>
        <v>49</v>
      </c>
      <c r="BI18" s="28">
        <f>=SUM(BI19:BI23)</f>
        <v>55</v>
      </c>
      <c r="BJ18" s="28">
        <f>=SUM(BJ19:BJ23)</f>
        <v>54</v>
      </c>
      <c r="BK18" s="28">
        <f>=SUM(BK19:BK23)</f>
        <v>53</v>
      </c>
      <c r="BL18" s="28">
        <f>=SUM(BL19:BL23)</f>
        <v>53</v>
      </c>
      <c r="BM18" s="28">
        <f>=SUM(BM19:BM23)</f>
        <v>42</v>
      </c>
      <c r="BN18" s="28">
        <f>=SUM(BN19:BN23)</f>
        <v>43</v>
      </c>
      <c r="BO18" s="28">
        <f>=SUM(BO19:BO23)</f>
        <v>39</v>
      </c>
      <c r="BP18" s="28">
        <f>=SUM(BP19:BP23)</f>
        <v>35</v>
      </c>
      <c r="BQ18" s="28">
        <f>=SUM(BQ19:BQ23)</f>
        <v>35</v>
      </c>
      <c r="BR18" s="28">
        <f>=SUM(BR19:BR23)</f>
        <v>35</v>
      </c>
      <c r="BS18" s="28">
        <f>=SUM(BS19:BS23)</f>
        <v>35</v>
      </c>
      <c r="BT18" s="28">
        <f>=SUM(BT19:BT23)</f>
        <v>34</v>
      </c>
      <c r="BU18" s="28">
        <f>=SUM(BU19:BU23)</f>
        <v>35</v>
      </c>
      <c r="BV18" s="28">
        <f>=SUM(BV19:BV23)</f>
        <v>35</v>
      </c>
      <c r="BW18" s="28">
        <f>=SUM(BW19:BW23)</f>
        <v>35</v>
      </c>
      <c r="BX18" s="28">
        <f>=SUM(BX19:BX23)</f>
        <v>35</v>
      </c>
      <c r="BY18" s="28">
        <f>=SUM(BY19:BY23)</f>
        <v>35</v>
      </c>
      <c r="BZ18" s="28">
        <f>=SUM(BZ19:BZ23)</f>
        <v>34.5275</v>
      </c>
      <c r="CA18" s="28">
        <f>=SUM(CA19:CA23)</f>
        <v>34.09590625</v>
      </c>
      <c r="CB18" s="28">
        <f>=SUM(CB19:CB23)</f>
        <v>33.669707421875</v>
      </c>
      <c r="CC18" s="28">
        <f>=SUM(CC19:CC23)</f>
        <v>33.248836079101565</v>
      </c>
      <c r="CD18" s="28">
        <f>=SUM(CD19:CD23)</f>
        <v>32.91634771831055</v>
      </c>
      <c r="CE18" s="28">
        <f>=SUM(CE19:CE23)</f>
        <v>32.58718424112746</v>
      </c>
      <c r="CF18" s="28">
        <f>=SUM(CF19:CF23)</f>
        <v>26.261312398716186</v>
      </c>
      <c r="CG18" s="28">
        <f>=SUM(CG19:CG23)</f>
        <v>25.998699274729024</v>
      </c>
      <c r="CH18" s="28">
        <f>=SUM(CH19:CH23)</f>
        <v>25.738712281981734</v>
      </c>
      <c r="CI18" s="28">
        <f>=SUM(CI19:CI23)</f>
        <v>25.41697837845696</v>
      </c>
      <c r="CJ18" s="28">
        <f>=SUM(CJ19:CJ23)</f>
        <v>25.09926614872625</v>
      </c>
      <c r="CK18" s="28">
        <f>=SUM(CK19:CK23)</f>
        <v>24.785525321867173</v>
      </c>
      <c r="CL18" s="28">
        <f>=SUM(CL19:CL23)</f>
        <v>24.47570625534383</v>
      </c>
      <c r="CM18" s="28">
        <f>=SUM(CM19:CM23)</f>
        <v>24.169759927152032</v>
      </c>
      <c r="CN18" s="28">
        <f>=SUM(CN19:CN23)</f>
        <v>23.86763792806263</v>
      </c>
      <c r="CO18" s="28">
        <f>=SUM(CO19:CO23)</f>
        <v>23.569292453961847</v>
      </c>
      <c r="CP18" s="28">
        <f>=SUM(CP19:CP23)</f>
        <v>23.274676298287325</v>
      </c>
      <c r="CQ18" s="28">
        <f>=SUM(CQ19:CQ23)</f>
        <v>23.04192953530445</v>
      </c>
      <c r="CR18" s="28">
        <f>=SUM(CR19:CR23)</f>
        <v>22.811510239951406</v>
      </c>
      <c r="CS18" s="28">
        <f>=SUM(CS19:CS23)</f>
        <v>22.583395137551896</v>
      </c>
      <c r="CT18" s="28">
        <f>=SUM(CT19:CT23)</f>
        <v>22.357561186176376</v>
      </c>
      <c r="CU18" s="28">
        <f>=SUM(CU19:CU23)</f>
        <v>22.13398557431461</v>
      </c>
      <c r="CV18" s="28">
        <f>=SUM(CV19:CV23)</f>
        <v>21.85731075463568</v>
      </c>
      <c r="CW18" s="28">
        <f>=SUM(CW19:CW23)</f>
        <v>21.584094370202735</v>
      </c>
      <c r="CX18" s="28">
        <f>=SUM(CX19:CX23)</f>
        <v>21.314293190575203</v>
      </c>
      <c r="CY18" s="28">
        <f>=SUM(CY19:CY23)</f>
        <v>21.047864525693015</v>
      </c>
      <c r="CZ18" s="28">
        <f>=SUM(CZ19:CZ23)</f>
        <v>20.784766219121856</v>
      </c>
      <c r="DA18" s="28">
        <f>=SUM(DA19:DA23)</f>
        <v>20.524956641382833</v>
      </c>
      <c r="DB18" s="28">
        <f>=SUM(DB19:DB23)</f>
        <v>20.268394683365543</v>
      </c>
    </row>
    <row r="19" spans="1:106" x14ac:dyDescent="0.25">
      <c r="A19" s="27" t="s">
        <v>253</v>
      </c>
      <c r="C19" s="28">
        <f>=IF(LEN(C82)=0,(38*(1-B41))-C81+C101+C130,(38-C81+C101+C130))</f>
        <v>53</v>
      </c>
      <c r="D19" s="28">
        <f>=IF(LEN(D82)=0,(C19*(1-C41))-D81+D101+D130,(C19-D81+D101+D130))</f>
        <v>52</v>
      </c>
      <c r="E19" s="28">
        <f>=IF(LEN(E82)=0,(D19*(1-D41))-E81+E101+E130,(D19-E81+E101+E130))</f>
        <v>50</v>
      </c>
      <c r="F19" s="28">
        <f>=IF(LEN(F82)=0,(E19*(1-E41))-F81+F101+F130,(E19-F81+F101+F130))</f>
        <v>59</v>
      </c>
      <c r="G19" s="28">
        <f>=IF(LEN(G82)=0,(F19*(1-F41))-G81+G101+G130,(F19-G81+G101+G130))</f>
        <v>58</v>
      </c>
      <c r="H19" s="28">
        <f>=IF(LEN(H82)=0,(G19*(1-G41))-H81+H101+H130,(G19-H81+H101+H130))</f>
        <v>67</v>
      </c>
      <c r="I19" s="28">
        <f>=IF(LEN(I82)=0,(H19*(1-H41))-I81+I101+I130,(H19-I81+I101+I130))</f>
        <v>66</v>
      </c>
      <c r="J19" s="28">
        <f>=IF(LEN(J82)=0,(I19*(1-I41))-J81+J101+J130,(I19-J81+J101+J130))</f>
        <v>65</v>
      </c>
      <c r="K19" s="28">
        <f>=IF(LEN(K82)=0,(J19*(1-J41))-K81+K101+K130,(J19-K81+K101+K130))</f>
        <v>63</v>
      </c>
      <c r="L19" s="28">
        <f>=IF(LEN(L82)=0,(K19*(1-K41))-L81+L101+L130,(K19-L81+L101+L130))</f>
        <v>64</v>
      </c>
      <c r="M19" s="28">
        <f>=IF(LEN(M82)=0,(L19*(1-L41))-M81+M101+M130,(L19-M81+M101+M130))</f>
        <v>59</v>
      </c>
      <c r="N19" s="28">
        <f>=IF(LEN(N82)=0,(M19*(1-M41))-N81+N101+N130,(M19-N81+N101+N130))</f>
        <v>57</v>
      </c>
      <c r="O19" s="28">
        <f>=IF(LEN(O82)=0,(N19*(1-N41))-O81+O101+O130,(N19-O81+O101+O130))</f>
        <v>53</v>
      </c>
      <c r="P19" s="28">
        <f>=IF(LEN(P82)=0,(O19*(1-O41))-P81+P101+P130,(O19-P81+P101+P130))</f>
        <v>54</v>
      </c>
      <c r="Q19" s="28">
        <f>=IF(LEN(Q82)=0,(P19*(1-P41))-Q81+Q101+Q130,(P19-Q81+Q101+Q130))</f>
        <v>55</v>
      </c>
      <c r="R19" s="28">
        <f>=IF(LEN(R82)=0,(Q19*(1-Q41))-R81+R101+R130,(Q19-R81+R101+R130))</f>
        <v>56</v>
      </c>
      <c r="S19" s="28">
        <f>=IF(LEN(S82)=0,(R19*(1-R41))-S81+S101+S130,(R19-S81+S101+S130))</f>
        <v>56</v>
      </c>
      <c r="T19" s="28">
        <f>=IF(LEN(T82)=0,(S19*(1-S41))-T81+T101+T130,(S19-T81+T101+T130))</f>
        <v>50</v>
      </c>
      <c r="U19" s="28">
        <f>=IF(LEN(U82)=0,(T19*(1-T41))-U81+U101+U130,(T19-U81+U101+U130))</f>
        <v>50</v>
      </c>
      <c r="V19" s="28">
        <f>=IF(LEN(V82)=0,(U19*(1-U41))-V81+V101+V130,(U19-V81+V101+V130))</f>
        <v>50</v>
      </c>
      <c r="W19" s="28">
        <f>=IF(LEN(W82)=0,(V19*(1-V41))-W81+W101+W130,(V19-W81+W101+W130))</f>
        <v>48</v>
      </c>
      <c r="X19" s="28">
        <f>=IF(LEN(X82)=0,(W19*(1-W41))-X81+X101+X130,(W19-X81+X101+X130))</f>
        <v>48</v>
      </c>
      <c r="Y19" s="28">
        <f>=IF(LEN(Y82)=0,(X19*(1-X41))-Y81+Y101+Y130,(X19-Y81+Y101+Y130))</f>
        <v>47</v>
      </c>
      <c r="Z19" s="28">
        <f>=IF(LEN(Z82)=0,(Y19*(1-Y41))-Z81+Z101+Z130,(Y19-Z81+Z101+Z130))</f>
        <v>47</v>
      </c>
      <c r="AA19" s="28">
        <f>=IF(LEN(AA82)=0,(Z19*(1-Z41))-AA81+AA101+AA130,(Z19-AA81+AA101+AA130))</f>
        <v>46</v>
      </c>
      <c r="AB19" s="28">
        <f>=IF(LEN(AB82)=0,(AA19*(1-AA41))-AB81+AB101+AB130,(AA19-AB81+AB101+AB130))</f>
        <v>45</v>
      </c>
      <c r="AC19" s="28">
        <f>=IF(LEN(AC82)=0,(AB19*(1-AB41))-AC81+AC101+AC130,(AB19-AC81+AC101+AC130))</f>
        <v>46</v>
      </c>
      <c r="AD19" s="28">
        <f>=IF(LEN(AD82)=0,(AC19*(1-AC41))-AD81+AD101+AD130,(AC19-AD81+AD101+AD130))</f>
        <v>47</v>
      </c>
      <c r="AE19" s="28">
        <f>=IF(LEN(AE82)=0,(AD19*(1-AD41))-AE81+AE101+AE130,(AD19-AE81+AE101+AE130))</f>
        <v>46</v>
      </c>
      <c r="AF19" s="28">
        <f>=IF(LEN(AF82)=0,(AE19*(1-AE41))-AF81+AF101+AF130,(AE19-AF81+AF101+AF130))</f>
        <v>46</v>
      </c>
      <c r="AG19" s="28">
        <f>=IF(LEN(AG82)=0,(AF19*(1-AF41))-AG81+AG101+AG130,(AF19-AG81+AG101+AG130))</f>
        <v>46</v>
      </c>
      <c r="AH19" s="28">
        <f>=IF(LEN(AH82)=0,(AG19*(1-AG41))-AH81+AH101+AH130,(AG19-AH81+AH101+AH130))</f>
        <v>46</v>
      </c>
      <c r="AI19" s="28">
        <f>=IF(LEN(AI82)=0,(AH19*(1-AH41))-AI81+AI101+AI130,(AH19-AI81+AI101+AI130))</f>
        <v>44</v>
      </c>
      <c r="AJ19" s="28">
        <f>=IF(LEN(AJ82)=0,(AI19*(1-AI41))-AJ81+AJ101+AJ130,(AI19-AJ81+AJ101+AJ130))</f>
        <v>44</v>
      </c>
      <c r="AK19" s="28">
        <f>=IF(LEN(AK82)=0,(AJ19*(1-AJ41))-AK81+AK101+AK130,(AJ19-AK81+AK101+AK130))</f>
        <v>44</v>
      </c>
      <c r="AL19" s="28">
        <f>=IF(LEN(AL82)=0,(AK19*(1-AK41))-AL81+AL101+AL130,(AK19-AL81+AL101+AL130))</f>
        <v>43</v>
      </c>
      <c r="AM19" s="28">
        <f>=IF(LEN(AM82)=0,(AL19*(1-AL41))-AM81+AM101+AM130,(AL19-AM81+AM101+AM130))</f>
        <v>30</v>
      </c>
      <c r="AN19" s="28">
        <f>=IF(LEN(AN82)=0,(AM19*(1-AM41))-AN81+AN101+AN130,(AM19-AN81+AN101+AN130))</f>
        <v>30</v>
      </c>
      <c r="AO19" s="28">
        <f>=IF(LEN(AO82)=0,(AN19*(1-AN41))-AO81+AO101+AO130,(AN19-AO81+AO101+AO130))</f>
        <v>29</v>
      </c>
      <c r="AP19" s="28">
        <f>=IF(LEN(AP82)=0,(AO19*(1-AO41))-AP81+AP101+AP130,(AO19-AP81+AP101+AP130))</f>
        <v>29</v>
      </c>
      <c r="AQ19" s="28">
        <f>=IF(LEN(AQ82)=0,(AP19*(1-AP41))-AQ81+AQ101+AQ130,(AP19-AQ81+AQ101+AQ130))</f>
        <v>39</v>
      </c>
      <c r="AR19" s="28">
        <f>=IF(LEN(AR82)=0,(AQ19*(1-AQ41))-AR81+AR101+AR130,(AQ19-AR81+AR101+AR130))</f>
        <v>39</v>
      </c>
      <c r="AS19" s="28">
        <f>=IF(LEN(AS82)=0,(AR19*(1-AR41))-AS81+AS101+AS130,(AR19-AS81+AS101+AS130))</f>
        <v>51</v>
      </c>
      <c r="AT19" s="28">
        <f>=IF(LEN(AT82)=0,(AS19*(1-AS41))-AT81+AT101+AT130,(AS19-AT81+AT101+AT130))</f>
        <v>48</v>
      </c>
      <c r="AU19" s="28">
        <f>=IF(LEN(AU82)=0,(AT19*(1-AT41))-AU81+AU101+AU130,(AT19-AU81+AU101+AU130))</f>
        <v>46</v>
      </c>
      <c r="AV19" s="28">
        <f>=IF(LEN(AV82)=0,(AU19*(1-AU41))-AV81+AV101+AV130,(AU19-AV81+AV101+AV130))</f>
        <v>30</v>
      </c>
      <c r="AW19" s="28">
        <f>=IF(LEN(AW82)=0,(AV19*(1-AV41))-AW81+AW101+AW130,(AV19-AW81+AW101+AW130))</f>
        <v>31</v>
      </c>
      <c r="AX19" s="28">
        <f>=IF(LEN(AX82)=0,(AW19*(1-AW41))-AX81+AX101+AX130,(AW19-AX81+AX101+AX130))</f>
        <v>31</v>
      </c>
      <c r="AY19" s="28">
        <f>=IF(LEN(AY82)=0,(AX19*(1-AX41))-AY81+AY101+AY130,(AX19-AY81+AY101+AY130))</f>
        <v>31</v>
      </c>
      <c r="AZ19" s="28">
        <f>=IF(LEN(AZ82)=0,(AY19*(1-AY41))-AZ81+AZ101+AZ130,(AY19-AZ81+AZ101+AZ130))</f>
        <v>31</v>
      </c>
      <c r="BA19" s="28">
        <f>=IF(LEN(BA82)=0,(AZ19*(1-AZ41))-BA81+BA101+BA130,(AZ19-BA81+BA101+BA130))</f>
        <v>33</v>
      </c>
      <c r="BB19" s="28">
        <f>=IF(LEN(BB82)=0,(BA19*(1-BA41))-BB81+BB101+BB130,(BA19-BB81+BB101+BB130))</f>
        <v>32</v>
      </c>
      <c r="BC19" s="28">
        <f>=IF(LEN(BC82)=0,(BB19*(1-BB41))-BC81+BC101+BC130,(BB19-BC81+BC101+BC130))</f>
        <v>45</v>
      </c>
      <c r="BD19" s="28">
        <f>=IF(LEN(BD82)=0,(BC19*(1-BC41))-BD81+BD101+BD130,(BC19-BD81+BD101+BD130))</f>
        <v>32</v>
      </c>
      <c r="BE19" s="28">
        <f>=IF(LEN(BE82)=0,(BD19*(1-BD41))-BE81+BE101+BE130,(BD19-BE81+BE101+BE130))</f>
        <v>32</v>
      </c>
      <c r="BF19" s="28">
        <f>=IF(LEN(BF82)=0,(BE19*(1-BE41))-BF81+BF101+BF130,(BE19-BF81+BF101+BF130))</f>
        <v>34</v>
      </c>
      <c r="BG19" s="28">
        <f>=IF(LEN(BG82)=0,(BF19*(1-BF41))-BG81+BG101+BG130,(BF19-BG81+BG101+BG130))</f>
        <v>34</v>
      </c>
      <c r="BH19" s="28">
        <f>=IF(LEN(BH82)=0,(BG19*(1-BG41))-BH81+BH101+BH130,(BG19-BH81+BH101+BH130))</f>
        <v>44</v>
      </c>
      <c r="BI19" s="28">
        <f>=IF(LEN(BI82)=0,(BH19*(1-BH41))-BI81+BI101+BI130,(BH19-BI81+BI101+BI130))</f>
        <v>55</v>
      </c>
      <c r="BJ19" s="28">
        <f>=IF(LEN(BJ82)=0,(BI19*(1-BI41))-BJ81+BJ101+BJ130,(BI19-BJ81+BJ101+BJ130))</f>
        <v>54</v>
      </c>
      <c r="BK19" s="28">
        <f>=IF(LEN(BK82)=0,(BJ19*(1-BJ41))-BK81+BK101+BK130,(BJ19-BK81+BK101+BK130))</f>
        <v>53</v>
      </c>
      <c r="BL19" s="28">
        <f>=IF(LEN(BL82)=0,(BK19*(1-BK41))-BL81+BL101+BL130,(BK19-BL81+BL101+BL130))</f>
        <v>53</v>
      </c>
      <c r="BM19" s="28">
        <f>=IF(LEN(BM82)=0,(BL19*(1-BL41))-BM81+BM101+BM130,(BL19-BM81+BM101+BM130))</f>
        <v>42</v>
      </c>
      <c r="BN19" s="28">
        <f>=IF(LEN(BN82)=0,(BM19*(1-BM41))-BN81+BN101+BN130,(BM19-BN81+BN101+BN130))</f>
        <v>43</v>
      </c>
      <c r="BO19" s="28">
        <f>=IF(LEN(BO82)=0,(BN19*(1-BN41))-BO81+BO101+BO130,(BN19-BO81+BO101+BO130))</f>
        <v>39</v>
      </c>
      <c r="BP19" s="28">
        <f>=IF(LEN(BP82)=0,(BO19*(1-BO41))-BP81+BP101+BP130,(BO19-BP81+BP101+BP130))</f>
        <v>35</v>
      </c>
      <c r="BQ19" s="28">
        <f>=IF(LEN(BQ82)=0,(BP19*(1-BP41))-BQ81+BQ101+BQ130,(BP19-BQ81+BQ101+BQ130))</f>
        <v>35</v>
      </c>
      <c r="BR19" s="28">
        <f>=IF(LEN(BR82)=0,(BQ19*(1-BQ41))-BR81+BR101+BR130,(BQ19-BR81+BR101+BR130))</f>
        <v>35</v>
      </c>
      <c r="BS19" s="28">
        <f>=IF(LEN(BS82)=0,(BR19*(1-BR41))-BS81+BS101+BS130,(BR19-BS81+BS101+BS130))</f>
        <v>35</v>
      </c>
      <c r="BT19" s="28">
        <f>=IF(LEN(BT82)=0,(BS19*(1-BS41))-BT81+BT101+BT130,(BS19-BT81+BT101+BT130))</f>
        <v>34</v>
      </c>
      <c r="BU19" s="28">
        <f>=IF(LEN(BU82)=0,(BT19*(1-BT41))-BU81+BU101+BU130,(BT19-BU81+BU101+BU130))</f>
        <v>33</v>
      </c>
      <c r="BV19" s="28">
        <f>=IF(LEN(BV82)=0,(BU19*(1-BU41))-BV81+BV101+BV130,(BU19-BV81+BV101+BV130))</f>
        <v>33</v>
      </c>
      <c r="BW19" s="28">
        <f>=IF(LEN(BW82)=0,(BV19*(1-BV41))-BW81+BW101+BW130,(BV19-BW81+BW101+BW130))</f>
        <v>33</v>
      </c>
      <c r="BX19" s="28">
        <f>=IF(LEN(BX82)=0,(BW19*(1-BW41))-BX81+BX101+BX130,(BW19-BX81+BX101+BX130))</f>
        <v>33</v>
      </c>
      <c r="BY19" s="28">
        <f>=IF(LEN(BY82)=0,(BX19*(1-BX41))-BY81+BY101+BY130,(BX19-BY81+BY101+BY130))</f>
        <v>33</v>
      </c>
      <c r="BZ19" s="28">
        <f>=IF(LEN(BZ82)=0,(BY19*(1-BY41))-BZ81+BZ101+BZ130,(BY19-BZ81+BZ101+BZ130))</f>
        <v>34.5275</v>
      </c>
      <c r="CA19" s="28">
        <f>=IF(LEN(CA82)=0,(BZ19*(1-BZ41))-CA81+CA101+CA130,(BZ19-CA81+CA101+CA130))</f>
        <v>34.09590625</v>
      </c>
      <c r="CB19" s="28">
        <f>=IF(LEN(CB82)=0,(CA19*(1-CA41))-CB81+CB101+CB130,(CA19-CB81+CB101+CB130))</f>
        <v>33.669707421875</v>
      </c>
      <c r="CC19" s="28">
        <f>=IF(LEN(CC82)=0,(CB19*(1-CB41))-CC81+CC101+CC130,(CB19-CC81+CC101+CC130))</f>
        <v>33.248836079101565</v>
      </c>
      <c r="CD19" s="28">
        <f>=IF(LEN(CD82)=0,(CC19*(1-CC41))-CD81+CD101+CD130,(CC19-CD81+CD101+CD130))</f>
        <v>32.91634771831055</v>
      </c>
      <c r="CE19" s="28">
        <f>=IF(LEN(CE82)=0,(CD19*(1-CD41))-CE81+CE101+CE130,(CD19-CE81+CE101+CE130))</f>
        <v>32.58718424112746</v>
      </c>
      <c r="CF19" s="28">
        <f>=IF(LEN(CF82)=0,(CE19*(1-CE41))-CF81+CF101+CF130,(CE19-CF81+CF101+CF130))</f>
        <v>26.261312398716186</v>
      </c>
      <c r="CG19" s="28">
        <f>=IF(LEN(CG82)=0,(CF19*(1-CF41))-CG81+CG101+CG130,(CF19-CG81+CG101+CG130))</f>
        <v>25.998699274729024</v>
      </c>
      <c r="CH19" s="28">
        <f>=IF(LEN(CH82)=0,(CG19*(1-CG41))-CH81+CH101+CH130,(CG19-CH81+CH101+CH130))</f>
        <v>25.738712281981734</v>
      </c>
      <c r="CI19" s="28">
        <f>=IF(LEN(CI82)=0,(CH19*(1-CH41))-CI81+CI101+CI130,(CH19-CI81+CI101+CI130))</f>
        <v>25.41697837845696</v>
      </c>
      <c r="CJ19" s="28">
        <f>=IF(LEN(CJ82)=0,(CI19*(1-CI41))-CJ81+CJ101+CJ130,(CI19-CJ81+CJ101+CJ130))</f>
        <v>25.09926614872625</v>
      </c>
      <c r="CK19" s="28">
        <f>=IF(LEN(CK82)=0,(CJ19*(1-CJ41))-CK81+CK101+CK130,(CJ19-CK81+CK101+CK130))</f>
        <v>24.785525321867173</v>
      </c>
      <c r="CL19" s="28">
        <f>=IF(LEN(CL82)=0,(CK19*(1-CK41))-CL81+CL101+CL130,(CK19-CL81+CL101+CL130))</f>
        <v>24.47570625534383</v>
      </c>
      <c r="CM19" s="28">
        <f>=IF(LEN(CM82)=0,(CL19*(1-CL41))-CM81+CM101+CM130,(CL19-CM81+CM101+CM130))</f>
        <v>24.169759927152032</v>
      </c>
      <c r="CN19" s="28">
        <f>=IF(LEN(CN82)=0,(CM19*(1-CM41))-CN81+CN101+CN130,(CM19-CN81+CN101+CN130))</f>
        <v>23.86763792806263</v>
      </c>
      <c r="CO19" s="28">
        <f>=IF(LEN(CO82)=0,(CN19*(1-CN41))-CO81+CO101+CO130,(CN19-CO81+CO101+CO130))</f>
        <v>23.569292453961847</v>
      </c>
      <c r="CP19" s="28">
        <f>=IF(LEN(CP82)=0,(CO19*(1-CO41))-CP81+CP101+CP130,(CO19-CP81+CP101+CP130))</f>
        <v>23.274676298287325</v>
      </c>
      <c r="CQ19" s="28">
        <f>=IF(LEN(CQ82)=0,(CP19*(1-CP41))-CQ81+CQ101+CQ130,(CP19-CQ81+CQ101+CQ130))</f>
        <v>23.04192953530445</v>
      </c>
      <c r="CR19" s="28">
        <f>=IF(LEN(CR82)=0,(CQ19*(1-CQ41))-CR81+CR101+CR130,(CQ19-CR81+CR101+CR130))</f>
        <v>22.811510239951406</v>
      </c>
      <c r="CS19" s="28">
        <f>=IF(LEN(CS82)=0,(CR19*(1-CR41))-CS81+CS101+CS130,(CR19-CS81+CS101+CS130))</f>
        <v>22.583395137551896</v>
      </c>
      <c r="CT19" s="28">
        <f>=IF(LEN(CT82)=0,(CS19*(1-CS41))-CT81+CT101+CT130,(CS19-CT81+CT101+CT130))</f>
        <v>22.357561186176376</v>
      </c>
      <c r="CU19" s="28">
        <f>=IF(LEN(CU82)=0,(CT19*(1-CT41))-CU81+CU101+CU130,(CT19-CU81+CU101+CU130))</f>
        <v>22.13398557431461</v>
      </c>
      <c r="CV19" s="28">
        <f>=IF(LEN(CV82)=0,(CU19*(1-CU41))-CV81+CV101+CV130,(CU19-CV81+CV101+CV130))</f>
        <v>21.85731075463568</v>
      </c>
      <c r="CW19" s="28">
        <f>=IF(LEN(CW82)=0,(CV19*(1-CV41))-CW81+CW101+CW130,(CV19-CW81+CW101+CW130))</f>
        <v>21.584094370202735</v>
      </c>
      <c r="CX19" s="28">
        <f>=IF(LEN(CX82)=0,(CW19*(1-CW41))-CX81+CX101+CX130,(CW19-CX81+CX101+CX130))</f>
        <v>21.314293190575203</v>
      </c>
      <c r="CY19" s="28">
        <f>=IF(LEN(CY82)=0,(CX19*(1-CX41))-CY81+CY101+CY130,(CX19-CY81+CY101+CY130))</f>
        <v>21.047864525693015</v>
      </c>
      <c r="CZ19" s="28">
        <f>=IF(LEN(CZ82)=0,(CY19*(1-CY41))-CZ81+CZ101+CZ130,(CY19-CZ81+CZ101+CZ130))</f>
        <v>20.784766219121856</v>
      </c>
      <c r="DA19" s="28">
        <f>=IF(LEN(DA82)=0,(CZ19*(1-CZ41))-DA81+DA101+DA130,(CZ19-DA81+DA101+DA130))</f>
        <v>20.524956641382833</v>
      </c>
      <c r="DB19" s="28">
        <f>=IF(LEN(DB82)=0,(DA19*(1-DA41))-DB81+DB101+DB130,(DA19-DB81+DB101+DB130))</f>
        <v>20.268394683365543</v>
      </c>
    </row>
    <row r="20" ht="18" customHeight="1" spans="1:106" x14ac:dyDescent="0.25">
      <c r="A20" s="27" t="s">
        <v>254</v>
      </c>
      <c r="C20" s="28">
        <f>=SUM(C121:C123)</f>
        <v>0</v>
      </c>
      <c r="D20" s="28">
        <f>=SUM(D121:D123)</f>
        <v>11</v>
      </c>
      <c r="E20" s="28">
        <f>=SUM(E121:E123)</f>
        <v>0</v>
      </c>
      <c r="F20" s="28">
        <f>=SUM(F121:F123)</f>
        <v>0</v>
      </c>
      <c r="G20" s="28">
        <f>=SUM(G121:G123)</f>
        <v>0</v>
      </c>
      <c r="H20" s="28">
        <f>=SUM(H121:H123)</f>
        <v>0</v>
      </c>
      <c r="I20" s="28">
        <f>=SUM(I121:I123)</f>
        <v>0</v>
      </c>
      <c r="J20" s="28">
        <f>=SUM(J121:J123)</f>
        <v>0</v>
      </c>
      <c r="K20" s="28">
        <f>=SUM(K121:K123)</f>
        <v>0</v>
      </c>
      <c r="L20" s="28">
        <f>=SUM(L121:L123)</f>
        <v>0</v>
      </c>
      <c r="M20" s="28">
        <f>=SUM(M121:M123)</f>
        <v>0</v>
      </c>
      <c r="N20" s="28">
        <f>=SUM(N121:N123)</f>
        <v>0</v>
      </c>
      <c r="O20" s="28">
        <f>=SUM(O121:O123)</f>
        <v>0</v>
      </c>
      <c r="P20" s="28">
        <f>=SUM(P121:P123)</f>
        <v>0</v>
      </c>
      <c r="Q20" s="28">
        <f>=SUM(Q121:Q123)</f>
        <v>0</v>
      </c>
      <c r="R20" s="28">
        <f>=SUM(R121:R123)</f>
        <v>0</v>
      </c>
      <c r="S20" s="28">
        <f>=SUM(S121:S123)</f>
        <v>0</v>
      </c>
      <c r="T20" s="28">
        <f>=SUM(T121:T123)</f>
        <v>0</v>
      </c>
      <c r="U20" s="28">
        <f>=SUM(U121:U123)</f>
        <v>0</v>
      </c>
      <c r="V20" s="28">
        <f>=SUM(V121:V123)</f>
        <v>0</v>
      </c>
      <c r="W20" s="28">
        <f>=SUM(W121:W123)</f>
        <v>0</v>
      </c>
      <c r="X20" s="28">
        <f>=SUM(X121:X123)</f>
        <v>0</v>
      </c>
      <c r="Y20" s="28">
        <f>=SUM(Y121:Y123)</f>
        <v>0</v>
      </c>
      <c r="Z20" s="28">
        <f>=SUM(Z121:Z123)</f>
        <v>0</v>
      </c>
      <c r="AA20" s="28">
        <f>=SUM(AA121:AA123)</f>
        <v>0</v>
      </c>
      <c r="AB20" s="28">
        <f>=SUM(AB121:AB123)</f>
        <v>0</v>
      </c>
      <c r="AC20" s="28">
        <f>=SUM(AC121:AC123)</f>
        <v>0</v>
      </c>
      <c r="AD20" s="28">
        <f>=SUM(AD121:AD123)</f>
        <v>0</v>
      </c>
      <c r="AE20" s="28">
        <f>=SUM(AE121:AE123)</f>
        <v>0</v>
      </c>
      <c r="AF20" s="28">
        <f>=SUM(AF121:AF123)</f>
        <v>0</v>
      </c>
      <c r="AG20" s="28">
        <f>=SUM(AG121:AG123)</f>
        <v>0</v>
      </c>
      <c r="AH20" s="28">
        <f>=SUM(AH121:AH123)</f>
        <v>0</v>
      </c>
      <c r="AI20" s="28">
        <f>=SUM(AI121:AI123)</f>
        <v>0</v>
      </c>
      <c r="AJ20" s="28">
        <f>=SUM(AJ121:AJ123)</f>
        <v>0</v>
      </c>
      <c r="AK20" s="28">
        <f>=SUM(AK121:AK123)</f>
        <v>13</v>
      </c>
      <c r="AL20" s="28">
        <f>=SUM(AL121:AL123)</f>
        <v>0</v>
      </c>
      <c r="AM20" s="28">
        <f>=SUM(AM121:AM123)</f>
        <v>11</v>
      </c>
      <c r="AN20" s="28">
        <f>=SUM(AN121:AN123)</f>
        <v>0</v>
      </c>
      <c r="AO20" s="28">
        <f>=SUM(AO121:AO123)</f>
        <v>0</v>
      </c>
      <c r="AP20" s="28">
        <f>=SUM(AP121:AP123)</f>
        <v>0</v>
      </c>
      <c r="AQ20" s="28">
        <f>=SUM(AQ121:AQ123)</f>
        <v>0</v>
      </c>
      <c r="AR20" s="28">
        <f>=SUM(AR121:AR123)</f>
        <v>0</v>
      </c>
      <c r="AS20" s="28">
        <f>=SUM(AS121:AS123)</f>
        <v>14</v>
      </c>
      <c r="AT20" s="28">
        <f>=SUM(AT121:AT123)</f>
        <v>0</v>
      </c>
      <c r="AU20" s="28">
        <f>=SUM(AU121:AU123)</f>
        <v>0</v>
      </c>
      <c r="AV20" s="28">
        <f>=SUM(AV121:AV123)</f>
        <v>10</v>
      </c>
      <c r="AW20" s="28">
        <f>=SUM(AW121:AW123)</f>
        <v>16</v>
      </c>
      <c r="AX20" s="28">
        <f>=SUM(AX121:AX123)</f>
        <v>0</v>
      </c>
      <c r="AY20" s="28">
        <f>=SUM(AY121:AY123)</f>
        <v>8</v>
      </c>
      <c r="AZ20" s="28">
        <f>=SUM(AZ121:AZ123)</f>
        <v>7</v>
      </c>
      <c r="BA20" s="28">
        <f>=SUM(BA121:BA123)</f>
        <v>0</v>
      </c>
      <c r="BB20" s="28">
        <f>=SUM(BB121:BB123)</f>
        <v>12</v>
      </c>
      <c r="BC20" s="28">
        <f>=SUM(BC121:BC123)</f>
        <v>6</v>
      </c>
      <c r="BD20" s="28">
        <f>=SUM(BD121:BD123)</f>
        <v>0</v>
      </c>
      <c r="BE20" s="28">
        <f>=SUM(BE121:BE123)</f>
        <v>0</v>
      </c>
      <c r="BF20" s="28">
        <f>=SUM(BF121:BF123)</f>
        <v>0</v>
      </c>
      <c r="BG20" s="28">
        <f>=SUM(BG121:BG123)</f>
        <v>0</v>
      </c>
      <c r="BH20" s="28">
        <f>=SUM(BH121:BH123)</f>
        <v>0</v>
      </c>
      <c r="BI20" s="28">
        <f>=SUM(BI121:BI123)</f>
        <v>0</v>
      </c>
      <c r="BJ20" s="28">
        <f>=SUM(BJ121:BJ123)</f>
        <v>0</v>
      </c>
      <c r="BK20" s="28">
        <f>=SUM(BK121:BK123)</f>
        <v>0</v>
      </c>
      <c r="BL20" s="28">
        <f>=SUM(BL121:BL123)</f>
        <v>0</v>
      </c>
      <c r="BM20" s="28">
        <f>=SUM(BM121:BM123)</f>
        <v>0</v>
      </c>
      <c r="BN20" s="28">
        <f>=SUM(BN121:BN123)</f>
        <v>0</v>
      </c>
      <c r="BO20" s="28">
        <f>=SUM(BO121:BO123)</f>
        <v>0</v>
      </c>
      <c r="BP20" s="28">
        <f>=SUM(BP121:BP123)</f>
        <v>0</v>
      </c>
      <c r="BQ20" s="28">
        <f>=SUM(BQ121:BQ123)</f>
        <v>0</v>
      </c>
      <c r="BR20" s="28">
        <f>=SUM(BR121:BR123)</f>
        <v>0</v>
      </c>
      <c r="BS20" s="28">
        <f>=SUM(BS121:BS123)</f>
        <v>0</v>
      </c>
      <c r="BT20" s="28">
        <f>=SUM(BT121:BT123)</f>
        <v>0</v>
      </c>
      <c r="BU20" s="28">
        <f>=SUM(BU121:BU123)</f>
        <v>2</v>
      </c>
      <c r="BV20" s="28">
        <f>=SUM(BV121:BV123)</f>
        <v>0</v>
      </c>
      <c r="BW20" s="28">
        <f>=SUM(BW121:BW123)</f>
        <v>0</v>
      </c>
      <c r="BX20" s="28">
        <f>=BX121</f>
        <v>0</v>
      </c>
      <c r="BY20" s="28">
        <f>=BY121</f>
        <v>0</v>
      </c>
      <c r="BZ20" s="28">
        <f>=BZ121</f>
        <v>0</v>
      </c>
      <c r="CA20" s="28">
        <f>=CA121</f>
        <v>0</v>
      </c>
      <c r="CB20" s="28">
        <f>=CB121</f>
        <v>0</v>
      </c>
      <c r="CC20" s="28">
        <f>=CC121</f>
        <v>0</v>
      </c>
      <c r="CD20" s="28">
        <f>=CD121</f>
        <v>0</v>
      </c>
      <c r="CE20" s="28">
        <f>=CE121</f>
        <v>0</v>
      </c>
      <c r="CF20" s="28">
        <f>=CF121</f>
        <v>0</v>
      </c>
      <c r="CG20" s="28">
        <f>=CG121</f>
        <v>0</v>
      </c>
      <c r="CH20" s="28">
        <f>=CH121</f>
        <v>0</v>
      </c>
      <c r="CI20" s="28">
        <f>=CI121</f>
        <v>0</v>
      </c>
      <c r="CJ20" s="28">
        <f>=CJ121</f>
        <v>0</v>
      </c>
      <c r="CK20" s="28">
        <f>=CK121</f>
        <v>0</v>
      </c>
      <c r="CL20" s="28">
        <f>=CL121</f>
        <v>0</v>
      </c>
      <c r="CM20" s="28">
        <f>=CM121</f>
        <v>0</v>
      </c>
      <c r="CN20" s="28">
        <f>=CN121</f>
        <v>0</v>
      </c>
      <c r="CO20" s="28">
        <f>=CO121</f>
        <v>0</v>
      </c>
      <c r="CP20" s="28">
        <f>=CP121</f>
        <v>0</v>
      </c>
      <c r="CQ20" s="28">
        <f>=CQ121</f>
        <v>0</v>
      </c>
      <c r="CR20" s="28">
        <f>=CR121</f>
        <v>0</v>
      </c>
      <c r="CS20" s="28">
        <f>=CS121</f>
        <v>0</v>
      </c>
      <c r="CT20" s="28">
        <f>=CT121</f>
        <v>0</v>
      </c>
      <c r="CU20" s="28">
        <f>=CU121</f>
        <v>0</v>
      </c>
      <c r="CV20" s="28">
        <f>=CV121</f>
        <v>0</v>
      </c>
      <c r="CW20" s="28">
        <f>=CW121</f>
        <v>0</v>
      </c>
      <c r="CX20" s="28">
        <f>=CX121</f>
        <v>0</v>
      </c>
      <c r="CY20" s="28">
        <f>=CY121</f>
        <v>0</v>
      </c>
      <c r="CZ20" s="28">
        <f>=CZ121</f>
        <v>0</v>
      </c>
      <c r="DA20" s="28">
        <f>=DA121</f>
        <v>0</v>
      </c>
      <c r="DB20" s="28">
        <f>=DB121</f>
        <v>0</v>
      </c>
    </row>
    <row r="21" ht="18" customHeight="1" spans="1:106" x14ac:dyDescent="0.25">
      <c r="A21" s="27" t="s">
        <v>255</v>
      </c>
      <c r="C21" s="28">
        <f>=SUM(C124:C125)</f>
        <v>10</v>
      </c>
      <c r="D21" s="28">
        <f>=SUM(D124:D125)</f>
        <v>0</v>
      </c>
      <c r="E21" s="28">
        <f>=SUM(E124:E125)</f>
        <v>11</v>
      </c>
      <c r="F21" s="28">
        <f>=SUM(F124:F125)</f>
        <v>0</v>
      </c>
      <c r="G21" s="28">
        <f>=SUM(G124:G125)</f>
        <v>0</v>
      </c>
      <c r="H21" s="28">
        <f>=SUM(H124:H125)</f>
        <v>0</v>
      </c>
      <c r="I21" s="28">
        <f>=SUM(I124:I125)</f>
        <v>0</v>
      </c>
      <c r="J21" s="28">
        <f>=SUM(J124:J125)</f>
        <v>0</v>
      </c>
      <c r="K21" s="28">
        <f>=SUM(K124:K125)</f>
        <v>0</v>
      </c>
      <c r="L21" s="28">
        <f>=SUM(L124:L125)</f>
        <v>0</v>
      </c>
      <c r="M21" s="28">
        <f>=SUM(M124:M125)</f>
        <v>0</v>
      </c>
      <c r="N21" s="28">
        <f>=SUM(N124:N125)</f>
        <v>0</v>
      </c>
      <c r="O21" s="28">
        <f>=SUM(O124:O125)</f>
        <v>0</v>
      </c>
      <c r="P21" s="28">
        <f>=SUM(P124:P125)</f>
        <v>0</v>
      </c>
      <c r="Q21" s="28">
        <f>=SUM(Q124:Q125)</f>
        <v>0</v>
      </c>
      <c r="R21" s="28">
        <f>=SUM(R124:R125)</f>
        <v>0</v>
      </c>
      <c r="S21" s="28">
        <f>=SUM(S124:S125)</f>
        <v>0</v>
      </c>
      <c r="T21" s="28">
        <f>=SUM(T124:T125)</f>
        <v>0</v>
      </c>
      <c r="U21" s="28">
        <f>=SUM(U124:U125)</f>
        <v>0</v>
      </c>
      <c r="V21" s="28">
        <f>=SUM(V124:V125)</f>
        <v>0</v>
      </c>
      <c r="W21" s="28">
        <f>=SUM(W124:W125)</f>
        <v>0</v>
      </c>
      <c r="X21" s="28">
        <f>=SUM(X124:X125)</f>
        <v>0</v>
      </c>
      <c r="Y21" s="28">
        <f>=SUM(Y124:Y125)</f>
        <v>0</v>
      </c>
      <c r="Z21" s="28">
        <f>=SUM(Z124:Z125)</f>
        <v>0</v>
      </c>
      <c r="AA21" s="28">
        <f>=SUM(AA124:AA125)</f>
        <v>0</v>
      </c>
      <c r="AB21" s="28">
        <f>=SUM(AB124:AB125)</f>
        <v>0</v>
      </c>
      <c r="AC21" s="28">
        <f>=SUM(AC124:AC125)</f>
        <v>0</v>
      </c>
      <c r="AD21" s="28">
        <f>=SUM(AD124:AD125)</f>
        <v>0</v>
      </c>
      <c r="AE21" s="28">
        <f>=SUM(AE124:AE125)</f>
        <v>0</v>
      </c>
      <c r="AF21" s="28">
        <f>=SUM(AF124:AF125)</f>
        <v>0</v>
      </c>
      <c r="AG21" s="28">
        <f>=SUM(AG124:AG125)</f>
        <v>0</v>
      </c>
      <c r="AH21" s="28">
        <f>=SUM(AH124:AH125)</f>
        <v>0</v>
      </c>
      <c r="AI21" s="28">
        <f>=SUM(AI124:AI125)</f>
        <v>0</v>
      </c>
      <c r="AJ21" s="28">
        <f>=SUM(AJ124:AJ125)</f>
        <v>0</v>
      </c>
      <c r="AK21" s="28">
        <f>=SUM(AK124:AK125)</f>
        <v>0</v>
      </c>
      <c r="AL21" s="28">
        <f>=SUM(AL124:AL125)</f>
        <v>13</v>
      </c>
      <c r="AM21" s="28">
        <f>=SUM(AM124:AM125)</f>
        <v>0</v>
      </c>
      <c r="AN21" s="28">
        <f>=SUM(AN124:AN125)</f>
        <v>12</v>
      </c>
      <c r="AO21" s="28">
        <f>=SUM(AO124:AO125)</f>
        <v>0</v>
      </c>
      <c r="AP21" s="28">
        <f>=SUM(AP124:AP125)</f>
        <v>0</v>
      </c>
      <c r="AQ21" s="28">
        <f>=SUM(AQ124:AQ125)</f>
        <v>0</v>
      </c>
      <c r="AR21" s="28">
        <f>=SUM(AR124:AR125)</f>
        <v>0</v>
      </c>
      <c r="AS21" s="28">
        <f>=SUM(AS124:AS125)</f>
        <v>0</v>
      </c>
      <c r="AT21" s="28">
        <f>=SUM(AT124:AT125)</f>
        <v>14</v>
      </c>
      <c r="AU21" s="28">
        <f>=SUM(AU124:AU125)</f>
        <v>0</v>
      </c>
      <c r="AV21" s="28">
        <f>=SUM(AV124:AV125)</f>
        <v>0</v>
      </c>
      <c r="AW21" s="28">
        <f>=SUM(AW124:AW125)</f>
        <v>0</v>
      </c>
      <c r="AX21" s="28">
        <f>=SUM(AX124:AX125)</f>
        <v>16</v>
      </c>
      <c r="AY21" s="28">
        <f>=SUM(AY124:AY125)</f>
        <v>0</v>
      </c>
      <c r="AZ21" s="28">
        <f>=SUM(AZ124:AZ125)</f>
        <v>0</v>
      </c>
      <c r="BA21" s="28">
        <f>=SUM(BA124:BA125)</f>
        <v>0</v>
      </c>
      <c r="BB21" s="28">
        <f>=SUM(BB124:BB125)</f>
        <v>0</v>
      </c>
      <c r="BC21" s="28">
        <f>=SUM(BC124:BC125)</f>
        <v>12</v>
      </c>
      <c r="BD21" s="28">
        <f>=SUM(BD124:BD125)</f>
        <v>6</v>
      </c>
      <c r="BE21" s="28">
        <f>=SUM(BE124:BE125)</f>
        <v>0</v>
      </c>
      <c r="BF21" s="28">
        <f>=SUM(BF124:BF125)</f>
        <v>0</v>
      </c>
      <c r="BG21" s="28">
        <f>=SUM(BG124:BG125)</f>
        <v>0</v>
      </c>
      <c r="BH21" s="28">
        <f>=SUM(BH124:BH125)</f>
        <v>0</v>
      </c>
      <c r="BI21" s="28">
        <f>=SUM(BI124:BI125)</f>
        <v>0</v>
      </c>
      <c r="BJ21" s="28">
        <f>=SUM(BJ124:BJ125)</f>
        <v>0</v>
      </c>
      <c r="BK21" s="28">
        <f>=SUM(BK124:BK125)</f>
        <v>0</v>
      </c>
      <c r="BL21" s="28">
        <f>=SUM(BL124:BL125)</f>
        <v>0</v>
      </c>
      <c r="BM21" s="28">
        <f>=SUM(BM124:BM125)</f>
        <v>0</v>
      </c>
      <c r="BN21" s="28">
        <f>=SUM(BN124:BN125)</f>
        <v>0</v>
      </c>
      <c r="BO21" s="28">
        <f>=SUM(BO124:BO125)</f>
        <v>0</v>
      </c>
      <c r="BP21" s="28">
        <f>=SUM(BP124:BP125)</f>
        <v>0</v>
      </c>
      <c r="BQ21" s="28">
        <f>=SUM(BQ124:BQ125)</f>
        <v>0</v>
      </c>
      <c r="BR21" s="28">
        <f>=SUM(BR124:BR125)</f>
        <v>0</v>
      </c>
      <c r="BS21" s="28">
        <f>=SUM(BS124:BS125)</f>
        <v>0</v>
      </c>
      <c r="BT21" s="28">
        <f>=SUM(BT124:BT125)</f>
        <v>0</v>
      </c>
      <c r="BU21" s="28">
        <f>=SUM(BU124:BU125)</f>
        <v>0</v>
      </c>
      <c r="BV21" s="28">
        <f>=SUM(BV124:BV125)</f>
        <v>2</v>
      </c>
      <c r="BW21" s="28">
        <f>=SUM(BW124:BW125)</f>
        <v>0</v>
      </c>
      <c r="BX21" s="28">
        <f>=BX124</f>
        <v>0</v>
      </c>
      <c r="BY21" s="28">
        <f>=BY124</f>
        <v>0</v>
      </c>
      <c r="BZ21" s="28">
        <f>=BZ124</f>
        <v>0</v>
      </c>
      <c r="CA21" s="28">
        <f>=CA124</f>
        <v>0</v>
      </c>
      <c r="CB21" s="28">
        <f>=CB124</f>
        <v>0</v>
      </c>
      <c r="CC21" s="28">
        <f>=CC124</f>
        <v>0</v>
      </c>
      <c r="CD21" s="28">
        <f>=CD124</f>
        <v>0</v>
      </c>
      <c r="CE21" s="28">
        <f>=CE124</f>
        <v>0</v>
      </c>
      <c r="CF21" s="28">
        <f>=CF124</f>
        <v>0</v>
      </c>
      <c r="CG21" s="28">
        <f>=CG124</f>
        <v>0</v>
      </c>
      <c r="CH21" s="28">
        <f>=CH124</f>
        <v>0</v>
      </c>
      <c r="CI21" s="28">
        <f>=CI124</f>
        <v>0</v>
      </c>
      <c r="CJ21" s="28">
        <f>=CJ124</f>
        <v>0</v>
      </c>
      <c r="CK21" s="28">
        <f>=CK124</f>
        <v>0</v>
      </c>
      <c r="CL21" s="28">
        <f>=CL124</f>
        <v>0</v>
      </c>
      <c r="CM21" s="28">
        <f>=CM124</f>
        <v>0</v>
      </c>
      <c r="CN21" s="28">
        <f>=CN124</f>
        <v>0</v>
      </c>
      <c r="CO21" s="28">
        <f>=CO124</f>
        <v>0</v>
      </c>
      <c r="CP21" s="28">
        <f>=CP124</f>
        <v>0</v>
      </c>
      <c r="CQ21" s="28">
        <f>=CQ124</f>
        <v>0</v>
      </c>
      <c r="CR21" s="28">
        <f>=CR124</f>
        <v>0</v>
      </c>
      <c r="CS21" s="28">
        <f>=CS124</f>
        <v>0</v>
      </c>
      <c r="CT21" s="28">
        <f>=CT124</f>
        <v>0</v>
      </c>
      <c r="CU21" s="28">
        <f>=CU124</f>
        <v>0</v>
      </c>
      <c r="CV21" s="28">
        <f>=CV124</f>
        <v>0</v>
      </c>
      <c r="CW21" s="28">
        <f>=CW124</f>
        <v>0</v>
      </c>
      <c r="CX21" s="28">
        <f>=CX124</f>
        <v>0</v>
      </c>
      <c r="CY21" s="28">
        <f>=CY124</f>
        <v>0</v>
      </c>
      <c r="CZ21" s="28">
        <f>=CZ124</f>
        <v>0</v>
      </c>
      <c r="DA21" s="28">
        <f>=DA124</f>
        <v>0</v>
      </c>
      <c r="DB21" s="28">
        <f>=DB124</f>
        <v>0</v>
      </c>
    </row>
    <row r="22" spans="1:106" x14ac:dyDescent="0.25">
      <c r="A22" s="27" t="s">
        <v>256</v>
      </c>
      <c r="C22" s="28">
        <f>=SUM(C126:C127)</f>
        <v>10</v>
      </c>
      <c r="D22" s="28">
        <f>=SUM(D126:D127)</f>
        <v>0</v>
      </c>
      <c r="E22" s="28">
        <f>=SUM(E126:E127)</f>
        <v>11</v>
      </c>
      <c r="F22" s="28">
        <f>=SUM(F126:F127)</f>
        <v>0</v>
      </c>
      <c r="G22" s="28">
        <f>=SUM(G126:G127)</f>
        <v>0</v>
      </c>
      <c r="H22" s="28">
        <f>=SUM(H126:H127)</f>
        <v>0</v>
      </c>
      <c r="I22" s="28">
        <v>0</v>
      </c>
      <c r="J22" s="28">
        <f>=SUM(J126:J127)</f>
        <v>0</v>
      </c>
      <c r="K22" s="28">
        <f>=SUM(K126:K127)</f>
        <v>0</v>
      </c>
      <c r="L22" s="28">
        <f>=SUM(L126:L127)</f>
        <v>0</v>
      </c>
      <c r="M22" s="28">
        <f>=SUM(M126:M127)</f>
        <v>0</v>
      </c>
      <c r="N22" s="28">
        <f>=SUM(N126:N127)</f>
        <v>0</v>
      </c>
      <c r="O22" s="28">
        <f>=SUM(O126:O127)</f>
        <v>0</v>
      </c>
      <c r="P22" s="28">
        <f>=SUM(P126:P127)</f>
        <v>0</v>
      </c>
      <c r="Q22" s="28">
        <f>=SUM(Q126:Q127)</f>
        <v>0</v>
      </c>
      <c r="R22" s="28">
        <f>=SUM(R126:R127)</f>
        <v>0</v>
      </c>
      <c r="S22" s="28">
        <f>=SUM(S126:S127)</f>
        <v>0</v>
      </c>
      <c r="T22" s="28">
        <f>=SUM(T126:T127)</f>
        <v>0</v>
      </c>
      <c r="U22" s="28">
        <f>=SUM(U126:U127)</f>
        <v>0</v>
      </c>
      <c r="V22" s="28">
        <f>=SUM(V126:V127)</f>
        <v>0</v>
      </c>
      <c r="W22" s="28">
        <f>=SUM(W126:W127)</f>
        <v>0</v>
      </c>
      <c r="X22" s="28">
        <f>=SUM(X126:X127)</f>
        <v>0</v>
      </c>
      <c r="Y22" s="28">
        <f>=SUM(Y126:Y127)</f>
        <v>0</v>
      </c>
      <c r="Z22" s="28">
        <f>=SUM(Z126:Z127)</f>
        <v>0</v>
      </c>
      <c r="AA22" s="28">
        <f>=SUM(AA126:AA127)</f>
        <v>0</v>
      </c>
      <c r="AB22" s="28">
        <f>=SUM(AB126:AB127)</f>
        <v>0</v>
      </c>
      <c r="AC22" s="28">
        <f>=SUM(AC126:AC127)</f>
        <v>0</v>
      </c>
      <c r="AD22" s="28">
        <f>=SUM(AD126:AD127)</f>
        <v>0</v>
      </c>
      <c r="AE22" s="28">
        <f>=SUM(AE126:AE127)</f>
        <v>0</v>
      </c>
      <c r="AF22" s="28">
        <f>=SUM(AF126:AF127)</f>
        <v>0</v>
      </c>
      <c r="AG22" s="28">
        <f>=SUM(AG126:AG127)</f>
        <v>0</v>
      </c>
      <c r="AH22" s="28">
        <f>=SUM(AH126:AH127)</f>
        <v>0</v>
      </c>
      <c r="AI22" s="28">
        <f>=SUM(AI126:AI127)</f>
        <v>0</v>
      </c>
      <c r="AJ22" s="28">
        <f>=SUM(AJ126:AJ127)</f>
        <v>0</v>
      </c>
      <c r="AK22" s="28">
        <f>=SUM(AK126:AK127)</f>
        <v>0</v>
      </c>
      <c r="AL22" s="28">
        <f>=SUM(AL126:AL127)</f>
        <v>13</v>
      </c>
      <c r="AM22" s="28">
        <f>=SUM(AM126:AM127)</f>
        <v>0</v>
      </c>
      <c r="AN22" s="28">
        <f>=SUM(AN126:AN127)</f>
        <v>12</v>
      </c>
      <c r="AO22" s="28">
        <f>=SUM(AO126:AO127)</f>
        <v>0</v>
      </c>
      <c r="AP22" s="28">
        <f>=SUM(AP126:AP127)</f>
        <v>0</v>
      </c>
      <c r="AQ22" s="28">
        <f>=SUM(AQ126:AQ127)</f>
        <v>0</v>
      </c>
      <c r="AR22" s="28">
        <f>=SUM(AR126:AR127)</f>
        <v>0</v>
      </c>
      <c r="AS22" s="28">
        <f>=SUM(AS126:AS127)</f>
        <v>0</v>
      </c>
      <c r="AT22" s="28">
        <f>=SUM(AT126:AT127)</f>
        <v>14</v>
      </c>
      <c r="AU22" s="28">
        <f>=SUM(AU126:AU127)</f>
        <v>0</v>
      </c>
      <c r="AV22" s="28">
        <f>=SUM(AV126:AV127)</f>
        <v>0</v>
      </c>
      <c r="AW22" s="28">
        <f>=SUM(AW126:AW127)</f>
        <v>0</v>
      </c>
      <c r="AX22" s="28">
        <f>=SUM(AX126:AX127)</f>
        <v>16</v>
      </c>
      <c r="AY22" s="28">
        <f>=SUM(AY126:AY127)</f>
        <v>0</v>
      </c>
      <c r="AZ22" s="28">
        <f>=SUM(AZ126:AZ127)</f>
        <v>0</v>
      </c>
      <c r="BA22" s="28">
        <f>=SUM(BA126:BA127)</f>
        <v>0</v>
      </c>
      <c r="BB22" s="28">
        <f>=SUM(BB126:BB127)</f>
        <v>0</v>
      </c>
      <c r="BC22" s="28">
        <f>=SUM(BC126:BC127)</f>
        <v>12</v>
      </c>
      <c r="BD22" s="28">
        <f>=SUM(BD126:BD127)</f>
        <v>6</v>
      </c>
      <c r="BE22" s="28">
        <f>=SUM(BE126:BE127)</f>
        <v>0</v>
      </c>
      <c r="BF22" s="28">
        <f>=SUM(BF126:BF127)</f>
        <v>0</v>
      </c>
      <c r="BG22" s="28">
        <f>=SUM(BG126:BG127)</f>
        <v>0</v>
      </c>
      <c r="BH22" s="28">
        <f>=SUM(BH126:BH127)</f>
        <v>0</v>
      </c>
      <c r="BI22" s="28">
        <f>=SUM(BI126:BI127)</f>
        <v>0</v>
      </c>
      <c r="BJ22" s="28">
        <f>=SUM(BJ126:BJ127)</f>
        <v>0</v>
      </c>
      <c r="BK22" s="28">
        <f>=SUM(BK126:BK127)</f>
        <v>0</v>
      </c>
      <c r="BL22" s="28">
        <f>=SUM(BL126:BL127)</f>
        <v>0</v>
      </c>
      <c r="BM22" s="28">
        <f>=SUM(BM126:BM127)</f>
        <v>0</v>
      </c>
      <c r="BN22" s="28">
        <f>=SUM(BN126:BN127)</f>
        <v>0</v>
      </c>
      <c r="BO22" s="28">
        <f>=SUM(BO126:BO127)</f>
        <v>0</v>
      </c>
      <c r="BP22" s="28">
        <f>=SUM(BP126:BP127)</f>
        <v>0</v>
      </c>
      <c r="BQ22" s="28">
        <f>=SUM(BQ126:BQ127)</f>
        <v>0</v>
      </c>
      <c r="BR22" s="28">
        <f>=SUM(BR126:BR127)</f>
        <v>0</v>
      </c>
      <c r="BS22" s="28">
        <f>=SUM(BS126:BS127)</f>
        <v>0</v>
      </c>
      <c r="BT22" s="28">
        <f>=SUM(BT126:BT127)</f>
        <v>0</v>
      </c>
      <c r="BU22" s="28">
        <f>=SUM(BU126:BU127)</f>
        <v>0</v>
      </c>
      <c r="BV22" s="28">
        <f>=SUM(BV126:BV127)</f>
        <v>0</v>
      </c>
      <c r="BW22" s="28">
        <f>=SUM(BW126:BW127)</f>
        <v>2</v>
      </c>
      <c r="BX22" s="28">
        <f>=SUM(BX126:BX127)</f>
        <v>0</v>
      </c>
      <c r="BY22" s="28">
        <f>=SUM(BY126:BY127)</f>
        <v>0</v>
      </c>
      <c r="BZ22" s="28">
        <f>=SUM(BZ126:BZ127)</f>
        <v>0</v>
      </c>
      <c r="CA22" s="28">
        <f>=SUM(CA126:CA127)</f>
        <v>0</v>
      </c>
      <c r="CB22" s="28">
        <f>=SUM(CB126:CB127)</f>
        <v>0</v>
      </c>
      <c r="CC22" s="28">
        <f>=SUM(CC126:CC127)</f>
        <v>0</v>
      </c>
      <c r="CD22" s="28">
        <f>=SUM(CD126:CD127)</f>
        <v>0</v>
      </c>
      <c r="CE22" s="28">
        <f>=SUM(CE126:CE127)</f>
        <v>0</v>
      </c>
      <c r="CF22" s="28">
        <f>=SUM(CF126:CF127)</f>
        <v>0</v>
      </c>
      <c r="CG22" s="28">
        <f>=SUM(CG126:CG127)</f>
        <v>0</v>
      </c>
      <c r="CH22" s="28">
        <f>=SUM(CH126:CH127)</f>
        <v>0</v>
      </c>
      <c r="CI22" s="28">
        <f>=SUM(CI126:CI127)</f>
        <v>0</v>
      </c>
      <c r="CJ22" s="28">
        <f>=SUM(CJ126:CJ127)</f>
        <v>0</v>
      </c>
      <c r="CK22" s="28">
        <f>=SUM(CK126:CK127)</f>
        <v>0</v>
      </c>
      <c r="CL22" s="28">
        <f>=SUM(CL126:CL127)</f>
        <v>0</v>
      </c>
      <c r="CM22" s="28">
        <f>=SUM(CM126:CM127)</f>
        <v>0</v>
      </c>
      <c r="CN22" s="28">
        <f>=SUM(CN126:CN127)</f>
        <v>0</v>
      </c>
      <c r="CO22" s="28">
        <f>=SUM(CO126:CO127)</f>
        <v>0</v>
      </c>
      <c r="CP22" s="28">
        <f>=SUM(CP126:CP127)</f>
        <v>0</v>
      </c>
      <c r="CQ22" s="28">
        <f>=SUM(CQ126:CQ127)</f>
        <v>0</v>
      </c>
      <c r="CR22" s="28">
        <f>=SUM(CR126:CR127)</f>
        <v>0</v>
      </c>
      <c r="CS22" s="28">
        <f>=SUM(CS126:CS127)</f>
        <v>0</v>
      </c>
      <c r="CT22" s="28">
        <f>=SUM(CT126:CT127)</f>
        <v>0</v>
      </c>
      <c r="CU22" s="28">
        <f>=SUM(CU126:CU127)</f>
        <v>0</v>
      </c>
      <c r="CV22" s="28">
        <f>=SUM(CV126:CV127)</f>
        <v>0</v>
      </c>
      <c r="CW22" s="28">
        <f>=SUM(CW126:CW127)</f>
        <v>0</v>
      </c>
      <c r="CX22" s="28">
        <f>=SUM(CX126:CX127)</f>
        <v>0</v>
      </c>
      <c r="CY22" s="28">
        <f>=SUM(CY126:CY127)</f>
        <v>0</v>
      </c>
      <c r="CZ22" s="28">
        <f>=SUM(CZ126:CZ127)</f>
        <v>0</v>
      </c>
      <c r="DA22" s="28">
        <f>=SUM(DA126:DA127)</f>
        <v>0</v>
      </c>
      <c r="DB22" s="28">
        <f>=SUM(DB126:DB127)</f>
        <v>0</v>
      </c>
    </row>
    <row r="23" spans="1:106" x14ac:dyDescent="0.25">
      <c r="A23" s="27" t="s">
        <v>257</v>
      </c>
      <c r="C23" s="28">
        <f>=SUM(C128:C129)</f>
        <v>0</v>
      </c>
      <c r="D23" s="28">
        <f>=SUM(D128:D129)</f>
        <v>10</v>
      </c>
      <c r="E23" s="28">
        <f>=SUM(E128:E129)</f>
        <v>10</v>
      </c>
      <c r="F23" s="28">
        <f>=SUM(F128:F129)</f>
        <v>11</v>
      </c>
      <c r="G23" s="28">
        <f>=SUM(G128:G129)</f>
        <v>11</v>
      </c>
      <c r="H23" s="28">
        <f>=SUM(H128:H129)</f>
        <v>0</v>
      </c>
      <c r="I23" s="28">
        <f>=SUM(I128:I129)</f>
        <v>0</v>
      </c>
      <c r="J23" s="28">
        <f>=SUM(J128:J129)</f>
        <v>0</v>
      </c>
      <c r="K23" s="28">
        <f>=SUM(K128:K129)</f>
        <v>0</v>
      </c>
      <c r="L23" s="28">
        <f>=SUM(L128:L129)</f>
        <v>0</v>
      </c>
      <c r="M23" s="28">
        <f>=SUM(M128:M129)</f>
        <v>0</v>
      </c>
      <c r="N23" s="28">
        <f>=SUM(N128:N129)</f>
        <v>0</v>
      </c>
      <c r="O23" s="28">
        <f>=SUM(O128:O129)</f>
        <v>0</v>
      </c>
      <c r="P23" s="28">
        <f>=SUM(P128:P129)</f>
        <v>0</v>
      </c>
      <c r="Q23" s="28">
        <f>=SUM(Q128:Q129)</f>
        <v>0</v>
      </c>
      <c r="R23" s="28">
        <f>=SUM(R128:R129)</f>
        <v>0</v>
      </c>
      <c r="S23" s="28">
        <f>=SUM(S128:S129)</f>
        <v>0</v>
      </c>
      <c r="T23" s="28">
        <f>=SUM(T128:T129)</f>
        <v>0</v>
      </c>
      <c r="U23" s="28">
        <f>=SUM(U128:U129)</f>
        <v>0</v>
      </c>
      <c r="V23" s="28">
        <f>=SUM(V128:V129)</f>
        <v>0</v>
      </c>
      <c r="W23" s="28">
        <f>=SUM(W128:W129)</f>
        <v>0</v>
      </c>
      <c r="X23" s="28">
        <f>=SUM(X128:X129)</f>
        <v>0</v>
      </c>
      <c r="Y23" s="28">
        <f>=SUM(Y128:Y129)</f>
        <v>0</v>
      </c>
      <c r="Z23" s="28">
        <f>=SUM(Z128:Z129)</f>
        <v>0</v>
      </c>
      <c r="AA23" s="28">
        <f>=SUM(AA128:AA129)</f>
        <v>0</v>
      </c>
      <c r="AB23" s="28">
        <f>=SUM(AB128:AB129)</f>
        <v>0</v>
      </c>
      <c r="AC23" s="28">
        <f>=SUM(AC128:AC129)</f>
        <v>0</v>
      </c>
      <c r="AD23" s="28">
        <f>=SUM(AD128:AD129)</f>
        <v>0</v>
      </c>
      <c r="AE23" s="28">
        <f>=SUM(AE128:AE129)</f>
        <v>0</v>
      </c>
      <c r="AF23" s="28">
        <f>=SUM(AF128:AF129)</f>
        <v>0</v>
      </c>
      <c r="AG23" s="28">
        <f>=SUM(AG128:AG129)</f>
        <v>0</v>
      </c>
      <c r="AH23" s="28">
        <f>=SUM(AH128:AH129)</f>
        <v>0</v>
      </c>
      <c r="AI23" s="28">
        <f>=SUM(AI128:AI129)</f>
        <v>0</v>
      </c>
      <c r="AJ23" s="28">
        <f>=SUM(AJ128:AJ129)</f>
        <v>0</v>
      </c>
      <c r="AK23" s="28">
        <f>=SUM(AK128:AK129)</f>
        <v>0</v>
      </c>
      <c r="AL23" s="28">
        <f>=SUM(AL128:AL129)</f>
        <v>0</v>
      </c>
      <c r="AM23" s="28">
        <f>=SUM(AM128:AM129)</f>
        <v>12</v>
      </c>
      <c r="AN23" s="28">
        <f>=SUM(AN128:AN129)</f>
        <v>12</v>
      </c>
      <c r="AO23" s="28">
        <f>=SUM(AO128:AO129)</f>
        <v>14</v>
      </c>
      <c r="AP23" s="28">
        <f>=SUM(AP128:AP129)</f>
        <v>14</v>
      </c>
      <c r="AQ23" s="28">
        <f>=SUM(AQ128:AQ129)</f>
        <v>0</v>
      </c>
      <c r="AR23" s="28">
        <f>=SUM(AR128:AR129)</f>
        <v>0</v>
      </c>
      <c r="AS23" s="28">
        <f>=SUM(AS128:AS129)</f>
        <v>0</v>
      </c>
      <c r="AT23" s="28">
        <f>=SUM(AT128:AT129)</f>
        <v>0</v>
      </c>
      <c r="AU23" s="28">
        <f>=SUM(AU128:AU129)</f>
        <v>14</v>
      </c>
      <c r="AV23" s="28">
        <f>=SUM(AV128:AV129)</f>
        <v>14</v>
      </c>
      <c r="AW23" s="28">
        <f>=SUM(AW128:AW129)</f>
        <v>0</v>
      </c>
      <c r="AX23" s="28">
        <f>=SUM(AX128:AX129)</f>
        <v>0</v>
      </c>
      <c r="AY23" s="28">
        <f>=SUM(AY128:AY129)</f>
        <v>16</v>
      </c>
      <c r="AZ23" s="28">
        <f>=SUM(AZ128:AZ129)</f>
        <v>13</v>
      </c>
      <c r="BA23" s="28">
        <f>=SUM(BA128:BA129)</f>
        <v>0</v>
      </c>
      <c r="BB23" s="28">
        <f>=SUM(BB128:BB129)</f>
        <v>0</v>
      </c>
      <c r="BC23" s="28">
        <f>=SUM(BC128:BC129)</f>
        <v>0</v>
      </c>
      <c r="BD23" s="28">
        <f>=SUM(BD128:BD129)</f>
        <v>12</v>
      </c>
      <c r="BE23" s="28">
        <f>=SUM(BE128:BE129)</f>
        <v>16</v>
      </c>
      <c r="BF23" s="28">
        <f>=SUM(BF128:BF129)</f>
        <v>5</v>
      </c>
      <c r="BG23" s="28">
        <f>=SUM(BG128:BG129)</f>
        <v>0</v>
      </c>
      <c r="BH23" s="28">
        <f>=SUM(BH128:BH129)</f>
        <v>0</v>
      </c>
      <c r="BI23" s="28">
        <f>=SUM(BI128:BI129)</f>
        <v>0</v>
      </c>
      <c r="BJ23" s="28">
        <f>=SUM(BJ128:BJ129)</f>
        <v>0</v>
      </c>
      <c r="BK23" s="28">
        <f>=SUM(BK128:BK129)</f>
        <v>0</v>
      </c>
      <c r="BL23" s="28">
        <f>=SUM(BL128:BL129)</f>
        <v>0</v>
      </c>
      <c r="BM23" s="28">
        <f>=SUM(BM128:BM129)</f>
        <v>0</v>
      </c>
      <c r="BN23" s="28">
        <f>=SUM(BN128:BN129)</f>
        <v>0</v>
      </c>
      <c r="BO23" s="28">
        <f>=SUM(BO128:BO129)</f>
        <v>0</v>
      </c>
      <c r="BP23" s="28">
        <f>=SUM(BP128:BP129)</f>
        <v>0</v>
      </c>
      <c r="BQ23" s="28">
        <f>=SUM(BQ128:BQ129)</f>
        <v>0</v>
      </c>
      <c r="BR23" s="28">
        <f>=SUM(BR128:BR129)</f>
        <v>0</v>
      </c>
      <c r="BS23" s="28">
        <f>=SUM(BS128:BS129)</f>
        <v>0</v>
      </c>
      <c r="BT23" s="28">
        <f>=SUM(BT128:BT129)</f>
        <v>0</v>
      </c>
      <c r="BU23" s="28">
        <f>=SUM(BU128:BU129)</f>
        <v>0</v>
      </c>
      <c r="BV23" s="28">
        <f>=SUM(BV128:BV129)</f>
        <v>0</v>
      </c>
      <c r="BW23" s="28">
        <f>=SUM(BW128:BW129)</f>
        <v>0</v>
      </c>
      <c r="BX23" s="28">
        <f>=SUM(BX128:BX129)</f>
        <v>2</v>
      </c>
      <c r="BY23" s="28">
        <f>=SUM(BY128:BY129)</f>
        <v>2</v>
      </c>
      <c r="BZ23" s="28">
        <f>=SUM(BZ128:BZ129)</f>
        <v>0</v>
      </c>
      <c r="CA23" s="28">
        <f>=SUM(CA128:CA129)</f>
        <v>0</v>
      </c>
      <c r="CB23" s="28">
        <f>=SUM(CB128:CB129)</f>
        <v>0</v>
      </c>
      <c r="CC23" s="28">
        <f>=SUM(CC128:CC129)</f>
        <v>0</v>
      </c>
      <c r="CD23" s="28">
        <f>=SUM(CD128:CD129)</f>
        <v>0</v>
      </c>
      <c r="CE23" s="28">
        <f>=SUM(CE128:CE129)</f>
        <v>0</v>
      </c>
      <c r="CF23" s="28">
        <f>=SUM(CF128:CF129)</f>
        <v>0</v>
      </c>
      <c r="CG23" s="28">
        <f>=SUM(CG128:CG129)</f>
        <v>0</v>
      </c>
      <c r="CH23" s="28">
        <f>=SUM(CH128:CH129)</f>
        <v>0</v>
      </c>
      <c r="CI23" s="28">
        <f>=SUM(CI128:CI129)</f>
        <v>0</v>
      </c>
      <c r="CJ23" s="28">
        <f>=SUM(CJ128:CJ129)</f>
        <v>0</v>
      </c>
      <c r="CK23" s="28">
        <f>=SUM(CK128:CK129)</f>
        <v>0</v>
      </c>
      <c r="CL23" s="28">
        <f>=SUM(CL128:CL129)</f>
        <v>0</v>
      </c>
      <c r="CM23" s="28">
        <f>=SUM(CM128:CM129)</f>
        <v>0</v>
      </c>
      <c r="CN23" s="28">
        <f>=SUM(CN128:CN129)</f>
        <v>0</v>
      </c>
      <c r="CO23" s="28">
        <f>=SUM(CO128:CO129)</f>
        <v>0</v>
      </c>
      <c r="CP23" s="28">
        <f>=SUM(CP128:CP129)</f>
        <v>0</v>
      </c>
      <c r="CQ23" s="28">
        <f>=SUM(CQ128:CQ129)</f>
        <v>0</v>
      </c>
      <c r="CR23" s="28">
        <f>=SUM(CR128:CR129)</f>
        <v>0</v>
      </c>
      <c r="CS23" s="28">
        <f>=SUM(CS128:CS129)</f>
        <v>0</v>
      </c>
      <c r="CT23" s="28">
        <f>=SUM(CT128:CT129)</f>
        <v>0</v>
      </c>
      <c r="CU23" s="28">
        <f>=SUM(CU128:CU129)</f>
        <v>0</v>
      </c>
      <c r="CV23" s="28">
        <f>=SUM(CV128:CV129)</f>
        <v>0</v>
      </c>
      <c r="CW23" s="28">
        <f>=SUM(CW128:CW129)</f>
        <v>0</v>
      </c>
      <c r="CX23" s="28">
        <f>=SUM(CX128:CX129)</f>
        <v>0</v>
      </c>
      <c r="CY23" s="28">
        <f>=SUM(CY128:CY129)</f>
        <v>0</v>
      </c>
      <c r="CZ23" s="28">
        <f>=SUM(CZ128:CZ129)</f>
        <v>0</v>
      </c>
      <c r="DA23" s="28">
        <f>=SUM(DA128:DA129)</f>
        <v>0</v>
      </c>
      <c r="DB23" s="28">
        <f>=SUM(DB128:DB129)</f>
        <v>0</v>
      </c>
    </row>
    <row r="24" spans="1:106" x14ac:dyDescent="0.25">
      <c r="A24" s="27" t="s">
        <v>258</v>
      </c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0"/>
      <c r="CI24" s="30"/>
      <c r="CJ24" s="30"/>
      <c r="CK24" s="30"/>
      <c r="CL24" s="30"/>
      <c r="CM24" s="30"/>
      <c r="CN24" s="30"/>
      <c r="CO24" s="30"/>
      <c r="CP24" s="30"/>
      <c r="CQ24" s="30"/>
      <c r="CR24" s="30"/>
      <c r="CS24" s="30"/>
      <c r="CT24" s="30"/>
      <c r="CU24" s="30"/>
      <c r="CV24" s="30"/>
      <c r="CW24" s="30"/>
      <c r="CX24" s="30"/>
      <c r="CY24" s="30"/>
      <c r="CZ24" s="30"/>
      <c r="DA24" s="30"/>
      <c r="DB24" s="30"/>
    </row>
    <row r="25" spans="1:106" x14ac:dyDescent="0.25">
      <c r="A25" s="22" t="s">
        <v>259</v>
      </c>
      <c r="C25" s="31">
        <f>=IFERROR(C19/C10,0)</f>
        <v>1</v>
      </c>
      <c r="D25" s="31">
        <f>=IFERROR(D19/D10,0)</f>
        <v>0.8387096774193549</v>
      </c>
      <c r="E25" s="31">
        <f>=IFERROR(E19/E10,0)</f>
        <v>0.8333333333333334</v>
      </c>
      <c r="F25" s="31">
        <f>=IFERROR(F19/F10,0)</f>
        <v>0.8428571428571429</v>
      </c>
      <c r="G25" s="31">
        <f>=IFERROR(G19/G10,0)</f>
        <v>0.8405797101449275</v>
      </c>
      <c r="H25" s="31">
        <f>=IFERROR(H19/H10,0)</f>
        <v>1</v>
      </c>
      <c r="I25" s="31">
        <f>=IFERROR(I19/I10,0)</f>
        <v>1</v>
      </c>
      <c r="J25" s="31">
        <f>=IFERROR(J19/J10,0)</f>
        <v>1</v>
      </c>
      <c r="K25" s="31">
        <f>=IFERROR(K19/K10,0)</f>
        <v>1</v>
      </c>
      <c r="L25" s="31">
        <f>=IFERROR(L19/L10,0)</f>
        <v>1</v>
      </c>
      <c r="M25" s="31">
        <f>=IFERROR(M19/M10,0)</f>
        <v>1</v>
      </c>
      <c r="N25" s="31">
        <f>=IFERROR(N19/N10,0)</f>
        <v>1</v>
      </c>
      <c r="O25" s="31">
        <f>=IFERROR(O19/O10,0)</f>
        <v>1</v>
      </c>
      <c r="P25" s="31">
        <f>=IFERROR(P19/P10,0)</f>
        <v>1</v>
      </c>
      <c r="Q25" s="31">
        <f>=IFERROR(Q19/Q10,0)</f>
        <v>1</v>
      </c>
      <c r="R25" s="31">
        <f>=IFERROR(R19/R10,0)</f>
        <v>1</v>
      </c>
      <c r="S25" s="31">
        <f>=IFERROR(S19/S10,0)</f>
        <v>1</v>
      </c>
      <c r="T25" s="31">
        <f>=IFERROR(T19/T10,0)</f>
        <v>1</v>
      </c>
      <c r="U25" s="31">
        <f>=IFERROR(U19/U10,0)</f>
        <v>1</v>
      </c>
      <c r="V25" s="31">
        <f>=IFERROR(V19/V10,0)</f>
        <v>1</v>
      </c>
      <c r="W25" s="31">
        <f>=IFERROR(W19/W10,0)</f>
        <v>1</v>
      </c>
      <c r="X25" s="31">
        <f>=IFERROR(X19/X10,0)</f>
        <v>1</v>
      </c>
      <c r="Y25" s="31">
        <f>=IFERROR(Y19/Y10,0)</f>
        <v>1</v>
      </c>
      <c r="Z25" s="31">
        <f>=IFERROR(Z19/Z10,0)</f>
        <v>1</v>
      </c>
      <c r="AA25" s="31">
        <f>=IFERROR(AA19/AA10,0)</f>
        <v>1</v>
      </c>
      <c r="AB25" s="31">
        <f>=IFERROR(AB19/AB10,0)</f>
        <v>1</v>
      </c>
      <c r="AC25" s="31">
        <f>=IFERROR(AC19/AC10,0)</f>
        <v>1</v>
      </c>
      <c r="AD25" s="31">
        <f>=IFERROR(AD19/AD10,0)</f>
        <v>1</v>
      </c>
      <c r="AE25" s="31">
        <f>=IFERROR(AE19/AE10,0)</f>
        <v>1</v>
      </c>
      <c r="AF25" s="31">
        <f>=IFERROR(AF19/AF10,0)</f>
        <v>1</v>
      </c>
      <c r="AG25" s="31">
        <f>=IFERROR(AG19/AG10,0)</f>
        <v>1</v>
      </c>
      <c r="AH25" s="31">
        <f>=IFERROR(AH19/AH10,0)</f>
        <v>1</v>
      </c>
      <c r="AI25" s="31">
        <f>=IFERROR(AI19/AI10,0)</f>
        <v>1</v>
      </c>
      <c r="AJ25" s="31">
        <f>=IFERROR(AJ19/AJ10,0)</f>
        <v>1</v>
      </c>
      <c r="AK25" s="31">
        <f>=IFERROR(AK19/AK10,0)</f>
        <v>1</v>
      </c>
      <c r="AL25" s="31">
        <f>=IFERROR(AL19/AL10,0)</f>
        <v>1</v>
      </c>
      <c r="AM25" s="31">
        <f>=IFERROR(AM19/AM10,0)</f>
        <v>0.7142857142857143</v>
      </c>
      <c r="AN25" s="31">
        <f>=IFERROR(AN19/AN10,0)</f>
        <v>0.7142857142857143</v>
      </c>
      <c r="AO25" s="31">
        <f>=IFERROR(AO19/AO10,0)</f>
        <v>0.5272727272727272</v>
      </c>
      <c r="AP25" s="31">
        <f>=IFERROR(AP19/AP10,0)</f>
        <v>0.5272727272727272</v>
      </c>
      <c r="AQ25" s="31">
        <f>=IFERROR(AQ19/AQ10,0)</f>
        <v>0.75</v>
      </c>
      <c r="AR25" s="31">
        <f>=IFERROR(AR19/AR10,0)</f>
        <v>0.7647058823529411</v>
      </c>
      <c r="AS25" s="31">
        <f>=IFERROR(AS19/AS10,0)</f>
        <v>1</v>
      </c>
      <c r="AT25" s="31">
        <f>=IFERROR(AT19/AT10,0)</f>
        <v>1</v>
      </c>
      <c r="AU25" s="31">
        <f>=IFERROR(AU19/AU10,0)</f>
        <v>0.7666666666666667</v>
      </c>
      <c r="AV25" s="31">
        <f>=IFERROR(AV19/AV10,0)</f>
        <v>0.6818181818181818</v>
      </c>
      <c r="AW25" s="31">
        <f>=IFERROR(AW19/AW10,0)</f>
        <v>0.7045454545454546</v>
      </c>
      <c r="AX25" s="31">
        <f>=IFERROR(AX19/AX10,0)</f>
        <v>0.7045454545454546</v>
      </c>
      <c r="AY25" s="31">
        <f>=IFERROR(AY19/AY10,0)</f>
        <v>0.6595744680851063</v>
      </c>
      <c r="AZ25" s="31">
        <f>=IFERROR(AZ19/AZ10,0)</f>
        <v>0.7045454545454546</v>
      </c>
      <c r="BA25" s="31">
        <f>=IFERROR(BA19/BA10,0)</f>
        <v>0.717391304347826</v>
      </c>
      <c r="BB25" s="31">
        <f>=IFERROR(BB19/BB10,0)</f>
        <v>0.7111111111111111</v>
      </c>
      <c r="BC25" s="31">
        <f>=IFERROR(BC19/BC10,0)</f>
        <v>1</v>
      </c>
      <c r="BD25" s="31">
        <f>=IFERROR(BD19/BD10,0)</f>
        <v>0.7272727272727273</v>
      </c>
      <c r="BE25" s="31">
        <f>=IFERROR(BE19/BE10,0)</f>
        <v>0.6666666666666666</v>
      </c>
      <c r="BF25" s="31">
        <f>=IFERROR(BF19/BF10,0)</f>
        <v>0.6938775510204082</v>
      </c>
      <c r="BG25" s="31">
        <f>=IFERROR(BG19/BG10,0)</f>
        <v>0.6938775510204082</v>
      </c>
      <c r="BH25" s="31">
        <f>=IFERROR(BH19/BH10,0)</f>
        <v>0.8979591836734694</v>
      </c>
      <c r="BI25" s="31">
        <f>=IFERROR(BI19/BI10,0)</f>
        <v>1</v>
      </c>
      <c r="BJ25" s="31">
        <f>=IFERROR(BJ19/BJ10,0)</f>
        <v>1</v>
      </c>
      <c r="BK25" s="31">
        <f>=IFERROR(BK19/BK10,0)</f>
        <v>1</v>
      </c>
      <c r="BL25" s="31">
        <f>=IFERROR(BL19/BL10,0)</f>
        <v>1</v>
      </c>
      <c r="BM25" s="31">
        <f>=IFERROR(BM19/BM10,0)</f>
        <v>1</v>
      </c>
      <c r="BN25" s="31">
        <f>=IFERROR(BN19/BN10,0)</f>
        <v>1</v>
      </c>
      <c r="BO25" s="31">
        <f>=IFERROR(BO19/BO10,0)</f>
        <v>1</v>
      </c>
      <c r="BP25" s="31">
        <f>=IFERROR(BP19/BP10,0)</f>
        <v>1</v>
      </c>
      <c r="BQ25" s="31">
        <f>=IFERROR(BQ19/BQ10,0)</f>
        <v>1</v>
      </c>
      <c r="BR25" s="31">
        <f>=IFERROR(BR19/BR10,0)</f>
        <v>1</v>
      </c>
      <c r="BS25" s="31">
        <f>=IFERROR(BS19/BS10,0)</f>
        <v>1</v>
      </c>
      <c r="BT25" s="31">
        <f>=IFERROR(BT19/BT10,0)</f>
        <v>1</v>
      </c>
      <c r="BU25" s="31">
        <f>=IFERROR(BU19/BU10,0)</f>
        <v>1</v>
      </c>
      <c r="BV25" s="31">
        <f>=IFERROR(BV19/BV10,0)</f>
        <v>1</v>
      </c>
      <c r="BW25" s="31">
        <f>=IFERROR(BW19/BW10,0)</f>
        <v>0.9428571428571428</v>
      </c>
      <c r="BX25" s="31">
        <f>=IFERROR(BX19/BX10,0)</f>
        <v>0.9428571428571428</v>
      </c>
      <c r="BY25" s="31">
        <f>=IFERROR(BY19/BY10,0)</f>
        <v>0.9428571428571428</v>
      </c>
      <c r="BZ25" s="31">
        <f>=IFERROR(BZ19/BZ10,0)</f>
        <v>1</v>
      </c>
      <c r="CA25" s="31">
        <f>=IFERROR(CA19/CA10,0)</f>
        <v>1</v>
      </c>
      <c r="CB25" s="31">
        <f>=IFERROR(CB19/CB10,0)</f>
        <v>1</v>
      </c>
      <c r="CC25" s="31">
        <f>=IFERROR(CC19/CC10,0)</f>
        <v>1</v>
      </c>
      <c r="CD25" s="31">
        <f>=IFERROR(CD19/CD10,0)</f>
        <v>1</v>
      </c>
      <c r="CE25" s="31">
        <f>=IFERROR(CE19/CE10,0)</f>
        <v>1</v>
      </c>
      <c r="CF25" s="31">
        <f>=IFERROR(CF19/CF10,0)</f>
        <v>1</v>
      </c>
      <c r="CG25" s="31">
        <f>=IFERROR(CG19/CG10,0)</f>
        <v>1</v>
      </c>
      <c r="CH25" s="31">
        <f>=IFERROR(CH19/CH10,0)</f>
        <v>1</v>
      </c>
      <c r="CI25" s="31">
        <f>=IFERROR(CI19/CI10,0)</f>
        <v>1</v>
      </c>
      <c r="CJ25" s="31">
        <f>=IFERROR(CJ19/CJ10,0)</f>
        <v>1</v>
      </c>
      <c r="CK25" s="31">
        <f>=IFERROR(CK19/CK10,0)</f>
        <v>1</v>
      </c>
      <c r="CL25" s="31">
        <f>=IFERROR(CL19/CL10,0)</f>
        <v>1</v>
      </c>
      <c r="CM25" s="31">
        <f>=IFERROR(CM19/CM10,0)</f>
        <v>1</v>
      </c>
      <c r="CN25" s="31">
        <f>=IFERROR(CN19/CN10,0)</f>
        <v>1</v>
      </c>
      <c r="CO25" s="31">
        <f>=IFERROR(CO19/CO10,0)</f>
        <v>1</v>
      </c>
      <c r="CP25" s="31">
        <f>=IFERROR(CP19/CP10,0)</f>
        <v>1</v>
      </c>
      <c r="CQ25" s="31">
        <f>=IFERROR(CQ19/CQ10,0)</f>
        <v>1</v>
      </c>
      <c r="CR25" s="31">
        <f>=IFERROR(CR19/CR10,0)</f>
        <v>1</v>
      </c>
      <c r="CS25" s="31">
        <f>=IFERROR(CS19/CS10,0)</f>
        <v>1</v>
      </c>
      <c r="CT25" s="31">
        <f>=IFERROR(CT19/CT10,0)</f>
        <v>1</v>
      </c>
      <c r="CU25" s="31">
        <f>=IFERROR(CU19/CU10,0)</f>
        <v>1</v>
      </c>
      <c r="CV25" s="31">
        <f>=IFERROR(CV19/CV10,0)</f>
        <v>1</v>
      </c>
      <c r="CW25" s="31">
        <f>=IFERROR(CW19/CW10,0)</f>
        <v>1</v>
      </c>
      <c r="CX25" s="31">
        <f>=IFERROR(CX19/CX10,0)</f>
        <v>1</v>
      </c>
      <c r="CY25" s="31">
        <f>=IFERROR(CY19/CY10,0)</f>
        <v>1</v>
      </c>
      <c r="CZ25" s="31">
        <f>=IFERROR(CZ19/CZ10,0)</f>
        <v>1</v>
      </c>
      <c r="DA25" s="31">
        <f>=IFERROR(DA19/DA10,0)</f>
        <v>1</v>
      </c>
      <c r="DB25" s="31">
        <f>=IFERROR(DB19/DB10,0)</f>
        <v>1</v>
      </c>
    </row>
    <row r="26" spans="3:106" x14ac:dyDescent="0.25"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0"/>
      <c r="CG26" s="30"/>
      <c r="CH26" s="30"/>
      <c r="CI26" s="30"/>
      <c r="CJ26" s="30"/>
      <c r="CK26" s="30"/>
      <c r="CL26" s="30"/>
      <c r="CM26" s="30"/>
      <c r="CN26" s="30"/>
      <c r="CO26" s="30"/>
      <c r="CP26" s="30"/>
      <c r="CQ26" s="30"/>
      <c r="CR26" s="30"/>
      <c r="CS26" s="30"/>
      <c r="CT26" s="30"/>
      <c r="CU26" s="30"/>
      <c r="CV26" s="30"/>
      <c r="CW26" s="30"/>
      <c r="CX26" s="30"/>
      <c r="CY26" s="30"/>
      <c r="CZ26" s="30"/>
      <c r="DA26" s="30"/>
      <c r="DB26" s="30"/>
    </row>
    <row r="27" ht="14" customHeight="1" spans="1:106" x14ac:dyDescent="0.25">
      <c r="A27" s="9" t="s">
        <v>260</v>
      </c>
      <c r="B27" s="17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</row>
    <row r="28" ht="15" customHeight="1" spans="1:106" x14ac:dyDescent="0.25">
      <c r="A28" s="33" t="s">
        <v>261</v>
      </c>
      <c r="B28" s="13"/>
      <c r="C28" s="34">
        <f>=IFERROR(1-((1-C29)*(1-C34)),0)</f>
        <v>0.252</v>
      </c>
      <c r="D28" s="34">
        <f>=IFERROR(1-((1-D29)*(1-D34)),0)</f>
        <v>0.252</v>
      </c>
      <c r="E28" s="34">
        <f>=IFERROR(1-((1-E29)*(1-E34)),0)</f>
        <v>0.252</v>
      </c>
      <c r="F28" s="34">
        <f>=IFERROR(1-((1-F29)*(1-F34)),0)</f>
        <v>0.252</v>
      </c>
      <c r="G28" s="34">
        <f>=IFERROR(1-((1-G29)*(1-G34)),0)</f>
        <v>0.252</v>
      </c>
      <c r="H28" s="34">
        <f>=IFERROR(1-((1-H29)*(1-H34)),0)</f>
        <v>0.252</v>
      </c>
      <c r="I28" s="34">
        <f>=IFERROR(1-((1-I29)*(1-I34)),0)</f>
        <v>0.252</v>
      </c>
      <c r="J28" s="34">
        <f>=IFERROR(1-((1-J29)*(1-J34)),0)</f>
        <v>0.252</v>
      </c>
      <c r="K28" s="34">
        <f>=IFERROR(1-((1-K29)*(1-K34)),0)</f>
        <v>0.252</v>
      </c>
      <c r="L28" s="34">
        <f>=IFERROR(1-((1-L29)*(1-L34)),0)</f>
        <v>0.252</v>
      </c>
      <c r="M28" s="34">
        <f>=IFERROR(1-((1-M29)*(1-M34)),0)</f>
        <v>0.252</v>
      </c>
      <c r="N28" s="34">
        <f>=IFERROR(1-((1-N29)*(1-N34)),0)</f>
        <v>0.252</v>
      </c>
      <c r="O28" s="34">
        <f>=IFERROR(1-((1-O29)*(1-O34)),0)</f>
        <v>0.252</v>
      </c>
      <c r="P28" s="34">
        <f>=IFERROR(1-((1-P29)*(1-P34)),0)</f>
        <v>0.252</v>
      </c>
      <c r="Q28" s="34">
        <f>=IFERROR(1-((1-Q29)*(1-Q34)),0)</f>
        <v>0.252</v>
      </c>
      <c r="R28" s="34">
        <f>=IFERROR(1-((1-R29)*(1-R34)),0)</f>
        <v>0.252</v>
      </c>
      <c r="S28" s="34">
        <f>=IFERROR(1-((1-S29)*(1-S34)),0)</f>
        <v>0.252</v>
      </c>
      <c r="T28" s="34">
        <f>=IFERROR(1-((1-T29)*(1-T34)),0)</f>
        <v>0.252</v>
      </c>
      <c r="U28" s="34">
        <f>=IFERROR(1-((1-U29)*(1-U34)),0)</f>
        <v>0.252</v>
      </c>
      <c r="V28" s="34">
        <f>=IFERROR(1-((1-V29)*(1-V34)),0)</f>
        <v>0.252</v>
      </c>
      <c r="W28" s="34">
        <f>=IFERROR(1-((1-W29)*(1-W34)),0)</f>
        <v>0.252</v>
      </c>
      <c r="X28" s="34">
        <f>=IFERROR(1-((1-X29)*(1-X34)),0)</f>
        <v>0.252</v>
      </c>
      <c r="Y28" s="34">
        <f>=IFERROR(1-((1-Y29)*(1-Y34)),0)</f>
        <v>0.252</v>
      </c>
      <c r="Z28" s="34">
        <f>=IFERROR(1-((1-Z29)*(1-Z34)),0)</f>
        <v>0.252</v>
      </c>
      <c r="AA28" s="34">
        <f>=IFERROR(1-((1-AA29)*(1-AA34)),0)</f>
        <v>0.252</v>
      </c>
      <c r="AB28" s="34">
        <f>=IFERROR(1-((1-AB29)*(1-AB34)),0)</f>
        <v>0.252</v>
      </c>
      <c r="AC28" s="34">
        <f>=IFERROR(1-((1-AC29)*(1-AC34)),0)</f>
        <v>0.252</v>
      </c>
      <c r="AD28" s="34">
        <f>=IFERROR(1-((1-AD29)*(1-AD34)),0)</f>
        <v>0.252</v>
      </c>
      <c r="AE28" s="34">
        <f>=IFERROR(1-((1-AE29)*(1-AE34)),0)</f>
        <v>0.252</v>
      </c>
      <c r="AF28" s="34">
        <f>=IFERROR(1-((1-AF29)*(1-AF34)),0)</f>
        <v>0.252</v>
      </c>
      <c r="AG28" s="34">
        <f>=IFERROR(1-((1-AG29)*(1-AG34)),0)</f>
        <v>0.252</v>
      </c>
      <c r="AH28" s="34">
        <f>=IFERROR(1-((1-AH29)*(1-AH34)),0)</f>
        <v>0.252</v>
      </c>
      <c r="AI28" s="34">
        <f>=IFERROR(1-((1-AI29)*(1-AI34)),0)</f>
        <v>0.252</v>
      </c>
      <c r="AJ28" s="34">
        <f>=IFERROR(1-((1-AJ29)*(1-AJ34)),0)</f>
        <v>0.252</v>
      </c>
      <c r="AK28" s="34">
        <f>=IFERROR(1-((1-AK29)*(1-AK34)),0)</f>
        <v>0.252</v>
      </c>
      <c r="AL28" s="34">
        <f>=IFERROR(1-((1-AL29)*(1-AL34)),0)</f>
        <v>0.252</v>
      </c>
      <c r="AM28" s="34">
        <f>=IFERROR(1-((1-AM29)*(1-AM34)),0)</f>
        <v>0.252</v>
      </c>
      <c r="AN28" s="34">
        <f>=IFERROR(1-((1-AN29)*(1-AN34)),0)</f>
        <v>0.252</v>
      </c>
      <c r="AO28" s="34">
        <f>=IFERROR(1-((1-AO29)*(1-AO34)),0)</f>
        <v>0.252</v>
      </c>
      <c r="AP28" s="34">
        <f>=IFERROR(1-((1-AP29)*(1-AP34)),0)</f>
        <v>0.2605</v>
      </c>
      <c r="AQ28" s="34">
        <f>=IFERROR(1-((1-AQ29)*(1-AQ34)),0)</f>
        <v>0.2605</v>
      </c>
      <c r="AR28" s="34">
        <f>=IFERROR(1-((1-AR29)*(1-AR34)),0)</f>
        <v>0.2605</v>
      </c>
      <c r="AS28" s="34">
        <f>=IFERROR(1-((1-AS29)*(1-AS34)),0)</f>
        <v>0.2605</v>
      </c>
      <c r="AT28" s="34">
        <f>=IFERROR(1-((1-AT29)*(1-AT34)),0)</f>
        <v>0.2605</v>
      </c>
      <c r="AU28" s="34">
        <f>=IFERROR(1-((1-AU29)*(1-AU34)),0)</f>
        <v>0.2605</v>
      </c>
      <c r="AV28" s="34">
        <f>=IFERROR(1-((1-AV29)*(1-AV34)),0)</f>
        <v>0.2605</v>
      </c>
      <c r="AW28" s="34">
        <f>=IFERROR(1-((1-AW29)*(1-AW34)),0)</f>
        <v>0.2605</v>
      </c>
      <c r="AX28" s="34">
        <f>=IFERROR(1-((1-AX29)*(1-AX34)),0)</f>
        <v>0.2605</v>
      </c>
      <c r="AY28" s="34">
        <f>=IFERROR(1-((1-AY29)*(1-AY34)),0)</f>
        <v>0.2605</v>
      </c>
      <c r="AZ28" s="34">
        <f>=IFERROR(1-((1-AZ29)*(1-AZ34)),0)</f>
        <v>0.2605</v>
      </c>
      <c r="BA28" s="34">
        <f>=IFERROR(1-((1-BA29)*(1-BA34)),0)</f>
        <v>0.2605</v>
      </c>
      <c r="BB28" s="34">
        <f>=IFERROR(1-((1-BB29)*(1-BB34)),0)</f>
        <v>0.2605</v>
      </c>
      <c r="BC28" s="34">
        <f>=IFERROR(1-((1-BC29)*(1-BC34)),0)</f>
        <v>0.269</v>
      </c>
      <c r="BD28" s="34">
        <f>=IFERROR(1-((1-BD29)*(1-BD34)),0)</f>
        <v>0.269</v>
      </c>
      <c r="BE28" s="34">
        <f>=IFERROR(1-((1-BE29)*(1-BE34)),0)</f>
        <v>0.269</v>
      </c>
      <c r="BF28" s="34">
        <f>=IFERROR(1-((1-BF29)*(1-BF34)),0)</f>
        <v>0.269</v>
      </c>
      <c r="BG28" s="34">
        <f>=IFERROR(1-((1-BG29)*(1-BG34)),0)</f>
        <v>0.269</v>
      </c>
      <c r="BH28" s="34">
        <f>=IFERROR(1-((1-BH29)*(1-BH34)),0)</f>
        <v>0.269</v>
      </c>
      <c r="BI28" s="34">
        <f>=IFERROR(1-((1-BI29)*(1-BI34)),0)</f>
        <v>0.269</v>
      </c>
      <c r="BJ28" s="34">
        <f>=IFERROR(1-((1-BJ29)*(1-BJ34)),0)</f>
        <v>0.269</v>
      </c>
      <c r="BK28" s="34">
        <f>=IFERROR(1-((1-BK29)*(1-BK34)),0)</f>
        <v>0.269</v>
      </c>
      <c r="BL28" s="34">
        <f>=IFERROR(1-((1-BL29)*(1-BL34)),0)</f>
        <v>0.269</v>
      </c>
      <c r="BM28" s="34">
        <f>=IFERROR(1-((1-BM29)*(1-BM34)),0)</f>
        <v>0.269</v>
      </c>
      <c r="BN28" s="34">
        <f>=IFERROR(1-((1-BN29)*(1-BN34)),0)</f>
        <v>0.269</v>
      </c>
      <c r="BO28" s="34">
        <f>=IFERROR(1-((1-BO29)*(1-BO34)),0)</f>
        <v>0.269</v>
      </c>
      <c r="BP28" s="34">
        <f>=IFERROR(1-((1-BP29)*(1-BP34)),0)</f>
        <v>0.269</v>
      </c>
      <c r="BQ28" s="34">
        <f>=IFERROR(1-((1-BQ29)*(1-BQ34)),0)</f>
        <v>0.269</v>
      </c>
      <c r="BR28" s="34">
        <f>=IFERROR(1-((1-BR29)*(1-BR34)),0)</f>
        <v>0.269</v>
      </c>
      <c r="BS28" s="34">
        <f>=IFERROR(1-((1-BS29)*(1-BS34)),0)</f>
        <v>0.269</v>
      </c>
      <c r="BT28" s="34">
        <f>=IFERROR(1-((1-BT29)*(1-BT34)),0)</f>
        <v>0.269</v>
      </c>
      <c r="BU28" s="34">
        <f>=IFERROR(1-((1-BU29)*(1-BU34)),0)</f>
        <v>0.269</v>
      </c>
      <c r="BV28" s="34">
        <f>=IFERROR(1-((1-BV29)*(1-BV34)),0)</f>
        <v>0.269</v>
      </c>
      <c r="BW28" s="34">
        <f>=IFERROR(1-((1-BW29)*(1-BW34)),0)</f>
        <v>0.269</v>
      </c>
      <c r="BX28" s="34">
        <f>=IFERROR(1-((1-BX29)*(1-BX34)),0)</f>
        <v>0.269</v>
      </c>
      <c r="BY28" s="34">
        <f>=IFERROR(1-((1-BY29)*(1-BY34)),0)</f>
        <v>0.269</v>
      </c>
      <c r="BZ28" s="34">
        <f>=IFERROR(1-((1-BZ29)*(1-BZ34)),0)</f>
        <v>0.269</v>
      </c>
      <c r="CA28" s="34">
        <f>=IFERROR(1-((1-CA29)*(1-CA34)),0)</f>
        <v>0.269</v>
      </c>
      <c r="CB28" s="34">
        <f>=IFERROR(1-((1-CB29)*(1-CB34)),0)</f>
        <v>0.269</v>
      </c>
      <c r="CC28" s="34">
        <f>=IFERROR(1-((1-CC29)*(1-CC34)),0)</f>
        <v>0.269</v>
      </c>
      <c r="CD28" s="34">
        <f>=IFERROR(1-((1-CD29)*(1-CD34)),0)</f>
        <v>0.269</v>
      </c>
      <c r="CE28" s="34">
        <f>=IFERROR(1-((1-CE29)*(1-CE34)),0)</f>
        <v>0.269</v>
      </c>
      <c r="CF28" s="34">
        <f>=IFERROR(1-((1-CF29)*(1-CF34)),0)</f>
        <v>0.269</v>
      </c>
      <c r="CG28" s="34">
        <f>=IFERROR(1-((1-CG29)*(1-CG34)),0)</f>
        <v>0.269</v>
      </c>
      <c r="CH28" s="34">
        <f>=IFERROR(1-((1-CH29)*(1-CH34)),0)</f>
        <v>0.269</v>
      </c>
      <c r="CI28" s="34">
        <f>=IFERROR(1-((1-CI29)*(1-CI34)),0)</f>
        <v>0.269</v>
      </c>
      <c r="CJ28" s="34">
        <f>=IFERROR(1-((1-CJ29)*(1-CJ34)),0)</f>
        <v>0.269</v>
      </c>
      <c r="CK28" s="34">
        <f>=IFERROR(1-((1-CK29)*(1-CK34)),0)</f>
        <v>0.269</v>
      </c>
      <c r="CL28" s="34">
        <f>=IFERROR(1-((1-CL29)*(1-CL34)),0)</f>
        <v>0.269</v>
      </c>
      <c r="CM28" s="34">
        <f>=IFERROR(1-((1-CM29)*(1-CM34)),0)</f>
        <v>0.269</v>
      </c>
      <c r="CN28" s="34">
        <f>=IFERROR(1-((1-CN29)*(1-CN34)),0)</f>
        <v>0.269</v>
      </c>
      <c r="CO28" s="34">
        <f>=IFERROR(1-((1-CO29)*(1-CO34)),0)</f>
        <v>0.269</v>
      </c>
      <c r="CP28" s="34">
        <f>=IFERROR(1-((1-CP29)*(1-CP34)),0)</f>
        <v>0.269</v>
      </c>
      <c r="CQ28" s="34">
        <f>=IFERROR(1-((1-CQ29)*(1-CQ34)),0)</f>
        <v>0.269</v>
      </c>
      <c r="CR28" s="34">
        <f>=IFERROR(1-((1-CR29)*(1-CR34)),0)</f>
        <v>0.269</v>
      </c>
      <c r="CS28" s="34">
        <f>=IFERROR(1-((1-CS29)*(1-CS34)),0)</f>
        <v>0.269</v>
      </c>
      <c r="CT28" s="34">
        <f>=IFERROR(1-((1-CT29)*(1-CT34)),0)</f>
        <v>0.269</v>
      </c>
      <c r="CU28" s="34">
        <f>=IFERROR(1-((1-CU29)*(1-CU34)),0)</f>
        <v>0.269</v>
      </c>
      <c r="CV28" s="34">
        <f>=IFERROR(1-((1-CV29)*(1-CV34)),0)</f>
        <v>0.269</v>
      </c>
      <c r="CW28" s="34">
        <f>=IFERROR(1-((1-CW29)*(1-CW34)),0)</f>
        <v>0.269</v>
      </c>
      <c r="CX28" s="34">
        <f>=IFERROR(1-((1-CX29)*(1-CX34)),0)</f>
        <v>0.269</v>
      </c>
      <c r="CY28" s="34">
        <f>=IFERROR(1-((1-CY29)*(1-CY34)),0)</f>
        <v>0.269</v>
      </c>
      <c r="CZ28" s="34">
        <f>=IFERROR(1-((1-CZ29)*(1-CZ34)),0)</f>
        <v>0.269</v>
      </c>
      <c r="DA28" s="34">
        <f>=IFERROR(1-((1-DA29)*(1-DA34)),0)</f>
        <v>0.269</v>
      </c>
      <c r="DB28" s="34">
        <f>=IFERROR(1-((1-DB29)*(1-DB34)),0)</f>
        <v>0.269</v>
      </c>
    </row>
    <row r="29" ht="15" customHeight="1" spans="1:106" x14ac:dyDescent="0.25">
      <c r="A29" s="16" t="s">
        <v>262</v>
      </c>
      <c r="B29" s="17"/>
      <c r="C29" s="35">
        <f>=SUM(C30:C33)</f>
        <v>0.12</v>
      </c>
      <c r="D29" s="35">
        <f>=SUM(D30:D33)</f>
        <v>0.12</v>
      </c>
      <c r="E29" s="35">
        <f>=SUM(E30:E33)</f>
        <v>0.12</v>
      </c>
      <c r="F29" s="35">
        <f>=SUM(F30:F33)</f>
        <v>0.12</v>
      </c>
      <c r="G29" s="35">
        <f>=SUM(G30:G33)</f>
        <v>0.12</v>
      </c>
      <c r="H29" s="35">
        <f>=SUM(H30:H33)</f>
        <v>0.12</v>
      </c>
      <c r="I29" s="35">
        <f>=SUM(I30:I33)</f>
        <v>0.12</v>
      </c>
      <c r="J29" s="35">
        <f>=SUM(J30:J33)</f>
        <v>0.12</v>
      </c>
      <c r="K29" s="35">
        <f>=SUM(K30:K33)</f>
        <v>0.12</v>
      </c>
      <c r="L29" s="35">
        <f>=SUM(L30:L33)</f>
        <v>0.12</v>
      </c>
      <c r="M29" s="35">
        <f>=SUM(M30:M33)</f>
        <v>0.12</v>
      </c>
      <c r="N29" s="35">
        <f>=SUM(N30:N33)</f>
        <v>0.12</v>
      </c>
      <c r="O29" s="35">
        <f>=SUM(O30:O33)</f>
        <v>0.12</v>
      </c>
      <c r="P29" s="35">
        <f>=SUM(P30:P33)</f>
        <v>0.12</v>
      </c>
      <c r="Q29" s="35">
        <f>=SUM(Q30:Q33)</f>
        <v>0.12</v>
      </c>
      <c r="R29" s="35">
        <f>=SUM(R30:R33)</f>
        <v>0.12</v>
      </c>
      <c r="S29" s="35">
        <f>=SUM(S30:S33)</f>
        <v>0.12</v>
      </c>
      <c r="T29" s="35">
        <f>=SUM(T30:T33)</f>
        <v>0.12</v>
      </c>
      <c r="U29" s="35">
        <f>=SUM(U30:U33)</f>
        <v>0.12</v>
      </c>
      <c r="V29" s="35">
        <f>=SUM(V30:V33)</f>
        <v>0.12</v>
      </c>
      <c r="W29" s="35">
        <f>=SUM(W30:W33)</f>
        <v>0.12</v>
      </c>
      <c r="X29" s="35">
        <f>=SUM(X30:X33)</f>
        <v>0.12</v>
      </c>
      <c r="Y29" s="35">
        <f>=SUM(Y30:Y33)</f>
        <v>0.12</v>
      </c>
      <c r="Z29" s="35">
        <f>=SUM(Z30:Z33)</f>
        <v>0.12</v>
      </c>
      <c r="AA29" s="35">
        <f>=SUM(AA30:AA33)</f>
        <v>0.12</v>
      </c>
      <c r="AB29" s="35">
        <f>=SUM(AB30:AB33)</f>
        <v>0.12</v>
      </c>
      <c r="AC29" s="35">
        <f>=SUM(AC30:AC33)</f>
        <v>0.12</v>
      </c>
      <c r="AD29" s="35">
        <f>=SUM(AD30:AD33)</f>
        <v>0.12</v>
      </c>
      <c r="AE29" s="35">
        <f>=SUM(AE30:AE33)</f>
        <v>0.12</v>
      </c>
      <c r="AF29" s="35">
        <f>=SUM(AF30:AF33)</f>
        <v>0.12</v>
      </c>
      <c r="AG29" s="35">
        <f>=SUM(AG30:AG33)</f>
        <v>0.12</v>
      </c>
      <c r="AH29" s="35">
        <f>=SUM(AH30:AH33)</f>
        <v>0.12</v>
      </c>
      <c r="AI29" s="35">
        <f>=SUM(AI30:AI33)</f>
        <v>0.12</v>
      </c>
      <c r="AJ29" s="35">
        <f>=SUM(AJ30:AJ33)</f>
        <v>0.12</v>
      </c>
      <c r="AK29" s="35">
        <f>=SUM(AK30:AK33)</f>
        <v>0.12</v>
      </c>
      <c r="AL29" s="35">
        <f>=SUM(AL30:AL33)</f>
        <v>0.12</v>
      </c>
      <c r="AM29" s="35">
        <f>=SUM(AM30:AM33)</f>
        <v>0.12</v>
      </c>
      <c r="AN29" s="35">
        <f>=SUM(AN30:AN33)</f>
        <v>0.12</v>
      </c>
      <c r="AO29" s="35">
        <f>=SUM(AO30:AO33)</f>
        <v>0.12</v>
      </c>
      <c r="AP29" s="35">
        <f>=SUM(AP30:AP33)</f>
        <v>0.13</v>
      </c>
      <c r="AQ29" s="35">
        <f>=SUM(AQ30:AQ33)</f>
        <v>0.13</v>
      </c>
      <c r="AR29" s="35">
        <f>=SUM(AR30:AR33)</f>
        <v>0.13</v>
      </c>
      <c r="AS29" s="35">
        <f>=SUM(AS30:AS33)</f>
        <v>0.13</v>
      </c>
      <c r="AT29" s="35">
        <f>=SUM(AT30:AT33)</f>
        <v>0.13</v>
      </c>
      <c r="AU29" s="35">
        <f>=SUM(AU30:AU33)</f>
        <v>0.13</v>
      </c>
      <c r="AV29" s="35">
        <f>=SUM(AV30:AV33)</f>
        <v>0.13</v>
      </c>
      <c r="AW29" s="35">
        <f>=SUM(AW30:AW33)</f>
        <v>0.13</v>
      </c>
      <c r="AX29" s="35">
        <f>=SUM(AX30:AX33)</f>
        <v>0.13</v>
      </c>
      <c r="AY29" s="35">
        <f>=SUM(AY30:AY33)</f>
        <v>0.13</v>
      </c>
      <c r="AZ29" s="35">
        <f>=SUM(AZ30:AZ33)</f>
        <v>0.13</v>
      </c>
      <c r="BA29" s="35">
        <f>=SUM(BA30:BA33)</f>
        <v>0.13</v>
      </c>
      <c r="BB29" s="35">
        <f>=SUM(BB30:BB33)</f>
        <v>0.13</v>
      </c>
      <c r="BC29" s="35">
        <f>=SUM(BC30:BC33)</f>
        <v>0.14</v>
      </c>
      <c r="BD29" s="35">
        <f>=SUM(BD30:BD33)</f>
        <v>0.14</v>
      </c>
      <c r="BE29" s="35">
        <f>=SUM(BE30:BE33)</f>
        <v>0.14</v>
      </c>
      <c r="BF29" s="35">
        <f>=SUM(BF30:BF33)</f>
        <v>0.14</v>
      </c>
      <c r="BG29" s="35">
        <f>=SUM(BG30:BG33)</f>
        <v>0.14</v>
      </c>
      <c r="BH29" s="35">
        <f>=SUM(BH30:BH33)</f>
        <v>0.14</v>
      </c>
      <c r="BI29" s="35">
        <f>=SUM(BI30:BI33)</f>
        <v>0.14</v>
      </c>
      <c r="BJ29" s="35">
        <f>=SUM(BJ30:BJ33)</f>
        <v>0.14</v>
      </c>
      <c r="BK29" s="35">
        <f>=SUM(BK30:BK33)</f>
        <v>0.14</v>
      </c>
      <c r="BL29" s="35">
        <f>=SUM(BL30:BL33)</f>
        <v>0.14</v>
      </c>
      <c r="BM29" s="35">
        <f>=SUM(BM30:BM33)</f>
        <v>0.14</v>
      </c>
      <c r="BN29" s="35">
        <f>=SUM(BN30:BN33)</f>
        <v>0.14</v>
      </c>
      <c r="BO29" s="35">
        <f>=SUM(BO30:BO33)</f>
        <v>0.14</v>
      </c>
      <c r="BP29" s="35">
        <f>=SUM(BP30:BP33)</f>
        <v>0.14</v>
      </c>
      <c r="BQ29" s="35">
        <f>=SUM(BQ30:BQ33)</f>
        <v>0.14</v>
      </c>
      <c r="BR29" s="35">
        <f>=SUM(BR30:BR33)</f>
        <v>0.14</v>
      </c>
      <c r="BS29" s="35">
        <f>=SUM(BS30:BS33)</f>
        <v>0.14</v>
      </c>
      <c r="BT29" s="35">
        <f>=SUM(BT30:BT33)</f>
        <v>0.14</v>
      </c>
      <c r="BU29" s="35">
        <f>=SUM(BU30:BU33)</f>
        <v>0.14</v>
      </c>
      <c r="BV29" s="35">
        <f>=SUM(BV30:BV33)</f>
        <v>0.14</v>
      </c>
      <c r="BW29" s="35">
        <f>=SUM(BW30:BW33)</f>
        <v>0.14</v>
      </c>
      <c r="BX29" s="35">
        <f>=SUM(BX30:BX33)</f>
        <v>0.14</v>
      </c>
      <c r="BY29" s="35">
        <f>=SUM(BY30:BY33)</f>
        <v>0.14</v>
      </c>
      <c r="BZ29" s="35">
        <f>=SUM(BZ30:BZ33)</f>
        <v>0.14</v>
      </c>
      <c r="CA29" s="35">
        <f>=SUM(CA30:CA33)</f>
        <v>0.14</v>
      </c>
      <c r="CB29" s="35">
        <f>=SUM(CB30:CB33)</f>
        <v>0.14</v>
      </c>
      <c r="CC29" s="35">
        <f>=SUM(CC30:CC33)</f>
        <v>0.14</v>
      </c>
      <c r="CD29" s="35">
        <f>=SUM(CD30:CD33)</f>
        <v>0.14</v>
      </c>
      <c r="CE29" s="35">
        <f>=SUM(CE30:CE33)</f>
        <v>0.14</v>
      </c>
      <c r="CF29" s="35">
        <f>=SUM(CF30:CF33)</f>
        <v>0.14</v>
      </c>
      <c r="CG29" s="35">
        <f>=SUM(CG30:CG33)</f>
        <v>0.14</v>
      </c>
      <c r="CH29" s="35">
        <f>=SUM(CH30:CH33)</f>
        <v>0.14</v>
      </c>
      <c r="CI29" s="35">
        <f>=SUM(CI30:CI33)</f>
        <v>0.14</v>
      </c>
      <c r="CJ29" s="35">
        <f>=SUM(CJ30:CJ33)</f>
        <v>0.14</v>
      </c>
      <c r="CK29" s="35">
        <f>=SUM(CK30:CK33)</f>
        <v>0.14</v>
      </c>
      <c r="CL29" s="35">
        <f>=SUM(CL30:CL33)</f>
        <v>0.14</v>
      </c>
      <c r="CM29" s="35">
        <f>=SUM(CM30:CM33)</f>
        <v>0.14</v>
      </c>
      <c r="CN29" s="35">
        <f>=SUM(CN30:CN33)</f>
        <v>0.14</v>
      </c>
      <c r="CO29" s="35">
        <f>=SUM(CO30:CO33)</f>
        <v>0.14</v>
      </c>
      <c r="CP29" s="35">
        <f>=SUM(CP30:CP33)</f>
        <v>0.14</v>
      </c>
      <c r="CQ29" s="35">
        <f>=SUM(CQ30:CQ33)</f>
        <v>0.14</v>
      </c>
      <c r="CR29" s="35">
        <f>=SUM(CR30:CR33)</f>
        <v>0.14</v>
      </c>
      <c r="CS29" s="35">
        <f>=SUM(CS30:CS33)</f>
        <v>0.14</v>
      </c>
      <c r="CT29" s="35">
        <f>=SUM(CT30:CT33)</f>
        <v>0.14</v>
      </c>
      <c r="CU29" s="35">
        <f>=SUM(CU30:CU33)</f>
        <v>0.14</v>
      </c>
      <c r="CV29" s="35">
        <f>=SUM(CV30:CV33)</f>
        <v>0.14</v>
      </c>
      <c r="CW29" s="35">
        <f>=SUM(CW30:CW33)</f>
        <v>0.14</v>
      </c>
      <c r="CX29" s="35">
        <f>=SUM(CX30:CX33)</f>
        <v>0.14</v>
      </c>
      <c r="CY29" s="35">
        <f>=SUM(CY30:CY33)</f>
        <v>0.14</v>
      </c>
      <c r="CZ29" s="35">
        <f>=SUM(CZ30:CZ33)</f>
        <v>0.14</v>
      </c>
      <c r="DA29" s="35">
        <f>=SUM(DA30:DA33)</f>
        <v>0.14</v>
      </c>
      <c r="DB29" s="35">
        <f>=SUM(DB30:DB33)</f>
        <v>0.14</v>
      </c>
    </row>
    <row r="30" ht="18" customHeight="1" spans="1:106" x14ac:dyDescent="0.25">
      <c r="A30" s="36" t="s">
        <v>263</v>
      </c>
      <c r="C30" s="37">
        <v>0.06</v>
      </c>
      <c r="D30" s="37">
        <v>0.06</v>
      </c>
      <c r="E30" s="37">
        <v>0.06</v>
      </c>
      <c r="F30" s="37">
        <v>0.06</v>
      </c>
      <c r="G30" s="37">
        <v>0.06</v>
      </c>
      <c r="H30" s="37">
        <v>0.06</v>
      </c>
      <c r="I30" s="37">
        <v>0.06</v>
      </c>
      <c r="J30" s="37">
        <v>0.06</v>
      </c>
      <c r="K30" s="37">
        <v>0.06</v>
      </c>
      <c r="L30" s="37">
        <v>0.06</v>
      </c>
      <c r="M30" s="37">
        <v>0.06</v>
      </c>
      <c r="N30" s="37">
        <v>0.06</v>
      </c>
      <c r="O30" s="37">
        <v>0.06</v>
      </c>
      <c r="P30" s="37">
        <v>0.06</v>
      </c>
      <c r="Q30" s="37">
        <v>0.06</v>
      </c>
      <c r="R30" s="37">
        <v>0.06</v>
      </c>
      <c r="S30" s="37">
        <v>0.06</v>
      </c>
      <c r="T30" s="37">
        <v>0.06</v>
      </c>
      <c r="U30" s="37">
        <v>0.06</v>
      </c>
      <c r="V30" s="37">
        <v>0.06</v>
      </c>
      <c r="W30" s="37">
        <v>0.06</v>
      </c>
      <c r="X30" s="37">
        <v>0.06</v>
      </c>
      <c r="Y30" s="37">
        <v>0.06</v>
      </c>
      <c r="Z30" s="37">
        <v>0.06</v>
      </c>
      <c r="AA30" s="37">
        <v>0.06</v>
      </c>
      <c r="AB30" s="37">
        <v>0.06</v>
      </c>
      <c r="AC30" s="37">
        <v>0.06</v>
      </c>
      <c r="AD30" s="37">
        <v>0.06</v>
      </c>
      <c r="AE30" s="37">
        <v>0.06</v>
      </c>
      <c r="AF30" s="37">
        <v>0.06</v>
      </c>
      <c r="AG30" s="37">
        <v>0.06</v>
      </c>
      <c r="AH30" s="37">
        <v>0.06</v>
      </c>
      <c r="AI30" s="37">
        <v>0.06</v>
      </c>
      <c r="AJ30" s="37">
        <v>0.06</v>
      </c>
      <c r="AK30" s="37">
        <v>0.06</v>
      </c>
      <c r="AL30" s="37">
        <v>0.06</v>
      </c>
      <c r="AM30" s="37">
        <v>0.06</v>
      </c>
      <c r="AN30" s="37">
        <v>0.06</v>
      </c>
      <c r="AO30" s="37">
        <v>0.06</v>
      </c>
      <c r="AP30" s="37">
        <v>0.065</v>
      </c>
      <c r="AQ30" s="37">
        <v>0.065</v>
      </c>
      <c r="AR30" s="37">
        <v>0.065</v>
      </c>
      <c r="AS30" s="37">
        <v>0.065</v>
      </c>
      <c r="AT30" s="37">
        <v>0.065</v>
      </c>
      <c r="AU30" s="37">
        <v>0.065</v>
      </c>
      <c r="AV30" s="37">
        <v>0.065</v>
      </c>
      <c r="AW30" s="37">
        <v>0.065</v>
      </c>
      <c r="AX30" s="37">
        <v>0.065</v>
      </c>
      <c r="AY30" s="37">
        <v>0.065</v>
      </c>
      <c r="AZ30" s="37">
        <v>0.065</v>
      </c>
      <c r="BA30" s="37">
        <v>0.065</v>
      </c>
      <c r="BB30" s="37">
        <v>0.065</v>
      </c>
      <c r="BC30" s="37">
        <v>0.07</v>
      </c>
      <c r="BD30" s="37">
        <v>0.07</v>
      </c>
      <c r="BE30" s="37">
        <v>0.07</v>
      </c>
      <c r="BF30" s="37">
        <v>0.07</v>
      </c>
      <c r="BG30" s="37">
        <v>0.07</v>
      </c>
      <c r="BH30" s="37">
        <v>0.07</v>
      </c>
      <c r="BI30" s="37">
        <v>0.07</v>
      </c>
      <c r="BJ30" s="37">
        <v>0.07</v>
      </c>
      <c r="BK30" s="37">
        <v>0.07</v>
      </c>
      <c r="BL30" s="37">
        <v>0.07</v>
      </c>
      <c r="BM30" s="37">
        <v>0.07</v>
      </c>
      <c r="BN30" s="37">
        <v>0.07</v>
      </c>
      <c r="BO30" s="37">
        <v>0.07</v>
      </c>
      <c r="BP30" s="37">
        <v>0.07</v>
      </c>
      <c r="BQ30" s="37">
        <v>0.07</v>
      </c>
      <c r="BR30" s="37">
        <v>0.07</v>
      </c>
      <c r="BS30" s="37">
        <v>0.07</v>
      </c>
      <c r="BT30" s="37">
        <v>0.07</v>
      </c>
      <c r="BU30" s="37">
        <v>0.07</v>
      </c>
      <c r="BV30" s="37">
        <v>0.07</v>
      </c>
      <c r="BW30" s="37">
        <v>0.07</v>
      </c>
      <c r="BX30" s="37">
        <v>0.07</v>
      </c>
      <c r="BY30" s="37">
        <v>0.07</v>
      </c>
      <c r="BZ30" s="37">
        <v>0.07</v>
      </c>
      <c r="CA30" s="37">
        <v>0.07</v>
      </c>
      <c r="CB30" s="37">
        <v>0.07</v>
      </c>
      <c r="CC30" s="37">
        <v>0.07</v>
      </c>
      <c r="CD30" s="37">
        <v>0.07</v>
      </c>
      <c r="CE30" s="37">
        <v>0.07</v>
      </c>
      <c r="CF30" s="37">
        <v>0.07</v>
      </c>
      <c r="CG30" s="37">
        <v>0.07</v>
      </c>
      <c r="CH30" s="37">
        <v>0.07</v>
      </c>
      <c r="CI30" s="37">
        <v>0.07</v>
      </c>
      <c r="CJ30" s="37">
        <v>0.07</v>
      </c>
      <c r="CK30" s="37">
        <v>0.07</v>
      </c>
      <c r="CL30" s="37">
        <v>0.07</v>
      </c>
      <c r="CM30" s="37">
        <v>0.07</v>
      </c>
      <c r="CN30" s="37">
        <v>0.07</v>
      </c>
      <c r="CO30" s="37">
        <v>0.07</v>
      </c>
      <c r="CP30" s="37">
        <v>0.07</v>
      </c>
      <c r="CQ30" s="37">
        <v>0.07</v>
      </c>
      <c r="CR30" s="37">
        <v>0.07</v>
      </c>
      <c r="CS30" s="37">
        <v>0.07</v>
      </c>
      <c r="CT30" s="37">
        <v>0.07</v>
      </c>
      <c r="CU30" s="37">
        <v>0.07</v>
      </c>
      <c r="CV30" s="37">
        <v>0.07</v>
      </c>
      <c r="CW30" s="37">
        <v>0.07</v>
      </c>
      <c r="CX30" s="37">
        <v>0.07</v>
      </c>
      <c r="CY30" s="37">
        <v>0.07</v>
      </c>
      <c r="CZ30" s="37">
        <v>0.07</v>
      </c>
      <c r="DA30" s="37">
        <v>0.07</v>
      </c>
      <c r="DB30" s="37">
        <v>0.07</v>
      </c>
    </row>
    <row r="31" ht="18" customHeight="1" spans="1:106" x14ac:dyDescent="0.25">
      <c r="A31" s="36" t="s">
        <v>264</v>
      </c>
      <c r="C31" s="37">
        <v>0.06</v>
      </c>
      <c r="D31" s="37">
        <v>0.06</v>
      </c>
      <c r="E31" s="37">
        <v>0.06</v>
      </c>
      <c r="F31" s="37">
        <v>0.06</v>
      </c>
      <c r="G31" s="37">
        <v>0.06</v>
      </c>
      <c r="H31" s="37">
        <v>0.06</v>
      </c>
      <c r="I31" s="37">
        <v>0.06</v>
      </c>
      <c r="J31" s="37">
        <v>0.06</v>
      </c>
      <c r="K31" s="37">
        <v>0.06</v>
      </c>
      <c r="L31" s="37">
        <v>0.06</v>
      </c>
      <c r="M31" s="37">
        <v>0.06</v>
      </c>
      <c r="N31" s="37">
        <v>0.06</v>
      </c>
      <c r="O31" s="37">
        <v>0.06</v>
      </c>
      <c r="P31" s="37">
        <v>0.06</v>
      </c>
      <c r="Q31" s="37">
        <v>0.06</v>
      </c>
      <c r="R31" s="37">
        <v>0.06</v>
      </c>
      <c r="S31" s="37">
        <v>0.06</v>
      </c>
      <c r="T31" s="37">
        <v>0.06</v>
      </c>
      <c r="U31" s="37">
        <v>0.06</v>
      </c>
      <c r="V31" s="37">
        <v>0.06</v>
      </c>
      <c r="W31" s="37">
        <v>0.06</v>
      </c>
      <c r="X31" s="37">
        <v>0.06</v>
      </c>
      <c r="Y31" s="37">
        <v>0.06</v>
      </c>
      <c r="Z31" s="37">
        <v>0.06</v>
      </c>
      <c r="AA31" s="37">
        <v>0.06</v>
      </c>
      <c r="AB31" s="37">
        <v>0.06</v>
      </c>
      <c r="AC31" s="37">
        <v>0.06</v>
      </c>
      <c r="AD31" s="37">
        <v>0.06</v>
      </c>
      <c r="AE31" s="37">
        <v>0.06</v>
      </c>
      <c r="AF31" s="37">
        <v>0.06</v>
      </c>
      <c r="AG31" s="37">
        <v>0.06</v>
      </c>
      <c r="AH31" s="37">
        <v>0.06</v>
      </c>
      <c r="AI31" s="37">
        <v>0.06</v>
      </c>
      <c r="AJ31" s="37">
        <v>0.06</v>
      </c>
      <c r="AK31" s="37">
        <v>0.06</v>
      </c>
      <c r="AL31" s="37">
        <v>0.06</v>
      </c>
      <c r="AM31" s="37">
        <v>0.06</v>
      </c>
      <c r="AN31" s="37">
        <v>0.06</v>
      </c>
      <c r="AO31" s="37">
        <v>0.06</v>
      </c>
      <c r="AP31" s="37">
        <v>0.065</v>
      </c>
      <c r="AQ31" s="37">
        <v>0.065</v>
      </c>
      <c r="AR31" s="37">
        <v>0.065</v>
      </c>
      <c r="AS31" s="37">
        <v>0.065</v>
      </c>
      <c r="AT31" s="37">
        <v>0.065</v>
      </c>
      <c r="AU31" s="37">
        <v>0.065</v>
      </c>
      <c r="AV31" s="37">
        <v>0.065</v>
      </c>
      <c r="AW31" s="37">
        <v>0.065</v>
      </c>
      <c r="AX31" s="37">
        <v>0.065</v>
      </c>
      <c r="AY31" s="37">
        <v>0.065</v>
      </c>
      <c r="AZ31" s="37">
        <v>0.065</v>
      </c>
      <c r="BA31" s="37">
        <v>0.065</v>
      </c>
      <c r="BB31" s="37">
        <v>0.065</v>
      </c>
      <c r="BC31" s="37">
        <v>0.07</v>
      </c>
      <c r="BD31" s="37">
        <v>0.07</v>
      </c>
      <c r="BE31" s="37">
        <v>0.07</v>
      </c>
      <c r="BF31" s="37">
        <v>0.07</v>
      </c>
      <c r="BG31" s="37">
        <v>0.07</v>
      </c>
      <c r="BH31" s="37">
        <v>0.07</v>
      </c>
      <c r="BI31" s="37">
        <v>0.07</v>
      </c>
      <c r="BJ31" s="37">
        <v>0.07</v>
      </c>
      <c r="BK31" s="37">
        <v>0.07</v>
      </c>
      <c r="BL31" s="37">
        <v>0.07</v>
      </c>
      <c r="BM31" s="37">
        <v>0.07</v>
      </c>
      <c r="BN31" s="37">
        <v>0.07</v>
      </c>
      <c r="BO31" s="37">
        <v>0.07</v>
      </c>
      <c r="BP31" s="37">
        <v>0.07</v>
      </c>
      <c r="BQ31" s="37">
        <v>0.07</v>
      </c>
      <c r="BR31" s="37">
        <v>0.07</v>
      </c>
      <c r="BS31" s="37">
        <v>0.07</v>
      </c>
      <c r="BT31" s="37">
        <v>0.07</v>
      </c>
      <c r="BU31" s="37">
        <v>0.07</v>
      </c>
      <c r="BV31" s="37">
        <v>0.07</v>
      </c>
      <c r="BW31" s="37">
        <v>0.07</v>
      </c>
      <c r="BX31" s="37">
        <v>0.07</v>
      </c>
      <c r="BY31" s="37">
        <v>0.07</v>
      </c>
      <c r="BZ31" s="37">
        <v>0.07</v>
      </c>
      <c r="CA31" s="37">
        <v>0.07</v>
      </c>
      <c r="CB31" s="37">
        <v>0.07</v>
      </c>
      <c r="CC31" s="37">
        <v>0.07</v>
      </c>
      <c r="CD31" s="37">
        <v>0.07</v>
      </c>
      <c r="CE31" s="37">
        <v>0.07</v>
      </c>
      <c r="CF31" s="37">
        <v>0.07</v>
      </c>
      <c r="CG31" s="37">
        <v>0.07</v>
      </c>
      <c r="CH31" s="37">
        <v>0.07</v>
      </c>
      <c r="CI31" s="37">
        <v>0.07</v>
      </c>
      <c r="CJ31" s="37">
        <v>0.07</v>
      </c>
      <c r="CK31" s="37">
        <v>0.07</v>
      </c>
      <c r="CL31" s="37">
        <v>0.07</v>
      </c>
      <c r="CM31" s="37">
        <v>0.07</v>
      </c>
      <c r="CN31" s="37">
        <v>0.07</v>
      </c>
      <c r="CO31" s="37">
        <v>0.07</v>
      </c>
      <c r="CP31" s="37">
        <v>0.07</v>
      </c>
      <c r="CQ31" s="37">
        <v>0.07</v>
      </c>
      <c r="CR31" s="37">
        <v>0.07</v>
      </c>
      <c r="CS31" s="37">
        <v>0.07</v>
      </c>
      <c r="CT31" s="37">
        <v>0.07</v>
      </c>
      <c r="CU31" s="37">
        <v>0.07</v>
      </c>
      <c r="CV31" s="37">
        <v>0.07</v>
      </c>
      <c r="CW31" s="37">
        <v>0.07</v>
      </c>
      <c r="CX31" s="37">
        <v>0.07</v>
      </c>
      <c r="CY31" s="37">
        <v>0.07</v>
      </c>
      <c r="CZ31" s="37">
        <v>0.07</v>
      </c>
      <c r="DA31" s="37">
        <v>0.07</v>
      </c>
      <c r="DB31" s="37">
        <v>0.07</v>
      </c>
    </row>
    <row r="32" spans="1:106" x14ac:dyDescent="0.25">
      <c r="A32" s="36" t="s">
        <v>265</v>
      </c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38"/>
      <c r="BM32" s="38"/>
      <c r="BN32" s="38"/>
      <c r="BO32" s="38"/>
      <c r="BP32" s="38"/>
      <c r="BQ32" s="38"/>
      <c r="BR32" s="38"/>
      <c r="BS32" s="38"/>
      <c r="BT32" s="38"/>
      <c r="BU32" s="38"/>
      <c r="BV32" s="38"/>
      <c r="BW32" s="38"/>
      <c r="BX32" s="38"/>
      <c r="BY32" s="38"/>
      <c r="BZ32" s="38"/>
      <c r="CA32" s="38"/>
      <c r="CB32" s="38"/>
      <c r="CC32" s="38"/>
      <c r="CD32" s="38"/>
      <c r="CE32" s="38"/>
      <c r="CF32" s="38"/>
      <c r="CG32" s="38"/>
      <c r="CH32" s="38"/>
      <c r="CI32" s="38"/>
      <c r="CJ32" s="38"/>
      <c r="CK32" s="38"/>
      <c r="CL32" s="38"/>
      <c r="CM32" s="38"/>
      <c r="CN32" s="38"/>
      <c r="CO32" s="38"/>
      <c r="CP32" s="38"/>
      <c r="CQ32" s="38"/>
      <c r="CR32" s="38"/>
      <c r="CS32" s="38"/>
      <c r="CT32" s="38"/>
      <c r="CU32" s="38"/>
      <c r="CV32" s="38"/>
      <c r="CW32" s="38"/>
      <c r="CX32" s="38"/>
      <c r="CY32" s="38"/>
      <c r="CZ32" s="38"/>
      <c r="DA32" s="38"/>
      <c r="DB32" s="38"/>
    </row>
    <row r="33" spans="1:106" x14ac:dyDescent="0.25">
      <c r="A33" s="36" t="s">
        <v>266</v>
      </c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/>
      <c r="BK33" s="38"/>
      <c r="BL33" s="38"/>
      <c r="BM33" s="38"/>
      <c r="BN33" s="38"/>
      <c r="BO33" s="38"/>
      <c r="BP33" s="38"/>
      <c r="BQ33" s="38"/>
      <c r="BR33" s="38"/>
      <c r="BS33" s="38"/>
      <c r="BT33" s="38"/>
      <c r="BU33" s="38"/>
      <c r="BV33" s="38"/>
      <c r="BW33" s="38"/>
      <c r="BX33" s="38"/>
      <c r="BY33" s="38"/>
      <c r="BZ33" s="38"/>
      <c r="CA33" s="38"/>
      <c r="CB33" s="38"/>
      <c r="CC33" s="38"/>
      <c r="CD33" s="38"/>
      <c r="CE33" s="38"/>
      <c r="CF33" s="38"/>
      <c r="CG33" s="38"/>
      <c r="CH33" s="38"/>
      <c r="CI33" s="38"/>
      <c r="CJ33" s="38"/>
      <c r="CK33" s="38"/>
      <c r="CL33" s="38"/>
      <c r="CM33" s="38"/>
      <c r="CN33" s="38"/>
      <c r="CO33" s="38"/>
      <c r="CP33" s="38"/>
      <c r="CQ33" s="38"/>
      <c r="CR33" s="38"/>
      <c r="CS33" s="38"/>
      <c r="CT33" s="38"/>
      <c r="CU33" s="38"/>
      <c r="CV33" s="38"/>
      <c r="CW33" s="38"/>
      <c r="CX33" s="38"/>
      <c r="CY33" s="38"/>
      <c r="CZ33" s="38"/>
      <c r="DA33" s="38"/>
      <c r="DB33" s="38"/>
    </row>
    <row r="34" ht="15" customHeight="1" spans="1:106" x14ac:dyDescent="0.25">
      <c r="A34" s="16" t="s">
        <v>267</v>
      </c>
      <c r="B34" s="17"/>
      <c r="C34" s="35">
        <f>=SUM(C35:C40)</f>
        <v>0.15</v>
      </c>
      <c r="D34" s="35">
        <f>=SUM(D35:D40)</f>
        <v>0.15</v>
      </c>
      <c r="E34" s="35">
        <f>=SUM(E35:E40)</f>
        <v>0.15</v>
      </c>
      <c r="F34" s="35">
        <f>=SUM(F35:F40)</f>
        <v>0.15</v>
      </c>
      <c r="G34" s="35">
        <f>=SUM(G35:G40)</f>
        <v>0.15</v>
      </c>
      <c r="H34" s="35">
        <f>=SUM(H35:H40)</f>
        <v>0.15</v>
      </c>
      <c r="I34" s="35">
        <f>=SUM(I35:I40)</f>
        <v>0.15</v>
      </c>
      <c r="J34" s="35">
        <f>=SUM(J35:J40)</f>
        <v>0.15</v>
      </c>
      <c r="K34" s="35">
        <f>=SUM(K35:K40)</f>
        <v>0.15</v>
      </c>
      <c r="L34" s="35">
        <f>=SUM(L35:L40)</f>
        <v>0.15</v>
      </c>
      <c r="M34" s="35">
        <f>=SUM(M35:M40)</f>
        <v>0.15</v>
      </c>
      <c r="N34" s="35">
        <f>=SUM(N35:N40)</f>
        <v>0.15</v>
      </c>
      <c r="O34" s="35">
        <f>=SUM(O35:O40)</f>
        <v>0.15</v>
      </c>
      <c r="P34" s="35">
        <f>=SUM(P35:P40)</f>
        <v>0.15</v>
      </c>
      <c r="Q34" s="35">
        <f>=SUM(Q35:Q40)</f>
        <v>0.15</v>
      </c>
      <c r="R34" s="35">
        <f>=SUM(R35:R40)</f>
        <v>0.15</v>
      </c>
      <c r="S34" s="35">
        <f>=SUM(S35:S40)</f>
        <v>0.15</v>
      </c>
      <c r="T34" s="35">
        <f>=SUM(T35:T40)</f>
        <v>0.15</v>
      </c>
      <c r="U34" s="35">
        <f>=SUM(U35:U40)</f>
        <v>0.15</v>
      </c>
      <c r="V34" s="35">
        <f>=SUM(V35:V40)</f>
        <v>0.15</v>
      </c>
      <c r="W34" s="35">
        <f>=SUM(W35:W40)</f>
        <v>0.15</v>
      </c>
      <c r="X34" s="35">
        <f>=SUM(X35:X40)</f>
        <v>0.15</v>
      </c>
      <c r="Y34" s="35">
        <f>=SUM(Y35:Y40)</f>
        <v>0.15</v>
      </c>
      <c r="Z34" s="35">
        <f>=SUM(Z35:Z40)</f>
        <v>0.15</v>
      </c>
      <c r="AA34" s="35">
        <f>=SUM(AA35:AA40)</f>
        <v>0.15</v>
      </c>
      <c r="AB34" s="35">
        <f>=SUM(AB35:AB40)</f>
        <v>0.15</v>
      </c>
      <c r="AC34" s="35">
        <f>=SUM(AC35:AC40)</f>
        <v>0.15</v>
      </c>
      <c r="AD34" s="35">
        <f>=SUM(AD35:AD40)</f>
        <v>0.15</v>
      </c>
      <c r="AE34" s="35">
        <f>=SUM(AE35:AE40)</f>
        <v>0.15</v>
      </c>
      <c r="AF34" s="35">
        <f>=SUM(AF35:AF40)</f>
        <v>0.15</v>
      </c>
      <c r="AG34" s="35">
        <f>=SUM(AG35:AG40)</f>
        <v>0.15</v>
      </c>
      <c r="AH34" s="35">
        <f>=SUM(AH35:AH40)</f>
        <v>0.15</v>
      </c>
      <c r="AI34" s="35">
        <f>=SUM(AI35:AI40)</f>
        <v>0.15</v>
      </c>
      <c r="AJ34" s="35">
        <f>=SUM(AJ35:AJ40)</f>
        <v>0.15</v>
      </c>
      <c r="AK34" s="35">
        <f>=SUM(AK35:AK40)</f>
        <v>0.15</v>
      </c>
      <c r="AL34" s="35">
        <f>=SUM(AL35:AL40)</f>
        <v>0.15</v>
      </c>
      <c r="AM34" s="35">
        <f>=SUM(AM35:AM40)</f>
        <v>0.15</v>
      </c>
      <c r="AN34" s="35">
        <f>=SUM(AN35:AN40)</f>
        <v>0.15</v>
      </c>
      <c r="AO34" s="35">
        <f>=SUM(AO35:AO40)</f>
        <v>0.15</v>
      </c>
      <c r="AP34" s="35">
        <f>=SUM(AP35:AP40)</f>
        <v>0.15</v>
      </c>
      <c r="AQ34" s="35">
        <f>=SUM(AQ35:AQ40)</f>
        <v>0.15</v>
      </c>
      <c r="AR34" s="35">
        <f>=SUM(AR35:AR40)</f>
        <v>0.15</v>
      </c>
      <c r="AS34" s="35">
        <f>=SUM(AS35:AS40)</f>
        <v>0.15</v>
      </c>
      <c r="AT34" s="35">
        <f>=SUM(AT35:AT40)</f>
        <v>0.15</v>
      </c>
      <c r="AU34" s="35">
        <f>=SUM(AU35:AU40)</f>
        <v>0.15</v>
      </c>
      <c r="AV34" s="35">
        <f>=SUM(AV35:AV40)</f>
        <v>0.15</v>
      </c>
      <c r="AW34" s="35">
        <f>=SUM(AW35:AW40)</f>
        <v>0.15</v>
      </c>
      <c r="AX34" s="35">
        <f>=SUM(AX35:AX40)</f>
        <v>0.15</v>
      </c>
      <c r="AY34" s="35">
        <f>=SUM(AY35:AY40)</f>
        <v>0.15</v>
      </c>
      <c r="AZ34" s="35">
        <f>=SUM(AZ35:AZ40)</f>
        <v>0.15</v>
      </c>
      <c r="BA34" s="35">
        <f>=SUM(BA35:BA40)</f>
        <v>0.15</v>
      </c>
      <c r="BB34" s="35">
        <f>=SUM(BB35:BB40)</f>
        <v>0.15</v>
      </c>
      <c r="BC34" s="35">
        <f>=SUM(BC35:BC40)</f>
        <v>0.15</v>
      </c>
      <c r="BD34" s="35">
        <f>=SUM(BD35:BD40)</f>
        <v>0.15</v>
      </c>
      <c r="BE34" s="35">
        <f>=SUM(BE35:BE40)</f>
        <v>0.15</v>
      </c>
      <c r="BF34" s="35">
        <f>=SUM(BF35:BF40)</f>
        <v>0.15</v>
      </c>
      <c r="BG34" s="35">
        <f>=SUM(BG35:BG40)</f>
        <v>0.15</v>
      </c>
      <c r="BH34" s="35">
        <f>=SUM(BH35:BH40)</f>
        <v>0.15</v>
      </c>
      <c r="BI34" s="35">
        <f>=SUM(BI35:BI40)</f>
        <v>0.15</v>
      </c>
      <c r="BJ34" s="35">
        <f>=SUM(BJ35:BJ40)</f>
        <v>0.15</v>
      </c>
      <c r="BK34" s="35">
        <f>=SUM(BK35:BK40)</f>
        <v>0.15</v>
      </c>
      <c r="BL34" s="35">
        <f>=SUM(BL35:BL40)</f>
        <v>0.15</v>
      </c>
      <c r="BM34" s="35">
        <f>=SUM(BM35:BM40)</f>
        <v>0.15</v>
      </c>
      <c r="BN34" s="35">
        <f>=SUM(BN35:BN40)</f>
        <v>0.15</v>
      </c>
      <c r="BO34" s="35">
        <f>=SUM(BO35:BO40)</f>
        <v>0.15</v>
      </c>
      <c r="BP34" s="35">
        <f>=SUM(BP35:BP40)</f>
        <v>0.15</v>
      </c>
      <c r="BQ34" s="35">
        <f>=SUM(BQ35:BQ40)</f>
        <v>0.15</v>
      </c>
      <c r="BR34" s="35">
        <f>=SUM(BR35:BR40)</f>
        <v>0.15</v>
      </c>
      <c r="BS34" s="35">
        <f>=SUM(BS35:BS40)</f>
        <v>0.15</v>
      </c>
      <c r="BT34" s="35">
        <f>=SUM(BT35:BT40)</f>
        <v>0.15</v>
      </c>
      <c r="BU34" s="35">
        <f>=SUM(BU35:BU40)</f>
        <v>0.15</v>
      </c>
      <c r="BV34" s="35">
        <f>=SUM(BV35:BV40)</f>
        <v>0.15</v>
      </c>
      <c r="BW34" s="35">
        <f>=SUM(BW35:BW40)</f>
        <v>0.15</v>
      </c>
      <c r="BX34" s="35">
        <f>=SUM(BX35:BX40)</f>
        <v>0.15</v>
      </c>
      <c r="BY34" s="35">
        <f>=SUM(BY35:BY40)</f>
        <v>0.15</v>
      </c>
      <c r="BZ34" s="35">
        <f>=SUM(BZ35:BZ40)</f>
        <v>0.15</v>
      </c>
      <c r="CA34" s="35">
        <f>=SUM(CA35:CA40)</f>
        <v>0.15</v>
      </c>
      <c r="CB34" s="35">
        <f>=SUM(CB35:CB40)</f>
        <v>0.15</v>
      </c>
      <c r="CC34" s="35">
        <f>=SUM(CC35:CC40)</f>
        <v>0.15</v>
      </c>
      <c r="CD34" s="35">
        <f>=SUM(CD35:CD40)</f>
        <v>0.15</v>
      </c>
      <c r="CE34" s="35">
        <f>=SUM(CE35:CE40)</f>
        <v>0.15</v>
      </c>
      <c r="CF34" s="35">
        <f>=SUM(CF35:CF40)</f>
        <v>0.15</v>
      </c>
      <c r="CG34" s="35">
        <f>=SUM(CG35:CG40)</f>
        <v>0.15</v>
      </c>
      <c r="CH34" s="35">
        <f>=SUM(CH35:CH40)</f>
        <v>0.15</v>
      </c>
      <c r="CI34" s="35">
        <f>=SUM(CI35:CI40)</f>
        <v>0.15</v>
      </c>
      <c r="CJ34" s="35">
        <f>=SUM(CJ35:CJ40)</f>
        <v>0.15</v>
      </c>
      <c r="CK34" s="35">
        <f>=SUM(CK35:CK40)</f>
        <v>0.15</v>
      </c>
      <c r="CL34" s="35">
        <f>=SUM(CL35:CL40)</f>
        <v>0.15</v>
      </c>
      <c r="CM34" s="35">
        <f>=SUM(CM35:CM40)</f>
        <v>0.15</v>
      </c>
      <c r="CN34" s="35">
        <f>=SUM(CN35:CN40)</f>
        <v>0.15</v>
      </c>
      <c r="CO34" s="35">
        <f>=SUM(CO35:CO40)</f>
        <v>0.15</v>
      </c>
      <c r="CP34" s="35">
        <f>=SUM(CP35:CP40)</f>
        <v>0.15</v>
      </c>
      <c r="CQ34" s="35">
        <f>=SUM(CQ35:CQ40)</f>
        <v>0.15</v>
      </c>
      <c r="CR34" s="35">
        <f>=SUM(CR35:CR40)</f>
        <v>0.15</v>
      </c>
      <c r="CS34" s="35">
        <f>=SUM(CS35:CS40)</f>
        <v>0.15</v>
      </c>
      <c r="CT34" s="35">
        <f>=SUM(CT35:CT40)</f>
        <v>0.15</v>
      </c>
      <c r="CU34" s="35">
        <f>=SUM(CU35:CU40)</f>
        <v>0.15</v>
      </c>
      <c r="CV34" s="35">
        <f>=SUM(CV35:CV40)</f>
        <v>0.15</v>
      </c>
      <c r="CW34" s="35">
        <f>=SUM(CW35:CW40)</f>
        <v>0.15</v>
      </c>
      <c r="CX34" s="35">
        <f>=SUM(CX35:CX40)</f>
        <v>0.15</v>
      </c>
      <c r="CY34" s="35">
        <f>=SUM(CY35:CY40)</f>
        <v>0.15</v>
      </c>
      <c r="CZ34" s="35">
        <f>=SUM(CZ35:CZ40)</f>
        <v>0.15</v>
      </c>
      <c r="DA34" s="35">
        <f>=SUM(DA35:DA40)</f>
        <v>0.15</v>
      </c>
      <c r="DB34" s="35">
        <f>=SUM(DB35:DB40)</f>
        <v>0.15</v>
      </c>
    </row>
    <row r="35" ht="18" customHeight="1" spans="1:106" x14ac:dyDescent="0.25">
      <c r="A35" s="36" t="s">
        <v>268</v>
      </c>
      <c r="B35" s="17"/>
      <c r="C35" s="37">
        <v>0.06</v>
      </c>
      <c r="D35" s="37">
        <v>0.06</v>
      </c>
      <c r="E35" s="37">
        <v>0.06</v>
      </c>
      <c r="F35" s="37">
        <v>0.06</v>
      </c>
      <c r="G35" s="37">
        <v>0.06</v>
      </c>
      <c r="H35" s="37">
        <v>0.06</v>
      </c>
      <c r="I35" s="37">
        <v>0.06</v>
      </c>
      <c r="J35" s="37">
        <v>0.06</v>
      </c>
      <c r="K35" s="37">
        <v>0.06</v>
      </c>
      <c r="L35" s="37">
        <v>0.06</v>
      </c>
      <c r="M35" s="37">
        <v>0.06</v>
      </c>
      <c r="N35" s="37">
        <v>0.06</v>
      </c>
      <c r="O35" s="37">
        <v>0.06</v>
      </c>
      <c r="P35" s="37">
        <v>0.06</v>
      </c>
      <c r="Q35" s="37">
        <v>0.06</v>
      </c>
      <c r="R35" s="37">
        <v>0.06</v>
      </c>
      <c r="S35" s="37">
        <v>0.06</v>
      </c>
      <c r="T35" s="37">
        <v>0.06</v>
      </c>
      <c r="U35" s="37">
        <v>0.06</v>
      </c>
      <c r="V35" s="37">
        <v>0.06</v>
      </c>
      <c r="W35" s="37">
        <v>0.06</v>
      </c>
      <c r="X35" s="37">
        <v>0.06</v>
      </c>
      <c r="Y35" s="37">
        <v>0.06</v>
      </c>
      <c r="Z35" s="37">
        <v>0.06</v>
      </c>
      <c r="AA35" s="37">
        <v>0.06</v>
      </c>
      <c r="AB35" s="37">
        <v>0.06</v>
      </c>
      <c r="AC35" s="37">
        <v>0.06</v>
      </c>
      <c r="AD35" s="37">
        <v>0.06</v>
      </c>
      <c r="AE35" s="37">
        <v>0.06</v>
      </c>
      <c r="AF35" s="37">
        <v>0.06</v>
      </c>
      <c r="AG35" s="37">
        <v>0.06</v>
      </c>
      <c r="AH35" s="37">
        <v>0.06</v>
      </c>
      <c r="AI35" s="37">
        <v>0.06</v>
      </c>
      <c r="AJ35" s="37">
        <v>0.06</v>
      </c>
      <c r="AK35" s="37">
        <v>0.06</v>
      </c>
      <c r="AL35" s="37">
        <v>0.06</v>
      </c>
      <c r="AM35" s="37">
        <v>0.06</v>
      </c>
      <c r="AN35" s="37">
        <v>0.06</v>
      </c>
      <c r="AO35" s="37">
        <v>0.06</v>
      </c>
      <c r="AP35" s="37">
        <v>0.06</v>
      </c>
      <c r="AQ35" s="37">
        <v>0.06</v>
      </c>
      <c r="AR35" s="37">
        <v>0.06</v>
      </c>
      <c r="AS35" s="37">
        <v>0.06</v>
      </c>
      <c r="AT35" s="37">
        <v>0.06</v>
      </c>
      <c r="AU35" s="37">
        <v>0.06</v>
      </c>
      <c r="AV35" s="37">
        <v>0.06</v>
      </c>
      <c r="AW35" s="37">
        <v>0.06</v>
      </c>
      <c r="AX35" s="37">
        <v>0.06</v>
      </c>
      <c r="AY35" s="37">
        <v>0.06</v>
      </c>
      <c r="AZ35" s="37">
        <v>0.06</v>
      </c>
      <c r="BA35" s="37">
        <v>0.06</v>
      </c>
      <c r="BB35" s="37">
        <v>0.06</v>
      </c>
      <c r="BC35" s="37">
        <v>0.06</v>
      </c>
      <c r="BD35" s="37">
        <v>0.06</v>
      </c>
      <c r="BE35" s="37">
        <v>0.06</v>
      </c>
      <c r="BF35" s="37">
        <v>0.06</v>
      </c>
      <c r="BG35" s="37">
        <v>0.06</v>
      </c>
      <c r="BH35" s="37">
        <v>0.06</v>
      </c>
      <c r="BI35" s="37">
        <v>0.06</v>
      </c>
      <c r="BJ35" s="37">
        <v>0.06</v>
      </c>
      <c r="BK35" s="37">
        <v>0.06</v>
      </c>
      <c r="BL35" s="37">
        <v>0.06</v>
      </c>
      <c r="BM35" s="37">
        <v>0.06</v>
      </c>
      <c r="BN35" s="37">
        <v>0.06</v>
      </c>
      <c r="BO35" s="37">
        <v>0.06</v>
      </c>
      <c r="BP35" s="37">
        <v>0.06</v>
      </c>
      <c r="BQ35" s="37">
        <v>0.06</v>
      </c>
      <c r="BR35" s="37">
        <v>0.06</v>
      </c>
      <c r="BS35" s="37">
        <v>0.06</v>
      </c>
      <c r="BT35" s="37">
        <v>0.06</v>
      </c>
      <c r="BU35" s="37">
        <v>0.06</v>
      </c>
      <c r="BV35" s="37">
        <v>0.06</v>
      </c>
      <c r="BW35" s="37">
        <v>0.06</v>
      </c>
      <c r="BX35" s="37">
        <v>0.06</v>
      </c>
      <c r="BY35" s="37">
        <v>0.06</v>
      </c>
      <c r="BZ35" s="37">
        <v>0.06</v>
      </c>
      <c r="CA35" s="37">
        <v>0.06</v>
      </c>
      <c r="CB35" s="37">
        <v>0.06</v>
      </c>
      <c r="CC35" s="37">
        <v>0.06</v>
      </c>
      <c r="CD35" s="37">
        <v>0.06</v>
      </c>
      <c r="CE35" s="37">
        <v>0.06</v>
      </c>
      <c r="CF35" s="37">
        <v>0.06</v>
      </c>
      <c r="CG35" s="37">
        <v>0.06</v>
      </c>
      <c r="CH35" s="37">
        <v>0.06</v>
      </c>
      <c r="CI35" s="37">
        <v>0.06</v>
      </c>
      <c r="CJ35" s="37">
        <v>0.06</v>
      </c>
      <c r="CK35" s="37">
        <v>0.06</v>
      </c>
      <c r="CL35" s="37">
        <v>0.06</v>
      </c>
      <c r="CM35" s="37">
        <v>0.06</v>
      </c>
      <c r="CN35" s="37">
        <v>0.06</v>
      </c>
      <c r="CO35" s="37">
        <v>0.06</v>
      </c>
      <c r="CP35" s="37">
        <v>0.06</v>
      </c>
      <c r="CQ35" s="37">
        <v>0.06</v>
      </c>
      <c r="CR35" s="37">
        <v>0.06</v>
      </c>
      <c r="CS35" s="37">
        <v>0.06</v>
      </c>
      <c r="CT35" s="37">
        <v>0.06</v>
      </c>
      <c r="CU35" s="37">
        <v>0.06</v>
      </c>
      <c r="CV35" s="37">
        <v>0.06</v>
      </c>
      <c r="CW35" s="37">
        <v>0.06</v>
      </c>
      <c r="CX35" s="37">
        <v>0.06</v>
      </c>
      <c r="CY35" s="37">
        <v>0.06</v>
      </c>
      <c r="CZ35" s="37">
        <v>0.06</v>
      </c>
      <c r="DA35" s="37">
        <v>0.06</v>
      </c>
      <c r="DB35" s="37">
        <v>0.06</v>
      </c>
    </row>
    <row r="36" ht="18" customHeight="1" spans="1:106" x14ac:dyDescent="0.25">
      <c r="A36" s="36" t="s">
        <v>269</v>
      </c>
      <c r="B36" s="17"/>
      <c r="C36" s="37">
        <v>0.03</v>
      </c>
      <c r="D36" s="37">
        <v>0.03</v>
      </c>
      <c r="E36" s="37">
        <v>0.03</v>
      </c>
      <c r="F36" s="37">
        <v>0.03</v>
      </c>
      <c r="G36" s="37">
        <v>0.03</v>
      </c>
      <c r="H36" s="37">
        <v>0.03</v>
      </c>
      <c r="I36" s="37">
        <v>0.03</v>
      </c>
      <c r="J36" s="37">
        <v>0.03</v>
      </c>
      <c r="K36" s="37">
        <v>0.03</v>
      </c>
      <c r="L36" s="37">
        <v>0.03</v>
      </c>
      <c r="M36" s="37">
        <v>0.03</v>
      </c>
      <c r="N36" s="37">
        <v>0.03</v>
      </c>
      <c r="O36" s="37">
        <v>0.03</v>
      </c>
      <c r="P36" s="37">
        <v>0.03</v>
      </c>
      <c r="Q36" s="37">
        <v>0.03</v>
      </c>
      <c r="R36" s="37">
        <v>0.03</v>
      </c>
      <c r="S36" s="37">
        <v>0.03</v>
      </c>
      <c r="T36" s="37">
        <v>0.03</v>
      </c>
      <c r="U36" s="37">
        <v>0.03</v>
      </c>
      <c r="V36" s="37">
        <v>0.03</v>
      </c>
      <c r="W36" s="37">
        <v>0.03</v>
      </c>
      <c r="X36" s="37">
        <v>0.03</v>
      </c>
      <c r="Y36" s="37">
        <v>0.03</v>
      </c>
      <c r="Z36" s="37">
        <v>0.03</v>
      </c>
      <c r="AA36" s="37">
        <v>0.03</v>
      </c>
      <c r="AB36" s="37">
        <v>0.03</v>
      </c>
      <c r="AC36" s="37">
        <v>0.03</v>
      </c>
      <c r="AD36" s="37">
        <v>0.03</v>
      </c>
      <c r="AE36" s="37">
        <v>0.03</v>
      </c>
      <c r="AF36" s="37">
        <v>0.03</v>
      </c>
      <c r="AG36" s="37">
        <v>0.03</v>
      </c>
      <c r="AH36" s="37">
        <v>0.03</v>
      </c>
      <c r="AI36" s="37">
        <v>0.03</v>
      </c>
      <c r="AJ36" s="37">
        <v>0.03</v>
      </c>
      <c r="AK36" s="37">
        <v>0.03</v>
      </c>
      <c r="AL36" s="37">
        <v>0.03</v>
      </c>
      <c r="AM36" s="37">
        <v>0.03</v>
      </c>
      <c r="AN36" s="37">
        <v>0.03</v>
      </c>
      <c r="AO36" s="37">
        <v>0.03</v>
      </c>
      <c r="AP36" s="37">
        <v>0.03</v>
      </c>
      <c r="AQ36" s="37">
        <v>0.03</v>
      </c>
      <c r="AR36" s="37">
        <v>0.03</v>
      </c>
      <c r="AS36" s="37">
        <v>0.03</v>
      </c>
      <c r="AT36" s="37">
        <v>0.03</v>
      </c>
      <c r="AU36" s="37">
        <v>0.03</v>
      </c>
      <c r="AV36" s="37">
        <v>0.03</v>
      </c>
      <c r="AW36" s="37">
        <v>0.03</v>
      </c>
      <c r="AX36" s="37">
        <v>0.03</v>
      </c>
      <c r="AY36" s="37">
        <v>0.03</v>
      </c>
      <c r="AZ36" s="37">
        <v>0.03</v>
      </c>
      <c r="BA36" s="37">
        <v>0.03</v>
      </c>
      <c r="BB36" s="37">
        <v>0.03</v>
      </c>
      <c r="BC36" s="37">
        <v>0.03</v>
      </c>
      <c r="BD36" s="37">
        <v>0.03</v>
      </c>
      <c r="BE36" s="37">
        <v>0.03</v>
      </c>
      <c r="BF36" s="37">
        <v>0.03</v>
      </c>
      <c r="BG36" s="37">
        <v>0.03</v>
      </c>
      <c r="BH36" s="37">
        <v>0.03</v>
      </c>
      <c r="BI36" s="37">
        <v>0.03</v>
      </c>
      <c r="BJ36" s="37">
        <v>0.03</v>
      </c>
      <c r="BK36" s="37">
        <v>0.03</v>
      </c>
      <c r="BL36" s="37">
        <v>0.03</v>
      </c>
      <c r="BM36" s="37">
        <v>0.03</v>
      </c>
      <c r="BN36" s="37">
        <v>0.03</v>
      </c>
      <c r="BO36" s="37">
        <v>0.03</v>
      </c>
      <c r="BP36" s="37">
        <v>0.03</v>
      </c>
      <c r="BQ36" s="37">
        <v>0.03</v>
      </c>
      <c r="BR36" s="37">
        <v>0.03</v>
      </c>
      <c r="BS36" s="37">
        <v>0.03</v>
      </c>
      <c r="BT36" s="37">
        <v>0.03</v>
      </c>
      <c r="BU36" s="37">
        <v>0.03</v>
      </c>
      <c r="BV36" s="37">
        <v>0.03</v>
      </c>
      <c r="BW36" s="37">
        <v>0.03</v>
      </c>
      <c r="BX36" s="37">
        <v>0.03</v>
      </c>
      <c r="BY36" s="37">
        <v>0.03</v>
      </c>
      <c r="BZ36" s="37">
        <v>0.03</v>
      </c>
      <c r="CA36" s="37">
        <v>0.03</v>
      </c>
      <c r="CB36" s="37">
        <v>0.03</v>
      </c>
      <c r="CC36" s="37">
        <v>0.03</v>
      </c>
      <c r="CD36" s="37">
        <v>0.03</v>
      </c>
      <c r="CE36" s="37">
        <v>0.03</v>
      </c>
      <c r="CF36" s="37">
        <v>0.03</v>
      </c>
      <c r="CG36" s="37">
        <v>0.03</v>
      </c>
      <c r="CH36" s="37">
        <v>0.03</v>
      </c>
      <c r="CI36" s="37">
        <v>0.03</v>
      </c>
      <c r="CJ36" s="37">
        <v>0.03</v>
      </c>
      <c r="CK36" s="37">
        <v>0.03</v>
      </c>
      <c r="CL36" s="37">
        <v>0.03</v>
      </c>
      <c r="CM36" s="37">
        <v>0.03</v>
      </c>
      <c r="CN36" s="37">
        <v>0.03</v>
      </c>
      <c r="CO36" s="37">
        <v>0.03</v>
      </c>
      <c r="CP36" s="37">
        <v>0.03</v>
      </c>
      <c r="CQ36" s="37">
        <v>0.03</v>
      </c>
      <c r="CR36" s="37">
        <v>0.03</v>
      </c>
      <c r="CS36" s="37">
        <v>0.03</v>
      </c>
      <c r="CT36" s="37">
        <v>0.03</v>
      </c>
      <c r="CU36" s="37">
        <v>0.03</v>
      </c>
      <c r="CV36" s="37">
        <v>0.03</v>
      </c>
      <c r="CW36" s="37">
        <v>0.03</v>
      </c>
      <c r="CX36" s="37">
        <v>0.03</v>
      </c>
      <c r="CY36" s="37">
        <v>0.03</v>
      </c>
      <c r="CZ36" s="37">
        <v>0.03</v>
      </c>
      <c r="DA36" s="37">
        <v>0.03</v>
      </c>
      <c r="DB36" s="37">
        <v>0.03</v>
      </c>
    </row>
    <row r="37" ht="18" customHeight="1" spans="1:106" x14ac:dyDescent="0.25">
      <c r="A37" s="36" t="s">
        <v>270</v>
      </c>
      <c r="C37" s="37">
        <v>0.03</v>
      </c>
      <c r="D37" s="37">
        <v>0.03</v>
      </c>
      <c r="E37" s="37">
        <v>0.03</v>
      </c>
      <c r="F37" s="37">
        <v>0.03</v>
      </c>
      <c r="G37" s="37">
        <v>0.03</v>
      </c>
      <c r="H37" s="37">
        <v>0.03</v>
      </c>
      <c r="I37" s="37">
        <v>0.03</v>
      </c>
      <c r="J37" s="37">
        <v>0.03</v>
      </c>
      <c r="K37" s="37">
        <v>0.03</v>
      </c>
      <c r="L37" s="37">
        <v>0.03</v>
      </c>
      <c r="M37" s="37">
        <v>0.03</v>
      </c>
      <c r="N37" s="37">
        <v>0.03</v>
      </c>
      <c r="O37" s="37">
        <v>0.03</v>
      </c>
      <c r="P37" s="37">
        <v>0.03</v>
      </c>
      <c r="Q37" s="37">
        <v>0.03</v>
      </c>
      <c r="R37" s="37">
        <v>0.03</v>
      </c>
      <c r="S37" s="37">
        <v>0.03</v>
      </c>
      <c r="T37" s="37">
        <v>0.03</v>
      </c>
      <c r="U37" s="37">
        <v>0.03</v>
      </c>
      <c r="V37" s="37">
        <v>0.03</v>
      </c>
      <c r="W37" s="37">
        <v>0.03</v>
      </c>
      <c r="X37" s="37">
        <v>0.03</v>
      </c>
      <c r="Y37" s="37">
        <v>0.03</v>
      </c>
      <c r="Z37" s="37">
        <v>0.03</v>
      </c>
      <c r="AA37" s="37">
        <v>0.03</v>
      </c>
      <c r="AB37" s="37">
        <v>0.03</v>
      </c>
      <c r="AC37" s="37">
        <v>0.03</v>
      </c>
      <c r="AD37" s="37">
        <v>0.03</v>
      </c>
      <c r="AE37" s="37">
        <v>0.03</v>
      </c>
      <c r="AF37" s="37">
        <v>0.03</v>
      </c>
      <c r="AG37" s="37">
        <v>0.03</v>
      </c>
      <c r="AH37" s="37">
        <v>0.03</v>
      </c>
      <c r="AI37" s="37">
        <v>0.03</v>
      </c>
      <c r="AJ37" s="37">
        <v>0.03</v>
      </c>
      <c r="AK37" s="37">
        <v>0.03</v>
      </c>
      <c r="AL37" s="37">
        <v>0.03</v>
      </c>
      <c r="AM37" s="37">
        <v>0.03</v>
      </c>
      <c r="AN37" s="37">
        <v>0.03</v>
      </c>
      <c r="AO37" s="37">
        <v>0.03</v>
      </c>
      <c r="AP37" s="37">
        <v>0.03</v>
      </c>
      <c r="AQ37" s="37">
        <v>0.03</v>
      </c>
      <c r="AR37" s="37">
        <v>0.03</v>
      </c>
      <c r="AS37" s="37">
        <v>0.03</v>
      </c>
      <c r="AT37" s="37">
        <v>0.03</v>
      </c>
      <c r="AU37" s="37">
        <v>0.03</v>
      </c>
      <c r="AV37" s="37">
        <v>0.03</v>
      </c>
      <c r="AW37" s="37">
        <v>0.03</v>
      </c>
      <c r="AX37" s="37">
        <v>0.03</v>
      </c>
      <c r="AY37" s="37">
        <v>0.03</v>
      </c>
      <c r="AZ37" s="37">
        <v>0.03</v>
      </c>
      <c r="BA37" s="37">
        <v>0.03</v>
      </c>
      <c r="BB37" s="37">
        <v>0.03</v>
      </c>
      <c r="BC37" s="37">
        <v>0.03</v>
      </c>
      <c r="BD37" s="37">
        <v>0.03</v>
      </c>
      <c r="BE37" s="37">
        <v>0.03</v>
      </c>
      <c r="BF37" s="37">
        <v>0.03</v>
      </c>
      <c r="BG37" s="37">
        <v>0.03</v>
      </c>
      <c r="BH37" s="37">
        <v>0.03</v>
      </c>
      <c r="BI37" s="37">
        <v>0.03</v>
      </c>
      <c r="BJ37" s="37">
        <v>0.03</v>
      </c>
      <c r="BK37" s="37">
        <v>0.03</v>
      </c>
      <c r="BL37" s="37">
        <v>0.03</v>
      </c>
      <c r="BM37" s="37">
        <v>0.03</v>
      </c>
      <c r="BN37" s="37">
        <v>0.03</v>
      </c>
      <c r="BO37" s="37">
        <v>0.03</v>
      </c>
      <c r="BP37" s="37">
        <v>0.03</v>
      </c>
      <c r="BQ37" s="37">
        <v>0.03</v>
      </c>
      <c r="BR37" s="37">
        <v>0.03</v>
      </c>
      <c r="BS37" s="37">
        <v>0.03</v>
      </c>
      <c r="BT37" s="37">
        <v>0.03</v>
      </c>
      <c r="BU37" s="37">
        <v>0.03</v>
      </c>
      <c r="BV37" s="37">
        <v>0.03</v>
      </c>
      <c r="BW37" s="37">
        <v>0.03</v>
      </c>
      <c r="BX37" s="37">
        <v>0.03</v>
      </c>
      <c r="BY37" s="37">
        <v>0.03</v>
      </c>
      <c r="BZ37" s="37">
        <v>0.03</v>
      </c>
      <c r="CA37" s="37">
        <v>0.03</v>
      </c>
      <c r="CB37" s="37">
        <v>0.03</v>
      </c>
      <c r="CC37" s="37">
        <v>0.03</v>
      </c>
      <c r="CD37" s="37">
        <v>0.03</v>
      </c>
      <c r="CE37" s="37">
        <v>0.03</v>
      </c>
      <c r="CF37" s="37">
        <v>0.03</v>
      </c>
      <c r="CG37" s="37">
        <v>0.03</v>
      </c>
      <c r="CH37" s="37">
        <v>0.03</v>
      </c>
      <c r="CI37" s="37">
        <v>0.03</v>
      </c>
      <c r="CJ37" s="37">
        <v>0.03</v>
      </c>
      <c r="CK37" s="37">
        <v>0.03</v>
      </c>
      <c r="CL37" s="37">
        <v>0.03</v>
      </c>
      <c r="CM37" s="37">
        <v>0.03</v>
      </c>
      <c r="CN37" s="37">
        <v>0.03</v>
      </c>
      <c r="CO37" s="37">
        <v>0.03</v>
      </c>
      <c r="CP37" s="37">
        <v>0.03</v>
      </c>
      <c r="CQ37" s="37">
        <v>0.03</v>
      </c>
      <c r="CR37" s="37">
        <v>0.03</v>
      </c>
      <c r="CS37" s="37">
        <v>0.03</v>
      </c>
      <c r="CT37" s="37">
        <v>0.03</v>
      </c>
      <c r="CU37" s="37">
        <v>0.03</v>
      </c>
      <c r="CV37" s="37">
        <v>0.03</v>
      </c>
      <c r="CW37" s="37">
        <v>0.03</v>
      </c>
      <c r="CX37" s="37">
        <v>0.03</v>
      </c>
      <c r="CY37" s="37">
        <v>0.03</v>
      </c>
      <c r="CZ37" s="37">
        <v>0.03</v>
      </c>
      <c r="DA37" s="37">
        <v>0.03</v>
      </c>
      <c r="DB37" s="37">
        <v>0.03</v>
      </c>
    </row>
    <row r="38" spans="1:106" x14ac:dyDescent="0.25">
      <c r="A38" s="36" t="s">
        <v>271</v>
      </c>
      <c r="C38" s="37">
        <v>0.01</v>
      </c>
      <c r="D38" s="37">
        <v>0.01</v>
      </c>
      <c r="E38" s="37">
        <v>0.01</v>
      </c>
      <c r="F38" s="37">
        <v>0.01</v>
      </c>
      <c r="G38" s="37">
        <v>0.01</v>
      </c>
      <c r="H38" s="37">
        <v>0.01</v>
      </c>
      <c r="I38" s="37">
        <v>0.01</v>
      </c>
      <c r="J38" s="37">
        <v>0.01</v>
      </c>
      <c r="K38" s="37">
        <v>0.01</v>
      </c>
      <c r="L38" s="37">
        <v>0.01</v>
      </c>
      <c r="M38" s="37">
        <v>0.01</v>
      </c>
      <c r="N38" s="37">
        <v>0.01</v>
      </c>
      <c r="O38" s="37">
        <v>0.01</v>
      </c>
      <c r="P38" s="37">
        <v>0.01</v>
      </c>
      <c r="Q38" s="37">
        <v>0.01</v>
      </c>
      <c r="R38" s="37">
        <v>0.01</v>
      </c>
      <c r="S38" s="37">
        <v>0.01</v>
      </c>
      <c r="T38" s="37">
        <v>0.01</v>
      </c>
      <c r="U38" s="37">
        <v>0.01</v>
      </c>
      <c r="V38" s="37">
        <v>0.01</v>
      </c>
      <c r="W38" s="37">
        <v>0.01</v>
      </c>
      <c r="X38" s="37">
        <v>0.01</v>
      </c>
      <c r="Y38" s="37">
        <v>0.01</v>
      </c>
      <c r="Z38" s="37">
        <v>0.01</v>
      </c>
      <c r="AA38" s="37">
        <v>0.01</v>
      </c>
      <c r="AB38" s="37">
        <v>0.01</v>
      </c>
      <c r="AC38" s="37">
        <v>0.01</v>
      </c>
      <c r="AD38" s="37">
        <v>0.01</v>
      </c>
      <c r="AE38" s="37">
        <v>0.01</v>
      </c>
      <c r="AF38" s="37">
        <v>0.01</v>
      </c>
      <c r="AG38" s="37">
        <v>0.01</v>
      </c>
      <c r="AH38" s="37">
        <v>0.01</v>
      </c>
      <c r="AI38" s="37">
        <v>0.01</v>
      </c>
      <c r="AJ38" s="37">
        <v>0.01</v>
      </c>
      <c r="AK38" s="37">
        <v>0.01</v>
      </c>
      <c r="AL38" s="37">
        <v>0.01</v>
      </c>
      <c r="AM38" s="37">
        <v>0.01</v>
      </c>
      <c r="AN38" s="37">
        <v>0.01</v>
      </c>
      <c r="AO38" s="37">
        <v>0.01</v>
      </c>
      <c r="AP38" s="37">
        <v>0.01</v>
      </c>
      <c r="AQ38" s="37">
        <v>0.01</v>
      </c>
      <c r="AR38" s="37">
        <v>0.01</v>
      </c>
      <c r="AS38" s="37">
        <v>0.01</v>
      </c>
      <c r="AT38" s="37">
        <v>0.01</v>
      </c>
      <c r="AU38" s="37">
        <v>0.01</v>
      </c>
      <c r="AV38" s="37">
        <v>0.01</v>
      </c>
      <c r="AW38" s="37">
        <v>0.01</v>
      </c>
      <c r="AX38" s="37">
        <v>0.01</v>
      </c>
      <c r="AY38" s="37">
        <v>0.01</v>
      </c>
      <c r="AZ38" s="37">
        <v>0.01</v>
      </c>
      <c r="BA38" s="37">
        <v>0.01</v>
      </c>
      <c r="BB38" s="37">
        <v>0.01</v>
      </c>
      <c r="BC38" s="37">
        <v>0.01</v>
      </c>
      <c r="BD38" s="37">
        <v>0.01</v>
      </c>
      <c r="BE38" s="37">
        <v>0.01</v>
      </c>
      <c r="BF38" s="37">
        <v>0.01</v>
      </c>
      <c r="BG38" s="37">
        <v>0.01</v>
      </c>
      <c r="BH38" s="37">
        <v>0.01</v>
      </c>
      <c r="BI38" s="37">
        <v>0.01</v>
      </c>
      <c r="BJ38" s="37">
        <v>0.01</v>
      </c>
      <c r="BK38" s="37">
        <v>0.01</v>
      </c>
      <c r="BL38" s="37">
        <v>0.01</v>
      </c>
      <c r="BM38" s="37">
        <v>0.01</v>
      </c>
      <c r="BN38" s="37">
        <v>0.01</v>
      </c>
      <c r="BO38" s="37">
        <v>0.01</v>
      </c>
      <c r="BP38" s="37">
        <v>0.01</v>
      </c>
      <c r="BQ38" s="37">
        <v>0.01</v>
      </c>
      <c r="BR38" s="37">
        <v>0.01</v>
      </c>
      <c r="BS38" s="37">
        <v>0.01</v>
      </c>
      <c r="BT38" s="37">
        <v>0.01</v>
      </c>
      <c r="BU38" s="37">
        <v>0.01</v>
      </c>
      <c r="BV38" s="37">
        <v>0.01</v>
      </c>
      <c r="BW38" s="37">
        <v>0.01</v>
      </c>
      <c r="BX38" s="37">
        <v>0.01</v>
      </c>
      <c r="BY38" s="37">
        <v>0.01</v>
      </c>
      <c r="BZ38" s="37">
        <v>0.01</v>
      </c>
      <c r="CA38" s="37">
        <v>0.01</v>
      </c>
      <c r="CB38" s="37">
        <v>0.01</v>
      </c>
      <c r="CC38" s="37">
        <v>0.01</v>
      </c>
      <c r="CD38" s="37">
        <v>0.01</v>
      </c>
      <c r="CE38" s="37">
        <v>0.01</v>
      </c>
      <c r="CF38" s="37">
        <v>0.01</v>
      </c>
      <c r="CG38" s="37">
        <v>0.01</v>
      </c>
      <c r="CH38" s="37">
        <v>0.01</v>
      </c>
      <c r="CI38" s="37">
        <v>0.01</v>
      </c>
      <c r="CJ38" s="37">
        <v>0.01</v>
      </c>
      <c r="CK38" s="37">
        <v>0.01</v>
      </c>
      <c r="CL38" s="37">
        <v>0.01</v>
      </c>
      <c r="CM38" s="37">
        <v>0.01</v>
      </c>
      <c r="CN38" s="37">
        <v>0.01</v>
      </c>
      <c r="CO38" s="37">
        <v>0.01</v>
      </c>
      <c r="CP38" s="37">
        <v>0.01</v>
      </c>
      <c r="CQ38" s="37">
        <v>0.01</v>
      </c>
      <c r="CR38" s="37">
        <v>0.01</v>
      </c>
      <c r="CS38" s="37">
        <v>0.01</v>
      </c>
      <c r="CT38" s="37">
        <v>0.01</v>
      </c>
      <c r="CU38" s="37">
        <v>0.01</v>
      </c>
      <c r="CV38" s="37">
        <v>0.01</v>
      </c>
      <c r="CW38" s="37">
        <v>0.01</v>
      </c>
      <c r="CX38" s="37">
        <v>0.01</v>
      </c>
      <c r="CY38" s="37">
        <v>0.01</v>
      </c>
      <c r="CZ38" s="37">
        <v>0.01</v>
      </c>
      <c r="DA38" s="37">
        <v>0.01</v>
      </c>
      <c r="DB38" s="37">
        <v>0.01</v>
      </c>
    </row>
    <row r="39" ht="18" customHeight="1" spans="1:106" x14ac:dyDescent="0.25">
      <c r="A39" s="36" t="s">
        <v>272</v>
      </c>
      <c r="C39" s="39">
        <v>0.02</v>
      </c>
      <c r="D39" s="39">
        <v>0.02</v>
      </c>
      <c r="E39" s="39">
        <v>0.02</v>
      </c>
      <c r="F39" s="39">
        <v>0.02</v>
      </c>
      <c r="G39" s="39">
        <v>0.02</v>
      </c>
      <c r="H39" s="39">
        <v>0.02</v>
      </c>
      <c r="I39" s="39">
        <v>0.02</v>
      </c>
      <c r="J39" s="39">
        <v>0.02</v>
      </c>
      <c r="K39" s="39">
        <v>0.02</v>
      </c>
      <c r="L39" s="39">
        <v>0.02</v>
      </c>
      <c r="M39" s="39">
        <v>0.02</v>
      </c>
      <c r="N39" s="39">
        <v>0.02</v>
      </c>
      <c r="O39" s="39">
        <v>0.02</v>
      </c>
      <c r="P39" s="39">
        <v>0.02</v>
      </c>
      <c r="Q39" s="39">
        <v>0.02</v>
      </c>
      <c r="R39" s="39">
        <v>0.02</v>
      </c>
      <c r="S39" s="39">
        <v>0.02</v>
      </c>
      <c r="T39" s="39">
        <v>0.02</v>
      </c>
      <c r="U39" s="39">
        <v>0.02</v>
      </c>
      <c r="V39" s="39">
        <v>0.02</v>
      </c>
      <c r="W39" s="39">
        <v>0.02</v>
      </c>
      <c r="X39" s="39">
        <v>0.02</v>
      </c>
      <c r="Y39" s="39">
        <v>0.02</v>
      </c>
      <c r="Z39" s="39">
        <v>0.02</v>
      </c>
      <c r="AA39" s="39">
        <v>0.02</v>
      </c>
      <c r="AB39" s="39">
        <v>0.02</v>
      </c>
      <c r="AC39" s="39">
        <v>0.02</v>
      </c>
      <c r="AD39" s="39">
        <v>0.02</v>
      </c>
      <c r="AE39" s="39">
        <v>0.02</v>
      </c>
      <c r="AF39" s="39">
        <v>0.02</v>
      </c>
      <c r="AG39" s="39">
        <v>0.02</v>
      </c>
      <c r="AH39" s="39">
        <v>0.02</v>
      </c>
      <c r="AI39" s="39">
        <v>0.02</v>
      </c>
      <c r="AJ39" s="39">
        <v>0.02</v>
      </c>
      <c r="AK39" s="39">
        <v>0.02</v>
      </c>
      <c r="AL39" s="39">
        <v>0.02</v>
      </c>
      <c r="AM39" s="39">
        <v>0.02</v>
      </c>
      <c r="AN39" s="39">
        <v>0.02</v>
      </c>
      <c r="AO39" s="39">
        <v>0.02</v>
      </c>
      <c r="AP39" s="39">
        <v>0.02</v>
      </c>
      <c r="AQ39" s="39">
        <v>0.02</v>
      </c>
      <c r="AR39" s="39">
        <v>0.02</v>
      </c>
      <c r="AS39" s="39">
        <v>0.02</v>
      </c>
      <c r="AT39" s="39">
        <v>0.02</v>
      </c>
      <c r="AU39" s="39">
        <v>0.02</v>
      </c>
      <c r="AV39" s="39">
        <v>0.02</v>
      </c>
      <c r="AW39" s="39">
        <v>0.02</v>
      </c>
      <c r="AX39" s="39">
        <v>0.02</v>
      </c>
      <c r="AY39" s="39">
        <v>0.02</v>
      </c>
      <c r="AZ39" s="39">
        <v>0.02</v>
      </c>
      <c r="BA39" s="39">
        <v>0.02</v>
      </c>
      <c r="BB39" s="39">
        <v>0.02</v>
      </c>
      <c r="BC39" s="39">
        <v>0.02</v>
      </c>
      <c r="BD39" s="39">
        <v>0.02</v>
      </c>
      <c r="BE39" s="39">
        <v>0.02</v>
      </c>
      <c r="BF39" s="39">
        <v>0.02</v>
      </c>
      <c r="BG39" s="39">
        <v>0.02</v>
      </c>
      <c r="BH39" s="39">
        <v>0.02</v>
      </c>
      <c r="BI39" s="39">
        <v>0.02</v>
      </c>
      <c r="BJ39" s="39">
        <v>0.02</v>
      </c>
      <c r="BK39" s="39">
        <v>0.02</v>
      </c>
      <c r="BL39" s="39">
        <v>0.02</v>
      </c>
      <c r="BM39" s="39">
        <v>0.02</v>
      </c>
      <c r="BN39" s="39">
        <v>0.02</v>
      </c>
      <c r="BO39" s="39">
        <v>0.02</v>
      </c>
      <c r="BP39" s="39">
        <v>0.02</v>
      </c>
      <c r="BQ39" s="39">
        <v>0.02</v>
      </c>
      <c r="BR39" s="39">
        <v>0.02</v>
      </c>
      <c r="BS39" s="39">
        <v>0.02</v>
      </c>
      <c r="BT39" s="39">
        <v>0.02</v>
      </c>
      <c r="BU39" s="39">
        <v>0.02</v>
      </c>
      <c r="BV39" s="39">
        <v>0.02</v>
      </c>
      <c r="BW39" s="39">
        <v>0.02</v>
      </c>
      <c r="BX39" s="39">
        <v>0.02</v>
      </c>
      <c r="BY39" s="39">
        <v>0.02</v>
      </c>
      <c r="BZ39" s="39">
        <v>0.02</v>
      </c>
      <c r="CA39" s="39">
        <v>0.02</v>
      </c>
      <c r="CB39" s="39">
        <v>0.02</v>
      </c>
      <c r="CC39" s="39">
        <v>0.02</v>
      </c>
      <c r="CD39" s="39">
        <v>0.02</v>
      </c>
      <c r="CE39" s="39">
        <v>0.02</v>
      </c>
      <c r="CF39" s="39">
        <v>0.02</v>
      </c>
      <c r="CG39" s="39">
        <v>0.02</v>
      </c>
      <c r="CH39" s="39">
        <v>0.02</v>
      </c>
      <c r="CI39" s="39">
        <v>0.02</v>
      </c>
      <c r="CJ39" s="39">
        <v>0.02</v>
      </c>
      <c r="CK39" s="39">
        <v>0.02</v>
      </c>
      <c r="CL39" s="39">
        <v>0.02</v>
      </c>
      <c r="CM39" s="39">
        <v>0.02</v>
      </c>
      <c r="CN39" s="39">
        <v>0.02</v>
      </c>
      <c r="CO39" s="39">
        <v>0.02</v>
      </c>
      <c r="CP39" s="39">
        <v>0.02</v>
      </c>
      <c r="CQ39" s="39">
        <v>0.02</v>
      </c>
      <c r="CR39" s="39">
        <v>0.02</v>
      </c>
      <c r="CS39" s="39">
        <v>0.02</v>
      </c>
      <c r="CT39" s="39">
        <v>0.02</v>
      </c>
      <c r="CU39" s="39">
        <v>0.02</v>
      </c>
      <c r="CV39" s="39">
        <v>0.02</v>
      </c>
      <c r="CW39" s="39">
        <v>0.02</v>
      </c>
      <c r="CX39" s="39">
        <v>0.02</v>
      </c>
      <c r="CY39" s="39">
        <v>0.02</v>
      </c>
      <c r="CZ39" s="39">
        <v>0.02</v>
      </c>
      <c r="DA39" s="39">
        <v>0.02</v>
      </c>
      <c r="DB39" s="39">
        <v>0.02</v>
      </c>
    </row>
    <row r="40" ht="18" customHeight="1" spans="1:106" x14ac:dyDescent="0.25">
      <c r="A40" s="36" t="s">
        <v>273</v>
      </c>
      <c r="C40" s="39">
        <v>0</v>
      </c>
      <c r="D40" s="39">
        <v>0</v>
      </c>
      <c r="E40" s="39">
        <v>0</v>
      </c>
      <c r="F40" s="39">
        <v>0</v>
      </c>
      <c r="G40" s="39">
        <v>0</v>
      </c>
      <c r="H40" s="39">
        <v>0</v>
      </c>
      <c r="I40" s="39">
        <v>0</v>
      </c>
      <c r="J40" s="39">
        <v>0</v>
      </c>
      <c r="K40" s="39">
        <v>0</v>
      </c>
      <c r="L40" s="39">
        <v>0</v>
      </c>
      <c r="M40" s="39">
        <v>0</v>
      </c>
      <c r="N40" s="39">
        <v>0</v>
      </c>
      <c r="O40" s="39">
        <v>0</v>
      </c>
      <c r="P40" s="39">
        <v>0</v>
      </c>
      <c r="Q40" s="39">
        <v>0</v>
      </c>
      <c r="R40" s="39">
        <v>0</v>
      </c>
      <c r="S40" s="39">
        <v>0</v>
      </c>
      <c r="T40" s="39">
        <v>0</v>
      </c>
      <c r="U40" s="39">
        <v>0</v>
      </c>
      <c r="V40" s="39">
        <v>0</v>
      </c>
      <c r="W40" s="39">
        <v>0</v>
      </c>
      <c r="X40" s="39">
        <v>0</v>
      </c>
      <c r="Y40" s="39">
        <v>0</v>
      </c>
      <c r="Z40" s="39">
        <v>0</v>
      </c>
      <c r="AA40" s="39">
        <v>0</v>
      </c>
      <c r="AB40" s="39">
        <v>0</v>
      </c>
      <c r="AC40" s="39">
        <v>0</v>
      </c>
      <c r="AD40" s="39">
        <v>0</v>
      </c>
      <c r="AE40" s="39">
        <v>0</v>
      </c>
      <c r="AF40" s="39">
        <v>0</v>
      </c>
      <c r="AG40" s="39">
        <v>0</v>
      </c>
      <c r="AH40" s="39">
        <v>0</v>
      </c>
      <c r="AI40" s="39">
        <v>0</v>
      </c>
      <c r="AJ40" s="39">
        <v>0</v>
      </c>
      <c r="AK40" s="39">
        <v>0</v>
      </c>
      <c r="AL40" s="39">
        <v>0</v>
      </c>
      <c r="AM40" s="39">
        <v>0</v>
      </c>
      <c r="AN40" s="39">
        <v>0</v>
      </c>
      <c r="AO40" s="39">
        <v>0</v>
      </c>
      <c r="AP40" s="39">
        <v>0</v>
      </c>
      <c r="AQ40" s="39">
        <v>0</v>
      </c>
      <c r="AR40" s="39">
        <v>0</v>
      </c>
      <c r="AS40" s="39">
        <v>0</v>
      </c>
      <c r="AT40" s="39">
        <v>0</v>
      </c>
      <c r="AU40" s="39">
        <v>0</v>
      </c>
      <c r="AV40" s="39">
        <v>0</v>
      </c>
      <c r="AW40" s="39">
        <v>0</v>
      </c>
      <c r="AX40" s="39">
        <v>0</v>
      </c>
      <c r="AY40" s="39">
        <v>0</v>
      </c>
      <c r="AZ40" s="39">
        <v>0</v>
      </c>
      <c r="BA40" s="39">
        <v>0</v>
      </c>
      <c r="BB40" s="39">
        <v>0</v>
      </c>
      <c r="BC40" s="39">
        <v>0</v>
      </c>
      <c r="BD40" s="39">
        <v>0</v>
      </c>
      <c r="BE40" s="39">
        <v>0</v>
      </c>
      <c r="BF40" s="39">
        <v>0</v>
      </c>
      <c r="BG40" s="39">
        <v>0</v>
      </c>
      <c r="BH40" s="39">
        <v>0</v>
      </c>
      <c r="BI40" s="39">
        <v>0</v>
      </c>
      <c r="BJ40" s="39">
        <v>0</v>
      </c>
      <c r="BK40" s="39">
        <v>0</v>
      </c>
      <c r="BL40" s="39">
        <v>0</v>
      </c>
      <c r="BM40" s="39">
        <v>0</v>
      </c>
      <c r="BN40" s="39">
        <v>0</v>
      </c>
      <c r="BO40" s="39">
        <v>0</v>
      </c>
      <c r="BP40" s="39">
        <v>0</v>
      </c>
      <c r="BQ40" s="39">
        <v>0</v>
      </c>
      <c r="BR40" s="39">
        <v>0</v>
      </c>
      <c r="BS40" s="39">
        <v>0</v>
      </c>
      <c r="BT40" s="39">
        <v>0</v>
      </c>
      <c r="BU40" s="39">
        <v>0</v>
      </c>
      <c r="BV40" s="39">
        <v>0</v>
      </c>
      <c r="BW40" s="39">
        <v>0</v>
      </c>
      <c r="BX40" s="39">
        <v>0</v>
      </c>
      <c r="BY40" s="39">
        <v>0</v>
      </c>
      <c r="BZ40" s="39">
        <v>0</v>
      </c>
      <c r="CA40" s="39">
        <v>0</v>
      </c>
      <c r="CB40" s="39">
        <v>0</v>
      </c>
      <c r="CC40" s="39">
        <v>0</v>
      </c>
      <c r="CD40" s="39">
        <v>0</v>
      </c>
      <c r="CE40" s="39">
        <v>0</v>
      </c>
      <c r="CF40" s="39">
        <v>0</v>
      </c>
      <c r="CG40" s="39">
        <v>0</v>
      </c>
      <c r="CH40" s="39">
        <v>0</v>
      </c>
      <c r="CI40" s="39">
        <v>0</v>
      </c>
      <c r="CJ40" s="39">
        <v>0</v>
      </c>
      <c r="CK40" s="39">
        <v>0</v>
      </c>
      <c r="CL40" s="39">
        <v>0</v>
      </c>
      <c r="CM40" s="39">
        <v>0</v>
      </c>
      <c r="CN40" s="39">
        <v>0</v>
      </c>
      <c r="CO40" s="39">
        <v>0</v>
      </c>
      <c r="CP40" s="39">
        <v>0</v>
      </c>
      <c r="CQ40" s="39">
        <v>0</v>
      </c>
      <c r="CR40" s="39">
        <v>0</v>
      </c>
      <c r="CS40" s="39">
        <v>0</v>
      </c>
      <c r="CT40" s="39">
        <v>0</v>
      </c>
      <c r="CU40" s="39">
        <v>0</v>
      </c>
      <c r="CV40" s="39">
        <v>0</v>
      </c>
      <c r="CW40" s="39">
        <v>0</v>
      </c>
      <c r="CX40" s="39">
        <v>0</v>
      </c>
      <c r="CY40" s="39">
        <v>0</v>
      </c>
      <c r="CZ40" s="39">
        <v>0</v>
      </c>
      <c r="DA40" s="39">
        <v>0</v>
      </c>
      <c r="DB40" s="39">
        <v>0</v>
      </c>
    </row>
    <row r="41" ht="16" customHeight="1" spans="1:106" x14ac:dyDescent="0.25">
      <c r="A41" s="20" t="s">
        <v>274</v>
      </c>
      <c r="B41" s="17"/>
      <c r="C41" s="91">
        <v>0.01</v>
      </c>
      <c r="D41" s="91">
        <v>0.01</v>
      </c>
      <c r="E41" s="91">
        <v>0.01</v>
      </c>
      <c r="F41" s="91">
        <v>0.01</v>
      </c>
      <c r="G41" s="91">
        <v>0.01</v>
      </c>
      <c r="H41" s="91">
        <v>0.01</v>
      </c>
      <c r="I41" s="91">
        <v>0.01</v>
      </c>
      <c r="J41" s="91">
        <v>0.01</v>
      </c>
      <c r="K41" s="91">
        <v>0.01</v>
      </c>
      <c r="L41" s="91">
        <v>0.01</v>
      </c>
      <c r="M41" s="91">
        <v>0.01</v>
      </c>
      <c r="N41" s="91">
        <v>0.01</v>
      </c>
      <c r="O41" s="91">
        <v>0.01</v>
      </c>
      <c r="P41" s="91">
        <v>0.01</v>
      </c>
      <c r="Q41" s="91">
        <v>0.01</v>
      </c>
      <c r="R41" s="91">
        <v>0.01</v>
      </c>
      <c r="S41" s="91">
        <v>0.01</v>
      </c>
      <c r="T41" s="91">
        <v>0.01</v>
      </c>
      <c r="U41" s="91">
        <v>0.01</v>
      </c>
      <c r="V41" s="91">
        <v>0.01</v>
      </c>
      <c r="W41" s="91">
        <v>0.01</v>
      </c>
      <c r="X41" s="91">
        <v>0.01</v>
      </c>
      <c r="Y41" s="91">
        <v>0.01</v>
      </c>
      <c r="Z41" s="91">
        <v>0.01</v>
      </c>
      <c r="AA41" s="91">
        <v>0.01</v>
      </c>
      <c r="AB41" s="91">
        <v>0.01</v>
      </c>
      <c r="AC41" s="91">
        <v>0.01</v>
      </c>
      <c r="AD41" s="91">
        <v>0.01</v>
      </c>
      <c r="AE41" s="91">
        <v>0.01</v>
      </c>
      <c r="AF41" s="91">
        <v>0.01</v>
      </c>
      <c r="AG41" s="91">
        <v>0.01</v>
      </c>
      <c r="AH41" s="91">
        <v>0.01</v>
      </c>
      <c r="AI41" s="91">
        <v>0.01</v>
      </c>
      <c r="AJ41" s="91">
        <v>0.01</v>
      </c>
      <c r="AK41" s="91">
        <v>0.01</v>
      </c>
      <c r="AL41" s="91">
        <v>0.01</v>
      </c>
      <c r="AM41" s="91">
        <v>0.01</v>
      </c>
      <c r="AN41" s="91">
        <v>0.01</v>
      </c>
      <c r="AO41" s="91">
        <v>0.01</v>
      </c>
      <c r="AP41" s="91">
        <v>0.01</v>
      </c>
      <c r="AQ41" s="91">
        <v>0.01</v>
      </c>
      <c r="AR41" s="91">
        <v>0.01</v>
      </c>
      <c r="AS41" s="91">
        <v>0.01</v>
      </c>
      <c r="AT41" s="91">
        <v>0.01</v>
      </c>
      <c r="AU41" s="91">
        <v>0.01</v>
      </c>
      <c r="AV41" s="91">
        <v>0.01</v>
      </c>
      <c r="AW41" s="91">
        <v>0.01</v>
      </c>
      <c r="AX41" s="91">
        <v>0.01</v>
      </c>
      <c r="AY41" s="91">
        <v>0.01</v>
      </c>
      <c r="AZ41" s="91">
        <v>0.01</v>
      </c>
      <c r="BA41" s="91">
        <v>0.01</v>
      </c>
      <c r="BB41" s="91">
        <v>0.01</v>
      </c>
      <c r="BC41" s="91">
        <v>0.01</v>
      </c>
      <c r="BD41" s="91">
        <v>0.01</v>
      </c>
      <c r="BE41" s="91">
        <v>0.01</v>
      </c>
      <c r="BF41" s="91">
        <v>0.01</v>
      </c>
      <c r="BG41" s="91">
        <v>0.01</v>
      </c>
      <c r="BH41" s="91">
        <v>0.0125</v>
      </c>
      <c r="BI41" s="91">
        <v>0.0125</v>
      </c>
      <c r="BJ41" s="91">
        <v>0.0125</v>
      </c>
      <c r="BK41" s="91">
        <v>0.0125</v>
      </c>
      <c r="BL41" s="91">
        <v>0.0125</v>
      </c>
      <c r="BM41" s="91">
        <v>0.0125</v>
      </c>
      <c r="BN41" s="91">
        <v>0.0125</v>
      </c>
      <c r="BO41" s="91">
        <v>0.0125</v>
      </c>
      <c r="BP41" s="91">
        <v>0.01</v>
      </c>
      <c r="BQ41" s="91">
        <v>0.01</v>
      </c>
      <c r="BR41" s="91">
        <v>0.01</v>
      </c>
      <c r="BS41" s="91">
        <v>0.01</v>
      </c>
      <c r="BT41" s="91">
        <v>0.01</v>
      </c>
      <c r="BU41" s="91">
        <v>0.0125</v>
      </c>
      <c r="BV41" s="91">
        <v>0.0125</v>
      </c>
      <c r="BW41" s="91">
        <v>0.0125</v>
      </c>
      <c r="BX41" s="91">
        <v>0.0125</v>
      </c>
      <c r="BY41" s="91">
        <v>0.0125</v>
      </c>
      <c r="BZ41" s="91">
        <v>0.0125</v>
      </c>
      <c r="CA41" s="91">
        <v>0.0125</v>
      </c>
      <c r="CB41" s="91">
        <v>0.0125</v>
      </c>
      <c r="CC41" s="91">
        <v>0.01</v>
      </c>
      <c r="CD41" s="91">
        <v>0.01</v>
      </c>
      <c r="CE41" s="91">
        <v>0.01</v>
      </c>
      <c r="CF41" s="91">
        <v>0.01</v>
      </c>
      <c r="CG41" s="91">
        <v>0.01</v>
      </c>
      <c r="CH41" s="91">
        <v>0.0125</v>
      </c>
      <c r="CI41" s="91">
        <v>0.0125</v>
      </c>
      <c r="CJ41" s="91">
        <v>0.0125</v>
      </c>
      <c r="CK41" s="91">
        <v>0.0125</v>
      </c>
      <c r="CL41" s="91">
        <v>0.0125</v>
      </c>
      <c r="CM41" s="91">
        <v>0.0125</v>
      </c>
      <c r="CN41" s="91">
        <v>0.0125</v>
      </c>
      <c r="CO41" s="91">
        <v>0.0125</v>
      </c>
      <c r="CP41" s="91">
        <v>0.01</v>
      </c>
      <c r="CQ41" s="91">
        <v>0.01</v>
      </c>
      <c r="CR41" s="91">
        <v>0.01</v>
      </c>
      <c r="CS41" s="91">
        <v>0.01</v>
      </c>
      <c r="CT41" s="91">
        <v>0.01</v>
      </c>
      <c r="CU41" s="91">
        <v>0.0125</v>
      </c>
      <c r="CV41" s="91">
        <v>0.0125</v>
      </c>
      <c r="CW41" s="91">
        <v>0.0125</v>
      </c>
      <c r="CX41" s="91">
        <v>0.0125</v>
      </c>
      <c r="CY41" s="91">
        <v>0.0125</v>
      </c>
      <c r="CZ41" s="91">
        <v>0.0125</v>
      </c>
      <c r="DA41" s="91">
        <v>0.0125</v>
      </c>
      <c r="DB41" s="91">
        <v>0.0125</v>
      </c>
    </row>
    <row r="42" spans="1:106" x14ac:dyDescent="0.25">
      <c r="A42" s="36" t="s">
        <v>275</v>
      </c>
      <c r="C42" s="46"/>
      <c r="D42" s="41">
        <f>=IFERROR(C19*C41,0)</f>
        <v>0.53</v>
      </c>
      <c r="E42" s="41">
        <f>=IFERROR(D19*D41,0)</f>
        <v>0.52</v>
      </c>
      <c r="F42" s="41">
        <f>=IFERROR(E19*E41,0)</f>
        <v>0.5</v>
      </c>
      <c r="G42" s="41">
        <f>=IFERROR(F19*F41,0)</f>
        <v>0.59</v>
      </c>
      <c r="H42" s="41">
        <f>=IFERROR(G19*G41,0)</f>
        <v>0.58</v>
      </c>
      <c r="I42" s="41">
        <f>=IFERROR(H19*H41,0)</f>
        <v>0.67</v>
      </c>
      <c r="J42" s="41">
        <f>=IFERROR(I19*I41,0)</f>
        <v>0.66</v>
      </c>
      <c r="K42" s="41">
        <f>=IFERROR(J19*J41,0)</f>
        <v>0.65</v>
      </c>
      <c r="L42" s="41">
        <f>=IFERROR(K19*K41,0)</f>
        <v>0.63</v>
      </c>
      <c r="M42" s="41">
        <f>=IFERROR(L19*L41,0)</f>
        <v>0.64</v>
      </c>
      <c r="N42" s="41">
        <f>=IFERROR(M19*M41,0)</f>
        <v>0.59</v>
      </c>
      <c r="O42" s="41">
        <f>=IFERROR(N19*N41,0)</f>
        <v>0.57</v>
      </c>
      <c r="P42" s="41">
        <f>=IFERROR(O19*O41,0)</f>
        <v>0.53</v>
      </c>
      <c r="Q42" s="41">
        <f>=IFERROR(P19*P41,0)</f>
        <v>0.54</v>
      </c>
      <c r="R42" s="41">
        <f>=IFERROR(Q19*Q41,0)</f>
        <v>0.55</v>
      </c>
      <c r="S42" s="41">
        <f>=IFERROR(R19*R41,0)</f>
        <v>0.56</v>
      </c>
      <c r="T42" s="41">
        <f>=IFERROR(S19*S41,0)</f>
        <v>0.56</v>
      </c>
      <c r="U42" s="41">
        <f>=IFERROR(T19*T41,0)</f>
        <v>0.5</v>
      </c>
      <c r="V42" s="41">
        <f>=IFERROR(U19*U41,0)</f>
        <v>0.5</v>
      </c>
      <c r="W42" s="41">
        <f>=IFERROR(V19*V41,0)</f>
        <v>0.5</v>
      </c>
      <c r="X42" s="41">
        <f>=IFERROR(W19*W41,0)</f>
        <v>0.48</v>
      </c>
      <c r="Y42" s="41">
        <f>=IFERROR(X19*X41,0)</f>
        <v>0.48</v>
      </c>
      <c r="Z42" s="41">
        <f>=IFERROR(Y19*Y41,0)</f>
        <v>0.47</v>
      </c>
      <c r="AA42" s="41">
        <f>=IFERROR(Z19*Z41,0)</f>
        <v>0.47</v>
      </c>
      <c r="AB42" s="41">
        <f>=IFERROR(AA19*AA41,0)</f>
        <v>0.46</v>
      </c>
      <c r="AC42" s="41">
        <f>=IFERROR(AB19*AB41,0)</f>
        <v>0.45</v>
      </c>
      <c r="AD42" s="41">
        <f>=IFERROR(AC19*AC41,0)</f>
        <v>0.46</v>
      </c>
      <c r="AE42" s="41">
        <f>=IFERROR(AD19*AD41,0)</f>
        <v>0.47</v>
      </c>
      <c r="AF42" s="41">
        <f>=IFERROR(AE19*AE41,0)</f>
        <v>0.46</v>
      </c>
      <c r="AG42" s="41">
        <f>=IFERROR(AF19*AF41,0)</f>
        <v>0.46</v>
      </c>
      <c r="AH42" s="41">
        <f>=IFERROR(AG19*AG41,0)</f>
        <v>0.46</v>
      </c>
      <c r="AI42" s="41">
        <f>=IFERROR(AH19*AH41,0)</f>
        <v>0.46</v>
      </c>
      <c r="AJ42" s="41">
        <f>=IFERROR(AI19*AI41,0)</f>
        <v>0.44</v>
      </c>
      <c r="AK42" s="41">
        <f>=IFERROR(AJ19*AJ41,0)</f>
        <v>0.44</v>
      </c>
      <c r="AL42" s="41">
        <f>=IFERROR(AK19*AK41,0)</f>
        <v>0.44</v>
      </c>
      <c r="AM42" s="41">
        <f>=IFERROR(AL19*AL41,0)</f>
        <v>0.43</v>
      </c>
      <c r="AN42" s="41">
        <f>=IFERROR(AM19*AM41,0)</f>
        <v>0.3</v>
      </c>
      <c r="AO42" s="41">
        <f>=IFERROR(AN19*AN41,0)</f>
        <v>0.3</v>
      </c>
      <c r="AP42" s="41">
        <f>=IFERROR(AO19*AO41,0)</f>
        <v>0.29</v>
      </c>
      <c r="AQ42" s="41">
        <f>=IFERROR(AP19*AP41,0)</f>
        <v>0.29</v>
      </c>
      <c r="AR42" s="41">
        <f>=IFERROR(AQ19*AQ41,0)</f>
        <v>0.39</v>
      </c>
      <c r="AS42" s="41">
        <f>=IFERROR(AR19*AR41,0)</f>
        <v>0.39</v>
      </c>
      <c r="AT42" s="41">
        <f>=IFERROR(AS19*AS41,0)</f>
        <v>0.51</v>
      </c>
      <c r="AU42" s="41">
        <f>=IFERROR(AT19*AT41,0)</f>
        <v>0.48</v>
      </c>
      <c r="AV42" s="41">
        <f>=IFERROR(AU19*AU41,0)</f>
        <v>0.46</v>
      </c>
      <c r="AW42" s="41">
        <f>=IFERROR(AV19*AV41,0)</f>
        <v>0.3</v>
      </c>
      <c r="AX42" s="41">
        <f>=IFERROR(AW19*AW41,0)</f>
        <v>0.31</v>
      </c>
      <c r="AY42" s="41">
        <f>=IFERROR(AX19*AX41,0)</f>
        <v>0.31</v>
      </c>
      <c r="AZ42" s="41">
        <f>=IFERROR(AY19*AY41,0)</f>
        <v>0.31</v>
      </c>
      <c r="BA42" s="41">
        <f>=IFERROR(AZ19*AZ41,0)</f>
        <v>0.31</v>
      </c>
      <c r="BB42" s="41">
        <f>=IFERROR(BA19*BA41,0)</f>
        <v>0.33</v>
      </c>
      <c r="BC42" s="41">
        <f>=IFERROR(BB19*BB41,0)</f>
        <v>0.32</v>
      </c>
      <c r="BD42" s="41">
        <f>=IFERROR(BC19*BC41,0)</f>
        <v>0.45</v>
      </c>
      <c r="BE42" s="41">
        <f>=IFERROR(BD19*BD41,0)</f>
        <v>0.32</v>
      </c>
      <c r="BF42" s="41">
        <f>=IFERROR(BE19*BE41,0)</f>
        <v>0.32</v>
      </c>
      <c r="BG42" s="41">
        <f>=IFERROR(BF19*BF41,0)</f>
        <v>0.34</v>
      </c>
      <c r="BH42" s="41">
        <f>=IFERROR(BG19*BG41,0)</f>
        <v>0.34</v>
      </c>
      <c r="BI42" s="41">
        <f>=IFERROR(BH19*BH41,0)</f>
        <v>0.55</v>
      </c>
      <c r="BJ42" s="41">
        <f>=IFERROR(BI19*BI41,0)</f>
        <v>0.6875</v>
      </c>
      <c r="BK42" s="41">
        <f>=IFERROR(BJ19*BJ41,0)</f>
        <v>0.675</v>
      </c>
      <c r="BL42" s="41">
        <f>=IFERROR(BK19*BK41,0)</f>
        <v>0.6625</v>
      </c>
      <c r="BM42" s="41">
        <f>=IFERROR(BL19*BL41,0)</f>
        <v>0.6625</v>
      </c>
      <c r="BN42" s="41">
        <f>=IFERROR(BM19*BM41,0)</f>
        <v>0.525</v>
      </c>
      <c r="BO42" s="41">
        <f>=IFERROR(BN19*BN41,0)</f>
        <v>0.5375</v>
      </c>
      <c r="BP42" s="41">
        <f>=IFERROR(BO19*BO41,0)</f>
        <v>0.4875</v>
      </c>
      <c r="BQ42" s="41">
        <f>=IFERROR(BP19*BP41,0)</f>
        <v>0.35</v>
      </c>
      <c r="BR42" s="41">
        <f>=IFERROR(BQ19*BQ41,0)</f>
        <v>0.35</v>
      </c>
      <c r="BS42" s="41">
        <f>=IFERROR(BR19*BR41,0)</f>
        <v>0.35</v>
      </c>
      <c r="BT42" s="41">
        <f>=IFERROR(BS19*BS41,0)</f>
        <v>0.35</v>
      </c>
      <c r="BU42" s="41">
        <f>=IFERROR(BT19*BT41,0)</f>
        <v>0.34</v>
      </c>
      <c r="BV42" s="41">
        <f>=IFERROR(BU19*BU41,0)</f>
        <v>0.4125</v>
      </c>
      <c r="BW42" s="41">
        <f>=IFERROR(BV19*BV41,0)</f>
        <v>0.4125</v>
      </c>
      <c r="BX42" s="41">
        <f>=IFERROR(BW19*BW41,0)</f>
        <v>0.4125</v>
      </c>
      <c r="BY42" s="41">
        <f>=IFERROR(BX19*BX41,0)</f>
        <v>0.4125</v>
      </c>
      <c r="BZ42" s="41">
        <f>=IFERROR(BY19*BY41,0)</f>
        <v>0.4125</v>
      </c>
      <c r="CA42" s="41">
        <f>=IFERROR(BZ19*BZ41,0)</f>
        <v>0.43159375</v>
      </c>
      <c r="CB42" s="41">
        <f>=IFERROR(CA19*CA41,0)</f>
        <v>0.426198828125</v>
      </c>
      <c r="CC42" s="41">
        <f>=IFERROR(CB19*CB41,0)</f>
        <v>0.4208713427734375</v>
      </c>
      <c r="CD42" s="41">
        <f>=IFERROR(CC19*CC41,0)</f>
        <v>0.3324883607910157</v>
      </c>
      <c r="CE42" s="41">
        <f>=IFERROR(CD19*CD41,0)</f>
        <v>0.32916347718310557</v>
      </c>
      <c r="CF42" s="41">
        <f>=IFERROR(CE19*CE41,0)</f>
        <v>0.3258718424112746</v>
      </c>
      <c r="CG42" s="41">
        <f>=IFERROR(CF19*CF41,0)</f>
        <v>0.26261312398716186</v>
      </c>
      <c r="CH42" s="41">
        <f>=IFERROR(CG19*CG41,0)</f>
        <v>0.2599869927472902</v>
      </c>
      <c r="CI42" s="41">
        <f>=IFERROR(CH19*CH41,0)</f>
        <v>0.32173390352477166</v>
      </c>
      <c r="CJ42" s="41">
        <f>=IFERROR(CI19*CI41,0)</f>
        <v>0.317712229730712</v>
      </c>
      <c r="CK42" s="41">
        <f>=IFERROR(CJ19*CJ41,0)</f>
        <v>0.3137408268590781</v>
      </c>
      <c r="CL42" s="41">
        <f>=IFERROR(CK19*CK41,0)</f>
        <v>0.3098190665233396</v>
      </c>
      <c r="CM42" s="41">
        <f>=IFERROR(CL19*CL41,0)</f>
        <v>0.3059463281917979</v>
      </c>
      <c r="CN42" s="41">
        <f>=IFERROR(CM19*CM41,0)</f>
        <v>0.3021219990894004</v>
      </c>
      <c r="CO42" s="41">
        <f>=IFERROR(CN19*CN41,0)</f>
        <v>0.2983454741007829</v>
      </c>
      <c r="CP42" s="41">
        <f>=IFERROR(CO19*CO41,0)</f>
        <v>0.2946161556745231</v>
      </c>
      <c r="CQ42" s="41">
        <f>=IFERROR(CP19*CP41,0)</f>
        <v>0.23274676298287325</v>
      </c>
      <c r="CR42" s="41">
        <f>=IFERROR(CQ19*CQ41,0)</f>
        <v>0.2304192953530445</v>
      </c>
      <c r="CS42" s="41">
        <f>=IFERROR(CR19*CR41,0)</f>
        <v>0.22811510239951413</v>
      </c>
      <c r="CT42" s="41">
        <f>=IFERROR(CS19*CS41,0)</f>
        <v>0.22583395137551895</v>
      </c>
      <c r="CU42" s="41">
        <f>=IFERROR(CT19*CT41,0)</f>
        <v>0.22357561186176375</v>
      </c>
      <c r="CV42" s="41">
        <f>=IFERROR(CU19*CU41,0)</f>
        <v>0.2766748196789326</v>
      </c>
      <c r="CW42" s="41">
        <f>=IFERROR(CV19*CV41,0)</f>
        <v>0.27321638443294605</v>
      </c>
      <c r="CX42" s="41">
        <f>=IFERROR(CW19*CW41,0)</f>
        <v>0.2698011796275342</v>
      </c>
      <c r="CY42" s="41">
        <f>=IFERROR(CX19*CX41,0)</f>
        <v>0.26642866488219</v>
      </c>
      <c r="CZ42" s="41">
        <f>=IFERROR(CY19*CY41,0)</f>
        <v>0.26309830657116273</v>
      </c>
      <c r="DA42" s="41">
        <f>=IFERROR(CZ19*CZ41,0)</f>
        <v>0.2598095777390232</v>
      </c>
      <c r="DB42" s="41">
        <f>=IFERROR(DA19*DA41,0)</f>
        <v>0.2565619580172854</v>
      </c>
    </row>
    <row r="43" ht="18" customHeight="1" spans="1:106" x14ac:dyDescent="0.25">
      <c r="A43" s="20" t="s">
        <v>276</v>
      </c>
      <c r="B43" s="17"/>
      <c r="C43" s="45">
        <v>0.03</v>
      </c>
      <c r="D43" s="45">
        <v>0.03</v>
      </c>
      <c r="E43" s="45">
        <v>0.03</v>
      </c>
      <c r="F43" s="45">
        <v>0.03</v>
      </c>
      <c r="G43" s="45">
        <v>0.03</v>
      </c>
      <c r="H43" s="45">
        <v>0.03</v>
      </c>
      <c r="I43" s="45">
        <v>0.03</v>
      </c>
      <c r="J43" s="45">
        <v>0.03</v>
      </c>
      <c r="K43" s="45">
        <v>0.03</v>
      </c>
      <c r="L43" s="45">
        <v>0.03</v>
      </c>
      <c r="M43" s="45">
        <v>0.03</v>
      </c>
      <c r="N43" s="45">
        <v>0.03</v>
      </c>
      <c r="O43" s="45">
        <v>0.03</v>
      </c>
      <c r="P43" s="45">
        <v>0.03</v>
      </c>
      <c r="Q43" s="45">
        <v>0.03</v>
      </c>
      <c r="R43" s="45">
        <v>0.03</v>
      </c>
      <c r="S43" s="45">
        <v>0.03</v>
      </c>
      <c r="T43" s="45">
        <v>0.03</v>
      </c>
      <c r="U43" s="45">
        <v>0.03</v>
      </c>
      <c r="V43" s="45">
        <v>0.03</v>
      </c>
      <c r="W43" s="45">
        <v>0.03</v>
      </c>
      <c r="X43" s="45">
        <v>0.03</v>
      </c>
      <c r="Y43" s="45">
        <v>0.03</v>
      </c>
      <c r="Z43" s="45">
        <v>0.03</v>
      </c>
      <c r="AA43" s="45">
        <v>0.03</v>
      </c>
      <c r="AB43" s="45">
        <v>0.03</v>
      </c>
      <c r="AC43" s="45">
        <v>0.03</v>
      </c>
      <c r="AD43" s="45">
        <v>0.03</v>
      </c>
      <c r="AE43" s="45">
        <v>0.03</v>
      </c>
      <c r="AF43" s="45">
        <v>0.03</v>
      </c>
      <c r="AG43" s="45">
        <v>0.03</v>
      </c>
      <c r="AH43" s="45">
        <v>0.03</v>
      </c>
      <c r="AI43" s="45">
        <v>0.03</v>
      </c>
      <c r="AJ43" s="45">
        <v>0.03</v>
      </c>
      <c r="AK43" s="45">
        <v>0.03</v>
      </c>
      <c r="AL43" s="45">
        <v>0.03</v>
      </c>
      <c r="AM43" s="45">
        <v>0.03</v>
      </c>
      <c r="AN43" s="45">
        <v>0.03</v>
      </c>
      <c r="AO43" s="45">
        <v>0.03</v>
      </c>
      <c r="AP43" s="45">
        <v>0.03</v>
      </c>
      <c r="AQ43" s="45">
        <v>0.03</v>
      </c>
      <c r="AR43" s="45">
        <v>0.03</v>
      </c>
      <c r="AS43" s="45">
        <v>0.03</v>
      </c>
      <c r="AT43" s="45">
        <v>0.03</v>
      </c>
      <c r="AU43" s="45">
        <v>0.03</v>
      </c>
      <c r="AV43" s="45">
        <v>0.03</v>
      </c>
      <c r="AW43" s="45">
        <v>0.03</v>
      </c>
      <c r="AX43" s="45">
        <v>0.03</v>
      </c>
      <c r="AY43" s="45">
        <v>0.03</v>
      </c>
      <c r="AZ43" s="45">
        <v>0.03</v>
      </c>
      <c r="BA43" s="45">
        <v>0.03</v>
      </c>
      <c r="BB43" s="45">
        <v>0.03</v>
      </c>
      <c r="BC43" s="45">
        <v>0.03</v>
      </c>
      <c r="BD43" s="45">
        <v>0.03</v>
      </c>
      <c r="BE43" s="45">
        <v>0.03</v>
      </c>
      <c r="BF43" s="45">
        <v>0.03</v>
      </c>
      <c r="BG43" s="45">
        <v>0.03</v>
      </c>
      <c r="BH43" s="45">
        <v>0.03</v>
      </c>
      <c r="BI43" s="45">
        <v>0.03</v>
      </c>
      <c r="BJ43" s="45">
        <v>0.03</v>
      </c>
      <c r="BK43" s="45">
        <v>0.03</v>
      </c>
      <c r="BL43" s="45">
        <v>0.03</v>
      </c>
      <c r="BM43" s="45">
        <v>0.03</v>
      </c>
      <c r="BN43" s="45">
        <v>0.03</v>
      </c>
      <c r="BO43" s="45">
        <v>0.03</v>
      </c>
      <c r="BP43" s="45">
        <v>0.03</v>
      </c>
      <c r="BQ43" s="45">
        <v>0.03</v>
      </c>
      <c r="BR43" s="45">
        <v>0.03</v>
      </c>
      <c r="BS43" s="45">
        <v>0.03</v>
      </c>
      <c r="BT43" s="45">
        <v>0.03</v>
      </c>
      <c r="BU43" s="45">
        <v>0.03</v>
      </c>
      <c r="BV43" s="45">
        <v>0.03</v>
      </c>
      <c r="BW43" s="45">
        <v>0.03</v>
      </c>
      <c r="BX43" s="45">
        <v>0.03</v>
      </c>
      <c r="BY43" s="45">
        <v>0.03</v>
      </c>
      <c r="BZ43" s="45">
        <v>0.03</v>
      </c>
      <c r="CA43" s="45">
        <v>0.03</v>
      </c>
      <c r="CB43" s="45">
        <v>0.03</v>
      </c>
      <c r="CC43" s="45">
        <v>0.03</v>
      </c>
      <c r="CD43" s="45">
        <v>0.03</v>
      </c>
      <c r="CE43" s="45">
        <v>0.03</v>
      </c>
      <c r="CF43" s="45">
        <v>0.03</v>
      </c>
      <c r="CG43" s="45">
        <v>0.03</v>
      </c>
      <c r="CH43" s="45">
        <v>0.03</v>
      </c>
      <c r="CI43" s="45">
        <v>0.03</v>
      </c>
      <c r="CJ43" s="45">
        <v>0.03</v>
      </c>
      <c r="CK43" s="45">
        <v>0.03</v>
      </c>
      <c r="CL43" s="45">
        <v>0.03</v>
      </c>
      <c r="CM43" s="45">
        <v>0.03</v>
      </c>
      <c r="CN43" s="45">
        <v>0.03</v>
      </c>
      <c r="CO43" s="45">
        <v>0.03</v>
      </c>
      <c r="CP43" s="45">
        <v>0.03</v>
      </c>
      <c r="CQ43" s="45">
        <v>0.03</v>
      </c>
      <c r="CR43" s="45">
        <v>0.03</v>
      </c>
      <c r="CS43" s="45">
        <v>0.03</v>
      </c>
      <c r="CT43" s="45">
        <v>0.03</v>
      </c>
      <c r="CU43" s="45">
        <v>0.03</v>
      </c>
      <c r="CV43" s="45">
        <v>0.03</v>
      </c>
      <c r="CW43" s="45">
        <v>0.03</v>
      </c>
      <c r="CX43" s="45">
        <v>0.03</v>
      </c>
      <c r="CY43" s="45">
        <v>0.03</v>
      </c>
      <c r="CZ43" s="45">
        <v>0.03</v>
      </c>
      <c r="DA43" s="45">
        <v>0.03</v>
      </c>
      <c r="DB43" s="45">
        <v>0.03</v>
      </c>
    </row>
    <row r="44" spans="1:106" x14ac:dyDescent="0.25">
      <c r="A44" s="36" t="s">
        <v>277</v>
      </c>
      <c r="C44" s="83">
        <f>=IFERROR(SUM(C121:C127)*C43,0)</f>
        <v>0.3</v>
      </c>
      <c r="D44" s="43">
        <f>=IFERROR(SUM(C121:C130)*C43,0)</f>
        <v>0.75</v>
      </c>
      <c r="E44" s="43">
        <f>=IFERROR(SUM(D121:D130)*D43,0)</f>
        <v>0.63</v>
      </c>
      <c r="F44" s="43">
        <f>=IFERROR(SUM(E121:E130)*E43,0)</f>
        <v>0.63</v>
      </c>
      <c r="G44" s="43">
        <f>=IFERROR(SUM(F121:F130)*F43,0)</f>
        <v>0.63</v>
      </c>
      <c r="H44" s="43">
        <f>=IFERROR(SUM(G121:G130)*G43,0)</f>
        <v>0.33</v>
      </c>
      <c r="I44" s="43">
        <f>=IFERROR(SUM(H121:H130)*H43,0)</f>
        <v>0.33</v>
      </c>
      <c r="J44" s="43">
        <f>=IFERROR(SUM(I121:I130)*I43,0)</f>
        <v>0</v>
      </c>
      <c r="K44" s="43">
        <f>=IFERROR(SUM(J121:J130)*J43,0)</f>
        <v>0</v>
      </c>
      <c r="L44" s="43">
        <f>=IFERROR(SUM(K121:K130)*K43,0)</f>
        <v>0</v>
      </c>
      <c r="M44" s="43">
        <f>=IFERROR(SUM(L121:L130)*L43,0)</f>
        <v>0</v>
      </c>
      <c r="N44" s="43">
        <f>=IFERROR(SUM(M121:M130)*M43,0)</f>
        <v>0</v>
      </c>
      <c r="O44" s="43">
        <f>=IFERROR(SUM(N121:N130)*N43,0)</f>
        <v>0</v>
      </c>
      <c r="P44" s="43">
        <f>=IFERROR(SUM(O121:O130)*O43,0)</f>
        <v>0</v>
      </c>
      <c r="Q44" s="43">
        <f>=IFERROR(SUM(P121:P130)*P43,0)</f>
        <v>0</v>
      </c>
      <c r="R44" s="43">
        <f>=IFERROR(SUM(Q121:Q130)*Q43,0)</f>
        <v>0</v>
      </c>
      <c r="S44" s="43">
        <f>=IFERROR(SUM(R121:R130)*R43,0)</f>
        <v>0</v>
      </c>
      <c r="T44" s="43">
        <f>=IFERROR(SUM(S121:S130)*S43,0)</f>
        <v>0</v>
      </c>
      <c r="U44" s="43">
        <f>=IFERROR(SUM(T121:T130)*T43,0)</f>
        <v>0</v>
      </c>
      <c r="V44" s="43">
        <f>=IFERROR(SUM(U121:U130)*U43,0)</f>
        <v>0</v>
      </c>
      <c r="W44" s="43">
        <f>=IFERROR(SUM(V121:V130)*V43,0)</f>
        <v>0</v>
      </c>
      <c r="X44" s="43">
        <f>=IFERROR(SUM(W121:W130)*W43,0)</f>
        <v>0</v>
      </c>
      <c r="Y44" s="43">
        <f>=IFERROR(SUM(X121:X130)*X43,0)</f>
        <v>0</v>
      </c>
      <c r="Z44" s="43">
        <f>=IFERROR(SUM(Y121:Y130)*Y43,0)</f>
        <v>0</v>
      </c>
      <c r="AA44" s="43">
        <f>=IFERROR(SUM(Z121:Z130)*Z43,0)</f>
        <v>0</v>
      </c>
      <c r="AB44" s="43">
        <f>=IFERROR(SUM(AA121:AA130)*AA43,0)</f>
        <v>0</v>
      </c>
      <c r="AC44" s="43">
        <f>=IFERROR(SUM(AB121:AB130)*AB43,0)</f>
        <v>0</v>
      </c>
      <c r="AD44" s="43">
        <f>=IFERROR(SUM(AC121:AC130)*AC43,0)</f>
        <v>0</v>
      </c>
      <c r="AE44" s="43">
        <f>=IFERROR(SUM(AD121:AD130)*AD43,0)</f>
        <v>0</v>
      </c>
      <c r="AF44" s="43">
        <f>=IFERROR(SUM(AE121:AE130)*AE43,0)</f>
        <v>0</v>
      </c>
      <c r="AG44" s="43">
        <f>=IFERROR(SUM(AF121:AF130)*AF43,0)</f>
        <v>0</v>
      </c>
      <c r="AH44" s="43">
        <f>=IFERROR(SUM(AG121:AG130)*AG43,0)</f>
        <v>0</v>
      </c>
      <c r="AI44" s="43">
        <f>=IFERROR(SUM(AH121:AH130)*AH43,0)</f>
        <v>0</v>
      </c>
      <c r="AJ44" s="43">
        <f>=IFERROR(SUM(AI121:AI130)*AI43,0)</f>
        <v>0</v>
      </c>
      <c r="AK44" s="43">
        <f>=IFERROR(SUM(AJ121:AJ130)*AJ43,0)</f>
        <v>0</v>
      </c>
      <c r="AL44" s="43">
        <f>=IFERROR(SUM(AK121:AK130)*AK43,0)</f>
        <v>0.39</v>
      </c>
      <c r="AM44" s="43">
        <f>=IFERROR(SUM(AL121:AL130)*AL43,0)</f>
        <v>0.39</v>
      </c>
      <c r="AN44" s="43">
        <f>=IFERROR(SUM(AM121:AM130)*AM43,0)</f>
        <v>0.69</v>
      </c>
      <c r="AO44" s="43">
        <f>=IFERROR(SUM(AN121:AN130)*AN43,0)</f>
        <v>0.72</v>
      </c>
      <c r="AP44" s="43">
        <f>=IFERROR(SUM(AO121:AO130)*AO43,0)</f>
        <v>0.78</v>
      </c>
      <c r="AQ44" s="43">
        <f>=IFERROR(SUM(AP121:AP130)*AP43,0)</f>
        <v>0.78</v>
      </c>
      <c r="AR44" s="43">
        <f>=IFERROR(SUM(AQ121:AQ130)*AQ43,0)</f>
        <v>0.75</v>
      </c>
      <c r="AS44" s="43">
        <f>=IFERROR(SUM(AR121:AR130)*AR43,0)</f>
        <v>0.36</v>
      </c>
      <c r="AT44" s="43">
        <f>=IFERROR(SUM(AS121:AS130)*AS43,0)</f>
        <v>0.78</v>
      </c>
      <c r="AU44" s="43">
        <f>=IFERROR(SUM(AT121:AT130)*AT43,0)</f>
        <v>0.42</v>
      </c>
      <c r="AV44" s="43">
        <f>=IFERROR(SUM(AU121:AU130)*AU43,0)</f>
        <v>0.42</v>
      </c>
      <c r="AW44" s="43">
        <f>=IFERROR(SUM(AV121:AV130)*AV43,0)</f>
        <v>0.72</v>
      </c>
      <c r="AX44" s="43">
        <f>=IFERROR(SUM(AW121:AW130)*AW43,0)</f>
        <v>0.87</v>
      </c>
      <c r="AY44" s="43">
        <f>=IFERROR(SUM(AX121:AX130)*AX43,0)</f>
        <v>0.87</v>
      </c>
      <c r="AZ44" s="43">
        <f>=IFERROR(SUM(AY121:AY130)*AY43,0)</f>
        <v>1.11</v>
      </c>
      <c r="BA44" s="43">
        <f>=IFERROR(SUM(AZ121:AZ130)*AZ43,0)</f>
        <v>0.6</v>
      </c>
      <c r="BB44" s="43">
        <f>=IFERROR(SUM(BA121:BA130)*BA43,0)</f>
        <v>0.39</v>
      </c>
      <c r="BC44" s="43">
        <f>=IFERROR(SUM(BB121:BB130)*BB43,0)</f>
        <v>0.75</v>
      </c>
      <c r="BD44" s="43">
        <f>=IFERROR(SUM(BC121:BC130)*BC43,0)</f>
        <v>0.93</v>
      </c>
      <c r="BE44" s="43">
        <f>=IFERROR(SUM(BD121:BD130)*BD43,0)</f>
        <v>0.54</v>
      </c>
      <c r="BF44" s="43">
        <f>=IFERROR(SUM(BE121:BE130)*BE43,0)</f>
        <v>0.48</v>
      </c>
      <c r="BG44" s="43">
        <f>=IFERROR(SUM(BF121:BF130)*BF43,0)</f>
        <v>0.45</v>
      </c>
      <c r="BH44" s="43">
        <f>=IFERROR(SUM(BG121:BG130)*BG43,0)</f>
        <v>0.45</v>
      </c>
      <c r="BI44" s="43">
        <f>=IFERROR(SUM(BH121:BH130)*BH43,0)</f>
        <v>0.45</v>
      </c>
      <c r="BJ44" s="43">
        <f>=IFERROR(SUM(BI121:BI130)*BI43,0)</f>
        <v>0.15</v>
      </c>
      <c r="BK44" s="43">
        <f>=IFERROR(SUM(BJ121:BJ130)*BJ43,0)</f>
        <v>0</v>
      </c>
      <c r="BL44" s="43">
        <f>=IFERROR(SUM(BK121:BK130)*BK43,0)</f>
        <v>0</v>
      </c>
      <c r="BM44" s="43">
        <f>=IFERROR(SUM(BL121:BL130)*BL43,0)</f>
        <v>0</v>
      </c>
      <c r="BN44" s="43">
        <f>=IFERROR(SUM(BM121:BM130)*BM43,0)</f>
        <v>0</v>
      </c>
      <c r="BO44" s="43">
        <f>=IFERROR(SUM(BN121:BN130)*BN43,0)</f>
        <v>0</v>
      </c>
      <c r="BP44" s="43">
        <f>=IFERROR(SUM(BO121:BO130)*BO43,0)</f>
        <v>0</v>
      </c>
      <c r="BQ44" s="43">
        <f>=IFERROR(SUM(BP121:BP130)*BP43,0)</f>
        <v>0</v>
      </c>
      <c r="BR44" s="43">
        <f>=IFERROR(SUM(BQ121:BQ130)*BQ43,0)</f>
        <v>0</v>
      </c>
      <c r="BS44" s="43">
        <f>=IFERROR(SUM(BR121:BR130)*BR43,0)</f>
        <v>0</v>
      </c>
      <c r="BT44" s="43">
        <f>=IFERROR(SUM(BS121:BS130)*BS43,0)</f>
        <v>0</v>
      </c>
      <c r="BU44" s="43">
        <f>=IFERROR(SUM(BT121:BT130)*BT43,0)</f>
        <v>0</v>
      </c>
      <c r="BV44" s="43">
        <f>=IFERROR(SUM(BU121:BU130)*BU43,0)</f>
        <v>0.06</v>
      </c>
      <c r="BW44" s="43">
        <f>=IFERROR(SUM(BV121:BV130)*BV43,0)</f>
        <v>0.06</v>
      </c>
      <c r="BX44" s="43">
        <f>=IFERROR(SUM(BW121:BW130)*BW43,0)</f>
        <v>0.06</v>
      </c>
      <c r="BY44" s="43">
        <f>=IFERROR(SUM(BX121:BX130)*BX43,0)</f>
        <v>0.06</v>
      </c>
      <c r="BZ44" s="43">
        <f>=IFERROR(SUM(BY121:BY130)*BY43,0)</f>
        <v>0.06</v>
      </c>
      <c r="CA44" s="43">
        <f>=IFERROR(SUM(BZ121:BZ130)*BZ43,0)</f>
        <v>0.0582</v>
      </c>
      <c r="CB44" s="43">
        <f>=IFERROR(SUM(CA121:CA130)*CA43,0)</f>
        <v>0</v>
      </c>
      <c r="CC44" s="43">
        <f>=IFERROR(SUM(CB121:CB130)*CB43,0)</f>
        <v>0</v>
      </c>
      <c r="CD44" s="43">
        <f>=IFERROR(SUM(CC121:CC130)*CC43,0)</f>
        <v>0</v>
      </c>
      <c r="CE44" s="43">
        <f>=IFERROR(SUM(CD121:CD130)*CD43,0)</f>
        <v>0</v>
      </c>
      <c r="CF44" s="43">
        <f>=IFERROR(SUM(CE121:CE130)*CE43,0)</f>
        <v>0</v>
      </c>
      <c r="CG44" s="43">
        <f>=IFERROR(SUM(CF121:CF130)*CF43,0)</f>
        <v>0</v>
      </c>
      <c r="CH44" s="43">
        <f>=IFERROR(SUM(CG121:CG130)*CG43,0)</f>
        <v>0</v>
      </c>
      <c r="CI44" s="43">
        <f>=IFERROR(SUM(CH121:CH130)*CH43,0)</f>
        <v>0</v>
      </c>
      <c r="CJ44" s="43">
        <f>=IFERROR(SUM(CI121:CI130)*CI43,0)</f>
        <v>0</v>
      </c>
      <c r="CK44" s="43">
        <f>=IFERROR(SUM(CJ121:CJ130)*CJ43,0)</f>
        <v>0</v>
      </c>
      <c r="CL44" s="43">
        <f>=IFERROR(SUM(CK121:CK130)*CK43,0)</f>
        <v>0</v>
      </c>
      <c r="CM44" s="43">
        <f>=IFERROR(SUM(CL121:CL130)*CL43,0)</f>
        <v>0</v>
      </c>
      <c r="CN44" s="43">
        <f>=IFERROR(SUM(CM121:CM130)*CM43,0)</f>
        <v>0</v>
      </c>
      <c r="CO44" s="43">
        <f>=IFERROR(SUM(CN121:CN130)*CN43,0)</f>
        <v>0</v>
      </c>
      <c r="CP44" s="43">
        <f>=IFERROR(SUM(CO121:CO130)*CO43,0)</f>
        <v>0</v>
      </c>
      <c r="CQ44" s="43">
        <f>=IFERROR(SUM(CP121:CP130)*CP43,0)</f>
        <v>0</v>
      </c>
      <c r="CR44" s="43">
        <f>=IFERROR(SUM(CQ121:CQ130)*CQ43,0)</f>
        <v>0</v>
      </c>
      <c r="CS44" s="43">
        <f>=IFERROR(SUM(CR121:CR130)*CR43,0)</f>
        <v>0</v>
      </c>
      <c r="CT44" s="43">
        <f>=IFERROR(SUM(CS121:CS130)*CS43,0)</f>
        <v>0</v>
      </c>
      <c r="CU44" s="43">
        <f>=IFERROR(SUM(CT121:CT130)*CT43,0)</f>
        <v>0</v>
      </c>
      <c r="CV44" s="43">
        <f>=IFERROR(SUM(CU121:CU130)*CU43,0)</f>
        <v>0</v>
      </c>
      <c r="CW44" s="43">
        <f>=IFERROR(SUM(CV121:CV130)*CV43,0)</f>
        <v>0</v>
      </c>
      <c r="CX44" s="43">
        <f>=IFERROR(SUM(CW121:CW130)*CW43,0)</f>
        <v>0</v>
      </c>
      <c r="CY44" s="43">
        <f>=IFERROR(SUM(CX121:CX130)*CX43,0)</f>
        <v>0</v>
      </c>
      <c r="CZ44" s="43">
        <f>=IFERROR(SUM(CY121:CY130)*CY43,0)</f>
        <v>0</v>
      </c>
      <c r="DA44" s="43">
        <f>=IFERROR(SUM(CZ121:CZ130)*CZ43,0)</f>
        <v>0</v>
      </c>
      <c r="DB44" s="43">
        <f>=IFERROR(SUM(DA121:DA130)*DA43,0)</f>
        <v>0</v>
      </c>
    </row>
    <row r="45" ht="18" customHeight="1" spans="1:106" x14ac:dyDescent="0.25">
      <c r="A45" s="16" t="s">
        <v>278</v>
      </c>
      <c r="C45" s="44">
        <v>1</v>
      </c>
      <c r="D45" s="44">
        <v>1</v>
      </c>
      <c r="E45" s="44">
        <v>1</v>
      </c>
      <c r="F45" s="44">
        <v>1</v>
      </c>
      <c r="G45" s="44">
        <v>1</v>
      </c>
      <c r="H45" s="44">
        <v>1</v>
      </c>
      <c r="I45" s="44">
        <v>1</v>
      </c>
      <c r="J45" s="44">
        <v>1</v>
      </c>
      <c r="K45" s="44">
        <v>1</v>
      </c>
      <c r="L45" s="44">
        <v>1</v>
      </c>
      <c r="M45" s="44">
        <v>1</v>
      </c>
      <c r="N45" s="44">
        <v>1</v>
      </c>
      <c r="O45" s="44">
        <v>1</v>
      </c>
      <c r="P45" s="44">
        <v>1</v>
      </c>
      <c r="Q45" s="44">
        <v>1</v>
      </c>
      <c r="R45" s="44">
        <v>1</v>
      </c>
      <c r="S45" s="44">
        <v>1</v>
      </c>
      <c r="T45" s="44">
        <v>1</v>
      </c>
      <c r="U45" s="44">
        <v>1</v>
      </c>
      <c r="V45" s="44">
        <v>1</v>
      </c>
      <c r="W45" s="44">
        <v>1</v>
      </c>
      <c r="X45" s="44">
        <v>1</v>
      </c>
      <c r="Y45" s="44">
        <v>1</v>
      </c>
      <c r="Z45" s="44">
        <v>1</v>
      </c>
      <c r="AA45" s="44">
        <v>1</v>
      </c>
      <c r="AB45" s="44">
        <v>1</v>
      </c>
      <c r="AC45" s="44">
        <v>1</v>
      </c>
      <c r="AD45" s="44">
        <v>1</v>
      </c>
      <c r="AE45" s="44">
        <v>1</v>
      </c>
      <c r="AF45" s="44">
        <v>1</v>
      </c>
      <c r="AG45" s="44">
        <v>1</v>
      </c>
      <c r="AH45" s="44">
        <v>1</v>
      </c>
      <c r="AI45" s="44">
        <v>1</v>
      </c>
      <c r="AJ45" s="44">
        <v>1</v>
      </c>
      <c r="AK45" s="44">
        <v>1</v>
      </c>
      <c r="AL45" s="44">
        <v>1</v>
      </c>
      <c r="AM45" s="44">
        <v>1</v>
      </c>
      <c r="AN45" s="44">
        <v>1</v>
      </c>
      <c r="AO45" s="44">
        <v>1</v>
      </c>
      <c r="AP45" s="44">
        <v>1</v>
      </c>
      <c r="AQ45" s="44">
        <v>1</v>
      </c>
      <c r="AR45" s="44">
        <v>1</v>
      </c>
      <c r="AS45" s="44">
        <v>1</v>
      </c>
      <c r="AT45" s="44">
        <v>1</v>
      </c>
      <c r="AU45" s="44">
        <v>1</v>
      </c>
      <c r="AV45" s="44">
        <v>1</v>
      </c>
      <c r="AW45" s="44">
        <v>1</v>
      </c>
      <c r="AX45" s="44">
        <v>1</v>
      </c>
      <c r="AY45" s="44">
        <v>1</v>
      </c>
      <c r="AZ45" s="44">
        <v>1</v>
      </c>
      <c r="BA45" s="44">
        <v>1</v>
      </c>
      <c r="BB45" s="44">
        <v>1</v>
      </c>
      <c r="BC45" s="44">
        <v>1</v>
      </c>
      <c r="BD45" s="44">
        <v>1</v>
      </c>
      <c r="BE45" s="44">
        <v>1</v>
      </c>
      <c r="BF45" s="44">
        <v>1</v>
      </c>
      <c r="BG45" s="44">
        <v>1</v>
      </c>
      <c r="BH45" s="44">
        <v>1</v>
      </c>
      <c r="BI45" s="44">
        <v>1</v>
      </c>
      <c r="BJ45" s="44">
        <v>1</v>
      </c>
      <c r="BK45" s="44">
        <v>1</v>
      </c>
      <c r="BL45" s="44">
        <v>1</v>
      </c>
      <c r="BM45" s="44">
        <v>1</v>
      </c>
      <c r="BN45" s="44">
        <v>1</v>
      </c>
      <c r="BO45" s="44">
        <v>1</v>
      </c>
      <c r="BP45" s="44">
        <v>1</v>
      </c>
      <c r="BQ45" s="44">
        <v>1</v>
      </c>
      <c r="BR45" s="44">
        <v>1</v>
      </c>
      <c r="BS45" s="44">
        <v>1</v>
      </c>
      <c r="BT45" s="44">
        <v>1</v>
      </c>
      <c r="BU45" s="44">
        <v>1</v>
      </c>
      <c r="BV45" s="44">
        <v>1</v>
      </c>
      <c r="BW45" s="44">
        <v>1</v>
      </c>
      <c r="BX45" s="44">
        <v>1</v>
      </c>
      <c r="BY45" s="44">
        <v>1</v>
      </c>
      <c r="BZ45" s="44">
        <v>1</v>
      </c>
      <c r="CA45" s="44">
        <v>1</v>
      </c>
      <c r="CB45" s="44">
        <v>1</v>
      </c>
      <c r="CC45" s="44">
        <v>1</v>
      </c>
      <c r="CD45" s="44">
        <v>1</v>
      </c>
      <c r="CE45" s="44">
        <v>1</v>
      </c>
      <c r="CF45" s="44">
        <v>1</v>
      </c>
      <c r="CG45" s="44">
        <v>1</v>
      </c>
      <c r="CH45" s="44">
        <v>1</v>
      </c>
      <c r="CI45" s="44">
        <v>1</v>
      </c>
      <c r="CJ45" s="44">
        <v>1</v>
      </c>
      <c r="CK45" s="44">
        <v>1</v>
      </c>
      <c r="CL45" s="44">
        <v>1</v>
      </c>
      <c r="CM45" s="44">
        <v>1</v>
      </c>
      <c r="CN45" s="44">
        <v>1</v>
      </c>
      <c r="CO45" s="44">
        <v>1</v>
      </c>
      <c r="CP45" s="44">
        <v>1</v>
      </c>
      <c r="CQ45" s="44">
        <v>1</v>
      </c>
      <c r="CR45" s="44">
        <v>1</v>
      </c>
      <c r="CS45" s="44">
        <v>1</v>
      </c>
      <c r="CT45" s="44">
        <v>1</v>
      </c>
      <c r="CU45" s="44">
        <v>1</v>
      </c>
      <c r="CV45" s="44">
        <v>1</v>
      </c>
      <c r="CW45" s="44">
        <v>1</v>
      </c>
      <c r="CX45" s="44">
        <v>1</v>
      </c>
      <c r="CY45" s="44">
        <v>1</v>
      </c>
      <c r="CZ45" s="44">
        <v>1</v>
      </c>
      <c r="DA45" s="44">
        <v>1</v>
      </c>
      <c r="DB45" s="44">
        <v>1</v>
      </c>
    </row>
    <row r="46" ht="15" customHeight="1" spans="1:106" x14ac:dyDescent="0.25">
      <c r="A46" s="16" t="s">
        <v>279</v>
      </c>
      <c r="B46" s="17"/>
      <c r="C46" s="45">
        <v>0</v>
      </c>
      <c r="D46" s="45">
        <v>0</v>
      </c>
      <c r="E46" s="45">
        <v>0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v>0</v>
      </c>
      <c r="O46" s="45">
        <v>0</v>
      </c>
      <c r="P46" s="45">
        <v>0</v>
      </c>
      <c r="Q46" s="45">
        <v>0</v>
      </c>
      <c r="R46" s="45">
        <v>0</v>
      </c>
      <c r="S46" s="45">
        <v>0</v>
      </c>
      <c r="T46" s="45">
        <v>0</v>
      </c>
      <c r="U46" s="45">
        <v>0</v>
      </c>
      <c r="V46" s="45">
        <v>0</v>
      </c>
      <c r="W46" s="45">
        <v>0</v>
      </c>
      <c r="X46" s="45">
        <v>0</v>
      </c>
      <c r="Y46" s="45">
        <v>0</v>
      </c>
      <c r="Z46" s="45">
        <v>0</v>
      </c>
      <c r="AA46" s="45">
        <v>0</v>
      </c>
      <c r="AB46" s="45">
        <v>0</v>
      </c>
      <c r="AC46" s="45">
        <v>0</v>
      </c>
      <c r="AD46" s="45">
        <v>0</v>
      </c>
      <c r="AE46" s="45">
        <v>0</v>
      </c>
      <c r="AF46" s="45">
        <v>0</v>
      </c>
      <c r="AG46" s="45">
        <v>0</v>
      </c>
      <c r="AH46" s="45">
        <v>0</v>
      </c>
      <c r="AI46" s="45">
        <v>0</v>
      </c>
      <c r="AJ46" s="45">
        <v>0</v>
      </c>
      <c r="AK46" s="45">
        <v>0</v>
      </c>
      <c r="AL46" s="45">
        <v>0</v>
      </c>
      <c r="AM46" s="45">
        <v>0</v>
      </c>
      <c r="AN46" s="45">
        <v>0</v>
      </c>
      <c r="AO46" s="45">
        <v>0</v>
      </c>
      <c r="AP46" s="45">
        <v>0</v>
      </c>
      <c r="AQ46" s="45">
        <v>0</v>
      </c>
      <c r="AR46" s="45">
        <v>0</v>
      </c>
      <c r="AS46" s="45">
        <v>0</v>
      </c>
      <c r="AT46" s="45">
        <v>0</v>
      </c>
      <c r="AU46" s="45">
        <v>0</v>
      </c>
      <c r="AV46" s="45">
        <v>0</v>
      </c>
      <c r="AW46" s="45">
        <v>0</v>
      </c>
      <c r="AX46" s="45">
        <v>0</v>
      </c>
      <c r="AY46" s="45">
        <v>0</v>
      </c>
      <c r="AZ46" s="45">
        <v>0</v>
      </c>
      <c r="BA46" s="45">
        <v>0</v>
      </c>
      <c r="BB46" s="45">
        <v>0</v>
      </c>
      <c r="BC46" s="45">
        <v>0</v>
      </c>
      <c r="BD46" s="45">
        <v>0</v>
      </c>
      <c r="BE46" s="45">
        <v>0</v>
      </c>
      <c r="BF46" s="45">
        <v>0</v>
      </c>
      <c r="BG46" s="45">
        <v>0</v>
      </c>
      <c r="BH46" s="45">
        <v>0</v>
      </c>
      <c r="BI46" s="45">
        <v>0</v>
      </c>
      <c r="BJ46" s="45">
        <v>0</v>
      </c>
      <c r="BK46" s="45">
        <v>0</v>
      </c>
      <c r="BL46" s="45">
        <v>0</v>
      </c>
      <c r="BM46" s="45">
        <v>0</v>
      </c>
      <c r="BN46" s="45">
        <v>0</v>
      </c>
      <c r="BO46" s="45">
        <v>0</v>
      </c>
      <c r="BP46" s="45">
        <v>0</v>
      </c>
      <c r="BQ46" s="45">
        <v>0</v>
      </c>
      <c r="BR46" s="45">
        <v>0</v>
      </c>
      <c r="BS46" s="45">
        <v>0</v>
      </c>
      <c r="BT46" s="45">
        <v>0</v>
      </c>
      <c r="BU46" s="45">
        <v>0</v>
      </c>
      <c r="BV46" s="45">
        <v>0</v>
      </c>
      <c r="BW46" s="45">
        <v>0</v>
      </c>
      <c r="BX46" s="45">
        <v>0</v>
      </c>
      <c r="BY46" s="45">
        <v>0</v>
      </c>
      <c r="BZ46" s="45">
        <v>0</v>
      </c>
      <c r="CA46" s="45">
        <v>0</v>
      </c>
      <c r="CB46" s="45">
        <v>0</v>
      </c>
      <c r="CC46" s="45">
        <v>0</v>
      </c>
      <c r="CD46" s="45">
        <v>0</v>
      </c>
      <c r="CE46" s="45">
        <v>0</v>
      </c>
      <c r="CF46" s="45">
        <v>0</v>
      </c>
      <c r="CG46" s="45">
        <v>0</v>
      </c>
      <c r="CH46" s="45">
        <v>0</v>
      </c>
      <c r="CI46" s="45">
        <v>0</v>
      </c>
      <c r="CJ46" s="45">
        <v>0</v>
      </c>
      <c r="CK46" s="45">
        <v>0</v>
      </c>
      <c r="CL46" s="45">
        <v>0</v>
      </c>
      <c r="CM46" s="45">
        <v>0</v>
      </c>
      <c r="CN46" s="45">
        <v>0</v>
      </c>
      <c r="CO46" s="45">
        <v>0</v>
      </c>
      <c r="CP46" s="45">
        <v>0</v>
      </c>
      <c r="CQ46" s="45">
        <v>0</v>
      </c>
      <c r="CR46" s="45">
        <v>0</v>
      </c>
      <c r="CS46" s="45">
        <v>0</v>
      </c>
      <c r="CT46" s="45">
        <v>0</v>
      </c>
      <c r="CU46" s="45">
        <v>0</v>
      </c>
      <c r="CV46" s="45">
        <v>0</v>
      </c>
      <c r="CW46" s="45">
        <v>0</v>
      </c>
      <c r="CX46" s="45">
        <v>0</v>
      </c>
      <c r="CY46" s="45">
        <v>0</v>
      </c>
      <c r="CZ46" s="45">
        <v>0</v>
      </c>
      <c r="DA46" s="45">
        <v>0</v>
      </c>
      <c r="DB46" s="45">
        <v>0</v>
      </c>
    </row>
    <row r="47" ht="15" customHeight="1" spans="1:106" x14ac:dyDescent="0.25">
      <c r="A47" s="16" t="s">
        <v>280</v>
      </c>
      <c r="B47" s="17"/>
      <c r="C47" s="46">
        <v>5</v>
      </c>
      <c r="D47" s="46">
        <v>5</v>
      </c>
      <c r="E47" s="46">
        <v>5</v>
      </c>
      <c r="F47" s="46">
        <v>5</v>
      </c>
      <c r="G47" s="46">
        <v>5</v>
      </c>
      <c r="H47" s="46">
        <v>5</v>
      </c>
      <c r="I47" s="46">
        <v>5</v>
      </c>
      <c r="J47" s="46">
        <v>5</v>
      </c>
      <c r="K47" s="46">
        <v>5</v>
      </c>
      <c r="L47" s="46">
        <v>5</v>
      </c>
      <c r="M47" s="46">
        <v>5</v>
      </c>
      <c r="N47" s="46">
        <v>5</v>
      </c>
      <c r="O47" s="46">
        <v>5</v>
      </c>
      <c r="P47" s="46">
        <v>5</v>
      </c>
      <c r="Q47" s="46">
        <v>5</v>
      </c>
      <c r="R47" s="46">
        <v>5</v>
      </c>
      <c r="S47" s="46">
        <v>5</v>
      </c>
      <c r="T47" s="46">
        <v>5</v>
      </c>
      <c r="U47" s="46">
        <v>5</v>
      </c>
      <c r="V47" s="46">
        <v>5</v>
      </c>
      <c r="W47" s="46">
        <v>5</v>
      </c>
      <c r="X47" s="46">
        <v>5</v>
      </c>
      <c r="Y47" s="46">
        <v>5</v>
      </c>
      <c r="Z47" s="46">
        <v>5</v>
      </c>
      <c r="AA47" s="46">
        <v>5</v>
      </c>
      <c r="AB47" s="46">
        <v>5</v>
      </c>
      <c r="AC47" s="46">
        <v>5</v>
      </c>
      <c r="AD47" s="46">
        <v>5</v>
      </c>
      <c r="AE47" s="46">
        <v>5</v>
      </c>
      <c r="AF47" s="46">
        <v>5</v>
      </c>
      <c r="AG47" s="46">
        <v>5</v>
      </c>
      <c r="AH47" s="46">
        <v>5</v>
      </c>
      <c r="AI47" s="46">
        <v>5</v>
      </c>
      <c r="AJ47" s="46">
        <v>5</v>
      </c>
      <c r="AK47" s="46">
        <v>5</v>
      </c>
      <c r="AL47" s="46">
        <v>5</v>
      </c>
      <c r="AM47" s="46">
        <v>5</v>
      </c>
      <c r="AN47" s="46">
        <v>5</v>
      </c>
      <c r="AO47" s="46">
        <v>5</v>
      </c>
      <c r="AP47" s="46">
        <v>5</v>
      </c>
      <c r="AQ47" s="46">
        <v>5</v>
      </c>
      <c r="AR47" s="46">
        <v>5</v>
      </c>
      <c r="AS47" s="46">
        <v>5</v>
      </c>
      <c r="AT47" s="46">
        <v>5</v>
      </c>
      <c r="AU47" s="46">
        <v>5</v>
      </c>
      <c r="AV47" s="46">
        <v>5</v>
      </c>
      <c r="AW47" s="46">
        <v>5</v>
      </c>
      <c r="AX47" s="46">
        <v>5</v>
      </c>
      <c r="AY47" s="46">
        <v>5</v>
      </c>
      <c r="AZ47" s="46">
        <v>5</v>
      </c>
      <c r="BA47" s="46">
        <v>5</v>
      </c>
      <c r="BB47" s="46">
        <v>5</v>
      </c>
      <c r="BC47" s="46">
        <v>5</v>
      </c>
      <c r="BD47" s="46">
        <v>5</v>
      </c>
      <c r="BE47" s="46">
        <v>5</v>
      </c>
      <c r="BF47" s="46">
        <v>5</v>
      </c>
      <c r="BG47" s="46">
        <v>5</v>
      </c>
      <c r="BH47" s="46">
        <v>5</v>
      </c>
      <c r="BI47" s="46">
        <v>5</v>
      </c>
      <c r="BJ47" s="46">
        <v>5</v>
      </c>
      <c r="BK47" s="46">
        <v>5</v>
      </c>
      <c r="BL47" s="46">
        <v>5</v>
      </c>
      <c r="BM47" s="46">
        <v>5</v>
      </c>
      <c r="BN47" s="46">
        <v>5</v>
      </c>
      <c r="BO47" s="46">
        <v>5</v>
      </c>
      <c r="BP47" s="46">
        <v>5</v>
      </c>
      <c r="BQ47" s="46">
        <v>5</v>
      </c>
      <c r="BR47" s="46">
        <v>5</v>
      </c>
      <c r="BS47" s="46">
        <v>5</v>
      </c>
      <c r="BT47" s="46">
        <v>5</v>
      </c>
      <c r="BU47" s="46">
        <v>5</v>
      </c>
      <c r="BV47" s="46">
        <v>5</v>
      </c>
      <c r="BW47" s="46">
        <v>5</v>
      </c>
      <c r="BX47" s="46">
        <v>5</v>
      </c>
      <c r="BY47" s="46">
        <v>5</v>
      </c>
      <c r="BZ47" s="46">
        <v>5</v>
      </c>
      <c r="CA47" s="46">
        <v>5</v>
      </c>
      <c r="CB47" s="46">
        <v>5</v>
      </c>
      <c r="CC47" s="46">
        <v>5</v>
      </c>
      <c r="CD47" s="46">
        <v>5</v>
      </c>
      <c r="CE47" s="46">
        <v>5</v>
      </c>
      <c r="CF47" s="46">
        <v>5</v>
      </c>
      <c r="CG47" s="46">
        <v>5</v>
      </c>
      <c r="CH47" s="46">
        <v>5</v>
      </c>
      <c r="CI47" s="46">
        <v>5</v>
      </c>
      <c r="CJ47" s="46">
        <v>5</v>
      </c>
      <c r="CK47" s="46">
        <v>5</v>
      </c>
      <c r="CL47" s="46">
        <v>5</v>
      </c>
      <c r="CM47" s="46">
        <v>5</v>
      </c>
      <c r="CN47" s="46">
        <v>5</v>
      </c>
      <c r="CO47" s="46">
        <v>5</v>
      </c>
      <c r="CP47" s="46">
        <v>5</v>
      </c>
      <c r="CQ47" s="46">
        <v>5</v>
      </c>
      <c r="CR47" s="46">
        <v>5</v>
      </c>
      <c r="CS47" s="46">
        <v>5</v>
      </c>
      <c r="CT47" s="46">
        <v>5</v>
      </c>
      <c r="CU47" s="46">
        <v>5</v>
      </c>
      <c r="CV47" s="46">
        <v>5</v>
      </c>
      <c r="CW47" s="46">
        <v>5</v>
      </c>
      <c r="CX47" s="46">
        <v>5</v>
      </c>
      <c r="CY47" s="46">
        <v>5</v>
      </c>
      <c r="CZ47" s="46">
        <v>5</v>
      </c>
      <c r="DA47" s="46">
        <v>5</v>
      </c>
      <c r="DB47" s="46">
        <v>5</v>
      </c>
    </row>
    <row r="48" ht="16" customHeight="1" spans="1:106" x14ac:dyDescent="0.25">
      <c r="A48" s="16" t="s">
        <v>281</v>
      </c>
      <c r="B48" s="17"/>
      <c r="C48" s="46">
        <v>8</v>
      </c>
      <c r="D48" s="46">
        <v>8</v>
      </c>
      <c r="E48" s="46">
        <v>8</v>
      </c>
      <c r="F48" s="46">
        <v>8</v>
      </c>
      <c r="G48" s="46">
        <v>8</v>
      </c>
      <c r="H48" s="46">
        <v>8</v>
      </c>
      <c r="I48" s="46">
        <v>8</v>
      </c>
      <c r="J48" s="46">
        <v>8</v>
      </c>
      <c r="K48" s="46">
        <v>8</v>
      </c>
      <c r="L48" s="46">
        <v>8</v>
      </c>
      <c r="M48" s="46">
        <v>8</v>
      </c>
      <c r="N48" s="46">
        <v>8</v>
      </c>
      <c r="O48" s="46">
        <v>8</v>
      </c>
      <c r="P48" s="46">
        <v>8</v>
      </c>
      <c r="Q48" s="46">
        <v>8</v>
      </c>
      <c r="R48" s="46">
        <v>8</v>
      </c>
      <c r="S48" s="46">
        <v>8</v>
      </c>
      <c r="T48" s="46">
        <v>8</v>
      </c>
      <c r="U48" s="46">
        <v>8</v>
      </c>
      <c r="V48" s="46">
        <v>8</v>
      </c>
      <c r="W48" s="46">
        <v>8</v>
      </c>
      <c r="X48" s="46">
        <v>8</v>
      </c>
      <c r="Y48" s="46">
        <v>8</v>
      </c>
      <c r="Z48" s="46">
        <v>8</v>
      </c>
      <c r="AA48" s="46">
        <v>8</v>
      </c>
      <c r="AB48" s="46">
        <v>8</v>
      </c>
      <c r="AC48" s="46">
        <v>8</v>
      </c>
      <c r="AD48" s="46">
        <v>8</v>
      </c>
      <c r="AE48" s="46">
        <v>8</v>
      </c>
      <c r="AF48" s="46">
        <v>8</v>
      </c>
      <c r="AG48" s="46">
        <v>8</v>
      </c>
      <c r="AH48" s="46">
        <v>8</v>
      </c>
      <c r="AI48" s="46">
        <v>8</v>
      </c>
      <c r="AJ48" s="46">
        <v>8</v>
      </c>
      <c r="AK48" s="46">
        <v>8</v>
      </c>
      <c r="AL48" s="46">
        <v>8</v>
      </c>
      <c r="AM48" s="46">
        <v>8</v>
      </c>
      <c r="AN48" s="46">
        <v>8</v>
      </c>
      <c r="AO48" s="46">
        <v>8</v>
      </c>
      <c r="AP48" s="46">
        <v>8</v>
      </c>
      <c r="AQ48" s="46">
        <v>8</v>
      </c>
      <c r="AR48" s="46">
        <v>8</v>
      </c>
      <c r="AS48" s="46">
        <v>8</v>
      </c>
      <c r="AT48" s="46">
        <v>8</v>
      </c>
      <c r="AU48" s="46">
        <v>8</v>
      </c>
      <c r="AV48" s="46">
        <v>8</v>
      </c>
      <c r="AW48" s="46">
        <v>8</v>
      </c>
      <c r="AX48" s="46">
        <v>8</v>
      </c>
      <c r="AY48" s="46">
        <v>8</v>
      </c>
      <c r="AZ48" s="46">
        <v>8</v>
      </c>
      <c r="BA48" s="46">
        <v>8</v>
      </c>
      <c r="BB48" s="46">
        <v>8</v>
      </c>
      <c r="BC48" s="46">
        <v>8</v>
      </c>
      <c r="BD48" s="46">
        <v>8</v>
      </c>
      <c r="BE48" s="46">
        <v>8</v>
      </c>
      <c r="BF48" s="46">
        <v>8</v>
      </c>
      <c r="BG48" s="46">
        <v>8</v>
      </c>
      <c r="BH48" s="46">
        <v>8</v>
      </c>
      <c r="BI48" s="46">
        <v>8</v>
      </c>
      <c r="BJ48" s="46">
        <v>8</v>
      </c>
      <c r="BK48" s="46">
        <v>8</v>
      </c>
      <c r="BL48" s="46">
        <v>8</v>
      </c>
      <c r="BM48" s="46">
        <v>8</v>
      </c>
      <c r="BN48" s="46">
        <v>8</v>
      </c>
      <c r="BO48" s="46">
        <v>8</v>
      </c>
      <c r="BP48" s="46">
        <v>8</v>
      </c>
      <c r="BQ48" s="46">
        <v>8</v>
      </c>
      <c r="BR48" s="46">
        <v>8</v>
      </c>
      <c r="BS48" s="46">
        <v>8</v>
      </c>
      <c r="BT48" s="46">
        <v>8</v>
      </c>
      <c r="BU48" s="46">
        <v>8</v>
      </c>
      <c r="BV48" s="46">
        <v>8</v>
      </c>
      <c r="BW48" s="46">
        <v>8</v>
      </c>
      <c r="BX48" s="46">
        <v>8</v>
      </c>
      <c r="BY48" s="46">
        <v>8</v>
      </c>
      <c r="BZ48" s="46">
        <v>8</v>
      </c>
      <c r="CA48" s="46">
        <v>8</v>
      </c>
      <c r="CB48" s="46">
        <v>8</v>
      </c>
      <c r="CC48" s="46">
        <v>8</v>
      </c>
      <c r="CD48" s="46">
        <v>8</v>
      </c>
      <c r="CE48" s="46">
        <v>8</v>
      </c>
      <c r="CF48" s="46">
        <v>8</v>
      </c>
      <c r="CG48" s="46">
        <v>8</v>
      </c>
      <c r="CH48" s="46">
        <v>8</v>
      </c>
      <c r="CI48" s="46">
        <v>8</v>
      </c>
      <c r="CJ48" s="46">
        <v>8</v>
      </c>
      <c r="CK48" s="46">
        <v>8</v>
      </c>
      <c r="CL48" s="46">
        <v>8</v>
      </c>
      <c r="CM48" s="46">
        <v>8</v>
      </c>
      <c r="CN48" s="46">
        <v>8</v>
      </c>
      <c r="CO48" s="46">
        <v>8</v>
      </c>
      <c r="CP48" s="46">
        <v>8</v>
      </c>
      <c r="CQ48" s="46">
        <v>8</v>
      </c>
      <c r="CR48" s="46">
        <v>8</v>
      </c>
      <c r="CS48" s="46">
        <v>8</v>
      </c>
      <c r="CT48" s="46">
        <v>8</v>
      </c>
      <c r="CU48" s="46">
        <v>8</v>
      </c>
      <c r="CV48" s="46">
        <v>8</v>
      </c>
      <c r="CW48" s="46">
        <v>8</v>
      </c>
      <c r="CX48" s="46">
        <v>8</v>
      </c>
      <c r="CY48" s="46">
        <v>8</v>
      </c>
      <c r="CZ48" s="46">
        <v>8</v>
      </c>
      <c r="DA48" s="46">
        <v>8</v>
      </c>
      <c r="DB48" s="46">
        <v>8</v>
      </c>
    </row>
    <row r="49" ht="15" customHeight="1" spans="1:106" x14ac:dyDescent="0.25">
      <c r="A49" s="16" t="s">
        <v>282</v>
      </c>
      <c r="B49" s="17"/>
      <c r="C49" s="46">
        <v>0</v>
      </c>
      <c r="D49" s="46">
        <v>0</v>
      </c>
      <c r="E49" s="46">
        <v>0</v>
      </c>
      <c r="F49" s="46">
        <v>0</v>
      </c>
      <c r="G49" s="46">
        <v>0</v>
      </c>
      <c r="H49" s="46">
        <v>0</v>
      </c>
      <c r="I49" s="46">
        <v>0</v>
      </c>
      <c r="J49" s="46">
        <v>0</v>
      </c>
      <c r="K49" s="46">
        <v>0</v>
      </c>
      <c r="L49" s="46">
        <v>0</v>
      </c>
      <c r="M49" s="46">
        <v>0</v>
      </c>
      <c r="N49" s="46">
        <v>0</v>
      </c>
      <c r="O49" s="46">
        <v>0</v>
      </c>
      <c r="P49" s="46">
        <v>0</v>
      </c>
      <c r="Q49" s="46">
        <v>0</v>
      </c>
      <c r="R49" s="46">
        <v>0</v>
      </c>
      <c r="S49" s="46">
        <v>0</v>
      </c>
      <c r="T49" s="46">
        <v>0</v>
      </c>
      <c r="U49" s="46">
        <v>0</v>
      </c>
      <c r="V49" s="46">
        <v>0</v>
      </c>
      <c r="W49" s="46">
        <v>0</v>
      </c>
      <c r="X49" s="46">
        <v>0</v>
      </c>
      <c r="Y49" s="46">
        <v>0</v>
      </c>
      <c r="Z49" s="46">
        <v>0</v>
      </c>
      <c r="AA49" s="46">
        <v>0</v>
      </c>
      <c r="AB49" s="46">
        <v>0</v>
      </c>
      <c r="AC49" s="46">
        <v>0</v>
      </c>
      <c r="AD49" s="46">
        <v>0</v>
      </c>
      <c r="AE49" s="46">
        <v>0</v>
      </c>
      <c r="AF49" s="46">
        <v>0</v>
      </c>
      <c r="AG49" s="46">
        <v>0</v>
      </c>
      <c r="AH49" s="46">
        <v>0</v>
      </c>
      <c r="AI49" s="46">
        <v>0</v>
      </c>
      <c r="AJ49" s="46">
        <v>0</v>
      </c>
      <c r="AK49" s="46">
        <v>0</v>
      </c>
      <c r="AL49" s="46">
        <v>0</v>
      </c>
      <c r="AM49" s="46">
        <v>0</v>
      </c>
      <c r="AN49" s="46">
        <v>0</v>
      </c>
      <c r="AO49" s="46">
        <v>0</v>
      </c>
      <c r="AP49" s="46">
        <v>0</v>
      </c>
      <c r="AQ49" s="46">
        <v>0</v>
      </c>
      <c r="AR49" s="46">
        <v>0</v>
      </c>
      <c r="AS49" s="46">
        <v>0</v>
      </c>
      <c r="AT49" s="46">
        <v>0</v>
      </c>
      <c r="AU49" s="46">
        <v>0</v>
      </c>
      <c r="AV49" s="46">
        <v>0</v>
      </c>
      <c r="AW49" s="46">
        <v>0</v>
      </c>
      <c r="AX49" s="46">
        <v>0</v>
      </c>
      <c r="AY49" s="46">
        <v>0</v>
      </c>
      <c r="AZ49" s="46">
        <v>0</v>
      </c>
      <c r="BA49" s="46">
        <v>0</v>
      </c>
      <c r="BB49" s="46">
        <v>0</v>
      </c>
      <c r="BC49" s="46">
        <v>0</v>
      </c>
      <c r="BD49" s="46">
        <v>0</v>
      </c>
      <c r="BE49" s="46">
        <v>0</v>
      </c>
      <c r="BF49" s="46">
        <v>0</v>
      </c>
      <c r="BG49" s="46">
        <v>0</v>
      </c>
      <c r="BH49" s="46">
        <v>0</v>
      </c>
      <c r="BI49" s="46">
        <v>0</v>
      </c>
      <c r="BJ49" s="46">
        <v>0</v>
      </c>
      <c r="BK49" s="46">
        <v>0</v>
      </c>
      <c r="BL49" s="46">
        <v>0</v>
      </c>
      <c r="BM49" s="46">
        <v>0</v>
      </c>
      <c r="BN49" s="46">
        <v>0</v>
      </c>
      <c r="BO49" s="46">
        <v>0</v>
      </c>
      <c r="BP49" s="46">
        <v>0</v>
      </c>
      <c r="BQ49" s="46">
        <v>0</v>
      </c>
      <c r="BR49" s="46">
        <v>0</v>
      </c>
      <c r="BS49" s="46">
        <v>0</v>
      </c>
      <c r="BT49" s="46">
        <v>0</v>
      </c>
      <c r="BU49" s="46">
        <v>0</v>
      </c>
      <c r="BV49" s="46">
        <v>0</v>
      </c>
      <c r="BW49" s="46">
        <v>0</v>
      </c>
      <c r="BX49" s="46">
        <v>0</v>
      </c>
      <c r="BY49" s="46">
        <v>0</v>
      </c>
      <c r="BZ49" s="46">
        <v>0</v>
      </c>
      <c r="CA49" s="46">
        <v>0</v>
      </c>
      <c r="CB49" s="46">
        <v>0</v>
      </c>
      <c r="CC49" s="46">
        <v>0</v>
      </c>
      <c r="CD49" s="46">
        <v>0</v>
      </c>
      <c r="CE49" s="46">
        <v>0</v>
      </c>
      <c r="CF49" s="46">
        <v>0</v>
      </c>
      <c r="CG49" s="46">
        <v>0</v>
      </c>
      <c r="CH49" s="46">
        <v>0</v>
      </c>
      <c r="CI49" s="46">
        <v>0</v>
      </c>
      <c r="CJ49" s="46">
        <v>0</v>
      </c>
      <c r="CK49" s="46">
        <v>0</v>
      </c>
      <c r="CL49" s="46">
        <v>0</v>
      </c>
      <c r="CM49" s="46">
        <v>0</v>
      </c>
      <c r="CN49" s="46">
        <v>0</v>
      </c>
      <c r="CO49" s="46">
        <v>0</v>
      </c>
      <c r="CP49" s="46">
        <v>0</v>
      </c>
      <c r="CQ49" s="46">
        <v>0</v>
      </c>
      <c r="CR49" s="46">
        <v>0</v>
      </c>
      <c r="CS49" s="46">
        <v>0</v>
      </c>
      <c r="CT49" s="46">
        <v>0</v>
      </c>
      <c r="CU49" s="46">
        <v>0</v>
      </c>
      <c r="CV49" s="46">
        <v>0</v>
      </c>
      <c r="CW49" s="46">
        <v>0</v>
      </c>
      <c r="CX49" s="46">
        <v>0</v>
      </c>
      <c r="CY49" s="46">
        <v>0</v>
      </c>
      <c r="CZ49" s="46">
        <v>0</v>
      </c>
      <c r="DA49" s="46">
        <v>0</v>
      </c>
      <c r="DB49" s="46">
        <v>0</v>
      </c>
    </row>
    <row r="50" spans="3:106" x14ac:dyDescent="0.25"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0"/>
      <c r="CI50" s="30"/>
      <c r="CJ50" s="30"/>
      <c r="CK50" s="30"/>
      <c r="CL50" s="30"/>
      <c r="CM50" s="30"/>
      <c r="CN50" s="30"/>
      <c r="CO50" s="30"/>
      <c r="CP50" s="30"/>
      <c r="CQ50" s="30"/>
      <c r="CR50" s="30"/>
      <c r="CS50" s="30"/>
      <c r="CT50" s="30"/>
      <c r="CU50" s="30"/>
      <c r="CV50" s="30"/>
      <c r="CW50" s="30"/>
      <c r="CX50" s="30"/>
      <c r="CY50" s="30"/>
      <c r="CZ50" s="30"/>
      <c r="DA50" s="30"/>
      <c r="DB50" s="30"/>
    </row>
    <row r="51" spans="1:106" x14ac:dyDescent="0.25">
      <c r="A51" s="9" t="s">
        <v>283</v>
      </c>
      <c r="B51" s="17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  <c r="CQ51" s="32"/>
      <c r="CR51" s="32"/>
      <c r="CS51" s="32"/>
      <c r="CT51" s="32"/>
      <c r="CU51" s="32"/>
      <c r="CV51" s="32"/>
      <c r="CW51" s="32"/>
      <c r="CX51" s="32"/>
      <c r="CY51" s="32"/>
      <c r="CZ51" s="32"/>
      <c r="DA51" s="32"/>
      <c r="DB51" s="32"/>
    </row>
    <row r="52" ht="15" customHeight="1" spans="1:106" x14ac:dyDescent="0.25">
      <c r="A52" s="33" t="s">
        <v>284</v>
      </c>
      <c r="B52" s="17"/>
      <c r="C52" s="34">
        <f>=IFERROR(1-((1-C53)*(1-C58)),0)</f>
        <v>0</v>
      </c>
      <c r="D52" s="34">
        <f>=IFERROR(1-((1-D53)*(1-D58)),0)</f>
        <v>0</v>
      </c>
      <c r="E52" s="34">
        <f>=IFERROR(1-((1-E53)*(1-E58)),0)</f>
        <v>0</v>
      </c>
      <c r="F52" s="34">
        <f>=IFERROR(1-((1-F53)*(1-F58)),0)</f>
        <v>0</v>
      </c>
      <c r="G52" s="34">
        <f>=IFERROR(1-((1-G53)*(1-G58)),0)</f>
        <v>0</v>
      </c>
      <c r="H52" s="34">
        <f>=IFERROR(1-((1-H53)*(1-H58)),0)</f>
        <v>0</v>
      </c>
      <c r="I52" s="34">
        <f>=IFERROR(1-((1-I53)*(1-I58)),0)</f>
        <v>0</v>
      </c>
      <c r="J52" s="34">
        <f>=IFERROR(1-((1-J53)*(1-J58)),0)</f>
        <v>0</v>
      </c>
      <c r="K52" s="34">
        <f>=IFERROR(1-((1-K53)*(1-K58)),0)</f>
        <v>0</v>
      </c>
      <c r="L52" s="34">
        <f>=IFERROR(1-((1-L53)*(1-L58)),0)</f>
        <v>0</v>
      </c>
      <c r="M52" s="34">
        <f>=IFERROR(1-((1-M53)*(1-M58)),0)</f>
        <v>0</v>
      </c>
      <c r="N52" s="34">
        <f>=IFERROR(1-((1-N53)*(1-N58)),0)</f>
        <v>0</v>
      </c>
      <c r="O52" s="34">
        <f>=IFERROR(1-((1-O53)*(1-O58)),0)</f>
        <v>0</v>
      </c>
      <c r="P52" s="34">
        <f>=IFERROR(1-((1-P53)*(1-P58)),0)</f>
        <v>0</v>
      </c>
      <c r="Q52" s="34">
        <f>=IFERROR(1-((1-Q53)*(1-Q58)),0)</f>
        <v>0</v>
      </c>
      <c r="R52" s="34">
        <f>=IFERROR(1-((1-R53)*(1-R58)),0)</f>
        <v>0</v>
      </c>
      <c r="S52" s="34">
        <f>=IFERROR(1-((1-S53)*(1-S58)),0)</f>
        <v>0</v>
      </c>
      <c r="T52" s="34">
        <f>=IFERROR(1-((1-T53)*(1-T58)),0)</f>
        <v>0</v>
      </c>
      <c r="U52" s="34">
        <f>=IFERROR(1-((1-U53)*(1-U58)),0)</f>
        <v>0</v>
      </c>
      <c r="V52" s="34">
        <f>=IFERROR(1-((1-V53)*(1-V58)),0)</f>
        <v>0</v>
      </c>
      <c r="W52" s="34">
        <f>=IFERROR(1-((1-W53)*(1-W58)),0)</f>
        <v>0</v>
      </c>
      <c r="X52" s="34">
        <f>=IFERROR(1-((1-X53)*(1-X58)),0)</f>
        <v>0</v>
      </c>
      <c r="Y52" s="34">
        <f>=IFERROR(1-((1-Y53)*(1-Y58)),0)</f>
        <v>0</v>
      </c>
      <c r="Z52" s="34">
        <f>=IFERROR(1-((1-Z53)*(1-Z58)),0)</f>
        <v>0</v>
      </c>
      <c r="AA52" s="34">
        <f>=IFERROR(1-((1-AA53)*(1-AA58)),0)</f>
        <v>0</v>
      </c>
      <c r="AB52" s="34">
        <f>=IFERROR(1-((1-AB53)*(1-AB58)),0)</f>
        <v>0</v>
      </c>
      <c r="AC52" s="34">
        <f>=IFERROR(1-((1-AC53)*(1-AC58)),0)</f>
        <v>0.1722122302158273</v>
      </c>
      <c r="AD52" s="34">
        <f>=IFERROR(1-((1-AD53)*(1-AD58)),0)</f>
        <v>0.1076233183856502</v>
      </c>
      <c r="AE52" s="34">
        <f>=IFERROR(1-((1-AE53)*(1-AE58)),0)</f>
        <v>0.080950072709646</v>
      </c>
      <c r="AF52" s="34">
        <f>=IFERROR(1-((1-AF53)*(1-AF58)),0)</f>
        <v>0.1182217879824132</v>
      </c>
      <c r="AG52" s="34">
        <f>=IFERROR(1-((1-AG53)*(1-AG58)),0)</f>
        <v>0.055473735886107</v>
      </c>
      <c r="AH52" s="34">
        <f>=IFERROR(1-((1-AH53)*(1-AH58)),0)</f>
        <v>0.0690335305719922</v>
      </c>
      <c r="AI52" s="34">
        <f>=IFERROR(1-((1-AI53)*(1-AI58)),0)</f>
        <v>0.0849514563106796</v>
      </c>
      <c r="AJ52" s="34">
        <f>=IFERROR(1-((1-AJ53)*(1-AJ58)),0)</f>
        <v>0.102982292637465</v>
      </c>
      <c r="AK52" s="34">
        <f>=IFERROR(1-((1-AK53)*(1-AK58)),0)</f>
        <v>0.0849772382397572</v>
      </c>
      <c r="AL52" s="34">
        <f>=IFERROR(1-((1-AL53)*(1-AL58)),0)</f>
        <v>0.1271873666239867</v>
      </c>
      <c r="AM52" s="34">
        <f>=IFERROR(1-((1-AM53)*(1-AM58)),0)</f>
        <v>0.1127580730545263</v>
      </c>
      <c r="AN52" s="34">
        <f>=IFERROR(1-((1-AN53)*(1-AN58)),0)</f>
        <v>0.0471521942110176</v>
      </c>
      <c r="AO52" s="34">
        <f>=IFERROR(1-((1-AO53)*(1-AO58)),0)</f>
        <v>0.058026260059297</v>
      </c>
      <c r="AP52" s="34">
        <f>=IFERROR(1-((1-AP53)*(1-AP58)),0)</f>
        <v>0.1303056027164686</v>
      </c>
      <c r="AQ52" s="34">
        <f>=IFERROR(1-((1-AQ53)*(1-AQ58)),0)</f>
        <v>0.1164785553047405</v>
      </c>
      <c r="AR52" s="34">
        <f>=IFERROR(1-((1-AR53)*(1-AR58)),0)</f>
        <v>0.089737894269214</v>
      </c>
      <c r="AS52" s="34">
        <f>=IFERROR(1-((1-AS53)*(1-AS58)),0)</f>
        <v>0.1385165326184093</v>
      </c>
      <c r="AT52" s="34">
        <f>=IFERROR(1-((1-AT53)*(1-AT58)),0)</f>
        <v>0.0550607287449392</v>
      </c>
      <c r="AU52" s="34">
        <f>=IFERROR(1-((1-AU53)*(1-AU58)),0)</f>
        <v>0.1099577085736256</v>
      </c>
      <c r="AV52" s="34">
        <f>=IFERROR(1-((1-AV53)*(1-AV58)),0)</f>
        <v>0.1062656641604011</v>
      </c>
      <c r="AW52" s="34">
        <f>=IFERROR(1-((1-AW53)*(1-AW58)),0)</f>
        <v>0.1115035317860747</v>
      </c>
      <c r="AX52" s="34">
        <f>=IFERROR(1-((1-AX53)*(1-AX58)),0)</f>
        <v>0.1160322108345536</v>
      </c>
      <c r="AY52" s="34">
        <f>=IFERROR(1-((1-AY53)*(1-AY58)),0)</f>
        <v>0.0835791543756146</v>
      </c>
      <c r="AZ52" s="34">
        <f>=IFERROR(1-((1-AZ53)*(1-AZ58)),0)</f>
        <v>0.1160138820029747</v>
      </c>
      <c r="BA52" s="34">
        <f>=IFERROR(1-((1-BA53)*(1-BA58)),0)</f>
        <v>0.1272203552568412</v>
      </c>
      <c r="BB52" s="34">
        <f>=IFERROR(1-((1-BB53)*(1-BB58)),0)</f>
        <v>0.0609636184857424</v>
      </c>
      <c r="BC52" s="34">
        <f>=IFERROR(1-((1-BC53)*(1-BC58)),0)</f>
        <v>0.0930232558139534</v>
      </c>
      <c r="BD52" s="34">
        <f>=IFERROR(1-((1-BD53)*(1-BD58)),0)</f>
        <v>0.071080817916261</v>
      </c>
      <c r="BE52" s="34">
        <f>=IFERROR(1-((1-BE53)*(1-BE58)),0)</f>
        <v>0.064</v>
      </c>
      <c r="BF52" s="34">
        <f>=IFERROR(1-((1-BF53)*(1-BF58)),0)</f>
        <v>0.0996842580063149</v>
      </c>
      <c r="BG52" s="34">
        <f>=IFERROR(1-((1-BG53)*(1-BG58)),0)</f>
        <v>0.1044710048694112</v>
      </c>
      <c r="BH52" s="34">
        <f>=IFERROR(1-((1-BH53)*(1-BH58)),0)</f>
        <v>0.1230647082175468</v>
      </c>
      <c r="BI52" s="34">
        <f>=IFERROR(1-((1-BI53)*(1-BI58)),0)</f>
        <v>0.127030403998334</v>
      </c>
      <c r="BJ52" s="34">
        <f>=IFERROR(1-((1-BJ53)*(1-BJ58)),0)</f>
        <v>0.0663951120162934</v>
      </c>
      <c r="BK52" s="34">
        <f>=IFERROR(1-((1-BK53)*(1-BK58)),0)</f>
        <v>0.0656275635767022</v>
      </c>
      <c r="BL52" s="34">
        <f>=IFERROR(1-((1-BL53)*(1-BL58)),0)</f>
        <v>0.099211290992113</v>
      </c>
      <c r="BM52" s="34">
        <f>=IFERROR(1-((1-BM53)*(1-BM58)),0)</f>
        <v>0.0857719475277498</v>
      </c>
      <c r="BN52" s="34">
        <f>=IFERROR(1-((1-BN53)*(1-BN58)),0)</f>
        <v>0.0739176346356916</v>
      </c>
      <c r="BO52" s="34">
        <f>=IFERROR(1-((1-BO53)*(1-BO58)),0)</f>
        <v>0.1456916099773241</v>
      </c>
      <c r="BP52" s="34">
        <f>=IFERROR(1-((1-BP53)*(1-BP58)),0)</f>
        <v>0.1414204902576994</v>
      </c>
      <c r="BQ52" s="34">
        <f>=IFERROR(1-((1-BQ53)*(1-BQ58)),0)</f>
        <v>0.0586034912718206</v>
      </c>
      <c r="BR52" s="34">
        <f>=IFERROR(1-((1-BR53)*(1-BR58)),0)</f>
        <v>0.0443318556048132</v>
      </c>
      <c r="BS52" s="34">
        <f>=IFERROR(1-((1-BS53)*(1-BS58)),0)</f>
        <v>0.0697526949904884</v>
      </c>
      <c r="BT52" s="34">
        <f>=IFERROR(1-((1-BT53)*(1-BT58)),0)</f>
        <v>0.0745967741935482</v>
      </c>
      <c r="BU52" s="34">
        <f>=IFERROR(1-((1-BU53)*(1-BU58)),0)</f>
        <v>0.0688010899182562</v>
      </c>
      <c r="BV52" s="34">
        <f>=IFERROR(1-((1-BV53)*(1-BV58)),0)</f>
        <v>0.0819778789850358</v>
      </c>
      <c r="BW52" s="34">
        <f>=IFERROR(1-((1-BW53)*(1-BW58)),0)</f>
        <v>0.1135646687697164</v>
      </c>
      <c r="BX52" s="34">
        <f>=IFERROR(1-((1-BX53)*(1-BX58)),0)</f>
        <v>0</v>
      </c>
      <c r="BY52" s="34">
        <f>=IFERROR(1-((1-BY53)*(1-BY58)),0)</f>
        <v>0</v>
      </c>
      <c r="BZ52" s="34">
        <f>=IFERROR(1-((1-BZ53)*(1-BZ58)),0)</f>
        <v>0</v>
      </c>
      <c r="CA52" s="34">
        <f>=IFERROR(1-((1-CA53)*(1-CA58)),0)</f>
        <v>0</v>
      </c>
      <c r="CB52" s="34">
        <f>=IFERROR(1-((1-CB53)*(1-CB58)),0)</f>
        <v>0</v>
      </c>
      <c r="CC52" s="34">
        <f>=IFERROR(1-((1-CC53)*(1-CC58)),0)</f>
        <v>0</v>
      </c>
      <c r="CD52" s="34">
        <f>=IFERROR(1-((1-CD53)*(1-CD58)),0)</f>
        <v>0</v>
      </c>
      <c r="CE52" s="34">
        <f>=IFERROR(1-((1-CE53)*(1-CE58)),0)</f>
        <v>0</v>
      </c>
      <c r="CF52" s="34">
        <f>=IFERROR(1-((1-CF53)*(1-CF58)),0)</f>
        <v>0</v>
      </c>
      <c r="CG52" s="34">
        <f>=IFERROR(1-((1-CG53)*(1-CG58)),0)</f>
        <v>0</v>
      </c>
      <c r="CH52" s="34">
        <f>=IFERROR(1-((1-CH53)*(1-CH58)),0)</f>
        <v>0</v>
      </c>
      <c r="CI52" s="34">
        <f>=IFERROR(1-((1-CI53)*(1-CI58)),0)</f>
        <v>0</v>
      </c>
      <c r="CJ52" s="34">
        <f>=IFERROR(1-((1-CJ53)*(1-CJ58)),0)</f>
        <v>0</v>
      </c>
      <c r="CK52" s="34">
        <f>=IFERROR(1-((1-CK53)*(1-CK58)),0)</f>
        <v>0</v>
      </c>
      <c r="CL52" s="34">
        <f>=IFERROR(1-((1-CL53)*(1-CL58)),0)</f>
        <v>0</v>
      </c>
      <c r="CM52" s="34">
        <f>=IFERROR(1-((1-CM53)*(1-CM58)),0)</f>
        <v>0</v>
      </c>
      <c r="CN52" s="34">
        <f>=IFERROR(1-((1-CN53)*(1-CN58)),0)</f>
        <v>0</v>
      </c>
      <c r="CO52" s="34">
        <f>=IFERROR(1-((1-CO53)*(1-CO58)),0)</f>
        <v>0</v>
      </c>
      <c r="CP52" s="34">
        <f>=IFERROR(1-((1-CP53)*(1-CP58)),0)</f>
        <v>0</v>
      </c>
      <c r="CQ52" s="34">
        <f>=IFERROR(1-((1-CQ53)*(1-CQ58)),0)</f>
        <v>0</v>
      </c>
      <c r="CR52" s="34">
        <f>=IFERROR(1-((1-CR53)*(1-CR58)),0)</f>
        <v>0</v>
      </c>
      <c r="CS52" s="34">
        <f>=IFERROR(1-((1-CS53)*(1-CS58)),0)</f>
        <v>0</v>
      </c>
      <c r="CT52" s="34">
        <f>=IFERROR(1-((1-CT53)*(1-CT58)),0)</f>
        <v>0</v>
      </c>
      <c r="CU52" s="34">
        <f>=IFERROR(1-((1-CU53)*(1-CU58)),0)</f>
        <v>0</v>
      </c>
      <c r="CV52" s="34">
        <f>=IFERROR(1-((1-CV53)*(1-CV58)),0)</f>
        <v>0</v>
      </c>
      <c r="CW52" s="34">
        <f>=IFERROR(1-((1-CW53)*(1-CW58)),0)</f>
        <v>0</v>
      </c>
      <c r="CX52" s="34">
        <f>=IFERROR(1-((1-CX53)*(1-CX58)),0)</f>
        <v>0</v>
      </c>
      <c r="CY52" s="34">
        <f>=IFERROR(1-((1-CY53)*(1-CY58)),0)</f>
        <v>0</v>
      </c>
      <c r="CZ52" s="34">
        <f>=IFERROR(1-((1-CZ53)*(1-CZ58)),0)</f>
        <v>0</v>
      </c>
      <c r="DA52" s="34">
        <f>=IFERROR(1-((1-DA53)*(1-DA58)),0)</f>
        <v>0</v>
      </c>
      <c r="DB52" s="34">
        <f>=IFERROR(1-((1-DB53)*(1-DB58)),0)</f>
        <v>0</v>
      </c>
    </row>
    <row r="53" ht="15" customHeight="1" spans="1:106" x14ac:dyDescent="0.25">
      <c r="A53" s="16" t="s">
        <v>285</v>
      </c>
      <c r="B53" s="17"/>
      <c r="C53" s="35">
        <f>=SUM(C54:C57)</f>
        <v>0</v>
      </c>
      <c r="D53" s="35">
        <f>=SUM(D54:D57)</f>
        <v>0</v>
      </c>
      <c r="E53" s="35">
        <f>=SUM(E54:E57)</f>
        <v>0</v>
      </c>
      <c r="F53" s="35">
        <f>=SUM(F54:F57)</f>
        <v>0</v>
      </c>
      <c r="G53" s="35">
        <f>=SUM(G54:G57)</f>
        <v>0</v>
      </c>
      <c r="H53" s="35">
        <f>=SUM(H54:H57)</f>
        <v>0</v>
      </c>
      <c r="I53" s="35">
        <f>=SUM(I54:I57)</f>
        <v>0</v>
      </c>
      <c r="J53" s="35">
        <f>=SUM(J54:J57)</f>
        <v>0</v>
      </c>
      <c r="K53" s="35">
        <f>=SUM(K54:K57)</f>
        <v>0</v>
      </c>
      <c r="L53" s="35">
        <f>=SUM(L54:L57)</f>
        <v>0</v>
      </c>
      <c r="M53" s="35">
        <f>=SUM(M54:M57)</f>
        <v>0</v>
      </c>
      <c r="N53" s="35">
        <f>=SUM(N54:N57)</f>
        <v>0</v>
      </c>
      <c r="O53" s="35">
        <f>=SUM(O54:O57)</f>
        <v>0</v>
      </c>
      <c r="P53" s="35">
        <f>=SUM(P54:P57)</f>
        <v>0</v>
      </c>
      <c r="Q53" s="35">
        <f>=SUM(Q54:Q57)</f>
        <v>0</v>
      </c>
      <c r="R53" s="35">
        <f>=SUM(R54:R57)</f>
        <v>0</v>
      </c>
      <c r="S53" s="35">
        <f>=SUM(S54:S57)</f>
        <v>0</v>
      </c>
      <c r="T53" s="35">
        <f>=SUM(T54:T57)</f>
        <v>0</v>
      </c>
      <c r="U53" s="35">
        <f>=SUM(U54:U57)</f>
        <v>0</v>
      </c>
      <c r="V53" s="35">
        <f>=SUM(V54:V57)</f>
        <v>0</v>
      </c>
      <c r="W53" s="35">
        <f>=SUM(W54:W57)</f>
        <v>0</v>
      </c>
      <c r="X53" s="35">
        <f>=SUM(X54:X57)</f>
        <v>0</v>
      </c>
      <c r="Y53" s="35">
        <f>=SUM(Y54:Y57)</f>
        <v>0</v>
      </c>
      <c r="Z53" s="35">
        <f>=SUM(Z54:Z57)</f>
        <v>0</v>
      </c>
      <c r="AA53" s="35">
        <f>=SUM(AA54:AA57)</f>
        <v>0</v>
      </c>
      <c r="AB53" s="35">
        <f>=SUM(AB54:AB57)</f>
        <v>0</v>
      </c>
      <c r="AC53" s="35">
        <f>=SUM(AC54:AC57)</f>
        <v>0.17221223021582735</v>
      </c>
      <c r="AD53" s="35">
        <f>=SUM(AD54:AD57)</f>
        <v>0.10762331838565022</v>
      </c>
      <c r="AE53" s="35">
        <f>=SUM(AE54:AE57)</f>
        <v>0.08095007270964615</v>
      </c>
      <c r="AF53" s="35">
        <f>=SUM(AF54:AF57)</f>
        <v>0.11822178798241328</v>
      </c>
      <c r="AG53" s="35">
        <f>=SUM(AG54:AG57)</f>
        <v>0.05547373588610703</v>
      </c>
      <c r="AH53" s="35">
        <f>=SUM(AH54:AH57)</f>
        <v>0.06903353057199212</v>
      </c>
      <c r="AI53" s="35">
        <f>=SUM(AI54:AI57)</f>
        <v>0.08495145631067962</v>
      </c>
      <c r="AJ53" s="35">
        <f>=SUM(AJ54:AJ57)</f>
        <v>0.10298229263746504</v>
      </c>
      <c r="AK53" s="35">
        <f>=SUM(AK54:AK57)</f>
        <v>0.08497723823975721</v>
      </c>
      <c r="AL53" s="35">
        <f>=SUM(AL54:AL57)</f>
        <v>0.12718736662398636</v>
      </c>
      <c r="AM53" s="35">
        <f>=SUM(AM54:AM57)</f>
        <v>0.1127580730545262</v>
      </c>
      <c r="AN53" s="35">
        <f>=SUM(AN54:AN57)</f>
        <v>0.047152194211017746</v>
      </c>
      <c r="AO53" s="35">
        <f>=SUM(AO54:AO57)</f>
        <v>0.05802626005929691</v>
      </c>
      <c r="AP53" s="35">
        <f>=SUM(AP54:AP57)</f>
        <v>0.1303056027164686</v>
      </c>
      <c r="AQ53" s="35">
        <f>=SUM(AQ54:AQ57)</f>
        <v>0.1164785553047404</v>
      </c>
      <c r="AR53" s="35">
        <f>=SUM(AR54:AR57)</f>
        <v>0.08973789426921368</v>
      </c>
      <c r="AS53" s="35">
        <f>=SUM(AS54:AS57)</f>
        <v>0.1385165326184093</v>
      </c>
      <c r="AT53" s="35">
        <f>=SUM(AT54:AT57)</f>
        <v>0.05506072874493927</v>
      </c>
      <c r="AU53" s="35">
        <f>=SUM(AU54:AU57)</f>
        <v>0.10995770857362552</v>
      </c>
      <c r="AV53" s="35">
        <f>=SUM(AV54:AV57)</f>
        <v>0.10626566416040101</v>
      </c>
      <c r="AW53" s="35">
        <f>=SUM(AW54:AW57)</f>
        <v>0.11150353178607468</v>
      </c>
      <c r="AX53" s="35">
        <f>=SUM(AX54:AX57)</f>
        <v>0.11603221083455344</v>
      </c>
      <c r="AY53" s="35">
        <f>=SUM(AY54:AY57)</f>
        <v>0.08357915437561456</v>
      </c>
      <c r="AZ53" s="35">
        <f>=SUM(AZ54:AZ57)</f>
        <v>0.11601388200297472</v>
      </c>
      <c r="BA53" s="35">
        <f>=SUM(BA54:BA57)</f>
        <v>0.12722035525684108</v>
      </c>
      <c r="BB53" s="35">
        <f>=SUM(BB54:BB57)</f>
        <v>0.06096361848574238</v>
      </c>
      <c r="BC53" s="35">
        <f>=SUM(BC54:BC57)</f>
        <v>0.09302325581395347</v>
      </c>
      <c r="BD53" s="35">
        <f>=SUM(BD54:BD57)</f>
        <v>0.07108081791626096</v>
      </c>
      <c r="BE53" s="35">
        <f>=SUM(BE54:BE57)</f>
        <v>0.064</v>
      </c>
      <c r="BF53" s="35">
        <f>=SUM(BF54:BF57)</f>
        <v>0.09968425800631484</v>
      </c>
      <c r="BG53" s="35">
        <f>=SUM(BG54:BG57)</f>
        <v>0.10447100486941124</v>
      </c>
      <c r="BH53" s="35">
        <f>=SUM(BH54:BH57)</f>
        <v>0.12306470821754664</v>
      </c>
      <c r="BI53" s="35">
        <f>=SUM(BI54:BI57)</f>
        <v>0.127030403998334</v>
      </c>
      <c r="BJ53" s="35">
        <f>=SUM(BJ54:BJ57)</f>
        <v>0.06639511201629328</v>
      </c>
      <c r="BK53" s="35">
        <f>=SUM(BK54:BK57)</f>
        <v>0.06562756357670221</v>
      </c>
      <c r="BL53" s="35">
        <f>=SUM(BL54:BL57)</f>
        <v>0.09921129099211291</v>
      </c>
      <c r="BM53" s="35">
        <f>=SUM(BM54:BM57)</f>
        <v>0.08577194752774975</v>
      </c>
      <c r="BN53" s="35">
        <f>=SUM(BN54:BN57)</f>
        <v>0.07391763463569166</v>
      </c>
      <c r="BO53" s="35">
        <f>=SUM(BO54:BO57)</f>
        <v>0.14569160997732425</v>
      </c>
      <c r="BP53" s="35">
        <f>=SUM(BP54:BP57)</f>
        <v>0.14142049025769957</v>
      </c>
      <c r="BQ53" s="35">
        <f>=SUM(BQ54:BQ57)</f>
        <v>0.05860349127182045</v>
      </c>
      <c r="BR53" s="35">
        <f>=SUM(BR54:BR57)</f>
        <v>0.044331855604813175</v>
      </c>
      <c r="BS53" s="35">
        <f>=SUM(BS54:BS57)</f>
        <v>0.06975269499048826</v>
      </c>
      <c r="BT53" s="35">
        <f>=SUM(BT54:BT57)</f>
        <v>0.07459677419354839</v>
      </c>
      <c r="BU53" s="35">
        <f>=SUM(BU54:BU57)</f>
        <v>0.06880108991825613</v>
      </c>
      <c r="BV53" s="35">
        <f>=SUM(BV54:BV57)</f>
        <v>0.0819778789850358</v>
      </c>
      <c r="BW53" s="35">
        <f>=SUM(BW54:BW57)</f>
        <v>0.11356466876971609</v>
      </c>
      <c r="BX53" s="35">
        <f>=SUM(BX54:BX57)</f>
        <v>0</v>
      </c>
      <c r="BY53" s="35">
        <f>=SUM(BY54:BY57)</f>
        <v>0</v>
      </c>
      <c r="BZ53" s="35">
        <f>=SUM(BZ54:BZ57)</f>
        <v>0</v>
      </c>
      <c r="CA53" s="35">
        <f>=SUM(CA54:CA57)</f>
        <v>0</v>
      </c>
      <c r="CB53" s="35">
        <f>=SUM(CB54:CB57)</f>
        <v>0</v>
      </c>
      <c r="CC53" s="35">
        <f>=SUM(CC54:CC57)</f>
        <v>0</v>
      </c>
      <c r="CD53" s="35">
        <f>=SUM(CD54:CD57)</f>
        <v>0</v>
      </c>
      <c r="CE53" s="35">
        <f>=SUM(CE54:CE57)</f>
        <v>0</v>
      </c>
      <c r="CF53" s="35">
        <f>=SUM(CF54:CF57)</f>
        <v>0</v>
      </c>
      <c r="CG53" s="35">
        <f>=SUM(CG54:CG57)</f>
        <v>0</v>
      </c>
      <c r="CH53" s="35">
        <f>=SUM(CH54:CH57)</f>
        <v>0</v>
      </c>
      <c r="CI53" s="35">
        <f>=SUM(CI54:CI57)</f>
        <v>0</v>
      </c>
      <c r="CJ53" s="35">
        <f>=SUM(CJ54:CJ57)</f>
        <v>0</v>
      </c>
      <c r="CK53" s="35">
        <f>=SUM(CK54:CK57)</f>
        <v>0</v>
      </c>
      <c r="CL53" s="35">
        <f>=SUM(CL54:CL57)</f>
        <v>0</v>
      </c>
      <c r="CM53" s="35">
        <f>=SUM(CM54:CM57)</f>
        <v>0</v>
      </c>
      <c r="CN53" s="35">
        <f>=SUM(CN54:CN57)</f>
        <v>0</v>
      </c>
      <c r="CO53" s="35">
        <f>=SUM(CO54:CO57)</f>
        <v>0</v>
      </c>
      <c r="CP53" s="35">
        <f>=SUM(CP54:CP57)</f>
        <v>0</v>
      </c>
      <c r="CQ53" s="35">
        <f>=SUM(CQ54:CQ57)</f>
        <v>0</v>
      </c>
      <c r="CR53" s="35">
        <f>=SUM(CR54:CR57)</f>
        <v>0</v>
      </c>
      <c r="CS53" s="35">
        <f>=SUM(CS54:CS57)</f>
        <v>0</v>
      </c>
      <c r="CT53" s="35">
        <f>=SUM(CT54:CT57)</f>
        <v>0</v>
      </c>
      <c r="CU53" s="35">
        <f>=SUM(CU54:CU57)</f>
        <v>0</v>
      </c>
      <c r="CV53" s="35">
        <f>=SUM(CV54:CV57)</f>
        <v>0</v>
      </c>
      <c r="CW53" s="35">
        <f>=SUM(CW54:CW57)</f>
        <v>0</v>
      </c>
      <c r="CX53" s="35">
        <f>=SUM(CX54:CX57)</f>
        <v>0</v>
      </c>
      <c r="CY53" s="35">
        <f>=SUM(CY54:CY57)</f>
        <v>0</v>
      </c>
      <c r="CZ53" s="35">
        <f>=SUM(CZ54:CZ57)</f>
        <v>0</v>
      </c>
      <c r="DA53" s="35">
        <f>=SUM(DA54:DA57)</f>
        <v>0</v>
      </c>
      <c r="DB53" s="35">
        <f>=SUM(DB54:DB57)</f>
        <v>0</v>
      </c>
    </row>
    <row r="54" ht="18" customHeight="1" spans="1:106" x14ac:dyDescent="0.25">
      <c r="A54" s="36" t="s">
        <v>263</v>
      </c>
      <c r="B54" s="17"/>
      <c r="C54" s="37">
        <f>=IFERROR(C139/C134,0)</f>
        <v>0</v>
      </c>
      <c r="D54" s="37">
        <f>=IFERROR(D139/D134,0)</f>
        <v>0</v>
      </c>
      <c r="E54" s="37">
        <f>=IFERROR(E139/E134,0)</f>
        <v>0</v>
      </c>
      <c r="F54" s="37">
        <f>=IFERROR(F139/F134,0)</f>
        <v>0</v>
      </c>
      <c r="G54" s="37">
        <f>=IFERROR(G139/G134,0)</f>
        <v>0</v>
      </c>
      <c r="H54" s="37">
        <f>=IFERROR(H139/H134,0)</f>
        <v>0</v>
      </c>
      <c r="I54" s="37">
        <f>=IFERROR(I139/I134,0)</f>
        <v>0</v>
      </c>
      <c r="J54" s="37">
        <f>=IFERROR(J139/J134,0)</f>
        <v>0</v>
      </c>
      <c r="K54" s="37">
        <f>=IFERROR(K139/K134,0)</f>
        <v>0</v>
      </c>
      <c r="L54" s="37">
        <f>=IFERROR(L139/L134,0)</f>
        <v>0</v>
      </c>
      <c r="M54" s="37">
        <f>=IFERROR(M139/M134,0)</f>
        <v>0</v>
      </c>
      <c r="N54" s="37">
        <f>=IFERROR(N139/N134,0)</f>
        <v>0</v>
      </c>
      <c r="O54" s="37">
        <f>=IFERROR(O139/O134,0)</f>
        <v>0</v>
      </c>
      <c r="P54" s="37">
        <f>=IFERROR(P139/P134,0)</f>
        <v>0</v>
      </c>
      <c r="Q54" s="37">
        <f>=IFERROR(Q139/Q134,0)</f>
        <v>0</v>
      </c>
      <c r="R54" s="37">
        <f>=IFERROR(R139/R134,0)</f>
        <v>0</v>
      </c>
      <c r="S54" s="37">
        <f>=IFERROR(S139/S134,0)</f>
        <v>0</v>
      </c>
      <c r="T54" s="37">
        <f>=IFERROR(T139/T134,0)</f>
        <v>0</v>
      </c>
      <c r="U54" s="37">
        <f>=IFERROR(U139/U134,0)</f>
        <v>0</v>
      </c>
      <c r="V54" s="37">
        <f>=IFERROR(V139/V134,0)</f>
        <v>0</v>
      </c>
      <c r="W54" s="37">
        <f>=IFERROR(W139/W134,0)</f>
        <v>0</v>
      </c>
      <c r="X54" s="37">
        <f>=IFERROR(X139/X134,0)</f>
        <v>0</v>
      </c>
      <c r="Y54" s="37">
        <f>=IFERROR(Y139/Y134,0)</f>
        <v>0</v>
      </c>
      <c r="Z54" s="37">
        <f>=IFERROR(Z139/Z134,0)</f>
        <v>0</v>
      </c>
      <c r="AA54" s="37">
        <f>=IFERROR(AA139/AA134,0)</f>
        <v>0</v>
      </c>
      <c r="AB54" s="37">
        <f>=IFERROR(AB139/AB134,0)</f>
        <v>0</v>
      </c>
      <c r="AC54" s="37">
        <f>=IFERROR(AC139/AC134,0)</f>
        <v>0.12275179856115108</v>
      </c>
      <c r="AD54" s="37">
        <f>=IFERROR(AD139/AD134,0)</f>
        <v>0.08295964125560538</v>
      </c>
      <c r="AE54" s="37">
        <f>=IFERROR(AE139/AE134,0)</f>
        <v>0.05913717886572952</v>
      </c>
      <c r="AF54" s="37">
        <f>=IFERROR(AF139/AF134,0)</f>
        <v>0.06399609184171959</v>
      </c>
      <c r="AG54" s="37">
        <f>=IFERROR(AG139/AG134,0)</f>
        <v>0.01521845851742759</v>
      </c>
      <c r="AH54" s="37">
        <f>=IFERROR(AH139/AH134,0)</f>
        <v>0.022682445759368838</v>
      </c>
      <c r="AI54" s="37">
        <f>=IFERROR(AI139/AI134,0)</f>
        <v>0.05242718446601942</v>
      </c>
      <c r="AJ54" s="37">
        <f>=IFERROR(AJ139/AJ134,0)</f>
        <v>0.06104380242311277</v>
      </c>
      <c r="AK54" s="37">
        <f>=IFERROR(AK139/AK134,0)</f>
        <v>0.042109256449165404</v>
      </c>
      <c r="AL54" s="37">
        <f>=IFERROR(AL139/AL134,0)</f>
        <v>0.052923602219376864</v>
      </c>
      <c r="AM54" s="37">
        <f>=IFERROR(AM139/AM134,0)</f>
        <v>0.06246691371095818</v>
      </c>
      <c r="AN54" s="37">
        <f>=IFERROR(AN139/AN134,0)</f>
        <v>0.037815126050420166</v>
      </c>
      <c r="AO54" s="37">
        <f>=IFERROR(AO139/AO134,0)</f>
        <v>0.03642524354087251</v>
      </c>
      <c r="AP54" s="37">
        <f>=IFERROR(AP139/AP134,0)</f>
        <v>0.056451612903225805</v>
      </c>
      <c r="AQ54" s="37">
        <f>=IFERROR(AQ139/AQ134,0)</f>
        <v>0.03972911963882619</v>
      </c>
      <c r="AR54" s="37">
        <f>=IFERROR(AR139/AR134,0)</f>
        <v>0.043536206130608615</v>
      </c>
      <c r="AS54" s="37">
        <f>=IFERROR(AS139/AS134,0)</f>
        <v>0.050044682752457555</v>
      </c>
      <c r="AT54" s="37">
        <f>=IFERROR(AT139/AT134,0)</f>
        <v>0.01862348178137652</v>
      </c>
      <c r="AU54" s="37">
        <f>=IFERROR(AU139/AU134,0)</f>
        <v>0.03690888119953864</v>
      </c>
      <c r="AV54" s="37">
        <f>=IFERROR(AV139/AV134,0)</f>
        <v>0.07218045112781955</v>
      </c>
      <c r="AW54" s="37">
        <f>=IFERROR(AW139/AW134,0)</f>
        <v>0.060544904137235116</v>
      </c>
      <c r="AX54" s="37">
        <f>=IFERROR(AX139/AX134,0)</f>
        <v>0.03916544655929722</v>
      </c>
      <c r="AY54" s="37">
        <f>=IFERROR(AY139/AY134,0)</f>
        <v>0.032448377581120944</v>
      </c>
      <c r="AZ54" s="37">
        <f>=IFERROR(AZ139/AZ134,0)</f>
        <v>0.04462072384729797</v>
      </c>
      <c r="BA54" s="37">
        <f>=IFERROR(BA139/BA134,0)</f>
        <v>0.055208833413346134</v>
      </c>
      <c r="BB54" s="37">
        <f>=IFERROR(BB139/BB134,0)</f>
        <v>0.038348082595870206</v>
      </c>
      <c r="BC54" s="37">
        <f>=IFERROR(BC139/BC134,0)</f>
        <v>0.05440982887231242</v>
      </c>
      <c r="BD54" s="37">
        <f>=IFERROR(BD139/BD134,0)</f>
        <v>0.0379746835443038</v>
      </c>
      <c r="BE54" s="37">
        <f>=IFERROR(BE139/BE134,0)</f>
        <v>0.029176470588235293</v>
      </c>
      <c r="BF54" s="37">
        <f>=IFERROR(BF139/BF134,0)</f>
        <v>0.02886783942264321</v>
      </c>
      <c r="BG54" s="37">
        <f>=IFERROR(BG139/BG134,0)</f>
        <v>0.03010181496237273</v>
      </c>
      <c r="BH54" s="37">
        <f>=IFERROR(BH139/BH134,0)</f>
        <v>0.05954743946010321</v>
      </c>
      <c r="BI54" s="37">
        <f>=IFERROR(BI139/BI134,0)</f>
        <v>0.04623073719283632</v>
      </c>
      <c r="BJ54" s="37">
        <f>=IFERROR(BJ139/BJ134,0)</f>
        <v>0.020366598778004074</v>
      </c>
      <c r="BK54" s="37">
        <f>=IFERROR(BK139/BK134,0)</f>
        <v>0.026661197703035273</v>
      </c>
      <c r="BL54" s="37">
        <f>=IFERROR(BL139/BL134,0)</f>
        <v>0.024906600249066</v>
      </c>
      <c r="BM54" s="37">
        <f>=IFERROR(BM139/BM134,0)</f>
        <v>0.03582240161453078</v>
      </c>
      <c r="BN54" s="37">
        <f>=IFERROR(BN139/BN134,0)</f>
        <v>0.03695881731784583</v>
      </c>
      <c r="BO54" s="37">
        <f>=IFERROR(BO139/BO134,0)</f>
        <v>0.06575963718820861</v>
      </c>
      <c r="BP54" s="37">
        <f>=IFERROR(BP139/BP134,0)</f>
        <v>0.08359522313010685</v>
      </c>
      <c r="BQ54" s="37">
        <f>=IFERROR(BQ139/BQ134,0)</f>
        <v>0.01683291770573566</v>
      </c>
      <c r="BR54" s="37">
        <f>=IFERROR(BR139/BR134,0)</f>
        <v>0.0253324889170361</v>
      </c>
      <c r="BS54" s="37">
        <f>=IFERROR(BS139/BS134,0)</f>
        <v>0.03741280913126189</v>
      </c>
      <c r="BT54" s="37">
        <f>=IFERROR(BT139/BT134,0)</f>
        <v>0.0625</v>
      </c>
      <c r="BU54" s="37">
        <f>=IFERROR(BU139/BU134,0)</f>
        <v>0.04904632152588556</v>
      </c>
      <c r="BV54" s="37">
        <f>=IFERROR(BV139/BV134,0)</f>
        <v>0.06180871828236825</v>
      </c>
      <c r="BW54" s="37">
        <f>=IFERROR(BW139/BW134,0)</f>
        <v>0.0914826498422713</v>
      </c>
      <c r="BX54" s="37">
        <f>=IFERROR(BX139/BX134,0)</f>
        <v>0</v>
      </c>
      <c r="BY54" s="37">
        <f>=IFERROR(BY139/BY134,0)</f>
        <v>0</v>
      </c>
      <c r="BZ54" s="37">
        <f>=IFERROR(BZ139/BZ134,0)</f>
        <v>0</v>
      </c>
      <c r="CA54" s="37">
        <f>=IFERROR(CA139/CA134,0)</f>
        <v>0</v>
      </c>
      <c r="CB54" s="37">
        <f>=IFERROR(CB139/CB134,0)</f>
        <v>0</v>
      </c>
      <c r="CC54" s="37">
        <f>=IFERROR(CC139/CC134,0)</f>
        <v>0</v>
      </c>
      <c r="CD54" s="37">
        <f>=IFERROR(CD139/CD134,0)</f>
        <v>0</v>
      </c>
      <c r="CE54" s="37">
        <f>=IFERROR(CE139/CE134,0)</f>
        <v>0</v>
      </c>
      <c r="CF54" s="37">
        <f>=IFERROR(CF139/CF134,0)</f>
        <v>0</v>
      </c>
      <c r="CG54" s="37">
        <f>=IFERROR(CG139/CG134,0)</f>
        <v>0</v>
      </c>
      <c r="CH54" s="37">
        <f>=IFERROR(CH139/CH134,0)</f>
        <v>0</v>
      </c>
      <c r="CI54" s="37">
        <f>=IFERROR(CI139/CI134,0)</f>
        <v>0</v>
      </c>
      <c r="CJ54" s="37">
        <f>=IFERROR(CJ139/CJ134,0)</f>
        <v>0</v>
      </c>
      <c r="CK54" s="37">
        <f>=IFERROR(CK139/CK134,0)</f>
        <v>0</v>
      </c>
      <c r="CL54" s="37">
        <f>=IFERROR(CL139/CL134,0)</f>
        <v>0</v>
      </c>
      <c r="CM54" s="37">
        <f>=IFERROR(CM139/CM134,0)</f>
        <v>0</v>
      </c>
      <c r="CN54" s="37">
        <f>=IFERROR(CN139/CN134,0)</f>
        <v>0</v>
      </c>
      <c r="CO54" s="37">
        <f>=IFERROR(CO139/CO134,0)</f>
        <v>0</v>
      </c>
      <c r="CP54" s="37">
        <f>=IFERROR(CP139/CP134,0)</f>
        <v>0</v>
      </c>
      <c r="CQ54" s="37">
        <f>=IFERROR(CQ139/CQ134,0)</f>
        <v>0</v>
      </c>
      <c r="CR54" s="37">
        <f>=IFERROR(CR139/CR134,0)</f>
        <v>0</v>
      </c>
      <c r="CS54" s="37">
        <f>=IFERROR(CS139/CS134,0)</f>
        <v>0</v>
      </c>
      <c r="CT54" s="37">
        <f>=IFERROR(CT139/CT134,0)</f>
        <v>0</v>
      </c>
      <c r="CU54" s="37">
        <f>=IFERROR(CU139/CU134,0)</f>
        <v>0</v>
      </c>
      <c r="CV54" s="37">
        <f>=IFERROR(CV139/CV134,0)</f>
        <v>0</v>
      </c>
      <c r="CW54" s="37">
        <f>=IFERROR(CW139/CW134,0)</f>
        <v>0</v>
      </c>
      <c r="CX54" s="37">
        <f>=IFERROR(CX139/CX134,0)</f>
        <v>0</v>
      </c>
      <c r="CY54" s="37">
        <f>=IFERROR(CY139/CY134,0)</f>
        <v>0</v>
      </c>
      <c r="CZ54" s="37">
        <f>=IFERROR(CZ139/CZ134,0)</f>
        <v>0</v>
      </c>
      <c r="DA54" s="37">
        <f>=IFERROR(DA139/DA134,0)</f>
        <v>0</v>
      </c>
      <c r="DB54" s="37">
        <f>=IFERROR(DB139/DB134,0)</f>
        <v>0</v>
      </c>
    </row>
    <row r="55" ht="18" customHeight="1" spans="1:106" x14ac:dyDescent="0.25">
      <c r="A55" s="36" t="s">
        <v>264</v>
      </c>
      <c r="B55" s="17"/>
      <c r="C55" s="37">
        <f>=IFERROR(C140/C134,0)</f>
        <v>0</v>
      </c>
      <c r="D55" s="37">
        <f>=IFERROR(D140/D134,0)</f>
        <v>0</v>
      </c>
      <c r="E55" s="37">
        <f>=IFERROR(E140/E134,0)</f>
        <v>0</v>
      </c>
      <c r="F55" s="37">
        <f>=IFERROR(F140/F134,0)</f>
        <v>0</v>
      </c>
      <c r="G55" s="37">
        <f>=IFERROR(G140/G134,0)</f>
        <v>0</v>
      </c>
      <c r="H55" s="37">
        <f>=IFERROR(H140/H134,0)</f>
        <v>0</v>
      </c>
      <c r="I55" s="37">
        <f>=IFERROR(I140/I134,0)</f>
        <v>0</v>
      </c>
      <c r="J55" s="37">
        <f>=IFERROR(J140/J134,0)</f>
        <v>0</v>
      </c>
      <c r="K55" s="37">
        <f>=IFERROR(K140/K134,0)</f>
        <v>0</v>
      </c>
      <c r="L55" s="37">
        <f>=IFERROR(L140/L134,0)</f>
        <v>0</v>
      </c>
      <c r="M55" s="37">
        <f>=IFERROR(M140/M134,0)</f>
        <v>0</v>
      </c>
      <c r="N55" s="37">
        <f>=IFERROR(N140/N134,0)</f>
        <v>0</v>
      </c>
      <c r="O55" s="37">
        <f>=IFERROR(O140/O134,0)</f>
        <v>0</v>
      </c>
      <c r="P55" s="37">
        <f>=IFERROR(P140/P134,0)</f>
        <v>0</v>
      </c>
      <c r="Q55" s="37">
        <f>=IFERROR(Q140/Q134,0)</f>
        <v>0</v>
      </c>
      <c r="R55" s="37">
        <f>=IFERROR(R140/R134,0)</f>
        <v>0</v>
      </c>
      <c r="S55" s="37">
        <f>=IFERROR(S140/S134,0)</f>
        <v>0</v>
      </c>
      <c r="T55" s="37">
        <f>=IFERROR(T140/T134,0)</f>
        <v>0</v>
      </c>
      <c r="U55" s="37">
        <f>=IFERROR(U140/U134,0)</f>
        <v>0</v>
      </c>
      <c r="V55" s="37">
        <f>=IFERROR(V140/V134,0)</f>
        <v>0</v>
      </c>
      <c r="W55" s="37">
        <f>=IFERROR(W140/W134,0)</f>
        <v>0</v>
      </c>
      <c r="X55" s="37">
        <f>=IFERROR(X140/X134,0)</f>
        <v>0</v>
      </c>
      <c r="Y55" s="37">
        <f>=IFERROR(Y140/Y134,0)</f>
        <v>0</v>
      </c>
      <c r="Z55" s="37">
        <f>=IFERROR(Z140/Z134,0)</f>
        <v>0</v>
      </c>
      <c r="AA55" s="37">
        <f>=IFERROR(AA140/AA134,0)</f>
        <v>0</v>
      </c>
      <c r="AB55" s="37">
        <f>=IFERROR(AB140/AB134,0)</f>
        <v>0</v>
      </c>
      <c r="AC55" s="37">
        <f>=IFERROR(AC140/AC134,0)</f>
        <v>0.04946043165467626</v>
      </c>
      <c r="AD55" s="37">
        <f>=IFERROR(AD140/AD134,0)</f>
        <v>0.02466367713004484</v>
      </c>
      <c r="AE55" s="37">
        <f>=IFERROR(AE140/AE134,0)</f>
        <v>0.021812893843916627</v>
      </c>
      <c r="AF55" s="37">
        <f>=IFERROR(AF140/AF134,0)</f>
        <v>0.0542256961406937</v>
      </c>
      <c r="AG55" s="37">
        <f>=IFERROR(AG140/AG134,0)</f>
        <v>0.04025527736867943</v>
      </c>
      <c r="AH55" s="37">
        <f>=IFERROR(AH140/AH134,0)</f>
        <v>0.046351084812623275</v>
      </c>
      <c r="AI55" s="37">
        <f>=IFERROR(AI140/AI134,0)</f>
        <v>0.032524271844660196</v>
      </c>
      <c r="AJ55" s="37">
        <f>=IFERROR(AJ140/AJ134,0)</f>
        <v>0.04193849021435228</v>
      </c>
      <c r="AK55" s="37">
        <f>=IFERROR(AK140/AK134,0)</f>
        <v>0.04286798179059181</v>
      </c>
      <c r="AL55" s="37">
        <f>=IFERROR(AL140/AL134,0)</f>
        <v>0.07426376440460948</v>
      </c>
      <c r="AM55" s="37">
        <f>=IFERROR(AM140/AM134,0)</f>
        <v>0.05029115934356802</v>
      </c>
      <c r="AN55" s="37">
        <f>=IFERROR(AN140/AN134,0)</f>
        <v>0.009337068160597572</v>
      </c>
      <c r="AO55" s="37">
        <f>=IFERROR(AO140/AO134,0)</f>
        <v>0.021601016518424398</v>
      </c>
      <c r="AP55" s="37">
        <f>=IFERROR(AP140/AP134,0)</f>
        <v>0.07385398981324279</v>
      </c>
      <c r="AQ55" s="37">
        <f>=IFERROR(AQ140/AQ134,0)</f>
        <v>0.07674943566591422</v>
      </c>
      <c r="AR55" s="37">
        <f>=IFERROR(AR140/AR134,0)</f>
        <v>0.04620168813860506</v>
      </c>
      <c r="AS55" s="37">
        <f>=IFERROR(AS140/AS134,0)</f>
        <v>0.08847184986595175</v>
      </c>
      <c r="AT55" s="37">
        <f>=IFERROR(AT140/AT134,0)</f>
        <v>0.03643724696356275</v>
      </c>
      <c r="AU55" s="37">
        <f>=IFERROR(AU140/AU134,0)</f>
        <v>0.07304882737408688</v>
      </c>
      <c r="AV55" s="37">
        <f>=IFERROR(AV140/AV134,0)</f>
        <v>0.034085213032581455</v>
      </c>
      <c r="AW55" s="37">
        <f>=IFERROR(AW140/AW134,0)</f>
        <v>0.05095862764883956</v>
      </c>
      <c r="AX55" s="37">
        <f>=IFERROR(AX140/AX134,0)</f>
        <v>0.07686676427525622</v>
      </c>
      <c r="AY55" s="37">
        <f>=IFERROR(AY140/AY134,0)</f>
        <v>0.051130776794493606</v>
      </c>
      <c r="AZ55" s="37">
        <f>=IFERROR(AZ140/AZ134,0)</f>
        <v>0.07139315815567675</v>
      </c>
      <c r="BA55" s="37">
        <f>=IFERROR(BA140/BA134,0)</f>
        <v>0.07201152184349496</v>
      </c>
      <c r="BB55" s="37">
        <f>=IFERROR(BB140/BB134,0)</f>
        <v>0.02261553588987217</v>
      </c>
      <c r="BC55" s="37">
        <f>=IFERROR(BC140/BC134,0)</f>
        <v>0.03861342694164107</v>
      </c>
      <c r="BD55" s="37">
        <f>=IFERROR(BD140/BD134,0)</f>
        <v>0.033106134371957155</v>
      </c>
      <c r="BE55" s="37">
        <f>=IFERROR(BE140/BE134,0)</f>
        <v>0.034823529411764705</v>
      </c>
      <c r="BF55" s="37">
        <f>=IFERROR(BF140/BF134,0)</f>
        <v>0.07081641858367163</v>
      </c>
      <c r="BG55" s="37">
        <f>=IFERROR(BG140/BG134,0)</f>
        <v>0.07436918990703852</v>
      </c>
      <c r="BH55" s="37">
        <f>=IFERROR(BH140/BH134,0)</f>
        <v>0.06351726875744343</v>
      </c>
      <c r="BI55" s="37">
        <f>=IFERROR(BI140/BI134,0)</f>
        <v>0.0807996668054977</v>
      </c>
      <c r="BJ55" s="37">
        <f>=IFERROR(BJ140/BJ134,0)</f>
        <v>0.04602851323828921</v>
      </c>
      <c r="BK55" s="37">
        <f>=IFERROR(BK140/BK134,0)</f>
        <v>0.03896636587366694</v>
      </c>
      <c r="BL55" s="37">
        <f>=IFERROR(BL140/BL134,0)</f>
        <v>0.07430469074304691</v>
      </c>
      <c r="BM55" s="37">
        <f>=IFERROR(BM140/BM134,0)</f>
        <v>0.04994954591321897</v>
      </c>
      <c r="BN55" s="37">
        <f>=IFERROR(BN140/BN134,0)</f>
        <v>0.03695881731784583</v>
      </c>
      <c r="BO55" s="37">
        <f>=IFERROR(BO140/BO134,0)</f>
        <v>0.07993197278911565</v>
      </c>
      <c r="BP55" s="37">
        <f>=IFERROR(BP140/BP134,0)</f>
        <v>0.05782526712759271</v>
      </c>
      <c r="BQ55" s="37">
        <f>=IFERROR(BQ140/BQ134,0)</f>
        <v>0.04177057356608479</v>
      </c>
      <c r="BR55" s="37">
        <f>=IFERROR(BR140/BR134,0)</f>
        <v>0.018999366687777075</v>
      </c>
      <c r="BS55" s="37">
        <f>=IFERROR(BS140/BS134,0)</f>
        <v>0.032339885859226376</v>
      </c>
      <c r="BT55" s="37">
        <f>=IFERROR(BT140/BT134,0)</f>
        <v>0.012096774193548387</v>
      </c>
      <c r="BU55" s="37">
        <f>=IFERROR(BU140/BU134,0)</f>
        <v>0.019754768392370572</v>
      </c>
      <c r="BV55" s="37">
        <f>=IFERROR(BV140/BV134,0)</f>
        <v>0.020169160702667534</v>
      </c>
      <c r="BW55" s="37">
        <f>=IFERROR(BW140/BW134,0)</f>
        <v>0.022082018927444796</v>
      </c>
      <c r="BX55" s="37">
        <f>=IFERROR(BX140/BX134,0)</f>
        <v>0</v>
      </c>
      <c r="BY55" s="37">
        <f>=IFERROR(BY140/BY134,0)</f>
        <v>0</v>
      </c>
      <c r="BZ55" s="37">
        <f>=IFERROR(BZ140/BZ134,0)</f>
        <v>0</v>
      </c>
      <c r="CA55" s="37">
        <f>=IFERROR(CA140/CA134,0)</f>
        <v>0</v>
      </c>
      <c r="CB55" s="37">
        <f>=IFERROR(CB140/CB134,0)</f>
        <v>0</v>
      </c>
      <c r="CC55" s="37">
        <f>=IFERROR(CC140/CC134,0)</f>
        <v>0</v>
      </c>
      <c r="CD55" s="37">
        <f>=IFERROR(CD140/CD134,0)</f>
        <v>0</v>
      </c>
      <c r="CE55" s="37">
        <f>=IFERROR(CE140/CE134,0)</f>
        <v>0</v>
      </c>
      <c r="CF55" s="37">
        <f>=IFERROR(CF140/CF134,0)</f>
        <v>0</v>
      </c>
      <c r="CG55" s="37">
        <f>=IFERROR(CG140/CG134,0)</f>
        <v>0</v>
      </c>
      <c r="CH55" s="37">
        <f>=IFERROR(CH140/CH134,0)</f>
        <v>0</v>
      </c>
      <c r="CI55" s="37">
        <f>=IFERROR(CI140/CI134,0)</f>
        <v>0</v>
      </c>
      <c r="CJ55" s="37">
        <f>=IFERROR(CJ140/CJ134,0)</f>
        <v>0</v>
      </c>
      <c r="CK55" s="37">
        <f>=IFERROR(CK140/CK134,0)</f>
        <v>0</v>
      </c>
      <c r="CL55" s="37">
        <f>=IFERROR(CL140/CL134,0)</f>
        <v>0</v>
      </c>
      <c r="CM55" s="37">
        <f>=IFERROR(CM140/CM134,0)</f>
        <v>0</v>
      </c>
      <c r="CN55" s="37">
        <f>=IFERROR(CN140/CN134,0)</f>
        <v>0</v>
      </c>
      <c r="CO55" s="37">
        <f>=IFERROR(CO140/CO134,0)</f>
        <v>0</v>
      </c>
      <c r="CP55" s="37">
        <f>=IFERROR(CP140/CP134,0)</f>
        <v>0</v>
      </c>
      <c r="CQ55" s="37">
        <f>=IFERROR(CQ140/CQ134,0)</f>
        <v>0</v>
      </c>
      <c r="CR55" s="37">
        <f>=IFERROR(CR140/CR134,0)</f>
        <v>0</v>
      </c>
      <c r="CS55" s="37">
        <f>=IFERROR(CS140/CS134,0)</f>
        <v>0</v>
      </c>
      <c r="CT55" s="37">
        <f>=IFERROR(CT140/CT134,0)</f>
        <v>0</v>
      </c>
      <c r="CU55" s="37">
        <f>=IFERROR(CU140/CU134,0)</f>
        <v>0</v>
      </c>
      <c r="CV55" s="37">
        <f>=IFERROR(CV140/CV134,0)</f>
        <v>0</v>
      </c>
      <c r="CW55" s="37">
        <f>=IFERROR(CW140/CW134,0)</f>
        <v>0</v>
      </c>
      <c r="CX55" s="37">
        <f>=IFERROR(CX140/CX134,0)</f>
        <v>0</v>
      </c>
      <c r="CY55" s="37">
        <f>=IFERROR(CY140/CY134,0)</f>
        <v>0</v>
      </c>
      <c r="CZ55" s="37">
        <f>=IFERROR(CZ140/CZ134,0)</f>
        <v>0</v>
      </c>
      <c r="DA55" s="37">
        <f>=IFERROR(DA140/DA134,0)</f>
        <v>0</v>
      </c>
      <c r="DB55" s="37">
        <f>=IFERROR(DB140/DB134,0)</f>
        <v>0</v>
      </c>
    </row>
    <row r="56" ht="15" customHeight="1" spans="1:106" x14ac:dyDescent="0.25">
      <c r="A56" s="36" t="s">
        <v>265</v>
      </c>
      <c r="B56" s="17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8"/>
      <c r="BG56" s="38"/>
      <c r="BH56" s="38"/>
      <c r="BI56" s="38"/>
      <c r="BJ56" s="38"/>
      <c r="BK56" s="38"/>
      <c r="BL56" s="38"/>
      <c r="BM56" s="38"/>
      <c r="BN56" s="38"/>
      <c r="BO56" s="38"/>
      <c r="BP56" s="38"/>
      <c r="BQ56" s="38"/>
      <c r="BR56" s="38"/>
      <c r="BS56" s="38"/>
      <c r="BT56" s="38"/>
      <c r="BU56" s="38"/>
      <c r="BV56" s="38"/>
      <c r="BW56" s="38"/>
      <c r="BX56" s="38"/>
      <c r="BY56" s="38"/>
      <c r="BZ56" s="38"/>
      <c r="CA56" s="38"/>
      <c r="CB56" s="38"/>
      <c r="CC56" s="38"/>
      <c r="CD56" s="38"/>
      <c r="CE56" s="38"/>
      <c r="CF56" s="38"/>
      <c r="CG56" s="38"/>
      <c r="CH56" s="38"/>
      <c r="CI56" s="38"/>
      <c r="CJ56" s="38"/>
      <c r="CK56" s="38"/>
      <c r="CL56" s="38"/>
      <c r="CM56" s="38"/>
      <c r="CN56" s="38"/>
      <c r="CO56" s="38"/>
      <c r="CP56" s="38"/>
      <c r="CQ56" s="38"/>
      <c r="CR56" s="38"/>
      <c r="CS56" s="38"/>
      <c r="CT56" s="38"/>
      <c r="CU56" s="38"/>
      <c r="CV56" s="38"/>
      <c r="CW56" s="38"/>
      <c r="CX56" s="38"/>
      <c r="CY56" s="38"/>
      <c r="CZ56" s="38"/>
      <c r="DA56" s="38"/>
      <c r="DB56" s="38"/>
    </row>
    <row r="57" ht="15" customHeight="1" spans="1:106" x14ac:dyDescent="0.25">
      <c r="A57" s="36" t="s">
        <v>286</v>
      </c>
      <c r="B57" s="17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  <c r="CG57" s="38"/>
      <c r="CH57" s="38"/>
      <c r="CI57" s="38"/>
      <c r="CJ57" s="38"/>
      <c r="CK57" s="38"/>
      <c r="CL57" s="38"/>
      <c r="CM57" s="38"/>
      <c r="CN57" s="38"/>
      <c r="CO57" s="38"/>
      <c r="CP57" s="38"/>
      <c r="CQ57" s="38"/>
      <c r="CR57" s="38"/>
      <c r="CS57" s="38"/>
      <c r="CT57" s="38"/>
      <c r="CU57" s="38"/>
      <c r="CV57" s="38"/>
      <c r="CW57" s="38"/>
      <c r="CX57" s="38"/>
      <c r="CY57" s="38"/>
      <c r="CZ57" s="38"/>
      <c r="DA57" s="38"/>
      <c r="DB57" s="38"/>
    </row>
    <row r="58" ht="15" customHeight="1" spans="1:106" x14ac:dyDescent="0.25">
      <c r="A58" s="16" t="s">
        <v>287</v>
      </c>
      <c r="B58" s="17"/>
      <c r="C58" s="35">
        <f>=SUM(C59:C64)</f>
        <v>0</v>
      </c>
      <c r="D58" s="35">
        <f>=SUM(D59:D61)</f>
        <v>0</v>
      </c>
      <c r="E58" s="35">
        <f>=SUM(E59:E61)</f>
        <v>0</v>
      </c>
      <c r="F58" s="35">
        <f>=SUM(F59:F61)</f>
        <v>0</v>
      </c>
      <c r="G58" s="35">
        <f>=SUM(G59:G61)</f>
        <v>0</v>
      </c>
      <c r="H58" s="35">
        <f>=SUM(H59:H61)</f>
        <v>0</v>
      </c>
      <c r="I58" s="35">
        <f>=SUM(I59:I61)</f>
        <v>0</v>
      </c>
      <c r="J58" s="35">
        <f>=SUM(J59:J61)</f>
        <v>0</v>
      </c>
      <c r="K58" s="35">
        <f>=SUM(K59:K61)</f>
        <v>0</v>
      </c>
      <c r="L58" s="35">
        <f>=SUM(L59:L61)</f>
        <v>0</v>
      </c>
      <c r="M58" s="35">
        <f>=SUM(M59:M61)</f>
        <v>0</v>
      </c>
      <c r="N58" s="35">
        <f>=SUM(N59:N61)</f>
        <v>0</v>
      </c>
      <c r="O58" s="35">
        <f>=SUM(O59:O61)</f>
        <v>0</v>
      </c>
      <c r="P58" s="35">
        <f>=SUM(P59:P61)</f>
        <v>0</v>
      </c>
      <c r="Q58" s="35">
        <f>=SUM(Q59:Q61)</f>
        <v>0</v>
      </c>
      <c r="R58" s="35">
        <f>=SUM(R59:R61)</f>
        <v>0</v>
      </c>
      <c r="S58" s="35">
        <f>=SUM(S59:S61)</f>
        <v>0</v>
      </c>
      <c r="T58" s="35">
        <f>=SUM(T59:T61)</f>
        <v>0</v>
      </c>
      <c r="U58" s="35">
        <f>=SUM(U59:U61)</f>
        <v>0</v>
      </c>
      <c r="V58" s="35">
        <f>=SUM(V59:V61)</f>
        <v>0</v>
      </c>
      <c r="W58" s="35">
        <f>=SUM(W59:W61)</f>
        <v>0</v>
      </c>
      <c r="X58" s="35">
        <f>=SUM(X59:X61)</f>
        <v>0</v>
      </c>
      <c r="Y58" s="35">
        <f>=SUM(Y59:Y61)</f>
        <v>0</v>
      </c>
      <c r="Z58" s="35">
        <f>=SUM(Z59:Z61)</f>
        <v>0</v>
      </c>
      <c r="AA58" s="35">
        <f>=SUM(AA59:AA61)</f>
        <v>0</v>
      </c>
      <c r="AB58" s="35">
        <f>=SUM(AB59:AB61)</f>
        <v>0</v>
      </c>
      <c r="AC58" s="35">
        <f>=SUM(AC59:AC61)</f>
        <v>0</v>
      </c>
      <c r="AD58" s="35">
        <f>=SUM(AD59:AD61)</f>
        <v>0</v>
      </c>
      <c r="AE58" s="35">
        <f>=SUM(AE59:AE61)</f>
        <v>0</v>
      </c>
      <c r="AF58" s="35">
        <f>=SUM(AF59:AF61)</f>
        <v>0</v>
      </c>
      <c r="AG58" s="35">
        <f>=SUM(AG59:AG61)</f>
        <v>0</v>
      </c>
      <c r="AH58" s="35">
        <f>=SUM(AH59:AH61)</f>
        <v>0</v>
      </c>
      <c r="AI58" s="35">
        <f>=SUM(AI59:AI61)</f>
        <v>0</v>
      </c>
      <c r="AJ58" s="35">
        <f>=SUM(AJ59:AJ61)</f>
        <v>0</v>
      </c>
      <c r="AK58" s="35">
        <f>=SUM(AK59:AK61)</f>
        <v>0</v>
      </c>
      <c r="AL58" s="35">
        <f>=SUM(AL59:AL61)</f>
        <v>0</v>
      </c>
      <c r="AM58" s="35">
        <f>=SUM(AM59:AM61)</f>
        <v>0</v>
      </c>
      <c r="AN58" s="35">
        <f>=SUM(AN59:AN61)</f>
        <v>0</v>
      </c>
      <c r="AO58" s="35">
        <f>=SUM(AO59:AO61)</f>
        <v>0</v>
      </c>
      <c r="AP58" s="35">
        <f>=SUM(AP59:AP61)</f>
        <v>0</v>
      </c>
      <c r="AQ58" s="35">
        <f>=SUM(AQ59:AQ61)</f>
        <v>0</v>
      </c>
      <c r="AR58" s="35">
        <f>=SUM(AR59:AR61)</f>
        <v>0</v>
      </c>
      <c r="AS58" s="35">
        <f>=SUM(AS59:AS61)</f>
        <v>0</v>
      </c>
      <c r="AT58" s="35">
        <f>=SUM(AT59:AT61)</f>
        <v>0</v>
      </c>
      <c r="AU58" s="35">
        <f>=SUM(AU59:AU61)</f>
        <v>0</v>
      </c>
      <c r="AV58" s="35">
        <f>=SUM(AV59:AV61)</f>
        <v>0</v>
      </c>
      <c r="AW58" s="35">
        <f>=SUM(AW59:AW61)</f>
        <v>0</v>
      </c>
      <c r="AX58" s="35">
        <f>=SUM(AX59:AX61)</f>
        <v>0</v>
      </c>
      <c r="AY58" s="35">
        <f>=SUM(AY59:AY61)</f>
        <v>0</v>
      </c>
      <c r="AZ58" s="35">
        <f>=SUM(AZ59:AZ61)</f>
        <v>0</v>
      </c>
      <c r="BA58" s="35">
        <f>=SUM(BA59:BA61)</f>
        <v>0</v>
      </c>
      <c r="BB58" s="35">
        <f>=SUM(BB59:BB61)</f>
        <v>0</v>
      </c>
      <c r="BC58" s="35">
        <f>=SUM(BC59:BC61)</f>
        <v>0</v>
      </c>
      <c r="BD58" s="35">
        <f>=SUM(BD59:BD61)</f>
        <v>0</v>
      </c>
      <c r="BE58" s="35">
        <f>=SUM(BE59:BE61)</f>
        <v>0</v>
      </c>
      <c r="BF58" s="35">
        <f>=SUM(BF59:BF61)</f>
        <v>0</v>
      </c>
      <c r="BG58" s="35">
        <f>=SUM(BG59:BG61)</f>
        <v>0</v>
      </c>
      <c r="BH58" s="35">
        <f>=SUM(BH59:BH61)</f>
        <v>0</v>
      </c>
      <c r="BI58" s="35">
        <f>=SUM(BI59:BI61)</f>
        <v>0</v>
      </c>
      <c r="BJ58" s="35">
        <f>=SUM(BJ59:BJ61)</f>
        <v>0</v>
      </c>
      <c r="BK58" s="35">
        <f>=SUM(BK59:BK61)</f>
        <v>0</v>
      </c>
      <c r="BL58" s="35">
        <f>=SUM(BL59:BL61)</f>
        <v>0</v>
      </c>
      <c r="BM58" s="35">
        <f>=SUM(BM59:BM61)</f>
        <v>0</v>
      </c>
      <c r="BN58" s="35">
        <f>=SUM(BN59:BN61)</f>
        <v>0</v>
      </c>
      <c r="BO58" s="35">
        <f>=SUM(BO59:BO61)</f>
        <v>0</v>
      </c>
      <c r="BP58" s="35">
        <f>=SUM(BP59:BP61)</f>
        <v>0</v>
      </c>
      <c r="BQ58" s="35">
        <f>=SUM(BQ59:BQ61)</f>
        <v>0</v>
      </c>
      <c r="BR58" s="35">
        <f>=SUM(BR59:BR61)</f>
        <v>0</v>
      </c>
      <c r="BS58" s="35">
        <f>=SUM(BS59:BS61)</f>
        <v>0</v>
      </c>
      <c r="BT58" s="35">
        <f>=SUM(BT59:BT61)</f>
        <v>0</v>
      </c>
      <c r="BU58" s="35">
        <f>=SUM(BU59:BU61)</f>
        <v>0</v>
      </c>
      <c r="BV58" s="35">
        <f>=SUM(BV59:BV61)</f>
        <v>0</v>
      </c>
      <c r="BW58" s="35">
        <f>=SUM(BW59:BW61)</f>
        <v>0</v>
      </c>
      <c r="BX58" s="35">
        <f>=SUM(BX59:BX61)</f>
        <v>0</v>
      </c>
      <c r="BY58" s="35">
        <f>=SUM(BY59:BY61)</f>
        <v>0</v>
      </c>
      <c r="BZ58" s="35">
        <f>=SUM(BZ59:BZ61)</f>
        <v>0</v>
      </c>
      <c r="CA58" s="35">
        <f>=SUM(CA59:CA61)</f>
        <v>0</v>
      </c>
      <c r="CB58" s="35">
        <f>=SUM(CB59:CB61)</f>
        <v>0</v>
      </c>
      <c r="CC58" s="35">
        <f>=SUM(CC59:CC61)</f>
        <v>0</v>
      </c>
      <c r="CD58" s="35">
        <f>=SUM(CD59:CD61)</f>
        <v>0</v>
      </c>
      <c r="CE58" s="35">
        <f>=SUM(CE59:CE61)</f>
        <v>0</v>
      </c>
      <c r="CF58" s="35">
        <f>=SUM(CF59:CF61)</f>
        <v>0</v>
      </c>
      <c r="CG58" s="35">
        <f>=SUM(CG59:CG61)</f>
        <v>0</v>
      </c>
      <c r="CH58" s="35">
        <f>=SUM(CH59:CH61)</f>
        <v>0</v>
      </c>
      <c r="CI58" s="35">
        <f>=SUM(CI59:CI61)</f>
        <v>0</v>
      </c>
      <c r="CJ58" s="35">
        <f>=SUM(CJ59:CJ61)</f>
        <v>0</v>
      </c>
      <c r="CK58" s="35">
        <f>=SUM(CK59:CK61)</f>
        <v>0</v>
      </c>
      <c r="CL58" s="35">
        <f>=SUM(CL59:CL61)</f>
        <v>0</v>
      </c>
      <c r="CM58" s="35">
        <f>=SUM(CM59:CM61)</f>
        <v>0</v>
      </c>
      <c r="CN58" s="35">
        <f>=SUM(CN59:CN61)</f>
        <v>0</v>
      </c>
      <c r="CO58" s="35">
        <f>=SUM(CO59:CO61)</f>
        <v>0</v>
      </c>
      <c r="CP58" s="35">
        <f>=SUM(CP59:CP61)</f>
        <v>0</v>
      </c>
      <c r="CQ58" s="35">
        <f>=SUM(CQ59:CQ61)</f>
        <v>0</v>
      </c>
      <c r="CR58" s="35">
        <f>=SUM(CR59:CR61)</f>
        <v>0</v>
      </c>
      <c r="CS58" s="35">
        <f>=SUM(CS59:CS61)</f>
        <v>0</v>
      </c>
      <c r="CT58" s="35">
        <f>=SUM(CT59:CT61)</f>
        <v>0</v>
      </c>
      <c r="CU58" s="35">
        <f>=SUM(CU59:CU61)</f>
        <v>0</v>
      </c>
      <c r="CV58" s="35">
        <f>=SUM(CV59:CV61)</f>
        <v>0</v>
      </c>
      <c r="CW58" s="35">
        <f>=SUM(CW59:CW61)</f>
        <v>0</v>
      </c>
      <c r="CX58" s="35">
        <f>=SUM(CX59:CX61)</f>
        <v>0</v>
      </c>
      <c r="CY58" s="35">
        <f>=SUM(CY59:CY61)</f>
        <v>0</v>
      </c>
      <c r="CZ58" s="35">
        <f>=SUM(CZ59:CZ61)</f>
        <v>0</v>
      </c>
      <c r="DA58" s="35">
        <f>=SUM(DA59:DA61)</f>
        <v>0</v>
      </c>
      <c r="DB58" s="35">
        <f>=SUM(DB59:DB61)</f>
        <v>0</v>
      </c>
    </row>
    <row r="59" ht="18" customHeight="1" spans="1:106" x14ac:dyDescent="0.25">
      <c r="A59" s="36" t="s">
        <v>268</v>
      </c>
      <c r="B59" s="17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BH59" s="38"/>
      <c r="BI59" s="38"/>
      <c r="BJ59" s="38"/>
      <c r="BK59" s="38"/>
      <c r="BL59" s="38"/>
      <c r="BM59" s="38"/>
      <c r="BN59" s="38"/>
      <c r="BO59" s="38"/>
      <c r="BP59" s="38"/>
      <c r="BQ59" s="38"/>
      <c r="BR59" s="38"/>
      <c r="BS59" s="38"/>
      <c r="BT59" s="38"/>
      <c r="BU59" s="38"/>
      <c r="BV59" s="38"/>
      <c r="BW59" s="38"/>
      <c r="BX59" s="38"/>
      <c r="BY59" s="38"/>
      <c r="BZ59" s="38"/>
      <c r="CA59" s="38"/>
      <c r="CB59" s="38"/>
      <c r="CC59" s="38"/>
      <c r="CD59" s="38"/>
      <c r="CE59" s="38"/>
      <c r="CF59" s="38"/>
      <c r="CG59" s="38"/>
      <c r="CH59" s="38"/>
      <c r="CI59" s="38"/>
      <c r="CJ59" s="38"/>
      <c r="CK59" s="38"/>
      <c r="CL59" s="38"/>
      <c r="CM59" s="38"/>
      <c r="CN59" s="38"/>
      <c r="CO59" s="38"/>
      <c r="CP59" s="38"/>
      <c r="CQ59" s="38"/>
      <c r="CR59" s="38"/>
      <c r="CS59" s="38"/>
      <c r="CT59" s="38"/>
      <c r="CU59" s="38"/>
      <c r="CV59" s="38"/>
      <c r="CW59" s="38"/>
      <c r="CX59" s="38"/>
      <c r="CY59" s="38"/>
      <c r="CZ59" s="38"/>
      <c r="DA59" s="38"/>
      <c r="DB59" s="38"/>
    </row>
    <row r="60" ht="18" customHeight="1" spans="1:106" x14ac:dyDescent="0.25">
      <c r="A60" s="36" t="s">
        <v>269</v>
      </c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8"/>
      <c r="BH60" s="38"/>
      <c r="BI60" s="38"/>
      <c r="BJ60" s="38"/>
      <c r="BK60" s="38"/>
      <c r="BL60" s="38"/>
      <c r="BM60" s="38"/>
      <c r="BN60" s="38"/>
      <c r="BO60" s="38"/>
      <c r="BP60" s="38"/>
      <c r="BQ60" s="38"/>
      <c r="BR60" s="38"/>
      <c r="BS60" s="38"/>
      <c r="BT60" s="38"/>
      <c r="BU60" s="38"/>
      <c r="BV60" s="38"/>
      <c r="BW60" s="38"/>
      <c r="BX60" s="38"/>
      <c r="BY60" s="38"/>
      <c r="BZ60" s="38"/>
      <c r="CA60" s="38"/>
      <c r="CB60" s="38"/>
      <c r="CC60" s="38"/>
      <c r="CD60" s="38"/>
      <c r="CE60" s="38"/>
      <c r="CF60" s="38"/>
      <c r="CG60" s="38"/>
      <c r="CH60" s="38"/>
      <c r="CI60" s="38"/>
      <c r="CJ60" s="38"/>
      <c r="CK60" s="38"/>
      <c r="CL60" s="38"/>
      <c r="CM60" s="38"/>
      <c r="CN60" s="38"/>
      <c r="CO60" s="38"/>
      <c r="CP60" s="38"/>
      <c r="CQ60" s="38"/>
      <c r="CR60" s="38"/>
      <c r="CS60" s="38"/>
      <c r="CT60" s="38"/>
      <c r="CU60" s="38"/>
      <c r="CV60" s="38"/>
      <c r="CW60" s="38"/>
      <c r="CX60" s="38"/>
      <c r="CY60" s="38"/>
      <c r="CZ60" s="38"/>
      <c r="DA60" s="38"/>
      <c r="DB60" s="38"/>
    </row>
    <row r="61" ht="18" customHeight="1" spans="1:106" x14ac:dyDescent="0.25">
      <c r="A61" s="36" t="s">
        <v>288</v>
      </c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38"/>
      <c r="BM61" s="38"/>
      <c r="BN61" s="38"/>
      <c r="BO61" s="38"/>
      <c r="BP61" s="38"/>
      <c r="BQ61" s="38"/>
      <c r="BR61" s="38"/>
      <c r="BS61" s="38"/>
      <c r="BT61" s="38"/>
      <c r="BU61" s="38"/>
      <c r="BV61" s="38"/>
      <c r="BW61" s="38"/>
      <c r="BX61" s="38"/>
      <c r="BY61" s="38"/>
      <c r="BZ61" s="38"/>
      <c r="CA61" s="38"/>
      <c r="CB61" s="38"/>
      <c r="CC61" s="38"/>
      <c r="CD61" s="38"/>
      <c r="CE61" s="38"/>
      <c r="CF61" s="38"/>
      <c r="CG61" s="38"/>
      <c r="CH61" s="38"/>
      <c r="CI61" s="38"/>
      <c r="CJ61" s="38"/>
      <c r="CK61" s="38"/>
      <c r="CL61" s="38"/>
      <c r="CM61" s="38"/>
      <c r="CN61" s="38"/>
      <c r="CO61" s="38"/>
      <c r="CP61" s="38"/>
      <c r="CQ61" s="38"/>
      <c r="CR61" s="38"/>
      <c r="CS61" s="38"/>
      <c r="CT61" s="38"/>
      <c r="CU61" s="38"/>
      <c r="CV61" s="38"/>
      <c r="CW61" s="38"/>
      <c r="CX61" s="38"/>
      <c r="CY61" s="38"/>
      <c r="CZ61" s="38"/>
      <c r="DA61" s="38"/>
      <c r="DB61" s="38"/>
    </row>
    <row r="62" spans="1:1" x14ac:dyDescent="0.25">
      <c r="A62" s="36" t="s">
        <v>272</v>
      </c>
    </row>
    <row r="63" ht="18" customHeight="1" spans="1:1" x14ac:dyDescent="0.25">
      <c r="A63" s="36" t="s">
        <v>289</v>
      </c>
    </row>
    <row r="64" ht="18" customHeight="1" spans="1:106" x14ac:dyDescent="0.25">
      <c r="A64" s="36" t="s">
        <v>271</v>
      </c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</row>
    <row r="65" spans="1:106" x14ac:dyDescent="0.25">
      <c r="A65" s="20" t="s">
        <v>290</v>
      </c>
      <c r="C65" s="31">
        <f>=IF(LEN(C66)&gt;0,C66/C19,"")</f>
        <v>0.018867924528301886</v>
      </c>
      <c r="D65" s="31">
        <f>=IF(LEN(D66)&gt;0,D66/D19,"")</f>
        <v>0</v>
      </c>
      <c r="E65" s="31">
        <f>=IF(LEN(E66)&gt;0,E66/E19,"")</f>
        <v>0.02</v>
      </c>
      <c r="F65" s="31">
        <f>=IF(LEN(F66)&gt;0,F66/F19,"")</f>
        <v>0</v>
      </c>
      <c r="G65" s="31">
        <f>=IF(LEN(G66)&gt;0,G66/G19,"")</f>
        <v>0.017241379310344827</v>
      </c>
      <c r="H65" s="31">
        <f>=IF(LEN(H66)&gt;0,H66/H19,"")</f>
        <v>0.014925373134328358</v>
      </c>
      <c r="I65" s="31">
        <f>=IF(LEN(I66)&gt;0,I66/I19,"")</f>
        <v>0.015151515151515152</v>
      </c>
      <c r="J65" s="31">
        <f>=IF(LEN(J66)&gt;0,J66/J19,"")</f>
        <v>0.015384615384615385</v>
      </c>
      <c r="K65" s="31">
        <f>=IF(LEN(K66)&gt;0,K66/K19,"")</f>
        <v>0</v>
      </c>
      <c r="L65" s="31">
        <f>=IF(LEN(L66)&gt;0,L66/L19,"")</f>
        <v>0</v>
      </c>
      <c r="M65" s="31">
        <f>=IF(LEN(M66)&gt;0,M66/M19,"")</f>
        <v>0</v>
      </c>
      <c r="N65" s="31">
        <f>=IF(LEN(N66)&gt;0,N66/N19,"")</f>
        <v>0.017543859649122806</v>
      </c>
      <c r="O65" s="31">
        <f>=IF(LEN(O66)&gt;0,O66/O19,"")</f>
        <v>0</v>
      </c>
      <c r="P65" s="31">
        <f>=IF(LEN(P66)&gt;0,P66/P19,"")</f>
        <v>0.018518518518518517</v>
      </c>
      <c r="Q65" s="31">
        <f>=IF(LEN(Q66)&gt;0,Q66/Q19,"")</f>
        <v>0</v>
      </c>
      <c r="R65" s="31">
        <f>=IF(LEN(R66)&gt;0,R66/R19,"")</f>
        <v>0</v>
      </c>
      <c r="S65" s="31">
        <f>=IF(LEN(S66)&gt;0,S66/S19,"")</f>
        <v>0</v>
      </c>
      <c r="T65" s="31">
        <f>=IF(LEN(T66)&gt;0,T66/T19,"")</f>
        <v>0.02</v>
      </c>
      <c r="U65" s="31">
        <f>=IF(LEN(U66)&gt;0,U66/U19,"")</f>
        <v>0</v>
      </c>
      <c r="V65" s="31">
        <f>=IF(LEN(V66)&gt;0,V66/V19,"")</f>
        <v>0</v>
      </c>
      <c r="W65" s="31">
        <f>=IF(LEN(W66)&gt;0,W66/W19,"")</f>
        <v>0.0625</v>
      </c>
      <c r="X65" s="31">
        <f>=IF(LEN(X66)&gt;0,X66/X19,"")</f>
        <v>0</v>
      </c>
      <c r="Y65" s="31">
        <f>=IF(LEN(Y66)&gt;0,Y66/Y19,"")</f>
        <v>0</v>
      </c>
      <c r="Z65" s="31">
        <f>=IF(LEN(Z66)&gt;0,Z66/Z19,"")</f>
        <v>0</v>
      </c>
      <c r="AA65" s="31">
        <f>=IF(LEN(AA66)&gt;0,AA66/AA19,"")</f>
        <v>0.021739130434782608</v>
      </c>
      <c r="AB65" s="31">
        <f>=IF(LEN(AB66)&gt;0,AB66/AB19,"")</f>
        <v>0.022222222222222223</v>
      </c>
      <c r="AC65" s="31">
        <f>=IF(LEN(AC66)&gt;0,AC66/AC19,"")</f>
        <v>0</v>
      </c>
      <c r="AD65" s="31">
        <f>=IF(LEN(AD66)&gt;0,AD66/AD19,"")</f>
        <v>0</v>
      </c>
      <c r="AE65" s="31">
        <f>=IF(LEN(AE66)&gt;0,AE66/AE19,"")</f>
        <v>0.021739130434782608</v>
      </c>
      <c r="AF65" s="31">
        <f>=IF(LEN(AF66)&gt;0,AF66/AF19,"")</f>
        <v>0</v>
      </c>
      <c r="AG65" s="31">
        <f>=IF(LEN(AG66)&gt;0,AG66/AG19,"")</f>
        <v>0</v>
      </c>
      <c r="AH65" s="31">
        <f>=IF(LEN(AH66)&gt;0,AH66/AH19,"")</f>
        <v>0</v>
      </c>
      <c r="AI65" s="31">
        <f>=IF(LEN(AI66)&gt;0,AI66/AI19,"")</f>
        <v>0.022727272727272728</v>
      </c>
      <c r="AJ65" s="31">
        <f>=IF(LEN(AJ66)&gt;0,AJ66/AJ19,"")</f>
        <v>0.022727272727272728</v>
      </c>
      <c r="AK65" s="31">
        <f>=IF(LEN(AK66)&gt;0,AK66/AK19,"")</f>
        <v>0</v>
      </c>
      <c r="AL65" s="31">
        <f>=IF(LEN(AL66)&gt;0,AL66/AL19,"")</f>
        <v>0</v>
      </c>
      <c r="AM65" s="31">
        <f>=IF(LEN(AM66)&gt;0,AM66/AM19,"")</f>
        <v>0</v>
      </c>
      <c r="AN65" s="31">
        <f>=IF(LEN(AN66)&gt;0,AN66/AN19,"")</f>
        <v>0</v>
      </c>
      <c r="AO65" s="31">
        <f>=IF(LEN(AO66)&gt;0,AO66/AO19,"")</f>
        <v>0</v>
      </c>
      <c r="AP65" s="31">
        <f>=IF(LEN(AP66)&gt;0,AP66/AP19,"")</f>
        <v>0</v>
      </c>
      <c r="AQ65" s="31">
        <f>=IF(LEN(AQ66)&gt;0,AQ66/AQ19,"")</f>
        <v>0</v>
      </c>
      <c r="AR65" s="31">
        <f>=IF(LEN(AR66)&gt;0,AR66/AR19,"")</f>
        <v>0</v>
      </c>
      <c r="AS65" s="31">
        <f>=IF(LEN(AS66)&gt;0,AS66/AS19,"")</f>
        <v>0.0196078431372549</v>
      </c>
      <c r="AT65" s="31">
        <f>=IF(LEN(AT66)&gt;0,AT66/AT19,"")</f>
        <v>0.0625</v>
      </c>
      <c r="AU65" s="31">
        <f>=IF(LEN(AU66)&gt;0,AU66/AU19,"")</f>
        <v>0.021739130434782608</v>
      </c>
      <c r="AV65" s="31">
        <f>=IF(LEN(AV66)&gt;0,AV66/AV19,"")</f>
        <v>0.03333333333333333</v>
      </c>
      <c r="AW65" s="31">
        <f>=IF(LEN(AW66)&gt;0,AW66/AW19,"")</f>
        <v>0</v>
      </c>
      <c r="AX65" s="31">
        <f>=IF(LEN(AX66)&gt;0,AX66/AX19,"")</f>
        <v>0</v>
      </c>
      <c r="AY65" s="31">
        <f>=IF(LEN(AY66)&gt;0,AY66/AY19,"")</f>
        <v>0.03225806451612903</v>
      </c>
      <c r="AZ65" s="31">
        <f>=IF(LEN(AZ66)&gt;0,AZ66/AZ19,"")</f>
        <v>0</v>
      </c>
      <c r="BA65" s="31">
        <f>=IF(LEN(BA66)&gt;0,BA66/BA19,"")</f>
        <v>0</v>
      </c>
      <c r="BB65" s="31">
        <f>=IF(LEN(BB66)&gt;0,BB66/BB19,"")</f>
        <v>0.03125</v>
      </c>
      <c r="BC65" s="31">
        <f>=IF(LEN(BC66)&gt;0,BC66/BC19,"")</f>
        <v>0</v>
      </c>
      <c r="BD65" s="31">
        <f>=IF(LEN(BD66)&gt;0,BD66/BD19,"")</f>
        <v>0</v>
      </c>
      <c r="BE65" s="31">
        <f>=IF(LEN(BE66)&gt;0,BE66/BE19,"")</f>
        <v>0.03125</v>
      </c>
      <c r="BF65" s="31">
        <f>=IF(LEN(BF66)&gt;0,BF66/BF19,"")</f>
        <v>0.029411764705882353</v>
      </c>
      <c r="BG65" s="31">
        <f>=IF(LEN(BG66)&gt;0,BG66/BG19,"")</f>
        <v>0</v>
      </c>
      <c r="BH65" s="31">
        <f>=IF(LEN(BH66)&gt;0,BH66/BH19,"")</f>
        <v>0</v>
      </c>
      <c r="BI65" s="31">
        <f>=IF(LEN(BI66)&gt;0,BI66/BI19,"")</f>
        <v>0.01818181818181818</v>
      </c>
      <c r="BJ65" s="31">
        <f>=IF(LEN(BJ66)&gt;0,BJ66/BJ19,"")</f>
        <v>0.018518518518518517</v>
      </c>
      <c r="BK65" s="31">
        <f>=IF(LEN(BK66)&gt;0,BK66/BK19,"")</f>
        <v>0</v>
      </c>
      <c r="BL65" s="31">
        <f>=IF(LEN(BL66)&gt;0,BL66/BL19,"")</f>
        <v>0</v>
      </c>
      <c r="BM65" s="31">
        <f>=IF(LEN(BM66)&gt;0,BM66/BM19,"")</f>
        <v>0</v>
      </c>
      <c r="BN65" s="31">
        <f>=IF(LEN(BN66)&gt;0,BN66/BN19,"")</f>
        <v>0</v>
      </c>
      <c r="BO65" s="31">
        <f>=IF(LEN(BO66)&gt;0,BO66/BO19,"")</f>
        <v>0</v>
      </c>
      <c r="BP65" s="31">
        <f>=IF(LEN(BP66)&gt;0,BP66/BP19,"")</f>
        <v>0</v>
      </c>
      <c r="BQ65" s="31">
        <f>=IF(LEN(BQ66)&gt;0,BQ66/BQ19,"")</f>
        <v>0</v>
      </c>
      <c r="BR65" s="31">
        <f>=IF(LEN(BR66)&gt;0,BR66/BR19,"")</f>
        <v>0</v>
      </c>
      <c r="BS65" s="31">
        <f>=IF(LEN(BS66)&gt;0,BS66/BS19,"")</f>
        <v>0</v>
      </c>
      <c r="BT65" s="31">
        <f>=IF(LEN(BT66)&gt;0,BT66/BT19,"")</f>
        <v>0.029411764705882353</v>
      </c>
      <c r="BU65" s="31">
        <f>=IF(LEN(BU66)&gt;0,BU66/BU19,"")</f>
        <v>0</v>
      </c>
      <c r="BV65" s="30">
        <f>=IF(LEN(BV66)&gt;0,BV66/BV19,"")</f>
        <v>0</v>
      </c>
      <c r="BW65" s="30">
        <f>=IF(LEN(BW66)&gt;0,BW66/BW19,"")</f>
        <v>0</v>
      </c>
      <c r="BX65" s="30">
        <f>=IF(LEN(BX66)&gt;0,BX66/BX19,"")</f>
        <v>0</v>
      </c>
      <c r="BY65" s="30">
        <f>=IF(LEN(BY66)&gt;0,BY66/BY19,"")</f>
        <v>0</v>
      </c>
      <c r="BZ65" s="30" t="str">
        <f>=IF(LEN(BZ66)&gt;0,BZ66/BZ19,"")</f>
        <v/>
      </c>
      <c r="CA65" s="30" t="str">
        <f>=IF(LEN(CA66)&gt;0,CA66/CA19,"")</f>
        <v/>
      </c>
      <c r="CB65" s="30" t="str">
        <f>=IF(LEN(CB66)&gt;0,CB66/CB19,"")</f>
        <v/>
      </c>
      <c r="CC65" s="30" t="str">
        <f>=IF(LEN(CC66)&gt;0,CC66/CC19,"")</f>
        <v/>
      </c>
      <c r="CD65" s="30" t="str">
        <f>=IF(LEN(CD66)&gt;0,CD66/CD19,"")</f>
        <v/>
      </c>
      <c r="CE65" s="30" t="str">
        <f>=IF(LEN(CE66)&gt;0,CE66/CE19,"")</f>
        <v/>
      </c>
      <c r="CF65" s="30" t="str">
        <f>=IF(LEN(CF66)&gt;0,CF66/CF19,"")</f>
        <v/>
      </c>
      <c r="CG65" s="30" t="str">
        <f>=IF(LEN(CG66)&gt;0,CG66/CG19,"")</f>
        <v/>
      </c>
      <c r="CH65" s="30" t="str">
        <f>=IF(LEN(CH66)&gt;0,CH66/CH19,"")</f>
        <v/>
      </c>
      <c r="CI65" s="30" t="str">
        <f>=IF(LEN(CI66)&gt;0,CI66/CI19,"")</f>
        <v/>
      </c>
      <c r="CJ65" s="30" t="str">
        <f>=IF(LEN(CJ66)&gt;0,CJ66/CJ19,"")</f>
        <v/>
      </c>
      <c r="CK65" s="30" t="str">
        <f>=IF(LEN(CK66)&gt;0,CK66/CK19,"")</f>
        <v/>
      </c>
      <c r="CL65" s="30" t="str">
        <f>=IF(LEN(CL66)&gt;0,CL66/CL19,"")</f>
        <v/>
      </c>
      <c r="CM65" s="30" t="str">
        <f>=IF(LEN(CM66)&gt;0,CM66/CM19,"")</f>
        <v/>
      </c>
      <c r="CN65" s="30" t="str">
        <f>=IF(LEN(CN66)&gt;0,CN66/CN19,"")</f>
        <v/>
      </c>
      <c r="CO65" s="30" t="str">
        <f>=IF(LEN(CO66)&gt;0,CO66/CO19,"")</f>
        <v/>
      </c>
      <c r="CP65" s="30" t="str">
        <f>=IF(LEN(CP66)&gt;0,CP66/CP19,"")</f>
        <v/>
      </c>
      <c r="CQ65" s="30" t="str">
        <f>=IF(LEN(CQ66)&gt;0,CQ66/CQ19,"")</f>
        <v/>
      </c>
      <c r="CR65" s="30" t="str">
        <f>=IF(LEN(CR66)&gt;0,CR66/CR19,"")</f>
        <v/>
      </c>
      <c r="CS65" s="30" t="str">
        <f>=IF(LEN(CS66)&gt;0,CS66/CS19,"")</f>
        <v/>
      </c>
      <c r="CT65" s="30" t="str">
        <f>=IF(LEN(CT66)&gt;0,CT66/CT19,"")</f>
        <v/>
      </c>
      <c r="CU65" s="30" t="str">
        <f>=IF(LEN(CU66)&gt;0,CU66/CU19,"")</f>
        <v/>
      </c>
      <c r="CV65" s="30" t="str">
        <f>=IF(LEN(CV66)&gt;0,CV66/CV19,"")</f>
        <v/>
      </c>
      <c r="CW65" s="30" t="str">
        <f>=IF(LEN(CW66)&gt;0,CW66/CW19,"")</f>
        <v/>
      </c>
      <c r="CX65" s="30" t="str">
        <f>=IF(LEN(CX66)&gt;0,CX66/CX19,"")</f>
        <v/>
      </c>
      <c r="CY65" s="30" t="str">
        <f>=IF(LEN(CY66)&gt;0,CY66/CY19,"")</f>
        <v/>
      </c>
      <c r="CZ65" s="30" t="str">
        <f>=IF(LEN(CZ66)&gt;0,CZ66/CZ19,"")</f>
        <v/>
      </c>
      <c r="DA65" s="30" t="str">
        <f>=IF(LEN(DA66)&gt;0,DA66/DA19,"")</f>
        <v/>
      </c>
      <c r="DB65" s="30" t="str">
        <f>=IF(LEN(DB66)&gt;0,DB66/DB19,"")</f>
        <v/>
      </c>
    </row>
    <row r="66" spans="1:106" x14ac:dyDescent="0.25">
      <c r="A66" s="36" t="s">
        <v>291</v>
      </c>
      <c r="C66" s="30">
        <f>=IF(Len(C82)&gt;0,C82,"")</f>
        <v>1</v>
      </c>
      <c r="D66" s="30">
        <f>=IF(Len(D82)&gt;0,D82,"")</f>
        <v>0</v>
      </c>
      <c r="E66" s="30">
        <f>=IF(Len(E82)&gt;0,E82,"")</f>
        <v>1</v>
      </c>
      <c r="F66" s="30">
        <f>=IF(Len(F82)&gt;0,F82,"")</f>
        <v>0</v>
      </c>
      <c r="G66" s="30">
        <f>=IF(Len(G82)&gt;0,G82,"")</f>
        <v>1</v>
      </c>
      <c r="H66" s="30">
        <f>=IF(Len(H82)&gt;0,H82,"")</f>
        <v>1</v>
      </c>
      <c r="I66" s="30">
        <f>=IF(Len(I82)&gt;0,I82,"")</f>
        <v>1</v>
      </c>
      <c r="J66" s="30">
        <f>=IF(Len(J82)&gt;0,J82,"")</f>
        <v>1</v>
      </c>
      <c r="K66" s="30">
        <f>=IF(Len(K82)&gt;0,K82,"")</f>
        <v>0</v>
      </c>
      <c r="L66" s="30">
        <f>=IF(Len(L82)&gt;0,L82,"")</f>
        <v>0</v>
      </c>
      <c r="M66" s="30">
        <f>=IF(Len(M82)&gt;0,M82,"")</f>
        <v>0</v>
      </c>
      <c r="N66" s="30">
        <f>=IF(Len(N82)&gt;0,N82,"")</f>
        <v>1</v>
      </c>
      <c r="O66" s="30">
        <f>=IF(Len(O82)&gt;0,O82,"")</f>
        <v>0</v>
      </c>
      <c r="P66" s="30">
        <f>=IF(Len(P82)&gt;0,P82,"")</f>
        <v>1</v>
      </c>
      <c r="Q66" s="30">
        <f>=IF(Len(Q82)&gt;0,Q82,"")</f>
        <v>0</v>
      </c>
      <c r="R66" s="30">
        <f>=IF(Len(R82)&gt;0,R82,"")</f>
        <v>0</v>
      </c>
      <c r="S66" s="30">
        <f>=IF(Len(S82)&gt;0,S82,"")</f>
        <v>0</v>
      </c>
      <c r="T66" s="30">
        <f>=IF(Len(T82)&gt;0,T82,"")</f>
        <v>1</v>
      </c>
      <c r="U66" s="30">
        <f>=IF(Len(U82)&gt;0,U82,"")</f>
        <v>0</v>
      </c>
      <c r="V66" s="30">
        <f>=IF(Len(V82)&gt;0,V82,"")</f>
        <v>0</v>
      </c>
      <c r="W66" s="30">
        <f>=IF(Len(W82)&gt;0,W82,"")</f>
        <v>3</v>
      </c>
      <c r="X66" s="30">
        <f>=IF(Len(X82)&gt;0,X82,"")</f>
        <v>0</v>
      </c>
      <c r="Y66" s="30">
        <f>=IF(Len(Y82)&gt;0,Y82,"")</f>
        <v>0</v>
      </c>
      <c r="Z66" s="30">
        <f>=IF(Len(Z82)&gt;0,Z82,"")</f>
        <v>0</v>
      </c>
      <c r="AA66" s="30">
        <f>=IF(Len(AA82)&gt;0,AA82,"")</f>
        <v>1</v>
      </c>
      <c r="AB66" s="30">
        <f>=IF(Len(AB82)&gt;0,AB82,"")</f>
        <v>1</v>
      </c>
      <c r="AC66" s="30">
        <f>=IF(Len(AC82)&gt;0,AC82,"")</f>
        <v>0</v>
      </c>
      <c r="AD66" s="30">
        <f>=IF(Len(AD82)&gt;0,AD82,"")</f>
        <v>0</v>
      </c>
      <c r="AE66" s="30">
        <f>=IF(Len(AE82)&gt;0,AE82,"")</f>
        <v>1</v>
      </c>
      <c r="AF66" s="30">
        <f>=IF(Len(AF82)&gt;0,AF82,"")</f>
        <v>0</v>
      </c>
      <c r="AG66" s="30">
        <f>=IF(Len(AG82)&gt;0,AG82,"")</f>
        <v>0</v>
      </c>
      <c r="AH66" s="30">
        <f>=IF(Len(AH82)&gt;0,AH82,"")</f>
        <v>0</v>
      </c>
      <c r="AI66" s="30">
        <f>=IF(Len(AI82)&gt;0,AI82,"")</f>
        <v>1</v>
      </c>
      <c r="AJ66" s="30">
        <f>=IF(Len(AJ82)&gt;0,AJ82,"")</f>
        <v>1</v>
      </c>
      <c r="AK66" s="30">
        <f>=IF(Len(AK82)&gt;0,AK82,"")</f>
        <v>0</v>
      </c>
      <c r="AL66" s="30">
        <f>=IF(Len(AL82)&gt;0,AL82,"")</f>
        <v>0</v>
      </c>
      <c r="AM66" s="30">
        <f>=IF(Len(AM82)&gt;0,AM82,"")</f>
        <v>0</v>
      </c>
      <c r="AN66" s="30">
        <f>=IF(Len(AN82)&gt;0,AN82,"")</f>
        <v>0</v>
      </c>
      <c r="AO66" s="30">
        <f>=IF(Len(AO82)&gt;0,AO82,"")</f>
        <v>0</v>
      </c>
      <c r="AP66" s="30">
        <f>=IF(Len(AP82)&gt;0,AP82,"")</f>
        <v>0</v>
      </c>
      <c r="AQ66" s="30">
        <f>=IF(Len(AQ82)&gt;0,AQ82,"")</f>
        <v>0</v>
      </c>
      <c r="AR66" s="30">
        <f>=IF(Len(AR82)&gt;0,AR82,"")</f>
        <v>0</v>
      </c>
      <c r="AS66" s="30">
        <f>=IF(Len(AS82)&gt;0,AS82,"")</f>
        <v>1</v>
      </c>
      <c r="AT66" s="30">
        <f>=IF(Len(AT82)&gt;0,AT82,"")</f>
        <v>3</v>
      </c>
      <c r="AU66" s="30">
        <f>=IF(Len(AU82)&gt;0,AU82,"")</f>
        <v>1</v>
      </c>
      <c r="AV66" s="30">
        <f>=IF(Len(AV82)&gt;0,AV82,"")</f>
        <v>1</v>
      </c>
      <c r="AW66" s="30">
        <f>=IF(Len(AW82)&gt;0,AW82,"")</f>
        <v>0</v>
      </c>
      <c r="AX66" s="30">
        <f>=IF(Len(AX82)&gt;0,AX82,"")</f>
        <v>0</v>
      </c>
      <c r="AY66" s="30">
        <f>=IF(Len(AY82)&gt;0,AY82,"")</f>
        <v>1</v>
      </c>
      <c r="AZ66" s="30">
        <f>=IF(Len(AZ82)&gt;0,AZ82,"")</f>
        <v>0</v>
      </c>
      <c r="BA66" s="30">
        <f>=IF(Len(BA82)&gt;0,BA82,"")</f>
        <v>0</v>
      </c>
      <c r="BB66" s="30">
        <f>=IF(Len(BB82)&gt;0,BB82,"")</f>
        <v>1</v>
      </c>
      <c r="BC66" s="30">
        <f>=IF(Len(BC82)&gt;0,BC82,"")</f>
        <v>0</v>
      </c>
      <c r="BD66" s="30">
        <f>=IF(Len(BD82)&gt;0,BD82,"")</f>
        <v>0</v>
      </c>
      <c r="BE66" s="30">
        <f>=IF(Len(BE82)&gt;0,BE82,"")</f>
        <v>1</v>
      </c>
      <c r="BF66" s="30">
        <f>=IF(Len(BF82)&gt;0,BF82,"")</f>
        <v>1</v>
      </c>
      <c r="BG66" s="30">
        <f>=IF(Len(BG82)&gt;0,BG82,"")</f>
        <v>0</v>
      </c>
      <c r="BH66" s="30">
        <f>=IF(Len(BH82)&gt;0,BH82,"")</f>
        <v>0</v>
      </c>
      <c r="BI66" s="30">
        <f>=IF(Len(BI82)&gt;0,BI82,"")</f>
        <v>1</v>
      </c>
      <c r="BJ66" s="30">
        <f>=IF(Len(BJ82)&gt;0,BJ82,"")</f>
        <v>1</v>
      </c>
      <c r="BK66" s="30">
        <f>=IF(Len(BK82)&gt;0,BK82,"")</f>
        <v>0</v>
      </c>
      <c r="BL66" s="30">
        <f>=IF(Len(BL82)&gt;0,BL82,"")</f>
        <v>0</v>
      </c>
      <c r="BM66" s="30">
        <f>=IF(Len(BM82)&gt;0,BM82,"")</f>
        <v>0</v>
      </c>
      <c r="BN66" s="30">
        <f>=IF(Len(BN82)&gt;0,BN82,"")</f>
        <v>0</v>
      </c>
      <c r="BO66" s="30">
        <f>=IF(Len(BO82)&gt;0,BO82,"")</f>
        <v>0</v>
      </c>
      <c r="BP66" s="30">
        <f>=IF(Len(BP82)&gt;0,BP82,"")</f>
        <v>0</v>
      </c>
      <c r="BQ66" s="30">
        <f>=IF(Len(BQ82)&gt;0,BQ82,"")</f>
        <v>0</v>
      </c>
      <c r="BR66" s="30">
        <f>=IF(Len(BR82)&gt;0,BR82,"")</f>
        <v>0</v>
      </c>
      <c r="BS66" s="30">
        <f>=IF(Len(BS82)&gt;0,BS82,"")</f>
        <v>0</v>
      </c>
      <c r="BT66" s="30">
        <f>=IF(Len(BT82)&gt;0,BT82,"")</f>
        <v>1</v>
      </c>
      <c r="BU66" s="30">
        <f>=IF(Len(BU82)&gt;0,BU82,"")</f>
        <v>0</v>
      </c>
      <c r="BV66" s="30">
        <f>=IF(Len(BV82)&gt;0,BV82,"")</f>
        <v>0</v>
      </c>
      <c r="BW66" s="30">
        <f>=IF(Len(BW82)&gt;0,BW82,"")</f>
        <v>0</v>
      </c>
      <c r="BX66" s="30">
        <f>=IF(Len(BX82)&gt;0,BX82,"")</f>
        <v>0</v>
      </c>
      <c r="BY66" s="30">
        <f>=IF(Len(BY82)&gt;0,BY82,"")</f>
        <v>0</v>
      </c>
      <c r="BZ66" s="30" t="str">
        <f>=IF(Len(BZ82)&gt;0,BZ82,"")</f>
        <v/>
      </c>
      <c r="CA66" s="30" t="str">
        <f>=IF(Len(CA82)&gt;0,CA82,"")</f>
        <v/>
      </c>
      <c r="CB66" s="30" t="str">
        <f>=IF(Len(CB82)&gt;0,CB82,"")</f>
        <v/>
      </c>
      <c r="CC66" s="30" t="str">
        <f>=IF(Len(CC82)&gt;0,CC82,"")</f>
        <v/>
      </c>
      <c r="CD66" s="30" t="str">
        <f>=IF(Len(CD82)&gt;0,CD82,"")</f>
        <v/>
      </c>
      <c r="CE66" s="30" t="str">
        <f>=IF(Len(CE82)&gt;0,CE82,"")</f>
        <v/>
      </c>
      <c r="CF66" s="30" t="str">
        <f>=IF(Len(CF82)&gt;0,CF82,"")</f>
        <v/>
      </c>
      <c r="CG66" s="30" t="str">
        <f>=IF(Len(CG82)&gt;0,CG82,"")</f>
        <v/>
      </c>
      <c r="CH66" s="30" t="str">
        <f>=IF(Len(CH82)&gt;0,CH82,"")</f>
        <v/>
      </c>
      <c r="CI66" s="30" t="str">
        <f>=IF(Len(CI82)&gt;0,CI82,"")</f>
        <v/>
      </c>
      <c r="CJ66" s="30" t="str">
        <f>=IF(Len(CJ82)&gt;0,CJ82,"")</f>
        <v/>
      </c>
      <c r="CK66" s="30" t="str">
        <f>=IF(Len(CK82)&gt;0,CK82,"")</f>
        <v/>
      </c>
      <c r="CL66" s="30" t="str">
        <f>=IF(Len(CL82)&gt;0,CL82,"")</f>
        <v/>
      </c>
      <c r="CM66" s="30" t="str">
        <f>=IF(Len(CM82)&gt;0,CM82,"")</f>
        <v/>
      </c>
      <c r="CN66" s="30" t="str">
        <f>=IF(Len(CN82)&gt;0,CN82,"")</f>
        <v/>
      </c>
      <c r="CO66" s="30" t="str">
        <f>=IF(Len(CO82)&gt;0,CO82,"")</f>
        <v/>
      </c>
      <c r="CP66" s="30" t="str">
        <f>=IF(Len(CP82)&gt;0,CP82,"")</f>
        <v/>
      </c>
      <c r="CQ66" s="30" t="str">
        <f>=IF(Len(CQ82)&gt;0,CQ82,"")</f>
        <v/>
      </c>
      <c r="CR66" s="30" t="str">
        <f>=IF(Len(CR82)&gt;0,CR82,"")</f>
        <v/>
      </c>
      <c r="CS66" s="30" t="str">
        <f>=IF(Len(CS82)&gt;0,CS82,"")</f>
        <v/>
      </c>
      <c r="CT66" s="30" t="str">
        <f>=IF(Len(CT82)&gt;0,CT82,"")</f>
        <v/>
      </c>
      <c r="CU66" s="30" t="str">
        <f>=IF(Len(CU82)&gt;0,CU82,"")</f>
        <v/>
      </c>
      <c r="CV66" s="30" t="str">
        <f>=IF(Len(CV82)&gt;0,CV82,"")</f>
        <v/>
      </c>
      <c r="CW66" s="30" t="str">
        <f>=IF(Len(CW82)&gt;0,CW82,"")</f>
        <v/>
      </c>
      <c r="CX66" s="30" t="str">
        <f>=IF(Len(CX82)&gt;0,CX82,"")</f>
        <v/>
      </c>
      <c r="CY66" s="30" t="str">
        <f>=IF(Len(CY82)&gt;0,CY82,"")</f>
        <v/>
      </c>
      <c r="CZ66" s="30" t="str">
        <f>=IF(Len(CZ82)&gt;0,CZ82,"")</f>
        <v/>
      </c>
      <c r="DA66" s="30" t="str">
        <f>=IF(Len(DA82)&gt;0,DA82,"")</f>
        <v/>
      </c>
      <c r="DB66" s="30" t="str">
        <f>=IF(Len(DB82)&gt;0,DB82,"")</f>
        <v/>
      </c>
    </row>
    <row r="67" spans="1:106" x14ac:dyDescent="0.25">
      <c r="A67" s="20" t="s">
        <v>292</v>
      </c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1">
        <f>=IF(LEN(BB68)&gt;0,IF(BB68&lt;=0,0,BB68/(((SUM(BA121:BA130)-BA130)+(SUM(BB121:BB130)-BB121)/2))),"")</f>
        <v>0</v>
      </c>
      <c r="BC67" s="31">
        <f>=IF(LEN(BC68)&gt;0,IF(BC68&lt;=0,0,BC68/(((SUM(BB121:BB130)-BB130)+(SUM(BC121:BC130)-BC121)/2))),"")</f>
        <v>0</v>
      </c>
      <c r="BD67" s="31">
        <f>=IF(LEN(BD68)&gt;0,IF(BD68&lt;=0,0,BD68/(((SUM(BC121:BC130)-BC130)+(SUM(BD121:BD130)-BD121)/2))),"")</f>
        <v>0</v>
      </c>
      <c r="BE67" s="31">
        <f>=IF(LEN(BE68)&gt;0,IF(BE68&lt;=0,0,BE68/(((SUM(BD121:BD130)-BD130)+(SUM(BE121:BE130)-BE121)/2))),"")</f>
        <v>0.07692307692307693</v>
      </c>
      <c r="BF67" s="31">
        <f>=IF(LEN(BF68)&gt;0,IF(BF68&lt;=0,0,BF68/(((SUM(BE121:BE130)-BE130)+(SUM(BF121:BF130)-BF121)/2))),"")</f>
        <v>0.0425531914893617</v>
      </c>
      <c r="BG67" s="31">
        <f>=IF(LEN(BG68)&gt;0,IF(BG68&lt;=0,0,BG68/(((SUM(BF121:BF130)-BF130)+(SUM(BG121:BG130)-BG121)/2))),"")</f>
        <v>0</v>
      </c>
      <c r="BH67" s="31">
        <f>=IF(LEN(BH68)&gt;0,IF(BH68&lt;=0,0,BH68/(((SUM(BG121:BG130)-BG130)+(SUM(BH121:BH130)-BH121)/2))),"")</f>
        <v>0</v>
      </c>
      <c r="BI67" s="31">
        <f>=IF(LEN(BI68)&gt;0,IF(BI68&lt;=0,0,BI68/(((SUM(BH121:BH130)-BH130)+(SUM(BI121:BI130)-BI121)/2))),"")</f>
        <v>0</v>
      </c>
      <c r="BJ67" s="31">
        <f>=IF(LEN(BJ68)&gt;0,IF(BJ68&lt;=0,0,BJ68/(((SUM(BI121:BI130)-BI130)+(SUM(BJ121:BJ130)-BJ121)/2))),"")</f>
        <v>0</v>
      </c>
      <c r="BK67" s="31">
        <f>=IF(LEN(BK68)&gt;0,IF(BK68&lt;=0,0,BK68/(((SUM(BJ121:BJ130)-BJ130)+(SUM(BK121:BK130)-BK121)/2))),"")</f>
        <v>0</v>
      </c>
      <c r="BL67" s="31">
        <f>=IF(LEN(BL68)&gt;0,IF(BL68&lt;=0,0,BL68/(((SUM(BK121:BK130)-BK130)+(SUM(BL121:BL130)-BL121)/2))),"")</f>
        <v>0</v>
      </c>
      <c r="BM67" s="31">
        <f>=IF(LEN(BM68)&gt;0,IF(BM68&lt;=0,0,BM68/(((SUM(BL121:BL130)-BL130)+(SUM(BM121:BM130)-BM121)/2))),"")</f>
        <v>0</v>
      </c>
      <c r="BN67" s="31">
        <f>=IF(LEN(BN68)&gt;0,IF(BN68&lt;=0,0,BN68/(((SUM(BM121:BM130)-BM130)+(SUM(BN121:BN130)-BN121)/2))),"")</f>
        <v>0</v>
      </c>
      <c r="BO67" s="31">
        <f>=IF(LEN(BO68)&gt;0,IF(BO68&lt;=0,0,BO68/(((SUM(BN121:BN130)-BN130)+(SUM(BO121:BO130)-BO121)/2))),"")</f>
        <v>0</v>
      </c>
      <c r="BP67" s="31">
        <f>=IF(LEN(BP68)&gt;0,IF(BP68&lt;=0,0,BP68/(((SUM(BO121:BO130)-BO130)+(SUM(BP121:BP130)-BP121)/2))),"")</f>
        <v>0</v>
      </c>
      <c r="BQ67" s="31">
        <f>=IF(LEN(BQ68)&gt;0,IF(BQ68&lt;=0,0,BQ68/(((SUM(BP121:BP130)-BP130)+(SUM(BQ121:BQ130)-BQ121)/2))),"")</f>
        <v>0</v>
      </c>
      <c r="BR67" s="31">
        <f>=IF(LEN(BR68)&gt;0,IF(BR68&lt;=0,0,BR68/(((SUM(BQ121:BQ130)-BQ130)+(SUM(BR121:BR130)-BR121)/2))),"")</f>
        <v>0</v>
      </c>
      <c r="BS67" s="31">
        <f>=IF(LEN(BS68)&gt;0,IF(BS68&lt;=0,0,BS68/(((SUM(BR121:BR130)-BR130)+(SUM(BS121:BS130)-BS121)/2))),"")</f>
        <v>0</v>
      </c>
      <c r="BT67" s="31">
        <f>=IF(LEN(BT68)&gt;0,IF(BT68&lt;=0,0,BT68/(((SUM(BS121:BS130)-BS130)+(SUM(BT121:BT130)-BT121)/2))),"")</f>
        <v>0</v>
      </c>
      <c r="BU67" s="31">
        <f>=IF(LEN(BU68)&gt;0,IF(BU68&lt;=0,0,BU68/(((SUM(BT121:BT130)-BT130)+(SUM(BU121:BU130)-BU121)/2))),"")</f>
        <v>0</v>
      </c>
      <c r="BV67" s="30">
        <f>=IF(LEN(BV68)&gt;0,IF(BV68&lt;=0,0,BV68/(((SUM(BU121:BU130)-BU130)+(SUM(BV121:BV130)-BV121)/2))),"")</f>
        <v>0</v>
      </c>
      <c r="BW67" s="30" t="str">
        <f>=IF(LEN(BW68)&gt;0,IF(BW68&lt;=0,0,BW68/(((SUM(BV121:BV130)-BV130)+(SUM(BW121:BW130)-BW121)/2))),"")</f>
        <v/>
      </c>
      <c r="BX67" s="30" t="str">
        <f>=IF(LEN(BX68)&gt;0,IF(BX68&lt;=0,0,BX68/(((SUM(BW121:BW130)-BW130)+(SUM(BX121:BX130)-BX121)/2))),"")</f>
        <v/>
      </c>
      <c r="BY67" s="30" t="str">
        <f>=IF(LEN(BY68)&gt;0,IF(BY68&lt;=0,0,BY68/(((SUM(BX121:BX130)-BX130)+(SUM(BY121:BY130)-BY121)/2))),"")</f>
        <v/>
      </c>
      <c r="BZ67" s="30" t="str">
        <f>=IF(LEN(BZ68)&gt;0,IF(BZ68&lt;=0,0,BZ68/(((SUM(BY121:BY130)-BY130)+(SUM(BZ121:BZ130)-BZ121)/2))),"")</f>
        <v/>
      </c>
      <c r="CA67" s="30" t="str">
        <f>=IF(LEN(CA68)&gt;0,IF(CA68&lt;=0,0,CA68/(((SUM(BZ121:BZ130)-BZ130)+(SUM(CA121:CA130)-CA121)/2))),"")</f>
        <v/>
      </c>
      <c r="CB67" s="30" t="str">
        <f>=IF(LEN(CB68)&gt;0,IF(CB68&lt;=0,0,CB68/(((SUM(CA121:CA130)-CA130)+(SUM(CB121:CB130)-CB121)/2))),"")</f>
        <v/>
      </c>
      <c r="CC67" s="30" t="str">
        <f>=IF(LEN(CC68)&gt;0,IF(CC68&lt;=0,0,CC68/(((SUM(CB121:CB130)-CB130)+(SUM(CC121:CC130)-CC121)/2))),"")</f>
        <v/>
      </c>
      <c r="CD67" s="30" t="str">
        <f>=IF(LEN(CD68)&gt;0,IF(CD68&lt;=0,0,CD68/(((SUM(CC121:CC130)-CC130)+(SUM(CD121:CD130)-CD121)/2))),"")</f>
        <v/>
      </c>
      <c r="CE67" s="30" t="str">
        <f>=IF(LEN(CE68)&gt;0,IF(CE68&lt;=0,0,CE68/(((SUM(CD121:CD130)-CD130)+(SUM(CE121:CE130)-CE121)/2))),"")</f>
        <v/>
      </c>
      <c r="CF67" s="30" t="str">
        <f>=IF(LEN(CF68)&gt;0,IF(CF68&lt;=0,0,CF68/(((SUM(CE121:CE130)-CE130)+(SUM(CF121:CF130)-CF121)/2))),"")</f>
        <v/>
      </c>
      <c r="CG67" s="30" t="str">
        <f>=IF(LEN(CG68)&gt;0,IF(CG68&lt;=0,0,CG68/(((SUM(CF121:CF130)-CF130)+(SUM(CG121:CG130)-CG121)/2))),"")</f>
        <v/>
      </c>
      <c r="CH67" s="30" t="str">
        <f>=IF(LEN(CH68)&gt;0,IF(CH68&lt;=0,0,CH68/(((SUM(CG121:CG130)-CG130)+(SUM(CH121:CH130)-CH121)/2))),"")</f>
        <v/>
      </c>
      <c r="CI67" s="30" t="str">
        <f>=IF(LEN(CI68)&gt;0,IF(CI68&lt;=0,0,CI68/(((SUM(CH121:CH130)-CH130)+(SUM(CI121:CI130)-CI121)/2))),"")</f>
        <v/>
      </c>
      <c r="CJ67" s="30" t="str">
        <f>=IF(LEN(CJ68)&gt;0,IF(CJ68&lt;=0,0,CJ68/(((SUM(CI121:CI130)-CI130)+(SUM(CJ121:CJ130)-CJ121)/2))),"")</f>
        <v/>
      </c>
      <c r="CK67" s="30" t="str">
        <f>=IF(LEN(CK68)&gt;0,IF(CK68&lt;=0,0,CK68/(((SUM(CJ121:CJ130)-CJ130)+(SUM(CK121:CK130)-CK121)/2))),"")</f>
        <v/>
      </c>
      <c r="CL67" s="30" t="str">
        <f>=IF(LEN(CL68)&gt;0,IF(CL68&lt;=0,0,CL68/(((SUM(CK121:CK130)-CK130)+(SUM(CL121:CL130)-CL121)/2))),"")</f>
        <v/>
      </c>
      <c r="CM67" s="30" t="str">
        <f>=IF(LEN(CM68)&gt;0,IF(CM68&lt;=0,0,CM68/(((SUM(CL121:CL130)-CL130)+(SUM(CM121:CM130)-CM121)/2))),"")</f>
        <v/>
      </c>
      <c r="CN67" s="30" t="str">
        <f>=IF(LEN(CN68)&gt;0,IF(CN68&lt;=0,0,CN68/(((SUM(CM121:CM130)-CM130)+(SUM(CN121:CN130)-CN121)/2))),"")</f>
        <v/>
      </c>
      <c r="CO67" s="30" t="str">
        <f>=IF(LEN(CO68)&gt;0,IF(CO68&lt;=0,0,CO68/(((SUM(CN121:CN130)-CN130)+(SUM(CO121:CO130)-CO121)/2))),"")</f>
        <v/>
      </c>
      <c r="CP67" s="30" t="str">
        <f>=IF(LEN(CP68)&gt;0,IF(CP68&lt;=0,0,CP68/(((SUM(CO121:CO130)-CO130)+(SUM(CP121:CP130)-CP121)/2))),"")</f>
        <v/>
      </c>
      <c r="CQ67" s="30" t="str">
        <f>=IF(LEN(CQ68)&gt;0,IF(CQ68&lt;=0,0,CQ68/(((SUM(CP121:CP130)-CP130)+(SUM(CQ121:CQ130)-CQ121)/2))),"")</f>
        <v/>
      </c>
      <c r="CR67" s="30" t="str">
        <f>=IF(LEN(CR68)&gt;0,IF(CR68&lt;=0,0,CR68/(((SUM(CQ121:CQ130)-CQ130)+(SUM(CR121:CR130)-CR121)/2))),"")</f>
        <v/>
      </c>
      <c r="CS67" s="30" t="str">
        <f>=IF(LEN(CS68)&gt;0,IF(CS68&lt;=0,0,CS68/(((SUM(CR121:CR130)-CR130)+(SUM(CS121:CS130)-CS121)/2))),"")</f>
        <v/>
      </c>
      <c r="CT67" s="30" t="str">
        <f>=IF(LEN(CT68)&gt;0,IF(CT68&lt;=0,0,CT68/(((SUM(CS121:CS130)-CS130)+(SUM(CT121:CT130)-CT121)/2))),"")</f>
        <v/>
      </c>
      <c r="CU67" s="30" t="str">
        <f>=IF(LEN(CU68)&gt;0,IF(CU68&lt;=0,0,CU68/(((SUM(CT121:CT130)-CT130)+(SUM(CU121:CU130)-CU121)/2))),"")</f>
        <v/>
      </c>
      <c r="CV67" s="30" t="str">
        <f>=IF(LEN(CV68)&gt;0,IF(CV68&lt;=0,0,CV68/(((SUM(CU121:CU130)-CU130)+(SUM(CV121:CV130)-CV121)/2))),"")</f>
        <v/>
      </c>
      <c r="CW67" s="30" t="str">
        <f>=IF(LEN(CW68)&gt;0,IF(CW68&lt;=0,0,CW68/(((SUM(CV121:CV130)-CV130)+(SUM(CW121:CW130)-CW121)/2))),"")</f>
        <v/>
      </c>
      <c r="CX67" s="30" t="str">
        <f>=IF(LEN(CX68)&gt;0,IF(CX68&lt;=0,0,CX68/(((SUM(CW121:CW130)-CW130)+(SUM(CX121:CX130)-CX121)/2))),"")</f>
        <v/>
      </c>
      <c r="CY67" s="30" t="str">
        <f>=IF(LEN(CY68)&gt;0,IF(CY68&lt;=0,0,CY68/(((SUM(CX121:CX130)-CX130)+(SUM(CY121:CY130)-CY121)/2))),"")</f>
        <v/>
      </c>
      <c r="CZ67" s="30" t="str">
        <f>=IF(LEN(CZ68)&gt;0,IF(CZ68&lt;=0,0,CZ68/(((SUM(CY121:CY130)-CY130)+(SUM(CZ121:CZ130)-CZ121)/2))),"")</f>
        <v/>
      </c>
      <c r="DA67" s="30" t="str">
        <f>=IF(LEN(DA68)&gt;0,IF(DA68&lt;=0,0,DA68/(((SUM(CZ121:CZ130)-CZ130)+(SUM(DA121:DA130)-DA121)/2))),"")</f>
        <v/>
      </c>
      <c r="DB67" s="30" t="str">
        <f>=IF(LEN(DB68)&gt;0,IF(DB68&lt;=0,0,DB68/(((SUM(DA121:DA130)-DA130)+(SUM(DB121:DB130)-DB121)/2))),"")</f>
        <v/>
      </c>
    </row>
    <row r="68" spans="1:106" x14ac:dyDescent="0.25">
      <c r="A68" s="36" t="s">
        <v>293</v>
      </c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>
        <f>=IF(DATEVALUE(BB4)&lt;=$C$2-WEEKDAY($C$2,1)+1,IF(SUM(BA121:BA130)&lt;=0,0,(SUM(BA121:BA130)-BA130)-(SUM(BB121:BB130)-BB121)),"")</f>
        <v>0</v>
      </c>
      <c r="BC68" s="30">
        <f>=IF(DATEVALUE(BC4)&lt;=$C$2-WEEKDAY($C$2,1)+1,IF(SUM(BB121:BB130)&lt;=0,0,(SUM(BB121:BB130)-BB130)-(SUM(BC121:BC130)-BC121)),"")</f>
        <v>0</v>
      </c>
      <c r="BD68" s="30">
        <f>=IF(DATEVALUE(BD4)&lt;=$C$2-WEEKDAY($C$2,1)+1,IF(SUM(BC121:BC130)&lt;=0,0,(SUM(BC121:BC130)-BC130)-(SUM(BD121:BD130)-BD121)),"")</f>
        <v>0</v>
      </c>
      <c r="BE68" s="30">
        <f>=IF(DATEVALUE(BE4)&lt;=$C$2-WEEKDAY($C$2,1)+1,IF(SUM(BD121:BD130)&lt;=0,0,(SUM(BD121:BD130)-BD130)-(SUM(BE121:BE130)-BE121)),"")</f>
        <v>2</v>
      </c>
      <c r="BF68" s="30">
        <f>=IF(DATEVALUE(BF4)&lt;=$C$2-WEEKDAY($C$2,1)+1,IF(SUM(BE121:BE130)&lt;=0,0,(SUM(BE121:BE130)-BE130)-(SUM(BF121:BF130)-BF121)),"")</f>
        <v>1</v>
      </c>
      <c r="BG68" s="30">
        <f>=IF(DATEVALUE(BG4)&lt;=$C$2-WEEKDAY($C$2,1)+1,IF(SUM(BF121:BF130)&lt;=0,0,(SUM(BF121:BF130)-BF130)-(SUM(BG121:BG130)-BG121)),"")</f>
        <v>0</v>
      </c>
      <c r="BH68" s="30">
        <f>=IF(DATEVALUE(BH4)&lt;=$C$2-WEEKDAY($C$2,1)+1,IF(SUM(BG121:BG130)&lt;=0,0,(SUM(BG121:BG130)-BG130)-(SUM(BH121:BH130)-BH121)),"")</f>
        <v>0</v>
      </c>
      <c r="BI68" s="30">
        <f>=IF(DATEVALUE(BI4)&lt;=$C$2-WEEKDAY($C$2,1)+1,IF(SUM(BH121:BH130)&lt;=0,0,(SUM(BH121:BH130)-BH130)-(SUM(BI121:BI130)-BI121)),"")</f>
        <v>0</v>
      </c>
      <c r="BJ68" s="30">
        <f>=IF(DATEVALUE(BJ4)&lt;=$C$2-WEEKDAY($C$2,1)+1,IF(SUM(BI121:BI130)&lt;=0,0,(SUM(BI121:BI130)-BI130)-(SUM(BJ121:BJ130)-BJ121)),"")</f>
        <v>0</v>
      </c>
      <c r="BK68" s="30">
        <f>=IF(DATEVALUE(BK4)&lt;=$C$2-WEEKDAY($C$2,1)+1,IF(SUM(BJ121:BJ130)&lt;=0,0,(SUM(BJ121:BJ130)-BJ130)-(SUM(BK121:BK130)-BK121)),"")</f>
        <v>0</v>
      </c>
      <c r="BL68" s="30">
        <f>=IF(DATEVALUE(BL4)&lt;=$C$2-WEEKDAY($C$2,1)+1,IF(SUM(BK121:BK130)&lt;=0,0,(SUM(BK121:BK130)-BK130)-(SUM(BL121:BL130)-BL121)),"")</f>
        <v>0</v>
      </c>
      <c r="BM68" s="30">
        <f>=IF(DATEVALUE(BM4)&lt;=$C$2-WEEKDAY($C$2,1)+1,IF(SUM(BL121:BL130)&lt;=0,0,(SUM(BL121:BL130)-BL130)-(SUM(BM121:BM130)-BM121)),"")</f>
        <v>0</v>
      </c>
      <c r="BN68" s="30">
        <f>=IF(DATEVALUE(BN4)&lt;=$C$2-WEEKDAY($C$2,1)+1,IF(SUM(BM121:BM130)&lt;=0,0,(SUM(BM121:BM130)-BM130)-(SUM(BN121:BN130)-BN121)),"")</f>
        <v>0</v>
      </c>
      <c r="BO68" s="30">
        <f>=IF(DATEVALUE(BO4)&lt;=$C$2-WEEKDAY($C$2,1)+1,IF(SUM(BN121:BN130)&lt;=0,0,(SUM(BN121:BN130)-BN130)-(SUM(BO121:BO130)-BO121)),"")</f>
        <v>0</v>
      </c>
      <c r="BP68" s="30">
        <f>=IF(DATEVALUE(BP4)&lt;=$C$2-WEEKDAY($C$2,1)+1,IF(SUM(BO121:BO130)&lt;=0,0,(SUM(BO121:BO130)-BO130)-(SUM(BP121:BP130)-BP121)),"")</f>
        <v>0</v>
      </c>
      <c r="BQ68" s="30">
        <f>=IF(DATEVALUE(BQ4)&lt;=$C$2-WEEKDAY($C$2,1)+1,IF(SUM(BP121:BP130)&lt;=0,0,(SUM(BP121:BP130)-BP130)-(SUM(BQ121:BQ130)-BQ121)),"")</f>
        <v>0</v>
      </c>
      <c r="BR68" s="30">
        <f>=IF(DATEVALUE(BR4)&lt;=$C$2-WEEKDAY($C$2,1)+1,IF(SUM(BQ121:BQ130)&lt;=0,0,(SUM(BQ121:BQ130)-BQ130)-(SUM(BR121:BR130)-BR121)),"")</f>
        <v>0</v>
      </c>
      <c r="BS68" s="30">
        <f>=IF(DATEVALUE(BS4)&lt;=$C$2-WEEKDAY($C$2,1)+1,IF(SUM(BR121:BR130)&lt;=0,0,(SUM(BR121:BR130)-BR130)-(SUM(BS121:BS130)-BS121)),"")</f>
        <v>0</v>
      </c>
      <c r="BT68" s="30">
        <f>=IF(DATEVALUE(BT4)&lt;=$C$2-WEEKDAY($C$2,1)+1,IF(SUM(BS121:BS130)&lt;=0,0,(SUM(BS121:BS130)-BS130)-(SUM(BT121:BT130)-BT121)),"")</f>
        <v>0</v>
      </c>
      <c r="BU68" s="30">
        <f>=IF(DATEVALUE(BU4)&lt;=$C$2-WEEKDAY($C$2,1)+1,IF(SUM(BT121:BT130)&lt;=0,0,(SUM(BT121:BT130)-BT130)-(SUM(BU121:BU130)-BU121)),"")</f>
        <v>0</v>
      </c>
      <c r="BV68" s="30">
        <f>=IF(DATEVALUE(BV4)&lt;=$C$2-WEEKDAY($C$2,1)+1,IF(SUM(BU121:BU130)&lt;=0,0,(SUM(BU121:BU130)-BU130)-(SUM(BV121:BV130)-BV121)),"")</f>
        <v>0</v>
      </c>
      <c r="BW68" s="30" t="str">
        <f>=IF(DATEVALUE(BW4)&lt;=$C$2-WEEKDAY($C$2,1)+1,IF(SUM(BV121:BV130)&lt;=0,0,(SUM(BV121:BV130)-BV130)-(SUM(BW121:BW130)-BW121)),"")</f>
        <v/>
      </c>
      <c r="BX68" s="30" t="str">
        <f>=IF(DATEVALUE(BX4)&lt;=$C$2-WEEKDAY($C$2,1)+1,IF(SUM(BW121:BW130)&lt;=0,0,(SUM(BW121:BW130)-BW130)-(SUM(BX121:BX130)-BX121)),"")</f>
        <v/>
      </c>
      <c r="BY68" s="30" t="str">
        <f>=IF(DATEVALUE(BY4)&lt;=$C$2-WEEKDAY($C$2,1)+1,IF(SUM(BX121:BX130)&lt;=0,0,(SUM(BX121:BX130)-BX130)-(SUM(BY121:BY130)-BY121)),"")</f>
        <v/>
      </c>
      <c r="BZ68" s="30" t="str">
        <f>=IF(DATEVALUE(BZ4)&lt;=$C$2-WEEKDAY($C$2,1)+1,IF(SUM(BY121:BY130)&lt;=0,0,(SUM(BY121:BY130)-BY130)-(SUM(BZ121:BZ130)-BZ121)),"")</f>
        <v/>
      </c>
      <c r="CA68" s="30" t="str">
        <f>=IF(DATEVALUE(CA4)&lt;=$C$2-WEEKDAY($C$2,1)+1,IF(SUM(BZ121:BZ130)&lt;=0,0,(SUM(BZ121:BZ130)-BZ130)-(SUM(CA121:CA130)-CA121)),"")</f>
        <v/>
      </c>
      <c r="CB68" s="30" t="str">
        <f>=IF(DATEVALUE(CB4)&lt;=$C$2-WEEKDAY($C$2,1)+1,IF(SUM(CA121:CA130)&lt;=0,0,(SUM(CA121:CA130)-CA130)-(SUM(CB121:CB130)-CB121)),"")</f>
        <v/>
      </c>
      <c r="CC68" s="30" t="str">
        <f>=IF(DATEVALUE(CC4)&lt;=$C$2-WEEKDAY($C$2,1)+1,IF(SUM(CB121:CB130)&lt;=0,0,(SUM(CB121:CB130)-CB130)-(SUM(CC121:CC130)-CC121)),"")</f>
        <v/>
      </c>
      <c r="CD68" s="30" t="str">
        <f>=IF(DATEVALUE(CD4)&lt;=$C$2-WEEKDAY($C$2,1)+1,IF(SUM(CC121:CC130)&lt;=0,0,(SUM(CC121:CC130)-CC130)-(SUM(CD121:CD130)-CD121)),"")</f>
        <v/>
      </c>
      <c r="CE68" s="30" t="str">
        <f>=IF(DATEVALUE(CE4)&lt;=$C$2-WEEKDAY($C$2,1)+1,IF(SUM(CD121:CD130)&lt;=0,0,(SUM(CD121:CD130)-CD130)-(SUM(CE121:CE130)-CE121)),"")</f>
        <v/>
      </c>
      <c r="CF68" s="30" t="str">
        <f>=IF(DATEVALUE(CF4)&lt;=$C$2-WEEKDAY($C$2,1)+1,IF(SUM(CE121:CE130)&lt;=0,0,(SUM(CE121:CE130)-CE130)-(SUM(CF121:CF130)-CF121)),"")</f>
        <v/>
      </c>
      <c r="CG68" s="30" t="str">
        <f>=IF(DATEVALUE(CG4)&lt;=$C$2-WEEKDAY($C$2,1)+1,IF(SUM(CF121:CF130)&lt;=0,0,(SUM(CF121:CF130)-CF130)-(SUM(CG121:CG130)-CG121)),"")</f>
        <v/>
      </c>
      <c r="CH68" s="30" t="str">
        <f>=IF(DATEVALUE(CH4)&lt;=$C$2-WEEKDAY($C$2,1)+1,IF(SUM(CG121:CG130)&lt;=0,0,(SUM(CG121:CG130)-CG130)-(SUM(CH121:CH130)-CH121)),"")</f>
        <v/>
      </c>
      <c r="CI68" s="30" t="str">
        <f>=IF(DATEVALUE(CI4)&lt;=$C$2-WEEKDAY($C$2,1)+1,IF(SUM(CH121:CH130)&lt;=0,0,(SUM(CH121:CH130)-CH130)-(SUM(CI121:CI130)-CI121)),"")</f>
        <v/>
      </c>
      <c r="CJ68" s="30" t="str">
        <f>=IF(DATEVALUE(CJ4)&lt;=$C$2-WEEKDAY($C$2,1)+1,IF(SUM(CI121:CI130)&lt;=0,0,(SUM(CI121:CI130)-CI130)-(SUM(CJ121:CJ130)-CJ121)),"")</f>
        <v/>
      </c>
      <c r="CK68" s="30" t="str">
        <f>=IF(DATEVALUE(CK4)&lt;=$C$2-WEEKDAY($C$2,1)+1,IF(SUM(CJ121:CJ130)&lt;=0,0,(SUM(CJ121:CJ130)-CJ130)-(SUM(CK121:CK130)-CK121)),"")</f>
        <v/>
      </c>
      <c r="CL68" s="30" t="str">
        <f>=IF(DATEVALUE(CL4)&lt;=$C$2-WEEKDAY($C$2,1)+1,IF(SUM(CK121:CK130)&lt;=0,0,(SUM(CK121:CK130)-CK130)-(SUM(CL121:CL130)-CL121)),"")</f>
        <v/>
      </c>
      <c r="CM68" s="30" t="str">
        <f>=IF(DATEVALUE(CM4)&lt;=$C$2-WEEKDAY($C$2,1)+1,IF(SUM(CL121:CL130)&lt;=0,0,(SUM(CL121:CL130)-CL130)-(SUM(CM121:CM130)-CM121)),"")</f>
        <v/>
      </c>
      <c r="CN68" s="30" t="str">
        <f>=IF(DATEVALUE(CN4)&lt;=$C$2-WEEKDAY($C$2,1)+1,IF(SUM(CM121:CM130)&lt;=0,0,(SUM(CM121:CM130)-CM130)-(SUM(CN121:CN130)-CN121)),"")</f>
        <v/>
      </c>
      <c r="CO68" s="30" t="str">
        <f>=IF(DATEVALUE(CO4)&lt;=$C$2-WEEKDAY($C$2,1)+1,IF(SUM(CN121:CN130)&lt;=0,0,(SUM(CN121:CN130)-CN130)-(SUM(CO121:CO130)-CO121)),"")</f>
        <v/>
      </c>
      <c r="CP68" s="30" t="str">
        <f>=IF(DATEVALUE(CP4)&lt;=$C$2-WEEKDAY($C$2,1)+1,IF(SUM(CO121:CO130)&lt;=0,0,(SUM(CO121:CO130)-CO130)-(SUM(CP121:CP130)-CP121)),"")</f>
        <v/>
      </c>
      <c r="CQ68" s="30" t="str">
        <f>=IF(DATEVALUE(CQ4)&lt;=$C$2-WEEKDAY($C$2,1)+1,IF(SUM(CP121:CP130)&lt;=0,0,(SUM(CP121:CP130)-CP130)-(SUM(CQ121:CQ130)-CQ121)),"")</f>
        <v/>
      </c>
      <c r="CR68" s="30" t="str">
        <f>=IF(DATEVALUE(CR4)&lt;=$C$2-WEEKDAY($C$2,1)+1,IF(SUM(CQ121:CQ130)&lt;=0,0,(SUM(CQ121:CQ130)-CQ130)-(SUM(CR121:CR130)-CR121)),"")</f>
        <v/>
      </c>
      <c r="CS68" s="30" t="str">
        <f>=IF(DATEVALUE(CS4)&lt;=$C$2-WEEKDAY($C$2,1)+1,IF(SUM(CR121:CR130)&lt;=0,0,(SUM(CR121:CR130)-CR130)-(SUM(CS121:CS130)-CS121)),"")</f>
        <v/>
      </c>
      <c r="CT68" s="30" t="str">
        <f>=IF(DATEVALUE(CT4)&lt;=$C$2-WEEKDAY($C$2,1)+1,IF(SUM(CS121:CS130)&lt;=0,0,(SUM(CS121:CS130)-CS130)-(SUM(CT121:CT130)-CT121)),"")</f>
        <v/>
      </c>
      <c r="CU68" s="30" t="str">
        <f>=IF(DATEVALUE(CU4)&lt;=$C$2-WEEKDAY($C$2,1)+1,IF(SUM(CT121:CT130)&lt;=0,0,(SUM(CT121:CT130)-CT130)-(SUM(CU121:CU130)-CU121)),"")</f>
        <v/>
      </c>
      <c r="CV68" s="30" t="str">
        <f>=IF(DATEVALUE(CV4)&lt;=$C$2-WEEKDAY($C$2,1)+1,IF(SUM(CU121:CU130)&lt;=0,0,(SUM(CU121:CU130)-CU130)-(SUM(CV121:CV130)-CV121)),"")</f>
        <v/>
      </c>
      <c r="CW68" s="30" t="str">
        <f>=IF(DATEVALUE(CW4)&lt;=$C$2-WEEKDAY($C$2,1)+1,IF(SUM(CV121:CV130)&lt;=0,0,(SUM(CV121:CV130)-CV130)-(SUM(CW121:CW130)-CW121)),"")</f>
        <v/>
      </c>
      <c r="CX68" s="30" t="str">
        <f>=IF(DATEVALUE(CX4)&lt;=$C$2-WEEKDAY($C$2,1)+1,IF(SUM(CW121:CW130)&lt;=0,0,(SUM(CW121:CW130)-CW130)-(SUM(CX121:CX130)-CX121)),"")</f>
        <v/>
      </c>
      <c r="CY68" s="30" t="str">
        <f>=IF(DATEVALUE(CY4)&lt;=$C$2-WEEKDAY($C$2,1)+1,IF(SUM(CX121:CX130)&lt;=0,0,(SUM(CX121:CX130)-CX130)-(SUM(CY121:CY130)-CY121)),"")</f>
        <v/>
      </c>
      <c r="CZ68" s="30" t="str">
        <f>=IF(DATEVALUE(CZ4)&lt;=$C$2-WEEKDAY($C$2,1)+1,IF(SUM(CY121:CY130)&lt;=0,0,(SUM(CY121:CY130)-CY130)-(SUM(CZ121:CZ130)-CZ121)),"")</f>
        <v/>
      </c>
      <c r="DA68" s="30" t="str">
        <f>=IF(DATEVALUE(DA4)&lt;=$C$2-WEEKDAY($C$2,1)+1,IF(SUM(CZ121:CZ130)&lt;=0,0,(SUM(CZ121:CZ130)-CZ130)-(SUM(DA121:DA130)-DA121)),"")</f>
        <v/>
      </c>
      <c r="DB68" s="30" t="str">
        <f>=IF(DATEVALUE(DB4)&lt;=$C$2-WEEKDAY($C$2,1)+1,IF(SUM(DA121:DA130)&lt;=0,0,(SUM(DA121:DA130)-DA130)-(SUM(DB121:DB130)-DB121)),"")</f>
        <v/>
      </c>
    </row>
    <row r="69" spans="1:106" x14ac:dyDescent="0.25">
      <c r="A69" s="16" t="s">
        <v>294</v>
      </c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  <c r="BP69" s="30"/>
      <c r="BQ69" s="30"/>
      <c r="BR69" s="30"/>
      <c r="BS69" s="30"/>
      <c r="BT69" s="30"/>
      <c r="BU69" s="30"/>
      <c r="BV69" s="30"/>
      <c r="BW69" s="30"/>
      <c r="BX69" s="30"/>
      <c r="BY69" s="30"/>
      <c r="BZ69" s="30"/>
      <c r="CA69" s="30"/>
      <c r="CB69" s="30"/>
      <c r="CC69" s="30"/>
      <c r="CD69" s="30"/>
      <c r="CE69" s="30"/>
      <c r="CF69" s="30"/>
      <c r="CG69" s="30"/>
      <c r="CH69" s="30"/>
      <c r="CI69" s="30"/>
      <c r="CJ69" s="30"/>
      <c r="CK69" s="30"/>
      <c r="CL69" s="30"/>
      <c r="CM69" s="30"/>
      <c r="CN69" s="30"/>
      <c r="CO69" s="30"/>
      <c r="CP69" s="30"/>
      <c r="CQ69" s="30"/>
      <c r="CR69" s="30"/>
      <c r="CS69" s="30"/>
      <c r="CT69" s="30"/>
      <c r="CU69" s="30"/>
      <c r="CV69" s="30"/>
      <c r="CW69" s="30"/>
      <c r="CX69" s="30"/>
      <c r="CY69" s="30"/>
      <c r="CZ69" s="30"/>
      <c r="DA69" s="30"/>
      <c r="DB69" s="30"/>
    </row>
    <row r="70" spans="1:106" x14ac:dyDescent="0.25">
      <c r="A70" s="16" t="s">
        <v>282</v>
      </c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/>
      <c r="BO70" s="30"/>
      <c r="BP70" s="30"/>
      <c r="BQ70" s="30"/>
      <c r="BR70" s="30"/>
      <c r="BS70" s="30"/>
      <c r="BT70" s="30"/>
      <c r="BU70" s="30"/>
      <c r="BV70" s="30"/>
      <c r="BW70" s="30"/>
      <c r="BX70" s="30"/>
      <c r="BY70" s="30"/>
      <c r="BZ70" s="30"/>
      <c r="CA70" s="30"/>
      <c r="CB70" s="30"/>
      <c r="CC70" s="30"/>
      <c r="CD70" s="30"/>
      <c r="CE70" s="30"/>
      <c r="CF70" s="30"/>
      <c r="CG70" s="30"/>
      <c r="CH70" s="30"/>
      <c r="CI70" s="30"/>
      <c r="CJ70" s="30"/>
      <c r="CK70" s="30"/>
      <c r="CL70" s="30"/>
      <c r="CM70" s="30"/>
      <c r="CN70" s="30"/>
      <c r="CO70" s="30"/>
      <c r="CP70" s="30"/>
      <c r="CQ70" s="30"/>
      <c r="CR70" s="30"/>
      <c r="CS70" s="30"/>
      <c r="CT70" s="30"/>
      <c r="CU70" s="30"/>
      <c r="CV70" s="30"/>
      <c r="CW70" s="30"/>
      <c r="CX70" s="30"/>
      <c r="CY70" s="30"/>
      <c r="CZ70" s="30"/>
      <c r="DA70" s="30"/>
      <c r="DB70" s="30"/>
    </row>
    <row r="71" spans="3:106" x14ac:dyDescent="0.25"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30"/>
      <c r="BN71" s="30"/>
      <c r="BO71" s="30"/>
      <c r="BP71" s="30"/>
      <c r="BQ71" s="30"/>
      <c r="BR71" s="30"/>
      <c r="BS71" s="30"/>
      <c r="BT71" s="30"/>
      <c r="BU71" s="30"/>
      <c r="BV71" s="30"/>
      <c r="BW71" s="30"/>
      <c r="BX71" s="30"/>
      <c r="BY71" s="30"/>
      <c r="BZ71" s="30"/>
      <c r="CA71" s="30"/>
      <c r="CB71" s="30"/>
      <c r="CC71" s="30"/>
      <c r="CD71" s="30"/>
      <c r="CE71" s="30"/>
      <c r="CF71" s="30"/>
      <c r="CG71" s="30"/>
      <c r="CH71" s="30"/>
      <c r="CI71" s="30"/>
      <c r="CJ71" s="30"/>
      <c r="CK71" s="30"/>
      <c r="CL71" s="30"/>
      <c r="CM71" s="30"/>
      <c r="CN71" s="30"/>
      <c r="CO71" s="30"/>
      <c r="CP71" s="30"/>
      <c r="CQ71" s="30"/>
      <c r="CR71" s="30"/>
      <c r="CS71" s="30"/>
      <c r="CT71" s="30"/>
      <c r="CU71" s="30"/>
      <c r="CV71" s="30"/>
      <c r="CW71" s="30"/>
      <c r="CX71" s="30"/>
      <c r="CY71" s="30"/>
      <c r="CZ71" s="30"/>
      <c r="DA71" s="30"/>
      <c r="DB71" s="30"/>
    </row>
    <row r="72" spans="1:106" x14ac:dyDescent="0.25">
      <c r="A72" s="49" t="s">
        <v>295</v>
      </c>
      <c r="B72" s="17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2"/>
      <c r="CH72" s="32"/>
      <c r="CI72" s="32"/>
      <c r="CJ72" s="32"/>
      <c r="CK72" s="32"/>
      <c r="CL72" s="32"/>
      <c r="CM72" s="32"/>
      <c r="CN72" s="32"/>
      <c r="CO72" s="32"/>
      <c r="CP72" s="32"/>
      <c r="CQ72" s="32"/>
      <c r="CR72" s="32"/>
      <c r="CS72" s="32"/>
      <c r="CT72" s="32"/>
      <c r="CU72" s="32"/>
      <c r="CV72" s="32"/>
      <c r="CW72" s="32"/>
      <c r="CX72" s="32"/>
      <c r="CY72" s="32"/>
      <c r="CZ72" s="32"/>
      <c r="DA72" s="32"/>
      <c r="DB72" s="32"/>
    </row>
    <row r="73" ht="15" customHeight="1" spans="1:106" x14ac:dyDescent="0.25">
      <c r="A73" s="16" t="s">
        <v>296</v>
      </c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</row>
    <row r="74" ht="15" customHeight="1" spans="1:106" x14ac:dyDescent="0.25">
      <c r="A74" s="16" t="s">
        <v>297</v>
      </c>
      <c r="B74" s="17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  <c r="BC74" s="50"/>
      <c r="BD74" s="50"/>
      <c r="BE74" s="50"/>
      <c r="BF74" s="50"/>
      <c r="BG74" s="50"/>
      <c r="BH74" s="50"/>
      <c r="BI74" s="50"/>
      <c r="BJ74" s="50"/>
      <c r="BK74" s="50"/>
      <c r="BL74" s="50"/>
      <c r="BM74" s="50"/>
      <c r="BN74" s="50"/>
      <c r="BO74" s="50"/>
      <c r="BP74" s="50"/>
      <c r="BQ74" s="50"/>
      <c r="BR74" s="50"/>
      <c r="BS74" s="50"/>
      <c r="BT74" s="50"/>
      <c r="BU74" s="50"/>
      <c r="BV74" s="50"/>
      <c r="BW74" s="50"/>
      <c r="BX74" s="50"/>
      <c r="BY74" s="50"/>
      <c r="BZ74" s="50"/>
      <c r="CA74" s="50"/>
      <c r="CB74" s="50"/>
      <c r="CC74" s="50"/>
      <c r="CD74" s="50"/>
      <c r="CE74" s="50"/>
      <c r="CF74" s="50"/>
      <c r="CG74" s="50"/>
      <c r="CH74" s="50"/>
      <c r="CI74" s="50"/>
      <c r="CJ74" s="50"/>
      <c r="CK74" s="50"/>
      <c r="CL74" s="50"/>
      <c r="CM74" s="50"/>
      <c r="CN74" s="50"/>
      <c r="CO74" s="50"/>
      <c r="CP74" s="50"/>
      <c r="CQ74" s="50"/>
      <c r="CR74" s="50"/>
      <c r="CS74" s="50"/>
      <c r="CT74" s="50"/>
      <c r="CU74" s="50"/>
      <c r="CV74" s="50"/>
      <c r="CW74" s="50"/>
      <c r="CX74" s="50"/>
      <c r="CY74" s="50"/>
      <c r="CZ74" s="50"/>
      <c r="DA74" s="50"/>
      <c r="DB74" s="50"/>
    </row>
    <row r="75" ht="15" customHeight="1" spans="1:106" x14ac:dyDescent="0.25">
      <c r="A75" s="51" t="s">
        <v>298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</row>
    <row r="76" ht="15" customHeight="1" spans="1:106" x14ac:dyDescent="0.25">
      <c r="A76" s="16" t="s">
        <v>299</v>
      </c>
      <c r="B76" s="17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50"/>
      <c r="AR76" s="50"/>
      <c r="AS76" s="50"/>
      <c r="AT76" s="50"/>
      <c r="AU76" s="50"/>
      <c r="AV76" s="50"/>
      <c r="AW76" s="50"/>
      <c r="AX76" s="50"/>
      <c r="AY76" s="50"/>
      <c r="AZ76" s="50"/>
      <c r="BA76" s="50"/>
      <c r="BB76" s="50"/>
      <c r="BC76" s="50"/>
      <c r="BD76" s="50"/>
      <c r="BE76" s="50"/>
      <c r="BF76" s="50"/>
      <c r="BG76" s="50"/>
      <c r="BH76" s="50"/>
      <c r="BI76" s="50"/>
      <c r="BJ76" s="50"/>
      <c r="BK76" s="50"/>
      <c r="BL76" s="50"/>
      <c r="BM76" s="50"/>
      <c r="BN76" s="50"/>
      <c r="BO76" s="50"/>
      <c r="BP76" s="50"/>
      <c r="BQ76" s="50"/>
      <c r="BR76" s="50"/>
      <c r="BS76" s="50"/>
      <c r="BT76" s="50"/>
      <c r="BU76" s="50"/>
      <c r="BV76" s="50"/>
      <c r="BW76" s="50"/>
      <c r="BX76" s="50"/>
      <c r="BY76" s="50"/>
      <c r="BZ76" s="50"/>
      <c r="CA76" s="50"/>
      <c r="CB76" s="50"/>
      <c r="CC76" s="50"/>
      <c r="CD76" s="50"/>
      <c r="CE76" s="50"/>
      <c r="CF76" s="50"/>
      <c r="CG76" s="50"/>
      <c r="CH76" s="50"/>
      <c r="CI76" s="50"/>
      <c r="CJ76" s="50"/>
      <c r="CK76" s="50"/>
      <c r="CL76" s="50"/>
      <c r="CM76" s="50"/>
      <c r="CN76" s="50"/>
      <c r="CO76" s="50"/>
      <c r="CP76" s="50"/>
      <c r="CQ76" s="50"/>
      <c r="CR76" s="50"/>
      <c r="CS76" s="50"/>
      <c r="CT76" s="50"/>
      <c r="CU76" s="50"/>
      <c r="CV76" s="50"/>
      <c r="CW76" s="50"/>
      <c r="CX76" s="50"/>
      <c r="CY76" s="50"/>
      <c r="CZ76" s="50"/>
      <c r="DA76" s="50"/>
      <c r="DB76" s="50"/>
    </row>
    <row r="77" ht="15" customHeight="1" spans="1:106" x14ac:dyDescent="0.25">
      <c r="A77" s="16" t="s">
        <v>300</v>
      </c>
      <c r="B77" s="17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50"/>
      <c r="BC77" s="50"/>
      <c r="BD77" s="50"/>
      <c r="BE77" s="50"/>
      <c r="BF77" s="50"/>
      <c r="BG77" s="50"/>
      <c r="BH77" s="50"/>
      <c r="BI77" s="50"/>
      <c r="BJ77" s="50"/>
      <c r="BK77" s="50"/>
      <c r="BL77" s="50"/>
      <c r="BM77" s="50"/>
      <c r="BN77" s="50"/>
      <c r="BO77" s="50"/>
      <c r="BP77" s="50"/>
      <c r="BQ77" s="50"/>
      <c r="BR77" s="50"/>
      <c r="BS77" s="50"/>
      <c r="BT77" s="50"/>
      <c r="BU77" s="50"/>
      <c r="BV77" s="50"/>
      <c r="BW77" s="50"/>
      <c r="BX77" s="50"/>
      <c r="BY77" s="50"/>
      <c r="BZ77" s="50"/>
      <c r="CA77" s="50"/>
      <c r="CB77" s="50"/>
      <c r="CC77" s="50"/>
      <c r="CD77" s="50"/>
      <c r="CE77" s="50"/>
      <c r="CF77" s="50"/>
      <c r="CG77" s="50"/>
      <c r="CH77" s="50"/>
      <c r="CI77" s="50"/>
      <c r="CJ77" s="50"/>
      <c r="CK77" s="50"/>
      <c r="CL77" s="50"/>
      <c r="CM77" s="50"/>
      <c r="CN77" s="50"/>
      <c r="CO77" s="50"/>
      <c r="CP77" s="50"/>
      <c r="CQ77" s="50"/>
      <c r="CR77" s="50"/>
      <c r="CS77" s="50"/>
      <c r="CT77" s="50"/>
      <c r="CU77" s="50"/>
      <c r="CV77" s="50"/>
      <c r="CW77" s="50"/>
      <c r="CX77" s="50"/>
      <c r="CY77" s="50"/>
      <c r="CZ77" s="50"/>
      <c r="DA77" s="50"/>
      <c r="DB77" s="50"/>
    </row>
    <row r="78" ht="15" customHeight="1" spans="1:106" x14ac:dyDescent="0.25">
      <c r="A78" s="16" t="s">
        <v>301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</row>
    <row r="79" spans="3:106" x14ac:dyDescent="0.25"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  <c r="BK79" s="30"/>
      <c r="BL79" s="30"/>
      <c r="BM79" s="30"/>
      <c r="BN79" s="30"/>
      <c r="BO79" s="30"/>
      <c r="BP79" s="30"/>
      <c r="BQ79" s="30"/>
      <c r="BR79" s="30"/>
      <c r="BS79" s="30"/>
      <c r="BT79" s="30"/>
      <c r="BU79" s="30"/>
      <c r="BV79" s="30"/>
      <c r="BW79" s="30"/>
      <c r="BX79" s="30"/>
      <c r="BY79" s="30"/>
      <c r="BZ79" s="30"/>
      <c r="CA79" s="30"/>
      <c r="CB79" s="30"/>
      <c r="CC79" s="30"/>
      <c r="CD79" s="30"/>
      <c r="CE79" s="30"/>
      <c r="CF79" s="30"/>
      <c r="CG79" s="30"/>
      <c r="CH79" s="30"/>
      <c r="CI79" s="30"/>
      <c r="CJ79" s="30"/>
      <c r="CK79" s="30"/>
      <c r="CL79" s="30"/>
      <c r="CM79" s="30"/>
      <c r="CN79" s="30"/>
      <c r="CO79" s="30"/>
      <c r="CP79" s="30"/>
      <c r="CQ79" s="30"/>
      <c r="CR79" s="30"/>
      <c r="CS79" s="30"/>
      <c r="CT79" s="30"/>
      <c r="CU79" s="30"/>
      <c r="CV79" s="30"/>
      <c r="CW79" s="30"/>
      <c r="CX79" s="30"/>
      <c r="CY79" s="30"/>
      <c r="CZ79" s="30"/>
      <c r="DA79" s="30"/>
      <c r="DB79" s="30"/>
    </row>
    <row r="80" spans="1:106" x14ac:dyDescent="0.25">
      <c r="A80" s="9" t="s">
        <v>302</v>
      </c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30"/>
      <c r="BN80" s="30"/>
      <c r="BO80" s="30"/>
      <c r="BP80" s="30"/>
      <c r="BQ80" s="30"/>
      <c r="BR80" s="30"/>
      <c r="BS80" s="30"/>
      <c r="BT80" s="30"/>
      <c r="BU80" s="30"/>
      <c r="BV80" s="30"/>
      <c r="BW80" s="30"/>
      <c r="BX80" s="30"/>
      <c r="BY80" s="30"/>
      <c r="BZ80" s="30"/>
      <c r="CA80" s="30"/>
      <c r="CB80" s="30"/>
      <c r="CC80" s="30"/>
      <c r="CD80" s="30"/>
      <c r="CE80" s="30"/>
      <c r="CF80" s="30"/>
      <c r="CG80" s="30"/>
      <c r="CH80" s="30"/>
      <c r="CI80" s="30"/>
      <c r="CJ80" s="30"/>
      <c r="CK80" s="30"/>
      <c r="CL80" s="30"/>
      <c r="CM80" s="30"/>
      <c r="CN80" s="30"/>
      <c r="CO80" s="30"/>
      <c r="CP80" s="30"/>
      <c r="CQ80" s="30"/>
      <c r="CR80" s="30"/>
      <c r="CS80" s="30"/>
      <c r="CT80" s="30"/>
      <c r="CU80" s="30"/>
      <c r="CV80" s="30"/>
      <c r="CW80" s="30"/>
      <c r="CX80" s="30"/>
      <c r="CY80" s="30"/>
      <c r="CZ80" s="30"/>
      <c r="DA80" s="30"/>
      <c r="DB80" s="30"/>
    </row>
    <row r="81" spans="1:106" x14ac:dyDescent="0.25">
      <c r="A81" s="33" t="s">
        <v>303</v>
      </c>
      <c r="B81" s="88"/>
      <c r="C81" s="74">
        <v>1</v>
      </c>
      <c r="D81" s="74">
        <v>2</v>
      </c>
      <c r="E81" s="74">
        <v>2</v>
      </c>
      <c r="F81" s="52">
        <v>2</v>
      </c>
      <c r="G81" s="52">
        <v>2</v>
      </c>
      <c r="H81" s="52">
        <v>2</v>
      </c>
      <c r="I81" s="52">
        <v>2</v>
      </c>
      <c r="J81" s="52">
        <v>1</v>
      </c>
      <c r="K81" s="52">
        <v>2</v>
      </c>
      <c r="L81" s="52">
        <v>0</v>
      </c>
      <c r="M81" s="52">
        <v>5</v>
      </c>
      <c r="N81" s="52">
        <v>3</v>
      </c>
      <c r="O81" s="52">
        <v>4</v>
      </c>
      <c r="P81" s="52">
        <v>1</v>
      </c>
      <c r="Q81" s="52">
        <v>1</v>
      </c>
      <c r="R81" s="52">
        <v>0</v>
      </c>
      <c r="S81" s="52">
        <v>0</v>
      </c>
      <c r="T81" s="52">
        <v>6</v>
      </c>
      <c r="U81" s="52">
        <v>0</v>
      </c>
      <c r="V81" s="52">
        <v>0</v>
      </c>
      <c r="W81" s="52">
        <v>3</v>
      </c>
      <c r="X81" s="52">
        <v>0</v>
      </c>
      <c r="Y81" s="52">
        <v>1</v>
      </c>
      <c r="Z81" s="52">
        <v>0</v>
      </c>
      <c r="AA81" s="52">
        <v>1</v>
      </c>
      <c r="AB81" s="52">
        <v>1</v>
      </c>
      <c r="AC81" s="52">
        <v>0</v>
      </c>
      <c r="AD81" s="52">
        <v>0</v>
      </c>
      <c r="AE81" s="52">
        <v>1</v>
      </c>
      <c r="AF81" s="52">
        <v>0</v>
      </c>
      <c r="AG81" s="52">
        <v>0</v>
      </c>
      <c r="AH81" s="52">
        <v>0</v>
      </c>
      <c r="AI81" s="52">
        <v>2</v>
      </c>
      <c r="AJ81" s="52">
        <v>1</v>
      </c>
      <c r="AK81" s="52">
        <v>0</v>
      </c>
      <c r="AL81" s="52">
        <v>1</v>
      </c>
      <c r="AM81" s="52">
        <v>14</v>
      </c>
      <c r="AN81" s="52">
        <v>1</v>
      </c>
      <c r="AO81" s="52">
        <v>1</v>
      </c>
      <c r="AP81" s="52">
        <v>0</v>
      </c>
      <c r="AQ81" s="52">
        <v>2</v>
      </c>
      <c r="AR81" s="52">
        <v>1</v>
      </c>
      <c r="AS81" s="52">
        <v>1</v>
      </c>
      <c r="AT81" s="52">
        <v>3</v>
      </c>
      <c r="AU81" s="52">
        <v>2</v>
      </c>
      <c r="AV81" s="52">
        <v>17</v>
      </c>
      <c r="AW81" s="52">
        <v>0</v>
      </c>
      <c r="AX81" s="52">
        <v>0</v>
      </c>
      <c r="AY81" s="52">
        <v>13</v>
      </c>
      <c r="AZ81" s="52">
        <v>0</v>
      </c>
      <c r="BA81" s="52">
        <v>0</v>
      </c>
      <c r="BB81" s="52">
        <v>1</v>
      </c>
      <c r="BC81" s="52">
        <v>0</v>
      </c>
      <c r="BD81" s="52">
        <v>13</v>
      </c>
      <c r="BE81" s="52">
        <v>1</v>
      </c>
      <c r="BF81" s="52">
        <v>1</v>
      </c>
      <c r="BG81" s="52">
        <v>1</v>
      </c>
      <c r="BH81" s="52">
        <v>0</v>
      </c>
      <c r="BI81" s="52">
        <v>1</v>
      </c>
      <c r="BJ81" s="52">
        <v>8</v>
      </c>
      <c r="BK81" s="52">
        <v>1</v>
      </c>
      <c r="BL81" s="52">
        <v>0</v>
      </c>
      <c r="BM81" s="52">
        <v>11</v>
      </c>
      <c r="BN81" s="53">
        <f>=SUM(BN82:BN100)</f>
        <v>0</v>
      </c>
      <c r="BO81" s="53">
        <f>=SUM(BO82:BO100)</f>
        <v>4</v>
      </c>
      <c r="BP81" s="53">
        <f>=SUM(BP82:BP100)</f>
        <v>5</v>
      </c>
      <c r="BQ81" s="53">
        <f>=SUM(BQ82:BQ100)</f>
        <v>0</v>
      </c>
      <c r="BR81" s="53">
        <f>=SUM(BR82:BR100)</f>
        <v>0</v>
      </c>
      <c r="BS81" s="53">
        <f>=SUM(BS82:BS100)</f>
        <v>0</v>
      </c>
      <c r="BT81" s="53">
        <f>=SUM(BT82:BT100)</f>
        <v>1</v>
      </c>
      <c r="BU81" s="53">
        <f>=SUM(BU82:BU100)</f>
        <v>1</v>
      </c>
      <c r="BV81" s="53">
        <f>=SUM(BV82:BV100)</f>
        <v>0</v>
      </c>
      <c r="BW81" s="53">
        <f>=SUM(BW82:BW100)</f>
        <v>0</v>
      </c>
      <c r="BX81" s="53">
        <f>=SUM(BX82:BX100)</f>
        <v>0</v>
      </c>
      <c r="BY81" s="53">
        <f>=SUM(BY82:BY100)</f>
        <v>0</v>
      </c>
      <c r="BZ81" s="53">
        <f>=SUM(BZ82:BZ100)</f>
        <v>0</v>
      </c>
      <c r="CA81" s="53">
        <f>=SUM(CA82:CA100)</f>
        <v>0</v>
      </c>
      <c r="CB81" s="53">
        <f>=SUM(CB82:CB100)</f>
        <v>0</v>
      </c>
      <c r="CC81" s="53">
        <f>=SUM(CC82:CC100)</f>
        <v>0</v>
      </c>
      <c r="CD81" s="54">
        <f>=SUM(CD82:CD100)</f>
        <v>0</v>
      </c>
      <c r="CE81" s="54">
        <f>=SUM(CE82:CE100)</f>
        <v>0</v>
      </c>
      <c r="CF81" s="54">
        <f>=SUM(CF82:CF100)</f>
        <v>6</v>
      </c>
      <c r="CG81" s="54">
        <f>=SUM(CG82:CG100)</f>
        <v>0</v>
      </c>
      <c r="CH81" s="54">
        <f>=SUM(CH82:CH100)</f>
        <v>0</v>
      </c>
      <c r="CI81" s="54">
        <f>=SUM(CI82:CI100)</f>
        <v>0</v>
      </c>
      <c r="CJ81" s="54">
        <f>=SUM(CJ82:CJ100)</f>
        <v>0</v>
      </c>
      <c r="CK81" s="54">
        <f>=SUM(CK82:CK100)</f>
        <v>0</v>
      </c>
      <c r="CL81" s="54">
        <f>=SUM(CL82:CL100)</f>
        <v>0</v>
      </c>
      <c r="CM81" s="54">
        <f>=SUM(CM82:CM100)</f>
        <v>0</v>
      </c>
      <c r="CN81" s="54">
        <f>=SUM(CN82:CN100)</f>
        <v>0</v>
      </c>
      <c r="CO81" s="54">
        <f>=SUM(CO82:CO100)</f>
        <v>0</v>
      </c>
      <c r="CP81" s="54">
        <f>=SUM(CP82:CP100)</f>
        <v>0</v>
      </c>
      <c r="CQ81" s="54">
        <f>=SUM(CQ82:CQ100)</f>
        <v>0</v>
      </c>
      <c r="CR81" s="54">
        <f>=SUM(CR82:CR100)</f>
        <v>0</v>
      </c>
      <c r="CS81" s="54">
        <f>=SUM(CS82:CS100)</f>
        <v>0</v>
      </c>
      <c r="CT81" s="54">
        <f>=SUM(CT82:CT100)</f>
        <v>0</v>
      </c>
      <c r="CU81" s="54">
        <f>=SUM(CU82:CU100)</f>
        <v>0</v>
      </c>
      <c r="CV81" s="54">
        <f>=SUM(CV82:CV100)</f>
        <v>0</v>
      </c>
      <c r="CW81" s="54">
        <f>=SUM(CW82:CW100)</f>
        <v>0</v>
      </c>
      <c r="CX81" s="54">
        <f>=SUM(CX82:CX100)</f>
        <v>0</v>
      </c>
      <c r="CY81" s="54">
        <f>=SUM(CY82:CY100)</f>
        <v>0</v>
      </c>
      <c r="CZ81" s="54">
        <f>=SUM(CZ82:CZ100)</f>
        <v>0</v>
      </c>
      <c r="DA81" s="54">
        <f>=SUM(DA82:DA100)</f>
        <v>0</v>
      </c>
      <c r="DB81" s="54">
        <f>=SUM(DB82:DB100)</f>
        <v>0</v>
      </c>
    </row>
    <row r="82" ht="16" customHeight="1" spans="1:106" x14ac:dyDescent="0.25">
      <c r="A82" s="50" t="s">
        <v>304</v>
      </c>
      <c r="C82" s="17">
        <v>1</v>
      </c>
      <c r="D82" s="17">
        <v>0</v>
      </c>
      <c r="E82" s="17">
        <v>1</v>
      </c>
      <c r="F82" s="17">
        <v>0</v>
      </c>
      <c r="G82" s="17">
        <v>1</v>
      </c>
      <c r="H82" s="17">
        <v>1</v>
      </c>
      <c r="I82" s="17">
        <v>1</v>
      </c>
      <c r="J82" s="17">
        <v>1</v>
      </c>
      <c r="K82" s="17">
        <v>0</v>
      </c>
      <c r="L82" s="17">
        <v>0</v>
      </c>
      <c r="M82" s="17">
        <v>0</v>
      </c>
      <c r="N82" s="17">
        <v>1</v>
      </c>
      <c r="O82" s="17">
        <v>0</v>
      </c>
      <c r="P82" s="17">
        <v>1</v>
      </c>
      <c r="Q82" s="17">
        <v>0</v>
      </c>
      <c r="R82" s="17">
        <v>0</v>
      </c>
      <c r="S82" s="17">
        <v>0</v>
      </c>
      <c r="T82" s="17">
        <v>1</v>
      </c>
      <c r="U82" s="17">
        <v>0</v>
      </c>
      <c r="V82" s="17">
        <v>0</v>
      </c>
      <c r="W82" s="17">
        <v>3</v>
      </c>
      <c r="X82" s="17">
        <v>0</v>
      </c>
      <c r="Y82" s="17">
        <v>0</v>
      </c>
      <c r="Z82" s="17">
        <v>0</v>
      </c>
      <c r="AA82" s="17">
        <v>1</v>
      </c>
      <c r="AB82" s="17">
        <v>1</v>
      </c>
      <c r="AC82" s="17">
        <v>0</v>
      </c>
      <c r="AD82" s="17">
        <v>0</v>
      </c>
      <c r="AE82" s="17">
        <v>1</v>
      </c>
      <c r="AF82" s="17">
        <v>0</v>
      </c>
      <c r="AG82" s="17">
        <v>0</v>
      </c>
      <c r="AH82" s="17">
        <v>0</v>
      </c>
      <c r="AI82" s="17">
        <v>1</v>
      </c>
      <c r="AJ82" s="17">
        <v>1</v>
      </c>
      <c r="AK82" s="17">
        <v>0</v>
      </c>
      <c r="AL82" s="17">
        <v>0</v>
      </c>
      <c r="AM82" s="17">
        <v>0</v>
      </c>
      <c r="AN82" s="17">
        <v>0</v>
      </c>
      <c r="AO82" s="17">
        <v>0</v>
      </c>
      <c r="AP82" s="17">
        <v>0</v>
      </c>
      <c r="AQ82" s="17">
        <v>0</v>
      </c>
      <c r="AR82" s="17">
        <v>0</v>
      </c>
      <c r="AS82" s="17">
        <v>1</v>
      </c>
      <c r="AT82" s="17">
        <v>3</v>
      </c>
      <c r="AU82" s="17">
        <v>1</v>
      </c>
      <c r="AV82" s="17">
        <v>1</v>
      </c>
      <c r="AW82" s="17">
        <v>0</v>
      </c>
      <c r="AX82" s="17">
        <v>0</v>
      </c>
      <c r="AY82" s="17">
        <v>1</v>
      </c>
      <c r="AZ82" s="17">
        <v>0</v>
      </c>
      <c r="BA82" s="17">
        <v>0</v>
      </c>
      <c r="BB82" s="17">
        <v>1</v>
      </c>
      <c r="BC82" s="17">
        <v>0</v>
      </c>
      <c r="BD82" s="17">
        <v>0</v>
      </c>
      <c r="BE82" s="17">
        <v>1</v>
      </c>
      <c r="BF82" s="17">
        <v>1</v>
      </c>
      <c r="BG82" s="17">
        <v>0</v>
      </c>
      <c r="BH82" s="17">
        <v>0</v>
      </c>
      <c r="BI82" s="17">
        <v>1</v>
      </c>
      <c r="BJ82" s="17">
        <v>1</v>
      </c>
      <c r="BK82" s="17">
        <v>0</v>
      </c>
      <c r="BL82" s="17">
        <v>0</v>
      </c>
      <c r="BM82" s="17">
        <v>0</v>
      </c>
      <c r="BN82" s="55">
        <v>0</v>
      </c>
      <c r="BO82" s="55">
        <v>0</v>
      </c>
      <c r="BP82" s="55">
        <v>0</v>
      </c>
      <c r="BQ82" s="55">
        <v>0</v>
      </c>
      <c r="BR82" s="55">
        <v>0</v>
      </c>
      <c r="BS82" s="55">
        <v>0</v>
      </c>
      <c r="BT82" s="55">
        <v>1</v>
      </c>
      <c r="BU82" s="55">
        <v>0</v>
      </c>
      <c r="BV82" s="17">
        <v>0</v>
      </c>
      <c r="BW82" s="17">
        <v>0</v>
      </c>
      <c r="BX82" s="17">
        <v>0</v>
      </c>
      <c r="BY82" s="17">
        <v>0</v>
      </c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</row>
    <row r="83" ht="16" customHeight="1" spans="1:106" x14ac:dyDescent="0.25">
      <c r="A83" s="50" t="s">
        <v>305</v>
      </c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>
        <v>11</v>
      </c>
      <c r="BN83" s="56"/>
      <c r="BO83" s="55">
        <v>4</v>
      </c>
      <c r="BP83" s="55">
        <v>5</v>
      </c>
      <c r="BQ83" s="55"/>
      <c r="BR83" s="55"/>
      <c r="BS83" s="55"/>
      <c r="BT83" s="55"/>
      <c r="BU83" s="55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>
        <v>6</v>
      </c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</row>
    <row r="84" ht="16" customHeight="1" spans="1:106" x14ac:dyDescent="0.25">
      <c r="A84" s="50" t="s">
        <v>306</v>
      </c>
      <c r="C84" s="17"/>
      <c r="D84" s="17">
        <v>1</v>
      </c>
      <c r="E84" s="17">
        <v>1</v>
      </c>
      <c r="F84" s="17"/>
      <c r="G84" s="17"/>
      <c r="H84" s="17"/>
      <c r="I84" s="17">
        <v>1</v>
      </c>
      <c r="J84" s="17"/>
      <c r="K84" s="17"/>
      <c r="L84" s="17"/>
      <c r="M84" s="17">
        <v>1</v>
      </c>
      <c r="N84" s="17">
        <v>2</v>
      </c>
      <c r="O84" s="17">
        <v>1</v>
      </c>
      <c r="P84" s="17"/>
      <c r="Q84" s="17"/>
      <c r="R84" s="17"/>
      <c r="S84" s="17"/>
      <c r="T84" s="17"/>
      <c r="U84" s="17"/>
      <c r="V84" s="17"/>
      <c r="W84" s="17"/>
      <c r="X84" s="17"/>
      <c r="Y84" s="17">
        <v>1</v>
      </c>
      <c r="Z84" s="17"/>
      <c r="AA84" s="17"/>
      <c r="AB84" s="17"/>
      <c r="AC84" s="17">
        <v>0</v>
      </c>
      <c r="AD84" s="17">
        <v>0</v>
      </c>
      <c r="AE84" s="17"/>
      <c r="AF84" s="17"/>
      <c r="AG84" s="17"/>
      <c r="AH84" s="17"/>
      <c r="AI84" s="17">
        <v>1</v>
      </c>
      <c r="AJ84" s="17">
        <v>0</v>
      </c>
      <c r="AK84" s="17">
        <v>0</v>
      </c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>
        <v>1</v>
      </c>
      <c r="BH84" s="17"/>
      <c r="BI84" s="17"/>
      <c r="BJ84" s="17">
        <v>1</v>
      </c>
      <c r="BK84" s="17">
        <v>1</v>
      </c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</row>
    <row r="85" ht="16" customHeight="1" spans="1:106" x14ac:dyDescent="0.25">
      <c r="A85" s="50" t="s">
        <v>307</v>
      </c>
      <c r="C85" s="17"/>
      <c r="D85" s="17">
        <v>1</v>
      </c>
      <c r="E85" s="17"/>
      <c r="F85" s="17">
        <v>2</v>
      </c>
      <c r="G85" s="17">
        <v>1</v>
      </c>
      <c r="H85" s="17"/>
      <c r="I85" s="17"/>
      <c r="J85" s="17"/>
      <c r="K85" s="17">
        <v>2</v>
      </c>
      <c r="L85" s="17"/>
      <c r="M85" s="17">
        <v>1</v>
      </c>
      <c r="N85" s="17"/>
      <c r="O85" s="17">
        <v>1</v>
      </c>
      <c r="P85" s="17"/>
      <c r="Q85" s="17">
        <v>1</v>
      </c>
      <c r="R85" s="17"/>
      <c r="S85" s="17"/>
      <c r="T85" s="17">
        <v>5</v>
      </c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>
        <v>1</v>
      </c>
      <c r="AM85" s="17"/>
      <c r="AN85" s="17">
        <v>1</v>
      </c>
      <c r="AO85" s="17">
        <v>1</v>
      </c>
      <c r="AP85" s="17"/>
      <c r="AQ85" s="17"/>
      <c r="AR85" s="17">
        <v>1</v>
      </c>
      <c r="AS85" s="17"/>
      <c r="AT85" s="17"/>
      <c r="AU85" s="17">
        <v>1</v>
      </c>
      <c r="AV85" s="17">
        <v>1</v>
      </c>
      <c r="AW85" s="17"/>
      <c r="AX85" s="17"/>
      <c r="AY85" s="17"/>
      <c r="AZ85" s="17"/>
      <c r="BA85" s="17"/>
      <c r="BB85" s="17"/>
      <c r="BC85" s="17"/>
      <c r="BD85" s="17">
        <v>3</v>
      </c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>
        <v>1</v>
      </c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</row>
    <row r="86" ht="16" customHeight="1" spans="1:106" x14ac:dyDescent="0.25">
      <c r="A86" s="50" t="s">
        <v>308</v>
      </c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</row>
    <row r="87" ht="16" customHeight="1" spans="1:106" x14ac:dyDescent="0.25">
      <c r="A87" s="50" t="s">
        <v>309</v>
      </c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</row>
    <row r="88" ht="16" customHeight="1" spans="1:106" x14ac:dyDescent="0.25">
      <c r="A88" s="92" t="s">
        <v>310</v>
      </c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</row>
    <row r="89" ht="16" customHeight="1" spans="1:106" x14ac:dyDescent="0.25">
      <c r="A89" s="92" t="s">
        <v>311</v>
      </c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</row>
    <row r="90" ht="16" customHeight="1" spans="1:106" x14ac:dyDescent="0.25">
      <c r="A90" s="92" t="s">
        <v>312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>
        <v>3</v>
      </c>
      <c r="N90" s="17"/>
      <c r="O90" s="17">
        <v>2</v>
      </c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>
        <v>14</v>
      </c>
      <c r="AN90" s="17"/>
      <c r="AO90" s="17"/>
      <c r="AP90" s="17"/>
      <c r="AQ90" s="17">
        <v>2</v>
      </c>
      <c r="AR90" s="17"/>
      <c r="AS90" s="17"/>
      <c r="AT90" s="17"/>
      <c r="AU90" s="17"/>
      <c r="AV90" s="17">
        <v>15</v>
      </c>
      <c r="AW90" s="17"/>
      <c r="AX90" s="17"/>
      <c r="AY90" s="17">
        <v>12</v>
      </c>
      <c r="AZ90" s="17"/>
      <c r="BA90" s="17"/>
      <c r="BB90" s="17"/>
      <c r="BC90" s="17"/>
      <c r="BD90" s="17">
        <v>10</v>
      </c>
      <c r="BE90" s="17"/>
      <c r="BF90" s="17"/>
      <c r="BG90" s="17"/>
      <c r="BH90" s="17"/>
      <c r="BI90" s="17"/>
      <c r="BJ90" s="17">
        <v>6</v>
      </c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</row>
    <row r="91" ht="16" customHeight="1" spans="1:106" x14ac:dyDescent="0.25">
      <c r="A91" s="92" t="s">
        <v>375</v>
      </c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</row>
    <row r="92" ht="16" customHeight="1" spans="1:106" x14ac:dyDescent="0.25">
      <c r="A92" s="92" t="s">
        <v>0</v>
      </c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</row>
    <row r="93" spans="1:65" x14ac:dyDescent="0.25">
      <c r="A93" s="92" t="s">
        <v>314</v>
      </c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</row>
    <row r="94" spans="1:65" x14ac:dyDescent="0.25">
      <c r="A94" s="92" t="s">
        <v>315</v>
      </c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</row>
    <row r="95" ht="16" customHeight="1" spans="1:106" x14ac:dyDescent="0.25">
      <c r="A95" s="92" t="s">
        <v>316</v>
      </c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</row>
    <row r="96" ht="16" customHeight="1" spans="1:106" x14ac:dyDescent="0.25">
      <c r="A96" s="92" t="s">
        <v>317</v>
      </c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</row>
    <row r="97" ht="16" customHeight="1" spans="1:106" x14ac:dyDescent="0.25">
      <c r="A97" s="92" t="s">
        <v>318</v>
      </c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</row>
    <row r="98" ht="16" customHeight="1" spans="1:106" x14ac:dyDescent="0.25">
      <c r="A98" s="92" t="s">
        <v>396</v>
      </c>
      <c r="C98" s="17"/>
      <c r="D98" s="17"/>
      <c r="E98" s="17"/>
      <c r="F98" s="17"/>
      <c r="G98" s="17"/>
      <c r="H98" s="17">
        <v>1</v>
      </c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</row>
    <row r="99" ht="16" customHeight="1" spans="1:106" x14ac:dyDescent="0.25">
      <c r="A99" s="92" t="s">
        <v>400</v>
      </c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</row>
    <row r="100" ht="16" customHeight="1" spans="1:106" x14ac:dyDescent="0.25">
      <c r="A100" s="50" t="s">
        <v>320</v>
      </c>
      <c r="C100" s="17">
        <v>0</v>
      </c>
      <c r="D100" s="17">
        <v>0</v>
      </c>
      <c r="E100" s="17">
        <v>0</v>
      </c>
      <c r="F100" s="17">
        <v>0</v>
      </c>
      <c r="G100" s="17">
        <v>0</v>
      </c>
      <c r="H100" s="17">
        <v>1</v>
      </c>
      <c r="I100" s="17">
        <v>0</v>
      </c>
      <c r="J100" s="17">
        <v>0</v>
      </c>
      <c r="K100" s="17">
        <v>0</v>
      </c>
      <c r="L100" s="17">
        <v>0</v>
      </c>
      <c r="M100" s="17">
        <v>3</v>
      </c>
      <c r="N100" s="17">
        <v>0</v>
      </c>
      <c r="O100" s="17">
        <v>2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  <c r="AG100" s="17">
        <v>0</v>
      </c>
      <c r="AH100" s="17">
        <v>0</v>
      </c>
      <c r="AI100" s="17">
        <v>0</v>
      </c>
      <c r="AJ100" s="17">
        <v>0</v>
      </c>
      <c r="AK100" s="17">
        <v>0</v>
      </c>
      <c r="AL100" s="17">
        <v>0</v>
      </c>
      <c r="AM100" s="17">
        <v>14</v>
      </c>
      <c r="AN100" s="17">
        <v>0</v>
      </c>
      <c r="AO100" s="17">
        <v>0</v>
      </c>
      <c r="AP100" s="17">
        <v>0</v>
      </c>
      <c r="AQ100" s="17">
        <v>2</v>
      </c>
      <c r="AR100" s="17">
        <v>0</v>
      </c>
      <c r="AS100" s="17">
        <v>0</v>
      </c>
      <c r="AT100" s="17">
        <v>0</v>
      </c>
      <c r="AU100" s="17">
        <v>0</v>
      </c>
      <c r="AV100" s="17">
        <v>15</v>
      </c>
      <c r="AW100" s="17">
        <v>0</v>
      </c>
      <c r="AX100" s="17">
        <v>0</v>
      </c>
      <c r="AY100" s="17">
        <v>12</v>
      </c>
      <c r="AZ100" s="17">
        <v>0</v>
      </c>
      <c r="BA100" s="17">
        <v>0</v>
      </c>
      <c r="BB100" s="17">
        <v>0</v>
      </c>
      <c r="BC100" s="17">
        <v>0</v>
      </c>
      <c r="BD100" s="17">
        <v>10</v>
      </c>
      <c r="BE100" s="17">
        <v>0</v>
      </c>
      <c r="BF100" s="17">
        <v>0</v>
      </c>
      <c r="BG100" s="17">
        <v>0</v>
      </c>
      <c r="BH100" s="17">
        <v>0</v>
      </c>
      <c r="BI100" s="17">
        <v>0</v>
      </c>
      <c r="BJ100" s="17">
        <v>6</v>
      </c>
      <c r="BK100" s="17">
        <v>0</v>
      </c>
      <c r="BL100" s="17">
        <v>0</v>
      </c>
      <c r="BM100" s="17">
        <v>0</v>
      </c>
      <c r="BN100" s="30"/>
      <c r="BO100" s="30"/>
      <c r="BP100" s="30"/>
      <c r="BQ100" s="30"/>
      <c r="BR100" s="30"/>
      <c r="BS100" s="30"/>
      <c r="BT100" s="30"/>
      <c r="BU100" s="30"/>
      <c r="BV100" s="30"/>
      <c r="BW100" s="30"/>
      <c r="BX100" s="30"/>
      <c r="BY100" s="30"/>
      <c r="BZ100" s="30"/>
      <c r="CA100" s="30"/>
      <c r="CB100" s="30"/>
      <c r="CC100" s="30"/>
      <c r="CD100" s="30"/>
      <c r="CE100" s="30"/>
      <c r="CF100" s="30"/>
      <c r="CG100" s="30"/>
      <c r="CH100" s="30"/>
      <c r="CI100" s="30"/>
      <c r="CJ100" s="30"/>
      <c r="CK100" s="30"/>
      <c r="CL100" s="30"/>
      <c r="CM100" s="30"/>
      <c r="CN100" s="30"/>
      <c r="CO100" s="30"/>
      <c r="CP100" s="30"/>
      <c r="CQ100" s="30"/>
      <c r="CR100" s="30"/>
      <c r="CS100" s="30"/>
      <c r="CT100" s="30"/>
      <c r="CU100" s="30"/>
      <c r="CV100" s="30"/>
      <c r="CW100" s="30"/>
      <c r="CX100" s="30"/>
      <c r="CY100" s="30"/>
      <c r="CZ100" s="30"/>
      <c r="DA100" s="30"/>
      <c r="DB100" s="30"/>
    </row>
    <row r="101" spans="1:106" x14ac:dyDescent="0.25">
      <c r="A101" s="33" t="s">
        <v>321</v>
      </c>
      <c r="B101" s="88"/>
      <c r="C101" s="74">
        <v>1</v>
      </c>
      <c r="D101" s="74">
        <v>1</v>
      </c>
      <c r="E101" s="74">
        <v>0</v>
      </c>
      <c r="F101" s="52">
        <v>1</v>
      </c>
      <c r="G101" s="52">
        <v>1</v>
      </c>
      <c r="H101" s="52">
        <v>0</v>
      </c>
      <c r="I101" s="52">
        <v>1</v>
      </c>
      <c r="J101" s="52">
        <v>0</v>
      </c>
      <c r="K101" s="52">
        <v>0</v>
      </c>
      <c r="L101" s="52">
        <v>1</v>
      </c>
      <c r="M101" s="52">
        <v>0</v>
      </c>
      <c r="N101" s="52">
        <v>1</v>
      </c>
      <c r="O101" s="52">
        <v>0</v>
      </c>
      <c r="P101" s="52">
        <v>2</v>
      </c>
      <c r="Q101" s="52">
        <v>2</v>
      </c>
      <c r="R101" s="52">
        <v>1</v>
      </c>
      <c r="S101" s="52">
        <v>0</v>
      </c>
      <c r="T101" s="52">
        <v>0</v>
      </c>
      <c r="U101" s="52">
        <v>0</v>
      </c>
      <c r="V101" s="52">
        <v>0</v>
      </c>
      <c r="W101" s="52">
        <v>1</v>
      </c>
      <c r="X101" s="52">
        <v>0</v>
      </c>
      <c r="Y101" s="52">
        <v>0</v>
      </c>
      <c r="Z101" s="52">
        <v>0</v>
      </c>
      <c r="AA101" s="52">
        <v>0</v>
      </c>
      <c r="AB101" s="52">
        <v>0</v>
      </c>
      <c r="AC101" s="52">
        <v>1</v>
      </c>
      <c r="AD101" s="52">
        <v>1</v>
      </c>
      <c r="AE101" s="52">
        <v>0</v>
      </c>
      <c r="AF101" s="52">
        <v>0</v>
      </c>
      <c r="AG101" s="52">
        <v>0</v>
      </c>
      <c r="AH101" s="52">
        <v>0</v>
      </c>
      <c r="AI101" s="52">
        <v>0</v>
      </c>
      <c r="AJ101" s="52">
        <v>1</v>
      </c>
      <c r="AK101" s="52">
        <v>0</v>
      </c>
      <c r="AL101" s="52">
        <v>0</v>
      </c>
      <c r="AM101" s="52">
        <v>1</v>
      </c>
      <c r="AN101" s="52">
        <v>1</v>
      </c>
      <c r="AO101" s="52">
        <v>0</v>
      </c>
      <c r="AP101" s="52">
        <v>0</v>
      </c>
      <c r="AQ101" s="52">
        <v>0</v>
      </c>
      <c r="AR101" s="52">
        <v>1</v>
      </c>
      <c r="AS101" s="52">
        <v>1</v>
      </c>
      <c r="AT101" s="52">
        <v>0</v>
      </c>
      <c r="AU101" s="52">
        <v>0</v>
      </c>
      <c r="AV101" s="52">
        <v>1</v>
      </c>
      <c r="AW101" s="52">
        <v>1</v>
      </c>
      <c r="AX101" s="52">
        <v>0</v>
      </c>
      <c r="AY101" s="52">
        <v>0</v>
      </c>
      <c r="AZ101" s="52">
        <v>0</v>
      </c>
      <c r="BA101" s="52">
        <v>2</v>
      </c>
      <c r="BB101" s="52">
        <v>0</v>
      </c>
      <c r="BC101" s="52">
        <v>0</v>
      </c>
      <c r="BD101" s="52">
        <v>0</v>
      </c>
      <c r="BE101" s="52">
        <v>1</v>
      </c>
      <c r="BF101" s="52">
        <v>3</v>
      </c>
      <c r="BG101" s="52">
        <v>1</v>
      </c>
      <c r="BH101" s="52">
        <v>0</v>
      </c>
      <c r="BI101" s="52">
        <v>7</v>
      </c>
      <c r="BJ101" s="52">
        <v>7</v>
      </c>
      <c r="BK101" s="52">
        <v>0</v>
      </c>
      <c r="BL101" s="52">
        <v>0</v>
      </c>
      <c r="BM101" s="52">
        <v>0</v>
      </c>
      <c r="BN101" s="53">
        <f>=SUM(BN102:BN108)-SUM(BN105)</f>
        <v>1</v>
      </c>
      <c r="BO101" s="53">
        <f>=SUM(BO102:BO108)-SUM(BO105)</f>
        <v>0</v>
      </c>
      <c r="BP101" s="53">
        <f>=SUM(BP102:BP108)-SUM(BP105)</f>
        <v>1</v>
      </c>
      <c r="BQ101" s="53">
        <f>=SUM(BQ102:BQ108)-SUM(BQ105)</f>
        <v>0</v>
      </c>
      <c r="BR101" s="53">
        <f>=SUM(BR102:BR108)-SUM(BR105)</f>
        <v>0</v>
      </c>
      <c r="BS101" s="53">
        <f>=SUM(BS102:BS108)-SUM(BS105)</f>
        <v>0</v>
      </c>
      <c r="BT101" s="53">
        <f>=SUM(BT102:BT108)-SUM(BT105)</f>
        <v>0</v>
      </c>
      <c r="BU101" s="53">
        <f>=SUM(BU102:BU108)-SUM(BU105)</f>
        <v>0</v>
      </c>
      <c r="BV101" s="53">
        <f>=SUM(BV102:BV108)-SUM(BV105)</f>
        <v>0</v>
      </c>
      <c r="BW101" s="53">
        <f>=SUM(BW102:BW108)-SUM(BW105)</f>
        <v>0</v>
      </c>
      <c r="BX101" s="53">
        <f>=SUM(BX102:BX108)-SUM(BX105)</f>
        <v>0</v>
      </c>
      <c r="BY101" s="53">
        <f>=SUM(BY102:BY108)-SUM(BY105)</f>
        <v>0</v>
      </c>
      <c r="BZ101" s="53">
        <f>=SUM(BZ102:BZ108)-SUM(BZ105)</f>
        <v>0</v>
      </c>
      <c r="CA101" s="53">
        <f>=SUM(CA102:CA108)-SUM(CA105)</f>
        <v>0</v>
      </c>
      <c r="CB101" s="53">
        <f>=SUM(CB102:CB108)-SUM(CB105)</f>
        <v>0</v>
      </c>
      <c r="CC101" s="53">
        <f>=SUM(CC102:CC108)-SUM(CC105)</f>
        <v>0</v>
      </c>
      <c r="CD101" s="53">
        <f>=SUM(CD102:CD108)-SUM(CD105)</f>
        <v>0</v>
      </c>
      <c r="CE101" s="53">
        <f>=SUM(CE102:CE108)-SUM(CE105)</f>
        <v>0</v>
      </c>
      <c r="CF101" s="53">
        <f>=SUM(CF102:CF108)-SUM(CF105)</f>
        <v>0</v>
      </c>
      <c r="CG101" s="53">
        <f>=SUM(CG102:CG108)-SUM(CG105)</f>
        <v>0</v>
      </c>
      <c r="CH101" s="53">
        <f>=SUM(CH102:CH108)-SUM(CH105)</f>
        <v>0</v>
      </c>
      <c r="CI101" s="53">
        <f>=SUM(CI102:CI108)-SUM(CI105)</f>
        <v>0</v>
      </c>
      <c r="CJ101" s="53">
        <f>=SUM(CJ102:CJ108)-SUM(CJ105)</f>
        <v>0</v>
      </c>
      <c r="CK101" s="53">
        <f>=SUM(CK102:CK108)-SUM(CK105)</f>
        <v>0</v>
      </c>
      <c r="CL101" s="53">
        <f>=SUM(CL102:CL108)-SUM(CL105)</f>
        <v>0</v>
      </c>
      <c r="CM101" s="53">
        <f>=SUM(CM102:CM108)-SUM(CM105)</f>
        <v>0</v>
      </c>
      <c r="CN101" s="53">
        <f>=SUM(CN102:CN108)-SUM(CN105)</f>
        <v>0</v>
      </c>
      <c r="CO101" s="53">
        <f>=SUM(CO102:CO108)-SUM(CO105)</f>
        <v>0</v>
      </c>
      <c r="CP101" s="53">
        <f>=SUM(CP102:CP108)-SUM(CP105)</f>
        <v>0</v>
      </c>
      <c r="CQ101" s="53">
        <f>=SUM(CQ102:CQ108)-SUM(CQ105)</f>
        <v>0</v>
      </c>
      <c r="CR101" s="53">
        <f>=SUM(CR102:CR108)-SUM(CR105)</f>
        <v>0</v>
      </c>
      <c r="CS101" s="53">
        <f>=SUM(CS102:CS108)-SUM(CS105)</f>
        <v>0</v>
      </c>
      <c r="CT101" s="53">
        <f>=SUM(CT102:CT108)-SUM(CT105)</f>
        <v>0</v>
      </c>
      <c r="CU101" s="53">
        <f>=SUM(CU102:CU108)-SUM(CU105)</f>
        <v>0</v>
      </c>
      <c r="CV101" s="53">
        <f>=SUM(CV102:CV108)-SUM(CV105)</f>
        <v>0</v>
      </c>
      <c r="CW101" s="53">
        <f>=SUM(CW102:CW108)-SUM(CW105)</f>
        <v>0</v>
      </c>
      <c r="CX101" s="53">
        <f>=SUM(CX102:CX108)-SUM(CX105)</f>
        <v>0</v>
      </c>
      <c r="CY101" s="53">
        <f>=SUM(CY102:CY108)-SUM(CY105)</f>
        <v>0</v>
      </c>
      <c r="CZ101" s="53">
        <f>=SUM(CZ102:CZ108)-SUM(CZ105)</f>
        <v>0</v>
      </c>
      <c r="DA101" s="53">
        <f>=SUM(DA102:DA108)-SUM(DA105)</f>
        <v>0</v>
      </c>
      <c r="DB101" s="53">
        <f>=SUM(DB102:DB108)-SUM(DB105)</f>
        <v>0</v>
      </c>
    </row>
    <row r="102" spans="1:106" x14ac:dyDescent="0.25">
      <c r="A102" s="57" t="s">
        <v>322</v>
      </c>
      <c r="C102" s="17"/>
      <c r="D102" s="17">
        <v>1</v>
      </c>
      <c r="E102" s="17"/>
      <c r="F102" s="17"/>
      <c r="G102" s="17"/>
      <c r="H102" s="17"/>
      <c r="I102" s="17"/>
      <c r="J102" s="17"/>
      <c r="K102" s="17"/>
      <c r="L102" s="17">
        <v>1</v>
      </c>
      <c r="M102" s="17"/>
      <c r="N102" s="17">
        <v>1</v>
      </c>
      <c r="O102" s="17"/>
      <c r="P102" s="17"/>
      <c r="Q102" s="17">
        <v>2</v>
      </c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>
        <v>1</v>
      </c>
      <c r="AE102" s="17"/>
      <c r="AF102" s="17"/>
      <c r="AG102" s="17"/>
      <c r="AH102" s="17"/>
      <c r="AI102" s="17"/>
      <c r="AJ102" s="17">
        <v>1</v>
      </c>
      <c r="AK102" s="17"/>
      <c r="AL102" s="17"/>
      <c r="AM102" s="17">
        <v>1</v>
      </c>
      <c r="AN102" s="17">
        <v>1</v>
      </c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>
        <v>1</v>
      </c>
      <c r="BF102" s="17"/>
      <c r="BG102" s="17"/>
      <c r="BH102" s="17"/>
      <c r="BI102" s="17"/>
      <c r="BJ102" s="17"/>
      <c r="BK102" s="17"/>
      <c r="BL102" s="17"/>
      <c r="BM102" s="17"/>
      <c r="BN102" s="55">
        <v>1</v>
      </c>
      <c r="BO102" s="55"/>
      <c r="BP102" s="55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</row>
    <row r="103" spans="1:106" x14ac:dyDescent="0.25">
      <c r="A103" s="57" t="s">
        <v>323</v>
      </c>
      <c r="C103" s="17">
        <v>1</v>
      </c>
      <c r="D103" s="17"/>
      <c r="E103" s="17"/>
      <c r="F103" s="17">
        <v>1</v>
      </c>
      <c r="G103" s="17">
        <v>1</v>
      </c>
      <c r="H103" s="17"/>
      <c r="I103" s="17">
        <v>1</v>
      </c>
      <c r="J103" s="17"/>
      <c r="K103" s="17"/>
      <c r="L103" s="17"/>
      <c r="M103" s="17"/>
      <c r="N103" s="17"/>
      <c r="O103" s="17"/>
      <c r="P103" s="17">
        <v>2</v>
      </c>
      <c r="Q103" s="17"/>
      <c r="R103" s="17">
        <v>1</v>
      </c>
      <c r="S103" s="17"/>
      <c r="T103" s="17"/>
      <c r="U103" s="17"/>
      <c r="V103" s="17"/>
      <c r="W103" s="17">
        <v>1</v>
      </c>
      <c r="X103" s="17"/>
      <c r="Y103" s="17"/>
      <c r="Z103" s="17"/>
      <c r="AA103" s="17"/>
      <c r="AB103" s="17"/>
      <c r="AC103" s="17">
        <v>1</v>
      </c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>
        <v>1</v>
      </c>
      <c r="AS103" s="17">
        <v>1</v>
      </c>
      <c r="AT103" s="17"/>
      <c r="AU103" s="17"/>
      <c r="AV103" s="17">
        <v>1</v>
      </c>
      <c r="AW103" s="17">
        <v>1</v>
      </c>
      <c r="AX103" s="17"/>
      <c r="AY103" s="17"/>
      <c r="AZ103" s="17"/>
      <c r="BA103" s="17">
        <v>2</v>
      </c>
      <c r="BB103" s="17"/>
      <c r="BC103" s="17"/>
      <c r="BD103" s="17"/>
      <c r="BE103" s="17"/>
      <c r="BF103" s="17">
        <v>2</v>
      </c>
      <c r="BG103" s="17">
        <v>0</v>
      </c>
      <c r="BH103" s="17"/>
      <c r="BI103" s="17"/>
      <c r="BJ103" s="17"/>
      <c r="BK103" s="17"/>
      <c r="BL103" s="17"/>
      <c r="BM103" s="17"/>
      <c r="BN103" s="55"/>
      <c r="BO103" s="55"/>
      <c r="BP103" s="55">
        <v>1</v>
      </c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</row>
    <row r="104" spans="1:106" x14ac:dyDescent="0.25">
      <c r="A104" s="57" t="s">
        <v>324</v>
      </c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</row>
    <row r="105" spans="1:106" x14ac:dyDescent="0.25">
      <c r="A105" s="57" t="s">
        <v>325</v>
      </c>
      <c r="C105" s="17">
        <v>0</v>
      </c>
      <c r="D105" s="17">
        <v>11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  <c r="AG105" s="17">
        <v>0</v>
      </c>
      <c r="AH105" s="17">
        <v>0</v>
      </c>
      <c r="AI105" s="17">
        <v>0</v>
      </c>
      <c r="AJ105" s="17">
        <v>0</v>
      </c>
      <c r="AK105" s="17">
        <v>13</v>
      </c>
      <c r="AL105" s="17">
        <v>0</v>
      </c>
      <c r="AM105" s="17">
        <v>11</v>
      </c>
      <c r="AN105" s="17">
        <v>0</v>
      </c>
      <c r="AO105" s="17">
        <v>0</v>
      </c>
      <c r="AP105" s="17">
        <v>0</v>
      </c>
      <c r="AQ105" s="17">
        <v>0</v>
      </c>
      <c r="AR105" s="17">
        <v>0</v>
      </c>
      <c r="AS105" s="17">
        <v>14</v>
      </c>
      <c r="AT105" s="17">
        <v>0</v>
      </c>
      <c r="AU105" s="17">
        <v>0</v>
      </c>
      <c r="AV105" s="17">
        <v>10</v>
      </c>
      <c r="AW105" s="17">
        <v>16</v>
      </c>
      <c r="AX105" s="17">
        <v>0</v>
      </c>
      <c r="AY105" s="17">
        <v>8</v>
      </c>
      <c r="AZ105" s="17">
        <v>7</v>
      </c>
      <c r="BA105" s="17">
        <v>0</v>
      </c>
      <c r="BB105" s="17">
        <v>12</v>
      </c>
      <c r="BC105" s="17">
        <v>6</v>
      </c>
      <c r="BD105" s="17">
        <v>0</v>
      </c>
      <c r="BE105" s="17">
        <v>0</v>
      </c>
      <c r="BF105" s="17">
        <v>0</v>
      </c>
      <c r="BG105" s="17">
        <v>0</v>
      </c>
      <c r="BH105" s="17">
        <v>0</v>
      </c>
      <c r="BI105" s="17">
        <v>0</v>
      </c>
      <c r="BJ105" s="17">
        <v>0</v>
      </c>
      <c r="BK105" s="17">
        <v>0</v>
      </c>
      <c r="BL105" s="17">
        <v>0</v>
      </c>
      <c r="BM105" s="17">
        <v>0</v>
      </c>
      <c r="BN105" s="17"/>
      <c r="BO105" s="17"/>
      <c r="BP105" s="17">
        <v>0</v>
      </c>
      <c r="BQ105" s="17">
        <v>0</v>
      </c>
      <c r="BR105" s="17">
        <v>0</v>
      </c>
      <c r="BS105" s="17">
        <v>0</v>
      </c>
      <c r="BT105" s="17">
        <v>0</v>
      </c>
      <c r="BU105" s="17">
        <v>2</v>
      </c>
      <c r="BV105" s="17">
        <v>0</v>
      </c>
      <c r="BW105" s="17">
        <v>0</v>
      </c>
      <c r="BX105" s="17">
        <v>0</v>
      </c>
      <c r="BY105" s="17">
        <v>0</v>
      </c>
      <c r="BZ105" s="17">
        <v>0</v>
      </c>
      <c r="CA105" s="17">
        <v>0</v>
      </c>
      <c r="CB105" s="17">
        <v>0</v>
      </c>
      <c r="CC105" s="17">
        <v>0</v>
      </c>
      <c r="CD105" s="17">
        <v>0</v>
      </c>
      <c r="CE105" s="17">
        <v>0</v>
      </c>
      <c r="CF105" s="17">
        <v>0</v>
      </c>
      <c r="CG105" s="17">
        <v>0</v>
      </c>
      <c r="CH105" s="17">
        <v>0</v>
      </c>
      <c r="CI105" s="17">
        <v>0</v>
      </c>
      <c r="CJ105" s="17">
        <v>0</v>
      </c>
      <c r="CK105" s="17">
        <v>0</v>
      </c>
      <c r="CL105" s="17">
        <v>0</v>
      </c>
      <c r="CM105" s="17">
        <v>0</v>
      </c>
      <c r="CN105" s="17">
        <v>0</v>
      </c>
      <c r="CO105" s="17">
        <v>0</v>
      </c>
      <c r="CP105" s="17">
        <v>0</v>
      </c>
      <c r="CQ105" s="17">
        <v>0</v>
      </c>
      <c r="CR105" s="17">
        <v>0</v>
      </c>
      <c r="CS105" s="17">
        <v>0</v>
      </c>
      <c r="CT105" s="17">
        <v>0</v>
      </c>
      <c r="CU105" s="17">
        <v>0</v>
      </c>
      <c r="CV105" s="17">
        <v>0</v>
      </c>
      <c r="CW105" s="17">
        <v>0</v>
      </c>
      <c r="CX105" s="17">
        <v>0</v>
      </c>
      <c r="CY105" s="17">
        <v>0</v>
      </c>
      <c r="CZ105" s="17">
        <v>0</v>
      </c>
      <c r="DA105" s="17">
        <v>0</v>
      </c>
      <c r="DB105" s="17">
        <v>0</v>
      </c>
    </row>
    <row r="106" spans="1:106" x14ac:dyDescent="0.25">
      <c r="A106" s="57" t="s">
        <v>326</v>
      </c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>
        <v>1</v>
      </c>
      <c r="BG106" s="17">
        <v>1</v>
      </c>
      <c r="BH106" s="17"/>
      <c r="BI106" s="17">
        <v>7</v>
      </c>
      <c r="BJ106" s="17">
        <v>7</v>
      </c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30"/>
      <c r="CE106" s="30"/>
      <c r="CF106" s="30"/>
      <c r="CG106" s="30"/>
      <c r="CH106" s="30"/>
      <c r="CI106" s="30"/>
      <c r="CJ106" s="30"/>
      <c r="CK106" s="30"/>
      <c r="CL106" s="30"/>
      <c r="CM106" s="30"/>
      <c r="CN106" s="30"/>
      <c r="CO106" s="30"/>
      <c r="CP106" s="30"/>
      <c r="CQ106" s="30"/>
      <c r="CR106" s="30"/>
      <c r="CS106" s="30"/>
      <c r="CT106" s="30"/>
      <c r="CU106" s="30"/>
      <c r="CV106" s="30"/>
      <c r="CW106" s="30"/>
      <c r="CX106" s="30"/>
      <c r="CY106" s="30"/>
      <c r="CZ106" s="30"/>
      <c r="DA106" s="30"/>
      <c r="DB106" s="30"/>
    </row>
    <row r="107" spans="1:106" x14ac:dyDescent="0.25">
      <c r="A107" s="57" t="s">
        <v>266</v>
      </c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  <c r="AX107" s="30"/>
      <c r="AY107" s="30"/>
      <c r="AZ107" s="30"/>
      <c r="BA107" s="30"/>
      <c r="BB107" s="30"/>
      <c r="BC107" s="30"/>
      <c r="BD107" s="30"/>
      <c r="BE107" s="30"/>
      <c r="BF107" s="30"/>
      <c r="BG107" s="30"/>
      <c r="BH107" s="30"/>
      <c r="BI107" s="30"/>
      <c r="BJ107" s="30"/>
      <c r="BK107" s="30"/>
      <c r="BL107" s="30"/>
      <c r="BM107" s="30"/>
      <c r="BN107" s="30"/>
      <c r="BO107" s="30"/>
      <c r="BP107" s="30"/>
      <c r="BQ107" s="30"/>
      <c r="BR107" s="30"/>
      <c r="BS107" s="30"/>
      <c r="BT107" s="30"/>
      <c r="BU107" s="30"/>
      <c r="BV107" s="30"/>
      <c r="BW107" s="30"/>
      <c r="BX107" s="30"/>
      <c r="BY107" s="30"/>
      <c r="BZ107" s="30"/>
      <c r="CA107" s="30"/>
      <c r="CB107" s="30"/>
      <c r="CC107" s="30"/>
      <c r="CD107" s="30"/>
      <c r="CE107" s="30"/>
      <c r="CF107" s="30"/>
      <c r="CG107" s="30"/>
      <c r="CH107" s="30"/>
      <c r="CI107" s="30"/>
      <c r="CJ107" s="30"/>
      <c r="CK107" s="30"/>
      <c r="CL107" s="30"/>
      <c r="CM107" s="30"/>
      <c r="CN107" s="30"/>
      <c r="CO107" s="30"/>
      <c r="CP107" s="30"/>
      <c r="CQ107" s="30"/>
      <c r="CR107" s="30"/>
      <c r="CS107" s="30"/>
      <c r="CT107" s="30"/>
      <c r="CU107" s="30"/>
      <c r="CV107" s="30"/>
      <c r="CW107" s="30"/>
      <c r="CX107" s="30"/>
      <c r="CY107" s="30"/>
      <c r="CZ107" s="30"/>
      <c r="DA107" s="30"/>
      <c r="DB107" s="30"/>
    </row>
    <row r="108" spans="1:106" x14ac:dyDescent="0.25">
      <c r="A108" s="57" t="s">
        <v>266</v>
      </c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  <c r="BD108" s="30"/>
      <c r="BE108" s="30"/>
      <c r="BF108" s="30"/>
      <c r="BG108" s="30"/>
      <c r="BH108" s="30"/>
      <c r="BI108" s="30"/>
      <c r="BJ108" s="30"/>
      <c r="BK108" s="30"/>
      <c r="BL108" s="30"/>
      <c r="BM108" s="30"/>
      <c r="BN108" s="30"/>
      <c r="BO108" s="30"/>
      <c r="BP108" s="30"/>
      <c r="BQ108" s="30"/>
      <c r="BR108" s="30"/>
      <c r="BS108" s="30"/>
      <c r="BT108" s="30"/>
      <c r="BU108" s="30"/>
      <c r="BV108" s="30"/>
      <c r="BW108" s="30"/>
      <c r="BX108" s="30"/>
      <c r="BY108" s="30"/>
      <c r="BZ108" s="30"/>
      <c r="CA108" s="30"/>
      <c r="CB108" s="30"/>
      <c r="CC108" s="30"/>
      <c r="CD108" s="30"/>
      <c r="CE108" s="30"/>
      <c r="CF108" s="30"/>
      <c r="CG108" s="30"/>
      <c r="CH108" s="30"/>
      <c r="CI108" s="30"/>
      <c r="CJ108" s="30"/>
      <c r="CK108" s="30"/>
      <c r="CL108" s="30"/>
      <c r="CM108" s="30"/>
      <c r="CN108" s="30"/>
      <c r="CO108" s="30"/>
      <c r="CP108" s="30"/>
      <c r="CQ108" s="30"/>
      <c r="CR108" s="30"/>
      <c r="CS108" s="30"/>
      <c r="CT108" s="30"/>
      <c r="CU108" s="30"/>
      <c r="CV108" s="30"/>
      <c r="CW108" s="30"/>
      <c r="CX108" s="30"/>
      <c r="CY108" s="30"/>
      <c r="CZ108" s="30"/>
      <c r="DA108" s="30"/>
      <c r="DB108" s="30"/>
    </row>
    <row r="109" spans="3:106" x14ac:dyDescent="0.25"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0"/>
      <c r="AY109" s="30"/>
      <c r="AZ109" s="30"/>
      <c r="BA109" s="30"/>
      <c r="BB109" s="30"/>
      <c r="BC109" s="30"/>
      <c r="BD109" s="30"/>
      <c r="BE109" s="30"/>
      <c r="BF109" s="30"/>
      <c r="BG109" s="30"/>
      <c r="BH109" s="30"/>
      <c r="BI109" s="30"/>
      <c r="BJ109" s="30"/>
      <c r="BK109" s="30"/>
      <c r="BL109" s="30"/>
      <c r="BM109" s="30"/>
      <c r="BN109" s="30"/>
      <c r="BO109" s="30"/>
      <c r="BP109" s="30"/>
      <c r="BQ109" s="30"/>
      <c r="BR109" s="30"/>
      <c r="BS109" s="30"/>
      <c r="BT109" s="30"/>
      <c r="BU109" s="30"/>
      <c r="BV109" s="30"/>
      <c r="BW109" s="30"/>
      <c r="BX109" s="30"/>
      <c r="BY109" s="30"/>
      <c r="BZ109" s="30"/>
      <c r="CA109" s="30"/>
      <c r="CB109" s="30"/>
      <c r="CC109" s="30"/>
      <c r="CD109" s="30"/>
      <c r="CE109" s="30"/>
      <c r="CF109" s="30"/>
      <c r="CG109" s="30"/>
      <c r="CH109" s="30"/>
      <c r="CI109" s="30"/>
      <c r="CJ109" s="30"/>
      <c r="CK109" s="30"/>
      <c r="CL109" s="30"/>
      <c r="CM109" s="30"/>
      <c r="CN109" s="30"/>
      <c r="CO109" s="30"/>
      <c r="CP109" s="30"/>
      <c r="CQ109" s="30"/>
      <c r="CR109" s="30"/>
      <c r="CS109" s="30"/>
      <c r="CT109" s="30"/>
      <c r="CU109" s="30"/>
      <c r="CV109" s="30"/>
      <c r="CW109" s="30"/>
      <c r="CX109" s="30"/>
      <c r="CY109" s="30"/>
      <c r="CZ109" s="30"/>
      <c r="DA109" s="30"/>
      <c r="DB109" s="30"/>
    </row>
    <row r="110" ht="15" customHeight="1" spans="1:106" x14ac:dyDescent="0.25">
      <c r="A110" s="9" t="s">
        <v>327</v>
      </c>
      <c r="B110" s="17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2"/>
      <c r="BF110" s="32"/>
      <c r="BG110" s="32"/>
      <c r="BH110" s="32"/>
      <c r="BI110" s="32"/>
      <c r="BJ110" s="32"/>
      <c r="BK110" s="32"/>
      <c r="BL110" s="32"/>
      <c r="BM110" s="32"/>
      <c r="BN110" s="32"/>
      <c r="BO110" s="32"/>
      <c r="BP110" s="32"/>
      <c r="BQ110" s="32"/>
      <c r="BR110" s="32"/>
      <c r="BS110" s="32"/>
      <c r="BT110" s="32"/>
      <c r="BU110" s="32"/>
      <c r="BV110" s="32"/>
      <c r="BW110" s="32"/>
      <c r="BX110" s="32"/>
      <c r="BY110" s="32"/>
      <c r="BZ110" s="32"/>
      <c r="CA110" s="32"/>
      <c r="CB110" s="32"/>
      <c r="CC110" s="32"/>
      <c r="CD110" s="32"/>
      <c r="CE110" s="32"/>
      <c r="CF110" s="32"/>
      <c r="CG110" s="32"/>
      <c r="CH110" s="32"/>
      <c r="CI110" s="32"/>
      <c r="CJ110" s="32"/>
      <c r="CK110" s="32"/>
      <c r="CL110" s="32"/>
      <c r="CM110" s="32"/>
      <c r="CN110" s="32"/>
      <c r="CO110" s="32"/>
      <c r="CP110" s="32"/>
      <c r="CQ110" s="32"/>
      <c r="CR110" s="32"/>
      <c r="CS110" s="32"/>
      <c r="CT110" s="32"/>
      <c r="CU110" s="32"/>
      <c r="CV110" s="32"/>
      <c r="CW110" s="32"/>
      <c r="CX110" s="32"/>
      <c r="CY110" s="32"/>
      <c r="CZ110" s="32"/>
      <c r="DA110" s="32"/>
      <c r="DB110" s="32"/>
    </row>
    <row r="111" ht="15" customHeight="1" spans="1:106" x14ac:dyDescent="0.25">
      <c r="A111" s="61" t="s">
        <v>328</v>
      </c>
      <c r="B111" s="13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</row>
    <row r="112" spans="1:106" x14ac:dyDescent="0.25">
      <c r="A112" s="62" t="s">
        <v>329</v>
      </c>
      <c r="B112" s="24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  <c r="AA112" s="63"/>
      <c r="AB112" s="63"/>
      <c r="AC112" s="63"/>
      <c r="AD112" s="63"/>
      <c r="AE112" s="63"/>
      <c r="AF112" s="63"/>
      <c r="AG112" s="63"/>
      <c r="AH112" s="63"/>
      <c r="AI112" s="63"/>
      <c r="AJ112" s="63"/>
      <c r="AK112" s="63"/>
      <c r="AL112" s="63"/>
      <c r="AM112" s="63"/>
      <c r="AN112" s="63"/>
      <c r="AO112" s="63"/>
      <c r="AP112" s="63"/>
      <c r="AQ112" s="63"/>
      <c r="AR112" s="63"/>
      <c r="AS112" s="63"/>
      <c r="AT112" s="63"/>
      <c r="AU112" s="63"/>
      <c r="AV112" s="63"/>
      <c r="AW112" s="63"/>
      <c r="AX112" s="63"/>
      <c r="AY112" s="63"/>
      <c r="AZ112" s="63"/>
      <c r="BA112" s="63"/>
      <c r="BB112" s="63"/>
      <c r="BC112" s="63"/>
      <c r="BD112" s="63"/>
      <c r="BE112" s="63"/>
      <c r="BF112" s="63"/>
      <c r="BG112" s="63"/>
      <c r="BH112" s="63"/>
      <c r="BI112" s="63"/>
      <c r="BJ112" s="63"/>
      <c r="BK112" s="63"/>
      <c r="BL112" s="63"/>
      <c r="BM112" s="63"/>
      <c r="BN112" s="63"/>
      <c r="BO112" s="63"/>
      <c r="BP112" s="63"/>
      <c r="BQ112" s="63"/>
      <c r="BR112" s="63"/>
      <c r="BS112" s="63"/>
      <c r="BT112" s="63"/>
      <c r="BU112" s="63"/>
      <c r="BV112" s="63"/>
      <c r="BW112" s="63"/>
      <c r="BX112" s="63"/>
      <c r="BY112" s="63"/>
      <c r="BZ112" s="63"/>
      <c r="CA112" s="63"/>
      <c r="CB112" s="63"/>
      <c r="CC112" s="63"/>
      <c r="CD112" s="63"/>
      <c r="CE112" s="63"/>
      <c r="CF112" s="63"/>
      <c r="CG112" s="63"/>
      <c r="CH112" s="63"/>
      <c r="CI112" s="63"/>
      <c r="CJ112" s="63"/>
      <c r="CK112" s="63"/>
      <c r="CL112" s="63"/>
      <c r="CM112" s="63"/>
      <c r="CN112" s="63"/>
      <c r="CO112" s="63"/>
      <c r="CP112" s="63"/>
      <c r="CQ112" s="63"/>
      <c r="CR112" s="63"/>
      <c r="CS112" s="63"/>
      <c r="CT112" s="63"/>
      <c r="CU112" s="63"/>
      <c r="CV112" s="63"/>
      <c r="CW112" s="63"/>
      <c r="CX112" s="63"/>
      <c r="CY112" s="63"/>
      <c r="CZ112" s="63"/>
      <c r="DA112" s="63"/>
      <c r="DB112" s="63"/>
    </row>
    <row r="113" ht="15" customHeight="1" spans="1:106" x14ac:dyDescent="0.25">
      <c r="A113" s="16" t="s">
        <v>330</v>
      </c>
      <c r="B113" s="17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  <c r="AG113" s="50"/>
      <c r="AH113" s="50"/>
      <c r="AI113" s="50"/>
      <c r="AJ113" s="50"/>
      <c r="AK113" s="50"/>
      <c r="AL113" s="50"/>
      <c r="AM113" s="50"/>
      <c r="AN113" s="50"/>
      <c r="AO113" s="50"/>
      <c r="AP113" s="50"/>
      <c r="AQ113" s="50"/>
      <c r="AR113" s="50"/>
      <c r="AS113" s="50"/>
      <c r="AT113" s="50"/>
      <c r="AU113" s="50"/>
      <c r="AV113" s="50"/>
      <c r="AW113" s="50"/>
      <c r="AX113" s="50"/>
      <c r="AY113" s="50"/>
      <c r="AZ113" s="50"/>
      <c r="BA113" s="50"/>
      <c r="BB113" s="50"/>
      <c r="BC113" s="50"/>
      <c r="BD113" s="50"/>
      <c r="BE113" s="50"/>
      <c r="BF113" s="50"/>
      <c r="BG113" s="50"/>
      <c r="BH113" s="50"/>
      <c r="BI113" s="50"/>
      <c r="BJ113" s="50"/>
      <c r="BK113" s="50"/>
      <c r="BL113" s="50"/>
      <c r="BM113" s="50"/>
      <c r="BN113" s="50"/>
      <c r="BO113" s="50"/>
      <c r="BP113" s="50"/>
      <c r="BQ113" s="50"/>
      <c r="BR113" s="50"/>
      <c r="BS113" s="50"/>
      <c r="BT113" s="50"/>
      <c r="BU113" s="50"/>
      <c r="BV113" s="50"/>
      <c r="BW113" s="50"/>
      <c r="BX113" s="50"/>
      <c r="BY113" s="50"/>
      <c r="BZ113" s="50"/>
      <c r="CA113" s="50"/>
      <c r="CB113" s="50"/>
      <c r="CC113" s="50"/>
      <c r="CD113" s="50"/>
      <c r="CE113" s="50"/>
      <c r="CF113" s="50"/>
      <c r="CG113" s="50"/>
      <c r="CH113" s="50"/>
      <c r="CI113" s="50"/>
      <c r="CJ113" s="50"/>
      <c r="CK113" s="50"/>
      <c r="CL113" s="50"/>
      <c r="CM113" s="50"/>
      <c r="CN113" s="50"/>
      <c r="CO113" s="50"/>
      <c r="CP113" s="50"/>
      <c r="CQ113" s="50"/>
      <c r="CR113" s="50"/>
      <c r="CS113" s="50"/>
      <c r="CT113" s="50"/>
      <c r="CU113" s="50"/>
      <c r="CV113" s="50"/>
      <c r="CW113" s="50"/>
      <c r="CX113" s="50"/>
      <c r="CY113" s="50"/>
      <c r="CZ113" s="50"/>
      <c r="DA113" s="50"/>
      <c r="DB113" s="50"/>
    </row>
    <row r="114" ht="15" customHeight="1" spans="1:106" x14ac:dyDescent="0.25">
      <c r="A114" s="16" t="s">
        <v>331</v>
      </c>
      <c r="B114" s="17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50"/>
      <c r="AU114" s="50"/>
      <c r="AV114" s="50"/>
      <c r="AW114" s="50"/>
      <c r="AX114" s="50"/>
      <c r="AY114" s="50"/>
      <c r="AZ114" s="50"/>
      <c r="BA114" s="50"/>
      <c r="BB114" s="50"/>
      <c r="BC114" s="50"/>
      <c r="BD114" s="50"/>
      <c r="BE114" s="50"/>
      <c r="BF114" s="50"/>
      <c r="BG114" s="50"/>
      <c r="BH114" s="50"/>
      <c r="BI114" s="50"/>
      <c r="BJ114" s="50"/>
      <c r="BK114" s="50"/>
      <c r="BL114" s="50"/>
      <c r="BM114" s="50"/>
      <c r="BN114" s="50"/>
      <c r="BO114" s="50"/>
      <c r="BP114" s="50"/>
      <c r="BQ114" s="50"/>
      <c r="BR114" s="50"/>
      <c r="BS114" s="50"/>
      <c r="BT114" s="50"/>
      <c r="BU114" s="50"/>
      <c r="BV114" s="50"/>
      <c r="BW114" s="50"/>
      <c r="BX114" s="50"/>
      <c r="BY114" s="50"/>
      <c r="BZ114" s="50"/>
      <c r="CA114" s="50"/>
      <c r="CB114" s="50"/>
      <c r="CC114" s="50"/>
      <c r="CD114" s="50"/>
      <c r="CE114" s="50"/>
      <c r="CF114" s="50"/>
      <c r="CG114" s="50"/>
      <c r="CH114" s="50"/>
      <c r="CI114" s="50"/>
      <c r="CJ114" s="50"/>
      <c r="CK114" s="50"/>
      <c r="CL114" s="50"/>
      <c r="CM114" s="50"/>
      <c r="CN114" s="50"/>
      <c r="CO114" s="50"/>
      <c r="CP114" s="50"/>
      <c r="CQ114" s="50"/>
      <c r="CR114" s="50"/>
      <c r="CS114" s="50"/>
      <c r="CT114" s="50"/>
      <c r="CU114" s="50"/>
      <c r="CV114" s="50"/>
      <c r="CW114" s="50"/>
      <c r="CX114" s="50"/>
      <c r="CY114" s="50"/>
      <c r="CZ114" s="50"/>
      <c r="DA114" s="50"/>
      <c r="DB114" s="50"/>
    </row>
    <row r="115" ht="15" customHeight="1" spans="1:106" x14ac:dyDescent="0.25">
      <c r="A115" s="20" t="s">
        <v>332</v>
      </c>
      <c r="B115" s="13"/>
      <c r="C115" s="35">
        <f>=IFERROR(C114/C113,0)</f>
        <v>0</v>
      </c>
      <c r="D115" s="35">
        <f>=IFERROR(D114/D113,0)</f>
        <v>0</v>
      </c>
      <c r="E115" s="35">
        <f>=IFERROR(E114/E113,0)</f>
        <v>0</v>
      </c>
      <c r="F115" s="35">
        <f>=IFERROR(F114/F113,0)</f>
        <v>0</v>
      </c>
      <c r="G115" s="35">
        <f>=IFERROR(G114/G113,0)</f>
        <v>0</v>
      </c>
      <c r="H115" s="35">
        <f>=IFERROR(H114/H113,0)</f>
        <v>0</v>
      </c>
      <c r="I115" s="35">
        <f>=IFERROR(I114/I113,0)</f>
        <v>0</v>
      </c>
      <c r="J115" s="35">
        <f>=IFERROR(J114/J113,0)</f>
        <v>0</v>
      </c>
      <c r="K115" s="35">
        <f>=IFERROR(K114/K113,0)</f>
        <v>0</v>
      </c>
      <c r="L115" s="35">
        <f>=IFERROR(L114/L113,0)</f>
        <v>0</v>
      </c>
      <c r="M115" s="35">
        <f>=IFERROR(M114/M113,0)</f>
        <v>0</v>
      </c>
      <c r="N115" s="35">
        <f>=IFERROR(N114/N113,0)</f>
        <v>0</v>
      </c>
      <c r="O115" s="35">
        <f>=IFERROR(O114/O113,0)</f>
        <v>0</v>
      </c>
      <c r="P115" s="35">
        <f>=IFERROR(P114/P113,0)</f>
        <v>0</v>
      </c>
      <c r="Q115" s="35">
        <f>=IFERROR(Q114/Q113,0)</f>
        <v>0</v>
      </c>
      <c r="R115" s="35">
        <f>=IFERROR(R114/R113,0)</f>
        <v>0</v>
      </c>
      <c r="S115" s="35">
        <f>=IFERROR(S114/S113,0)</f>
        <v>0</v>
      </c>
      <c r="T115" s="35">
        <f>=IFERROR(T114/T113,0)</f>
        <v>0</v>
      </c>
      <c r="U115" s="35">
        <f>=IFERROR(U114/U113,0)</f>
        <v>0</v>
      </c>
      <c r="V115" s="35">
        <f>=IFERROR(V114/V113,0)</f>
        <v>0</v>
      </c>
      <c r="W115" s="35">
        <f>=IFERROR(W114/W113,0)</f>
        <v>0</v>
      </c>
      <c r="X115" s="35">
        <f>=IFERROR(X114/X113,0)</f>
        <v>0</v>
      </c>
      <c r="Y115" s="35">
        <f>=IFERROR(Y114/Y113,0)</f>
        <v>0</v>
      </c>
      <c r="Z115" s="35">
        <f>=IFERROR(Z114/Z113,0)</f>
        <v>0</v>
      </c>
      <c r="AA115" s="35">
        <f>=IFERROR(AA114/AA113,0)</f>
        <v>0</v>
      </c>
      <c r="AB115" s="35">
        <f>=IFERROR(AB114/AB113,0)</f>
        <v>0</v>
      </c>
      <c r="AC115" s="35">
        <f>=IFERROR(AC114/AC113,0)</f>
        <v>0</v>
      </c>
      <c r="AD115" s="35">
        <f>=IFERROR(AD114/AD113,0)</f>
        <v>0</v>
      </c>
      <c r="AE115" s="35">
        <f>=IFERROR(AE114/AE113,0)</f>
        <v>0</v>
      </c>
      <c r="AF115" s="35">
        <f>=IFERROR(AF114/AF113,0)</f>
        <v>0</v>
      </c>
      <c r="AG115" s="35">
        <f>=IFERROR(AG114/AG113,0)</f>
        <v>0</v>
      </c>
      <c r="AH115" s="35">
        <f>=IFERROR(AH114/AH113,0)</f>
        <v>0</v>
      </c>
      <c r="AI115" s="35">
        <f>=IFERROR(AI114/AI113,0)</f>
        <v>0</v>
      </c>
      <c r="AJ115" s="35">
        <f>=IFERROR(AJ114/AJ113,0)</f>
        <v>0</v>
      </c>
      <c r="AK115" s="35">
        <f>=IFERROR(AK114/AK113,0)</f>
        <v>0</v>
      </c>
      <c r="AL115" s="35">
        <f>=IFERROR(AL114/AL113,0)</f>
        <v>0</v>
      </c>
      <c r="AM115" s="35">
        <f>=IFERROR(AM114/AM113,0)</f>
        <v>0</v>
      </c>
      <c r="AN115" s="35">
        <f>=IFERROR(AN114/AN113,0)</f>
        <v>0</v>
      </c>
      <c r="AO115" s="35">
        <f>=IFERROR(AO114/AO113,0)</f>
        <v>0</v>
      </c>
      <c r="AP115" s="35">
        <f>=IFERROR(AP114/AP113,0)</f>
        <v>0</v>
      </c>
      <c r="AQ115" s="35">
        <f>=IFERROR(AQ114/AQ113,0)</f>
        <v>0</v>
      </c>
      <c r="AR115" s="35">
        <f>=IFERROR(AR114/AR113,0)</f>
        <v>0</v>
      </c>
      <c r="AS115" s="35">
        <f>=IFERROR(AS114/AS113,0)</f>
        <v>0</v>
      </c>
      <c r="AT115" s="35">
        <f>=IFERROR(AT114/AT113,0)</f>
        <v>0</v>
      </c>
      <c r="AU115" s="35">
        <f>=IFERROR(AU114/AU113,0)</f>
        <v>0</v>
      </c>
      <c r="AV115" s="35">
        <f>=IFERROR(AV114/AV113,0)</f>
        <v>0</v>
      </c>
      <c r="AW115" s="35">
        <f>=IFERROR(AW114/AW113,0)</f>
        <v>0</v>
      </c>
      <c r="AX115" s="35">
        <f>=IFERROR(AX114/AX113,0)</f>
        <v>0</v>
      </c>
      <c r="AY115" s="35">
        <f>=IFERROR(AY114/AY113,0)</f>
        <v>0</v>
      </c>
      <c r="AZ115" s="35">
        <f>=IFERROR(AZ114/AZ113,0)</f>
        <v>0</v>
      </c>
      <c r="BA115" s="35">
        <f>=IFERROR(BA114/BA113,0)</f>
        <v>0</v>
      </c>
      <c r="BB115" s="35">
        <f>=IFERROR(BB114/BB113,0)</f>
        <v>0</v>
      </c>
      <c r="BC115" s="35">
        <f>=IFERROR(BC114/BC113,0)</f>
        <v>0</v>
      </c>
      <c r="BD115" s="35">
        <f>=IFERROR(BD114/BD113,0)</f>
        <v>0</v>
      </c>
      <c r="BE115" s="35">
        <f>=IFERROR(BE114/BE113,0)</f>
        <v>0</v>
      </c>
      <c r="BF115" s="35">
        <f>=IFERROR(BF114/BF113,0)</f>
        <v>0</v>
      </c>
      <c r="BG115" s="35">
        <f>=IFERROR(BG114/BG113,0)</f>
        <v>0</v>
      </c>
      <c r="BH115" s="35">
        <f>=IFERROR(BH114/BH113,0)</f>
        <v>0</v>
      </c>
      <c r="BI115" s="35">
        <f>=IFERROR(BI114/BI113,0)</f>
        <v>0</v>
      </c>
      <c r="BJ115" s="35">
        <f>=IFERROR(BJ114/BJ113,0)</f>
        <v>0</v>
      </c>
      <c r="BK115" s="35">
        <f>=IFERROR(BK114/BK113,0)</f>
        <v>0</v>
      </c>
      <c r="BL115" s="35">
        <f>=IFERROR(BL114/BL113,0)</f>
        <v>0</v>
      </c>
      <c r="BM115" s="35">
        <f>=IFERROR(BM114/BM113,0)</f>
        <v>0</v>
      </c>
      <c r="BN115" s="35">
        <f>=IFERROR(BN114/BN113,0)</f>
        <v>0</v>
      </c>
      <c r="BO115" s="35">
        <f>=IFERROR(BO114/BO113,0)</f>
        <v>0</v>
      </c>
      <c r="BP115" s="35">
        <f>=IFERROR(BP114/BP113,0)</f>
        <v>0</v>
      </c>
      <c r="BQ115" s="35">
        <f>=IFERROR(BQ114/BQ113,0)</f>
        <v>0</v>
      </c>
      <c r="BR115" s="35">
        <f>=IFERROR(BR114/BR113,0)</f>
        <v>0</v>
      </c>
      <c r="BS115" s="35">
        <f>=IFERROR(BS114/BS113,0)</f>
        <v>0</v>
      </c>
      <c r="BT115" s="35">
        <f>=IFERROR(BT114/BT113,0)</f>
        <v>0</v>
      </c>
      <c r="BU115" s="35">
        <f>=IFERROR(BU114/BU113,0)</f>
        <v>0</v>
      </c>
      <c r="BV115" s="35">
        <f>=IFERROR(BV114/BV113,0)</f>
        <v>0</v>
      </c>
      <c r="BW115" s="35">
        <f>=IFERROR(BW114/BW113,0)</f>
        <v>0</v>
      </c>
      <c r="BX115" s="35">
        <f>=IFERROR(BX114/BX113,0)</f>
        <v>0</v>
      </c>
      <c r="BY115" s="35">
        <f>=IFERROR(BY114/BY113,0)</f>
        <v>0</v>
      </c>
      <c r="BZ115" s="35">
        <f>=IFERROR(BZ114/BZ113,0)</f>
        <v>0</v>
      </c>
      <c r="CA115" s="35">
        <f>=IFERROR(CA114/CA113,0)</f>
        <v>0</v>
      </c>
      <c r="CB115" s="35">
        <f>=IFERROR(CB114/CB113,0)</f>
        <v>0</v>
      </c>
      <c r="CC115" s="35">
        <f>=IFERROR(CC114/CC113,0)</f>
        <v>0</v>
      </c>
      <c r="CD115" s="35">
        <f>=IFERROR(CD114/CD113,0)</f>
        <v>0</v>
      </c>
      <c r="CE115" s="35">
        <f>=IFERROR(CE114/CE113,0)</f>
        <v>0</v>
      </c>
      <c r="CF115" s="35">
        <f>=IFERROR(CF114/CF113,0)</f>
        <v>0</v>
      </c>
      <c r="CG115" s="35">
        <f>=IFERROR(CG114/CG113,0)</f>
        <v>0</v>
      </c>
      <c r="CH115" s="35">
        <f>=IFERROR(CH114/CH113,0)</f>
        <v>0</v>
      </c>
      <c r="CI115" s="35">
        <f>=IFERROR(CI114/CI113,0)</f>
        <v>0</v>
      </c>
      <c r="CJ115" s="35">
        <f>=IFERROR(CJ114/CJ113,0)</f>
        <v>0</v>
      </c>
      <c r="CK115" s="35">
        <f>=IFERROR(CK114/CK113,0)</f>
        <v>0</v>
      </c>
      <c r="CL115" s="35">
        <f>=IFERROR(CL114/CL113,0)</f>
        <v>0</v>
      </c>
      <c r="CM115" s="35">
        <f>=IFERROR(CM114/CM113,0)</f>
        <v>0</v>
      </c>
      <c r="CN115" s="35">
        <f>=IFERROR(CN114/CN113,0)</f>
        <v>0</v>
      </c>
      <c r="CO115" s="35">
        <f>=IFERROR(CO114/CO113,0)</f>
        <v>0</v>
      </c>
      <c r="CP115" s="35">
        <f>=IFERROR(CP114/CP113,0)</f>
        <v>0</v>
      </c>
      <c r="CQ115" s="35">
        <f>=IFERROR(CQ114/CQ113,0)</f>
        <v>0</v>
      </c>
      <c r="CR115" s="35">
        <f>=IFERROR(CR114/CR113,0)</f>
        <v>0</v>
      </c>
      <c r="CS115" s="35">
        <f>=IFERROR(CS114/CS113,0)</f>
        <v>0</v>
      </c>
      <c r="CT115" s="35">
        <f>=IFERROR(CT114/CT113,0)</f>
        <v>0</v>
      </c>
      <c r="CU115" s="35">
        <f>=IFERROR(CU114/CU113,0)</f>
        <v>0</v>
      </c>
      <c r="CV115" s="35">
        <f>=IFERROR(CV114/CV113,0)</f>
        <v>0</v>
      </c>
      <c r="CW115" s="35">
        <f>=IFERROR(CW114/CW113,0)</f>
        <v>0</v>
      </c>
      <c r="CX115" s="35">
        <f>=IFERROR(CX114/CX113,0)</f>
        <v>0</v>
      </c>
      <c r="CY115" s="35">
        <f>=IFERROR(CY114/CY113,0)</f>
        <v>0</v>
      </c>
      <c r="CZ115" s="35">
        <f>=IFERROR(CZ114/CZ113,0)</f>
        <v>0</v>
      </c>
      <c r="DA115" s="35">
        <f>=IFERROR(DA114/DA113,0)</f>
        <v>0</v>
      </c>
      <c r="DB115" s="35">
        <f>=IFERROR(DB114/DB113,0)</f>
        <v>0</v>
      </c>
    </row>
    <row r="116" spans="1:106" x14ac:dyDescent="0.25">
      <c r="A116" s="17" t="s">
        <v>333</v>
      </c>
      <c r="B116" s="65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6"/>
      <c r="AT116" s="66"/>
      <c r="AU116" s="66"/>
      <c r="AV116" s="66"/>
      <c r="AW116" s="66"/>
      <c r="AX116" s="66"/>
      <c r="AY116" s="66"/>
      <c r="AZ116" s="66"/>
      <c r="BA116" s="66"/>
      <c r="BB116" s="66"/>
      <c r="BC116" s="66"/>
      <c r="BD116" s="66"/>
      <c r="BE116" s="66"/>
      <c r="BF116" s="66"/>
      <c r="BG116" s="66"/>
      <c r="BH116" s="66"/>
      <c r="BI116" s="66"/>
      <c r="BJ116" s="66"/>
      <c r="BK116" s="66"/>
      <c r="BL116" s="66"/>
      <c r="BM116" s="66"/>
      <c r="BN116" s="66"/>
      <c r="BO116" s="66"/>
      <c r="BP116" s="66"/>
      <c r="BQ116" s="66"/>
      <c r="BR116" s="66"/>
      <c r="BS116" s="66"/>
      <c r="BT116" s="66"/>
      <c r="BU116" s="66"/>
      <c r="BV116" s="66"/>
      <c r="BW116" s="66"/>
      <c r="BX116" s="66"/>
      <c r="BY116" s="66"/>
      <c r="BZ116" s="66"/>
      <c r="CA116" s="66"/>
      <c r="CB116" s="66"/>
      <c r="CC116" s="66"/>
      <c r="CD116" s="66"/>
      <c r="CE116" s="66"/>
      <c r="CF116" s="66"/>
      <c r="CG116" s="66"/>
      <c r="CH116" s="66"/>
      <c r="CI116" s="66"/>
      <c r="CJ116" s="66"/>
      <c r="CK116" s="66"/>
      <c r="CL116" s="66"/>
      <c r="CM116" s="66"/>
      <c r="CN116" s="66"/>
      <c r="CO116" s="66"/>
      <c r="CP116" s="66"/>
      <c r="CQ116" s="66"/>
      <c r="CR116" s="66"/>
      <c r="CS116" s="66"/>
      <c r="CT116" s="66"/>
      <c r="CU116" s="66"/>
      <c r="CV116" s="66"/>
      <c r="CW116" s="66"/>
      <c r="CX116" s="66"/>
      <c r="CY116" s="66"/>
      <c r="CZ116" s="66"/>
      <c r="DA116" s="66"/>
      <c r="DB116" s="66"/>
    </row>
    <row r="117" spans="1:106" x14ac:dyDescent="0.25">
      <c r="A117" s="17" t="s">
        <v>334</v>
      </c>
      <c r="B117" s="65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6"/>
      <c r="AQ117" s="66"/>
      <c r="AR117" s="66"/>
      <c r="AS117" s="66"/>
      <c r="AT117" s="66"/>
      <c r="AU117" s="66"/>
      <c r="AV117" s="66"/>
      <c r="AW117" s="66"/>
      <c r="AX117" s="66"/>
      <c r="AY117" s="66"/>
      <c r="AZ117" s="66"/>
      <c r="BA117" s="66"/>
      <c r="BB117" s="66"/>
      <c r="BC117" s="66"/>
      <c r="BD117" s="66"/>
      <c r="BE117" s="66"/>
      <c r="BF117" s="66"/>
      <c r="BG117" s="66"/>
      <c r="BH117" s="66"/>
      <c r="BI117" s="66"/>
      <c r="BJ117" s="66"/>
      <c r="BK117" s="66"/>
      <c r="BL117" s="66"/>
      <c r="BM117" s="66"/>
      <c r="BN117" s="66"/>
      <c r="BO117" s="66"/>
      <c r="BP117" s="66"/>
      <c r="BQ117" s="66"/>
      <c r="BR117" s="66"/>
      <c r="BS117" s="66"/>
      <c r="BT117" s="66"/>
      <c r="BU117" s="66">
        <v>2</v>
      </c>
      <c r="BV117" s="66"/>
      <c r="BW117" s="66"/>
      <c r="BX117" s="66"/>
      <c r="BY117" s="66"/>
      <c r="BZ117" s="66"/>
      <c r="CA117" s="66"/>
      <c r="CB117" s="66"/>
      <c r="CC117" s="66"/>
      <c r="CD117" s="66"/>
      <c r="CE117" s="66"/>
      <c r="CF117" s="66"/>
      <c r="CG117" s="66"/>
      <c r="CH117" s="66"/>
      <c r="CI117" s="66"/>
      <c r="CJ117" s="66"/>
      <c r="CK117" s="66"/>
      <c r="CL117" s="66"/>
      <c r="CM117" s="66"/>
      <c r="CN117" s="66"/>
      <c r="CO117" s="66"/>
      <c r="CP117" s="66"/>
      <c r="CQ117" s="66"/>
      <c r="CR117" s="66"/>
      <c r="CS117" s="66"/>
      <c r="CT117" s="66"/>
      <c r="CU117" s="66"/>
      <c r="CV117" s="66"/>
      <c r="CW117" s="66"/>
      <c r="CX117" s="66"/>
      <c r="CY117" s="66"/>
      <c r="CZ117" s="66"/>
      <c r="DA117" s="66"/>
      <c r="DB117" s="66"/>
    </row>
    <row r="118" spans="1:106" x14ac:dyDescent="0.25">
      <c r="A118" s="17" t="s">
        <v>335</v>
      </c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  <c r="AV118" s="30"/>
      <c r="AW118" s="30"/>
      <c r="AX118" s="30"/>
      <c r="AY118" s="30"/>
      <c r="AZ118" s="30"/>
      <c r="BA118" s="30"/>
      <c r="BB118" s="30"/>
      <c r="BC118" s="30"/>
      <c r="BD118" s="30"/>
      <c r="BE118" s="30"/>
      <c r="BF118" s="30"/>
      <c r="BG118" s="30"/>
      <c r="BH118" s="30"/>
      <c r="BI118" s="30"/>
      <c r="BJ118" s="30"/>
      <c r="BK118" s="30"/>
      <c r="BL118" s="30"/>
      <c r="BM118" s="30"/>
      <c r="BN118" s="30"/>
      <c r="BO118" s="30"/>
      <c r="BP118" s="30"/>
      <c r="BQ118" s="30"/>
      <c r="BR118" s="30"/>
      <c r="BS118" s="30"/>
      <c r="BT118" s="30"/>
      <c r="BU118" s="30"/>
      <c r="BV118" s="30"/>
      <c r="BW118" s="30"/>
      <c r="BX118" s="30"/>
      <c r="BY118" s="30"/>
      <c r="BZ118" s="30"/>
      <c r="CA118" s="30"/>
      <c r="CB118" s="30"/>
      <c r="CC118" s="30"/>
      <c r="CD118" s="30"/>
      <c r="CE118" s="30"/>
      <c r="CF118" s="30"/>
      <c r="CG118" s="30"/>
      <c r="CH118" s="30"/>
      <c r="CI118" s="30"/>
      <c r="CJ118" s="30"/>
      <c r="CK118" s="30"/>
      <c r="CL118" s="30"/>
      <c r="CM118" s="30"/>
      <c r="CN118" s="30"/>
      <c r="CO118" s="30"/>
      <c r="CP118" s="30"/>
      <c r="CQ118" s="30"/>
      <c r="CR118" s="30"/>
      <c r="CS118" s="30"/>
      <c r="CT118" s="30"/>
      <c r="CU118" s="30"/>
      <c r="CV118" s="30"/>
      <c r="CW118" s="30"/>
      <c r="CX118" s="30"/>
      <c r="CY118" s="30"/>
      <c r="CZ118" s="30"/>
      <c r="DA118" s="30"/>
      <c r="DB118" s="30"/>
    </row>
    <row r="119" spans="1:106" x14ac:dyDescent="0.25">
      <c r="A119" s="17" t="s">
        <v>266</v>
      </c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28">
        <f>=U117+U116</f>
        <v>0</v>
      </c>
      <c r="V119" s="28">
        <f>=V117+V116</f>
        <v>0</v>
      </c>
      <c r="W119" s="28">
        <f>=W117+W116</f>
        <v>0</v>
      </c>
      <c r="X119" s="28">
        <f>=X117+X116</f>
        <v>0</v>
      </c>
      <c r="Y119" s="28">
        <f>=Y117+Y116</f>
        <v>0</v>
      </c>
      <c r="Z119" s="28">
        <f>=Z117+Z116</f>
        <v>0</v>
      </c>
      <c r="AA119" s="28">
        <f>=AA117+AA116</f>
        <v>0</v>
      </c>
      <c r="AB119" s="28">
        <f>=AB117+AB116</f>
        <v>0</v>
      </c>
      <c r="AC119" s="28">
        <f>=AC117+AC116</f>
        <v>0</v>
      </c>
      <c r="AD119" s="28">
        <f>=AD117+AD116</f>
        <v>0</v>
      </c>
      <c r="AE119" s="28">
        <f>=AE117+AE116</f>
        <v>0</v>
      </c>
      <c r="AF119" s="28">
        <f>=AF117+AF116</f>
        <v>0</v>
      </c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30"/>
      <c r="CD119" s="30"/>
      <c r="CE119" s="30"/>
      <c r="CF119" s="30"/>
      <c r="CG119" s="30"/>
      <c r="CH119" s="30"/>
      <c r="CI119" s="30"/>
      <c r="CJ119" s="30"/>
      <c r="CK119" s="30"/>
      <c r="CL119" s="30"/>
      <c r="CM119" s="30"/>
      <c r="CN119" s="30"/>
      <c r="CO119" s="30"/>
      <c r="CP119" s="30"/>
      <c r="CQ119" s="30"/>
      <c r="CR119" s="30"/>
      <c r="CS119" s="30"/>
      <c r="CT119" s="30"/>
      <c r="CU119" s="30"/>
      <c r="CV119" s="30"/>
      <c r="CW119" s="30"/>
      <c r="CX119" s="30"/>
      <c r="CY119" s="30"/>
      <c r="CZ119" s="30"/>
      <c r="DA119" s="30"/>
      <c r="DB119" s="30"/>
    </row>
    <row r="120" spans="1:106" x14ac:dyDescent="0.25">
      <c r="A120" s="17" t="s">
        <v>266</v>
      </c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28">
        <f>=T119*(1-U$43)</f>
        <v>0</v>
      </c>
      <c r="V120" s="28">
        <f>=U119*(1-V$43)</f>
        <v>0</v>
      </c>
      <c r="W120" s="28">
        <f>=V119*(1-W$43)</f>
        <v>0</v>
      </c>
      <c r="X120" s="28">
        <f>=W119*(1-X$43)</f>
        <v>0</v>
      </c>
      <c r="Y120" s="28">
        <f>=X119*(1-Y$43)</f>
        <v>0</v>
      </c>
      <c r="Z120" s="28">
        <f>=Y119*(1-Z$43)</f>
        <v>0</v>
      </c>
      <c r="AA120" s="28">
        <f>=Z119*(1-AA$43)</f>
        <v>0</v>
      </c>
      <c r="AB120" s="28">
        <f>=AA119*(1-AB$43)</f>
        <v>0</v>
      </c>
      <c r="AC120" s="28">
        <f>=AB119*(1-AC$43)</f>
        <v>0</v>
      </c>
      <c r="AD120" s="28">
        <f>=AC119*(1-AD$43)</f>
        <v>0</v>
      </c>
      <c r="AE120" s="28">
        <f>=AD119*(1-AE$43)</f>
        <v>0</v>
      </c>
      <c r="AF120" s="28">
        <f>=AE119*(1-AF$43)</f>
        <v>0</v>
      </c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</row>
    <row r="121" spans="1:106" x14ac:dyDescent="0.25">
      <c r="A121" s="17" t="s">
        <v>336</v>
      </c>
      <c r="C121" s="17">
        <v>0</v>
      </c>
      <c r="D121" s="17">
        <v>11</v>
      </c>
      <c r="E121" s="17"/>
      <c r="F121" s="17"/>
      <c r="G121" s="17"/>
      <c r="H121" s="17"/>
      <c r="I121" s="17"/>
      <c r="J121" s="17"/>
      <c r="K121" s="17"/>
      <c r="L121" s="17">
        <v>0</v>
      </c>
      <c r="M121" s="17"/>
      <c r="N121" s="17"/>
      <c r="O121" s="17"/>
      <c r="P121" s="17"/>
      <c r="Q121" s="17"/>
      <c r="R121" s="17"/>
      <c r="S121" s="17"/>
      <c r="T121" s="17"/>
      <c r="U121" s="17">
        <v>0</v>
      </c>
      <c r="V121" s="17">
        <v>0</v>
      </c>
      <c r="W121" s="17">
        <v>0</v>
      </c>
      <c r="X121" s="17">
        <v>0</v>
      </c>
      <c r="Y121" s="17">
        <v>0</v>
      </c>
      <c r="Z121" s="17">
        <v>0</v>
      </c>
      <c r="AA121" s="17">
        <v>0</v>
      </c>
      <c r="AB121" s="17">
        <v>0</v>
      </c>
      <c r="AC121" s="17">
        <v>0</v>
      </c>
      <c r="AD121" s="17">
        <v>0</v>
      </c>
      <c r="AE121" s="17">
        <v>0</v>
      </c>
      <c r="AF121" s="17">
        <v>0</v>
      </c>
      <c r="AG121" s="17">
        <v>0</v>
      </c>
      <c r="AH121" s="17">
        <v>0</v>
      </c>
      <c r="AI121" s="17">
        <v>0</v>
      </c>
      <c r="AJ121" s="17">
        <v>0</v>
      </c>
      <c r="AK121" s="17">
        <v>13</v>
      </c>
      <c r="AL121" s="17">
        <v>0</v>
      </c>
      <c r="AM121" s="17">
        <v>11</v>
      </c>
      <c r="AN121" s="17">
        <v>0</v>
      </c>
      <c r="AO121" s="17">
        <v>0</v>
      </c>
      <c r="AP121" s="17">
        <v>0</v>
      </c>
      <c r="AQ121" s="17">
        <v>0</v>
      </c>
      <c r="AR121" s="17">
        <v>0</v>
      </c>
      <c r="AS121" s="17">
        <v>14</v>
      </c>
      <c r="AT121" s="17">
        <v>0</v>
      </c>
      <c r="AU121" s="17">
        <v>0</v>
      </c>
      <c r="AV121" s="17">
        <v>10</v>
      </c>
      <c r="AW121" s="17">
        <v>16</v>
      </c>
      <c r="AX121" s="17">
        <v>0</v>
      </c>
      <c r="AY121" s="17">
        <v>8</v>
      </c>
      <c r="AZ121" s="17">
        <v>7</v>
      </c>
      <c r="BA121" s="17">
        <v>0</v>
      </c>
      <c r="BB121" s="17">
        <v>12</v>
      </c>
      <c r="BC121" s="17">
        <v>6</v>
      </c>
      <c r="BD121" s="17">
        <v>0</v>
      </c>
      <c r="BE121" s="17">
        <v>0</v>
      </c>
      <c r="BF121" s="17">
        <v>0</v>
      </c>
      <c r="BG121" s="17">
        <v>0</v>
      </c>
      <c r="BH121" s="17">
        <v>0</v>
      </c>
      <c r="BI121" s="17">
        <v>0</v>
      </c>
      <c r="BJ121" s="17">
        <f>=SUM(BJ116:BJ117)</f>
        <v>0</v>
      </c>
      <c r="BK121" s="17">
        <f>=SUM(BK116:BK117)</f>
        <v>0</v>
      </c>
      <c r="BL121" s="17">
        <f>=SUM(BL116:BL117)</f>
        <v>0</v>
      </c>
      <c r="BM121" s="17">
        <f>=SUM(BM116:BM117)</f>
        <v>0</v>
      </c>
      <c r="BN121" s="17">
        <f>=SUM(BN116:BN117)</f>
        <v>0</v>
      </c>
      <c r="BO121" s="17">
        <f>=SUM(BO116:BO117)</f>
        <v>0</v>
      </c>
      <c r="BP121" s="17">
        <f>=SUM(BP116:BP117)</f>
        <v>0</v>
      </c>
      <c r="BQ121" s="17"/>
      <c r="BR121" s="17"/>
      <c r="BS121" s="17"/>
      <c r="BT121" s="17"/>
      <c r="BU121" s="67">
        <f>=SUM(BU116:BU117)</f>
        <v>2</v>
      </c>
      <c r="BV121" s="67">
        <f>=SUM(BV116:BV117)</f>
        <v>0</v>
      </c>
      <c r="BW121" s="67">
        <f>=SUM(BW116:BW117)</f>
        <v>0</v>
      </c>
      <c r="BX121" s="67">
        <f>=SUM(BX116:BX117)</f>
        <v>0</v>
      </c>
      <c r="BY121" s="67">
        <f>=SUM(BY116:BY117)</f>
        <v>0</v>
      </c>
      <c r="BZ121" s="67">
        <f>=SUM(BZ116:BZ117)</f>
        <v>0</v>
      </c>
      <c r="CA121" s="67">
        <f>=SUM(CA116:CA117)</f>
        <v>0</v>
      </c>
      <c r="CB121" s="67">
        <f>=SUM(CB116:CB117)</f>
        <v>0</v>
      </c>
      <c r="CC121" s="67">
        <f>=SUM(CC116:CC117)</f>
        <v>0</v>
      </c>
      <c r="CD121" s="67">
        <f>=SUM(CD116:CD117)</f>
        <v>0</v>
      </c>
      <c r="CE121" s="67">
        <f>=SUM(CE116:CE117)</f>
        <v>0</v>
      </c>
      <c r="CF121" s="67">
        <f>=SUM(CF116:CF117)</f>
        <v>0</v>
      </c>
      <c r="CG121" s="67">
        <f>=SUM(CG116:CG117)</f>
        <v>0</v>
      </c>
      <c r="CH121" s="67">
        <f>=SUM(CH116:CH117)</f>
        <v>0</v>
      </c>
      <c r="CI121" s="67">
        <f>=SUM(CI116:CI117)</f>
        <v>0</v>
      </c>
      <c r="CJ121" s="67">
        <f>=SUM(CJ116:CJ117)</f>
        <v>0</v>
      </c>
      <c r="CK121" s="67">
        <f>=SUM(CK116:CK117)</f>
        <v>0</v>
      </c>
      <c r="CL121" s="67">
        <f>=SUM(CL116:CL117)</f>
        <v>0</v>
      </c>
      <c r="CM121" s="67">
        <f>=SUM(CM116:CM117)</f>
        <v>0</v>
      </c>
      <c r="CN121" s="67">
        <f>=SUM(CN116:CN117)</f>
        <v>0</v>
      </c>
      <c r="CO121" s="67">
        <f>=SUM(CO116:CO117)</f>
        <v>0</v>
      </c>
      <c r="CP121" s="67">
        <f>=SUM(CP116:CP117)</f>
        <v>0</v>
      </c>
      <c r="CQ121" s="67">
        <f>=SUM(CQ116:CQ117)</f>
        <v>0</v>
      </c>
      <c r="CR121" s="67">
        <f>=SUM(CR116:CR117)</f>
        <v>0</v>
      </c>
      <c r="CS121" s="67">
        <f>=SUM(CS116:CS117)</f>
        <v>0</v>
      </c>
      <c r="CT121" s="67">
        <f>=SUM(CT116:CT117)</f>
        <v>0</v>
      </c>
      <c r="CU121" s="67">
        <f>=SUM(CU116:CU117)</f>
        <v>0</v>
      </c>
      <c r="CV121" s="67">
        <f>=SUM(CV116:CV117)</f>
        <v>0</v>
      </c>
      <c r="CW121" s="67">
        <f>=SUM(CW116:CW117)</f>
        <v>0</v>
      </c>
      <c r="CX121" s="67">
        <f>=SUM(CX116:CX117)</f>
        <v>0</v>
      </c>
      <c r="CY121" s="67">
        <f>=SUM(CY116:CY117)</f>
        <v>0</v>
      </c>
      <c r="CZ121" s="67">
        <f>=SUM(CZ116:CZ117)</f>
        <v>0</v>
      </c>
      <c r="DA121" s="67">
        <f>=SUM(DA116:DA117)</f>
        <v>0</v>
      </c>
      <c r="DB121" s="67">
        <f>=SUM(DB116:DB117)</f>
        <v>0</v>
      </c>
    </row>
    <row r="122" spans="1:106" x14ac:dyDescent="0.25">
      <c r="A122" s="17" t="s">
        <v>337</v>
      </c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</row>
    <row r="123" spans="1:106" x14ac:dyDescent="0.25">
      <c r="A123" s="17" t="s">
        <v>338</v>
      </c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</row>
    <row r="124" spans="1:106" x14ac:dyDescent="0.25">
      <c r="A124" s="17" t="s">
        <v>339</v>
      </c>
      <c r="C124" s="17">
        <v>10</v>
      </c>
      <c r="D124" s="17">
        <v>0</v>
      </c>
      <c r="E124" s="17">
        <v>11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  <c r="AE124" s="17">
        <v>0</v>
      </c>
      <c r="AF124" s="17">
        <v>0</v>
      </c>
      <c r="AG124" s="17">
        <v>0</v>
      </c>
      <c r="AH124" s="17">
        <v>0</v>
      </c>
      <c r="AI124" s="17">
        <v>0</v>
      </c>
      <c r="AJ124" s="17">
        <v>0</v>
      </c>
      <c r="AK124" s="17">
        <v>0</v>
      </c>
      <c r="AL124" s="17">
        <v>13</v>
      </c>
      <c r="AM124" s="17">
        <v>0</v>
      </c>
      <c r="AN124" s="17">
        <v>12</v>
      </c>
      <c r="AO124" s="17">
        <v>0</v>
      </c>
      <c r="AP124" s="17">
        <v>0</v>
      </c>
      <c r="AQ124" s="17">
        <v>0</v>
      </c>
      <c r="AR124" s="17">
        <v>0</v>
      </c>
      <c r="AS124" s="17">
        <v>0</v>
      </c>
      <c r="AT124" s="17">
        <v>14</v>
      </c>
      <c r="AU124" s="17">
        <v>0</v>
      </c>
      <c r="AV124" s="17">
        <v>0</v>
      </c>
      <c r="AW124" s="17"/>
      <c r="AX124" s="17">
        <v>16</v>
      </c>
      <c r="AY124" s="17">
        <v>0</v>
      </c>
      <c r="AZ124" s="17"/>
      <c r="BA124" s="17"/>
      <c r="BB124" s="17">
        <v>0</v>
      </c>
      <c r="BC124" s="17">
        <v>12</v>
      </c>
      <c r="BD124" s="17">
        <v>6</v>
      </c>
      <c r="BE124" s="17">
        <v>0</v>
      </c>
      <c r="BF124" s="17">
        <v>0</v>
      </c>
      <c r="BG124" s="17">
        <v>0</v>
      </c>
      <c r="BH124" s="17">
        <v>0</v>
      </c>
      <c r="BI124" s="17">
        <v>0</v>
      </c>
      <c r="BJ124" s="17">
        <v>0</v>
      </c>
      <c r="BK124" s="17">
        <f>=BJ121*(1-BK$43)</f>
        <v>0</v>
      </c>
      <c r="BL124" s="17">
        <f>=BK121*(1-BL$43)</f>
        <v>0</v>
      </c>
      <c r="BM124" s="17">
        <f>=BL121*(1-BM$43)</f>
        <v>0</v>
      </c>
      <c r="BN124" s="17">
        <f>=BM121*(1-BN$43)</f>
        <v>0</v>
      </c>
      <c r="BO124" s="17">
        <f>=BN121*(1-BO$43)</f>
        <v>0</v>
      </c>
      <c r="BP124" s="17">
        <f>=BO121*(1-BP$43)</f>
        <v>0</v>
      </c>
      <c r="BQ124" s="17"/>
      <c r="BR124" s="17"/>
      <c r="BS124" s="17"/>
      <c r="BT124" s="17"/>
      <c r="BU124" s="67">
        <f>=BT121*(1-BU$43)</f>
        <v>0</v>
      </c>
      <c r="BV124" s="67">
        <v>2</v>
      </c>
      <c r="BW124" s="67">
        <f>=BV121*(1-BW$43)</f>
        <v>0</v>
      </c>
      <c r="BX124" s="67">
        <f>=BW121*(1-BX$43)</f>
        <v>0</v>
      </c>
      <c r="BY124" s="67">
        <f>=BX121*(1-BY$43)</f>
        <v>0</v>
      </c>
      <c r="BZ124" s="67">
        <f>=BY121*(1-BZ$43)</f>
        <v>0</v>
      </c>
      <c r="CA124" s="67">
        <f>=BZ121*(1-CA$43)</f>
        <v>0</v>
      </c>
      <c r="CB124" s="67">
        <f>=CA121*(1-CB$43)</f>
        <v>0</v>
      </c>
      <c r="CC124" s="67">
        <f>=CB121*(1-CC$43)</f>
        <v>0</v>
      </c>
      <c r="CD124" s="67">
        <f>=CC121*(1-CD$43)</f>
        <v>0</v>
      </c>
      <c r="CE124" s="67">
        <f>=CD121*(1-CE$43)</f>
        <v>0</v>
      </c>
      <c r="CF124" s="67">
        <f>=CE121*(1-CF$43)</f>
        <v>0</v>
      </c>
      <c r="CG124" s="67">
        <f>=CF121*(1-CG$43)</f>
        <v>0</v>
      </c>
      <c r="CH124" s="67">
        <f>=CG121*(1-CH$43)</f>
        <v>0</v>
      </c>
      <c r="CI124" s="67">
        <f>=CH121*(1-CI$43)</f>
        <v>0</v>
      </c>
      <c r="CJ124" s="67">
        <f>=CI121*(1-CJ$43)</f>
        <v>0</v>
      </c>
      <c r="CK124" s="67">
        <f>=CJ121*(1-CK$43)</f>
        <v>0</v>
      </c>
      <c r="CL124" s="67">
        <f>=CK121*(1-CL$43)</f>
        <v>0</v>
      </c>
      <c r="CM124" s="67">
        <f>=CL121*(1-CM$43)</f>
        <v>0</v>
      </c>
      <c r="CN124" s="67">
        <f>=CM121*(1-CN$43)</f>
        <v>0</v>
      </c>
      <c r="CO124" s="67">
        <f>=CN121*(1-CO$43)</f>
        <v>0</v>
      </c>
      <c r="CP124" s="67">
        <f>=CO121*(1-CP$43)</f>
        <v>0</v>
      </c>
      <c r="CQ124" s="67">
        <f>=CP121*(1-CQ$43)</f>
        <v>0</v>
      </c>
      <c r="CR124" s="67">
        <f>=CQ121*(1-CR$43)</f>
        <v>0</v>
      </c>
      <c r="CS124" s="67">
        <f>=CR121*(1-CS$43)</f>
        <v>0</v>
      </c>
      <c r="CT124" s="67">
        <f>=CS121*(1-CT$43)</f>
        <v>0</v>
      </c>
      <c r="CU124" s="67">
        <f>=CT121*(1-CU$43)</f>
        <v>0</v>
      </c>
      <c r="CV124" s="67">
        <f>=CU121*(1-CV$43)</f>
        <v>0</v>
      </c>
      <c r="CW124" s="67">
        <f>=CV121*(1-CW$43)</f>
        <v>0</v>
      </c>
      <c r="CX124" s="67">
        <f>=CW121*(1-CX$43)</f>
        <v>0</v>
      </c>
      <c r="CY124" s="67">
        <f>=CX121*(1-CY$43)</f>
        <v>0</v>
      </c>
      <c r="CZ124" s="67">
        <f>=CY121*(1-CZ$43)</f>
        <v>0</v>
      </c>
      <c r="DA124" s="67">
        <f>=CZ121*(1-DA$43)</f>
        <v>0</v>
      </c>
      <c r="DB124" s="67">
        <f>=DA121*(1-DB$43)</f>
        <v>0</v>
      </c>
    </row>
    <row r="125" ht="18" customHeight="1" spans="1:106" x14ac:dyDescent="0.25">
      <c r="A125" s="17" t="s">
        <v>266</v>
      </c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</row>
    <row r="126" spans="1:106" x14ac:dyDescent="0.25">
      <c r="A126" s="17" t="s">
        <v>340</v>
      </c>
      <c r="C126" s="17">
        <v>0</v>
      </c>
      <c r="D126" s="17">
        <v>10</v>
      </c>
      <c r="E126" s="17">
        <v>0</v>
      </c>
      <c r="F126" s="17">
        <v>11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7">
        <v>0</v>
      </c>
      <c r="AH126" s="17">
        <v>0</v>
      </c>
      <c r="AI126" s="17">
        <v>0</v>
      </c>
      <c r="AJ126" s="17">
        <v>0</v>
      </c>
      <c r="AK126" s="17">
        <v>0</v>
      </c>
      <c r="AL126" s="17">
        <v>0</v>
      </c>
      <c r="AM126" s="17">
        <v>12</v>
      </c>
      <c r="AN126" s="17">
        <v>0</v>
      </c>
      <c r="AO126" s="17">
        <v>14</v>
      </c>
      <c r="AP126" s="17">
        <v>0</v>
      </c>
      <c r="AQ126" s="17">
        <v>0</v>
      </c>
      <c r="AR126" s="17">
        <v>0</v>
      </c>
      <c r="AS126" s="17">
        <v>0</v>
      </c>
      <c r="AT126" s="17">
        <v>0</v>
      </c>
      <c r="AU126" s="17">
        <v>14</v>
      </c>
      <c r="AV126" s="17">
        <v>0</v>
      </c>
      <c r="AW126" s="17">
        <v>0</v>
      </c>
      <c r="AX126" s="17">
        <v>0</v>
      </c>
      <c r="AY126" s="17">
        <v>16</v>
      </c>
      <c r="AZ126" s="17">
        <v>0</v>
      </c>
      <c r="BA126" s="17">
        <v>0</v>
      </c>
      <c r="BB126" s="17">
        <v>0</v>
      </c>
      <c r="BC126" s="17">
        <v>0</v>
      </c>
      <c r="BD126" s="17">
        <v>12</v>
      </c>
      <c r="BE126" s="17">
        <v>6</v>
      </c>
      <c r="BF126" s="17">
        <v>0</v>
      </c>
      <c r="BG126" s="17">
        <v>0</v>
      </c>
      <c r="BH126" s="17">
        <v>0</v>
      </c>
      <c r="BI126" s="17">
        <v>0</v>
      </c>
      <c r="BJ126" s="17">
        <v>0</v>
      </c>
      <c r="BK126" s="17">
        <f>=BJ124*(1-BK$43)</f>
        <v>0</v>
      </c>
      <c r="BL126" s="17">
        <f>=BK124*(1-BL$43)</f>
        <v>0</v>
      </c>
      <c r="BM126" s="17">
        <f>=BL124*(1-BM$43)</f>
        <v>0</v>
      </c>
      <c r="BN126" s="17">
        <f>=BM124*(1-BN$43)</f>
        <v>0</v>
      </c>
      <c r="BO126" s="17">
        <f>=BN124*(1-BO$43)</f>
        <v>0</v>
      </c>
      <c r="BP126" s="17">
        <f>=BO124*(1-BP$43)</f>
        <v>0</v>
      </c>
      <c r="BQ126" s="17"/>
      <c r="BR126" s="17"/>
      <c r="BS126" s="17"/>
      <c r="BT126" s="17"/>
      <c r="BU126" s="67">
        <f>=BT124*(1-BU$43)</f>
        <v>0</v>
      </c>
      <c r="BV126" s="67">
        <f>=BU124*(1-BV$43)</f>
        <v>0</v>
      </c>
      <c r="BW126" s="67">
        <v>2</v>
      </c>
      <c r="BX126" s="67">
        <f>=BW124*(1-BX$43)</f>
        <v>0</v>
      </c>
      <c r="BY126" s="67">
        <f>=BX124*(1-BY$43)</f>
        <v>0</v>
      </c>
      <c r="BZ126" s="67">
        <f>=BY124*(1-BZ$43)</f>
        <v>0</v>
      </c>
      <c r="CA126" s="67">
        <f>=BZ124*(1-CA$43)</f>
        <v>0</v>
      </c>
      <c r="CB126" s="67">
        <f>=CA124*(1-CB$43)</f>
        <v>0</v>
      </c>
      <c r="CC126" s="67">
        <f>=CB124*(1-CC$43)</f>
        <v>0</v>
      </c>
      <c r="CD126" s="67">
        <f>=CC124*(1-CD$43)</f>
        <v>0</v>
      </c>
      <c r="CE126" s="67">
        <f>=CD124*(1-CE$43)</f>
        <v>0</v>
      </c>
      <c r="CF126" s="67">
        <f>=CE124*(1-CF$43)</f>
        <v>0</v>
      </c>
      <c r="CG126" s="67">
        <f>=CF124*(1-CG$43)</f>
        <v>0</v>
      </c>
      <c r="CH126" s="67">
        <f>=CG124*(1-CH$43)</f>
        <v>0</v>
      </c>
      <c r="CI126" s="67">
        <f>=CH124*(1-CI$43)</f>
        <v>0</v>
      </c>
      <c r="CJ126" s="67">
        <f>=CI124*(1-CJ$43)</f>
        <v>0</v>
      </c>
      <c r="CK126" s="67">
        <f>=CJ124*(1-CK$43)</f>
        <v>0</v>
      </c>
      <c r="CL126" s="67">
        <f>=CK124*(1-CL$43)</f>
        <v>0</v>
      </c>
      <c r="CM126" s="67">
        <f>=CL124*(1-CM$43)</f>
        <v>0</v>
      </c>
      <c r="CN126" s="67">
        <f>=CM124*(1-CN$43)</f>
        <v>0</v>
      </c>
      <c r="CO126" s="67">
        <f>=CN124*(1-CO$43)</f>
        <v>0</v>
      </c>
      <c r="CP126" s="67">
        <f>=CO124*(1-CP$43)</f>
        <v>0</v>
      </c>
      <c r="CQ126" s="67">
        <f>=CP124*(1-CQ$43)</f>
        <v>0</v>
      </c>
      <c r="CR126" s="67">
        <f>=CQ124*(1-CR$43)</f>
        <v>0</v>
      </c>
      <c r="CS126" s="67">
        <f>=CR124*(1-CS$43)</f>
        <v>0</v>
      </c>
      <c r="CT126" s="67">
        <f>=CS124*(1-CT$43)</f>
        <v>0</v>
      </c>
      <c r="CU126" s="67">
        <f>=CT124*(1-CU$43)</f>
        <v>0</v>
      </c>
      <c r="CV126" s="67">
        <f>=CU124*(1-CV$43)</f>
        <v>0</v>
      </c>
      <c r="CW126" s="67">
        <f>=CV124*(1-CW$43)</f>
        <v>0</v>
      </c>
      <c r="CX126" s="67">
        <f>=CW124*(1-CX$43)</f>
        <v>0</v>
      </c>
      <c r="CY126" s="67">
        <f>=CX124*(1-CY$43)</f>
        <v>0</v>
      </c>
      <c r="CZ126" s="67">
        <f>=CY124*(1-CZ$43)</f>
        <v>0</v>
      </c>
      <c r="DA126" s="67">
        <f>=CZ124*(1-DA$43)</f>
        <v>0</v>
      </c>
      <c r="DB126" s="67">
        <f>=DA124*(1-DB$43)</f>
        <v>0</v>
      </c>
    </row>
    <row r="127" spans="1:106" x14ac:dyDescent="0.25">
      <c r="A127" s="17" t="s">
        <v>341</v>
      </c>
      <c r="C127" s="17">
        <v>0</v>
      </c>
      <c r="D127" s="17">
        <v>0</v>
      </c>
      <c r="E127" s="17">
        <v>10</v>
      </c>
      <c r="F127" s="17">
        <v>0</v>
      </c>
      <c r="G127" s="17">
        <v>11</v>
      </c>
      <c r="H127" s="17">
        <v>0</v>
      </c>
      <c r="I127" s="17">
        <v>0</v>
      </c>
      <c r="J127" s="17">
        <v>0</v>
      </c>
      <c r="K127" s="17">
        <v>0</v>
      </c>
      <c r="L127" s="17">
        <v>0</v>
      </c>
      <c r="M127" s="17">
        <v>0</v>
      </c>
      <c r="N127" s="17">
        <v>0</v>
      </c>
      <c r="O127" s="17">
        <v>0</v>
      </c>
      <c r="P127" s="17">
        <v>0</v>
      </c>
      <c r="Q127" s="17">
        <v>0</v>
      </c>
      <c r="R127" s="17">
        <v>0</v>
      </c>
      <c r="S127" s="17">
        <v>0</v>
      </c>
      <c r="T127" s="17">
        <v>0</v>
      </c>
      <c r="U127" s="17">
        <v>0</v>
      </c>
      <c r="V127" s="17">
        <v>0</v>
      </c>
      <c r="W127" s="17">
        <v>0</v>
      </c>
      <c r="X127" s="17">
        <v>0</v>
      </c>
      <c r="Y127" s="17">
        <v>0</v>
      </c>
      <c r="Z127" s="17">
        <v>0</v>
      </c>
      <c r="AA127" s="17">
        <v>0</v>
      </c>
      <c r="AB127" s="17">
        <v>0</v>
      </c>
      <c r="AC127" s="17">
        <v>0</v>
      </c>
      <c r="AD127" s="17">
        <v>0</v>
      </c>
      <c r="AE127" s="17">
        <v>0</v>
      </c>
      <c r="AF127" s="17">
        <v>0</v>
      </c>
      <c r="AG127" s="17">
        <v>0</v>
      </c>
      <c r="AH127" s="17">
        <v>0</v>
      </c>
      <c r="AI127" s="17">
        <v>0</v>
      </c>
      <c r="AJ127" s="17">
        <v>0</v>
      </c>
      <c r="AK127" s="17">
        <v>0</v>
      </c>
      <c r="AL127" s="17">
        <v>0</v>
      </c>
      <c r="AM127" s="17">
        <v>0</v>
      </c>
      <c r="AN127" s="17">
        <v>12</v>
      </c>
      <c r="AO127" s="17">
        <v>0</v>
      </c>
      <c r="AP127" s="17">
        <v>14</v>
      </c>
      <c r="AQ127" s="17">
        <v>0</v>
      </c>
      <c r="AR127" s="17">
        <v>0</v>
      </c>
      <c r="AS127" s="17">
        <v>0</v>
      </c>
      <c r="AT127" s="17">
        <v>0</v>
      </c>
      <c r="AU127" s="17">
        <v>0</v>
      </c>
      <c r="AV127" s="17">
        <v>14</v>
      </c>
      <c r="AW127" s="17">
        <v>0</v>
      </c>
      <c r="AX127" s="17">
        <v>0</v>
      </c>
      <c r="AY127" s="17">
        <v>0</v>
      </c>
      <c r="AZ127" s="17">
        <v>13</v>
      </c>
      <c r="BA127" s="17">
        <v>0</v>
      </c>
      <c r="BB127" s="17">
        <v>0</v>
      </c>
      <c r="BC127" s="17">
        <v>0</v>
      </c>
      <c r="BD127" s="17">
        <v>0</v>
      </c>
      <c r="BE127" s="17">
        <v>10</v>
      </c>
      <c r="BF127" s="17">
        <v>5</v>
      </c>
      <c r="BG127" s="17">
        <v>0</v>
      </c>
      <c r="BH127" s="17">
        <v>0</v>
      </c>
      <c r="BI127" s="17">
        <v>0</v>
      </c>
      <c r="BJ127" s="17">
        <v>0</v>
      </c>
      <c r="BK127" s="17">
        <f>=BJ126*(1-BK$43)</f>
        <v>0</v>
      </c>
      <c r="BL127" s="17">
        <f>=BK126*(1-BL$43)</f>
        <v>0</v>
      </c>
      <c r="BM127" s="17">
        <f>=BL126*(1-BM$43)</f>
        <v>0</v>
      </c>
      <c r="BN127" s="17">
        <f>=BM126*(1-BN$43)</f>
        <v>0</v>
      </c>
      <c r="BO127" s="17">
        <f>=BN126*(1-BO$43)</f>
        <v>0</v>
      </c>
      <c r="BP127" s="17">
        <f>=BO126*(1-BP$43)</f>
        <v>0</v>
      </c>
      <c r="BQ127" s="17"/>
      <c r="BR127" s="17"/>
      <c r="BS127" s="17"/>
      <c r="BT127" s="17"/>
      <c r="BU127" s="67">
        <f>=BT126*(1-BU$43)</f>
        <v>0</v>
      </c>
      <c r="BV127" s="67">
        <f>=BU126*(1-BV$43)</f>
        <v>0</v>
      </c>
      <c r="BW127" s="67">
        <f>=BV126*(1-BW$43)</f>
        <v>0</v>
      </c>
      <c r="BX127" s="17"/>
      <c r="BY127" s="67">
        <f>=BX126*(1-BY$43)</f>
        <v>0</v>
      </c>
      <c r="BZ127" s="67">
        <f>=BY126*(1-BZ$43)</f>
        <v>0</v>
      </c>
      <c r="CA127" s="67">
        <f>=BZ126*(1-CA$43)</f>
        <v>0</v>
      </c>
      <c r="CB127" s="67">
        <f>=CA126*(1-CB$43)</f>
        <v>0</v>
      </c>
      <c r="CC127" s="67">
        <f>=CB126*(1-CC$43)</f>
        <v>0</v>
      </c>
      <c r="CD127" s="67">
        <f>=CC126*(1-CD$43)</f>
        <v>0</v>
      </c>
      <c r="CE127" s="67">
        <f>=CD126*(1-CE$43)</f>
        <v>0</v>
      </c>
      <c r="CF127" s="67">
        <f>=CE126*(1-CF$43)</f>
        <v>0</v>
      </c>
      <c r="CG127" s="67">
        <f>=CF126*(1-CG$43)</f>
        <v>0</v>
      </c>
      <c r="CH127" s="67">
        <f>=CG126*(1-CH$43)</f>
        <v>0</v>
      </c>
      <c r="CI127" s="67">
        <f>=CH126*(1-CI$43)</f>
        <v>0</v>
      </c>
      <c r="CJ127" s="67">
        <f>=CI126*(1-CJ$43)</f>
        <v>0</v>
      </c>
      <c r="CK127" s="67">
        <f>=CJ126*(1-CK$43)</f>
        <v>0</v>
      </c>
      <c r="CL127" s="67">
        <f>=CK126*(1-CL$43)</f>
        <v>0</v>
      </c>
      <c r="CM127" s="67">
        <f>=CL126*(1-CM$43)</f>
        <v>0</v>
      </c>
      <c r="CN127" s="67">
        <f>=CM126*(1-CN$43)</f>
        <v>0</v>
      </c>
      <c r="CO127" s="67">
        <f>=CN126*(1-CO$43)</f>
        <v>0</v>
      </c>
      <c r="CP127" s="67">
        <f>=CO126*(1-CP$43)</f>
        <v>0</v>
      </c>
      <c r="CQ127" s="67">
        <f>=CP126*(1-CQ$43)</f>
        <v>0</v>
      </c>
      <c r="CR127" s="67">
        <f>=CQ126*(1-CR$43)</f>
        <v>0</v>
      </c>
      <c r="CS127" s="67">
        <f>=CR126*(1-CS$43)</f>
        <v>0</v>
      </c>
      <c r="CT127" s="67">
        <f>=CS126*(1-CT$43)</f>
        <v>0</v>
      </c>
      <c r="CU127" s="67">
        <f>=CT126*(1-CU$43)</f>
        <v>0</v>
      </c>
      <c r="CV127" s="67">
        <f>=CU126*(1-CV$43)</f>
        <v>0</v>
      </c>
      <c r="CW127" s="67">
        <f>=CV126*(1-CW$43)</f>
        <v>0</v>
      </c>
      <c r="CX127" s="67">
        <f>=CW126*(1-CX$43)</f>
        <v>0</v>
      </c>
      <c r="CY127" s="67">
        <f>=CX126*(1-CY$43)</f>
        <v>0</v>
      </c>
      <c r="CZ127" s="67">
        <f>=CY126*(1-CZ$43)</f>
        <v>0</v>
      </c>
      <c r="DA127" s="67">
        <f>=CZ126*(1-DA$43)</f>
        <v>0</v>
      </c>
      <c r="DB127" s="67">
        <f>=DA126*(1-DB$43)</f>
        <v>0</v>
      </c>
    </row>
    <row r="128" spans="1:106" x14ac:dyDescent="0.25">
      <c r="A128" s="17" t="s">
        <v>401</v>
      </c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>
        <v>0</v>
      </c>
      <c r="AM128" s="17">
        <v>0</v>
      </c>
      <c r="AN128" s="17">
        <v>0</v>
      </c>
      <c r="AO128" s="17">
        <v>12</v>
      </c>
      <c r="AP128" s="17">
        <v>0</v>
      </c>
      <c r="AQ128" s="17">
        <v>13</v>
      </c>
      <c r="AR128" s="17">
        <v>0</v>
      </c>
      <c r="AS128" s="17">
        <v>0</v>
      </c>
      <c r="AT128" s="17">
        <v>0</v>
      </c>
      <c r="AU128" s="17">
        <v>0</v>
      </c>
      <c r="AV128" s="17">
        <v>0</v>
      </c>
      <c r="AW128" s="17">
        <v>13</v>
      </c>
      <c r="AX128" s="17">
        <v>0</v>
      </c>
      <c r="AY128" s="17">
        <v>0</v>
      </c>
      <c r="AZ128" s="17">
        <v>0</v>
      </c>
      <c r="BA128" s="17">
        <v>13</v>
      </c>
      <c r="BB128" s="17">
        <v>0</v>
      </c>
      <c r="BC128" s="17">
        <v>0</v>
      </c>
      <c r="BD128" s="17">
        <v>0</v>
      </c>
      <c r="BE128" s="17">
        <v>0</v>
      </c>
      <c r="BF128" s="17">
        <v>10</v>
      </c>
      <c r="BG128" s="17">
        <v>5</v>
      </c>
      <c r="BH128" s="17">
        <v>0</v>
      </c>
      <c r="BI128" s="17">
        <v>0</v>
      </c>
      <c r="BJ128" s="17">
        <v>0</v>
      </c>
      <c r="BK128" s="17">
        <f>=BJ127*(1-BK$43)</f>
        <v>0</v>
      </c>
      <c r="BL128" s="17">
        <f>=BK127*(1-BL$43)</f>
        <v>0</v>
      </c>
      <c r="BM128" s="17">
        <f>=BL127*(1-BM$43)</f>
        <v>0</v>
      </c>
      <c r="BN128" s="17">
        <f>=BM127*(1-BN$43)</f>
        <v>0</v>
      </c>
      <c r="BO128" s="17">
        <f>=BN127*(1-BO$43)</f>
        <v>0</v>
      </c>
      <c r="BP128" s="17">
        <f>=BO127*(1-BP$43)</f>
        <v>0</v>
      </c>
      <c r="BQ128" s="17"/>
      <c r="BR128" s="17"/>
      <c r="BS128" s="17"/>
      <c r="BT128" s="17"/>
      <c r="BU128" s="67">
        <f>=BT127*(1-BU$43)</f>
        <v>0</v>
      </c>
      <c r="BV128" s="67">
        <f>=BU127*(1-BV$43)</f>
        <v>0</v>
      </c>
      <c r="BW128" s="67">
        <f>=BV127*(1-BW$43)</f>
        <v>0</v>
      </c>
      <c r="BX128" s="67">
        <v>2</v>
      </c>
      <c r="BY128" s="67">
        <f>=BX127*(1-BY$43)</f>
        <v>0</v>
      </c>
      <c r="BZ128" s="67">
        <f>=BY127*(1-BZ$43)</f>
        <v>0</v>
      </c>
      <c r="CA128" s="67">
        <f>=BZ127*(1-CA$43)</f>
        <v>0</v>
      </c>
      <c r="CB128" s="67">
        <f>=CA127*(1-CB$43)</f>
        <v>0</v>
      </c>
      <c r="CC128" s="67">
        <f>=CB127*(1-CC$43)</f>
        <v>0</v>
      </c>
      <c r="CD128" s="67">
        <f>=CC127*(1-CD$43)</f>
        <v>0</v>
      </c>
      <c r="CE128" s="67">
        <f>=CD127*(1-CE$43)</f>
        <v>0</v>
      </c>
      <c r="CF128" s="67">
        <f>=CE127*(1-CF$43)</f>
        <v>0</v>
      </c>
      <c r="CG128" s="67">
        <f>=CF127*(1-CG$43)</f>
        <v>0</v>
      </c>
      <c r="CH128" s="67">
        <f>=CG127*(1-CH$43)</f>
        <v>0</v>
      </c>
      <c r="CI128" s="67">
        <f>=CH127*(1-CI$43)</f>
        <v>0</v>
      </c>
      <c r="CJ128" s="67">
        <f>=CI127*(1-CJ$43)</f>
        <v>0</v>
      </c>
      <c r="CK128" s="67">
        <f>=CJ127*(1-CK$43)</f>
        <v>0</v>
      </c>
      <c r="CL128" s="67">
        <f>=CK127*(1-CL$43)</f>
        <v>0</v>
      </c>
      <c r="CM128" s="67">
        <f>=CL127*(1-CM$43)</f>
        <v>0</v>
      </c>
      <c r="CN128" s="67">
        <f>=CM127*(1-CN$43)</f>
        <v>0</v>
      </c>
      <c r="CO128" s="67">
        <f>=CN127*(1-CO$43)</f>
        <v>0</v>
      </c>
      <c r="CP128" s="67">
        <f>=CO127*(1-CP$43)</f>
        <v>0</v>
      </c>
      <c r="CQ128" s="67">
        <f>=CP127*(1-CQ$43)</f>
        <v>0</v>
      </c>
      <c r="CR128" s="67">
        <f>=CQ127*(1-CR$43)</f>
        <v>0</v>
      </c>
      <c r="CS128" s="67">
        <f>=CR127*(1-CS$43)</f>
        <v>0</v>
      </c>
      <c r="CT128" s="67">
        <f>=CS127*(1-CT$43)</f>
        <v>0</v>
      </c>
      <c r="CU128" s="67">
        <f>=CT127*(1-CU$43)</f>
        <v>0</v>
      </c>
      <c r="CV128" s="67">
        <f>=CU127*(1-CV$43)</f>
        <v>0</v>
      </c>
      <c r="CW128" s="67">
        <f>=CV127*(1-CW$43)</f>
        <v>0</v>
      </c>
      <c r="CX128" s="67">
        <f>=CW127*(1-CX$43)</f>
        <v>0</v>
      </c>
      <c r="CY128" s="67">
        <f>=CX127*(1-CY$43)</f>
        <v>0</v>
      </c>
      <c r="CZ128" s="67">
        <f>=CY127*(1-CZ$43)</f>
        <v>0</v>
      </c>
      <c r="DA128" s="67">
        <f>=CZ127*(1-DA$43)</f>
        <v>0</v>
      </c>
      <c r="DB128" s="67">
        <f>=DA127*(1-DB$43)</f>
        <v>0</v>
      </c>
    </row>
    <row r="129" spans="1:106" x14ac:dyDescent="0.25">
      <c r="A129" s="17" t="s">
        <v>402</v>
      </c>
      <c r="C129" s="17">
        <v>0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7">
        <v>0</v>
      </c>
      <c r="AI129" s="17">
        <v>0</v>
      </c>
      <c r="AJ129" s="17">
        <v>0</v>
      </c>
      <c r="AK129" s="17">
        <v>0</v>
      </c>
      <c r="AL129" s="17">
        <v>0</v>
      </c>
      <c r="AM129" s="17">
        <v>0</v>
      </c>
      <c r="AN129" s="17">
        <v>0</v>
      </c>
      <c r="AO129" s="17">
        <v>0</v>
      </c>
      <c r="AP129" s="17">
        <v>12</v>
      </c>
      <c r="AQ129" s="17">
        <v>0</v>
      </c>
      <c r="AR129" s="17">
        <v>12</v>
      </c>
      <c r="AS129" s="17">
        <v>0</v>
      </c>
      <c r="AT129" s="17">
        <v>0</v>
      </c>
      <c r="AU129" s="17">
        <v>0</v>
      </c>
      <c r="AV129" s="17">
        <v>0</v>
      </c>
      <c r="AW129" s="17">
        <v>0</v>
      </c>
      <c r="AX129" s="17">
        <v>13</v>
      </c>
      <c r="AY129" s="17">
        <v>0</v>
      </c>
      <c r="AZ129" s="17">
        <v>0</v>
      </c>
      <c r="BA129" s="17">
        <v>0</v>
      </c>
      <c r="BB129" s="17">
        <v>13</v>
      </c>
      <c r="BC129" s="17">
        <v>0</v>
      </c>
      <c r="BD129" s="17">
        <v>0</v>
      </c>
      <c r="BE129" s="17">
        <v>0</v>
      </c>
      <c r="BF129" s="17">
        <v>0</v>
      </c>
      <c r="BG129" s="17">
        <v>10</v>
      </c>
      <c r="BH129" s="17">
        <v>5</v>
      </c>
      <c r="BI129" s="17">
        <v>0</v>
      </c>
      <c r="BJ129" s="17">
        <v>0</v>
      </c>
      <c r="BK129" s="17">
        <f>=BJ128*(1-BK$43)</f>
        <v>0</v>
      </c>
      <c r="BL129" s="17">
        <f>=BK128*(1-BL$43)</f>
        <v>0</v>
      </c>
      <c r="BM129" s="17">
        <f>=BL128*(1-BM$43)</f>
        <v>0</v>
      </c>
      <c r="BN129" s="17">
        <f>=BM128*(1-BN$43)</f>
        <v>0</v>
      </c>
      <c r="BO129" s="17">
        <f>=BN128*(1-BO$43)</f>
        <v>0</v>
      </c>
      <c r="BP129" s="17">
        <f>=BO128*(1-BP$43)</f>
        <v>0</v>
      </c>
      <c r="BQ129" s="17"/>
      <c r="BR129" s="17"/>
      <c r="BS129" s="17"/>
      <c r="BT129" s="17"/>
      <c r="BU129" s="67">
        <f>=BT128*(1-BU$43)</f>
        <v>0</v>
      </c>
      <c r="BV129" s="67">
        <f>=BU128*(1-BV$43)</f>
        <v>0</v>
      </c>
      <c r="BW129" s="67">
        <f>=BV128*(1-BW$43)</f>
        <v>0</v>
      </c>
      <c r="BX129" s="67">
        <f>=BW128*(1-BX$43)</f>
        <v>0</v>
      </c>
      <c r="BY129" s="67">
        <v>2</v>
      </c>
      <c r="BZ129" s="67">
        <f>=BY128*(1-BZ$43)</f>
        <v>0</v>
      </c>
      <c r="CA129" s="67">
        <f>=BZ128*(1-CA$43)</f>
        <v>0</v>
      </c>
      <c r="CB129" s="67">
        <f>=CA128*(1-CB$43)</f>
        <v>0</v>
      </c>
      <c r="CC129" s="67">
        <f>=CB128*(1-CC$43)</f>
        <v>0</v>
      </c>
      <c r="CD129" s="67">
        <f>=CC128*(1-CD$43)</f>
        <v>0</v>
      </c>
      <c r="CE129" s="67">
        <f>=CD128*(1-CE$43)</f>
        <v>0</v>
      </c>
      <c r="CF129" s="67">
        <f>=CE128*(1-CF$43)</f>
        <v>0</v>
      </c>
      <c r="CG129" s="67">
        <f>=CF128*(1-CG$43)</f>
        <v>0</v>
      </c>
      <c r="CH129" s="67">
        <f>=CG128*(1-CH$43)</f>
        <v>0</v>
      </c>
      <c r="CI129" s="67">
        <f>=CH128*(1-CI$43)</f>
        <v>0</v>
      </c>
      <c r="CJ129" s="67">
        <f>=CI128*(1-CJ$43)</f>
        <v>0</v>
      </c>
      <c r="CK129" s="67">
        <f>=CJ128*(1-CK$43)</f>
        <v>0</v>
      </c>
      <c r="CL129" s="67">
        <f>=CK128*(1-CL$43)</f>
        <v>0</v>
      </c>
      <c r="CM129" s="67">
        <f>=CL128*(1-CM$43)</f>
        <v>0</v>
      </c>
      <c r="CN129" s="67">
        <f>=CM128*(1-CN$43)</f>
        <v>0</v>
      </c>
      <c r="CO129" s="67">
        <f>=CN128*(1-CO$43)</f>
        <v>0</v>
      </c>
      <c r="CP129" s="67">
        <f>=CO128*(1-CP$43)</f>
        <v>0</v>
      </c>
      <c r="CQ129" s="67">
        <f>=CP128*(1-CQ$43)</f>
        <v>0</v>
      </c>
      <c r="CR129" s="67">
        <f>=CQ128*(1-CR$43)</f>
        <v>0</v>
      </c>
      <c r="CS129" s="67">
        <f>=CR128*(1-CS$43)</f>
        <v>0</v>
      </c>
      <c r="CT129" s="67">
        <f>=CS128*(1-CT$43)</f>
        <v>0</v>
      </c>
      <c r="CU129" s="67">
        <f>=CT128*(1-CU$43)</f>
        <v>0</v>
      </c>
      <c r="CV129" s="67">
        <f>=CU128*(1-CV$43)</f>
        <v>0</v>
      </c>
      <c r="CW129" s="67">
        <f>=CV128*(1-CW$43)</f>
        <v>0</v>
      </c>
      <c r="CX129" s="67">
        <f>=CW128*(1-CX$43)</f>
        <v>0</v>
      </c>
      <c r="CY129" s="67">
        <f>=CX128*(1-CY$43)</f>
        <v>0</v>
      </c>
      <c r="CZ129" s="67">
        <f>=CY128*(1-CZ$43)</f>
        <v>0</v>
      </c>
      <c r="DA129" s="67">
        <f>=CZ128*(1-DA$43)</f>
        <v>0</v>
      </c>
      <c r="DB129" s="67">
        <f>=DA128*(1-DB$43)</f>
        <v>0</v>
      </c>
    </row>
    <row r="130" spans="1:106" x14ac:dyDescent="0.25">
      <c r="A130" s="17" t="s">
        <v>344</v>
      </c>
      <c r="C130" s="17">
        <v>15</v>
      </c>
      <c r="D130" s="17">
        <v>0</v>
      </c>
      <c r="E130" s="17">
        <v>0</v>
      </c>
      <c r="F130" s="17">
        <v>10</v>
      </c>
      <c r="G130" s="17">
        <v>0</v>
      </c>
      <c r="H130" s="17">
        <v>11</v>
      </c>
      <c r="I130" s="17">
        <v>0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  <c r="Y130" s="17">
        <v>0</v>
      </c>
      <c r="Z130" s="17">
        <v>0</v>
      </c>
      <c r="AA130" s="17">
        <v>0</v>
      </c>
      <c r="AB130" s="17">
        <v>0</v>
      </c>
      <c r="AC130" s="17">
        <v>0</v>
      </c>
      <c r="AD130" s="17">
        <v>0</v>
      </c>
      <c r="AE130" s="17">
        <v>0</v>
      </c>
      <c r="AF130" s="17">
        <v>0</v>
      </c>
      <c r="AG130" s="17">
        <v>0</v>
      </c>
      <c r="AH130" s="17">
        <v>0</v>
      </c>
      <c r="AI130" s="17">
        <v>0</v>
      </c>
      <c r="AJ130" s="17">
        <v>0</v>
      </c>
      <c r="AK130" s="17">
        <v>0</v>
      </c>
      <c r="AL130" s="17">
        <v>0</v>
      </c>
      <c r="AM130" s="17">
        <v>0</v>
      </c>
      <c r="AN130" s="17">
        <v>0</v>
      </c>
      <c r="AO130" s="17">
        <v>0</v>
      </c>
      <c r="AP130" s="17">
        <v>0</v>
      </c>
      <c r="AQ130" s="17">
        <v>12</v>
      </c>
      <c r="AR130" s="17">
        <v>0</v>
      </c>
      <c r="AS130" s="17">
        <v>12</v>
      </c>
      <c r="AT130" s="17">
        <v>0</v>
      </c>
      <c r="AU130" s="17">
        <v>0</v>
      </c>
      <c r="AV130" s="17">
        <v>0</v>
      </c>
      <c r="AW130" s="17">
        <v>0</v>
      </c>
      <c r="AX130" s="17">
        <v>0</v>
      </c>
      <c r="AY130" s="17">
        <v>13</v>
      </c>
      <c r="AZ130" s="17">
        <v>0</v>
      </c>
      <c r="BA130" s="17">
        <v>0</v>
      </c>
      <c r="BB130" s="17">
        <v>0</v>
      </c>
      <c r="BC130" s="17">
        <v>13</v>
      </c>
      <c r="BD130" s="17">
        <v>0</v>
      </c>
      <c r="BE130" s="17">
        <v>0</v>
      </c>
      <c r="BF130" s="17">
        <v>0</v>
      </c>
      <c r="BG130" s="17">
        <v>0</v>
      </c>
      <c r="BH130" s="17">
        <v>10</v>
      </c>
      <c r="BI130" s="17">
        <v>5</v>
      </c>
      <c r="BJ130" s="17">
        <v>0</v>
      </c>
      <c r="BK130" s="17">
        <f>=BJ129*(1-BK$43)</f>
        <v>0</v>
      </c>
      <c r="BL130" s="17">
        <f>=BK129*(1-BL$43)</f>
        <v>0</v>
      </c>
      <c r="BM130" s="17">
        <f>=BL129*(1-BM$43)</f>
        <v>0</v>
      </c>
      <c r="BN130" s="17">
        <f>=BM129*(1-BN$43)</f>
        <v>0</v>
      </c>
      <c r="BO130" s="17">
        <f>=BN129*(1-BO$43)</f>
        <v>0</v>
      </c>
      <c r="BP130" s="17">
        <f>=BO129*(1-BP$43)</f>
        <v>0</v>
      </c>
      <c r="BQ130" s="17"/>
      <c r="BR130" s="17"/>
      <c r="BS130" s="17"/>
      <c r="BT130" s="17"/>
      <c r="BU130" s="67">
        <f>=BT129*(1-BU$43)</f>
        <v>0</v>
      </c>
      <c r="BV130" s="67">
        <f>=BU129*(1-BV$43)</f>
        <v>0</v>
      </c>
      <c r="BW130" s="67">
        <f>=BV129*(1-BW$43)</f>
        <v>0</v>
      </c>
      <c r="BX130" s="67">
        <f>=BW129*(1-BX$43)</f>
        <v>0</v>
      </c>
      <c r="BY130" s="67">
        <f>=BX129*(1-BY$43)</f>
        <v>0</v>
      </c>
      <c r="BZ130" s="67">
        <f>=BY129*(1-BZ$43)</f>
        <v>1.94</v>
      </c>
      <c r="CA130" s="67">
        <f>=BZ129*(1-CA$43)</f>
        <v>0</v>
      </c>
      <c r="CB130" s="67">
        <f>=CA129*(1-CB$43)</f>
        <v>0</v>
      </c>
      <c r="CC130" s="67">
        <f>=CB129*(1-CC$43)</f>
        <v>0</v>
      </c>
      <c r="CD130" s="67">
        <f>=CC129*(1-CD$43)</f>
        <v>0</v>
      </c>
      <c r="CE130" s="67">
        <f>=CD129*(1-CE$43)</f>
        <v>0</v>
      </c>
      <c r="CF130" s="67">
        <f>=CE129*(1-CF$43)</f>
        <v>0</v>
      </c>
      <c r="CG130" s="67">
        <f>=CF129*(1-CG$43)</f>
        <v>0</v>
      </c>
      <c r="CH130" s="67">
        <f>=CG129*(1-CH$43)</f>
        <v>0</v>
      </c>
      <c r="CI130" s="67">
        <f>=CH129*(1-CI$43)</f>
        <v>0</v>
      </c>
      <c r="CJ130" s="67">
        <f>=CI129*(1-CJ$43)</f>
        <v>0</v>
      </c>
      <c r="CK130" s="67">
        <f>=CJ129*(1-CK$43)</f>
        <v>0</v>
      </c>
      <c r="CL130" s="67">
        <f>=CK129*(1-CL$43)</f>
        <v>0</v>
      </c>
      <c r="CM130" s="67">
        <f>=CL129*(1-CM$43)</f>
        <v>0</v>
      </c>
      <c r="CN130" s="67">
        <f>=CM129*(1-CN$43)</f>
        <v>0</v>
      </c>
      <c r="CO130" s="67">
        <f>=CN129*(1-CO$43)</f>
        <v>0</v>
      </c>
      <c r="CP130" s="67">
        <f>=CO129*(1-CP$43)</f>
        <v>0</v>
      </c>
      <c r="CQ130" s="67">
        <f>=CP129*(1-CQ$43)</f>
        <v>0</v>
      </c>
      <c r="CR130" s="67">
        <f>=CQ129*(1-CR$43)</f>
        <v>0</v>
      </c>
      <c r="CS130" s="67">
        <f>=CR129*(1-CS$43)</f>
        <v>0</v>
      </c>
      <c r="CT130" s="67">
        <f>=CS129*(1-CT$43)</f>
        <v>0</v>
      </c>
      <c r="CU130" s="67">
        <f>=CT129*(1-CU$43)</f>
        <v>0</v>
      </c>
      <c r="CV130" s="67">
        <f>=CU129*(1-CV$43)</f>
        <v>0</v>
      </c>
      <c r="CW130" s="67">
        <f>=CV129*(1-CW$43)</f>
        <v>0</v>
      </c>
      <c r="CX130" s="67">
        <f>=CW129*(1-CX$43)</f>
        <v>0</v>
      </c>
      <c r="CY130" s="67">
        <f>=CX129*(1-CY$43)</f>
        <v>0</v>
      </c>
      <c r="CZ130" s="67">
        <f>=CY129*(1-CZ$43)</f>
        <v>0</v>
      </c>
      <c r="DA130" s="67">
        <f>=CZ129*(1-DA$43)</f>
        <v>0</v>
      </c>
      <c r="DB130" s="67">
        <f>=DA129*(1-DB$43)</f>
        <v>0</v>
      </c>
    </row>
    <row r="131" spans="3:106" x14ac:dyDescent="0.25"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  <c r="AU131" s="30"/>
      <c r="AV131" s="30"/>
      <c r="AW131" s="30"/>
      <c r="AX131" s="30"/>
      <c r="AY131" s="30"/>
      <c r="AZ131" s="30"/>
      <c r="BA131" s="30"/>
      <c r="BB131" s="30"/>
      <c r="BC131" s="30"/>
      <c r="BD131" s="30"/>
      <c r="BE131" s="30"/>
      <c r="BF131" s="30"/>
      <c r="BG131" s="30"/>
      <c r="BH131" s="30"/>
      <c r="BI131" s="30"/>
      <c r="BJ131" s="30"/>
      <c r="BK131" s="30"/>
      <c r="BL131" s="30"/>
      <c r="BM131" s="30"/>
      <c r="BN131" s="30"/>
      <c r="BO131" s="30"/>
      <c r="BP131" s="30"/>
      <c r="BQ131" s="30"/>
      <c r="BR131" s="30"/>
      <c r="BS131" s="30"/>
      <c r="BT131" s="30"/>
      <c r="BU131" s="30"/>
      <c r="BV131" s="30"/>
      <c r="BW131" s="30"/>
      <c r="BX131" s="30"/>
      <c r="BY131" s="30"/>
      <c r="BZ131" s="30"/>
      <c r="CA131" s="30"/>
      <c r="CB131" s="30"/>
      <c r="CC131" s="30"/>
      <c r="CD131" s="30"/>
      <c r="CE131" s="30"/>
      <c r="CF131" s="30"/>
      <c r="CG131" s="30"/>
      <c r="CH131" s="30"/>
      <c r="CI131" s="30"/>
      <c r="CJ131" s="30"/>
      <c r="CK131" s="30"/>
      <c r="CL131" s="30"/>
      <c r="CM131" s="30"/>
      <c r="CN131" s="30"/>
      <c r="CO131" s="30"/>
      <c r="CP131" s="30"/>
      <c r="CQ131" s="30"/>
      <c r="CR131" s="30"/>
      <c r="CS131" s="30"/>
      <c r="CT131" s="30"/>
      <c r="CU131" s="30"/>
      <c r="CV131" s="30"/>
      <c r="CW131" s="30"/>
      <c r="CX131" s="30"/>
      <c r="CY131" s="30"/>
      <c r="CZ131" s="30"/>
      <c r="DA131" s="30"/>
      <c r="DB131" s="30"/>
    </row>
    <row r="132" spans="1:106" x14ac:dyDescent="0.25">
      <c r="A132" s="9" t="s">
        <v>345</v>
      </c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  <c r="AZ132" s="30"/>
      <c r="BA132" s="30"/>
      <c r="BB132" s="30"/>
      <c r="BC132" s="30"/>
      <c r="BD132" s="30"/>
      <c r="BE132" s="30"/>
      <c r="BF132" s="30"/>
      <c r="BG132" s="30"/>
      <c r="BH132" s="30"/>
      <c r="BI132" s="30"/>
      <c r="BJ132" s="30"/>
      <c r="BK132" s="30"/>
      <c r="BL132" s="30"/>
      <c r="BM132" s="30"/>
      <c r="BN132" s="30"/>
      <c r="BO132" s="30"/>
      <c r="BP132" s="30"/>
      <c r="BQ132" s="30"/>
      <c r="BR132" s="30"/>
      <c r="BS132" s="30"/>
      <c r="BT132" s="30"/>
      <c r="BU132" s="30"/>
      <c r="BV132" s="30"/>
      <c r="BW132" s="30"/>
      <c r="BX132" s="30"/>
      <c r="BY132" s="30"/>
      <c r="BZ132" s="30"/>
      <c r="CA132" s="30"/>
      <c r="CB132" s="30"/>
      <c r="CC132" s="30"/>
      <c r="CD132" s="30"/>
      <c r="CE132" s="30"/>
      <c r="CF132" s="30"/>
      <c r="CG132" s="30"/>
      <c r="CH132" s="30"/>
      <c r="CI132" s="30"/>
      <c r="CJ132" s="30"/>
      <c r="CK132" s="30"/>
      <c r="CL132" s="30"/>
      <c r="CM132" s="30"/>
      <c r="CN132" s="30"/>
      <c r="CO132" s="30"/>
      <c r="CP132" s="30"/>
      <c r="CQ132" s="30"/>
      <c r="CR132" s="30"/>
      <c r="CS132" s="30"/>
      <c r="CT132" s="30"/>
      <c r="CU132" s="30"/>
      <c r="CV132" s="30"/>
      <c r="CW132" s="30"/>
      <c r="CX132" s="30"/>
      <c r="CY132" s="30"/>
      <c r="CZ132" s="30"/>
      <c r="DA132" s="30"/>
      <c r="DB132" s="30"/>
    </row>
    <row r="133" ht="18" customHeight="1" spans="1:106" x14ac:dyDescent="0.25">
      <c r="A133" s="68" t="s">
        <v>346</v>
      </c>
      <c r="C133" s="30">
        <f>=C8</f>
        <v>2076</v>
      </c>
      <c r="D133" s="30">
        <f>=D8</f>
        <v>2251</v>
      </c>
      <c r="E133" s="30">
        <f>=E8</f>
        <v>2248</v>
      </c>
      <c r="F133" s="30">
        <f>=F8</f>
        <v>2602</v>
      </c>
      <c r="G133" s="30">
        <f>=G8</f>
        <v>2598</v>
      </c>
      <c r="H133" s="30">
        <f>=H8</f>
        <v>2603</v>
      </c>
      <c r="I133" s="30">
        <f>=I8</f>
        <v>2603</v>
      </c>
      <c r="J133" s="30">
        <f>=J8</f>
        <v>2433</v>
      </c>
      <c r="K133" s="30">
        <f>=K8</f>
        <v>2256</v>
      </c>
      <c r="L133" s="30">
        <f>=L8</f>
        <v>2081</v>
      </c>
      <c r="M133" s="30">
        <f>=M8</f>
        <v>2073</v>
      </c>
      <c r="N133" s="30">
        <f>=N8</f>
        <v>1921</v>
      </c>
      <c r="O133" s="30">
        <f>=O8</f>
        <v>1922</v>
      </c>
      <c r="P133" s="30">
        <f>=P8</f>
        <v>1730</v>
      </c>
      <c r="Q133" s="30">
        <f>=Q8</f>
        <v>1729</v>
      </c>
      <c r="R133" s="30">
        <f>=R8</f>
        <v>1729</v>
      </c>
      <c r="S133" s="30">
        <f>=S8</f>
        <v>1724</v>
      </c>
      <c r="T133" s="30">
        <f>=T8</f>
        <v>1587</v>
      </c>
      <c r="U133" s="30">
        <f>=U8</f>
        <v>1587</v>
      </c>
      <c r="V133" s="30">
        <f>=V8</f>
        <v>1587</v>
      </c>
      <c r="W133" s="30">
        <f>=W8</f>
        <v>1587</v>
      </c>
      <c r="X133" s="30">
        <f>=X8</f>
        <v>1587</v>
      </c>
      <c r="Y133" s="30">
        <f>=Y8</f>
        <v>1592</v>
      </c>
      <c r="Z133" s="30">
        <f>=Z8</f>
        <v>1592</v>
      </c>
      <c r="AA133" s="30">
        <f>=AA8</f>
        <v>1592</v>
      </c>
      <c r="AB133" s="30">
        <f>=AB8</f>
        <v>1592</v>
      </c>
      <c r="AC133" s="30">
        <f>=AC8</f>
        <v>1592</v>
      </c>
      <c r="AD133" s="30">
        <f>=AD8</f>
        <v>1592</v>
      </c>
      <c r="AE133" s="30">
        <f>=AE8</f>
        <v>1592</v>
      </c>
      <c r="AF133" s="30">
        <f>=AF8</f>
        <v>1592</v>
      </c>
      <c r="AG133" s="30">
        <f>=AG8</f>
        <v>1592</v>
      </c>
      <c r="AH133" s="30">
        <f>=AH8</f>
        <v>1592</v>
      </c>
      <c r="AI133" s="30">
        <f>=AI8</f>
        <v>1592</v>
      </c>
      <c r="AJ133" s="30">
        <f>=AJ8</f>
        <v>1592</v>
      </c>
      <c r="AK133" s="30">
        <f>=AK8</f>
        <v>1592</v>
      </c>
      <c r="AL133" s="30">
        <f>=AL8</f>
        <v>1592</v>
      </c>
      <c r="AM133" s="30">
        <f>=AM8</f>
        <v>1592</v>
      </c>
      <c r="AN133" s="30">
        <f>=AN8</f>
        <v>1592</v>
      </c>
      <c r="AO133" s="30">
        <f>=AO8</f>
        <v>1592</v>
      </c>
      <c r="AP133" s="30">
        <f>=AP8</f>
        <v>1604</v>
      </c>
      <c r="AQ133" s="30">
        <f>=AQ8</f>
        <v>1607</v>
      </c>
      <c r="AR133" s="30">
        <f>=AR8</f>
        <v>1607</v>
      </c>
      <c r="AS133" s="30">
        <f>=AS8</f>
        <v>1607</v>
      </c>
      <c r="AT133" s="30">
        <f>=AT8</f>
        <v>1609</v>
      </c>
      <c r="AU133" s="30">
        <f>=AU8</f>
        <v>1607</v>
      </c>
      <c r="AV133" s="30">
        <f>=AV8</f>
        <v>1613</v>
      </c>
      <c r="AW133" s="30">
        <f>=AW8</f>
        <v>1613</v>
      </c>
      <c r="AX133" s="30">
        <f>=AX8</f>
        <v>1607</v>
      </c>
      <c r="AY133" s="30">
        <f>=AY8</f>
        <v>1600</v>
      </c>
      <c r="AZ133" s="30">
        <f>=AZ8</f>
        <v>1600</v>
      </c>
      <c r="BA133" s="30">
        <f>=BA8</f>
        <v>1600</v>
      </c>
      <c r="BB133" s="30">
        <f>=BB8</f>
        <v>1600</v>
      </c>
      <c r="BC133" s="30">
        <f>=BC8</f>
        <v>1600</v>
      </c>
      <c r="BD133" s="30">
        <f>=BD8</f>
        <v>1600</v>
      </c>
      <c r="BE133" s="30">
        <f>=BE8</f>
        <v>1600</v>
      </c>
      <c r="BF133" s="30">
        <f>=BF8</f>
        <v>1600</v>
      </c>
      <c r="BG133" s="30">
        <f>=BG8</f>
        <v>1600</v>
      </c>
      <c r="BH133" s="30">
        <f>=BH8</f>
        <v>1600</v>
      </c>
      <c r="BI133" s="30">
        <f>=BI8</f>
        <v>1600</v>
      </c>
      <c r="BJ133" s="30">
        <f>=BJ8</f>
        <v>1600</v>
      </c>
      <c r="BK133" s="30">
        <f>=BK8</f>
        <v>1600</v>
      </c>
      <c r="BL133" s="30">
        <f>=BL8</f>
        <v>1148</v>
      </c>
      <c r="BM133" s="30">
        <f>=BM8</f>
        <v>1148</v>
      </c>
      <c r="BN133" s="30">
        <f>=BN8</f>
        <v>1148</v>
      </c>
      <c r="BO133" s="30">
        <f>=BO8</f>
        <v>1148</v>
      </c>
      <c r="BP133" s="30">
        <f>=BP8</f>
        <v>1148</v>
      </c>
      <c r="BQ133" s="30">
        <f>=BQ8</f>
        <v>1148</v>
      </c>
      <c r="BR133" s="30">
        <f>=BR8</f>
        <v>1148</v>
      </c>
      <c r="BS133" s="30">
        <f>=BS8</f>
        <v>1148</v>
      </c>
      <c r="BT133" s="30">
        <f>=BT8</f>
        <v>1148</v>
      </c>
      <c r="BU133" s="30">
        <f>=BU8</f>
        <v>1148</v>
      </c>
      <c r="BV133" s="30">
        <f>=BV8</f>
        <v>1148</v>
      </c>
      <c r="BW133" s="30">
        <f>=BW8</f>
        <v>1148</v>
      </c>
      <c r="BX133" s="30">
        <f>=BX8</f>
        <v>1148</v>
      </c>
      <c r="BY133" s="30">
        <f>=BY8</f>
        <v>1147</v>
      </c>
      <c r="BZ133" s="30">
        <f>=BZ8</f>
        <v>1150</v>
      </c>
      <c r="CA133" s="30">
        <f>=CA8</f>
        <v>1147</v>
      </c>
      <c r="CB133" s="30">
        <f>=CB8</f>
        <v>1147</v>
      </c>
      <c r="CC133" s="30">
        <f>=CC8</f>
        <v>1140</v>
      </c>
      <c r="CD133" s="30">
        <f>=CD8</f>
        <v>1141</v>
      </c>
      <c r="CE133" s="30">
        <f>=CE8</f>
        <v>1141</v>
      </c>
      <c r="CF133" s="30">
        <f>=CF8</f>
        <v>864</v>
      </c>
      <c r="CG133" s="30">
        <f>=CG8</f>
        <v>864</v>
      </c>
      <c r="CH133" s="30">
        <f>=CH8</f>
        <v>1140</v>
      </c>
      <c r="CI133" s="30">
        <f>=CI8</f>
        <v>1140</v>
      </c>
      <c r="CJ133" s="30">
        <f>=CJ8</f>
        <v>1140</v>
      </c>
      <c r="CK133" s="30">
        <f>=CK8</f>
        <v>1140</v>
      </c>
      <c r="CL133" s="30">
        <f>=CL8</f>
        <v>1140</v>
      </c>
      <c r="CM133" s="30">
        <f>=CM8</f>
        <v>1140</v>
      </c>
      <c r="CN133" s="30">
        <f>=CN8</f>
        <v>1140</v>
      </c>
      <c r="CO133" s="30">
        <f>=CO8</f>
        <v>1140</v>
      </c>
      <c r="CP133" s="30">
        <f>=CP8</f>
        <v>1134</v>
      </c>
      <c r="CQ133" s="30">
        <f>=CQ8</f>
        <v>1383</v>
      </c>
      <c r="CR133" s="30">
        <f>=CR8</f>
        <v>1383</v>
      </c>
      <c r="CS133" s="30">
        <f>=CS8</f>
        <v>1383</v>
      </c>
      <c r="CT133" s="30">
        <f>=CT8</f>
        <v>1555</v>
      </c>
      <c r="CU133" s="30">
        <f>=CU8</f>
        <v>1554</v>
      </c>
      <c r="CV133" s="30">
        <f>=CV8</f>
        <v>1554</v>
      </c>
      <c r="CW133" s="30">
        <f>=CW8</f>
        <v>1554</v>
      </c>
      <c r="CX133" s="30">
        <f>=CX8</f>
        <v>1554</v>
      </c>
      <c r="CY133" s="30">
        <f>=CY8</f>
        <v>2070</v>
      </c>
      <c r="CZ133" s="30">
        <f>=CZ8</f>
        <v>2255</v>
      </c>
      <c r="DA133" s="30">
        <f>=DA8</f>
        <v>2255</v>
      </c>
      <c r="DB133" s="30">
        <f>=DB8</f>
        <v>2255</v>
      </c>
    </row>
    <row r="134" ht="18" customHeight="1" spans="1:106" x14ac:dyDescent="0.25">
      <c r="A134" s="68" t="s">
        <v>347</v>
      </c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50">
        <v>2224</v>
      </c>
      <c r="AD134" s="50">
        <v>2230</v>
      </c>
      <c r="AE134" s="50">
        <v>2063</v>
      </c>
      <c r="AF134" s="50">
        <v>2047</v>
      </c>
      <c r="AG134" s="50">
        <v>2037</v>
      </c>
      <c r="AH134" s="50">
        <v>2028</v>
      </c>
      <c r="AI134" s="50">
        <v>2060</v>
      </c>
      <c r="AJ134" s="50">
        <v>2146</v>
      </c>
      <c r="AK134" s="50">
        <v>2636</v>
      </c>
      <c r="AL134" s="50">
        <v>2343</v>
      </c>
      <c r="AM134" s="50">
        <v>1889</v>
      </c>
      <c r="AN134" s="50">
        <v>2142</v>
      </c>
      <c r="AO134" s="50">
        <v>2361</v>
      </c>
      <c r="AP134" s="50">
        <v>2356</v>
      </c>
      <c r="AQ134" s="50">
        <v>2215</v>
      </c>
      <c r="AR134" s="50">
        <v>2251</v>
      </c>
      <c r="AS134" s="50">
        <v>2238</v>
      </c>
      <c r="AT134" s="50">
        <v>2470</v>
      </c>
      <c r="AU134" s="50">
        <v>2601</v>
      </c>
      <c r="AV134" s="50">
        <v>1995</v>
      </c>
      <c r="AW134" s="50">
        <v>1982</v>
      </c>
      <c r="AX134" s="50">
        <v>2732</v>
      </c>
      <c r="AY134" s="50">
        <v>2034</v>
      </c>
      <c r="AZ134" s="50">
        <v>2017</v>
      </c>
      <c r="BA134" s="50">
        <v>2083</v>
      </c>
      <c r="BB134" s="50">
        <v>2034</v>
      </c>
      <c r="BC134" s="50">
        <v>2279</v>
      </c>
      <c r="BD134" s="50">
        <v>2054</v>
      </c>
      <c r="BE134" s="50">
        <v>2125</v>
      </c>
      <c r="BF134" s="50">
        <v>2217</v>
      </c>
      <c r="BG134" s="50">
        <v>2259</v>
      </c>
      <c r="BH134" s="50">
        <v>2519</v>
      </c>
      <c r="BI134" s="50">
        <v>2401</v>
      </c>
      <c r="BJ134" s="50">
        <v>2455</v>
      </c>
      <c r="BK134" s="50">
        <v>2438</v>
      </c>
      <c r="BL134" s="50">
        <v>2409</v>
      </c>
      <c r="BM134" s="50">
        <v>1982</v>
      </c>
      <c r="BN134" s="69">
        <v>1894</v>
      </c>
      <c r="BO134" s="69">
        <v>1764</v>
      </c>
      <c r="BP134" s="69">
        <v>1591</v>
      </c>
      <c r="BQ134" s="69">
        <v>1604</v>
      </c>
      <c r="BR134" s="69">
        <v>1579</v>
      </c>
      <c r="BS134" s="69">
        <v>1577</v>
      </c>
      <c r="BT134" s="69">
        <v>1488</v>
      </c>
      <c r="BU134" s="69">
        <v>1468</v>
      </c>
      <c r="BV134" s="69">
        <v>1537</v>
      </c>
      <c r="BW134" s="69">
        <v>1585</v>
      </c>
      <c r="BX134" s="30"/>
      <c r="BY134" s="30"/>
      <c r="BZ134" s="30"/>
      <c r="CA134" s="30"/>
      <c r="CB134" s="30"/>
      <c r="CC134" s="30"/>
      <c r="CD134" s="30"/>
      <c r="CE134" s="30"/>
      <c r="CF134" s="30"/>
      <c r="CG134" s="30"/>
      <c r="CH134" s="30"/>
      <c r="CI134" s="30"/>
      <c r="CJ134" s="30"/>
      <c r="CK134" s="30"/>
      <c r="CL134" s="30"/>
      <c r="CM134" s="30"/>
      <c r="CN134" s="30"/>
      <c r="CO134" s="30"/>
      <c r="CP134" s="30"/>
      <c r="CQ134" s="30"/>
      <c r="CR134" s="30"/>
      <c r="CS134" s="30"/>
      <c r="CT134" s="30"/>
      <c r="CU134" s="30"/>
      <c r="CV134" s="30"/>
      <c r="CW134" s="30"/>
      <c r="CX134" s="30"/>
      <c r="CY134" s="30"/>
      <c r="CZ134" s="30"/>
      <c r="DA134" s="30"/>
      <c r="DB134" s="30"/>
    </row>
    <row r="135" ht="18" customHeight="1" spans="1:106" x14ac:dyDescent="0.25">
      <c r="A135" s="68" t="s">
        <v>348</v>
      </c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50">
        <v>1619</v>
      </c>
      <c r="AD135" s="50">
        <v>1743</v>
      </c>
      <c r="AE135" s="50">
        <v>1636</v>
      </c>
      <c r="AF135" s="50">
        <v>1563</v>
      </c>
      <c r="AG135" s="50">
        <v>1668</v>
      </c>
      <c r="AH135" s="50">
        <v>1633</v>
      </c>
      <c r="AI135" s="50">
        <v>1659</v>
      </c>
      <c r="AJ135" s="50">
        <v>1696</v>
      </c>
      <c r="AK135" s="50">
        <v>2023</v>
      </c>
      <c r="AL135" s="50">
        <v>1681</v>
      </c>
      <c r="AM135" s="50">
        <v>1489</v>
      </c>
      <c r="AN135" s="50">
        <v>1798</v>
      </c>
      <c r="AO135" s="50">
        <v>1888</v>
      </c>
      <c r="AP135" s="50">
        <v>1814</v>
      </c>
      <c r="AQ135" s="50">
        <v>1727</v>
      </c>
      <c r="AR135" s="50">
        <v>1793</v>
      </c>
      <c r="AS135" s="50">
        <v>1662</v>
      </c>
      <c r="AT135" s="50">
        <v>2032</v>
      </c>
      <c r="AU135" s="50">
        <v>2019</v>
      </c>
      <c r="AV135" s="50">
        <v>1545</v>
      </c>
      <c r="AW135" s="50">
        <v>1521</v>
      </c>
      <c r="AX135" s="50">
        <v>1746</v>
      </c>
      <c r="AY135" s="50">
        <v>1592</v>
      </c>
      <c r="AZ135" s="50">
        <v>1545</v>
      </c>
      <c r="BA135" s="50">
        <v>1585</v>
      </c>
      <c r="BB135" s="50">
        <v>1603</v>
      </c>
      <c r="BC135" s="50">
        <v>1770</v>
      </c>
      <c r="BD135" s="50">
        <v>1614</v>
      </c>
      <c r="BE135" s="50">
        <v>1729</v>
      </c>
      <c r="BF135" s="50">
        <v>1756</v>
      </c>
      <c r="BG135" s="50">
        <v>1755</v>
      </c>
      <c r="BH135" s="50">
        <v>1888</v>
      </c>
      <c r="BI135" s="50">
        <v>1830</v>
      </c>
      <c r="BJ135" s="50">
        <v>2017</v>
      </c>
      <c r="BK135" s="50">
        <v>2008</v>
      </c>
      <c r="BL135" s="50">
        <v>1897</v>
      </c>
      <c r="BM135" s="50">
        <v>1573</v>
      </c>
      <c r="BN135" s="69">
        <v>1541</v>
      </c>
      <c r="BO135" s="69">
        <v>1303</v>
      </c>
      <c r="BP135" s="69">
        <v>1181</v>
      </c>
      <c r="BQ135" s="69">
        <v>1327</v>
      </c>
      <c r="BR135" s="69">
        <v>1330</v>
      </c>
      <c r="BS135" s="69">
        <v>1288</v>
      </c>
      <c r="BT135" s="69">
        <v>1063</v>
      </c>
      <c r="BU135" s="69">
        <v>1202</v>
      </c>
      <c r="BV135" s="69">
        <v>1237</v>
      </c>
      <c r="BW135" s="69">
        <v>1218</v>
      </c>
      <c r="BX135" s="30"/>
      <c r="BY135" s="30"/>
      <c r="BZ135" s="30"/>
      <c r="CA135" s="30"/>
      <c r="CB135" s="30"/>
      <c r="CC135" s="30"/>
      <c r="CD135" s="30"/>
      <c r="CE135" s="30"/>
      <c r="CF135" s="30"/>
      <c r="CG135" s="30"/>
      <c r="CH135" s="30"/>
      <c r="CI135" s="30"/>
      <c r="CJ135" s="30"/>
      <c r="CK135" s="30"/>
      <c r="CL135" s="30"/>
      <c r="CM135" s="30"/>
      <c r="CN135" s="30"/>
      <c r="CO135" s="30"/>
      <c r="CP135" s="30"/>
      <c r="CQ135" s="30"/>
      <c r="CR135" s="30"/>
      <c r="CS135" s="30"/>
      <c r="CT135" s="30"/>
      <c r="CU135" s="30"/>
      <c r="CV135" s="30"/>
      <c r="CW135" s="30"/>
      <c r="CX135" s="30"/>
      <c r="CY135" s="30"/>
      <c r="CZ135" s="30"/>
      <c r="DA135" s="30"/>
      <c r="DB135" s="30"/>
    </row>
    <row r="136" ht="18" customHeight="1" spans="1:106" x14ac:dyDescent="0.25">
      <c r="A136" s="70" t="s">
        <v>349</v>
      </c>
      <c r="C136" s="31">
        <f>=IFERROR(C135/C133,0)</f>
        <v>1</v>
      </c>
      <c r="D136" s="31">
        <f>=IFERROR(D135/D133,0)</f>
        <v>1</v>
      </c>
      <c r="E136" s="31">
        <f>=IFERROR(E135/E133,0)</f>
        <v>1</v>
      </c>
      <c r="F136" s="31">
        <f>=IFERROR(F135/F133,0)</f>
        <v>1</v>
      </c>
      <c r="G136" s="31">
        <f>=IFERROR(G135/G133,0)</f>
        <v>1</v>
      </c>
      <c r="H136" s="31">
        <f>=IFERROR(H135/H133,0)</f>
        <v>1</v>
      </c>
      <c r="I136" s="31">
        <f>=IFERROR(I135/I133,0)</f>
        <v>1</v>
      </c>
      <c r="J136" s="31">
        <f>=IFERROR(J135/J133,0)</f>
        <v>1</v>
      </c>
      <c r="K136" s="31">
        <f>=IFERROR(K135/K133,0)</f>
        <v>1</v>
      </c>
      <c r="L136" s="31">
        <f>=IFERROR(L135/L133,0)</f>
        <v>1</v>
      </c>
      <c r="M136" s="31">
        <f>=IFERROR(M135/M133,0)</f>
        <v>1</v>
      </c>
      <c r="N136" s="31">
        <f>=IFERROR(N135/N133,0)</f>
        <v>1</v>
      </c>
      <c r="O136" s="31">
        <f>=IFERROR(O135/O133,0)</f>
        <v>1</v>
      </c>
      <c r="P136" s="31">
        <f>=IFERROR(P135/P133,0)</f>
        <v>1</v>
      </c>
      <c r="Q136" s="31">
        <f>=IFERROR(Q135/Q133,0)</f>
        <v>1</v>
      </c>
      <c r="R136" s="31">
        <f>=IFERROR(R135/R133,0)</f>
        <v>1</v>
      </c>
      <c r="S136" s="31">
        <f>=IFERROR(S135/S133,0)</f>
        <v>1</v>
      </c>
      <c r="T136" s="31">
        <f>=IFERROR(T135/T133,0)</f>
        <v>1</v>
      </c>
      <c r="U136" s="31">
        <f>=IFERROR(U135/U133,0)</f>
        <v>1</v>
      </c>
      <c r="V136" s="31">
        <f>=IFERROR(V135/V133,0)</f>
        <v>1</v>
      </c>
      <c r="W136" s="31">
        <f>=IFERROR(W135/W133,0)</f>
        <v>1</v>
      </c>
      <c r="X136" s="31">
        <f>=IFERROR(X135/X133,0)</f>
        <v>1</v>
      </c>
      <c r="Y136" s="31">
        <f>=IFERROR(Y135/Y133,0)</f>
        <v>1</v>
      </c>
      <c r="Z136" s="31">
        <f>=IFERROR(Z135/Z133,0)</f>
        <v>1</v>
      </c>
      <c r="AA136" s="31">
        <f>=IFERROR(AA135/AA133,0)</f>
        <v>1</v>
      </c>
      <c r="AB136" s="31">
        <f>=IFERROR(AB135/AB133,0)</f>
        <v>1</v>
      </c>
      <c r="AC136" s="31">
        <f>=IFERROR(AC135/AC133,0)</f>
        <v>1</v>
      </c>
      <c r="AD136" s="31">
        <f>=IFERROR(AD135/AD133,0)</f>
        <v>1</v>
      </c>
      <c r="AE136" s="31">
        <f>=IFERROR(AE135/AE133,0)</f>
        <v>1</v>
      </c>
      <c r="AF136" s="31">
        <f>=IFERROR(AF135/AF133,0)</f>
        <v>1</v>
      </c>
      <c r="AG136" s="31">
        <f>=IFERROR(AG135/AG133,0)</f>
        <v>1</v>
      </c>
      <c r="AH136" s="31">
        <f>=IFERROR(AH135/AH133,0)</f>
        <v>1</v>
      </c>
      <c r="AI136" s="31">
        <f>=IFERROR(AI135/AI133,0)</f>
        <v>1</v>
      </c>
      <c r="AJ136" s="31">
        <f>=IFERROR(AJ135/AJ133,0)</f>
        <v>1</v>
      </c>
      <c r="AK136" s="31">
        <f>=IFERROR(AK135/AK133,0)</f>
        <v>1</v>
      </c>
      <c r="AL136" s="31">
        <f>=IFERROR(AL135/AL133,0)</f>
        <v>1</v>
      </c>
      <c r="AM136" s="31">
        <f>=IFERROR(AM135/AM133,0)</f>
        <v>1</v>
      </c>
      <c r="AN136" s="31">
        <f>=IFERROR(AN135/AN133,0)</f>
        <v>1</v>
      </c>
      <c r="AO136" s="31">
        <f>=IFERROR(AO135/AO133,0)</f>
        <v>1</v>
      </c>
      <c r="AP136" s="31">
        <f>=IFERROR(AP135/AP133,0)</f>
        <v>1</v>
      </c>
      <c r="AQ136" s="31">
        <f>=IFERROR(AQ135/AQ133,0)</f>
        <v>1</v>
      </c>
      <c r="AR136" s="31">
        <f>=IFERROR(AR135/AR133,0)</f>
        <v>1</v>
      </c>
      <c r="AS136" s="31">
        <f>=IFERROR(AS135/AS133,0)</f>
        <v>1</v>
      </c>
      <c r="AT136" s="31">
        <f>=IFERROR(AT135/AT133,0)</f>
        <v>1</v>
      </c>
      <c r="AU136" s="31">
        <f>=IFERROR(AU135/AU133,0)</f>
        <v>1</v>
      </c>
      <c r="AV136" s="31">
        <f>=IFERROR(AV135/AV133,0)</f>
        <v>1</v>
      </c>
      <c r="AW136" s="31">
        <f>=IFERROR(AW135/AW133,0)</f>
        <v>1</v>
      </c>
      <c r="AX136" s="31">
        <f>=IFERROR(AX135/AX133,0)</f>
        <v>1</v>
      </c>
      <c r="AY136" s="31">
        <f>=IFERROR(AY135/AY133,0)</f>
        <v>1</v>
      </c>
      <c r="AZ136" s="31">
        <f>=IFERROR(AZ135/AZ133,0)</f>
        <v>1</v>
      </c>
      <c r="BA136" s="31">
        <f>=IFERROR(BA135/BA133,0)</f>
        <v>1</v>
      </c>
      <c r="BB136" s="31">
        <f>=IFERROR(BB135/BB133,0)</f>
        <v>1</v>
      </c>
      <c r="BC136" s="31">
        <f>=IFERROR(BC135/BC133,0)</f>
        <v>1</v>
      </c>
      <c r="BD136" s="31">
        <f>=IFERROR(BD135/BD133,0)</f>
        <v>1</v>
      </c>
      <c r="BE136" s="31">
        <f>=IFERROR(BE135/BE133,0)</f>
        <v>1</v>
      </c>
      <c r="BF136" s="31">
        <f>=IFERROR(BF135/BF133,0)</f>
        <v>1</v>
      </c>
      <c r="BG136" s="31">
        <f>=IFERROR(BG135/BG133,0)</f>
        <v>1</v>
      </c>
      <c r="BH136" s="31">
        <f>=IFERROR(BH135/BH133,0)</f>
        <v>1</v>
      </c>
      <c r="BI136" s="31">
        <f>=IFERROR(BI135/BI133,0)</f>
        <v>1</v>
      </c>
      <c r="BJ136" s="31">
        <f>=IFERROR(BJ135/BJ133,0)</f>
        <v>1</v>
      </c>
      <c r="BK136" s="31">
        <f>=IFERROR(BK135/BK133,0)</f>
        <v>1</v>
      </c>
      <c r="BL136" s="31">
        <f>=IFERROR(BL135/BL133,0)</f>
        <v>1</v>
      </c>
      <c r="BM136" s="31">
        <f>=IFERROR(BM135/BM133,0)</f>
        <v>1</v>
      </c>
      <c r="BN136" s="31">
        <f>=IFERROR(BN135/BN133,0)</f>
        <v>1.3423344947735192</v>
      </c>
      <c r="BO136" s="31">
        <f>=IFERROR(BO135/BO133,0)</f>
        <v>1.1350174216027875</v>
      </c>
      <c r="BP136" s="31">
        <f>=IFERROR(BP135/BP133,0)</f>
        <v>1.028745644599303</v>
      </c>
      <c r="BQ136" s="31">
        <f>=IFERROR(BQ135/BQ133,0)</f>
        <v>1.1559233449477353</v>
      </c>
      <c r="BR136" s="31">
        <f>=IFERROR(BR135/BR133,0)</f>
        <v>1.1585365853658536</v>
      </c>
      <c r="BS136" s="31">
        <f>=IFERROR(BS135/BS133,0)</f>
        <v>1.1219512195121952</v>
      </c>
      <c r="BT136" s="31">
        <f>=IFERROR(BT135/BT133,0)</f>
        <v>0.9259581881533101</v>
      </c>
      <c r="BU136" s="31">
        <f>=IFERROR(BU135/BU133,0)</f>
        <v>1.0470383275261324</v>
      </c>
      <c r="BV136" s="31">
        <f>=IFERROR(BV135/BV133,0)</f>
        <v>1.0775261324041812</v>
      </c>
      <c r="BW136" s="31">
        <f>=IFERROR(BW135/BW133,0)</f>
        <v>1.0609756097560976</v>
      </c>
      <c r="BX136" s="31">
        <f>=IFERROR(BX135/BX133,0)</f>
        <v>0</v>
      </c>
      <c r="BY136" s="31">
        <f>=IFERROR(BY135/BY133,0)</f>
        <v>0</v>
      </c>
      <c r="BZ136" s="31">
        <f>=IFERROR(BZ135/BZ133,0)</f>
        <v>0</v>
      </c>
      <c r="CA136" s="31">
        <f>=IFERROR(CA135/CA133,0)</f>
        <v>0</v>
      </c>
      <c r="CB136" s="31">
        <f>=IFERROR(CB135/CB133,0)</f>
        <v>0</v>
      </c>
      <c r="CC136" s="31">
        <f>=IFERROR(CC135/CC133,0)</f>
        <v>0</v>
      </c>
      <c r="CD136" s="31">
        <f>=IFERROR(CD135/CD133,0)</f>
        <v>0</v>
      </c>
      <c r="CE136" s="31">
        <f>=IFERROR(CE135/CE133,0)</f>
        <v>0</v>
      </c>
      <c r="CF136" s="31">
        <f>=IFERROR(CF135/CF133,0)</f>
        <v>0</v>
      </c>
      <c r="CG136" s="31">
        <f>=IFERROR(CG135/CG133,0)</f>
        <v>0</v>
      </c>
      <c r="CH136" s="31">
        <f>=IFERROR(CH135/CH133,0)</f>
        <v>0</v>
      </c>
      <c r="CI136" s="31">
        <f>=IFERROR(CI135/CI133,0)</f>
        <v>0</v>
      </c>
      <c r="CJ136" s="31">
        <f>=IFERROR(CJ135/CJ133,0)</f>
        <v>0</v>
      </c>
      <c r="CK136" s="31">
        <f>=IFERROR(CK135/CK133,0)</f>
        <v>0</v>
      </c>
      <c r="CL136" s="31">
        <f>=IFERROR(CL135/CL133,0)</f>
        <v>0</v>
      </c>
      <c r="CM136" s="31">
        <f>=IFERROR(CM135/CM133,0)</f>
        <v>0</v>
      </c>
      <c r="CN136" s="31">
        <f>=IFERROR(CN135/CN133,0)</f>
        <v>0</v>
      </c>
      <c r="CO136" s="31">
        <f>=IFERROR(CO135/CO133,0)</f>
        <v>0</v>
      </c>
      <c r="CP136" s="31">
        <f>=IFERROR(CP135/CP133,0)</f>
        <v>0</v>
      </c>
      <c r="CQ136" s="31">
        <f>=IFERROR(CQ135/CQ133,0)</f>
        <v>0</v>
      </c>
      <c r="CR136" s="31">
        <f>=IFERROR(CR135/CR133,0)</f>
        <v>0</v>
      </c>
      <c r="CS136" s="31">
        <f>=IFERROR(CS135/CS133,0)</f>
        <v>0</v>
      </c>
      <c r="CT136" s="31">
        <f>=IFERROR(CT135/CT133,0)</f>
        <v>0</v>
      </c>
      <c r="CU136" s="31">
        <f>=IFERROR(CU135/CU133,0)</f>
        <v>0</v>
      </c>
      <c r="CV136" s="31">
        <f>=IFERROR(CV135/CV133,0)</f>
        <v>0</v>
      </c>
      <c r="CW136" s="31">
        <f>=IFERROR(CW135/CW133,0)</f>
        <v>0</v>
      </c>
      <c r="CX136" s="31">
        <f>=IFERROR(CX135/CX133,0)</f>
        <v>0</v>
      </c>
      <c r="CY136" s="31">
        <f>=IFERROR(CY135/CY133,0)</f>
        <v>0</v>
      </c>
      <c r="CZ136" s="31">
        <f>=IFERROR(CZ135/CZ133,0)</f>
        <v>0</v>
      </c>
      <c r="DA136" s="31">
        <f>=IFERROR(DA135/DA133,0)</f>
        <v>0</v>
      </c>
      <c r="DB136" s="31">
        <f>=IFERROR(DB135/DB133,0)</f>
        <v>0</v>
      </c>
    </row>
    <row r="137" ht="18" customHeight="1" spans="1:106" x14ac:dyDescent="0.25">
      <c r="A137" s="68" t="s">
        <v>350</v>
      </c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50">
        <v>1523</v>
      </c>
      <c r="AD137" s="50">
        <v>1642</v>
      </c>
      <c r="AE137" s="50">
        <v>1467</v>
      </c>
      <c r="AF137" s="50">
        <v>1393</v>
      </c>
      <c r="AG137" s="50">
        <v>1489</v>
      </c>
      <c r="AH137" s="50">
        <v>1462</v>
      </c>
      <c r="AI137" s="50">
        <v>1449</v>
      </c>
      <c r="AJ137" s="50">
        <v>1522</v>
      </c>
      <c r="AK137" s="50">
        <v>1539</v>
      </c>
      <c r="AL137" s="50">
        <v>1356</v>
      </c>
      <c r="AM137" s="50">
        <v>1177</v>
      </c>
      <c r="AN137" s="50">
        <v>1395</v>
      </c>
      <c r="AO137" s="50">
        <v>1486</v>
      </c>
      <c r="AP137" s="50">
        <v>1620</v>
      </c>
      <c r="AQ137" s="50">
        <v>1533</v>
      </c>
      <c r="AR137" s="50">
        <v>1557</v>
      </c>
      <c r="AS137" s="50">
        <v>1427</v>
      </c>
      <c r="AT137" s="50">
        <v>1562</v>
      </c>
      <c r="AU137" s="50">
        <v>1578</v>
      </c>
      <c r="AV137" s="50">
        <v>1344</v>
      </c>
      <c r="AW137" s="50">
        <v>1342</v>
      </c>
      <c r="AX137" s="50">
        <v>1345</v>
      </c>
      <c r="AY137" s="50">
        <v>1215</v>
      </c>
      <c r="AZ137" s="50">
        <v>1334</v>
      </c>
      <c r="BA137" s="50">
        <v>1389</v>
      </c>
      <c r="BB137" s="50">
        <v>1424</v>
      </c>
      <c r="BC137" s="50">
        <v>1412</v>
      </c>
      <c r="BD137" s="50">
        <v>1208</v>
      </c>
      <c r="BE137" s="50">
        <v>1461</v>
      </c>
      <c r="BF137" s="50">
        <v>1588</v>
      </c>
      <c r="BG137" s="50">
        <v>1561</v>
      </c>
      <c r="BH137" s="50">
        <v>1681</v>
      </c>
      <c r="BI137" s="50">
        <v>1648</v>
      </c>
      <c r="BJ137" s="50">
        <v>1804</v>
      </c>
      <c r="BK137" s="50">
        <v>1791</v>
      </c>
      <c r="BL137" s="50">
        <v>1703</v>
      </c>
      <c r="BM137" s="50">
        <v>1405</v>
      </c>
      <c r="BN137" s="69">
        <v>1378</v>
      </c>
      <c r="BO137" s="69">
        <v>1115</v>
      </c>
      <c r="BP137" s="69">
        <v>1044</v>
      </c>
      <c r="BQ137" s="69">
        <v>1186</v>
      </c>
      <c r="BR137" s="69">
        <v>1190</v>
      </c>
      <c r="BS137" s="69">
        <v>1150</v>
      </c>
      <c r="BT137" s="69">
        <v>925</v>
      </c>
      <c r="BU137" s="69">
        <v>996</v>
      </c>
      <c r="BV137" s="69">
        <v>1043</v>
      </c>
      <c r="BW137" s="69">
        <v>1058</v>
      </c>
      <c r="BX137" s="30"/>
      <c r="BY137" s="30"/>
      <c r="BZ137" s="30"/>
      <c r="CA137" s="30"/>
      <c r="CB137" s="30"/>
      <c r="CC137" s="30"/>
      <c r="CD137" s="30"/>
      <c r="CE137" s="30"/>
      <c r="CF137" s="30"/>
      <c r="CG137" s="30"/>
      <c r="CH137" s="30"/>
      <c r="CI137" s="30"/>
      <c r="CJ137" s="30"/>
      <c r="CK137" s="30"/>
      <c r="CL137" s="30"/>
      <c r="CM137" s="30"/>
      <c r="CN137" s="30"/>
      <c r="CO137" s="30"/>
      <c r="CP137" s="30"/>
      <c r="CQ137" s="30"/>
      <c r="CR137" s="30"/>
      <c r="CS137" s="30"/>
      <c r="CT137" s="30"/>
      <c r="CU137" s="30"/>
      <c r="CV137" s="30"/>
      <c r="CW137" s="30"/>
      <c r="CX137" s="30"/>
      <c r="CY137" s="30"/>
      <c r="CZ137" s="30"/>
      <c r="DA137" s="30"/>
      <c r="DB137" s="30"/>
    </row>
    <row r="138" ht="18" customHeight="1" spans="1:106" x14ac:dyDescent="0.25">
      <c r="A138" s="68" t="s">
        <v>351</v>
      </c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  <c r="BA138" s="30"/>
      <c r="BB138" s="30"/>
      <c r="BC138" s="30"/>
      <c r="BD138" s="30"/>
      <c r="BE138" s="30"/>
      <c r="BF138" s="30"/>
      <c r="BG138" s="30"/>
      <c r="BH138" s="30"/>
      <c r="BI138" s="30"/>
      <c r="BJ138" s="30"/>
      <c r="BK138" s="30"/>
      <c r="BL138" s="30"/>
      <c r="BM138" s="30"/>
      <c r="BN138" s="30"/>
      <c r="BO138" s="30"/>
      <c r="BP138" s="30"/>
      <c r="BQ138" s="30"/>
      <c r="BR138" s="30"/>
      <c r="BS138" s="30"/>
      <c r="BT138" s="30"/>
      <c r="BU138" s="30"/>
      <c r="BV138" s="30"/>
      <c r="BW138" s="30"/>
      <c r="BX138" s="30"/>
      <c r="BY138" s="30"/>
      <c r="BZ138" s="30"/>
      <c r="CA138" s="30"/>
      <c r="CB138" s="30"/>
      <c r="CC138" s="30"/>
      <c r="CD138" s="30"/>
      <c r="CE138" s="30"/>
      <c r="CF138" s="30"/>
      <c r="CG138" s="30"/>
      <c r="CH138" s="30"/>
      <c r="CI138" s="30"/>
      <c r="CJ138" s="30"/>
      <c r="CK138" s="30"/>
      <c r="CL138" s="30"/>
      <c r="CM138" s="30"/>
      <c r="CN138" s="30"/>
      <c r="CO138" s="30"/>
      <c r="CP138" s="30"/>
      <c r="CQ138" s="30"/>
      <c r="CR138" s="30"/>
      <c r="CS138" s="30"/>
      <c r="CT138" s="30"/>
      <c r="CU138" s="30"/>
      <c r="CV138" s="30"/>
      <c r="CW138" s="30"/>
      <c r="CX138" s="30"/>
      <c r="CY138" s="30"/>
      <c r="CZ138" s="30"/>
      <c r="DA138" s="30"/>
      <c r="DB138" s="30"/>
    </row>
    <row r="139" ht="18" customHeight="1" spans="1:75" x14ac:dyDescent="0.25">
      <c r="A139" s="72" t="s">
        <v>263</v>
      </c>
      <c r="AC139" s="50">
        <v>273</v>
      </c>
      <c r="AD139" s="50">
        <v>185</v>
      </c>
      <c r="AE139" s="50">
        <v>122</v>
      </c>
      <c r="AF139" s="50">
        <v>131</v>
      </c>
      <c r="AG139" s="50">
        <v>31</v>
      </c>
      <c r="AH139" s="50">
        <v>46</v>
      </c>
      <c r="AI139" s="50">
        <v>108</v>
      </c>
      <c r="AJ139" s="50">
        <v>131</v>
      </c>
      <c r="AK139" s="50">
        <v>111</v>
      </c>
      <c r="AL139" s="50">
        <v>124</v>
      </c>
      <c r="AM139" s="50">
        <v>118</v>
      </c>
      <c r="AN139" s="50">
        <v>81</v>
      </c>
      <c r="AO139" s="50">
        <v>86</v>
      </c>
      <c r="AP139" s="50">
        <v>133</v>
      </c>
      <c r="AQ139" s="50">
        <v>88</v>
      </c>
      <c r="AR139" s="50">
        <v>98</v>
      </c>
      <c r="AS139" s="50">
        <v>112</v>
      </c>
      <c r="AT139" s="50">
        <v>46</v>
      </c>
      <c r="AU139" s="50">
        <v>96</v>
      </c>
      <c r="AV139" s="50">
        <v>144</v>
      </c>
      <c r="AW139" s="50">
        <v>120</v>
      </c>
      <c r="AX139" s="50">
        <v>107</v>
      </c>
      <c r="AY139" s="50">
        <v>66</v>
      </c>
      <c r="AZ139" s="50">
        <v>90</v>
      </c>
      <c r="BA139" s="50">
        <v>115</v>
      </c>
      <c r="BB139" s="50">
        <v>78</v>
      </c>
      <c r="BC139" s="50">
        <v>124</v>
      </c>
      <c r="BD139" s="50">
        <v>78</v>
      </c>
      <c r="BE139" s="50">
        <v>62</v>
      </c>
      <c r="BF139" s="50">
        <v>64</v>
      </c>
      <c r="BG139" s="50">
        <v>68</v>
      </c>
      <c r="BH139" s="50">
        <v>150</v>
      </c>
      <c r="BI139" s="50">
        <v>111</v>
      </c>
      <c r="BJ139" s="50">
        <v>50</v>
      </c>
      <c r="BK139" s="50">
        <v>65</v>
      </c>
      <c r="BL139" s="50">
        <v>60</v>
      </c>
      <c r="BM139" s="50">
        <v>71</v>
      </c>
      <c r="BN139" s="69">
        <v>70</v>
      </c>
      <c r="BO139" s="69">
        <v>116</v>
      </c>
      <c r="BP139" s="69">
        <v>133</v>
      </c>
      <c r="BQ139" s="69">
        <v>27</v>
      </c>
      <c r="BR139" s="69">
        <v>40</v>
      </c>
      <c r="BS139" s="69">
        <v>59</v>
      </c>
      <c r="BT139" s="69">
        <v>93</v>
      </c>
      <c r="BU139" s="69">
        <v>72</v>
      </c>
      <c r="BV139" s="69">
        <v>95</v>
      </c>
      <c r="BW139" s="69">
        <v>145</v>
      </c>
    </row>
    <row r="140" ht="18" customHeight="1" spans="1:75" x14ac:dyDescent="0.25">
      <c r="A140" s="72" t="s">
        <v>264</v>
      </c>
      <c r="AC140" s="50">
        <v>110</v>
      </c>
      <c r="AD140" s="50">
        <v>55</v>
      </c>
      <c r="AE140" s="50">
        <v>45</v>
      </c>
      <c r="AF140" s="50">
        <v>111</v>
      </c>
      <c r="AG140" s="50">
        <v>82</v>
      </c>
      <c r="AH140" s="50">
        <v>94</v>
      </c>
      <c r="AI140" s="50">
        <v>67</v>
      </c>
      <c r="AJ140" s="50">
        <v>90</v>
      </c>
      <c r="AK140" s="50">
        <v>113</v>
      </c>
      <c r="AL140" s="50">
        <v>174</v>
      </c>
      <c r="AM140" s="50">
        <v>95</v>
      </c>
      <c r="AN140" s="50">
        <v>20</v>
      </c>
      <c r="AO140" s="50">
        <v>51</v>
      </c>
      <c r="AP140" s="50">
        <v>174</v>
      </c>
      <c r="AQ140" s="50">
        <v>170</v>
      </c>
      <c r="AR140" s="50">
        <v>104</v>
      </c>
      <c r="AS140" s="50">
        <v>198</v>
      </c>
      <c r="AT140" s="50">
        <v>90</v>
      </c>
      <c r="AU140" s="50">
        <v>190</v>
      </c>
      <c r="AV140" s="50">
        <v>68</v>
      </c>
      <c r="AW140" s="50">
        <v>101</v>
      </c>
      <c r="AX140" s="50">
        <v>210</v>
      </c>
      <c r="AY140" s="50">
        <v>104</v>
      </c>
      <c r="AZ140" s="50">
        <v>144</v>
      </c>
      <c r="BA140" s="50">
        <v>150</v>
      </c>
      <c r="BB140" s="50">
        <v>46</v>
      </c>
      <c r="BC140" s="50">
        <v>88</v>
      </c>
      <c r="BD140" s="50">
        <v>68</v>
      </c>
      <c r="BE140" s="50">
        <v>74</v>
      </c>
      <c r="BF140" s="50">
        <v>157</v>
      </c>
      <c r="BG140" s="50">
        <v>168</v>
      </c>
      <c r="BH140" s="50">
        <v>160</v>
      </c>
      <c r="BI140" s="50">
        <v>194</v>
      </c>
      <c r="BJ140" s="50">
        <v>113</v>
      </c>
      <c r="BK140" s="50">
        <v>95</v>
      </c>
      <c r="BL140" s="50">
        <v>179</v>
      </c>
      <c r="BM140" s="50">
        <v>99</v>
      </c>
      <c r="BN140" s="69">
        <v>70</v>
      </c>
      <c r="BO140" s="69">
        <v>141</v>
      </c>
      <c r="BP140" s="69">
        <v>92</v>
      </c>
      <c r="BQ140" s="69">
        <v>67</v>
      </c>
      <c r="BR140" s="69">
        <v>30</v>
      </c>
      <c r="BS140" s="69">
        <v>51</v>
      </c>
      <c r="BT140" s="69">
        <v>18</v>
      </c>
      <c r="BU140" s="69">
        <v>29</v>
      </c>
      <c r="BV140" s="69">
        <v>31</v>
      </c>
      <c r="BW140" s="69">
        <v>35</v>
      </c>
    </row>
    <row r="141" ht="18" customHeight="1" spans="1:106" x14ac:dyDescent="0.25">
      <c r="A141" s="72" t="s">
        <v>265</v>
      </c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  <c r="BA141" s="30"/>
      <c r="BB141" s="30"/>
      <c r="BC141" s="30"/>
      <c r="BD141" s="30"/>
      <c r="BE141" s="30"/>
      <c r="BF141" s="30"/>
      <c r="BG141" s="30"/>
      <c r="BH141" s="30"/>
      <c r="BI141" s="30"/>
      <c r="BJ141" s="30"/>
      <c r="BK141" s="30"/>
      <c r="BL141" s="30"/>
      <c r="BM141" s="30"/>
      <c r="BN141" s="30"/>
      <c r="BO141" s="30"/>
      <c r="BP141" s="30"/>
      <c r="BQ141" s="30"/>
      <c r="BR141" s="30"/>
      <c r="BS141" s="30"/>
      <c r="BT141" s="30"/>
      <c r="BU141" s="30"/>
      <c r="BV141" s="30"/>
      <c r="BW141" s="30"/>
      <c r="BX141" s="30"/>
      <c r="BY141" s="30"/>
      <c r="BZ141" s="30"/>
      <c r="CA141" s="30"/>
      <c r="CB141" s="30"/>
      <c r="CC141" s="30"/>
      <c r="CD141" s="30"/>
      <c r="CE141" s="30"/>
      <c r="CF141" s="30"/>
      <c r="CG141" s="30"/>
      <c r="CH141" s="30"/>
      <c r="CI141" s="30"/>
      <c r="CJ141" s="30"/>
      <c r="CK141" s="30"/>
      <c r="CL141" s="30"/>
      <c r="CM141" s="30"/>
      <c r="CN141" s="30"/>
      <c r="CO141" s="30"/>
      <c r="CP141" s="30"/>
      <c r="CQ141" s="30"/>
      <c r="CR141" s="30"/>
      <c r="CS141" s="30"/>
      <c r="CT141" s="30"/>
      <c r="CU141" s="30"/>
      <c r="CV141" s="30"/>
      <c r="CW141" s="30"/>
      <c r="CX141" s="30"/>
      <c r="CY141" s="30"/>
      <c r="CZ141" s="30"/>
      <c r="DA141" s="30"/>
      <c r="DB141" s="30"/>
    </row>
    <row r="142" ht="18" customHeight="1" spans="1:106" x14ac:dyDescent="0.25">
      <c r="A142" s="72" t="s">
        <v>266</v>
      </c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  <c r="BA142" s="30"/>
      <c r="BB142" s="30"/>
      <c r="BC142" s="30"/>
      <c r="BD142" s="30"/>
      <c r="BE142" s="30"/>
      <c r="BF142" s="30"/>
      <c r="BG142" s="30"/>
      <c r="BH142" s="30"/>
      <c r="BI142" s="30"/>
      <c r="BJ142" s="30"/>
      <c r="BK142" s="30"/>
      <c r="BL142" s="30"/>
      <c r="BM142" s="30"/>
      <c r="BN142" s="30"/>
      <c r="BO142" s="30"/>
      <c r="BP142" s="30"/>
      <c r="BQ142" s="30"/>
      <c r="BR142" s="30"/>
      <c r="BS142" s="30"/>
      <c r="BT142" s="30"/>
      <c r="BU142" s="30"/>
      <c r="BV142" s="30"/>
      <c r="BW142" s="30"/>
      <c r="BX142" s="30"/>
      <c r="BY142" s="30"/>
      <c r="BZ142" s="30"/>
      <c r="CA142" s="30"/>
      <c r="CB142" s="30"/>
      <c r="CC142" s="30"/>
      <c r="CD142" s="30"/>
      <c r="CE142" s="30"/>
      <c r="CF142" s="30"/>
      <c r="CG142" s="30"/>
      <c r="CH142" s="30"/>
      <c r="CI142" s="30"/>
      <c r="CJ142" s="30"/>
      <c r="CK142" s="30"/>
      <c r="CL142" s="30"/>
      <c r="CM142" s="30"/>
      <c r="CN142" s="30"/>
      <c r="CO142" s="30"/>
      <c r="CP142" s="30"/>
      <c r="CQ142" s="30"/>
      <c r="CR142" s="30"/>
      <c r="CS142" s="30"/>
      <c r="CT142" s="30"/>
      <c r="CU142" s="30"/>
      <c r="CV142" s="30"/>
      <c r="CW142" s="30"/>
      <c r="CX142" s="30"/>
      <c r="CY142" s="30"/>
      <c r="CZ142" s="30"/>
      <c r="DA142" s="30"/>
      <c r="DB142" s="30"/>
    </row>
    <row r="143" ht="18" customHeight="1" spans="1:106" x14ac:dyDescent="0.25">
      <c r="A143" s="68" t="s">
        <v>352</v>
      </c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  <c r="AX143" s="30"/>
      <c r="AY143" s="30"/>
      <c r="AZ143" s="30"/>
      <c r="BA143" s="30"/>
      <c r="BB143" s="30"/>
      <c r="BC143" s="30"/>
      <c r="BD143" s="30"/>
      <c r="BE143" s="30"/>
      <c r="BF143" s="30"/>
      <c r="BG143" s="30"/>
      <c r="BH143" s="30"/>
      <c r="BI143" s="30"/>
      <c r="BJ143" s="30"/>
      <c r="BK143" s="30"/>
      <c r="BL143" s="30"/>
      <c r="BM143" s="30"/>
      <c r="BN143" s="30"/>
      <c r="BO143" s="30"/>
      <c r="BP143" s="30"/>
      <c r="BQ143" s="30"/>
      <c r="BR143" s="30"/>
      <c r="BS143" s="30"/>
      <c r="BT143" s="30"/>
      <c r="BU143" s="30"/>
      <c r="BV143" s="30"/>
      <c r="BW143" s="30"/>
      <c r="BX143" s="30"/>
      <c r="BY143" s="30"/>
      <c r="BZ143" s="30"/>
      <c r="CA143" s="30"/>
      <c r="CB143" s="30"/>
      <c r="CC143" s="30"/>
      <c r="CD143" s="30"/>
      <c r="CE143" s="30"/>
      <c r="CF143" s="30"/>
      <c r="CG143" s="30"/>
      <c r="CH143" s="30"/>
      <c r="CI143" s="30"/>
      <c r="CJ143" s="30"/>
      <c r="CK143" s="30"/>
      <c r="CL143" s="30"/>
      <c r="CM143" s="30"/>
      <c r="CN143" s="30"/>
      <c r="CO143" s="30"/>
      <c r="CP143" s="30"/>
      <c r="CQ143" s="30"/>
      <c r="CR143" s="30"/>
      <c r="CS143" s="30"/>
      <c r="CT143" s="30"/>
      <c r="CU143" s="30"/>
      <c r="CV143" s="30"/>
      <c r="CW143" s="30"/>
      <c r="CX143" s="30"/>
      <c r="CY143" s="30"/>
      <c r="CZ143" s="30"/>
      <c r="DA143" s="30"/>
      <c r="DB143" s="30"/>
    </row>
    <row r="144" ht="18" customHeight="1" spans="1:106" x14ac:dyDescent="0.25">
      <c r="A144" s="36" t="s">
        <v>268</v>
      </c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  <c r="AV144" s="30"/>
      <c r="AW144" s="30"/>
      <c r="AX144" s="30"/>
      <c r="AY144" s="30"/>
      <c r="AZ144" s="30"/>
      <c r="BA144" s="30"/>
      <c r="BB144" s="30"/>
      <c r="BC144" s="30"/>
      <c r="BD144" s="30"/>
      <c r="BE144" s="30"/>
      <c r="BF144" s="30"/>
      <c r="BG144" s="30"/>
      <c r="BH144" s="30"/>
      <c r="BI144" s="30"/>
      <c r="BJ144" s="30"/>
      <c r="BK144" s="30"/>
      <c r="BL144" s="30"/>
      <c r="BM144" s="30"/>
      <c r="BN144" s="30"/>
      <c r="BO144" s="30"/>
      <c r="BP144" s="30"/>
      <c r="BQ144" s="30"/>
      <c r="BR144" s="30"/>
      <c r="BS144" s="30"/>
      <c r="BT144" s="30"/>
      <c r="BU144" s="30"/>
      <c r="BV144" s="30"/>
      <c r="BW144" s="30"/>
      <c r="BX144" s="30"/>
      <c r="BY144" s="30"/>
      <c r="BZ144" s="30"/>
      <c r="CA144" s="30"/>
      <c r="CB144" s="30"/>
      <c r="CC144" s="30"/>
      <c r="CD144" s="30"/>
      <c r="CE144" s="30"/>
      <c r="CF144" s="30"/>
      <c r="CG144" s="30"/>
      <c r="CH144" s="30"/>
      <c r="CI144" s="30"/>
      <c r="CJ144" s="30"/>
      <c r="CK144" s="30"/>
      <c r="CL144" s="30"/>
      <c r="CM144" s="30"/>
      <c r="CN144" s="30"/>
      <c r="CO144" s="30"/>
      <c r="CP144" s="30"/>
      <c r="CQ144" s="30"/>
      <c r="CR144" s="30"/>
      <c r="CS144" s="30"/>
      <c r="CT144" s="30"/>
      <c r="CU144" s="30"/>
      <c r="CV144" s="30"/>
      <c r="CW144" s="30"/>
      <c r="CX144" s="30"/>
      <c r="CY144" s="30"/>
      <c r="CZ144" s="30"/>
      <c r="DA144" s="30"/>
      <c r="DB144" s="30"/>
    </row>
    <row r="145" ht="18" customHeight="1" spans="1:106" x14ac:dyDescent="0.25">
      <c r="A145" s="36" t="s">
        <v>269</v>
      </c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30"/>
      <c r="BI145" s="30"/>
      <c r="BJ145" s="30"/>
      <c r="BK145" s="30"/>
      <c r="BL145" s="30"/>
      <c r="BM145" s="30"/>
      <c r="BN145" s="30"/>
      <c r="BO145" s="30"/>
      <c r="BP145" s="30"/>
      <c r="BQ145" s="30"/>
      <c r="BR145" s="30"/>
      <c r="BS145" s="30"/>
      <c r="BT145" s="30"/>
      <c r="BU145" s="30"/>
      <c r="BV145" s="30"/>
      <c r="BW145" s="30"/>
      <c r="BX145" s="30"/>
      <c r="BY145" s="30"/>
      <c r="BZ145" s="30"/>
      <c r="CA145" s="30"/>
      <c r="CB145" s="30"/>
      <c r="CC145" s="30"/>
      <c r="CD145" s="30"/>
      <c r="CE145" s="30"/>
      <c r="CF145" s="30"/>
      <c r="CG145" s="30"/>
      <c r="CH145" s="30"/>
      <c r="CI145" s="30"/>
      <c r="CJ145" s="30"/>
      <c r="CK145" s="30"/>
      <c r="CL145" s="30"/>
      <c r="CM145" s="30"/>
      <c r="CN145" s="30"/>
      <c r="CO145" s="30"/>
      <c r="CP145" s="30"/>
      <c r="CQ145" s="30"/>
      <c r="CR145" s="30"/>
      <c r="CS145" s="30"/>
      <c r="CT145" s="30"/>
      <c r="CU145" s="30"/>
      <c r="CV145" s="30"/>
      <c r="CW145" s="30"/>
      <c r="CX145" s="30"/>
      <c r="CY145" s="30"/>
      <c r="CZ145" s="30"/>
      <c r="DA145" s="30"/>
      <c r="DB145" s="30"/>
    </row>
    <row r="146" ht="18" customHeight="1" spans="1:1" x14ac:dyDescent="0.25">
      <c r="A146" s="36" t="s">
        <v>288</v>
      </c>
    </row>
    <row r="147" ht="18" customHeight="1" spans="1:1" x14ac:dyDescent="0.25">
      <c r="A147" s="36" t="s">
        <v>272</v>
      </c>
    </row>
    <row r="148" ht="18" customHeight="1" spans="1:106" x14ac:dyDescent="0.25">
      <c r="A148" s="36" t="s">
        <v>289</v>
      </c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  <c r="AU148" s="30"/>
      <c r="AV148" s="30"/>
      <c r="AW148" s="30"/>
      <c r="AX148" s="30"/>
      <c r="AY148" s="30"/>
      <c r="AZ148" s="30"/>
      <c r="BA148" s="30"/>
      <c r="BB148" s="30"/>
      <c r="BC148" s="30"/>
      <c r="BD148" s="30"/>
      <c r="BE148" s="30"/>
      <c r="BF148" s="30"/>
      <c r="BG148" s="30"/>
      <c r="BH148" s="30"/>
      <c r="BI148" s="30"/>
      <c r="BJ148" s="30"/>
      <c r="BK148" s="30"/>
      <c r="BL148" s="30"/>
      <c r="BM148" s="30"/>
      <c r="BN148" s="30"/>
      <c r="BO148" s="30"/>
      <c r="BP148" s="30"/>
      <c r="BQ148" s="30"/>
      <c r="BR148" s="30"/>
      <c r="BS148" s="30"/>
      <c r="BT148" s="30"/>
      <c r="BU148" s="30"/>
      <c r="BV148" s="30"/>
      <c r="BW148" s="30"/>
      <c r="BX148" s="30"/>
      <c r="BY148" s="30"/>
      <c r="BZ148" s="30"/>
      <c r="CA148" s="30"/>
      <c r="CB148" s="30"/>
      <c r="CC148" s="30"/>
      <c r="CD148" s="30"/>
      <c r="CE148" s="30"/>
      <c r="CF148" s="30"/>
      <c r="CG148" s="30"/>
      <c r="CH148" s="30"/>
      <c r="CI148" s="30"/>
      <c r="CJ148" s="30"/>
      <c r="CK148" s="30"/>
      <c r="CL148" s="30"/>
      <c r="CM148" s="30"/>
      <c r="CN148" s="30"/>
      <c r="CO148" s="30"/>
      <c r="CP148" s="30"/>
      <c r="CQ148" s="30"/>
      <c r="CR148" s="30"/>
      <c r="CS148" s="30"/>
      <c r="CT148" s="30"/>
      <c r="CU148" s="30"/>
      <c r="CV148" s="30"/>
      <c r="CW148" s="30"/>
      <c r="CX148" s="30"/>
      <c r="CY148" s="30"/>
      <c r="CZ148" s="30"/>
      <c r="DA148" s="30"/>
      <c r="DB148" s="30"/>
    </row>
    <row r="149" ht="18" customHeight="1" spans="1:106" x14ac:dyDescent="0.25">
      <c r="A149" s="36" t="s">
        <v>271</v>
      </c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0"/>
      <c r="AV149" s="30"/>
      <c r="AW149" s="30"/>
      <c r="AX149" s="30"/>
      <c r="AY149" s="30"/>
      <c r="AZ149" s="30"/>
      <c r="BA149" s="30"/>
      <c r="BB149" s="30"/>
      <c r="BC149" s="30"/>
      <c r="BD149" s="30"/>
      <c r="BE149" s="30"/>
      <c r="BF149" s="30"/>
      <c r="BG149" s="30"/>
      <c r="BH149" s="30"/>
      <c r="BI149" s="30"/>
      <c r="BJ149" s="30"/>
      <c r="BK149" s="30"/>
      <c r="BL149" s="30"/>
      <c r="BM149" s="30"/>
      <c r="BN149" s="30"/>
      <c r="BO149" s="30"/>
      <c r="BP149" s="30"/>
      <c r="BQ149" s="30"/>
      <c r="BR149" s="30"/>
      <c r="BS149" s="30"/>
      <c r="BT149" s="30"/>
      <c r="BU149" s="30"/>
      <c r="BV149" s="30"/>
      <c r="BW149" s="30"/>
      <c r="BX149" s="30"/>
      <c r="BY149" s="30"/>
      <c r="BZ149" s="30"/>
      <c r="CA149" s="30"/>
      <c r="CB149" s="30"/>
      <c r="CC149" s="30"/>
      <c r="CD149" s="30"/>
      <c r="CE149" s="30"/>
      <c r="CF149" s="30"/>
      <c r="CG149" s="30"/>
      <c r="CH149" s="30"/>
      <c r="CI149" s="30"/>
      <c r="CJ149" s="30"/>
      <c r="CK149" s="30"/>
      <c r="CL149" s="30"/>
      <c r="CM149" s="30"/>
      <c r="CN149" s="30"/>
      <c r="CO149" s="30"/>
      <c r="CP149" s="30"/>
      <c r="CQ149" s="30"/>
      <c r="CR149" s="30"/>
      <c r="CS149" s="30"/>
      <c r="CT149" s="30"/>
      <c r="CU149" s="30"/>
      <c r="CV149" s="30"/>
      <c r="CW149" s="30"/>
      <c r="CX149" s="30"/>
      <c r="CY149" s="30"/>
      <c r="CZ149" s="30"/>
      <c r="DA149" s="30"/>
      <c r="DB149" s="30"/>
    </row>
    <row r="150" spans="3:106" x14ac:dyDescent="0.25"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  <c r="AX150" s="30"/>
      <c r="AY150" s="30"/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  <c r="BN150" s="30"/>
      <c r="BO150" s="30"/>
      <c r="BP150" s="30"/>
      <c r="BQ150" s="30"/>
      <c r="BR150" s="30"/>
      <c r="BS150" s="30"/>
      <c r="BT150" s="30"/>
      <c r="BU150" s="30"/>
      <c r="BV150" s="30"/>
      <c r="BW150" s="30"/>
      <c r="BX150" s="30"/>
      <c r="BY150" s="30"/>
      <c r="BZ150" s="30"/>
      <c r="CA150" s="30"/>
      <c r="CB150" s="30"/>
      <c r="CC150" s="30"/>
      <c r="CD150" s="30"/>
      <c r="CE150" s="30"/>
      <c r="CF150" s="30"/>
      <c r="CG150" s="30"/>
      <c r="CH150" s="30"/>
      <c r="CI150" s="30"/>
      <c r="CJ150" s="30"/>
      <c r="CK150" s="30"/>
      <c r="CL150" s="30"/>
      <c r="CM150" s="30"/>
      <c r="CN150" s="30"/>
      <c r="CO150" s="30"/>
      <c r="CP150" s="30"/>
      <c r="CQ150" s="30"/>
      <c r="CR150" s="30"/>
      <c r="CS150" s="30"/>
      <c r="CT150" s="30"/>
      <c r="CU150" s="30"/>
      <c r="CV150" s="30"/>
      <c r="CW150" s="30"/>
      <c r="CX150" s="30"/>
      <c r="CY150" s="30"/>
      <c r="CZ150" s="30"/>
      <c r="DA150" s="30"/>
      <c r="DB150" s="30"/>
    </row>
    <row r="151" spans="1:106" x14ac:dyDescent="0.25">
      <c r="A151" s="9" t="s">
        <v>353</v>
      </c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  <c r="AQ151" s="30"/>
      <c r="AR151" s="30"/>
      <c r="AS151" s="30"/>
      <c r="AT151" s="30"/>
      <c r="AU151" s="30"/>
      <c r="AV151" s="30"/>
      <c r="AW151" s="30"/>
      <c r="AX151" s="30"/>
      <c r="AY151" s="30"/>
      <c r="AZ151" s="30"/>
      <c r="BA151" s="30"/>
      <c r="BB151" s="30"/>
      <c r="BC151" s="30"/>
      <c r="BD151" s="30"/>
      <c r="BE151" s="30"/>
      <c r="BF151" s="30"/>
      <c r="BG151" s="30"/>
      <c r="BH151" s="30"/>
      <c r="BI151" s="30"/>
      <c r="BJ151" s="30"/>
      <c r="BK151" s="30"/>
      <c r="BL151" s="30"/>
      <c r="BM151" s="30"/>
      <c r="BN151" s="30"/>
      <c r="BO151" s="30"/>
      <c r="BP151" s="30"/>
      <c r="BQ151" s="30"/>
      <c r="BR151" s="30"/>
      <c r="BS151" s="30"/>
      <c r="BT151" s="30"/>
      <c r="BU151" s="30"/>
      <c r="BV151" s="30"/>
      <c r="BW151" s="30"/>
      <c r="BX151" s="30"/>
      <c r="BY151" s="30"/>
      <c r="BZ151" s="30"/>
      <c r="CA151" s="30"/>
      <c r="CB151" s="30"/>
      <c r="CC151" s="30"/>
      <c r="CD151" s="30"/>
      <c r="CE151" s="30"/>
      <c r="CF151" s="30"/>
      <c r="CG151" s="30"/>
      <c r="CH151" s="30"/>
      <c r="CI151" s="30"/>
      <c r="CJ151" s="30"/>
      <c r="CK151" s="30"/>
      <c r="CL151" s="30"/>
      <c r="CM151" s="30"/>
      <c r="CN151" s="30"/>
      <c r="CO151" s="30"/>
      <c r="CP151" s="30"/>
      <c r="CQ151" s="30"/>
      <c r="CR151" s="30"/>
      <c r="CS151" s="30"/>
      <c r="CT151" s="30"/>
      <c r="CU151" s="30"/>
      <c r="CV151" s="30"/>
      <c r="CW151" s="30"/>
      <c r="CX151" s="30"/>
      <c r="CY151" s="30"/>
      <c r="CZ151" s="30"/>
      <c r="DA151" s="30"/>
      <c r="DB151" s="30"/>
    </row>
    <row r="152" ht="14" customHeight="1" spans="1:106" x14ac:dyDescent="0.25">
      <c r="A152" s="33" t="s">
        <v>354</v>
      </c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  <c r="AQ152" s="30"/>
      <c r="AR152" s="30"/>
      <c r="AS152" s="30"/>
      <c r="AT152" s="30"/>
      <c r="AU152" s="30"/>
      <c r="AV152" s="30"/>
      <c r="AW152" s="30"/>
      <c r="AX152" s="30"/>
      <c r="AY152" s="30"/>
      <c r="AZ152" s="30"/>
      <c r="BA152" s="30"/>
      <c r="BB152" s="30"/>
      <c r="BC152" s="30"/>
      <c r="BD152" s="30"/>
      <c r="BE152" s="30"/>
      <c r="BF152" s="30"/>
      <c r="BG152" s="30"/>
      <c r="BH152" s="30"/>
      <c r="BI152" s="30"/>
      <c r="BJ152" s="30"/>
      <c r="BK152" s="30"/>
      <c r="BL152" s="30"/>
      <c r="BM152" s="30"/>
      <c r="BN152" s="30"/>
      <c r="BO152" s="30"/>
      <c r="BP152" s="30"/>
      <c r="BQ152" s="30"/>
      <c r="BR152" s="30"/>
      <c r="BS152" s="30"/>
      <c r="BT152" s="30"/>
      <c r="BU152" s="30"/>
      <c r="BV152" s="30"/>
      <c r="BW152" s="30"/>
      <c r="BX152" s="30"/>
      <c r="BY152" s="30"/>
      <c r="BZ152" s="30"/>
      <c r="CA152" s="30"/>
      <c r="CB152" s="30"/>
      <c r="CC152" s="30"/>
      <c r="CD152" s="30"/>
      <c r="CE152" s="30"/>
      <c r="CF152" s="30"/>
      <c r="CG152" s="30"/>
      <c r="CH152" s="30"/>
      <c r="CI152" s="30"/>
      <c r="CJ152" s="30"/>
      <c r="CK152" s="30"/>
      <c r="CL152" s="30"/>
      <c r="CM152" s="30"/>
      <c r="CN152" s="30"/>
      <c r="CO152" s="30"/>
      <c r="CP152" s="30"/>
      <c r="CQ152" s="30"/>
      <c r="CR152" s="30"/>
      <c r="CS152" s="30"/>
      <c r="CT152" s="30"/>
      <c r="CU152" s="30"/>
      <c r="CV152" s="30"/>
      <c r="CW152" s="30"/>
      <c r="CX152" s="30"/>
      <c r="CY152" s="30"/>
      <c r="CZ152" s="30"/>
      <c r="DA152" s="30"/>
      <c r="DB152" s="30"/>
    </row>
    <row r="153" spans="1:106" x14ac:dyDescent="0.25">
      <c r="A153" s="17" t="s">
        <v>355</v>
      </c>
      <c r="B153" s="17">
        <v>15</v>
      </c>
      <c r="C153" s="46">
        <f>=IFERROR(ROUND((C19+C23)/$B153,0),0)</f>
        <v>4</v>
      </c>
      <c r="D153" s="46">
        <f>=IFERROR(ROUND((D19+D23)/$B153,0),0)</f>
        <v>3</v>
      </c>
      <c r="E153" s="46">
        <f>=IFERROR(ROUND((E19+E23)/$B153,0),0)</f>
        <v>3</v>
      </c>
      <c r="F153" s="46">
        <f>=IFERROR(ROUND((F19+F23)/$B153,0),0)</f>
        <v>4</v>
      </c>
      <c r="G153" s="46">
        <f>=IFERROR(ROUND((G19+G23)/$B153,0),0)</f>
        <v>4</v>
      </c>
      <c r="H153" s="46">
        <f>=IFERROR(ROUND((H19+H23)/$B153,0),0)</f>
        <v>4</v>
      </c>
      <c r="I153" s="46">
        <f>=IFERROR(ROUND((I19+I23)/$B153,0),0)</f>
        <v>4</v>
      </c>
      <c r="J153" s="46">
        <f>=IFERROR(ROUND((J19+J23)/$B153,0),0)</f>
        <v>4</v>
      </c>
      <c r="K153" s="46">
        <f>=IFERROR(ROUND((K19+K23)/$B153,0),0)</f>
        <v>4</v>
      </c>
      <c r="L153" s="46">
        <f>=IFERROR(ROUND((L19+L23)/$B153,0),0)</f>
        <v>4</v>
      </c>
      <c r="M153" s="46">
        <f>=IFERROR(ROUND((M19+M23)/$B153,0),0)</f>
        <v>4</v>
      </c>
      <c r="N153" s="46">
        <f>=IFERROR(ROUND((N19+N23)/$B153,0),0)</f>
        <v>4</v>
      </c>
      <c r="O153" s="46">
        <f>=IFERROR(ROUND((O19+O23)/$B153,0),0)</f>
        <v>4</v>
      </c>
      <c r="P153" s="46">
        <f>=IFERROR(ROUND((P19+P23)/$B153,0),0)</f>
        <v>4</v>
      </c>
      <c r="Q153" s="46">
        <f>=IFERROR(ROUND((Q19+Q23)/$B153,0),0)</f>
        <v>4</v>
      </c>
      <c r="R153" s="46">
        <f>=IFERROR(ROUND((R19+R23)/$B153,0),0)</f>
        <v>4</v>
      </c>
      <c r="S153" s="46">
        <f>=IFERROR(ROUND((S19+S23)/$B153,0),0)</f>
        <v>4</v>
      </c>
      <c r="T153" s="46">
        <f>=IFERROR(ROUND((T19+T23)/$B153,0),0)</f>
        <v>3</v>
      </c>
      <c r="U153" s="46">
        <f>=IFERROR(ROUND((U19+U23)/$B153,0),0)</f>
        <v>3</v>
      </c>
      <c r="V153" s="46">
        <f>=IFERROR(ROUND((V19+V23)/$B153,0),0)</f>
        <v>3</v>
      </c>
      <c r="W153" s="46">
        <f>=IFERROR(ROUND((W19+W23)/$B153,0),0)</f>
        <v>3</v>
      </c>
      <c r="X153" s="46">
        <f>=IFERROR(ROUND((X19+X23)/$B153,0),0)</f>
        <v>3</v>
      </c>
      <c r="Y153" s="46">
        <f>=IFERROR(ROUND((Y19+Y23)/$B153,0),0)</f>
        <v>3</v>
      </c>
      <c r="Z153" s="46">
        <f>=IFERROR(ROUND((Z19+Z23)/$B153,0),0)</f>
        <v>3</v>
      </c>
      <c r="AA153" s="46">
        <f>=IFERROR(ROUND((AA19+AA23)/$B153,0),0)</f>
        <v>3</v>
      </c>
      <c r="AB153" s="46">
        <f>=IFERROR(ROUND((AB19+AB23)/$B153,0),0)</f>
        <v>3</v>
      </c>
      <c r="AC153" s="46">
        <f>=IFERROR(ROUND((AC19+AC23)/$B153,0),0)</f>
        <v>3</v>
      </c>
      <c r="AD153" s="46">
        <f>=IFERROR(ROUND((AD19+AD23)/$B153,0),0)</f>
        <v>3</v>
      </c>
      <c r="AE153" s="46">
        <f>=IFERROR(ROUND((AE19+AE23)/$B153,0),0)</f>
        <v>3</v>
      </c>
      <c r="AF153" s="46">
        <f>=IFERROR(ROUND((AF19+AF23)/$B153,0),0)</f>
        <v>3</v>
      </c>
      <c r="AG153" s="46">
        <f>=IFERROR(ROUND((AG19+AG23)/$B153,0),0)</f>
        <v>3</v>
      </c>
      <c r="AH153" s="46">
        <f>=IFERROR(ROUND((AH19+AH23)/$B153,0),0)</f>
        <v>3</v>
      </c>
      <c r="AI153" s="46">
        <f>=IFERROR(ROUND((AI19+AI23)/$B153,0),0)</f>
        <v>3</v>
      </c>
      <c r="AJ153" s="46">
        <f>=IFERROR(ROUND((AJ19+AJ23)/$B153,0),0)</f>
        <v>3</v>
      </c>
      <c r="AK153" s="46">
        <f>=IFERROR(ROUND((AK19+AK23)/$B153,0),0)</f>
        <v>3</v>
      </c>
      <c r="AL153" s="46">
        <f>=IFERROR(ROUND((AL19+AL23)/$B153,0),0)</f>
        <v>3</v>
      </c>
      <c r="AM153" s="46">
        <f>=IFERROR(ROUND((AM19+AM23)/$B153,0),0)</f>
        <v>2</v>
      </c>
      <c r="AN153" s="46">
        <f>=IFERROR(ROUND((AN19+AN23)/$B153,0),0)</f>
        <v>2</v>
      </c>
      <c r="AO153" s="46">
        <f>=IFERROR(ROUND((AO19+AO23)/$B153,0),0)</f>
        <v>3</v>
      </c>
      <c r="AP153" s="46">
        <f>=IFERROR(ROUND((AP19+AP23)/$B153,0),0)</f>
        <v>3</v>
      </c>
      <c r="AQ153" s="46">
        <f>=IFERROR(ROUND((AQ19+AQ23)/$B153,0),0)</f>
        <v>3</v>
      </c>
      <c r="AR153" s="46">
        <f>=IFERROR(ROUND((AR19+AR23)/$B153,0),0)</f>
        <v>3</v>
      </c>
      <c r="AS153" s="46">
        <f>=IFERROR(ROUND((AS19+AS23)/$B153,0),0)</f>
        <v>3</v>
      </c>
      <c r="AT153" s="46">
        <f>=IFERROR(ROUND((AT19+AT23)/$B153,0),0)</f>
        <v>3</v>
      </c>
      <c r="AU153" s="46">
        <f>=IFERROR(ROUND((AU19+AU23)/$B153,0),0)</f>
        <v>3</v>
      </c>
      <c r="AV153" s="46">
        <f>=IFERROR(ROUND((AV19+AV23)/$B153,0),0)</f>
        <v>2</v>
      </c>
      <c r="AW153" s="46">
        <f>=IFERROR(ROUND((AW19+AW23)/$B153,0),0)</f>
        <v>3</v>
      </c>
      <c r="AX153" s="46">
        <f>=IFERROR(ROUND((AX19+AX23)/$B153,0),0)</f>
        <v>3</v>
      </c>
      <c r="AY153" s="46">
        <f>=IFERROR(ROUND((AY19+AY23)/$B153,0),0)</f>
        <v>2</v>
      </c>
      <c r="AZ153" s="46">
        <f>=IFERROR(ROUND((AZ19+AZ23)/$B153,0),0)</f>
        <v>2</v>
      </c>
      <c r="BA153" s="46">
        <f>=IFERROR(ROUND((BA19+BA23)/$B153,0),0)</f>
        <v>3</v>
      </c>
      <c r="BB153" s="46">
        <f>=IFERROR(ROUND((BB19+BB23)/$B153,0),0)</f>
        <v>3</v>
      </c>
      <c r="BC153" s="46">
        <f>=IFERROR(ROUND((BC19+BC23)/$B153,0),0)</f>
        <v>3</v>
      </c>
      <c r="BD153" s="73">
        <f>=IFERROR(ROUND((BD19+BD23)/$B153,0),0)</f>
        <v>2</v>
      </c>
      <c r="BE153" s="46">
        <f>=IFERROR(ROUND((BE19+BE23)/$B153,0),0)</f>
        <v>2</v>
      </c>
      <c r="BF153" s="46">
        <f>=IFERROR(ROUND((BF19+BF23)/$B153,0),0)</f>
        <v>3</v>
      </c>
      <c r="BG153" s="46">
        <f>=IFERROR(ROUND((BG19+BG23)/$B153,0),0)</f>
        <v>3</v>
      </c>
      <c r="BH153" s="46">
        <f>=IFERROR(ROUND((BH19+BH23)/$B153,0),0)</f>
        <v>3</v>
      </c>
      <c r="BI153" s="46">
        <f>=IFERROR(ROUND((BI19+BI23)/$B153,0),0)</f>
        <v>4</v>
      </c>
      <c r="BJ153" s="46">
        <f>=IFERROR(ROUND((BJ19+BJ23)/$B153,0),0)</f>
        <v>4</v>
      </c>
      <c r="BK153" s="46">
        <f>=IFERROR(ROUND((BK19+BK23)/$B153,0),0)</f>
        <v>4</v>
      </c>
      <c r="BL153" s="73">
        <f>=IFERROR(ROUND((BL19+BL23)/$B153,0),0)</f>
        <v>4</v>
      </c>
      <c r="BM153" s="46">
        <f>=IFERROR(ROUND((BM19+BM23)/$B153,0),0)</f>
        <v>3</v>
      </c>
      <c r="BN153" s="46">
        <f>=IFERROR(ROUND((BN19+BN23)/$B153,0),0)</f>
        <v>3</v>
      </c>
      <c r="BO153" s="46">
        <f>=IFERROR(ROUND((BO19+BO23)/$B153,0),0)</f>
        <v>3</v>
      </c>
      <c r="BP153" s="46">
        <f>=IFERROR(ROUND((BP19+BP23)/$B153,0),0)</f>
        <v>2</v>
      </c>
      <c r="BQ153" s="46">
        <f>=IFERROR(ROUND((BQ19+BQ23)/$B153,0),0)</f>
        <v>2</v>
      </c>
      <c r="BR153" s="46">
        <f>=IFERROR(ROUND((BR19+BR23)/$B153,0),0)</f>
        <v>2</v>
      </c>
      <c r="BS153" s="46">
        <f>=IFERROR(ROUND((BS19+BS23)/$B153,0),0)</f>
        <v>2</v>
      </c>
      <c r="BT153" s="46">
        <f>=IFERROR(ROUND((BT19+BT23)/$B153,0),0)</f>
        <v>2</v>
      </c>
      <c r="BU153" s="46">
        <f>=IFERROR(ROUND((BU19+BU23)/$B153,0),0)</f>
        <v>2</v>
      </c>
      <c r="BV153" s="46">
        <f>=IFERROR(ROUND((BV19+BV23)/$B153,0),0)</f>
        <v>2</v>
      </c>
      <c r="BW153" s="46">
        <f>=IFERROR(ROUND((BW19+BW23)/$B153,0),0)</f>
        <v>2</v>
      </c>
      <c r="BX153" s="46">
        <f>=IFERROR(ROUND((BX19+BX23)/$B153,0),0)</f>
        <v>2</v>
      </c>
      <c r="BY153" s="73">
        <f>=IFERROR(ROUND((BY19+BY23)/$B153,0),0)</f>
        <v>2</v>
      </c>
      <c r="BZ153" s="46">
        <f>=IFERROR(ROUND((BZ19+BZ23)/$B153,0),0)</f>
        <v>2</v>
      </c>
      <c r="CA153" s="46">
        <f>=IFERROR(ROUND((CA19+CA23)/$B153,0),0)</f>
        <v>2</v>
      </c>
      <c r="CB153" s="46">
        <f>=IFERROR(ROUND((CB19+CB23)/$B153,0),0)</f>
        <v>2</v>
      </c>
      <c r="CC153" s="46">
        <f>=IFERROR(ROUND((CC19+CC23)/$B153,0),0)</f>
        <v>2</v>
      </c>
      <c r="CD153" s="46">
        <f>=IFERROR(ROUND((CD19+CD23)/$B153,0),0)</f>
        <v>2</v>
      </c>
      <c r="CE153" s="46">
        <f>=IFERROR(ROUND((CE19+CE23)/$B153,0),0)</f>
        <v>2</v>
      </c>
      <c r="CF153" s="46">
        <f>=IFERROR(ROUND((CF19+CF23)/$B153,0),0)</f>
        <v>2</v>
      </c>
      <c r="CG153" s="46">
        <f>=IFERROR(ROUND((CG19+CG23)/$B153,0),0)</f>
        <v>2</v>
      </c>
      <c r="CH153" s="46">
        <f>=IFERROR(ROUND((CH19+CH23)/$B153,0),0)</f>
        <v>2</v>
      </c>
      <c r="CI153" s="46">
        <f>=IFERROR(ROUND((CI19+CI23)/$B153,0),0)</f>
        <v>2</v>
      </c>
      <c r="CJ153" s="46">
        <f>=IFERROR(ROUND((CJ19+CJ23)/$B153,0),0)</f>
        <v>2</v>
      </c>
      <c r="CK153" s="46">
        <f>=IFERROR(ROUND((CK19+CK23)/$B153,0),0)</f>
        <v>2</v>
      </c>
      <c r="CL153" s="46">
        <f>=IFERROR(ROUND((CL19+CL23)/$B153,0),0)</f>
        <v>2</v>
      </c>
      <c r="CM153" s="46">
        <f>=IFERROR(ROUND((CM19+CM23)/$B153,0),0)</f>
        <v>2</v>
      </c>
      <c r="CN153" s="46">
        <f>=IFERROR(ROUND((CN19+CN23)/$B153,0),0)</f>
        <v>2</v>
      </c>
      <c r="CO153" s="46">
        <f>=IFERROR(ROUND((CO19+CO23)/$B153,0),0)</f>
        <v>2</v>
      </c>
      <c r="CP153" s="46">
        <f>=IFERROR(ROUND((CP19+CP23)/$B153,0),0)</f>
        <v>2</v>
      </c>
      <c r="CQ153" s="46">
        <f>=IFERROR(ROUND((CQ19+CQ23)/$B153,0),0)</f>
        <v>2</v>
      </c>
      <c r="CR153" s="46">
        <f>=IFERROR(ROUND((CR19+CR23)/$B153,0),0)</f>
        <v>2</v>
      </c>
      <c r="CS153" s="46">
        <f>=IFERROR(ROUND((CS19+CS23)/$B153,0),0)</f>
        <v>2</v>
      </c>
      <c r="CT153" s="73">
        <f>=IFERROR(ROUND((CT19+CT23)/$B153,0),0)</f>
        <v>1</v>
      </c>
      <c r="CU153" s="46">
        <f>=IFERROR(ROUND((CU19+CU23)/$B153,0),0)</f>
        <v>1</v>
      </c>
      <c r="CV153" s="46">
        <f>=IFERROR(ROUND((CV19+CV23)/$B153,0),0)</f>
        <v>1</v>
      </c>
      <c r="CW153" s="73">
        <f>=IFERROR(ROUND((CW19+CW23)/$B153,0),0)</f>
        <v>1</v>
      </c>
      <c r="CX153" s="73">
        <f>=IFERROR(ROUND((CX19+CX23)/$B153,0),0)</f>
        <v>1</v>
      </c>
      <c r="CY153" s="46">
        <f>=IFERROR(ROUND((CY19+CY23)/$B153,0),0)</f>
        <v>1</v>
      </c>
      <c r="CZ153" s="46">
        <f>=IFERROR(ROUND((CZ19+CZ23)/$B153,0),0)</f>
        <v>1</v>
      </c>
      <c r="DA153" s="46">
        <f>=IFERROR(ROUND((DA19+DA23)/$B153,0),0)</f>
        <v>1</v>
      </c>
      <c r="DB153" s="46">
        <f>=IFERROR(ROUND((DB19+DB23)/$B153,0),0)</f>
        <v>1</v>
      </c>
    </row>
    <row r="154" spans="1:106" x14ac:dyDescent="0.25">
      <c r="A154" s="17" t="s">
        <v>356</v>
      </c>
      <c r="B154" s="17">
        <v>15</v>
      </c>
      <c r="C154" s="46">
        <f>=IFERROR(ROUND((C21+C22)/$B154,0),0)</f>
        <v>1</v>
      </c>
      <c r="D154" s="46">
        <f>=IFERROR(ROUND((D21+D22)/$B154,0),0)</f>
        <v>1</v>
      </c>
      <c r="E154" s="46">
        <f>=IFERROR(ROUND((E21+E22)/$B154,0),0)</f>
        <v>1</v>
      </c>
      <c r="F154" s="46">
        <f>=IFERROR(ROUND((F21+F22)/$B154,0),0)</f>
        <v>1</v>
      </c>
      <c r="G154" s="46">
        <f>=IFERROR(ROUND((G21+G22)/$B154,0),0)</f>
        <v>1</v>
      </c>
      <c r="H154" s="46">
        <f>=IFERROR(ROUND((H21+H22)/$B154,0),0)</f>
        <v>0</v>
      </c>
      <c r="I154" s="46">
        <f>=IFERROR(ROUND((I21+I22)/$B154,0),0)</f>
        <v>0</v>
      </c>
      <c r="J154" s="46">
        <f>=IFERROR(ROUND((J21+J22)/$B154,0),0)</f>
        <v>0</v>
      </c>
      <c r="K154" s="46">
        <f>=IFERROR(ROUND((K21+K22)/$B154,0),0)</f>
        <v>0</v>
      </c>
      <c r="L154" s="46">
        <f>=IFERROR(ROUND((L21+L22)/$B154,0),0)</f>
        <v>0</v>
      </c>
      <c r="M154" s="46">
        <f>=IFERROR(ROUND((M21+M22)/$B154,0),0)</f>
        <v>0</v>
      </c>
      <c r="N154" s="46">
        <f>=IFERROR(ROUND((N21+N22)/$B154,0),0)</f>
        <v>0</v>
      </c>
      <c r="O154" s="46">
        <f>=IFERROR(ROUND((O21+O22)/$B154,0),0)</f>
        <v>0</v>
      </c>
      <c r="P154" s="46">
        <f>=IFERROR(ROUND((P21+P22)/$B154,0),0)</f>
        <v>0</v>
      </c>
      <c r="Q154" s="46">
        <f>=IFERROR(ROUND((Q21+Q22)/$B154,0),0)</f>
        <v>0</v>
      </c>
      <c r="R154" s="46">
        <f>=IFERROR(ROUND((R21+R22)/$B154,0),0)</f>
        <v>0</v>
      </c>
      <c r="S154" s="46">
        <f>=IFERROR(ROUND((S21+S22)/$B154,0),0)</f>
        <v>0</v>
      </c>
      <c r="T154" s="46">
        <f>=IFERROR(ROUND((T21+T22)/$B154,0),0)</f>
        <v>0</v>
      </c>
      <c r="U154" s="46">
        <f>=IFERROR(ROUND((U21+U22)/$B154,0),0)</f>
        <v>0</v>
      </c>
      <c r="V154" s="46">
        <f>=IFERROR(ROUND((V21+V22)/$B154,0),0)</f>
        <v>0</v>
      </c>
      <c r="W154" s="46">
        <f>=IFERROR(ROUND((W21+W22)/$B154,0),0)</f>
        <v>0</v>
      </c>
      <c r="X154" s="46">
        <f>=IFERROR(ROUND((X21+X22)/$B154,0),0)</f>
        <v>0</v>
      </c>
      <c r="Y154" s="46">
        <f>=IFERROR(ROUND((Y21+Y22)/$B154,0),0)</f>
        <v>0</v>
      </c>
      <c r="Z154" s="46">
        <f>=IFERROR(ROUND((Z21+Z22)/$B154,0),0)</f>
        <v>0</v>
      </c>
      <c r="AA154" s="46">
        <f>=IFERROR(ROUND((AA21+AA22)/$B154,0),0)</f>
        <v>0</v>
      </c>
      <c r="AB154" s="46">
        <f>=IFERROR(ROUND((AB21+AB22)/$B154,0),0)</f>
        <v>0</v>
      </c>
      <c r="AC154" s="46">
        <f>=IFERROR(ROUND((AC21+AC22)/$B154,0),0)</f>
        <v>0</v>
      </c>
      <c r="AD154" s="46">
        <f>=IFERROR(ROUND((AD21+AD22)/$B154,0),0)</f>
        <v>0</v>
      </c>
      <c r="AE154" s="46">
        <f>=IFERROR(ROUND((AE21+AE22)/$B154,0),0)</f>
        <v>0</v>
      </c>
      <c r="AF154" s="46">
        <f>=IFERROR(ROUND((AF21+AF22)/$B154,0),0)</f>
        <v>0</v>
      </c>
      <c r="AG154" s="46">
        <f>=IFERROR(ROUND((AG21+AG22)/$B154,0),0)</f>
        <v>0</v>
      </c>
      <c r="AH154" s="46">
        <f>=IFERROR(ROUND((AH21+AH22)/$B154,0),0)</f>
        <v>0</v>
      </c>
      <c r="AI154" s="46">
        <f>=IFERROR(ROUND((AI21+AI22)/$B154,0),0)</f>
        <v>0</v>
      </c>
      <c r="AJ154" s="46">
        <f>=IFERROR(ROUND((AJ21+AJ22)/$B154,0),0)</f>
        <v>0</v>
      </c>
      <c r="AK154" s="46">
        <f>=IFERROR(ROUND((AK21+AK22)/$B154,0),0)</f>
        <v>0</v>
      </c>
      <c r="AL154" s="46">
        <f>=IFERROR(ROUND((AL21+AL22)/$B154,0),0)</f>
        <v>1</v>
      </c>
      <c r="AM154" s="46">
        <f>=IFERROR(ROUND((AM21+AM22)/$B154,0),0)</f>
        <v>1</v>
      </c>
      <c r="AN154" s="46">
        <f>=IFERROR(ROUND((AN21+AN22)/$B154,0),0)</f>
        <v>2</v>
      </c>
      <c r="AO154" s="46">
        <f>=IFERROR(ROUND((AO21+AO22)/$B154,0),0)</f>
        <v>1</v>
      </c>
      <c r="AP154" s="46">
        <f>=IFERROR(ROUND((AP21+AP22)/$B154,0),0)</f>
        <v>1</v>
      </c>
      <c r="AQ154" s="46">
        <f>=IFERROR(ROUND((AQ21+AQ22)/$B154,0),0)</f>
        <v>0</v>
      </c>
      <c r="AR154" s="46">
        <f>=IFERROR(ROUND((AR21+AR22)/$B154,0),0)</f>
        <v>0</v>
      </c>
      <c r="AS154" s="46">
        <f>=IFERROR(ROUND((AS21+AS22)/$B154,0),0)</f>
        <v>0</v>
      </c>
      <c r="AT154" s="46">
        <f>=IFERROR(ROUND((AT21+AT22)/$B154,0),0)</f>
        <v>1</v>
      </c>
      <c r="AU154" s="46">
        <f>=IFERROR(ROUND((AU21+AU22)/$B154,0),0)</f>
        <v>1</v>
      </c>
      <c r="AV154" s="46">
        <f>=IFERROR(ROUND((AV21+AV22)/$B154,0),0)</f>
        <v>1</v>
      </c>
      <c r="AW154" s="46">
        <f>=IFERROR(ROUND((AW21+AW22)/$B154,0),0)</f>
        <v>0</v>
      </c>
      <c r="AX154" s="46">
        <f>=IFERROR(ROUND((AX21+AX22)/$B154,0),0)</f>
        <v>1</v>
      </c>
      <c r="AY154" s="46">
        <f>=IFERROR(ROUND((AY21+AY22)/$B154,0),0)</f>
        <v>1</v>
      </c>
      <c r="AZ154" s="46">
        <f>=IFERROR(ROUND((AZ21+AZ22)/$B154,0),0)</f>
        <v>1</v>
      </c>
      <c r="BA154" s="46">
        <f>=IFERROR(ROUND((BA21+BA22)/$B154,0),0)</f>
        <v>0</v>
      </c>
      <c r="BB154" s="46">
        <f>=IFERROR(ROUND((BB21+BB22)/$B154,0),0)</f>
        <v>0</v>
      </c>
      <c r="BC154" s="46">
        <f>=IFERROR(ROUND((BC21+BC22)/$B154,0),0)</f>
        <v>1</v>
      </c>
      <c r="BD154" s="46">
        <f>=IFERROR(ROUND((BD21+BD22)/$B154,0),0)</f>
        <v>1</v>
      </c>
      <c r="BE154" s="46">
        <f>=IFERROR(ROUND((BE21+BE22)/$B154,0),0)</f>
        <v>1</v>
      </c>
      <c r="BF154" s="46">
        <f>=IFERROR(ROUND((BF21+BF22)/$B154,0),0)</f>
        <v>0</v>
      </c>
      <c r="BG154" s="46">
        <f>=IFERROR(ROUND((BG21+BG22)/$B154,0),0)</f>
        <v>0</v>
      </c>
      <c r="BH154" s="46">
        <f>=IFERROR(ROUND((BH21+BH22)/$B154,0),0)</f>
        <v>0</v>
      </c>
      <c r="BI154" s="46">
        <f>=IFERROR(ROUND((BI21+BI22)/$B154,0),0)</f>
        <v>0</v>
      </c>
      <c r="BJ154" s="46">
        <f>=IFERROR(ROUND((BJ21+BJ22)/$B154,0),0)</f>
        <v>0</v>
      </c>
      <c r="BK154" s="46">
        <f>=IFERROR(ROUND((BK21+BK22)/$B154,0),0)</f>
        <v>0</v>
      </c>
      <c r="BL154" s="46">
        <f>=IFERROR(ROUND((BL21+BL22)/$B154,0),0)</f>
        <v>0</v>
      </c>
      <c r="BM154" s="46">
        <f>=IFERROR(ROUND((BM21+BM22)/$B154,0),0)</f>
        <v>0</v>
      </c>
      <c r="BN154" s="46">
        <f>=IFERROR(ROUND((BN21+BN22)/$B154,0),0)</f>
        <v>0</v>
      </c>
      <c r="BO154" s="46">
        <f>=IFERROR(ROUND((BO21+BO22)/$B154,0),0)</f>
        <v>0</v>
      </c>
      <c r="BP154" s="46">
        <f>=IFERROR(ROUND((BP21+BP22)/$B154,0),0)</f>
        <v>0</v>
      </c>
      <c r="BQ154" s="46">
        <f>=IFERROR(ROUND((BQ21+BQ22)/$B154,0),0)</f>
        <v>0</v>
      </c>
      <c r="BR154" s="46">
        <f>=IFERROR(ROUND((BR21+BR22)/$B154,0),0)</f>
        <v>0</v>
      </c>
      <c r="BS154" s="46">
        <f>=IFERROR(ROUND((BS21+BS22)/$B154,0),0)</f>
        <v>0</v>
      </c>
      <c r="BT154" s="46">
        <f>=IFERROR(ROUND((BT21+BT22)/$B154,0),0)</f>
        <v>0</v>
      </c>
      <c r="BU154" s="46">
        <f>=IFERROR(ROUND((BU21+BU22)/$B154,0),0)</f>
        <v>0</v>
      </c>
      <c r="BV154" s="46">
        <f>=IFERROR(ROUND((BV21+BV22)/$B154,0),0)</f>
        <v>0</v>
      </c>
      <c r="BW154" s="46">
        <f>=IFERROR(ROUND((BW21+BW22)/$B154,0),0)</f>
        <v>0</v>
      </c>
      <c r="BX154" s="46">
        <f>=IFERROR(ROUND((BX21+BX22)/$B154,0),0)</f>
        <v>0</v>
      </c>
      <c r="BY154" s="46">
        <f>=IFERROR(ROUND((BY21+BY22)/$B154,0),0)</f>
        <v>0</v>
      </c>
      <c r="BZ154" s="46">
        <f>=IFERROR(ROUND((BZ21+BZ22)/$B154,0),0)</f>
        <v>0</v>
      </c>
      <c r="CA154" s="46">
        <f>=IFERROR(ROUND((CA21+CA22)/$B154,0),0)</f>
        <v>0</v>
      </c>
      <c r="CB154" s="46">
        <f>=IFERROR(ROUND((CB21+CB22)/$B154,0),0)</f>
        <v>0</v>
      </c>
      <c r="CC154" s="46">
        <f>=IFERROR(ROUND((CC21+CC22)/$B154,0),0)</f>
        <v>0</v>
      </c>
      <c r="CD154" s="46">
        <f>=IFERROR(ROUND((CD21+CD22)/$B154,0),0)</f>
        <v>0</v>
      </c>
      <c r="CE154" s="46">
        <f>=IFERROR(ROUND((CE21+CE22)/$B154,0),0)</f>
        <v>0</v>
      </c>
      <c r="CF154" s="46">
        <f>=IFERROR(ROUND((CF21+CF22)/$B154,0),0)</f>
        <v>0</v>
      </c>
      <c r="CG154" s="46">
        <f>=IFERROR(ROUND((CG21+CG22)/$B154,0),0)</f>
        <v>0</v>
      </c>
      <c r="CH154" s="46">
        <f>=IFERROR(ROUND((CH21+CH22)/$B154,0),0)</f>
        <v>0</v>
      </c>
      <c r="CI154" s="46">
        <f>=IFERROR(ROUND((CI21+CI22)/$B154,0),0)</f>
        <v>0</v>
      </c>
      <c r="CJ154" s="46">
        <f>=IFERROR(ROUND((CJ21+CJ22)/$B154,0),0)</f>
        <v>0</v>
      </c>
      <c r="CK154" s="46">
        <f>=IFERROR(ROUND((CK21+CK22)/$B154,0),0)</f>
        <v>0</v>
      </c>
      <c r="CL154" s="46">
        <f>=IFERROR(ROUND((CL21+CL22)/$B154,0),0)</f>
        <v>0</v>
      </c>
      <c r="CM154" s="46">
        <f>=IFERROR(ROUND((CM21+CM22)/$B154,0),0)</f>
        <v>0</v>
      </c>
      <c r="CN154" s="46">
        <f>=IFERROR(ROUND((CN21+CN22)/$B154,0),0)</f>
        <v>0</v>
      </c>
      <c r="CO154" s="46">
        <f>=IFERROR(ROUND((CO21+CO22)/$B154,0),0)</f>
        <v>0</v>
      </c>
      <c r="CP154" s="46">
        <f>=IFERROR(ROUND((CP21+CP22)/$B154,0),0)</f>
        <v>0</v>
      </c>
      <c r="CQ154" s="46">
        <f>=IFERROR(ROUND((CQ21+CQ22)/$B154,0),0)</f>
        <v>0</v>
      </c>
      <c r="CR154" s="46">
        <f>=IFERROR(ROUND((CR21+CR22)/$B154,0),0)</f>
        <v>0</v>
      </c>
      <c r="CS154" s="46">
        <f>=IFERROR(ROUND((CS21+CS22)/$B154,0),0)</f>
        <v>0</v>
      </c>
      <c r="CT154" s="46">
        <f>=IFERROR(ROUND((CT21+CT22)/$B154,0),0)</f>
        <v>0</v>
      </c>
      <c r="CU154" s="46">
        <f>=IFERROR(ROUND((CU21+CU22)/$B154,0),0)</f>
        <v>0</v>
      </c>
      <c r="CV154" s="46">
        <f>=IFERROR(ROUND((CV21+CV22)/$B154,0),0)</f>
        <v>0</v>
      </c>
      <c r="CW154" s="46">
        <f>=IFERROR(ROUND((CW21+CW22)/$B154,0),0)</f>
        <v>0</v>
      </c>
      <c r="CX154" s="46">
        <f>=IFERROR(ROUND((CX21+CX22)/$B154,0),0)</f>
        <v>0</v>
      </c>
      <c r="CY154" s="46">
        <f>=IFERROR(ROUND((CY21+CY22)/$B154,0),0)</f>
        <v>0</v>
      </c>
      <c r="CZ154" s="46">
        <f>=IFERROR(ROUND((CZ21+CZ22)/$B154,0),0)</f>
        <v>0</v>
      </c>
      <c r="DA154" s="46">
        <f>=IFERROR(ROUND((DA21+DA22)/$B154,0),0)</f>
        <v>0</v>
      </c>
      <c r="DB154" s="46">
        <f>=IFERROR(ROUND((DB21+DB22)/$B154,0),0)</f>
        <v>0</v>
      </c>
    </row>
    <row r="155" spans="1:106" x14ac:dyDescent="0.25">
      <c r="A155" s="17" t="s">
        <v>357</v>
      </c>
      <c r="B155" s="17">
        <v>15</v>
      </c>
      <c r="C155" s="46">
        <f>=IFERROR(ROUND((C19+C23)/$B155,0),0)</f>
        <v>4</v>
      </c>
      <c r="D155" s="46">
        <f>=IFERROR(ROUND((D19+D23)/$B155,0),0)</f>
        <v>3</v>
      </c>
      <c r="E155" s="46">
        <f>=IFERROR(ROUND((E19+E23)/$B155,0),0)</f>
        <v>3</v>
      </c>
      <c r="F155" s="46">
        <f>=IFERROR(ROUND((F19+F23)/$B155,0),0)</f>
        <v>4</v>
      </c>
      <c r="G155" s="46">
        <f>=IFERROR(ROUND((G19+G23)/$B155,0),0)</f>
        <v>4</v>
      </c>
      <c r="H155" s="46">
        <f>=IFERROR(ROUND((H19+H23)/$B155,0),0)</f>
        <v>4</v>
      </c>
      <c r="I155" s="46">
        <f>=IFERROR(ROUND((I19+I23)/$B155,0),0)</f>
        <v>4</v>
      </c>
      <c r="J155" s="46">
        <f>=IFERROR(ROUND((J19+J23)/$B155,0),0)</f>
        <v>4</v>
      </c>
      <c r="K155" s="46">
        <f>=IFERROR(ROUND((K19+K23)/$B155,0),0)</f>
        <v>4</v>
      </c>
      <c r="L155" s="46">
        <f>=IFERROR(ROUND((L19+L23)/$B155,0),0)</f>
        <v>4</v>
      </c>
      <c r="M155" s="46">
        <f>=IFERROR(ROUND((M19+M23)/$B155,0),0)</f>
        <v>4</v>
      </c>
      <c r="N155" s="46">
        <f>=IFERROR(ROUND((N19+N23)/$B155,0),0)</f>
        <v>4</v>
      </c>
      <c r="O155" s="46">
        <f>=IFERROR(ROUND((O19+O23)/$B155,0),0)</f>
        <v>4</v>
      </c>
      <c r="P155" s="46">
        <f>=IFERROR(ROUND((P19+P23)/$B155,0),0)</f>
        <v>4</v>
      </c>
      <c r="Q155" s="46">
        <f>=IFERROR(ROUND((Q19+Q23)/$B155,0),0)</f>
        <v>4</v>
      </c>
      <c r="R155" s="46">
        <f>=IFERROR(ROUND((R19+R23)/$B155,0),0)</f>
        <v>4</v>
      </c>
      <c r="S155" s="46">
        <f>=IFERROR(ROUND((S19+S23)/$B155,0),0)</f>
        <v>4</v>
      </c>
      <c r="T155" s="46">
        <f>=IFERROR(ROUND((T19+T23)/$B155,0),0)</f>
        <v>3</v>
      </c>
      <c r="U155" s="46">
        <f>=IFERROR(ROUND((U19+U23)/$B155,0),0)</f>
        <v>3</v>
      </c>
      <c r="V155" s="46">
        <f>=IFERROR(ROUND((V19+V23)/$B155,0),0)</f>
        <v>3</v>
      </c>
      <c r="W155" s="46">
        <f>=IFERROR(ROUND((W19+W23)/$B155,0),0)</f>
        <v>3</v>
      </c>
      <c r="X155" s="46">
        <f>=IFERROR(ROUND((X19+X23)/$B155,0),0)</f>
        <v>3</v>
      </c>
      <c r="Y155" s="46">
        <f>=IFERROR(ROUND((Y19+Y23)/$B155,0),0)</f>
        <v>3</v>
      </c>
      <c r="Z155" s="46">
        <f>=IFERROR(ROUND((Z19+Z23)/$B155,0),0)</f>
        <v>3</v>
      </c>
      <c r="AA155" s="46">
        <f>=IFERROR(ROUND((AA19+AA23)/$B155,0),0)</f>
        <v>3</v>
      </c>
      <c r="AB155" s="46">
        <f>=IFERROR(ROUND((AB19+AB23)/$B155,0),0)</f>
        <v>3</v>
      </c>
      <c r="AC155" s="46">
        <f>=IFERROR(ROUND((AC19+AC23)/$B155,0),0)</f>
        <v>3</v>
      </c>
      <c r="AD155" s="46">
        <f>=IFERROR(ROUND((AD19+AD23)/$B155,0),0)</f>
        <v>3</v>
      </c>
      <c r="AE155" s="46">
        <f>=IFERROR(ROUND((AE19+AE23)/$B155,0),0)</f>
        <v>3</v>
      </c>
      <c r="AF155" s="46">
        <f>=IFERROR(ROUND((AF19+AF23)/$B155,0),0)</f>
        <v>3</v>
      </c>
      <c r="AG155" s="46">
        <f>=IFERROR(ROUND((AG19+AG23)/$B155,0),0)</f>
        <v>3</v>
      </c>
      <c r="AH155" s="46">
        <f>=IFERROR(ROUND((AH19+AH23)/$B155,0),0)</f>
        <v>3</v>
      </c>
      <c r="AI155" s="46">
        <f>=IFERROR(ROUND((AI19+AI23)/$B155,0),0)</f>
        <v>3</v>
      </c>
      <c r="AJ155" s="46">
        <f>=IFERROR(ROUND((AJ19+AJ23)/$B155,0),0)</f>
        <v>3</v>
      </c>
      <c r="AK155" s="46">
        <f>=IFERROR(ROUND((AK19+AK23)/$B155,0),0)</f>
        <v>3</v>
      </c>
      <c r="AL155" s="46">
        <f>=IFERROR(ROUND((AL19+AL23)/$B155,0),0)</f>
        <v>3</v>
      </c>
      <c r="AM155" s="46">
        <f>=IFERROR(ROUND((AM19+AM23)/$B155,0),0)</f>
        <v>2</v>
      </c>
      <c r="AN155" s="46">
        <f>=IFERROR(ROUND((AN19+AN23)/$B155,0),0)</f>
        <v>2</v>
      </c>
      <c r="AO155" s="46">
        <f>=IFERROR(ROUND((AO19+AO23)/$B155,0),0)</f>
        <v>3</v>
      </c>
      <c r="AP155" s="46">
        <f>=IFERROR(ROUND((AP19+AP23)/$B155,0),0)</f>
        <v>3</v>
      </c>
      <c r="AQ155" s="46">
        <f>=IFERROR(ROUND((AQ19+AQ23)/$B155,0),0)</f>
        <v>3</v>
      </c>
      <c r="AR155" s="46">
        <f>=IFERROR(ROUND((AR19+AR23)/$B155,0),0)</f>
        <v>3</v>
      </c>
      <c r="AS155" s="46">
        <f>=IFERROR(ROUND((AS19+AS23)/$B155,0),0)</f>
        <v>3</v>
      </c>
      <c r="AT155" s="46">
        <f>=IFERROR(ROUND((AT19+AT23)/$B155,0),0)</f>
        <v>3</v>
      </c>
      <c r="AU155" s="46">
        <f>=IFERROR(ROUND((AU19+AU23)/$B155,0),0)</f>
        <v>3</v>
      </c>
      <c r="AV155" s="46">
        <f>=IFERROR(ROUND((AV19+AV23)/$B155,0),0)</f>
        <v>2</v>
      </c>
      <c r="AW155" s="46">
        <f>=IFERROR(ROUND((AW19+AW23)/$B155,0),0)</f>
        <v>3</v>
      </c>
      <c r="AX155" s="46">
        <f>=IFERROR(ROUND((AX19+AX23)/$B155,0),0)</f>
        <v>3</v>
      </c>
      <c r="AY155" s="46">
        <f>=IFERROR(ROUND((AY19+AY23)/$B155,0),0)</f>
        <v>2</v>
      </c>
      <c r="AZ155" s="46">
        <f>=IFERROR(ROUND((AZ19+AZ23)/$B155,0),0)</f>
        <v>2</v>
      </c>
      <c r="BA155" s="46">
        <f>=IFERROR(ROUND((BA19+BA23)/$B155,0),0)</f>
        <v>3</v>
      </c>
      <c r="BB155" s="46">
        <f>=IFERROR(ROUND((BB19+BB23)/$B155,0),0)</f>
        <v>3</v>
      </c>
      <c r="BC155" s="46">
        <f>=IFERROR(ROUND((BC19+BC23)/$B155,0),0)</f>
        <v>3</v>
      </c>
      <c r="BD155" s="73">
        <f>=IFERROR(ROUND((BD19+BD23)/$B155,0),0)</f>
        <v>2</v>
      </c>
      <c r="BE155" s="46">
        <f>=IFERROR(ROUND((BE19+BE23)/$B155,0),0)</f>
        <v>2</v>
      </c>
      <c r="BF155" s="46">
        <f>=IFERROR(ROUND((BF19+BF23)/$B155,0),0)</f>
        <v>3</v>
      </c>
      <c r="BG155" s="46">
        <f>=IFERROR(ROUND((BG19+BG23)/$B155,0),0)</f>
        <v>3</v>
      </c>
      <c r="BH155" s="46">
        <f>=IFERROR(ROUND((BH19+BH23)/$B155,0),0)</f>
        <v>3</v>
      </c>
      <c r="BI155" s="46">
        <f>=IFERROR(ROUND((BI19+BI23)/$B155,0),0)</f>
        <v>4</v>
      </c>
      <c r="BJ155" s="46">
        <f>=IFERROR(ROUND((BJ19+BJ23)/$B155,0),0)</f>
        <v>4</v>
      </c>
      <c r="BK155" s="46">
        <f>=IFERROR(ROUND((BK19+BK23)/$B155,0),0)</f>
        <v>4</v>
      </c>
      <c r="BL155" s="73">
        <f>=IFERROR(ROUND((BL19+BL23)/$B155,0),0)</f>
        <v>4</v>
      </c>
      <c r="BM155" s="46">
        <f>=IFERROR(ROUND((BM19+BM23)/$B155,0),0)</f>
        <v>3</v>
      </c>
      <c r="BN155" s="46">
        <f>=IFERROR(ROUND((BN19+BN23)/$B155,0),0)</f>
        <v>3</v>
      </c>
      <c r="BO155" s="46">
        <f>=IFERROR(ROUND((BO19+BO23)/$B155,0),0)</f>
        <v>3</v>
      </c>
      <c r="BP155" s="46">
        <f>=IFERROR(ROUND((BP19+BP23)/$B155,0),0)</f>
        <v>2</v>
      </c>
      <c r="BQ155" s="46">
        <f>=IFERROR(ROUND((BQ19+BQ23)/$B155,0),0)</f>
        <v>2</v>
      </c>
      <c r="BR155" s="46">
        <f>=IFERROR(ROUND((BR19+BR23)/$B155,0),0)</f>
        <v>2</v>
      </c>
      <c r="BS155" s="46">
        <f>=IFERROR(ROUND((BS19+BS23)/$B155,0),0)</f>
        <v>2</v>
      </c>
      <c r="BT155" s="46">
        <f>=IFERROR(ROUND((BT19+BT23)/$B155,0),0)</f>
        <v>2</v>
      </c>
      <c r="BU155" s="46">
        <f>=IFERROR(ROUND((BU19+BU23)/$B155,0),0)</f>
        <v>2</v>
      </c>
      <c r="BV155" s="46">
        <f>=IFERROR(ROUND((BV19+BV23)/$B155,0),0)</f>
        <v>2</v>
      </c>
      <c r="BW155" s="46">
        <f>=IFERROR(ROUND((BW19+BW23)/$B155,0),0)</f>
        <v>2</v>
      </c>
      <c r="BX155" s="46">
        <f>=IFERROR(ROUND((BX19+BX23)/$B155,0),0)</f>
        <v>2</v>
      </c>
      <c r="BY155" s="73">
        <f>=IFERROR(ROUND((BY19+BY23)/$B155,0),0)</f>
        <v>2</v>
      </c>
      <c r="BZ155" s="46">
        <f>=IFERROR(ROUND((BZ19+BZ23)/$B155,0),0)</f>
        <v>2</v>
      </c>
      <c r="CA155" s="46">
        <f>=IFERROR(ROUND((CA19+CA23)/$B155,0),0)</f>
        <v>2</v>
      </c>
      <c r="CB155" s="46">
        <f>=IFERROR(ROUND((CB19+CB23)/$B155,0),0)</f>
        <v>2</v>
      </c>
      <c r="CC155" s="46">
        <f>=IFERROR(ROUND((CC19+CC23)/$B155,0),0)</f>
        <v>2</v>
      </c>
      <c r="CD155" s="46">
        <f>=IFERROR(ROUND((CD19+CD23)/$B155,0),0)</f>
        <v>2</v>
      </c>
      <c r="CE155" s="46">
        <f>=IFERROR(ROUND((CE19+CE23)/$B155,0),0)</f>
        <v>2</v>
      </c>
      <c r="CF155" s="46">
        <f>=IFERROR(ROUND((CF19+CF23)/$B155,0),0)</f>
        <v>2</v>
      </c>
      <c r="CG155" s="46">
        <f>=IFERROR(ROUND((CG19+CG23)/$B155,0),0)</f>
        <v>2</v>
      </c>
      <c r="CH155" s="46">
        <f>=IFERROR(ROUND((CH19+CH23)/$B155,0),0)</f>
        <v>2</v>
      </c>
      <c r="CI155" s="46">
        <f>=IFERROR(ROUND((CI19+CI23)/$B155,0),0)</f>
        <v>2</v>
      </c>
      <c r="CJ155" s="46">
        <f>=IFERROR(ROUND((CJ19+CJ23)/$B155,0),0)</f>
        <v>2</v>
      </c>
      <c r="CK155" s="46">
        <f>=IFERROR(ROUND((CK19+CK23)/$B155,0),0)</f>
        <v>2</v>
      </c>
      <c r="CL155" s="46">
        <f>=IFERROR(ROUND((CL19+CL23)/$B155,0),0)</f>
        <v>2</v>
      </c>
      <c r="CM155" s="46">
        <f>=IFERROR(ROUND((CM19+CM23)/$B155,0),0)</f>
        <v>2</v>
      </c>
      <c r="CN155" s="46">
        <f>=IFERROR(ROUND((CN19+CN23)/$B155,0),0)</f>
        <v>2</v>
      </c>
      <c r="CO155" s="46">
        <f>=IFERROR(ROUND((CO19+CO23)/$B155,0),0)</f>
        <v>2</v>
      </c>
      <c r="CP155" s="46">
        <f>=IFERROR(ROUND((CP19+CP23)/$B155,0),0)</f>
        <v>2</v>
      </c>
      <c r="CQ155" s="46">
        <f>=IFERROR(ROUND((CQ19+CQ23)/$B155,0),0)</f>
        <v>2</v>
      </c>
      <c r="CR155" s="46">
        <f>=IFERROR(ROUND((CR19+CR23)/$B155,0),0)</f>
        <v>2</v>
      </c>
      <c r="CS155" s="46">
        <f>=IFERROR(ROUND((CS19+CS23)/$B155,0),0)</f>
        <v>2</v>
      </c>
      <c r="CT155" s="73">
        <f>=IFERROR(ROUND((CT19+CT23)/$B155,0),0)</f>
        <v>1</v>
      </c>
      <c r="CU155" s="46">
        <f>=IFERROR(ROUND((CU19+CU23)/$B155,0),0)</f>
        <v>1</v>
      </c>
      <c r="CV155" s="46">
        <f>=IFERROR(ROUND((CV19+CV23)/$B155,0),0)</f>
        <v>1</v>
      </c>
      <c r="CW155" s="73">
        <f>=IFERROR(ROUND((CW19+CW23)/$B155,0),0)</f>
        <v>1</v>
      </c>
      <c r="CX155" s="73">
        <f>=IFERROR(ROUND((CX19+CX23)/$B155,0),0)</f>
        <v>1</v>
      </c>
      <c r="CY155" s="46">
        <f>=IFERROR(ROUND((CY19+CY23)/$B155,0),0)</f>
        <v>1</v>
      </c>
      <c r="CZ155" s="46">
        <f>=IFERROR(ROUND((CZ19+CZ23)/$B155,0),0)</f>
        <v>1</v>
      </c>
      <c r="DA155" s="46">
        <f>=IFERROR(ROUND((DA19+DA23)/$B155,0),0)</f>
        <v>1</v>
      </c>
      <c r="DB155" s="46">
        <f>=IFERROR(ROUND((DB19+DB23)/$B155,0),0)</f>
        <v>1</v>
      </c>
    </row>
    <row r="156" spans="1:106" x14ac:dyDescent="0.25">
      <c r="A156" s="17" t="s">
        <v>358</v>
      </c>
      <c r="B156" s="17">
        <v>40</v>
      </c>
      <c r="C156" s="46">
        <f>=IFERROR(ROUND((C19+C23)/$B156,0),0)</f>
        <v>4</v>
      </c>
      <c r="D156" s="46">
        <f>=IFERROR(ROUND((D19+D23)/$B156,0),0)</f>
        <v>3</v>
      </c>
      <c r="E156" s="46">
        <f>=IFERROR(ROUND((E19+E23)/$B156,0),0)</f>
        <v>3</v>
      </c>
      <c r="F156" s="46">
        <f>=IFERROR(ROUND((F19+F23)/$B156,0),0)</f>
        <v>4</v>
      </c>
      <c r="G156" s="46">
        <f>=IFERROR(ROUND((G19+G23)/$B156,0),0)</f>
        <v>4</v>
      </c>
      <c r="H156" s="46">
        <f>=IFERROR(ROUND((H19+H23)/$B156,0),0)</f>
        <v>4</v>
      </c>
      <c r="I156" s="46">
        <f>=IFERROR(ROUND((I19+I23)/$B156,0),0)</f>
        <v>4</v>
      </c>
      <c r="J156" s="46">
        <f>=IFERROR(ROUND((J19+J23)/$B156,0),0)</f>
        <v>4</v>
      </c>
      <c r="K156" s="46">
        <f>=IFERROR(ROUND((K19+K23)/$B156,0),0)</f>
        <v>4</v>
      </c>
      <c r="L156" s="46">
        <f>=IFERROR(ROUND((L19+L23)/$B156,0),0)</f>
        <v>4</v>
      </c>
      <c r="M156" s="46">
        <f>=IFERROR(ROUND((M19+M23)/$B156,0),0)</f>
        <v>4</v>
      </c>
      <c r="N156" s="46">
        <f>=IFERROR(ROUND((N19+N23)/$B156,0),0)</f>
        <v>4</v>
      </c>
      <c r="O156" s="46">
        <f>=IFERROR(ROUND((O19+O23)/$B156,0),0)</f>
        <v>4</v>
      </c>
      <c r="P156" s="46">
        <f>=IFERROR(ROUND((P19+P23)/$B156,0),0)</f>
        <v>4</v>
      </c>
      <c r="Q156" s="46">
        <f>=IFERROR(ROUND((Q19+Q23)/$B156,0),0)</f>
        <v>4</v>
      </c>
      <c r="R156" s="46">
        <f>=IFERROR(ROUND((R19+R23)/$B156,0),0)</f>
        <v>4</v>
      </c>
      <c r="S156" s="46">
        <f>=IFERROR(ROUND((S19+S23)/$B156,0),0)</f>
        <v>4</v>
      </c>
      <c r="T156" s="46">
        <f>=IFERROR(ROUND((T19+T23)/$B156,0),0)</f>
        <v>3</v>
      </c>
      <c r="U156" s="46">
        <f>=IFERROR(ROUND((U19+U23)/$B156,0),0)</f>
        <v>3</v>
      </c>
      <c r="V156" s="46">
        <f>=IFERROR(ROUND((V19+V23)/$B156,0),0)</f>
        <v>3</v>
      </c>
      <c r="W156" s="46">
        <f>=IFERROR(ROUND((W19+W23)/$B156,0),0)</f>
        <v>3</v>
      </c>
      <c r="X156" s="46">
        <f>=IFERROR(ROUND((X19+X23)/$B156,0),0)</f>
        <v>3</v>
      </c>
      <c r="Y156" s="46">
        <f>=IFERROR(ROUND((Y19+Y23)/$B156,0),0)</f>
        <v>3</v>
      </c>
      <c r="Z156" s="46">
        <f>=IFERROR(ROUND((Z19+Z23)/$B156,0),0)</f>
        <v>3</v>
      </c>
      <c r="AA156" s="46">
        <f>=IFERROR(ROUND((AA19+AA23)/$B156,0),0)</f>
        <v>3</v>
      </c>
      <c r="AB156" s="46">
        <f>=IFERROR(ROUND((AB19+AB23)/$B156,0),0)</f>
        <v>3</v>
      </c>
      <c r="AC156" s="46">
        <f>=IFERROR(ROUND((AC19+AC23)/$B156,0),0)</f>
        <v>3</v>
      </c>
      <c r="AD156" s="46">
        <f>=IFERROR(ROUND((AD19+AD23)/$B156,0),0)</f>
        <v>3</v>
      </c>
      <c r="AE156" s="46">
        <f>=IFERROR(ROUND((AE19+AE23)/$B156,0),0)</f>
        <v>3</v>
      </c>
      <c r="AF156" s="46">
        <f>=IFERROR(ROUND((AF19+AF23)/$B156,0),0)</f>
        <v>3</v>
      </c>
      <c r="AG156" s="46">
        <f>=IFERROR(ROUND((AG19+AG23)/$B156,0),0)</f>
        <v>3</v>
      </c>
      <c r="AH156" s="46">
        <f>=IFERROR(ROUND((AH19+AH23)/$B156,0),0)</f>
        <v>3</v>
      </c>
      <c r="AI156" s="46">
        <f>=IFERROR(ROUND((AI19+AI23)/$B156,0),0)</f>
        <v>3</v>
      </c>
      <c r="AJ156" s="46">
        <f>=IFERROR(ROUND((AJ19+AJ23)/$B156,0),0)</f>
        <v>3</v>
      </c>
      <c r="AK156" s="46">
        <f>=IFERROR(ROUND((AK19+AK23)/$B156,0),0)</f>
        <v>3</v>
      </c>
      <c r="AL156" s="46">
        <f>=IFERROR(ROUND((AL19+AL23)/$B156,0),0)</f>
        <v>3</v>
      </c>
      <c r="AM156" s="46">
        <f>=IFERROR(ROUND((AM19+AM23)/$B156,0),0)</f>
        <v>2</v>
      </c>
      <c r="AN156" s="46">
        <f>=IFERROR(ROUND((AN19+AN23)/$B156,0),0)</f>
        <v>2</v>
      </c>
      <c r="AO156" s="46">
        <f>=IFERROR(ROUND((AO19+AO23)/$B156,0),0)</f>
        <v>3</v>
      </c>
      <c r="AP156" s="46">
        <f>=IFERROR(ROUND((AP19+AP23)/$B156,0),0)</f>
        <v>3</v>
      </c>
      <c r="AQ156" s="46">
        <f>=IFERROR(ROUND((AQ19+AQ23)/$B156,0),0)</f>
        <v>3</v>
      </c>
      <c r="AR156" s="46">
        <f>=IFERROR(ROUND((AR19+AR23)/$B156,0),0)</f>
        <v>3</v>
      </c>
      <c r="AS156" s="46">
        <f>=IFERROR(ROUND((AS19+AS23)/$B156,0),0)</f>
        <v>3</v>
      </c>
      <c r="AT156" s="46">
        <f>=IFERROR(ROUND((AT19+AT23)/$B156,0),0)</f>
        <v>3</v>
      </c>
      <c r="AU156" s="46">
        <f>=IFERROR(ROUND((AU19+AU23)/$B156,0),0)</f>
        <v>3</v>
      </c>
      <c r="AV156" s="46">
        <f>=IFERROR(ROUND((AV19+AV23)/$B156,0),0)</f>
        <v>2</v>
      </c>
      <c r="AW156" s="46">
        <f>=IFERROR(ROUND((AW19+AW23)/$B156,0),0)</f>
        <v>3</v>
      </c>
      <c r="AX156" s="46">
        <f>=IFERROR(ROUND((AX19+AX23)/$B156,0),0)</f>
        <v>3</v>
      </c>
      <c r="AY156" s="46">
        <f>=IFERROR(ROUND((AY19+AY23)/$B156,0),0)</f>
        <v>2</v>
      </c>
      <c r="AZ156" s="46">
        <f>=IFERROR(ROUND((AZ19+AZ23)/$B156,0),0)</f>
        <v>2</v>
      </c>
      <c r="BA156" s="46">
        <f>=IFERROR(ROUND((BA19+BA23)/$B156,0),0)</f>
        <v>3</v>
      </c>
      <c r="BB156" s="46">
        <f>=IFERROR(ROUND((BB19+BB23)/$B156,0),0)</f>
        <v>3</v>
      </c>
      <c r="BC156" s="73">
        <f>=IFERROR(ROUND((BC19+BC23)/$B156,0),0)</f>
        <v>3</v>
      </c>
      <c r="BD156" s="46">
        <f>=IFERROR(ROUND((BD19+BD23)/$B156,0),0)</f>
        <v>2</v>
      </c>
      <c r="BE156" s="46">
        <f>=IFERROR(ROUND((BE19+BE23)/$B156,0),0)</f>
        <v>2</v>
      </c>
      <c r="BF156" s="46">
        <f>=IFERROR(ROUND((BF19+BF23)/$B156,0),0)</f>
        <v>3</v>
      </c>
      <c r="BG156" s="46">
        <f>=IFERROR(ROUND((BG19+BG23)/$B156,0),0)</f>
        <v>3</v>
      </c>
      <c r="BH156" s="46">
        <f>=IFERROR(ROUND((BH19+BH23)/$B156,0),0)</f>
        <v>3</v>
      </c>
      <c r="BI156" s="46">
        <f>=IFERROR(ROUND((BI19+BI23)/$B156,0),0)</f>
        <v>4</v>
      </c>
      <c r="BJ156" s="46">
        <f>=IFERROR(ROUND((BJ19+BJ23)/$B156,0),0)</f>
        <v>4</v>
      </c>
      <c r="BK156" s="46">
        <f>=IFERROR(ROUND((BK19+BK23)/$B156,0),0)</f>
        <v>4</v>
      </c>
      <c r="BL156" s="46">
        <f>=IFERROR(ROUND((BL19+BL23)/$B156,0),0)</f>
        <v>4</v>
      </c>
      <c r="BM156" s="46">
        <f>=IFERROR(ROUND((BM19+BM23)/$B156,0),0)</f>
        <v>3</v>
      </c>
      <c r="BN156" s="46">
        <f>=IFERROR(ROUND((BN19+BN23)/$B156,0),0)</f>
        <v>1</v>
      </c>
      <c r="BO156" s="46">
        <f>=IFERROR(ROUND((BO19+BO23)/$B156,0),0)</f>
        <v>1</v>
      </c>
      <c r="BP156" s="46">
        <f>=IFERROR(ROUND((BP19+BP23)/$B156,0),0)</f>
        <v>1</v>
      </c>
      <c r="BQ156" s="46">
        <f>=IFERROR(ROUND((BQ19+BQ23)/$B156,0),0)</f>
        <v>1</v>
      </c>
      <c r="BR156" s="46">
        <f>=IFERROR(ROUND((BR19+BR23)/$B156,0),0)</f>
        <v>1</v>
      </c>
      <c r="BS156" s="46">
        <f>=IFERROR(ROUND((BS19+BS23)/$B156,0),0)</f>
        <v>1</v>
      </c>
      <c r="BT156" s="46">
        <f>=IFERROR(ROUND((BT19+BT23)/$B156,0),0)</f>
        <v>1</v>
      </c>
      <c r="BU156" s="46">
        <f>=IFERROR(ROUND((BU19+BU23)/$B156,0),0)</f>
        <v>1</v>
      </c>
      <c r="BV156" s="46">
        <f>=IFERROR(ROUND((BV19+BV23)/$B156,0),0)</f>
        <v>1</v>
      </c>
      <c r="BW156" s="46">
        <f>=IFERROR(ROUND((BW19+BW23)/$B156,0),0)</f>
        <v>1</v>
      </c>
      <c r="BX156" s="46">
        <f>=IFERROR(ROUND((BX19+BX23)/$B156,0),0)</f>
        <v>1</v>
      </c>
      <c r="BY156" s="46">
        <f>=IFERROR(ROUND((BY19+BY23)/$B156,0),0)</f>
        <v>1</v>
      </c>
      <c r="BZ156" s="46">
        <f>=IFERROR(ROUND((BZ19+BZ23)/$B156,0),0)</f>
        <v>1</v>
      </c>
      <c r="CA156" s="46">
        <f>=IFERROR(ROUND((CA19+CA23)/$B156,0),0)</f>
        <v>1</v>
      </c>
      <c r="CB156" s="46">
        <f>=IFERROR(ROUND((CB19+CB23)/$B156,0),0)</f>
        <v>1</v>
      </c>
      <c r="CC156" s="46">
        <f>=IFERROR(ROUND((CC19+CC23)/$B156,0),0)</f>
        <v>1</v>
      </c>
      <c r="CD156" s="46">
        <f>=IFERROR(ROUND((CD19+CD23)/$B156,0),0)</f>
        <v>1</v>
      </c>
      <c r="CE156" s="46">
        <f>=IFERROR(ROUND((CE19+CE23)/$B156,0),0)</f>
        <v>1</v>
      </c>
      <c r="CF156" s="46">
        <f>=IFERROR(ROUND((CF19+CF23)/$B156,0),0)</f>
        <v>1</v>
      </c>
      <c r="CG156" s="46">
        <f>=IFERROR(ROUND((CG19+CG23)/$B156,0),0)</f>
        <v>1</v>
      </c>
      <c r="CH156" s="46">
        <f>=IFERROR(ROUND((CH19+CH23)/$B156,0),0)</f>
        <v>1</v>
      </c>
      <c r="CI156" s="46">
        <f>=IFERROR(ROUND((CI19+CI23)/$B156,0),0)</f>
        <v>1</v>
      </c>
      <c r="CJ156" s="73">
        <f>=IFERROR(ROUND((CJ19+CJ23)/$B156,0),0)</f>
        <v>1</v>
      </c>
      <c r="CK156" s="46">
        <f>=IFERROR(ROUND((CK19+CK23)/$B156,0),0)</f>
        <v>1</v>
      </c>
      <c r="CL156" s="73">
        <f>=IFERROR(ROUND((CL19+CL23)/$B156,0),0)</f>
        <v>1</v>
      </c>
      <c r="CM156" s="46">
        <f>=IFERROR(ROUND((CM19+CM23)/$B156,0),0)</f>
        <v>1</v>
      </c>
      <c r="CN156" s="46">
        <f>=IFERROR(ROUND((CN19+CN23)/$B156,0),0)</f>
        <v>1</v>
      </c>
      <c r="CO156" s="46">
        <f>=IFERROR(ROUND((CO19+CO23)/$B156,0),0)</f>
        <v>1</v>
      </c>
      <c r="CP156" s="46">
        <f>=IFERROR(ROUND((CP19+CP23)/$B156,0),0)</f>
        <v>1</v>
      </c>
      <c r="CQ156" s="46">
        <f>=IFERROR(ROUND((CQ19+CQ23)/$B156,0),0)</f>
        <v>1</v>
      </c>
      <c r="CR156" s="46">
        <f>=IFERROR(ROUND((CR19+CR23)/$B156,0),0)</f>
        <v>1</v>
      </c>
      <c r="CS156" s="46">
        <f>=IFERROR(ROUND((CS19+CS23)/$B156,0),0)</f>
        <v>1</v>
      </c>
      <c r="CT156" s="46">
        <f>=IFERROR(ROUND((CT19+CT23)/$B156,0),0)</f>
        <v>1</v>
      </c>
      <c r="CU156" s="46">
        <f>=IFERROR(ROUND((CU19+CU23)/$B156,0),0)</f>
        <v>1</v>
      </c>
      <c r="CV156" s="46">
        <f>=IFERROR(ROUND((CV19+CV23)/$B156,0),0)</f>
        <v>1</v>
      </c>
      <c r="CW156" s="46">
        <f>=IFERROR(ROUND((CW19+CW23)/$B156,0),0)</f>
        <v>1</v>
      </c>
      <c r="CX156" s="46">
        <f>=IFERROR(ROUND((CX19+CX23)/$B156,0),0)</f>
        <v>1</v>
      </c>
      <c r="CY156" s="46">
        <f>=IFERROR(ROUND((CY19+CY23)/$B156,0),0)</f>
        <v>1</v>
      </c>
      <c r="CZ156" s="46">
        <f>=IFERROR(ROUND((CZ19+CZ23)/$B156,0),0)</f>
        <v>1</v>
      </c>
      <c r="DA156" s="46">
        <f>=IFERROR(ROUND((DA19+DA23)/$B156,0),0)</f>
        <v>1</v>
      </c>
      <c r="DB156" s="46">
        <f>=IFERROR(ROUND((DB19+DB23)/$B156,0),0)</f>
        <v>1</v>
      </c>
    </row>
    <row r="157" spans="1:106" x14ac:dyDescent="0.25">
      <c r="A157" s="17" t="s">
        <v>359</v>
      </c>
      <c r="B157" s="17">
        <v>30</v>
      </c>
      <c r="C157" s="46">
        <f>=IFERROR(ROUND(C19/$B157,0),0)</f>
        <v>4</v>
      </c>
      <c r="D157" s="46">
        <f>=IFERROR(ROUND(D19/$B157,0),0)</f>
        <v>3</v>
      </c>
      <c r="E157" s="46">
        <f>=IFERROR(ROUND(E19/$B157,0),0)</f>
        <v>3</v>
      </c>
      <c r="F157" s="46">
        <f>=IFERROR(ROUND(F19/$B157,0),0)</f>
        <v>4</v>
      </c>
      <c r="G157" s="46">
        <f>=IFERROR(ROUND(G19/$B157,0),0)</f>
        <v>4</v>
      </c>
      <c r="H157" s="46">
        <f>=IFERROR(ROUND(H19/$B157,0),0)</f>
        <v>4</v>
      </c>
      <c r="I157" s="46">
        <f>=IFERROR(ROUND(I19/$B157,0),0)</f>
        <v>4</v>
      </c>
      <c r="J157" s="46">
        <f>=IFERROR(ROUND(J19/$B157,0),0)</f>
        <v>4</v>
      </c>
      <c r="K157" s="46">
        <f>=IFERROR(ROUND(K19/$B157,0),0)</f>
        <v>4</v>
      </c>
      <c r="L157" s="46">
        <f>=IFERROR(ROUND(L19/$B157,0),0)</f>
        <v>4</v>
      </c>
      <c r="M157" s="46">
        <f>=IFERROR(ROUND(M19/$B157,0),0)</f>
        <v>4</v>
      </c>
      <c r="N157" s="46">
        <f>=IFERROR(ROUND(N19/$B157,0),0)</f>
        <v>4</v>
      </c>
      <c r="O157" s="46">
        <f>=IFERROR(ROUND(O19/$B157,0),0)</f>
        <v>4</v>
      </c>
      <c r="P157" s="46">
        <f>=IFERROR(ROUND(P19/$B157,0),0)</f>
        <v>4</v>
      </c>
      <c r="Q157" s="46">
        <f>=IFERROR(ROUND(Q19/$B157,0),0)</f>
        <v>4</v>
      </c>
      <c r="R157" s="46">
        <f>=IFERROR(ROUND(R19/$B157,0),0)</f>
        <v>4</v>
      </c>
      <c r="S157" s="46">
        <f>=IFERROR(ROUND(S19/$B157,0),0)</f>
        <v>4</v>
      </c>
      <c r="T157" s="46">
        <f>=IFERROR(ROUND(T19/$B157,0),0)</f>
        <v>3</v>
      </c>
      <c r="U157" s="46">
        <f>=IFERROR(ROUND(U19/$B157,0),0)</f>
        <v>3</v>
      </c>
      <c r="V157" s="46">
        <f>=IFERROR(ROUND(V19/$B157,0),0)</f>
        <v>3</v>
      </c>
      <c r="W157" s="46">
        <f>=IFERROR(ROUND(W19/$B157,0),0)</f>
        <v>3</v>
      </c>
      <c r="X157" s="46">
        <f>=IFERROR(ROUND(X19/$B157,0),0)</f>
        <v>3</v>
      </c>
      <c r="Y157" s="46">
        <f>=IFERROR(ROUND(Y19/$B157,0),0)</f>
        <v>3</v>
      </c>
      <c r="Z157" s="46">
        <f>=IFERROR(ROUND(Z19/$B157,0),0)</f>
        <v>3</v>
      </c>
      <c r="AA157" s="46">
        <f>=IFERROR(ROUND(AA19/$B157,0),0)</f>
        <v>3</v>
      </c>
      <c r="AB157" s="46">
        <f>=IFERROR(ROUND(AB19/$B157,0),0)</f>
        <v>3</v>
      </c>
      <c r="AC157" s="46">
        <f>=IFERROR(ROUND(AC19/$B157,0),0)</f>
        <v>3</v>
      </c>
      <c r="AD157" s="46">
        <f>=IFERROR(ROUND(AD19/$B157,0),0)</f>
        <v>3</v>
      </c>
      <c r="AE157" s="46">
        <f>=IFERROR(ROUND(AE19/$B157,0),0)</f>
        <v>3</v>
      </c>
      <c r="AF157" s="46">
        <f>=IFERROR(ROUND(AF19/$B157,0),0)</f>
        <v>3</v>
      </c>
      <c r="AG157" s="46">
        <f>=IFERROR(ROUND(AG19/$B157,0),0)</f>
        <v>3</v>
      </c>
      <c r="AH157" s="46">
        <f>=IFERROR(ROUND(AH19/$B157,0),0)</f>
        <v>3</v>
      </c>
      <c r="AI157" s="46">
        <f>=IFERROR(ROUND(AI19/$B157,0),0)</f>
        <v>3</v>
      </c>
      <c r="AJ157" s="46">
        <f>=IFERROR(ROUND(AJ19/$B157,0),0)</f>
        <v>3</v>
      </c>
      <c r="AK157" s="46">
        <f>=IFERROR(ROUND(AK19/$B157,0),0)</f>
        <v>3</v>
      </c>
      <c r="AL157" s="46">
        <f>=IFERROR(ROUND(AL19/$B157,0),0)</f>
        <v>3</v>
      </c>
      <c r="AM157" s="46">
        <f>=IFERROR(ROUND(AM19/$B157,0),0)</f>
        <v>2</v>
      </c>
      <c r="AN157" s="46">
        <f>=IFERROR(ROUND(AN19/$B157,0),0)</f>
        <v>2</v>
      </c>
      <c r="AO157" s="46">
        <f>=IFERROR(ROUND(AO19/$B157,0),0)</f>
        <v>2</v>
      </c>
      <c r="AP157" s="46">
        <f>=IFERROR(ROUND(AP19/$B157,0),0)</f>
        <v>2</v>
      </c>
      <c r="AQ157" s="46">
        <f>=IFERROR(ROUND(AQ19/$B157,0),0)</f>
        <v>3</v>
      </c>
      <c r="AR157" s="46">
        <f>=IFERROR(ROUND(AR19/$B157,0),0)</f>
        <v>3</v>
      </c>
      <c r="AS157" s="46">
        <f>=IFERROR(ROUND(AS19/$B157,0),0)</f>
        <v>3</v>
      </c>
      <c r="AT157" s="46">
        <f>=IFERROR(ROUND(AT19/$B157,0),0)</f>
        <v>3</v>
      </c>
      <c r="AU157" s="46">
        <f>=IFERROR(ROUND(AU19/$B157,0),0)</f>
        <v>3</v>
      </c>
      <c r="AV157" s="46">
        <f>=IFERROR(ROUND(AV19/$B157,0),0)</f>
        <v>2</v>
      </c>
      <c r="AW157" s="46">
        <f>=IFERROR(ROUND(AW19/$B157,0),0)</f>
        <v>2</v>
      </c>
      <c r="AX157" s="46">
        <f>=IFERROR(ROUND(AX19/$B157,0),0)</f>
        <v>2</v>
      </c>
      <c r="AY157" s="46">
        <f>=IFERROR(ROUND(AY19/$B157,0),0)</f>
        <v>2</v>
      </c>
      <c r="AZ157" s="46">
        <f>=IFERROR(ROUND(AZ19/$B157,0),0)</f>
        <v>2</v>
      </c>
      <c r="BA157" s="46">
        <f>=IFERROR(ROUND(BA19/$B157,0),0)</f>
        <v>2</v>
      </c>
      <c r="BB157" s="46">
        <f>=IFERROR(ROUND(BB19/$B157,0),0)</f>
        <v>2</v>
      </c>
      <c r="BC157" s="46">
        <f>=IFERROR(ROUND(BC19/$B157,0),0)</f>
        <v>3</v>
      </c>
      <c r="BD157" s="46">
        <f>=IFERROR(ROUND(BD19/$B157,0),0)</f>
        <v>2</v>
      </c>
      <c r="BE157" s="46">
        <f>=IFERROR(ROUND(BE19/$B157,0),0)</f>
        <v>2</v>
      </c>
      <c r="BF157" s="46">
        <f>=IFERROR(ROUND(BF19/$B157,0),0)</f>
        <v>2</v>
      </c>
      <c r="BG157" s="46">
        <f>=IFERROR(ROUND(BG19/$B157,0),0)</f>
        <v>2</v>
      </c>
      <c r="BH157" s="46">
        <f>=IFERROR(ROUND(BH19/$B157,0),0)</f>
        <v>3</v>
      </c>
      <c r="BI157" s="46">
        <f>=IFERROR(ROUND(BI19/$B157,0),0)</f>
        <v>4</v>
      </c>
      <c r="BJ157" s="46">
        <f>=IFERROR(ROUND(BJ19/$B157,0),0)</f>
        <v>4</v>
      </c>
      <c r="BK157" s="46">
        <f>=IFERROR(ROUND(BK19/$B157,0),0)</f>
        <v>4</v>
      </c>
      <c r="BL157" s="73">
        <f>=IFERROR(ROUND(BL19/$B157,0),0)</f>
        <v>4</v>
      </c>
      <c r="BM157" s="46">
        <f>=IFERROR(ROUND(BM19/$B157,0),0)</f>
        <v>3</v>
      </c>
      <c r="BN157" s="46">
        <f>=IFERROR(ROUND(BN19/$B157,0),0)</f>
        <v>1</v>
      </c>
      <c r="BO157" s="46">
        <f>=IFERROR(ROUND(BO19/$B157,0),0)</f>
        <v>1</v>
      </c>
      <c r="BP157" s="46">
        <f>=IFERROR(ROUND(BP19/$B157,0),0)</f>
        <v>1</v>
      </c>
      <c r="BQ157" s="46">
        <f>=IFERROR(ROUND(BQ19/$B157,0),0)</f>
        <v>1</v>
      </c>
      <c r="BR157" s="46">
        <f>=IFERROR(ROUND(BR19/$B157,0),0)</f>
        <v>1</v>
      </c>
      <c r="BS157" s="46">
        <f>=IFERROR(ROUND(BS19/$B157,0),0)</f>
        <v>1</v>
      </c>
      <c r="BT157" s="46">
        <f>=IFERROR(ROUND(BT19/$B157,0),0)</f>
        <v>1</v>
      </c>
      <c r="BU157" s="46">
        <f>=IFERROR(ROUND(BU19/$B157,0),0)</f>
        <v>1</v>
      </c>
      <c r="BV157" s="46">
        <f>=IFERROR(ROUND(BV19/$B157,0),0)</f>
        <v>1</v>
      </c>
      <c r="BW157" s="46">
        <f>=IFERROR(ROUND(BW19/$B157,0),0)</f>
        <v>1</v>
      </c>
      <c r="BX157" s="46">
        <f>=IFERROR(ROUND(BX19/$B157,0),0)</f>
        <v>1</v>
      </c>
      <c r="BY157" s="73">
        <f>=IFERROR(ROUND(BY19/$B157,0),0)</f>
        <v>1</v>
      </c>
      <c r="BZ157" s="46">
        <f>=IFERROR(ROUND(BZ19/$B157,0),0)</f>
        <v>1</v>
      </c>
      <c r="CA157" s="46">
        <f>=IFERROR(ROUND(CA19/$B157,0),0)</f>
        <v>1</v>
      </c>
      <c r="CB157" s="46">
        <f>=IFERROR(ROUND(CB19/$B157,0),0)</f>
        <v>1</v>
      </c>
      <c r="CC157" s="46">
        <f>=IFERROR(ROUND(CC19/$B157,0),0)</f>
        <v>1</v>
      </c>
      <c r="CD157" s="46">
        <f>=IFERROR(ROUND(CD19/$B157,0),0)</f>
        <v>1</v>
      </c>
      <c r="CE157" s="46">
        <f>=IFERROR(ROUND(CE19/$B157,0),0)</f>
        <v>1</v>
      </c>
      <c r="CF157" s="46">
        <f>=IFERROR(ROUND(CF19/$B157,0),0)</f>
        <v>1</v>
      </c>
      <c r="CG157" s="46">
        <f>=IFERROR(ROUND(CG19/$B157,0),0)</f>
        <v>1</v>
      </c>
      <c r="CH157" s="46">
        <f>=IFERROR(ROUND(CH19/$B157,0),0)</f>
        <v>1</v>
      </c>
      <c r="CI157" s="46">
        <f>=IFERROR(ROUND(CI19/$B157,0),0)</f>
        <v>1</v>
      </c>
      <c r="CJ157" s="46">
        <f>=IFERROR(ROUND(CJ19/$B157,0),0)</f>
        <v>1</v>
      </c>
      <c r="CK157" s="46">
        <f>=IFERROR(ROUND(CK19/$B157,0),0)</f>
        <v>1</v>
      </c>
      <c r="CL157" s="46">
        <f>=IFERROR(ROUND(CL19/$B157,0),0)</f>
        <v>1</v>
      </c>
      <c r="CM157" s="46">
        <f>=IFERROR(ROUND(CM19/$B157,0),0)</f>
        <v>1</v>
      </c>
      <c r="CN157" s="46">
        <f>=IFERROR(ROUND(CN19/$B157,0),0)</f>
        <v>1</v>
      </c>
      <c r="CO157" s="46">
        <f>=IFERROR(ROUND(CO19/$B157,0),0)</f>
        <v>1</v>
      </c>
      <c r="CP157" s="46">
        <f>=IFERROR(ROUND(CP19/$B157,0),0)</f>
        <v>1</v>
      </c>
      <c r="CQ157" s="46">
        <f>=IFERROR(ROUND(CQ19/$B157,0),0)</f>
        <v>1</v>
      </c>
      <c r="CR157" s="46">
        <f>=IFERROR(ROUND(CR19/$B157,0),0)</f>
        <v>1</v>
      </c>
      <c r="CS157" s="46">
        <f>=IFERROR(ROUND(CS19/$B157,0),0)</f>
        <v>1</v>
      </c>
      <c r="CT157" s="73">
        <f>=IFERROR(ROUND(CT19/$B157,0),0)</f>
        <v>1</v>
      </c>
      <c r="CU157" s="46">
        <f>=IFERROR(ROUND(CU19/$B157,0),0)</f>
        <v>1</v>
      </c>
      <c r="CV157" s="46">
        <f>=IFERROR(ROUND(CV19/$B157,0),0)</f>
        <v>1</v>
      </c>
      <c r="CW157" s="73">
        <f>=IFERROR(ROUND(CW19/$B157,0),0)</f>
        <v>1</v>
      </c>
      <c r="CX157" s="73">
        <f>=IFERROR(ROUND(CX19/$B157,0),0)</f>
        <v>1</v>
      </c>
      <c r="CY157" s="46">
        <f>=IFERROR(ROUND(CY19/$B157,0),0)</f>
        <v>1</v>
      </c>
      <c r="CZ157" s="46">
        <f>=IFERROR(ROUND(CZ19/$B157,0),0)</f>
        <v>1</v>
      </c>
      <c r="DA157" s="46">
        <f>=IFERROR(ROUND(DA19/$B157,0),0)</f>
        <v>1</v>
      </c>
      <c r="DB157" s="46">
        <f>=IFERROR(ROUND(DB19/$B157,0),0)</f>
        <v>1</v>
      </c>
    </row>
    <row r="158" spans="1:106" x14ac:dyDescent="0.25">
      <c r="A158" s="17" t="s">
        <v>360</v>
      </c>
      <c r="B158" s="17">
        <v>100</v>
      </c>
      <c r="C158" s="46">
        <f>=IFERROR(ROUND(C10/$B158,0),0)</f>
        <v>1</v>
      </c>
      <c r="D158" s="46">
        <f>=IFERROR(ROUND(D10/$B158,0),0)</f>
        <v>2</v>
      </c>
      <c r="E158" s="46">
        <f>=IFERROR(ROUND(E10/$B158,0),0)</f>
        <v>2</v>
      </c>
      <c r="F158" s="46">
        <f>=IFERROR(ROUND(F10/$B158,0),0)</f>
        <v>2</v>
      </c>
      <c r="G158" s="46">
        <f>=IFERROR(ROUND(G10/$B158,0),0)</f>
        <v>2</v>
      </c>
      <c r="H158" s="46">
        <f>=IFERROR(ROUND(H10/$B158,0),0)</f>
        <v>2</v>
      </c>
      <c r="I158" s="46">
        <f>=IFERROR(ROUND(I10/$B158,0),0)</f>
        <v>2</v>
      </c>
      <c r="J158" s="46">
        <f>=IFERROR(ROUND(J10/$B158,0),0)</f>
        <v>2</v>
      </c>
      <c r="K158" s="46">
        <f>=IFERROR(ROUND(K10/$B158,0),0)</f>
        <v>2</v>
      </c>
      <c r="L158" s="46">
        <f>=IFERROR(ROUND(L10/$B158,0),0)</f>
        <v>2</v>
      </c>
      <c r="M158" s="46">
        <f>=IFERROR(ROUND(M10/$B158,0),0)</f>
        <v>1</v>
      </c>
      <c r="N158" s="46">
        <f>=IFERROR(ROUND(N10/$B158,0),0)</f>
        <v>1</v>
      </c>
      <c r="O158" s="46">
        <f>=IFERROR(ROUND(O10/$B158,0),0)</f>
        <v>1</v>
      </c>
      <c r="P158" s="46">
        <f>=IFERROR(ROUND(P10/$B158,0),0)</f>
        <v>1</v>
      </c>
      <c r="Q158" s="46">
        <f>=IFERROR(ROUND(Q10/$B158,0),0)</f>
        <v>1</v>
      </c>
      <c r="R158" s="46">
        <f>=IFERROR(ROUND(R10/$B158,0),0)</f>
        <v>1</v>
      </c>
      <c r="S158" s="46">
        <f>=IFERROR(ROUND(S10/$B158,0),0)</f>
        <v>1</v>
      </c>
      <c r="T158" s="46">
        <f>=IFERROR(ROUND(T10/$B158,0),0)</f>
        <v>1</v>
      </c>
      <c r="U158" s="46">
        <f>=IFERROR(ROUND(U10/$B158,0),0)</f>
        <v>1</v>
      </c>
      <c r="V158" s="46">
        <f>=IFERROR(ROUND(V10/$B158,0),0)</f>
        <v>1</v>
      </c>
      <c r="W158" s="46">
        <f>=IFERROR(ROUND(W10/$B158,0),0)</f>
        <v>1</v>
      </c>
      <c r="X158" s="46">
        <f>=IFERROR(ROUND(X10/$B158,0),0)</f>
        <v>1</v>
      </c>
      <c r="Y158" s="46">
        <f>=IFERROR(ROUND(Y10/$B158,0),0)</f>
        <v>1</v>
      </c>
      <c r="Z158" s="46">
        <f>=IFERROR(ROUND(Z10/$B158,0),0)</f>
        <v>1</v>
      </c>
      <c r="AA158" s="46">
        <f>=IFERROR(ROUND(AA10/$B158,0),0)</f>
        <v>1</v>
      </c>
      <c r="AB158" s="46">
        <f>=IFERROR(ROUND(AB10/$B158,0),0)</f>
        <v>1</v>
      </c>
      <c r="AC158" s="46">
        <f>=IFERROR(ROUND(AC10/$B158,0),0)</f>
        <v>1</v>
      </c>
      <c r="AD158" s="46">
        <f>=IFERROR(ROUND(AD10/$B158,0),0)</f>
        <v>1</v>
      </c>
      <c r="AE158" s="46">
        <f>=IFERROR(ROUND(AE10/$B158,0),0)</f>
        <v>1</v>
      </c>
      <c r="AF158" s="46">
        <f>=IFERROR(ROUND(AF10/$B158,0),0)</f>
        <v>1</v>
      </c>
      <c r="AG158" s="46">
        <f>=IFERROR(ROUND(AG10/$B158,0),0)</f>
        <v>1</v>
      </c>
      <c r="AH158" s="46">
        <f>=IFERROR(ROUND(AH10/$B158,0),0)</f>
        <v>1</v>
      </c>
      <c r="AI158" s="46">
        <f>=IFERROR(ROUND(AI10/$B158,0),0)</f>
        <v>1</v>
      </c>
      <c r="AJ158" s="46">
        <f>=IFERROR(ROUND(AJ10/$B158,0),0)</f>
        <v>1</v>
      </c>
      <c r="AK158" s="46">
        <f>=IFERROR(ROUND(AK10/$B158,0),0)</f>
        <v>1</v>
      </c>
      <c r="AL158" s="46">
        <f>=IFERROR(ROUND(AL10/$B158,0),0)</f>
        <v>1</v>
      </c>
      <c r="AM158" s="46">
        <f>=IFERROR(ROUND(AM10/$B158,0),0)</f>
        <v>1</v>
      </c>
      <c r="AN158" s="46">
        <f>=IFERROR(ROUND(AN10/$B158,0),0)</f>
        <v>1</v>
      </c>
      <c r="AO158" s="46">
        <f>=IFERROR(ROUND(AO10/$B158,0),0)</f>
        <v>1</v>
      </c>
      <c r="AP158" s="46">
        <f>=IFERROR(ROUND(AP10/$B158,0),0)</f>
        <v>1</v>
      </c>
      <c r="AQ158" s="46">
        <f>=IFERROR(ROUND(AQ10/$B158,0),0)</f>
        <v>1</v>
      </c>
      <c r="AR158" s="46">
        <f>=IFERROR(ROUND(AR10/$B158,0),0)</f>
        <v>1</v>
      </c>
      <c r="AS158" s="46">
        <f>=IFERROR(ROUND(AS10/$B158,0),0)</f>
        <v>1</v>
      </c>
      <c r="AT158" s="46">
        <f>=IFERROR(ROUND(AT10/$B158,0),0)</f>
        <v>1</v>
      </c>
      <c r="AU158" s="46">
        <f>=IFERROR(ROUND(AU10/$B158,0),0)</f>
        <v>2</v>
      </c>
      <c r="AV158" s="46">
        <f>=IFERROR(ROUND(AV10/$B158,0),0)</f>
        <v>1</v>
      </c>
      <c r="AW158" s="46">
        <f>=IFERROR(ROUND(AW10/$B158,0),0)</f>
        <v>1</v>
      </c>
      <c r="AX158" s="46">
        <f>=IFERROR(ROUND(AX10/$B158,0),0)</f>
        <v>1</v>
      </c>
      <c r="AY158" s="46">
        <f>=IFERROR(ROUND(AY10/$B158,0),0)</f>
        <v>1</v>
      </c>
      <c r="AZ158" s="46">
        <f>=IFERROR(ROUND(AZ10/$B158,0),0)</f>
        <v>1</v>
      </c>
      <c r="BA158" s="46">
        <f>=IFERROR(ROUND(BA10/$B158,0),0)</f>
        <v>1</v>
      </c>
      <c r="BB158" s="46">
        <f>=IFERROR(ROUND(BB10/$B158,0),0)</f>
        <v>1</v>
      </c>
      <c r="BC158" s="46">
        <f>=IFERROR(ROUND(BC10/$B158,0),0)</f>
        <v>1</v>
      </c>
      <c r="BD158" s="46">
        <f>=IFERROR(ROUND(BD10/$B158,0),0)</f>
        <v>1</v>
      </c>
      <c r="BE158" s="46">
        <f>=IFERROR(ROUND(BE10/$B158,0),0)</f>
        <v>1</v>
      </c>
      <c r="BF158" s="46">
        <f>=IFERROR(ROUND(BF10/$B158,0),0)</f>
        <v>1</v>
      </c>
      <c r="BG158" s="46">
        <f>=IFERROR(ROUND(BG10/$B158,0),0)</f>
        <v>1</v>
      </c>
      <c r="BH158" s="73">
        <f>=IFERROR(ROUND(BH10/$B158,0),0)</f>
        <v>1</v>
      </c>
      <c r="BI158" s="46">
        <f>=IFERROR(ROUND(BI10/$B158,0),0)</f>
        <v>1</v>
      </c>
      <c r="BJ158" s="46">
        <f>=IFERROR(ROUND(BJ10/$B158,0),0)</f>
        <v>1</v>
      </c>
      <c r="BK158" s="46">
        <f>=IFERROR(ROUND(BK10/$B158,0),0)</f>
        <v>1</v>
      </c>
      <c r="BL158" s="73">
        <f>=IFERROR(ROUND(BL10/$B158,0),0)</f>
        <v>1</v>
      </c>
      <c r="BM158" s="46">
        <f>=IFERROR(ROUND(BM10/$B158,0),0)</f>
        <v>1</v>
      </c>
      <c r="BN158" s="46">
        <f>=IFERROR(ROUND(BN10/$B158,0),0)</f>
        <v>0</v>
      </c>
      <c r="BO158" s="73">
        <f>=IFERROR(ROUND(BO10/$B158,0),0)</f>
        <v>0</v>
      </c>
      <c r="BP158" s="46">
        <f>=IFERROR(ROUND(BP10/$B158,0),0)</f>
        <v>0</v>
      </c>
      <c r="BQ158" s="46">
        <f>=IFERROR(ROUND(BQ10/$B158,0),0)</f>
        <v>0</v>
      </c>
      <c r="BR158" s="46">
        <f>=IFERROR(ROUND(BR10/$B158,0),0)</f>
        <v>0</v>
      </c>
      <c r="BS158" s="46">
        <f>=IFERROR(ROUND(BS10/$B158,0),0)</f>
        <v>0</v>
      </c>
      <c r="BT158" s="46">
        <f>=IFERROR(ROUND(BT10/$B158,0),0)</f>
        <v>0</v>
      </c>
      <c r="BU158" s="46">
        <f>=IFERROR(ROUND(BU10/$B158,0),0)</f>
        <v>0</v>
      </c>
      <c r="BV158" s="46">
        <f>=IFERROR(ROUND(BV10/$B158,0),0)</f>
        <v>0</v>
      </c>
      <c r="BW158" s="46">
        <f>=IFERROR(ROUND(BW10/$B158,0),0)</f>
        <v>0</v>
      </c>
      <c r="BX158" s="46">
        <f>=IFERROR(ROUND(BX10/$B158,0),0)</f>
        <v>0</v>
      </c>
      <c r="BY158" s="46">
        <f>=IFERROR(ROUND(BY10/$B158,0),0)</f>
        <v>0</v>
      </c>
      <c r="BZ158" s="46">
        <f>=IFERROR(ROUND(BZ10/$B158,0),0)</f>
        <v>0</v>
      </c>
      <c r="CA158" s="46">
        <f>=IFERROR(ROUND(CA10/$B158,0),0)</f>
        <v>0</v>
      </c>
      <c r="CB158" s="46">
        <f>=IFERROR(ROUND(CB10/$B158,0),0)</f>
        <v>0</v>
      </c>
      <c r="CC158" s="46">
        <f>=IFERROR(ROUND(CC10/$B158,0),0)</f>
        <v>0</v>
      </c>
      <c r="CD158" s="73">
        <f>=IFERROR(ROUND(CD10/$B158,0),0)</f>
        <v>0</v>
      </c>
      <c r="CE158" s="73">
        <f>=IFERROR(ROUND(CE10/$B158,0),0)</f>
        <v>0</v>
      </c>
      <c r="CF158" s="46">
        <f>=IFERROR(ROUND(CF10/$B158,0),0)</f>
        <v>0</v>
      </c>
      <c r="CG158" s="46">
        <f>=IFERROR(ROUND(CG10/$B158,0),0)</f>
        <v>0</v>
      </c>
      <c r="CH158" s="46">
        <f>=IFERROR(ROUND(CH10/$B158,0),0)</f>
        <v>0</v>
      </c>
      <c r="CI158" s="46">
        <f>=IFERROR(ROUND(CI10/$B158,0),0)</f>
        <v>0</v>
      </c>
      <c r="CJ158" s="46">
        <f>=IFERROR(ROUND(CJ10/$B158,0),0)</f>
        <v>0</v>
      </c>
      <c r="CK158" s="46">
        <f>=IFERROR(ROUND(CK10/$B158,0),0)</f>
        <v>0</v>
      </c>
      <c r="CL158" s="46">
        <f>=IFERROR(ROUND(CL10/$B158,0),0)</f>
        <v>0</v>
      </c>
      <c r="CM158" s="46">
        <f>=IFERROR(ROUND(CM10/$B158,0),0)</f>
        <v>0</v>
      </c>
      <c r="CN158" s="46">
        <f>=IFERROR(ROUND(CN10/$B158,0),0)</f>
        <v>0</v>
      </c>
      <c r="CO158" s="46">
        <f>=IFERROR(ROUND(CO10/$B158,0),0)</f>
        <v>0</v>
      </c>
      <c r="CP158" s="46">
        <f>=IFERROR(ROUND(CP10/$B158,0),0)</f>
        <v>0</v>
      </c>
      <c r="CQ158" s="46">
        <f>=IFERROR(ROUND(CQ10/$B158,0),0)</f>
        <v>0</v>
      </c>
      <c r="CR158" s="46">
        <f>=IFERROR(ROUND(CR10/$B158,0),0)</f>
        <v>0</v>
      </c>
      <c r="CS158" s="46">
        <f>=IFERROR(ROUND(CS10/$B158,0),0)</f>
        <v>0</v>
      </c>
      <c r="CT158" s="46">
        <f>=IFERROR(ROUND(CT10/$B158,0),0)</f>
        <v>0</v>
      </c>
      <c r="CU158" s="46">
        <f>=IFERROR(ROUND(CU10/$B158,0),0)</f>
        <v>0</v>
      </c>
      <c r="CV158" s="46">
        <f>=IFERROR(ROUND(CV10/$B158,0),0)</f>
        <v>0</v>
      </c>
      <c r="CW158" s="73">
        <f>=IFERROR(ROUND(CW10/$B158,0),0)</f>
        <v>0</v>
      </c>
      <c r="CX158" s="46">
        <f>=IFERROR(ROUND(CX10/$B158,0),0)</f>
        <v>0</v>
      </c>
      <c r="CY158" s="46">
        <f>=IFERROR(ROUND(CY10/$B158,0),0)</f>
        <v>0</v>
      </c>
      <c r="CZ158" s="46">
        <f>=IFERROR(ROUND(CZ10/$B158,0),0)</f>
        <v>0</v>
      </c>
      <c r="DA158" s="46">
        <f>=IFERROR(ROUND(DA10/$B158,0),0)</f>
        <v>0</v>
      </c>
      <c r="DB158" s="46">
        <f>=IFERROR(ROUND(DB10/$B158,0),0)</f>
        <v>0</v>
      </c>
    </row>
    <row r="159" spans="1:106" x14ac:dyDescent="0.25">
      <c r="A159" s="17" t="s">
        <v>361</v>
      </c>
      <c r="B159" s="17">
        <v>5</v>
      </c>
      <c r="C159" s="46">
        <f>=IFERROR(ROUND((C21+C22)/$B159,0),0)</f>
        <v>0</v>
      </c>
      <c r="D159" s="46">
        <f>=IFERROR(ROUND((D21+D22)/$B159,0),0)</f>
        <v>0</v>
      </c>
      <c r="E159" s="46">
        <f>=IFERROR(ROUND((E21+E22)/$B159,0),0)</f>
        <v>1</v>
      </c>
      <c r="F159" s="46">
        <f>=IFERROR(ROUND((F21+F22)/$B159,0),0)</f>
        <v>0</v>
      </c>
      <c r="G159" s="46">
        <f>=IFERROR(ROUND((G21+G22)/$B159,0),0)</f>
        <v>0</v>
      </c>
      <c r="H159" s="46">
        <f>=IFERROR(ROUND((H21+H22)/$B159,0),0)</f>
        <v>0</v>
      </c>
      <c r="I159" s="46">
        <f>=IFERROR(ROUND((I21+I22)/$B159,0),0)</f>
        <v>0</v>
      </c>
      <c r="J159" s="46">
        <f>=IFERROR(ROUND((J21+J22)/$B159,0),0)</f>
        <v>0</v>
      </c>
      <c r="K159" s="46">
        <f>=IFERROR(ROUND((K21+K22)/$B159,0),0)</f>
        <v>0</v>
      </c>
      <c r="L159" s="46">
        <f>=IFERROR(ROUND((L21+L22)/$B159,0),0)</f>
        <v>0</v>
      </c>
      <c r="M159" s="46">
        <f>=IFERROR(ROUND((M21+M22)/$B159,0),0)</f>
        <v>0</v>
      </c>
      <c r="N159" s="46">
        <f>=IFERROR(ROUND((N21+N22)/$B159,0),0)</f>
        <v>0</v>
      </c>
      <c r="O159" s="46">
        <f>=IFERROR(ROUND((O21+O22)/$B159,0),0)</f>
        <v>0</v>
      </c>
      <c r="P159" s="46">
        <f>=IFERROR(ROUND((P21+P22)/$B159,0),0)</f>
        <v>0</v>
      </c>
      <c r="Q159" s="46">
        <f>=IFERROR(ROUND((Q21+Q22)/$B159,0),0)</f>
        <v>0</v>
      </c>
      <c r="R159" s="46">
        <f>=IFERROR(ROUND((R21+R22)/$B159,0),0)</f>
        <v>0</v>
      </c>
      <c r="S159" s="46">
        <f>=IFERROR(ROUND((S21+S22)/$B159,0),0)</f>
        <v>0</v>
      </c>
      <c r="T159" s="46">
        <f>=IFERROR(ROUND((T21+T22)/$B159,0),0)</f>
        <v>0</v>
      </c>
      <c r="U159" s="46">
        <f>=IFERROR(ROUND((U21+U22)/$B159,0),0)</f>
        <v>0</v>
      </c>
      <c r="V159" s="46">
        <f>=IFERROR(ROUND((V21+V22)/$B159,0),0)</f>
        <v>0</v>
      </c>
      <c r="W159" s="46">
        <f>=IFERROR(ROUND((W21+W22)/$B159,0),0)</f>
        <v>0</v>
      </c>
      <c r="X159" s="46">
        <f>=IFERROR(ROUND((X21+X22)/$B159,0),0)</f>
        <v>0</v>
      </c>
      <c r="Y159" s="46">
        <f>=IFERROR(ROUND((Y21+Y22)/$B159,0),0)</f>
        <v>0</v>
      </c>
      <c r="Z159" s="46">
        <f>=IFERROR(ROUND((Z21+Z22)/$B159,0),0)</f>
        <v>0</v>
      </c>
      <c r="AA159" s="46">
        <f>=IFERROR(ROUND((AA21+AA22)/$B159,0),0)</f>
        <v>0</v>
      </c>
      <c r="AB159" s="46">
        <f>=IFERROR(ROUND((AB21+AB22)/$B159,0),0)</f>
        <v>0</v>
      </c>
      <c r="AC159" s="46">
        <f>=IFERROR(ROUND((AC21+AC22)/$B159,0),0)</f>
        <v>0</v>
      </c>
      <c r="AD159" s="46">
        <f>=IFERROR(ROUND((AD21+AD22)/$B159,0),0)</f>
        <v>0</v>
      </c>
      <c r="AE159" s="46">
        <f>=IFERROR(ROUND((AE21+AE22)/$B159,0),0)</f>
        <v>0</v>
      </c>
      <c r="AF159" s="46">
        <f>=IFERROR(ROUND((AF21+AF22)/$B159,0),0)</f>
        <v>0</v>
      </c>
      <c r="AG159" s="46">
        <f>=IFERROR(ROUND((AG21+AG22)/$B159,0),0)</f>
        <v>0</v>
      </c>
      <c r="AH159" s="46">
        <f>=IFERROR(ROUND((AH21+AH22)/$B159,0),0)</f>
        <v>0</v>
      </c>
      <c r="AI159" s="46">
        <f>=IFERROR(ROUND((AI21+AI22)/$B159,0),0)</f>
        <v>0</v>
      </c>
      <c r="AJ159" s="46">
        <f>=IFERROR(ROUND((AJ21+AJ22)/$B159,0),0)</f>
        <v>0</v>
      </c>
      <c r="AK159" s="46">
        <f>=IFERROR(ROUND((AK21+AK22)/$B159,0),0)</f>
        <v>0</v>
      </c>
      <c r="AL159" s="46">
        <f>=IFERROR(ROUND((AL21+AL22)/$B159,0),0)</f>
        <v>0</v>
      </c>
      <c r="AM159" s="46">
        <f>=IFERROR(ROUND((AM21+AM22)/$B159,0),0)</f>
        <v>0</v>
      </c>
      <c r="AN159" s="46">
        <f>=IFERROR(ROUND((AN21+AN22)/$B159,0),0)</f>
        <v>1</v>
      </c>
      <c r="AO159" s="46">
        <f>=IFERROR(ROUND((AO21+AO22)/$B159,0),0)</f>
        <v>0</v>
      </c>
      <c r="AP159" s="46">
        <f>=IFERROR(ROUND((AP21+AP22)/$B159,0),0)</f>
        <v>0</v>
      </c>
      <c r="AQ159" s="46">
        <f>=IFERROR(ROUND((AQ21+AQ22)/$B159,0),0)</f>
        <v>0</v>
      </c>
      <c r="AR159" s="46">
        <f>=IFERROR(ROUND((AR21+AR22)/$B159,0),0)</f>
        <v>0</v>
      </c>
      <c r="AS159" s="46">
        <f>=IFERROR(ROUND((AS21+AS22)/$B159,0),0)</f>
        <v>0</v>
      </c>
      <c r="AT159" s="46">
        <f>=IFERROR(ROUND((AT21+AT22)/$B159,0),0)</f>
        <v>0</v>
      </c>
      <c r="AU159" s="46">
        <f>=IFERROR(ROUND((AU21+AU22)/$B159,0),0)</f>
        <v>0</v>
      </c>
      <c r="AV159" s="46">
        <f>=IFERROR(ROUND((AV21+AV22)/$B159,0),0)</f>
        <v>0</v>
      </c>
      <c r="AW159" s="46">
        <f>=IFERROR(ROUND((AW21+AW22)/$B159,0),0)</f>
        <v>0</v>
      </c>
      <c r="AX159" s="46">
        <f>=IFERROR(ROUND((AX21+AX22)/$B159,0),0)</f>
        <v>1</v>
      </c>
      <c r="AY159" s="46">
        <f>=IFERROR(ROUND((AY21+AY22)/$B159,0),0)</f>
        <v>1</v>
      </c>
      <c r="AZ159" s="46">
        <f>=IFERROR(ROUND((AZ21+AZ22)/$B159,0),0)</f>
        <v>0</v>
      </c>
      <c r="BA159" s="46">
        <f>=IFERROR(ROUND((BA21+BA22)/$B159,0),0)</f>
        <v>0</v>
      </c>
      <c r="BB159" s="46">
        <f>=IFERROR(ROUND((BB21+BB22)/$B159,0),0)</f>
        <v>0</v>
      </c>
      <c r="BC159" s="46">
        <f>=IFERROR(ROUND((BC21+BC22)/$B159,0),0)</f>
        <v>0</v>
      </c>
      <c r="BD159" s="46">
        <f>=IFERROR(ROUND((BD21+BD22)/$B159,0),0)</f>
        <v>1</v>
      </c>
      <c r="BE159" s="46">
        <f>=IFERROR(ROUND((BE21+BE22)/$B159,0),0)</f>
        <v>1</v>
      </c>
      <c r="BF159" s="46">
        <f>=IFERROR(ROUND((BF21+BF22)/$B159,0),0)</f>
        <v>0</v>
      </c>
      <c r="BG159" s="46">
        <f>=IFERROR(ROUND((BG21+BG22)/$B159,0),0)</f>
        <v>0</v>
      </c>
      <c r="BH159" s="46">
        <f>=IFERROR(ROUND((BH21+BH22)/$B159,0),0)</f>
        <v>0</v>
      </c>
      <c r="BI159" s="46">
        <f>=IFERROR(ROUND((BI21+BI22)/$B159,0),0)</f>
        <v>0</v>
      </c>
      <c r="BJ159" s="46">
        <f>=IFERROR(ROUND((BJ21+BJ22)/$B159,0),0)</f>
        <v>0</v>
      </c>
      <c r="BK159" s="46">
        <f>=IFERROR(ROUND((BK21+BK22)/$B159,0),0)</f>
        <v>0</v>
      </c>
      <c r="BL159" s="46">
        <f>=IFERROR(ROUND((BL21+BL22)/$B159,0),0)</f>
        <v>0</v>
      </c>
      <c r="BM159" s="46">
        <f>=IFERROR(ROUND((BM21+BM22)/$B159,0),0)</f>
        <v>0</v>
      </c>
      <c r="BN159" s="46">
        <f>=IFERROR(ROUND((BN21+BN22)/$B159,0),0)</f>
        <v>0</v>
      </c>
      <c r="BO159" s="46">
        <f>=IFERROR(ROUND((BO21+BO22)/$B159,0),0)</f>
        <v>0</v>
      </c>
      <c r="BP159" s="46">
        <f>=IFERROR(ROUND((BP21+BP22)/$B159,0),0)</f>
        <v>0</v>
      </c>
      <c r="BQ159" s="46">
        <f>=IFERROR(ROUND((BQ21+BQ22)/$B159,0),0)</f>
        <v>0</v>
      </c>
      <c r="BR159" s="46">
        <f>=IFERROR(ROUND((BR21+BR22)/$B159,0),0)</f>
        <v>0</v>
      </c>
      <c r="BS159" s="46">
        <f>=IFERROR(ROUND((BS21+BS22)/$B159,0),0)</f>
        <v>0</v>
      </c>
      <c r="BT159" s="46">
        <f>=IFERROR(ROUND((BT21+BT22)/$B159,0),0)</f>
        <v>0</v>
      </c>
      <c r="BU159" s="46">
        <f>=IFERROR(ROUND((BU21+BU22)/$B159,0),0)</f>
        <v>0</v>
      </c>
      <c r="BV159" s="46">
        <f>=IFERROR(ROUND((BV21+BV22)/$B159,0),0)</f>
        <v>0</v>
      </c>
      <c r="BW159" s="46">
        <f>=IFERROR(ROUND((BW21+BW22)/$B159,0),0)</f>
        <v>0</v>
      </c>
      <c r="BX159" s="46">
        <f>=IFERROR(ROUND((BX21+BX22)/$B159,0),0)</f>
        <v>0</v>
      </c>
      <c r="BY159" s="46">
        <f>=IFERROR(ROUND((BY21+BY22)/$B159,0),0)</f>
        <v>0</v>
      </c>
      <c r="BZ159" s="46">
        <f>=IFERROR(ROUND((BZ21+BZ22)/$B159,0),0)</f>
        <v>0</v>
      </c>
      <c r="CA159" s="46">
        <f>=IFERROR(ROUND((CA21+CA22)/$B159,0),0)</f>
        <v>0</v>
      </c>
      <c r="CB159" s="46">
        <f>=IFERROR(ROUND((CB21+CB22)/$B159,0),0)</f>
        <v>0</v>
      </c>
      <c r="CC159" s="46">
        <f>=IFERROR(ROUND((CC21+CC22)/$B159,0),0)</f>
        <v>0</v>
      </c>
      <c r="CD159" s="46">
        <f>=IFERROR(ROUND((CD21+CD22)/$B159,0),0)</f>
        <v>0</v>
      </c>
      <c r="CE159" s="46">
        <f>=IFERROR(ROUND((CE21+CE22)/$B159,0),0)</f>
        <v>0</v>
      </c>
      <c r="CF159" s="46">
        <f>=IFERROR(ROUND((CF21+CF22)/$B159,0),0)</f>
        <v>0</v>
      </c>
      <c r="CG159" s="46">
        <f>=IFERROR(ROUND((CG21+CG22)/$B159,0),0)</f>
        <v>0</v>
      </c>
      <c r="CH159" s="46">
        <f>=IFERROR(ROUND((CH21+CH22)/$B159,0),0)</f>
        <v>0</v>
      </c>
      <c r="CI159" s="46">
        <f>=IFERROR(ROUND((CI21+CI22)/$B159,0),0)</f>
        <v>0</v>
      </c>
      <c r="CJ159" s="46">
        <f>=IFERROR(ROUND((CJ21+CJ22)/$B159,0),0)</f>
        <v>0</v>
      </c>
      <c r="CK159" s="46">
        <f>=IFERROR(ROUND((CK21+CK22)/$B159,0),0)</f>
        <v>0</v>
      </c>
      <c r="CL159" s="46">
        <f>=IFERROR(ROUND((CL21+CL22)/$B159,0),0)</f>
        <v>0</v>
      </c>
      <c r="CM159" s="46">
        <f>=IFERROR(ROUND((CM21+CM22)/$B159,0),0)</f>
        <v>0</v>
      </c>
      <c r="CN159" s="46">
        <f>=IFERROR(ROUND((CN21+CN22)/$B159,0),0)</f>
        <v>0</v>
      </c>
      <c r="CO159" s="46">
        <f>=IFERROR(ROUND((CO21+CO22)/$B159,0),0)</f>
        <v>0</v>
      </c>
      <c r="CP159" s="46">
        <f>=IFERROR(ROUND((CP21+CP22)/$B159,0),0)</f>
        <v>0</v>
      </c>
      <c r="CQ159" s="46">
        <f>=IFERROR(ROUND((CQ21+CQ22)/$B159,0),0)</f>
        <v>0</v>
      </c>
      <c r="CR159" s="46">
        <f>=IFERROR(ROUND((CR21+CR22)/$B159,0),0)</f>
        <v>0</v>
      </c>
      <c r="CS159" s="46">
        <f>=IFERROR(ROUND((CS21+CS22)/$B159,0),0)</f>
        <v>0</v>
      </c>
      <c r="CT159" s="46">
        <f>=IFERROR(ROUND((CT21+CT22)/$B159,0),0)</f>
        <v>0</v>
      </c>
      <c r="CU159" s="46">
        <f>=IFERROR(ROUND((CU21+CU22)/$B159,0),0)</f>
        <v>0</v>
      </c>
      <c r="CV159" s="46">
        <f>=IFERROR(ROUND((CV21+CV22)/$B159,0),0)</f>
        <v>0</v>
      </c>
      <c r="CW159" s="46">
        <f>=IFERROR(ROUND((CW21+CW22)/$B159,0),0)</f>
        <v>0</v>
      </c>
      <c r="CX159" s="46">
        <f>=IFERROR(ROUND((CX21+CX22)/$B159,0),0)</f>
        <v>0</v>
      </c>
      <c r="CY159" s="46">
        <f>=IFERROR(ROUND((CY21+CY22)/$B159,0),0)</f>
        <v>0</v>
      </c>
      <c r="CZ159" s="46">
        <f>=IFERROR(ROUND((CZ21+CZ22)/$B159,0),0)</f>
        <v>0</v>
      </c>
      <c r="DA159" s="46">
        <f>=IFERROR(ROUND((DA21+DA22)/$B159,0),0)</f>
        <v>0</v>
      </c>
      <c r="DB159" s="46">
        <f>=IFERROR(ROUND((DB21+DB22)/$B159,0),0)</f>
        <v>0</v>
      </c>
    </row>
    <row r="160" spans="1:106" x14ac:dyDescent="0.25">
      <c r="A160" s="17" t="s">
        <v>362</v>
      </c>
      <c r="B160" s="17">
        <v>15</v>
      </c>
      <c r="C160" s="46">
        <f>=IFERROR(ROUND(C23/$B160,0),0)</f>
        <v>0</v>
      </c>
      <c r="D160" s="46">
        <f>=IFERROR(ROUND(D23/$B160,0),0)</f>
        <v>0</v>
      </c>
      <c r="E160" s="46">
        <f>=IFERROR(ROUND(E23/$B160,0),0)</f>
        <v>0</v>
      </c>
      <c r="F160" s="46">
        <f>=IFERROR(ROUND(F23/$B160,0),0)</f>
        <v>0</v>
      </c>
      <c r="G160" s="46">
        <f>=IFERROR(ROUND(G23/$B160,0),0)</f>
        <v>0</v>
      </c>
      <c r="H160" s="46">
        <f>=IFERROR(ROUND(H23/$B160,0),0)</f>
        <v>0</v>
      </c>
      <c r="I160" s="46">
        <f>=IFERROR(ROUND(I23/$B160,0),0)</f>
        <v>0</v>
      </c>
      <c r="J160" s="46">
        <f>=IFERROR(ROUND(J23/$B160,0),0)</f>
        <v>0</v>
      </c>
      <c r="K160" s="46">
        <f>=IFERROR(ROUND(K23/$B160,0),0)</f>
        <v>0</v>
      </c>
      <c r="L160" s="46">
        <f>=IFERROR(ROUND(L23/$B160,0),0)</f>
        <v>0</v>
      </c>
      <c r="M160" s="46">
        <f>=IFERROR(ROUND(M23/$B160,0),0)</f>
        <v>0</v>
      </c>
      <c r="N160" s="46">
        <f>=IFERROR(ROUND(N23/$B160,0),0)</f>
        <v>0</v>
      </c>
      <c r="O160" s="46">
        <f>=IFERROR(ROUND(O23/$B160,0),0)</f>
        <v>0</v>
      </c>
      <c r="P160" s="46">
        <f>=IFERROR(ROUND(P23/$B160,0),0)</f>
        <v>0</v>
      </c>
      <c r="Q160" s="46">
        <f>=IFERROR(ROUND(Q23/$B160,0),0)</f>
        <v>0</v>
      </c>
      <c r="R160" s="46">
        <f>=IFERROR(ROUND(R23/$B160,0),0)</f>
        <v>0</v>
      </c>
      <c r="S160" s="46">
        <f>=IFERROR(ROUND(S23/$B160,0),0)</f>
        <v>0</v>
      </c>
      <c r="T160" s="46">
        <f>=IFERROR(ROUND(T23/$B160,0),0)</f>
        <v>0</v>
      </c>
      <c r="U160" s="46">
        <f>=IFERROR(ROUND(U23/$B160,0),0)</f>
        <v>0</v>
      </c>
      <c r="V160" s="46">
        <f>=IFERROR(ROUND(V23/$B160,0),0)</f>
        <v>0</v>
      </c>
      <c r="W160" s="46">
        <f>=IFERROR(ROUND(W23/$B160,0),0)</f>
        <v>0</v>
      </c>
      <c r="X160" s="46">
        <f>=IFERROR(ROUND(X23/$B160,0),0)</f>
        <v>0</v>
      </c>
      <c r="Y160" s="46">
        <f>=IFERROR(ROUND(Y23/$B160,0),0)</f>
        <v>0</v>
      </c>
      <c r="Z160" s="46">
        <f>=IFERROR(ROUND(Z23/$B160,0),0)</f>
        <v>0</v>
      </c>
      <c r="AA160" s="46">
        <f>=IFERROR(ROUND(AA23/$B160,0),0)</f>
        <v>0</v>
      </c>
      <c r="AB160" s="46">
        <f>=IFERROR(ROUND(AB23/$B160,0),0)</f>
        <v>0</v>
      </c>
      <c r="AC160" s="46">
        <f>=IFERROR(ROUND(AC23/$B160,0),0)</f>
        <v>0</v>
      </c>
      <c r="AD160" s="46">
        <f>=IFERROR(ROUND(AD23/$B160,0),0)</f>
        <v>0</v>
      </c>
      <c r="AE160" s="46">
        <f>=IFERROR(ROUND(AE23/$B160,0),0)</f>
        <v>0</v>
      </c>
      <c r="AF160" s="46">
        <f>=IFERROR(ROUND(AF23/$B160,0),0)</f>
        <v>0</v>
      </c>
      <c r="AG160" s="46">
        <f>=IFERROR(ROUND(AG23/$B160,0),0)</f>
        <v>0</v>
      </c>
      <c r="AH160" s="46">
        <f>=IFERROR(ROUND(AH23/$B160,0),0)</f>
        <v>0</v>
      </c>
      <c r="AI160" s="46">
        <f>=IFERROR(ROUND(AI23/$B160,0),0)</f>
        <v>0</v>
      </c>
      <c r="AJ160" s="46">
        <f>=IFERROR(ROUND(AJ23/$B160,0),0)</f>
        <v>0</v>
      </c>
      <c r="AK160" s="46">
        <f>=IFERROR(ROUND(AK23/$B160,0),0)</f>
        <v>0</v>
      </c>
      <c r="AL160" s="46">
        <f>=IFERROR(ROUND(AL23/$B160,0),0)</f>
        <v>0</v>
      </c>
      <c r="AM160" s="46">
        <f>=IFERROR(ROUND(AM23/$B160,0),0)</f>
        <v>0</v>
      </c>
      <c r="AN160" s="46">
        <f>=IFERROR(ROUND(AN23/$B160,0),0)</f>
        <v>0</v>
      </c>
      <c r="AO160" s="46">
        <f>=IFERROR(ROUND(AO23/$B160,0),0)</f>
        <v>0</v>
      </c>
      <c r="AP160" s="46">
        <f>=IFERROR(ROUND(AP23/$B160,0),0)</f>
        <v>0</v>
      </c>
      <c r="AQ160" s="46">
        <f>=IFERROR(ROUND(AQ23/$B160,0),0)</f>
        <v>0</v>
      </c>
      <c r="AR160" s="46">
        <f>=IFERROR(ROUND(AR23/$B160,0),0)</f>
        <v>0</v>
      </c>
      <c r="AS160" s="46">
        <f>=IFERROR(ROUND(AS23/$B160,0),0)</f>
        <v>0</v>
      </c>
      <c r="AT160" s="46">
        <f>=IFERROR(ROUND(AT23/$B160,0),0)</f>
        <v>0</v>
      </c>
      <c r="AU160" s="46">
        <f>=IFERROR(ROUND(AU23/$B160,0),0)</f>
        <v>0</v>
      </c>
      <c r="AV160" s="46">
        <f>=IFERROR(ROUND(AV23/$B160,0),0)</f>
        <v>0</v>
      </c>
      <c r="AW160" s="46">
        <f>=IFERROR(ROUND(AW23/$B160,0),0)</f>
        <v>0</v>
      </c>
      <c r="AX160" s="46">
        <f>=IFERROR(ROUND(AX23/$B160,0),0)</f>
        <v>0</v>
      </c>
      <c r="AY160" s="46">
        <f>=IFERROR(ROUND(AY23/$B160,0),0)</f>
        <v>0</v>
      </c>
      <c r="AZ160" s="46">
        <f>=IFERROR(ROUND(AZ23/$B160,0),0)</f>
        <v>0</v>
      </c>
      <c r="BA160" s="46">
        <f>=IFERROR(ROUND(BA23/$B160,0),0)</f>
        <v>0</v>
      </c>
      <c r="BB160" s="46">
        <f>=IFERROR(ROUND(BB23/$B160,0),0)</f>
        <v>0</v>
      </c>
      <c r="BC160" s="46">
        <f>=IFERROR(ROUND(BC23/$B160,0),0)</f>
        <v>0</v>
      </c>
      <c r="BD160" s="46">
        <f>=IFERROR(ROUND(BD23/$B160,0),0)</f>
        <v>0</v>
      </c>
      <c r="BE160" s="46">
        <f>=IFERROR(ROUND(BE23/$B160,0),0)</f>
        <v>0</v>
      </c>
      <c r="BF160" s="46">
        <f>=IFERROR(ROUND(BF23/$B160,0),0)</f>
        <v>0</v>
      </c>
      <c r="BG160" s="46">
        <f>=IFERROR(ROUND(BG23/$B160,0),0)</f>
        <v>0</v>
      </c>
      <c r="BH160" s="46">
        <f>=IFERROR(ROUND(BH23/$B160,0),0)</f>
        <v>0</v>
      </c>
      <c r="BI160" s="46">
        <f>=IFERROR(ROUND(BI23/$B160,0),0)</f>
        <v>0</v>
      </c>
      <c r="BJ160" s="46">
        <f>=IFERROR(ROUND(BJ23/$B160,0),0)</f>
        <v>0</v>
      </c>
      <c r="BK160" s="46">
        <f>=IFERROR(ROUND(BK23/$B160,0),0)</f>
        <v>0</v>
      </c>
      <c r="BL160" s="46">
        <f>=IFERROR(ROUND(BL23/$B160,0),0)</f>
        <v>0</v>
      </c>
      <c r="BM160" s="46">
        <f>=IFERROR(ROUND(BM23/$B160,0),0)</f>
        <v>0</v>
      </c>
      <c r="BN160" s="46">
        <f>=IFERROR(ROUND(BN23/$B160,0),0)</f>
        <v>0</v>
      </c>
      <c r="BO160" s="46">
        <f>=IFERROR(ROUND(BO23/$B160,0),0)</f>
        <v>0</v>
      </c>
      <c r="BP160" s="46">
        <f>=IFERROR(ROUND(BP23/$B160,0),0)</f>
        <v>0</v>
      </c>
      <c r="BQ160" s="46">
        <f>=IFERROR(ROUND(BQ23/$B160,0),0)</f>
        <v>0</v>
      </c>
      <c r="BR160" s="46">
        <f>=IFERROR(ROUND(BR23/$B160,0),0)</f>
        <v>0</v>
      </c>
      <c r="BS160" s="46">
        <f>=IFERROR(ROUND(BS23/$B160,0),0)</f>
        <v>0</v>
      </c>
      <c r="BT160" s="46">
        <f>=IFERROR(ROUND(BT23/$B160,0),0)</f>
        <v>0</v>
      </c>
      <c r="BU160" s="46">
        <f>=IFERROR(ROUND(BU23/$B160,0),0)</f>
        <v>0</v>
      </c>
      <c r="BV160" s="46">
        <f>=IFERROR(ROUND(BV23/$B160,0),0)</f>
        <v>0</v>
      </c>
      <c r="BW160" s="46">
        <f>=IFERROR(ROUND(BW23/$B160,0),0)</f>
        <v>0</v>
      </c>
      <c r="BX160" s="46">
        <f>=IFERROR(ROUND(BX23/$B160,0),0)</f>
        <v>0</v>
      </c>
      <c r="BY160" s="46">
        <f>=IFERROR(ROUND(BY23/$B160,0),0)</f>
        <v>0</v>
      </c>
      <c r="BZ160" s="46">
        <f>=IFERROR(ROUND(BZ23/$B160,0),0)</f>
        <v>0</v>
      </c>
      <c r="CA160" s="46">
        <f>=IFERROR(ROUND(CA23/$B160,0),0)</f>
        <v>0</v>
      </c>
      <c r="CB160" s="46">
        <f>=IFERROR(ROUND(CB23/$B160,0),0)</f>
        <v>0</v>
      </c>
      <c r="CC160" s="46">
        <f>=IFERROR(ROUND(CC23/$B160,0),0)</f>
        <v>0</v>
      </c>
      <c r="CD160" s="46">
        <f>=IFERROR(ROUND(CD23/$B160,0),0)</f>
        <v>0</v>
      </c>
      <c r="CE160" s="46">
        <f>=IFERROR(ROUND(CE23/$B160,0),0)</f>
        <v>0</v>
      </c>
      <c r="CF160" s="46">
        <f>=IFERROR(ROUND(CF23/$B160,0),0)</f>
        <v>0</v>
      </c>
      <c r="CG160" s="46">
        <f>=IFERROR(ROUND(CG23/$B160,0),0)</f>
        <v>0</v>
      </c>
      <c r="CH160" s="46">
        <f>=IFERROR(ROUND(CH23/$B160,0),0)</f>
        <v>0</v>
      </c>
      <c r="CI160" s="46">
        <f>=IFERROR(ROUND(CI23/$B160,0),0)</f>
        <v>0</v>
      </c>
      <c r="CJ160" s="46">
        <f>=IFERROR(ROUND(CJ23/$B160,0),0)</f>
        <v>0</v>
      </c>
      <c r="CK160" s="46">
        <f>=IFERROR(ROUND(CK23/$B160,0),0)</f>
        <v>0</v>
      </c>
      <c r="CL160" s="46">
        <f>=IFERROR(ROUND(CL23/$B160,0),0)</f>
        <v>0</v>
      </c>
      <c r="CM160" s="46">
        <f>=IFERROR(ROUND(CM23/$B160,0),0)</f>
        <v>0</v>
      </c>
      <c r="CN160" s="46">
        <f>=IFERROR(ROUND(CN23/$B160,0),0)</f>
        <v>0</v>
      </c>
      <c r="CO160" s="46">
        <f>=IFERROR(ROUND(CO23/$B160,0),0)</f>
        <v>0</v>
      </c>
      <c r="CP160" s="46">
        <f>=IFERROR(ROUND(CP23/$B160,0),0)</f>
        <v>0</v>
      </c>
      <c r="CQ160" s="46">
        <f>=IFERROR(ROUND(CQ23/$B160,0),0)</f>
        <v>0</v>
      </c>
      <c r="CR160" s="46">
        <f>=IFERROR(ROUND(CR23/$B160,0),0)</f>
        <v>0</v>
      </c>
      <c r="CS160" s="46">
        <f>=IFERROR(ROUND(CS23/$B160,0),0)</f>
        <v>0</v>
      </c>
      <c r="CT160" s="46">
        <f>=IFERROR(ROUND(CT23/$B160,0),0)</f>
        <v>0</v>
      </c>
      <c r="CU160" s="46">
        <f>=IFERROR(ROUND(CU23/$B160,0),0)</f>
        <v>0</v>
      </c>
      <c r="CV160" s="46">
        <f>=IFERROR(ROUND(CV23/$B160,0),0)</f>
        <v>0</v>
      </c>
      <c r="CW160" s="46">
        <f>=IFERROR(ROUND(CW23/$B160,0),0)</f>
        <v>0</v>
      </c>
      <c r="CX160" s="46">
        <f>=IFERROR(ROUND(CX23/$B160,0),0)</f>
        <v>0</v>
      </c>
      <c r="CY160" s="46">
        <f>=IFERROR(ROUND(CY23/$B160,0),0)</f>
        <v>0</v>
      </c>
      <c r="CZ160" s="46">
        <f>=IFERROR(ROUND(CZ23/$B160,0),0)</f>
        <v>0</v>
      </c>
      <c r="DA160" s="46">
        <f>=IFERROR(ROUND(DA23/$B160,0),0)</f>
        <v>0</v>
      </c>
      <c r="DB160" s="46">
        <f>=IFERROR(ROUND(DB23/$B160,0),0)</f>
        <v>0</v>
      </c>
    </row>
    <row r="161" spans="1:106" x14ac:dyDescent="0.25">
      <c r="A161" s="17" t="s">
        <v>363</v>
      </c>
      <c r="B161" s="17">
        <v>15</v>
      </c>
      <c r="C161" s="46">
        <f>=IFERROR(ROUND(C24/$B161,0),0)</f>
        <v>0</v>
      </c>
      <c r="D161" s="46">
        <f>=IFERROR(ROUND(D24/$B161,0),0)</f>
        <v>0</v>
      </c>
      <c r="E161" s="46">
        <f>=IFERROR(ROUND(E24/$B161,0),0)</f>
        <v>0</v>
      </c>
      <c r="F161" s="46">
        <f>=IFERROR(ROUND(F24/$B161,0),0)</f>
        <v>0</v>
      </c>
      <c r="G161" s="46">
        <f>=IFERROR(ROUND(G24/$B161,0),0)</f>
        <v>0</v>
      </c>
      <c r="H161" s="46">
        <f>=IFERROR(ROUND(H24/$B161,0),0)</f>
        <v>0</v>
      </c>
      <c r="I161" s="46">
        <f>=IFERROR(ROUND(I24/$B161,0),0)</f>
        <v>0</v>
      </c>
      <c r="J161" s="46">
        <f>=IFERROR(ROUND(J24/$B161,0),0)</f>
        <v>0</v>
      </c>
      <c r="K161" s="46">
        <f>=IFERROR(ROUND(K24/$B161,0),0)</f>
        <v>0</v>
      </c>
      <c r="L161" s="46">
        <f>=IFERROR(ROUND(L24/$B161,0),0)</f>
        <v>0</v>
      </c>
      <c r="M161" s="46">
        <f>=IFERROR(ROUND(M24/$B161,0),0)</f>
        <v>0</v>
      </c>
      <c r="N161" s="46">
        <f>=IFERROR(ROUND(N24/$B161,0),0)</f>
        <v>0</v>
      </c>
      <c r="O161" s="46">
        <f>=IFERROR(ROUND(O24/$B161,0),0)</f>
        <v>0</v>
      </c>
      <c r="P161" s="46">
        <f>=IFERROR(ROUND(P24/$B161,0),0)</f>
        <v>0</v>
      </c>
      <c r="Q161" s="46">
        <f>=IFERROR(ROUND(Q24/$B161,0),0)</f>
        <v>0</v>
      </c>
      <c r="R161" s="46">
        <f>=IFERROR(ROUND(R24/$B161,0),0)</f>
        <v>0</v>
      </c>
      <c r="S161" s="46">
        <f>=IFERROR(ROUND(S24/$B161,0),0)</f>
        <v>0</v>
      </c>
      <c r="T161" s="46">
        <f>=IFERROR(ROUND(T24/$B161,0),0)</f>
        <v>0</v>
      </c>
      <c r="U161" s="46">
        <f>=IFERROR(ROUND(U24/$B161,0),0)</f>
        <v>0</v>
      </c>
      <c r="V161" s="46">
        <f>=IFERROR(ROUND(V24/$B161,0),0)</f>
        <v>0</v>
      </c>
      <c r="W161" s="46">
        <f>=IFERROR(ROUND(W24/$B161,0),0)</f>
        <v>0</v>
      </c>
      <c r="X161" s="46">
        <f>=IFERROR(ROUND(X24/$B161,0),0)</f>
        <v>0</v>
      </c>
      <c r="Y161" s="46">
        <f>=IFERROR(ROUND(Y24/$B161,0),0)</f>
        <v>0</v>
      </c>
      <c r="Z161" s="46">
        <f>=IFERROR(ROUND(Z24/$B161,0),0)</f>
        <v>0</v>
      </c>
      <c r="AA161" s="46">
        <f>=IFERROR(ROUND(AA24/$B161,0),0)</f>
        <v>0</v>
      </c>
      <c r="AB161" s="46">
        <f>=IFERROR(ROUND(AB24/$B161,0),0)</f>
        <v>0</v>
      </c>
      <c r="AC161" s="46">
        <f>=IFERROR(ROUND(AC24/$B161,0),0)</f>
        <v>0</v>
      </c>
      <c r="AD161" s="46">
        <f>=IFERROR(ROUND(AD24/$B161,0),0)</f>
        <v>0</v>
      </c>
      <c r="AE161" s="46">
        <f>=IFERROR(ROUND(AE24/$B161,0),0)</f>
        <v>0</v>
      </c>
      <c r="AF161" s="46">
        <f>=IFERROR(ROUND(AF24/$B161,0),0)</f>
        <v>0</v>
      </c>
      <c r="AG161" s="46">
        <f>=IFERROR(ROUND(AG24/$B161,0),0)</f>
        <v>0</v>
      </c>
      <c r="AH161" s="46">
        <f>=IFERROR(ROUND(AH24/$B161,0),0)</f>
        <v>0</v>
      </c>
      <c r="AI161" s="46">
        <f>=IFERROR(ROUND(AI24/$B161,0),0)</f>
        <v>0</v>
      </c>
      <c r="AJ161" s="46">
        <f>=IFERROR(ROUND(AJ24/$B161,0),0)</f>
        <v>0</v>
      </c>
      <c r="AK161" s="46">
        <f>=IFERROR(ROUND(AK24/$B161,0),0)</f>
        <v>0</v>
      </c>
      <c r="AL161" s="46">
        <f>=IFERROR(ROUND(AL24/$B161,0),0)</f>
        <v>0</v>
      </c>
      <c r="AM161" s="46">
        <f>=IFERROR(ROUND(AM24/$B161,0),0)</f>
        <v>0</v>
      </c>
      <c r="AN161" s="46">
        <f>=IFERROR(ROUND(AN24/$B161,0),0)</f>
        <v>0</v>
      </c>
      <c r="AO161" s="46">
        <f>=IFERROR(ROUND(AO24/$B161,0),0)</f>
        <v>0</v>
      </c>
      <c r="AP161" s="46">
        <f>=IFERROR(ROUND(AP24/$B161,0),0)</f>
        <v>0</v>
      </c>
      <c r="AQ161" s="46">
        <f>=IFERROR(ROUND(AQ24/$B161,0),0)</f>
        <v>0</v>
      </c>
      <c r="AR161" s="46">
        <f>=IFERROR(ROUND(AR24/$B161,0),0)</f>
        <v>0</v>
      </c>
      <c r="AS161" s="46">
        <f>=IFERROR(ROUND(AS24/$B161,0),0)</f>
        <v>0</v>
      </c>
      <c r="AT161" s="46">
        <f>=IFERROR(ROUND(AT24/$B161,0),0)</f>
        <v>0</v>
      </c>
      <c r="AU161" s="46">
        <f>=IFERROR(ROUND(AU24/$B161,0),0)</f>
        <v>0</v>
      </c>
      <c r="AV161" s="46">
        <f>=IFERROR(ROUND(AV24/$B161,0),0)</f>
        <v>0</v>
      </c>
      <c r="AW161" s="46">
        <f>=IFERROR(ROUND(AW24/$B161,0),0)</f>
        <v>0</v>
      </c>
      <c r="AX161" s="46">
        <f>=IFERROR(ROUND(AX24/$B161,0),0)</f>
        <v>0</v>
      </c>
      <c r="AY161" s="46">
        <f>=IFERROR(ROUND(AY24/$B161,0),0)</f>
        <v>0</v>
      </c>
      <c r="AZ161" s="46">
        <f>=IFERROR(ROUND(AZ24/$B161,0),0)</f>
        <v>0</v>
      </c>
      <c r="BA161" s="46">
        <f>=IFERROR(ROUND(BA24/$B161,0),0)</f>
        <v>0</v>
      </c>
      <c r="BB161" s="46">
        <f>=IFERROR(ROUND(BB24/$B161,0),0)</f>
        <v>0</v>
      </c>
      <c r="BC161" s="46">
        <f>=IFERROR(ROUND(BC24/$B161,0),0)</f>
        <v>0</v>
      </c>
      <c r="BD161" s="46">
        <f>=IFERROR(ROUND(BD24/$B161,0),0)</f>
        <v>0</v>
      </c>
      <c r="BE161" s="46">
        <f>=IFERROR(ROUND(BE24/$B161,0),0)</f>
        <v>0</v>
      </c>
      <c r="BF161" s="46">
        <f>=IFERROR(ROUND(BF24/$B161,0),0)</f>
        <v>0</v>
      </c>
      <c r="BG161" s="46">
        <f>=IFERROR(ROUND(BG24/$B161,0),0)</f>
        <v>0</v>
      </c>
      <c r="BH161" s="46">
        <f>=IFERROR(ROUND(BH24/$B161,0),0)</f>
        <v>0</v>
      </c>
      <c r="BI161" s="46">
        <f>=IFERROR(ROUND(BI24/$B161,0),0)</f>
        <v>0</v>
      </c>
      <c r="BJ161" s="46">
        <f>=IFERROR(ROUND(BJ24/$B161,0),0)</f>
        <v>0</v>
      </c>
      <c r="BK161" s="46">
        <f>=IFERROR(ROUND(BK24/$B161,0),0)</f>
        <v>0</v>
      </c>
      <c r="BL161" s="46">
        <f>=IFERROR(ROUND(BL24/$B161,0),0)</f>
        <v>0</v>
      </c>
      <c r="BM161" s="46">
        <f>=IFERROR(ROUND(BM24/$B161,0),0)</f>
        <v>0</v>
      </c>
      <c r="BN161" s="46">
        <f>=IFERROR(ROUND(BN24/$B161,0),0)</f>
        <v>0</v>
      </c>
      <c r="BO161" s="46">
        <f>=IFERROR(ROUND(BO24/$B161,0),0)</f>
        <v>0</v>
      </c>
      <c r="BP161" s="46">
        <f>=IFERROR(ROUND(BP24/$B161,0),0)</f>
        <v>0</v>
      </c>
      <c r="BQ161" s="46">
        <f>=IFERROR(ROUND(BQ24/$B161,0),0)</f>
        <v>0</v>
      </c>
      <c r="BR161" s="46">
        <f>=IFERROR(ROUND(BR24/$B161,0),0)</f>
        <v>0</v>
      </c>
      <c r="BS161" s="46">
        <f>=IFERROR(ROUND(BS24/$B161,0),0)</f>
        <v>0</v>
      </c>
      <c r="BT161" s="46">
        <f>=IFERROR(ROUND(BT24/$B161,0),0)</f>
        <v>0</v>
      </c>
      <c r="BU161" s="46">
        <f>=IFERROR(ROUND(BU24/$B161,0),0)</f>
        <v>0</v>
      </c>
      <c r="BV161" s="46">
        <f>=IFERROR(ROUND(BV24/$B161,0),0)</f>
        <v>0</v>
      </c>
      <c r="BW161" s="46">
        <f>=IFERROR(ROUND(BW24/$B161,0),0)</f>
        <v>0</v>
      </c>
      <c r="BX161" s="46">
        <f>=IFERROR(ROUND(BX24/$B161,0),0)</f>
        <v>0</v>
      </c>
      <c r="BY161" s="46">
        <f>=IFERROR(ROUND(BY24/$B161,0),0)</f>
        <v>0</v>
      </c>
      <c r="BZ161" s="46">
        <f>=IFERROR(ROUND(BZ24/$B161,0),0)</f>
        <v>0</v>
      </c>
      <c r="CA161" s="46">
        <f>=IFERROR(ROUND(CA24/$B161,0),0)</f>
        <v>0</v>
      </c>
      <c r="CB161" s="46">
        <f>=IFERROR(ROUND(CB24/$B161,0),0)</f>
        <v>0</v>
      </c>
      <c r="CC161" s="46">
        <f>=IFERROR(ROUND(CC24/$B161,0),0)</f>
        <v>0</v>
      </c>
      <c r="CD161" s="46">
        <f>=IFERROR(ROUND(CD24/$B161,0),0)</f>
        <v>0</v>
      </c>
      <c r="CE161" s="46">
        <f>=IFERROR(ROUND(CE24/$B161,0),0)</f>
        <v>0</v>
      </c>
      <c r="CF161" s="46">
        <f>=IFERROR(ROUND(CF24/$B161,0),0)</f>
        <v>0</v>
      </c>
      <c r="CG161" s="46">
        <f>=IFERROR(ROUND(CG24/$B161,0),0)</f>
        <v>0</v>
      </c>
      <c r="CH161" s="46">
        <f>=IFERROR(ROUND(CH24/$B161,0),0)</f>
        <v>0</v>
      </c>
      <c r="CI161" s="46">
        <f>=IFERROR(ROUND(CI24/$B161,0),0)</f>
        <v>0</v>
      </c>
      <c r="CJ161" s="46">
        <f>=IFERROR(ROUND(CJ24/$B161,0),0)</f>
        <v>0</v>
      </c>
      <c r="CK161" s="46">
        <f>=IFERROR(ROUND(CK24/$B161,0),0)</f>
        <v>0</v>
      </c>
      <c r="CL161" s="46">
        <f>=IFERROR(ROUND(CL24/$B161,0),0)</f>
        <v>0</v>
      </c>
      <c r="CM161" s="46">
        <f>=IFERROR(ROUND(CM24/$B161,0),0)</f>
        <v>0</v>
      </c>
      <c r="CN161" s="46">
        <f>=IFERROR(ROUND(CN24/$B161,0),0)</f>
        <v>0</v>
      </c>
      <c r="CO161" s="46">
        <f>=IFERROR(ROUND(CO24/$B161,0),0)</f>
        <v>0</v>
      </c>
      <c r="CP161" s="46">
        <f>=IFERROR(ROUND(CP24/$B161,0),0)</f>
        <v>0</v>
      </c>
      <c r="CQ161" s="46">
        <f>=IFERROR(ROUND(CQ24/$B161,0),0)</f>
        <v>0</v>
      </c>
      <c r="CR161" s="46">
        <f>=IFERROR(ROUND(CR24/$B161,0),0)</f>
        <v>0</v>
      </c>
      <c r="CS161" s="46">
        <f>=IFERROR(ROUND(CS24/$B161,0),0)</f>
        <v>0</v>
      </c>
      <c r="CT161" s="46">
        <f>=IFERROR(ROUND(CT24/$B161,0),0)</f>
        <v>0</v>
      </c>
      <c r="CU161" s="46">
        <f>=IFERROR(ROUND(CU24/$B161,0),0)</f>
        <v>0</v>
      </c>
      <c r="CV161" s="46">
        <f>=IFERROR(ROUND(CV24/$B161,0),0)</f>
        <v>0</v>
      </c>
      <c r="CW161" s="46">
        <f>=IFERROR(ROUND(CW24/$B161,0),0)</f>
        <v>0</v>
      </c>
      <c r="CX161" s="46">
        <f>=IFERROR(ROUND(CX24/$B161,0),0)</f>
        <v>0</v>
      </c>
      <c r="CY161" s="46">
        <f>=IFERROR(ROUND(CY24/$B161,0),0)</f>
        <v>0</v>
      </c>
      <c r="CZ161" s="46">
        <f>=IFERROR(ROUND(CZ24/$B161,0),0)</f>
        <v>0</v>
      </c>
      <c r="DA161" s="46">
        <f>=IFERROR(ROUND(DA24/$B161,0),0)</f>
        <v>0</v>
      </c>
      <c r="DB161" s="46">
        <f>=IFERROR(ROUND(DB24/$B161,0),0)</f>
        <v>0</v>
      </c>
    </row>
    <row r="162" spans="1:106" x14ac:dyDescent="0.25">
      <c r="A162" s="17" t="s">
        <v>364</v>
      </c>
      <c r="B162" s="17">
        <v>30</v>
      </c>
      <c r="C162" s="46">
        <f>=IFERROR(ROUND(C23/$B162,0),0)</f>
        <v>0</v>
      </c>
      <c r="D162" s="46">
        <f>=IFERROR(ROUND(D23/$B162,0),0)</f>
        <v>0</v>
      </c>
      <c r="E162" s="46">
        <f>=IFERROR(ROUND(E23/$B162,0),0)</f>
        <v>0</v>
      </c>
      <c r="F162" s="46">
        <f>=IFERROR(ROUND(F23/$B162,0),0)</f>
        <v>0</v>
      </c>
      <c r="G162" s="46">
        <f>=IFERROR(ROUND(G23/$B162,0),0)</f>
        <v>0</v>
      </c>
      <c r="H162" s="46">
        <f>=IFERROR(ROUND(H23/$B162,0),0)</f>
        <v>0</v>
      </c>
      <c r="I162" s="46">
        <f>=IFERROR(ROUND(I23/$B162,0),0)</f>
        <v>0</v>
      </c>
      <c r="J162" s="46">
        <f>=IFERROR(ROUND(J23/$B162,0),0)</f>
        <v>0</v>
      </c>
      <c r="K162" s="46">
        <f>=IFERROR(ROUND(K23/$B162,0),0)</f>
        <v>0</v>
      </c>
      <c r="L162" s="46">
        <f>=IFERROR(ROUND(L23/$B162,0),0)</f>
        <v>0</v>
      </c>
      <c r="M162" s="46">
        <f>=IFERROR(ROUND(M23/$B162,0),0)</f>
        <v>0</v>
      </c>
      <c r="N162" s="46">
        <f>=IFERROR(ROUND(N23/$B162,0),0)</f>
        <v>0</v>
      </c>
      <c r="O162" s="46">
        <f>=IFERROR(ROUND(O23/$B162,0),0)</f>
        <v>0</v>
      </c>
      <c r="P162" s="46">
        <f>=IFERROR(ROUND(P23/$B162,0),0)</f>
        <v>0</v>
      </c>
      <c r="Q162" s="46">
        <f>=IFERROR(ROUND(Q23/$B162,0),0)</f>
        <v>0</v>
      </c>
      <c r="R162" s="46">
        <f>=IFERROR(ROUND(R23/$B162,0),0)</f>
        <v>0</v>
      </c>
      <c r="S162" s="46">
        <f>=IFERROR(ROUND(S23/$B162,0),0)</f>
        <v>0</v>
      </c>
      <c r="T162" s="46">
        <f>=IFERROR(ROUND(T23/$B162,0),0)</f>
        <v>0</v>
      </c>
      <c r="U162" s="46">
        <f>=IFERROR(ROUND(U23/$B162,0),0)</f>
        <v>0</v>
      </c>
      <c r="V162" s="46">
        <f>=IFERROR(ROUND(V23/$B162,0),0)</f>
        <v>0</v>
      </c>
      <c r="W162" s="46">
        <f>=IFERROR(ROUND(W23/$B162,0),0)</f>
        <v>0</v>
      </c>
      <c r="X162" s="46">
        <f>=IFERROR(ROUND(X23/$B162,0),0)</f>
        <v>0</v>
      </c>
      <c r="Y162" s="46">
        <f>=IFERROR(ROUND(Y23/$B162,0),0)</f>
        <v>0</v>
      </c>
      <c r="Z162" s="46">
        <f>=IFERROR(ROUND(Z23/$B162,0),0)</f>
        <v>0</v>
      </c>
      <c r="AA162" s="46">
        <f>=IFERROR(ROUND(AA23/$B162,0),0)</f>
        <v>0</v>
      </c>
      <c r="AB162" s="46">
        <f>=IFERROR(ROUND(AB23/$B162,0),0)</f>
        <v>0</v>
      </c>
      <c r="AC162" s="46">
        <f>=IFERROR(ROUND(AC23/$B162,0),0)</f>
        <v>0</v>
      </c>
      <c r="AD162" s="46">
        <f>=IFERROR(ROUND(AD23/$B162,0),0)</f>
        <v>0</v>
      </c>
      <c r="AE162" s="46">
        <f>=IFERROR(ROUND(AE23/$B162,0),0)</f>
        <v>0</v>
      </c>
      <c r="AF162" s="46">
        <f>=IFERROR(ROUND(AF23/$B162,0),0)</f>
        <v>0</v>
      </c>
      <c r="AG162" s="46">
        <f>=IFERROR(ROUND(AG23/$B162,0),0)</f>
        <v>0</v>
      </c>
      <c r="AH162" s="46">
        <f>=IFERROR(ROUND(AH23/$B162,0),0)</f>
        <v>0</v>
      </c>
      <c r="AI162" s="46">
        <f>=IFERROR(ROUND(AI23/$B162,0),0)</f>
        <v>0</v>
      </c>
      <c r="AJ162" s="46">
        <f>=IFERROR(ROUND(AJ23/$B162,0),0)</f>
        <v>0</v>
      </c>
      <c r="AK162" s="46">
        <f>=IFERROR(ROUND(AK23/$B162,0),0)</f>
        <v>0</v>
      </c>
      <c r="AL162" s="46">
        <f>=IFERROR(ROUND(AL23/$B162,0),0)</f>
        <v>0</v>
      </c>
      <c r="AM162" s="46">
        <f>=IFERROR(ROUND(AM23/$B162,0),0)</f>
        <v>0</v>
      </c>
      <c r="AN162" s="46">
        <f>=IFERROR(ROUND(AN23/$B162,0),0)</f>
        <v>0</v>
      </c>
      <c r="AO162" s="46">
        <f>=IFERROR(ROUND(AO23/$B162,0),0)</f>
        <v>1</v>
      </c>
      <c r="AP162" s="46">
        <f>=IFERROR(ROUND(AP23/$B162,0),0)</f>
        <v>1</v>
      </c>
      <c r="AQ162" s="46">
        <f>=IFERROR(ROUND(AQ23/$B162,0),0)</f>
        <v>1</v>
      </c>
      <c r="AR162" s="46">
        <f>=IFERROR(ROUND(AR23/$B162,0),0)</f>
        <v>1</v>
      </c>
      <c r="AS162" s="46">
        <f>=IFERROR(ROUND(AS23/$B162,0),0)</f>
        <v>0</v>
      </c>
      <c r="AT162" s="46">
        <f>=IFERROR(ROUND(AT23/$B162,0),0)</f>
        <v>0</v>
      </c>
      <c r="AU162" s="46">
        <f>=IFERROR(ROUND(AU23/$B162,0),0)</f>
        <v>0</v>
      </c>
      <c r="AV162" s="46">
        <f>=IFERROR(ROUND(AV23/$B162,0),0)</f>
        <v>0</v>
      </c>
      <c r="AW162" s="46">
        <f>=IFERROR(ROUND(AW23/$B162,0),0)</f>
        <v>1</v>
      </c>
      <c r="AX162" s="46">
        <f>=IFERROR(ROUND(AX23/$B162,0),0)</f>
        <v>1</v>
      </c>
      <c r="AY162" s="46">
        <f>=IFERROR(ROUND(AY23/$B162,0),0)</f>
        <v>0</v>
      </c>
      <c r="AZ162" s="46">
        <f>=IFERROR(ROUND(AZ23/$B162,0),0)</f>
        <v>0</v>
      </c>
      <c r="BA162" s="46">
        <f>=IFERROR(ROUND(BA23/$B162,0),0)</f>
        <v>1</v>
      </c>
      <c r="BB162" s="46">
        <f>=IFERROR(ROUND(BB23/$B162,0),0)</f>
        <v>1</v>
      </c>
      <c r="BC162" s="46">
        <f>=IFERROR(ROUND(BC23/$B162,0),0)</f>
        <v>0</v>
      </c>
      <c r="BD162" s="46">
        <f>=IFERROR(ROUND(BD23/$B162,0),0)</f>
        <v>0</v>
      </c>
      <c r="BE162" s="46">
        <f>=IFERROR(ROUND(BE23/$B162,0),0)</f>
        <v>0</v>
      </c>
      <c r="BF162" s="46">
        <f>=IFERROR(ROUND(BF23/$B162,0),0)</f>
        <v>1</v>
      </c>
      <c r="BG162" s="46">
        <f>=IFERROR(ROUND(BG23/$B162,0),0)</f>
        <v>1</v>
      </c>
      <c r="BH162" s="46">
        <f>=IFERROR(ROUND(BH23/$B162,0),0)</f>
        <v>0</v>
      </c>
      <c r="BI162" s="46">
        <f>=IFERROR(ROUND(BI23/$B162,0),0)</f>
        <v>0</v>
      </c>
      <c r="BJ162" s="46">
        <f>=IFERROR(ROUND(BJ23/$B162,0),0)</f>
        <v>0</v>
      </c>
      <c r="BK162" s="46">
        <f>=IFERROR(ROUND(BK23/$B162,0),0)</f>
        <v>0</v>
      </c>
      <c r="BL162" s="46">
        <f>=IFERROR(ROUND(BL23/$B162,0),0)</f>
        <v>0</v>
      </c>
      <c r="BM162" s="46">
        <f>=IFERROR(ROUND(BM23/$B162,0),0)</f>
        <v>0</v>
      </c>
      <c r="BN162" s="46">
        <f>=IFERROR(ROUND(BN23/$B162,0),0)</f>
        <v>0</v>
      </c>
      <c r="BO162" s="46">
        <f>=IFERROR(ROUND(BO23/$B162,0),0)</f>
        <v>0</v>
      </c>
      <c r="BP162" s="46">
        <f>=IFERROR(ROUND(BP23/$B162,0),0)</f>
        <v>0</v>
      </c>
      <c r="BQ162" s="46">
        <f>=IFERROR(ROUND(BQ23/$B162,0),0)</f>
        <v>0</v>
      </c>
      <c r="BR162" s="46">
        <f>=IFERROR(ROUND(BR23/$B162,0),0)</f>
        <v>0</v>
      </c>
      <c r="BS162" s="46">
        <f>=IFERROR(ROUND(BS23/$B162,0),0)</f>
        <v>0</v>
      </c>
      <c r="BT162" s="46">
        <f>=IFERROR(ROUND(BT23/$B162,0),0)</f>
        <v>0</v>
      </c>
      <c r="BU162" s="46">
        <f>=IFERROR(ROUND(BU23/$B162,0),0)</f>
        <v>0</v>
      </c>
      <c r="BV162" s="46">
        <f>=IFERROR(ROUND(BV23/$B162,0),0)</f>
        <v>0</v>
      </c>
      <c r="BW162" s="46">
        <f>=IFERROR(ROUND(BW23/$B162,0),0)</f>
        <v>0</v>
      </c>
      <c r="BX162" s="46">
        <f>=IFERROR(ROUND(BX23/$B162,0),0)</f>
        <v>0</v>
      </c>
      <c r="BY162" s="46">
        <f>=IFERROR(ROUND(BY23/$B162,0),0)</f>
        <v>0</v>
      </c>
      <c r="BZ162" s="46">
        <f>=IFERROR(ROUND(BZ23/$B162,0),0)</f>
        <v>0</v>
      </c>
      <c r="CA162" s="46">
        <f>=IFERROR(ROUND(CA23/$B162,0),0)</f>
        <v>0</v>
      </c>
      <c r="CB162" s="46">
        <f>=IFERROR(ROUND(CB23/$B162,0),0)</f>
        <v>0</v>
      </c>
      <c r="CC162" s="46">
        <f>=IFERROR(ROUND(CC23/$B162,0),0)</f>
        <v>0</v>
      </c>
      <c r="CD162" s="46">
        <f>=IFERROR(ROUND(CD23/$B162,0),0)</f>
        <v>0</v>
      </c>
      <c r="CE162" s="46">
        <f>=IFERROR(ROUND(CE23/$B162,0),0)</f>
        <v>0</v>
      </c>
      <c r="CF162" s="46">
        <f>=IFERROR(ROUND(CF23/$B162,0),0)</f>
        <v>0</v>
      </c>
      <c r="CG162" s="46">
        <f>=IFERROR(ROUND(CG23/$B162,0),0)</f>
        <v>0</v>
      </c>
      <c r="CH162" s="46">
        <f>=IFERROR(ROUND(CH23/$B162,0),0)</f>
        <v>0</v>
      </c>
      <c r="CI162" s="46">
        <f>=IFERROR(ROUND(CI23/$B162,0),0)</f>
        <v>0</v>
      </c>
      <c r="CJ162" s="46">
        <f>=IFERROR(ROUND(CJ23/$B162,0),0)</f>
        <v>0</v>
      </c>
      <c r="CK162" s="46">
        <f>=IFERROR(ROUND(CK23/$B162,0),0)</f>
        <v>0</v>
      </c>
      <c r="CL162" s="46">
        <f>=IFERROR(ROUND(CL23/$B162,0),0)</f>
        <v>0</v>
      </c>
      <c r="CM162" s="46">
        <f>=IFERROR(ROUND(CM23/$B162,0),0)</f>
        <v>0</v>
      </c>
      <c r="CN162" s="46">
        <f>=IFERROR(ROUND(CN23/$B162,0),0)</f>
        <v>0</v>
      </c>
      <c r="CO162" s="46">
        <f>=IFERROR(ROUND(CO23/$B162,0),0)</f>
        <v>0</v>
      </c>
      <c r="CP162" s="46">
        <f>=IFERROR(ROUND(CP23/$B162,0),0)</f>
        <v>0</v>
      </c>
      <c r="CQ162" s="46">
        <f>=IFERROR(ROUND(CQ23/$B162,0),0)</f>
        <v>0</v>
      </c>
      <c r="CR162" s="46">
        <f>=IFERROR(ROUND(CR23/$B162,0),0)</f>
        <v>0</v>
      </c>
      <c r="CS162" s="46">
        <f>=IFERROR(ROUND(CS23/$B162,0),0)</f>
        <v>0</v>
      </c>
      <c r="CT162" s="46">
        <f>=IFERROR(ROUND(CT23/$B162,0),0)</f>
        <v>0</v>
      </c>
      <c r="CU162" s="46">
        <f>=IFERROR(ROUND(CU23/$B162,0),0)</f>
        <v>0</v>
      </c>
      <c r="CV162" s="46">
        <f>=IFERROR(ROUND(CV23/$B162,0),0)</f>
        <v>0</v>
      </c>
      <c r="CW162" s="46">
        <f>=IFERROR(ROUND(CW23/$B162,0),0)</f>
        <v>0</v>
      </c>
      <c r="CX162" s="46">
        <f>=IFERROR(ROUND(CX23/$B162,0),0)</f>
        <v>0</v>
      </c>
      <c r="CY162" s="46">
        <f>=IFERROR(ROUND(CY23/$B162,0),0)</f>
        <v>0</v>
      </c>
      <c r="CZ162" s="46">
        <f>=IFERROR(ROUND(CZ23/$B162,0),0)</f>
        <v>0</v>
      </c>
      <c r="DA162" s="46">
        <f>=IFERROR(ROUND(DA23/$B162,0),0)</f>
        <v>0</v>
      </c>
      <c r="DB162" s="46">
        <f>=IFERROR(ROUND(DB23/$B162,0),0)</f>
        <v>0</v>
      </c>
    </row>
    <row r="163" spans="1:106" x14ac:dyDescent="0.25">
      <c r="A163" s="17" t="s">
        <v>365</v>
      </c>
      <c r="B163" s="17">
        <v>15</v>
      </c>
      <c r="C163" s="46">
        <f>=IFERROR(ROUND(C22/$B163,0),0)</f>
        <v>0</v>
      </c>
      <c r="D163" s="46">
        <f>=IFERROR(ROUND(D22/$B163,0),0)</f>
        <v>1</v>
      </c>
      <c r="E163" s="46">
        <f>=IFERROR(ROUND(E22/$B163,0),0)</f>
        <v>1</v>
      </c>
      <c r="F163" s="46">
        <f>=IFERROR(ROUND(F22/$B163,0),0)</f>
        <v>1</v>
      </c>
      <c r="G163" s="46">
        <f>=IFERROR(ROUND(G22/$B163,0),0)</f>
        <v>1</v>
      </c>
      <c r="H163" s="46">
        <f>=IFERROR(ROUND(H22/$B163,0),0)</f>
        <v>0</v>
      </c>
      <c r="I163" s="46">
        <f>=IFERROR(ROUND(I22/$B163,0),0)</f>
        <v>0</v>
      </c>
      <c r="J163" s="46">
        <f>=IFERROR(ROUND(J22/$B163,0),0)</f>
        <v>0</v>
      </c>
      <c r="K163" s="46">
        <f>=IFERROR(ROUND(K22/$B163,0),0)</f>
        <v>0</v>
      </c>
      <c r="L163" s="46">
        <f>=IFERROR(ROUND(L22/$B163,0),0)</f>
        <v>0</v>
      </c>
      <c r="M163" s="46">
        <f>=IFERROR(ROUND(M22/$B163,0),0)</f>
        <v>0</v>
      </c>
      <c r="N163" s="46">
        <f>=IFERROR(ROUND(N22/$B163,0),0)</f>
        <v>0</v>
      </c>
      <c r="O163" s="46">
        <f>=IFERROR(ROUND(O22/$B163,0),0)</f>
        <v>0</v>
      </c>
      <c r="P163" s="46">
        <f>=IFERROR(ROUND(P22/$B163,0),0)</f>
        <v>0</v>
      </c>
      <c r="Q163" s="46">
        <f>=IFERROR(ROUND(Q22/$B163,0),0)</f>
        <v>0</v>
      </c>
      <c r="R163" s="46">
        <f>=IFERROR(ROUND(R22/$B163,0),0)</f>
        <v>0</v>
      </c>
      <c r="S163" s="46">
        <f>=IFERROR(ROUND(S22/$B163,0),0)</f>
        <v>0</v>
      </c>
      <c r="T163" s="46">
        <f>=IFERROR(ROUND(T22/$B163,0),0)</f>
        <v>0</v>
      </c>
      <c r="U163" s="46">
        <f>=IFERROR(ROUND(U22/$B163,0),0)</f>
        <v>0</v>
      </c>
      <c r="V163" s="46">
        <f>=IFERROR(ROUND(V22/$B163,0),0)</f>
        <v>0</v>
      </c>
      <c r="W163" s="46">
        <f>=IFERROR(ROUND(W22/$B163,0),0)</f>
        <v>0</v>
      </c>
      <c r="X163" s="46">
        <f>=IFERROR(ROUND(X22/$B163,0),0)</f>
        <v>0</v>
      </c>
      <c r="Y163" s="46">
        <f>=IFERROR(ROUND(Y22/$B163,0),0)</f>
        <v>0</v>
      </c>
      <c r="Z163" s="46">
        <f>=IFERROR(ROUND(Z22/$B163,0),0)</f>
        <v>0</v>
      </c>
      <c r="AA163" s="46">
        <f>=IFERROR(ROUND(AA22/$B163,0),0)</f>
        <v>0</v>
      </c>
      <c r="AB163" s="46">
        <f>=IFERROR(ROUND(AB22/$B163,0),0)</f>
        <v>0</v>
      </c>
      <c r="AC163" s="46">
        <f>=IFERROR(ROUND(AC22/$B163,0),0)</f>
        <v>0</v>
      </c>
      <c r="AD163" s="46">
        <f>=IFERROR(ROUND(AD22/$B163,0),0)</f>
        <v>0</v>
      </c>
      <c r="AE163" s="46">
        <f>=IFERROR(ROUND(AE22/$B163,0),0)</f>
        <v>0</v>
      </c>
      <c r="AF163" s="46">
        <f>=IFERROR(ROUND(AF22/$B163,0),0)</f>
        <v>0</v>
      </c>
      <c r="AG163" s="46">
        <f>=IFERROR(ROUND(AG22/$B163,0),0)</f>
        <v>0</v>
      </c>
      <c r="AH163" s="46">
        <f>=IFERROR(ROUND(AH22/$B163,0),0)</f>
        <v>0</v>
      </c>
      <c r="AI163" s="46">
        <f>=IFERROR(ROUND(AI22/$B163,0),0)</f>
        <v>0</v>
      </c>
      <c r="AJ163" s="46">
        <f>=IFERROR(ROUND(AJ22/$B163,0),0)</f>
        <v>0</v>
      </c>
      <c r="AK163" s="46">
        <f>=IFERROR(ROUND(AK22/$B163,0),0)</f>
        <v>0</v>
      </c>
      <c r="AL163" s="46">
        <f>=IFERROR(ROUND(AL22/$B163,0),0)</f>
        <v>0</v>
      </c>
      <c r="AM163" s="46">
        <f>=IFERROR(ROUND(AM22/$B163,0),0)</f>
        <v>1</v>
      </c>
      <c r="AN163" s="46">
        <f>=IFERROR(ROUND(AN22/$B163,0),0)</f>
        <v>1</v>
      </c>
      <c r="AO163" s="46">
        <f>=IFERROR(ROUND(AO22/$B163,0),0)</f>
        <v>1</v>
      </c>
      <c r="AP163" s="46">
        <f>=IFERROR(ROUND(AP22/$B163,0),0)</f>
        <v>1</v>
      </c>
      <c r="AQ163" s="46">
        <f>=IFERROR(ROUND(AQ22/$B163,0),0)</f>
        <v>0</v>
      </c>
      <c r="AR163" s="46">
        <f>=IFERROR(ROUND(AR22/$B163,0),0)</f>
        <v>0</v>
      </c>
      <c r="AS163" s="46">
        <f>=IFERROR(ROUND(AS22/$B163,0),0)</f>
        <v>0</v>
      </c>
      <c r="AT163" s="46">
        <f>=IFERROR(ROUND(AT22/$B163,0),0)</f>
        <v>0</v>
      </c>
      <c r="AU163" s="46">
        <f>=IFERROR(ROUND(AU22/$B163,0),0)</f>
        <v>1</v>
      </c>
      <c r="AV163" s="46">
        <f>=IFERROR(ROUND(AV22/$B163,0),0)</f>
        <v>1</v>
      </c>
      <c r="AW163" s="46">
        <f>=IFERROR(ROUND(AW22/$B163,0),0)</f>
        <v>0</v>
      </c>
      <c r="AX163" s="46">
        <f>=IFERROR(ROUND(AX22/$B163,0),0)</f>
        <v>0</v>
      </c>
      <c r="AY163" s="46">
        <f>=IFERROR(ROUND(AY22/$B163,0),0)</f>
        <v>1</v>
      </c>
      <c r="AZ163" s="46">
        <f>=IFERROR(ROUND(AZ22/$B163,0),0)</f>
        <v>1</v>
      </c>
      <c r="BA163" s="46">
        <f>=IFERROR(ROUND(BA22/$B163,0),0)</f>
        <v>0</v>
      </c>
      <c r="BB163" s="46">
        <f>=IFERROR(ROUND(BB22/$B163,0),0)</f>
        <v>0</v>
      </c>
      <c r="BC163" s="46">
        <f>=IFERROR(ROUND(BC22/$B163,0),0)</f>
        <v>0</v>
      </c>
      <c r="BD163" s="46">
        <f>=IFERROR(ROUND(BD22/$B163,0),0)</f>
        <v>1</v>
      </c>
      <c r="BE163" s="46">
        <f>=IFERROR(ROUND(BE22/$B163,0),0)</f>
        <v>1</v>
      </c>
      <c r="BF163" s="46">
        <f>=IFERROR(ROUND(BF22/$B163,0),0)</f>
        <v>0</v>
      </c>
      <c r="BG163" s="46">
        <f>=IFERROR(ROUND(BG22/$B163,0),0)</f>
        <v>0</v>
      </c>
      <c r="BH163" s="46">
        <f>=IFERROR(ROUND(BH22/$B163,0),0)</f>
        <v>0</v>
      </c>
      <c r="BI163" s="46">
        <f>=IFERROR(ROUND(BI22/$B163,0),0)</f>
        <v>0</v>
      </c>
      <c r="BJ163" s="46">
        <f>=IFERROR(ROUND(BJ22/$B163,0),0)</f>
        <v>0</v>
      </c>
      <c r="BK163" s="46">
        <f>=IFERROR(ROUND(BK22/$B163,0),0)</f>
        <v>0</v>
      </c>
      <c r="BL163" s="46">
        <f>=IFERROR(ROUND(BL22/$B163,0),0)</f>
        <v>0</v>
      </c>
      <c r="BM163" s="46">
        <f>=IFERROR(ROUND(BM22/$B163,0),0)</f>
        <v>0</v>
      </c>
      <c r="BN163" s="46">
        <f>=IFERROR(ROUND(BN22/$B163,0),0)</f>
        <v>0</v>
      </c>
      <c r="BO163" s="46">
        <f>=IFERROR(ROUND(BO22/$B163,0),0)</f>
        <v>0</v>
      </c>
      <c r="BP163" s="46">
        <f>=IFERROR(ROUND(BP22/$B163,0),0)</f>
        <v>0</v>
      </c>
      <c r="BQ163" s="46">
        <f>=IFERROR(ROUND(BQ22/$B163,0),0)</f>
        <v>0</v>
      </c>
      <c r="BR163" s="46">
        <f>=IFERROR(ROUND(BR22/$B163,0),0)</f>
        <v>0</v>
      </c>
      <c r="BS163" s="46">
        <f>=IFERROR(ROUND(BS22/$B163,0),0)</f>
        <v>0</v>
      </c>
      <c r="BT163" s="46">
        <f>=IFERROR(ROUND(BT22/$B163,0),0)</f>
        <v>0</v>
      </c>
      <c r="BU163" s="46">
        <f>=IFERROR(ROUND(BU22/$B163,0),0)</f>
        <v>0</v>
      </c>
      <c r="BV163" s="46">
        <f>=IFERROR(ROUND(BV22/$B163,0),0)</f>
        <v>0</v>
      </c>
      <c r="BW163" s="46">
        <f>=IFERROR(ROUND(BW22/$B163,0),0)</f>
        <v>0</v>
      </c>
      <c r="BX163" s="46">
        <f>=IFERROR(ROUND(BX22/$B163,0),0)</f>
        <v>0</v>
      </c>
      <c r="BY163" s="46">
        <f>=IFERROR(ROUND(BY22/$B163,0),0)</f>
        <v>0</v>
      </c>
      <c r="BZ163" s="46">
        <f>=IFERROR(ROUND(BZ22/$B163,0),0)</f>
        <v>0</v>
      </c>
      <c r="CA163" s="46">
        <f>=IFERROR(ROUND(CA22/$B163,0),0)</f>
        <v>0</v>
      </c>
      <c r="CB163" s="46">
        <f>=IFERROR(ROUND(CB22/$B163,0),0)</f>
        <v>0</v>
      </c>
      <c r="CC163" s="46">
        <f>=IFERROR(ROUND(CC22/$B163,0),0)</f>
        <v>0</v>
      </c>
      <c r="CD163" s="46">
        <f>=IFERROR(ROUND(CD22/$B163,0),0)</f>
        <v>0</v>
      </c>
      <c r="CE163" s="46">
        <f>=IFERROR(ROUND(CE22/$B163,0),0)</f>
        <v>0</v>
      </c>
      <c r="CF163" s="46">
        <f>=IFERROR(ROUND(CF22/$B163,0),0)</f>
        <v>0</v>
      </c>
      <c r="CG163" s="46">
        <f>=IFERROR(ROUND(CG22/$B163,0),0)</f>
        <v>0</v>
      </c>
      <c r="CH163" s="46">
        <f>=IFERROR(ROUND(CH22/$B163,0),0)</f>
        <v>0</v>
      </c>
      <c r="CI163" s="46">
        <f>=IFERROR(ROUND(CI22/$B163,0),0)</f>
        <v>0</v>
      </c>
      <c r="CJ163" s="46">
        <f>=IFERROR(ROUND(CJ22/$B163,0),0)</f>
        <v>0</v>
      </c>
      <c r="CK163" s="46">
        <f>=IFERROR(ROUND(CK22/$B163,0),0)</f>
        <v>0</v>
      </c>
      <c r="CL163" s="46">
        <f>=IFERROR(ROUND(CL22/$B163,0),0)</f>
        <v>0</v>
      </c>
      <c r="CM163" s="46">
        <f>=IFERROR(ROUND(CM22/$B163,0),0)</f>
        <v>0</v>
      </c>
      <c r="CN163" s="46">
        <f>=IFERROR(ROUND(CN22/$B163,0),0)</f>
        <v>0</v>
      </c>
      <c r="CO163" s="46">
        <f>=IFERROR(ROUND(CO22/$B163,0),0)</f>
        <v>0</v>
      </c>
      <c r="CP163" s="46">
        <f>=IFERROR(ROUND(CP22/$B163,0),0)</f>
        <v>0</v>
      </c>
      <c r="CQ163" s="46">
        <f>=IFERROR(ROUND(CQ22/$B163,0),0)</f>
        <v>0</v>
      </c>
      <c r="CR163" s="46">
        <f>=IFERROR(ROUND(CR22/$B163,0),0)</f>
        <v>0</v>
      </c>
      <c r="CS163" s="46">
        <f>=IFERROR(ROUND(CS22/$B163,0),0)</f>
        <v>0</v>
      </c>
      <c r="CT163" s="46">
        <f>=IFERROR(ROUND(CT22/$B163,0),0)</f>
        <v>0</v>
      </c>
      <c r="CU163" s="46">
        <f>=IFERROR(ROUND(CU22/$B163,0),0)</f>
        <v>0</v>
      </c>
      <c r="CV163" s="46">
        <f>=IFERROR(ROUND(CV22/$B163,0),0)</f>
        <v>0</v>
      </c>
      <c r="CW163" s="46">
        <f>=IFERROR(ROUND(CW22/$B163,0),0)</f>
        <v>0</v>
      </c>
      <c r="CX163" s="46">
        <f>=IFERROR(ROUND(CX22/$B163,0),0)</f>
        <v>0</v>
      </c>
      <c r="CY163" s="46">
        <f>=IFERROR(ROUND(CY22/$B163,0),0)</f>
        <v>0</v>
      </c>
      <c r="CZ163" s="46">
        <f>=IFERROR(ROUND(CZ22/$B163,0),0)</f>
        <v>0</v>
      </c>
      <c r="DA163" s="46">
        <f>=IFERROR(ROUND(DA22/$B163,0),0)</f>
        <v>0</v>
      </c>
      <c r="DB163" s="46">
        <f>=IFERROR(ROUND(DB22/$B163,0),0)</f>
        <v>0</v>
      </c>
    </row>
    <row r="164" spans="3:106" x14ac:dyDescent="0.25"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30"/>
      <c r="BD164" s="30"/>
      <c r="BE164" s="30"/>
      <c r="BF164" s="30"/>
      <c r="BG164" s="30"/>
      <c r="BH164" s="30"/>
      <c r="BI164" s="30"/>
      <c r="BJ164" s="30"/>
      <c r="BK164" s="30"/>
      <c r="BL164" s="30"/>
      <c r="BM164" s="30"/>
      <c r="BN164" s="30"/>
      <c r="BO164" s="30"/>
      <c r="BP164" s="30"/>
      <c r="BQ164" s="30"/>
      <c r="BR164" s="30"/>
      <c r="BS164" s="30"/>
      <c r="BT164" s="30"/>
      <c r="BU164" s="30"/>
      <c r="BV164" s="30"/>
      <c r="BW164" s="30"/>
      <c r="BX164" s="30"/>
      <c r="BY164" s="30"/>
      <c r="BZ164" s="30"/>
      <c r="CA164" s="30"/>
      <c r="CB164" s="30"/>
      <c r="CC164" s="30"/>
      <c r="CD164" s="30"/>
      <c r="CE164" s="30"/>
      <c r="CF164" s="30"/>
      <c r="CG164" s="30"/>
      <c r="CH164" s="30"/>
      <c r="CI164" s="30"/>
      <c r="CJ164" s="30"/>
      <c r="CK164" s="30"/>
      <c r="CL164" s="30"/>
      <c r="CM164" s="30"/>
      <c r="CN164" s="30"/>
      <c r="CO164" s="30"/>
      <c r="CP164" s="30"/>
      <c r="CQ164" s="30"/>
      <c r="CR164" s="30"/>
      <c r="CS164" s="30"/>
      <c r="CT164" s="30"/>
      <c r="CU164" s="30"/>
      <c r="CV164" s="30"/>
      <c r="CW164" s="30"/>
      <c r="CX164" s="30"/>
      <c r="CY164" s="30"/>
      <c r="CZ164" s="30"/>
      <c r="DA164" s="30"/>
      <c r="DB164" s="30"/>
    </row>
    <row r="165" spans="1:106" x14ac:dyDescent="0.25">
      <c r="A165" s="33" t="s">
        <v>366</v>
      </c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30"/>
      <c r="BD165" s="30"/>
      <c r="BE165" s="30"/>
      <c r="BF165" s="30"/>
      <c r="BG165" s="30"/>
      <c r="BH165" s="30"/>
      <c r="BI165" s="30"/>
      <c r="BJ165" s="30"/>
      <c r="BK165" s="30"/>
      <c r="BL165" s="30"/>
      <c r="BM165" s="30"/>
      <c r="BN165" s="30"/>
      <c r="BO165" s="30"/>
      <c r="BP165" s="30"/>
      <c r="BQ165" s="30"/>
      <c r="BR165" s="30"/>
      <c r="BS165" s="30"/>
      <c r="BT165" s="30"/>
      <c r="BU165" s="30"/>
      <c r="BV165" s="30"/>
      <c r="BW165" s="30"/>
      <c r="BX165" s="30"/>
      <c r="BY165" s="30"/>
      <c r="BZ165" s="30"/>
      <c r="CA165" s="30"/>
      <c r="CB165" s="30"/>
      <c r="CC165" s="30"/>
      <c r="CD165" s="30"/>
      <c r="CE165" s="30"/>
      <c r="CF165" s="30"/>
      <c r="CG165" s="30"/>
      <c r="CH165" s="30"/>
      <c r="CI165" s="30"/>
      <c r="CJ165" s="30"/>
      <c r="CK165" s="30"/>
      <c r="CL165" s="30"/>
      <c r="CM165" s="30"/>
      <c r="CN165" s="30"/>
      <c r="CO165" s="30"/>
      <c r="CP165" s="30"/>
      <c r="CQ165" s="30"/>
      <c r="CR165" s="30"/>
      <c r="CS165" s="30"/>
      <c r="CT165" s="30"/>
      <c r="CU165" s="30"/>
      <c r="CV165" s="30"/>
      <c r="CW165" s="30"/>
      <c r="CX165" s="30"/>
      <c r="CY165" s="30"/>
      <c r="CZ165" s="30"/>
      <c r="DA165" s="30"/>
      <c r="DB165" s="30"/>
    </row>
    <row r="166" spans="1:106" x14ac:dyDescent="0.25">
      <c r="A166" s="17" t="s">
        <v>367</v>
      </c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  <c r="BA166" s="30"/>
      <c r="BB166" s="30"/>
      <c r="BC166" s="30"/>
      <c r="BD166" s="30"/>
      <c r="BE166" s="30"/>
      <c r="BF166" s="30"/>
      <c r="BG166" s="30"/>
      <c r="BH166" s="30"/>
      <c r="BI166" s="30"/>
      <c r="BJ166" s="30"/>
      <c r="BK166" s="30"/>
      <c r="BL166" s="30"/>
      <c r="BM166" s="30"/>
      <c r="BN166" s="30"/>
      <c r="BO166" s="30"/>
      <c r="BP166" s="30"/>
      <c r="BQ166" s="30"/>
      <c r="BR166" s="30"/>
      <c r="BS166" s="30"/>
      <c r="BT166" s="30"/>
      <c r="BU166" s="30"/>
      <c r="BV166" s="30"/>
      <c r="BW166" s="30"/>
      <c r="BX166" s="30"/>
      <c r="BY166" s="30"/>
      <c r="BZ166" s="30"/>
      <c r="CA166" s="30"/>
      <c r="CB166" s="30"/>
      <c r="CC166" s="30"/>
      <c r="CD166" s="30"/>
      <c r="CE166" s="30"/>
      <c r="CF166" s="30"/>
      <c r="CG166" s="30"/>
      <c r="CH166" s="30"/>
      <c r="CI166" s="30"/>
      <c r="CJ166" s="30"/>
      <c r="CK166" s="30"/>
      <c r="CL166" s="30"/>
      <c r="CM166" s="30"/>
      <c r="CN166" s="30"/>
      <c r="CO166" s="30"/>
      <c r="CP166" s="30"/>
      <c r="CQ166" s="30"/>
      <c r="CR166" s="30"/>
      <c r="CS166" s="30"/>
      <c r="CT166" s="30"/>
      <c r="CU166" s="30"/>
      <c r="CV166" s="30"/>
      <c r="CW166" s="30"/>
      <c r="CX166" s="30"/>
      <c r="CY166" s="30"/>
      <c r="CZ166" s="30"/>
      <c r="DA166" s="30"/>
      <c r="DB166" s="30"/>
    </row>
    <row r="167" spans="1:106" x14ac:dyDescent="0.25">
      <c r="A167" s="17" t="s">
        <v>357</v>
      </c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  <c r="BC167" s="30"/>
      <c r="BD167" s="30"/>
      <c r="BE167" s="30"/>
      <c r="BF167" s="30"/>
      <c r="BG167" s="30"/>
      <c r="BH167" s="30"/>
      <c r="BI167" s="30"/>
      <c r="BJ167" s="30"/>
      <c r="BK167" s="30"/>
      <c r="BL167" s="30"/>
      <c r="BM167" s="30"/>
      <c r="BN167" s="30"/>
      <c r="BO167" s="30"/>
      <c r="BP167" s="30"/>
      <c r="BQ167" s="30"/>
      <c r="BR167" s="30"/>
      <c r="BS167" s="30"/>
      <c r="BT167" s="30"/>
      <c r="BU167" s="30"/>
      <c r="BV167" s="30"/>
      <c r="BW167" s="30"/>
      <c r="BX167" s="30"/>
      <c r="BY167" s="30"/>
      <c r="BZ167" s="30"/>
      <c r="CA167" s="30"/>
      <c r="CB167" s="30"/>
      <c r="CC167" s="30"/>
      <c r="CD167" s="30"/>
      <c r="CE167" s="30"/>
      <c r="CF167" s="30"/>
      <c r="CG167" s="30"/>
      <c r="CH167" s="30"/>
      <c r="CI167" s="30"/>
      <c r="CJ167" s="30"/>
      <c r="CK167" s="30"/>
      <c r="CL167" s="30"/>
      <c r="CM167" s="30"/>
      <c r="CN167" s="30"/>
      <c r="CO167" s="30"/>
      <c r="CP167" s="30"/>
      <c r="CQ167" s="30"/>
      <c r="CR167" s="30"/>
      <c r="CS167" s="30"/>
      <c r="CT167" s="30"/>
      <c r="CU167" s="30"/>
      <c r="CV167" s="30"/>
      <c r="CW167" s="30"/>
      <c r="CX167" s="30"/>
      <c r="CY167" s="30"/>
      <c r="CZ167" s="30"/>
      <c r="DA167" s="30"/>
      <c r="DB167" s="30"/>
    </row>
    <row r="168" spans="1:106" x14ac:dyDescent="0.25">
      <c r="A168" s="17" t="s">
        <v>358</v>
      </c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  <c r="BA168" s="30"/>
      <c r="BB168" s="30"/>
      <c r="BC168" s="30"/>
      <c r="BD168" s="30"/>
      <c r="BE168" s="30"/>
      <c r="BF168" s="30"/>
      <c r="BG168" s="30"/>
      <c r="BH168" s="30"/>
      <c r="BI168" s="30"/>
      <c r="BJ168" s="30"/>
      <c r="BK168" s="30"/>
      <c r="BL168" s="30"/>
      <c r="BM168" s="30"/>
      <c r="BN168" s="30"/>
      <c r="BO168" s="30"/>
      <c r="BP168" s="30"/>
      <c r="BQ168" s="30"/>
      <c r="BR168" s="30"/>
      <c r="BS168" s="30"/>
      <c r="BT168" s="30"/>
      <c r="BU168" s="30"/>
      <c r="BV168" s="30"/>
      <c r="BW168" s="30"/>
      <c r="BX168" s="30"/>
      <c r="BY168" s="30"/>
      <c r="BZ168" s="30"/>
      <c r="CA168" s="30"/>
      <c r="CB168" s="30"/>
      <c r="CC168" s="30"/>
      <c r="CD168" s="30"/>
      <c r="CE168" s="30"/>
      <c r="CF168" s="30"/>
      <c r="CG168" s="30"/>
      <c r="CH168" s="30"/>
      <c r="CI168" s="30"/>
      <c r="CJ168" s="30"/>
      <c r="CK168" s="30"/>
      <c r="CL168" s="30"/>
      <c r="CM168" s="30"/>
      <c r="CN168" s="30"/>
      <c r="CO168" s="30"/>
      <c r="CP168" s="30"/>
      <c r="CQ168" s="30"/>
      <c r="CR168" s="30"/>
      <c r="CS168" s="30"/>
      <c r="CT168" s="30"/>
      <c r="CU168" s="30"/>
      <c r="CV168" s="30"/>
      <c r="CW168" s="30"/>
      <c r="CX168" s="30"/>
      <c r="CY168" s="30"/>
      <c r="CZ168" s="30"/>
      <c r="DA168" s="30"/>
      <c r="DB168" s="30"/>
    </row>
    <row r="169" spans="1:106" x14ac:dyDescent="0.25">
      <c r="A169" s="17" t="s">
        <v>359</v>
      </c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  <c r="BA169" s="30"/>
      <c r="BB169" s="30"/>
      <c r="BC169" s="30"/>
      <c r="BD169" s="30"/>
      <c r="BE169" s="30"/>
      <c r="BF169" s="30"/>
      <c r="BG169" s="30"/>
      <c r="BH169" s="30"/>
      <c r="BI169" s="30"/>
      <c r="BJ169" s="30"/>
      <c r="BK169" s="30"/>
      <c r="BL169" s="30"/>
      <c r="BM169" s="30"/>
      <c r="BN169" s="30"/>
      <c r="BO169" s="30"/>
      <c r="BP169" s="30"/>
      <c r="BQ169" s="30"/>
      <c r="BR169" s="30"/>
      <c r="BS169" s="30"/>
      <c r="BT169" s="30"/>
      <c r="BU169" s="30"/>
      <c r="BV169" s="30"/>
      <c r="BW169" s="30"/>
      <c r="BX169" s="30"/>
      <c r="BY169" s="30"/>
      <c r="BZ169" s="30"/>
      <c r="CA169" s="30"/>
      <c r="CB169" s="30"/>
      <c r="CC169" s="30"/>
      <c r="CD169" s="30"/>
      <c r="CE169" s="30"/>
      <c r="CF169" s="30"/>
      <c r="CG169" s="30"/>
      <c r="CH169" s="30"/>
      <c r="CI169" s="30"/>
      <c r="CJ169" s="30"/>
      <c r="CK169" s="30"/>
      <c r="CL169" s="30"/>
      <c r="CM169" s="30"/>
      <c r="CN169" s="30"/>
      <c r="CO169" s="30"/>
      <c r="CP169" s="30"/>
      <c r="CQ169" s="30"/>
      <c r="CR169" s="30"/>
      <c r="CS169" s="30"/>
      <c r="CT169" s="30"/>
      <c r="CU169" s="30"/>
      <c r="CV169" s="30"/>
      <c r="CW169" s="30"/>
      <c r="CX169" s="30"/>
      <c r="CY169" s="30"/>
      <c r="CZ169" s="30"/>
      <c r="DA169" s="30"/>
      <c r="DB169" s="30"/>
    </row>
    <row r="170" spans="1:106" x14ac:dyDescent="0.25">
      <c r="A170" s="17" t="s">
        <v>360</v>
      </c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  <c r="BF170" s="30"/>
      <c r="BG170" s="30"/>
      <c r="BH170" s="30"/>
      <c r="BI170" s="30"/>
      <c r="BJ170" s="30"/>
      <c r="BK170" s="30"/>
      <c r="BL170" s="30"/>
      <c r="BM170" s="30"/>
      <c r="BN170" s="30"/>
      <c r="BO170" s="30"/>
      <c r="BP170" s="30"/>
      <c r="BQ170" s="30"/>
      <c r="BR170" s="30"/>
      <c r="BS170" s="30"/>
      <c r="BT170" s="30"/>
      <c r="BU170" s="30"/>
      <c r="BV170" s="30"/>
      <c r="BW170" s="30"/>
      <c r="BX170" s="30"/>
      <c r="BY170" s="30"/>
      <c r="BZ170" s="30"/>
      <c r="CA170" s="30"/>
      <c r="CB170" s="30"/>
      <c r="CC170" s="30"/>
      <c r="CD170" s="30"/>
      <c r="CE170" s="30"/>
      <c r="CF170" s="30"/>
      <c r="CG170" s="30"/>
      <c r="CH170" s="30"/>
      <c r="CI170" s="30"/>
      <c r="CJ170" s="30"/>
      <c r="CK170" s="30"/>
      <c r="CL170" s="30"/>
      <c r="CM170" s="30"/>
      <c r="CN170" s="30"/>
      <c r="CO170" s="30"/>
      <c r="CP170" s="30"/>
      <c r="CQ170" s="30"/>
      <c r="CR170" s="30"/>
      <c r="CS170" s="30"/>
      <c r="CT170" s="30"/>
      <c r="CU170" s="30"/>
      <c r="CV170" s="30"/>
      <c r="CW170" s="30"/>
      <c r="CX170" s="30"/>
      <c r="CY170" s="30"/>
      <c r="CZ170" s="30"/>
      <c r="DA170" s="30"/>
      <c r="DB170" s="30"/>
    </row>
    <row r="171" spans="1:106" x14ac:dyDescent="0.25">
      <c r="A171" s="17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  <c r="BA171" s="30"/>
      <c r="BB171" s="30"/>
      <c r="BC171" s="30"/>
      <c r="BD171" s="30"/>
      <c r="BE171" s="30"/>
      <c r="BF171" s="30"/>
      <c r="BG171" s="30"/>
      <c r="BH171" s="30"/>
      <c r="BI171" s="30"/>
      <c r="BJ171" s="30"/>
      <c r="BK171" s="30"/>
      <c r="BL171" s="30"/>
      <c r="BM171" s="30"/>
      <c r="BN171" s="30"/>
      <c r="BO171" s="30"/>
      <c r="BP171" s="30"/>
      <c r="BQ171" s="30"/>
      <c r="BR171" s="30"/>
      <c r="BS171" s="30"/>
      <c r="BT171" s="30"/>
      <c r="BU171" s="30"/>
      <c r="BV171" s="30"/>
      <c r="BW171" s="30"/>
      <c r="BX171" s="30"/>
      <c r="BY171" s="30"/>
      <c r="BZ171" s="30"/>
      <c r="CA171" s="30"/>
      <c r="CB171" s="30"/>
      <c r="CC171" s="30"/>
      <c r="CD171" s="30"/>
      <c r="CE171" s="30"/>
      <c r="CF171" s="30"/>
      <c r="CG171" s="30"/>
      <c r="CH171" s="30"/>
      <c r="CI171" s="30"/>
      <c r="CJ171" s="30"/>
      <c r="CK171" s="30"/>
      <c r="CL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</row>
    <row r="172" spans="1:106" x14ac:dyDescent="0.25">
      <c r="A172" s="33" t="s">
        <v>368</v>
      </c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  <c r="BA172" s="30"/>
      <c r="BB172" s="30"/>
      <c r="BC172" s="30"/>
      <c r="BD172" s="30"/>
      <c r="BE172" s="30"/>
      <c r="BF172" s="30"/>
      <c r="BG172" s="30"/>
      <c r="BH172" s="30"/>
      <c r="BI172" s="30"/>
      <c r="BJ172" s="30"/>
      <c r="BK172" s="30"/>
      <c r="BL172" s="30"/>
      <c r="BM172" s="30"/>
      <c r="BN172" s="30"/>
      <c r="BO172" s="30"/>
      <c r="BP172" s="30"/>
      <c r="BQ172" s="30"/>
      <c r="BR172" s="30"/>
      <c r="BS172" s="30"/>
      <c r="BT172" s="30"/>
      <c r="BU172" s="30"/>
      <c r="BV172" s="30"/>
      <c r="BW172" s="30"/>
      <c r="BX172" s="30"/>
      <c r="BY172" s="30"/>
      <c r="BZ172" s="30"/>
      <c r="CA172" s="30"/>
      <c r="CB172" s="30"/>
      <c r="CC172" s="30"/>
      <c r="CD172" s="30"/>
      <c r="CE172" s="30"/>
      <c r="CF172" s="30"/>
      <c r="CG172" s="30"/>
      <c r="CH172" s="30"/>
      <c r="CI172" s="30"/>
      <c r="CJ172" s="30"/>
      <c r="CK172" s="30"/>
      <c r="CL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</row>
    <row r="173" spans="1:106" x14ac:dyDescent="0.25">
      <c r="A173" s="17" t="s">
        <v>367</v>
      </c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  <c r="BA173" s="30"/>
      <c r="BB173" s="30"/>
      <c r="BC173" s="30"/>
      <c r="BD173" s="30"/>
      <c r="BE173" s="30"/>
      <c r="BF173" s="30"/>
      <c r="BG173" s="30"/>
      <c r="BH173" s="30"/>
      <c r="BI173" s="30"/>
      <c r="BJ173" s="30"/>
      <c r="BK173" s="30"/>
      <c r="BL173" s="30"/>
      <c r="BM173" s="30"/>
      <c r="BN173" s="30"/>
      <c r="BO173" s="30"/>
      <c r="BP173" s="30"/>
      <c r="BQ173" s="30"/>
      <c r="BR173" s="30"/>
      <c r="BS173" s="30"/>
      <c r="BT173" s="30"/>
      <c r="BU173" s="30"/>
      <c r="BV173" s="30"/>
      <c r="BW173" s="30"/>
      <c r="BX173" s="30"/>
      <c r="BY173" s="30"/>
      <c r="BZ173" s="30"/>
      <c r="CA173" s="30"/>
      <c r="CB173" s="30"/>
      <c r="CC173" s="30"/>
      <c r="CD173" s="30"/>
      <c r="CE173" s="30"/>
      <c r="CF173" s="30"/>
      <c r="CG173" s="30"/>
      <c r="CH173" s="30"/>
      <c r="CI173" s="30"/>
      <c r="CJ173" s="30"/>
      <c r="CK173" s="30"/>
      <c r="CL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</row>
    <row r="174" spans="1:106" x14ac:dyDescent="0.25">
      <c r="A174" s="17" t="s">
        <v>357</v>
      </c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  <c r="BA174" s="30"/>
      <c r="BB174" s="30"/>
      <c r="BC174" s="30"/>
      <c r="BD174" s="30"/>
      <c r="BE174" s="30"/>
      <c r="BF174" s="30"/>
      <c r="BG174" s="30"/>
      <c r="BH174" s="30"/>
      <c r="BI174" s="30"/>
      <c r="BJ174" s="30"/>
      <c r="BK174" s="30"/>
      <c r="BL174" s="30"/>
      <c r="BM174" s="30"/>
      <c r="BN174" s="30"/>
      <c r="BO174" s="30"/>
      <c r="BP174" s="30"/>
      <c r="BQ174" s="30"/>
      <c r="BR174" s="30"/>
      <c r="BS174" s="30"/>
      <c r="BT174" s="30"/>
      <c r="BU174" s="30"/>
      <c r="BV174" s="30"/>
      <c r="BW174" s="30"/>
      <c r="BX174" s="30"/>
      <c r="BY174" s="30"/>
      <c r="BZ174" s="30"/>
      <c r="CA174" s="30"/>
      <c r="CB174" s="30"/>
      <c r="CC174" s="30"/>
      <c r="CD174" s="30"/>
      <c r="CE174" s="30"/>
      <c r="CF174" s="30"/>
      <c r="CG174" s="30"/>
      <c r="CH174" s="30"/>
      <c r="CI174" s="30"/>
      <c r="CJ174" s="30"/>
      <c r="CK174" s="30"/>
      <c r="CL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</row>
    <row r="175" spans="1:106" x14ac:dyDescent="0.25">
      <c r="A175" s="17" t="s">
        <v>358</v>
      </c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  <c r="BA175" s="30"/>
      <c r="BB175" s="30"/>
      <c r="BC175" s="30"/>
      <c r="BD175" s="30"/>
      <c r="BE175" s="30"/>
      <c r="BF175" s="30"/>
      <c r="BG175" s="30"/>
      <c r="BH175" s="30"/>
      <c r="BI175" s="30"/>
      <c r="BJ175" s="30"/>
      <c r="BK175" s="30"/>
      <c r="BL175" s="30"/>
      <c r="BM175" s="30"/>
      <c r="BN175" s="30"/>
      <c r="BO175" s="30"/>
      <c r="BP175" s="30"/>
      <c r="BQ175" s="30"/>
      <c r="BR175" s="30"/>
      <c r="BS175" s="30"/>
      <c r="BT175" s="30"/>
      <c r="BU175" s="30"/>
      <c r="BV175" s="30"/>
      <c r="BW175" s="30"/>
      <c r="BX175" s="30"/>
      <c r="BY175" s="30"/>
      <c r="BZ175" s="30"/>
      <c r="CA175" s="30"/>
      <c r="CB175" s="30"/>
      <c r="CC175" s="30"/>
      <c r="CD175" s="30"/>
      <c r="CE175" s="30"/>
      <c r="CF175" s="30"/>
      <c r="CG175" s="30"/>
      <c r="CH175" s="30"/>
      <c r="CI175" s="30"/>
      <c r="CJ175" s="30"/>
      <c r="CK175" s="30"/>
      <c r="CL175" s="30"/>
      <c r="CM175" s="30"/>
      <c r="CN175" s="30"/>
      <c r="CO175" s="30"/>
      <c r="CP175" s="30"/>
      <c r="CQ175" s="30"/>
      <c r="CR175" s="30"/>
      <c r="CS175" s="30"/>
      <c r="CT175" s="30"/>
      <c r="CU175" s="30"/>
      <c r="CV175" s="30"/>
      <c r="CW175" s="30"/>
      <c r="CX175" s="30"/>
      <c r="CY175" s="30"/>
      <c r="CZ175" s="30"/>
      <c r="DA175" s="30"/>
      <c r="DB175" s="30"/>
    </row>
    <row r="176" spans="1:106" x14ac:dyDescent="0.25">
      <c r="A176" s="17" t="s">
        <v>359</v>
      </c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  <c r="BA176" s="30"/>
      <c r="BB176" s="30"/>
      <c r="BC176" s="30"/>
      <c r="BD176" s="30"/>
      <c r="BE176" s="30"/>
      <c r="BF176" s="30"/>
      <c r="BG176" s="30"/>
      <c r="BH176" s="30"/>
      <c r="BI176" s="30"/>
      <c r="BJ176" s="30"/>
      <c r="BK176" s="30"/>
      <c r="BL176" s="30"/>
      <c r="BM176" s="30"/>
      <c r="BN176" s="30"/>
      <c r="BO176" s="30"/>
      <c r="BP176" s="30"/>
      <c r="BQ176" s="30"/>
      <c r="BR176" s="30"/>
      <c r="BS176" s="30"/>
      <c r="BT176" s="30"/>
      <c r="BU176" s="30"/>
      <c r="BV176" s="30"/>
      <c r="BW176" s="30"/>
      <c r="BX176" s="30"/>
      <c r="BY176" s="30"/>
      <c r="BZ176" s="30"/>
      <c r="CA176" s="30"/>
      <c r="CB176" s="30"/>
      <c r="CC176" s="30"/>
      <c r="CD176" s="30"/>
      <c r="CE176" s="30"/>
      <c r="CF176" s="30"/>
      <c r="CG176" s="30"/>
      <c r="CH176" s="30"/>
      <c r="CI176" s="30"/>
      <c r="CJ176" s="30"/>
      <c r="CK176" s="30"/>
      <c r="CL176" s="30"/>
      <c r="CM176" s="30"/>
      <c r="CN176" s="30"/>
      <c r="CO176" s="30"/>
      <c r="CP176" s="30"/>
      <c r="CQ176" s="30"/>
      <c r="CR176" s="30"/>
      <c r="CS176" s="30"/>
      <c r="CT176" s="30"/>
      <c r="CU176" s="30"/>
      <c r="CV176" s="30"/>
      <c r="CW176" s="30"/>
      <c r="CX176" s="30"/>
      <c r="CY176" s="30"/>
      <c r="CZ176" s="30"/>
      <c r="DA176" s="30"/>
      <c r="DB176" s="30"/>
    </row>
    <row r="177" spans="1:106" x14ac:dyDescent="0.25">
      <c r="A177" s="17" t="s">
        <v>360</v>
      </c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  <c r="AW177" s="30"/>
      <c r="AX177" s="30"/>
      <c r="AY177" s="30"/>
      <c r="AZ177" s="30"/>
      <c r="BA177" s="30"/>
      <c r="BB177" s="30"/>
      <c r="BC177" s="30"/>
      <c r="BD177" s="30"/>
      <c r="BE177" s="30"/>
      <c r="BF177" s="30"/>
      <c r="BG177" s="30"/>
      <c r="BH177" s="30"/>
      <c r="BI177" s="30"/>
      <c r="BJ177" s="30"/>
      <c r="BK177" s="30"/>
      <c r="BL177" s="30"/>
      <c r="BM177" s="30"/>
      <c r="BN177" s="30"/>
      <c r="BO177" s="30"/>
      <c r="BP177" s="30"/>
      <c r="BQ177" s="30"/>
      <c r="BR177" s="30"/>
      <c r="BS177" s="30"/>
      <c r="BT177" s="30"/>
      <c r="BU177" s="30"/>
      <c r="BV177" s="30"/>
      <c r="BW177" s="30"/>
      <c r="BX177" s="30"/>
      <c r="BY177" s="30"/>
      <c r="BZ177" s="30"/>
      <c r="CA177" s="30"/>
      <c r="CB177" s="30"/>
      <c r="CC177" s="30"/>
      <c r="CD177" s="30"/>
      <c r="CE177" s="30"/>
      <c r="CF177" s="30"/>
      <c r="CG177" s="30"/>
      <c r="CH177" s="30"/>
      <c r="CI177" s="30"/>
      <c r="CJ177" s="30"/>
      <c r="CK177" s="30"/>
      <c r="CL177" s="30"/>
      <c r="CM177" s="30"/>
      <c r="CN177" s="30"/>
      <c r="CO177" s="30"/>
      <c r="CP177" s="30"/>
      <c r="CQ177" s="30"/>
      <c r="CR177" s="30"/>
      <c r="CS177" s="30"/>
      <c r="CT177" s="30"/>
      <c r="CU177" s="30"/>
      <c r="CV177" s="30"/>
      <c r="CW177" s="30"/>
      <c r="CX177" s="30"/>
      <c r="CY177" s="30"/>
      <c r="CZ177" s="30"/>
      <c r="DA177" s="30"/>
      <c r="DB177" s="30"/>
    </row>
    <row r="178" spans="3:106" x14ac:dyDescent="0.25"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/>
      <c r="AZ178" s="30"/>
      <c r="BA178" s="30"/>
      <c r="BB178" s="30"/>
      <c r="BC178" s="30"/>
      <c r="BD178" s="30"/>
      <c r="BE178" s="30"/>
      <c r="BF178" s="30"/>
      <c r="BG178" s="30"/>
      <c r="BH178" s="30"/>
      <c r="BI178" s="30"/>
      <c r="BJ178" s="30"/>
      <c r="BK178" s="30"/>
      <c r="BL178" s="30"/>
      <c r="BM178" s="30"/>
      <c r="BN178" s="30"/>
      <c r="BO178" s="30"/>
      <c r="BP178" s="30"/>
      <c r="BQ178" s="30"/>
      <c r="BR178" s="30"/>
      <c r="BS178" s="30"/>
      <c r="BT178" s="30"/>
      <c r="BU178" s="30"/>
      <c r="BV178" s="30"/>
      <c r="BW178" s="30"/>
      <c r="BX178" s="30"/>
      <c r="BY178" s="30"/>
      <c r="BZ178" s="30"/>
      <c r="CA178" s="30"/>
      <c r="CB178" s="30"/>
      <c r="CC178" s="30"/>
      <c r="CD178" s="30"/>
      <c r="CE178" s="30"/>
      <c r="CF178" s="30"/>
      <c r="CG178" s="30"/>
      <c r="CH178" s="30"/>
      <c r="CI178" s="30"/>
      <c r="CJ178" s="30"/>
      <c r="CK178" s="30"/>
      <c r="CL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</row>
    <row r="179" spans="3:106" x14ac:dyDescent="0.25"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  <c r="AP179" s="30"/>
      <c r="AQ179" s="30"/>
      <c r="AR179" s="30"/>
      <c r="AS179" s="30"/>
      <c r="AT179" s="30"/>
      <c r="AU179" s="30"/>
      <c r="AV179" s="30"/>
      <c r="AW179" s="30"/>
      <c r="AX179" s="30"/>
      <c r="AY179" s="30"/>
      <c r="AZ179" s="30"/>
      <c r="BA179" s="30"/>
      <c r="BB179" s="30"/>
      <c r="BC179" s="30"/>
      <c r="BD179" s="30"/>
      <c r="BE179" s="30"/>
      <c r="BF179" s="30"/>
      <c r="BG179" s="30"/>
      <c r="BH179" s="30"/>
      <c r="BI179" s="30"/>
      <c r="BJ179" s="30"/>
      <c r="BK179" s="30"/>
      <c r="BL179" s="30"/>
      <c r="BM179" s="30"/>
      <c r="BN179" s="30"/>
      <c r="BO179" s="30"/>
      <c r="BP179" s="30"/>
      <c r="BQ179" s="30"/>
      <c r="BR179" s="30"/>
      <c r="BS179" s="30"/>
      <c r="BT179" s="30"/>
      <c r="BU179" s="30"/>
      <c r="BV179" s="30"/>
      <c r="BW179" s="30"/>
      <c r="BX179" s="30"/>
      <c r="BY179" s="30"/>
      <c r="BZ179" s="30"/>
      <c r="CA179" s="30"/>
      <c r="CB179" s="30"/>
      <c r="CC179" s="30"/>
      <c r="CD179" s="30"/>
      <c r="CE179" s="30"/>
      <c r="CF179" s="30"/>
      <c r="CG179" s="30"/>
      <c r="CH179" s="30"/>
      <c r="CI179" s="30"/>
      <c r="CJ179" s="30"/>
      <c r="CK179" s="30"/>
      <c r="CL179" s="30"/>
      <c r="CM179" s="30"/>
      <c r="CN179" s="30"/>
      <c r="CO179" s="30"/>
      <c r="CP179" s="30"/>
      <c r="CQ179" s="30"/>
      <c r="CR179" s="30"/>
      <c r="CS179" s="30"/>
      <c r="CT179" s="30"/>
      <c r="CU179" s="30"/>
      <c r="CV179" s="30"/>
      <c r="CW179" s="30"/>
      <c r="CX179" s="30"/>
      <c r="CY179" s="30"/>
      <c r="CZ179" s="30"/>
      <c r="DA179" s="30"/>
      <c r="DB179" s="30"/>
    </row>
    <row r="180" spans="3:106" x14ac:dyDescent="0.25"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  <c r="AM180" s="30"/>
      <c r="AN180" s="30"/>
      <c r="AO180" s="30"/>
      <c r="AP180" s="30"/>
      <c r="AQ180" s="30"/>
      <c r="AR180" s="30"/>
      <c r="AS180" s="30"/>
      <c r="AT180" s="30"/>
      <c r="AU180" s="30"/>
      <c r="AV180" s="30"/>
      <c r="AW180" s="30"/>
      <c r="AX180" s="30"/>
      <c r="AY180" s="30"/>
      <c r="AZ180" s="30"/>
      <c r="BA180" s="30"/>
      <c r="BB180" s="30"/>
      <c r="BC180" s="30"/>
      <c r="BD180" s="30"/>
      <c r="BE180" s="30"/>
      <c r="BF180" s="30"/>
      <c r="BG180" s="30"/>
      <c r="BH180" s="30"/>
      <c r="BI180" s="30"/>
      <c r="BJ180" s="30"/>
      <c r="BK180" s="30"/>
      <c r="BL180" s="30"/>
      <c r="BM180" s="30"/>
      <c r="BN180" s="30"/>
      <c r="BO180" s="30"/>
      <c r="BP180" s="30"/>
      <c r="BQ180" s="30"/>
      <c r="BR180" s="30"/>
      <c r="BS180" s="30"/>
      <c r="BT180" s="30"/>
      <c r="BU180" s="30"/>
      <c r="BV180" s="30"/>
      <c r="BW180" s="30"/>
      <c r="BX180" s="30"/>
      <c r="BY180" s="30"/>
      <c r="BZ180" s="30"/>
      <c r="CA180" s="30"/>
      <c r="CB180" s="30"/>
      <c r="CC180" s="30"/>
      <c r="CD180" s="30"/>
      <c r="CE180" s="30"/>
      <c r="CF180" s="30"/>
      <c r="CG180" s="30"/>
      <c r="CH180" s="30"/>
      <c r="CI180" s="30"/>
      <c r="CJ180" s="30"/>
      <c r="CK180" s="30"/>
      <c r="CL180" s="30"/>
      <c r="CM180" s="30"/>
      <c r="CN180" s="30"/>
      <c r="CO180" s="30"/>
      <c r="CP180" s="30"/>
      <c r="CQ180" s="30"/>
      <c r="CR180" s="30"/>
      <c r="CS180" s="30"/>
      <c r="CT180" s="30"/>
      <c r="CU180" s="30"/>
      <c r="CV180" s="30"/>
      <c r="CW180" s="30"/>
      <c r="CX180" s="30"/>
      <c r="CY180" s="30"/>
      <c r="CZ180" s="30"/>
      <c r="DA180" s="30"/>
      <c r="DB180" s="30"/>
    </row>
    <row r="181" spans="1:106" x14ac:dyDescent="0.25">
      <c r="A181" s="17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  <c r="AT181" s="30"/>
      <c r="AU181" s="30"/>
      <c r="AV181" s="30"/>
      <c r="AW181" s="30"/>
      <c r="AX181" s="30"/>
      <c r="AY181" s="30"/>
      <c r="AZ181" s="30"/>
      <c r="BA181" s="30"/>
      <c r="BB181" s="30"/>
      <c r="BC181" s="30"/>
      <c r="BD181" s="30"/>
      <c r="BE181" s="30"/>
      <c r="BF181" s="30"/>
      <c r="BG181" s="30"/>
      <c r="BH181" s="30"/>
      <c r="BI181" s="30"/>
      <c r="BJ181" s="30"/>
      <c r="BK181" s="30"/>
      <c r="BL181" s="30"/>
      <c r="BM181" s="30"/>
      <c r="BN181" s="30"/>
      <c r="BO181" s="30"/>
      <c r="BP181" s="30"/>
      <c r="BQ181" s="30"/>
      <c r="BR181" s="30"/>
      <c r="BS181" s="30"/>
      <c r="BT181" s="30"/>
      <c r="BU181" s="30"/>
      <c r="BV181" s="30"/>
      <c r="BW181" s="30"/>
      <c r="BX181" s="30"/>
      <c r="BY181" s="30"/>
      <c r="BZ181" s="30"/>
      <c r="CA181" s="30"/>
      <c r="CB181" s="30"/>
      <c r="CC181" s="30"/>
      <c r="CD181" s="30"/>
      <c r="CE181" s="30"/>
      <c r="CF181" s="30"/>
      <c r="CG181" s="30"/>
      <c r="CH181" s="30"/>
      <c r="CI181" s="30"/>
      <c r="CJ181" s="30"/>
      <c r="CK181" s="30"/>
      <c r="CL181" s="30"/>
      <c r="CM181" s="30"/>
      <c r="CN181" s="30"/>
      <c r="CO181" s="30"/>
      <c r="CP181" s="30"/>
      <c r="CQ181" s="30"/>
      <c r="CR181" s="30"/>
      <c r="CS181" s="30"/>
      <c r="CT181" s="30"/>
      <c r="CU181" s="30"/>
      <c r="CV181" s="30"/>
      <c r="CW181" s="30"/>
      <c r="CX181" s="30"/>
      <c r="CY181" s="30"/>
      <c r="CZ181" s="30"/>
      <c r="DA181" s="30"/>
      <c r="DB181" s="30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172"/>
  <sheetFormatPr defaultRowHeight="15" outlineLevelRow="0" outlineLevelCol="0" x14ac:dyDescent="55"/>
  <cols>
    <col min="1" max="1" width="33" customWidth="1"/>
    <col min="2" max="2" width="17" customWidth="1"/>
    <col min="3" max="3" width="11" customWidth="1"/>
  </cols>
  <sheetData>
    <row r="1" ht="17" customHeight="1" spans="1:106" x14ac:dyDescent="0.25">
      <c r="A1" s="1" t="s">
        <v>403</v>
      </c>
      <c r="B1" t="s">
        <v>1</v>
      </c>
      <c r="C1" t="s">
        <v>2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2</v>
      </c>
      <c r="X1" t="s">
        <v>2</v>
      </c>
      <c r="Y1" t="s">
        <v>2</v>
      </c>
      <c r="Z1" t="s">
        <v>2</v>
      </c>
      <c r="AA1" t="s">
        <v>2</v>
      </c>
      <c r="AB1" t="s">
        <v>2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 t="s">
        <v>2</v>
      </c>
      <c r="AI1" t="s">
        <v>2</v>
      </c>
      <c r="AJ1" t="s">
        <v>2</v>
      </c>
      <c r="AK1" t="s">
        <v>2</v>
      </c>
      <c r="AL1" t="s">
        <v>2</v>
      </c>
      <c r="AM1" t="s">
        <v>2</v>
      </c>
      <c r="AN1" t="s">
        <v>2</v>
      </c>
      <c r="AO1" t="s">
        <v>2</v>
      </c>
      <c r="AP1" t="s">
        <v>2</v>
      </c>
      <c r="AQ1" t="s">
        <v>2</v>
      </c>
      <c r="AR1" t="s">
        <v>2</v>
      </c>
      <c r="AS1" t="s">
        <v>2</v>
      </c>
      <c r="AT1" t="s">
        <v>2</v>
      </c>
      <c r="AU1" t="s">
        <v>2</v>
      </c>
      <c r="AV1" t="s">
        <v>2</v>
      </c>
      <c r="AW1" t="s">
        <v>2</v>
      </c>
      <c r="AX1" t="s">
        <v>2</v>
      </c>
      <c r="AY1" t="s">
        <v>2</v>
      </c>
      <c r="AZ1" t="s">
        <v>2</v>
      </c>
      <c r="BA1" t="s">
        <v>2</v>
      </c>
      <c r="BB1" t="s">
        <v>2</v>
      </c>
      <c r="BC1" t="s">
        <v>2</v>
      </c>
      <c r="BD1" t="s">
        <v>2</v>
      </c>
      <c r="BE1" t="s">
        <v>2</v>
      </c>
      <c r="BF1" t="s">
        <v>2</v>
      </c>
      <c r="BG1" t="s">
        <v>2</v>
      </c>
      <c r="BH1" t="s">
        <v>2</v>
      </c>
      <c r="BI1" t="s">
        <v>2</v>
      </c>
      <c r="BJ1" t="s">
        <v>2</v>
      </c>
      <c r="BK1" t="s">
        <v>2</v>
      </c>
      <c r="BL1" t="s">
        <v>2</v>
      </c>
      <c r="BM1" t="s">
        <v>2</v>
      </c>
      <c r="BN1" t="s">
        <v>2</v>
      </c>
      <c r="BO1" t="s">
        <v>2</v>
      </c>
      <c r="BP1" t="s">
        <v>2</v>
      </c>
      <c r="BQ1" t="s">
        <v>2</v>
      </c>
      <c r="BR1" t="s">
        <v>2</v>
      </c>
      <c r="BS1" t="s">
        <v>2</v>
      </c>
      <c r="BT1" t="s">
        <v>2</v>
      </c>
      <c r="BU1" t="s">
        <v>2</v>
      </c>
      <c r="BV1" t="s">
        <v>2</v>
      </c>
      <c r="BW1" t="s">
        <v>2</v>
      </c>
      <c r="BX1" t="s">
        <v>2</v>
      </c>
      <c r="BY1" t="s">
        <v>2</v>
      </c>
      <c r="BZ1" t="s">
        <v>2</v>
      </c>
      <c r="CA1" t="s">
        <v>2</v>
      </c>
      <c r="CB1" t="s">
        <v>2</v>
      </c>
      <c r="CC1" t="s">
        <v>2</v>
      </c>
      <c r="CD1" t="s">
        <v>2</v>
      </c>
      <c r="CE1" t="s">
        <v>2</v>
      </c>
      <c r="CF1" t="s">
        <v>2</v>
      </c>
      <c r="CG1" t="s">
        <v>2</v>
      </c>
      <c r="CH1" t="s">
        <v>2</v>
      </c>
      <c r="CI1" t="s">
        <v>2</v>
      </c>
      <c r="CJ1" t="s">
        <v>2</v>
      </c>
      <c r="CK1" t="s">
        <v>2</v>
      </c>
      <c r="CL1" t="s">
        <v>2</v>
      </c>
      <c r="CM1" t="s">
        <v>2</v>
      </c>
      <c r="CN1" t="s">
        <v>2</v>
      </c>
      <c r="CO1" t="s">
        <v>2</v>
      </c>
      <c r="CP1" t="s">
        <v>2</v>
      </c>
      <c r="CQ1" t="s">
        <v>2</v>
      </c>
      <c r="CR1" t="s">
        <v>2</v>
      </c>
      <c r="CS1" t="s">
        <v>2</v>
      </c>
      <c r="CT1" t="s">
        <v>2</v>
      </c>
      <c r="CU1" t="s">
        <v>2</v>
      </c>
      <c r="CV1" t="s">
        <v>2</v>
      </c>
      <c r="CW1" t="s">
        <v>2</v>
      </c>
      <c r="CX1" t="s">
        <v>2</v>
      </c>
      <c r="CY1" t="s">
        <v>2</v>
      </c>
      <c r="CZ1" t="s">
        <v>2</v>
      </c>
      <c r="DA1" t="s">
        <v>2</v>
      </c>
      <c r="DB1" t="s">
        <v>2</v>
      </c>
    </row>
    <row r="2" ht="14" customHeight="1" spans="1:106" x14ac:dyDescent="0.25">
      <c r="B2" t="s">
        <v>3</v>
      </c>
      <c r="C2" s="2">
        <f>=TODAY()</f>
        <v>45973</v>
      </c>
      <c r="D2" t="str">
        <f>=IF(C2="Current WK","Next Week",IF(DATEVALUE(D4)=$C$2-WEEKDAY($C$2,1)+1,"Current WK",""))</f>
        <v/>
      </c>
      <c r="E2" t="str">
        <f>=IF(D2="Current WK","Next Week",IF(DATEVALUE(E4)=$C$2-WEEKDAY($C$2,1)+1,"Current WK",""))</f>
        <v/>
      </c>
      <c r="F2" t="str">
        <f>=IF(E2="Current WK","Next Week",IF(DATEVALUE(F4)=$C$2-WEEKDAY($C$2,1)+1,"Current WK",""))</f>
        <v/>
      </c>
      <c r="G2" t="str">
        <f>=IF(F2="Current WK","Next Week",IF(DATEVALUE(G4)=$C$2-WEEKDAY($C$2,1)+1,"Current WK",""))</f>
        <v/>
      </c>
      <c r="H2" t="str">
        <f>=IF(G2="Current WK","Next Week",IF(DATEVALUE(H4)=$C$2-WEEKDAY($C$2,1)+1,"Current WK",""))</f>
        <v/>
      </c>
      <c r="I2" t="str">
        <f>=IF(H2="Current WK","Next Week",IF(DATEVALUE(I4)=$C$2-WEEKDAY($C$2,1)+1,"Current WK",""))</f>
        <v/>
      </c>
      <c r="J2" t="str">
        <f>=IF(I2="Current WK","Next Week",IF(DATEVALUE(J4)=$C$2-WEEKDAY($C$2,1)+1,"Current WK",""))</f>
        <v/>
      </c>
      <c r="K2" t="str">
        <f>=IF(J2="Current WK","Next Week",IF(DATEVALUE(K4)=$C$2-WEEKDAY($C$2,1)+1,"Current WK",""))</f>
        <v/>
      </c>
      <c r="L2" t="str">
        <f>=IF(K2="Current WK","Next Week",IF(DATEVALUE(L4)=$C$2-WEEKDAY($C$2,1)+1,"Current WK",""))</f>
        <v/>
      </c>
      <c r="M2" t="str">
        <f>=IF(L2="Current WK","Next Week",IF(DATEVALUE(M4)=$C$2-WEEKDAY($C$2,1)+1,"Current WK",""))</f>
        <v/>
      </c>
      <c r="N2" t="str">
        <f>=IF(M2="Current WK","Next Week",IF(DATEVALUE(N4)=$C$2-WEEKDAY($C$2,1)+1,"Current WK",""))</f>
        <v/>
      </c>
      <c r="O2" t="str">
        <f>=IF(N2="Current WK","Next Week",IF(DATEVALUE(O4)=$C$2-WEEKDAY($C$2,1)+1,"Current WK",""))</f>
        <v/>
      </c>
      <c r="P2" t="str">
        <f>=IF(O2="Current WK","Next Week",IF(DATEVALUE(P4)=$C$2-WEEKDAY($C$2,1)+1,"Current WK",""))</f>
        <v/>
      </c>
      <c r="Q2" t="str">
        <f>=IF(P2="Current WK","Next Week",IF(DATEVALUE(Q4)=$C$2-WEEKDAY($C$2,1)+1,"Current WK",""))</f>
        <v/>
      </c>
      <c r="R2" t="str">
        <f>=IF(Q2="Current WK","Next Week",IF(DATEVALUE(R4)=$C$2-WEEKDAY($C$2,1)+1,"Current WK",""))</f>
        <v/>
      </c>
      <c r="S2" t="str">
        <f>=IF(R2="Current WK","Next Week",IF(DATEVALUE(S4)=$C$2-WEEKDAY($C$2,1)+1,"Current WK",""))</f>
        <v/>
      </c>
      <c r="T2" t="str">
        <f>=IF(S2="Current WK","Next Week",IF(DATEVALUE(T4)=$C$2-WEEKDAY($C$2,1)+1,"Current WK",""))</f>
        <v/>
      </c>
      <c r="U2" t="str">
        <f>=IF(T2="Current WK","Next Week",IF(DATEVALUE(U4)=$C$2-WEEKDAY($C$2,1)+1,"Current WK",""))</f>
        <v/>
      </c>
      <c r="V2" t="str">
        <f>=IF(U2="Current WK","Next Week",IF(DATEVALUE(V4)=$C$2-WEEKDAY($C$2,1)+1,"Current WK",""))</f>
        <v/>
      </c>
      <c r="W2" t="str">
        <f>=IF(V2="Current WK","Next Week",IF(DATEVALUE(W4)=$C$2-WEEKDAY($C$2,1)+1,"Current WK",""))</f>
        <v/>
      </c>
      <c r="X2" t="str">
        <f>=IF(W2="Current WK","Next Week",IF(DATEVALUE(X4)=$C$2-WEEKDAY($C$2,1)+1,"Current WK",""))</f>
        <v/>
      </c>
      <c r="Y2" t="str">
        <f>=IF(X2="Current WK","Next Week",IF(DATEVALUE(Y4)=$C$2-WEEKDAY($C$2,1)+1,"Current WK",""))</f>
        <v/>
      </c>
      <c r="Z2" t="str">
        <f>=IF(Y2="Current WK","Next Week",IF(DATEVALUE(Z4)=$C$2-WEEKDAY($C$2,1)+1,"Current WK",""))</f>
        <v/>
      </c>
      <c r="AA2" t="str">
        <f>=IF(Z2="Current WK","Next Week",IF(DATEVALUE(AA4)=$C$2-WEEKDAY($C$2,1)+1,"Current WK",""))</f>
        <v/>
      </c>
      <c r="AB2" t="str">
        <f>=IF(AA2="Current WK","Next Week",IF(DATEVALUE(AB4)=$C$2-WEEKDAY($C$2,1)+1,"Current WK",""))</f>
        <v/>
      </c>
      <c r="AC2" t="str">
        <f>=IF(AB2="Current WK","Next Week",IF(DATEVALUE(AC4)=$C$2-WEEKDAY($C$2,1)+1,"Current WK",""))</f>
        <v/>
      </c>
      <c r="AD2" t="str">
        <f>=IF(AC2="Current WK","Next Week",IF(DATEVALUE(AD4)=$C$2-WEEKDAY($C$2,1)+1,"Current WK",""))</f>
        <v/>
      </c>
      <c r="AE2" t="str">
        <f>=IF(AD2="Current WK","Next Week",IF(DATEVALUE(AE4)=$C$2-WEEKDAY($C$2,1)+1,"Current WK",""))</f>
        <v/>
      </c>
      <c r="AF2" t="str">
        <f>=IF(AE2="Current WK","Next Week",IF(DATEVALUE(AF4)=$C$2-WEEKDAY($C$2,1)+1,"Current WK",""))</f>
        <v/>
      </c>
      <c r="AG2" t="str">
        <f>=IF(AF2="Current WK","Next Week",IF(DATEVALUE(AG4)=$C$2-WEEKDAY($C$2,1)+1,"Current WK",""))</f>
        <v/>
      </c>
      <c r="AH2" t="str">
        <f>=IF(AG2="Current WK","Next Week",IF(DATEVALUE(AH4)=$C$2-WEEKDAY($C$2,1)+1,"Current WK",""))</f>
        <v/>
      </c>
      <c r="AI2" t="str">
        <f>=IF(AH2="Current WK","Next Week",IF(DATEVALUE(AI4)=$C$2-WEEKDAY($C$2,1)+1,"Current WK",""))</f>
        <v/>
      </c>
      <c r="AJ2" t="str">
        <f>=IF(AI2="Current WK","Next Week",IF(DATEVALUE(AJ4)=$C$2-WEEKDAY($C$2,1)+1,"Current WK",""))</f>
        <v/>
      </c>
      <c r="AK2" t="str">
        <f>=IF(AJ2="Current WK","Next Week",IF(DATEVALUE(AK4)=$C$2-WEEKDAY($C$2,1)+1,"Current WK",""))</f>
        <v/>
      </c>
      <c r="AL2" t="str">
        <f>=IF(AK2="Current WK","Next Week",IF(DATEVALUE(AL4)=$C$2-WEEKDAY($C$2,1)+1,"Current WK",""))</f>
        <v/>
      </c>
      <c r="AM2" t="str">
        <f>=IF(AL2="Current WK","Next Week",IF(DATEVALUE(AM4)=$C$2-WEEKDAY($C$2,1)+1,"Current WK",""))</f>
        <v/>
      </c>
      <c r="AN2" t="str">
        <f>=IF(AM2="Current WK","Next Week",IF(DATEVALUE(AN4)=$C$2-WEEKDAY($C$2,1)+1,"Current WK",""))</f>
        <v/>
      </c>
      <c r="AO2" t="str">
        <f>=IF(AN2="Current WK","Next Week",IF(DATEVALUE(AO4)=$C$2-WEEKDAY($C$2,1)+1,"Current WK",""))</f>
        <v/>
      </c>
      <c r="AP2" t="str">
        <f>=IF(AO2="Current WK","Next Week",IF(DATEVALUE(AP4)=$C$2-WEEKDAY($C$2,1)+1,"Current WK",""))</f>
        <v/>
      </c>
      <c r="AQ2" t="str">
        <f>=IF(AP2="Current WK","Next Week",IF(DATEVALUE(AQ4)=$C$2-WEEKDAY($C$2,1)+1,"Current WK",""))</f>
        <v/>
      </c>
      <c r="AR2" t="str">
        <f>=IF(AQ2="Current WK","Next Week",IF(DATEVALUE(AR4)=$C$2-WEEKDAY($C$2,1)+1,"Current WK",""))</f>
        <v/>
      </c>
      <c r="AS2" t="str">
        <f>=IF(AR2="Current WK","Next Week",IF(DATEVALUE(AS4)=$C$2-WEEKDAY($C$2,1)+1,"Current WK",""))</f>
        <v/>
      </c>
      <c r="AT2" t="str">
        <f>=IF(AS2="Current WK","Next Week",IF(DATEVALUE(AT4)=$C$2-WEEKDAY($C$2,1)+1,"Current WK",""))</f>
        <v/>
      </c>
      <c r="AU2" t="str">
        <f>=IF(AT2="Current WK","Next Week",IF(DATEVALUE(AU4)=$C$2-WEEKDAY($C$2,1)+1,"Current WK",""))</f>
        <v/>
      </c>
      <c r="AV2" t="str">
        <f>=IF(AU2="Current WK","Next Week",IF(DATEVALUE(AV4)=$C$2-WEEKDAY($C$2,1)+1,"Current WK",""))</f>
        <v/>
      </c>
      <c r="AW2" t="str">
        <f>=IF(AV2="Current WK","Next Week",IF(DATEVALUE(AW4)=$C$2-WEEKDAY($C$2,1)+1,"Current WK",""))</f>
        <v/>
      </c>
      <c r="AX2" t="str">
        <f>=IF(AW2="Current WK","Next Week",IF(DATEVALUE(AX4)=$C$2-WEEKDAY($C$2,1)+1,"Current WK",""))</f>
        <v/>
      </c>
      <c r="AY2" t="str">
        <f>=IF(AX2="Current WK","Next Week",IF(DATEVALUE(AY4)=$C$2-WEEKDAY($C$2,1)+1,"Current WK",""))</f>
        <v/>
      </c>
      <c r="AZ2" t="str">
        <f>=IF(AY2="Current WK","Next Week",IF(DATEVALUE(AZ4)=$C$2-WEEKDAY($C$2,1)+1,"Current WK",""))</f>
        <v/>
      </c>
      <c r="BA2" t="str">
        <f>=IF(AZ2="Current WK","Next Week",IF(DATEVALUE(BA4)=$C$2-WEEKDAY($C$2,1)+1,"Current WK",""))</f>
        <v/>
      </c>
      <c r="BB2" t="str">
        <f>=IF(BA2="Current WK","Next Week",IF(DATEVALUE(BB4)=$C$2-WEEKDAY($C$2,1)+1,"Current WK",""))</f>
        <v/>
      </c>
      <c r="BC2" t="str">
        <f>=IF(BB2="Current WK","Next Week",IF(DATEVALUE(BC4)=$C$2-WEEKDAY($C$2,1)+1,"Current WK",""))</f>
        <v/>
      </c>
      <c r="BD2" t="str">
        <f>=IF(BC2="Current WK","Next Week",IF(DATEVALUE(BD4)=$C$2-WEEKDAY($C$2,1)+1,"Current WK",""))</f>
        <v/>
      </c>
      <c r="BE2" t="str">
        <f>=IF(BD2="Current WK","Next Week",IF(DATEVALUE(BE4)=$C$2-WEEKDAY($C$2,1)+1,"Current WK",""))</f>
        <v/>
      </c>
      <c r="BF2" t="str">
        <f>=IF(BE2="Current WK","Next Week",IF(DATEVALUE(BF4)=$C$2-WEEKDAY($C$2,1)+1,"Current WK",""))</f>
        <v/>
      </c>
      <c r="BG2" t="str">
        <f>=IF(BF2="Current WK","Next Week",IF(DATEVALUE(BG4)=$C$2-WEEKDAY($C$2,1)+1,"Current WK",""))</f>
        <v/>
      </c>
      <c r="BH2" t="str">
        <f>=IF(BG2="Current WK","Next Week",IF(DATEVALUE(BH4)=$C$2-WEEKDAY($C$2,1)+1,"Current WK",""))</f>
        <v/>
      </c>
      <c r="BI2" t="str">
        <f>=IF(BH2="Current WK","Next Week",IF(DATEVALUE(BI4)=$C$2-WEEKDAY($C$2,1)+1,"Current WK",""))</f>
        <v/>
      </c>
      <c r="BJ2" t="str">
        <f>=IF(BI2="Current WK","Next Week",IF(DATEVALUE(BJ4)=$C$2-WEEKDAY($C$2,1)+1,"Current WK",""))</f>
        <v/>
      </c>
      <c r="BK2" t="str">
        <f>=IF(BJ2="Current WK","Next Week",IF(DATEVALUE(BK4)=$C$2-WEEKDAY($C$2,1)+1,"Current WK",""))</f>
        <v/>
      </c>
      <c r="BL2" t="str">
        <f>=IF(BK2="Current WK","Next Week",IF(DATEVALUE(BL4)=$C$2-WEEKDAY($C$2,1)+1,"Current WK",""))</f>
        <v/>
      </c>
      <c r="BM2" t="str">
        <f>=IF(BL2="Current WK","Next Week",IF(DATEVALUE(BM4)=$C$2-WEEKDAY($C$2,1)+1,"Current WK",""))</f>
        <v/>
      </c>
      <c r="BN2" t="str">
        <f>=IF(BM2="Current WK","Next Week",IF(DATEVALUE(BN4)=$C$2-WEEKDAY($C$2,1)+1,"Current WK",""))</f>
        <v/>
      </c>
      <c r="BO2" t="str">
        <f>=IF(BN2="Current WK","Next Week",IF(DATEVALUE(BO4)=$C$2-WEEKDAY($C$2,1)+1,"Current WK",""))</f>
        <v/>
      </c>
      <c r="BP2" t="str">
        <f>=IF(BO2="Current WK","Next Week",IF(DATEVALUE(BP4)=$C$2-WEEKDAY($C$2,1)+1,"Current WK",""))</f>
        <v/>
      </c>
      <c r="BQ2" t="str">
        <f>=IF(BP2="Current WK","Next Week",IF(DATEVALUE(BQ4)=$C$2-WEEKDAY($C$2,1)+1,"Current WK",""))</f>
        <v/>
      </c>
      <c r="BR2" t="str">
        <f>=IF(BQ2="Current WK","Next Week",IF(DATEVALUE(BR4)=$C$2-WEEKDAY($C$2,1)+1,"Current WK",""))</f>
        <v/>
      </c>
      <c r="BS2" t="str">
        <f>=IF(BR2="Current WK","Next Week",IF(DATEVALUE(BS4)=$C$2-WEEKDAY($C$2,1)+1,"Current WK",""))</f>
        <v/>
      </c>
      <c r="BT2" t="str">
        <f>=IF(BS2="Current WK","Next Week",IF(DATEVALUE(BT4)=$C$2-WEEKDAY($C$2,1)+1,"Current WK",""))</f>
        <v/>
      </c>
      <c r="BU2" t="str">
        <f>=IF(BT2="Current WK","Next Week",IF(DATEVALUE(BU4)=$C$2-WEEKDAY($C$2,1)+1,"Current WK",""))</f>
        <v/>
      </c>
      <c r="BV2" s="4" t="str">
        <f>=IF(BU2="Current WK","Next Week",IF(DATEVALUE(BV4)=$C$2-WEEKDAY($C$2,1)+1,"Current WK",""))</f>
        <v>Current WK</v>
      </c>
      <c r="BW2" s="4" t="str">
        <f>=IF(BV2="Current WK","Next Week",IF(DATEVALUE(BW4)=$C$2-WEEKDAY($C$2,1)+1,"Current WK",""))</f>
        <v>Next Week</v>
      </c>
      <c r="BX2" t="str">
        <f>=IF(BW2="Current WK","Next Week",IF(DATEVALUE(BX4)=$C$2-WEEKDAY($C$2,1)+1,"Current WK",""))</f>
        <v/>
      </c>
      <c r="BY2" t="str">
        <f>=IF(BX2="Current WK","Next Week",IF(DATEVALUE(BY4)=$C$2-WEEKDAY($C$2,1)+1,"Current WK",""))</f>
        <v/>
      </c>
      <c r="BZ2" t="str">
        <f>=IF(BY2="Current WK","Next Week",IF(DATEVALUE(BZ4)=$C$2-WEEKDAY($C$2,1)+1,"Current WK",""))</f>
        <v/>
      </c>
      <c r="CA2" t="str">
        <f>=IF(BZ2="Current WK","Next Week",IF(DATEVALUE(CA4)=$C$2-WEEKDAY($C$2,1)+1,"Current WK",""))</f>
        <v/>
      </c>
      <c r="CB2" t="str">
        <f>=IF(CA2="Current WK","Next Week",IF(DATEVALUE(CB4)=$C$2-WEEKDAY($C$2,1)+1,"Current WK",""))</f>
        <v/>
      </c>
      <c r="CC2" t="str">
        <f>=IF(CB2="Current WK","Next Week",IF(DATEVALUE(CC4)=$C$2-WEEKDAY($C$2,1)+1,"Current WK",""))</f>
        <v/>
      </c>
      <c r="CD2" t="str">
        <f>=IF(CC2="Current WK","Next Week",IF(DATEVALUE(CD4)=$C$2-WEEKDAY($C$2,1)+1,"Current WK",""))</f>
        <v/>
      </c>
      <c r="CE2" t="str">
        <f>=IF(CD2="Current WK","Next Week",IF(DATEVALUE(CE4)=$C$2-WEEKDAY($C$2,1)+1,"Current WK",""))</f>
        <v/>
      </c>
      <c r="CF2" t="str">
        <f>=IF(CE2="Current WK","Next Week",IF(DATEVALUE(CF4)=$C$2-WEEKDAY($C$2,1)+1,"Current WK",""))</f>
        <v/>
      </c>
      <c r="CG2" t="str">
        <f>=IF(CF2="Current WK","Next Week",IF(DATEVALUE(CG4)=$C$2-WEEKDAY($C$2,1)+1,"Current WK",""))</f>
        <v/>
      </c>
      <c r="CH2" t="str">
        <f>=IF(CG2="Current WK","Next Week",IF(DATEVALUE(CH4)=$C$2-WEEKDAY($C$2,1)+1,"Current WK",""))</f>
        <v/>
      </c>
      <c r="CI2" t="str">
        <f>=IF(CH2="Current WK","Next Week",IF(DATEVALUE(CI4)=$C$2-WEEKDAY($C$2,1)+1,"Current WK",""))</f>
        <v/>
      </c>
      <c r="CJ2" t="str">
        <f>=IF(CI2="Current WK","Next Week",IF(DATEVALUE(CJ4)=$C$2-WEEKDAY($C$2,1)+1,"Current WK",""))</f>
        <v/>
      </c>
      <c r="CK2" t="str">
        <f>=IF(CJ2="Current WK","Next Week",IF(DATEVALUE(CK4)=$C$2-WEEKDAY($C$2,1)+1,"Current WK",""))</f>
        <v/>
      </c>
      <c r="CL2" t="str">
        <f>=IF(CK2="Current WK","Next Week",IF(DATEVALUE(CL4)=$C$2-WEEKDAY($C$2,1)+1,"Current WK",""))</f>
        <v/>
      </c>
      <c r="CM2" t="str">
        <f>=IF(CL2="Current WK","Next Week",IF(DATEVALUE(CM4)=$C$2-WEEKDAY($C$2,1)+1,"Current WK",""))</f>
        <v/>
      </c>
      <c r="CN2" t="str">
        <f>=IF(CM2="Current WK","Next Week",IF(DATEVALUE(CN4)=$C$2-WEEKDAY($C$2,1)+1,"Current WK",""))</f>
        <v/>
      </c>
      <c r="CO2" t="str">
        <f>=IF(CN2="Current WK","Next Week",IF(DATEVALUE(CO4)=$C$2-WEEKDAY($C$2,1)+1,"Current WK",""))</f>
        <v/>
      </c>
      <c r="CP2" t="str">
        <f>=IF(CO2="Current WK","Next Week",IF(DATEVALUE(CP4)=$C$2-WEEKDAY($C$2,1)+1,"Current WK",""))</f>
        <v/>
      </c>
      <c r="CQ2" t="str">
        <f>=IF(CP2="Current WK","Next Week",IF(DATEVALUE(CQ4)=$C$2-WEEKDAY($C$2,1)+1,"Current WK",""))</f>
        <v/>
      </c>
      <c r="CR2" t="str">
        <f>=IF(CQ2="Current WK","Next Week",IF(DATEVALUE(CR4)=$C$2-WEEKDAY($C$2,1)+1,"Current WK",""))</f>
        <v/>
      </c>
      <c r="CS2" t="str">
        <f>=IF(CR2="Current WK","Next Week",IF(DATEVALUE(CS4)=$C$2-WEEKDAY($C$2,1)+1,"Current WK",""))</f>
        <v/>
      </c>
      <c r="CT2" t="str">
        <f>=IF(CS2="Current WK","Next Week",IF(DATEVALUE(CT4)=$C$2-WEEKDAY($C$2,1)+1,"Current WK",""))</f>
        <v/>
      </c>
      <c r="CU2" t="str">
        <f>=IF(CT2="Current WK","Next Week",IF(DATEVALUE(CU4)=$C$2-WEEKDAY($C$2,1)+1,"Current WK",""))</f>
        <v/>
      </c>
      <c r="CV2" t="str">
        <f>=IF(CU2="Current WK","Next Week",IF(DATEVALUE(CV4)=$C$2-WEEKDAY($C$2,1)+1,"Current WK",""))</f>
        <v/>
      </c>
      <c r="CW2" t="str">
        <f>=IF(CV2="Current WK","Next Week",IF(DATEVALUE(CW4)=$C$2-WEEKDAY($C$2,1)+1,"Current WK",""))</f>
        <v/>
      </c>
      <c r="CX2" t="str">
        <f>=IF(CW2="Current WK","Next Week",IF(DATEVALUE(CX4)=$C$2-WEEKDAY($C$2,1)+1,"Current WK",""))</f>
        <v/>
      </c>
      <c r="CY2" t="str">
        <f>=IF(CX2="Current WK","Next Week",IF(DATEVALUE(CY4)=$C$2-WEEKDAY($C$2,1)+1,"Current WK",""))</f>
        <v/>
      </c>
      <c r="CZ2" t="str">
        <f>=IF(CY2="Current WK","Next Week",IF(DATEVALUE(CZ4)=$C$2-WEEKDAY($C$2,1)+1,"Current WK",""))</f>
        <v/>
      </c>
      <c r="DA2" t="str">
        <f>=IF(CZ2="Current WK","Next Week",IF(DATEVALUE(DA4)=$C$2-WEEKDAY($C$2,1)+1,"Current WK",""))</f>
        <v/>
      </c>
      <c r="DB2" t="str">
        <f>=IF(DA2="Current WK","Next Week",IF(DATEVALUE(DB4)=$C$2-WEEKDAY($C$2,1)+1,"Current WK",""))</f>
        <v/>
      </c>
    </row>
    <row r="3" spans="1:106" x14ac:dyDescent="0.25">
      <c r="A3" s="1"/>
      <c r="B3" s="5" t="s">
        <v>4</v>
      </c>
      <c r="C3" t="s">
        <v>5</v>
      </c>
      <c r="D3" t="s">
        <v>6</v>
      </c>
      <c r="E3" t="s">
        <v>6</v>
      </c>
      <c r="F3" t="s">
        <v>6</v>
      </c>
      <c r="G3" t="s">
        <v>6</v>
      </c>
      <c r="H3" t="s">
        <v>7</v>
      </c>
      <c r="I3" t="s">
        <v>7</v>
      </c>
      <c r="J3" t="s">
        <v>7</v>
      </c>
      <c r="K3" t="s">
        <v>7</v>
      </c>
      <c r="L3" t="s">
        <v>8</v>
      </c>
      <c r="M3" t="s">
        <v>8</v>
      </c>
      <c r="N3" t="s">
        <v>8</v>
      </c>
      <c r="O3" t="s">
        <v>8</v>
      </c>
      <c r="P3" t="s">
        <v>8</v>
      </c>
      <c r="Q3" t="s">
        <v>9</v>
      </c>
      <c r="R3" t="s">
        <v>9</v>
      </c>
      <c r="S3" t="s">
        <v>9</v>
      </c>
      <c r="T3" t="s">
        <v>9</v>
      </c>
      <c r="U3" t="s">
        <v>10</v>
      </c>
      <c r="V3" t="s">
        <v>10</v>
      </c>
      <c r="W3" t="s">
        <v>10</v>
      </c>
      <c r="X3" t="s">
        <v>10</v>
      </c>
      <c r="Y3" t="s">
        <v>11</v>
      </c>
      <c r="Z3" t="s">
        <v>11</v>
      </c>
      <c r="AA3" t="s">
        <v>11</v>
      </c>
      <c r="AB3" t="s">
        <v>11</v>
      </c>
      <c r="AC3" t="s">
        <v>11</v>
      </c>
      <c r="AD3" t="s">
        <v>12</v>
      </c>
      <c r="AE3" t="s">
        <v>12</v>
      </c>
      <c r="AF3" t="s">
        <v>12</v>
      </c>
      <c r="AG3" t="s">
        <v>12</v>
      </c>
      <c r="AH3" t="s">
        <v>13</v>
      </c>
      <c r="AI3" t="s">
        <v>13</v>
      </c>
      <c r="AJ3" t="s">
        <v>13</v>
      </c>
      <c r="AK3" t="s">
        <v>13</v>
      </c>
      <c r="AL3" t="s">
        <v>14</v>
      </c>
      <c r="AM3" t="s">
        <v>14</v>
      </c>
      <c r="AN3" t="s">
        <v>14</v>
      </c>
      <c r="AO3" t="s">
        <v>14</v>
      </c>
      <c r="AP3" t="s">
        <v>14</v>
      </c>
      <c r="AQ3" t="s">
        <v>15</v>
      </c>
      <c r="AR3" t="s">
        <v>15</v>
      </c>
      <c r="AS3" t="s">
        <v>15</v>
      </c>
      <c r="AT3" t="s">
        <v>15</v>
      </c>
      <c r="AU3" t="s">
        <v>16</v>
      </c>
      <c r="AV3" t="s">
        <v>16</v>
      </c>
      <c r="AW3" t="s">
        <v>16</v>
      </c>
      <c r="AX3" t="s">
        <v>16</v>
      </c>
      <c r="AY3" t="s">
        <v>17</v>
      </c>
      <c r="AZ3" t="s">
        <v>17</v>
      </c>
      <c r="BA3" t="s">
        <v>17</v>
      </c>
      <c r="BB3" t="s">
        <v>17</v>
      </c>
      <c r="BC3" t="s">
        <v>17</v>
      </c>
      <c r="BD3" t="s">
        <v>18</v>
      </c>
      <c r="BE3" t="s">
        <v>18</v>
      </c>
      <c r="BF3" t="s">
        <v>18</v>
      </c>
      <c r="BG3" t="s">
        <v>18</v>
      </c>
      <c r="BH3" t="s">
        <v>19</v>
      </c>
      <c r="BI3" t="s">
        <v>19</v>
      </c>
      <c r="BJ3" t="s">
        <v>19</v>
      </c>
      <c r="BK3" t="s">
        <v>19</v>
      </c>
      <c r="BL3" t="s">
        <v>19</v>
      </c>
      <c r="BM3" t="s">
        <v>20</v>
      </c>
      <c r="BN3" t="s">
        <v>20</v>
      </c>
      <c r="BO3" t="s">
        <v>20</v>
      </c>
      <c r="BP3" t="s">
        <v>20</v>
      </c>
      <c r="BQ3" t="s">
        <v>21</v>
      </c>
      <c r="BR3" t="s">
        <v>21</v>
      </c>
      <c r="BS3" t="s">
        <v>21</v>
      </c>
      <c r="BT3" t="s">
        <v>21</v>
      </c>
      <c r="BU3" t="s">
        <v>22</v>
      </c>
      <c r="BV3" t="s">
        <v>22</v>
      </c>
      <c r="BW3" t="s">
        <v>22</v>
      </c>
      <c r="BX3" t="s">
        <v>22</v>
      </c>
      <c r="BY3" t="s">
        <v>22</v>
      </c>
      <c r="BZ3" t="s">
        <v>23</v>
      </c>
      <c r="CA3" t="s">
        <v>23</v>
      </c>
      <c r="CB3" t="s">
        <v>23</v>
      </c>
      <c r="CC3" t="s">
        <v>23</v>
      </c>
      <c r="CD3" t="s">
        <v>24</v>
      </c>
      <c r="CE3" t="s">
        <v>24</v>
      </c>
      <c r="CF3" t="s">
        <v>24</v>
      </c>
      <c r="CG3" t="s">
        <v>24</v>
      </c>
      <c r="CH3" t="s">
        <v>25</v>
      </c>
      <c r="CI3" t="s">
        <v>25</v>
      </c>
      <c r="CJ3" t="s">
        <v>25</v>
      </c>
      <c r="CK3" t="s">
        <v>25</v>
      </c>
      <c r="CL3" t="s">
        <v>26</v>
      </c>
      <c r="CM3" t="s">
        <v>26</v>
      </c>
      <c r="CN3" t="s">
        <v>26</v>
      </c>
      <c r="CO3" t="s">
        <v>26</v>
      </c>
      <c r="CP3" t="s">
        <v>26</v>
      </c>
      <c r="CQ3" t="s">
        <v>27</v>
      </c>
      <c r="CR3" t="s">
        <v>27</v>
      </c>
      <c r="CS3" t="s">
        <v>27</v>
      </c>
      <c r="CT3" t="s">
        <v>27</v>
      </c>
      <c r="CU3" t="s">
        <v>28</v>
      </c>
      <c r="CV3" t="s">
        <v>28</v>
      </c>
      <c r="CW3" t="s">
        <v>28</v>
      </c>
      <c r="CX3" t="s">
        <v>28</v>
      </c>
      <c r="CY3" t="s">
        <v>28</v>
      </c>
      <c r="CZ3" t="s">
        <v>29</v>
      </c>
      <c r="DA3" t="s">
        <v>29</v>
      </c>
      <c r="DB3" t="s">
        <v>29</v>
      </c>
    </row>
    <row r="4" spans="1:106" x14ac:dyDescent="0.25">
      <c r="A4" s="1"/>
      <c r="B4" s="5" t="s">
        <v>30</v>
      </c>
      <c r="C4" s="7" t="s">
        <v>31</v>
      </c>
      <c r="D4" s="7" t="s">
        <v>32</v>
      </c>
      <c r="E4" s="7" t="s">
        <v>33</v>
      </c>
      <c r="F4" s="7" t="s">
        <v>34</v>
      </c>
      <c r="G4" s="7" t="s">
        <v>35</v>
      </c>
      <c r="H4" s="7" t="s">
        <v>36</v>
      </c>
      <c r="I4" s="7" t="s">
        <v>37</v>
      </c>
      <c r="J4" s="7" t="s">
        <v>38</v>
      </c>
      <c r="K4" s="7" t="s">
        <v>39</v>
      </c>
      <c r="L4" s="7" t="s">
        <v>40</v>
      </c>
      <c r="M4" s="7" t="s">
        <v>41</v>
      </c>
      <c r="N4" s="7" t="s">
        <v>42</v>
      </c>
      <c r="O4" s="7" t="s">
        <v>43</v>
      </c>
      <c r="P4" s="7" t="s">
        <v>44</v>
      </c>
      <c r="Q4" s="7" t="s">
        <v>45</v>
      </c>
      <c r="R4" s="7" t="s">
        <v>46</v>
      </c>
      <c r="S4" s="7" t="s">
        <v>47</v>
      </c>
      <c r="T4" s="7" t="s">
        <v>48</v>
      </c>
      <c r="U4" s="7" t="s">
        <v>49</v>
      </c>
      <c r="V4" s="7" t="s">
        <v>50</v>
      </c>
      <c r="W4" s="7" t="s">
        <v>51</v>
      </c>
      <c r="X4" s="7" t="s">
        <v>52</v>
      </c>
      <c r="Y4" s="7" t="s">
        <v>53</v>
      </c>
      <c r="Z4" s="7" t="s">
        <v>54</v>
      </c>
      <c r="AA4" s="7" t="s">
        <v>55</v>
      </c>
      <c r="AB4" s="7" t="s">
        <v>56</v>
      </c>
      <c r="AC4" s="7" t="s">
        <v>57</v>
      </c>
      <c r="AD4" s="7" t="s">
        <v>58</v>
      </c>
      <c r="AE4" s="7" t="s">
        <v>59</v>
      </c>
      <c r="AF4" s="7" t="s">
        <v>60</v>
      </c>
      <c r="AG4" s="7" t="s">
        <v>61</v>
      </c>
      <c r="AH4" s="7" t="s">
        <v>62</v>
      </c>
      <c r="AI4" s="7" t="s">
        <v>63</v>
      </c>
      <c r="AJ4" s="7" t="s">
        <v>64</v>
      </c>
      <c r="AK4" s="7" t="s">
        <v>65</v>
      </c>
      <c r="AL4" s="7" t="s">
        <v>66</v>
      </c>
      <c r="AM4" s="7" t="s">
        <v>67</v>
      </c>
      <c r="AN4" s="7" t="s">
        <v>68</v>
      </c>
      <c r="AO4" s="7" t="s">
        <v>69</v>
      </c>
      <c r="AP4" s="7" t="s">
        <v>70</v>
      </c>
      <c r="AQ4" s="7" t="s">
        <v>71</v>
      </c>
      <c r="AR4" s="7" t="s">
        <v>72</v>
      </c>
      <c r="AS4" s="7" t="s">
        <v>73</v>
      </c>
      <c r="AT4" s="7" t="s">
        <v>74</v>
      </c>
      <c r="AU4" s="7" t="s">
        <v>75</v>
      </c>
      <c r="AV4" s="7" t="s">
        <v>76</v>
      </c>
      <c r="AW4" s="7" t="s">
        <v>77</v>
      </c>
      <c r="AX4" s="7" t="s">
        <v>78</v>
      </c>
      <c r="AY4" s="7" t="s">
        <v>79</v>
      </c>
      <c r="AZ4" s="7" t="s">
        <v>80</v>
      </c>
      <c r="BA4" s="7" t="s">
        <v>81</v>
      </c>
      <c r="BB4" s="7" t="s">
        <v>82</v>
      </c>
      <c r="BC4" s="7" t="s">
        <v>83</v>
      </c>
      <c r="BD4" s="7" t="s">
        <v>84</v>
      </c>
      <c r="BE4" s="7" t="s">
        <v>85</v>
      </c>
      <c r="BF4" s="7" t="s">
        <v>86</v>
      </c>
      <c r="BG4" s="7" t="s">
        <v>87</v>
      </c>
      <c r="BH4" s="7" t="s">
        <v>88</v>
      </c>
      <c r="BI4" s="7" t="s">
        <v>89</v>
      </c>
      <c r="BJ4" s="7" t="s">
        <v>90</v>
      </c>
      <c r="BK4" s="7" t="s">
        <v>91</v>
      </c>
      <c r="BL4" s="7" t="s">
        <v>92</v>
      </c>
      <c r="BM4" s="7" t="s">
        <v>93</v>
      </c>
      <c r="BN4" s="7" t="s">
        <v>94</v>
      </c>
      <c r="BO4" s="7" t="s">
        <v>95</v>
      </c>
      <c r="BP4" s="7" t="s">
        <v>96</v>
      </c>
      <c r="BQ4" s="7" t="s">
        <v>97</v>
      </c>
      <c r="BR4" s="7" t="s">
        <v>98</v>
      </c>
      <c r="BS4" s="7" t="s">
        <v>99</v>
      </c>
      <c r="BT4" s="7" t="s">
        <v>100</v>
      </c>
      <c r="BU4" s="7" t="s">
        <v>101</v>
      </c>
      <c r="BV4" s="7" t="s">
        <v>102</v>
      </c>
      <c r="BW4" s="7" t="s">
        <v>103</v>
      </c>
      <c r="BX4" s="7" t="s">
        <v>104</v>
      </c>
      <c r="BY4" s="7" t="s">
        <v>105</v>
      </c>
      <c r="BZ4" s="7" t="s">
        <v>106</v>
      </c>
      <c r="CA4" s="7" t="s">
        <v>107</v>
      </c>
      <c r="CB4" s="7" t="s">
        <v>108</v>
      </c>
      <c r="CC4" s="7" t="s">
        <v>109</v>
      </c>
      <c r="CD4" s="7" t="s">
        <v>110</v>
      </c>
      <c r="CE4" s="7" t="s">
        <v>111</v>
      </c>
      <c r="CF4" s="7" t="s">
        <v>112</v>
      </c>
      <c r="CG4" s="7" t="s">
        <v>113</v>
      </c>
      <c r="CH4" s="7" t="s">
        <v>114</v>
      </c>
      <c r="CI4" s="7" t="s">
        <v>115</v>
      </c>
      <c r="CJ4" s="7" t="s">
        <v>116</v>
      </c>
      <c r="CK4" s="7" t="s">
        <v>117</v>
      </c>
      <c r="CL4" s="7" t="s">
        <v>118</v>
      </c>
      <c r="CM4" s="7" t="s">
        <v>119</v>
      </c>
      <c r="CN4" s="7" t="s">
        <v>120</v>
      </c>
      <c r="CO4" s="7" t="s">
        <v>121</v>
      </c>
      <c r="CP4" s="7" t="s">
        <v>122</v>
      </c>
      <c r="CQ4" s="7" t="s">
        <v>123</v>
      </c>
      <c r="CR4" s="7" t="s">
        <v>124</v>
      </c>
      <c r="CS4" s="7" t="s">
        <v>125</v>
      </c>
      <c r="CT4" s="7" t="s">
        <v>126</v>
      </c>
      <c r="CU4" s="7" t="s">
        <v>127</v>
      </c>
      <c r="CV4" s="7" t="s">
        <v>128</v>
      </c>
      <c r="CW4" s="7" t="s">
        <v>129</v>
      </c>
      <c r="CX4" s="7" t="s">
        <v>130</v>
      </c>
      <c r="CY4" s="7" t="s">
        <v>131</v>
      </c>
      <c r="CZ4" s="7" t="s">
        <v>132</v>
      </c>
      <c r="DA4" s="7" t="s">
        <v>133</v>
      </c>
      <c r="DB4" s="7" t="s">
        <v>134</v>
      </c>
    </row>
    <row r="5" spans="1:106" x14ac:dyDescent="0.25">
      <c r="A5" s="1"/>
      <c r="B5" s="5" t="s">
        <v>135</v>
      </c>
      <c r="C5" s="8" t="s">
        <v>136</v>
      </c>
      <c r="D5" s="8" t="s">
        <v>137</v>
      </c>
      <c r="E5" s="8" t="s">
        <v>138</v>
      </c>
      <c r="F5" s="8" t="s">
        <v>139</v>
      </c>
      <c r="G5" s="8" t="s">
        <v>140</v>
      </c>
      <c r="H5" s="8" t="s">
        <v>141</v>
      </c>
      <c r="I5" s="8" t="s">
        <v>142</v>
      </c>
      <c r="J5" s="8" t="s">
        <v>143</v>
      </c>
      <c r="K5" s="8" t="s">
        <v>144</v>
      </c>
      <c r="L5" s="8" t="s">
        <v>145</v>
      </c>
      <c r="M5" s="8" t="s">
        <v>146</v>
      </c>
      <c r="N5" s="8" t="s">
        <v>147</v>
      </c>
      <c r="O5" s="8" t="s">
        <v>148</v>
      </c>
      <c r="P5" s="8" t="s">
        <v>149</v>
      </c>
      <c r="Q5" s="8" t="s">
        <v>150</v>
      </c>
      <c r="R5" s="8" t="s">
        <v>151</v>
      </c>
      <c r="S5" s="8" t="s">
        <v>152</v>
      </c>
      <c r="T5" s="8" t="s">
        <v>153</v>
      </c>
      <c r="U5" s="8" t="s">
        <v>154</v>
      </c>
      <c r="V5" s="8" t="s">
        <v>155</v>
      </c>
      <c r="W5" s="8" t="s">
        <v>156</v>
      </c>
      <c r="X5" s="8" t="s">
        <v>157</v>
      </c>
      <c r="Y5" s="8" t="s">
        <v>158</v>
      </c>
      <c r="Z5" s="8" t="s">
        <v>159</v>
      </c>
      <c r="AA5" s="8" t="s">
        <v>160</v>
      </c>
      <c r="AB5" s="8" t="s">
        <v>161</v>
      </c>
      <c r="AC5" s="8" t="s">
        <v>162</v>
      </c>
      <c r="AD5" s="8" t="s">
        <v>163</v>
      </c>
      <c r="AE5" s="8" t="s">
        <v>164</v>
      </c>
      <c r="AF5" s="8" t="s">
        <v>165</v>
      </c>
      <c r="AG5" s="8" t="s">
        <v>166</v>
      </c>
      <c r="AH5" s="8" t="s">
        <v>167</v>
      </c>
      <c r="AI5" s="8" t="s">
        <v>168</v>
      </c>
      <c r="AJ5" s="8" t="s">
        <v>169</v>
      </c>
      <c r="AK5" s="8" t="s">
        <v>170</v>
      </c>
      <c r="AL5" s="8" t="s">
        <v>171</v>
      </c>
      <c r="AM5" s="8" t="s">
        <v>172</v>
      </c>
      <c r="AN5" s="8" t="s">
        <v>173</v>
      </c>
      <c r="AO5" s="8" t="s">
        <v>174</v>
      </c>
      <c r="AP5" s="8" t="s">
        <v>175</v>
      </c>
      <c r="AQ5" s="8" t="s">
        <v>176</v>
      </c>
      <c r="AR5" s="8" t="s">
        <v>177</v>
      </c>
      <c r="AS5" s="8" t="s">
        <v>178</v>
      </c>
      <c r="AT5" s="8" t="s">
        <v>179</v>
      </c>
      <c r="AU5" s="8" t="s">
        <v>180</v>
      </c>
      <c r="AV5" s="8" t="s">
        <v>181</v>
      </c>
      <c r="AW5" s="8" t="s">
        <v>182</v>
      </c>
      <c r="AX5" s="8" t="s">
        <v>183</v>
      </c>
      <c r="AY5" s="8" t="s">
        <v>184</v>
      </c>
      <c r="AZ5" s="8" t="s">
        <v>185</v>
      </c>
      <c r="BA5" s="8" t="s">
        <v>186</v>
      </c>
      <c r="BB5" s="8" t="s">
        <v>187</v>
      </c>
      <c r="BC5" s="8" t="s">
        <v>188</v>
      </c>
      <c r="BD5" s="8" t="s">
        <v>189</v>
      </c>
      <c r="BE5" s="8" t="s">
        <v>190</v>
      </c>
      <c r="BF5" s="8" t="s">
        <v>191</v>
      </c>
      <c r="BG5" s="8" t="s">
        <v>192</v>
      </c>
      <c r="BH5" s="8" t="s">
        <v>193</v>
      </c>
      <c r="BI5" s="8" t="s">
        <v>194</v>
      </c>
      <c r="BJ5" s="8" t="s">
        <v>195</v>
      </c>
      <c r="BK5" s="8" t="s">
        <v>196</v>
      </c>
      <c r="BL5" s="8" t="s">
        <v>197</v>
      </c>
      <c r="BM5" s="8" t="s">
        <v>198</v>
      </c>
      <c r="BN5" s="8" t="s">
        <v>199</v>
      </c>
      <c r="BO5" s="8" t="s">
        <v>200</v>
      </c>
      <c r="BP5" s="8" t="s">
        <v>201</v>
      </c>
      <c r="BQ5" s="8" t="s">
        <v>202</v>
      </c>
      <c r="BR5" s="8" t="s">
        <v>203</v>
      </c>
      <c r="BS5" s="8" t="s">
        <v>204</v>
      </c>
      <c r="BT5" s="8" t="s">
        <v>205</v>
      </c>
      <c r="BU5" s="8" t="s">
        <v>206</v>
      </c>
      <c r="BV5" s="8" t="s">
        <v>207</v>
      </c>
      <c r="BW5" s="8" t="s">
        <v>208</v>
      </c>
      <c r="BX5" s="8" t="s">
        <v>209</v>
      </c>
      <c r="BY5" s="8" t="s">
        <v>210</v>
      </c>
      <c r="BZ5" s="8" t="s">
        <v>211</v>
      </c>
      <c r="CA5" s="8" t="s">
        <v>212</v>
      </c>
      <c r="CB5" s="8" t="s">
        <v>213</v>
      </c>
      <c r="CC5" s="8" t="s">
        <v>214</v>
      </c>
      <c r="CD5" s="8" t="s">
        <v>215</v>
      </c>
      <c r="CE5" s="8" t="s">
        <v>216</v>
      </c>
      <c r="CF5" s="8" t="s">
        <v>217</v>
      </c>
      <c r="CG5" s="8" t="s">
        <v>218</v>
      </c>
      <c r="CH5" s="8" t="s">
        <v>219</v>
      </c>
      <c r="CI5" s="8" t="s">
        <v>220</v>
      </c>
      <c r="CJ5" s="8" t="s">
        <v>221</v>
      </c>
      <c r="CK5" s="8" t="s">
        <v>222</v>
      </c>
      <c r="CL5" s="8" t="s">
        <v>223</v>
      </c>
      <c r="CM5" s="8" t="s">
        <v>224</v>
      </c>
      <c r="CN5" s="8" t="s">
        <v>225</v>
      </c>
      <c r="CO5" s="8" t="s">
        <v>226</v>
      </c>
      <c r="CP5" s="8" t="s">
        <v>227</v>
      </c>
      <c r="CQ5" s="8" t="s">
        <v>228</v>
      </c>
      <c r="CR5" s="8" t="s">
        <v>229</v>
      </c>
      <c r="CS5" s="8" t="s">
        <v>230</v>
      </c>
      <c r="CT5" s="8" t="s">
        <v>231</v>
      </c>
      <c r="CU5" s="8" t="s">
        <v>232</v>
      </c>
      <c r="CV5" s="8" t="s">
        <v>233</v>
      </c>
      <c r="CW5" s="8" t="s">
        <v>234</v>
      </c>
      <c r="CX5" s="8" t="s">
        <v>235</v>
      </c>
      <c r="CY5" s="8" t="s">
        <v>236</v>
      </c>
      <c r="CZ5" s="8" t="s">
        <v>237</v>
      </c>
      <c r="DA5" s="8" t="s">
        <v>238</v>
      </c>
      <c r="DB5" s="8" t="s">
        <v>239</v>
      </c>
    </row>
    <row r="6" spans="1:106" x14ac:dyDescent="0.25">
      <c r="A6" s="9" t="s">
        <v>240</v>
      </c>
      <c r="B6" s="10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</row>
    <row r="7" ht="18" customHeight="1" spans="1:106" x14ac:dyDescent="0.25">
      <c r="A7" s="12" t="s">
        <v>241</v>
      </c>
      <c r="B7" s="13"/>
      <c r="C7" s="14">
        <v>60</v>
      </c>
      <c r="D7" s="14">
        <v>60</v>
      </c>
      <c r="E7" s="14">
        <v>60</v>
      </c>
      <c r="F7" s="14">
        <v>60</v>
      </c>
      <c r="G7" s="14">
        <v>60</v>
      </c>
      <c r="H7" s="14">
        <v>60</v>
      </c>
      <c r="I7" s="14">
        <v>60</v>
      </c>
      <c r="J7" s="14">
        <v>55</v>
      </c>
      <c r="K7" s="14">
        <v>55</v>
      </c>
      <c r="L7" s="14">
        <v>50</v>
      </c>
      <c r="M7" s="14">
        <v>50</v>
      </c>
      <c r="N7" s="14">
        <v>42</v>
      </c>
      <c r="O7" s="14">
        <v>42</v>
      </c>
      <c r="P7" s="14">
        <v>42</v>
      </c>
      <c r="Q7" s="14">
        <v>42</v>
      </c>
      <c r="R7" s="14">
        <v>42</v>
      </c>
      <c r="S7" s="14">
        <v>42</v>
      </c>
      <c r="T7" s="14">
        <v>42</v>
      </c>
      <c r="U7" s="14">
        <v>42</v>
      </c>
      <c r="V7" s="14">
        <v>42</v>
      </c>
      <c r="W7" s="14">
        <v>42</v>
      </c>
      <c r="X7" s="14">
        <v>42</v>
      </c>
      <c r="Y7" s="14">
        <v>42</v>
      </c>
      <c r="Z7" s="14">
        <v>42</v>
      </c>
      <c r="AA7" s="14">
        <v>42</v>
      </c>
      <c r="AB7" s="14">
        <v>42</v>
      </c>
      <c r="AC7" s="14">
        <v>52</v>
      </c>
      <c r="AD7" s="14">
        <v>62</v>
      </c>
      <c r="AE7" s="14">
        <v>62</v>
      </c>
      <c r="AF7" s="14">
        <v>62</v>
      </c>
      <c r="AG7" s="14">
        <v>62</v>
      </c>
      <c r="AH7" s="14">
        <v>72</v>
      </c>
      <c r="AI7" s="14">
        <v>80</v>
      </c>
      <c r="AJ7" s="14">
        <v>85</v>
      </c>
      <c r="AK7" s="14">
        <v>85</v>
      </c>
      <c r="AL7" s="14">
        <v>92</v>
      </c>
      <c r="AM7" s="14">
        <v>92</v>
      </c>
      <c r="AN7" s="14">
        <v>92</v>
      </c>
      <c r="AO7" s="14">
        <v>92</v>
      </c>
      <c r="AP7" s="14">
        <v>92</v>
      </c>
      <c r="AQ7" s="14">
        <v>104</v>
      </c>
      <c r="AR7" s="14">
        <v>104</v>
      </c>
      <c r="AS7" s="14">
        <v>104</v>
      </c>
      <c r="AT7" s="14">
        <v>110</v>
      </c>
      <c r="AU7" s="14">
        <v>122</v>
      </c>
      <c r="AV7" s="14">
        <v>122</v>
      </c>
      <c r="AW7" s="14">
        <v>122</v>
      </c>
      <c r="AX7" s="14">
        <v>130</v>
      </c>
      <c r="AY7" s="14">
        <v>130</v>
      </c>
      <c r="AZ7" s="14">
        <v>130</v>
      </c>
      <c r="BA7" s="14">
        <v>130</v>
      </c>
      <c r="BB7" s="14">
        <v>130</v>
      </c>
      <c r="BC7" s="14">
        <v>130</v>
      </c>
      <c r="BD7" s="14">
        <v>130</v>
      </c>
      <c r="BE7" s="14">
        <v>130</v>
      </c>
      <c r="BF7" s="14">
        <v>130</v>
      </c>
      <c r="BG7" s="14">
        <v>130</v>
      </c>
      <c r="BH7" s="14">
        <v>130</v>
      </c>
      <c r="BI7" s="14">
        <v>130</v>
      </c>
      <c r="BJ7" s="14">
        <v>130</v>
      </c>
      <c r="BK7" s="14">
        <v>130</v>
      </c>
      <c r="BL7" s="14">
        <v>125</v>
      </c>
      <c r="BM7" s="14">
        <v>125</v>
      </c>
      <c r="BN7" s="14">
        <v>125</v>
      </c>
      <c r="BO7" s="14">
        <v>125</v>
      </c>
      <c r="BP7" s="14">
        <v>125</v>
      </c>
      <c r="BQ7" s="14">
        <v>115</v>
      </c>
      <c r="BR7" s="14">
        <v>105</v>
      </c>
      <c r="BS7" s="14">
        <v>100</v>
      </c>
      <c r="BT7" s="14">
        <v>100</v>
      </c>
      <c r="BU7" s="14">
        <v>100</v>
      </c>
      <c r="BV7" s="14">
        <v>100</v>
      </c>
      <c r="BW7" s="14">
        <v>100</v>
      </c>
      <c r="BX7" s="14">
        <v>100</v>
      </c>
      <c r="BY7" s="14">
        <v>100</v>
      </c>
      <c r="BZ7" s="14">
        <v>100</v>
      </c>
      <c r="CA7" s="14">
        <v>100</v>
      </c>
      <c r="CB7" s="14">
        <v>100</v>
      </c>
      <c r="CC7" s="14">
        <v>100</v>
      </c>
      <c r="CD7" s="14">
        <v>100</v>
      </c>
      <c r="CE7" s="14">
        <v>100</v>
      </c>
      <c r="CF7" s="14">
        <v>75</v>
      </c>
      <c r="CG7" s="14">
        <v>75</v>
      </c>
      <c r="CH7" s="14">
        <v>100</v>
      </c>
      <c r="CI7" s="14">
        <v>100</v>
      </c>
      <c r="CJ7" s="14">
        <v>100</v>
      </c>
      <c r="CK7" s="14">
        <v>100</v>
      </c>
      <c r="CL7" s="14">
        <v>110</v>
      </c>
      <c r="CM7" s="14">
        <v>110</v>
      </c>
      <c r="CN7" s="14">
        <v>110</v>
      </c>
      <c r="CO7" s="14">
        <v>110</v>
      </c>
      <c r="CP7" s="14">
        <v>110</v>
      </c>
      <c r="CQ7" s="14">
        <v>110</v>
      </c>
      <c r="CR7" s="14">
        <v>110</v>
      </c>
      <c r="CS7" s="14">
        <v>110</v>
      </c>
      <c r="CT7" s="14">
        <v>110</v>
      </c>
      <c r="CU7" s="14">
        <v>120</v>
      </c>
      <c r="CV7" s="14">
        <v>120</v>
      </c>
      <c r="CW7" s="14">
        <v>120</v>
      </c>
      <c r="CX7" s="14">
        <v>120</v>
      </c>
      <c r="CY7" s="14">
        <v>130</v>
      </c>
      <c r="CZ7" s="14">
        <v>135</v>
      </c>
      <c r="DA7" s="14">
        <v>135</v>
      </c>
      <c r="DB7" s="14">
        <v>135</v>
      </c>
    </row>
    <row r="8" ht="18" customHeight="1" spans="1:106" x14ac:dyDescent="0.25">
      <c r="A8" s="12" t="s">
        <v>242</v>
      </c>
      <c r="B8" s="13"/>
      <c r="C8" s="14">
        <v>2117</v>
      </c>
      <c r="D8" s="14">
        <v>2119</v>
      </c>
      <c r="E8" s="14">
        <v>2114</v>
      </c>
      <c r="F8" s="14">
        <v>2121</v>
      </c>
      <c r="G8" s="14">
        <v>2120</v>
      </c>
      <c r="H8" s="14">
        <v>2157</v>
      </c>
      <c r="I8" s="14">
        <v>2154</v>
      </c>
      <c r="J8" s="14">
        <v>1972</v>
      </c>
      <c r="K8" s="14">
        <v>1973</v>
      </c>
      <c r="L8" s="14">
        <v>1797</v>
      </c>
      <c r="M8" s="14">
        <v>1789</v>
      </c>
      <c r="N8" s="14">
        <v>1505</v>
      </c>
      <c r="O8" s="14">
        <v>1501</v>
      </c>
      <c r="P8" s="14">
        <v>1508</v>
      </c>
      <c r="Q8" s="14">
        <v>1506</v>
      </c>
      <c r="R8" s="14">
        <v>1506</v>
      </c>
      <c r="S8" s="14">
        <v>1503</v>
      </c>
      <c r="T8" s="14">
        <v>1504</v>
      </c>
      <c r="U8" s="14">
        <v>1495</v>
      </c>
      <c r="V8" s="14">
        <v>1495</v>
      </c>
      <c r="W8" s="14">
        <v>1495</v>
      </c>
      <c r="X8" s="14">
        <v>1495</v>
      </c>
      <c r="Y8" s="14">
        <v>1494</v>
      </c>
      <c r="Z8" s="14">
        <v>1494</v>
      </c>
      <c r="AA8" s="14">
        <v>1494</v>
      </c>
      <c r="AB8" s="14">
        <v>1494</v>
      </c>
      <c r="AC8" s="14">
        <v>1862</v>
      </c>
      <c r="AD8" s="14">
        <v>2220</v>
      </c>
      <c r="AE8" s="14">
        <v>2220</v>
      </c>
      <c r="AF8" s="14">
        <v>2220</v>
      </c>
      <c r="AG8" s="14">
        <v>2218</v>
      </c>
      <c r="AH8" s="14">
        <v>2572</v>
      </c>
      <c r="AI8" s="14">
        <v>2849</v>
      </c>
      <c r="AJ8" s="14">
        <v>3037</v>
      </c>
      <c r="AK8" s="14">
        <v>3030</v>
      </c>
      <c r="AL8" s="14">
        <v>3302</v>
      </c>
      <c r="AM8" s="14">
        <v>3302</v>
      </c>
      <c r="AN8" s="14">
        <v>3302</v>
      </c>
      <c r="AO8" s="14">
        <v>3302</v>
      </c>
      <c r="AP8" s="14">
        <v>3302</v>
      </c>
      <c r="AQ8" s="14">
        <v>3727</v>
      </c>
      <c r="AR8" s="14">
        <v>3727</v>
      </c>
      <c r="AS8" s="14">
        <v>3727</v>
      </c>
      <c r="AT8" s="14">
        <v>3949</v>
      </c>
      <c r="AU8" s="14">
        <v>4379</v>
      </c>
      <c r="AV8" s="14">
        <v>4379</v>
      </c>
      <c r="AW8" s="14">
        <v>4380</v>
      </c>
      <c r="AX8" s="14">
        <v>4667</v>
      </c>
      <c r="AY8" s="14">
        <v>4685</v>
      </c>
      <c r="AZ8" s="14">
        <v>4685</v>
      </c>
      <c r="BA8" s="14">
        <v>4685</v>
      </c>
      <c r="BB8" s="14">
        <v>4685</v>
      </c>
      <c r="BC8" s="14">
        <v>4686</v>
      </c>
      <c r="BD8" s="14">
        <v>4686</v>
      </c>
      <c r="BE8" s="14">
        <v>4686</v>
      </c>
      <c r="BF8" s="14">
        <v>4686</v>
      </c>
      <c r="BG8" s="14">
        <v>4684</v>
      </c>
      <c r="BH8" s="14">
        <v>4678</v>
      </c>
      <c r="BI8" s="14">
        <v>4678</v>
      </c>
      <c r="BJ8" s="14">
        <v>4678</v>
      </c>
      <c r="BK8" s="14">
        <v>4678</v>
      </c>
      <c r="BL8" s="14">
        <v>4501</v>
      </c>
      <c r="BM8" s="14">
        <v>4496</v>
      </c>
      <c r="BN8" s="14">
        <v>4496</v>
      </c>
      <c r="BO8" s="14">
        <v>4496</v>
      </c>
      <c r="BP8" s="14">
        <v>4498</v>
      </c>
      <c r="BQ8" s="14">
        <v>4131</v>
      </c>
      <c r="BR8" s="14">
        <v>3772</v>
      </c>
      <c r="BS8" s="14">
        <v>3592</v>
      </c>
      <c r="BT8" s="14">
        <v>3590</v>
      </c>
      <c r="BU8" s="14">
        <v>3596</v>
      </c>
      <c r="BV8" s="14">
        <v>3596</v>
      </c>
      <c r="BW8" s="14">
        <v>3596</v>
      </c>
      <c r="BX8" s="14">
        <v>3596</v>
      </c>
      <c r="BY8" s="14">
        <v>3503</v>
      </c>
      <c r="BZ8" s="14">
        <v>3510</v>
      </c>
      <c r="CA8" s="14">
        <v>3509</v>
      </c>
      <c r="CB8" s="14">
        <v>3508</v>
      </c>
      <c r="CC8" s="14">
        <v>3508</v>
      </c>
      <c r="CD8" s="14">
        <v>3506</v>
      </c>
      <c r="CE8" s="14">
        <v>3507</v>
      </c>
      <c r="CF8" s="14">
        <v>2630</v>
      </c>
      <c r="CG8" s="14">
        <v>2630</v>
      </c>
      <c r="CH8" s="14">
        <v>3505</v>
      </c>
      <c r="CI8" s="14">
        <v>3505</v>
      </c>
      <c r="CJ8" s="14">
        <v>3505</v>
      </c>
      <c r="CK8" s="14">
        <v>3505</v>
      </c>
      <c r="CL8" s="14">
        <v>3852</v>
      </c>
      <c r="CM8" s="14">
        <v>3853</v>
      </c>
      <c r="CN8" s="14">
        <v>3853</v>
      </c>
      <c r="CO8" s="14">
        <v>3857</v>
      </c>
      <c r="CP8" s="14">
        <v>3858</v>
      </c>
      <c r="CQ8" s="14">
        <v>3866</v>
      </c>
      <c r="CR8" s="14">
        <v>3866</v>
      </c>
      <c r="CS8" s="14">
        <v>3866</v>
      </c>
      <c r="CT8" s="14">
        <v>3856</v>
      </c>
      <c r="CU8" s="14">
        <v>4213</v>
      </c>
      <c r="CV8" s="14">
        <v>4214</v>
      </c>
      <c r="CW8" s="14">
        <v>4213</v>
      </c>
      <c r="CX8" s="14">
        <v>4214</v>
      </c>
      <c r="CY8" s="14">
        <v>4568</v>
      </c>
      <c r="CZ8" s="14">
        <v>4741</v>
      </c>
      <c r="DA8" s="14">
        <v>4740</v>
      </c>
      <c r="DB8" s="14">
        <v>4739</v>
      </c>
    </row>
    <row r="9" ht="18" customHeight="1" spans="1:106" x14ac:dyDescent="0.25">
      <c r="A9" s="12" t="s">
        <v>243</v>
      </c>
      <c r="B9" s="13"/>
      <c r="C9" s="15">
        <f>=IFERROR(ROUND((C8/(C47*C48))/(1-C29)/C45,0),"")</f>
        <v>63</v>
      </c>
      <c r="D9" s="15">
        <f>=IFERROR(ROUND((D8/(D47*D48))/(1-D29)/D45,0),"")</f>
        <v>63</v>
      </c>
      <c r="E9" s="15">
        <f>=IFERROR(ROUND((E8/(E47*E48))/(1-E29)/E45,0),"")</f>
        <v>63</v>
      </c>
      <c r="F9" s="15">
        <f>=IFERROR(ROUND((F8/(F47*F48))/(1-F29)/F45,0),"")</f>
        <v>63</v>
      </c>
      <c r="G9" s="15">
        <f>=IFERROR(ROUND((G8/(G47*G48))/(1-G29)/G45,0),"")</f>
        <v>63</v>
      </c>
      <c r="H9" s="15">
        <f>=IFERROR(ROUND((H8/(H47*H48))/(1-H29)/H45,0),"")</f>
        <v>64</v>
      </c>
      <c r="I9" s="15">
        <f>=IFERROR(ROUND((I8/(I47*I48))/(1-I29)/I45,0),"")</f>
        <v>64</v>
      </c>
      <c r="J9" s="15">
        <f>=IFERROR(ROUND((J8/(J47*J48))/(1-J29)/J45,0),"")</f>
        <v>59</v>
      </c>
      <c r="K9" s="15">
        <f>=IFERROR(ROUND((K8/(K47*K48))/(1-K29)/K45,0),"")</f>
        <v>59</v>
      </c>
      <c r="L9" s="15">
        <f>=IFERROR(ROUND((L8/(L47*L48))/(1-L29)/L45,0),"")</f>
        <v>53</v>
      </c>
      <c r="M9" s="15">
        <f>=IFERROR(ROUND((M8/(M47*M48))/(1-M29)/M45,0),"")</f>
        <v>53</v>
      </c>
      <c r="N9" s="15">
        <f>=IFERROR(ROUND((N8/(N47*N48))/(1-N29)/N45,0),"")</f>
        <v>45</v>
      </c>
      <c r="O9" s="15">
        <f>=IFERROR(ROUND((O8/(O47*O48))/(1-O29)/O45,0),"")</f>
        <v>45</v>
      </c>
      <c r="P9" s="15">
        <f>=IFERROR(ROUND((P8/(P47*P48))/(1-P29)/P45,0),"")</f>
        <v>45</v>
      </c>
      <c r="Q9" s="15">
        <f>=IFERROR(ROUND((Q8/(Q47*Q48))/(1-Q29)/Q45,0),"")</f>
        <v>45</v>
      </c>
      <c r="R9" s="15">
        <f>=IFERROR(ROUND((R8/(R47*R48))/(1-R29)/R45,0),"")</f>
        <v>45</v>
      </c>
      <c r="S9" s="15">
        <f>=IFERROR(ROUND((S8/(S47*S48))/(1-S29)/S45,0),"")</f>
        <v>45</v>
      </c>
      <c r="T9" s="15">
        <f>=IFERROR(ROUND((T8/(T47*T48))/(1-T29)/T45,0),"")</f>
        <v>45</v>
      </c>
      <c r="U9" s="15">
        <f>=IFERROR(ROUND((U8/(U47*U48))/(1-U29)/U45,0),"")</f>
        <v>44</v>
      </c>
      <c r="V9" s="15">
        <f>=IFERROR(ROUND((V8/(V47*V48))/(1-V29)/V45,0),"")</f>
        <v>44</v>
      </c>
      <c r="W9" s="15">
        <f>=IFERROR(ROUND((W8/(W47*W48))/(1-W29)/W45,0),"")</f>
        <v>44</v>
      </c>
      <c r="X9" s="15">
        <f>=IFERROR(ROUND((X8/(X47*X48))/(1-X29)/X45,0),"")</f>
        <v>44</v>
      </c>
      <c r="Y9" s="15">
        <f>=IFERROR(ROUND((Y8/(Y47*Y48))/(1-Y29)/Y45,0),"")</f>
        <v>44</v>
      </c>
      <c r="Z9" s="15">
        <f>=IFERROR(ROUND((Z8/(Z47*Z48))/(1-Z29)/Z45,0),"")</f>
        <v>44</v>
      </c>
      <c r="AA9" s="15">
        <f>=IFERROR(ROUND((AA8/(AA47*AA48))/(1-AA29)/AA45,0),"")</f>
        <v>44</v>
      </c>
      <c r="AB9" s="15">
        <f>=IFERROR(ROUND((AB8/(AB47*AB48))/(1-AB29)/AB45,0),"")</f>
        <v>44</v>
      </c>
      <c r="AC9" s="15">
        <f>=IFERROR(ROUND((AC8/(AC47*AC48))/(1-AC29)/AC45,0),"")</f>
        <v>55</v>
      </c>
      <c r="AD9" s="15">
        <f>=IFERROR(ROUND((AD8/(AD47*AD48))/(1-AD29)/AD45,0),"")</f>
        <v>66</v>
      </c>
      <c r="AE9" s="15">
        <f>=IFERROR(ROUND((AE8/(AE47*AE48))/(1-AE29)/AE45,0),"")</f>
        <v>66</v>
      </c>
      <c r="AF9" s="15">
        <f>=IFERROR(ROUND((AF8/(AF47*AF48))/(1-AF29)/AF45,0),"")</f>
        <v>66</v>
      </c>
      <c r="AG9" s="15">
        <f>=IFERROR(ROUND((AG8/(AG47*AG48))/(1-AG29)/AG45,0),"")</f>
        <v>66</v>
      </c>
      <c r="AH9" s="15">
        <f>=IFERROR(ROUND((AH8/(AH47*AH48))/(1-AH29)/AH45,0),"")</f>
        <v>77</v>
      </c>
      <c r="AI9" s="15">
        <f>=IFERROR(ROUND((AI8/(AI47*AI48))/(1-AI29)/AI45,0),"")</f>
        <v>85</v>
      </c>
      <c r="AJ9" s="15">
        <f>=IFERROR(ROUND((AJ8/(AJ47*AJ48))/(1-AJ29)/AJ45,0),"")</f>
        <v>90</v>
      </c>
      <c r="AK9" s="15">
        <f>=IFERROR(ROUND((AK8/(AK47*AK48))/(1-AK29)/AK45,0),"")</f>
        <v>90</v>
      </c>
      <c r="AL9" s="15">
        <f>=IFERROR(ROUND((AL8/(AL47*AL48))/(1-AL29)/AL45,0),"")</f>
        <v>98</v>
      </c>
      <c r="AM9" s="15">
        <f>=IFERROR(ROUND((AM8/(AM47*AM48))/(1-AM29)/AM45,0),"")</f>
        <v>98</v>
      </c>
      <c r="AN9" s="15">
        <f>=IFERROR(ROUND((AN8/(AN47*AN48))/(1-AN29)/AN45,0),"")</f>
        <v>98</v>
      </c>
      <c r="AO9" s="15">
        <f>=IFERROR(ROUND((AO8/(AO47*AO48))/(1-AO29)/AO45,0),"")</f>
        <v>98</v>
      </c>
      <c r="AP9" s="15">
        <f>=IFERROR(ROUND((AP8/(AP47*AP48))/(1-AP29)/AP45,0),"")</f>
        <v>95</v>
      </c>
      <c r="AQ9" s="15">
        <f>=IFERROR(ROUND((AQ8/(AQ47*AQ48))/(1-AQ29)/AQ45,0),"")</f>
        <v>107</v>
      </c>
      <c r="AR9" s="15">
        <f>=IFERROR(ROUND((AR8/(AR47*AR48))/(1-AR29)/AR45,0),"")</f>
        <v>107</v>
      </c>
      <c r="AS9" s="15">
        <f>=IFERROR(ROUND((AS8/(AS47*AS48))/(1-AS29)/AS45,0),"")</f>
        <v>107</v>
      </c>
      <c r="AT9" s="15">
        <f>=IFERROR(ROUND((AT8/(AT47*AT48))/(1-AT29)/AT45,0),"")</f>
        <v>113</v>
      </c>
      <c r="AU9" s="15">
        <f>=IFERROR(ROUND((AU8/(AU47*AU48))/(1-AU29)/AU45,0),"")</f>
        <v>126</v>
      </c>
      <c r="AV9" s="15">
        <f>=IFERROR(ROUND((AV8/(AV47*AV48))/(1-AV29)/AV45,0),"")</f>
        <v>126</v>
      </c>
      <c r="AW9" s="15">
        <f>=IFERROR(ROUND((AW8/(AW47*AW48))/(1-AW29)/AW45,0),"")</f>
        <v>126</v>
      </c>
      <c r="AX9" s="15">
        <f>=IFERROR(ROUND((AX8/(AX47*AX48))/(1-AX29)/AX45,0),"")</f>
        <v>134</v>
      </c>
      <c r="AY9" s="15">
        <f>=IFERROR(ROUND((AY8/(AY47*AY48))/(1-AY29)/AY45,0),"")</f>
        <v>135</v>
      </c>
      <c r="AZ9" s="15">
        <f>=IFERROR(ROUND((AZ8/(AZ47*AZ48))/(1-AZ29)/AZ45,0),"")</f>
        <v>135</v>
      </c>
      <c r="BA9" s="15">
        <f>=IFERROR(ROUND((BA8/(BA47*BA48))/(1-BA29)/BA45,0),"")</f>
        <v>135</v>
      </c>
      <c r="BB9" s="15">
        <f>=IFERROR(ROUND((BB8/(BB47*BB48))/(1-BB29)/BB45,0),"")</f>
        <v>135</v>
      </c>
      <c r="BC9" s="15">
        <f>=IFERROR(ROUND((BC8/(BC47*BC48))/(1-BC29)/BC45,0),"")</f>
        <v>136</v>
      </c>
      <c r="BD9" s="15">
        <f>=IFERROR(ROUND((BD8/(BD47*BD48))/(1-BD29)/BD45,0),"")</f>
        <v>136</v>
      </c>
      <c r="BE9" s="15">
        <f>=IFERROR(ROUND((BE8/(BE47*BE48))/(1-BE29)/BE45,0),"")</f>
        <v>136</v>
      </c>
      <c r="BF9" s="15">
        <f>=IFERROR(ROUND((BF8/(BF47*BF48))/(1-BF29)/BF45,0),"")</f>
        <v>136</v>
      </c>
      <c r="BG9" s="15">
        <f>=IFERROR(ROUND((BG8/(BG47*BG48))/(1-BG29)/BG45,0),"")</f>
        <v>136</v>
      </c>
      <c r="BH9" s="15">
        <f>=IFERROR(ROUND((BH8/(BH47*BH48))/(1-BH29)/BH45,0),"")</f>
        <v>136</v>
      </c>
      <c r="BI9" s="15">
        <f>=IFERROR(ROUND((BI8/(BI47*BI48))/(1-BI29)/BI45,0),"")</f>
        <v>136</v>
      </c>
      <c r="BJ9" s="15">
        <f>=IFERROR(ROUND((BJ8/(BJ47*BJ48))/(1-BJ29)/BJ45,0),"")</f>
        <v>136</v>
      </c>
      <c r="BK9" s="15">
        <f>=IFERROR(ROUND((BK8/(BK47*BK48))/(1-BK29)/BK45,0),"")</f>
        <v>136</v>
      </c>
      <c r="BL9" s="15">
        <f>=IFERROR(ROUND((BL8/(BL47*BL48))/(1-BL29)/BL45,0),"")</f>
        <v>131</v>
      </c>
      <c r="BM9" s="15">
        <f>=IFERROR(ROUND((BM8/(BM47*BM48))/(1-BM29)/BM45,0),"")</f>
        <v>131</v>
      </c>
      <c r="BN9" s="15">
        <f>=IFERROR(ROUND((BN8/(BN47*BN48))/(1-BN29)/BN45,0),"")</f>
        <v>131</v>
      </c>
      <c r="BO9" s="15">
        <f>=IFERROR(ROUND((BO8/(BO47*BO48))/(1-BO29)/BO45,0),"")</f>
        <v>131</v>
      </c>
      <c r="BP9" s="15">
        <f>=IFERROR(ROUND((BP8/(BP47*BP48))/(1-BP29)/BP45,0),"")</f>
        <v>131</v>
      </c>
      <c r="BQ9" s="15">
        <f>=IFERROR(ROUND((BQ8/(BQ47*BQ48))/(1-BQ29)/BQ45,0),"")</f>
        <v>120</v>
      </c>
      <c r="BR9" s="15">
        <f>=IFERROR(ROUND((BR8/(BR47*BR48))/(1-BR29)/BR45,0),"")</f>
        <v>110</v>
      </c>
      <c r="BS9" s="15">
        <f>=IFERROR(ROUND((BS8/(BS47*BS48))/(1-BS29)/BS45,0),"")</f>
        <v>104</v>
      </c>
      <c r="BT9" s="15">
        <f>=IFERROR(ROUND((BT8/(BT47*BT48))/(1-BT29)/BT45,0),"")</f>
        <v>104</v>
      </c>
      <c r="BU9" s="15">
        <f>=IFERROR(ROUND((BU8/(BU47*BU48))/(1-BU29)/BU45,0),"")</f>
        <v>105</v>
      </c>
      <c r="BV9" s="15">
        <f>=IFERROR(ROUND((BV8/(BV47*BV48))/(1-BV29)/BV45,0),"")</f>
        <v>105</v>
      </c>
      <c r="BW9" s="15">
        <f>=IFERROR(ROUND((BW8/(BW47*BW48))/(1-BW29)/BW45,0),"")</f>
        <v>105</v>
      </c>
      <c r="BX9" s="15">
        <f>=IFERROR(ROUND((BX8/(BX47*BX48))/(1-BX29)/BX45,0),"")</f>
        <v>102</v>
      </c>
      <c r="BY9" s="15">
        <f>=IFERROR(ROUND((BY8/(BY47*BY48))/(1-BY29)/BY45,0),"")</f>
        <v>100</v>
      </c>
      <c r="BZ9" s="15">
        <f>=IFERROR(ROUND((BZ8/(BZ47*BZ48))/(1-BZ29)/BZ45,0),"")</f>
        <v>100</v>
      </c>
      <c r="CA9" s="15">
        <f>=IFERROR(ROUND((CA8/(CA47*CA48))/(1-CA29)/CA45,0),"")</f>
        <v>100</v>
      </c>
      <c r="CB9" s="15">
        <f>=IFERROR(ROUND((CB8/(CB47*CB48))/(1-CB29)/CB45,0),"")</f>
        <v>100</v>
      </c>
      <c r="CC9" s="15">
        <f>=IFERROR(ROUND((CC8/(CC47*CC48))/(1-CC29)/CC45,0),"")</f>
        <v>100</v>
      </c>
      <c r="CD9" s="15">
        <f>=IFERROR(ROUND((CD8/(CD47*CD48))/(1-CD29)/CD45,0),"")</f>
        <v>100</v>
      </c>
      <c r="CE9" s="15">
        <f>=IFERROR(ROUND((CE8/(CE47*CE48))/(1-CE29)/CE45,0),"")</f>
        <v>100</v>
      </c>
      <c r="CF9" s="15">
        <f>=IFERROR(ROUND((CF8/(CF47*CF48))/(1-CF29)/CF45,0),"")</f>
        <v>75</v>
      </c>
      <c r="CG9" s="15">
        <f>=IFERROR(ROUND((CG8/(CG47*CG48))/(1-CG29)/CG45,0),"")</f>
        <v>75</v>
      </c>
      <c r="CH9" s="15">
        <f>=IFERROR(ROUND((CH8/(CH47*CH48))/(1-CH29)/CH45,0),"")</f>
        <v>100</v>
      </c>
      <c r="CI9" s="15">
        <f>=IFERROR(ROUND((CI8/(CI47*CI48))/(1-CI29)/CI45,0),"")</f>
        <v>100</v>
      </c>
      <c r="CJ9" s="15">
        <f>=IFERROR(ROUND((CJ8/(CJ47*CJ48))/(1-CJ29)/CJ45,0),"")</f>
        <v>100</v>
      </c>
      <c r="CK9" s="15">
        <f>=IFERROR(ROUND((CK8/(CK47*CK48))/(1-CK29)/CK45,0),"")</f>
        <v>100</v>
      </c>
      <c r="CL9" s="15">
        <f>=IFERROR(ROUND((CL8/(CL47*CL48))/(1-CL29)/CL45,0),"")</f>
        <v>109</v>
      </c>
      <c r="CM9" s="15">
        <f>=IFERROR(ROUND((CM8/(CM47*CM48))/(1-CM29)/CM45,0),"")</f>
        <v>109</v>
      </c>
      <c r="CN9" s="15">
        <f>=IFERROR(ROUND((CN8/(CN47*CN48))/(1-CN29)/CN45,0),"")</f>
        <v>109</v>
      </c>
      <c r="CO9" s="15">
        <f>=IFERROR(ROUND((CO8/(CO47*CO48))/(1-CO29)/CO45,0),"")</f>
        <v>110</v>
      </c>
      <c r="CP9" s="15">
        <f>=IFERROR(ROUND((CP8/(CP47*CP48))/(1-CP29)/CP45,0),"")</f>
        <v>110</v>
      </c>
      <c r="CQ9" s="15">
        <f>=IFERROR(ROUND((CQ8/(CQ47*CQ48))/(1-CQ29)/CQ45,0),"")</f>
        <v>110</v>
      </c>
      <c r="CR9" s="15">
        <f>=IFERROR(ROUND((CR8/(CR47*CR48))/(1-CR29)/CR45,0),"")</f>
        <v>110</v>
      </c>
      <c r="CS9" s="15">
        <f>=IFERROR(ROUND((CS8/(CS47*CS48))/(1-CS29)/CS45,0),"")</f>
        <v>110</v>
      </c>
      <c r="CT9" s="15">
        <f>=IFERROR(ROUND((CT8/(CT47*CT48))/(1-CT29)/CT45,0),"")</f>
        <v>110</v>
      </c>
      <c r="CU9" s="15">
        <f>=IFERROR(ROUND((CU8/(CU47*CU48))/(1-CU29)/CU45,0),"")</f>
        <v>120</v>
      </c>
      <c r="CV9" s="15">
        <f>=IFERROR(ROUND((CV8/(CV47*CV48))/(1-CV29)/CV45,0),"")</f>
        <v>120</v>
      </c>
      <c r="CW9" s="15">
        <f>=IFERROR(ROUND((CW8/(CW47*CW48))/(1-CW29)/CW45,0),"")</f>
        <v>120</v>
      </c>
      <c r="CX9" s="15">
        <f>=IFERROR(ROUND((CX8/(CX47*CX48))/(1-CX29)/CX45,0),"")</f>
        <v>120</v>
      </c>
      <c r="CY9" s="15">
        <f>=IFERROR(ROUND((CY8/(CY47*CY48))/(1-CY29)/CY45,0),"")</f>
        <v>130</v>
      </c>
      <c r="CZ9" s="15">
        <f>=IFERROR(ROUND((CZ8/(CZ47*CZ48))/(1-CZ29)/CZ45,0),"")</f>
        <v>135</v>
      </c>
      <c r="DA9" s="15">
        <f>=IFERROR(ROUND((DA8/(DA47*DA48))/(1-DA29)/DA45,0),"")</f>
        <v>135</v>
      </c>
      <c r="DB9" s="15">
        <f>=IFERROR(ROUND((DB8/(DB47*DB48))/(1-DB29)/DB45,0),"")</f>
        <v>135</v>
      </c>
    </row>
    <row r="10" ht="15" customHeight="1" spans="1:106" x14ac:dyDescent="0.25">
      <c r="A10" s="16" t="s">
        <v>244</v>
      </c>
      <c r="B10" s="17"/>
      <c r="C10" s="18">
        <f>=IFERROR(C19+C22+C23,0)</f>
        <v>54</v>
      </c>
      <c r="D10" s="18">
        <f>=IFERROR(D19+D22+D23,0)</f>
        <v>54</v>
      </c>
      <c r="E10" s="18">
        <f>=IFERROR(E19+E22+E23,0)</f>
        <v>51</v>
      </c>
      <c r="F10" s="18">
        <f>=IFERROR(F19+F22+F23,0)</f>
        <v>60</v>
      </c>
      <c r="G10" s="18">
        <f>=IFERROR(G19+G22+G23,0)</f>
        <v>61</v>
      </c>
      <c r="H10" s="18">
        <f>=IFERROR(H19+H22+H23,0)</f>
        <v>55</v>
      </c>
      <c r="I10" s="18">
        <f>=IFERROR(I19+I22+I23,0)</f>
        <v>56</v>
      </c>
      <c r="J10" s="18">
        <f>=IFERROR(J19+J22+J23,0)</f>
        <v>57</v>
      </c>
      <c r="K10" s="18">
        <f>=IFERROR(K19+K22+K23,0)</f>
        <v>56</v>
      </c>
      <c r="L10" s="18">
        <f>=IFERROR(L19+L22+L23,0)</f>
        <v>54</v>
      </c>
      <c r="M10" s="18">
        <f>=IFERROR(M19+M22+M23,0)</f>
        <v>52</v>
      </c>
      <c r="N10" s="18">
        <f>=IFERROR(N19+N22+N23,0)</f>
        <v>54</v>
      </c>
      <c r="O10" s="18">
        <f>=IFERROR(O19+O22+O23,0)</f>
        <v>51</v>
      </c>
      <c r="P10" s="18">
        <f>=IFERROR(P19+P22+P23,0)</f>
        <v>50</v>
      </c>
      <c r="Q10" s="18">
        <f>=IFERROR(Q19+Q22+Q23,0)</f>
        <v>50</v>
      </c>
      <c r="R10" s="18">
        <f>=IFERROR(R19+R22+R23,0)</f>
        <v>48</v>
      </c>
      <c r="S10" s="18">
        <f>=IFERROR(S19+S22+S23,0)</f>
        <v>47</v>
      </c>
      <c r="T10" s="18">
        <f>=IFERROR(T19+T22+T23,0)</f>
        <v>49</v>
      </c>
      <c r="U10" s="18">
        <f>=IFERROR(U19+U22+U23,0)</f>
        <v>47</v>
      </c>
      <c r="V10" s="18">
        <f>=IFERROR(V19+V22+V23,0)</f>
        <v>44</v>
      </c>
      <c r="W10" s="18">
        <f>=IFERROR(W19+W22+W23,0)</f>
        <v>52</v>
      </c>
      <c r="X10" s="18">
        <f>=IFERROR(X19+X22+X23,0)</f>
        <v>50</v>
      </c>
      <c r="Y10" s="18">
        <f>=IFERROR(Y19+Y22+Y23,0)</f>
        <v>42</v>
      </c>
      <c r="Z10" s="18">
        <f>=IFERROR(Z19+Z22+Z23,0)</f>
        <v>46</v>
      </c>
      <c r="AA10" s="18">
        <f>=IFERROR(AA19+AA22+AA23,0)</f>
        <v>48</v>
      </c>
      <c r="AB10" s="18">
        <f>=IFERROR(AB19+AB22+AB23,0)</f>
        <v>46</v>
      </c>
      <c r="AC10" s="18">
        <f>=IFERROR(AC19+AC22+AC23,0)</f>
        <v>54</v>
      </c>
      <c r="AD10" s="18">
        <f>=IFERROR(AD19+AD22+AD23,0)</f>
        <v>53</v>
      </c>
      <c r="AE10" s="18">
        <f>=IFERROR(AE19+AE22+AE23,0)</f>
        <v>36</v>
      </c>
      <c r="AF10" s="18">
        <f>=IFERROR(AF19+AF22+AF23,0)</f>
        <v>50</v>
      </c>
      <c r="AG10" s="18">
        <f>=IFERROR(AG19+AG22+AG23,0)</f>
        <v>62</v>
      </c>
      <c r="AH10" s="18">
        <f>=IFERROR(AH19+AH22+AH23,0)</f>
        <v>61</v>
      </c>
      <c r="AI10" s="18">
        <f>=IFERROR(AI19+AI22+AI23,0)</f>
        <v>57.52</v>
      </c>
      <c r="AJ10" s="18">
        <f>=IFERROR(AJ19+AJ22+AJ23,0)</f>
        <v>64</v>
      </c>
      <c r="AK10" s="18">
        <f>=IFERROR(AK19+AK22+AK23,0)</f>
        <v>66</v>
      </c>
      <c r="AL10" s="18">
        <f>=IFERROR(AL19+AL22+AL23,0)</f>
        <v>71</v>
      </c>
      <c r="AM10" s="18">
        <f>=IFERROR(AM19+AM22+AM23,0)</f>
        <v>67</v>
      </c>
      <c r="AN10" s="18">
        <f>=IFERROR(AN19+AN22+AN23,0)</f>
        <v>93</v>
      </c>
      <c r="AO10" s="18">
        <f>=IFERROR(AO19+AO22+AO23,0)</f>
        <v>81</v>
      </c>
      <c r="AP10" s="18">
        <f>=IFERROR(AP19+AP22+AP23,0)</f>
        <v>96</v>
      </c>
      <c r="AQ10" s="18">
        <f>=IFERROR(AQ19+AQ22+AQ23,0)</f>
        <v>118</v>
      </c>
      <c r="AR10" s="18">
        <f>=IFERROR(AR19+AR22+AR23,0)</f>
        <v>90</v>
      </c>
      <c r="AS10" s="18">
        <f>=IFERROR(AS19+AS22+AS23,0)</f>
        <v>99</v>
      </c>
      <c r="AT10" s="18">
        <f>=IFERROR(AT19+AT22+AT23,0)</f>
        <v>124</v>
      </c>
      <c r="AU10" s="18">
        <f>=IFERROR(AU19+AU22+AU23,0)</f>
        <v>137</v>
      </c>
      <c r="AV10" s="18">
        <f>=IFERROR(AV19+AV22+AV23,0)</f>
        <v>146</v>
      </c>
      <c r="AW10" s="18">
        <f>=IFERROR(AW19+AW22+AW23,0)</f>
        <v>150</v>
      </c>
      <c r="AX10" s="18">
        <f>=IFERROR(AX19+AX22+AX23,0)</f>
        <v>138</v>
      </c>
      <c r="AY10" s="18">
        <f>=IFERROR(AY19+AY22+AY23,0)</f>
        <v>147</v>
      </c>
      <c r="AZ10" s="18">
        <f>=IFERROR(AZ19+AZ22+AZ23,0)</f>
        <v>157</v>
      </c>
      <c r="BA10" s="18">
        <f>=IFERROR(BA19+BA22+BA23,0)</f>
        <v>155</v>
      </c>
      <c r="BB10" s="18">
        <f>=IFERROR(BB19+BB22+BB23,0)</f>
        <v>161</v>
      </c>
      <c r="BC10" s="18">
        <f>=IFERROR(BC19+BC22+BC23,0)</f>
        <v>148</v>
      </c>
      <c r="BD10" s="18">
        <f>=IFERROR(BD19+BD22+BD23,0)</f>
        <v>133</v>
      </c>
      <c r="BE10" s="18">
        <f>=IFERROR(BE19+BE22+BE23,0)</f>
        <v>139</v>
      </c>
      <c r="BF10" s="18">
        <f>=IFERROR(BF19+BF22+BF23,0)</f>
        <v>145</v>
      </c>
      <c r="BG10" s="18">
        <f>=IFERROR(BG19+BG22+BG23,0)</f>
        <v>147</v>
      </c>
      <c r="BH10" s="18">
        <f>=IFERROR(BH19+BH22+BH23,0)</f>
        <v>147</v>
      </c>
      <c r="BI10" s="18">
        <f>=IFERROR(BI19+BI22+BI23,0)</f>
        <v>146</v>
      </c>
      <c r="BJ10" s="18">
        <f>=IFERROR(BJ19+BJ22+BJ23,0)</f>
        <v>140</v>
      </c>
      <c r="BK10" s="18">
        <f>=IFERROR(BK19+BK22+BK23,0)</f>
        <v>138</v>
      </c>
      <c r="BL10" s="18">
        <f>=IFERROR(BL19+BL22+BL23,0)</f>
        <v>136</v>
      </c>
      <c r="BM10" s="18">
        <f>=IFERROR(BM19+BM22+BM23,0)</f>
        <v>128</v>
      </c>
      <c r="BN10" s="18">
        <f>=IFERROR(BN19+BN22+BN23,0)</f>
        <v>131</v>
      </c>
      <c r="BO10" s="18">
        <f>=IFERROR(BO19+BO22+BO23,0)</f>
        <v>121</v>
      </c>
      <c r="BP10" s="18">
        <f>=IFERROR(BP19+BP22+BP23,0)</f>
        <v>118</v>
      </c>
      <c r="BQ10" s="18">
        <f>=IFERROR(BQ19+BQ22+BQ23,0)</f>
        <v>123</v>
      </c>
      <c r="BR10" s="18">
        <f>=IFERROR(BR19+BR22+BR23,0)</f>
        <v>116</v>
      </c>
      <c r="BS10" s="18">
        <f>=IFERROR(BS19+BS22+BS23,0)</f>
        <v>110</v>
      </c>
      <c r="BT10" s="18">
        <f>=IFERROR(BT19+BT22+BT23,0)</f>
        <v>107</v>
      </c>
      <c r="BU10" s="18">
        <f>=IFERROR(BU19+BU22+BU23,0)</f>
        <v>108</v>
      </c>
      <c r="BV10" s="18">
        <f>=IFERROR(BV19+BV22+BV23,0)</f>
        <v>106</v>
      </c>
      <c r="BW10" s="18">
        <f>=IFERROR(BW19+BW22+BW23,0)</f>
        <v>104</v>
      </c>
      <c r="BX10" s="18">
        <f>=IFERROR(BX19+BX22+BX23,0)</f>
        <v>101</v>
      </c>
      <c r="BY10" s="18">
        <f>=IFERROR(BY19+BY22+BY23,0)</f>
        <v>96</v>
      </c>
      <c r="BZ10" s="18">
        <f>=IFERROR(BZ19+BZ22+BZ23,0)</f>
        <v>94.8</v>
      </c>
      <c r="CA10" s="18">
        <f>=IFERROR(CA19+CA22+CA23,0)</f>
        <v>93.615</v>
      </c>
      <c r="CB10" s="18">
        <f>=IFERROR(CB19+CB22+CB23,0)</f>
        <v>92.4448125</v>
      </c>
      <c r="CC10" s="18">
        <f>=IFERROR(CC19+CC22+CC23,0)</f>
        <v>91.28925234375</v>
      </c>
      <c r="CD10" s="18">
        <f>=IFERROR(CD19+CD22+CD23,0)</f>
        <v>90.3763598203125</v>
      </c>
      <c r="CE10" s="18">
        <f>=IFERROR(CE19+CE22+CE23,0)</f>
        <v>89.47259622210936</v>
      </c>
      <c r="CF10" s="18">
        <f>=IFERROR(CF19+CF22+CF23,0)</f>
        <v>78.57787025988827</v>
      </c>
      <c r="CG10" s="18">
        <f>=IFERROR(CG19+CG22+CG23,0)</f>
        <v>77.79209155728941</v>
      </c>
      <c r="CH10" s="18">
        <f>=IFERROR(CH19+CH22+CH23,0)</f>
        <v>77.01417064171652</v>
      </c>
      <c r="CI10" s="18">
        <f>=IFERROR(CI19+CI22+CI23,0)</f>
        <v>76.05149350869507</v>
      </c>
      <c r="CJ10" s="18">
        <f>=IFERROR(CJ19+CJ22+CJ23,0)</f>
        <v>75.10084983983639</v>
      </c>
      <c r="CK10" s="18">
        <f>=IFERROR(CK19+CK22+CK23,0)</f>
        <v>74.16208921683844</v>
      </c>
      <c r="CL10" s="18">
        <f>=IFERROR(CL19+CL22+CL23,0)</f>
        <v>73.23506310162796</v>
      </c>
      <c r="CM10" s="18">
        <f>=IFERROR(CM19+CM22+CM23,0)</f>
        <v>72.31962481285761</v>
      </c>
      <c r="CN10" s="18">
        <f>=IFERROR(CN19+CN22+CN23,0)</f>
        <v>71.41562950269689</v>
      </c>
      <c r="CO10" s="18">
        <f>=IFERROR(CO19+CO22+CO23,0)</f>
        <v>70.52293413391318</v>
      </c>
      <c r="CP10" s="18">
        <f>=IFERROR(CP19+CP22+CP23,0)</f>
        <v>69.64139745723926</v>
      </c>
      <c r="CQ10" s="18">
        <f>=IFERROR(CQ19+CQ22+CQ23,0)</f>
        <v>68.94498348266687</v>
      </c>
      <c r="CR10" s="18">
        <f>=IFERROR(CR19+CR22+CR23,0)</f>
        <v>68.25553364784021</v>
      </c>
      <c r="CS10" s="18">
        <f>=IFERROR(CS19+CS22+CS23,0)</f>
        <v>67.57297831136181</v>
      </c>
      <c r="CT10" s="18">
        <f>=IFERROR(CT19+CT22+CT23,0)</f>
        <v>66.8972485282482</v>
      </c>
      <c r="CU10" s="18">
        <f>=IFERROR(CU19+CU22+CU23,0)</f>
        <v>66.22827604296572</v>
      </c>
      <c r="CV10" s="18">
        <f>=IFERROR(CV19+CV22+CV23,0)</f>
        <v>65.40042259242865</v>
      </c>
      <c r="CW10" s="18">
        <f>=IFERROR(CW19+CW22+CW23,0)</f>
        <v>64.58291731002329</v>
      </c>
      <c r="CX10" s="18">
        <f>=IFERROR(CX19+CX22+CX23,0)</f>
        <v>63.77563084364801</v>
      </c>
      <c r="CY10" s="18">
        <f>=IFERROR(CY19+CY22+CY23,0)</f>
        <v>62.97843545810241</v>
      </c>
      <c r="CZ10" s="18">
        <f>=IFERROR(CZ19+CZ22+CZ23,0)</f>
        <v>62.19120501487613</v>
      </c>
      <c r="DA10" s="18">
        <f>=IFERROR(DA19+DA22+DA23,0)</f>
        <v>61.413814952190194</v>
      </c>
      <c r="DB10" s="18">
        <f>=IFERROR(DB19+DB22+DB23,0)</f>
        <v>60.646142265287814</v>
      </c>
    </row>
    <row r="11" ht="15" customHeight="1" spans="1:106" x14ac:dyDescent="0.25">
      <c r="A11" s="16" t="s">
        <v>245</v>
      </c>
      <c r="B11" s="17"/>
      <c r="C11" s="18">
        <f>=C10*(C47*C48*(1-C29)*(1-C46))</f>
        <v>1814.4</v>
      </c>
      <c r="D11" s="18">
        <f>=D10*(D47*D48*(1-D29)*(1-D46))</f>
        <v>1814.4</v>
      </c>
      <c r="E11" s="18">
        <f>=E10*(E47*E48*(1-E29)*(1-E46))</f>
        <v>1713.6</v>
      </c>
      <c r="F11" s="18">
        <f>=F10*(F47*F48*(1-F29)*(1-F46))</f>
        <v>2016</v>
      </c>
      <c r="G11" s="18">
        <f>=G10*(G47*G48*(1-G29)*(1-G46))</f>
        <v>2049.6</v>
      </c>
      <c r="H11" s="18">
        <f>=H10*(H47*H48*(1-H29)*(1-H46))</f>
        <v>1848</v>
      </c>
      <c r="I11" s="18">
        <f>=I10*(I47*I48*(1-I29)*(1-I46))</f>
        <v>1881.6</v>
      </c>
      <c r="J11" s="18">
        <f>=J10*(J47*J48*(1-J29)*(1-J46))</f>
        <v>1915.2</v>
      </c>
      <c r="K11" s="18">
        <f>=K10*(K47*K48*(1-K29)*(1-K46))</f>
        <v>1881.6</v>
      </c>
      <c r="L11" s="18">
        <f>=L10*(L47*L48*(1-L29)*(1-L46))</f>
        <v>1814.4</v>
      </c>
      <c r="M11" s="18">
        <f>=M10*(M47*M48*(1-M29)*(1-M46))</f>
        <v>1747.2</v>
      </c>
      <c r="N11" s="18">
        <f>=N10*(N47*N48*(1-N29)*(1-N46))</f>
        <v>1814.4</v>
      </c>
      <c r="O11" s="18">
        <f>=O10*(O47*O48*(1-O29)*(1-O46))</f>
        <v>1713.6</v>
      </c>
      <c r="P11" s="18">
        <f>=P10*(P47*P48*(1-P29)*(1-P46))</f>
        <v>1680</v>
      </c>
      <c r="Q11" s="18">
        <f>=Q10*(Q47*Q48*(1-Q29)*(1-Q46))</f>
        <v>1680</v>
      </c>
      <c r="R11" s="18">
        <f>=R10*(R47*R48*(1-R29)*(1-R46))</f>
        <v>1612.8</v>
      </c>
      <c r="S11" s="18">
        <f>=S10*(S47*S48*(1-S29)*(1-S46))</f>
        <v>1579.2</v>
      </c>
      <c r="T11" s="18">
        <f>=T10*(T47*T48*(1-T29)*(1-T46))</f>
        <v>1646.4</v>
      </c>
      <c r="U11" s="18">
        <f>=U10*(U47*U48*(1-U29)*(1-U46))</f>
        <v>1579.2</v>
      </c>
      <c r="V11" s="18">
        <f>=V10*(V47*V48*(1-V29)*(1-V46))</f>
        <v>1478.4</v>
      </c>
      <c r="W11" s="18">
        <f>=W10*(W47*W48*(1-W29)*(1-W46))</f>
        <v>1747.2</v>
      </c>
      <c r="X11" s="18">
        <f>=X10*(X47*X48*(1-X29)*(1-X46))</f>
        <v>1680</v>
      </c>
      <c r="Y11" s="18">
        <f>=Y10*(Y47*Y48*(1-Y29)*(1-Y46))</f>
        <v>1411.2</v>
      </c>
      <c r="Z11" s="18">
        <f>=Z10*(Z47*Z48*(1-Z29)*(1-Z46))</f>
        <v>1545.6</v>
      </c>
      <c r="AA11" s="18">
        <f>=AA10*(AA47*AA48*(1-AA29)*(1-AA46))</f>
        <v>1612.8</v>
      </c>
      <c r="AB11" s="18">
        <f>=AB10*(AB47*AB48*(1-AB29)*(1-AB46))</f>
        <v>1545.6</v>
      </c>
      <c r="AC11" s="18">
        <f>=AC10*(AC47*AC48*(1-AC29)*(1-AC46))</f>
        <v>1814.4</v>
      </c>
      <c r="AD11" s="18">
        <f>=AD10*(AD47*AD48*(1-AD29)*(1-AD46))</f>
        <v>1780.8</v>
      </c>
      <c r="AE11" s="18">
        <f>=AE10*(AE47*AE48*(1-AE29)*(1-AE46))</f>
        <v>1209.6</v>
      </c>
      <c r="AF11" s="18">
        <f>=AF10*(AF47*AF48*(1-AF29)*(1-AF46))</f>
        <v>1680</v>
      </c>
      <c r="AG11" s="18">
        <f>=AG10*(AG47*AG48*(1-AG29)*(1-AG46))</f>
        <v>2083.2</v>
      </c>
      <c r="AH11" s="18">
        <f>=AH10*(AH47*AH48*(1-AH29)*(1-AH46))</f>
        <v>2049.6</v>
      </c>
      <c r="AI11" s="18">
        <f>=AI10*(AI47*AI48*(1-AI29)*(1-AI46))</f>
        <v>1932.672</v>
      </c>
      <c r="AJ11" s="18">
        <f>=AJ10*(AJ47*AJ48*(1-AJ29)*(1-AJ46))</f>
        <v>2150.4</v>
      </c>
      <c r="AK11" s="18">
        <f>=AK10*(AK47*AK48*(1-AK29)*(1-AK46))</f>
        <v>2217.6</v>
      </c>
      <c r="AL11" s="18">
        <f>=AL10*(AL47*AL48*(1-AL29)*(1-AL46))</f>
        <v>2385.6</v>
      </c>
      <c r="AM11" s="18">
        <f>=AM10*(AM47*AM48*(1-AM29)*(1-AM46))</f>
        <v>2251.2</v>
      </c>
      <c r="AN11" s="18">
        <f>=AN10*(AN47*AN48*(1-AN29)*(1-AN46))</f>
        <v>3124.8</v>
      </c>
      <c r="AO11" s="18">
        <f>=AO10*(AO47*AO48*(1-AO29)*(1-AO46))</f>
        <v>2721.6</v>
      </c>
      <c r="AP11" s="18">
        <f>=AP10*(AP47*AP48*(1-AP29)*(1-AP46))</f>
        <v>3340.8</v>
      </c>
      <c r="AQ11" s="18">
        <f>=AQ10*(AQ47*AQ48*(1-AQ29)*(1-AQ46))</f>
        <v>4106.4</v>
      </c>
      <c r="AR11" s="18">
        <f>=AR10*(AR47*AR48*(1-AR29)*(1-AR46))</f>
        <v>3132</v>
      </c>
      <c r="AS11" s="18">
        <f>=AS10*(AS47*AS48*(1-AS29)*(1-AS46))</f>
        <v>3445.2</v>
      </c>
      <c r="AT11" s="18">
        <f>=AT10*(AT47*AT48*(1-AT29)*(1-AT46))</f>
        <v>4315.2</v>
      </c>
      <c r="AU11" s="18">
        <f>=AU10*(AU47*AU48*(1-AU29)*(1-AU46))</f>
        <v>4767.6</v>
      </c>
      <c r="AV11" s="18">
        <f>=AV10*(AV47*AV48*(1-AV29)*(1-AV46))</f>
        <v>5080.8</v>
      </c>
      <c r="AW11" s="18">
        <f>=AW10*(AW47*AW48*(1-AW29)*(1-AW46))</f>
        <v>5220</v>
      </c>
      <c r="AX11" s="18">
        <f>=AX10*(AX47*AX48*(1-AX29)*(1-AX46))</f>
        <v>4802.4</v>
      </c>
      <c r="AY11" s="18">
        <f>=AY10*(AY47*AY48*(1-AY29)*(1-AY46))</f>
        <v>5115.6</v>
      </c>
      <c r="AZ11" s="18">
        <f>=AZ10*(AZ47*AZ48*(1-AZ29)*(1-AZ46))</f>
        <v>5463.6</v>
      </c>
      <c r="BA11" s="18">
        <f>=BA10*(BA47*BA48*(1-BA29)*(1-BA46))</f>
        <v>5394</v>
      </c>
      <c r="BB11" s="18">
        <f>=BB10*(BB47*BB48*(1-BB29)*(1-BB46))</f>
        <v>5602.8</v>
      </c>
      <c r="BC11" s="18">
        <f>=BC10*(BC47*BC48*(1-BC29)*(1-BC46))</f>
        <v>5091.2</v>
      </c>
      <c r="BD11" s="18">
        <f>=BD10*(BD47*BD48*(1-BD29)*(1-BD46))</f>
        <v>4575.2</v>
      </c>
      <c r="BE11" s="18">
        <f>=BE10*(BE47*BE48*(1-BE29)*(1-BE46))</f>
        <v>4781.6</v>
      </c>
      <c r="BF11" s="18">
        <f>=BF10*(BF47*BF48*(1-BF29)*(1-BF46))</f>
        <v>4988</v>
      </c>
      <c r="BG11" s="18">
        <f>=BG10*(BG47*BG48*(1-BG29)*(1-BG46))</f>
        <v>5056.8</v>
      </c>
      <c r="BH11" s="18">
        <f>=BH10*(BH47*BH48*(1-BH29)*(1-BH46))</f>
        <v>5056.8</v>
      </c>
      <c r="BI11" s="18">
        <f>=BI10*(BI47*BI48*(1-BI29)*(1-BI46))</f>
        <v>5022.4</v>
      </c>
      <c r="BJ11" s="18">
        <f>=BJ10*(BJ47*BJ48*(1-BJ29)*(1-BJ46))</f>
        <v>4816</v>
      </c>
      <c r="BK11" s="18">
        <f>=BK10*(BK47*BK48*(1-BK29)*(1-BK46))</f>
        <v>4747.2</v>
      </c>
      <c r="BL11" s="18">
        <f>=BL10*(BL47*BL48*(1-BL29)*(1-BL46))</f>
        <v>4678.4</v>
      </c>
      <c r="BM11" s="18">
        <f>=BM10*(BM47*BM48*(1-BM29)*(1-BM46))</f>
        <v>4403.2</v>
      </c>
      <c r="BN11" s="18">
        <f>=BN10*(BN47*BN48*(1-BN29)*(1-BN46))</f>
        <v>4506.4</v>
      </c>
      <c r="BO11" s="18">
        <f>=BO10*(BO47*BO48*(1-BO29)*(1-BO46))</f>
        <v>4162.4</v>
      </c>
      <c r="BP11" s="18">
        <f>=BP10*(BP47*BP48*(1-BP29)*(1-BP46))</f>
        <v>4059.2</v>
      </c>
      <c r="BQ11" s="18">
        <f>=BQ10*(BQ47*BQ48*(1-BQ29)*(1-BQ46))</f>
        <v>4231.2</v>
      </c>
      <c r="BR11" s="18">
        <f>=BR10*(BR47*BR48*(1-BR29)*(1-BR46))</f>
        <v>3990.4</v>
      </c>
      <c r="BS11" s="18">
        <f>=BS10*(BS47*BS48*(1-BS29)*(1-BS46))</f>
        <v>3784</v>
      </c>
      <c r="BT11" s="18">
        <f>=BT10*(BT47*BT48*(1-BT29)*(1-BT46))</f>
        <v>3680.8</v>
      </c>
      <c r="BU11" s="18">
        <f>=BU10*(BU47*BU48*(1-BU29)*(1-BU46))</f>
        <v>3715.2</v>
      </c>
      <c r="BV11" s="18">
        <f>=BV10*(BV47*BV48*(1-BV29)*(1-BV46))</f>
        <v>3646.4</v>
      </c>
      <c r="BW11" s="18">
        <f>=BW10*(BW47*BW48*(1-BW29)*(1-BW46))</f>
        <v>3577.6</v>
      </c>
      <c r="BX11" s="18">
        <f>=BX10*(BX47*BX48*(1-BX29)*(1-BX46))</f>
        <v>3555.2</v>
      </c>
      <c r="BY11" s="18">
        <f>=BY10*(BY47*BY48*(1-BY29)*(1-BY46))</f>
        <v>3379.2</v>
      </c>
      <c r="BZ11" s="18">
        <f>=BZ10*(BZ47*BZ48*(1-BZ29)*(1-BZ46))</f>
        <v>3336.96</v>
      </c>
      <c r="CA11" s="18">
        <f>=CA10*(CA47*CA48*(1-CA29)*(1-CA46))</f>
        <v>3295.248</v>
      </c>
      <c r="CB11" s="18">
        <f>=CB10*(CB47*CB48*(1-CB29)*(1-CB46))</f>
        <v>3254.0574</v>
      </c>
      <c r="CC11" s="18">
        <f>=CC10*(CC47*CC48*(1-CC29)*(1-CC46))</f>
        <v>3213.3816825000013</v>
      </c>
      <c r="CD11" s="18">
        <f>=CD10*(CD47*CD48*(1-CD29)*(1-CD46))</f>
        <v>3181.2478656750004</v>
      </c>
      <c r="CE11" s="18">
        <f>=CE10*(CE47*CE48*(1-CE29)*(1-CE46))</f>
        <v>3149.4353870182504</v>
      </c>
      <c r="CF11" s="18">
        <f>=CF10*(CF47*CF48*(1-CF29)*(1-CF46))</f>
        <v>2765.9410331480685</v>
      </c>
      <c r="CG11" s="18">
        <f>=CG10*(CG47*CG48*(1-CG29)*(1-CG46))</f>
        <v>2738.2816228165884</v>
      </c>
      <c r="CH11" s="18">
        <f>=CH10*(CH47*CH48*(1-CH29)*(1-CH46))</f>
        <v>2710.8988065884228</v>
      </c>
      <c r="CI11" s="18">
        <f>=CI10*(CI47*CI48*(1-CI29)*(1-CI46))</f>
        <v>2677.012571506067</v>
      </c>
      <c r="CJ11" s="18">
        <f>=CJ10*(CJ47*CJ48*(1-CJ29)*(1-CJ46))</f>
        <v>2643.549914362242</v>
      </c>
      <c r="CK11" s="18">
        <f>=CK10*(CK47*CK48*(1-CK29)*(1-CK46))</f>
        <v>2610.505540432714</v>
      </c>
      <c r="CL11" s="18">
        <f>=CL10*(CL47*CL48*(1-CL29)*(1-CL46))</f>
        <v>2577.8742211773047</v>
      </c>
      <c r="CM11" s="18">
        <f>=CM10*(CM47*CM48*(1-CM29)*(1-CM46))</f>
        <v>2545.6507934125884</v>
      </c>
      <c r="CN11" s="18">
        <f>=CN10*(CN47*CN48*(1-CN29)*(1-CN46))</f>
        <v>2513.8301584949313</v>
      </c>
      <c r="CO11" s="18">
        <f>=CO10*(CO47*CO48*(1-CO29)*(1-CO46))</f>
        <v>2482.4072815137447</v>
      </c>
      <c r="CP11" s="18">
        <f>=CP10*(CP47*CP48*(1-CP29)*(1-CP46))</f>
        <v>2451.3771904948226</v>
      </c>
      <c r="CQ11" s="18">
        <f>=CQ10*(CQ47*CQ48*(1-CQ29)*(1-CQ46))</f>
        <v>2426.863418589875</v>
      </c>
      <c r="CR11" s="18">
        <f>=CR10*(CR47*CR48*(1-CR29)*(1-CR46))</f>
        <v>2402.594784403976</v>
      </c>
      <c r="CS11" s="18">
        <f>=CS10*(CS47*CS48*(1-CS29)*(1-CS46))</f>
        <v>2378.5688365599367</v>
      </c>
      <c r="CT11" s="18">
        <f>=CT10*(CT47*CT48*(1-CT29)*(1-CT46))</f>
        <v>2354.7831481943367</v>
      </c>
      <c r="CU11" s="18">
        <f>=CU10*(CU47*CU48*(1-CU29)*(1-CU46))</f>
        <v>2331.2353167123943</v>
      </c>
      <c r="CV11" s="18">
        <f>=CV10*(CV47*CV48*(1-CV29)*(1-CV46))</f>
        <v>2302.094875253489</v>
      </c>
      <c r="CW11" s="18">
        <f>=CW10*(CW47*CW48*(1-CW29)*(1-CW46))</f>
        <v>2273.3186893128204</v>
      </c>
      <c r="CX11" s="18">
        <f>=CX10*(CX47*CX48*(1-CX29)*(1-CX46))</f>
        <v>2244.902205696411</v>
      </c>
      <c r="CY11" s="18">
        <f>=CY10*(CY47*CY48*(1-CY29)*(1-CY46))</f>
        <v>2216.8409281252057</v>
      </c>
      <c r="CZ11" s="18">
        <f>=CZ10*(CZ47*CZ48*(1-CZ29)*(1-CZ46))</f>
        <v>2189.1304165236406</v>
      </c>
      <c r="DA11" s="18">
        <f>=DA10*(DA47*DA48*(1-DA29)*(1-DA46))</f>
        <v>2161.766286317095</v>
      </c>
      <c r="DB11" s="18">
        <f>=DB10*(DB47*DB48*(1-DB29)*(1-DB46))</f>
        <v>2134.7442077381315</v>
      </c>
    </row>
    <row r="12" spans="1:106" x14ac:dyDescent="0.25">
      <c r="A12" s="16" t="s">
        <v>246</v>
      </c>
      <c r="C12" s="19">
        <f>=IFERROR(C10-C7,0)</f>
        <v>-6</v>
      </c>
      <c r="D12" s="19">
        <f>=IFERROR(D10-D7,0)</f>
        <v>-6</v>
      </c>
      <c r="E12" s="19">
        <f>=IFERROR(E10-E7,0)</f>
        <v>-9</v>
      </c>
      <c r="F12" s="19">
        <f>=IFERROR(F10-F7,0)</f>
        <v>0</v>
      </c>
      <c r="G12" s="19">
        <f>=IFERROR(G10-G7,0)</f>
        <v>1</v>
      </c>
      <c r="H12" s="19">
        <f>=IFERROR(H10-H7,0)</f>
        <v>-5</v>
      </c>
      <c r="I12" s="19">
        <f>=IFERROR(I10-I7,0)</f>
        <v>-4</v>
      </c>
      <c r="J12" s="19">
        <f>=IFERROR(J10-J7,0)</f>
        <v>2</v>
      </c>
      <c r="K12" s="19">
        <f>=IFERROR(K10-K7,0)</f>
        <v>1</v>
      </c>
      <c r="L12" s="19">
        <f>=IFERROR(L10-L7,0)</f>
        <v>4</v>
      </c>
      <c r="M12" s="19">
        <f>=IFERROR(M10-M7,0)</f>
        <v>2</v>
      </c>
      <c r="N12" s="19">
        <f>=IFERROR(N10-N7,0)</f>
        <v>12</v>
      </c>
      <c r="O12" s="19">
        <f>=IFERROR(O10-O7,0)</f>
        <v>9</v>
      </c>
      <c r="P12" s="19">
        <f>=IFERROR(P10-P7,0)</f>
        <v>8</v>
      </c>
      <c r="Q12" s="19">
        <f>=IFERROR(Q10-Q7,0)</f>
        <v>8</v>
      </c>
      <c r="R12" s="19">
        <f>=IFERROR(R10-R7,0)</f>
        <v>6</v>
      </c>
      <c r="S12" s="19">
        <f>=IFERROR(S10-S7,0)</f>
        <v>5</v>
      </c>
      <c r="T12" s="19">
        <f>=IFERROR(T10-T7,0)</f>
        <v>7</v>
      </c>
      <c r="U12" s="19">
        <f>=IFERROR(U10-U7,0)</f>
        <v>5</v>
      </c>
      <c r="V12" s="19">
        <f>=IFERROR(V10-V7,0)</f>
        <v>2</v>
      </c>
      <c r="W12" s="19">
        <f>=IFERROR(W10-W7,0)</f>
        <v>10</v>
      </c>
      <c r="X12" s="19">
        <f>=IFERROR(X10-X7,0)</f>
        <v>8</v>
      </c>
      <c r="Y12" s="19">
        <f>=IFERROR(Y10-Y7,0)</f>
        <v>0</v>
      </c>
      <c r="Z12" s="19">
        <f>=IFERROR(Z10-Z7,0)</f>
        <v>4</v>
      </c>
      <c r="AA12" s="19">
        <f>=IFERROR(AA10-AA7,0)</f>
        <v>6</v>
      </c>
      <c r="AB12" s="19">
        <f>=IFERROR(AB10-AB7,0)</f>
        <v>4</v>
      </c>
      <c r="AC12" s="19">
        <f>=IFERROR(AC10-AC7,0)</f>
        <v>2</v>
      </c>
      <c r="AD12" s="19">
        <f>=IFERROR(AD10-AD7,0)</f>
        <v>-9</v>
      </c>
      <c r="AE12" s="19">
        <f>=IFERROR(AE10-AE7,0)</f>
        <v>-26</v>
      </c>
      <c r="AF12" s="19">
        <v>-12</v>
      </c>
      <c r="AG12" s="19">
        <f>=IFERROR(AG10-AG7,0)</f>
        <v>0</v>
      </c>
      <c r="AH12" s="19">
        <f>=IFERROR(AH10-AH7,0)</f>
        <v>-11</v>
      </c>
      <c r="AI12" s="19">
        <f>=IFERROR(AI10-AI7,0)</f>
        <v>-22.48</v>
      </c>
      <c r="AJ12" s="19">
        <f>=IFERROR(AJ10-AJ7,0)</f>
        <v>-21</v>
      </c>
      <c r="AK12" s="19">
        <f>=IFERROR(AK10-AK7,0)</f>
        <v>-19</v>
      </c>
      <c r="AL12" s="19">
        <f>=IFERROR(AL10-AL7,0)</f>
        <v>-21</v>
      </c>
      <c r="AM12" s="19">
        <f>=IFERROR(AM10-AM7,0)</f>
        <v>-25</v>
      </c>
      <c r="AN12" s="19">
        <f>=IFERROR(AN10-AN7,0)</f>
        <v>1</v>
      </c>
      <c r="AO12" s="19">
        <f>=IFERROR(AO10-AO7,0)</f>
        <v>-11</v>
      </c>
      <c r="AP12" s="19">
        <f>=IFERROR(AP10-AP7,0)</f>
        <v>4</v>
      </c>
      <c r="AQ12" s="19">
        <f>=IFERROR(AQ10-AQ7,0)</f>
        <v>14</v>
      </c>
      <c r="AR12" s="19">
        <f>=IFERROR(AR10-AR7,0)</f>
        <v>-14</v>
      </c>
      <c r="AS12" s="19">
        <f>=IFERROR(AS10-AS7,0)</f>
        <v>-5</v>
      </c>
      <c r="AT12" s="19">
        <f>=IFERROR(AT10-AT7,0)</f>
        <v>14</v>
      </c>
      <c r="AU12" s="19">
        <f>=IFERROR(AU10-AU7,0)</f>
        <v>15</v>
      </c>
      <c r="AV12" s="19">
        <f>=IFERROR(AV10-AV7,0)</f>
        <v>24</v>
      </c>
      <c r="AW12" s="19">
        <f>=IFERROR(AW10-AW7,0)</f>
        <v>28</v>
      </c>
      <c r="AX12" s="19">
        <f>=IFERROR(AX10-AX7,0)</f>
        <v>8</v>
      </c>
      <c r="AY12" s="19">
        <f>=IFERROR(AY10-AY7,0)</f>
        <v>17</v>
      </c>
      <c r="AZ12" s="19">
        <f>=IFERROR(AZ10-AZ7,0)</f>
        <v>27</v>
      </c>
      <c r="BA12" s="19">
        <f>=IFERROR(BA10-BA7,0)</f>
        <v>25</v>
      </c>
      <c r="BB12" s="19">
        <f>=IFERROR(BB10-BB7,0)</f>
        <v>31</v>
      </c>
      <c r="BC12" s="19">
        <f>=IFERROR(BC10-BC7,0)</f>
        <v>18</v>
      </c>
      <c r="BD12" s="19">
        <f>=IFERROR(BD10-BD7,0)</f>
        <v>3</v>
      </c>
      <c r="BE12" s="19">
        <f>=IFERROR(BE10-BE7,0)</f>
        <v>9</v>
      </c>
      <c r="BF12" s="19">
        <f>=IFERROR(BF10-BF7,0)</f>
        <v>15</v>
      </c>
      <c r="BG12" s="19">
        <f>=IFERROR(BG10-BG7,0)</f>
        <v>17</v>
      </c>
      <c r="BH12" s="19">
        <f>=IFERROR(BH10-BH7,0)</f>
        <v>17</v>
      </c>
      <c r="BI12" s="19">
        <f>=IFERROR(BI10-BI7,0)</f>
        <v>16</v>
      </c>
      <c r="BJ12" s="19">
        <f>=IFERROR(BJ10-BJ7,0)</f>
        <v>10</v>
      </c>
      <c r="BK12" s="19">
        <f>=IFERROR(BK10-BK7,0)</f>
        <v>8</v>
      </c>
      <c r="BL12" s="19">
        <f>=IFERROR(BL10-BL7,0)</f>
        <v>11</v>
      </c>
      <c r="BM12" s="19">
        <f>=IFERROR(BM10-BM7,0)</f>
        <v>3</v>
      </c>
      <c r="BN12" s="19">
        <f>=IFERROR(BN10-BN7,0)</f>
        <v>6</v>
      </c>
      <c r="BO12" s="19">
        <f>=IFERROR(BO10-BO7,0)</f>
        <v>-4</v>
      </c>
      <c r="BP12" s="19">
        <f>=IFERROR(BP10-BP7,0)</f>
        <v>-7</v>
      </c>
      <c r="BQ12" s="19">
        <f>=IFERROR(BQ10-BQ7,0)</f>
        <v>8</v>
      </c>
      <c r="BR12" s="19">
        <f>=IFERROR(BR10-BR7,0)</f>
        <v>11</v>
      </c>
      <c r="BS12" s="19">
        <f>=IFERROR(BS10-BS7,0)</f>
        <v>10</v>
      </c>
      <c r="BT12" s="19">
        <f>=IFERROR(BT10-BT7,0)</f>
        <v>7</v>
      </c>
      <c r="BU12" s="19">
        <f>=IFERROR(BU10-BU7,0)</f>
        <v>8</v>
      </c>
      <c r="BV12" s="19">
        <f>=IFERROR(BV10-BV7,0)</f>
        <v>6</v>
      </c>
      <c r="BW12" s="19">
        <f>=IFERROR(BW10-BW7,0)</f>
        <v>4</v>
      </c>
      <c r="BX12" s="19">
        <f>=IFERROR(BX10-BX7,0)</f>
        <v>1</v>
      </c>
      <c r="BY12" s="19">
        <f>=IFERROR(BY10-BY7,0)</f>
        <v>-4</v>
      </c>
      <c r="BZ12" s="19">
        <f>=IFERROR(BZ10-BZ7,0)</f>
        <v>-5.2</v>
      </c>
      <c r="CA12" s="19">
        <f>=IFERROR(CA10-CA7,0)</f>
        <v>-6.385</v>
      </c>
      <c r="CB12" s="19">
        <f>=IFERROR(CB10-CB7,0)</f>
        <v>-7.5551875</v>
      </c>
      <c r="CC12" s="19">
        <f>=IFERROR(CC10-CC7,0)</f>
        <v>-8.71074765625</v>
      </c>
      <c r="CD12" s="19">
        <f>=IFERROR(CD10-CD7,0)</f>
        <v>-9.6236401796875</v>
      </c>
      <c r="CE12" s="19">
        <f>=IFERROR(CE10-CE7,0)</f>
        <v>-10.52740377789064</v>
      </c>
      <c r="CF12" s="19">
        <f>=IFERROR(CF10-CF7,0)</f>
        <v>3.57787025988827</v>
      </c>
      <c r="CG12" s="19">
        <f>=IFERROR(CG10-CG7,0)</f>
        <v>2.79209155728941</v>
      </c>
      <c r="CH12" s="19">
        <f>=IFERROR(CH10-CH7,0)</f>
        <v>-22.98582935828348</v>
      </c>
      <c r="CI12" s="19">
        <f>=IFERROR(CI10-CI7,0)</f>
        <v>-23.94850649130493</v>
      </c>
      <c r="CJ12" s="19">
        <f>=IFERROR(CJ10-CJ7,0)</f>
        <v>-24.89915016016361</v>
      </c>
      <c r="CK12" s="19">
        <f>=IFERROR(CK10-CK7,0)</f>
        <v>-25.83791078316156</v>
      </c>
      <c r="CL12" s="19">
        <f>=IFERROR(CL10-CL7,0)</f>
        <v>-36.76493689837204</v>
      </c>
      <c r="CM12" s="19">
        <f>=IFERROR(CM10-CM7,0)</f>
        <v>-37.68037518714239</v>
      </c>
      <c r="CN12" s="19">
        <f>=IFERROR(CN10-CN7,0)</f>
        <v>-38.58437049730311</v>
      </c>
      <c r="CO12" s="19">
        <f>=IFERROR(CO10-CO7,0)</f>
        <v>-39.47706586608682</v>
      </c>
      <c r="CP12" s="19">
        <f>=IFERROR(CP10-CP7,0)</f>
        <v>-40.35860254276074</v>
      </c>
      <c r="CQ12" s="19">
        <f>=IFERROR(CQ10-CQ7,0)</f>
        <v>-41.05501651733313</v>
      </c>
      <c r="CR12" s="19">
        <f>=IFERROR(CR10-CR7,0)</f>
        <v>-41.74446635215979</v>
      </c>
      <c r="CS12" s="19">
        <f>=IFERROR(CS10-CS7,0)</f>
        <v>-42.42702168863819</v>
      </c>
      <c r="CT12" s="19">
        <f>=IFERROR(CT10-CT7,0)</f>
        <v>-43.1027514717518</v>
      </c>
      <c r="CU12" s="19">
        <f>=IFERROR(CU10-CU7,0)</f>
        <v>-53.77172395703428</v>
      </c>
      <c r="CV12" s="19">
        <f>=IFERROR(CV10-CV7,0)</f>
        <v>-54.59957740757135</v>
      </c>
      <c r="CW12" s="19">
        <f>=IFERROR(CW10-CW7,0)</f>
        <v>-55.41708268997671</v>
      </c>
      <c r="CX12" s="19">
        <f>=IFERROR(CX10-CX7,0)</f>
        <v>-56.22436915635199</v>
      </c>
      <c r="CY12" s="19">
        <f>=IFERROR(CY10-CY7,0)</f>
        <v>-67.02156454189759</v>
      </c>
      <c r="CZ12" s="19">
        <f>=IFERROR(CZ10-CZ7,0)</f>
        <v>-72.80879498512387</v>
      </c>
      <c r="DA12" s="19">
        <f>=IFERROR(DA10-DA7,0)</f>
        <v>-73.5861850478098</v>
      </c>
      <c r="DB12" s="19">
        <f>=IFERROR(DB10-DB7,0)</f>
        <v>-74.3538577347122</v>
      </c>
    </row>
    <row r="13" ht="15" customHeight="1" spans="1:106" x14ac:dyDescent="0.25">
      <c r="A13" s="20" t="s">
        <v>247</v>
      </c>
      <c r="B13" s="17"/>
      <c r="C13" s="21">
        <f>=IFERROR(C10-C9,0)</f>
        <v>-9</v>
      </c>
      <c r="D13" s="21">
        <f>=IFERROR(D10-D9,0)</f>
        <v>-9</v>
      </c>
      <c r="E13" s="21">
        <f>=IFERROR(E10-E9,0)</f>
        <v>-12</v>
      </c>
      <c r="F13" s="21">
        <f>=IFERROR(F10-F9,0)</f>
        <v>-3</v>
      </c>
      <c r="G13" s="21">
        <f>=IFERROR(G10-G9,0)</f>
        <v>-2</v>
      </c>
      <c r="H13" s="21">
        <f>=IFERROR(H10-H9,0)</f>
        <v>-9</v>
      </c>
      <c r="I13" s="21">
        <f>=IFERROR(I10-I9,0)</f>
        <v>-8</v>
      </c>
      <c r="J13" s="21">
        <f>=IFERROR(J10-J9,0)</f>
        <v>-2</v>
      </c>
      <c r="K13" s="21">
        <f>=IFERROR(K10-K9,0)</f>
        <v>-3</v>
      </c>
      <c r="L13" s="21">
        <f>=IFERROR(L10-L9,0)</f>
        <v>1</v>
      </c>
      <c r="M13" s="21">
        <f>=IFERROR(M10-M9,0)</f>
        <v>-1</v>
      </c>
      <c r="N13" s="21">
        <f>=IFERROR(N10-N9,0)</f>
        <v>9</v>
      </c>
      <c r="O13" s="21">
        <f>=IFERROR(O10-O9,0)</f>
        <v>6</v>
      </c>
      <c r="P13" s="21">
        <f>=IFERROR(P10-P9,0)</f>
        <v>5</v>
      </c>
      <c r="Q13" s="21">
        <f>=IFERROR(Q10-Q9,0)</f>
        <v>5</v>
      </c>
      <c r="R13" s="21">
        <f>=IFERROR(R10-R9,0)</f>
        <v>3</v>
      </c>
      <c r="S13" s="21">
        <f>=IFERROR(S10-S9,0)</f>
        <v>2</v>
      </c>
      <c r="T13" s="21">
        <f>=IFERROR(T10-T9,0)</f>
        <v>4</v>
      </c>
      <c r="U13" s="21">
        <f>=IFERROR(U10-U9,0)</f>
        <v>3</v>
      </c>
      <c r="V13" s="21">
        <f>=IFERROR(V10-V9,0)</f>
        <v>0</v>
      </c>
      <c r="W13" s="21">
        <f>=IFERROR(W10-W9,0)</f>
        <v>8</v>
      </c>
      <c r="X13" s="21">
        <f>=IFERROR(X10-X9,0)</f>
        <v>6</v>
      </c>
      <c r="Y13" s="21">
        <f>=IFERROR(Y10-Y9,0)</f>
        <v>-2</v>
      </c>
      <c r="Z13" s="21">
        <f>=IFERROR(Z10-Z9,0)</f>
        <v>2</v>
      </c>
      <c r="AA13" s="21">
        <f>=IFERROR(AA10-AA9,0)</f>
        <v>4</v>
      </c>
      <c r="AB13" s="21">
        <f>=IFERROR(AB10-AB9,0)</f>
        <v>2</v>
      </c>
      <c r="AC13" s="21">
        <f>=IFERROR(AC10-AC9,0)</f>
        <v>-1</v>
      </c>
      <c r="AD13" s="21">
        <f>=IFERROR(AD10-AD9,0)</f>
        <v>-13</v>
      </c>
      <c r="AE13" s="21">
        <f>=IFERROR(AE10-AE9,0)</f>
        <v>-30</v>
      </c>
      <c r="AF13" s="21">
        <f>=IFERROR(AF10-AF9,0)</f>
        <v>-16</v>
      </c>
      <c r="AG13" s="21">
        <f>=IFERROR(AG10-AG9,0)</f>
        <v>-4</v>
      </c>
      <c r="AH13" s="21">
        <f>=IFERROR(AH10-AH9,0)</f>
        <v>-16</v>
      </c>
      <c r="AI13" s="21">
        <f>=IFERROR(AI10-AI9,0)</f>
        <v>-27.48</v>
      </c>
      <c r="AJ13" s="21">
        <f>=IFERROR(AJ10-AJ9,0)</f>
        <v>-26</v>
      </c>
      <c r="AK13" s="21">
        <f>=IFERROR(AK10-AK9,0)</f>
        <v>-24</v>
      </c>
      <c r="AL13" s="21">
        <f>=IFERROR(AL10-AL9,0)</f>
        <v>-27</v>
      </c>
      <c r="AM13" s="21">
        <f>=IFERROR(AM10-AM9,0)</f>
        <v>-31</v>
      </c>
      <c r="AN13" s="21">
        <f>=IFERROR(AN10-AN9,0)</f>
        <v>-5</v>
      </c>
      <c r="AO13" s="21">
        <f>=IFERROR(AO10-AO9,0)</f>
        <v>-17</v>
      </c>
      <c r="AP13" s="21">
        <f>=IFERROR(AP10-AP9,0)</f>
        <v>1</v>
      </c>
      <c r="AQ13" s="21">
        <f>=IFERROR(AQ10-AQ9,0)</f>
        <v>11</v>
      </c>
      <c r="AR13" s="21">
        <f>=IFERROR(AR10-AR9,0)</f>
        <v>-17</v>
      </c>
      <c r="AS13" s="21">
        <f>=IFERROR(AS10-AS9,0)</f>
        <v>-8</v>
      </c>
      <c r="AT13" s="21">
        <f>=IFERROR(AT10-AT9,0)</f>
        <v>11</v>
      </c>
      <c r="AU13" s="21">
        <f>=IFERROR(AU10-AU9,0)</f>
        <v>11</v>
      </c>
      <c r="AV13" s="21">
        <f>=IFERROR(AV10-AV9,0)</f>
        <v>20</v>
      </c>
      <c r="AW13" s="21">
        <f>=IFERROR(AW10-AW9,0)</f>
        <v>24</v>
      </c>
      <c r="AX13" s="21">
        <f>=IFERROR(AX10-AX9,0)</f>
        <v>4</v>
      </c>
      <c r="AY13" s="21">
        <f>=IFERROR(AY10-AY9,0)</f>
        <v>12</v>
      </c>
      <c r="AZ13" s="21">
        <f>=IFERROR(AZ10-AZ9,0)</f>
        <v>22</v>
      </c>
      <c r="BA13" s="21">
        <f>=IFERROR(BA10-BA9,0)</f>
        <v>20</v>
      </c>
      <c r="BB13" s="21">
        <f>=IFERROR(BB10-BB9,0)</f>
        <v>26</v>
      </c>
      <c r="BC13" s="21">
        <f>=IFERROR(BC10-BC9,0)</f>
        <v>12</v>
      </c>
      <c r="BD13" s="21">
        <f>=IFERROR(BD10-BD9,0)</f>
        <v>-3</v>
      </c>
      <c r="BE13" s="21">
        <f>=IFERROR(BE10-BE9,0)</f>
        <v>3</v>
      </c>
      <c r="BF13" s="21">
        <f>=IFERROR(BF10-BF9,0)</f>
        <v>9</v>
      </c>
      <c r="BG13" s="21">
        <f>=IFERROR(BG10-BG9,0)</f>
        <v>11</v>
      </c>
      <c r="BH13" s="21">
        <f>=IFERROR(BH10-BH9,0)</f>
        <v>11</v>
      </c>
      <c r="BI13" s="21">
        <f>=IFERROR(BI10-BI9,0)</f>
        <v>10</v>
      </c>
      <c r="BJ13" s="21">
        <f>=IFERROR(BJ10-BJ9,0)</f>
        <v>4</v>
      </c>
      <c r="BK13" s="21">
        <f>=IFERROR(BK10-BK9,0)</f>
        <v>2</v>
      </c>
      <c r="BL13" s="21">
        <f>=IFERROR(BL10-BL9,0)</f>
        <v>5</v>
      </c>
      <c r="BM13" s="21">
        <f>=IFERROR(BM10-BM9,0)</f>
        <v>-3</v>
      </c>
      <c r="BN13" s="21">
        <f>=IFERROR(BN10-BN9,0)</f>
        <v>0</v>
      </c>
      <c r="BO13" s="21">
        <f>=IFERROR(BO10-BO9,0)</f>
        <v>-10</v>
      </c>
      <c r="BP13" s="21">
        <f>=IFERROR(BP10-BP9,0)</f>
        <v>-13</v>
      </c>
      <c r="BQ13" s="21">
        <f>=IFERROR(BQ10-BQ9,0)</f>
        <v>3</v>
      </c>
      <c r="BR13" s="21">
        <f>=IFERROR(BR10-BR9,0)</f>
        <v>6</v>
      </c>
      <c r="BS13" s="21">
        <f>=IFERROR(BS10-BS9,0)</f>
        <v>6</v>
      </c>
      <c r="BT13" s="21">
        <f>=IFERROR(BT10-BT9,0)</f>
        <v>3</v>
      </c>
      <c r="BU13" s="21">
        <f>=IFERROR(BU10-BU9,0)</f>
        <v>3</v>
      </c>
      <c r="BV13" s="21">
        <f>=IFERROR(BV10-BV9,0)</f>
        <v>1</v>
      </c>
      <c r="BW13" s="21">
        <f>=IFERROR(BW10-BW9,0)</f>
        <v>-1</v>
      </c>
      <c r="BX13" s="21">
        <f>=IFERROR(BX10-BX9,0)</f>
        <v>-1</v>
      </c>
      <c r="BY13" s="21">
        <f>=IFERROR(BY10-BY9,0)</f>
        <v>-4</v>
      </c>
      <c r="BZ13" s="21">
        <f>=IFERROR(BZ10-BZ9,0)</f>
        <v>-5.2</v>
      </c>
      <c r="CA13" s="21">
        <f>=IFERROR(CA10-CA9,0)</f>
        <v>-6.385</v>
      </c>
      <c r="CB13" s="21">
        <f>=IFERROR(CB10-CB9,0)</f>
        <v>-7.5551875</v>
      </c>
      <c r="CC13" s="21">
        <f>=IFERROR(CC10-CC9,0)</f>
        <v>-8.71074765625</v>
      </c>
      <c r="CD13" s="21">
        <f>=IFERROR(CD10-CD9,0)</f>
        <v>-9.6236401796875</v>
      </c>
      <c r="CE13" s="21">
        <f>=IFERROR(CE10-CE9,0)</f>
        <v>-10.52740377789064</v>
      </c>
      <c r="CF13" s="21">
        <f>=IFERROR(CF10-CF9,0)</f>
        <v>3.57787025988827</v>
      </c>
      <c r="CG13" s="21">
        <f>=IFERROR(CG10-CG9,0)</f>
        <v>2.79209155728941</v>
      </c>
      <c r="CH13" s="21">
        <f>=IFERROR(CH10-CH9,0)</f>
        <v>-22.98582935828348</v>
      </c>
      <c r="CI13" s="21">
        <f>=IFERROR(CI10-CI9,0)</f>
        <v>-23.94850649130493</v>
      </c>
      <c r="CJ13" s="21">
        <f>=IFERROR(CJ10-CJ9,0)</f>
        <v>-24.89915016016361</v>
      </c>
      <c r="CK13" s="21">
        <f>=IFERROR(CK10-CK9,0)</f>
        <v>-25.83791078316156</v>
      </c>
      <c r="CL13" s="21">
        <f>=IFERROR(CL10-CL9,0)</f>
        <v>-35.76493689837204</v>
      </c>
      <c r="CM13" s="21">
        <f>=IFERROR(CM10-CM9,0)</f>
        <v>-36.68037518714239</v>
      </c>
      <c r="CN13" s="21">
        <f>=IFERROR(CN10-CN9,0)</f>
        <v>-37.58437049730311</v>
      </c>
      <c r="CO13" s="21">
        <f>=IFERROR(CO10-CO9,0)</f>
        <v>-39.47706586608682</v>
      </c>
      <c r="CP13" s="21">
        <f>=IFERROR(CP10-CP9,0)</f>
        <v>-40.35860254276074</v>
      </c>
      <c r="CQ13" s="21">
        <f>=IFERROR(CQ10-CQ9,0)</f>
        <v>-41.05501651733313</v>
      </c>
      <c r="CR13" s="21">
        <f>=IFERROR(CR10-CR9,0)</f>
        <v>-41.74446635215979</v>
      </c>
      <c r="CS13" s="21">
        <f>=IFERROR(CS10-CS9,0)</f>
        <v>-42.42702168863819</v>
      </c>
      <c r="CT13" s="21">
        <f>=IFERROR(CT10-CT9,0)</f>
        <v>-43.1027514717518</v>
      </c>
      <c r="CU13" s="21">
        <f>=IFERROR(CU10-CU9,0)</f>
        <v>-53.77172395703428</v>
      </c>
      <c r="CV13" s="21">
        <f>=IFERROR(CV10-CV9,0)</f>
        <v>-54.59957740757135</v>
      </c>
      <c r="CW13" s="21">
        <f>=IFERROR(CW10-CW9,0)</f>
        <v>-55.41708268997671</v>
      </c>
      <c r="CX13" s="21">
        <f>=IFERROR(CX10-CX9,0)</f>
        <v>-56.22436915635199</v>
      </c>
      <c r="CY13" s="21">
        <f>=IFERROR(CY10-CY9,0)</f>
        <v>-67.02156454189759</v>
      </c>
      <c r="CZ13" s="21">
        <f>=IFERROR(CZ10-CZ9,0)</f>
        <v>-72.80879498512387</v>
      </c>
      <c r="DA13" s="21">
        <f>=IFERROR(DA10-DA9,0)</f>
        <v>-73.5861850478098</v>
      </c>
      <c r="DB13" s="21">
        <f>=IFERROR(DB10-DB9,0)</f>
        <v>-74.3538577347122</v>
      </c>
    </row>
    <row r="14" ht="15" customHeight="1" spans="1:106" x14ac:dyDescent="0.25">
      <c r="A14" s="22" t="s">
        <v>248</v>
      </c>
      <c r="B14" s="17"/>
      <c r="C14" s="18">
        <f>=Round(C11-C8,0)</f>
        <v>-303</v>
      </c>
      <c r="D14" s="18">
        <f>=Round(D11-D8,0)</f>
        <v>-305</v>
      </c>
      <c r="E14" s="18">
        <f>=Round(E11-E8,0)</f>
        <v>-400</v>
      </c>
      <c r="F14" s="18">
        <f>=Round(F11-F8,0)</f>
        <v>-105</v>
      </c>
      <c r="G14" s="18">
        <f>=Round(G11-G8,0)</f>
        <v>-70</v>
      </c>
      <c r="H14" s="18">
        <f>=Round(H11-H8,0)</f>
        <v>-309</v>
      </c>
      <c r="I14" s="18">
        <f>=Round(I11-I8,0)</f>
        <v>-272</v>
      </c>
      <c r="J14" s="18">
        <f>=Round(J11-J8,0)</f>
        <v>-57</v>
      </c>
      <c r="K14" s="18">
        <f>=Round(K11-K8,0)</f>
        <v>-91</v>
      </c>
      <c r="L14" s="18">
        <f>=Round(L11-L8,0)</f>
        <v>17</v>
      </c>
      <c r="M14" s="18">
        <f>=Round(M11-M8,0)</f>
        <v>-42</v>
      </c>
      <c r="N14" s="18">
        <f>=Round(N11-N8,0)</f>
        <v>309</v>
      </c>
      <c r="O14" s="18">
        <f>=Round(O11-O8,0)</f>
        <v>213</v>
      </c>
      <c r="P14" s="18">
        <f>=Round(P11-P8,0)</f>
        <v>172</v>
      </c>
      <c r="Q14" s="18">
        <f>=Round(Q11-Q8,0)</f>
        <v>174</v>
      </c>
      <c r="R14" s="18">
        <f>=Round(R11-R8,0)</f>
        <v>107</v>
      </c>
      <c r="S14" s="18">
        <f>=Round(S11-S8,0)</f>
        <v>76</v>
      </c>
      <c r="T14" s="18">
        <f>=Round(T11-T8,0)</f>
        <v>142</v>
      </c>
      <c r="U14" s="18">
        <f>=Round(U11-U8,0)</f>
        <v>84</v>
      </c>
      <c r="V14" s="18">
        <f>=Round(V11-V8,0)</f>
        <v>-17</v>
      </c>
      <c r="W14" s="18">
        <f>=Round(W11-W8,0)</f>
        <v>252</v>
      </c>
      <c r="X14" s="18">
        <f>=Round(X11-X8,0)</f>
        <v>185</v>
      </c>
      <c r="Y14" s="18">
        <f>=Round(Y11-Y8,0)</f>
        <v>-83</v>
      </c>
      <c r="Z14" s="18">
        <f>=Round(Z11-Z8,0)</f>
        <v>52</v>
      </c>
      <c r="AA14" s="18">
        <f>=Round(AA11-AA8,0)</f>
        <v>119</v>
      </c>
      <c r="AB14" s="18">
        <f>=Round(AB11-AB8,0)</f>
        <v>52</v>
      </c>
      <c r="AC14" s="18">
        <f>=Round(AC11-AC8,0)</f>
        <v>-48</v>
      </c>
      <c r="AD14" s="18">
        <f>=Round(AD11-AD8,0)</f>
        <v>-439</v>
      </c>
      <c r="AE14" s="18">
        <f>=Round(AE11-AE8,0)</f>
        <v>-1010</v>
      </c>
      <c r="AF14" s="18">
        <f>=Round(AF11-AF8,0)</f>
        <v>-540</v>
      </c>
      <c r="AG14" s="18">
        <f>=Round(AG11-AG8,0)</f>
        <v>-135</v>
      </c>
      <c r="AH14" s="18">
        <f>=Round(AH11-AH8,0)</f>
        <v>-522</v>
      </c>
      <c r="AI14" s="18">
        <f>=Round(AI11-AI8,0)</f>
        <v>-916</v>
      </c>
      <c r="AJ14" s="18">
        <f>=Round(AJ11-AJ8,0)</f>
        <v>-887</v>
      </c>
      <c r="AK14" s="18">
        <f>=Round(AK11-AK8,0)</f>
        <v>-812</v>
      </c>
      <c r="AL14" s="18">
        <f>=Round(AL11-AL8,0)</f>
        <v>-916</v>
      </c>
      <c r="AM14" s="18">
        <f>=Round(AM11-AM8,0)</f>
        <v>-1051</v>
      </c>
      <c r="AN14" s="18">
        <f>=Round(AN11-AN8,0)</f>
        <v>-177</v>
      </c>
      <c r="AO14" s="18">
        <f>=Round(AO11-AO8,0)</f>
        <v>-580</v>
      </c>
      <c r="AP14" s="18">
        <f>=Round(AP11-AP8,0)</f>
        <v>39</v>
      </c>
      <c r="AQ14" s="18">
        <f>=Round(AQ11-AQ8,0)</f>
        <v>379</v>
      </c>
      <c r="AR14" s="18">
        <f>=Round(AR11-AR8,0)</f>
        <v>-595</v>
      </c>
      <c r="AS14" s="18">
        <f>=Round(AS11-AS8,0)</f>
        <v>-282</v>
      </c>
      <c r="AT14" s="18">
        <f>=Round(AT11-AT8,0)</f>
        <v>366</v>
      </c>
      <c r="AU14" s="18">
        <f>=Round(AU11-AU8,0)</f>
        <v>389</v>
      </c>
      <c r="AV14" s="18">
        <f>=Round(AV11-AV8,0)</f>
        <v>702</v>
      </c>
      <c r="AW14" s="18">
        <f>=Round(AW11-AW8,0)</f>
        <v>840</v>
      </c>
      <c r="AX14" s="18">
        <f>=Round(AX11-AX8,0)</f>
        <v>135</v>
      </c>
      <c r="AY14" s="18">
        <f>=Round(AY11-AY8,0)</f>
        <v>431</v>
      </c>
      <c r="AZ14" s="18">
        <f>=Round(AZ11-AZ8,0)</f>
        <v>779</v>
      </c>
      <c r="BA14" s="18">
        <f>=Round(BA11-BA8,0)</f>
        <v>709</v>
      </c>
      <c r="BB14" s="18">
        <f>=Round(BB11-BB8,0)</f>
        <v>918</v>
      </c>
      <c r="BC14" s="18">
        <f>=Round(BC11-BC8,0)</f>
        <v>405</v>
      </c>
      <c r="BD14" s="18">
        <f>=Round(BD11-BD8,0)</f>
        <v>-111</v>
      </c>
      <c r="BE14" s="18">
        <f>=Round(BE11-BE8,0)</f>
        <v>96</v>
      </c>
      <c r="BF14" s="18">
        <f>=Round(BF11-BF8,0)</f>
        <v>302</v>
      </c>
      <c r="BG14" s="18">
        <f>=Round(BG11-BG8,0)</f>
        <v>373</v>
      </c>
      <c r="BH14" s="18">
        <f>=Round(BH11-BH8,0)</f>
        <v>379</v>
      </c>
      <c r="BI14" s="18">
        <f>=Round(BI11-BI8,0)</f>
        <v>344</v>
      </c>
      <c r="BJ14" s="18">
        <f>=Round(BJ11-BJ8,0)</f>
        <v>138</v>
      </c>
      <c r="BK14" s="18">
        <f>=Round(BK11-BK8,0)</f>
        <v>69</v>
      </c>
      <c r="BL14" s="18">
        <f>=Round(BL11-BL8,0)</f>
        <v>177</v>
      </c>
      <c r="BM14" s="18">
        <f>=Round(BM11-BM8,0)</f>
        <v>-93</v>
      </c>
      <c r="BN14" s="18">
        <f>=Round(BN11-BN8,0)</f>
        <v>10</v>
      </c>
      <c r="BO14" s="18">
        <f>=Round(BO11-BO8,0)</f>
        <v>-334</v>
      </c>
      <c r="BP14" s="18">
        <f>=Round(BP11-BP8,0)</f>
        <v>-439</v>
      </c>
      <c r="BQ14" s="18">
        <f>=Round(BQ11-BQ8,0)</f>
        <v>100</v>
      </c>
      <c r="BR14" s="18">
        <f>=Round(BR11-BR8,0)</f>
        <v>218</v>
      </c>
      <c r="BS14" s="18">
        <f>=Round(BS11-BS8,0)</f>
        <v>192</v>
      </c>
      <c r="BT14" s="18">
        <f>=Round(BT11-BT8,0)</f>
        <v>91</v>
      </c>
      <c r="BU14" s="18">
        <f>=Round(BU11-BU8,0)</f>
        <v>119</v>
      </c>
      <c r="BV14" s="18">
        <f>=Round(BV11-BV8,0)</f>
        <v>50</v>
      </c>
      <c r="BW14" s="18">
        <f>=Round(BW11-BW8,0)</f>
        <v>-18</v>
      </c>
      <c r="BX14" s="18">
        <f>=Round(BX11-BX8,0)</f>
        <v>-41</v>
      </c>
      <c r="BY14" s="18">
        <f>=Round(BY11-BY8,0)</f>
        <v>-124</v>
      </c>
      <c r="BZ14" s="18">
        <f>=Round(BZ11-BZ8,0)</f>
        <v>-173</v>
      </c>
      <c r="CA14" s="18">
        <f>=Round(CA11-CA8,0)</f>
        <v>-214</v>
      </c>
      <c r="CB14" s="18">
        <f>=Round(CB11-CB8,0)</f>
        <v>-254</v>
      </c>
      <c r="CC14" s="18">
        <f>=Round(CC11-CC8,0)</f>
        <v>-295</v>
      </c>
      <c r="CD14" s="18">
        <f>=Round(CD11-CD8,0)</f>
        <v>-325</v>
      </c>
      <c r="CE14" s="18">
        <f>=Round(CE11-CE8,0)</f>
        <v>-358</v>
      </c>
      <c r="CF14" s="18">
        <f>=Round(CF11-CF8,0)</f>
        <v>136</v>
      </c>
      <c r="CG14" s="18">
        <f>=Round(CG11-CG8,0)</f>
        <v>108</v>
      </c>
      <c r="CH14" s="18">
        <f>=Round(CH11-CH8,0)</f>
        <v>-794</v>
      </c>
      <c r="CI14" s="18">
        <f>=Round(CI11-CI8,0)</f>
        <v>-828</v>
      </c>
      <c r="CJ14" s="18">
        <f>=Round(CJ11-CJ8,0)</f>
        <v>-861</v>
      </c>
      <c r="CK14" s="18">
        <f>=Round(CK11-CK8,0)</f>
        <v>-894</v>
      </c>
      <c r="CL14" s="18">
        <f>=Round(CL11-CL8,0)</f>
        <v>-1274</v>
      </c>
      <c r="CM14" s="18">
        <f>=Round(CM11-CM8,0)</f>
        <v>-1307</v>
      </c>
      <c r="CN14" s="18">
        <f>=Round(CN11-CN8,0)</f>
        <v>-1339</v>
      </c>
      <c r="CO14" s="18">
        <f>=Round(CO11-CO8,0)</f>
        <v>-1375</v>
      </c>
      <c r="CP14" s="18">
        <f>=Round(CP11-CP8,0)</f>
        <v>-1407</v>
      </c>
      <c r="CQ14" s="18">
        <f>=Round(CQ11-CQ8,0)</f>
        <v>-1439</v>
      </c>
      <c r="CR14" s="18">
        <f>=Round(CR11-CR8,0)</f>
        <v>-1463</v>
      </c>
      <c r="CS14" s="18">
        <f>=Round(CS11-CS8,0)</f>
        <v>-1487</v>
      </c>
      <c r="CT14" s="18">
        <f>=Round(CT11-CT8,0)</f>
        <v>-1501</v>
      </c>
      <c r="CU14" s="18">
        <f>=Round(CU11-CU8,0)</f>
        <v>-1882</v>
      </c>
      <c r="CV14" s="18">
        <f>=Round(CV11-CV8,0)</f>
        <v>-1912</v>
      </c>
      <c r="CW14" s="18">
        <f>=Round(CW11-CW8,0)</f>
        <v>-1940</v>
      </c>
      <c r="CX14" s="18">
        <f>=Round(CX11-CX8,0)</f>
        <v>-1969</v>
      </c>
      <c r="CY14" s="18">
        <f>=Round(CY11-CY8,0)</f>
        <v>-2351</v>
      </c>
      <c r="CZ14" s="18">
        <f>=Round(CZ11-CZ8,0)</f>
        <v>-2552</v>
      </c>
      <c r="DA14" s="18">
        <f>=Round(DA11-DA8,0)</f>
        <v>-2578</v>
      </c>
      <c r="DB14" s="18">
        <f>=Round(DB11-DB8,0)</f>
        <v>-2604</v>
      </c>
    </row>
    <row r="15" ht="14" customHeight="1" spans="1:106" x14ac:dyDescent="0.25">
      <c r="A15" s="23" t="s">
        <v>249</v>
      </c>
      <c r="B15" s="24"/>
      <c r="C15" s="25">
        <f>=Round(IFERROR(C10/C7,0),2)</f>
        <v>0.9</v>
      </c>
      <c r="D15" s="25">
        <f>=Round(IFERROR(D10/D7,0),2)</f>
        <v>0.9</v>
      </c>
      <c r="E15" s="25">
        <f>=Round(IFERROR(E10/E7,0),2)</f>
        <v>0.85</v>
      </c>
      <c r="F15" s="25">
        <f>=Round(IFERROR(F10/F7,0),2)</f>
        <v>1</v>
      </c>
      <c r="G15" s="25">
        <f>=Round(IFERROR(G10/G7,0),2)</f>
        <v>1.02</v>
      </c>
      <c r="H15" s="25">
        <f>=Round(IFERROR(H10/H7,0),2)</f>
        <v>0.92</v>
      </c>
      <c r="I15" s="25">
        <f>=Round(IFERROR(I10/I7,0),2)</f>
        <v>0.93</v>
      </c>
      <c r="J15" s="25">
        <f>=Round(IFERROR(J10/J7,0),2)</f>
        <v>1.04</v>
      </c>
      <c r="K15" s="25">
        <f>=Round(IFERROR(K10/K7,0),2)</f>
        <v>1.02</v>
      </c>
      <c r="L15" s="25">
        <f>=Round(IFERROR(L10/L7,0),2)</f>
        <v>1.08</v>
      </c>
      <c r="M15" s="25">
        <f>=Round(IFERROR(M10/M7,0),2)</f>
        <v>1.04</v>
      </c>
      <c r="N15" s="25">
        <f>=Round(IFERROR(N10/N7,0),2)</f>
        <v>1.29</v>
      </c>
      <c r="O15" s="25">
        <f>=Round(IFERROR(O10/O7,0),2)</f>
        <v>1.21</v>
      </c>
      <c r="P15" s="25">
        <f>=Round(IFERROR(P10/P7,0),2)</f>
        <v>1.19</v>
      </c>
      <c r="Q15" s="25">
        <f>=Round(IFERROR(Q10/Q7,0),2)</f>
        <v>1.19</v>
      </c>
      <c r="R15" s="25">
        <f>=Round(IFERROR(R10/R7,0),2)</f>
        <v>1.14</v>
      </c>
      <c r="S15" s="25">
        <f>=Round(IFERROR(S10/S7,0),2)</f>
        <v>1.12</v>
      </c>
      <c r="T15" s="25">
        <f>=Round(IFERROR(T10/T7,0),2)</f>
        <v>1.17</v>
      </c>
      <c r="U15" s="25">
        <f>=Round(IFERROR(U10/U7,0),2)</f>
        <v>1.12</v>
      </c>
      <c r="V15" s="25">
        <f>=Round(IFERROR(V10/V7,0),2)</f>
        <v>1.05</v>
      </c>
      <c r="W15" s="25">
        <f>=Round(IFERROR(W10/W7,0),2)</f>
        <v>1.24</v>
      </c>
      <c r="X15" s="25">
        <f>=Round(IFERROR(X10/X7,0),2)</f>
        <v>1.19</v>
      </c>
      <c r="Y15" s="25">
        <f>=Round(IFERROR(Y10/Y7,0),2)</f>
        <v>1</v>
      </c>
      <c r="Z15" s="25">
        <f>=Round(IFERROR(Z10/Z7,0),2)</f>
        <v>1.1</v>
      </c>
      <c r="AA15" s="25">
        <f>=Round(IFERROR(AA10/AA7,0),2)</f>
        <v>1.14</v>
      </c>
      <c r="AB15" s="25">
        <f>=Round(IFERROR(AB10/AB7,0),2)</f>
        <v>1.1</v>
      </c>
      <c r="AC15" s="25">
        <f>=Round(IFERROR(AC10/AC7,0),2)</f>
        <v>1.04</v>
      </c>
      <c r="AD15" s="25">
        <f>=Round(IFERROR(AD10/AD7,0),2)</f>
        <v>0.85</v>
      </c>
      <c r="AE15" s="25">
        <f>=Round(IFERROR(AE10/AE7,0),2)</f>
        <v>0.58</v>
      </c>
      <c r="AF15" s="25">
        <f>=Round(IFERROR(AF10/AF7,0),2)</f>
        <v>0.81</v>
      </c>
      <c r="AG15" s="25">
        <f>=Round(IFERROR(AG10/AG7,0),2)</f>
        <v>1</v>
      </c>
      <c r="AH15" s="25">
        <f>=Round(IFERROR(AH10/AH7,0),2)</f>
        <v>0.85</v>
      </c>
      <c r="AI15" s="25">
        <f>=Round(IFERROR(AI10/AI7,0),2)</f>
        <v>0.72</v>
      </c>
      <c r="AJ15" s="25">
        <f>=Round(IFERROR(AJ10/AJ7,0),2)</f>
        <v>0.75</v>
      </c>
      <c r="AK15" s="25">
        <f>=Round(IFERROR(AK10/AK7,0),2)</f>
        <v>0.78</v>
      </c>
      <c r="AL15" s="25">
        <f>=Round(IFERROR(AL10/AL7,0),2)</f>
        <v>0.77</v>
      </c>
      <c r="AM15" s="25">
        <f>=Round(IFERROR(AM10/AM7,0),2)</f>
        <v>0.73</v>
      </c>
      <c r="AN15" s="25">
        <f>=Round(IFERROR(AN10/AN7,0),2)</f>
        <v>1.01</v>
      </c>
      <c r="AO15" s="25">
        <f>=Round(IFERROR(AO10/AO7,0),2)</f>
        <v>0.88</v>
      </c>
      <c r="AP15" s="25">
        <f>=Round(IFERROR(AP10/AP7,0),2)</f>
        <v>1.04</v>
      </c>
      <c r="AQ15" s="25">
        <f>=Round(IFERROR(AQ10/AQ7,0),2)</f>
        <v>1.13</v>
      </c>
      <c r="AR15" s="25">
        <f>=Round(IFERROR(AR10/AR7,0),2)</f>
        <v>0.87</v>
      </c>
      <c r="AS15" s="25">
        <f>=Round(IFERROR(AS10/AS7,0),2)</f>
        <v>0.95</v>
      </c>
      <c r="AT15" s="25">
        <f>=Round(IFERROR(AT10/AT7,0),2)</f>
        <v>1.13</v>
      </c>
      <c r="AU15" s="25">
        <f>=Round(IFERROR(AU10/AU7,0),2)</f>
        <v>1.12</v>
      </c>
      <c r="AV15" s="25">
        <f>=Round(IFERROR(AV10/AV7,0),2)</f>
        <v>1.2</v>
      </c>
      <c r="AW15" s="25">
        <f>=Round(IFERROR(AW10/AW7,0),2)</f>
        <v>1.23</v>
      </c>
      <c r="AX15" s="25">
        <f>=Round(IFERROR(AX10/AX7,0),2)</f>
        <v>1.06</v>
      </c>
      <c r="AY15" s="25">
        <f>=Round(IFERROR(AY10/AY7,0),2)</f>
        <v>1.13</v>
      </c>
      <c r="AZ15" s="25">
        <f>=Round(IFERROR(AZ10/AZ7,0),2)</f>
        <v>1.21</v>
      </c>
      <c r="BA15" s="25">
        <f>=Round(IFERROR(BA10/BA7,0),2)</f>
        <v>1.19</v>
      </c>
      <c r="BB15" s="25">
        <f>=Round(IFERROR(BB10/BB7,0),2)</f>
        <v>1.24</v>
      </c>
      <c r="BC15" s="25">
        <f>=Round(IFERROR(BC10/BC7,0),2)</f>
        <v>1.14</v>
      </c>
      <c r="BD15" s="25">
        <f>=Round(IFERROR(BD10/BD7,0),2)</f>
        <v>1.02</v>
      </c>
      <c r="BE15" s="25">
        <f>=Round(IFERROR(BE10/BE7,0),2)</f>
        <v>1.07</v>
      </c>
      <c r="BF15" s="25">
        <f>=Round(IFERROR(BF10/BF7,0),2)</f>
        <v>1.12</v>
      </c>
      <c r="BG15" s="25">
        <f>=Round(IFERROR(BG10/BG7,0),2)</f>
        <v>1.13</v>
      </c>
      <c r="BH15" s="25">
        <f>=Round(IFERROR(BH10/BH7,0),2)</f>
        <v>1.13</v>
      </c>
      <c r="BI15" s="25">
        <f>=Round(IFERROR(BI10/BI7,0),2)</f>
        <v>1.12</v>
      </c>
      <c r="BJ15" s="25">
        <f>=Round(IFERROR(BJ10/BJ7,0),2)</f>
        <v>1.08</v>
      </c>
      <c r="BK15" s="25">
        <f>=Round(IFERROR(BK10/BK7,0),2)</f>
        <v>1.06</v>
      </c>
      <c r="BL15" s="25">
        <f>=Round(IFERROR(BL10/BL7,0),2)</f>
        <v>1.09</v>
      </c>
      <c r="BM15" s="25">
        <f>=Round(IFERROR(BM10/BM7,0),2)</f>
        <v>1.02</v>
      </c>
      <c r="BN15" s="25">
        <f>=Round(IFERROR(BN10/BN7,0),2)</f>
        <v>1.05</v>
      </c>
      <c r="BO15" s="25">
        <f>=Round(IFERROR(BO10/BO7,0),2)</f>
        <v>0.97</v>
      </c>
      <c r="BP15" s="25">
        <f>=Round(IFERROR(BP10/BP7,0),2)</f>
        <v>0.94</v>
      </c>
      <c r="BQ15" s="25">
        <f>=Round(IFERROR(BQ10/BQ7,0),2)</f>
        <v>1.07</v>
      </c>
      <c r="BR15" s="25">
        <f>=Round(IFERROR(BR10/BR7,0),2)</f>
        <v>1.1</v>
      </c>
      <c r="BS15" s="25">
        <f>=Round(IFERROR(BS10/BS7,0),2)</f>
        <v>1.1</v>
      </c>
      <c r="BT15" s="25">
        <f>=Round(IFERROR(BT10/BT7,0),2)</f>
        <v>1.07</v>
      </c>
      <c r="BU15" s="25">
        <f>=Round(IFERROR(BU10/BU7,0),2)</f>
        <v>1.08</v>
      </c>
      <c r="BV15" s="25">
        <f>=Round(IFERROR(BV10/BV7,0),2)</f>
        <v>1.06</v>
      </c>
      <c r="BW15" s="25">
        <f>=Round(IFERROR(BW10/BW7,0),2)</f>
        <v>1.04</v>
      </c>
      <c r="BX15" s="25">
        <f>=Round(IFERROR(BX10/BX7,0),2)</f>
        <v>1.01</v>
      </c>
      <c r="BY15" s="25">
        <f>=Round(IFERROR(BY10/BY7,0),2)</f>
        <v>0.96</v>
      </c>
      <c r="BZ15" s="25">
        <f>=Round(IFERROR(BZ10/BZ7,0),2)</f>
        <v>0.95</v>
      </c>
      <c r="CA15" s="25">
        <f>=Round(IFERROR(CA10/CA7,0),2)</f>
        <v>0.94</v>
      </c>
      <c r="CB15" s="25">
        <f>=Round(IFERROR(CB10/CB7,0),2)</f>
        <v>0.92</v>
      </c>
      <c r="CC15" s="25">
        <f>=Round(IFERROR(CC10/CC7,0),2)</f>
        <v>0.91</v>
      </c>
      <c r="CD15" s="25">
        <f>=Round(IFERROR(CD10/CD7,0),2)</f>
        <v>0.9</v>
      </c>
      <c r="CE15" s="25">
        <f>=Round(IFERROR(CE10/CE7,0),2)</f>
        <v>0.89</v>
      </c>
      <c r="CF15" s="25">
        <f>=Round(IFERROR(CF10/CF7,0),2)</f>
        <v>1.05</v>
      </c>
      <c r="CG15" s="25">
        <f>=Round(IFERROR(CG10/CG7,0),2)</f>
        <v>1.04</v>
      </c>
      <c r="CH15" s="25">
        <f>=Round(IFERROR(CH10/CH7,0),2)</f>
        <v>0.77</v>
      </c>
      <c r="CI15" s="25">
        <f>=Round(IFERROR(CI10/CI7,0),2)</f>
        <v>0.76</v>
      </c>
      <c r="CJ15" s="25">
        <f>=Round(IFERROR(CJ10/CJ7,0),2)</f>
        <v>0.75</v>
      </c>
      <c r="CK15" s="25">
        <f>=Round(IFERROR(CK10/CK7,0),2)</f>
        <v>0.74</v>
      </c>
      <c r="CL15" s="25">
        <f>=Round(IFERROR(CL10/CL7,0),2)</f>
        <v>0.67</v>
      </c>
      <c r="CM15" s="25">
        <f>=Round(IFERROR(CM10/CM7,0),2)</f>
        <v>0.66</v>
      </c>
      <c r="CN15" s="25">
        <f>=Round(IFERROR(CN10/CN7,0),2)</f>
        <v>0.65</v>
      </c>
      <c r="CO15" s="25">
        <f>=Round(IFERROR(CO10/CO7,0),2)</f>
        <v>0.64</v>
      </c>
      <c r="CP15" s="25">
        <f>=Round(IFERROR(CP10/CP7,0),2)</f>
        <v>0.63</v>
      </c>
      <c r="CQ15" s="25">
        <f>=Round(IFERROR(CQ10/CQ7,0),2)</f>
        <v>0.63</v>
      </c>
      <c r="CR15" s="25">
        <f>=Round(IFERROR(CR10/CR7,0),2)</f>
        <v>0.62</v>
      </c>
      <c r="CS15" s="25">
        <f>=Round(IFERROR(CS10/CS7,0),2)</f>
        <v>0.61</v>
      </c>
      <c r="CT15" s="25">
        <f>=Round(IFERROR(CT10/CT7,0),2)</f>
        <v>0.61</v>
      </c>
      <c r="CU15" s="25">
        <f>=Round(IFERROR(CU10/CU7,0),2)</f>
        <v>0.55</v>
      </c>
      <c r="CV15" s="25">
        <f>=Round(IFERROR(CV10/CV7,0),2)</f>
        <v>0.55</v>
      </c>
      <c r="CW15" s="25">
        <f>=Round(IFERROR(CW10/CW7,0),2)</f>
        <v>0.54</v>
      </c>
      <c r="CX15" s="25">
        <f>=Round(IFERROR(CX10/CX7,0),2)</f>
        <v>0.53</v>
      </c>
      <c r="CY15" s="25">
        <f>=Round(IFERROR(CY10/CY7,0),2)</f>
        <v>0.48</v>
      </c>
      <c r="CZ15" s="25">
        <f>=Round(IFERROR(CZ10/CZ7,0),2)</f>
        <v>0.46</v>
      </c>
      <c r="DA15" s="25">
        <f>=Round(IFERROR(DA10/DA7,0),2)</f>
        <v>0.45</v>
      </c>
      <c r="DB15" s="25">
        <f>=Round(IFERROR(DB10/DB7,0),2)</f>
        <v>0.45</v>
      </c>
    </row>
    <row r="16" spans="1:106" x14ac:dyDescent="0.25">
      <c r="A16" s="23" t="s">
        <v>250</v>
      </c>
      <c r="B16" s="24"/>
      <c r="C16" s="25">
        <f>=Round(IFERROR(C10/C9,0),2)</f>
        <v>0.86</v>
      </c>
      <c r="D16" s="25">
        <f>=Round(IFERROR(D10/D9,0),2)</f>
        <v>0.86</v>
      </c>
      <c r="E16" s="25">
        <f>=Round(IFERROR(E10/E9,0),2)</f>
        <v>0.81</v>
      </c>
      <c r="F16" s="25">
        <f>=Round(IFERROR(F10/F9,0),2)</f>
        <v>0.95</v>
      </c>
      <c r="G16" s="25">
        <f>=Round(IFERROR(G10/G9,0),2)</f>
        <v>0.97</v>
      </c>
      <c r="H16" s="25">
        <f>=Round(IFERROR(H10/H9,0),2)</f>
        <v>0.86</v>
      </c>
      <c r="I16" s="25">
        <f>=Round(IFERROR(I10/I9,0),2)</f>
        <v>0.88</v>
      </c>
      <c r="J16" s="25">
        <f>=Round(IFERROR(J10/J9,0),2)</f>
        <v>0.97</v>
      </c>
      <c r="K16" s="25">
        <f>=Round(IFERROR(K10/K9,0),2)</f>
        <v>0.95</v>
      </c>
      <c r="L16" s="25">
        <f>=Round(IFERROR(L10/L9,0),2)</f>
        <v>1.02</v>
      </c>
      <c r="M16" s="25">
        <f>=Round(IFERROR(M10/M9,0),2)</f>
        <v>0.98</v>
      </c>
      <c r="N16" s="25">
        <f>=Round(IFERROR(N10/N9,0),2)</f>
        <v>1.2</v>
      </c>
      <c r="O16" s="25">
        <f>=Round(IFERROR(O10/O9,0),2)</f>
        <v>1.13</v>
      </c>
      <c r="P16" s="25">
        <f>=Round(IFERROR(P10/P9,0),2)</f>
        <v>1.11</v>
      </c>
      <c r="Q16" s="25">
        <f>=Round(IFERROR(Q10/Q9,0),2)</f>
        <v>1.11</v>
      </c>
      <c r="R16" s="25">
        <f>=Round(IFERROR(R10/R9,0),2)</f>
        <v>1.07</v>
      </c>
      <c r="S16" s="25">
        <f>=Round(IFERROR(S10/S9,0),2)</f>
        <v>1.04</v>
      </c>
      <c r="T16" s="25">
        <f>=Round(IFERROR(T10/T9,0),2)</f>
        <v>1.09</v>
      </c>
      <c r="U16" s="25">
        <f>=Round(IFERROR(U10/U9,0),2)</f>
        <v>1.07</v>
      </c>
      <c r="V16" s="25">
        <f>=Round(IFERROR(V10/V9,0),2)</f>
        <v>1</v>
      </c>
      <c r="W16" s="25">
        <f>=Round(IFERROR(W10/W9,0),2)</f>
        <v>1.18</v>
      </c>
      <c r="X16" s="25">
        <f>=Round(IFERROR(X10/X9,0),2)</f>
        <v>1.14</v>
      </c>
      <c r="Y16" s="25">
        <f>=Round(IFERROR(Y10/Y9,0),2)</f>
        <v>0.95</v>
      </c>
      <c r="Z16" s="25">
        <f>=Round(IFERROR(Z10/Z9,0),2)</f>
        <v>1.05</v>
      </c>
      <c r="AA16" s="25">
        <f>=Round(IFERROR(AA10/AA9,0),2)</f>
        <v>1.09</v>
      </c>
      <c r="AB16" s="25">
        <f>=Round(IFERROR(AB10/AB9,0),2)</f>
        <v>1.05</v>
      </c>
      <c r="AC16" s="25">
        <f>=Round(IFERROR(AC10/AC9,0),2)</f>
        <v>0.98</v>
      </c>
      <c r="AD16" s="25">
        <f>=Round(IFERROR(AD10/AD9,0),2)</f>
        <v>0.8</v>
      </c>
      <c r="AE16" s="25">
        <f>=Round(IFERROR(AE10/AE9,0),2)</f>
        <v>0.55</v>
      </c>
      <c r="AF16" s="25">
        <f>=Round(IFERROR(AF10/AF9,0),2)</f>
        <v>0.76</v>
      </c>
      <c r="AG16" s="25">
        <f>=Round(IFERROR(AG10/AG9,0),2)</f>
        <v>0.94</v>
      </c>
      <c r="AH16" s="25">
        <f>=Round(IFERROR(AH10/AH9,0),2)</f>
        <v>0.79</v>
      </c>
      <c r="AI16" s="25">
        <f>=Round(IFERROR(AI10/AI9,0),2)</f>
        <v>0.68</v>
      </c>
      <c r="AJ16" s="25">
        <f>=Round(IFERROR(AJ10/AJ9,0),2)</f>
        <v>0.71</v>
      </c>
      <c r="AK16" s="25">
        <f>=Round(IFERROR(AK10/AK9,0),2)</f>
        <v>0.73</v>
      </c>
      <c r="AL16" s="25">
        <f>=Round(IFERROR(AL10/AL9,0),2)</f>
        <v>0.72</v>
      </c>
      <c r="AM16" s="25">
        <f>=Round(IFERROR(AM10/AM9,0),2)</f>
        <v>0.68</v>
      </c>
      <c r="AN16" s="25">
        <f>=Round(IFERROR(AN10/AN9,0),2)</f>
        <v>0.95</v>
      </c>
      <c r="AO16" s="25">
        <f>=Round(IFERROR(AO10/AO9,0),2)</f>
        <v>0.83</v>
      </c>
      <c r="AP16" s="25">
        <f>=Round(IFERROR(AP10/AP9,0),2)</f>
        <v>1.01</v>
      </c>
      <c r="AQ16" s="25">
        <f>=Round(IFERROR(AQ10/AQ9,0),2)</f>
        <v>1.1</v>
      </c>
      <c r="AR16" s="25">
        <f>=Round(IFERROR(AR10/AR9,0),2)</f>
        <v>0.84</v>
      </c>
      <c r="AS16" s="25">
        <f>=Round(IFERROR(AS10/AS9,0),2)</f>
        <v>0.93</v>
      </c>
      <c r="AT16" s="25">
        <f>=Round(IFERROR(AT10/AT9,0),2)</f>
        <v>1.1</v>
      </c>
      <c r="AU16" s="25">
        <f>=Round(IFERROR(AU10/AU9,0),2)</f>
        <v>1.09</v>
      </c>
      <c r="AV16" s="25">
        <f>=Round(IFERROR(AV10/AV9,0),2)</f>
        <v>1.16</v>
      </c>
      <c r="AW16" s="25">
        <f>=Round(IFERROR(AW10/AW9,0),2)</f>
        <v>1.19</v>
      </c>
      <c r="AX16" s="25">
        <f>=Round(IFERROR(AX10/AX9,0),2)</f>
        <v>1.03</v>
      </c>
      <c r="AY16" s="25">
        <f>=Round(IFERROR(AY10/AY9,0),2)</f>
        <v>1.09</v>
      </c>
      <c r="AZ16" s="25">
        <f>=Round(IFERROR(AZ10/AZ9,0),2)</f>
        <v>1.16</v>
      </c>
      <c r="BA16" s="25">
        <f>=Round(IFERROR(BA10/BA9,0),2)</f>
        <v>1.15</v>
      </c>
      <c r="BB16" s="25">
        <f>=Round(IFERROR(BB10/BB9,0),2)</f>
        <v>1.19</v>
      </c>
      <c r="BC16" s="25">
        <f>=Round(IFERROR(BC10/BC9,0),2)</f>
        <v>1.09</v>
      </c>
      <c r="BD16" s="25">
        <f>=Round(IFERROR(BD10/BD9,0),2)</f>
        <v>0.98</v>
      </c>
      <c r="BE16" s="25">
        <f>=Round(IFERROR(BE10/BE9,0),2)</f>
        <v>1.02</v>
      </c>
      <c r="BF16" s="25">
        <f>=Round(IFERROR(BF10/BF9,0),2)</f>
        <v>1.07</v>
      </c>
      <c r="BG16" s="25">
        <f>=Round(IFERROR(BG10/BG9,0),2)</f>
        <v>1.08</v>
      </c>
      <c r="BH16" s="25">
        <f>=Round(IFERROR(BH10/BH9,0),2)</f>
        <v>1.08</v>
      </c>
      <c r="BI16" s="25">
        <f>=Round(IFERROR(BI10/BI9,0),2)</f>
        <v>1.07</v>
      </c>
      <c r="BJ16" s="25">
        <f>=Round(IFERROR(BJ10/BJ9,0),2)</f>
        <v>1.03</v>
      </c>
      <c r="BK16" s="25">
        <f>=Round(IFERROR(BK10/BK9,0),2)</f>
        <v>1.01</v>
      </c>
      <c r="BL16" s="25">
        <f>=Round(IFERROR(BL10/BL9,0),2)</f>
        <v>1.04</v>
      </c>
      <c r="BM16" s="25">
        <f>=Round(IFERROR(BM10/BM9,0),2)</f>
        <v>0.98</v>
      </c>
      <c r="BN16" s="25">
        <f>=Round(IFERROR(BN10/BN9,0),2)</f>
        <v>1</v>
      </c>
      <c r="BO16" s="25">
        <f>=Round(IFERROR(BO10/BO9,0),2)</f>
        <v>0.92</v>
      </c>
      <c r="BP16" s="25">
        <f>=Round(IFERROR(BP10/BP9,0),2)</f>
        <v>0.9</v>
      </c>
      <c r="BQ16" s="25">
        <f>=Round(IFERROR(BQ10/BQ9,0),2)</f>
        <v>1.02</v>
      </c>
      <c r="BR16" s="25">
        <f>=Round(IFERROR(BR10/BR9,0),2)</f>
        <v>1.05</v>
      </c>
      <c r="BS16" s="25">
        <f>=Round(IFERROR(BS10/BS9,0),2)</f>
        <v>1.06</v>
      </c>
      <c r="BT16" s="25">
        <f>=Round(IFERROR(BT10/BT9,0),2)</f>
        <v>1.03</v>
      </c>
      <c r="BU16" s="25">
        <f>=Round(IFERROR(BU10/BU9,0),2)</f>
        <v>1.03</v>
      </c>
      <c r="BV16" s="25">
        <f>=Round(IFERROR(BV10/BV9,0),2)</f>
        <v>1.01</v>
      </c>
      <c r="BW16" s="25">
        <f>=Round(IFERROR(BW10/BW9,0),2)</f>
        <v>0.99</v>
      </c>
      <c r="BX16" s="25">
        <f>=Round(IFERROR(BX10/BX9,0),2)</f>
        <v>0.99</v>
      </c>
      <c r="BY16" s="25">
        <f>=Round(IFERROR(BY10/BY9,0),2)</f>
        <v>0.96</v>
      </c>
      <c r="BZ16" s="25">
        <f>=Round(IFERROR(BZ10/BZ9,0),2)</f>
        <v>0.95</v>
      </c>
      <c r="CA16" s="25">
        <f>=Round(IFERROR(CA10/CA9,0),2)</f>
        <v>0.94</v>
      </c>
      <c r="CB16" s="25">
        <f>=Round(IFERROR(CB10/CB9,0),2)</f>
        <v>0.92</v>
      </c>
      <c r="CC16" s="25">
        <f>=Round(IFERROR(CC10/CC9,0),2)</f>
        <v>0.91</v>
      </c>
      <c r="CD16" s="25">
        <f>=Round(IFERROR(CD10/CD9,0),2)</f>
        <v>0.9</v>
      </c>
      <c r="CE16" s="25">
        <f>=Round(IFERROR(CE10/CE9,0),2)</f>
        <v>0.89</v>
      </c>
      <c r="CF16" s="25">
        <f>=Round(IFERROR(CF10/CF9,0),2)</f>
        <v>1.05</v>
      </c>
      <c r="CG16" s="25">
        <f>=Round(IFERROR(CG10/CG9,0),2)</f>
        <v>1.04</v>
      </c>
      <c r="CH16" s="25">
        <f>=Round(IFERROR(CH10/CH9,0),2)</f>
        <v>0.77</v>
      </c>
      <c r="CI16" s="25">
        <f>=Round(IFERROR(CI10/CI9,0),2)</f>
        <v>0.76</v>
      </c>
      <c r="CJ16" s="25">
        <f>=Round(IFERROR(CJ10/CJ9,0),2)</f>
        <v>0.75</v>
      </c>
      <c r="CK16" s="25">
        <f>=Round(IFERROR(CK10/CK9,0),2)</f>
        <v>0.74</v>
      </c>
      <c r="CL16" s="25">
        <f>=Round(IFERROR(CL10/CL9,0),2)</f>
        <v>0.67</v>
      </c>
      <c r="CM16" s="25">
        <f>=Round(IFERROR(CM10/CM9,0),2)</f>
        <v>0.66</v>
      </c>
      <c r="CN16" s="25">
        <f>=Round(IFERROR(CN10/CN9,0),2)</f>
        <v>0.66</v>
      </c>
      <c r="CO16" s="25">
        <f>=Round(IFERROR(CO10/CO9,0),2)</f>
        <v>0.64</v>
      </c>
      <c r="CP16" s="25">
        <f>=Round(IFERROR(CP10/CP9,0),2)</f>
        <v>0.63</v>
      </c>
      <c r="CQ16" s="25">
        <f>=Round(IFERROR(CQ10/CQ9,0),2)</f>
        <v>0.63</v>
      </c>
      <c r="CR16" s="25">
        <f>=Round(IFERROR(CR10/CR9,0),2)</f>
        <v>0.62</v>
      </c>
      <c r="CS16" s="25">
        <f>=Round(IFERROR(CS10/CS9,0),2)</f>
        <v>0.61</v>
      </c>
      <c r="CT16" s="25">
        <f>=Round(IFERROR(CT10/CT9,0),2)</f>
        <v>0.61</v>
      </c>
      <c r="CU16" s="25">
        <f>=Round(IFERROR(CU10/CU9,0),2)</f>
        <v>0.55</v>
      </c>
      <c r="CV16" s="25">
        <f>=Round(IFERROR(CV10/CV9,0),2)</f>
        <v>0.55</v>
      </c>
      <c r="CW16" s="25">
        <f>=Round(IFERROR(CW10/CW9,0),2)</f>
        <v>0.54</v>
      </c>
      <c r="CX16" s="25">
        <f>=Round(IFERROR(CX10/CX9,0),2)</f>
        <v>0.53</v>
      </c>
      <c r="CY16" s="25">
        <f>=Round(IFERROR(CY10/CY9,0),2)</f>
        <v>0.48</v>
      </c>
      <c r="CZ16" s="25">
        <f>=Round(IFERROR(CZ10/CZ9,0),2)</f>
        <v>0.46</v>
      </c>
      <c r="DA16" s="25">
        <f>=Round(IFERROR(DA10/DA9,0),2)</f>
        <v>0.45</v>
      </c>
      <c r="DB16" s="25">
        <f>=Round(IFERROR(DB10/DB9,0),2)</f>
        <v>0.45</v>
      </c>
    </row>
    <row r="17" ht="14" customHeight="1" spans="1:106" x14ac:dyDescent="0.25">
      <c r="A17" s="23" t="s">
        <v>251</v>
      </c>
      <c r="B17" s="24"/>
      <c r="C17" s="26">
        <f>=IFERROR(C11/C8,0)</f>
        <v>0.8570618800188947</v>
      </c>
      <c r="D17" s="26">
        <f>=IFERROR(D11/D8,0)</f>
        <v>0.8562529495044833</v>
      </c>
      <c r="E17" s="25">
        <f>=IFERROR(E11/E8,0)</f>
        <v>0.8105960264900662</v>
      </c>
      <c r="F17" s="25">
        <f>=IFERROR(F11/F8,0)</f>
        <v>0.9504950495049505</v>
      </c>
      <c r="G17" s="25">
        <f>=IFERROR(G11/G8,0)</f>
        <v>0.9667924528301887</v>
      </c>
      <c r="H17" s="25">
        <f>=IFERROR(H11/H8,0)</f>
        <v>0.8567454798331016</v>
      </c>
      <c r="I17" s="25">
        <f>=IFERROR(I11/I8,0)</f>
        <v>0.8735376044568245</v>
      </c>
      <c r="J17" s="25">
        <f>=IFERROR(J11/J8,0)</f>
        <v>0.9711967545638945</v>
      </c>
      <c r="K17" s="25">
        <f>=IFERROR(K11/K8,0)</f>
        <v>0.9536746071971617</v>
      </c>
      <c r="L17" s="25">
        <f>=IFERROR(L11/L8,0)</f>
        <v>1.0096828046744575</v>
      </c>
      <c r="M17" s="25">
        <f>=IFERROR(M11/M8,0)</f>
        <v>0.9766349916154277</v>
      </c>
      <c r="N17" s="25">
        <f>=IFERROR(N11/N8,0)</f>
        <v>1.2055813953488372</v>
      </c>
      <c r="O17" s="25">
        <f>=IFERROR(O11/O8,0)</f>
        <v>1.14163890739507</v>
      </c>
      <c r="P17" s="25">
        <f>=IFERROR(P11/P8,0)</f>
        <v>1.1140583554376657</v>
      </c>
      <c r="Q17" s="25">
        <f>=IFERROR(Q11/Q8,0)</f>
        <v>1.1155378486055776</v>
      </c>
      <c r="R17" s="25">
        <f>=IFERROR(R11/R8,0)</f>
        <v>1.0709163346613546</v>
      </c>
      <c r="S17" s="25">
        <f>=IFERROR(S11/S8,0)</f>
        <v>1.0506986027944112</v>
      </c>
      <c r="T17" s="25">
        <f>=IFERROR(T11/T8,0)</f>
        <v>1.0946808510638297</v>
      </c>
      <c r="U17" s="25">
        <f>=IFERROR(U11/U8,0)</f>
        <v>1.0563210702341137</v>
      </c>
      <c r="V17" s="25">
        <f>=IFERROR(V11/V8,0)</f>
        <v>0.9888963210702341</v>
      </c>
      <c r="W17" s="25">
        <f>=IFERROR(W11/W8,0)</f>
        <v>1.1686956521739131</v>
      </c>
      <c r="X17" s="25">
        <f>=IFERROR(X11/X8,0)</f>
        <v>1.1237458193979932</v>
      </c>
      <c r="Y17" s="25">
        <f>=IFERROR(Y11/Y8,0)</f>
        <v>0.944578313253012</v>
      </c>
      <c r="Z17" s="25">
        <f>=IFERROR(Z11/Z8,0)</f>
        <v>1.0345381526104418</v>
      </c>
      <c r="AA17" s="25">
        <f>=IFERROR(AA11/AA8,0)</f>
        <v>1.0795180722891566</v>
      </c>
      <c r="AB17" s="25">
        <f>=IFERROR(AB11/AB8,0)</f>
        <v>1.0345381526104418</v>
      </c>
      <c r="AC17" s="25">
        <f>=IFERROR(AC11/AC8,0)</f>
        <v>0.9744360902255639</v>
      </c>
      <c r="AD17" s="25">
        <f>=IFERROR(AD11/AD8,0)</f>
        <v>0.8021621621621622</v>
      </c>
      <c r="AE17" s="25">
        <f>=IFERROR(AE11/AE8,0)</f>
        <v>0.5448648648648649</v>
      </c>
      <c r="AF17" s="25">
        <f>=IFERROR(AF11/AF8,0)</f>
        <v>0.7567567567567568</v>
      </c>
      <c r="AG17" s="25">
        <f>=IFERROR(AG11/AG8,0)</f>
        <v>0.939224526600541</v>
      </c>
      <c r="AH17" s="25">
        <f>=IFERROR(AH11/AH8,0)</f>
        <v>0.7968895800933126</v>
      </c>
      <c r="AI17" s="25">
        <f>=IFERROR(AI11/AI8,0)</f>
        <v>0.6783685503685504</v>
      </c>
      <c r="AJ17" s="25">
        <f>=IFERROR(AJ11/AJ8,0)</f>
        <v>0.7080671715508726</v>
      </c>
      <c r="AK17" s="25">
        <f>=IFERROR(AK11/AK8,0)</f>
        <v>0.7318811881188119</v>
      </c>
      <c r="AL17" s="25">
        <f>=IFERROR(AL11/AL8,0)</f>
        <v>0.7224712295578437</v>
      </c>
      <c r="AM17" s="25">
        <f>=IFERROR(AM11/AM8,0)</f>
        <v>0.6817686250757117</v>
      </c>
      <c r="AN17" s="25">
        <f>=IFERROR(AN11/AN8,0)</f>
        <v>0.9463355542095699</v>
      </c>
      <c r="AO17" s="25">
        <f>=IFERROR(AO11/AO8,0)</f>
        <v>0.8242277407631738</v>
      </c>
      <c r="AP17" s="25">
        <f>=IFERROR(AP11/AP8,0)</f>
        <v>1.0117504542701392</v>
      </c>
      <c r="AQ17" s="25">
        <f>=IFERROR(AQ11/AQ8,0)</f>
        <v>1.1017976925140864</v>
      </c>
      <c r="AR17" s="25">
        <f>=IFERROR(AR11/AR8,0)</f>
        <v>0.8403541722565065</v>
      </c>
      <c r="AS17" s="25">
        <f>=IFERROR(AS11/AS8,0)</f>
        <v>0.9243895894821572</v>
      </c>
      <c r="AT17" s="25">
        <f>=IFERROR(AT11/AT8,0)</f>
        <v>1.0927323373005824</v>
      </c>
      <c r="AU17" s="25">
        <f>=IFERROR(AU11/AU8,0)</f>
        <v>1.0887417218543047</v>
      </c>
      <c r="AV17" s="25">
        <f>=IFERROR(AV11/AV8,0)</f>
        <v>1.1602649006622516</v>
      </c>
      <c r="AW17" s="25">
        <f>=IFERROR(AW11/AW8,0)</f>
        <v>1.1917808219178083</v>
      </c>
      <c r="AX17" s="25">
        <f>=IFERROR(AX11/AX8,0)</f>
        <v>1.0290122134133277</v>
      </c>
      <c r="AY17" s="25">
        <f>=IFERROR(AY11/AY8,0)</f>
        <v>1.0919103521878335</v>
      </c>
      <c r="AZ17" s="25">
        <f>=IFERROR(AZ11/AZ8,0)</f>
        <v>1.1661899679829242</v>
      </c>
      <c r="BA17" s="25">
        <f>=IFERROR(BA11/BA8,0)</f>
        <v>1.151334044823906</v>
      </c>
      <c r="BB17" s="25">
        <f>=IFERROR(BB11/BB8,0)</f>
        <v>1.1959018143009605</v>
      </c>
      <c r="BC17" s="25">
        <f>=IFERROR(BC11/BC8,0)</f>
        <v>1.0864703371745625</v>
      </c>
      <c r="BD17" s="25">
        <f>=IFERROR(BD11/BD8,0)</f>
        <v>0.9763551002987623</v>
      </c>
      <c r="BE17" s="25">
        <f>=IFERROR(BE11/BE8,0)</f>
        <v>1.0204011950490823</v>
      </c>
      <c r="BF17" s="25">
        <f>=IFERROR(BF11/BF8,0)</f>
        <v>1.0644472897994024</v>
      </c>
      <c r="BG17" s="25">
        <f>=IFERROR(BG11/BG8,0)</f>
        <v>1.0795900939368062</v>
      </c>
      <c r="BH17" s="25">
        <f>=IFERROR(BH11/BH8,0)</f>
        <v>1.0809747755451047</v>
      </c>
      <c r="BI17" s="25">
        <f>=IFERROR(BI11/BI8,0)</f>
        <v>1.0736212056434373</v>
      </c>
      <c r="BJ17" s="25">
        <f>=IFERROR(BJ11/BJ8,0)</f>
        <v>1.0294997862334332</v>
      </c>
      <c r="BK17" s="25">
        <f>=IFERROR(BK11/BK8,0)</f>
        <v>1.0147926464300983</v>
      </c>
      <c r="BL17" s="25">
        <f>=IFERROR(BL11/BL8,0)</f>
        <v>1.039413463674739</v>
      </c>
      <c r="BM17" s="25">
        <f>=IFERROR(BM11/BM8,0)</f>
        <v>0.9793594306049822</v>
      </c>
      <c r="BN17" s="25">
        <f>=IFERROR(BN11/BN8,0)</f>
        <v>1.0023131672597865</v>
      </c>
      <c r="BO17" s="25">
        <f>=IFERROR(BO11/BO8,0)</f>
        <v>0.9258007117437722</v>
      </c>
      <c r="BP17" s="25">
        <f>=IFERROR(BP11/BP8,0)</f>
        <v>0.9024455313472655</v>
      </c>
      <c r="BQ17" s="25">
        <f>=IFERROR(BQ11/BQ8,0)</f>
        <v>1.0242556281771968</v>
      </c>
      <c r="BR17" s="25">
        <f>=IFERROR(BR11/BR8,0)</f>
        <v>1.0579003181336162</v>
      </c>
      <c r="BS17" s="25">
        <f>=IFERROR(BS11/BS8,0)</f>
        <v>1.0534521158129175</v>
      </c>
      <c r="BT17" s="25">
        <f>=IFERROR(BT11/BT8,0)</f>
        <v>1.025292479108635</v>
      </c>
      <c r="BU17" s="25">
        <f>=IFERROR(BU11/BU8,0)</f>
        <v>1.0331479421579532</v>
      </c>
      <c r="BV17" s="25">
        <f>=IFERROR(BV11/BV8,0)</f>
        <v>1.014015572858732</v>
      </c>
      <c r="BW17" s="25">
        <f>=IFERROR(BW11/BW8,0)</f>
        <v>0.9948832035595105</v>
      </c>
      <c r="BX17" s="25">
        <f>=IFERROR(BX11/BX8,0)</f>
        <v>0.9886540600667408</v>
      </c>
      <c r="BY17" s="25">
        <f>=IFERROR(BY11/BY8,0)</f>
        <v>0.964658863831002</v>
      </c>
      <c r="BZ17" s="25">
        <f>=IFERROR(BZ11/BZ8,0)</f>
        <v>0.9507008547008547</v>
      </c>
      <c r="CA17" s="25">
        <f>=IFERROR(CA11/CA8,0)</f>
        <v>0.9390846394984326</v>
      </c>
      <c r="CB17" s="25">
        <f>=IFERROR(CB11/CB8,0)</f>
        <v>0.927610433295325</v>
      </c>
      <c r="CC17" s="25">
        <f>=IFERROR(CC11/CC8,0)</f>
        <v>0.9160153028791338</v>
      </c>
      <c r="CD17" s="25">
        <f>=IFERROR(CD11/CD8,0)</f>
        <v>0.9073724659654878</v>
      </c>
      <c r="CE17" s="25">
        <f>=IFERROR(CE11/CE8,0)</f>
        <v>0.8980425968115913</v>
      </c>
      <c r="CF17" s="25">
        <f>=IFERROR(CF11/CF8,0)</f>
        <v>1.051688605759722</v>
      </c>
      <c r="CG17" s="25">
        <f>=IFERROR(CG11/CG8,0)</f>
        <v>1.0411717197021249</v>
      </c>
      <c r="CH17" s="25">
        <f>=IFERROR(CH11/CH8,0)</f>
        <v>0.7734376053034017</v>
      </c>
      <c r="CI17" s="25">
        <f>=IFERROR(CI11/CI8,0)</f>
        <v>0.763769635237109</v>
      </c>
      <c r="CJ17" s="25">
        <f>=IFERROR(CJ11/CJ8,0)</f>
        <v>0.7542225147966454</v>
      </c>
      <c r="CK17" s="25">
        <f>=IFERROR(CK11/CK8,0)</f>
        <v>0.7447947333616873</v>
      </c>
      <c r="CL17" s="25">
        <f>=IFERROR(CL11/CL8,0)</f>
        <v>0.6692300678030386</v>
      </c>
      <c r="CM17" s="25">
        <f>=IFERROR(CM11/CM8,0)</f>
        <v>0.6606931724403292</v>
      </c>
      <c r="CN17" s="25">
        <f>=IFERROR(CN11/CN8,0)</f>
        <v>0.6524345077848251</v>
      </c>
      <c r="CO17" s="25">
        <f>=IFERROR(CO11/CO8,0)</f>
        <v>0.6436109104261718</v>
      </c>
      <c r="CP17" s="25">
        <f>=IFERROR(CP11/CP8,0)</f>
        <v>0.6354010343428778</v>
      </c>
      <c r="CQ17" s="25">
        <f>=IFERROR(CQ11/CQ8,0)</f>
        <v>0.6277453229668585</v>
      </c>
      <c r="CR17" s="25">
        <f>=IFERROR(CR11/CR8,0)</f>
        <v>0.6214678697371898</v>
      </c>
      <c r="CS17" s="25">
        <f>=IFERROR(CS11/CS8,0)</f>
        <v>0.6152531910398181</v>
      </c>
      <c r="CT17" s="25">
        <f>=IFERROR(CT11/CT8,0)</f>
        <v>0.6106802770213529</v>
      </c>
      <c r="CU17" s="25">
        <f>=IFERROR(CU11/CU8,0)</f>
        <v>0.5533432985313065</v>
      </c>
      <c r="CV17" s="25">
        <f>=IFERROR(CV11/CV8,0)</f>
        <v>0.546296837981369</v>
      </c>
      <c r="CW17" s="25">
        <f>=IFERROR(CW11/CW8,0)</f>
        <v>0.5395961759584192</v>
      </c>
      <c r="CX17" s="25">
        <f>=IFERROR(CX11/CX8,0)</f>
        <v>0.5327247759127696</v>
      </c>
      <c r="CY17" s="25">
        <f>=IFERROR(CY11/CY8,0)</f>
        <v>0.4852979264722429</v>
      </c>
      <c r="CZ17" s="25">
        <f>=IFERROR(CZ11/CZ8,0)</f>
        <v>0.4617444455860875</v>
      </c>
      <c r="DA17" s="25">
        <f>=IFERROR(DA11/DA8,0)</f>
        <v>0.45606883677575843</v>
      </c>
      <c r="DB17" s="25">
        <f>=IFERROR(DB11/DB8,0)</f>
        <v>0.4504630107065059</v>
      </c>
    </row>
    <row r="18" spans="1:106" x14ac:dyDescent="0.25">
      <c r="A18" s="27" t="s">
        <v>252</v>
      </c>
      <c r="C18" s="28">
        <f>=SUM(C19:C23)</f>
        <v>54</v>
      </c>
      <c r="D18" s="28">
        <f>=SUM(D19:D23)</f>
        <v>68</v>
      </c>
      <c r="E18" s="28">
        <f>=SUM(E19:E23)</f>
        <v>65</v>
      </c>
      <c r="F18" s="28">
        <f>=SUM(F19:F23)</f>
        <v>60</v>
      </c>
      <c r="G18" s="28">
        <f>=SUM(G19:G23)</f>
        <v>61</v>
      </c>
      <c r="H18" s="28">
        <f>=SUM(H19:H23)</f>
        <v>55</v>
      </c>
      <c r="I18" s="28">
        <f>=SUM(I19:I23)</f>
        <v>56</v>
      </c>
      <c r="J18" s="28">
        <f>=SUM(J19:J23)</f>
        <v>57</v>
      </c>
      <c r="K18" s="28">
        <f>=SUM(K19:K23)</f>
        <v>56</v>
      </c>
      <c r="L18" s="28">
        <f>=SUM(L19:L23)</f>
        <v>54</v>
      </c>
      <c r="M18" s="28">
        <f>=SUM(M19:M23)</f>
        <v>52</v>
      </c>
      <c r="N18" s="28">
        <f>=SUM(N19:N23)</f>
        <v>54</v>
      </c>
      <c r="O18" s="28">
        <f>=SUM(O19:O23)</f>
        <v>51</v>
      </c>
      <c r="P18" s="28">
        <f>=SUM(P19:P23)</f>
        <v>50</v>
      </c>
      <c r="Q18" s="28">
        <f>=SUM(Q19:Q23)</f>
        <v>50</v>
      </c>
      <c r="R18" s="28">
        <f>=SUM(R19:R23)</f>
        <v>48</v>
      </c>
      <c r="S18" s="28">
        <f>=SUM(S19:S23)</f>
        <v>47</v>
      </c>
      <c r="T18" s="28">
        <f>=SUM(T19:T23)</f>
        <v>49</v>
      </c>
      <c r="U18" s="28">
        <f>=SUM(U19:U23)</f>
        <v>63</v>
      </c>
      <c r="V18" s="28">
        <f>=SUM(V19:V23)</f>
        <v>59</v>
      </c>
      <c r="W18" s="28">
        <f>=SUM(W19:W23)</f>
        <v>52</v>
      </c>
      <c r="X18" s="28">
        <f>=SUM(X19:X23)</f>
        <v>50</v>
      </c>
      <c r="Y18" s="28">
        <f>=SUM(Y19:Y23)</f>
        <v>51</v>
      </c>
      <c r="Z18" s="28">
        <f>=SUM(Z19:Z23)</f>
        <v>46</v>
      </c>
      <c r="AA18" s="28">
        <f>=SUM(AA19:AA23)</f>
        <v>62</v>
      </c>
      <c r="AB18" s="28">
        <f>=SUM(AB19:AB23)</f>
        <v>60</v>
      </c>
      <c r="AC18" s="28">
        <f>=SUM(AC19:AC23)</f>
        <v>54</v>
      </c>
      <c r="AD18" s="28">
        <f>=SUM(AD19:AD23)</f>
        <v>53</v>
      </c>
      <c r="AE18" s="28">
        <f>=SUM(AE19:AE23)</f>
        <v>63</v>
      </c>
      <c r="AF18" s="28">
        <f>=SUM(AF19:AF23)</f>
        <v>63</v>
      </c>
      <c r="AG18" s="29">
        <f>=SUM(AG19:AG23)</f>
        <v>76</v>
      </c>
      <c r="AH18" s="28">
        <f>=SUM(AH19:AH23)</f>
        <v>73</v>
      </c>
      <c r="AI18" s="28">
        <f>=SUM(AI19:AI23)</f>
        <v>84</v>
      </c>
      <c r="AJ18" s="28">
        <f>=SUM(AJ19:AJ23)</f>
        <v>75</v>
      </c>
      <c r="AK18" s="28">
        <f>=SUM(AK19:AK23)</f>
        <v>86</v>
      </c>
      <c r="AL18" s="28">
        <f>=SUM(AL19:AL23)</f>
        <v>94</v>
      </c>
      <c r="AM18" s="28">
        <f>=SUM(AM19:AM23)</f>
        <v>90</v>
      </c>
      <c r="AN18" s="28">
        <f>=SUM(AN19:AN23)</f>
        <v>123</v>
      </c>
      <c r="AO18" s="28">
        <f>=SUM(AO19:AO23)</f>
        <v>138</v>
      </c>
      <c r="AP18" s="28">
        <f>=SUM(AP19:AP23)</f>
        <v>121</v>
      </c>
      <c r="AQ18" s="28">
        <f>=SUM(AQ19:AQ23)</f>
        <v>118</v>
      </c>
      <c r="AR18" s="28">
        <f>=SUM(AR19:AR23)</f>
        <v>131</v>
      </c>
      <c r="AS18" s="28">
        <f>=SUM(AS19:AS23)</f>
        <v>144</v>
      </c>
      <c r="AT18" s="28">
        <f>=SUM(AT19:AT23)</f>
        <v>167</v>
      </c>
      <c r="AU18" s="28">
        <f>=SUM(AU19:AU23)</f>
        <v>176</v>
      </c>
      <c r="AV18" s="28">
        <f>=SUM(AV19:AV23)</f>
        <v>173</v>
      </c>
      <c r="AW18" s="28">
        <f>=SUM(AW19:AW23)</f>
        <v>163</v>
      </c>
      <c r="AX18" s="28">
        <f>=SUM(AX19:AX23)</f>
        <v>160</v>
      </c>
      <c r="AY18" s="28">
        <f>=SUM(AY19:AY23)</f>
        <v>158</v>
      </c>
      <c r="AZ18" s="28">
        <f>=SUM(AZ19:AZ23)</f>
        <v>171</v>
      </c>
      <c r="BA18" s="28">
        <f>=SUM(BA19:BA23)</f>
        <v>170</v>
      </c>
      <c r="BB18" s="28">
        <f>=SUM(BB19:BB23)</f>
        <v>161</v>
      </c>
      <c r="BC18" s="28">
        <f>=SUM(BC19:BC23)</f>
        <v>148</v>
      </c>
      <c r="BD18" s="28">
        <f>=SUM(BD19:BD23)</f>
        <v>148</v>
      </c>
      <c r="BE18" s="28">
        <f>=SUM(BE19:BE23)</f>
        <v>139</v>
      </c>
      <c r="BF18" s="28">
        <f>=SUM(BF19:BF23)</f>
        <v>145</v>
      </c>
      <c r="BG18" s="28">
        <f>=SUM(BG19:BG23)</f>
        <v>147</v>
      </c>
      <c r="BH18" s="28">
        <f>=SUM(BH19:BH23)</f>
        <v>147</v>
      </c>
      <c r="BI18" s="28">
        <f>=SUM(BI19:BI23)</f>
        <v>146</v>
      </c>
      <c r="BJ18" s="28">
        <f>=SUM(BJ19:BJ23)</f>
        <v>140</v>
      </c>
      <c r="BK18" s="28">
        <f>=SUM(BK19:BK23)</f>
        <v>138</v>
      </c>
      <c r="BL18" s="28">
        <f>=SUM(BL19:BL23)</f>
        <v>136</v>
      </c>
      <c r="BM18" s="28">
        <f>=SUM(BM19:BM23)</f>
        <v>128</v>
      </c>
      <c r="BN18" s="28">
        <f>=SUM(BN19:BN23)</f>
        <v>131</v>
      </c>
      <c r="BO18" s="28">
        <f>=SUM(BO19:BO23)</f>
        <v>121</v>
      </c>
      <c r="BP18" s="28">
        <f>=SUM(BP19:BP23)</f>
        <v>118</v>
      </c>
      <c r="BQ18" s="28">
        <f>=SUM(BQ19:BQ23)</f>
        <v>123</v>
      </c>
      <c r="BR18" s="28">
        <f>=SUM(BR19:BR23)</f>
        <v>116</v>
      </c>
      <c r="BS18" s="28">
        <f>=SUM(BS19:BS23)</f>
        <v>110</v>
      </c>
      <c r="BT18" s="28">
        <f>=SUM(BT19:BT23)</f>
        <v>107</v>
      </c>
      <c r="BU18" s="28">
        <f>=SUM(BU19:BU23)</f>
        <v>108</v>
      </c>
      <c r="BV18" s="28">
        <f>=SUM(BV19:BV23)</f>
        <v>106</v>
      </c>
      <c r="BW18" s="28">
        <f>=SUM(BW19:BW23)</f>
        <v>104</v>
      </c>
      <c r="BX18" s="28">
        <f>=SUM(BX19:BX23)</f>
        <v>101</v>
      </c>
      <c r="BY18" s="28">
        <f>=SUM(BY19:BY23)</f>
        <v>96</v>
      </c>
      <c r="BZ18" s="28">
        <f>=SUM(BZ19:BZ23)</f>
        <v>94.8</v>
      </c>
      <c r="CA18" s="28">
        <f>=SUM(CA19:CA23)</f>
        <v>93.615</v>
      </c>
      <c r="CB18" s="28">
        <f>=SUM(CB19:CB23)</f>
        <v>92.4448125</v>
      </c>
      <c r="CC18" s="28">
        <f>=SUM(CC19:CC23)</f>
        <v>91.28925234375</v>
      </c>
      <c r="CD18" s="28">
        <f>=SUM(CD19:CD23)</f>
        <v>90.3763598203125</v>
      </c>
      <c r="CE18" s="28">
        <f>=SUM(CE19:CE23)</f>
        <v>89.47259622210936</v>
      </c>
      <c r="CF18" s="28">
        <f>=SUM(CF19:CF23)</f>
        <v>78.57787025988827</v>
      </c>
      <c r="CG18" s="28">
        <f>=SUM(CG19:CG23)</f>
        <v>77.79209155728941</v>
      </c>
      <c r="CH18" s="28">
        <f>=SUM(CH19:CH23)</f>
        <v>77.01417064171652</v>
      </c>
      <c r="CI18" s="28">
        <f>=SUM(CI19:CI23)</f>
        <v>76.05149350869507</v>
      </c>
      <c r="CJ18" s="28">
        <f>=SUM(CJ19:CJ23)</f>
        <v>75.10084983983639</v>
      </c>
      <c r="CK18" s="28">
        <f>=SUM(CK19:CK23)</f>
        <v>74.16208921683844</v>
      </c>
      <c r="CL18" s="28">
        <f>=SUM(CL19:CL23)</f>
        <v>73.23506310162796</v>
      </c>
      <c r="CM18" s="28">
        <f>=SUM(CM19:CM23)</f>
        <v>72.31962481285761</v>
      </c>
      <c r="CN18" s="28">
        <f>=SUM(CN19:CN23)</f>
        <v>71.41562950269689</v>
      </c>
      <c r="CO18" s="28">
        <f>=SUM(CO19:CO23)</f>
        <v>70.52293413391318</v>
      </c>
      <c r="CP18" s="28">
        <f>=SUM(CP19:CP23)</f>
        <v>69.64139745723926</v>
      </c>
      <c r="CQ18" s="28">
        <f>=SUM(CQ19:CQ23)</f>
        <v>68.94498348266687</v>
      </c>
      <c r="CR18" s="28">
        <f>=SUM(CR19:CR23)</f>
        <v>68.25553364784021</v>
      </c>
      <c r="CS18" s="28">
        <f>=SUM(CS19:CS23)</f>
        <v>67.57297831136181</v>
      </c>
      <c r="CT18" s="28">
        <f>=SUM(CT19:CT23)</f>
        <v>66.8972485282482</v>
      </c>
      <c r="CU18" s="28">
        <f>=SUM(CU19:CU23)</f>
        <v>66.22827604296572</v>
      </c>
      <c r="CV18" s="28">
        <f>=SUM(CV19:CV23)</f>
        <v>65.40042259242865</v>
      </c>
      <c r="CW18" s="28">
        <f>=SUM(CW19:CW23)</f>
        <v>64.58291731002329</v>
      </c>
      <c r="CX18" s="28">
        <f>=SUM(CX19:CX23)</f>
        <v>63.77563084364801</v>
      </c>
      <c r="CY18" s="28">
        <f>=SUM(CY19:CY23)</f>
        <v>62.97843545810241</v>
      </c>
      <c r="CZ18" s="28">
        <f>=SUM(CZ19:CZ23)</f>
        <v>62.19120501487613</v>
      </c>
      <c r="DA18" s="28">
        <f>=SUM(DA19:DA23)</f>
        <v>61.413814952190194</v>
      </c>
      <c r="DB18" s="28">
        <f>=SUM(DB19:DB23)</f>
        <v>60.646142265287814</v>
      </c>
    </row>
    <row r="19" spans="1:106" x14ac:dyDescent="0.25">
      <c r="A19" s="27" t="s">
        <v>253</v>
      </c>
      <c r="C19" s="28">
        <f>=IF(LEN(C82)=0,(44*(1-B41))-C81+C92+C121,(44-C81+C92+C121))</f>
        <v>50</v>
      </c>
      <c r="D19" s="28">
        <f>=IF(LEN(D82)=0,(C19*(1-C41))-D81+D92+D121,(C19-D81+D92+D121))</f>
        <v>50</v>
      </c>
      <c r="E19" s="28">
        <f>=IF(LEN(E82)=0,(D19*(1-D41))-E81+E92+E121,(D19-E81+E92+E121))</f>
        <v>51</v>
      </c>
      <c r="F19" s="28">
        <f>=IF(LEN(F82)=0,(E19*(1-E41))-F81+F92+F121,(E19-F81+F92+F121))</f>
        <v>48</v>
      </c>
      <c r="G19" s="28">
        <f>=IF(LEN(G82)=0,(F19*(1-F41))-G81+G92+G121,(F19-G81+G92+G121))</f>
        <v>49</v>
      </c>
      <c r="H19" s="28">
        <f>=IF(LEN(H82)=0,(G19*(1-G41))-H81+H92+H121,(G19-H81+H92+H121))</f>
        <v>44</v>
      </c>
      <c r="I19" s="28">
        <f>=IF(LEN(I82)=0,(H19*(1-H41))-I81+I92+I121,(H19-I81+I92+I121))</f>
        <v>56</v>
      </c>
      <c r="J19" s="28">
        <f>=IF(LEN(J82)=0,(I19*(1-I41))-J81+J92+J121,(I19-J81+J92+J121))</f>
        <v>57</v>
      </c>
      <c r="K19" s="28">
        <f>=IF(LEN(K82)=0,(J19*(1-J41))-K81+K92+K121,(J19-K81+K92+K121))</f>
        <v>56</v>
      </c>
      <c r="L19" s="28">
        <f>=IF(LEN(L82)=0,(K19*(1-K41))-L81+L92+L121,(K19-L81+L92+L121))</f>
        <v>54</v>
      </c>
      <c r="M19" s="28">
        <f>=IF(LEN(M82)=0,(L19*(1-L41))-M81+M92+M121,(L19-M81+M92+M121))</f>
        <v>52</v>
      </c>
      <c r="N19" s="28">
        <f>=IF(LEN(N82)=0,(M19*(1-M41))-N81+N92+N121,(M19-N81+N92+N121))</f>
        <v>54</v>
      </c>
      <c r="O19" s="28">
        <f>=IF(LEN(O82)=0,(N19*(1-N41))-O81+O92+O121,(N19-O81+O92+O121))</f>
        <v>51</v>
      </c>
      <c r="P19" s="28">
        <f>=IF(LEN(P82)=0,(O19*(1-O41))-P81+P92+P121,(O19-P81+P92+P121))</f>
        <v>50</v>
      </c>
      <c r="Q19" s="28">
        <f>=IF(LEN(Q82)=0,(P19*(1-P41))-Q81+Q92+Q121,(P19-Q81+Q92+Q121))</f>
        <v>50</v>
      </c>
      <c r="R19" s="28">
        <f>=IF(LEN(R82)=0,(Q19*(1-Q41))-R81+R92+R121,(Q19-R81+R92+R121))</f>
        <v>48</v>
      </c>
      <c r="S19" s="28">
        <f>=IF(LEN(S82)=0,(R19*(1-R41))-S81+S92+S121,(R19-S81+S92+S121))</f>
        <v>47</v>
      </c>
      <c r="T19" s="28">
        <f>=IF(LEN(T82)=0,(S19*(1-S41))-T81+T92+T121,(S19-T81+T92+T121))</f>
        <v>49</v>
      </c>
      <c r="U19" s="28">
        <f>=IF(LEN(U82)=0,(T19*(1-T41))-U81+U92+U121,(T19-U81+U92+U121))</f>
        <v>47</v>
      </c>
      <c r="V19" s="28">
        <f>=IF(LEN(V82)=0,(U19*(1-U41))-V81+V92+V121,(U19-V81+V92+V121))</f>
        <v>44</v>
      </c>
      <c r="W19" s="28">
        <f>=IF(LEN(W82)=0,(V19*(1-V41))-W81+W92+W121,(V19-W81+W92+W121))</f>
        <v>40</v>
      </c>
      <c r="X19" s="28">
        <f>=IF(LEN(X82)=0,(W19*(1-W41))-X81+X92+X121,(W19-X81+X92+X121))</f>
        <v>39</v>
      </c>
      <c r="Y19" s="28">
        <f>=IF(LEN(Y82)=0,(X19*(1-X41))-Y81+Y92+Y121,(X19-Y81+Y92+Y121))</f>
        <v>42</v>
      </c>
      <c r="Z19" s="28">
        <f>=IF(LEN(Z82)=0,(Y19*(1-Y41))-Z81+Z92+Z121,(Y19-Z81+Z92+Z121))</f>
        <v>37</v>
      </c>
      <c r="AA19" s="28">
        <f>=IF(LEN(AA82)=0,(Z19*(1-Z41))-AA81+AA92+AA121,(Z19-AA81+AA92+AA121))</f>
        <v>48</v>
      </c>
      <c r="AB19" s="28">
        <f>=IF(LEN(AB82)=0,(AA19*(1-AA41))-AB81+AB92+AB121,(AA19-AB81+AB92+AB121))</f>
        <v>46</v>
      </c>
      <c r="AC19" s="28">
        <f>=IF(LEN(AC82)=0,(AB19*(1-AB41))-AC81+AC92+AC121,(AB19-AC81+AC92+AC121))</f>
        <v>40</v>
      </c>
      <c r="AD19" s="28">
        <f>=IF(LEN(AD82)=0,(AC19*(1-AC41))-AD81+AD92+AD121,(AC19-AD81+AD92+AD121))</f>
        <v>39</v>
      </c>
      <c r="AE19" s="28">
        <f>=IF(LEN(AE82)=0,(AD19*(1-AD41))-AE81+AE92+AE121,(AD19-AE81+AE92+AE121))</f>
        <v>36</v>
      </c>
      <c r="AF19" s="28">
        <f>=IF(LEN(AF82)=0,(AE19*(1-AE41))-AF81+AF92+AF121,(AE19-AF81+AF92+AF121))</f>
        <v>37</v>
      </c>
      <c r="AG19" s="28">
        <f>=IF(LEN(AG82)=0,(AF19*(1-AF41))-AG81+AG92+AG121,(AF19-AG81+AG92+AG121))</f>
        <v>49</v>
      </c>
      <c r="AH19" s="28">
        <f>=IF(LEN(AH82)=0,(AG19*(1-AG41))-AH81+AH92+AH121,(AG19-AH81+AH92+AH121))</f>
        <v>48</v>
      </c>
      <c r="AI19" s="28">
        <f>=IF(LEN(AI82)=0,(AH19*(1-AH41))-AI81+AI92+AI121,(AH19-AI81+AI92+AI121))</f>
        <v>46</v>
      </c>
      <c r="AJ19" s="28">
        <f>=IF(LEN(AJ82)=0,(AI19*(1-AI41))-AJ81+AJ92+AJ121,(AI19-AJ81+AJ92+AJ121))</f>
        <v>43</v>
      </c>
      <c r="AK19" s="28">
        <f>=IF(LEN(AK82)=0,(AJ19*(1-AJ41))-AK81+AK92+AK121,(AJ19-AK81+AK92+AK121))</f>
        <v>54</v>
      </c>
      <c r="AL19" s="28">
        <f>=IF(LEN(AL82)=0,(AK19*(1-AK41))-AL81+AL92+AL121,(AK19-AL81+AL92+AL121))</f>
        <v>54</v>
      </c>
      <c r="AM19" s="28">
        <f>=IF(LEN(AM82)=0,(AL19*(1-AL41))-AM81+AM92+AM121,(AL19-AM81+AM92+AM121))</f>
        <v>61</v>
      </c>
      <c r="AN19" s="28">
        <f>=IF(LEN(AN82)=0,(AM19*(1-AM41))-AN81+AN92+AN121,(AM19-AN81+AN92+AN121))</f>
        <v>61</v>
      </c>
      <c r="AO19" s="28">
        <f>=IF(LEN(AO82)=0,(AN19*(1-AN41))-AO81+AO92+AO121,(AN19-AO81+AO92+AO121))</f>
        <v>68</v>
      </c>
      <c r="AP19" s="28">
        <f>=IF(LEN(AP82)=0,(AO19*(1-AO41))-AP81+AP92+AP121,(AO19-AP81+AP92+AP121))</f>
        <v>61</v>
      </c>
      <c r="AQ19" s="28">
        <f>=IF(LEN(AQ82)=0,(AP19*(1-AP41))-AQ81+AQ92+AQ121,(AP19-AQ81+AQ92+AQ121))</f>
        <v>69</v>
      </c>
      <c r="AR19" s="28">
        <f>=IF(LEN(AR82)=0,(AQ19*(1-AQ41))-AR81+AR92+AR121,(AQ19-AR81+AR92+AR121))</f>
        <v>75</v>
      </c>
      <c r="AS19" s="28">
        <f>=IF(LEN(AS82)=0,(AR19*(1-AR41))-AS81+AS92+AS121,(AR19-AS81+AS92+AS121))</f>
        <v>75</v>
      </c>
      <c r="AT19" s="28">
        <f>=IF(LEN(AT82)=0,(AS19*(1-AS41))-AT81+AT92+AT121,(AS19-AT81+AT92+AT121))</f>
        <v>96</v>
      </c>
      <c r="AU19" s="28">
        <f>=IF(LEN(AU82)=0,(AT19*(1-AT41))-AU81+AU92+AU121,(AT19-AU81+AU92+AU121))</f>
        <v>107</v>
      </c>
      <c r="AV19" s="28">
        <f>=IF(LEN(AV82)=0,(AU19*(1-AU41))-AV81+AV92+AV121,(AU19-AV81+AV92+AV121))</f>
        <v>104</v>
      </c>
      <c r="AW19" s="28">
        <f>=IF(LEN(AW82)=0,(AV19*(1-AV41))-AW81+AW92+AW121,(AV19-AW81+AW92+AW121))</f>
        <v>101</v>
      </c>
      <c r="AX19" s="28">
        <f>=IF(LEN(AX82)=0,(AW19*(1-AW41))-AX81+AX92+AX121,(AW19-AX81+AX92+AX121))</f>
        <v>115</v>
      </c>
      <c r="AY19" s="28">
        <f>=IF(LEN(AY82)=0,(AX19*(1-AX41))-AY81+AY92+AY121,(AX19-AY81+AY92+AY121))</f>
        <v>127</v>
      </c>
      <c r="AZ19" s="28">
        <f>=IF(LEN(AZ82)=0,(AY19*(1-AY41))-AZ81+AZ92+AZ121,(AY19-AZ81+AZ92+AZ121))</f>
        <v>148</v>
      </c>
      <c r="BA19" s="28">
        <f>=IF(LEN(BA82)=0,(AZ19*(1-AZ41))-BA81+BA92+BA121,(AZ19-BA81+BA92+BA121))</f>
        <v>155</v>
      </c>
      <c r="BB19" s="28">
        <f>=IF(LEN(BB82)=0,(BA19*(1-BA41))-BB81+BB92+BB121,(BA19-BB81+BB92+BB121))</f>
        <v>146</v>
      </c>
      <c r="BC19" s="28">
        <f>=IF(LEN(BC82)=0,(BB19*(1-BB41))-BC81+BC92+BC121,(BB19-BC81+BC92+BC121))</f>
        <v>133</v>
      </c>
      <c r="BD19" s="28">
        <f>=IF(LEN(BD82)=0,(BC19*(1-BC41))-BD81+BD92+BD121,(BC19-BD81+BD92+BD121))</f>
        <v>133</v>
      </c>
      <c r="BE19" s="28">
        <f>=IF(LEN(BE82)=0,(BD19*(1-BD41))-BE81+BE92+BE121,(BD19-BE81+BE92+BE121))</f>
        <v>126</v>
      </c>
      <c r="BF19" s="28">
        <f>=IF(LEN(BF82)=0,(BE19*(1-BE41))-BF81+BF92+BF121,(BE19-BF81+BF92+BF121))</f>
        <v>145</v>
      </c>
      <c r="BG19" s="28">
        <f>=IF(LEN(BG82)=0,(BF19*(1-BF41))-BG81+BG92+BG121,(BF19-BG81+BG92+BG121))</f>
        <v>147</v>
      </c>
      <c r="BH19" s="28">
        <f>=IF(LEN(BH82)=0,(BG19*(1-BG41))-BH81+BH92+BH121,(BG19-BH81+BH92+BH121))</f>
        <v>147</v>
      </c>
      <c r="BI19" s="28">
        <f>=IF(LEN(BI82)=0,(BH19*(1-BH41))-BI81+BI92+BI121,(BH19-BI81+BI92+BI121))</f>
        <v>146</v>
      </c>
      <c r="BJ19" s="28">
        <f>=IF(LEN(BJ82)=0,(BI19*(1-BI41))-BJ81+BJ92+BJ121,(BI19-BJ81+BJ92+BJ121))</f>
        <v>140</v>
      </c>
      <c r="BK19" s="28">
        <f>=IF(LEN(BK82)=0,(BJ19*(1-BJ41))-BK81+BK92+BK121,(BJ19-BK81+BK92+BK121))</f>
        <v>138</v>
      </c>
      <c r="BL19" s="28">
        <f>=IF(LEN(BL82)=0,(BK19*(1-BK41))-BL81+BL92+BL121,(BK19-BL81+BL92+BL121))</f>
        <v>136</v>
      </c>
      <c r="BM19" s="28">
        <f>=IF(LEN(BM82)=0,(BL19*(1-BL41))-BM81+BM92+BM121,(BL19-BM81+BM92+BM121))</f>
        <v>128</v>
      </c>
      <c r="BN19" s="28">
        <f>=IF(LEN(BN82)=0,(BM19*(1-BM41))-BN81+BN92+BN121,(BM19-BN81+BN92+BN121))</f>
        <v>131</v>
      </c>
      <c r="BO19" s="28">
        <f>=IF(LEN(BO82)=0,(BN19*(1-BN41))-BO81+BO92+BO121,(BN19-BO81+BO92+BO121))</f>
        <v>121</v>
      </c>
      <c r="BP19" s="28">
        <f>=IF(LEN(BP82)=0,(BO19*(1-BO41))-BP81+BP92+BP121,(BO19-BP81+BP92+BP121))</f>
        <v>118</v>
      </c>
      <c r="BQ19" s="28">
        <f>=IF(LEN(BQ82)=0,(BP19*(1-BP41))-BQ81+BQ92+BQ121,(BP19-BQ81+BQ92+BQ121))</f>
        <v>123</v>
      </c>
      <c r="BR19" s="28">
        <f>=IF(LEN(BR82)=0,(BQ19*(1-BQ41))-BR81+BR92+BR121,(BQ19-BR81+BR92+BR121))</f>
        <v>116</v>
      </c>
      <c r="BS19" s="28">
        <f>=IF(LEN(BS82)=0,(BR19*(1-BR41))-BS81+BS92+BS121,(BR19-BS81+BS92+BS121))</f>
        <v>110</v>
      </c>
      <c r="BT19" s="28">
        <f>=IF(LEN(BT82)=0,(BS19*(1-BS41))-BT81+BT92+BT121,(BS19-BT81+BT92+BT121))</f>
        <v>107</v>
      </c>
      <c r="BU19" s="28">
        <f>=IF(LEN(BU82)=0,(BT19*(1-BT41))-BU81+BU92+BU121,(BT19-BU81+BU92+BU121))</f>
        <v>108</v>
      </c>
      <c r="BV19" s="28">
        <f>=IF(LEN(BV82)=0,(BU19*(1-BU41))-BV81+BV92+BV121,(BU19-BV81+BV92+BV121))</f>
        <v>106</v>
      </c>
      <c r="BW19" s="28">
        <f>=IF(LEN(BW82)=0,(BV19*(1-BV41))-BW81+BW92+BW121,(BV19-BW81+BW92+BW121))</f>
        <v>104</v>
      </c>
      <c r="BX19" s="28">
        <f>=IF(LEN(BX82)=0,(BW19*(1-BW41))-BX81+BX92+BX121,(BW19-BX81+BX92+BX121))</f>
        <v>101</v>
      </c>
      <c r="BY19" s="28">
        <f>=IF(LEN(BY82)=0,(BX19*(1-BX41))-BY81+BY92+BY121,(BX19-BY81+BY92+BY121))</f>
        <v>96</v>
      </c>
      <c r="BZ19" s="28">
        <f>=IF(LEN(BZ82)=0,(BY19*(1-BY41))-BZ81+BZ92+BZ121,(BY19-BZ81+BZ92+BZ121))</f>
        <v>94.8</v>
      </c>
      <c r="CA19" s="28">
        <f>=IF(LEN(CA82)=0,(BZ19*(1-BZ41))-CA81+CA92+CA121,(BZ19-CA81+CA92+CA121))</f>
        <v>93.615</v>
      </c>
      <c r="CB19" s="28">
        <f>=IF(LEN(CB82)=0,(CA19*(1-CA41))-CB81+CB92+CB121,(CA19-CB81+CB92+CB121))</f>
        <v>92.4448125</v>
      </c>
      <c r="CC19" s="28">
        <f>=IF(LEN(CC82)=0,(CB19*(1-CB41))-CC81+CC92+CC121,(CB19-CC81+CC92+CC121))</f>
        <v>91.28925234375</v>
      </c>
      <c r="CD19" s="28">
        <f>=IF(LEN(CD82)=0,(CC19*(1-CC41))-CD81+CD92+CD121,(CC19-CD81+CD92+CD121))</f>
        <v>90.3763598203125</v>
      </c>
      <c r="CE19" s="28">
        <f>=IF(LEN(CE82)=0,(CD19*(1-CD41))-CE81+CE92+CE121,(CD19-CE81+CE92+CE121))</f>
        <v>89.47259622210936</v>
      </c>
      <c r="CF19" s="28">
        <f>=IF(LEN(CF82)=0,(CE19*(1-CE41))-CF81+CF92+CF121,(CE19-CF81+CF92+CF121))</f>
        <v>78.57787025988827</v>
      </c>
      <c r="CG19" s="28">
        <f>=IF(LEN(CG82)=0,(CF19*(1-CF41))-CG81+CG92+CG121,(CF19-CG81+CG92+CG121))</f>
        <v>77.79209155728941</v>
      </c>
      <c r="CH19" s="28">
        <f>=IF(LEN(CH82)=0,(CG19*(1-CG41))-CH81+CH92+CH121,(CG19-CH81+CH92+CH121))</f>
        <v>77.01417064171652</v>
      </c>
      <c r="CI19" s="28">
        <f>=IF(LEN(CI82)=0,(CH19*(1-CH41))-CI81+CI92+CI121,(CH19-CI81+CI92+CI121))</f>
        <v>76.05149350869507</v>
      </c>
      <c r="CJ19" s="28">
        <f>=IF(LEN(CJ82)=0,(CI19*(1-CI41))-CJ81+CJ92+CJ121,(CI19-CJ81+CJ92+CJ121))</f>
        <v>75.10084983983639</v>
      </c>
      <c r="CK19" s="28">
        <f>=IF(LEN(CK82)=0,(CJ19*(1-CJ41))-CK81+CK92+CK121,(CJ19-CK81+CK92+CK121))</f>
        <v>74.16208921683844</v>
      </c>
      <c r="CL19" s="28">
        <f>=IF(LEN(CL82)=0,(CK19*(1-CK41))-CL81+CL92+CL121,(CK19-CL81+CL92+CL121))</f>
        <v>73.23506310162796</v>
      </c>
      <c r="CM19" s="28">
        <f>=IF(LEN(CM82)=0,(CL19*(1-CL41))-CM81+CM92+CM121,(CL19-CM81+CM92+CM121))</f>
        <v>72.31962481285761</v>
      </c>
      <c r="CN19" s="28">
        <f>=IF(LEN(CN82)=0,(CM19*(1-CM41))-CN81+CN92+CN121,(CM19-CN81+CN92+CN121))</f>
        <v>71.41562950269689</v>
      </c>
      <c r="CO19" s="28">
        <f>=IF(LEN(CO82)=0,(CN19*(1-CN41))-CO81+CO92+CO121,(CN19-CO81+CO92+CO121))</f>
        <v>70.52293413391318</v>
      </c>
      <c r="CP19" s="28">
        <f>=IF(LEN(CP82)=0,(CO19*(1-CO41))-CP81+CP92+CP121,(CO19-CP81+CP92+CP121))</f>
        <v>69.64139745723926</v>
      </c>
      <c r="CQ19" s="28">
        <f>=IF(LEN(CQ82)=0,(CP19*(1-CP41))-CQ81+CQ92+CQ121,(CP19-CQ81+CQ92+CQ121))</f>
        <v>68.94498348266687</v>
      </c>
      <c r="CR19" s="28">
        <f>=IF(LEN(CR82)=0,(CQ19*(1-CQ41))-CR81+CR92+CR121,(CQ19-CR81+CR92+CR121))</f>
        <v>68.25553364784021</v>
      </c>
      <c r="CS19" s="28">
        <f>=IF(LEN(CS82)=0,(CR19*(1-CR41))-CS81+CS92+CS121,(CR19-CS81+CS92+CS121))</f>
        <v>67.57297831136181</v>
      </c>
      <c r="CT19" s="28">
        <f>=IF(LEN(CT82)=0,(CS19*(1-CS41))-CT81+CT92+CT121,(CS19-CT81+CT92+CT121))</f>
        <v>66.8972485282482</v>
      </c>
      <c r="CU19" s="28">
        <f>=IF(LEN(CU82)=0,(CT19*(1-CT41))-CU81+CU92+CU121,(CT19-CU81+CU92+CU121))</f>
        <v>66.22827604296572</v>
      </c>
      <c r="CV19" s="28">
        <f>=IF(LEN(CV82)=0,(CU19*(1-CU41))-CV81+CV92+CV121,(CU19-CV81+CV92+CV121))</f>
        <v>65.40042259242865</v>
      </c>
      <c r="CW19" s="28">
        <f>=IF(LEN(CW82)=0,(CV19*(1-CV41))-CW81+CW92+CW121,(CV19-CW81+CW92+CW121))</f>
        <v>64.58291731002329</v>
      </c>
      <c r="CX19" s="28">
        <f>=IF(LEN(CX82)=0,(CW19*(1-CW41))-CX81+CX92+CX121,(CW19-CX81+CX92+CX121))</f>
        <v>63.77563084364801</v>
      </c>
      <c r="CY19" s="28">
        <f>=IF(LEN(CY82)=0,(CX19*(1-CX41))-CY81+CY92+CY121,(CX19-CY81+CY92+CY121))</f>
        <v>62.97843545810241</v>
      </c>
      <c r="CZ19" s="28">
        <f>=IF(LEN(CZ82)=0,(CY19*(1-CY41))-CZ81+CZ92+CZ121,(CY19-CZ81+CZ92+CZ121))</f>
        <v>62.19120501487613</v>
      </c>
      <c r="DA19" s="28">
        <f>=IF(LEN(DA82)=0,(CZ19*(1-CZ41))-DA81+DA92+DA121,(CZ19-DA81+DA92+DA121))</f>
        <v>61.413814952190194</v>
      </c>
      <c r="DB19" s="28">
        <f>=IF(LEN(DB82)=0,(DA19*(1-DA41))-DB81+DB92+DB121,(DA19-DB81+DB92+DB121))</f>
        <v>60.646142265287814</v>
      </c>
    </row>
    <row r="20" ht="18" customHeight="1" spans="1:106" x14ac:dyDescent="0.25">
      <c r="A20" s="27" t="s">
        <v>254</v>
      </c>
      <c r="C20" s="28">
        <f>=SUM(C112:C114)</f>
        <v>0</v>
      </c>
      <c r="D20" s="28">
        <f>=SUM(D112:D114)</f>
        <v>14</v>
      </c>
      <c r="E20" s="28">
        <f>=SUM(E112:E114)</f>
        <v>14</v>
      </c>
      <c r="F20" s="28">
        <f>=SUM(F112:F114)</f>
        <v>0</v>
      </c>
      <c r="G20" s="28">
        <f>=SUM(G112:G114)</f>
        <v>0</v>
      </c>
      <c r="H20" s="28">
        <f>=SUM(H112:H114)</f>
        <v>0</v>
      </c>
      <c r="I20" s="28">
        <f>=SUM(I112:I114)</f>
        <v>0</v>
      </c>
      <c r="J20" s="28">
        <f>=SUM(J112:J114)</f>
        <v>0</v>
      </c>
      <c r="K20" s="28">
        <f>=SUM(K112:K114)</f>
        <v>0</v>
      </c>
      <c r="L20" s="28">
        <f>=SUM(L112:L114)</f>
        <v>0</v>
      </c>
      <c r="M20" s="28">
        <f>=SUM(M112:M114)</f>
        <v>0</v>
      </c>
      <c r="N20" s="28">
        <f>=SUM(N112:N114)</f>
        <v>0</v>
      </c>
      <c r="O20" s="28">
        <f>=SUM(O112:O114)</f>
        <v>0</v>
      </c>
      <c r="P20" s="28">
        <f>=SUM(P112:P114)</f>
        <v>0</v>
      </c>
      <c r="Q20" s="28">
        <f>=SUM(Q112:Q114)</f>
        <v>0</v>
      </c>
      <c r="R20" s="28">
        <f>=SUM(R112:R114)</f>
        <v>0</v>
      </c>
      <c r="S20" s="28">
        <f>=SUM(S112:S114)</f>
        <v>0</v>
      </c>
      <c r="T20" s="28">
        <f>=SUM(T112:T114)</f>
        <v>0</v>
      </c>
      <c r="U20" s="28">
        <f>=U112+U113+U114+U119</f>
        <v>16</v>
      </c>
      <c r="V20" s="28">
        <f>=V112+V113+V114+V119</f>
        <v>15</v>
      </c>
      <c r="W20" s="28">
        <f>=W112+W113+W114+W119</f>
        <v>0</v>
      </c>
      <c r="X20" s="28">
        <f>=X112+X113+X114+X119</f>
        <v>0</v>
      </c>
      <c r="Y20" s="28">
        <f>=Y112+Y113+Y114+Y119</f>
        <v>9</v>
      </c>
      <c r="Z20" s="28">
        <f>=Z112+Z113+Z114+Z119</f>
        <v>0</v>
      </c>
      <c r="AA20" s="28">
        <f>=AA112+AA113+AA114+AA119</f>
        <v>14</v>
      </c>
      <c r="AB20" s="28">
        <f>=AB112+AB113+AB114+AB119</f>
        <v>14</v>
      </c>
      <c r="AC20" s="28">
        <f>=AC112+AC113+AC114+AC119</f>
        <v>0</v>
      </c>
      <c r="AD20" s="28">
        <f>=AD112+AD113+AD114+AD119</f>
        <v>0</v>
      </c>
      <c r="AE20" s="28">
        <f>=AE112+AE113+AE114+AE119</f>
        <v>27</v>
      </c>
      <c r="AF20" s="28">
        <f>=AF112+AF113+AF114+AF119</f>
        <v>13</v>
      </c>
      <c r="AG20" s="28">
        <f>=AG112+AG113+AG114+AG119</f>
        <v>14</v>
      </c>
      <c r="AH20" s="28">
        <f>=AH112+AH113+AH114+AH119</f>
        <v>12</v>
      </c>
      <c r="AI20" s="28">
        <f>=AI112+AI113+AI114+AI119</f>
        <v>26.48</v>
      </c>
      <c r="AJ20" s="28">
        <f>=AJ112+AJ113+AJ114+AJ119</f>
        <v>11</v>
      </c>
      <c r="AK20" s="28">
        <f>=AK112+AK113+AK114+AK119</f>
        <v>20</v>
      </c>
      <c r="AL20" s="28">
        <f>=AL112+AL113+AL114+AL119</f>
        <v>23</v>
      </c>
      <c r="AM20" s="28">
        <f>=AM112+AM113+AM114+AM119</f>
        <v>23</v>
      </c>
      <c r="AN20" s="28">
        <f>=AN112+AN113+AN114+AN119</f>
        <v>30</v>
      </c>
      <c r="AO20" s="28">
        <f>=AO112+AO113+AO114+AO119</f>
        <v>57</v>
      </c>
      <c r="AP20" s="28">
        <f>=AP112+AP113+AP114+AP119</f>
        <v>25</v>
      </c>
      <c r="AQ20" s="28">
        <f>=AQ112+AQ113+AQ114+AQ119</f>
        <v>0</v>
      </c>
      <c r="AR20" s="28">
        <f>=AR112+AR113+AR114+AR119</f>
        <v>41</v>
      </c>
      <c r="AS20" s="28">
        <f>=AS112+AS113+AS114+AS119</f>
        <v>45</v>
      </c>
      <c r="AT20" s="28">
        <f>=AT112+AT113+AT114+AT119</f>
        <v>43</v>
      </c>
      <c r="AU20" s="28">
        <f>=AU112+AU113+AU114+AU119</f>
        <v>39</v>
      </c>
      <c r="AV20" s="28">
        <f>=AV112+AV113+AV114+AV119</f>
        <v>27</v>
      </c>
      <c r="AW20" s="28">
        <f>=AW112+AW113+AW114+AW119</f>
        <v>13</v>
      </c>
      <c r="AX20" s="28">
        <f>=AX112+AX113+AX114+AX119</f>
        <v>22</v>
      </c>
      <c r="AY20" s="28">
        <f>=AY112+AY113+AY114+AY119</f>
        <v>11</v>
      </c>
      <c r="AZ20" s="28">
        <f>=AZ112+AZ113+AZ114+AZ119</f>
        <v>14</v>
      </c>
      <c r="BA20" s="28">
        <f>=BA112+BA113+BA114+BA119</f>
        <v>15</v>
      </c>
      <c r="BB20" s="28">
        <f>=BB112+BB113+BB114+BB119</f>
        <v>0</v>
      </c>
      <c r="BC20" s="28">
        <f>=BC112+BC113+BC114+BC119</f>
        <v>0</v>
      </c>
      <c r="BD20" s="28">
        <f>=BD112+BD113+BD114+BD119</f>
        <v>15</v>
      </c>
      <c r="BE20" s="28">
        <f>=BE112+BE113+BE114+BE119</f>
        <v>0</v>
      </c>
      <c r="BF20" s="28">
        <f>=BF112+BF113+BF114+BF119</f>
        <v>0</v>
      </c>
      <c r="BG20" s="28">
        <f>=BG112+BG113+BG114+BG119</f>
        <v>0</v>
      </c>
      <c r="BH20" s="28">
        <f>=BH112+BH113+BH114+BH119</f>
        <v>0</v>
      </c>
      <c r="BI20" s="28">
        <f>=BI112+BI113+BI114+BI119</f>
        <v>0</v>
      </c>
      <c r="BJ20" s="28">
        <f>=BJ112+BJ113+BJ114+BJ119</f>
        <v>0</v>
      </c>
      <c r="BK20" s="28">
        <f>=BK112+BK113+BK114+BK119</f>
        <v>0</v>
      </c>
      <c r="BL20" s="28">
        <f>=BL112+BL113+BL114+BL119</f>
        <v>0</v>
      </c>
      <c r="BM20" s="28">
        <f>=BM112+BM113+BM114+BM119</f>
        <v>0</v>
      </c>
      <c r="BN20" s="28">
        <f>=BN112+BN113+BN114+BN119</f>
        <v>0</v>
      </c>
      <c r="BO20" s="28">
        <f>=BO112+BO113+BO114+BO119</f>
        <v>0</v>
      </c>
      <c r="BP20" s="28">
        <f>=BP112+BP113+BP114+BP119</f>
        <v>0</v>
      </c>
      <c r="BQ20" s="28">
        <f>=BQ112+BQ113+BQ114+BQ119</f>
        <v>0</v>
      </c>
      <c r="BR20" s="28">
        <f>=BR112+BR113+BR114+BR119</f>
        <v>0</v>
      </c>
      <c r="BS20" s="28">
        <f>=BS112+BS113+BS114+BS119</f>
        <v>0</v>
      </c>
      <c r="BT20" s="28">
        <f>=BT112+BT113+BT114+BT119</f>
        <v>0</v>
      </c>
      <c r="BU20" s="28">
        <f>=BU112+BU113+BU114+BU119</f>
        <v>0</v>
      </c>
      <c r="BV20" s="28">
        <f>=BV112+BV113+BV114+BV119</f>
        <v>0</v>
      </c>
      <c r="BW20" s="28">
        <f>=BW112+BW113+BW114+BW119</f>
        <v>0</v>
      </c>
      <c r="BX20" s="28">
        <f>=SUM(BX112:BX114)+BX119</f>
        <v>0</v>
      </c>
      <c r="BY20" s="28">
        <f>=SUM(BY112:BY114)+BY119</f>
        <v>0</v>
      </c>
      <c r="BZ20" s="28">
        <f>=SUM(BZ112:BZ114)+BZ119</f>
        <v>0</v>
      </c>
      <c r="CA20" s="28">
        <f>=SUM(CA112:CA114)+CA119</f>
        <v>0</v>
      </c>
      <c r="CB20" s="28">
        <f>=SUM(CB112:CB114)+CB119</f>
        <v>0</v>
      </c>
      <c r="CC20" s="28">
        <f>=SUM(CC112:CC114)+CC119</f>
        <v>0</v>
      </c>
      <c r="CD20" s="28">
        <f>=SUM(CD112:CD114)+CD119</f>
        <v>0</v>
      </c>
      <c r="CE20" s="28">
        <f>=SUM(CE112:CE114)+CE119</f>
        <v>0</v>
      </c>
      <c r="CF20" s="28">
        <f>=SUM(CF112:CF114)+CF119</f>
        <v>0</v>
      </c>
      <c r="CG20" s="28">
        <f>=SUM(CG112:CG114)+CG119</f>
        <v>0</v>
      </c>
      <c r="CH20" s="28">
        <f>=SUM(CH112:CH114)+CH119</f>
        <v>0</v>
      </c>
      <c r="CI20" s="28">
        <f>=SUM(CI112:CI114)+CI119</f>
        <v>0</v>
      </c>
      <c r="CJ20" s="28">
        <f>=SUM(CJ112:CJ114)+CJ119</f>
        <v>0</v>
      </c>
      <c r="CK20" s="28">
        <f>=SUM(CK112:CK114)+CK119</f>
        <v>0</v>
      </c>
      <c r="CL20" s="28">
        <f>=SUM(CL112:CL114)+CL119</f>
        <v>0</v>
      </c>
      <c r="CM20" s="28">
        <f>=SUM(CM112:CM114)+CM119</f>
        <v>0</v>
      </c>
      <c r="CN20" s="28">
        <f>=SUM(CN112:CN114)+CN119</f>
        <v>0</v>
      </c>
      <c r="CO20" s="28">
        <f>=SUM(CO112:CO114)+CO119</f>
        <v>0</v>
      </c>
      <c r="CP20" s="28">
        <f>=SUM(CP112:CP114)+CP119</f>
        <v>0</v>
      </c>
      <c r="CQ20" s="28">
        <f>=SUM(CQ112:CQ114)+CQ119</f>
        <v>0</v>
      </c>
      <c r="CR20" s="28">
        <f>=SUM(CR112:CR114)+CR119</f>
        <v>0</v>
      </c>
      <c r="CS20" s="28">
        <f>=SUM(CS112:CS114)+CS119</f>
        <v>0</v>
      </c>
      <c r="CT20" s="28">
        <f>=SUM(CT112:CT114)+CT119</f>
        <v>0</v>
      </c>
      <c r="CU20" s="28">
        <f>=SUM(CU112:CU114)+CU119</f>
        <v>0</v>
      </c>
      <c r="CV20" s="28">
        <f>=SUM(CV112:CV114)+CV119</f>
        <v>0</v>
      </c>
      <c r="CW20" s="28">
        <f>=SUM(CW112:CW114)+CW119</f>
        <v>0</v>
      </c>
      <c r="CX20" s="28">
        <f>=SUM(CX112:CX114)+CX119</f>
        <v>0</v>
      </c>
      <c r="CY20" s="28">
        <f>=SUM(CY112:CY114)+CY119</f>
        <v>0</v>
      </c>
      <c r="CZ20" s="28">
        <f>=SUM(CZ112:CZ114)+CZ119</f>
        <v>0</v>
      </c>
      <c r="DA20" s="28">
        <f>=SUM(DA112:DA114)+DA119</f>
        <v>0</v>
      </c>
      <c r="DB20" s="28">
        <f>=SUM(DB112:DB114)+DB119</f>
        <v>0</v>
      </c>
    </row>
    <row r="21" spans="1:106" x14ac:dyDescent="0.25">
      <c r="A21" s="27" t="s">
        <v>255</v>
      </c>
      <c r="C21" s="28">
        <f>=SUM(C115:C116)</f>
        <v>0</v>
      </c>
      <c r="D21" s="28">
        <f>=SUM(D115:D116)</f>
        <v>0</v>
      </c>
      <c r="E21" s="28">
        <f>=SUM(E115:E116)</f>
        <v>0</v>
      </c>
      <c r="F21" s="28">
        <f>=SUM(F115:F116)</f>
        <v>0</v>
      </c>
      <c r="G21" s="28">
        <f>=SUM(G115:G116)</f>
        <v>0</v>
      </c>
      <c r="H21" s="28">
        <f>=SUM(H115:H116)</f>
        <v>0</v>
      </c>
      <c r="I21" s="28">
        <f>=SUM(I115:I116)</f>
        <v>0</v>
      </c>
      <c r="J21" s="28">
        <f>=SUM(J115:J116)</f>
        <v>0</v>
      </c>
      <c r="K21" s="28">
        <f>=SUM(K115:K116)</f>
        <v>0</v>
      </c>
      <c r="L21" s="28">
        <f>=SUM(L115:L116)</f>
        <v>0</v>
      </c>
      <c r="M21" s="28">
        <f>=SUM(M115:M116)</f>
        <v>0</v>
      </c>
      <c r="N21" s="28">
        <f>=SUM(N115:N116)</f>
        <v>0</v>
      </c>
      <c r="O21" s="28">
        <f>=SUM(O115:O116)</f>
        <v>0</v>
      </c>
      <c r="P21" s="28">
        <f>=SUM(P115:P116)</f>
        <v>0</v>
      </c>
      <c r="Q21" s="28">
        <f>=SUM(Q115:Q116)</f>
        <v>0</v>
      </c>
      <c r="R21" s="28">
        <f>=SUM(R115:R116)</f>
        <v>0</v>
      </c>
      <c r="S21" s="28">
        <f>=SUM(S115:S116)</f>
        <v>0</v>
      </c>
      <c r="T21" s="28">
        <f>=SUM(T115:T116)</f>
        <v>0</v>
      </c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0"/>
      <c r="CO21" s="30"/>
      <c r="CP21" s="30"/>
      <c r="CQ21" s="30"/>
      <c r="CR21" s="30"/>
      <c r="CS21" s="30"/>
      <c r="CT21" s="30"/>
      <c r="CU21" s="30"/>
      <c r="CV21" s="30"/>
      <c r="CW21" s="30"/>
      <c r="CX21" s="30"/>
      <c r="CY21" s="30"/>
      <c r="CZ21" s="30"/>
      <c r="DA21" s="30"/>
      <c r="DB21" s="30"/>
    </row>
    <row r="22" ht="18" customHeight="1" spans="1:106" x14ac:dyDescent="0.25">
      <c r="A22" s="27" t="s">
        <v>256</v>
      </c>
      <c r="C22" s="28">
        <f>=SUM(C117:C118)</f>
        <v>4</v>
      </c>
      <c r="D22" s="28">
        <f>=SUM(D117:D118)</f>
        <v>0</v>
      </c>
      <c r="E22" s="28">
        <f>=SUM(E117:E118)</f>
        <v>0</v>
      </c>
      <c r="F22" s="28">
        <f>=SUM(F117:F118)</f>
        <v>12</v>
      </c>
      <c r="G22" s="28">
        <f>=SUM(G117:G118)</f>
        <v>12</v>
      </c>
      <c r="H22" s="28">
        <f>=SUM(H117:H118)</f>
        <v>0</v>
      </c>
      <c r="I22" s="28">
        <v>0</v>
      </c>
      <c r="J22" s="28">
        <f>=SUM(J117:J118)</f>
        <v>0</v>
      </c>
      <c r="K22" s="28">
        <f>=SUM(K117:K118)</f>
        <v>0</v>
      </c>
      <c r="L22" s="28">
        <f>=SUM(L117:L118)</f>
        <v>0</v>
      </c>
      <c r="M22" s="28">
        <f>=SUM(M117:M118)</f>
        <v>0</v>
      </c>
      <c r="N22" s="28">
        <f>=SUM(N117:N118)</f>
        <v>0</v>
      </c>
      <c r="O22" s="28">
        <f>=SUM(O117:O118)</f>
        <v>0</v>
      </c>
      <c r="P22" s="28">
        <f>=SUM(P117:P118)</f>
        <v>0</v>
      </c>
      <c r="Q22" s="28">
        <f>=SUM(Q117:Q118)</f>
        <v>0</v>
      </c>
      <c r="R22" s="28">
        <f>=SUM(R117:R118)</f>
        <v>0</v>
      </c>
      <c r="S22" s="28">
        <f>=SUM(S117:S118)</f>
        <v>0</v>
      </c>
      <c r="T22" s="28">
        <f>=SUM(T117:T118)</f>
        <v>0</v>
      </c>
      <c r="U22" s="28">
        <f>=U117+U118+U120</f>
        <v>0</v>
      </c>
      <c r="V22" s="28">
        <f>=V117+V118+V120</f>
        <v>0</v>
      </c>
      <c r="W22" s="28">
        <f>=W117+W118+W120</f>
        <v>12</v>
      </c>
      <c r="X22" s="28">
        <f>=X117+X118+X120</f>
        <v>11</v>
      </c>
      <c r="Y22" s="28">
        <f>=Y117+Y118+Y120</f>
        <v>0</v>
      </c>
      <c r="Z22" s="28">
        <f>=Z117+Z118+Z120</f>
        <v>9</v>
      </c>
      <c r="AA22" s="28">
        <f>=AA117+AA118+AA120</f>
        <v>0</v>
      </c>
      <c r="AB22" s="28">
        <f>=AB117+AB118+AB120</f>
        <v>0</v>
      </c>
      <c r="AC22" s="28">
        <f>=AC117+AC118+AC120</f>
        <v>14</v>
      </c>
      <c r="AD22" s="28">
        <f>=AD117+AD118+AD120</f>
        <v>14</v>
      </c>
      <c r="AE22" s="28">
        <f>=AE117+AE118+AE120</f>
        <v>0</v>
      </c>
      <c r="AF22" s="28">
        <f>=AF117+AF118+AF120</f>
        <v>13</v>
      </c>
      <c r="AG22" s="28">
        <f>=AG117+AG118+AG120</f>
        <v>13</v>
      </c>
      <c r="AH22" s="28">
        <f>=AH117+AH118+AH120</f>
        <v>13</v>
      </c>
      <c r="AI22" s="28">
        <f>=AI117+AI118+AI120</f>
        <v>11.52</v>
      </c>
      <c r="AJ22" s="28">
        <f>=AJ117+AJ118+AJ120</f>
        <v>21</v>
      </c>
      <c r="AK22" s="28">
        <f>=AK117+AK118+AK120</f>
        <v>12</v>
      </c>
      <c r="AL22" s="28">
        <f>=AL117+AL118+AL120</f>
        <v>17</v>
      </c>
      <c r="AM22" s="28">
        <f>=AM117+AM118+AM120</f>
        <v>6</v>
      </c>
      <c r="AN22" s="28">
        <f>=AN117+AN118+AN120</f>
        <v>32</v>
      </c>
      <c r="AO22" s="28">
        <f>=AO117+AO118+AO120</f>
        <v>13</v>
      </c>
      <c r="AP22" s="28">
        <f>=AP117+AP118+AP120</f>
        <v>35</v>
      </c>
      <c r="AQ22" s="28">
        <f>=AQ117+AQ118+AQ120</f>
        <v>49</v>
      </c>
      <c r="AR22" s="28">
        <f>=AR117+AR118+AR120</f>
        <v>15</v>
      </c>
      <c r="AS22" s="28">
        <f>=AS117+AS118+AS120</f>
        <v>24</v>
      </c>
      <c r="AT22" s="28">
        <f>=AT117+AT118+AT120</f>
        <v>28</v>
      </c>
      <c r="AU22" s="28">
        <f>=AU117+AU118+AU120</f>
        <v>30</v>
      </c>
      <c r="AV22" s="28">
        <f>=AV117+AV118+AV120</f>
        <v>42</v>
      </c>
      <c r="AW22" s="28">
        <f>=AW117+AW118+AW120</f>
        <v>49</v>
      </c>
      <c r="AX22" s="28">
        <f>=AX117+AX118+AX120</f>
        <v>23</v>
      </c>
      <c r="AY22" s="28">
        <f>=AY117+AY118+AY120</f>
        <v>20</v>
      </c>
      <c r="AZ22" s="28">
        <f>=AZ117+AZ118+AZ120</f>
        <v>9</v>
      </c>
      <c r="BA22" s="28">
        <f>=BA117+BA118+BA120</f>
        <v>0</v>
      </c>
      <c r="BB22" s="28">
        <f>=BB117+BB118+BB120</f>
        <v>15</v>
      </c>
      <c r="BC22" s="28">
        <f>=BC117+BC118+BC120</f>
        <v>15</v>
      </c>
      <c r="BD22" s="28">
        <f>=BD117+BD118+BD120</f>
        <v>0</v>
      </c>
      <c r="BE22" s="28">
        <f>=BE117+BE118+BE120</f>
        <v>13</v>
      </c>
      <c r="BF22" s="28">
        <f>=BF117+BF118+BF120</f>
        <v>0</v>
      </c>
      <c r="BG22" s="28">
        <f>=BG117+BG118+BG120</f>
        <v>0</v>
      </c>
      <c r="BH22" s="28">
        <f>=BH117+BH118+BH120</f>
        <v>0</v>
      </c>
      <c r="BI22" s="28">
        <f>=BI117+BI118+BI120</f>
        <v>0</v>
      </c>
      <c r="BJ22" s="28">
        <f>=BJ117+BJ118+BJ120</f>
        <v>0</v>
      </c>
      <c r="BK22" s="28">
        <f>=BK117+BK118+BK120</f>
        <v>0</v>
      </c>
      <c r="BL22" s="28">
        <f>=BL117+BL118+BL120</f>
        <v>0</v>
      </c>
      <c r="BM22" s="28">
        <f>=BM117+BM118+BM120</f>
        <v>0</v>
      </c>
      <c r="BN22" s="28">
        <f>=BN117+BN118+BN120</f>
        <v>0</v>
      </c>
      <c r="BO22" s="28">
        <f>=BO117+BO118+BO120</f>
        <v>0</v>
      </c>
      <c r="BP22" s="28">
        <f>=BP117+BP118+BP120</f>
        <v>0</v>
      </c>
      <c r="BQ22" s="28">
        <f>=BQ117+BQ118+BQ120</f>
        <v>0</v>
      </c>
      <c r="BR22" s="28">
        <f>=BR117+BR118+BR120</f>
        <v>0</v>
      </c>
      <c r="BS22" s="28">
        <f>=BS117+BS118+BS120</f>
        <v>0</v>
      </c>
      <c r="BT22" s="28">
        <f>=BT117+BT118+BT120</f>
        <v>0</v>
      </c>
      <c r="BU22" s="28">
        <f>=BU117+BU118+BU120</f>
        <v>0</v>
      </c>
      <c r="BV22" s="28">
        <f>=BV117+BV118+BV120</f>
        <v>0</v>
      </c>
      <c r="BW22" s="28">
        <f>=BW117+BW118+BW120</f>
        <v>0</v>
      </c>
      <c r="BX22" s="28">
        <f>=SUM(BX117:BX118)+BX120</f>
        <v>0</v>
      </c>
      <c r="BY22" s="28">
        <f>=SUM(BY117:BY118)+BY120</f>
        <v>0</v>
      </c>
      <c r="BZ22" s="28">
        <f>=SUM(BZ117:BZ118)+BZ120</f>
        <v>0</v>
      </c>
      <c r="CA22" s="28">
        <f>=SUM(CA117:CA118)+CA120</f>
        <v>0</v>
      </c>
      <c r="CB22" s="28">
        <f>=SUM(CB117:CB118)+CB120</f>
        <v>0</v>
      </c>
      <c r="CC22" s="28">
        <f>=SUM(CC117:CC118)+CC120</f>
        <v>0</v>
      </c>
      <c r="CD22" s="28">
        <f>=SUM(CD117:CD118)+CD120</f>
        <v>0</v>
      </c>
      <c r="CE22" s="28">
        <f>=SUM(CE117:CE118)+CE120</f>
        <v>0</v>
      </c>
      <c r="CF22" s="28">
        <f>=SUM(CF117:CF118)+CF120</f>
        <v>0</v>
      </c>
      <c r="CG22" s="28">
        <f>=SUM(CG117:CG118)+CG120</f>
        <v>0</v>
      </c>
      <c r="CH22" s="28">
        <f>=SUM(CH117:CH118)+CH120</f>
        <v>0</v>
      </c>
      <c r="CI22" s="28">
        <f>=SUM(CI117:CI118)+CI120</f>
        <v>0</v>
      </c>
      <c r="CJ22" s="28">
        <f>=SUM(CJ117:CJ118)+CJ120</f>
        <v>0</v>
      </c>
      <c r="CK22" s="28">
        <f>=SUM(CK117:CK118)+CK120</f>
        <v>0</v>
      </c>
      <c r="CL22" s="28">
        <f>=SUM(CL117:CL118)+CL120</f>
        <v>0</v>
      </c>
      <c r="CM22" s="28">
        <f>=SUM(CM117:CM118)+CM120</f>
        <v>0</v>
      </c>
      <c r="CN22" s="28">
        <f>=SUM(CN117:CN118)+CN120</f>
        <v>0</v>
      </c>
      <c r="CO22" s="28">
        <f>=SUM(CO117:CO118)+CO120</f>
        <v>0</v>
      </c>
      <c r="CP22" s="28">
        <f>=SUM(CP117:CP118)+CP120</f>
        <v>0</v>
      </c>
      <c r="CQ22" s="28">
        <f>=SUM(CQ117:CQ118)+CQ120</f>
        <v>0</v>
      </c>
      <c r="CR22" s="28">
        <f>=SUM(CR117:CR118)+CR120</f>
        <v>0</v>
      </c>
      <c r="CS22" s="28">
        <f>=SUM(CS117:CS118)+CS120</f>
        <v>0</v>
      </c>
      <c r="CT22" s="28">
        <f>=SUM(CT117:CT118)+CT120</f>
        <v>0</v>
      </c>
      <c r="CU22" s="28">
        <f>=SUM(CU117:CU118)+CU120</f>
        <v>0</v>
      </c>
      <c r="CV22" s="28">
        <f>=SUM(CV117:CV118)+CV120</f>
        <v>0</v>
      </c>
      <c r="CW22" s="28">
        <f>=SUM(CW117:CW118)+CW120</f>
        <v>0</v>
      </c>
      <c r="CX22" s="28">
        <f>=SUM(CX117:CX118)+CX120</f>
        <v>0</v>
      </c>
      <c r="CY22" s="28">
        <f>=SUM(CY117:CY118)+CY120</f>
        <v>0</v>
      </c>
      <c r="CZ22" s="28">
        <f>=SUM(CZ117:CZ118)+CZ120</f>
        <v>0</v>
      </c>
      <c r="DA22" s="28">
        <f>=SUM(DA117:DA118)+DA120</f>
        <v>0</v>
      </c>
      <c r="DB22" s="28">
        <f>=SUM(DB117:DB118)+DB120</f>
        <v>0</v>
      </c>
    </row>
    <row r="23" spans="1:106" x14ac:dyDescent="0.25">
      <c r="A23" s="27" t="s">
        <v>257</v>
      </c>
      <c r="C23" s="28">
        <f>=SUM(C119:C120)</f>
        <v>0</v>
      </c>
      <c r="D23" s="28">
        <f>=SUM(D119:D120)</f>
        <v>4</v>
      </c>
      <c r="E23" s="28">
        <f>=SUM(E119:E120)</f>
        <v>0</v>
      </c>
      <c r="F23" s="28">
        <f>=SUM(F119:F120)</f>
        <v>0</v>
      </c>
      <c r="G23" s="28">
        <f>=SUM(G119:G120)</f>
        <v>0</v>
      </c>
      <c r="H23" s="28">
        <f>=SUM(H119:H120)</f>
        <v>11</v>
      </c>
      <c r="I23" s="28">
        <f>=SUM(I119:I120)</f>
        <v>0</v>
      </c>
      <c r="J23" s="28">
        <f>=SUM(J119:J120)</f>
        <v>0</v>
      </c>
      <c r="K23" s="28">
        <f>=SUM(K119:K120)</f>
        <v>0</v>
      </c>
      <c r="L23" s="28">
        <f>=SUM(L119:L120)</f>
        <v>0</v>
      </c>
      <c r="M23" s="28">
        <f>=SUM(M119:M120)</f>
        <v>0</v>
      </c>
      <c r="N23" s="28">
        <f>=SUM(N119:N120)</f>
        <v>0</v>
      </c>
      <c r="O23" s="28">
        <f>=SUM(O119:O120)</f>
        <v>0</v>
      </c>
      <c r="P23" s="28">
        <f>=SUM(P119:P120)</f>
        <v>0</v>
      </c>
      <c r="Q23" s="28">
        <f>=SUM(Q119:Q120)</f>
        <v>0</v>
      </c>
      <c r="R23" s="28">
        <f>=SUM(R119:R120)</f>
        <v>0</v>
      </c>
      <c r="S23" s="28">
        <f>=SUM(S119:S120)</f>
        <v>0</v>
      </c>
      <c r="T23" s="28">
        <f>=SUM(T119:T120)</f>
        <v>0</v>
      </c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30"/>
      <c r="CG23" s="30"/>
      <c r="CH23" s="30"/>
      <c r="CI23" s="30"/>
      <c r="CJ23" s="30"/>
      <c r="CK23" s="30"/>
      <c r="CL23" s="30"/>
      <c r="CM23" s="30"/>
      <c r="CN23" s="30"/>
      <c r="CO23" s="30"/>
      <c r="CP23" s="30"/>
      <c r="CQ23" s="30"/>
      <c r="CR23" s="30"/>
      <c r="CS23" s="30"/>
      <c r="CT23" s="30"/>
      <c r="CU23" s="30"/>
      <c r="CV23" s="30"/>
      <c r="CW23" s="30"/>
      <c r="CX23" s="30"/>
      <c r="CY23" s="30"/>
      <c r="CZ23" s="30"/>
      <c r="DA23" s="30"/>
      <c r="DB23" s="30"/>
    </row>
    <row r="24" spans="1:106" x14ac:dyDescent="0.25">
      <c r="A24" s="27" t="s">
        <v>258</v>
      </c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0"/>
      <c r="CI24" s="30"/>
      <c r="CJ24" s="30"/>
      <c r="CK24" s="30"/>
      <c r="CL24" s="30"/>
      <c r="CM24" s="30"/>
      <c r="CN24" s="30"/>
      <c r="CO24" s="30"/>
      <c r="CP24" s="30"/>
      <c r="CQ24" s="30"/>
      <c r="CR24" s="30"/>
      <c r="CS24" s="30"/>
      <c r="CT24" s="30"/>
      <c r="CU24" s="30"/>
      <c r="CV24" s="30"/>
      <c r="CW24" s="30"/>
      <c r="CX24" s="30"/>
      <c r="CY24" s="30"/>
      <c r="CZ24" s="30"/>
      <c r="DA24" s="30"/>
      <c r="DB24" s="30"/>
    </row>
    <row r="25" spans="1:106" x14ac:dyDescent="0.25">
      <c r="A25" s="22" t="s">
        <v>259</v>
      </c>
      <c r="C25" s="31">
        <f>=IFERROR(C19/C10,0)</f>
        <v>0.9259259259259259</v>
      </c>
      <c r="D25" s="31">
        <f>=IFERROR(D19/D10,0)</f>
        <v>0.9259259259259259</v>
      </c>
      <c r="E25" s="31">
        <f>=IFERROR(E19/E10,0)</f>
        <v>1</v>
      </c>
      <c r="F25" s="31">
        <f>=IFERROR(F19/F10,0)</f>
        <v>0.8</v>
      </c>
      <c r="G25" s="31">
        <f>=IFERROR(G19/G10,0)</f>
        <v>0.8032786885245902</v>
      </c>
      <c r="H25" s="31">
        <f>=IFERROR(H19/H10,0)</f>
        <v>0.8</v>
      </c>
      <c r="I25" s="31">
        <f>=IFERROR(I19/I10,0)</f>
        <v>1</v>
      </c>
      <c r="J25" s="31">
        <f>=IFERROR(J19/J10,0)</f>
        <v>1</v>
      </c>
      <c r="K25" s="31">
        <f>=IFERROR(K19/K10,0)</f>
        <v>1</v>
      </c>
      <c r="L25" s="31">
        <f>=IFERROR(L19/L10,0)</f>
        <v>1</v>
      </c>
      <c r="M25" s="31">
        <f>=IFERROR(M19/M10,0)</f>
        <v>1</v>
      </c>
      <c r="N25" s="31">
        <f>=IFERROR(N19/N10,0)</f>
        <v>1</v>
      </c>
      <c r="O25" s="31">
        <f>=IFERROR(O19/O10,0)</f>
        <v>1</v>
      </c>
      <c r="P25" s="31">
        <f>=IFERROR(P19/P10,0)</f>
        <v>1</v>
      </c>
      <c r="Q25" s="31">
        <f>=IFERROR(Q19/Q10,0)</f>
        <v>1</v>
      </c>
      <c r="R25" s="31">
        <f>=IFERROR(R19/R10,0)</f>
        <v>1</v>
      </c>
      <c r="S25" s="31">
        <f>=IFERROR(S19/S10,0)</f>
        <v>1</v>
      </c>
      <c r="T25" s="31">
        <f>=IFERROR(T19/T10,0)</f>
        <v>1</v>
      </c>
      <c r="U25" s="31">
        <f>=IFERROR(U19/U10,0)</f>
        <v>1</v>
      </c>
      <c r="V25" s="31">
        <f>=IFERROR(V19/V10,0)</f>
        <v>1</v>
      </c>
      <c r="W25" s="31">
        <f>=IFERROR(W19/W10,0)</f>
        <v>0.7692307692307693</v>
      </c>
      <c r="X25" s="31">
        <f>=IFERROR(X19/X10,0)</f>
        <v>0.78</v>
      </c>
      <c r="Y25" s="31">
        <f>=IFERROR(Y19/Y10,0)</f>
        <v>1</v>
      </c>
      <c r="Z25" s="31">
        <f>=IFERROR(Z19/Z10,0)</f>
        <v>0.8043478260869565</v>
      </c>
      <c r="AA25" s="31">
        <f>=IFERROR(AA19/AA10,0)</f>
        <v>1</v>
      </c>
      <c r="AB25" s="31">
        <f>=IFERROR(AB19/AB10,0)</f>
        <v>1</v>
      </c>
      <c r="AC25" s="31">
        <f>=IFERROR(AC19/AC10,0)</f>
        <v>0.7407407407407407</v>
      </c>
      <c r="AD25" s="31">
        <f>=IFERROR(AD19/AD10,0)</f>
        <v>0.7358490566037735</v>
      </c>
      <c r="AE25" s="31">
        <f>=IFERROR(AE19/AE10,0)</f>
        <v>1</v>
      </c>
      <c r="AF25" s="31">
        <f>=IFERROR(AF19/AF10,0)</f>
        <v>0.74</v>
      </c>
      <c r="AG25" s="31">
        <f>=IFERROR(AG19/AG10,0)</f>
        <v>0.7903225806451613</v>
      </c>
      <c r="AH25" s="31">
        <f>=IFERROR(AH19/AH10,0)</f>
        <v>0.7868852459016393</v>
      </c>
      <c r="AI25" s="31">
        <f>=IFERROR(AI19/AI10,0)</f>
        <v>0.799721835883171</v>
      </c>
      <c r="AJ25" s="31">
        <f>=IFERROR(AJ19/AJ10,0)</f>
        <v>0.671875</v>
      </c>
      <c r="AK25" s="31">
        <f>=IFERROR(AK19/AK10,0)</f>
        <v>0.8181818181818182</v>
      </c>
      <c r="AL25" s="31">
        <f>=IFERROR(AL19/AL10,0)</f>
        <v>0.7605633802816901</v>
      </c>
      <c r="AM25" s="31">
        <f>=IFERROR(AM19/AM10,0)</f>
        <v>0.9104477611940298</v>
      </c>
      <c r="AN25" s="31">
        <f>=IFERROR(AN19/AN10,0)</f>
        <v>0.6559139784946236</v>
      </c>
      <c r="AO25" s="31">
        <f>=IFERROR(AO19/AO10,0)</f>
        <v>0.8395061728395061</v>
      </c>
      <c r="AP25" s="31">
        <f>=IFERROR(AP19/AP10,0)</f>
        <v>0.6354166666666666</v>
      </c>
      <c r="AQ25" s="31">
        <f>=IFERROR(AQ19/AQ10,0)</f>
        <v>0.5847457627118644</v>
      </c>
      <c r="AR25" s="31">
        <f>=IFERROR(AR19/AR10,0)</f>
        <v>0.8333333333333334</v>
      </c>
      <c r="AS25" s="31">
        <f>=IFERROR(AS19/AS10,0)</f>
        <v>0.7575757575757576</v>
      </c>
      <c r="AT25" s="31">
        <f>=IFERROR(AT19/AT10,0)</f>
        <v>0.7741935483870968</v>
      </c>
      <c r="AU25" s="31">
        <f>=IFERROR(AU19/AU10,0)</f>
        <v>0.781021897810219</v>
      </c>
      <c r="AV25" s="31">
        <f>=IFERROR(AV19/AV10,0)</f>
        <v>0.7123287671232876</v>
      </c>
      <c r="AW25" s="31">
        <f>=IFERROR(AW19/AW10,0)</f>
        <v>0.6733333333333333</v>
      </c>
      <c r="AX25" s="31">
        <f>=IFERROR(AX19/AX10,0)</f>
        <v>0.8333333333333334</v>
      </c>
      <c r="AY25" s="31">
        <f>=IFERROR(AY19/AY10,0)</f>
        <v>0.8639455782312925</v>
      </c>
      <c r="AZ25" s="31">
        <f>=IFERROR(AZ19/AZ10,0)</f>
        <v>0.9426751592356688</v>
      </c>
      <c r="BA25" s="31">
        <f>=IFERROR(BA19/BA10,0)</f>
        <v>1</v>
      </c>
      <c r="BB25" s="31">
        <f>=IFERROR(BB19/BB10,0)</f>
        <v>0.906832298136646</v>
      </c>
      <c r="BC25" s="31">
        <f>=IFERROR(BC19/BC10,0)</f>
        <v>0.8986486486486487</v>
      </c>
      <c r="BD25" s="31">
        <f>=IFERROR(BD19/BD10,0)</f>
        <v>1</v>
      </c>
      <c r="BE25" s="31">
        <f>=IFERROR(BE19/BE10,0)</f>
        <v>0.9064748201438849</v>
      </c>
      <c r="BF25" s="31">
        <f>=IFERROR(BF19/BF10,0)</f>
        <v>1</v>
      </c>
      <c r="BG25" s="31">
        <f>=IFERROR(BG19/BG10,0)</f>
        <v>1</v>
      </c>
      <c r="BH25" s="31">
        <f>=IFERROR(BH19/BH10,0)</f>
        <v>1</v>
      </c>
      <c r="BI25" s="31">
        <f>=IFERROR(BI19/BI10,0)</f>
        <v>1</v>
      </c>
      <c r="BJ25" s="31">
        <f>=IFERROR(BJ19/BJ10,0)</f>
        <v>1</v>
      </c>
      <c r="BK25" s="31">
        <f>=IFERROR(BK19/BK10,0)</f>
        <v>1</v>
      </c>
      <c r="BL25" s="31">
        <f>=IFERROR(BL19/BL10,0)</f>
        <v>1</v>
      </c>
      <c r="BM25" s="31">
        <f>=IFERROR(BM19/BM10,0)</f>
        <v>1</v>
      </c>
      <c r="BN25" s="31">
        <f>=IFERROR(BN19/BN10,0)</f>
        <v>1</v>
      </c>
      <c r="BO25" s="31">
        <f>=IFERROR(BO19/BO10,0)</f>
        <v>1</v>
      </c>
      <c r="BP25" s="31">
        <f>=IFERROR(BP19/BP10,0)</f>
        <v>1</v>
      </c>
      <c r="BQ25" s="31">
        <f>=IFERROR(BQ19/BQ10,0)</f>
        <v>1</v>
      </c>
      <c r="BR25" s="31">
        <f>=IFERROR(BR19/BR10,0)</f>
        <v>1</v>
      </c>
      <c r="BS25" s="31">
        <f>=IFERROR(BS19/BS10,0)</f>
        <v>1</v>
      </c>
      <c r="BT25" s="31">
        <f>=IFERROR(BT19/BT10,0)</f>
        <v>1</v>
      </c>
      <c r="BU25" s="31">
        <f>=IFERROR(BU19/BU10,0)</f>
        <v>1</v>
      </c>
      <c r="BV25" s="31">
        <f>=IFERROR(BV19/BV10,0)</f>
        <v>1</v>
      </c>
      <c r="BW25" s="31">
        <f>=IFERROR(BW19/BW10,0)</f>
        <v>1</v>
      </c>
      <c r="BX25" s="31">
        <f>=IFERROR(BX19/BX10,0)</f>
        <v>1</v>
      </c>
      <c r="BY25" s="31">
        <f>=IFERROR(BY19/BY10,0)</f>
        <v>1</v>
      </c>
      <c r="BZ25" s="31">
        <f>=IFERROR(BZ19/BZ10,0)</f>
        <v>1</v>
      </c>
      <c r="CA25" s="31">
        <f>=IFERROR(CA19/CA10,0)</f>
        <v>1</v>
      </c>
      <c r="CB25" s="31">
        <f>=IFERROR(CB19/CB10,0)</f>
        <v>1</v>
      </c>
      <c r="CC25" s="31">
        <f>=IFERROR(CC19/CC10,0)</f>
        <v>1</v>
      </c>
      <c r="CD25" s="31">
        <f>=IFERROR(CD19/CD10,0)</f>
        <v>1</v>
      </c>
      <c r="CE25" s="31">
        <f>=IFERROR(CE19/CE10,0)</f>
        <v>1</v>
      </c>
      <c r="CF25" s="31">
        <f>=IFERROR(CF19/CF10,0)</f>
        <v>1</v>
      </c>
      <c r="CG25" s="31">
        <f>=IFERROR(CG19/CG10,0)</f>
        <v>1</v>
      </c>
      <c r="CH25" s="31">
        <f>=IFERROR(CH19/CH10,0)</f>
        <v>1</v>
      </c>
      <c r="CI25" s="31">
        <f>=IFERROR(CI19/CI10,0)</f>
        <v>1</v>
      </c>
      <c r="CJ25" s="31">
        <f>=IFERROR(CJ19/CJ10,0)</f>
        <v>1</v>
      </c>
      <c r="CK25" s="31">
        <f>=IFERROR(CK19/CK10,0)</f>
        <v>1</v>
      </c>
      <c r="CL25" s="31">
        <f>=IFERROR(CL19/CL10,0)</f>
        <v>1</v>
      </c>
      <c r="CM25" s="31">
        <f>=IFERROR(CM19/CM10,0)</f>
        <v>1</v>
      </c>
      <c r="CN25" s="31">
        <f>=IFERROR(CN19/CN10,0)</f>
        <v>1</v>
      </c>
      <c r="CO25" s="31">
        <f>=IFERROR(CO19/CO10,0)</f>
        <v>1</v>
      </c>
      <c r="CP25" s="31">
        <f>=IFERROR(CP19/CP10,0)</f>
        <v>1</v>
      </c>
      <c r="CQ25" s="31">
        <f>=IFERROR(CQ19/CQ10,0)</f>
        <v>1</v>
      </c>
      <c r="CR25" s="31">
        <f>=IFERROR(CR19/CR10,0)</f>
        <v>1</v>
      </c>
      <c r="CS25" s="31">
        <f>=IFERROR(CS19/CS10,0)</f>
        <v>1</v>
      </c>
      <c r="CT25" s="31">
        <f>=IFERROR(CT19/CT10,0)</f>
        <v>1</v>
      </c>
      <c r="CU25" s="31">
        <f>=IFERROR(CU19/CU10,0)</f>
        <v>1</v>
      </c>
      <c r="CV25" s="31">
        <f>=IFERROR(CV19/CV10,0)</f>
        <v>1</v>
      </c>
      <c r="CW25" s="31">
        <f>=IFERROR(CW19/CW10,0)</f>
        <v>1</v>
      </c>
      <c r="CX25" s="31">
        <f>=IFERROR(CX19/CX10,0)</f>
        <v>1</v>
      </c>
      <c r="CY25" s="31">
        <f>=IFERROR(CY19/CY10,0)</f>
        <v>1</v>
      </c>
      <c r="CZ25" s="31">
        <f>=IFERROR(CZ19/CZ10,0)</f>
        <v>1</v>
      </c>
      <c r="DA25" s="31">
        <f>=IFERROR(DA19/DA10,0)</f>
        <v>1</v>
      </c>
      <c r="DB25" s="31">
        <f>=IFERROR(DB19/DB10,0)</f>
        <v>1</v>
      </c>
    </row>
    <row r="26" spans="3:106" x14ac:dyDescent="0.25"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0"/>
      <c r="CG26" s="30"/>
      <c r="CH26" s="30"/>
      <c r="CI26" s="30"/>
      <c r="CJ26" s="30"/>
      <c r="CK26" s="30"/>
      <c r="CL26" s="30"/>
      <c r="CM26" s="30"/>
      <c r="CN26" s="30"/>
      <c r="CO26" s="30"/>
      <c r="CP26" s="30"/>
      <c r="CQ26" s="30"/>
      <c r="CR26" s="30"/>
      <c r="CS26" s="30"/>
      <c r="CT26" s="30"/>
      <c r="CU26" s="30"/>
      <c r="CV26" s="30"/>
      <c r="CW26" s="30"/>
      <c r="CX26" s="30"/>
      <c r="CY26" s="30"/>
      <c r="CZ26" s="30"/>
      <c r="DA26" s="30"/>
      <c r="DB26" s="30"/>
    </row>
    <row r="27" ht="14" customHeight="1" spans="1:106" x14ac:dyDescent="0.25">
      <c r="A27" s="9" t="s">
        <v>260</v>
      </c>
      <c r="B27" s="17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</row>
    <row r="28" ht="15" customHeight="1" spans="1:106" x14ac:dyDescent="0.25">
      <c r="A28" s="33" t="s">
        <v>261</v>
      </c>
      <c r="B28" s="13"/>
      <c r="C28" s="34">
        <f>=IFERROR(1-((1-C29)*(1-C34)),0)</f>
        <v>0.286</v>
      </c>
      <c r="D28" s="34">
        <f>=IFERROR(1-((1-D29)*(1-D34)),0)</f>
        <v>0.286</v>
      </c>
      <c r="E28" s="34">
        <f>=IFERROR(1-((1-E29)*(1-E34)),0)</f>
        <v>0.286</v>
      </c>
      <c r="F28" s="34">
        <f>=IFERROR(1-((1-F29)*(1-F34)),0)</f>
        <v>0.286</v>
      </c>
      <c r="G28" s="34">
        <f>=IFERROR(1-((1-G29)*(1-G34)),0)</f>
        <v>0.286</v>
      </c>
      <c r="H28" s="34">
        <f>=IFERROR(1-((1-H29)*(1-H34)),0)</f>
        <v>0.286</v>
      </c>
      <c r="I28" s="34">
        <f>=IFERROR(1-((1-I29)*(1-I34)),0)</f>
        <v>0.286</v>
      </c>
      <c r="J28" s="34">
        <f>=IFERROR(1-((1-J29)*(1-J34)),0)</f>
        <v>0.286</v>
      </c>
      <c r="K28" s="34">
        <f>=IFERROR(1-((1-K29)*(1-K34)),0)</f>
        <v>0.286</v>
      </c>
      <c r="L28" s="34">
        <f>=IFERROR(1-((1-L29)*(1-L34)),0)</f>
        <v>0.286</v>
      </c>
      <c r="M28" s="34">
        <f>=IFERROR(1-((1-M29)*(1-M34)),0)</f>
        <v>0.286</v>
      </c>
      <c r="N28" s="34">
        <f>=IFERROR(1-((1-N29)*(1-N34)),0)</f>
        <v>0.286</v>
      </c>
      <c r="O28" s="34">
        <f>=IFERROR(1-((1-O29)*(1-O34)),0)</f>
        <v>0.286</v>
      </c>
      <c r="P28" s="34">
        <f>=IFERROR(1-((1-P29)*(1-P34)),0)</f>
        <v>0.286</v>
      </c>
      <c r="Q28" s="34">
        <f>=IFERROR(1-((1-Q29)*(1-Q34)),0)</f>
        <v>0.286</v>
      </c>
      <c r="R28" s="34">
        <f>=IFERROR(1-((1-R29)*(1-R34)),0)</f>
        <v>0.286</v>
      </c>
      <c r="S28" s="34">
        <f>=IFERROR(1-((1-S29)*(1-S34)),0)</f>
        <v>0.286</v>
      </c>
      <c r="T28" s="34">
        <f>=IFERROR(1-((1-T29)*(1-T34)),0)</f>
        <v>0.286</v>
      </c>
      <c r="U28" s="34">
        <f>=IFERROR(1-((1-U29)*(1-U34)),0)</f>
        <v>0.286</v>
      </c>
      <c r="V28" s="34">
        <f>=IFERROR(1-((1-V29)*(1-V34)),0)</f>
        <v>0.286</v>
      </c>
      <c r="W28" s="34">
        <f>=IFERROR(1-((1-W29)*(1-W34)),0)</f>
        <v>0.286</v>
      </c>
      <c r="X28" s="34">
        <f>=IFERROR(1-((1-X29)*(1-X34)),0)</f>
        <v>0.286</v>
      </c>
      <c r="Y28" s="34">
        <f>=IFERROR(1-((1-Y29)*(1-Y34)),0)</f>
        <v>0.286</v>
      </c>
      <c r="Z28" s="34">
        <f>=IFERROR(1-((1-Z29)*(1-Z34)),0)</f>
        <v>0.286</v>
      </c>
      <c r="AA28" s="34">
        <f>=IFERROR(1-((1-AA29)*(1-AA34)),0)</f>
        <v>0.286</v>
      </c>
      <c r="AB28" s="34">
        <f>=IFERROR(1-((1-AB29)*(1-AB34)),0)</f>
        <v>0.286</v>
      </c>
      <c r="AC28" s="34">
        <f>=IFERROR(1-((1-AC29)*(1-AC34)),0)</f>
        <v>0.286</v>
      </c>
      <c r="AD28" s="34">
        <f>=IFERROR(1-((1-AD29)*(1-AD34)),0)</f>
        <v>0.286</v>
      </c>
      <c r="AE28" s="34">
        <f>=IFERROR(1-((1-AE29)*(1-AE34)),0)</f>
        <v>0.286</v>
      </c>
      <c r="AF28" s="34">
        <f>=IFERROR(1-((1-AF29)*(1-AF34)),0)</f>
        <v>0.286</v>
      </c>
      <c r="AG28" s="34">
        <f>=IFERROR(1-((1-AG29)*(1-AG34)),0)</f>
        <v>0.286</v>
      </c>
      <c r="AH28" s="34">
        <f>=IFERROR(1-((1-AH29)*(1-AH34)),0)</f>
        <v>0.286</v>
      </c>
      <c r="AI28" s="34">
        <f>=IFERROR(1-((1-AI29)*(1-AI34)),0)</f>
        <v>0.286</v>
      </c>
      <c r="AJ28" s="34">
        <f>=IFERROR(1-((1-AJ29)*(1-AJ34)),0)</f>
        <v>0.286</v>
      </c>
      <c r="AK28" s="34">
        <f>=IFERROR(1-((1-AK29)*(1-AK34)),0)</f>
        <v>0.286</v>
      </c>
      <c r="AL28" s="34">
        <f>=IFERROR(1-((1-AL29)*(1-AL34)),0)</f>
        <v>0.286</v>
      </c>
      <c r="AM28" s="34">
        <f>=IFERROR(1-((1-AM29)*(1-AM34)),0)</f>
        <v>0.286</v>
      </c>
      <c r="AN28" s="34">
        <f>=IFERROR(1-((1-AN29)*(1-AN34)),0)</f>
        <v>0.286</v>
      </c>
      <c r="AO28" s="34">
        <f>=IFERROR(1-((1-AO29)*(1-AO34)),0)</f>
        <v>0.286</v>
      </c>
      <c r="AP28" s="34">
        <f>=IFERROR(1-((1-AP29)*(1-AP34)),0)</f>
        <v>0.2605</v>
      </c>
      <c r="AQ28" s="34">
        <f>=IFERROR(1-((1-AQ29)*(1-AQ34)),0)</f>
        <v>0.2605</v>
      </c>
      <c r="AR28" s="34">
        <f>=IFERROR(1-((1-AR29)*(1-AR34)),0)</f>
        <v>0.2605</v>
      </c>
      <c r="AS28" s="34">
        <f>=IFERROR(1-((1-AS29)*(1-AS34)),0)</f>
        <v>0.2605</v>
      </c>
      <c r="AT28" s="34">
        <f>=IFERROR(1-((1-AT29)*(1-AT34)),0)</f>
        <v>0.2605</v>
      </c>
      <c r="AU28" s="34">
        <f>=IFERROR(1-((1-AU29)*(1-AU34)),0)</f>
        <v>0.2605</v>
      </c>
      <c r="AV28" s="34">
        <f>=IFERROR(1-((1-AV29)*(1-AV34)),0)</f>
        <v>0.2605</v>
      </c>
      <c r="AW28" s="34">
        <f>=IFERROR(1-((1-AW29)*(1-AW34)),0)</f>
        <v>0.2605</v>
      </c>
      <c r="AX28" s="34">
        <f>=IFERROR(1-((1-AX29)*(1-AX34)),0)</f>
        <v>0.2605</v>
      </c>
      <c r="AY28" s="34">
        <f>=IFERROR(1-((1-AY29)*(1-AY34)),0)</f>
        <v>0.2605</v>
      </c>
      <c r="AZ28" s="34">
        <f>=IFERROR(1-((1-AZ29)*(1-AZ34)),0)</f>
        <v>0.2605</v>
      </c>
      <c r="BA28" s="34">
        <f>=IFERROR(1-((1-BA29)*(1-BA34)),0)</f>
        <v>0.2605</v>
      </c>
      <c r="BB28" s="34">
        <f>=IFERROR(1-((1-BB29)*(1-BB34)),0)</f>
        <v>0.2605</v>
      </c>
      <c r="BC28" s="34">
        <f>=IFERROR(1-((1-BC29)*(1-BC34)),0)</f>
        <v>0.269</v>
      </c>
      <c r="BD28" s="34">
        <f>=IFERROR(1-((1-BD29)*(1-BD34)),0)</f>
        <v>0.269</v>
      </c>
      <c r="BE28" s="34">
        <f>=IFERROR(1-((1-BE29)*(1-BE34)),0)</f>
        <v>0.269</v>
      </c>
      <c r="BF28" s="34">
        <f>=IFERROR(1-((1-BF29)*(1-BF34)),0)</f>
        <v>0.269</v>
      </c>
      <c r="BG28" s="34">
        <f>=IFERROR(1-((1-BG29)*(1-BG34)),0)</f>
        <v>0.269</v>
      </c>
      <c r="BH28" s="34">
        <f>=IFERROR(1-((1-BH29)*(1-BH34)),0)</f>
        <v>0.269</v>
      </c>
      <c r="BI28" s="34">
        <f>=IFERROR(1-((1-BI29)*(1-BI34)),0)</f>
        <v>0.269</v>
      </c>
      <c r="BJ28" s="34">
        <f>=IFERROR(1-((1-BJ29)*(1-BJ34)),0)</f>
        <v>0.269</v>
      </c>
      <c r="BK28" s="34">
        <f>=IFERROR(1-((1-BK29)*(1-BK34)),0)</f>
        <v>0.269</v>
      </c>
      <c r="BL28" s="34">
        <f>=IFERROR(1-((1-BL29)*(1-BL34)),0)</f>
        <v>0.269</v>
      </c>
      <c r="BM28" s="34">
        <f>=IFERROR(1-((1-BM29)*(1-BM34)),0)</f>
        <v>0.269</v>
      </c>
      <c r="BN28" s="34">
        <f>=IFERROR(1-((1-BN29)*(1-BN34)),0)</f>
        <v>0.269</v>
      </c>
      <c r="BO28" s="34">
        <f>=IFERROR(1-((1-BO29)*(1-BO34)),0)</f>
        <v>0.269</v>
      </c>
      <c r="BP28" s="34">
        <f>=IFERROR(1-((1-BP29)*(1-BP34)),0)</f>
        <v>0.269</v>
      </c>
      <c r="BQ28" s="34">
        <f>=IFERROR(1-((1-BQ29)*(1-BQ34)),0)</f>
        <v>0.269</v>
      </c>
      <c r="BR28" s="34">
        <f>=IFERROR(1-((1-BR29)*(1-BR34)),0)</f>
        <v>0.269</v>
      </c>
      <c r="BS28" s="34">
        <f>=IFERROR(1-((1-BS29)*(1-BS34)),0)</f>
        <v>0.269</v>
      </c>
      <c r="BT28" s="34">
        <f>=IFERROR(1-((1-BT29)*(1-BT34)),0)</f>
        <v>0.269</v>
      </c>
      <c r="BU28" s="34">
        <f>=IFERROR(1-((1-BU29)*(1-BU34)),0)</f>
        <v>0.269</v>
      </c>
      <c r="BV28" s="34">
        <f>=IFERROR(1-((1-BV29)*(1-BV34)),0)</f>
        <v>0.269</v>
      </c>
      <c r="BW28" s="34">
        <f>=IFERROR(1-((1-BW29)*(1-BW34)),0)</f>
        <v>0.269</v>
      </c>
      <c r="BX28" s="34">
        <f>=IFERROR(1-((1-BX29)*(1-BX34)),0)</f>
        <v>0.252</v>
      </c>
      <c r="BY28" s="34">
        <f>=IFERROR(1-((1-BY29)*(1-BY34)),0)</f>
        <v>0.252</v>
      </c>
      <c r="BZ28" s="34">
        <f>=IFERROR(1-((1-BZ29)*(1-BZ34)),0)</f>
        <v>0.252</v>
      </c>
      <c r="CA28" s="34">
        <f>=IFERROR(1-((1-CA29)*(1-CA34)),0)</f>
        <v>0.252</v>
      </c>
      <c r="CB28" s="34">
        <f>=IFERROR(1-((1-CB29)*(1-CB34)),0)</f>
        <v>0.252</v>
      </c>
      <c r="CC28" s="34">
        <f>=IFERROR(1-((1-CC29)*(1-CC34)),0)</f>
        <v>0.252</v>
      </c>
      <c r="CD28" s="34">
        <f>=IFERROR(1-((1-CD29)*(1-CD34)),0)</f>
        <v>0.252</v>
      </c>
      <c r="CE28" s="34">
        <f>=IFERROR(1-((1-CE29)*(1-CE34)),0)</f>
        <v>0.252</v>
      </c>
      <c r="CF28" s="34">
        <f>=IFERROR(1-((1-CF29)*(1-CF34)),0)</f>
        <v>0.252</v>
      </c>
      <c r="CG28" s="34">
        <f>=IFERROR(1-((1-CG29)*(1-CG34)),0)</f>
        <v>0.252</v>
      </c>
      <c r="CH28" s="34">
        <f>=IFERROR(1-((1-CH29)*(1-CH34)),0)</f>
        <v>0.252</v>
      </c>
      <c r="CI28" s="34">
        <f>=IFERROR(1-((1-CI29)*(1-CI34)),0)</f>
        <v>0.252</v>
      </c>
      <c r="CJ28" s="34">
        <f>=IFERROR(1-((1-CJ29)*(1-CJ34)),0)</f>
        <v>0.252</v>
      </c>
      <c r="CK28" s="34">
        <f>=IFERROR(1-((1-CK29)*(1-CK34)),0)</f>
        <v>0.252</v>
      </c>
      <c r="CL28" s="34">
        <f>=IFERROR(1-((1-CL29)*(1-CL34)),0)</f>
        <v>0.252</v>
      </c>
      <c r="CM28" s="34">
        <f>=IFERROR(1-((1-CM29)*(1-CM34)),0)</f>
        <v>0.252</v>
      </c>
      <c r="CN28" s="34">
        <f>=IFERROR(1-((1-CN29)*(1-CN34)),0)</f>
        <v>0.252</v>
      </c>
      <c r="CO28" s="34">
        <f>=IFERROR(1-((1-CO29)*(1-CO34)),0)</f>
        <v>0.252</v>
      </c>
      <c r="CP28" s="34">
        <f>=IFERROR(1-((1-CP29)*(1-CP34)),0)</f>
        <v>0.252</v>
      </c>
      <c r="CQ28" s="34">
        <f>=IFERROR(1-((1-CQ29)*(1-CQ34)),0)</f>
        <v>0.252</v>
      </c>
      <c r="CR28" s="34">
        <f>=IFERROR(1-((1-CR29)*(1-CR34)),0)</f>
        <v>0.252</v>
      </c>
      <c r="CS28" s="34">
        <f>=IFERROR(1-((1-CS29)*(1-CS34)),0)</f>
        <v>0.252</v>
      </c>
      <c r="CT28" s="34">
        <f>=IFERROR(1-((1-CT29)*(1-CT34)),0)</f>
        <v>0.252</v>
      </c>
      <c r="CU28" s="34">
        <f>=IFERROR(1-((1-CU29)*(1-CU34)),0)</f>
        <v>0.252</v>
      </c>
      <c r="CV28" s="34">
        <f>=IFERROR(1-((1-CV29)*(1-CV34)),0)</f>
        <v>0.252</v>
      </c>
      <c r="CW28" s="34">
        <f>=IFERROR(1-((1-CW29)*(1-CW34)),0)</f>
        <v>0.252</v>
      </c>
      <c r="CX28" s="34">
        <f>=IFERROR(1-((1-CX29)*(1-CX34)),0)</f>
        <v>0.252</v>
      </c>
      <c r="CY28" s="34">
        <f>=IFERROR(1-((1-CY29)*(1-CY34)),0)</f>
        <v>0.252</v>
      </c>
      <c r="CZ28" s="34">
        <f>=IFERROR(1-((1-CZ29)*(1-CZ34)),0)</f>
        <v>0.252</v>
      </c>
      <c r="DA28" s="34">
        <f>=IFERROR(1-((1-DA29)*(1-DA34)),0)</f>
        <v>0.252</v>
      </c>
      <c r="DB28" s="34">
        <f>=IFERROR(1-((1-DB29)*(1-DB34)),0)</f>
        <v>0.252</v>
      </c>
    </row>
    <row r="29" ht="15" customHeight="1" spans="1:106" x14ac:dyDescent="0.25">
      <c r="A29" s="16" t="s">
        <v>262</v>
      </c>
      <c r="B29" s="17"/>
      <c r="C29" s="35">
        <f>=SUM(C30:C33)</f>
        <v>0.16</v>
      </c>
      <c r="D29" s="35">
        <f>=SUM(D30:D33)</f>
        <v>0.16</v>
      </c>
      <c r="E29" s="35">
        <f>=SUM(E30:E33)</f>
        <v>0.16</v>
      </c>
      <c r="F29" s="35">
        <f>=SUM(F30:F33)</f>
        <v>0.16</v>
      </c>
      <c r="G29" s="35">
        <f>=SUM(G30:G33)</f>
        <v>0.16</v>
      </c>
      <c r="H29" s="35">
        <f>=SUM(H30:H33)</f>
        <v>0.16</v>
      </c>
      <c r="I29" s="35">
        <f>=SUM(I30:I33)</f>
        <v>0.16</v>
      </c>
      <c r="J29" s="35">
        <f>=SUM(J30:J33)</f>
        <v>0.16</v>
      </c>
      <c r="K29" s="35">
        <f>=SUM(K30:K33)</f>
        <v>0.16</v>
      </c>
      <c r="L29" s="35">
        <f>=SUM(L30:L33)</f>
        <v>0.16</v>
      </c>
      <c r="M29" s="35">
        <f>=SUM(M30:M33)</f>
        <v>0.16</v>
      </c>
      <c r="N29" s="35">
        <f>=SUM(N30:N33)</f>
        <v>0.16</v>
      </c>
      <c r="O29" s="35">
        <f>=SUM(O30:O33)</f>
        <v>0.16</v>
      </c>
      <c r="P29" s="35">
        <f>=SUM(P30:P33)</f>
        <v>0.16</v>
      </c>
      <c r="Q29" s="35">
        <f>=SUM(Q30:Q33)</f>
        <v>0.16</v>
      </c>
      <c r="R29" s="35">
        <f>=SUM(R30:R33)</f>
        <v>0.16</v>
      </c>
      <c r="S29" s="35">
        <f>=SUM(S30:S33)</f>
        <v>0.16</v>
      </c>
      <c r="T29" s="35">
        <f>=SUM(T30:T33)</f>
        <v>0.16</v>
      </c>
      <c r="U29" s="35">
        <f>=SUM(U30:U33)</f>
        <v>0.16</v>
      </c>
      <c r="V29" s="35">
        <f>=SUM(V30:V33)</f>
        <v>0.16</v>
      </c>
      <c r="W29" s="35">
        <f>=SUM(W30:W33)</f>
        <v>0.16</v>
      </c>
      <c r="X29" s="35">
        <f>=SUM(X30:X33)</f>
        <v>0.16</v>
      </c>
      <c r="Y29" s="35">
        <f>=SUM(Y30:Y33)</f>
        <v>0.16</v>
      </c>
      <c r="Z29" s="35">
        <f>=SUM(Z30:Z33)</f>
        <v>0.16</v>
      </c>
      <c r="AA29" s="35">
        <f>=SUM(AA30:AA33)</f>
        <v>0.16</v>
      </c>
      <c r="AB29" s="35">
        <f>=SUM(AB30:AB33)</f>
        <v>0.16</v>
      </c>
      <c r="AC29" s="35">
        <f>=SUM(AC30:AC33)</f>
        <v>0.16</v>
      </c>
      <c r="AD29" s="35">
        <f>=SUM(AD30:AD33)</f>
        <v>0.16</v>
      </c>
      <c r="AE29" s="35">
        <f>=SUM(AE30:AE33)</f>
        <v>0.16</v>
      </c>
      <c r="AF29" s="35">
        <f>=SUM(AF30:AF33)</f>
        <v>0.16</v>
      </c>
      <c r="AG29" s="35">
        <f>=SUM(AG30:AG33)</f>
        <v>0.16</v>
      </c>
      <c r="AH29" s="35">
        <f>=SUM(AH30:AH33)</f>
        <v>0.16</v>
      </c>
      <c r="AI29" s="35">
        <f>=SUM(AI30:AI33)</f>
        <v>0.16</v>
      </c>
      <c r="AJ29" s="35">
        <f>=SUM(AJ30:AJ33)</f>
        <v>0.16</v>
      </c>
      <c r="AK29" s="35">
        <f>=SUM(AK30:AK33)</f>
        <v>0.16</v>
      </c>
      <c r="AL29" s="35">
        <f>=SUM(AL30:AL33)</f>
        <v>0.16</v>
      </c>
      <c r="AM29" s="35">
        <f>=SUM(AM30:AM33)</f>
        <v>0.16</v>
      </c>
      <c r="AN29" s="35">
        <f>=SUM(AN30:AN33)</f>
        <v>0.16</v>
      </c>
      <c r="AO29" s="35">
        <f>=SUM(AO30:AO33)</f>
        <v>0.16</v>
      </c>
      <c r="AP29" s="35">
        <f>=SUM(AP30:AP33)</f>
        <v>0.13</v>
      </c>
      <c r="AQ29" s="35">
        <f>=SUM(AQ30:AQ33)</f>
        <v>0.13</v>
      </c>
      <c r="AR29" s="35">
        <f>=SUM(AR30:AR33)</f>
        <v>0.13</v>
      </c>
      <c r="AS29" s="35">
        <f>=SUM(AS30:AS33)</f>
        <v>0.13</v>
      </c>
      <c r="AT29" s="35">
        <f>=SUM(AT30:AT33)</f>
        <v>0.13</v>
      </c>
      <c r="AU29" s="35">
        <f>=SUM(AU30:AU33)</f>
        <v>0.13</v>
      </c>
      <c r="AV29" s="35">
        <f>=SUM(AV30:AV33)</f>
        <v>0.13</v>
      </c>
      <c r="AW29" s="35">
        <f>=SUM(AW30:AW33)</f>
        <v>0.13</v>
      </c>
      <c r="AX29" s="35">
        <f>=SUM(AX30:AX33)</f>
        <v>0.13</v>
      </c>
      <c r="AY29" s="35">
        <f>=SUM(AY30:AY33)</f>
        <v>0.13</v>
      </c>
      <c r="AZ29" s="35">
        <f>=SUM(AZ30:AZ33)</f>
        <v>0.13</v>
      </c>
      <c r="BA29" s="35">
        <f>=SUM(BA30:BA33)</f>
        <v>0.13</v>
      </c>
      <c r="BB29" s="35">
        <f>=SUM(BB30:BB33)</f>
        <v>0.13</v>
      </c>
      <c r="BC29" s="35">
        <f>=SUM(BC30:BC33)</f>
        <v>0.14</v>
      </c>
      <c r="BD29" s="35">
        <f>=SUM(BD30:BD33)</f>
        <v>0.14</v>
      </c>
      <c r="BE29" s="35">
        <f>=SUM(BE30:BE33)</f>
        <v>0.14</v>
      </c>
      <c r="BF29" s="35">
        <f>=SUM(BF30:BF33)</f>
        <v>0.14</v>
      </c>
      <c r="BG29" s="35">
        <f>=SUM(BG30:BG33)</f>
        <v>0.14</v>
      </c>
      <c r="BH29" s="35">
        <f>=SUM(BH30:BH33)</f>
        <v>0.14</v>
      </c>
      <c r="BI29" s="35">
        <f>=SUM(BI30:BI33)</f>
        <v>0.14</v>
      </c>
      <c r="BJ29" s="35">
        <f>=SUM(BJ30:BJ33)</f>
        <v>0.14</v>
      </c>
      <c r="BK29" s="35">
        <f>=SUM(BK30:BK33)</f>
        <v>0.14</v>
      </c>
      <c r="BL29" s="35">
        <f>=SUM(BL30:BL33)</f>
        <v>0.14</v>
      </c>
      <c r="BM29" s="35">
        <f>=SUM(BM30:BM33)</f>
        <v>0.14</v>
      </c>
      <c r="BN29" s="35">
        <f>=SUM(BN30:BN33)</f>
        <v>0.14</v>
      </c>
      <c r="BO29" s="35">
        <f>=SUM(BO30:BO33)</f>
        <v>0.14</v>
      </c>
      <c r="BP29" s="35">
        <f>=SUM(BP30:BP33)</f>
        <v>0.14</v>
      </c>
      <c r="BQ29" s="35">
        <f>=SUM(BQ30:BQ33)</f>
        <v>0.14</v>
      </c>
      <c r="BR29" s="35">
        <f>=SUM(BR30:BR33)</f>
        <v>0.14</v>
      </c>
      <c r="BS29" s="35">
        <f>=SUM(BS30:BS33)</f>
        <v>0.14</v>
      </c>
      <c r="BT29" s="35">
        <f>=SUM(BT30:BT33)</f>
        <v>0.14</v>
      </c>
      <c r="BU29" s="35">
        <f>=SUM(BU30:BU33)</f>
        <v>0.14</v>
      </c>
      <c r="BV29" s="35">
        <f>=SUM(BV30:BV33)</f>
        <v>0.14</v>
      </c>
      <c r="BW29" s="35">
        <f>=SUM(BW30:BW33)</f>
        <v>0.14</v>
      </c>
      <c r="BX29" s="35">
        <f>=SUM(BX30:BX33)</f>
        <v>0.12</v>
      </c>
      <c r="BY29" s="35">
        <f>=SUM(BY30:BY33)</f>
        <v>0.12</v>
      </c>
      <c r="BZ29" s="35">
        <f>=SUM(BZ30:BZ33)</f>
        <v>0.12</v>
      </c>
      <c r="CA29" s="35">
        <f>=SUM(CA30:CA33)</f>
        <v>0.12</v>
      </c>
      <c r="CB29" s="35">
        <f>=SUM(CB30:CB33)</f>
        <v>0.12</v>
      </c>
      <c r="CC29" s="35">
        <f>=SUM(CC30:CC33)</f>
        <v>0.12</v>
      </c>
      <c r="CD29" s="35">
        <f>=SUM(CD30:CD33)</f>
        <v>0.12</v>
      </c>
      <c r="CE29" s="35">
        <f>=SUM(CE30:CE33)</f>
        <v>0.12</v>
      </c>
      <c r="CF29" s="35">
        <f>=SUM(CF30:CF33)</f>
        <v>0.12</v>
      </c>
      <c r="CG29" s="35">
        <f>=SUM(CG30:CG33)</f>
        <v>0.12</v>
      </c>
      <c r="CH29" s="35">
        <f>=SUM(CH30:CH33)</f>
        <v>0.12</v>
      </c>
      <c r="CI29" s="35">
        <f>=SUM(CI30:CI33)</f>
        <v>0.12</v>
      </c>
      <c r="CJ29" s="35">
        <f>=SUM(CJ30:CJ33)</f>
        <v>0.12</v>
      </c>
      <c r="CK29" s="35">
        <f>=SUM(CK30:CK33)</f>
        <v>0.12</v>
      </c>
      <c r="CL29" s="35">
        <f>=SUM(CL30:CL33)</f>
        <v>0.12</v>
      </c>
      <c r="CM29" s="35">
        <f>=SUM(CM30:CM33)</f>
        <v>0.12</v>
      </c>
      <c r="CN29" s="35">
        <f>=SUM(CN30:CN33)</f>
        <v>0.12</v>
      </c>
      <c r="CO29" s="35">
        <f>=SUM(CO30:CO33)</f>
        <v>0.12</v>
      </c>
      <c r="CP29" s="35">
        <f>=SUM(CP30:CP33)</f>
        <v>0.12</v>
      </c>
      <c r="CQ29" s="35">
        <f>=SUM(CQ30:CQ33)</f>
        <v>0.12</v>
      </c>
      <c r="CR29" s="35">
        <f>=SUM(CR30:CR33)</f>
        <v>0.12</v>
      </c>
      <c r="CS29" s="35">
        <f>=SUM(CS30:CS33)</f>
        <v>0.12</v>
      </c>
      <c r="CT29" s="35">
        <f>=SUM(CT30:CT33)</f>
        <v>0.12</v>
      </c>
      <c r="CU29" s="35">
        <f>=SUM(CU30:CU33)</f>
        <v>0.12</v>
      </c>
      <c r="CV29" s="35">
        <f>=SUM(CV30:CV33)</f>
        <v>0.12</v>
      </c>
      <c r="CW29" s="35">
        <f>=SUM(CW30:CW33)</f>
        <v>0.12</v>
      </c>
      <c r="CX29" s="35">
        <f>=SUM(CX30:CX33)</f>
        <v>0.12</v>
      </c>
      <c r="CY29" s="35">
        <f>=SUM(CY30:CY33)</f>
        <v>0.12</v>
      </c>
      <c r="CZ29" s="35">
        <f>=SUM(CZ30:CZ33)</f>
        <v>0.12</v>
      </c>
      <c r="DA29" s="35">
        <f>=SUM(DA30:DA33)</f>
        <v>0.12</v>
      </c>
      <c r="DB29" s="35">
        <f>=SUM(DB30:DB33)</f>
        <v>0.12</v>
      </c>
    </row>
    <row r="30" ht="18" customHeight="1" spans="1:106" x14ac:dyDescent="0.25">
      <c r="A30" s="36" t="s">
        <v>263</v>
      </c>
      <c r="C30" s="37">
        <v>0.08</v>
      </c>
      <c r="D30" s="37">
        <v>0.08</v>
      </c>
      <c r="E30" s="37">
        <v>0.08</v>
      </c>
      <c r="F30" s="37">
        <v>0.08</v>
      </c>
      <c r="G30" s="37">
        <v>0.08</v>
      </c>
      <c r="H30" s="37">
        <v>0.08</v>
      </c>
      <c r="I30" s="37">
        <v>0.08</v>
      </c>
      <c r="J30" s="37">
        <v>0.08</v>
      </c>
      <c r="K30" s="37">
        <v>0.08</v>
      </c>
      <c r="L30" s="37">
        <v>0.08</v>
      </c>
      <c r="M30" s="37">
        <v>0.08</v>
      </c>
      <c r="N30" s="37">
        <v>0.08</v>
      </c>
      <c r="O30" s="37">
        <v>0.08</v>
      </c>
      <c r="P30" s="37">
        <v>0.08</v>
      </c>
      <c r="Q30" s="37">
        <v>0.08</v>
      </c>
      <c r="R30" s="37">
        <v>0.08</v>
      </c>
      <c r="S30" s="37">
        <v>0.08</v>
      </c>
      <c r="T30" s="37">
        <v>0.08</v>
      </c>
      <c r="U30" s="37">
        <v>0.08</v>
      </c>
      <c r="V30" s="37">
        <v>0.08</v>
      </c>
      <c r="W30" s="37">
        <v>0.08</v>
      </c>
      <c r="X30" s="37">
        <v>0.08</v>
      </c>
      <c r="Y30" s="37">
        <v>0.08</v>
      </c>
      <c r="Z30" s="37">
        <v>0.08</v>
      </c>
      <c r="AA30" s="37">
        <v>0.08</v>
      </c>
      <c r="AB30" s="37">
        <v>0.08</v>
      </c>
      <c r="AC30" s="37">
        <v>0.08</v>
      </c>
      <c r="AD30" s="37">
        <v>0.08</v>
      </c>
      <c r="AE30" s="37">
        <v>0.08</v>
      </c>
      <c r="AF30" s="37">
        <v>0.08</v>
      </c>
      <c r="AG30" s="37">
        <v>0.08</v>
      </c>
      <c r="AH30" s="37">
        <v>0.08</v>
      </c>
      <c r="AI30" s="37">
        <v>0.08</v>
      </c>
      <c r="AJ30" s="37">
        <v>0.08</v>
      </c>
      <c r="AK30" s="37">
        <v>0.08</v>
      </c>
      <c r="AL30" s="37">
        <v>0.08</v>
      </c>
      <c r="AM30" s="37">
        <v>0.08</v>
      </c>
      <c r="AN30" s="37">
        <v>0.08</v>
      </c>
      <c r="AO30" s="37">
        <v>0.08</v>
      </c>
      <c r="AP30" s="37">
        <v>0.065</v>
      </c>
      <c r="AQ30" s="37">
        <v>0.065</v>
      </c>
      <c r="AR30" s="37">
        <v>0.065</v>
      </c>
      <c r="AS30" s="37">
        <v>0.065</v>
      </c>
      <c r="AT30" s="37">
        <v>0.065</v>
      </c>
      <c r="AU30" s="37">
        <v>0.065</v>
      </c>
      <c r="AV30" s="37">
        <v>0.065</v>
      </c>
      <c r="AW30" s="37">
        <v>0.065</v>
      </c>
      <c r="AX30" s="37">
        <v>0.065</v>
      </c>
      <c r="AY30" s="37">
        <v>0.065</v>
      </c>
      <c r="AZ30" s="37">
        <v>0.065</v>
      </c>
      <c r="BA30" s="37">
        <v>0.065</v>
      </c>
      <c r="BB30" s="37">
        <v>0.065</v>
      </c>
      <c r="BC30" s="37">
        <v>0.07</v>
      </c>
      <c r="BD30" s="37">
        <v>0.07</v>
      </c>
      <c r="BE30" s="37">
        <v>0.07</v>
      </c>
      <c r="BF30" s="37">
        <v>0.07</v>
      </c>
      <c r="BG30" s="37">
        <v>0.07</v>
      </c>
      <c r="BH30" s="37">
        <v>0.07</v>
      </c>
      <c r="BI30" s="37">
        <v>0.07</v>
      </c>
      <c r="BJ30" s="37">
        <v>0.07</v>
      </c>
      <c r="BK30" s="37">
        <v>0.07</v>
      </c>
      <c r="BL30" s="37">
        <v>0.07</v>
      </c>
      <c r="BM30" s="37">
        <v>0.07</v>
      </c>
      <c r="BN30" s="37">
        <v>0.07</v>
      </c>
      <c r="BO30" s="37">
        <v>0.07</v>
      </c>
      <c r="BP30" s="37">
        <v>0.07</v>
      </c>
      <c r="BQ30" s="37">
        <v>0.07</v>
      </c>
      <c r="BR30" s="37">
        <v>0.07</v>
      </c>
      <c r="BS30" s="37">
        <v>0.07</v>
      </c>
      <c r="BT30" s="37">
        <v>0.07</v>
      </c>
      <c r="BU30" s="37">
        <v>0.07</v>
      </c>
      <c r="BV30" s="37">
        <v>0.07</v>
      </c>
      <c r="BW30" s="37">
        <v>0.07</v>
      </c>
      <c r="BX30" s="37">
        <v>0.06</v>
      </c>
      <c r="BY30" s="37">
        <v>0.06</v>
      </c>
      <c r="BZ30" s="37">
        <v>0.06</v>
      </c>
      <c r="CA30" s="37">
        <v>0.06</v>
      </c>
      <c r="CB30" s="37">
        <v>0.06</v>
      </c>
      <c r="CC30" s="37">
        <v>0.06</v>
      </c>
      <c r="CD30" s="37">
        <v>0.06</v>
      </c>
      <c r="CE30" s="37">
        <v>0.06</v>
      </c>
      <c r="CF30" s="37">
        <v>0.06</v>
      </c>
      <c r="CG30" s="37">
        <v>0.06</v>
      </c>
      <c r="CH30" s="37">
        <v>0.06</v>
      </c>
      <c r="CI30" s="37">
        <v>0.06</v>
      </c>
      <c r="CJ30" s="37">
        <v>0.06</v>
      </c>
      <c r="CK30" s="37">
        <v>0.06</v>
      </c>
      <c r="CL30" s="37">
        <v>0.06</v>
      </c>
      <c r="CM30" s="37">
        <v>0.06</v>
      </c>
      <c r="CN30" s="37">
        <v>0.06</v>
      </c>
      <c r="CO30" s="37">
        <v>0.06</v>
      </c>
      <c r="CP30" s="37">
        <v>0.06</v>
      </c>
      <c r="CQ30" s="37">
        <v>0.06</v>
      </c>
      <c r="CR30" s="37">
        <v>0.06</v>
      </c>
      <c r="CS30" s="37">
        <v>0.06</v>
      </c>
      <c r="CT30" s="37">
        <v>0.06</v>
      </c>
      <c r="CU30" s="37">
        <v>0.06</v>
      </c>
      <c r="CV30" s="37">
        <v>0.06</v>
      </c>
      <c r="CW30" s="37">
        <v>0.06</v>
      </c>
      <c r="CX30" s="37">
        <v>0.06</v>
      </c>
      <c r="CY30" s="37">
        <v>0.06</v>
      </c>
      <c r="CZ30" s="37">
        <v>0.06</v>
      </c>
      <c r="DA30" s="37">
        <v>0.06</v>
      </c>
      <c r="DB30" s="37">
        <v>0.06</v>
      </c>
    </row>
    <row r="31" ht="18" customHeight="1" spans="1:106" x14ac:dyDescent="0.25">
      <c r="A31" s="36" t="s">
        <v>264</v>
      </c>
      <c r="C31" s="37">
        <v>0.08</v>
      </c>
      <c r="D31" s="37">
        <v>0.08</v>
      </c>
      <c r="E31" s="37">
        <v>0.08</v>
      </c>
      <c r="F31" s="37">
        <v>0.08</v>
      </c>
      <c r="G31" s="37">
        <v>0.08</v>
      </c>
      <c r="H31" s="37">
        <v>0.08</v>
      </c>
      <c r="I31" s="37">
        <v>0.08</v>
      </c>
      <c r="J31" s="37">
        <v>0.08</v>
      </c>
      <c r="K31" s="37">
        <v>0.08</v>
      </c>
      <c r="L31" s="37">
        <v>0.08</v>
      </c>
      <c r="M31" s="37">
        <v>0.08</v>
      </c>
      <c r="N31" s="37">
        <v>0.08</v>
      </c>
      <c r="O31" s="37">
        <v>0.08</v>
      </c>
      <c r="P31" s="37">
        <v>0.08</v>
      </c>
      <c r="Q31" s="37">
        <v>0.08</v>
      </c>
      <c r="R31" s="37">
        <v>0.08</v>
      </c>
      <c r="S31" s="37">
        <v>0.08</v>
      </c>
      <c r="T31" s="37">
        <v>0.08</v>
      </c>
      <c r="U31" s="37">
        <v>0.08</v>
      </c>
      <c r="V31" s="37">
        <v>0.08</v>
      </c>
      <c r="W31" s="37">
        <v>0.08</v>
      </c>
      <c r="X31" s="37">
        <v>0.08</v>
      </c>
      <c r="Y31" s="37">
        <v>0.08</v>
      </c>
      <c r="Z31" s="37">
        <v>0.08</v>
      </c>
      <c r="AA31" s="37">
        <v>0.08</v>
      </c>
      <c r="AB31" s="37">
        <v>0.08</v>
      </c>
      <c r="AC31" s="37">
        <v>0.08</v>
      </c>
      <c r="AD31" s="37">
        <v>0.08</v>
      </c>
      <c r="AE31" s="37">
        <v>0.08</v>
      </c>
      <c r="AF31" s="37">
        <v>0.08</v>
      </c>
      <c r="AG31" s="37">
        <v>0.08</v>
      </c>
      <c r="AH31" s="37">
        <v>0.08</v>
      </c>
      <c r="AI31" s="37">
        <v>0.08</v>
      </c>
      <c r="AJ31" s="37">
        <v>0.08</v>
      </c>
      <c r="AK31" s="37">
        <v>0.08</v>
      </c>
      <c r="AL31" s="37">
        <v>0.08</v>
      </c>
      <c r="AM31" s="37">
        <v>0.08</v>
      </c>
      <c r="AN31" s="37">
        <v>0.08</v>
      </c>
      <c r="AO31" s="37">
        <v>0.08</v>
      </c>
      <c r="AP31" s="37">
        <v>0.065</v>
      </c>
      <c r="AQ31" s="37">
        <v>0.065</v>
      </c>
      <c r="AR31" s="37">
        <v>0.065</v>
      </c>
      <c r="AS31" s="37">
        <v>0.065</v>
      </c>
      <c r="AT31" s="37">
        <v>0.065</v>
      </c>
      <c r="AU31" s="37">
        <v>0.065</v>
      </c>
      <c r="AV31" s="37">
        <v>0.065</v>
      </c>
      <c r="AW31" s="37">
        <v>0.065</v>
      </c>
      <c r="AX31" s="37">
        <v>0.065</v>
      </c>
      <c r="AY31" s="37">
        <v>0.065</v>
      </c>
      <c r="AZ31" s="37">
        <v>0.065</v>
      </c>
      <c r="BA31" s="37">
        <v>0.065</v>
      </c>
      <c r="BB31" s="37">
        <v>0.065</v>
      </c>
      <c r="BC31" s="37">
        <v>0.07</v>
      </c>
      <c r="BD31" s="37">
        <v>0.07</v>
      </c>
      <c r="BE31" s="37">
        <v>0.07</v>
      </c>
      <c r="BF31" s="37">
        <v>0.07</v>
      </c>
      <c r="BG31" s="37">
        <v>0.07</v>
      </c>
      <c r="BH31" s="37">
        <v>0.07</v>
      </c>
      <c r="BI31" s="37">
        <v>0.07</v>
      </c>
      <c r="BJ31" s="37">
        <v>0.07</v>
      </c>
      <c r="BK31" s="37">
        <v>0.07</v>
      </c>
      <c r="BL31" s="37">
        <v>0.07</v>
      </c>
      <c r="BM31" s="37">
        <v>0.07</v>
      </c>
      <c r="BN31" s="37">
        <v>0.07</v>
      </c>
      <c r="BO31" s="37">
        <v>0.07</v>
      </c>
      <c r="BP31" s="37">
        <v>0.07</v>
      </c>
      <c r="BQ31" s="37">
        <v>0.07</v>
      </c>
      <c r="BR31" s="37">
        <v>0.07</v>
      </c>
      <c r="BS31" s="37">
        <v>0.07</v>
      </c>
      <c r="BT31" s="37">
        <v>0.07</v>
      </c>
      <c r="BU31" s="37">
        <v>0.07</v>
      </c>
      <c r="BV31" s="37">
        <v>0.07</v>
      </c>
      <c r="BW31" s="37">
        <v>0.07</v>
      </c>
      <c r="BX31" s="37">
        <v>0.06</v>
      </c>
      <c r="BY31" s="37">
        <v>0.06</v>
      </c>
      <c r="BZ31" s="37">
        <v>0.06</v>
      </c>
      <c r="CA31" s="37">
        <v>0.06</v>
      </c>
      <c r="CB31" s="37">
        <v>0.06</v>
      </c>
      <c r="CC31" s="37">
        <v>0.06</v>
      </c>
      <c r="CD31" s="37">
        <v>0.06</v>
      </c>
      <c r="CE31" s="37">
        <v>0.06</v>
      </c>
      <c r="CF31" s="37">
        <v>0.06</v>
      </c>
      <c r="CG31" s="37">
        <v>0.06</v>
      </c>
      <c r="CH31" s="37">
        <v>0.06</v>
      </c>
      <c r="CI31" s="37">
        <v>0.06</v>
      </c>
      <c r="CJ31" s="37">
        <v>0.06</v>
      </c>
      <c r="CK31" s="37">
        <v>0.06</v>
      </c>
      <c r="CL31" s="37">
        <v>0.06</v>
      </c>
      <c r="CM31" s="37">
        <v>0.06</v>
      </c>
      <c r="CN31" s="37">
        <v>0.06</v>
      </c>
      <c r="CO31" s="37">
        <v>0.06</v>
      </c>
      <c r="CP31" s="37">
        <v>0.06</v>
      </c>
      <c r="CQ31" s="37">
        <v>0.06</v>
      </c>
      <c r="CR31" s="37">
        <v>0.06</v>
      </c>
      <c r="CS31" s="37">
        <v>0.06</v>
      </c>
      <c r="CT31" s="37">
        <v>0.06</v>
      </c>
      <c r="CU31" s="37">
        <v>0.06</v>
      </c>
      <c r="CV31" s="37">
        <v>0.06</v>
      </c>
      <c r="CW31" s="37">
        <v>0.06</v>
      </c>
      <c r="CX31" s="37">
        <v>0.06</v>
      </c>
      <c r="CY31" s="37">
        <v>0.06</v>
      </c>
      <c r="CZ31" s="37">
        <v>0.06</v>
      </c>
      <c r="DA31" s="37">
        <v>0.06</v>
      </c>
      <c r="DB31" s="37">
        <v>0.06</v>
      </c>
    </row>
    <row r="32" spans="1:106" x14ac:dyDescent="0.25">
      <c r="A32" s="36" t="s">
        <v>265</v>
      </c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38"/>
      <c r="BM32" s="38"/>
      <c r="BN32" s="38"/>
      <c r="BO32" s="38"/>
      <c r="BP32" s="38"/>
      <c r="BQ32" s="38"/>
      <c r="BR32" s="38"/>
      <c r="BS32" s="38"/>
      <c r="BT32" s="38"/>
      <c r="BU32" s="38"/>
      <c r="BV32" s="38"/>
      <c r="BW32" s="38"/>
      <c r="BX32" s="38"/>
      <c r="BY32" s="38"/>
      <c r="BZ32" s="38"/>
      <c r="CA32" s="38"/>
      <c r="CB32" s="38"/>
      <c r="CC32" s="38"/>
      <c r="CD32" s="38"/>
      <c r="CE32" s="38"/>
      <c r="CF32" s="38"/>
      <c r="CG32" s="38"/>
      <c r="CH32" s="38"/>
      <c r="CI32" s="38"/>
      <c r="CJ32" s="38"/>
      <c r="CK32" s="38"/>
      <c r="CL32" s="38"/>
      <c r="CM32" s="38"/>
      <c r="CN32" s="38"/>
      <c r="CO32" s="38"/>
      <c r="CP32" s="38"/>
      <c r="CQ32" s="38"/>
      <c r="CR32" s="38"/>
      <c r="CS32" s="38"/>
      <c r="CT32" s="38"/>
      <c r="CU32" s="38"/>
      <c r="CV32" s="38"/>
      <c r="CW32" s="38"/>
      <c r="CX32" s="38"/>
      <c r="CY32" s="38"/>
      <c r="CZ32" s="38"/>
      <c r="DA32" s="38"/>
      <c r="DB32" s="38"/>
    </row>
    <row r="33" spans="1:106" x14ac:dyDescent="0.25">
      <c r="A33" s="36" t="s">
        <v>266</v>
      </c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/>
      <c r="BK33" s="38"/>
      <c r="BL33" s="38"/>
      <c r="BM33" s="38"/>
      <c r="BN33" s="38"/>
      <c r="BO33" s="38"/>
      <c r="BP33" s="38"/>
      <c r="BQ33" s="38"/>
      <c r="BR33" s="38"/>
      <c r="BS33" s="38"/>
      <c r="BT33" s="38"/>
      <c r="BU33" s="38"/>
      <c r="BV33" s="38"/>
      <c r="BW33" s="38"/>
      <c r="BX33" s="38"/>
      <c r="BY33" s="38"/>
      <c r="BZ33" s="38"/>
      <c r="CA33" s="38"/>
      <c r="CB33" s="38"/>
      <c r="CC33" s="38"/>
      <c r="CD33" s="38"/>
      <c r="CE33" s="38"/>
      <c r="CF33" s="38"/>
      <c r="CG33" s="38"/>
      <c r="CH33" s="38"/>
      <c r="CI33" s="38"/>
      <c r="CJ33" s="38"/>
      <c r="CK33" s="38"/>
      <c r="CL33" s="38"/>
      <c r="CM33" s="38"/>
      <c r="CN33" s="38"/>
      <c r="CO33" s="38"/>
      <c r="CP33" s="38"/>
      <c r="CQ33" s="38"/>
      <c r="CR33" s="38"/>
      <c r="CS33" s="38"/>
      <c r="CT33" s="38"/>
      <c r="CU33" s="38"/>
      <c r="CV33" s="38"/>
      <c r="CW33" s="38"/>
      <c r="CX33" s="38"/>
      <c r="CY33" s="38"/>
      <c r="CZ33" s="38"/>
      <c r="DA33" s="38"/>
      <c r="DB33" s="38"/>
    </row>
    <row r="34" ht="15" customHeight="1" spans="1:106" x14ac:dyDescent="0.25">
      <c r="A34" s="16" t="s">
        <v>267</v>
      </c>
      <c r="B34" s="17"/>
      <c r="C34" s="35">
        <f>=SUM(C35:C40)</f>
        <v>0.15</v>
      </c>
      <c r="D34" s="35">
        <f>=SUM(D35:D40)</f>
        <v>0.15</v>
      </c>
      <c r="E34" s="35">
        <f>=SUM(E35:E40)</f>
        <v>0.15</v>
      </c>
      <c r="F34" s="35">
        <f>=SUM(F35:F40)</f>
        <v>0.15</v>
      </c>
      <c r="G34" s="35">
        <f>=SUM(G35:G40)</f>
        <v>0.15</v>
      </c>
      <c r="H34" s="35">
        <f>=SUM(H35:H40)</f>
        <v>0.15</v>
      </c>
      <c r="I34" s="35">
        <f>=SUM(I35:I40)</f>
        <v>0.15</v>
      </c>
      <c r="J34" s="35">
        <f>=SUM(J35:J40)</f>
        <v>0.15</v>
      </c>
      <c r="K34" s="35">
        <f>=SUM(K35:K40)</f>
        <v>0.15</v>
      </c>
      <c r="L34" s="35">
        <f>=SUM(L35:L40)</f>
        <v>0.15</v>
      </c>
      <c r="M34" s="35">
        <f>=SUM(M35:M40)</f>
        <v>0.15</v>
      </c>
      <c r="N34" s="35">
        <f>=SUM(N35:N40)</f>
        <v>0.15</v>
      </c>
      <c r="O34" s="35">
        <f>=SUM(O35:O40)</f>
        <v>0.15</v>
      </c>
      <c r="P34" s="35">
        <f>=SUM(P35:P40)</f>
        <v>0.15</v>
      </c>
      <c r="Q34" s="35">
        <f>=SUM(Q35:Q40)</f>
        <v>0.15</v>
      </c>
      <c r="R34" s="35">
        <f>=SUM(R35:R40)</f>
        <v>0.15</v>
      </c>
      <c r="S34" s="35">
        <f>=SUM(S35:S40)</f>
        <v>0.15</v>
      </c>
      <c r="T34" s="35">
        <f>=SUM(T35:T40)</f>
        <v>0.15</v>
      </c>
      <c r="U34" s="35">
        <f>=SUM(U35:U40)</f>
        <v>0.15</v>
      </c>
      <c r="V34" s="35">
        <f>=SUM(V35:V40)</f>
        <v>0.15</v>
      </c>
      <c r="W34" s="35">
        <f>=SUM(W35:W40)</f>
        <v>0.15</v>
      </c>
      <c r="X34" s="35">
        <f>=SUM(X35:X40)</f>
        <v>0.15</v>
      </c>
      <c r="Y34" s="35">
        <f>=SUM(Y35:Y40)</f>
        <v>0.15</v>
      </c>
      <c r="Z34" s="35">
        <f>=SUM(Z35:Z40)</f>
        <v>0.15</v>
      </c>
      <c r="AA34" s="35">
        <f>=SUM(AA35:AA40)</f>
        <v>0.15</v>
      </c>
      <c r="AB34" s="35">
        <f>=SUM(AB35:AB40)</f>
        <v>0.15</v>
      </c>
      <c r="AC34" s="35">
        <f>=SUM(AC35:AC40)</f>
        <v>0.15</v>
      </c>
      <c r="AD34" s="35">
        <f>=SUM(AD35:AD40)</f>
        <v>0.15</v>
      </c>
      <c r="AE34" s="35">
        <f>=SUM(AE35:AE40)</f>
        <v>0.15</v>
      </c>
      <c r="AF34" s="35">
        <f>=SUM(AF35:AF40)</f>
        <v>0.15</v>
      </c>
      <c r="AG34" s="35">
        <f>=SUM(AG35:AG40)</f>
        <v>0.15</v>
      </c>
      <c r="AH34" s="35">
        <f>=SUM(AH35:AH40)</f>
        <v>0.15</v>
      </c>
      <c r="AI34" s="35">
        <f>=SUM(AI35:AI40)</f>
        <v>0.15</v>
      </c>
      <c r="AJ34" s="35">
        <f>=SUM(AJ35:AJ40)</f>
        <v>0.15</v>
      </c>
      <c r="AK34" s="35">
        <f>=SUM(AK35:AK40)</f>
        <v>0.15</v>
      </c>
      <c r="AL34" s="35">
        <f>=SUM(AL35:AL40)</f>
        <v>0.15</v>
      </c>
      <c r="AM34" s="35">
        <f>=SUM(AM35:AM40)</f>
        <v>0.15</v>
      </c>
      <c r="AN34" s="35">
        <f>=SUM(AN35:AN40)</f>
        <v>0.15</v>
      </c>
      <c r="AO34" s="35">
        <f>=SUM(AO35:AO40)</f>
        <v>0.15</v>
      </c>
      <c r="AP34" s="35">
        <f>=SUM(AP35:AP40)</f>
        <v>0.15</v>
      </c>
      <c r="AQ34" s="35">
        <f>=SUM(AQ35:AQ40)</f>
        <v>0.15</v>
      </c>
      <c r="AR34" s="35">
        <f>=SUM(AR35:AR40)</f>
        <v>0.15</v>
      </c>
      <c r="AS34" s="35">
        <f>=SUM(AS35:AS40)</f>
        <v>0.15</v>
      </c>
      <c r="AT34" s="35">
        <f>=SUM(AT35:AT40)</f>
        <v>0.15</v>
      </c>
      <c r="AU34" s="35">
        <f>=SUM(AU35:AU40)</f>
        <v>0.15</v>
      </c>
      <c r="AV34" s="35">
        <f>=SUM(AV35:AV40)</f>
        <v>0.15</v>
      </c>
      <c r="AW34" s="35">
        <f>=SUM(AW35:AW40)</f>
        <v>0.15</v>
      </c>
      <c r="AX34" s="35">
        <f>=SUM(AX35:AX40)</f>
        <v>0.15</v>
      </c>
      <c r="AY34" s="35">
        <f>=SUM(AY35:AY40)</f>
        <v>0.15</v>
      </c>
      <c r="AZ34" s="35">
        <f>=SUM(AZ35:AZ40)</f>
        <v>0.15</v>
      </c>
      <c r="BA34" s="35">
        <f>=SUM(BA35:BA40)</f>
        <v>0.15</v>
      </c>
      <c r="BB34" s="35">
        <f>=SUM(BB35:BB40)</f>
        <v>0.15</v>
      </c>
      <c r="BC34" s="35">
        <f>=SUM(BC35:BC40)</f>
        <v>0.15</v>
      </c>
      <c r="BD34" s="35">
        <f>=SUM(BD35:BD40)</f>
        <v>0.15</v>
      </c>
      <c r="BE34" s="35">
        <f>=SUM(BE35:BE40)</f>
        <v>0.15</v>
      </c>
      <c r="BF34" s="35">
        <f>=SUM(BF35:BF40)</f>
        <v>0.15</v>
      </c>
      <c r="BG34" s="35">
        <f>=SUM(BG35:BG40)</f>
        <v>0.15</v>
      </c>
      <c r="BH34" s="35">
        <f>=SUM(BH35:BH40)</f>
        <v>0.15</v>
      </c>
      <c r="BI34" s="35">
        <f>=SUM(BI35:BI40)</f>
        <v>0.15</v>
      </c>
      <c r="BJ34" s="35">
        <f>=SUM(BJ35:BJ40)</f>
        <v>0.15</v>
      </c>
      <c r="BK34" s="35">
        <f>=SUM(BK35:BK40)</f>
        <v>0.15</v>
      </c>
      <c r="BL34" s="35">
        <f>=SUM(BL35:BL40)</f>
        <v>0.15</v>
      </c>
      <c r="BM34" s="35">
        <f>=SUM(BM35:BM40)</f>
        <v>0.15</v>
      </c>
      <c r="BN34" s="35">
        <f>=SUM(BN35:BN40)</f>
        <v>0.15</v>
      </c>
      <c r="BO34" s="35">
        <f>=SUM(BO35:BO40)</f>
        <v>0.15</v>
      </c>
      <c r="BP34" s="35">
        <f>=SUM(BP35:BP40)</f>
        <v>0.15</v>
      </c>
      <c r="BQ34" s="35">
        <f>=SUM(BQ35:BQ40)</f>
        <v>0.15</v>
      </c>
      <c r="BR34" s="35">
        <f>=SUM(BR35:BR40)</f>
        <v>0.15</v>
      </c>
      <c r="BS34" s="35">
        <f>=SUM(BS35:BS40)</f>
        <v>0.15</v>
      </c>
      <c r="BT34" s="35">
        <f>=SUM(BT35:BT40)</f>
        <v>0.15</v>
      </c>
      <c r="BU34" s="35">
        <f>=SUM(BU35:BU40)</f>
        <v>0.15</v>
      </c>
      <c r="BV34" s="35">
        <f>=SUM(BV35:BV40)</f>
        <v>0.15</v>
      </c>
      <c r="BW34" s="35">
        <f>=SUM(BW35:BW40)</f>
        <v>0.15</v>
      </c>
      <c r="BX34" s="35">
        <f>=SUM(BX35:BX40)</f>
        <v>0.15</v>
      </c>
      <c r="BY34" s="35">
        <f>=SUM(BY35:BY40)</f>
        <v>0.15</v>
      </c>
      <c r="BZ34" s="35">
        <f>=SUM(BZ35:BZ40)</f>
        <v>0.15</v>
      </c>
      <c r="CA34" s="35">
        <f>=SUM(CA35:CA40)</f>
        <v>0.15</v>
      </c>
      <c r="CB34" s="35">
        <f>=SUM(CB35:CB40)</f>
        <v>0.15</v>
      </c>
      <c r="CC34" s="35">
        <f>=SUM(CC35:CC40)</f>
        <v>0.15</v>
      </c>
      <c r="CD34" s="35">
        <f>=SUM(CD35:CD40)</f>
        <v>0.15</v>
      </c>
      <c r="CE34" s="35">
        <f>=SUM(CE35:CE40)</f>
        <v>0.15</v>
      </c>
      <c r="CF34" s="35">
        <f>=SUM(CF35:CF40)</f>
        <v>0.15</v>
      </c>
      <c r="CG34" s="35">
        <f>=SUM(CG35:CG40)</f>
        <v>0.15</v>
      </c>
      <c r="CH34" s="35">
        <f>=SUM(CH35:CH40)</f>
        <v>0.15</v>
      </c>
      <c r="CI34" s="35">
        <f>=SUM(CI35:CI40)</f>
        <v>0.15</v>
      </c>
      <c r="CJ34" s="35">
        <f>=SUM(CJ35:CJ40)</f>
        <v>0.15</v>
      </c>
      <c r="CK34" s="35">
        <f>=SUM(CK35:CK40)</f>
        <v>0.15</v>
      </c>
      <c r="CL34" s="35">
        <f>=SUM(CL35:CL40)</f>
        <v>0.15</v>
      </c>
      <c r="CM34" s="35">
        <f>=SUM(CM35:CM40)</f>
        <v>0.15</v>
      </c>
      <c r="CN34" s="35">
        <f>=SUM(CN35:CN40)</f>
        <v>0.15</v>
      </c>
      <c r="CO34" s="35">
        <f>=SUM(CO35:CO40)</f>
        <v>0.15</v>
      </c>
      <c r="CP34" s="35">
        <f>=SUM(CP35:CP40)</f>
        <v>0.15</v>
      </c>
      <c r="CQ34" s="35">
        <f>=SUM(CQ35:CQ40)</f>
        <v>0.15</v>
      </c>
      <c r="CR34" s="35">
        <f>=SUM(CR35:CR40)</f>
        <v>0.15</v>
      </c>
      <c r="CS34" s="35">
        <f>=SUM(CS35:CS40)</f>
        <v>0.15</v>
      </c>
      <c r="CT34" s="35">
        <f>=SUM(CT35:CT40)</f>
        <v>0.15</v>
      </c>
      <c r="CU34" s="35">
        <f>=SUM(CU35:CU40)</f>
        <v>0.15</v>
      </c>
      <c r="CV34" s="35">
        <f>=SUM(CV35:CV40)</f>
        <v>0.15</v>
      </c>
      <c r="CW34" s="35">
        <f>=SUM(CW35:CW40)</f>
        <v>0.15</v>
      </c>
      <c r="CX34" s="35">
        <f>=SUM(CX35:CX40)</f>
        <v>0.15</v>
      </c>
      <c r="CY34" s="35">
        <f>=SUM(CY35:CY40)</f>
        <v>0.15</v>
      </c>
      <c r="CZ34" s="35">
        <f>=SUM(CZ35:CZ40)</f>
        <v>0.15</v>
      </c>
      <c r="DA34" s="35">
        <f>=SUM(DA35:DA40)</f>
        <v>0.15</v>
      </c>
      <c r="DB34" s="35">
        <f>=SUM(DB35:DB40)</f>
        <v>0.15</v>
      </c>
    </row>
    <row r="35" ht="18" customHeight="1" spans="1:106" x14ac:dyDescent="0.25">
      <c r="A35" s="36" t="s">
        <v>268</v>
      </c>
      <c r="B35" s="17"/>
      <c r="C35" s="37">
        <v>0.06</v>
      </c>
      <c r="D35" s="37">
        <v>0.06</v>
      </c>
      <c r="E35" s="37">
        <v>0.06</v>
      </c>
      <c r="F35" s="37">
        <v>0.06</v>
      </c>
      <c r="G35" s="37">
        <v>0.06</v>
      </c>
      <c r="H35" s="37">
        <v>0.06</v>
      </c>
      <c r="I35" s="37">
        <v>0.06</v>
      </c>
      <c r="J35" s="37">
        <v>0.06</v>
      </c>
      <c r="K35" s="37">
        <v>0.06</v>
      </c>
      <c r="L35" s="37">
        <v>0.06</v>
      </c>
      <c r="M35" s="37">
        <v>0.06</v>
      </c>
      <c r="N35" s="37">
        <v>0.06</v>
      </c>
      <c r="O35" s="37">
        <v>0.06</v>
      </c>
      <c r="P35" s="37">
        <v>0.06</v>
      </c>
      <c r="Q35" s="37">
        <v>0.06</v>
      </c>
      <c r="R35" s="37">
        <v>0.06</v>
      </c>
      <c r="S35" s="37">
        <v>0.06</v>
      </c>
      <c r="T35" s="37">
        <v>0.06</v>
      </c>
      <c r="U35" s="37">
        <v>0.06</v>
      </c>
      <c r="V35" s="37">
        <v>0.06</v>
      </c>
      <c r="W35" s="37">
        <v>0.06</v>
      </c>
      <c r="X35" s="37">
        <v>0.06</v>
      </c>
      <c r="Y35" s="37">
        <v>0.06</v>
      </c>
      <c r="Z35" s="37">
        <v>0.06</v>
      </c>
      <c r="AA35" s="37">
        <v>0.06</v>
      </c>
      <c r="AB35" s="37">
        <v>0.06</v>
      </c>
      <c r="AC35" s="37">
        <v>0.06</v>
      </c>
      <c r="AD35" s="37">
        <v>0.06</v>
      </c>
      <c r="AE35" s="37">
        <v>0.06</v>
      </c>
      <c r="AF35" s="37">
        <v>0.06</v>
      </c>
      <c r="AG35" s="37">
        <v>0.06</v>
      </c>
      <c r="AH35" s="37">
        <v>0.06</v>
      </c>
      <c r="AI35" s="37">
        <v>0.06</v>
      </c>
      <c r="AJ35" s="37">
        <v>0.06</v>
      </c>
      <c r="AK35" s="37">
        <v>0.06</v>
      </c>
      <c r="AL35" s="37">
        <v>0.06</v>
      </c>
      <c r="AM35" s="37">
        <v>0.06</v>
      </c>
      <c r="AN35" s="37">
        <v>0.06</v>
      </c>
      <c r="AO35" s="37">
        <v>0.06</v>
      </c>
      <c r="AP35" s="37">
        <v>0.06</v>
      </c>
      <c r="AQ35" s="37">
        <v>0.06</v>
      </c>
      <c r="AR35" s="37">
        <v>0.06</v>
      </c>
      <c r="AS35" s="37">
        <v>0.06</v>
      </c>
      <c r="AT35" s="37">
        <v>0.06</v>
      </c>
      <c r="AU35" s="37">
        <v>0.06</v>
      </c>
      <c r="AV35" s="37">
        <v>0.06</v>
      </c>
      <c r="AW35" s="37">
        <v>0.06</v>
      </c>
      <c r="AX35" s="37">
        <v>0.06</v>
      </c>
      <c r="AY35" s="37">
        <v>0.06</v>
      </c>
      <c r="AZ35" s="37">
        <v>0.06</v>
      </c>
      <c r="BA35" s="37">
        <v>0.06</v>
      </c>
      <c r="BB35" s="37">
        <v>0.06</v>
      </c>
      <c r="BC35" s="37">
        <v>0.06</v>
      </c>
      <c r="BD35" s="37">
        <v>0.06</v>
      </c>
      <c r="BE35" s="37">
        <v>0.06</v>
      </c>
      <c r="BF35" s="37">
        <v>0.06</v>
      </c>
      <c r="BG35" s="37">
        <v>0.06</v>
      </c>
      <c r="BH35" s="37">
        <v>0.06</v>
      </c>
      <c r="BI35" s="37">
        <v>0.06</v>
      </c>
      <c r="BJ35" s="37">
        <v>0.06</v>
      </c>
      <c r="BK35" s="37">
        <v>0.06</v>
      </c>
      <c r="BL35" s="37">
        <v>0.06</v>
      </c>
      <c r="BM35" s="37">
        <v>0.06</v>
      </c>
      <c r="BN35" s="37">
        <v>0.06</v>
      </c>
      <c r="BO35" s="37">
        <v>0.06</v>
      </c>
      <c r="BP35" s="37">
        <v>0.06</v>
      </c>
      <c r="BQ35" s="37">
        <v>0.06</v>
      </c>
      <c r="BR35" s="37">
        <v>0.06</v>
      </c>
      <c r="BS35" s="37">
        <v>0.06</v>
      </c>
      <c r="BT35" s="37">
        <v>0.06</v>
      </c>
      <c r="BU35" s="37">
        <v>0.06</v>
      </c>
      <c r="BV35" s="37">
        <v>0.06</v>
      </c>
      <c r="BW35" s="37">
        <v>0.06</v>
      </c>
      <c r="BX35" s="37">
        <v>0.06</v>
      </c>
      <c r="BY35" s="37">
        <v>0.06</v>
      </c>
      <c r="BZ35" s="37">
        <v>0.06</v>
      </c>
      <c r="CA35" s="37">
        <v>0.06</v>
      </c>
      <c r="CB35" s="37">
        <v>0.06</v>
      </c>
      <c r="CC35" s="37">
        <v>0.06</v>
      </c>
      <c r="CD35" s="37">
        <v>0.06</v>
      </c>
      <c r="CE35" s="37">
        <v>0.06</v>
      </c>
      <c r="CF35" s="37">
        <v>0.06</v>
      </c>
      <c r="CG35" s="37">
        <v>0.06</v>
      </c>
      <c r="CH35" s="37">
        <v>0.06</v>
      </c>
      <c r="CI35" s="37">
        <v>0.06</v>
      </c>
      <c r="CJ35" s="37">
        <v>0.06</v>
      </c>
      <c r="CK35" s="37">
        <v>0.06</v>
      </c>
      <c r="CL35" s="37">
        <v>0.06</v>
      </c>
      <c r="CM35" s="37">
        <v>0.06</v>
      </c>
      <c r="CN35" s="37">
        <v>0.06</v>
      </c>
      <c r="CO35" s="37">
        <v>0.06</v>
      </c>
      <c r="CP35" s="37">
        <v>0.06</v>
      </c>
      <c r="CQ35" s="37">
        <v>0.06</v>
      </c>
      <c r="CR35" s="37">
        <v>0.06</v>
      </c>
      <c r="CS35" s="37">
        <v>0.06</v>
      </c>
      <c r="CT35" s="37">
        <v>0.06</v>
      </c>
      <c r="CU35" s="37">
        <v>0.06</v>
      </c>
      <c r="CV35" s="37">
        <v>0.06</v>
      </c>
      <c r="CW35" s="37">
        <v>0.06</v>
      </c>
      <c r="CX35" s="37">
        <v>0.06</v>
      </c>
      <c r="CY35" s="37">
        <v>0.06</v>
      </c>
      <c r="CZ35" s="37">
        <v>0.06</v>
      </c>
      <c r="DA35" s="37">
        <v>0.06</v>
      </c>
      <c r="DB35" s="37">
        <v>0.06</v>
      </c>
    </row>
    <row r="36" ht="18" customHeight="1" spans="1:106" x14ac:dyDescent="0.25">
      <c r="A36" s="36" t="s">
        <v>269</v>
      </c>
      <c r="B36" s="17"/>
      <c r="C36" s="37">
        <v>0.03</v>
      </c>
      <c r="D36" s="37">
        <v>0.03</v>
      </c>
      <c r="E36" s="37">
        <v>0.03</v>
      </c>
      <c r="F36" s="37">
        <v>0.03</v>
      </c>
      <c r="G36" s="37">
        <v>0.03</v>
      </c>
      <c r="H36" s="37">
        <v>0.03</v>
      </c>
      <c r="I36" s="37">
        <v>0.03</v>
      </c>
      <c r="J36" s="37">
        <v>0.03</v>
      </c>
      <c r="K36" s="37">
        <v>0.03</v>
      </c>
      <c r="L36" s="37">
        <v>0.03</v>
      </c>
      <c r="M36" s="37">
        <v>0.03</v>
      </c>
      <c r="N36" s="37">
        <v>0.03</v>
      </c>
      <c r="O36" s="37">
        <v>0.03</v>
      </c>
      <c r="P36" s="37">
        <v>0.03</v>
      </c>
      <c r="Q36" s="37">
        <v>0.03</v>
      </c>
      <c r="R36" s="37">
        <v>0.03</v>
      </c>
      <c r="S36" s="37">
        <v>0.03</v>
      </c>
      <c r="T36" s="37">
        <v>0.03</v>
      </c>
      <c r="U36" s="37">
        <v>0.03</v>
      </c>
      <c r="V36" s="37">
        <v>0.03</v>
      </c>
      <c r="W36" s="37">
        <v>0.03</v>
      </c>
      <c r="X36" s="37">
        <v>0.03</v>
      </c>
      <c r="Y36" s="37">
        <v>0.03</v>
      </c>
      <c r="Z36" s="37">
        <v>0.03</v>
      </c>
      <c r="AA36" s="37">
        <v>0.03</v>
      </c>
      <c r="AB36" s="37">
        <v>0.03</v>
      </c>
      <c r="AC36" s="37">
        <v>0.03</v>
      </c>
      <c r="AD36" s="37">
        <v>0.03</v>
      </c>
      <c r="AE36" s="37">
        <v>0.03</v>
      </c>
      <c r="AF36" s="37">
        <v>0.03</v>
      </c>
      <c r="AG36" s="37">
        <v>0.03</v>
      </c>
      <c r="AH36" s="37">
        <v>0.03</v>
      </c>
      <c r="AI36" s="37">
        <v>0.03</v>
      </c>
      <c r="AJ36" s="37">
        <v>0.03</v>
      </c>
      <c r="AK36" s="37">
        <v>0.03</v>
      </c>
      <c r="AL36" s="37">
        <v>0.03</v>
      </c>
      <c r="AM36" s="37">
        <v>0.03</v>
      </c>
      <c r="AN36" s="37">
        <v>0.03</v>
      </c>
      <c r="AO36" s="37">
        <v>0.03</v>
      </c>
      <c r="AP36" s="37">
        <v>0.03</v>
      </c>
      <c r="AQ36" s="37">
        <v>0.03</v>
      </c>
      <c r="AR36" s="37">
        <v>0.03</v>
      </c>
      <c r="AS36" s="37">
        <v>0.03</v>
      </c>
      <c r="AT36" s="37">
        <v>0.03</v>
      </c>
      <c r="AU36" s="37">
        <v>0.03</v>
      </c>
      <c r="AV36" s="37">
        <v>0.03</v>
      </c>
      <c r="AW36" s="37">
        <v>0.03</v>
      </c>
      <c r="AX36" s="37">
        <v>0.03</v>
      </c>
      <c r="AY36" s="37">
        <v>0.03</v>
      </c>
      <c r="AZ36" s="37">
        <v>0.03</v>
      </c>
      <c r="BA36" s="37">
        <v>0.03</v>
      </c>
      <c r="BB36" s="37">
        <v>0.03</v>
      </c>
      <c r="BC36" s="37">
        <v>0.03</v>
      </c>
      <c r="BD36" s="37">
        <v>0.03</v>
      </c>
      <c r="BE36" s="37">
        <v>0.03</v>
      </c>
      <c r="BF36" s="37">
        <v>0.03</v>
      </c>
      <c r="BG36" s="37">
        <v>0.03</v>
      </c>
      <c r="BH36" s="37">
        <v>0.03</v>
      </c>
      <c r="BI36" s="37">
        <v>0.03</v>
      </c>
      <c r="BJ36" s="37">
        <v>0.03</v>
      </c>
      <c r="BK36" s="37">
        <v>0.03</v>
      </c>
      <c r="BL36" s="37">
        <v>0.03</v>
      </c>
      <c r="BM36" s="37">
        <v>0.03</v>
      </c>
      <c r="BN36" s="37">
        <v>0.03</v>
      </c>
      <c r="BO36" s="37">
        <v>0.03</v>
      </c>
      <c r="BP36" s="37">
        <v>0.03</v>
      </c>
      <c r="BQ36" s="37">
        <v>0.03</v>
      </c>
      <c r="BR36" s="37">
        <v>0.03</v>
      </c>
      <c r="BS36" s="37">
        <v>0.03</v>
      </c>
      <c r="BT36" s="37">
        <v>0.03</v>
      </c>
      <c r="BU36" s="37">
        <v>0.03</v>
      </c>
      <c r="BV36" s="37">
        <v>0.03</v>
      </c>
      <c r="BW36" s="37">
        <v>0.03</v>
      </c>
      <c r="BX36" s="37">
        <v>0.03</v>
      </c>
      <c r="BY36" s="37">
        <v>0.03</v>
      </c>
      <c r="BZ36" s="37">
        <v>0.03</v>
      </c>
      <c r="CA36" s="37">
        <v>0.03</v>
      </c>
      <c r="CB36" s="37">
        <v>0.03</v>
      </c>
      <c r="CC36" s="37">
        <v>0.03</v>
      </c>
      <c r="CD36" s="37">
        <v>0.03</v>
      </c>
      <c r="CE36" s="37">
        <v>0.03</v>
      </c>
      <c r="CF36" s="37">
        <v>0.03</v>
      </c>
      <c r="CG36" s="37">
        <v>0.03</v>
      </c>
      <c r="CH36" s="37">
        <v>0.03</v>
      </c>
      <c r="CI36" s="37">
        <v>0.03</v>
      </c>
      <c r="CJ36" s="37">
        <v>0.03</v>
      </c>
      <c r="CK36" s="37">
        <v>0.03</v>
      </c>
      <c r="CL36" s="37">
        <v>0.03</v>
      </c>
      <c r="CM36" s="37">
        <v>0.03</v>
      </c>
      <c r="CN36" s="37">
        <v>0.03</v>
      </c>
      <c r="CO36" s="37">
        <v>0.03</v>
      </c>
      <c r="CP36" s="37">
        <v>0.03</v>
      </c>
      <c r="CQ36" s="37">
        <v>0.03</v>
      </c>
      <c r="CR36" s="37">
        <v>0.03</v>
      </c>
      <c r="CS36" s="37">
        <v>0.03</v>
      </c>
      <c r="CT36" s="37">
        <v>0.03</v>
      </c>
      <c r="CU36" s="37">
        <v>0.03</v>
      </c>
      <c r="CV36" s="37">
        <v>0.03</v>
      </c>
      <c r="CW36" s="37">
        <v>0.03</v>
      </c>
      <c r="CX36" s="37">
        <v>0.03</v>
      </c>
      <c r="CY36" s="37">
        <v>0.03</v>
      </c>
      <c r="CZ36" s="37">
        <v>0.03</v>
      </c>
      <c r="DA36" s="37">
        <v>0.03</v>
      </c>
      <c r="DB36" s="37">
        <v>0.03</v>
      </c>
    </row>
    <row r="37" ht="18" customHeight="1" spans="1:106" x14ac:dyDescent="0.25">
      <c r="A37" s="36" t="s">
        <v>270</v>
      </c>
      <c r="C37" s="37">
        <v>0.03</v>
      </c>
      <c r="D37" s="37">
        <v>0.03</v>
      </c>
      <c r="E37" s="37">
        <v>0.03</v>
      </c>
      <c r="F37" s="37">
        <v>0.03</v>
      </c>
      <c r="G37" s="37">
        <v>0.03</v>
      </c>
      <c r="H37" s="37">
        <v>0.03</v>
      </c>
      <c r="I37" s="37">
        <v>0.03</v>
      </c>
      <c r="J37" s="37">
        <v>0.03</v>
      </c>
      <c r="K37" s="37">
        <v>0.03</v>
      </c>
      <c r="L37" s="37">
        <v>0.03</v>
      </c>
      <c r="M37" s="37">
        <v>0.03</v>
      </c>
      <c r="N37" s="37">
        <v>0.03</v>
      </c>
      <c r="O37" s="37">
        <v>0.03</v>
      </c>
      <c r="P37" s="37">
        <v>0.03</v>
      </c>
      <c r="Q37" s="37">
        <v>0.03</v>
      </c>
      <c r="R37" s="37">
        <v>0.03</v>
      </c>
      <c r="S37" s="37">
        <v>0.03</v>
      </c>
      <c r="T37" s="37">
        <v>0.03</v>
      </c>
      <c r="U37" s="37">
        <v>0.03</v>
      </c>
      <c r="V37" s="37">
        <v>0.03</v>
      </c>
      <c r="W37" s="37">
        <v>0.03</v>
      </c>
      <c r="X37" s="37">
        <v>0.03</v>
      </c>
      <c r="Y37" s="37">
        <v>0.03</v>
      </c>
      <c r="Z37" s="37">
        <v>0.03</v>
      </c>
      <c r="AA37" s="37">
        <v>0.03</v>
      </c>
      <c r="AB37" s="37">
        <v>0.03</v>
      </c>
      <c r="AC37" s="37">
        <v>0.03</v>
      </c>
      <c r="AD37" s="37">
        <v>0.03</v>
      </c>
      <c r="AE37" s="37">
        <v>0.03</v>
      </c>
      <c r="AF37" s="37">
        <v>0.03</v>
      </c>
      <c r="AG37" s="37">
        <v>0.03</v>
      </c>
      <c r="AH37" s="37">
        <v>0.03</v>
      </c>
      <c r="AI37" s="37">
        <v>0.03</v>
      </c>
      <c r="AJ37" s="37">
        <v>0.03</v>
      </c>
      <c r="AK37" s="37">
        <v>0.03</v>
      </c>
      <c r="AL37" s="37">
        <v>0.03</v>
      </c>
      <c r="AM37" s="37">
        <v>0.03</v>
      </c>
      <c r="AN37" s="37">
        <v>0.03</v>
      </c>
      <c r="AO37" s="37">
        <v>0.03</v>
      </c>
      <c r="AP37" s="37">
        <v>0.03</v>
      </c>
      <c r="AQ37" s="37">
        <v>0.03</v>
      </c>
      <c r="AR37" s="37">
        <v>0.03</v>
      </c>
      <c r="AS37" s="37">
        <v>0.03</v>
      </c>
      <c r="AT37" s="37">
        <v>0.03</v>
      </c>
      <c r="AU37" s="37">
        <v>0.03</v>
      </c>
      <c r="AV37" s="37">
        <v>0.03</v>
      </c>
      <c r="AW37" s="37">
        <v>0.03</v>
      </c>
      <c r="AX37" s="37">
        <v>0.03</v>
      </c>
      <c r="AY37" s="37">
        <v>0.03</v>
      </c>
      <c r="AZ37" s="37">
        <v>0.03</v>
      </c>
      <c r="BA37" s="37">
        <v>0.03</v>
      </c>
      <c r="BB37" s="37">
        <v>0.03</v>
      </c>
      <c r="BC37" s="37">
        <v>0.03</v>
      </c>
      <c r="BD37" s="37">
        <v>0.03</v>
      </c>
      <c r="BE37" s="37">
        <v>0.03</v>
      </c>
      <c r="BF37" s="37">
        <v>0.03</v>
      </c>
      <c r="BG37" s="37">
        <v>0.03</v>
      </c>
      <c r="BH37" s="37">
        <v>0.03</v>
      </c>
      <c r="BI37" s="37">
        <v>0.03</v>
      </c>
      <c r="BJ37" s="37">
        <v>0.03</v>
      </c>
      <c r="BK37" s="37">
        <v>0.03</v>
      </c>
      <c r="BL37" s="37">
        <v>0.03</v>
      </c>
      <c r="BM37" s="37">
        <v>0.03</v>
      </c>
      <c r="BN37" s="37">
        <v>0.03</v>
      </c>
      <c r="BO37" s="37">
        <v>0.03</v>
      </c>
      <c r="BP37" s="37">
        <v>0.03</v>
      </c>
      <c r="BQ37" s="37">
        <v>0.03</v>
      </c>
      <c r="BR37" s="37">
        <v>0.03</v>
      </c>
      <c r="BS37" s="37">
        <v>0.03</v>
      </c>
      <c r="BT37" s="37">
        <v>0.03</v>
      </c>
      <c r="BU37" s="37">
        <v>0.03</v>
      </c>
      <c r="BV37" s="37">
        <v>0.03</v>
      </c>
      <c r="BW37" s="37">
        <v>0.03</v>
      </c>
      <c r="BX37" s="37">
        <v>0.03</v>
      </c>
      <c r="BY37" s="37">
        <v>0.03</v>
      </c>
      <c r="BZ37" s="37">
        <v>0.03</v>
      </c>
      <c r="CA37" s="37">
        <v>0.03</v>
      </c>
      <c r="CB37" s="37">
        <v>0.03</v>
      </c>
      <c r="CC37" s="37">
        <v>0.03</v>
      </c>
      <c r="CD37" s="37">
        <v>0.03</v>
      </c>
      <c r="CE37" s="37">
        <v>0.03</v>
      </c>
      <c r="CF37" s="37">
        <v>0.03</v>
      </c>
      <c r="CG37" s="37">
        <v>0.03</v>
      </c>
      <c r="CH37" s="37">
        <v>0.03</v>
      </c>
      <c r="CI37" s="37">
        <v>0.03</v>
      </c>
      <c r="CJ37" s="37">
        <v>0.03</v>
      </c>
      <c r="CK37" s="37">
        <v>0.03</v>
      </c>
      <c r="CL37" s="37">
        <v>0.03</v>
      </c>
      <c r="CM37" s="37">
        <v>0.03</v>
      </c>
      <c r="CN37" s="37">
        <v>0.03</v>
      </c>
      <c r="CO37" s="37">
        <v>0.03</v>
      </c>
      <c r="CP37" s="37">
        <v>0.03</v>
      </c>
      <c r="CQ37" s="37">
        <v>0.03</v>
      </c>
      <c r="CR37" s="37">
        <v>0.03</v>
      </c>
      <c r="CS37" s="37">
        <v>0.03</v>
      </c>
      <c r="CT37" s="37">
        <v>0.03</v>
      </c>
      <c r="CU37" s="37">
        <v>0.03</v>
      </c>
      <c r="CV37" s="37">
        <v>0.03</v>
      </c>
      <c r="CW37" s="37">
        <v>0.03</v>
      </c>
      <c r="CX37" s="37">
        <v>0.03</v>
      </c>
      <c r="CY37" s="37">
        <v>0.03</v>
      </c>
      <c r="CZ37" s="37">
        <v>0.03</v>
      </c>
      <c r="DA37" s="37">
        <v>0.03</v>
      </c>
      <c r="DB37" s="37">
        <v>0.03</v>
      </c>
    </row>
    <row r="38" ht="18" customHeight="1" spans="1:106" x14ac:dyDescent="0.25">
      <c r="A38" s="36" t="s">
        <v>271</v>
      </c>
      <c r="C38" s="37">
        <v>0.01</v>
      </c>
      <c r="D38" s="37">
        <v>0.01</v>
      </c>
      <c r="E38" s="37">
        <v>0.01</v>
      </c>
      <c r="F38" s="37">
        <v>0.01</v>
      </c>
      <c r="G38" s="37">
        <v>0.01</v>
      </c>
      <c r="H38" s="37">
        <v>0.01</v>
      </c>
      <c r="I38" s="37">
        <v>0.01</v>
      </c>
      <c r="J38" s="37">
        <v>0.01</v>
      </c>
      <c r="K38" s="37">
        <v>0.01</v>
      </c>
      <c r="L38" s="37">
        <v>0.01</v>
      </c>
      <c r="M38" s="37">
        <v>0.01</v>
      </c>
      <c r="N38" s="37">
        <v>0.01</v>
      </c>
      <c r="O38" s="37">
        <v>0.01</v>
      </c>
      <c r="P38" s="37">
        <v>0.01</v>
      </c>
      <c r="Q38" s="37">
        <v>0.01</v>
      </c>
      <c r="R38" s="37">
        <v>0.01</v>
      </c>
      <c r="S38" s="37">
        <v>0.01</v>
      </c>
      <c r="T38" s="37">
        <v>0.01</v>
      </c>
      <c r="U38" s="37">
        <v>0.01</v>
      </c>
      <c r="V38" s="37">
        <v>0.01</v>
      </c>
      <c r="W38" s="37">
        <v>0.01</v>
      </c>
      <c r="X38" s="37">
        <v>0.01</v>
      </c>
      <c r="Y38" s="37">
        <v>0.01</v>
      </c>
      <c r="Z38" s="37">
        <v>0.01</v>
      </c>
      <c r="AA38" s="37">
        <v>0.01</v>
      </c>
      <c r="AB38" s="37">
        <v>0.01</v>
      </c>
      <c r="AC38" s="37">
        <v>0.01</v>
      </c>
      <c r="AD38" s="37">
        <v>0.01</v>
      </c>
      <c r="AE38" s="37">
        <v>0.01</v>
      </c>
      <c r="AF38" s="37">
        <v>0.01</v>
      </c>
      <c r="AG38" s="37">
        <v>0.01</v>
      </c>
      <c r="AH38" s="37">
        <v>0.01</v>
      </c>
      <c r="AI38" s="37">
        <v>0.01</v>
      </c>
      <c r="AJ38" s="37">
        <v>0.01</v>
      </c>
      <c r="AK38" s="37">
        <v>0.01</v>
      </c>
      <c r="AL38" s="37">
        <v>0.01</v>
      </c>
      <c r="AM38" s="37">
        <v>0.01</v>
      </c>
      <c r="AN38" s="37">
        <v>0.01</v>
      </c>
      <c r="AO38" s="37">
        <v>0.01</v>
      </c>
      <c r="AP38" s="37">
        <v>0.01</v>
      </c>
      <c r="AQ38" s="37">
        <v>0.01</v>
      </c>
      <c r="AR38" s="37">
        <v>0.01</v>
      </c>
      <c r="AS38" s="37">
        <v>0.01</v>
      </c>
      <c r="AT38" s="37">
        <v>0.01</v>
      </c>
      <c r="AU38" s="37">
        <v>0.01</v>
      </c>
      <c r="AV38" s="37">
        <v>0.01</v>
      </c>
      <c r="AW38" s="37">
        <v>0.01</v>
      </c>
      <c r="AX38" s="37">
        <v>0.01</v>
      </c>
      <c r="AY38" s="37">
        <v>0.01</v>
      </c>
      <c r="AZ38" s="37">
        <v>0.01</v>
      </c>
      <c r="BA38" s="37">
        <v>0.01</v>
      </c>
      <c r="BB38" s="37">
        <v>0.01</v>
      </c>
      <c r="BC38" s="37">
        <v>0.01</v>
      </c>
      <c r="BD38" s="37">
        <v>0.01</v>
      </c>
      <c r="BE38" s="37">
        <v>0.01</v>
      </c>
      <c r="BF38" s="37">
        <v>0.01</v>
      </c>
      <c r="BG38" s="37">
        <v>0.01</v>
      </c>
      <c r="BH38" s="37">
        <v>0.01</v>
      </c>
      <c r="BI38" s="37">
        <v>0.01</v>
      </c>
      <c r="BJ38" s="37">
        <v>0.01</v>
      </c>
      <c r="BK38" s="37">
        <v>0.01</v>
      </c>
      <c r="BL38" s="37">
        <v>0.01</v>
      </c>
      <c r="BM38" s="37">
        <v>0.01</v>
      </c>
      <c r="BN38" s="37">
        <v>0.01</v>
      </c>
      <c r="BO38" s="37">
        <v>0.01</v>
      </c>
      <c r="BP38" s="37">
        <v>0.01</v>
      </c>
      <c r="BQ38" s="37">
        <v>0.01</v>
      </c>
      <c r="BR38" s="37">
        <v>0.01</v>
      </c>
      <c r="BS38" s="37">
        <v>0.01</v>
      </c>
      <c r="BT38" s="37">
        <v>0.01</v>
      </c>
      <c r="BU38" s="37">
        <v>0.01</v>
      </c>
      <c r="BV38" s="37">
        <v>0.01</v>
      </c>
      <c r="BW38" s="37">
        <v>0.01</v>
      </c>
      <c r="BX38" s="37">
        <v>0.01</v>
      </c>
      <c r="BY38" s="37">
        <v>0.01</v>
      </c>
      <c r="BZ38" s="37">
        <v>0.01</v>
      </c>
      <c r="CA38" s="37">
        <v>0.01</v>
      </c>
      <c r="CB38" s="37">
        <v>0.01</v>
      </c>
      <c r="CC38" s="37">
        <v>0.01</v>
      </c>
      <c r="CD38" s="37">
        <v>0.01</v>
      </c>
      <c r="CE38" s="37">
        <v>0.01</v>
      </c>
      <c r="CF38" s="37">
        <v>0.01</v>
      </c>
      <c r="CG38" s="37">
        <v>0.01</v>
      </c>
      <c r="CH38" s="37">
        <v>0.01</v>
      </c>
      <c r="CI38" s="37">
        <v>0.01</v>
      </c>
      <c r="CJ38" s="37">
        <v>0.01</v>
      </c>
      <c r="CK38" s="37">
        <v>0.01</v>
      </c>
      <c r="CL38" s="37">
        <v>0.01</v>
      </c>
      <c r="CM38" s="37">
        <v>0.01</v>
      </c>
      <c r="CN38" s="37">
        <v>0.01</v>
      </c>
      <c r="CO38" s="37">
        <v>0.01</v>
      </c>
      <c r="CP38" s="37">
        <v>0.01</v>
      </c>
      <c r="CQ38" s="37">
        <v>0.01</v>
      </c>
      <c r="CR38" s="37">
        <v>0.01</v>
      </c>
      <c r="CS38" s="37">
        <v>0.01</v>
      </c>
      <c r="CT38" s="37">
        <v>0.01</v>
      </c>
      <c r="CU38" s="37">
        <v>0.01</v>
      </c>
      <c r="CV38" s="37">
        <v>0.01</v>
      </c>
      <c r="CW38" s="37">
        <v>0.01</v>
      </c>
      <c r="CX38" s="37">
        <v>0.01</v>
      </c>
      <c r="CY38" s="37">
        <v>0.01</v>
      </c>
      <c r="CZ38" s="37">
        <v>0.01</v>
      </c>
      <c r="DA38" s="37">
        <v>0.01</v>
      </c>
      <c r="DB38" s="37">
        <v>0.01</v>
      </c>
    </row>
    <row r="39" ht="18" customHeight="1" spans="1:106" x14ac:dyDescent="0.25">
      <c r="A39" s="36" t="s">
        <v>272</v>
      </c>
      <c r="C39" s="39">
        <v>0.02</v>
      </c>
      <c r="D39" s="39">
        <v>0.02</v>
      </c>
      <c r="E39" s="39">
        <v>0.02</v>
      </c>
      <c r="F39" s="39">
        <v>0.02</v>
      </c>
      <c r="G39" s="39">
        <v>0.02</v>
      </c>
      <c r="H39" s="39">
        <v>0.02</v>
      </c>
      <c r="I39" s="39">
        <v>0.02</v>
      </c>
      <c r="J39" s="39">
        <v>0.02</v>
      </c>
      <c r="K39" s="39">
        <v>0.02</v>
      </c>
      <c r="L39" s="39">
        <v>0.02</v>
      </c>
      <c r="M39" s="39">
        <v>0.02</v>
      </c>
      <c r="N39" s="39">
        <v>0.02</v>
      </c>
      <c r="O39" s="39">
        <v>0.02</v>
      </c>
      <c r="P39" s="39">
        <v>0.02</v>
      </c>
      <c r="Q39" s="39">
        <v>0.02</v>
      </c>
      <c r="R39" s="39">
        <v>0.02</v>
      </c>
      <c r="S39" s="39">
        <v>0.02</v>
      </c>
      <c r="T39" s="39">
        <v>0.02</v>
      </c>
      <c r="U39" s="39">
        <v>0.02</v>
      </c>
      <c r="V39" s="39">
        <v>0.02</v>
      </c>
      <c r="W39" s="39">
        <v>0.02</v>
      </c>
      <c r="X39" s="39">
        <v>0.02</v>
      </c>
      <c r="Y39" s="39">
        <v>0.02</v>
      </c>
      <c r="Z39" s="39">
        <v>0.02</v>
      </c>
      <c r="AA39" s="39">
        <v>0.02</v>
      </c>
      <c r="AB39" s="39">
        <v>0.02</v>
      </c>
      <c r="AC39" s="39">
        <v>0.02</v>
      </c>
      <c r="AD39" s="39">
        <v>0.02</v>
      </c>
      <c r="AE39" s="39">
        <v>0.02</v>
      </c>
      <c r="AF39" s="39">
        <v>0.02</v>
      </c>
      <c r="AG39" s="39">
        <v>0.02</v>
      </c>
      <c r="AH39" s="39">
        <v>0.02</v>
      </c>
      <c r="AI39" s="39">
        <v>0.02</v>
      </c>
      <c r="AJ39" s="39">
        <v>0.02</v>
      </c>
      <c r="AK39" s="39">
        <v>0.02</v>
      </c>
      <c r="AL39" s="39">
        <v>0.02</v>
      </c>
      <c r="AM39" s="39">
        <v>0.02</v>
      </c>
      <c r="AN39" s="39">
        <v>0.02</v>
      </c>
      <c r="AO39" s="39">
        <v>0.02</v>
      </c>
      <c r="AP39" s="39">
        <v>0.02</v>
      </c>
      <c r="AQ39" s="39">
        <v>0.02</v>
      </c>
      <c r="AR39" s="39">
        <v>0.02</v>
      </c>
      <c r="AS39" s="39">
        <v>0.02</v>
      </c>
      <c r="AT39" s="39">
        <v>0.02</v>
      </c>
      <c r="AU39" s="39">
        <v>0.02</v>
      </c>
      <c r="AV39" s="39">
        <v>0.02</v>
      </c>
      <c r="AW39" s="39">
        <v>0.02</v>
      </c>
      <c r="AX39" s="39">
        <v>0.02</v>
      </c>
      <c r="AY39" s="39">
        <v>0.02</v>
      </c>
      <c r="AZ39" s="39">
        <v>0.02</v>
      </c>
      <c r="BA39" s="39">
        <v>0.02</v>
      </c>
      <c r="BB39" s="39">
        <v>0.02</v>
      </c>
      <c r="BC39" s="39">
        <v>0.02</v>
      </c>
      <c r="BD39" s="39">
        <v>0.02</v>
      </c>
      <c r="BE39" s="39">
        <v>0.02</v>
      </c>
      <c r="BF39" s="39">
        <v>0.02</v>
      </c>
      <c r="BG39" s="39">
        <v>0.02</v>
      </c>
      <c r="BH39" s="39">
        <v>0.02</v>
      </c>
      <c r="BI39" s="39">
        <v>0.02</v>
      </c>
      <c r="BJ39" s="39">
        <v>0.02</v>
      </c>
      <c r="BK39" s="39">
        <v>0.02</v>
      </c>
      <c r="BL39" s="39">
        <v>0.02</v>
      </c>
      <c r="BM39" s="39">
        <v>0.02</v>
      </c>
      <c r="BN39" s="39">
        <v>0.02</v>
      </c>
      <c r="BO39" s="39">
        <v>0.02</v>
      </c>
      <c r="BP39" s="39">
        <v>0.02</v>
      </c>
      <c r="BQ39" s="39">
        <v>0.02</v>
      </c>
      <c r="BR39" s="39">
        <v>0.02</v>
      </c>
      <c r="BS39" s="39">
        <v>0.02</v>
      </c>
      <c r="BT39" s="39">
        <v>0.02</v>
      </c>
      <c r="BU39" s="39">
        <v>0.02</v>
      </c>
      <c r="BV39" s="39">
        <v>0.02</v>
      </c>
      <c r="BW39" s="39">
        <v>0.02</v>
      </c>
      <c r="BX39" s="39">
        <v>0.02</v>
      </c>
      <c r="BY39" s="39">
        <v>0.02</v>
      </c>
      <c r="BZ39" s="39">
        <v>0.02</v>
      </c>
      <c r="CA39" s="39">
        <v>0.02</v>
      </c>
      <c r="CB39" s="39">
        <v>0.02</v>
      </c>
      <c r="CC39" s="39">
        <v>0.02</v>
      </c>
      <c r="CD39" s="39">
        <v>0.02</v>
      </c>
      <c r="CE39" s="39">
        <v>0.02</v>
      </c>
      <c r="CF39" s="39">
        <v>0.02</v>
      </c>
      <c r="CG39" s="39">
        <v>0.02</v>
      </c>
      <c r="CH39" s="39">
        <v>0.02</v>
      </c>
      <c r="CI39" s="39">
        <v>0.02</v>
      </c>
      <c r="CJ39" s="39">
        <v>0.02</v>
      </c>
      <c r="CK39" s="39">
        <v>0.02</v>
      </c>
      <c r="CL39" s="39">
        <v>0.02</v>
      </c>
      <c r="CM39" s="39">
        <v>0.02</v>
      </c>
      <c r="CN39" s="39">
        <v>0.02</v>
      </c>
      <c r="CO39" s="39">
        <v>0.02</v>
      </c>
      <c r="CP39" s="39">
        <v>0.02</v>
      </c>
      <c r="CQ39" s="39">
        <v>0.02</v>
      </c>
      <c r="CR39" s="39">
        <v>0.02</v>
      </c>
      <c r="CS39" s="39">
        <v>0.02</v>
      </c>
      <c r="CT39" s="39">
        <v>0.02</v>
      </c>
      <c r="CU39" s="39">
        <v>0.02</v>
      </c>
      <c r="CV39" s="39">
        <v>0.02</v>
      </c>
      <c r="CW39" s="39">
        <v>0.02</v>
      </c>
      <c r="CX39" s="39">
        <v>0.02</v>
      </c>
      <c r="CY39" s="39">
        <v>0.02</v>
      </c>
      <c r="CZ39" s="39">
        <v>0.02</v>
      </c>
      <c r="DA39" s="39">
        <v>0.02</v>
      </c>
      <c r="DB39" s="39">
        <v>0.02</v>
      </c>
    </row>
    <row r="40" ht="18" customHeight="1" spans="1:106" x14ac:dyDescent="0.25">
      <c r="A40" s="36" t="s">
        <v>273</v>
      </c>
      <c r="C40" s="39">
        <v>0</v>
      </c>
      <c r="D40" s="39">
        <v>0</v>
      </c>
      <c r="E40" s="39">
        <v>0</v>
      </c>
      <c r="F40" s="39">
        <v>0</v>
      </c>
      <c r="G40" s="39">
        <v>0</v>
      </c>
      <c r="H40" s="39">
        <v>0</v>
      </c>
      <c r="I40" s="39">
        <v>0</v>
      </c>
      <c r="J40" s="39">
        <v>0</v>
      </c>
      <c r="K40" s="39">
        <v>0</v>
      </c>
      <c r="L40" s="39">
        <v>0</v>
      </c>
      <c r="M40" s="39">
        <v>0</v>
      </c>
      <c r="N40" s="39">
        <v>0</v>
      </c>
      <c r="O40" s="39">
        <v>0</v>
      </c>
      <c r="P40" s="39">
        <v>0</v>
      </c>
      <c r="Q40" s="39">
        <v>0</v>
      </c>
      <c r="R40" s="39">
        <v>0</v>
      </c>
      <c r="S40" s="39">
        <v>0</v>
      </c>
      <c r="T40" s="39">
        <v>0</v>
      </c>
      <c r="U40" s="39">
        <v>0</v>
      </c>
      <c r="V40" s="39">
        <v>0</v>
      </c>
      <c r="W40" s="39">
        <v>0</v>
      </c>
      <c r="X40" s="39">
        <v>0</v>
      </c>
      <c r="Y40" s="39">
        <v>0</v>
      </c>
      <c r="Z40" s="39">
        <v>0</v>
      </c>
      <c r="AA40" s="39">
        <v>0</v>
      </c>
      <c r="AB40" s="39">
        <v>0</v>
      </c>
      <c r="AC40" s="39">
        <v>0</v>
      </c>
      <c r="AD40" s="39">
        <v>0</v>
      </c>
      <c r="AE40" s="39">
        <v>0</v>
      </c>
      <c r="AF40" s="39">
        <v>0</v>
      </c>
      <c r="AG40" s="39">
        <v>0</v>
      </c>
      <c r="AH40" s="39">
        <v>0</v>
      </c>
      <c r="AI40" s="39">
        <v>0</v>
      </c>
      <c r="AJ40" s="39">
        <v>0</v>
      </c>
      <c r="AK40" s="39">
        <v>0</v>
      </c>
      <c r="AL40" s="39">
        <v>0</v>
      </c>
      <c r="AM40" s="39">
        <v>0</v>
      </c>
      <c r="AN40" s="39">
        <v>0</v>
      </c>
      <c r="AO40" s="39">
        <v>0</v>
      </c>
      <c r="AP40" s="39">
        <v>0</v>
      </c>
      <c r="AQ40" s="39">
        <v>0</v>
      </c>
      <c r="AR40" s="39">
        <v>0</v>
      </c>
      <c r="AS40" s="39">
        <v>0</v>
      </c>
      <c r="AT40" s="39">
        <v>0</v>
      </c>
      <c r="AU40" s="39">
        <v>0</v>
      </c>
      <c r="AV40" s="39">
        <v>0</v>
      </c>
      <c r="AW40" s="39">
        <v>0</v>
      </c>
      <c r="AX40" s="39">
        <v>0</v>
      </c>
      <c r="AY40" s="39">
        <v>0</v>
      </c>
      <c r="AZ40" s="39">
        <v>0</v>
      </c>
      <c r="BA40" s="39">
        <v>0</v>
      </c>
      <c r="BB40" s="39">
        <v>0</v>
      </c>
      <c r="BC40" s="39">
        <v>0</v>
      </c>
      <c r="BD40" s="39">
        <v>0</v>
      </c>
      <c r="BE40" s="39">
        <v>0</v>
      </c>
      <c r="BF40" s="39">
        <v>0</v>
      </c>
      <c r="BG40" s="39">
        <v>0</v>
      </c>
      <c r="BH40" s="39">
        <v>0</v>
      </c>
      <c r="BI40" s="39">
        <v>0</v>
      </c>
      <c r="BJ40" s="39">
        <v>0</v>
      </c>
      <c r="BK40" s="39">
        <v>0</v>
      </c>
      <c r="BL40" s="39">
        <v>0</v>
      </c>
      <c r="BM40" s="39">
        <v>0</v>
      </c>
      <c r="BN40" s="39">
        <v>0</v>
      </c>
      <c r="BO40" s="39">
        <v>0</v>
      </c>
      <c r="BP40" s="39">
        <v>0</v>
      </c>
      <c r="BQ40" s="39">
        <v>0</v>
      </c>
      <c r="BR40" s="39">
        <v>0</v>
      </c>
      <c r="BS40" s="39">
        <v>0</v>
      </c>
      <c r="BT40" s="39">
        <v>0</v>
      </c>
      <c r="BU40" s="39">
        <v>0</v>
      </c>
      <c r="BV40" s="39">
        <v>0</v>
      </c>
      <c r="BW40" s="39">
        <v>0</v>
      </c>
      <c r="BX40" s="39">
        <v>0</v>
      </c>
      <c r="BY40" s="39">
        <v>0</v>
      </c>
      <c r="BZ40" s="39">
        <v>0</v>
      </c>
      <c r="CA40" s="39">
        <v>0</v>
      </c>
      <c r="CB40" s="39">
        <v>0</v>
      </c>
      <c r="CC40" s="39">
        <v>0</v>
      </c>
      <c r="CD40" s="39">
        <v>0</v>
      </c>
      <c r="CE40" s="39">
        <v>0</v>
      </c>
      <c r="CF40" s="39">
        <v>0</v>
      </c>
      <c r="CG40" s="39">
        <v>0</v>
      </c>
      <c r="CH40" s="39">
        <v>0</v>
      </c>
      <c r="CI40" s="39">
        <v>0</v>
      </c>
      <c r="CJ40" s="39">
        <v>0</v>
      </c>
      <c r="CK40" s="39">
        <v>0</v>
      </c>
      <c r="CL40" s="39">
        <v>0</v>
      </c>
      <c r="CM40" s="39">
        <v>0</v>
      </c>
      <c r="CN40" s="39">
        <v>0</v>
      </c>
      <c r="CO40" s="39">
        <v>0</v>
      </c>
      <c r="CP40" s="39">
        <v>0</v>
      </c>
      <c r="CQ40" s="39">
        <v>0</v>
      </c>
      <c r="CR40" s="39">
        <v>0</v>
      </c>
      <c r="CS40" s="39">
        <v>0</v>
      </c>
      <c r="CT40" s="39">
        <v>0</v>
      </c>
      <c r="CU40" s="39">
        <v>0</v>
      </c>
      <c r="CV40" s="39">
        <v>0</v>
      </c>
      <c r="CW40" s="39">
        <v>0</v>
      </c>
      <c r="CX40" s="39">
        <v>0</v>
      </c>
      <c r="CY40" s="39">
        <v>0</v>
      </c>
      <c r="CZ40" s="39">
        <v>0</v>
      </c>
      <c r="DA40" s="39">
        <v>0</v>
      </c>
      <c r="DB40" s="39">
        <v>0</v>
      </c>
    </row>
    <row r="41" ht="16" customHeight="1" spans="1:106" x14ac:dyDescent="0.25">
      <c r="A41" s="20" t="s">
        <v>274</v>
      </c>
      <c r="B41" s="17"/>
      <c r="C41" s="75">
        <v>0.015</v>
      </c>
      <c r="D41" s="75">
        <v>0.015</v>
      </c>
      <c r="E41" s="75">
        <v>0.015</v>
      </c>
      <c r="F41" s="75">
        <v>0.015</v>
      </c>
      <c r="G41" s="75">
        <v>0.015</v>
      </c>
      <c r="H41" s="75">
        <v>0.015</v>
      </c>
      <c r="I41" s="75">
        <v>0.015</v>
      </c>
      <c r="J41" s="75">
        <v>0.015</v>
      </c>
      <c r="K41" s="75">
        <v>0.015</v>
      </c>
      <c r="L41" s="75">
        <v>0.015</v>
      </c>
      <c r="M41" s="75">
        <v>0.015</v>
      </c>
      <c r="N41" s="75">
        <v>0.015</v>
      </c>
      <c r="O41" s="75">
        <v>0.015</v>
      </c>
      <c r="P41" s="75">
        <v>0.015</v>
      </c>
      <c r="Q41" s="75">
        <v>0.015</v>
      </c>
      <c r="R41" s="75">
        <v>0.015</v>
      </c>
      <c r="S41" s="75">
        <v>0.015</v>
      </c>
      <c r="T41" s="75">
        <v>0.015</v>
      </c>
      <c r="U41" s="75">
        <v>0.015</v>
      </c>
      <c r="V41" s="75">
        <v>0.015</v>
      </c>
      <c r="W41" s="75">
        <v>0.015</v>
      </c>
      <c r="X41" s="75">
        <v>0.015</v>
      </c>
      <c r="Y41" s="75">
        <v>0.015</v>
      </c>
      <c r="Z41" s="75">
        <v>0.015</v>
      </c>
      <c r="AA41" s="75">
        <v>0.015</v>
      </c>
      <c r="AB41" s="75">
        <v>0.015</v>
      </c>
      <c r="AC41" s="75">
        <v>0.015</v>
      </c>
      <c r="AD41" s="75">
        <v>0.015</v>
      </c>
      <c r="AE41" s="75">
        <v>0.015</v>
      </c>
      <c r="AF41" s="75">
        <v>0.015</v>
      </c>
      <c r="AG41" s="75">
        <v>0.015</v>
      </c>
      <c r="AH41" s="75">
        <v>0.015</v>
      </c>
      <c r="AI41" s="75">
        <v>0.015</v>
      </c>
      <c r="AJ41" s="75">
        <v>0.015</v>
      </c>
      <c r="AK41" s="75">
        <v>0.015</v>
      </c>
      <c r="AL41" s="75">
        <v>0.015</v>
      </c>
      <c r="AM41" s="75">
        <v>0.015</v>
      </c>
      <c r="AN41" s="75">
        <v>0.015</v>
      </c>
      <c r="AO41" s="75">
        <v>0.015</v>
      </c>
      <c r="AP41" s="75">
        <v>0.015</v>
      </c>
      <c r="AQ41" s="75">
        <v>0.015</v>
      </c>
      <c r="AR41" s="75">
        <v>0.015</v>
      </c>
      <c r="AS41" s="75">
        <v>0.015</v>
      </c>
      <c r="AT41" s="75">
        <v>0.015</v>
      </c>
      <c r="AU41" s="75">
        <v>0.015</v>
      </c>
      <c r="AV41" s="75">
        <v>0.015</v>
      </c>
      <c r="AW41" s="75">
        <v>0.015</v>
      </c>
      <c r="AX41" s="75">
        <v>0.015</v>
      </c>
      <c r="AY41" s="75">
        <v>0.015</v>
      </c>
      <c r="AZ41" s="75">
        <v>0.015</v>
      </c>
      <c r="BA41" s="75">
        <v>0.015</v>
      </c>
      <c r="BB41" s="75">
        <v>0.015</v>
      </c>
      <c r="BC41" s="75">
        <v>0.01</v>
      </c>
      <c r="BD41" s="75">
        <v>0.01</v>
      </c>
      <c r="BE41" s="75">
        <v>0.01</v>
      </c>
      <c r="BF41" s="75">
        <v>0.01</v>
      </c>
      <c r="BG41" s="75">
        <v>0.01</v>
      </c>
      <c r="BH41" s="75">
        <v>0.0125</v>
      </c>
      <c r="BI41" s="75">
        <v>0.0125</v>
      </c>
      <c r="BJ41" s="75">
        <v>0.0125</v>
      </c>
      <c r="BK41" s="75">
        <v>0.0125</v>
      </c>
      <c r="BL41" s="75">
        <v>0.0125</v>
      </c>
      <c r="BM41" s="75">
        <v>0.0125</v>
      </c>
      <c r="BN41" s="75">
        <v>0.0125</v>
      </c>
      <c r="BO41" s="75">
        <v>0.0125</v>
      </c>
      <c r="BP41" s="75">
        <v>0.01</v>
      </c>
      <c r="BQ41" s="75">
        <v>0.01</v>
      </c>
      <c r="BR41" s="75">
        <v>0.01</v>
      </c>
      <c r="BS41" s="75">
        <v>0.01</v>
      </c>
      <c r="BT41" s="75">
        <v>0.01</v>
      </c>
      <c r="BU41" s="75">
        <v>0.0125</v>
      </c>
      <c r="BV41" s="75">
        <v>0.0125</v>
      </c>
      <c r="BW41" s="75">
        <v>0.0125</v>
      </c>
      <c r="BX41" s="76">
        <v>0.0125</v>
      </c>
      <c r="BY41" s="76">
        <v>0.0125</v>
      </c>
      <c r="BZ41" s="76">
        <v>0.0125</v>
      </c>
      <c r="CA41" s="76">
        <v>0.0125</v>
      </c>
      <c r="CB41" s="76">
        <v>0.0125</v>
      </c>
      <c r="CC41" s="75">
        <v>0.01</v>
      </c>
      <c r="CD41" s="75">
        <v>0.01</v>
      </c>
      <c r="CE41" s="75">
        <v>0.01</v>
      </c>
      <c r="CF41" s="75">
        <v>0.01</v>
      </c>
      <c r="CG41" s="75">
        <v>0.01</v>
      </c>
      <c r="CH41" s="75">
        <v>0.0125</v>
      </c>
      <c r="CI41" s="75">
        <v>0.0125</v>
      </c>
      <c r="CJ41" s="75">
        <v>0.0125</v>
      </c>
      <c r="CK41" s="75">
        <v>0.0125</v>
      </c>
      <c r="CL41" s="75">
        <v>0.0125</v>
      </c>
      <c r="CM41" s="75">
        <v>0.0125</v>
      </c>
      <c r="CN41" s="75">
        <v>0.0125</v>
      </c>
      <c r="CO41" s="75">
        <v>0.0125</v>
      </c>
      <c r="CP41" s="75">
        <v>0.01</v>
      </c>
      <c r="CQ41" s="75">
        <v>0.01</v>
      </c>
      <c r="CR41" s="75">
        <v>0.01</v>
      </c>
      <c r="CS41" s="75">
        <v>0.01</v>
      </c>
      <c r="CT41" s="75">
        <v>0.01</v>
      </c>
      <c r="CU41" s="75">
        <v>0.0125</v>
      </c>
      <c r="CV41" s="75">
        <v>0.0125</v>
      </c>
      <c r="CW41" s="75">
        <v>0.0125</v>
      </c>
      <c r="CX41" s="75">
        <v>0.0125</v>
      </c>
      <c r="CY41" s="75">
        <v>0.0125</v>
      </c>
      <c r="CZ41" s="75">
        <v>0.0125</v>
      </c>
      <c r="DA41" s="75">
        <v>0.0125</v>
      </c>
      <c r="DB41" s="75">
        <v>0.0125</v>
      </c>
    </row>
    <row r="42" spans="1:106" x14ac:dyDescent="0.25">
      <c r="A42" s="36" t="s">
        <v>275</v>
      </c>
      <c r="C42" s="46"/>
      <c r="D42" s="41">
        <f>=IFERROR(C19*C41,0)</f>
        <v>0.75</v>
      </c>
      <c r="E42" s="41">
        <f>=IFERROR(D19*D41,0)</f>
        <v>0.75</v>
      </c>
      <c r="F42" s="41">
        <f>=IFERROR(E19*E41,0)</f>
        <v>0.765</v>
      </c>
      <c r="G42" s="41">
        <f>=IFERROR(F19*F41,0)</f>
        <v>0.72</v>
      </c>
      <c r="H42" s="41">
        <f>=IFERROR(G19*G41,0)</f>
        <v>0.735</v>
      </c>
      <c r="I42" s="41">
        <f>=IFERROR(H19*H41,0)</f>
        <v>0.66</v>
      </c>
      <c r="J42" s="41">
        <f>=IFERROR(I19*I41,0)</f>
        <v>0.84</v>
      </c>
      <c r="K42" s="41">
        <f>=IFERROR(J19*J41,0)</f>
        <v>0.855</v>
      </c>
      <c r="L42" s="41">
        <f>=IFERROR(K19*K41,0)</f>
        <v>0.84</v>
      </c>
      <c r="M42" s="41">
        <f>=IFERROR(L19*L41,0)</f>
        <v>0.81</v>
      </c>
      <c r="N42" s="41">
        <f>=IFERROR(M19*M41,0)</f>
        <v>0.78</v>
      </c>
      <c r="O42" s="41">
        <f>=IFERROR(N19*N41,0)</f>
        <v>0.81</v>
      </c>
      <c r="P42" s="41">
        <f>=IFERROR(O19*O41,0)</f>
        <v>0.765</v>
      </c>
      <c r="Q42" s="41">
        <f>=IFERROR(P19*P41,0)</f>
        <v>0.75</v>
      </c>
      <c r="R42" s="41">
        <f>=IFERROR(Q19*Q41,0)</f>
        <v>0.75</v>
      </c>
      <c r="S42" s="41">
        <f>=IFERROR(R19*R41,0)</f>
        <v>0.72</v>
      </c>
      <c r="T42" s="41">
        <f>=IFERROR(S19*S41,0)</f>
        <v>0.705</v>
      </c>
      <c r="U42" s="41">
        <f>=IFERROR(T19*T41,0)</f>
        <v>0.735</v>
      </c>
      <c r="V42" s="41">
        <f>=IFERROR(U19*U41,0)</f>
        <v>0.705</v>
      </c>
      <c r="W42" s="41">
        <f>=IFERROR(V19*V41,0)</f>
        <v>0.66</v>
      </c>
      <c r="X42" s="41">
        <f>=IFERROR(W19*W41,0)</f>
        <v>0.6</v>
      </c>
      <c r="Y42" s="41">
        <f>=IFERROR(X19*X41,0)</f>
        <v>0.585</v>
      </c>
      <c r="Z42" s="41">
        <f>=IFERROR(Y19*Y41,0)</f>
        <v>0.63</v>
      </c>
      <c r="AA42" s="41">
        <f>=IFERROR(Z19*Z41,0)</f>
        <v>0.555</v>
      </c>
      <c r="AB42" s="41">
        <f>=IFERROR(AA19*AA41,0)</f>
        <v>0.72</v>
      </c>
      <c r="AC42" s="41">
        <f>=IFERROR(AB19*AB41,0)</f>
        <v>0.69</v>
      </c>
      <c r="AD42" s="41">
        <f>=IFERROR(AC19*AC41,0)</f>
        <v>0.6</v>
      </c>
      <c r="AE42" s="41">
        <f>=IFERROR(AD19*AD41,0)</f>
        <v>0.585</v>
      </c>
      <c r="AF42" s="41">
        <f>=IFERROR(AE19*AE41,0)</f>
        <v>0.54</v>
      </c>
      <c r="AG42" s="41">
        <f>=IFERROR(AF19*AF41,0)</f>
        <v>0.555</v>
      </c>
      <c r="AH42" s="41">
        <f>=IFERROR(AG19*AG41,0)</f>
        <v>0.735</v>
      </c>
      <c r="AI42" s="41">
        <f>=IFERROR(AH19*AH41,0)</f>
        <v>0.72</v>
      </c>
      <c r="AJ42" s="41">
        <f>=IFERROR(AI19*AI41,0)</f>
        <v>0.69</v>
      </c>
      <c r="AK42" s="41">
        <f>=IFERROR(AJ19*AJ41,0)</f>
        <v>0.645</v>
      </c>
      <c r="AL42" s="41">
        <f>=IFERROR(AK19*AK41,0)</f>
        <v>0.81</v>
      </c>
      <c r="AM42" s="41">
        <f>=IFERROR(AL19*AL41,0)</f>
        <v>0.81</v>
      </c>
      <c r="AN42" s="41">
        <f>=IFERROR(AM19*AM41,0)</f>
        <v>0.915</v>
      </c>
      <c r="AO42" s="41">
        <f>=IFERROR(AN19*AN41,0)</f>
        <v>0.915</v>
      </c>
      <c r="AP42" s="41">
        <f>=IFERROR(AO19*AO41,0)</f>
        <v>1.02</v>
      </c>
      <c r="AQ42" s="41">
        <f>=IFERROR(AP19*AP41,0)</f>
        <v>0.915</v>
      </c>
      <c r="AR42" s="41">
        <f>=IFERROR(AQ19*AQ41,0)</f>
        <v>1.035</v>
      </c>
      <c r="AS42" s="41">
        <f>=IFERROR(AR19*AR41,0)</f>
        <v>1.125</v>
      </c>
      <c r="AT42" s="41">
        <f>=IFERROR(AS19*AS41,0)</f>
        <v>1.125</v>
      </c>
      <c r="AU42" s="41">
        <f>=IFERROR(AT19*AT41,0)</f>
        <v>1.44</v>
      </c>
      <c r="AV42" s="41">
        <f>=IFERROR(AU19*AU41,0)</f>
        <v>1.605</v>
      </c>
      <c r="AW42" s="41">
        <f>=IFERROR(AV19*AV41,0)</f>
        <v>1.56</v>
      </c>
      <c r="AX42" s="41">
        <f>=IFERROR(AW19*AW41,0)</f>
        <v>1.515</v>
      </c>
      <c r="AY42" s="41">
        <f>=IFERROR(AX19*AX41,0)</f>
        <v>1.725</v>
      </c>
      <c r="AZ42" s="41">
        <f>=IFERROR(AY19*AY41,0)</f>
        <v>1.905</v>
      </c>
      <c r="BA42" s="41">
        <f>=IFERROR(AZ19*AZ41,0)</f>
        <v>2.22</v>
      </c>
      <c r="BB42" s="41">
        <f>=IFERROR(BA19*BA41,0)</f>
        <v>2.325</v>
      </c>
      <c r="BC42" s="41">
        <f>=IFERROR(BB19*BB41,0)</f>
        <v>2.19</v>
      </c>
      <c r="BD42" s="41">
        <f>=IFERROR(BC19*BC41,0)</f>
        <v>1.33</v>
      </c>
      <c r="BE42" s="41">
        <f>=IFERROR(BD19*BD41,0)</f>
        <v>1.33</v>
      </c>
      <c r="BF42" s="41">
        <f>=IFERROR(BE19*BE41,0)</f>
        <v>1.26</v>
      </c>
      <c r="BG42" s="41">
        <f>=IFERROR(BF19*BF41,0)</f>
        <v>1.45</v>
      </c>
      <c r="BH42" s="41">
        <f>=IFERROR(BG19*BG41,0)</f>
        <v>1.47</v>
      </c>
      <c r="BI42" s="41">
        <f>=IFERROR(BH19*BH41,0)</f>
        <v>1.8375</v>
      </c>
      <c r="BJ42" s="41">
        <f>=IFERROR(BI19*BI41,0)</f>
        <v>1.825</v>
      </c>
      <c r="BK42" s="41">
        <f>=IFERROR(BJ19*BJ41,0)</f>
        <v>1.75</v>
      </c>
      <c r="BL42" s="41">
        <f>=IFERROR(BK19*BK41,0)</f>
        <v>1.725</v>
      </c>
      <c r="BM42" s="41">
        <f>=IFERROR(BL19*BL41,0)</f>
        <v>1.7</v>
      </c>
      <c r="BN42" s="41">
        <f>=IFERROR(BM19*BM41,0)</f>
        <v>1.6</v>
      </c>
      <c r="BO42" s="41">
        <f>=IFERROR(BN19*BN41,0)</f>
        <v>1.6375</v>
      </c>
      <c r="BP42" s="41">
        <f>=IFERROR(BO19*BO41,0)</f>
        <v>1.5125</v>
      </c>
      <c r="BQ42" s="41">
        <f>=IFERROR(BP19*BP41,0)</f>
        <v>1.18</v>
      </c>
      <c r="BR42" s="41">
        <f>=IFERROR(BQ19*BQ41,0)</f>
        <v>1.23</v>
      </c>
      <c r="BS42" s="41">
        <f>=IFERROR(BR19*BR41,0)</f>
        <v>1.16</v>
      </c>
      <c r="BT42" s="41">
        <f>=IFERROR(BS19*BS41,0)</f>
        <v>1.1</v>
      </c>
      <c r="BU42" s="41">
        <f>=IFERROR(BT19*BT41,0)</f>
        <v>1.07</v>
      </c>
      <c r="BV42" s="41">
        <f>=IFERROR(BU19*BU41,0)</f>
        <v>1.35</v>
      </c>
      <c r="BW42" s="41">
        <f>=IFERROR(BV19*BV41,0)</f>
        <v>1.325</v>
      </c>
      <c r="BX42" s="41">
        <f>=IFERROR(BW19*BW41,0)</f>
        <v>1.3</v>
      </c>
      <c r="BY42" s="41">
        <f>=IFERROR(BX19*BX41,0)</f>
        <v>1.2625</v>
      </c>
      <c r="BZ42" s="41">
        <f>=IFERROR(BY19*BY41,0)</f>
        <v>1.2</v>
      </c>
      <c r="CA42" s="41">
        <f>=IFERROR(BZ19*BZ41,0)</f>
        <v>1.185</v>
      </c>
      <c r="CB42" s="41">
        <f>=IFERROR(CA19*CA41,0)</f>
        <v>1.1701875</v>
      </c>
      <c r="CC42" s="41">
        <f>=IFERROR(CB19*CB41,0)</f>
        <v>1.15556015625</v>
      </c>
      <c r="CD42" s="41">
        <f>=IFERROR(CC19*CC41,0)</f>
        <v>0.9128925234375</v>
      </c>
      <c r="CE42" s="41">
        <f>=IFERROR(CD19*CD41,0)</f>
        <v>0.9037635982031248</v>
      </c>
      <c r="CF42" s="41">
        <f>=IFERROR(CE19*CE41,0)</f>
        <v>0.8947259622210937</v>
      </c>
      <c r="CG42" s="41">
        <f>=IFERROR(CF19*CF41,0)</f>
        <v>0.7857787025988829</v>
      </c>
      <c r="CH42" s="41">
        <f>=IFERROR(CG19*CG41,0)</f>
        <v>0.7779209155728941</v>
      </c>
      <c r="CI42" s="41">
        <f>=IFERROR(CH19*CH41,0)</f>
        <v>0.9626771330214567</v>
      </c>
      <c r="CJ42" s="41">
        <f>=IFERROR(CI19*CI41,0)</f>
        <v>0.9506436688586883</v>
      </c>
      <c r="CK42" s="41">
        <f>=IFERROR(CJ19*CJ41,0)</f>
        <v>0.9387606229979549</v>
      </c>
      <c r="CL42" s="41">
        <f>=IFERROR(CK19*CK41,0)</f>
        <v>0.9270261152104806</v>
      </c>
      <c r="CM42" s="41">
        <f>=IFERROR(CL19*CL41,0)</f>
        <v>0.9154382887703496</v>
      </c>
      <c r="CN42" s="41">
        <f>=IFERROR(CM19*CM41,0)</f>
        <v>0.9039953101607201</v>
      </c>
      <c r="CO42" s="41">
        <f>=IFERROR(CN19*CN41,0)</f>
        <v>0.8926953687837111</v>
      </c>
      <c r="CP42" s="41">
        <f>=IFERROR(CO19*CO41,0)</f>
        <v>0.8815366766739148</v>
      </c>
      <c r="CQ42" s="41">
        <f>=IFERROR(CP19*CP41,0)</f>
        <v>0.6964139745723926</v>
      </c>
      <c r="CR42" s="41">
        <f>=IFERROR(CQ19*CQ41,0)</f>
        <v>0.6894498348266688</v>
      </c>
      <c r="CS42" s="41">
        <f>=IFERROR(CR19*CR41,0)</f>
        <v>0.6825553364784022</v>
      </c>
      <c r="CT42" s="41">
        <f>=IFERROR(CS19*CS41,0)</f>
        <v>0.6757297831136183</v>
      </c>
      <c r="CU42" s="41">
        <f>=IFERROR(CT19*CT41,0)</f>
        <v>0.668972485282482</v>
      </c>
      <c r="CV42" s="41">
        <f>=IFERROR(CU19*CU41,0)</f>
        <v>0.8278534505370717</v>
      </c>
      <c r="CW42" s="41">
        <f>=IFERROR(CV19*CV41,0)</f>
        <v>0.8175052824053582</v>
      </c>
      <c r="CX42" s="41">
        <f>=IFERROR(CW19*CW41,0)</f>
        <v>0.8072864663752912</v>
      </c>
      <c r="CY42" s="41">
        <f>=IFERROR(CX19*CX41,0)</f>
        <v>0.7971953855456001</v>
      </c>
      <c r="CZ42" s="41">
        <f>=IFERROR(CY19*CY41,0)</f>
        <v>0.7872304432262802</v>
      </c>
      <c r="DA42" s="41">
        <f>=IFERROR(CZ19*CZ41,0)</f>
        <v>0.7773900626859518</v>
      </c>
      <c r="DB42" s="41">
        <f>=IFERROR(DA19*DA41,0)</f>
        <v>0.7676726869023774</v>
      </c>
    </row>
    <row r="43" ht="16" customHeight="1" spans="1:106" x14ac:dyDescent="0.25">
      <c r="A43" s="20" t="s">
        <v>276</v>
      </c>
      <c r="B43" s="17"/>
      <c r="C43" s="45">
        <v>0.04</v>
      </c>
      <c r="D43" s="45">
        <v>0.04</v>
      </c>
      <c r="E43" s="45">
        <v>0.04</v>
      </c>
      <c r="F43" s="45">
        <v>0.04</v>
      </c>
      <c r="G43" s="45">
        <v>0.04</v>
      </c>
      <c r="H43" s="45">
        <v>0.04</v>
      </c>
      <c r="I43" s="45">
        <v>0.04</v>
      </c>
      <c r="J43" s="45">
        <v>0.04</v>
      </c>
      <c r="K43" s="45">
        <v>0.04</v>
      </c>
      <c r="L43" s="45">
        <v>0.04</v>
      </c>
      <c r="M43" s="45">
        <v>0.04</v>
      </c>
      <c r="N43" s="45">
        <v>0.04</v>
      </c>
      <c r="O43" s="45">
        <v>0.04</v>
      </c>
      <c r="P43" s="45">
        <v>0.04</v>
      </c>
      <c r="Q43" s="45">
        <v>0.04</v>
      </c>
      <c r="R43" s="45">
        <v>0.04</v>
      </c>
      <c r="S43" s="45">
        <v>0.04</v>
      </c>
      <c r="T43" s="45">
        <v>0.04</v>
      </c>
      <c r="U43" s="45">
        <v>0.04</v>
      </c>
      <c r="V43" s="45">
        <v>0.04</v>
      </c>
      <c r="W43" s="45">
        <v>0.04</v>
      </c>
      <c r="X43" s="45">
        <v>0.04</v>
      </c>
      <c r="Y43" s="45">
        <v>0.04</v>
      </c>
      <c r="Z43" s="45">
        <v>0.04</v>
      </c>
      <c r="AA43" s="45">
        <v>0.04</v>
      </c>
      <c r="AB43" s="45">
        <v>0.04</v>
      </c>
      <c r="AC43" s="45">
        <v>0.04</v>
      </c>
      <c r="AD43" s="45">
        <v>0.04</v>
      </c>
      <c r="AE43" s="45">
        <v>0.04</v>
      </c>
      <c r="AF43" s="45">
        <v>0.04</v>
      </c>
      <c r="AG43" s="45">
        <v>0.04</v>
      </c>
      <c r="AH43" s="45">
        <v>0.04</v>
      </c>
      <c r="AI43" s="45">
        <v>0.04</v>
      </c>
      <c r="AJ43" s="45">
        <v>0.04</v>
      </c>
      <c r="AK43" s="45">
        <v>0.04</v>
      </c>
      <c r="AL43" s="45">
        <v>0.04</v>
      </c>
      <c r="AM43" s="45">
        <v>0.04</v>
      </c>
      <c r="AN43" s="45">
        <v>0.04</v>
      </c>
      <c r="AO43" s="45">
        <v>0.04</v>
      </c>
      <c r="AP43" s="45">
        <v>0.04</v>
      </c>
      <c r="AQ43" s="45">
        <v>0.04</v>
      </c>
      <c r="AR43" s="45">
        <v>0.04</v>
      </c>
      <c r="AS43" s="45">
        <v>0.04</v>
      </c>
      <c r="AT43" s="45">
        <v>0.04</v>
      </c>
      <c r="AU43" s="45">
        <v>0.04</v>
      </c>
      <c r="AV43" s="45">
        <v>0.04</v>
      </c>
      <c r="AW43" s="45">
        <v>0.04</v>
      </c>
      <c r="AX43" s="45">
        <v>0.04</v>
      </c>
      <c r="AY43" s="45">
        <v>0.04</v>
      </c>
      <c r="AZ43" s="45">
        <v>0.04</v>
      </c>
      <c r="BA43" s="45">
        <v>0.04</v>
      </c>
      <c r="BB43" s="45">
        <v>0.04</v>
      </c>
      <c r="BC43" s="45">
        <v>0.04</v>
      </c>
      <c r="BD43" s="45">
        <v>0.04</v>
      </c>
      <c r="BE43" s="45">
        <v>0.04</v>
      </c>
      <c r="BF43" s="45">
        <v>0.04</v>
      </c>
      <c r="BG43" s="45">
        <v>0.04</v>
      </c>
      <c r="BH43" s="45">
        <v>0.04</v>
      </c>
      <c r="BI43" s="45">
        <v>0.04</v>
      </c>
      <c r="BJ43" s="45">
        <v>0.04</v>
      </c>
      <c r="BK43" s="45">
        <v>0.04</v>
      </c>
      <c r="BL43" s="45">
        <v>0.04</v>
      </c>
      <c r="BM43" s="45">
        <v>0.04</v>
      </c>
      <c r="BN43" s="45">
        <v>0.04</v>
      </c>
      <c r="BO43" s="45">
        <v>0.04</v>
      </c>
      <c r="BP43" s="45">
        <v>0.04</v>
      </c>
      <c r="BQ43" s="45">
        <v>0.04</v>
      </c>
      <c r="BR43" s="45">
        <v>0.04</v>
      </c>
      <c r="BS43" s="45">
        <v>0.04</v>
      </c>
      <c r="BT43" s="45">
        <v>0.04</v>
      </c>
      <c r="BU43" s="45">
        <v>0.04</v>
      </c>
      <c r="BV43" s="45">
        <v>0.04</v>
      </c>
      <c r="BW43" s="45">
        <v>0.04</v>
      </c>
      <c r="BX43" s="45">
        <v>0.04</v>
      </c>
      <c r="BY43" s="45">
        <v>0.04</v>
      </c>
      <c r="BZ43" s="45">
        <v>0.04</v>
      </c>
      <c r="CA43" s="45">
        <v>0.04</v>
      </c>
      <c r="CB43" s="45">
        <v>0.04</v>
      </c>
      <c r="CC43" s="45">
        <v>0.04</v>
      </c>
      <c r="CD43" s="45">
        <v>0.04</v>
      </c>
      <c r="CE43" s="45">
        <v>0.04</v>
      </c>
      <c r="CF43" s="45">
        <v>0.04</v>
      </c>
      <c r="CG43" s="45">
        <v>0.04</v>
      </c>
      <c r="CH43" s="45">
        <v>0.04</v>
      </c>
      <c r="CI43" s="45">
        <v>0.04</v>
      </c>
      <c r="CJ43" s="45">
        <v>0.04</v>
      </c>
      <c r="CK43" s="45">
        <v>0.04</v>
      </c>
      <c r="CL43" s="45">
        <v>0.04</v>
      </c>
      <c r="CM43" s="45">
        <v>0.04</v>
      </c>
      <c r="CN43" s="45">
        <v>0.04</v>
      </c>
      <c r="CO43" s="45">
        <v>0.04</v>
      </c>
      <c r="CP43" s="45">
        <v>0.04</v>
      </c>
      <c r="CQ43" s="45">
        <v>0.04</v>
      </c>
      <c r="CR43" s="45">
        <v>0.04</v>
      </c>
      <c r="CS43" s="45">
        <v>0.04</v>
      </c>
      <c r="CT43" s="45">
        <v>0.04</v>
      </c>
      <c r="CU43" s="45">
        <v>0.04</v>
      </c>
      <c r="CV43" s="45">
        <v>0.04</v>
      </c>
      <c r="CW43" s="45">
        <v>0.04</v>
      </c>
      <c r="CX43" s="45">
        <v>0.04</v>
      </c>
      <c r="CY43" s="45">
        <v>0.04</v>
      </c>
      <c r="CZ43" s="45">
        <v>0.04</v>
      </c>
      <c r="DA43" s="45">
        <v>0.04</v>
      </c>
      <c r="DB43" s="45">
        <v>0.04</v>
      </c>
    </row>
    <row r="44" spans="1:106" x14ac:dyDescent="0.25">
      <c r="A44" s="36" t="s">
        <v>277</v>
      </c>
      <c r="C44" s="83">
        <f>=IFERROR(SUM(C112:C118)*C43,0)</f>
        <v>0.16</v>
      </c>
      <c r="D44" s="43">
        <f>=IFERROR(SUM(C112:C121)*C43,0)</f>
        <v>0.4</v>
      </c>
      <c r="E44" s="43">
        <f>=IFERROR(SUM(D112:D121)*D43,0)</f>
        <v>0.72</v>
      </c>
      <c r="F44" s="43">
        <f>=IFERROR(SUM(E112:E121)*E43,0)</f>
        <v>0.72</v>
      </c>
      <c r="G44" s="43">
        <f>=IFERROR(SUM(F112:F121)*F43,0)</f>
        <v>0.48</v>
      </c>
      <c r="H44" s="43">
        <f>=IFERROR(SUM(G112:G121)*G43,0)</f>
        <v>0.48</v>
      </c>
      <c r="I44" s="43">
        <f>=IFERROR(SUM(H112:H121)*H43,0)</f>
        <v>0.44</v>
      </c>
      <c r="J44" s="43">
        <f>=IFERROR(SUM(I112:I121)*I43,0)</f>
        <v>0.44</v>
      </c>
      <c r="K44" s="43">
        <f>=IFERROR(SUM(J112:J121)*J43,0)</f>
        <v>0</v>
      </c>
      <c r="L44" s="43">
        <f>=IFERROR(SUM(K112:K121)*K43,0)</f>
        <v>0</v>
      </c>
      <c r="M44" s="43">
        <f>=IFERROR(SUM(L112:L121)*L43,0)</f>
        <v>0</v>
      </c>
      <c r="N44" s="43">
        <f>=IFERROR(SUM(M112:M121)*M43,0)</f>
        <v>0</v>
      </c>
      <c r="O44" s="43">
        <f>=IFERROR(SUM(N112:N121)*N43,0)</f>
        <v>0</v>
      </c>
      <c r="P44" s="43">
        <f>=IFERROR(SUM(O112:O121)*O43,0)</f>
        <v>0</v>
      </c>
      <c r="Q44" s="43">
        <f>=IFERROR(SUM(P112:P121)*P43,0)</f>
        <v>0</v>
      </c>
      <c r="R44" s="43">
        <f>=IFERROR(SUM(Q112:Q121)*Q43,0)</f>
        <v>0</v>
      </c>
      <c r="S44" s="43">
        <f>=IFERROR(SUM(R112:R121)*R43,0)</f>
        <v>0</v>
      </c>
      <c r="T44" s="43">
        <f>=IFERROR(SUM(S112:S121)*S43,0)</f>
        <v>0</v>
      </c>
      <c r="U44" s="43">
        <f>=IFERROR(SUM(T112:T121)*T43,0)</f>
        <v>0</v>
      </c>
      <c r="V44" s="43">
        <f>=IFERROR(SUM(U112:U121)*U43,0)</f>
        <v>0.64</v>
      </c>
      <c r="W44" s="43">
        <f>=IFERROR(SUM(V112:V121)*V43,0)</f>
        <v>0.6</v>
      </c>
      <c r="X44" s="43">
        <f>=IFERROR(SUM(W112:W121)*W43,0)</f>
        <v>0.48</v>
      </c>
      <c r="Y44" s="43">
        <f>=IFERROR(SUM(X112:X121)*X43,0)</f>
        <v>0.44</v>
      </c>
      <c r="Z44" s="43">
        <f>=IFERROR(SUM(Y112:Y121)*Y43,0)</f>
        <v>0.36</v>
      </c>
      <c r="AA44" s="43">
        <f>=IFERROR(SUM(Z112:Z121)*Z43,0)</f>
        <v>0.36</v>
      </c>
      <c r="AB44" s="43">
        <f>=IFERROR(SUM(AA112:AA121)*AA43,0)</f>
        <v>0.92</v>
      </c>
      <c r="AC44" s="43">
        <f>=IFERROR(SUM(AB112:AB121)*AB43,0)</f>
        <v>0.56</v>
      </c>
      <c r="AD44" s="43">
        <f>=IFERROR(SUM(AC112:AC121)*AC43,0)</f>
        <v>0.56</v>
      </c>
      <c r="AE44" s="43">
        <f>=IFERROR(SUM(AD112:AD121)*AD43,0)</f>
        <v>0.56</v>
      </c>
      <c r="AF44" s="43">
        <f>=IFERROR(SUM(AE112:AE121)*AE43,0)</f>
        <v>1.08</v>
      </c>
      <c r="AG44" s="43">
        <f>=IFERROR(SUM(AF112:AF121)*AF43,0)</f>
        <v>1.04</v>
      </c>
      <c r="AH44" s="43">
        <f>=IFERROR(SUM(AG112:AG121)*AG43,0)</f>
        <v>1.56</v>
      </c>
      <c r="AI44" s="43">
        <f>=IFERROR(SUM(AH112:AH121)*AH43,0)</f>
        <v>1</v>
      </c>
      <c r="AJ44" s="43">
        <f>=IFERROR(SUM(AI112:AI121)*AI43,0)</f>
        <v>1.52</v>
      </c>
      <c r="AK44" s="43">
        <f>=IFERROR(SUM(AJ112:AJ121)*AJ43,0)</f>
        <v>1.28</v>
      </c>
      <c r="AL44" s="43">
        <f>=IFERROR(SUM(AK112:AK121)*AK43,0)</f>
        <v>1.76</v>
      </c>
      <c r="AM44" s="43">
        <f>=IFERROR(SUM(AL112:AL121)*AL43,0)</f>
        <v>1.6</v>
      </c>
      <c r="AN44" s="43">
        <f>=IFERROR(SUM(AM112:AM121)*AM43,0)</f>
        <v>1.44</v>
      </c>
      <c r="AO44" s="43">
        <f>=IFERROR(SUM(AN112:AN121)*AN43,0)</f>
        <v>2.48</v>
      </c>
      <c r="AP44" s="43">
        <f>=IFERROR(SUM(AO112:AO121)*AO43,0)</f>
        <v>3.12</v>
      </c>
      <c r="AQ44" s="43">
        <f>=IFERROR(SUM(AP112:AP121)*AP43,0)</f>
        <v>2.4</v>
      </c>
      <c r="AR44" s="43">
        <f>=IFERROR(SUM(AQ112:AQ121)*AQ43,0)</f>
        <v>2.32</v>
      </c>
      <c r="AS44" s="43">
        <f>=IFERROR(SUM(AR112:AR121)*AR43,0)</f>
        <v>2.52</v>
      </c>
      <c r="AT44" s="43">
        <f>=IFERROR(SUM(AS112:AS121)*AS43,0)</f>
        <v>2.76</v>
      </c>
      <c r="AU44" s="43">
        <f>=IFERROR(SUM(AT112:AT121)*AT43,0)</f>
        <v>3.8</v>
      </c>
      <c r="AV44" s="43">
        <f>=IFERROR(SUM(AU112:AU121)*AU43,0)</f>
        <v>3.28</v>
      </c>
      <c r="AW44" s="43">
        <f>=IFERROR(SUM(AV112:AV121)*AV43,0)</f>
        <v>2.76</v>
      </c>
      <c r="AX44" s="43">
        <f>=IFERROR(SUM(AW112:AW121)*AW43,0)</f>
        <v>2.48</v>
      </c>
      <c r="AY44" s="43">
        <f>=IFERROR(SUM(AX112:AX121)*AX43,0)</f>
        <v>2.36</v>
      </c>
      <c r="AZ44" s="43">
        <f>=IFERROR(SUM(AY112:AY121)*AY43,0)</f>
        <v>1.68</v>
      </c>
      <c r="BA44" s="43">
        <f>=IFERROR(SUM(AZ112:AZ121)*AZ43,0)</f>
        <v>1.76</v>
      </c>
      <c r="BB44" s="43">
        <f>=IFERROR(SUM(BA112:BA121)*BA43,0)</f>
        <v>0.96</v>
      </c>
      <c r="BC44" s="43">
        <f>=IFERROR(SUM(BB112:BB121)*BB43,0)</f>
        <v>0.6</v>
      </c>
      <c r="BD44" s="43">
        <f>=IFERROR(SUM(BC112:BC121)*BC43,0)</f>
        <v>0.6</v>
      </c>
      <c r="BE44" s="43">
        <f>=IFERROR(SUM(BD112:BD121)*BD43,0)</f>
        <v>0.6</v>
      </c>
      <c r="BF44" s="43">
        <f>=IFERROR(SUM(BE112:BE121)*BE43,0)</f>
        <v>0.52</v>
      </c>
      <c r="BG44" s="43">
        <f>=IFERROR(SUM(BF112:BF121)*BF43,0)</f>
        <v>0.52</v>
      </c>
      <c r="BH44" s="43">
        <f>=IFERROR(SUM(BG112:BG121)*BG43,0)</f>
        <v>0</v>
      </c>
      <c r="BI44" s="43">
        <f>=IFERROR(SUM(BH112:BH121)*BH43,0)</f>
        <v>0</v>
      </c>
      <c r="BJ44" s="43">
        <f>=IFERROR(SUM(BI112:BI121)*BI43,0)</f>
        <v>0</v>
      </c>
      <c r="BK44" s="43">
        <f>=IFERROR(SUM(BJ112:BJ121)*BJ43,0)</f>
        <v>0</v>
      </c>
      <c r="BL44" s="43">
        <f>=IFERROR(SUM(BK112:BK121)*BK43,0)</f>
        <v>0</v>
      </c>
      <c r="BM44" s="43">
        <f>=IFERROR(SUM(BL112:BL121)*BL43,0)</f>
        <v>0</v>
      </c>
      <c r="BN44" s="43">
        <f>=IFERROR(SUM(BM112:BM121)*BM43,0)</f>
        <v>0</v>
      </c>
      <c r="BO44" s="43">
        <f>=IFERROR(SUM(BN112:BN121)*BN43,0)</f>
        <v>0</v>
      </c>
      <c r="BP44" s="43">
        <f>=IFERROR(SUM(BO112:BO121)*BO43,0)</f>
        <v>0</v>
      </c>
      <c r="BQ44" s="43">
        <f>=IFERROR(SUM(BP112:BP121)*BP43,0)</f>
        <v>0</v>
      </c>
      <c r="BR44" s="43">
        <f>=IFERROR(SUM(BQ112:BQ121)*BQ43,0)</f>
        <v>0</v>
      </c>
      <c r="BS44" s="43">
        <f>=IFERROR(SUM(BR112:BR121)*BR43,0)</f>
        <v>0</v>
      </c>
      <c r="BT44" s="43">
        <f>=IFERROR(SUM(BS112:BS121)*BS43,0)</f>
        <v>0</v>
      </c>
      <c r="BU44" s="43">
        <f>=IFERROR(SUM(BT112:BT121)*BT43,0)</f>
        <v>0</v>
      </c>
      <c r="BV44" s="43">
        <f>=IFERROR(SUM(BU112:BU121)*BU43,0)</f>
        <v>0</v>
      </c>
      <c r="BW44" s="43">
        <f>=IFERROR(SUM(BV112:BV121)*BV43,0)</f>
        <v>0</v>
      </c>
      <c r="BX44" s="43">
        <f>=IFERROR(SUM(BW112:BW121)*BW43,0)</f>
        <v>0</v>
      </c>
      <c r="BY44" s="43">
        <f>=IFERROR(SUM(BX112:BX121)*BX43,0)</f>
        <v>0</v>
      </c>
      <c r="BZ44" s="43">
        <f>=IFERROR(SUM(BY112:BY121)*BY43,0)</f>
        <v>0</v>
      </c>
      <c r="CA44" s="43">
        <f>=IFERROR(SUM(BZ112:BZ121)*BZ43,0)</f>
        <v>0</v>
      </c>
      <c r="CB44" s="43">
        <f>=IFERROR(SUM(CA112:CA121)*CA43,0)</f>
        <v>0</v>
      </c>
      <c r="CC44" s="43">
        <f>=IFERROR(SUM(CB112:CB121)*CB43,0)</f>
        <v>0</v>
      </c>
      <c r="CD44" s="43">
        <f>=IFERROR(SUM(CC112:CC121)*CC43,0)</f>
        <v>0</v>
      </c>
      <c r="CE44" s="43">
        <f>=IFERROR(SUM(CD112:CD121)*CD43,0)</f>
        <v>0</v>
      </c>
      <c r="CF44" s="43">
        <f>=IFERROR(SUM(CE112:CE121)*CE43,0)</f>
        <v>0</v>
      </c>
      <c r="CG44" s="43">
        <f>=IFERROR(SUM(CF112:CF121)*CF43,0)</f>
        <v>0</v>
      </c>
      <c r="CH44" s="43">
        <f>=IFERROR(SUM(CG112:CG121)*CG43,0)</f>
        <v>0</v>
      </c>
      <c r="CI44" s="43">
        <f>=IFERROR(SUM(CH112:CH121)*CH43,0)</f>
        <v>0</v>
      </c>
      <c r="CJ44" s="43">
        <f>=IFERROR(SUM(CI112:CI121)*CI43,0)</f>
        <v>0</v>
      </c>
      <c r="CK44" s="43">
        <f>=IFERROR(SUM(CJ112:CJ121)*CJ43,0)</f>
        <v>0</v>
      </c>
      <c r="CL44" s="43">
        <f>=IFERROR(SUM(CK112:CK121)*CK43,0)</f>
        <v>0</v>
      </c>
      <c r="CM44" s="43">
        <f>=IFERROR(SUM(CL112:CL121)*CL43,0)</f>
        <v>0</v>
      </c>
      <c r="CN44" s="43">
        <f>=IFERROR(SUM(CM112:CM121)*CM43,0)</f>
        <v>0</v>
      </c>
      <c r="CO44" s="43">
        <f>=IFERROR(SUM(CN112:CN121)*CN43,0)</f>
        <v>0</v>
      </c>
      <c r="CP44" s="43">
        <f>=IFERROR(SUM(CO112:CO121)*CO43,0)</f>
        <v>0</v>
      </c>
      <c r="CQ44" s="43">
        <f>=IFERROR(SUM(CP112:CP121)*CP43,0)</f>
        <v>0</v>
      </c>
      <c r="CR44" s="43">
        <f>=IFERROR(SUM(CQ112:CQ121)*CQ43,0)</f>
        <v>0</v>
      </c>
      <c r="CS44" s="43">
        <f>=IFERROR(SUM(CR112:CR121)*CR43,0)</f>
        <v>0</v>
      </c>
      <c r="CT44" s="43">
        <f>=IFERROR(SUM(CS112:CS121)*CS43,0)</f>
        <v>0</v>
      </c>
      <c r="CU44" s="43">
        <f>=IFERROR(SUM(CT112:CT121)*CT43,0)</f>
        <v>0</v>
      </c>
      <c r="CV44" s="43">
        <f>=IFERROR(SUM(CU112:CU121)*CU43,0)</f>
        <v>0</v>
      </c>
      <c r="CW44" s="43">
        <f>=IFERROR(SUM(CV112:CV121)*CV43,0)</f>
        <v>0</v>
      </c>
      <c r="CX44" s="43">
        <f>=IFERROR(SUM(CW112:CW121)*CW43,0)</f>
        <v>0</v>
      </c>
      <c r="CY44" s="43">
        <f>=IFERROR(SUM(CX112:CX121)*CX43,0)</f>
        <v>0</v>
      </c>
      <c r="CZ44" s="43">
        <f>=IFERROR(SUM(CY112:CY121)*CY43,0)</f>
        <v>0</v>
      </c>
      <c r="DA44" s="43">
        <f>=IFERROR(SUM(CZ112:CZ121)*CZ43,0)</f>
        <v>0</v>
      </c>
      <c r="DB44" s="43">
        <f>=IFERROR(SUM(DA112:DA121)*DA43,0)</f>
        <v>0</v>
      </c>
    </row>
    <row r="45" ht="16" customHeight="1" spans="1:106" x14ac:dyDescent="0.25">
      <c r="A45" s="16" t="s">
        <v>278</v>
      </c>
      <c r="C45" s="44">
        <v>1</v>
      </c>
      <c r="D45" s="44">
        <v>1</v>
      </c>
      <c r="E45" s="44">
        <v>1</v>
      </c>
      <c r="F45" s="44">
        <v>1</v>
      </c>
      <c r="G45" s="44">
        <v>1</v>
      </c>
      <c r="H45" s="44">
        <v>1</v>
      </c>
      <c r="I45" s="44">
        <v>1</v>
      </c>
      <c r="J45" s="44">
        <v>1</v>
      </c>
      <c r="K45" s="44">
        <v>1</v>
      </c>
      <c r="L45" s="44">
        <v>1</v>
      </c>
      <c r="M45" s="44">
        <v>1</v>
      </c>
      <c r="N45" s="44">
        <v>1</v>
      </c>
      <c r="O45" s="44">
        <v>1</v>
      </c>
      <c r="P45" s="44">
        <v>1</v>
      </c>
      <c r="Q45" s="44">
        <v>1</v>
      </c>
      <c r="R45" s="44">
        <v>1</v>
      </c>
      <c r="S45" s="44">
        <v>1</v>
      </c>
      <c r="T45" s="44">
        <v>1</v>
      </c>
      <c r="U45" s="44">
        <v>1</v>
      </c>
      <c r="V45" s="44">
        <v>1</v>
      </c>
      <c r="W45" s="44">
        <v>1</v>
      </c>
      <c r="X45" s="44">
        <v>1</v>
      </c>
      <c r="Y45" s="44">
        <v>1</v>
      </c>
      <c r="Z45" s="44">
        <v>1</v>
      </c>
      <c r="AA45" s="44">
        <v>1</v>
      </c>
      <c r="AB45" s="44">
        <v>1</v>
      </c>
      <c r="AC45" s="44">
        <v>1</v>
      </c>
      <c r="AD45" s="44">
        <v>1</v>
      </c>
      <c r="AE45" s="44">
        <v>1</v>
      </c>
      <c r="AF45" s="44">
        <v>1</v>
      </c>
      <c r="AG45" s="44">
        <v>1</v>
      </c>
      <c r="AH45" s="44">
        <v>1</v>
      </c>
      <c r="AI45" s="44">
        <v>1</v>
      </c>
      <c r="AJ45" s="44">
        <v>1</v>
      </c>
      <c r="AK45" s="44">
        <v>1</v>
      </c>
      <c r="AL45" s="44">
        <v>1</v>
      </c>
      <c r="AM45" s="44">
        <v>1</v>
      </c>
      <c r="AN45" s="44">
        <v>1</v>
      </c>
      <c r="AO45" s="44">
        <v>1</v>
      </c>
      <c r="AP45" s="44">
        <v>1</v>
      </c>
      <c r="AQ45" s="44">
        <v>1</v>
      </c>
      <c r="AR45" s="44">
        <v>1</v>
      </c>
      <c r="AS45" s="44">
        <v>1</v>
      </c>
      <c r="AT45" s="44">
        <v>1</v>
      </c>
      <c r="AU45" s="44">
        <v>1</v>
      </c>
      <c r="AV45" s="44">
        <v>1</v>
      </c>
      <c r="AW45" s="44">
        <v>1</v>
      </c>
      <c r="AX45" s="44">
        <v>1</v>
      </c>
      <c r="AY45" s="44">
        <v>1</v>
      </c>
      <c r="AZ45" s="44">
        <v>1</v>
      </c>
      <c r="BA45" s="44">
        <v>1</v>
      </c>
      <c r="BB45" s="44">
        <v>1</v>
      </c>
      <c r="BC45" s="44">
        <v>1</v>
      </c>
      <c r="BD45" s="44">
        <v>1</v>
      </c>
      <c r="BE45" s="44">
        <v>1</v>
      </c>
      <c r="BF45" s="44">
        <v>1</v>
      </c>
      <c r="BG45" s="44">
        <v>1</v>
      </c>
      <c r="BH45" s="44">
        <v>1</v>
      </c>
      <c r="BI45" s="44">
        <v>1</v>
      </c>
      <c r="BJ45" s="44">
        <v>1</v>
      </c>
      <c r="BK45" s="44">
        <v>1</v>
      </c>
      <c r="BL45" s="44">
        <v>1</v>
      </c>
      <c r="BM45" s="44">
        <v>1</v>
      </c>
      <c r="BN45" s="44">
        <v>1</v>
      </c>
      <c r="BO45" s="44">
        <v>1</v>
      </c>
      <c r="BP45" s="44">
        <v>1</v>
      </c>
      <c r="BQ45" s="44">
        <v>1</v>
      </c>
      <c r="BR45" s="44">
        <v>1</v>
      </c>
      <c r="BS45" s="44">
        <v>1</v>
      </c>
      <c r="BT45" s="44">
        <v>1</v>
      </c>
      <c r="BU45" s="44">
        <v>1</v>
      </c>
      <c r="BV45" s="44">
        <v>1</v>
      </c>
      <c r="BW45" s="44">
        <v>1</v>
      </c>
      <c r="BX45" s="44">
        <v>1</v>
      </c>
      <c r="BY45" s="44">
        <v>1</v>
      </c>
      <c r="BZ45" s="44">
        <v>1</v>
      </c>
      <c r="CA45" s="44">
        <v>1</v>
      </c>
      <c r="CB45" s="44">
        <v>1</v>
      </c>
      <c r="CC45" s="44">
        <v>1</v>
      </c>
      <c r="CD45" s="44">
        <v>1</v>
      </c>
      <c r="CE45" s="44">
        <v>1</v>
      </c>
      <c r="CF45" s="44">
        <v>1</v>
      </c>
      <c r="CG45" s="44">
        <v>1</v>
      </c>
      <c r="CH45" s="44">
        <v>1</v>
      </c>
      <c r="CI45" s="44">
        <v>1</v>
      </c>
      <c r="CJ45" s="44">
        <v>1</v>
      </c>
      <c r="CK45" s="44">
        <v>1</v>
      </c>
      <c r="CL45" s="44">
        <v>1</v>
      </c>
      <c r="CM45" s="44">
        <v>1</v>
      </c>
      <c r="CN45" s="44">
        <v>1</v>
      </c>
      <c r="CO45" s="44">
        <v>1</v>
      </c>
      <c r="CP45" s="44">
        <v>1</v>
      </c>
      <c r="CQ45" s="44">
        <v>1</v>
      </c>
      <c r="CR45" s="44">
        <v>1</v>
      </c>
      <c r="CS45" s="44">
        <v>1</v>
      </c>
      <c r="CT45" s="44">
        <v>1</v>
      </c>
      <c r="CU45" s="44">
        <v>1</v>
      </c>
      <c r="CV45" s="44">
        <v>1</v>
      </c>
      <c r="CW45" s="44">
        <v>1</v>
      </c>
      <c r="CX45" s="44">
        <v>1</v>
      </c>
      <c r="CY45" s="44">
        <v>1</v>
      </c>
      <c r="CZ45" s="44">
        <v>1</v>
      </c>
      <c r="DA45" s="44">
        <v>1</v>
      </c>
      <c r="DB45" s="44">
        <v>1</v>
      </c>
    </row>
    <row r="46" ht="15" customHeight="1" spans="1:106" x14ac:dyDescent="0.25">
      <c r="A46" s="16" t="s">
        <v>279</v>
      </c>
      <c r="B46" s="17"/>
      <c r="C46" s="45">
        <v>0</v>
      </c>
      <c r="D46" s="45">
        <v>0</v>
      </c>
      <c r="E46" s="45">
        <v>0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v>0</v>
      </c>
      <c r="O46" s="45">
        <v>0</v>
      </c>
      <c r="P46" s="45">
        <v>0</v>
      </c>
      <c r="Q46" s="45">
        <v>0</v>
      </c>
      <c r="R46" s="45">
        <v>0</v>
      </c>
      <c r="S46" s="45">
        <v>0</v>
      </c>
      <c r="T46" s="45">
        <v>0</v>
      </c>
      <c r="U46" s="45">
        <v>0</v>
      </c>
      <c r="V46" s="45">
        <v>0</v>
      </c>
      <c r="W46" s="45">
        <v>0</v>
      </c>
      <c r="X46" s="45">
        <v>0</v>
      </c>
      <c r="Y46" s="45">
        <v>0</v>
      </c>
      <c r="Z46" s="45">
        <v>0</v>
      </c>
      <c r="AA46" s="45">
        <v>0</v>
      </c>
      <c r="AB46" s="45">
        <v>0</v>
      </c>
      <c r="AC46" s="45">
        <v>0</v>
      </c>
      <c r="AD46" s="45">
        <v>0</v>
      </c>
      <c r="AE46" s="45">
        <v>0</v>
      </c>
      <c r="AF46" s="45">
        <v>0</v>
      </c>
      <c r="AG46" s="45">
        <v>0</v>
      </c>
      <c r="AH46" s="45">
        <v>0</v>
      </c>
      <c r="AI46" s="45">
        <v>0</v>
      </c>
      <c r="AJ46" s="45">
        <v>0</v>
      </c>
      <c r="AK46" s="45">
        <v>0</v>
      </c>
      <c r="AL46" s="45">
        <v>0</v>
      </c>
      <c r="AM46" s="45">
        <v>0</v>
      </c>
      <c r="AN46" s="45">
        <v>0</v>
      </c>
      <c r="AO46" s="45">
        <v>0</v>
      </c>
      <c r="AP46" s="45">
        <v>0</v>
      </c>
      <c r="AQ46" s="45">
        <v>0</v>
      </c>
      <c r="AR46" s="45">
        <v>0</v>
      </c>
      <c r="AS46" s="45">
        <v>0</v>
      </c>
      <c r="AT46" s="45">
        <v>0</v>
      </c>
      <c r="AU46" s="45">
        <v>0</v>
      </c>
      <c r="AV46" s="45">
        <v>0</v>
      </c>
      <c r="AW46" s="45">
        <v>0</v>
      </c>
      <c r="AX46" s="45">
        <v>0</v>
      </c>
      <c r="AY46" s="45">
        <v>0</v>
      </c>
      <c r="AZ46" s="45">
        <v>0</v>
      </c>
      <c r="BA46" s="45">
        <v>0</v>
      </c>
      <c r="BB46" s="45">
        <v>0</v>
      </c>
      <c r="BC46" s="45">
        <v>0</v>
      </c>
      <c r="BD46" s="45">
        <v>0</v>
      </c>
      <c r="BE46" s="45">
        <v>0</v>
      </c>
      <c r="BF46" s="45">
        <v>0</v>
      </c>
      <c r="BG46" s="45">
        <v>0</v>
      </c>
      <c r="BH46" s="45">
        <v>0</v>
      </c>
      <c r="BI46" s="45">
        <v>0</v>
      </c>
      <c r="BJ46" s="45">
        <v>0</v>
      </c>
      <c r="BK46" s="45">
        <v>0</v>
      </c>
      <c r="BL46" s="45">
        <v>0</v>
      </c>
      <c r="BM46" s="45">
        <v>0</v>
      </c>
      <c r="BN46" s="45">
        <v>0</v>
      </c>
      <c r="BO46" s="45">
        <v>0</v>
      </c>
      <c r="BP46" s="45">
        <v>0</v>
      </c>
      <c r="BQ46" s="45">
        <v>0</v>
      </c>
      <c r="BR46" s="45">
        <v>0</v>
      </c>
      <c r="BS46" s="45">
        <v>0</v>
      </c>
      <c r="BT46" s="45">
        <v>0</v>
      </c>
      <c r="BU46" s="45">
        <v>0</v>
      </c>
      <c r="BV46" s="45">
        <v>0</v>
      </c>
      <c r="BW46" s="45">
        <v>0</v>
      </c>
      <c r="BX46" s="45">
        <v>0</v>
      </c>
      <c r="BY46" s="45">
        <v>0</v>
      </c>
      <c r="BZ46" s="45">
        <v>0</v>
      </c>
      <c r="CA46" s="45">
        <v>0</v>
      </c>
      <c r="CB46" s="45">
        <v>0</v>
      </c>
      <c r="CC46" s="45">
        <v>0</v>
      </c>
      <c r="CD46" s="45">
        <v>0</v>
      </c>
      <c r="CE46" s="45">
        <v>0</v>
      </c>
      <c r="CF46" s="45">
        <v>0</v>
      </c>
      <c r="CG46" s="45">
        <v>0</v>
      </c>
      <c r="CH46" s="45">
        <v>0</v>
      </c>
      <c r="CI46" s="45">
        <v>0</v>
      </c>
      <c r="CJ46" s="45">
        <v>0</v>
      </c>
      <c r="CK46" s="45">
        <v>0</v>
      </c>
      <c r="CL46" s="45">
        <v>0</v>
      </c>
      <c r="CM46" s="45">
        <v>0</v>
      </c>
      <c r="CN46" s="45">
        <v>0</v>
      </c>
      <c r="CO46" s="45">
        <v>0</v>
      </c>
      <c r="CP46" s="45">
        <v>0</v>
      </c>
      <c r="CQ46" s="45">
        <v>0</v>
      </c>
      <c r="CR46" s="45">
        <v>0</v>
      </c>
      <c r="CS46" s="45">
        <v>0</v>
      </c>
      <c r="CT46" s="45">
        <v>0</v>
      </c>
      <c r="CU46" s="45">
        <v>0</v>
      </c>
      <c r="CV46" s="45">
        <v>0</v>
      </c>
      <c r="CW46" s="45">
        <v>0</v>
      </c>
      <c r="CX46" s="45">
        <v>0</v>
      </c>
      <c r="CY46" s="45">
        <v>0</v>
      </c>
      <c r="CZ46" s="45">
        <v>0</v>
      </c>
      <c r="DA46" s="45">
        <v>0</v>
      </c>
      <c r="DB46" s="45">
        <v>0</v>
      </c>
    </row>
    <row r="47" ht="15" customHeight="1" spans="1:106" x14ac:dyDescent="0.25">
      <c r="A47" s="16" t="s">
        <v>280</v>
      </c>
      <c r="B47" s="17"/>
      <c r="C47" s="46">
        <v>5</v>
      </c>
      <c r="D47" s="46">
        <v>5</v>
      </c>
      <c r="E47" s="46">
        <v>5</v>
      </c>
      <c r="F47" s="46">
        <v>5</v>
      </c>
      <c r="G47" s="46">
        <v>5</v>
      </c>
      <c r="H47" s="46">
        <v>5</v>
      </c>
      <c r="I47" s="46">
        <v>5</v>
      </c>
      <c r="J47" s="46">
        <v>5</v>
      </c>
      <c r="K47" s="46">
        <v>5</v>
      </c>
      <c r="L47" s="46">
        <v>5</v>
      </c>
      <c r="M47" s="46">
        <v>5</v>
      </c>
      <c r="N47" s="46">
        <v>5</v>
      </c>
      <c r="O47" s="46">
        <v>5</v>
      </c>
      <c r="P47" s="46">
        <v>5</v>
      </c>
      <c r="Q47" s="46">
        <v>5</v>
      </c>
      <c r="R47" s="46">
        <v>5</v>
      </c>
      <c r="S47" s="46">
        <v>5</v>
      </c>
      <c r="T47" s="46">
        <v>5</v>
      </c>
      <c r="U47" s="46">
        <v>5</v>
      </c>
      <c r="V47" s="46">
        <v>5</v>
      </c>
      <c r="W47" s="46">
        <v>5</v>
      </c>
      <c r="X47" s="46">
        <v>5</v>
      </c>
      <c r="Y47" s="46">
        <v>5</v>
      </c>
      <c r="Z47" s="46">
        <v>5</v>
      </c>
      <c r="AA47" s="46">
        <v>5</v>
      </c>
      <c r="AB47" s="46">
        <v>5</v>
      </c>
      <c r="AC47" s="46">
        <v>5</v>
      </c>
      <c r="AD47" s="46">
        <v>5</v>
      </c>
      <c r="AE47" s="46">
        <v>5</v>
      </c>
      <c r="AF47" s="46">
        <v>5</v>
      </c>
      <c r="AG47" s="46">
        <v>5</v>
      </c>
      <c r="AH47" s="46">
        <v>5</v>
      </c>
      <c r="AI47" s="46">
        <v>5</v>
      </c>
      <c r="AJ47" s="46">
        <v>5</v>
      </c>
      <c r="AK47" s="46">
        <v>5</v>
      </c>
      <c r="AL47" s="46">
        <v>5</v>
      </c>
      <c r="AM47" s="46">
        <v>5</v>
      </c>
      <c r="AN47" s="46">
        <v>5</v>
      </c>
      <c r="AO47" s="46">
        <v>5</v>
      </c>
      <c r="AP47" s="46">
        <v>5</v>
      </c>
      <c r="AQ47" s="46">
        <v>5</v>
      </c>
      <c r="AR47" s="46">
        <v>5</v>
      </c>
      <c r="AS47" s="46">
        <v>5</v>
      </c>
      <c r="AT47" s="46">
        <v>5</v>
      </c>
      <c r="AU47" s="46">
        <v>5</v>
      </c>
      <c r="AV47" s="46">
        <v>5</v>
      </c>
      <c r="AW47" s="46">
        <v>5</v>
      </c>
      <c r="AX47" s="46">
        <v>5</v>
      </c>
      <c r="AY47" s="46">
        <v>5</v>
      </c>
      <c r="AZ47" s="46">
        <v>5</v>
      </c>
      <c r="BA47" s="46">
        <v>5</v>
      </c>
      <c r="BB47" s="46">
        <v>5</v>
      </c>
      <c r="BC47" s="46">
        <v>5</v>
      </c>
      <c r="BD47" s="46">
        <v>5</v>
      </c>
      <c r="BE47" s="46">
        <v>5</v>
      </c>
      <c r="BF47" s="46">
        <v>5</v>
      </c>
      <c r="BG47" s="46">
        <v>5</v>
      </c>
      <c r="BH47" s="46">
        <v>5</v>
      </c>
      <c r="BI47" s="46">
        <v>5</v>
      </c>
      <c r="BJ47" s="46">
        <v>5</v>
      </c>
      <c r="BK47" s="46">
        <v>5</v>
      </c>
      <c r="BL47" s="46">
        <v>5</v>
      </c>
      <c r="BM47" s="46">
        <v>5</v>
      </c>
      <c r="BN47" s="46">
        <v>5</v>
      </c>
      <c r="BO47" s="46">
        <v>5</v>
      </c>
      <c r="BP47" s="46">
        <v>5</v>
      </c>
      <c r="BQ47" s="46">
        <v>5</v>
      </c>
      <c r="BR47" s="46">
        <v>5</v>
      </c>
      <c r="BS47" s="46">
        <v>5</v>
      </c>
      <c r="BT47" s="46">
        <v>5</v>
      </c>
      <c r="BU47" s="46">
        <v>5</v>
      </c>
      <c r="BV47" s="46">
        <v>5</v>
      </c>
      <c r="BW47" s="46">
        <v>5</v>
      </c>
      <c r="BX47" s="46">
        <v>5</v>
      </c>
      <c r="BY47" s="46">
        <v>5</v>
      </c>
      <c r="BZ47" s="46">
        <v>5</v>
      </c>
      <c r="CA47" s="46">
        <v>5</v>
      </c>
      <c r="CB47" s="46">
        <v>5</v>
      </c>
      <c r="CC47" s="46">
        <v>5</v>
      </c>
      <c r="CD47" s="46">
        <v>5</v>
      </c>
      <c r="CE47" s="46">
        <v>5</v>
      </c>
      <c r="CF47" s="46">
        <v>5</v>
      </c>
      <c r="CG47" s="46">
        <v>5</v>
      </c>
      <c r="CH47" s="46">
        <v>5</v>
      </c>
      <c r="CI47" s="46">
        <v>5</v>
      </c>
      <c r="CJ47" s="46">
        <v>5</v>
      </c>
      <c r="CK47" s="46">
        <v>5</v>
      </c>
      <c r="CL47" s="46">
        <v>5</v>
      </c>
      <c r="CM47" s="46">
        <v>5</v>
      </c>
      <c r="CN47" s="46">
        <v>5</v>
      </c>
      <c r="CO47" s="46">
        <v>5</v>
      </c>
      <c r="CP47" s="46">
        <v>5</v>
      </c>
      <c r="CQ47" s="46">
        <v>5</v>
      </c>
      <c r="CR47" s="46">
        <v>5</v>
      </c>
      <c r="CS47" s="46">
        <v>5</v>
      </c>
      <c r="CT47" s="46">
        <v>5</v>
      </c>
      <c r="CU47" s="46">
        <v>5</v>
      </c>
      <c r="CV47" s="46">
        <v>5</v>
      </c>
      <c r="CW47" s="46">
        <v>5</v>
      </c>
      <c r="CX47" s="46">
        <v>5</v>
      </c>
      <c r="CY47" s="46">
        <v>5</v>
      </c>
      <c r="CZ47" s="46">
        <v>5</v>
      </c>
      <c r="DA47" s="46">
        <v>5</v>
      </c>
      <c r="DB47" s="46">
        <v>5</v>
      </c>
    </row>
    <row r="48" ht="16" customHeight="1" spans="1:106" x14ac:dyDescent="0.25">
      <c r="A48" s="16" t="s">
        <v>281</v>
      </c>
      <c r="B48" s="17"/>
      <c r="C48" s="46">
        <v>8</v>
      </c>
      <c r="D48" s="46">
        <v>8</v>
      </c>
      <c r="E48" s="46">
        <v>8</v>
      </c>
      <c r="F48" s="46">
        <v>8</v>
      </c>
      <c r="G48" s="46">
        <v>8</v>
      </c>
      <c r="H48" s="46">
        <v>8</v>
      </c>
      <c r="I48" s="46">
        <v>8</v>
      </c>
      <c r="J48" s="46">
        <v>8</v>
      </c>
      <c r="K48" s="46">
        <v>8</v>
      </c>
      <c r="L48" s="46">
        <v>8</v>
      </c>
      <c r="M48" s="46">
        <v>8</v>
      </c>
      <c r="N48" s="46">
        <v>8</v>
      </c>
      <c r="O48" s="46">
        <v>8</v>
      </c>
      <c r="P48" s="46">
        <v>8</v>
      </c>
      <c r="Q48" s="46">
        <v>8</v>
      </c>
      <c r="R48" s="46">
        <v>8</v>
      </c>
      <c r="S48" s="46">
        <v>8</v>
      </c>
      <c r="T48" s="46">
        <v>8</v>
      </c>
      <c r="U48" s="46">
        <v>8</v>
      </c>
      <c r="V48" s="46">
        <v>8</v>
      </c>
      <c r="W48" s="46">
        <v>8</v>
      </c>
      <c r="X48" s="46">
        <v>8</v>
      </c>
      <c r="Y48" s="46">
        <v>8</v>
      </c>
      <c r="Z48" s="46">
        <v>8</v>
      </c>
      <c r="AA48" s="46">
        <v>8</v>
      </c>
      <c r="AB48" s="46">
        <v>8</v>
      </c>
      <c r="AC48" s="46">
        <v>8</v>
      </c>
      <c r="AD48" s="46">
        <v>8</v>
      </c>
      <c r="AE48" s="46">
        <v>8</v>
      </c>
      <c r="AF48" s="46">
        <v>8</v>
      </c>
      <c r="AG48" s="46">
        <v>8</v>
      </c>
      <c r="AH48" s="46">
        <v>8</v>
      </c>
      <c r="AI48" s="46">
        <v>8</v>
      </c>
      <c r="AJ48" s="46">
        <v>8</v>
      </c>
      <c r="AK48" s="46">
        <v>8</v>
      </c>
      <c r="AL48" s="46">
        <v>8</v>
      </c>
      <c r="AM48" s="46">
        <v>8</v>
      </c>
      <c r="AN48" s="46">
        <v>8</v>
      </c>
      <c r="AO48" s="46">
        <v>8</v>
      </c>
      <c r="AP48" s="46">
        <v>8</v>
      </c>
      <c r="AQ48" s="46">
        <v>8</v>
      </c>
      <c r="AR48" s="46">
        <v>8</v>
      </c>
      <c r="AS48" s="46">
        <v>8</v>
      </c>
      <c r="AT48" s="46">
        <v>8</v>
      </c>
      <c r="AU48" s="46">
        <v>8</v>
      </c>
      <c r="AV48" s="46">
        <v>8</v>
      </c>
      <c r="AW48" s="46">
        <v>8</v>
      </c>
      <c r="AX48" s="46">
        <v>8</v>
      </c>
      <c r="AY48" s="46">
        <v>8</v>
      </c>
      <c r="AZ48" s="46">
        <v>8</v>
      </c>
      <c r="BA48" s="46">
        <v>8</v>
      </c>
      <c r="BB48" s="46">
        <v>8</v>
      </c>
      <c r="BC48" s="46">
        <v>8</v>
      </c>
      <c r="BD48" s="46">
        <v>8</v>
      </c>
      <c r="BE48" s="46">
        <v>8</v>
      </c>
      <c r="BF48" s="46">
        <v>8</v>
      </c>
      <c r="BG48" s="46">
        <v>8</v>
      </c>
      <c r="BH48" s="46">
        <v>8</v>
      </c>
      <c r="BI48" s="46">
        <v>8</v>
      </c>
      <c r="BJ48" s="46">
        <v>8</v>
      </c>
      <c r="BK48" s="46">
        <v>8</v>
      </c>
      <c r="BL48" s="46">
        <v>8</v>
      </c>
      <c r="BM48" s="46">
        <v>8</v>
      </c>
      <c r="BN48" s="46">
        <v>8</v>
      </c>
      <c r="BO48" s="46">
        <v>8</v>
      </c>
      <c r="BP48" s="46">
        <v>8</v>
      </c>
      <c r="BQ48" s="46">
        <v>8</v>
      </c>
      <c r="BR48" s="46">
        <v>8</v>
      </c>
      <c r="BS48" s="46">
        <v>8</v>
      </c>
      <c r="BT48" s="46">
        <v>8</v>
      </c>
      <c r="BU48" s="46">
        <v>8</v>
      </c>
      <c r="BV48" s="46">
        <v>8</v>
      </c>
      <c r="BW48" s="46">
        <v>8</v>
      </c>
      <c r="BX48" s="46">
        <v>8</v>
      </c>
      <c r="BY48" s="46">
        <v>8</v>
      </c>
      <c r="BZ48" s="46">
        <v>8</v>
      </c>
      <c r="CA48" s="46">
        <v>8</v>
      </c>
      <c r="CB48" s="46">
        <v>8</v>
      </c>
      <c r="CC48" s="46">
        <v>8</v>
      </c>
      <c r="CD48" s="46">
        <v>8</v>
      </c>
      <c r="CE48" s="46">
        <v>8</v>
      </c>
      <c r="CF48" s="46">
        <v>8</v>
      </c>
      <c r="CG48" s="46">
        <v>8</v>
      </c>
      <c r="CH48" s="46">
        <v>8</v>
      </c>
      <c r="CI48" s="46">
        <v>8</v>
      </c>
      <c r="CJ48" s="46">
        <v>8</v>
      </c>
      <c r="CK48" s="46">
        <v>8</v>
      </c>
      <c r="CL48" s="46">
        <v>8</v>
      </c>
      <c r="CM48" s="46">
        <v>8</v>
      </c>
      <c r="CN48" s="46">
        <v>8</v>
      </c>
      <c r="CO48" s="46">
        <v>8</v>
      </c>
      <c r="CP48" s="46">
        <v>8</v>
      </c>
      <c r="CQ48" s="46">
        <v>8</v>
      </c>
      <c r="CR48" s="46">
        <v>8</v>
      </c>
      <c r="CS48" s="46">
        <v>8</v>
      </c>
      <c r="CT48" s="46">
        <v>8</v>
      </c>
      <c r="CU48" s="46">
        <v>8</v>
      </c>
      <c r="CV48" s="46">
        <v>8</v>
      </c>
      <c r="CW48" s="46">
        <v>8</v>
      </c>
      <c r="CX48" s="46">
        <v>8</v>
      </c>
      <c r="CY48" s="46">
        <v>8</v>
      </c>
      <c r="CZ48" s="46">
        <v>8</v>
      </c>
      <c r="DA48" s="46">
        <v>8</v>
      </c>
      <c r="DB48" s="46">
        <v>8</v>
      </c>
    </row>
    <row r="49" ht="15" customHeight="1" spans="1:106" x14ac:dyDescent="0.25">
      <c r="A49" s="16" t="s">
        <v>282</v>
      </c>
      <c r="B49" s="17"/>
      <c r="C49" s="46">
        <v>0</v>
      </c>
      <c r="D49" s="46">
        <v>0</v>
      </c>
      <c r="E49" s="46">
        <v>0</v>
      </c>
      <c r="F49" s="46">
        <v>0</v>
      </c>
      <c r="G49" s="46">
        <v>0</v>
      </c>
      <c r="H49" s="46">
        <v>0</v>
      </c>
      <c r="I49" s="46">
        <v>0</v>
      </c>
      <c r="J49" s="46">
        <v>0</v>
      </c>
      <c r="K49" s="46">
        <v>0</v>
      </c>
      <c r="L49" s="46">
        <v>0</v>
      </c>
      <c r="M49" s="46">
        <v>0</v>
      </c>
      <c r="N49" s="46">
        <v>0</v>
      </c>
      <c r="O49" s="46">
        <v>0</v>
      </c>
      <c r="P49" s="46">
        <v>0</v>
      </c>
      <c r="Q49" s="46">
        <v>0</v>
      </c>
      <c r="R49" s="46">
        <v>0</v>
      </c>
      <c r="S49" s="46">
        <v>0</v>
      </c>
      <c r="T49" s="46">
        <v>0</v>
      </c>
      <c r="U49" s="46">
        <v>0</v>
      </c>
      <c r="V49" s="46">
        <v>0</v>
      </c>
      <c r="W49" s="46">
        <v>0</v>
      </c>
      <c r="X49" s="46">
        <v>0</v>
      </c>
      <c r="Y49" s="46">
        <v>0</v>
      </c>
      <c r="Z49" s="46">
        <v>0</v>
      </c>
      <c r="AA49" s="46">
        <v>0</v>
      </c>
      <c r="AB49" s="46">
        <v>0</v>
      </c>
      <c r="AC49" s="46">
        <v>0</v>
      </c>
      <c r="AD49" s="46">
        <v>0</v>
      </c>
      <c r="AE49" s="46">
        <v>0</v>
      </c>
      <c r="AF49" s="46">
        <v>0</v>
      </c>
      <c r="AG49" s="46">
        <v>0</v>
      </c>
      <c r="AH49" s="46">
        <v>0</v>
      </c>
      <c r="AI49" s="46">
        <v>0</v>
      </c>
      <c r="AJ49" s="46">
        <v>0</v>
      </c>
      <c r="AK49" s="46">
        <v>0</v>
      </c>
      <c r="AL49" s="46">
        <v>0</v>
      </c>
      <c r="AM49" s="46">
        <v>0</v>
      </c>
      <c r="AN49" s="46">
        <v>0</v>
      </c>
      <c r="AO49" s="46">
        <v>0</v>
      </c>
      <c r="AP49" s="46">
        <v>0</v>
      </c>
      <c r="AQ49" s="46">
        <v>0</v>
      </c>
      <c r="AR49" s="46">
        <v>0</v>
      </c>
      <c r="AS49" s="46">
        <v>0</v>
      </c>
      <c r="AT49" s="46">
        <v>0</v>
      </c>
      <c r="AU49" s="46">
        <v>0</v>
      </c>
      <c r="AV49" s="46">
        <v>0</v>
      </c>
      <c r="AW49" s="46">
        <v>0</v>
      </c>
      <c r="AX49" s="46">
        <v>0</v>
      </c>
      <c r="AY49" s="46">
        <v>0</v>
      </c>
      <c r="AZ49" s="46">
        <v>0</v>
      </c>
      <c r="BA49" s="46">
        <v>0</v>
      </c>
      <c r="BB49" s="46">
        <v>0</v>
      </c>
      <c r="BC49" s="46">
        <v>0</v>
      </c>
      <c r="BD49" s="46">
        <v>0</v>
      </c>
      <c r="BE49" s="46">
        <v>0</v>
      </c>
      <c r="BF49" s="46">
        <v>0</v>
      </c>
      <c r="BG49" s="46">
        <v>0</v>
      </c>
      <c r="BH49" s="46">
        <v>0</v>
      </c>
      <c r="BI49" s="46">
        <v>0</v>
      </c>
      <c r="BJ49" s="46">
        <v>0</v>
      </c>
      <c r="BK49" s="46">
        <v>0</v>
      </c>
      <c r="BL49" s="46">
        <v>0</v>
      </c>
      <c r="BM49" s="46">
        <v>0</v>
      </c>
      <c r="BN49" s="46">
        <v>0</v>
      </c>
      <c r="BO49" s="46">
        <v>0</v>
      </c>
      <c r="BP49" s="46">
        <v>0</v>
      </c>
      <c r="BQ49" s="46">
        <v>0</v>
      </c>
      <c r="BR49" s="46">
        <v>0</v>
      </c>
      <c r="BS49" s="46">
        <v>0</v>
      </c>
      <c r="BT49" s="46">
        <v>0</v>
      </c>
      <c r="BU49" s="46">
        <v>0</v>
      </c>
      <c r="BV49" s="46">
        <v>0</v>
      </c>
      <c r="BW49" s="46">
        <v>0</v>
      </c>
      <c r="BX49" s="46">
        <v>0</v>
      </c>
      <c r="BY49" s="46">
        <v>0</v>
      </c>
      <c r="BZ49" s="46">
        <v>0</v>
      </c>
      <c r="CA49" s="46">
        <v>0</v>
      </c>
      <c r="CB49" s="46">
        <v>0</v>
      </c>
      <c r="CC49" s="46">
        <v>0</v>
      </c>
      <c r="CD49" s="46">
        <v>0</v>
      </c>
      <c r="CE49" s="46">
        <v>0</v>
      </c>
      <c r="CF49" s="46">
        <v>0</v>
      </c>
      <c r="CG49" s="46">
        <v>0</v>
      </c>
      <c r="CH49" s="46">
        <v>0</v>
      </c>
      <c r="CI49" s="46">
        <v>0</v>
      </c>
      <c r="CJ49" s="46">
        <v>0</v>
      </c>
      <c r="CK49" s="46">
        <v>0</v>
      </c>
      <c r="CL49" s="46">
        <v>0</v>
      </c>
      <c r="CM49" s="46">
        <v>0</v>
      </c>
      <c r="CN49" s="46">
        <v>0</v>
      </c>
      <c r="CO49" s="46">
        <v>0</v>
      </c>
      <c r="CP49" s="46">
        <v>0</v>
      </c>
      <c r="CQ49" s="46">
        <v>0</v>
      </c>
      <c r="CR49" s="46">
        <v>0</v>
      </c>
      <c r="CS49" s="46">
        <v>0</v>
      </c>
      <c r="CT49" s="46">
        <v>0</v>
      </c>
      <c r="CU49" s="46">
        <v>0</v>
      </c>
      <c r="CV49" s="46">
        <v>0</v>
      </c>
      <c r="CW49" s="46">
        <v>0</v>
      </c>
      <c r="CX49" s="46">
        <v>0</v>
      </c>
      <c r="CY49" s="46">
        <v>0</v>
      </c>
      <c r="CZ49" s="46">
        <v>0</v>
      </c>
      <c r="DA49" s="46">
        <v>0</v>
      </c>
      <c r="DB49" s="46">
        <v>0</v>
      </c>
    </row>
    <row r="50" spans="3:106" x14ac:dyDescent="0.25"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0"/>
      <c r="CI50" s="30"/>
      <c r="CJ50" s="30"/>
      <c r="CK50" s="30"/>
      <c r="CL50" s="30"/>
      <c r="CM50" s="30"/>
      <c r="CN50" s="30"/>
      <c r="CO50" s="30"/>
      <c r="CP50" s="30"/>
      <c r="CQ50" s="30"/>
      <c r="CR50" s="30"/>
      <c r="CS50" s="30"/>
      <c r="CT50" s="30"/>
      <c r="CU50" s="30"/>
      <c r="CV50" s="30"/>
      <c r="CW50" s="30"/>
      <c r="CX50" s="30"/>
      <c r="CY50" s="30"/>
      <c r="CZ50" s="30"/>
      <c r="DA50" s="30"/>
      <c r="DB50" s="30"/>
    </row>
    <row r="51" spans="1:106" x14ac:dyDescent="0.25">
      <c r="A51" s="9" t="s">
        <v>283</v>
      </c>
      <c r="B51" s="17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  <c r="CQ51" s="32"/>
      <c r="CR51" s="32"/>
      <c r="CS51" s="32"/>
      <c r="CT51" s="32"/>
      <c r="CU51" s="32"/>
      <c r="CV51" s="32"/>
      <c r="CW51" s="32"/>
      <c r="CX51" s="32"/>
      <c r="CY51" s="32"/>
      <c r="CZ51" s="32"/>
      <c r="DA51" s="32"/>
      <c r="DB51" s="32"/>
    </row>
    <row r="52" ht="15" customHeight="1" spans="1:106" x14ac:dyDescent="0.25">
      <c r="A52" s="33" t="s">
        <v>284</v>
      </c>
      <c r="B52" s="17"/>
      <c r="C52" s="34">
        <f>=IFERROR(1-((1-C53)*(1-C58)),0)</f>
        <v>0</v>
      </c>
      <c r="D52" s="34">
        <f>=IFERROR(1-((1-D53)*(1-D58)),0)</f>
        <v>0</v>
      </c>
      <c r="E52" s="34">
        <f>=IFERROR(1-((1-E53)*(1-E58)),0)</f>
        <v>0</v>
      </c>
      <c r="F52" s="34">
        <f>=IFERROR(1-((1-F53)*(1-F58)),0)</f>
        <v>0</v>
      </c>
      <c r="G52" s="34">
        <f>=IFERROR(1-((1-G53)*(1-G58)),0)</f>
        <v>0</v>
      </c>
      <c r="H52" s="34">
        <f>=IFERROR(1-((1-H53)*(1-H58)),0)</f>
        <v>0</v>
      </c>
      <c r="I52" s="34">
        <f>=IFERROR(1-((1-I53)*(1-I58)),0)</f>
        <v>0</v>
      </c>
      <c r="J52" s="34">
        <f>=IFERROR(1-((1-J53)*(1-J58)),0)</f>
        <v>0</v>
      </c>
      <c r="K52" s="34">
        <f>=IFERROR(1-((1-K53)*(1-K58)),0)</f>
        <v>0</v>
      </c>
      <c r="L52" s="34">
        <f>=IFERROR(1-((1-L53)*(1-L58)),0)</f>
        <v>0</v>
      </c>
      <c r="M52" s="34">
        <f>=IFERROR(1-((1-M53)*(1-M58)),0)</f>
        <v>0</v>
      </c>
      <c r="N52" s="34">
        <f>=IFERROR(1-((1-N53)*(1-N58)),0)</f>
        <v>0</v>
      </c>
      <c r="O52" s="34">
        <f>=IFERROR(1-((1-O53)*(1-O58)),0)</f>
        <v>0</v>
      </c>
      <c r="P52" s="34">
        <f>=IFERROR(1-((1-P53)*(1-P58)),0)</f>
        <v>0</v>
      </c>
      <c r="Q52" s="34">
        <f>=IFERROR(1-((1-Q53)*(1-Q58)),0)</f>
        <v>0</v>
      </c>
      <c r="R52" s="34">
        <f>=IFERROR(1-((1-R53)*(1-R58)),0)</f>
        <v>0</v>
      </c>
      <c r="S52" s="34">
        <f>=IFERROR(1-((1-S53)*(1-S58)),0)</f>
        <v>0</v>
      </c>
      <c r="T52" s="34">
        <f>=IFERROR(1-((1-T53)*(1-T58)),0)</f>
        <v>0</v>
      </c>
      <c r="U52" s="34">
        <f>=IFERROR(1-((1-U53)*(1-U58)),0)</f>
        <v>0</v>
      </c>
      <c r="V52" s="34">
        <f>=IFERROR(1-((1-V53)*(1-V58)),0)</f>
        <v>0</v>
      </c>
      <c r="W52" s="34">
        <f>=IFERROR(1-((1-W53)*(1-W58)),0)</f>
        <v>0</v>
      </c>
      <c r="X52" s="34">
        <f>=IFERROR(1-((1-X53)*(1-X58)),0)</f>
        <v>0</v>
      </c>
      <c r="Y52" s="34">
        <f>=IFERROR(1-((1-Y53)*(1-Y58)),0)</f>
        <v>0</v>
      </c>
      <c r="Z52" s="34">
        <f>=IFERROR(1-((1-Z53)*(1-Z58)),0)</f>
        <v>0</v>
      </c>
      <c r="AA52" s="34">
        <f>=IFERROR(1-((1-AA53)*(1-AA58)),0)</f>
        <v>0</v>
      </c>
      <c r="AB52" s="34">
        <f>=IFERROR(1-((1-AB53)*(1-AB58)),0)</f>
        <v>0</v>
      </c>
      <c r="AC52" s="34">
        <f>=IFERROR(1-((1-AC53)*(1-AC58)),0)</f>
        <v>0.0771954674220964</v>
      </c>
      <c r="AD52" s="34">
        <f>=IFERROR(1-((1-AD53)*(1-AD58)),0)</f>
        <v>0.0357815442561206</v>
      </c>
      <c r="AE52" s="34">
        <f>=IFERROR(1-((1-AE53)*(1-AE58)),0)</f>
        <v>0.0338616714697406</v>
      </c>
      <c r="AF52" s="34">
        <f>=IFERROR(1-((1-AF53)*(1-AF58)),0)</f>
        <v>0.0879534565366186</v>
      </c>
      <c r="AG52" s="34">
        <f>=IFERROR(1-((1-AG53)*(1-AG58)),0)</f>
        <v>0.1066973079448459</v>
      </c>
      <c r="AH52" s="34">
        <f>=IFERROR(1-((1-AH53)*(1-AH58)),0)</f>
        <v>0.0814921090387374</v>
      </c>
      <c r="AI52" s="34">
        <f>=IFERROR(1-((1-AI53)*(1-AI58)),0)</f>
        <v>0.0770432066631964</v>
      </c>
      <c r="AJ52" s="34">
        <f>=IFERROR(1-((1-AJ53)*(1-AJ58)),0)</f>
        <v>0.065578306585501</v>
      </c>
      <c r="AK52" s="34">
        <f>=IFERROR(1-((1-AK53)*(1-AK58)),0)</f>
        <v>0.0858999037536096</v>
      </c>
      <c r="AL52" s="34">
        <f>=IFERROR(1-((1-AL53)*(1-AL58)),0)</f>
        <v>0.0929378531073446</v>
      </c>
      <c r="AM52" s="34">
        <f>=IFERROR(1-((1-AM53)*(1-AM58)),0)</f>
        <v>0.0813895781637716</v>
      </c>
      <c r="AN52" s="34">
        <f>=IFERROR(1-((1-AN53)*(1-AN58)),0)</f>
        <v>0.0761682242990654</v>
      </c>
      <c r="AO52" s="34">
        <f>=IFERROR(1-((1-AO53)*(1-AO58)),0)</f>
        <v>0.0975088967971534</v>
      </c>
      <c r="AP52" s="34">
        <f>=IFERROR(1-((1-AP53)*(1-AP58)),0)</f>
        <v>0.1020700963312157</v>
      </c>
      <c r="AQ52" s="34">
        <f>=IFERROR(1-((1-AQ53)*(1-AQ58)),0)</f>
        <v>0.0766536964980544</v>
      </c>
      <c r="AR52" s="34">
        <f>=IFERROR(1-((1-AR53)*(1-AR58)),0)</f>
        <v>0.0894788593903638</v>
      </c>
      <c r="AS52" s="34">
        <f>=IFERROR(1-((1-AS53)*(1-AS58)),0)</f>
        <v>0.081877729257642</v>
      </c>
      <c r="AT52" s="34">
        <f>=IFERROR(1-((1-AT53)*(1-AT58)),0)</f>
        <v>0.096632760434935</v>
      </c>
      <c r="AU52" s="34">
        <f>=IFERROR(1-((1-AU53)*(1-AU58)),0)</f>
        <v>0.0900783289817232</v>
      </c>
      <c r="AV52" s="34">
        <f>=IFERROR(1-((1-AV53)*(1-AV58)),0)</f>
        <v>0.1163055872291906</v>
      </c>
      <c r="AW52" s="34">
        <f>=IFERROR(1-((1-AW53)*(1-AW58)),0)</f>
        <v>0.0468007823414362</v>
      </c>
      <c r="AX52" s="34">
        <f>=IFERROR(1-((1-AX53)*(1-AX58)),0)</f>
        <v>0.053889894029465</v>
      </c>
      <c r="AY52" s="34">
        <f>=IFERROR(1-((1-AY53)*(1-AY58)),0)</f>
        <v>0.08813453752725</v>
      </c>
      <c r="AZ52" s="34">
        <f>=IFERROR(1-((1-AZ53)*(1-AZ58)),0)</f>
        <v>0.0617210682492582</v>
      </c>
      <c r="BA52" s="34">
        <f>=IFERROR(1-((1-BA53)*(1-BA58)),0)</f>
        <v>0.1102798144545862</v>
      </c>
      <c r="BB52" s="34">
        <f>=IFERROR(1-((1-BB53)*(1-BB58)),0)</f>
        <v>0.0295253863134656</v>
      </c>
      <c r="BC52" s="34">
        <f>=IFERROR(1-((1-BC53)*(1-BC58)),0)</f>
        <v>0.1150389454763331</v>
      </c>
      <c r="BD52" s="34">
        <f>=IFERROR(1-((1-BD53)*(1-BD58)),0)</f>
        <v>0.0929540191862392</v>
      </c>
      <c r="BE52" s="34">
        <f>=IFERROR(1-((1-BE53)*(1-BE58)),0)</f>
        <v>0.1276463262764634</v>
      </c>
      <c r="BF52" s="34">
        <f>=IFERROR(1-((1-BF53)*(1-BF58)),0)</f>
        <v>0.1101427498121714</v>
      </c>
      <c r="BG52" s="34">
        <f>=IFERROR(1-((1-BG53)*(1-BG58)),0)</f>
        <v>0.0975946070170062</v>
      </c>
      <c r="BH52" s="34">
        <f>=IFERROR(1-((1-BH53)*(1-BH58)),0)</f>
        <v>0.0982972136222912</v>
      </c>
      <c r="BI52" s="34">
        <f>=IFERROR(1-((1-BI53)*(1-BI58)),0)</f>
        <v>0.0952905969444008</v>
      </c>
      <c r="BJ52" s="34">
        <f>=IFERROR(1-((1-BJ53)*(1-BJ58)),0)</f>
        <v>0.0999684144030323</v>
      </c>
      <c r="BK52" s="34">
        <f>=IFERROR(1-((1-BK53)*(1-BK58)),0)</f>
        <v>0.1379699854768439</v>
      </c>
      <c r="BL52" s="34">
        <f>=IFERROR(1-((1-BL53)*(1-BL58)),0)</f>
        <v>0.117345249917246</v>
      </c>
      <c r="BM52" s="34">
        <f>=IFERROR(1-((1-BM53)*(1-BM58)),0)</f>
        <v>0.1381339795741734</v>
      </c>
      <c r="BN52" s="34">
        <f>=IFERROR(1-((1-BN53)*(1-BN58)),0)</f>
        <v>0.0905942398833394</v>
      </c>
      <c r="BO52" s="34">
        <f>=IFERROR(1-((1-BO53)*(1-BO58)),0)</f>
        <v>0.0901747135074206</v>
      </c>
      <c r="BP52" s="34">
        <f>=IFERROR(1-((1-BP53)*(1-BP58)),0)</f>
        <v>0.093304061470911</v>
      </c>
      <c r="BQ52" s="34">
        <f>=IFERROR(1-((1-BQ53)*(1-BQ58)),0)</f>
        <v>0.0805052790346908</v>
      </c>
      <c r="BR52" s="34">
        <f>=IFERROR(1-((1-BR53)*(1-BR58)),0)</f>
        <v>0.1017019510170196</v>
      </c>
      <c r="BS52" s="34">
        <f>=IFERROR(1-((1-BS53)*(1-BS58)),0)</f>
        <v>0.089619600257898</v>
      </c>
      <c r="BT52" s="34">
        <f>=IFERROR(1-((1-BT53)*(1-BT58)),0)</f>
        <v>0.5489734816082121</v>
      </c>
      <c r="BU52" s="34">
        <f>=IFERROR(1-((1-BU53)*(1-BU58)),0)</f>
        <v>0.115301724137931</v>
      </c>
      <c r="BV52" s="34">
        <f>=IFERROR(1-((1-BV53)*(1-BV58)),0)</f>
        <v>0.0910679187595544</v>
      </c>
      <c r="BW52" s="34">
        <f>=IFERROR(1-((1-BW53)*(1-BW58)),0)</f>
        <v>0.1256465517241381</v>
      </c>
      <c r="BX52" s="34">
        <f>=IFERROR(1-((1-BX53)*(1-BX58)),0)</f>
        <v>0</v>
      </c>
      <c r="BY52" s="34">
        <f>=IFERROR(1-((1-BY53)*(1-BY58)),0)</f>
        <v>0</v>
      </c>
      <c r="BZ52" s="34">
        <f>=IFERROR(1-((1-BZ53)*(1-BZ58)),0)</f>
        <v>0</v>
      </c>
      <c r="CA52" s="34">
        <f>=IFERROR(1-((1-CA53)*(1-CA58)),0)</f>
        <v>0</v>
      </c>
      <c r="CB52" s="34">
        <f>=IFERROR(1-((1-CB53)*(1-CB58)),0)</f>
        <v>0</v>
      </c>
      <c r="CC52" s="34">
        <f>=IFERROR(1-((1-CC53)*(1-CC58)),0)</f>
        <v>0</v>
      </c>
      <c r="CD52" s="34">
        <f>=IFERROR(1-((1-CD53)*(1-CD58)),0)</f>
        <v>0</v>
      </c>
      <c r="CE52" s="34">
        <f>=IFERROR(1-((1-CE53)*(1-CE58)),0)</f>
        <v>0</v>
      </c>
      <c r="CF52" s="34">
        <f>=IFERROR(1-((1-CF53)*(1-CF58)),0)</f>
        <v>0</v>
      </c>
      <c r="CG52" s="34">
        <f>=IFERROR(1-((1-CG53)*(1-CG58)),0)</f>
        <v>0</v>
      </c>
      <c r="CH52" s="34">
        <f>=IFERROR(1-((1-CH53)*(1-CH58)),0)</f>
        <v>0</v>
      </c>
      <c r="CI52" s="34">
        <f>=IFERROR(1-((1-CI53)*(1-CI58)),0)</f>
        <v>0</v>
      </c>
      <c r="CJ52" s="34">
        <f>=IFERROR(1-((1-CJ53)*(1-CJ58)),0)</f>
        <v>0</v>
      </c>
      <c r="CK52" s="34">
        <f>=IFERROR(1-((1-CK53)*(1-CK58)),0)</f>
        <v>0</v>
      </c>
      <c r="CL52" s="34">
        <f>=IFERROR(1-((1-CL53)*(1-CL58)),0)</f>
        <v>0</v>
      </c>
      <c r="CM52" s="34">
        <f>=IFERROR(1-((1-CM53)*(1-CM58)),0)</f>
        <v>0</v>
      </c>
      <c r="CN52" s="34">
        <f>=IFERROR(1-((1-CN53)*(1-CN58)),0)</f>
        <v>0</v>
      </c>
      <c r="CO52" s="34">
        <f>=IFERROR(1-((1-CO53)*(1-CO58)),0)</f>
        <v>0</v>
      </c>
      <c r="CP52" s="34">
        <f>=IFERROR(1-((1-CP53)*(1-CP58)),0)</f>
        <v>0</v>
      </c>
      <c r="CQ52" s="34">
        <f>=IFERROR(1-((1-CQ53)*(1-CQ58)),0)</f>
        <v>0</v>
      </c>
      <c r="CR52" s="34">
        <f>=IFERROR(1-((1-CR53)*(1-CR58)),0)</f>
        <v>0</v>
      </c>
      <c r="CS52" s="34">
        <f>=IFERROR(1-((1-CS53)*(1-CS58)),0)</f>
        <v>0</v>
      </c>
      <c r="CT52" s="34">
        <f>=IFERROR(1-((1-CT53)*(1-CT58)),0)</f>
        <v>0</v>
      </c>
      <c r="CU52" s="34">
        <f>=IFERROR(1-((1-CU53)*(1-CU58)),0)</f>
        <v>0</v>
      </c>
      <c r="CV52" s="34">
        <f>=IFERROR(1-((1-CV53)*(1-CV58)),0)</f>
        <v>0</v>
      </c>
      <c r="CW52" s="34">
        <f>=IFERROR(1-((1-CW53)*(1-CW58)),0)</f>
        <v>0</v>
      </c>
      <c r="CX52" s="34">
        <f>=IFERROR(1-((1-CX53)*(1-CX58)),0)</f>
        <v>0</v>
      </c>
      <c r="CY52" s="34">
        <f>=IFERROR(1-((1-CY53)*(1-CY58)),0)</f>
        <v>0</v>
      </c>
      <c r="CZ52" s="34">
        <f>=IFERROR(1-((1-CZ53)*(1-CZ58)),0)</f>
        <v>0</v>
      </c>
      <c r="DA52" s="34">
        <f>=IFERROR(1-((1-DA53)*(1-DA58)),0)</f>
        <v>0</v>
      </c>
      <c r="DB52" s="34">
        <f>=IFERROR(1-((1-DB53)*(1-DB58)),0)</f>
        <v>0</v>
      </c>
    </row>
    <row r="53" ht="15" customHeight="1" spans="1:106" x14ac:dyDescent="0.25">
      <c r="A53" s="16" t="s">
        <v>285</v>
      </c>
      <c r="B53" s="17"/>
      <c r="C53" s="35">
        <f>=SUM(C54:C57)</f>
        <v>0</v>
      </c>
      <c r="D53" s="35">
        <f>=SUM(D54:D57)</f>
        <v>0</v>
      </c>
      <c r="E53" s="35">
        <f>=SUM(E54:E57)</f>
        <v>0</v>
      </c>
      <c r="F53" s="35">
        <f>=SUM(F54:F57)</f>
        <v>0</v>
      </c>
      <c r="G53" s="35">
        <f>=SUM(G54:G57)</f>
        <v>0</v>
      </c>
      <c r="H53" s="35">
        <f>=SUM(H54:H57)</f>
        <v>0</v>
      </c>
      <c r="I53" s="35">
        <f>=SUM(I54:I57)</f>
        <v>0</v>
      </c>
      <c r="J53" s="35">
        <f>=SUM(J54:J57)</f>
        <v>0</v>
      </c>
      <c r="K53" s="35">
        <f>=SUM(K54:K57)</f>
        <v>0</v>
      </c>
      <c r="L53" s="35">
        <f>=SUM(L54:L57)</f>
        <v>0</v>
      </c>
      <c r="M53" s="35">
        <f>=SUM(M54:M57)</f>
        <v>0</v>
      </c>
      <c r="N53" s="35">
        <f>=SUM(N54:N57)</f>
        <v>0</v>
      </c>
      <c r="O53" s="35">
        <f>=SUM(O54:O57)</f>
        <v>0</v>
      </c>
      <c r="P53" s="35">
        <f>=SUM(P54:P57)</f>
        <v>0</v>
      </c>
      <c r="Q53" s="35">
        <f>=SUM(Q54:Q57)</f>
        <v>0</v>
      </c>
      <c r="R53" s="35">
        <f>=SUM(R54:R57)</f>
        <v>0</v>
      </c>
      <c r="S53" s="35">
        <f>=SUM(S54:S57)</f>
        <v>0</v>
      </c>
      <c r="T53" s="35">
        <f>=SUM(T54:T57)</f>
        <v>0</v>
      </c>
      <c r="U53" s="35">
        <f>=SUM(U54:U57)</f>
        <v>0</v>
      </c>
      <c r="V53" s="35">
        <f>=SUM(V54:V57)</f>
        <v>0</v>
      </c>
      <c r="W53" s="35">
        <f>=SUM(W54:W57)</f>
        <v>0</v>
      </c>
      <c r="X53" s="35">
        <f>=SUM(X54:X57)</f>
        <v>0</v>
      </c>
      <c r="Y53" s="35">
        <f>=SUM(Y54:Y57)</f>
        <v>0</v>
      </c>
      <c r="Z53" s="35">
        <f>=SUM(Z54:Z57)</f>
        <v>0</v>
      </c>
      <c r="AA53" s="35">
        <f>=SUM(AA54:AA57)</f>
        <v>0</v>
      </c>
      <c r="AB53" s="35">
        <f>=SUM(AB54:AB57)</f>
        <v>0</v>
      </c>
      <c r="AC53" s="35">
        <f>=SUM(AC54:AC57)</f>
        <v>0.07719546742209633</v>
      </c>
      <c r="AD53" s="35">
        <f>=SUM(AD54:AD57)</f>
        <v>0.035781544256120526</v>
      </c>
      <c r="AE53" s="35">
        <f>=SUM(AE54:AE57)</f>
        <v>0.03386167146974063</v>
      </c>
      <c r="AF53" s="35">
        <f>=SUM(AF54:AF57)</f>
        <v>0.08795345653661875</v>
      </c>
      <c r="AG53" s="35">
        <f>=SUM(AG54:AG57)</f>
        <v>0.10669730794484569</v>
      </c>
      <c r="AH53" s="35">
        <f>=SUM(AH54:AH57)</f>
        <v>0.08149210903873745</v>
      </c>
      <c r="AI53" s="35">
        <f>=SUM(AI54:AI57)</f>
        <v>0.07704320666319625</v>
      </c>
      <c r="AJ53" s="35">
        <f>=SUM(AJ54:AJ57)</f>
        <v>0.06557830658550083</v>
      </c>
      <c r="AK53" s="35">
        <f>=SUM(AK54:AK57)</f>
        <v>0.08589990375360923</v>
      </c>
      <c r="AL53" s="35">
        <f>=SUM(AL54:AL57)</f>
        <v>0.09293785310734463</v>
      </c>
      <c r="AM53" s="35">
        <f>=SUM(AM54:AM57)</f>
        <v>0.08138957816377171</v>
      </c>
      <c r="AN53" s="35">
        <f>=SUM(AN54:AN57)</f>
        <v>0.07616822429906542</v>
      </c>
      <c r="AO53" s="35">
        <f>=SUM(AO54:AO57)</f>
        <v>0.09750889679715302</v>
      </c>
      <c r="AP53" s="35">
        <f>=SUM(AP54:AP57)</f>
        <v>0.1020700963312154</v>
      </c>
      <c r="AQ53" s="35">
        <f>=SUM(AQ54:AQ57)</f>
        <v>0.07665369649805447</v>
      </c>
      <c r="AR53" s="35">
        <f>=SUM(AR54:AR57)</f>
        <v>0.08947885939036382</v>
      </c>
      <c r="AS53" s="35">
        <f>=SUM(AS54:AS57)</f>
        <v>0.08187772925764192</v>
      </c>
      <c r="AT53" s="35">
        <f>=SUM(AT54:AT57)</f>
        <v>0.09663276043493511</v>
      </c>
      <c r="AU53" s="35">
        <f>=SUM(AU54:AU57)</f>
        <v>0.09007832898172324</v>
      </c>
      <c r="AV53" s="35">
        <f>=SUM(AV54:AV57)</f>
        <v>0.11630558722919042</v>
      </c>
      <c r="AW53" s="35">
        <f>=SUM(AW54:AW57)</f>
        <v>0.04680078234143615</v>
      </c>
      <c r="AX53" s="35">
        <f>=SUM(AX54:AX57)</f>
        <v>0.05388989402946497</v>
      </c>
      <c r="AY53" s="35">
        <f>=SUM(AY54:AY57)</f>
        <v>0.08813453752725008</v>
      </c>
      <c r="AZ53" s="35">
        <f>=SUM(AZ54:AZ57)</f>
        <v>0.06172106824925816</v>
      </c>
      <c r="BA53" s="35">
        <f>=SUM(BA54:BA57)</f>
        <v>0.11027981445458628</v>
      </c>
      <c r="BB53" s="35">
        <f>=SUM(BB54:BB57)</f>
        <v>0.029525386313465785</v>
      </c>
      <c r="BC53" s="35">
        <f>=SUM(BC54:BC57)</f>
        <v>0.11503894547633313</v>
      </c>
      <c r="BD53" s="35">
        <f>=SUM(BD54:BD57)</f>
        <v>0.09295401918623884</v>
      </c>
      <c r="BE53" s="35">
        <f>=SUM(BE54:BE57)</f>
        <v>0.12764632627646327</v>
      </c>
      <c r="BF53" s="35">
        <f>=SUM(BF54:BF57)</f>
        <v>0.1101427498121713</v>
      </c>
      <c r="BG53" s="35">
        <f>=SUM(BG54:BG57)</f>
        <v>0.09759460701700629</v>
      </c>
      <c r="BH53" s="35">
        <f>=SUM(BH54:BH57)</f>
        <v>0.09829721362229102</v>
      </c>
      <c r="BI53" s="35">
        <f>=SUM(BI54:BI57)</f>
        <v>0.0952905969444007</v>
      </c>
      <c r="BJ53" s="35">
        <f>=SUM(BJ54:BJ57)</f>
        <v>0.09996841440303222</v>
      </c>
      <c r="BK53" s="35">
        <f>=SUM(BK54:BK57)</f>
        <v>0.13796998547684364</v>
      </c>
      <c r="BL53" s="35">
        <f>=SUM(BL54:BL57)</f>
        <v>0.11734524991724596</v>
      </c>
      <c r="BM53" s="35">
        <f>=SUM(BM54:BM57)</f>
        <v>0.13813397957417345</v>
      </c>
      <c r="BN53" s="35">
        <f>=SUM(BN54:BN57)</f>
        <v>0.0905942398833394</v>
      </c>
      <c r="BO53" s="35">
        <f>=SUM(BO54:BO57)</f>
        <v>0.09017471350742062</v>
      </c>
      <c r="BP53" s="35">
        <f>=SUM(BP54:BP57)</f>
        <v>0.09330406147091108</v>
      </c>
      <c r="BQ53" s="35">
        <f>=SUM(BQ54:BQ57)</f>
        <v>0.0805052790346908</v>
      </c>
      <c r="BR53" s="35">
        <f>=SUM(BR54:BR57)</f>
        <v>0.10170195101701952</v>
      </c>
      <c r="BS53" s="35">
        <f>=SUM(BS54:BS57)</f>
        <v>0.08961960025789814</v>
      </c>
      <c r="BT53" s="35">
        <f>=SUM(BT54:BT57)</f>
        <v>0.5489734816082121</v>
      </c>
      <c r="BU53" s="35">
        <f>=SUM(BU54:BU57)</f>
        <v>0.11530172413793104</v>
      </c>
      <c r="BV53" s="35">
        <f>=SUM(BV54:BV57)</f>
        <v>0.0910679187595545</v>
      </c>
      <c r="BW53" s="35">
        <f>=SUM(BW54:BW57)</f>
        <v>0.1256465517241379</v>
      </c>
      <c r="BX53" s="35">
        <f>=SUM(BX54:BX57)</f>
        <v>0</v>
      </c>
      <c r="BY53" s="35">
        <f>=SUM(BY54:BY57)</f>
        <v>0</v>
      </c>
      <c r="BZ53" s="35">
        <f>=SUM(BZ54:BZ57)</f>
        <v>0</v>
      </c>
      <c r="CA53" s="35">
        <f>=SUM(CA54:CA57)</f>
        <v>0</v>
      </c>
      <c r="CB53" s="35">
        <f>=SUM(CB54:CB57)</f>
        <v>0</v>
      </c>
      <c r="CC53" s="35">
        <f>=SUM(CC54:CC57)</f>
        <v>0</v>
      </c>
      <c r="CD53" s="35">
        <f>=SUM(CD54:CD57)</f>
        <v>0</v>
      </c>
      <c r="CE53" s="35">
        <f>=SUM(CE54:CE57)</f>
        <v>0</v>
      </c>
      <c r="CF53" s="35">
        <f>=SUM(CF54:CF57)</f>
        <v>0</v>
      </c>
      <c r="CG53" s="35">
        <f>=SUM(CG54:CG57)</f>
        <v>0</v>
      </c>
      <c r="CH53" s="35">
        <f>=SUM(CH54:CH57)</f>
        <v>0</v>
      </c>
      <c r="CI53" s="35">
        <f>=SUM(CI54:CI57)</f>
        <v>0</v>
      </c>
      <c r="CJ53" s="35">
        <f>=SUM(CJ54:CJ57)</f>
        <v>0</v>
      </c>
      <c r="CK53" s="35">
        <f>=SUM(CK54:CK57)</f>
        <v>0</v>
      </c>
      <c r="CL53" s="35">
        <f>=SUM(CL54:CL57)</f>
        <v>0</v>
      </c>
      <c r="CM53" s="35">
        <f>=SUM(CM54:CM57)</f>
        <v>0</v>
      </c>
      <c r="CN53" s="35">
        <f>=SUM(CN54:CN57)</f>
        <v>0</v>
      </c>
      <c r="CO53" s="35">
        <f>=SUM(CO54:CO57)</f>
        <v>0</v>
      </c>
      <c r="CP53" s="35">
        <f>=SUM(CP54:CP57)</f>
        <v>0</v>
      </c>
      <c r="CQ53" s="35">
        <f>=SUM(CQ54:CQ57)</f>
        <v>0</v>
      </c>
      <c r="CR53" s="35">
        <f>=SUM(CR54:CR57)</f>
        <v>0</v>
      </c>
      <c r="CS53" s="35">
        <f>=SUM(CS54:CS57)</f>
        <v>0</v>
      </c>
      <c r="CT53" s="35">
        <f>=SUM(CT54:CT57)</f>
        <v>0</v>
      </c>
      <c r="CU53" s="35">
        <f>=SUM(CU54:CU57)</f>
        <v>0</v>
      </c>
      <c r="CV53" s="35">
        <f>=SUM(CV54:CV57)</f>
        <v>0</v>
      </c>
      <c r="CW53" s="35">
        <f>=SUM(CW54:CW57)</f>
        <v>0</v>
      </c>
      <c r="CX53" s="35">
        <f>=SUM(CX54:CX57)</f>
        <v>0</v>
      </c>
      <c r="CY53" s="35">
        <f>=SUM(CY54:CY57)</f>
        <v>0</v>
      </c>
      <c r="CZ53" s="35">
        <f>=SUM(CZ54:CZ57)</f>
        <v>0</v>
      </c>
      <c r="DA53" s="35">
        <f>=SUM(DA54:DA57)</f>
        <v>0</v>
      </c>
      <c r="DB53" s="35">
        <f>=SUM(DB54:DB57)</f>
        <v>0</v>
      </c>
    </row>
    <row r="54" ht="18" customHeight="1" spans="1:106" x14ac:dyDescent="0.25">
      <c r="A54" s="36" t="s">
        <v>263</v>
      </c>
      <c r="B54" s="17"/>
      <c r="C54" s="47">
        <f>=IFERROR(C130/C125,0)</f>
        <v>0</v>
      </c>
      <c r="D54" s="47">
        <f>=IFERROR(D130/D125,0)</f>
        <v>0</v>
      </c>
      <c r="E54" s="47">
        <f>=IFERROR(E130/E125,0)</f>
        <v>0</v>
      </c>
      <c r="F54" s="47">
        <f>=IFERROR(F130/F125,0)</f>
        <v>0</v>
      </c>
      <c r="G54" s="47">
        <f>=IFERROR(G130/G125,0)</f>
        <v>0</v>
      </c>
      <c r="H54" s="47">
        <f>=IFERROR(H130/H125,0)</f>
        <v>0</v>
      </c>
      <c r="I54" s="47">
        <f>=IFERROR(I130/I125,0)</f>
        <v>0</v>
      </c>
      <c r="J54" s="47">
        <f>=IFERROR(J130/J125,0)</f>
        <v>0</v>
      </c>
      <c r="K54" s="47">
        <f>=IFERROR(K130/K125,0)</f>
        <v>0</v>
      </c>
      <c r="L54" s="47">
        <f>=IFERROR(L130/L125,0)</f>
        <v>0</v>
      </c>
      <c r="M54" s="47">
        <f>=IFERROR(M130/M125,0)</f>
        <v>0</v>
      </c>
      <c r="N54" s="47">
        <f>=IFERROR(N130/N125,0)</f>
        <v>0</v>
      </c>
      <c r="O54" s="47">
        <f>=IFERROR(O130/O125,0)</f>
        <v>0</v>
      </c>
      <c r="P54" s="47">
        <f>=IFERROR(P130/P125,0)</f>
        <v>0</v>
      </c>
      <c r="Q54" s="47">
        <f>=IFERROR(Q130/Q125,0)</f>
        <v>0</v>
      </c>
      <c r="R54" s="47">
        <f>=IFERROR(R130/R125,0)</f>
        <v>0</v>
      </c>
      <c r="S54" s="47">
        <f>=IFERROR(S130/S125,0)</f>
        <v>0</v>
      </c>
      <c r="T54" s="47">
        <f>=IFERROR(T130/T125,0)</f>
        <v>0</v>
      </c>
      <c r="U54" s="47">
        <f>=IFERROR(U130/U125,0)</f>
        <v>0</v>
      </c>
      <c r="V54" s="47">
        <f>=IFERROR(V130/V125,0)</f>
        <v>0</v>
      </c>
      <c r="W54" s="47">
        <f>=IFERROR(W130/W125,0)</f>
        <v>0</v>
      </c>
      <c r="X54" s="47">
        <f>=IFERROR(X130/X125,0)</f>
        <v>0</v>
      </c>
      <c r="Y54" s="47">
        <f>=IFERROR(Y130/Y125,0)</f>
        <v>0</v>
      </c>
      <c r="Z54" s="47">
        <f>=IFERROR(Z130/Z125,0)</f>
        <v>0</v>
      </c>
      <c r="AA54" s="47">
        <f>=IFERROR(AA130/AA125,0)</f>
        <v>0</v>
      </c>
      <c r="AB54" s="47">
        <f>=IFERROR(AB130/AB125,0)</f>
        <v>0</v>
      </c>
      <c r="AC54" s="47">
        <f>=IFERROR(AC130/AC125,0)</f>
        <v>0.04178470254957507</v>
      </c>
      <c r="AD54" s="47">
        <f>=IFERROR(AD130/AD125,0)</f>
        <v>0.007156308851224105</v>
      </c>
      <c r="AE54" s="47">
        <f>=IFERROR(AE130/AE125,0)</f>
        <v>0.0018011527377521613</v>
      </c>
      <c r="AF54" s="47">
        <f>=IFERROR(AF130/AF125,0)</f>
        <v>0.006502395619438741</v>
      </c>
      <c r="AG54" s="47">
        <f>=IFERROR(AG130/AG125,0)</f>
        <v>0.050558108995403805</v>
      </c>
      <c r="AH54" s="47">
        <f>=IFERROR(AH130/AH125,0)</f>
        <v>0.03414634146341464</v>
      </c>
      <c r="AI54" s="47">
        <f>=IFERROR(AI130/AI125,0)</f>
        <v>0.02706923477355544</v>
      </c>
      <c r="AJ54" s="47">
        <f>=IFERROR(AJ130/AJ125,0)</f>
        <v>0.017985611510791366</v>
      </c>
      <c r="AK54" s="47">
        <f>=IFERROR(AK130/AK125,0)</f>
        <v>0.004812319538017324</v>
      </c>
      <c r="AL54" s="47">
        <f>=IFERROR(AL130/AL125,0)</f>
        <v>0.0192090395480226</v>
      </c>
      <c r="AM54" s="47">
        <f>=IFERROR(AM130/AM125,0)</f>
        <v>0.013647642679900745</v>
      </c>
      <c r="AN54" s="47">
        <f>=IFERROR(AN130/AN125,0)</f>
        <v>0.02219626168224299</v>
      </c>
      <c r="AO54" s="47">
        <f>=IFERROR(AO130/AO125,0)</f>
        <v>0.029418742586002373</v>
      </c>
      <c r="AP54" s="47">
        <f>=IFERROR(AP130/AP125,0)</f>
        <v>0.020496003279360523</v>
      </c>
      <c r="AQ54" s="47">
        <f>=IFERROR(AQ130/AQ125,0)</f>
        <v>0.0178988326848249</v>
      </c>
      <c r="AR54" s="47">
        <f>=IFERROR(AR130/AR125,0)</f>
        <v>0.03736479842674533</v>
      </c>
      <c r="AS54" s="47">
        <f>=IFERROR(AS130/AS125,0)</f>
        <v>0.02096069868995633</v>
      </c>
      <c r="AT54" s="47">
        <f>=IFERROR(AT130/AT125,0)</f>
        <v>0.01999298491757278</v>
      </c>
      <c r="AU54" s="47">
        <f>=IFERROR(AU130/AU125,0)</f>
        <v>0.01860313315926893</v>
      </c>
      <c r="AV54" s="47">
        <f>=IFERROR(AV130/AV125,0)</f>
        <v>0.018529076396807297</v>
      </c>
      <c r="AW54" s="47">
        <f>=IFERROR(AW130/AW125,0)</f>
        <v>0.00866163732886281</v>
      </c>
      <c r="AX54" s="47">
        <f>=IFERROR(AX130/AX125,0)</f>
        <v>0.013569397777203411</v>
      </c>
      <c r="AY54" s="47">
        <f>=IFERROR(AY130/AY125,0)</f>
        <v>0.010744316412332606</v>
      </c>
      <c r="AZ54" s="47">
        <f>=IFERROR(AZ130/AZ125,0)</f>
        <v>0.012017804154302671</v>
      </c>
      <c r="BA54" s="47">
        <f>=IFERROR(BA130/BA125,0)</f>
        <v>0.021996109531647465</v>
      </c>
      <c r="BB54" s="47">
        <f>=IFERROR(BB130/BB125,0)</f>
        <v>0.018349889624724062</v>
      </c>
      <c r="BC54" s="47">
        <f>=IFERROR(BC130/BC125,0)</f>
        <v>0.038196524865188736</v>
      </c>
      <c r="BD54" s="47">
        <f>=IFERROR(BD130/BD125,0)</f>
        <v>0.026132980482963943</v>
      </c>
      <c r="BE54" s="47">
        <f>=IFERROR(BE130/BE125,0)</f>
        <v>0.018368617683686177</v>
      </c>
      <c r="BF54" s="47">
        <f>=IFERROR(BF130/BF125,0)</f>
        <v>0.02329075882794891</v>
      </c>
      <c r="BG54" s="47">
        <f>=IFERROR(BG130/BG125,0)</f>
        <v>0.04213267963842501</v>
      </c>
      <c r="BH54" s="47">
        <f>=IFERROR(BH130/BH125,0)</f>
        <v>0.03978328173374613</v>
      </c>
      <c r="BI54" s="47">
        <f>=IFERROR(BI130/BI125,0)</f>
        <v>0.04929910222082218</v>
      </c>
      <c r="BJ54" s="47">
        <f>=IFERROR(BJ130/BJ125,0)</f>
        <v>0.04706253948199621</v>
      </c>
      <c r="BK54" s="47">
        <f>=IFERROR(BK130/BK125,0)</f>
        <v>0.06503146683879296</v>
      </c>
      <c r="BL54" s="47">
        <f>=IFERROR(BL130/BL125,0)</f>
        <v>0.05081098973849719</v>
      </c>
      <c r="BM54" s="47">
        <f>=IFERROR(BM130/BM125,0)</f>
        <v>0.04223645490739138</v>
      </c>
      <c r="BN54" s="47">
        <f>=IFERROR(BN130/BN125,0)</f>
        <v>0.03372220196864747</v>
      </c>
      <c r="BO54" s="47">
        <f>=IFERROR(BO130/BO125,0)</f>
        <v>0.059177155739244786</v>
      </c>
      <c r="BP54" s="47">
        <f>=IFERROR(BP130/BP125,0)</f>
        <v>0.054884742041712405</v>
      </c>
      <c r="BQ54" s="47">
        <f>=IFERROR(BQ130/BQ125,0)</f>
        <v>0.03902714932126697</v>
      </c>
      <c r="BR54" s="47">
        <f>=IFERROR(BR130/BR125,0)</f>
        <v>0.07036114570361146</v>
      </c>
      <c r="BS54" s="47">
        <f>=IFERROR(BS130/BS125,0)</f>
        <v>0.04663657855147217</v>
      </c>
      <c r="BT54" s="47">
        <f>=IFERROR(BT130/BT125,0)</f>
        <v>0.04491017964071856</v>
      </c>
      <c r="BU54" s="47">
        <f>=IFERROR(BU130/BU125,0)</f>
        <v>0.05150862068965517</v>
      </c>
      <c r="BV54" s="47">
        <f>=IFERROR(BV130/BV125,0)</f>
        <v>0.04280410569993448</v>
      </c>
      <c r="BW54" s="47">
        <f>=IFERROR(BW130/BW125,0)</f>
        <v>0.04741379310344827</v>
      </c>
      <c r="BX54" s="47">
        <f>=IFERROR(BX130/BX125,0)</f>
        <v>0</v>
      </c>
      <c r="BY54" s="47">
        <f>=IFERROR(BY130/BY125,0)</f>
        <v>0</v>
      </c>
      <c r="BZ54" s="47">
        <f>=IFERROR(BZ130/BZ125,0)</f>
        <v>0</v>
      </c>
      <c r="CA54" s="47">
        <f>=IFERROR(CA130/CA125,0)</f>
        <v>0</v>
      </c>
      <c r="CB54" s="47">
        <f>=IFERROR(CB130/CB125,0)</f>
        <v>0</v>
      </c>
      <c r="CC54" s="47">
        <f>=IFERROR(CC130/CC125,0)</f>
        <v>0</v>
      </c>
      <c r="CD54" s="47">
        <f>=IFERROR(CD130/CD125,0)</f>
        <v>0</v>
      </c>
      <c r="CE54" s="47">
        <f>=IFERROR(CE130/CE125,0)</f>
        <v>0</v>
      </c>
      <c r="CF54" s="47">
        <f>=IFERROR(CF130/CF125,0)</f>
        <v>0</v>
      </c>
      <c r="CG54" s="47">
        <f>=IFERROR(CG130/CG125,0)</f>
        <v>0</v>
      </c>
      <c r="CH54" s="47">
        <f>=IFERROR(CH130/CH125,0)</f>
        <v>0</v>
      </c>
      <c r="CI54" s="47">
        <f>=IFERROR(CI130/CI125,0)</f>
        <v>0</v>
      </c>
      <c r="CJ54" s="47">
        <f>=IFERROR(CJ130/CJ125,0)</f>
        <v>0</v>
      </c>
      <c r="CK54" s="47">
        <f>=IFERROR(CK130/CK125,0)</f>
        <v>0</v>
      </c>
      <c r="CL54" s="47">
        <f>=IFERROR(CL130/CL125,0)</f>
        <v>0</v>
      </c>
      <c r="CM54" s="47">
        <f>=IFERROR(CM130/CM125,0)</f>
        <v>0</v>
      </c>
      <c r="CN54" s="47">
        <f>=IFERROR(CN130/CN125,0)</f>
        <v>0</v>
      </c>
      <c r="CO54" s="47">
        <f>=IFERROR(CO130/CO125,0)</f>
        <v>0</v>
      </c>
      <c r="CP54" s="47">
        <f>=IFERROR(CP130/CP125,0)</f>
        <v>0</v>
      </c>
      <c r="CQ54" s="47">
        <f>=IFERROR(CQ130/CQ125,0)</f>
        <v>0</v>
      </c>
      <c r="CR54" s="47">
        <f>=IFERROR(CR130/CR125,0)</f>
        <v>0</v>
      </c>
      <c r="CS54" s="47">
        <f>=IFERROR(CS130/CS125,0)</f>
        <v>0</v>
      </c>
      <c r="CT54" s="47">
        <f>=IFERROR(CT130/CT125,0)</f>
        <v>0</v>
      </c>
      <c r="CU54" s="47">
        <f>=IFERROR(CU130/CU125,0)</f>
        <v>0</v>
      </c>
      <c r="CV54" s="47">
        <f>=IFERROR(CV130/CV125,0)</f>
        <v>0</v>
      </c>
      <c r="CW54" s="47">
        <f>=IFERROR(CW130/CW125,0)</f>
        <v>0</v>
      </c>
      <c r="CX54" s="47">
        <f>=IFERROR(CX130/CX125,0)</f>
        <v>0</v>
      </c>
      <c r="CY54" s="47">
        <f>=IFERROR(CY130/CY125,0)</f>
        <v>0</v>
      </c>
      <c r="CZ54" s="47">
        <f>=IFERROR(CZ130/CZ125,0)</f>
        <v>0</v>
      </c>
      <c r="DA54" s="47">
        <f>=IFERROR(DA130/DA125,0)</f>
        <v>0</v>
      </c>
      <c r="DB54" s="47">
        <f>=IFERROR(DB130/DB125,0)</f>
        <v>0</v>
      </c>
    </row>
    <row r="55" ht="18" customHeight="1" spans="1:106" x14ac:dyDescent="0.25">
      <c r="A55" s="36" t="s">
        <v>264</v>
      </c>
      <c r="B55" s="17"/>
      <c r="C55" s="47">
        <f>=IFERROR(C131/C125,0)</f>
        <v>0</v>
      </c>
      <c r="D55" s="47">
        <f>=IFERROR(D131/D125,0)</f>
        <v>0</v>
      </c>
      <c r="E55" s="47">
        <f>=IFERROR(E131/E125,0)</f>
        <v>0</v>
      </c>
      <c r="F55" s="47">
        <f>=IFERROR(F131/F125,0)</f>
        <v>0</v>
      </c>
      <c r="G55" s="47">
        <f>=IFERROR(G131/G125,0)</f>
        <v>0</v>
      </c>
      <c r="H55" s="47">
        <f>=IFERROR(H131/H125,0)</f>
        <v>0</v>
      </c>
      <c r="I55" s="47">
        <f>=IFERROR(I131/I125,0)</f>
        <v>0</v>
      </c>
      <c r="J55" s="47">
        <f>=IFERROR(J131/J125,0)</f>
        <v>0</v>
      </c>
      <c r="K55" s="47">
        <f>=IFERROR(K131/K125,0)</f>
        <v>0</v>
      </c>
      <c r="L55" s="47">
        <f>=IFERROR(L131/L125,0)</f>
        <v>0</v>
      </c>
      <c r="M55" s="47">
        <f>=IFERROR(M131/M125,0)</f>
        <v>0</v>
      </c>
      <c r="N55" s="47">
        <f>=IFERROR(N131/N125,0)</f>
        <v>0</v>
      </c>
      <c r="O55" s="47">
        <f>=IFERROR(O131/O125,0)</f>
        <v>0</v>
      </c>
      <c r="P55" s="47">
        <f>=IFERROR(P131/P125,0)</f>
        <v>0</v>
      </c>
      <c r="Q55" s="47">
        <f>=IFERROR(Q131/Q125,0)</f>
        <v>0</v>
      </c>
      <c r="R55" s="47">
        <f>=IFERROR(R131/R125,0)</f>
        <v>0</v>
      </c>
      <c r="S55" s="47">
        <f>=IFERROR(S131/S125,0)</f>
        <v>0</v>
      </c>
      <c r="T55" s="47">
        <f>=IFERROR(T131/T125,0)</f>
        <v>0</v>
      </c>
      <c r="U55" s="47">
        <f>=IFERROR(U131/U125,0)</f>
        <v>0</v>
      </c>
      <c r="V55" s="47">
        <f>=IFERROR(V131/V125,0)</f>
        <v>0</v>
      </c>
      <c r="W55" s="47">
        <f>=IFERROR(W131/W125,0)</f>
        <v>0</v>
      </c>
      <c r="X55" s="47">
        <f>=IFERROR(X131/X125,0)</f>
        <v>0</v>
      </c>
      <c r="Y55" s="47">
        <f>=IFERROR(Y131/Y125,0)</f>
        <v>0</v>
      </c>
      <c r="Z55" s="47">
        <f>=IFERROR(Z131/Z125,0)</f>
        <v>0</v>
      </c>
      <c r="AA55" s="47">
        <f>=IFERROR(AA131/AA125,0)</f>
        <v>0</v>
      </c>
      <c r="AB55" s="47">
        <f>=IFERROR(AB131/AB125,0)</f>
        <v>0</v>
      </c>
      <c r="AC55" s="47">
        <f>=IFERROR(AC131/AC125,0)</f>
        <v>0.03541076487252125</v>
      </c>
      <c r="AD55" s="47">
        <f>=IFERROR(AD131/AD125,0)</f>
        <v>0.02862523540489642</v>
      </c>
      <c r="AE55" s="47">
        <f>=IFERROR(AE131/AE125,0)</f>
        <v>0.03206051873198847</v>
      </c>
      <c r="AF55" s="47">
        <f>=IFERROR(AF131/AF125,0)</f>
        <v>0.08145106091718002</v>
      </c>
      <c r="AG55" s="47">
        <f>=IFERROR(AG131/AG125,0)</f>
        <v>0.056139198949441894</v>
      </c>
      <c r="AH55" s="47">
        <f>=IFERROR(AH131/AH125,0)</f>
        <v>0.047345767575322814</v>
      </c>
      <c r="AI55" s="47">
        <f>=IFERROR(AI131/AI125,0)</f>
        <v>0.04997397188964081</v>
      </c>
      <c r="AJ55" s="47">
        <f>=IFERROR(AJ131/AJ125,0)</f>
        <v>0.047592695074709465</v>
      </c>
      <c r="AK55" s="47">
        <f>=IFERROR(AK131/AK125,0)</f>
        <v>0.08108758421559191</v>
      </c>
      <c r="AL55" s="47">
        <f>=IFERROR(AL131/AL125,0)</f>
        <v>0.07372881355932204</v>
      </c>
      <c r="AM55" s="47">
        <f>=IFERROR(AM131/AM125,0)</f>
        <v>0.06774193548387097</v>
      </c>
      <c r="AN55" s="47">
        <f>=IFERROR(AN131/AN125,0)</f>
        <v>0.05397196261682243</v>
      </c>
      <c r="AO55" s="47">
        <f>=IFERROR(AO131/AO125,0)</f>
        <v>0.06809015421115065</v>
      </c>
      <c r="AP55" s="47">
        <f>=IFERROR(AP131/AP125,0)</f>
        <v>0.08157409305185488</v>
      </c>
      <c r="AQ55" s="47">
        <f>=IFERROR(AQ131/AQ125,0)</f>
        <v>0.05875486381322957</v>
      </c>
      <c r="AR55" s="47">
        <f>=IFERROR(AR131/AR125,0)</f>
        <v>0.05211406096361849</v>
      </c>
      <c r="AS55" s="47">
        <f>=IFERROR(AS131/AS125,0)</f>
        <v>0.06091703056768559</v>
      </c>
      <c r="AT55" s="47">
        <f>=IFERROR(AT131/AT125,0)</f>
        <v>0.07663977551736233</v>
      </c>
      <c r="AU55" s="47">
        <f>=IFERROR(AU131/AU125,0)</f>
        <v>0.0714751958224543</v>
      </c>
      <c r="AV55" s="47">
        <f>=IFERROR(AV131/AV125,0)</f>
        <v>0.09777651083238312</v>
      </c>
      <c r="AW55" s="47">
        <f>=IFERROR(AW131/AW125,0)</f>
        <v>0.038139145012573344</v>
      </c>
      <c r="AX55" s="47">
        <f>=IFERROR(AX131/AX125,0)</f>
        <v>0.04032049625226156</v>
      </c>
      <c r="AY55" s="47">
        <f>=IFERROR(AY131/AY125,0)</f>
        <v>0.07739022111491747</v>
      </c>
      <c r="AZ55" s="47">
        <f>=IFERROR(AZ131/AZ125,0)</f>
        <v>0.04970326409495549</v>
      </c>
      <c r="BA55" s="47">
        <f>=IFERROR(BA131/BA125,0)</f>
        <v>0.0882837049229388</v>
      </c>
      <c r="BB55" s="47">
        <f>=IFERROR(BB131/BB125,0)</f>
        <v>0.011175496688741722</v>
      </c>
      <c r="BC55" s="47">
        <f>=IFERROR(BC131/BC125,0)</f>
        <v>0.0768424206111444</v>
      </c>
      <c r="BD55" s="47">
        <f>=IFERROR(BD131/BD125,0)</f>
        <v>0.0668210387032749</v>
      </c>
      <c r="BE55" s="47">
        <f>=IFERROR(BE131/BE125,0)</f>
        <v>0.10927770859277709</v>
      </c>
      <c r="BF55" s="47">
        <f>=IFERROR(BF131/BF125,0)</f>
        <v>0.08685199098422239</v>
      </c>
      <c r="BG55" s="47">
        <f>=IFERROR(BG131/BG125,0)</f>
        <v>0.05546192737858128</v>
      </c>
      <c r="BH55" s="47">
        <f>=IFERROR(BH131/BH125,0)</f>
        <v>0.05851393188854489</v>
      </c>
      <c r="BI55" s="47">
        <f>=IFERROR(BI131/BI125,0)</f>
        <v>0.04599149472357852</v>
      </c>
      <c r="BJ55" s="47">
        <f>=IFERROR(BJ131/BJ125,0)</f>
        <v>0.05290587492103601</v>
      </c>
      <c r="BK55" s="47">
        <f>=IFERROR(BK131/BK125,0)</f>
        <v>0.07293851863805068</v>
      </c>
      <c r="BL55" s="47">
        <f>=IFERROR(BL131/BL125,0)</f>
        <v>0.06653426017874876</v>
      </c>
      <c r="BM55" s="47">
        <f>=IFERROR(BM131/BM125,0)</f>
        <v>0.09589752466678207</v>
      </c>
      <c r="BN55" s="47">
        <f>=IFERROR(BN131/BN125,0)</f>
        <v>0.05687203791469194</v>
      </c>
      <c r="BO55" s="47">
        <f>=IFERROR(BO131/BO125,0)</f>
        <v>0.03099755776817584</v>
      </c>
      <c r="BP55" s="47">
        <f>=IFERROR(BP131/BP125,0)</f>
        <v>0.038419319429198684</v>
      </c>
      <c r="BQ55" s="47">
        <f>=IFERROR(BQ131/BQ125,0)</f>
        <v>0.04147812971342383</v>
      </c>
      <c r="BR55" s="47">
        <f>=IFERROR(BR131/BR125,0)</f>
        <v>0.031340805313408056</v>
      </c>
      <c r="BS55" s="47">
        <f>=IFERROR(BS131/BS125,0)</f>
        <v>0.04298302170642596</v>
      </c>
      <c r="BT55" s="47">
        <f>=IFERROR(BT131/BT125,0)</f>
        <v>0.5040633019674936</v>
      </c>
      <c r="BU55" s="47">
        <f>=IFERROR(BU131/BU125,0)</f>
        <v>0.06379310344827586</v>
      </c>
      <c r="BV55" s="47">
        <f>=IFERROR(BV131/BV125,0)</f>
        <v>0.048263813059620006</v>
      </c>
      <c r="BW55" s="47">
        <f>=IFERROR(BW131/BW125,0)</f>
        <v>0.07823275862068965</v>
      </c>
      <c r="BX55" s="47">
        <f>=IFERROR(BX131/BX125,0)</f>
        <v>0</v>
      </c>
      <c r="BY55" s="47">
        <f>=IFERROR(BY131/BY125,0)</f>
        <v>0</v>
      </c>
      <c r="BZ55" s="47">
        <f>=IFERROR(BZ131/BZ125,0)</f>
        <v>0</v>
      </c>
      <c r="CA55" s="47">
        <f>=IFERROR(CA131/CA125,0)</f>
        <v>0</v>
      </c>
      <c r="CB55" s="47">
        <f>=IFERROR(CB131/CB125,0)</f>
        <v>0</v>
      </c>
      <c r="CC55" s="47">
        <f>=IFERROR(CC131/CC125,0)</f>
        <v>0</v>
      </c>
      <c r="CD55" s="47">
        <f>=IFERROR(CD131/CD125,0)</f>
        <v>0</v>
      </c>
      <c r="CE55" s="47">
        <f>=IFERROR(CE131/CE125,0)</f>
        <v>0</v>
      </c>
      <c r="CF55" s="47">
        <f>=IFERROR(CF131/CF125,0)</f>
        <v>0</v>
      </c>
      <c r="CG55" s="47">
        <f>=IFERROR(CG131/CG125,0)</f>
        <v>0</v>
      </c>
      <c r="CH55" s="47">
        <f>=IFERROR(CH131/CH125,0)</f>
        <v>0</v>
      </c>
      <c r="CI55" s="47">
        <f>=IFERROR(CI131/CI125,0)</f>
        <v>0</v>
      </c>
      <c r="CJ55" s="47">
        <f>=IFERROR(CJ131/CJ125,0)</f>
        <v>0</v>
      </c>
      <c r="CK55" s="47">
        <f>=IFERROR(CK131/CK125,0)</f>
        <v>0</v>
      </c>
      <c r="CL55" s="47">
        <f>=IFERROR(CL131/CL125,0)</f>
        <v>0</v>
      </c>
      <c r="CM55" s="47">
        <f>=IFERROR(CM131/CM125,0)</f>
        <v>0</v>
      </c>
      <c r="CN55" s="47">
        <f>=IFERROR(CN131/CN125,0)</f>
        <v>0</v>
      </c>
      <c r="CO55" s="47">
        <f>=IFERROR(CO131/CO125,0)</f>
        <v>0</v>
      </c>
      <c r="CP55" s="47">
        <f>=IFERROR(CP131/CP125,0)</f>
        <v>0</v>
      </c>
      <c r="CQ55" s="47">
        <f>=IFERROR(CQ131/CQ125,0)</f>
        <v>0</v>
      </c>
      <c r="CR55" s="47">
        <f>=IFERROR(CR131/CR125,0)</f>
        <v>0</v>
      </c>
      <c r="CS55" s="47">
        <f>=IFERROR(CS131/CS125,0)</f>
        <v>0</v>
      </c>
      <c r="CT55" s="47">
        <f>=IFERROR(CT131/CT125,0)</f>
        <v>0</v>
      </c>
      <c r="CU55" s="47">
        <f>=IFERROR(CU131/CU125,0)</f>
        <v>0</v>
      </c>
      <c r="CV55" s="47">
        <f>=IFERROR(CV131/CV125,0)</f>
        <v>0</v>
      </c>
      <c r="CW55" s="47">
        <f>=IFERROR(CW131/CW125,0)</f>
        <v>0</v>
      </c>
      <c r="CX55" s="47">
        <f>=IFERROR(CX131/CX125,0)</f>
        <v>0</v>
      </c>
      <c r="CY55" s="47">
        <f>=IFERROR(CY131/CY125,0)</f>
        <v>0</v>
      </c>
      <c r="CZ55" s="47">
        <f>=IFERROR(CZ131/CZ125,0)</f>
        <v>0</v>
      </c>
      <c r="DA55" s="47">
        <f>=IFERROR(DA131/DA125,0)</f>
        <v>0</v>
      </c>
      <c r="DB55" s="47">
        <f>=IFERROR(DB131/DB125,0)</f>
        <v>0</v>
      </c>
    </row>
    <row r="56" ht="15" customHeight="1" spans="1:106" x14ac:dyDescent="0.25">
      <c r="A56" s="36" t="s">
        <v>265</v>
      </c>
      <c r="B56" s="17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8"/>
      <c r="BG56" s="38"/>
      <c r="BH56" s="38"/>
      <c r="BI56" s="38"/>
      <c r="BJ56" s="38"/>
      <c r="BK56" s="38"/>
      <c r="BL56" s="38"/>
      <c r="BM56" s="38"/>
      <c r="BN56" s="38"/>
      <c r="BO56" s="38"/>
      <c r="BP56" s="38"/>
      <c r="BQ56" s="38"/>
      <c r="BR56" s="38"/>
      <c r="BS56" s="38"/>
      <c r="BT56" s="38"/>
      <c r="BU56" s="38"/>
      <c r="BV56" s="38"/>
      <c r="BW56" s="38"/>
      <c r="BX56" s="38"/>
      <c r="BY56" s="38"/>
      <c r="BZ56" s="38"/>
      <c r="CA56" s="38"/>
      <c r="CB56" s="38"/>
      <c r="CC56" s="38"/>
      <c r="CD56" s="38"/>
      <c r="CE56" s="38"/>
      <c r="CF56" s="38"/>
      <c r="CG56" s="38"/>
      <c r="CH56" s="38"/>
      <c r="CI56" s="38"/>
      <c r="CJ56" s="38"/>
      <c r="CK56" s="38"/>
      <c r="CL56" s="38"/>
      <c r="CM56" s="38"/>
      <c r="CN56" s="38"/>
      <c r="CO56" s="38"/>
      <c r="CP56" s="38"/>
      <c r="CQ56" s="38"/>
      <c r="CR56" s="38"/>
      <c r="CS56" s="38"/>
      <c r="CT56" s="38"/>
      <c r="CU56" s="38"/>
      <c r="CV56" s="38"/>
      <c r="CW56" s="38"/>
      <c r="CX56" s="38"/>
      <c r="CY56" s="38"/>
      <c r="CZ56" s="38"/>
      <c r="DA56" s="38"/>
      <c r="DB56" s="38"/>
    </row>
    <row r="57" ht="15" customHeight="1" spans="1:106" x14ac:dyDescent="0.25">
      <c r="A57" s="36" t="s">
        <v>286</v>
      </c>
      <c r="B57" s="17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  <c r="CG57" s="38"/>
      <c r="CH57" s="38"/>
      <c r="CI57" s="38"/>
      <c r="CJ57" s="38"/>
      <c r="CK57" s="38"/>
      <c r="CL57" s="38"/>
      <c r="CM57" s="38"/>
      <c r="CN57" s="38"/>
      <c r="CO57" s="38"/>
      <c r="CP57" s="38"/>
      <c r="CQ57" s="38"/>
      <c r="CR57" s="38"/>
      <c r="CS57" s="38"/>
      <c r="CT57" s="38"/>
      <c r="CU57" s="38"/>
      <c r="CV57" s="38"/>
      <c r="CW57" s="38"/>
      <c r="CX57" s="38"/>
      <c r="CY57" s="38"/>
      <c r="CZ57" s="38"/>
      <c r="DA57" s="38"/>
      <c r="DB57" s="38"/>
    </row>
    <row r="58" ht="15" customHeight="1" spans="1:106" x14ac:dyDescent="0.25">
      <c r="A58" s="16" t="s">
        <v>287</v>
      </c>
      <c r="B58" s="17"/>
      <c r="C58" s="35">
        <f>=SUM(C59:C64)</f>
        <v>0</v>
      </c>
      <c r="D58" s="35">
        <f>=SUM(D59:D61)</f>
        <v>0</v>
      </c>
      <c r="E58" s="35">
        <f>=SUM(E59:E61)</f>
        <v>0</v>
      </c>
      <c r="F58" s="35">
        <f>=SUM(F59:F61)</f>
        <v>0</v>
      </c>
      <c r="G58" s="35">
        <f>=SUM(G59:G61)</f>
        <v>0</v>
      </c>
      <c r="H58" s="35">
        <f>=SUM(H59:H61)</f>
        <v>0</v>
      </c>
      <c r="I58" s="35">
        <f>=SUM(I59:I61)</f>
        <v>0</v>
      </c>
      <c r="J58" s="35">
        <f>=SUM(J59:J61)</f>
        <v>0</v>
      </c>
      <c r="K58" s="35">
        <f>=SUM(K59:K61)</f>
        <v>0</v>
      </c>
      <c r="L58" s="35">
        <f>=SUM(L59:L61)</f>
        <v>0</v>
      </c>
      <c r="M58" s="35">
        <f>=SUM(M59:M61)</f>
        <v>0</v>
      </c>
      <c r="N58" s="35">
        <f>=SUM(N59:N61)</f>
        <v>0</v>
      </c>
      <c r="O58" s="35">
        <f>=SUM(O59:O61)</f>
        <v>0</v>
      </c>
      <c r="P58" s="35">
        <f>=SUM(P59:P61)</f>
        <v>0</v>
      </c>
      <c r="Q58" s="35">
        <f>=SUM(Q59:Q61)</f>
        <v>0</v>
      </c>
      <c r="R58" s="35">
        <f>=SUM(R59:R61)</f>
        <v>0</v>
      </c>
      <c r="S58" s="35">
        <f>=SUM(S59:S61)</f>
        <v>0</v>
      </c>
      <c r="T58" s="35">
        <f>=SUM(T59:T61)</f>
        <v>0</v>
      </c>
      <c r="U58" s="35">
        <f>=SUM(U59:U61)</f>
        <v>0</v>
      </c>
      <c r="V58" s="35">
        <f>=SUM(V59:V61)</f>
        <v>0</v>
      </c>
      <c r="W58" s="35">
        <f>=SUM(W59:W61)</f>
        <v>0</v>
      </c>
      <c r="X58" s="35">
        <f>=SUM(X59:X61)</f>
        <v>0</v>
      </c>
      <c r="Y58" s="35">
        <f>=SUM(Y59:Y61)</f>
        <v>0</v>
      </c>
      <c r="Z58" s="35">
        <f>=SUM(Z59:Z61)</f>
        <v>0</v>
      </c>
      <c r="AA58" s="35">
        <f>=SUM(AA59:AA61)</f>
        <v>0</v>
      </c>
      <c r="AB58" s="35">
        <f>=SUM(AB59:AB61)</f>
        <v>0</v>
      </c>
      <c r="AC58" s="35">
        <f>=SUM(AC59:AC61)</f>
        <v>0</v>
      </c>
      <c r="AD58" s="35">
        <f>=SUM(AD59:AD61)</f>
        <v>0</v>
      </c>
      <c r="AE58" s="35">
        <f>=SUM(AE59:AE61)</f>
        <v>0</v>
      </c>
      <c r="AF58" s="35">
        <f>=SUM(AF59:AF61)</f>
        <v>0</v>
      </c>
      <c r="AG58" s="35">
        <f>=SUM(AG59:AG61)</f>
        <v>0</v>
      </c>
      <c r="AH58" s="35">
        <f>=SUM(AH59:AH61)</f>
        <v>0</v>
      </c>
      <c r="AI58" s="35">
        <f>=SUM(AI59:AI61)</f>
        <v>0</v>
      </c>
      <c r="AJ58" s="35">
        <f>=SUM(AJ59:AJ61)</f>
        <v>0</v>
      </c>
      <c r="AK58" s="35">
        <f>=SUM(AK59:AK61)</f>
        <v>0</v>
      </c>
      <c r="AL58" s="35">
        <f>=SUM(AL59:AL61)</f>
        <v>0</v>
      </c>
      <c r="AM58" s="35">
        <f>=SUM(AM59:AM61)</f>
        <v>0</v>
      </c>
      <c r="AN58" s="35">
        <f>=SUM(AN59:AN61)</f>
        <v>0</v>
      </c>
      <c r="AO58" s="35">
        <f>=SUM(AO59:AO61)</f>
        <v>0</v>
      </c>
      <c r="AP58" s="35">
        <f>=SUM(AP59:AP61)</f>
        <v>0</v>
      </c>
      <c r="AQ58" s="35">
        <f>=SUM(AQ59:AQ61)</f>
        <v>0</v>
      </c>
      <c r="AR58" s="35">
        <f>=SUM(AR59:AR61)</f>
        <v>0</v>
      </c>
      <c r="AS58" s="35">
        <f>=SUM(AS59:AS61)</f>
        <v>0</v>
      </c>
      <c r="AT58" s="35">
        <f>=SUM(AT59:AT61)</f>
        <v>0</v>
      </c>
      <c r="AU58" s="35">
        <f>=SUM(AU59:AU61)</f>
        <v>0</v>
      </c>
      <c r="AV58" s="35">
        <f>=SUM(AV59:AV61)</f>
        <v>0</v>
      </c>
      <c r="AW58" s="35">
        <f>=SUM(AW59:AW61)</f>
        <v>0</v>
      </c>
      <c r="AX58" s="35">
        <f>=SUM(AX59:AX61)</f>
        <v>0</v>
      </c>
      <c r="AY58" s="35">
        <f>=SUM(AY59:AY61)</f>
        <v>0</v>
      </c>
      <c r="AZ58" s="35">
        <f>=SUM(AZ59:AZ61)</f>
        <v>0</v>
      </c>
      <c r="BA58" s="35">
        <f>=SUM(BA59:BA61)</f>
        <v>0</v>
      </c>
      <c r="BB58" s="35">
        <f>=SUM(BB59:BB61)</f>
        <v>0</v>
      </c>
      <c r="BC58" s="35">
        <f>=SUM(BC59:BC61)</f>
        <v>0</v>
      </c>
      <c r="BD58" s="35">
        <f>=SUM(BD59:BD61)</f>
        <v>0</v>
      </c>
      <c r="BE58" s="35">
        <f>=SUM(BE59:BE61)</f>
        <v>0</v>
      </c>
      <c r="BF58" s="35">
        <f>=SUM(BF59:BF61)</f>
        <v>0</v>
      </c>
      <c r="BG58" s="35">
        <f>=SUM(BG59:BG61)</f>
        <v>0</v>
      </c>
      <c r="BH58" s="35">
        <f>=SUM(BH59:BH61)</f>
        <v>0</v>
      </c>
      <c r="BI58" s="35">
        <f>=SUM(BI59:BI61)</f>
        <v>0</v>
      </c>
      <c r="BJ58" s="35">
        <f>=SUM(BJ59:BJ61)</f>
        <v>0</v>
      </c>
      <c r="BK58" s="35">
        <f>=SUM(BK59:BK61)</f>
        <v>0</v>
      </c>
      <c r="BL58" s="35">
        <f>=SUM(BL59:BL61)</f>
        <v>0</v>
      </c>
      <c r="BM58" s="35">
        <f>=SUM(BM59:BM61)</f>
        <v>0</v>
      </c>
      <c r="BN58" s="35">
        <f>=SUM(BN59:BN61)</f>
        <v>0</v>
      </c>
      <c r="BO58" s="35">
        <f>=SUM(BO59:BO61)</f>
        <v>0</v>
      </c>
      <c r="BP58" s="35">
        <f>=SUM(BP59:BP61)</f>
        <v>0</v>
      </c>
      <c r="BQ58" s="35">
        <f>=SUM(BQ59:BQ61)</f>
        <v>0</v>
      </c>
      <c r="BR58" s="35">
        <f>=SUM(BR59:BR61)</f>
        <v>0</v>
      </c>
      <c r="BS58" s="35">
        <f>=SUM(BS59:BS61)</f>
        <v>0</v>
      </c>
      <c r="BT58" s="35">
        <f>=SUM(BT59:BT61)</f>
        <v>0</v>
      </c>
      <c r="BU58" s="35">
        <f>=SUM(BU59:BU61)</f>
        <v>0</v>
      </c>
      <c r="BV58" s="35">
        <f>=SUM(BV59:BV61)</f>
        <v>0</v>
      </c>
      <c r="BW58" s="35">
        <f>=SUM(BW59:BW61)</f>
        <v>0</v>
      </c>
      <c r="BX58" s="35">
        <f>=SUM(BX59:BX61)</f>
        <v>0</v>
      </c>
      <c r="BY58" s="35">
        <f>=SUM(BY59:BY61)</f>
        <v>0</v>
      </c>
      <c r="BZ58" s="35">
        <f>=SUM(BZ59:BZ61)</f>
        <v>0</v>
      </c>
      <c r="CA58" s="35">
        <f>=SUM(CA59:CA61)</f>
        <v>0</v>
      </c>
      <c r="CB58" s="35">
        <f>=SUM(CB59:CB61)</f>
        <v>0</v>
      </c>
      <c r="CC58" s="35">
        <f>=SUM(CC59:CC61)</f>
        <v>0</v>
      </c>
      <c r="CD58" s="35">
        <f>=SUM(CD59:CD61)</f>
        <v>0</v>
      </c>
      <c r="CE58" s="35">
        <f>=SUM(CE59:CE61)</f>
        <v>0</v>
      </c>
      <c r="CF58" s="35">
        <f>=SUM(CF59:CF61)</f>
        <v>0</v>
      </c>
      <c r="CG58" s="35">
        <f>=SUM(CG59:CG61)</f>
        <v>0</v>
      </c>
      <c r="CH58" s="35">
        <f>=SUM(CH59:CH61)</f>
        <v>0</v>
      </c>
      <c r="CI58" s="35">
        <f>=SUM(CI59:CI61)</f>
        <v>0</v>
      </c>
      <c r="CJ58" s="35">
        <f>=SUM(CJ59:CJ61)</f>
        <v>0</v>
      </c>
      <c r="CK58" s="35">
        <f>=SUM(CK59:CK61)</f>
        <v>0</v>
      </c>
      <c r="CL58" s="35">
        <f>=SUM(CL59:CL61)</f>
        <v>0</v>
      </c>
      <c r="CM58" s="35">
        <f>=SUM(CM59:CM61)</f>
        <v>0</v>
      </c>
      <c r="CN58" s="35">
        <f>=SUM(CN59:CN61)</f>
        <v>0</v>
      </c>
      <c r="CO58" s="35">
        <f>=SUM(CO59:CO61)</f>
        <v>0</v>
      </c>
      <c r="CP58" s="35">
        <f>=SUM(CP59:CP61)</f>
        <v>0</v>
      </c>
      <c r="CQ58" s="35">
        <f>=SUM(CQ59:CQ61)</f>
        <v>0</v>
      </c>
      <c r="CR58" s="35">
        <f>=SUM(CR59:CR61)</f>
        <v>0</v>
      </c>
      <c r="CS58" s="35">
        <f>=SUM(CS59:CS61)</f>
        <v>0</v>
      </c>
      <c r="CT58" s="35">
        <f>=SUM(CT59:CT61)</f>
        <v>0</v>
      </c>
      <c r="CU58" s="35">
        <f>=SUM(CU59:CU61)</f>
        <v>0</v>
      </c>
      <c r="CV58" s="35">
        <f>=SUM(CV59:CV61)</f>
        <v>0</v>
      </c>
      <c r="CW58" s="35">
        <f>=SUM(CW59:CW61)</f>
        <v>0</v>
      </c>
      <c r="CX58" s="35">
        <f>=SUM(CX59:CX61)</f>
        <v>0</v>
      </c>
      <c r="CY58" s="35">
        <f>=SUM(CY59:CY61)</f>
        <v>0</v>
      </c>
      <c r="CZ58" s="35">
        <f>=SUM(CZ59:CZ61)</f>
        <v>0</v>
      </c>
      <c r="DA58" s="35">
        <f>=SUM(DA59:DA61)</f>
        <v>0</v>
      </c>
      <c r="DB58" s="35">
        <f>=SUM(DB59:DB61)</f>
        <v>0</v>
      </c>
    </row>
    <row r="59" ht="18" customHeight="1" spans="1:106" x14ac:dyDescent="0.25">
      <c r="A59" s="36" t="s">
        <v>268</v>
      </c>
      <c r="B59" s="17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BH59" s="38"/>
      <c r="BI59" s="38"/>
      <c r="BJ59" s="38"/>
      <c r="BK59" s="38"/>
      <c r="BL59" s="38"/>
      <c r="BM59" s="38"/>
      <c r="BN59" s="38"/>
      <c r="BO59" s="38"/>
      <c r="BP59" s="38"/>
      <c r="BQ59" s="38"/>
      <c r="BR59" s="38"/>
      <c r="BS59" s="38"/>
      <c r="BT59" s="38"/>
      <c r="BU59" s="38"/>
      <c r="BV59" s="38"/>
      <c r="BW59" s="38"/>
      <c r="BX59" s="38"/>
      <c r="BY59" s="38"/>
      <c r="BZ59" s="38"/>
      <c r="CA59" s="38"/>
      <c r="CB59" s="38"/>
      <c r="CC59" s="38"/>
      <c r="CD59" s="38"/>
      <c r="CE59" s="38"/>
      <c r="CF59" s="38"/>
      <c r="CG59" s="38"/>
      <c r="CH59" s="38"/>
      <c r="CI59" s="38"/>
      <c r="CJ59" s="38"/>
      <c r="CK59" s="38"/>
      <c r="CL59" s="38"/>
      <c r="CM59" s="38"/>
      <c r="CN59" s="38"/>
      <c r="CO59" s="38"/>
      <c r="CP59" s="38"/>
      <c r="CQ59" s="38"/>
      <c r="CR59" s="38"/>
      <c r="CS59" s="38"/>
      <c r="CT59" s="38"/>
      <c r="CU59" s="38"/>
      <c r="CV59" s="38"/>
      <c r="CW59" s="38"/>
      <c r="CX59" s="38"/>
      <c r="CY59" s="38"/>
      <c r="CZ59" s="38"/>
      <c r="DA59" s="38"/>
      <c r="DB59" s="38"/>
    </row>
    <row r="60" ht="18" customHeight="1" spans="1:106" x14ac:dyDescent="0.25">
      <c r="A60" s="36" t="s">
        <v>269</v>
      </c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8"/>
      <c r="BH60" s="38"/>
      <c r="BI60" s="38"/>
      <c r="BJ60" s="38"/>
      <c r="BK60" s="38"/>
      <c r="BL60" s="38"/>
      <c r="BM60" s="38"/>
      <c r="BN60" s="38"/>
      <c r="BO60" s="38"/>
      <c r="BP60" s="38"/>
      <c r="BQ60" s="38"/>
      <c r="BR60" s="38"/>
      <c r="BS60" s="38"/>
      <c r="BT60" s="38"/>
      <c r="BU60" s="38"/>
      <c r="BV60" s="38"/>
      <c r="BW60" s="38"/>
      <c r="BX60" s="38"/>
      <c r="BY60" s="38"/>
      <c r="BZ60" s="38"/>
      <c r="CA60" s="38"/>
      <c r="CB60" s="38"/>
      <c r="CC60" s="38"/>
      <c r="CD60" s="38"/>
      <c r="CE60" s="38"/>
      <c r="CF60" s="38"/>
      <c r="CG60" s="38"/>
      <c r="CH60" s="38"/>
      <c r="CI60" s="38"/>
      <c r="CJ60" s="38"/>
      <c r="CK60" s="38"/>
      <c r="CL60" s="38"/>
      <c r="CM60" s="38"/>
      <c r="CN60" s="38"/>
      <c r="CO60" s="38"/>
      <c r="CP60" s="38"/>
      <c r="CQ60" s="38"/>
      <c r="CR60" s="38"/>
      <c r="CS60" s="38"/>
      <c r="CT60" s="38"/>
      <c r="CU60" s="38"/>
      <c r="CV60" s="38"/>
      <c r="CW60" s="38"/>
      <c r="CX60" s="38"/>
      <c r="CY60" s="38"/>
      <c r="CZ60" s="38"/>
      <c r="DA60" s="38"/>
      <c r="DB60" s="38"/>
    </row>
    <row r="61" ht="18" customHeight="1" spans="1:106" x14ac:dyDescent="0.25">
      <c r="A61" s="36" t="s">
        <v>288</v>
      </c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38"/>
      <c r="BM61" s="38"/>
      <c r="BN61" s="38"/>
      <c r="BO61" s="38"/>
      <c r="BP61" s="38"/>
      <c r="BQ61" s="38"/>
      <c r="BR61" s="38"/>
      <c r="BS61" s="38"/>
      <c r="BT61" s="38"/>
      <c r="BU61" s="38"/>
      <c r="BV61" s="38"/>
      <c r="BW61" s="38"/>
      <c r="BX61" s="38"/>
      <c r="BY61" s="38"/>
      <c r="BZ61" s="38"/>
      <c r="CA61" s="38"/>
      <c r="CB61" s="38"/>
      <c r="CC61" s="38"/>
      <c r="CD61" s="38"/>
      <c r="CE61" s="38"/>
      <c r="CF61" s="38"/>
      <c r="CG61" s="38"/>
      <c r="CH61" s="38"/>
      <c r="CI61" s="38"/>
      <c r="CJ61" s="38"/>
      <c r="CK61" s="38"/>
      <c r="CL61" s="38"/>
      <c r="CM61" s="38"/>
      <c r="CN61" s="38"/>
      <c r="CO61" s="38"/>
      <c r="CP61" s="38"/>
      <c r="CQ61" s="38"/>
      <c r="CR61" s="38"/>
      <c r="CS61" s="38"/>
      <c r="CT61" s="38"/>
      <c r="CU61" s="38"/>
      <c r="CV61" s="38"/>
      <c r="CW61" s="38"/>
      <c r="CX61" s="38"/>
      <c r="CY61" s="38"/>
      <c r="CZ61" s="38"/>
      <c r="DA61" s="38"/>
      <c r="DB61" s="38"/>
    </row>
    <row r="62" spans="1:1" x14ac:dyDescent="0.25">
      <c r="A62" s="36" t="s">
        <v>272</v>
      </c>
    </row>
    <row r="63" ht="18" customHeight="1" spans="1:1" x14ac:dyDescent="0.25">
      <c r="A63" s="36" t="s">
        <v>289</v>
      </c>
    </row>
    <row r="64" ht="18" customHeight="1" spans="1:106" x14ac:dyDescent="0.25">
      <c r="A64" s="36" t="s">
        <v>271</v>
      </c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</row>
    <row r="65" spans="1:106" x14ac:dyDescent="0.25">
      <c r="A65" s="20" t="s">
        <v>290</v>
      </c>
      <c r="C65" s="31">
        <f>=IF(LEN(C66)&gt;0,C66/C19,"")</f>
        <v>0</v>
      </c>
      <c r="D65" s="31">
        <f>=IF(LEN(D66)&gt;0,D66/D19,"")</f>
        <v>0</v>
      </c>
      <c r="E65" s="31">
        <f>=IF(LEN(E66)&gt;0,E66/E19,"")</f>
        <v>0</v>
      </c>
      <c r="F65" s="31">
        <f>=IF(LEN(F66)&gt;0,F66/F19,"")</f>
        <v>0</v>
      </c>
      <c r="G65" s="31">
        <f>=IF(LEN(G66)&gt;0,G66/G19,"")</f>
        <v>0</v>
      </c>
      <c r="H65" s="31">
        <f>=IF(LEN(H66)&gt;0,H66/H19,"")</f>
        <v>0.022727272727272728</v>
      </c>
      <c r="I65" s="31">
        <f>=IF(LEN(I66)&gt;0,I66/I19,"")</f>
        <v>0</v>
      </c>
      <c r="J65" s="31">
        <f>=IF(LEN(J66)&gt;0,J66/J19,"")</f>
        <v>0.03508771929824561</v>
      </c>
      <c r="K65" s="31">
        <f>=IF(LEN(K66)&gt;0,K66/K19,"")</f>
        <v>0</v>
      </c>
      <c r="L65" s="31">
        <f>=IF(LEN(L66)&gt;0,L66/L19,"")</f>
        <v>0.037037037037037035</v>
      </c>
      <c r="M65" s="31">
        <f>=IF(LEN(M66)&gt;0,M66/M19,"")</f>
        <v>0</v>
      </c>
      <c r="N65" s="31">
        <f>=IF(LEN(N66)&gt;0,N66/N19,"")</f>
        <v>0</v>
      </c>
      <c r="O65" s="31">
        <f>=IF(LEN(O66)&gt;0,O66/O19,"")</f>
        <v>0.0196078431372549</v>
      </c>
      <c r="P65" s="31">
        <f>=IF(LEN(P66)&gt;0,P66/P19,"")</f>
        <v>0.04</v>
      </c>
      <c r="Q65" s="31">
        <f>=IF(LEN(Q66)&gt;0,Q66/Q19,"")</f>
        <v>0</v>
      </c>
      <c r="R65" s="31">
        <f>=IF(LEN(R66)&gt;0,R66/R19,"")</f>
        <v>0.041666666666666664</v>
      </c>
      <c r="S65" s="31">
        <f>=IF(LEN(S66)&gt;0,S66/S19,"")</f>
        <v>0.0425531914893617</v>
      </c>
      <c r="T65" s="31">
        <f>=IF(LEN(T66)&gt;0,T66/T19,"")</f>
        <v>0</v>
      </c>
      <c r="U65" s="31">
        <f>=IF(LEN(U66)&gt;0,U66/U19,"")</f>
        <v>0.0425531914893617</v>
      </c>
      <c r="V65" s="31">
        <f>=IF(LEN(V66)&gt;0,V66/V19,"")</f>
        <v>0</v>
      </c>
      <c r="W65" s="31">
        <f>=IF(LEN(W66)&gt;0,W66/W19,"")</f>
        <v>0</v>
      </c>
      <c r="X65" s="31">
        <f>=IF(LEN(X66)&gt;0,X66/X19,"")</f>
        <v>0.02564102564102564</v>
      </c>
      <c r="Y65" s="31">
        <f>=IF(LEN(Y66)&gt;0,Y66/Y19,"")</f>
        <v>0.023809523809523808</v>
      </c>
      <c r="Z65" s="31">
        <f>=IF(LEN(Z66)&gt;0,Z66/Z19,"")</f>
        <v>0.02702702702702703</v>
      </c>
      <c r="AA65" s="31">
        <f>=IF(LEN(AA66)&gt;0,AA66/AA19,"")</f>
        <v>0.020833333333333332</v>
      </c>
      <c r="AB65" s="31">
        <f>=IF(LEN(AB66)&gt;0,AB66/AB19,"")</f>
        <v>0.043478260869565216</v>
      </c>
      <c r="AC65" s="31">
        <f>=IF(LEN(AC66)&gt;0,AC66/AC19,"")</f>
        <v>0</v>
      </c>
      <c r="AD65" s="31">
        <f>=IF(LEN(AD66)&gt;0,AD66/AD19,"")</f>
        <v>0</v>
      </c>
      <c r="AE65" s="31">
        <f>=IF(LEN(AE66)&gt;0,AE66/AE19,"")</f>
        <v>0.08333333333333333</v>
      </c>
      <c r="AF65" s="31">
        <f>=IF(LEN(AF66)&gt;0,AF66/AF19,"")</f>
        <v>0</v>
      </c>
      <c r="AG65" s="31">
        <f>=IF(LEN(AG66)&gt;0,AG66/AG19,"")</f>
        <v>0</v>
      </c>
      <c r="AH65" s="31">
        <f>=IF(LEN(AH66)&gt;0,AH66/AH19,"")</f>
        <v>0</v>
      </c>
      <c r="AI65" s="31">
        <f>=IF(LEN(AI66)&gt;0,AI66/AI19,"")</f>
        <v>0.021739130434782608</v>
      </c>
      <c r="AJ65" s="31">
        <f>=IF(LEN(AJ66)&gt;0,AJ66/AJ19,"")</f>
        <v>0.046511627906976744</v>
      </c>
      <c r="AK65" s="31">
        <f>=IF(LEN(AK66)&gt;0,AK66/AK19,"")</f>
        <v>0.018518518518518517</v>
      </c>
      <c r="AL65" s="31">
        <f>=IF(LEN(AL66)&gt;0,AL66/AL19,"")</f>
        <v>0</v>
      </c>
      <c r="AM65" s="31">
        <f>=IF(LEN(AM66)&gt;0,AM66/AM19,"")</f>
        <v>0</v>
      </c>
      <c r="AN65" s="31">
        <f>=IF(LEN(AN66)&gt;0,AN66/AN19,"")</f>
        <v>0</v>
      </c>
      <c r="AO65" s="31">
        <f>=IF(LEN(AO66)&gt;0,AO66/AO19,"")</f>
        <v>0</v>
      </c>
      <c r="AP65" s="31">
        <f>=IF(LEN(AP66)&gt;0,AP66/AP19,"")</f>
        <v>0.01639344262295082</v>
      </c>
      <c r="AQ65" s="31">
        <f>=IF(LEN(AQ66)&gt;0,AQ66/AQ19,"")</f>
        <v>0.014492753623188406</v>
      </c>
      <c r="AR65" s="31">
        <f>=IF(LEN(AR66)&gt;0,AR66/AR19,"")</f>
        <v>0.013333333333333334</v>
      </c>
      <c r="AS65" s="31">
        <f>=IF(LEN(AS66)&gt;0,AS66/AS19,"")</f>
        <v>0</v>
      </c>
      <c r="AT65" s="31">
        <f>=IF(LEN(AT66)&gt;0,AT66/AT19,"")</f>
        <v>0</v>
      </c>
      <c r="AU65" s="31">
        <f>=IF(LEN(AU66)&gt;0,AU66/AU19,"")</f>
        <v>0.009345794392523364</v>
      </c>
      <c r="AV65" s="31">
        <f>=IF(LEN(AV66)&gt;0,AV66/AV19,"")</f>
        <v>0</v>
      </c>
      <c r="AW65" s="31">
        <f>=IF(LEN(AW66)&gt;0,AW66/AW19,"")</f>
        <v>0.009900990099009901</v>
      </c>
      <c r="AX65" s="31">
        <f>=IF(LEN(AX66)&gt;0,AX66/AX19,"")</f>
        <v>0</v>
      </c>
      <c r="AY65" s="31">
        <f>=IF(LEN(AY66)&gt;0,AY66/AY19,"")</f>
        <v>0.007874015748031496</v>
      </c>
      <c r="AZ65" s="31">
        <f>=IF(LEN(AZ66)&gt;0,AZ66/AZ19,"")</f>
        <v>0</v>
      </c>
      <c r="BA65" s="31">
        <f>=IF(LEN(BA66)&gt;0,BA66/BA19,"")</f>
        <v>0.0064516129032258064</v>
      </c>
      <c r="BB65" s="31">
        <f>=IF(LEN(BB66)&gt;0,BB66/BB19,"")</f>
        <v>0.0136986301369863</v>
      </c>
      <c r="BC65" s="31">
        <f>=IF(LEN(BC66)&gt;0,BC66/BC19,"")</f>
        <v>0</v>
      </c>
      <c r="BD65" s="31">
        <f>=IF(LEN(BD66)&gt;0,BD66/BD19,"")</f>
        <v>0.007518796992481203</v>
      </c>
      <c r="BE65" s="31">
        <f>=IF(LEN(BE66)&gt;0,BE66/BE19,"")</f>
        <v>0.06349206349206349</v>
      </c>
      <c r="BF65" s="31">
        <f>=IF(LEN(BF66)&gt;0,BF66/BF19,"")</f>
        <v>0</v>
      </c>
      <c r="BG65" s="31">
        <f>=IF(LEN(BG66)&gt;0,BG66/BG19,"")</f>
        <v>0</v>
      </c>
      <c r="BH65" s="31">
        <f>=IF(LEN(BH66)&gt;0,BH66/BH19,"")</f>
        <v>0</v>
      </c>
      <c r="BI65" s="31">
        <f>=IF(LEN(BI66)&gt;0,BI66/BI19,"")</f>
        <v>0</v>
      </c>
      <c r="BJ65" s="31">
        <f>=IF(LEN(BJ66)&gt;0,BJ66/BJ19,"")</f>
        <v>0.007142857142857143</v>
      </c>
      <c r="BK65" s="31">
        <f>=IF(LEN(BK66)&gt;0,BK66/BK19,"")</f>
        <v>0</v>
      </c>
      <c r="BL65" s="31">
        <f>=IF(LEN(BL66)&gt;0,BL66/BL19,"")</f>
        <v>0.022058823529411766</v>
      </c>
      <c r="BM65" s="31">
        <f>=IF(LEN(BM66)&gt;0,BM66/BM19,"")</f>
        <v>0</v>
      </c>
      <c r="BN65" s="31">
        <f>=IF(LEN(BN66)&gt;0,BN66/BN19,"")</f>
        <v>0</v>
      </c>
      <c r="BO65" s="31">
        <f>=IF(LEN(BO66)&gt;0,BO66/BO19,"")</f>
        <v>0.0743801652892562</v>
      </c>
      <c r="BP65" s="31">
        <f>=IF(LEN(BP66)&gt;0,BP66/BP19,"")</f>
        <v>0.00847457627118644</v>
      </c>
      <c r="BQ65" s="31">
        <f>=IF(LEN(BQ66)&gt;0,BQ66/BQ19,"")</f>
        <v>0.008130081300813009</v>
      </c>
      <c r="BR65" s="31">
        <f>=IF(LEN(BR66)&gt;0,BR66/BR19,"")</f>
        <v>0</v>
      </c>
      <c r="BS65" s="31">
        <f>=IF(LEN(BS66)&gt;0,BS66/BS19,"")</f>
        <v>0</v>
      </c>
      <c r="BT65" s="31">
        <f>=IF(LEN(BT66)&gt;0,BT66/BT19,"")</f>
        <v>0.009345794392523364</v>
      </c>
      <c r="BU65" s="31">
        <f>=IF(LEN(BU66)&gt;0,BU66/BU19,"")</f>
        <v>0</v>
      </c>
      <c r="BV65" s="31">
        <f>=IF(LEN(BV66)&gt;0,BV66/BV19,"")</f>
        <v>0.018867924528301886</v>
      </c>
      <c r="BW65" s="30">
        <f>=IF(LEN(BW66)&gt;0,BW66/BW19,"")</f>
        <v>0</v>
      </c>
      <c r="BX65" s="30">
        <f>=IF(LEN(BX66)&gt;0,BX66/BX19,"")</f>
        <v>0.009900990099009901</v>
      </c>
      <c r="BY65" s="30">
        <f>=IF(LEN(BY66)&gt;0,BY66/BY19,"")</f>
        <v>0.020833333333333332</v>
      </c>
      <c r="BZ65" s="30" t="str">
        <f>=IF(LEN(BZ66)&gt;0,BZ66/BZ19,"")</f>
        <v/>
      </c>
      <c r="CA65" s="30" t="str">
        <f>=IF(LEN(CA66)&gt;0,CA66/CA19,"")</f>
        <v/>
      </c>
      <c r="CB65" s="30" t="str">
        <f>=IF(LEN(CB66)&gt;0,CB66/CB19,"")</f>
        <v/>
      </c>
      <c r="CC65" s="30" t="str">
        <f>=IF(LEN(CC66)&gt;0,CC66/CC19,"")</f>
        <v/>
      </c>
      <c r="CD65" s="30" t="str">
        <f>=IF(LEN(CD66)&gt;0,CD66/CD19,"")</f>
        <v/>
      </c>
      <c r="CE65" s="30" t="str">
        <f>=IF(LEN(CE66)&gt;0,CE66/CE19,"")</f>
        <v/>
      </c>
      <c r="CF65" s="30" t="str">
        <f>=IF(LEN(CF66)&gt;0,CF66/CF19,"")</f>
        <v/>
      </c>
      <c r="CG65" s="30" t="str">
        <f>=IF(LEN(CG66)&gt;0,CG66/CG19,"")</f>
        <v/>
      </c>
      <c r="CH65" s="30" t="str">
        <f>=IF(LEN(CH66)&gt;0,CH66/CH19,"")</f>
        <v/>
      </c>
      <c r="CI65" s="30" t="str">
        <f>=IF(LEN(CI66)&gt;0,CI66/CI19,"")</f>
        <v/>
      </c>
      <c r="CJ65" s="30" t="str">
        <f>=IF(LEN(CJ66)&gt;0,CJ66/CJ19,"")</f>
        <v/>
      </c>
      <c r="CK65" s="30" t="str">
        <f>=IF(LEN(CK66)&gt;0,CK66/CK19,"")</f>
        <v/>
      </c>
      <c r="CL65" s="30" t="str">
        <f>=IF(LEN(CL66)&gt;0,CL66/CL19,"")</f>
        <v/>
      </c>
      <c r="CM65" s="30" t="str">
        <f>=IF(LEN(CM66)&gt;0,CM66/CM19,"")</f>
        <v/>
      </c>
      <c r="CN65" s="30" t="str">
        <f>=IF(LEN(CN66)&gt;0,CN66/CN19,"")</f>
        <v/>
      </c>
      <c r="CO65" s="30" t="str">
        <f>=IF(LEN(CO66)&gt;0,CO66/CO19,"")</f>
        <v/>
      </c>
      <c r="CP65" s="30" t="str">
        <f>=IF(LEN(CP66)&gt;0,CP66/CP19,"")</f>
        <v/>
      </c>
      <c r="CQ65" s="30" t="str">
        <f>=IF(LEN(CQ66)&gt;0,CQ66/CQ19,"")</f>
        <v/>
      </c>
      <c r="CR65" s="30" t="str">
        <f>=IF(LEN(CR66)&gt;0,CR66/CR19,"")</f>
        <v/>
      </c>
      <c r="CS65" s="30" t="str">
        <f>=IF(LEN(CS66)&gt;0,CS66/CS19,"")</f>
        <v/>
      </c>
      <c r="CT65" s="30" t="str">
        <f>=IF(LEN(CT66)&gt;0,CT66/CT19,"")</f>
        <v/>
      </c>
      <c r="CU65" s="30" t="str">
        <f>=IF(LEN(CU66)&gt;0,CU66/CU19,"")</f>
        <v/>
      </c>
      <c r="CV65" s="30" t="str">
        <f>=IF(LEN(CV66)&gt;0,CV66/CV19,"")</f>
        <v/>
      </c>
      <c r="CW65" s="30" t="str">
        <f>=IF(LEN(CW66)&gt;0,CW66/CW19,"")</f>
        <v/>
      </c>
      <c r="CX65" s="30" t="str">
        <f>=IF(LEN(CX66)&gt;0,CX66/CX19,"")</f>
        <v/>
      </c>
      <c r="CY65" s="30" t="str">
        <f>=IF(LEN(CY66)&gt;0,CY66/CY19,"")</f>
        <v/>
      </c>
      <c r="CZ65" s="30" t="str">
        <f>=IF(LEN(CZ66)&gt;0,CZ66/CZ19,"")</f>
        <v/>
      </c>
      <c r="DA65" s="30" t="str">
        <f>=IF(LEN(DA66)&gt;0,DA66/DA19,"")</f>
        <v/>
      </c>
      <c r="DB65" s="30" t="str">
        <f>=IF(LEN(DB66)&gt;0,DB66/DB19,"")</f>
        <v/>
      </c>
    </row>
    <row r="66" spans="1:106" x14ac:dyDescent="0.25">
      <c r="A66" s="36" t="s">
        <v>291</v>
      </c>
      <c r="C66" s="30">
        <f>=IF(Len(C82)&gt;0,C82,"")</f>
        <v>0</v>
      </c>
      <c r="D66" s="30">
        <f>=IF(Len(D82)&gt;0,D82,"")</f>
        <v>0</v>
      </c>
      <c r="E66" s="30">
        <f>=IF(Len(E82)&gt;0,E82,"")</f>
        <v>0</v>
      </c>
      <c r="F66" s="30">
        <f>=IF(Len(F82)&gt;0,F82,"")</f>
        <v>0</v>
      </c>
      <c r="G66" s="30">
        <f>=IF(Len(G82)&gt;0,G82,"")</f>
        <v>0</v>
      </c>
      <c r="H66" s="30">
        <f>=IF(Len(H82)&gt;0,H82,"")</f>
        <v>1</v>
      </c>
      <c r="I66" s="30">
        <f>=IF(Len(I82)&gt;0,I82,"")</f>
        <v>0</v>
      </c>
      <c r="J66" s="30">
        <f>=IF(Len(J82)&gt;0,J82,"")</f>
        <v>2</v>
      </c>
      <c r="K66" s="30">
        <f>=IF(Len(K82)&gt;0,K82,"")</f>
        <v>0</v>
      </c>
      <c r="L66" s="30">
        <f>=IF(Len(L82)&gt;0,L82,"")</f>
        <v>2</v>
      </c>
      <c r="M66" s="30">
        <f>=IF(Len(M82)&gt;0,M82,"")</f>
        <v>0</v>
      </c>
      <c r="N66" s="30">
        <f>=IF(Len(N82)&gt;0,N82,"")</f>
        <v>0</v>
      </c>
      <c r="O66" s="30">
        <f>=IF(Len(O82)&gt;0,O82,"")</f>
        <v>1</v>
      </c>
      <c r="P66" s="30">
        <f>=IF(Len(P82)&gt;0,P82,"")</f>
        <v>2</v>
      </c>
      <c r="Q66" s="30">
        <f>=IF(Len(Q82)&gt;0,Q82,"")</f>
        <v>0</v>
      </c>
      <c r="R66" s="30">
        <f>=IF(Len(R82)&gt;0,R82,"")</f>
        <v>2</v>
      </c>
      <c r="S66" s="30">
        <f>=IF(Len(S82)&gt;0,S82,"")</f>
        <v>2</v>
      </c>
      <c r="T66" s="30">
        <f>=IF(Len(T82)&gt;0,T82,"")</f>
        <v>0</v>
      </c>
      <c r="U66" s="30">
        <f>=IF(Len(U82)&gt;0,U82,"")</f>
        <v>2</v>
      </c>
      <c r="V66" s="30">
        <f>=IF(Len(V82)&gt;0,V82,"")</f>
        <v>0</v>
      </c>
      <c r="W66" s="30">
        <f>=IF(Len(W82)&gt;0,W82,"")</f>
        <v>0</v>
      </c>
      <c r="X66" s="30">
        <f>=IF(Len(X82)&gt;0,X82,"")</f>
        <v>1</v>
      </c>
      <c r="Y66" s="30">
        <f>=IF(Len(Y82)&gt;0,Y82,"")</f>
        <v>1</v>
      </c>
      <c r="Z66" s="30">
        <f>=IF(Len(Z82)&gt;0,Z82,"")</f>
        <v>1</v>
      </c>
      <c r="AA66" s="30">
        <f>=IF(Len(AA82)&gt;0,AA82,"")</f>
        <v>1</v>
      </c>
      <c r="AB66" s="30">
        <f>=IF(Len(AB82)&gt;0,AB82,"")</f>
        <v>2</v>
      </c>
      <c r="AC66" s="30">
        <f>=IF(Len(AC82)&gt;0,AC82,"")</f>
        <v>0</v>
      </c>
      <c r="AD66" s="30">
        <f>=IF(Len(AD82)&gt;0,AD82,"")</f>
        <v>0</v>
      </c>
      <c r="AE66" s="30">
        <f>=IF(Len(AE82)&gt;0,AE82,"")</f>
        <v>3</v>
      </c>
      <c r="AF66" s="30">
        <f>=IF(Len(AF82)&gt;0,AF82,"")</f>
        <v>0</v>
      </c>
      <c r="AG66" s="30">
        <f>=IF(Len(AG82)&gt;0,AG82,"")</f>
        <v>0</v>
      </c>
      <c r="AH66" s="30">
        <f>=IF(Len(AH82)&gt;0,AH82,"")</f>
        <v>0</v>
      </c>
      <c r="AI66" s="30">
        <f>=IF(Len(AI82)&gt;0,AI82,"")</f>
        <v>1</v>
      </c>
      <c r="AJ66" s="30">
        <f>=IF(Len(AJ82)&gt;0,AJ82,"")</f>
        <v>2</v>
      </c>
      <c r="AK66" s="30">
        <f>=IF(Len(AK82)&gt;0,AK82,"")</f>
        <v>1</v>
      </c>
      <c r="AL66" s="30">
        <f>=IF(Len(AL82)&gt;0,AL82,"")</f>
        <v>0</v>
      </c>
      <c r="AM66" s="30">
        <f>=IF(Len(AM82)&gt;0,AM82,"")</f>
        <v>0</v>
      </c>
      <c r="AN66" s="30">
        <f>=IF(Len(AN82)&gt;0,AN82,"")</f>
        <v>0</v>
      </c>
      <c r="AO66" s="30">
        <f>=IF(Len(AO82)&gt;0,AO82,"")</f>
        <v>0</v>
      </c>
      <c r="AP66" s="30">
        <f>=IF(Len(AP82)&gt;0,AP82,"")</f>
        <v>1</v>
      </c>
      <c r="AQ66" s="30">
        <f>=IF(Len(AQ82)&gt;0,AQ82,"")</f>
        <v>1</v>
      </c>
      <c r="AR66" s="30">
        <f>=IF(Len(AR82)&gt;0,AR82,"")</f>
        <v>1</v>
      </c>
      <c r="AS66" s="30">
        <f>=IF(Len(AS82)&gt;0,AS82,"")</f>
        <v>0</v>
      </c>
      <c r="AT66" s="30">
        <f>=IF(Len(AT82)&gt;0,AT82,"")</f>
        <v>0</v>
      </c>
      <c r="AU66" s="30">
        <f>=IF(Len(AU82)&gt;0,AU82,"")</f>
        <v>1</v>
      </c>
      <c r="AV66" s="30">
        <f>=IF(Len(AV82)&gt;0,AV82,"")</f>
        <v>0</v>
      </c>
      <c r="AW66" s="30">
        <f>=IF(Len(AW82)&gt;0,AW82,"")</f>
        <v>1</v>
      </c>
      <c r="AX66" s="30">
        <f>=IF(Len(AX82)&gt;0,AX82,"")</f>
        <v>0</v>
      </c>
      <c r="AY66" s="30">
        <f>=IF(Len(AY82)&gt;0,AY82,"")</f>
        <v>1</v>
      </c>
      <c r="AZ66" s="30">
        <f>=IF(Len(AZ82)&gt;0,AZ82,"")</f>
        <v>0</v>
      </c>
      <c r="BA66" s="30">
        <f>=IF(Len(BA82)&gt;0,BA82,"")</f>
        <v>1</v>
      </c>
      <c r="BB66" s="30">
        <f>=IF(Len(BB82)&gt;0,BB82,"")</f>
        <v>2</v>
      </c>
      <c r="BC66" s="30">
        <f>=IF(Len(BC82)&gt;0,BC82,"")</f>
        <v>0</v>
      </c>
      <c r="BD66" s="30">
        <f>=IF(Len(BD82)&gt;0,BD82,"")</f>
        <v>1</v>
      </c>
      <c r="BE66" s="30">
        <f>=IF(Len(BE82)&gt;0,BE82,"")</f>
        <v>8</v>
      </c>
      <c r="BF66" s="30">
        <f>=IF(Len(BF82)&gt;0,BF82,"")</f>
        <v>0</v>
      </c>
      <c r="BG66" s="30">
        <f>=IF(Len(BG82)&gt;0,BG82,"")</f>
        <v>0</v>
      </c>
      <c r="BH66" s="30">
        <f>=IF(Len(BH82)&gt;0,BH82,"")</f>
        <v>0</v>
      </c>
      <c r="BI66" s="30">
        <f>=IF(Len(BI82)&gt;0,BI82,"")</f>
        <v>0</v>
      </c>
      <c r="BJ66" s="30">
        <f>=IF(Len(BJ82)&gt;0,BJ82,"")</f>
        <v>1</v>
      </c>
      <c r="BK66" s="30">
        <f>=IF(Len(BK82)&gt;0,BK82,"")</f>
        <v>0</v>
      </c>
      <c r="BL66" s="30">
        <f>=IF(Len(BL82)&gt;0,BL82,"")</f>
        <v>3</v>
      </c>
      <c r="BM66" s="30">
        <f>=IF(Len(BM82)&gt;0,BM82,"")</f>
        <v>0</v>
      </c>
      <c r="BN66" s="30">
        <f>=IF(Len(BN82)&gt;0,BN82,"")</f>
        <v>0</v>
      </c>
      <c r="BO66" s="30">
        <f>=IF(Len(BO82)&gt;0,BO82,"")</f>
        <v>9</v>
      </c>
      <c r="BP66" s="30">
        <f>=IF(Len(BP82)&gt;0,BP82,"")</f>
        <v>1</v>
      </c>
      <c r="BQ66" s="30">
        <f>=IF(Len(BQ82)&gt;0,BQ82,"")</f>
        <v>1</v>
      </c>
      <c r="BR66" s="30">
        <f>=IF(Len(BR82)&gt;0,BR82,"")</f>
        <v>0</v>
      </c>
      <c r="BS66" s="30">
        <f>=IF(Len(BS82)&gt;0,BS82,"")</f>
        <v>0</v>
      </c>
      <c r="BT66" s="30">
        <f>=IF(Len(BT82)&gt;0,BT82,"")</f>
        <v>1</v>
      </c>
      <c r="BU66" s="30">
        <f>=IF(Len(BU82)&gt;0,BU82,"")</f>
        <v>0</v>
      </c>
      <c r="BV66" s="30">
        <f>=IF(Len(BV82)&gt;0,BV82,"")</f>
        <v>2</v>
      </c>
      <c r="BW66" s="30">
        <f>=IF(Len(BW82)&gt;0,BW82,"")</f>
        <v>0</v>
      </c>
      <c r="BX66" s="30">
        <f>=IF(Len(BX82)&gt;0,BX82,"")</f>
        <v>1</v>
      </c>
      <c r="BY66" s="30">
        <f>=IF(Len(BY82)&gt;0,BY82,"")</f>
        <v>2</v>
      </c>
      <c r="BZ66" s="30" t="str">
        <f>=IF(Len(BZ82)&gt;0,BZ82,"")</f>
        <v/>
      </c>
      <c r="CA66" s="30" t="str">
        <f>=IF(Len(CA82)&gt;0,CA82,"")</f>
        <v/>
      </c>
      <c r="CB66" s="30" t="str">
        <f>=IF(Len(CB82)&gt;0,CB82,"")</f>
        <v/>
      </c>
      <c r="CC66" s="30" t="str">
        <f>=IF(Len(CC82)&gt;0,CC82,"")</f>
        <v/>
      </c>
      <c r="CD66" s="30" t="str">
        <f>=IF(Len(CD82)&gt;0,CD82,"")</f>
        <v/>
      </c>
      <c r="CE66" s="30" t="str">
        <f>=IF(Len(CE82)&gt;0,CE82,"")</f>
        <v/>
      </c>
      <c r="CF66" s="30" t="str">
        <f>=IF(Len(CF82)&gt;0,CF82,"")</f>
        <v/>
      </c>
      <c r="CG66" s="30" t="str">
        <f>=IF(Len(CG82)&gt;0,CG82,"")</f>
        <v/>
      </c>
      <c r="CH66" s="30" t="str">
        <f>=IF(Len(CH82)&gt;0,CH82,"")</f>
        <v/>
      </c>
      <c r="CI66" s="30" t="str">
        <f>=IF(Len(CI82)&gt;0,CI82,"")</f>
        <v/>
      </c>
      <c r="CJ66" s="30" t="str">
        <f>=IF(Len(CJ82)&gt;0,CJ82,"")</f>
        <v/>
      </c>
      <c r="CK66" s="30" t="str">
        <f>=IF(Len(CK82)&gt;0,CK82,"")</f>
        <v/>
      </c>
      <c r="CL66" s="30" t="str">
        <f>=IF(Len(CL82)&gt;0,CL82,"")</f>
        <v/>
      </c>
      <c r="CM66" s="30" t="str">
        <f>=IF(Len(CM82)&gt;0,CM82,"")</f>
        <v/>
      </c>
      <c r="CN66" s="30" t="str">
        <f>=IF(Len(CN82)&gt;0,CN82,"")</f>
        <v/>
      </c>
      <c r="CO66" s="30" t="str">
        <f>=IF(Len(CO82)&gt;0,CO82,"")</f>
        <v/>
      </c>
      <c r="CP66" s="30" t="str">
        <f>=IF(Len(CP82)&gt;0,CP82,"")</f>
        <v/>
      </c>
      <c r="CQ66" s="30" t="str">
        <f>=IF(Len(CQ82)&gt;0,CQ82,"")</f>
        <v/>
      </c>
      <c r="CR66" s="30" t="str">
        <f>=IF(Len(CR82)&gt;0,CR82,"")</f>
        <v/>
      </c>
      <c r="CS66" s="30" t="str">
        <f>=IF(Len(CS82)&gt;0,CS82,"")</f>
        <v/>
      </c>
      <c r="CT66" s="30" t="str">
        <f>=IF(Len(CT82)&gt;0,CT82,"")</f>
        <v/>
      </c>
      <c r="CU66" s="30" t="str">
        <f>=IF(Len(CU82)&gt;0,CU82,"")</f>
        <v/>
      </c>
      <c r="CV66" s="30" t="str">
        <f>=IF(Len(CV82)&gt;0,CV82,"")</f>
        <v/>
      </c>
      <c r="CW66" s="30" t="str">
        <f>=IF(Len(CW82)&gt;0,CW82,"")</f>
        <v/>
      </c>
      <c r="CX66" s="30" t="str">
        <f>=IF(Len(CX82)&gt;0,CX82,"")</f>
        <v/>
      </c>
      <c r="CY66" s="30" t="str">
        <f>=IF(Len(CY82)&gt;0,CY82,"")</f>
        <v/>
      </c>
      <c r="CZ66" s="30" t="str">
        <f>=IF(Len(CZ82)&gt;0,CZ82,"")</f>
        <v/>
      </c>
      <c r="DA66" s="30" t="str">
        <f>=IF(Len(DA82)&gt;0,DA82,"")</f>
        <v/>
      </c>
      <c r="DB66" s="30" t="str">
        <f>=IF(Len(DB82)&gt;0,DB82,"")</f>
        <v/>
      </c>
    </row>
    <row r="67" spans="1:106" x14ac:dyDescent="0.25">
      <c r="A67" s="20" t="s">
        <v>292</v>
      </c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1">
        <f>=IF(LEN(BB68)&gt;0,IF(BB68&lt;=0,0,BB68/(((SUM(BA112:BA121)-BA121)+(SUM(BB112:BB121)-BB112)/2))),"")</f>
        <v>0</v>
      </c>
      <c r="BC67" s="31">
        <f>=IF(LEN(BC68)&gt;0,IF(BC68&lt;=0,0,BC68/(((SUM(BB112:BB121)-BB121)+(SUM(BC112:BC121)-BC112)/2))),"")</f>
        <v>0</v>
      </c>
      <c r="BD67" s="31">
        <f>=IF(LEN(BD68)&gt;0,IF(BD68&lt;=0,0,BD68/(((SUM(BC112:BC121)-BC121)+(SUM(BD112:BD121)-BD112)/2))),"")</f>
        <v>0</v>
      </c>
      <c r="BE67" s="31">
        <f>=IF(LEN(BE68)&gt;0,IF(BE68&lt;=0,0,BE68/(((SUM(BD112:BD121)-BD121)+(SUM(BE112:BE121)-BE112)/2))),"")</f>
        <v>0.09302325581395349</v>
      </c>
      <c r="BF67" s="31">
        <f>=IF(LEN(BF68)&gt;0,IF(BF68&lt;=0,0,BF68/(((SUM(BE112:BE121)-BE121)+(SUM(BF112:BF121)-BF112)/2))),"")</f>
        <v>0</v>
      </c>
      <c r="BG67" s="31">
        <f>=IF(LEN(BG68)&gt;0,IF(BG68&lt;=0,0,BG68/(((SUM(BF112:BF121)-BF121)+(SUM(BG112:BG121)-BG112)/2))),"")</f>
        <v>0</v>
      </c>
      <c r="BH67" s="31">
        <f>=IF(LEN(BH68)&gt;0,IF(BH68&lt;=0,0,BH68/(((SUM(BG112:BG121)-BG121)+(SUM(BH112:BH121)-BH112)/2))),"")</f>
        <v>0</v>
      </c>
      <c r="BI67" s="31">
        <f>=IF(LEN(BI68)&gt;0,IF(BI68&lt;=0,0,BI68/(((SUM(BH112:BH121)-BH121)+(SUM(BI112:BI121)-BI112)/2))),"")</f>
        <v>0</v>
      </c>
      <c r="BJ67" s="31">
        <f>=IF(LEN(BJ68)&gt;0,IF(BJ68&lt;=0,0,BJ68/(((SUM(BI112:BI121)-BI121)+(SUM(BJ112:BJ121)-BJ112)/2))),"")</f>
        <v>0</v>
      </c>
      <c r="BK67" s="31">
        <f>=IF(LEN(BK68)&gt;0,IF(BK68&lt;=0,0,BK68/(((SUM(BJ112:BJ121)-BJ121)+(SUM(BK112:BK121)-BK112)/2))),"")</f>
        <v>0</v>
      </c>
      <c r="BL67" s="31">
        <f>=IF(LEN(BL68)&gt;0,IF(BL68&lt;=0,0,BL68/(((SUM(BK112:BK121)-BK121)+(SUM(BL112:BL121)-BL112)/2))),"")</f>
        <v>0</v>
      </c>
      <c r="BM67" s="31">
        <f>=IF(LEN(BM68)&gt;0,IF(BM68&lt;=0,0,BM68/(((SUM(BL112:BL121)-BL121)+(SUM(BM112:BM121)-BM112)/2))),"")</f>
        <v>0</v>
      </c>
      <c r="BN67" s="31">
        <f>=IF(LEN(BN68)&gt;0,IF(BN68&lt;=0,0,BN68/(((SUM(BM112:BM121)-BM121)+(SUM(BN112:BN121)-BN112)/2))),"")</f>
        <v>0</v>
      </c>
      <c r="BO67" s="31">
        <f>=IF(LEN(BO68)&gt;0,IF(BO68&lt;=0,0,BO68/(((SUM(BN112:BN121)-BN121)+(SUM(BO112:BO121)-BO112)/2))),"")</f>
        <v>0</v>
      </c>
      <c r="BP67" s="31">
        <f>=IF(LEN(BP68)&gt;0,IF(BP68&lt;=0,0,BP68/(((SUM(BO112:BO121)-BO121)+(SUM(BP112:BP121)-BP112)/2))),"")</f>
        <v>0</v>
      </c>
      <c r="BQ67" s="31">
        <f>=IF(LEN(BQ68)&gt;0,IF(BQ68&lt;=0,0,BQ68/(((SUM(BP112:BP121)-BP121)+(SUM(BQ112:BQ121)-BQ112)/2))),"")</f>
        <v>0</v>
      </c>
      <c r="BR67" s="31">
        <f>=IF(LEN(BR68)&gt;0,IF(BR68&lt;=0,0,BR68/(((SUM(BQ112:BQ121)-BQ121)+(SUM(BR112:BR121)-BR112)/2))),"")</f>
        <v>0</v>
      </c>
      <c r="BS67" s="31">
        <f>=IF(LEN(BS68)&gt;0,IF(BS68&lt;=0,0,BS68/(((SUM(BR112:BR121)-BR121)+(SUM(BS112:BS121)-BS112)/2))),"")</f>
        <v>0</v>
      </c>
      <c r="BT67" s="31">
        <f>=IF(LEN(BT68)&gt;0,IF(BT68&lt;=0,0,BT68/(((SUM(BS112:BS121)-BS121)+(SUM(BT112:BT121)-BT112)/2))),"")</f>
        <v>0</v>
      </c>
      <c r="BU67" s="31">
        <f>=IF(LEN(BU68)&gt;0,IF(BU68&lt;=0,0,BU68/(((SUM(BT112:BT121)-BT121)+(SUM(BU112:BU121)-BU112)/2))),"")</f>
        <v>0</v>
      </c>
      <c r="BV67" s="30">
        <f>=IF(LEN(BV68)&gt;0,IF(BV68&lt;=0,0,BV68/(((SUM(BU112:BU121)-BU121)+(SUM(BV112:BV121)-BV112)/2))),"")</f>
        <v>0</v>
      </c>
      <c r="BW67" s="30" t="str">
        <f>=IF(LEN(BW68)&gt;0,IF(BW68&lt;=0,0,BW68/(((SUM(BV112:BV121)-BV121)+(SUM(BW112:BW121)-BW112)/2))),"")</f>
        <v/>
      </c>
      <c r="BX67" s="30" t="str">
        <f>=IF(LEN(BX68)&gt;0,IF(BX68&lt;=0,0,BX68/(((SUM(BW112:BW121)-BW121)+(SUM(BX112:BX121)-BX112)/2))),"")</f>
        <v/>
      </c>
      <c r="BY67" s="30" t="str">
        <f>=IF(LEN(BY68)&gt;0,IF(BY68&lt;=0,0,BY68/(((SUM(BX112:BX121)-BX121)+(SUM(BY112:BY121)-BY112)/2))),"")</f>
        <v/>
      </c>
      <c r="BZ67" s="30" t="str">
        <f>=IF(LEN(BZ68)&gt;0,IF(BZ68&lt;=0,0,BZ68/(((SUM(BY112:BY121)-BY121)+(SUM(BZ112:BZ121)-BZ112)/2))),"")</f>
        <v/>
      </c>
      <c r="CA67" s="30" t="str">
        <f>=IF(LEN(CA68)&gt;0,IF(CA68&lt;=0,0,CA68/(((SUM(BZ112:BZ121)-BZ121)+(SUM(CA112:CA121)-CA112)/2))),"")</f>
        <v/>
      </c>
      <c r="CB67" s="30" t="str">
        <f>=IF(LEN(CB68)&gt;0,IF(CB68&lt;=0,0,CB68/(((SUM(CA112:CA121)-CA121)+(SUM(CB112:CB121)-CB112)/2))),"")</f>
        <v/>
      </c>
      <c r="CC67" s="30" t="str">
        <f>=IF(LEN(CC68)&gt;0,IF(CC68&lt;=0,0,CC68/(((SUM(CB112:CB121)-CB121)+(SUM(CC112:CC121)-CC112)/2))),"")</f>
        <v/>
      </c>
      <c r="CD67" s="30" t="str">
        <f>=IF(LEN(CD68)&gt;0,IF(CD68&lt;=0,0,CD68/(((SUM(CC112:CC121)-CC121)+(SUM(CD112:CD121)-CD112)/2))),"")</f>
        <v/>
      </c>
      <c r="CE67" s="30" t="str">
        <f>=IF(LEN(CE68)&gt;0,IF(CE68&lt;=0,0,CE68/(((SUM(CD112:CD121)-CD121)+(SUM(CE112:CE121)-CE112)/2))),"")</f>
        <v/>
      </c>
      <c r="CF67" s="30" t="str">
        <f>=IF(LEN(CF68)&gt;0,IF(CF68&lt;=0,0,CF68/(((SUM(CE112:CE121)-CE121)+(SUM(CF112:CF121)-CF112)/2))),"")</f>
        <v/>
      </c>
      <c r="CG67" s="30" t="str">
        <f>=IF(LEN(CG68)&gt;0,IF(CG68&lt;=0,0,CG68/(((SUM(CF112:CF121)-CF121)+(SUM(CG112:CG121)-CG112)/2))),"")</f>
        <v/>
      </c>
      <c r="CH67" s="30" t="str">
        <f>=IF(LEN(CH68)&gt;0,IF(CH68&lt;=0,0,CH68/(((SUM(CG112:CG121)-CG121)+(SUM(CH112:CH121)-CH112)/2))),"")</f>
        <v/>
      </c>
      <c r="CI67" s="30" t="str">
        <f>=IF(LEN(CI68)&gt;0,IF(CI68&lt;=0,0,CI68/(((SUM(CH112:CH121)-CH121)+(SUM(CI112:CI121)-CI112)/2))),"")</f>
        <v/>
      </c>
      <c r="CJ67" s="30" t="str">
        <f>=IF(LEN(CJ68)&gt;0,IF(CJ68&lt;=0,0,CJ68/(((SUM(CI112:CI121)-CI121)+(SUM(CJ112:CJ121)-CJ112)/2))),"")</f>
        <v/>
      </c>
      <c r="CK67" s="30" t="str">
        <f>=IF(LEN(CK68)&gt;0,IF(CK68&lt;=0,0,CK68/(((SUM(CJ112:CJ121)-CJ121)+(SUM(CK112:CK121)-CK112)/2))),"")</f>
        <v/>
      </c>
      <c r="CL67" s="30" t="str">
        <f>=IF(LEN(CL68)&gt;0,IF(CL68&lt;=0,0,CL68/(((SUM(CK112:CK121)-CK121)+(SUM(CL112:CL121)-CL112)/2))),"")</f>
        <v/>
      </c>
      <c r="CM67" s="30" t="str">
        <f>=IF(LEN(CM68)&gt;0,IF(CM68&lt;=0,0,CM68/(((SUM(CL112:CL121)-CL121)+(SUM(CM112:CM121)-CM112)/2))),"")</f>
        <v/>
      </c>
      <c r="CN67" s="30" t="str">
        <f>=IF(LEN(CN68)&gt;0,IF(CN68&lt;=0,0,CN68/(((SUM(CM112:CM121)-CM121)+(SUM(CN112:CN121)-CN112)/2))),"")</f>
        <v/>
      </c>
      <c r="CO67" s="30" t="str">
        <f>=IF(LEN(CO68)&gt;0,IF(CO68&lt;=0,0,CO68/(((SUM(CN112:CN121)-CN121)+(SUM(CO112:CO121)-CO112)/2))),"")</f>
        <v/>
      </c>
      <c r="CP67" s="30" t="str">
        <f>=IF(LEN(CP68)&gt;0,IF(CP68&lt;=0,0,CP68/(((SUM(CO112:CO121)-CO121)+(SUM(CP112:CP121)-CP112)/2))),"")</f>
        <v/>
      </c>
      <c r="CQ67" s="30" t="str">
        <f>=IF(LEN(CQ68)&gt;0,IF(CQ68&lt;=0,0,CQ68/(((SUM(CP112:CP121)-CP121)+(SUM(CQ112:CQ121)-CQ112)/2))),"")</f>
        <v/>
      </c>
      <c r="CR67" s="30" t="str">
        <f>=IF(LEN(CR68)&gt;0,IF(CR68&lt;=0,0,CR68/(((SUM(CQ112:CQ121)-CQ121)+(SUM(CR112:CR121)-CR112)/2))),"")</f>
        <v/>
      </c>
      <c r="CS67" s="30" t="str">
        <f>=IF(LEN(CS68)&gt;0,IF(CS68&lt;=0,0,CS68/(((SUM(CR112:CR121)-CR121)+(SUM(CS112:CS121)-CS112)/2))),"")</f>
        <v/>
      </c>
      <c r="CT67" s="30" t="str">
        <f>=IF(LEN(CT68)&gt;0,IF(CT68&lt;=0,0,CT68/(((SUM(CS112:CS121)-CS121)+(SUM(CT112:CT121)-CT112)/2))),"")</f>
        <v/>
      </c>
      <c r="CU67" s="30" t="str">
        <f>=IF(LEN(CU68)&gt;0,IF(CU68&lt;=0,0,CU68/(((SUM(CT112:CT121)-CT121)+(SUM(CU112:CU121)-CU112)/2))),"")</f>
        <v/>
      </c>
      <c r="CV67" s="30" t="str">
        <f>=IF(LEN(CV68)&gt;0,IF(CV68&lt;=0,0,CV68/(((SUM(CU112:CU121)-CU121)+(SUM(CV112:CV121)-CV112)/2))),"")</f>
        <v/>
      </c>
      <c r="CW67" s="30" t="str">
        <f>=IF(LEN(CW68)&gt;0,IF(CW68&lt;=0,0,CW68/(((SUM(CV112:CV121)-CV121)+(SUM(CW112:CW121)-CW112)/2))),"")</f>
        <v/>
      </c>
      <c r="CX67" s="30" t="str">
        <f>=IF(LEN(CX68)&gt;0,IF(CX68&lt;=0,0,CX68/(((SUM(CW112:CW121)-CW121)+(SUM(CX112:CX121)-CX112)/2))),"")</f>
        <v/>
      </c>
      <c r="CY67" s="30" t="str">
        <f>=IF(LEN(CY68)&gt;0,IF(CY68&lt;=0,0,CY68/(((SUM(CX112:CX121)-CX121)+(SUM(CY112:CY121)-CY112)/2))),"")</f>
        <v/>
      </c>
      <c r="CZ67" s="30" t="str">
        <f>=IF(LEN(CZ68)&gt;0,IF(CZ68&lt;=0,0,CZ68/(((SUM(CY112:CY121)-CY121)+(SUM(CZ112:CZ121)-CZ112)/2))),"")</f>
        <v/>
      </c>
      <c r="DA67" s="30" t="str">
        <f>=IF(LEN(DA68)&gt;0,IF(DA68&lt;=0,0,DA68/(((SUM(CZ112:CZ121)-CZ121)+(SUM(DA112:DA121)-DA112)/2))),"")</f>
        <v/>
      </c>
      <c r="DB67" s="30" t="str">
        <f>=IF(LEN(DB68)&gt;0,IF(DB68&lt;=0,0,DB68/(((SUM(DA112:DA121)-DA121)+(SUM(DB112:DB121)-DB112)/2))),"")</f>
        <v/>
      </c>
    </row>
    <row r="68" spans="1:106" x14ac:dyDescent="0.25">
      <c r="A68" s="36" t="s">
        <v>293</v>
      </c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93">
        <f>=IF(DATEVALUE(BB4)&lt;=$C$2-WEEKDAY($C$2,1)+1,IF(SUM(BA112:BA121)&lt;=0,0,(SUM(BA112:BA121)-BA121)-(SUM(BB112:BB121)-BB112)),"")</f>
        <v>0</v>
      </c>
      <c r="BC68" s="93">
        <f>=IF(DATEVALUE(BC4)&lt;=$C$2-WEEKDAY($C$2,1)+1,IF(SUM(BB112:BB121)&lt;=0,0,(SUM(BB112:BB121)-BB121)-(SUM(BC112:BC121)-BC112)),"")</f>
        <v>0</v>
      </c>
      <c r="BD68" s="93">
        <f>=IF(DATEVALUE(BD4)&lt;=$C$2-WEEKDAY($C$2,1)+1,IF(SUM(BC112:BC121)&lt;=0,0,(SUM(BC112:BC121)-BC121)-(SUM(BD112:BD121)-BD112)),"")</f>
        <v>0</v>
      </c>
      <c r="BE68" s="93">
        <f>=IF(DATEVALUE(BE4)&lt;=$C$2-WEEKDAY($C$2,1)+1,IF(SUM(BD112:BD121)&lt;=0,0,(SUM(BD112:BD121)-BD121)-(SUM(BE112:BE121)-BE112)),"")</f>
        <v>2</v>
      </c>
      <c r="BF68" s="93">
        <f>=IF(DATEVALUE(BF4)&lt;=$C$2-WEEKDAY($C$2,1)+1,IF(SUM(BE112:BE121)&lt;=0,0,(SUM(BE112:BE121)-BE121)-(SUM(BF112:BF121)-BF112)),"")</f>
        <v>0</v>
      </c>
      <c r="BG68" s="93">
        <f>=IF(DATEVALUE(BG4)&lt;=$C$2-WEEKDAY($C$2,1)+1,IF(SUM(BF112:BF121)&lt;=0,0,(SUM(BF112:BF121)-BF121)-(SUM(BG112:BG121)-BG112)),"")</f>
        <v>0</v>
      </c>
      <c r="BH68" s="93">
        <f>=IF(DATEVALUE(BH4)&lt;=$C$2-WEEKDAY($C$2,1)+1,IF(SUM(BG112:BG121)&lt;=0,0,(SUM(BG112:BG121)-BG121)-(SUM(BH112:BH121)-BH112)),"")</f>
        <v>0</v>
      </c>
      <c r="BI68" s="93">
        <f>=IF(DATEVALUE(BI4)&lt;=$C$2-WEEKDAY($C$2,1)+1,IF(SUM(BH112:BH121)&lt;=0,0,(SUM(BH112:BH121)-BH121)-(SUM(BI112:BI121)-BI112)),"")</f>
        <v>0</v>
      </c>
      <c r="BJ68" s="93">
        <f>=IF(DATEVALUE(BJ4)&lt;=$C$2-WEEKDAY($C$2,1)+1,IF(SUM(BI112:BI121)&lt;=0,0,(SUM(BI112:BI121)-BI121)-(SUM(BJ112:BJ121)-BJ112)),"")</f>
        <v>0</v>
      </c>
      <c r="BK68" s="93">
        <f>=IF(DATEVALUE(BK4)&lt;=$C$2-WEEKDAY($C$2,1)+1,IF(SUM(BJ112:BJ121)&lt;=0,0,(SUM(BJ112:BJ121)-BJ121)-(SUM(BK112:BK121)-BK112)),"")</f>
        <v>0</v>
      </c>
      <c r="BL68" s="93">
        <f>=IF(DATEVALUE(BL4)&lt;=$C$2-WEEKDAY($C$2,1)+1,IF(SUM(BK112:BK121)&lt;=0,0,(SUM(BK112:BK121)-BK121)-(SUM(BL112:BL121)-BL112)),"")</f>
        <v>0</v>
      </c>
      <c r="BM68" s="93">
        <f>=IF(DATEVALUE(BM4)&lt;=$C$2-WEEKDAY($C$2,1)+1,IF(SUM(BL112:BL121)&lt;=0,0,(SUM(BL112:BL121)-BL121)-(SUM(BM112:BM121)-BM112)),"")</f>
        <v>0</v>
      </c>
      <c r="BN68" s="93">
        <f>=IF(DATEVALUE(BN4)&lt;=$C$2-WEEKDAY($C$2,1)+1,IF(SUM(BM112:BM121)&lt;=0,0,(SUM(BM112:BM121)-BM121)-(SUM(BN112:BN121)-BN112)),"")</f>
        <v>0</v>
      </c>
      <c r="BO68" s="93">
        <f>=IF(DATEVALUE(BO4)&lt;=$C$2-WEEKDAY($C$2,1)+1,IF(SUM(BN112:BN121)&lt;=0,0,(SUM(BN112:BN121)-BN121)-(SUM(BO112:BO121)-BO112)),"")</f>
        <v>0</v>
      </c>
      <c r="BP68" s="93">
        <f>=IF(DATEVALUE(BP4)&lt;=$C$2-WEEKDAY($C$2,1)+1,IF(SUM(BO112:BO121)&lt;=0,0,(SUM(BO112:BO121)-BO121)-(SUM(BP112:BP121)-BP112)),"")</f>
        <v>0</v>
      </c>
      <c r="BQ68" s="93">
        <f>=IF(DATEVALUE(BQ4)&lt;=$C$2-WEEKDAY($C$2,1)+1,IF(SUM(BP112:BP121)&lt;=0,0,(SUM(BP112:BP121)-BP121)-(SUM(BQ112:BQ121)-BQ112)),"")</f>
        <v>0</v>
      </c>
      <c r="BR68" s="93">
        <f>=IF(DATEVALUE(BR4)&lt;=$C$2-WEEKDAY($C$2,1)+1,IF(SUM(BQ112:BQ121)&lt;=0,0,(SUM(BQ112:BQ121)-BQ121)-(SUM(BR112:BR121)-BR112)),"")</f>
        <v>0</v>
      </c>
      <c r="BS68" s="93">
        <f>=IF(DATEVALUE(BS4)&lt;=$C$2-WEEKDAY($C$2,1)+1,IF(SUM(BR112:BR121)&lt;=0,0,(SUM(BR112:BR121)-BR121)-(SUM(BS112:BS121)-BS112)),"")</f>
        <v>0</v>
      </c>
      <c r="BT68" s="93">
        <f>=IF(DATEVALUE(BT4)&lt;=$C$2-WEEKDAY($C$2,1)+1,IF(SUM(BS112:BS121)&lt;=0,0,(SUM(BS112:BS121)-BS121)-(SUM(BT112:BT121)-BT112)),"")</f>
        <v>0</v>
      </c>
      <c r="BU68" s="93">
        <f>=IF(DATEVALUE(BU4)&lt;=$C$2-WEEKDAY($C$2,1)+1,IF(SUM(BT112:BT121)&lt;=0,0,(SUM(BT112:BT121)-BT121)-(SUM(BU112:BU121)-BU112)),"")</f>
        <v>0</v>
      </c>
      <c r="BV68" s="30">
        <f>=IF(DATEVALUE(BV4)&lt;=$C$2-WEEKDAY($C$2,1)+1,IF(SUM(BU112:BU121)&lt;=0,0,(SUM(BU112:BU121)-BU121)-(SUM(BV112:BV121)-BV112)),"")</f>
        <v>0</v>
      </c>
      <c r="BW68" s="30" t="str">
        <f>=IF(DATEVALUE(BW4)&lt;=$C$2-WEEKDAY($C$2,1)+1,IF(SUM(BV112:BV121)&lt;=0,0,(SUM(BV112:BV121)-BV121)-(SUM(BW112:BW121)-BW112)),"")</f>
        <v/>
      </c>
      <c r="BX68" s="30" t="str">
        <f>=IF(DATEVALUE(BX4)&lt;=$C$2-WEEKDAY($C$2,1)+1,IF(SUM(BW112:BW121)&lt;=0,0,(SUM(BW112:BW121)-BW121)-(SUM(BX112:BX121)-BX112)),"")</f>
        <v/>
      </c>
      <c r="BY68" s="30" t="str">
        <f>=IF(DATEVALUE(BY4)&lt;=$C$2-WEEKDAY($C$2,1)+1,IF(SUM(BX112:BX121)&lt;=0,0,(SUM(BX112:BX121)-BX121)-(SUM(BY112:BY121)-BY112)),"")</f>
        <v/>
      </c>
      <c r="BZ68" s="30" t="str">
        <f>=IF(DATEVALUE(BZ4)&lt;=$C$2-WEEKDAY($C$2,1)+1,IF(SUM(BY112:BY121)&lt;=0,0,(SUM(BY112:BY121)-BY121)-(SUM(BZ112:BZ121)-BZ112)),"")</f>
        <v/>
      </c>
      <c r="CA68" s="30" t="str">
        <f>=IF(DATEVALUE(CA4)&lt;=$C$2-WEEKDAY($C$2,1)+1,IF(SUM(BZ112:BZ121)&lt;=0,0,(SUM(BZ112:BZ121)-BZ121)-(SUM(CA112:CA121)-CA112)),"")</f>
        <v/>
      </c>
      <c r="CB68" s="30" t="str">
        <f>=IF(DATEVALUE(CB4)&lt;=$C$2-WEEKDAY($C$2,1)+1,IF(SUM(CA112:CA121)&lt;=0,0,(SUM(CA112:CA121)-CA121)-(SUM(CB112:CB121)-CB112)),"")</f>
        <v/>
      </c>
      <c r="CC68" s="30" t="str">
        <f>=IF(DATEVALUE(CC4)&lt;=$C$2-WEEKDAY($C$2,1)+1,IF(SUM(CB112:CB121)&lt;=0,0,(SUM(CB112:CB121)-CB121)-(SUM(CC112:CC121)-CC112)),"")</f>
        <v/>
      </c>
      <c r="CD68" s="30" t="str">
        <f>=IF(DATEVALUE(CD4)&lt;=$C$2-WEEKDAY($C$2,1)+1,IF(SUM(CC112:CC121)&lt;=0,0,(SUM(CC112:CC121)-CC121)-(SUM(CD112:CD121)-CD112)),"")</f>
        <v/>
      </c>
      <c r="CE68" s="30" t="str">
        <f>=IF(DATEVALUE(CE4)&lt;=$C$2-WEEKDAY($C$2,1)+1,IF(SUM(CD112:CD121)&lt;=0,0,(SUM(CD112:CD121)-CD121)-(SUM(CE112:CE121)-CE112)),"")</f>
        <v/>
      </c>
      <c r="CF68" s="30" t="str">
        <f>=IF(DATEVALUE(CF4)&lt;=$C$2-WEEKDAY($C$2,1)+1,IF(SUM(CE112:CE121)&lt;=0,0,(SUM(CE112:CE121)-CE121)-(SUM(CF112:CF121)-CF112)),"")</f>
        <v/>
      </c>
      <c r="CG68" s="30" t="str">
        <f>=IF(DATEVALUE(CG4)&lt;=$C$2-WEEKDAY($C$2,1)+1,IF(SUM(CF112:CF121)&lt;=0,0,(SUM(CF112:CF121)-CF121)-(SUM(CG112:CG121)-CG112)),"")</f>
        <v/>
      </c>
      <c r="CH68" s="30" t="str">
        <f>=IF(DATEVALUE(CH4)&lt;=$C$2-WEEKDAY($C$2,1)+1,IF(SUM(CG112:CG121)&lt;=0,0,(SUM(CG112:CG121)-CG121)-(SUM(CH112:CH121)-CH112)),"")</f>
        <v/>
      </c>
      <c r="CI68" s="30" t="str">
        <f>=IF(DATEVALUE(CI4)&lt;=$C$2-WEEKDAY($C$2,1)+1,IF(SUM(CH112:CH121)&lt;=0,0,(SUM(CH112:CH121)-CH121)-(SUM(CI112:CI121)-CI112)),"")</f>
        <v/>
      </c>
      <c r="CJ68" s="30" t="str">
        <f>=IF(DATEVALUE(CJ4)&lt;=$C$2-WEEKDAY($C$2,1)+1,IF(SUM(CI112:CI121)&lt;=0,0,(SUM(CI112:CI121)-CI121)-(SUM(CJ112:CJ121)-CJ112)),"")</f>
        <v/>
      </c>
      <c r="CK68" s="30" t="str">
        <f>=IF(DATEVALUE(CK4)&lt;=$C$2-WEEKDAY($C$2,1)+1,IF(SUM(CJ112:CJ121)&lt;=0,0,(SUM(CJ112:CJ121)-CJ121)-(SUM(CK112:CK121)-CK112)),"")</f>
        <v/>
      </c>
      <c r="CL68" s="30" t="str">
        <f>=IF(DATEVALUE(CL4)&lt;=$C$2-WEEKDAY($C$2,1)+1,IF(SUM(CK112:CK121)&lt;=0,0,(SUM(CK112:CK121)-CK121)-(SUM(CL112:CL121)-CL112)),"")</f>
        <v/>
      </c>
      <c r="CM68" s="30" t="str">
        <f>=IF(DATEVALUE(CM4)&lt;=$C$2-WEEKDAY($C$2,1)+1,IF(SUM(CL112:CL121)&lt;=0,0,(SUM(CL112:CL121)-CL121)-(SUM(CM112:CM121)-CM112)),"")</f>
        <v/>
      </c>
      <c r="CN68" s="30" t="str">
        <f>=IF(DATEVALUE(CN4)&lt;=$C$2-WEEKDAY($C$2,1)+1,IF(SUM(CM112:CM121)&lt;=0,0,(SUM(CM112:CM121)-CM121)-(SUM(CN112:CN121)-CN112)),"")</f>
        <v/>
      </c>
      <c r="CO68" s="30" t="str">
        <f>=IF(DATEVALUE(CO4)&lt;=$C$2-WEEKDAY($C$2,1)+1,IF(SUM(CN112:CN121)&lt;=0,0,(SUM(CN112:CN121)-CN121)-(SUM(CO112:CO121)-CO112)),"")</f>
        <v/>
      </c>
      <c r="CP68" s="30" t="str">
        <f>=IF(DATEVALUE(CP4)&lt;=$C$2-WEEKDAY($C$2,1)+1,IF(SUM(CO112:CO121)&lt;=0,0,(SUM(CO112:CO121)-CO121)-(SUM(CP112:CP121)-CP112)),"")</f>
        <v/>
      </c>
      <c r="CQ68" s="30" t="str">
        <f>=IF(DATEVALUE(CQ4)&lt;=$C$2-WEEKDAY($C$2,1)+1,IF(SUM(CP112:CP121)&lt;=0,0,(SUM(CP112:CP121)-CP121)-(SUM(CQ112:CQ121)-CQ112)),"")</f>
        <v/>
      </c>
      <c r="CR68" s="30" t="str">
        <f>=IF(DATEVALUE(CR4)&lt;=$C$2-WEEKDAY($C$2,1)+1,IF(SUM(CQ112:CQ121)&lt;=0,0,(SUM(CQ112:CQ121)-CQ121)-(SUM(CR112:CR121)-CR112)),"")</f>
        <v/>
      </c>
      <c r="CS68" s="30" t="str">
        <f>=IF(DATEVALUE(CS4)&lt;=$C$2-WEEKDAY($C$2,1)+1,IF(SUM(CR112:CR121)&lt;=0,0,(SUM(CR112:CR121)-CR121)-(SUM(CS112:CS121)-CS112)),"")</f>
        <v/>
      </c>
      <c r="CT68" s="30" t="str">
        <f>=IF(DATEVALUE(CT4)&lt;=$C$2-WEEKDAY($C$2,1)+1,IF(SUM(CS112:CS121)&lt;=0,0,(SUM(CS112:CS121)-CS121)-(SUM(CT112:CT121)-CT112)),"")</f>
        <v/>
      </c>
      <c r="CU68" s="30" t="str">
        <f>=IF(DATEVALUE(CU4)&lt;=$C$2-WEEKDAY($C$2,1)+1,IF(SUM(CT112:CT121)&lt;=0,0,(SUM(CT112:CT121)-CT121)-(SUM(CU112:CU121)-CU112)),"")</f>
        <v/>
      </c>
      <c r="CV68" s="30" t="str">
        <f>=IF(DATEVALUE(CV4)&lt;=$C$2-WEEKDAY($C$2,1)+1,IF(SUM(CU112:CU121)&lt;=0,0,(SUM(CU112:CU121)-CU121)-(SUM(CV112:CV121)-CV112)),"")</f>
        <v/>
      </c>
      <c r="CW68" s="30" t="str">
        <f>=IF(DATEVALUE(CW4)&lt;=$C$2-WEEKDAY($C$2,1)+1,IF(SUM(CV112:CV121)&lt;=0,0,(SUM(CV112:CV121)-CV121)-(SUM(CW112:CW121)-CW112)),"")</f>
        <v/>
      </c>
      <c r="CX68" s="30" t="str">
        <f>=IF(DATEVALUE(CX4)&lt;=$C$2-WEEKDAY($C$2,1)+1,IF(SUM(CW112:CW121)&lt;=0,0,(SUM(CW112:CW121)-CW121)-(SUM(CX112:CX121)-CX112)),"")</f>
        <v/>
      </c>
      <c r="CY68" s="30" t="str">
        <f>=IF(DATEVALUE(CY4)&lt;=$C$2-WEEKDAY($C$2,1)+1,IF(SUM(CX112:CX121)&lt;=0,0,(SUM(CX112:CX121)-CX121)-(SUM(CY112:CY121)-CY112)),"")</f>
        <v/>
      </c>
      <c r="CZ68" s="30" t="str">
        <f>=IF(DATEVALUE(CZ4)&lt;=$C$2-WEEKDAY($C$2,1)+1,IF(SUM(CY112:CY121)&lt;=0,0,(SUM(CY112:CY121)-CY121)-(SUM(CZ112:CZ121)-CZ112)),"")</f>
        <v/>
      </c>
      <c r="DA68" s="30" t="str">
        <f>=IF(DATEVALUE(DA4)&lt;=$C$2-WEEKDAY($C$2,1)+1,IF(SUM(CZ112:CZ121)&lt;=0,0,(SUM(CZ112:CZ121)-CZ121)-(SUM(DA112:DA121)-DA112)),"")</f>
        <v/>
      </c>
      <c r="DB68" s="30" t="str">
        <f>=IF(DATEVALUE(DB4)&lt;=$C$2-WEEKDAY($C$2,1)+1,IF(SUM(DA112:DA121)&lt;=0,0,(SUM(DA112:DA121)-DA121)-(SUM(DB112:DB121)-DB112)),"")</f>
        <v/>
      </c>
    </row>
    <row r="69" spans="1:106" x14ac:dyDescent="0.25">
      <c r="A69" s="16" t="s">
        <v>294</v>
      </c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  <c r="BP69" s="30"/>
      <c r="BQ69" s="30"/>
      <c r="BR69" s="30"/>
      <c r="BS69" s="30"/>
      <c r="BT69" s="30"/>
      <c r="BU69" s="30"/>
      <c r="BV69" s="30"/>
      <c r="BW69" s="30"/>
      <c r="BX69" s="30"/>
      <c r="BY69" s="30"/>
      <c r="BZ69" s="30"/>
      <c r="CA69" s="30"/>
      <c r="CB69" s="30"/>
      <c r="CC69" s="30"/>
      <c r="CD69" s="30"/>
      <c r="CE69" s="30"/>
      <c r="CF69" s="30"/>
      <c r="CG69" s="30"/>
      <c r="CH69" s="30"/>
      <c r="CI69" s="30"/>
      <c r="CJ69" s="30"/>
      <c r="CK69" s="30"/>
      <c r="CL69" s="30"/>
      <c r="CM69" s="30"/>
      <c r="CN69" s="30"/>
      <c r="CO69" s="30"/>
      <c r="CP69" s="30"/>
      <c r="CQ69" s="30"/>
      <c r="CR69" s="30"/>
      <c r="CS69" s="30"/>
      <c r="CT69" s="30"/>
      <c r="CU69" s="30"/>
      <c r="CV69" s="30"/>
      <c r="CW69" s="30"/>
      <c r="CX69" s="30"/>
      <c r="CY69" s="30"/>
      <c r="CZ69" s="30"/>
      <c r="DA69" s="30"/>
      <c r="DB69" s="30"/>
    </row>
    <row r="70" spans="1:106" x14ac:dyDescent="0.25">
      <c r="A70" s="16" t="s">
        <v>282</v>
      </c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/>
      <c r="BO70" s="30"/>
      <c r="BP70" s="30"/>
      <c r="BQ70" s="30"/>
      <c r="BR70" s="30"/>
      <c r="BS70" s="30"/>
      <c r="BT70" s="30"/>
      <c r="BU70" s="30"/>
      <c r="BV70" s="30"/>
      <c r="BW70" s="30"/>
      <c r="BX70" s="30"/>
      <c r="BY70" s="30"/>
      <c r="BZ70" s="30"/>
      <c r="CA70" s="30"/>
      <c r="CB70" s="30"/>
      <c r="CC70" s="30"/>
      <c r="CD70" s="30"/>
      <c r="CE70" s="30"/>
      <c r="CF70" s="30"/>
      <c r="CG70" s="30"/>
      <c r="CH70" s="30"/>
      <c r="CI70" s="30"/>
      <c r="CJ70" s="30"/>
      <c r="CK70" s="30"/>
      <c r="CL70" s="30"/>
      <c r="CM70" s="30"/>
      <c r="CN70" s="30"/>
      <c r="CO70" s="30"/>
      <c r="CP70" s="30"/>
      <c r="CQ70" s="30"/>
      <c r="CR70" s="30"/>
      <c r="CS70" s="30"/>
      <c r="CT70" s="30"/>
      <c r="CU70" s="30"/>
      <c r="CV70" s="30"/>
      <c r="CW70" s="30"/>
      <c r="CX70" s="30"/>
      <c r="CY70" s="30"/>
      <c r="CZ70" s="30"/>
      <c r="DA70" s="30"/>
      <c r="DB70" s="30"/>
    </row>
    <row r="71" spans="3:106" x14ac:dyDescent="0.25"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30"/>
      <c r="BN71" s="30"/>
      <c r="BO71" s="30"/>
      <c r="BP71" s="30"/>
      <c r="BQ71" s="30"/>
      <c r="BR71" s="30"/>
      <c r="BS71" s="30"/>
      <c r="BT71" s="30"/>
      <c r="BU71" s="30"/>
      <c r="BV71" s="30"/>
      <c r="BW71" s="30"/>
      <c r="BX71" s="30"/>
      <c r="BY71" s="30"/>
      <c r="BZ71" s="30"/>
      <c r="CA71" s="30"/>
      <c r="CB71" s="30"/>
      <c r="CC71" s="30"/>
      <c r="CD71" s="30"/>
      <c r="CE71" s="30"/>
      <c r="CF71" s="30"/>
      <c r="CG71" s="30"/>
      <c r="CH71" s="30"/>
      <c r="CI71" s="30"/>
      <c r="CJ71" s="30"/>
      <c r="CK71" s="30"/>
      <c r="CL71" s="30"/>
      <c r="CM71" s="30"/>
      <c r="CN71" s="30"/>
      <c r="CO71" s="30"/>
      <c r="CP71" s="30"/>
      <c r="CQ71" s="30"/>
      <c r="CR71" s="30"/>
      <c r="CS71" s="30"/>
      <c r="CT71" s="30"/>
      <c r="CU71" s="30"/>
      <c r="CV71" s="30"/>
      <c r="CW71" s="30"/>
      <c r="CX71" s="30"/>
      <c r="CY71" s="30"/>
      <c r="CZ71" s="30"/>
      <c r="DA71" s="30"/>
      <c r="DB71" s="30"/>
    </row>
    <row r="72" spans="1:106" x14ac:dyDescent="0.25">
      <c r="A72" s="49" t="s">
        <v>295</v>
      </c>
      <c r="B72" s="17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2"/>
      <c r="CH72" s="32"/>
      <c r="CI72" s="32"/>
      <c r="CJ72" s="32"/>
      <c r="CK72" s="32"/>
      <c r="CL72" s="32"/>
      <c r="CM72" s="32"/>
      <c r="CN72" s="32"/>
      <c r="CO72" s="32"/>
      <c r="CP72" s="32"/>
      <c r="CQ72" s="32"/>
      <c r="CR72" s="32"/>
      <c r="CS72" s="32"/>
      <c r="CT72" s="32"/>
      <c r="CU72" s="32"/>
      <c r="CV72" s="32"/>
      <c r="CW72" s="32"/>
      <c r="CX72" s="32"/>
      <c r="CY72" s="32"/>
      <c r="CZ72" s="32"/>
      <c r="DA72" s="32"/>
      <c r="DB72" s="32"/>
    </row>
    <row r="73" ht="15" customHeight="1" spans="1:106" x14ac:dyDescent="0.25">
      <c r="A73" s="16" t="s">
        <v>296</v>
      </c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</row>
    <row r="74" ht="15" customHeight="1" spans="1:106" x14ac:dyDescent="0.25">
      <c r="A74" s="16" t="s">
        <v>297</v>
      </c>
      <c r="B74" s="17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  <c r="BC74" s="50"/>
      <c r="BD74" s="50"/>
      <c r="BE74" s="50"/>
      <c r="BF74" s="50"/>
      <c r="BG74" s="50"/>
      <c r="BH74" s="50"/>
      <c r="BI74" s="50"/>
      <c r="BJ74" s="50"/>
      <c r="BK74" s="50"/>
      <c r="BL74" s="50"/>
      <c r="BM74" s="50"/>
      <c r="BN74" s="50"/>
      <c r="BO74" s="50"/>
      <c r="BP74" s="50"/>
      <c r="BQ74" s="50"/>
      <c r="BR74" s="50"/>
      <c r="BS74" s="50"/>
      <c r="BT74" s="50"/>
      <c r="BU74" s="50"/>
      <c r="BV74" s="50"/>
      <c r="BW74" s="50"/>
      <c r="BX74" s="50"/>
      <c r="BY74" s="50"/>
      <c r="BZ74" s="50"/>
      <c r="CA74" s="50"/>
      <c r="CB74" s="50"/>
      <c r="CC74" s="50"/>
      <c r="CD74" s="50"/>
      <c r="CE74" s="50"/>
      <c r="CF74" s="50"/>
      <c r="CG74" s="50"/>
      <c r="CH74" s="50"/>
      <c r="CI74" s="50"/>
      <c r="CJ74" s="50"/>
      <c r="CK74" s="50"/>
      <c r="CL74" s="50"/>
      <c r="CM74" s="50"/>
      <c r="CN74" s="50"/>
      <c r="CO74" s="50"/>
      <c r="CP74" s="50"/>
      <c r="CQ74" s="50"/>
      <c r="CR74" s="50"/>
      <c r="CS74" s="50"/>
      <c r="CT74" s="50"/>
      <c r="CU74" s="50"/>
      <c r="CV74" s="50"/>
      <c r="CW74" s="50"/>
      <c r="CX74" s="50"/>
      <c r="CY74" s="50"/>
      <c r="CZ74" s="50"/>
      <c r="DA74" s="50"/>
      <c r="DB74" s="50"/>
    </row>
    <row r="75" ht="15" customHeight="1" spans="1:106" x14ac:dyDescent="0.25">
      <c r="A75" s="51" t="s">
        <v>298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</row>
    <row r="76" ht="15" customHeight="1" spans="1:106" x14ac:dyDescent="0.25">
      <c r="A76" s="16" t="s">
        <v>299</v>
      </c>
      <c r="B76" s="17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50"/>
      <c r="AR76" s="50"/>
      <c r="AS76" s="50"/>
      <c r="AT76" s="50"/>
      <c r="AU76" s="50"/>
      <c r="AV76" s="50"/>
      <c r="AW76" s="50"/>
      <c r="AX76" s="50"/>
      <c r="AY76" s="50"/>
      <c r="AZ76" s="50"/>
      <c r="BA76" s="50"/>
      <c r="BB76" s="50"/>
      <c r="BC76" s="50"/>
      <c r="BD76" s="50"/>
      <c r="BE76" s="50"/>
      <c r="BF76" s="50"/>
      <c r="BG76" s="50"/>
      <c r="BH76" s="50"/>
      <c r="BI76" s="50"/>
      <c r="BJ76" s="50"/>
      <c r="BK76" s="50"/>
      <c r="BL76" s="50"/>
      <c r="BM76" s="50"/>
      <c r="BN76" s="50"/>
      <c r="BO76" s="50"/>
      <c r="BP76" s="50"/>
      <c r="BQ76" s="50"/>
      <c r="BR76" s="50"/>
      <c r="BS76" s="50"/>
      <c r="BT76" s="50"/>
      <c r="BU76" s="50"/>
      <c r="BV76" s="50"/>
      <c r="BW76" s="50"/>
      <c r="BX76" s="50"/>
      <c r="BY76" s="50"/>
      <c r="BZ76" s="50"/>
      <c r="CA76" s="50"/>
      <c r="CB76" s="50"/>
      <c r="CC76" s="50"/>
      <c r="CD76" s="50"/>
      <c r="CE76" s="50"/>
      <c r="CF76" s="50"/>
      <c r="CG76" s="50"/>
      <c r="CH76" s="50"/>
      <c r="CI76" s="50"/>
      <c r="CJ76" s="50"/>
      <c r="CK76" s="50"/>
      <c r="CL76" s="50"/>
      <c r="CM76" s="50"/>
      <c r="CN76" s="50"/>
      <c r="CO76" s="50"/>
      <c r="CP76" s="50"/>
      <c r="CQ76" s="50"/>
      <c r="CR76" s="50"/>
      <c r="CS76" s="50"/>
      <c r="CT76" s="50"/>
      <c r="CU76" s="50"/>
      <c r="CV76" s="50"/>
      <c r="CW76" s="50"/>
      <c r="CX76" s="50"/>
      <c r="CY76" s="50"/>
      <c r="CZ76" s="50"/>
      <c r="DA76" s="50"/>
      <c r="DB76" s="50"/>
    </row>
    <row r="77" ht="15" customHeight="1" spans="1:106" x14ac:dyDescent="0.25">
      <c r="A77" s="16" t="s">
        <v>300</v>
      </c>
      <c r="B77" s="17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50"/>
      <c r="BC77" s="50"/>
      <c r="BD77" s="50"/>
      <c r="BE77" s="50"/>
      <c r="BF77" s="50"/>
      <c r="BG77" s="50"/>
      <c r="BH77" s="50"/>
      <c r="BI77" s="50"/>
      <c r="BJ77" s="50"/>
      <c r="BK77" s="50"/>
      <c r="BL77" s="50"/>
      <c r="BM77" s="50"/>
      <c r="BN77" s="50"/>
      <c r="BO77" s="50"/>
      <c r="BP77" s="50"/>
      <c r="BQ77" s="50"/>
      <c r="BR77" s="50"/>
      <c r="BS77" s="50"/>
      <c r="BT77" s="50"/>
      <c r="BU77" s="50"/>
      <c r="BV77" s="50"/>
      <c r="BW77" s="50"/>
      <c r="BX77" s="50"/>
      <c r="BY77" s="50"/>
      <c r="BZ77" s="50"/>
      <c r="CA77" s="50"/>
      <c r="CB77" s="50"/>
      <c r="CC77" s="50"/>
      <c r="CD77" s="50"/>
      <c r="CE77" s="50"/>
      <c r="CF77" s="50"/>
      <c r="CG77" s="50"/>
      <c r="CH77" s="50"/>
      <c r="CI77" s="50"/>
      <c r="CJ77" s="50"/>
      <c r="CK77" s="50"/>
      <c r="CL77" s="50"/>
      <c r="CM77" s="50"/>
      <c r="CN77" s="50"/>
      <c r="CO77" s="50"/>
      <c r="CP77" s="50"/>
      <c r="CQ77" s="50"/>
      <c r="CR77" s="50"/>
      <c r="CS77" s="50"/>
      <c r="CT77" s="50"/>
      <c r="CU77" s="50"/>
      <c r="CV77" s="50"/>
      <c r="CW77" s="50"/>
      <c r="CX77" s="50"/>
      <c r="CY77" s="50"/>
      <c r="CZ77" s="50"/>
      <c r="DA77" s="50"/>
      <c r="DB77" s="50"/>
    </row>
    <row r="78" ht="15" customHeight="1" spans="1:106" x14ac:dyDescent="0.25">
      <c r="A78" s="16" t="s">
        <v>301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</row>
    <row r="79" spans="3:106" x14ac:dyDescent="0.25"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  <c r="BK79" s="30"/>
      <c r="BL79" s="30"/>
      <c r="BM79" s="30"/>
      <c r="BN79" s="30"/>
      <c r="BO79" s="30"/>
      <c r="BP79" s="30"/>
      <c r="BQ79" s="30"/>
      <c r="BR79" s="30"/>
      <c r="BS79" s="30"/>
      <c r="BT79" s="30"/>
      <c r="BU79" s="30"/>
      <c r="BV79" s="30"/>
      <c r="BW79" s="30"/>
      <c r="BX79" s="30"/>
      <c r="BY79" s="30"/>
      <c r="BZ79" s="30"/>
      <c r="CA79" s="30"/>
      <c r="CB79" s="30"/>
      <c r="CC79" s="30"/>
      <c r="CD79" s="30"/>
      <c r="CE79" s="30"/>
      <c r="CF79" s="30"/>
      <c r="CG79" s="30"/>
      <c r="CH79" s="30"/>
      <c r="CI79" s="30"/>
      <c r="CJ79" s="30"/>
      <c r="CK79" s="30"/>
      <c r="CL79" s="30"/>
      <c r="CM79" s="30"/>
      <c r="CN79" s="30"/>
      <c r="CO79" s="30"/>
      <c r="CP79" s="30"/>
      <c r="CQ79" s="30"/>
      <c r="CR79" s="30"/>
      <c r="CS79" s="30"/>
      <c r="CT79" s="30"/>
      <c r="CU79" s="30"/>
      <c r="CV79" s="30"/>
      <c r="CW79" s="30"/>
      <c r="CX79" s="30"/>
      <c r="CY79" s="30"/>
      <c r="CZ79" s="30"/>
      <c r="DA79" s="30"/>
      <c r="DB79" s="30"/>
    </row>
    <row r="80" spans="1:106" x14ac:dyDescent="0.25">
      <c r="A80" s="9" t="s">
        <v>302</v>
      </c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30"/>
      <c r="BN80" s="30"/>
      <c r="BO80" s="30"/>
      <c r="BP80" s="30"/>
      <c r="BQ80" s="30"/>
      <c r="BR80" s="30"/>
      <c r="BS80" s="30"/>
      <c r="BT80" s="30"/>
      <c r="BU80" s="30"/>
      <c r="BV80" s="30"/>
      <c r="BW80" s="30"/>
      <c r="BX80" s="30"/>
      <c r="BY80" s="30"/>
      <c r="BZ80" s="30"/>
      <c r="CA80" s="30"/>
      <c r="CB80" s="30"/>
      <c r="CC80" s="30"/>
      <c r="CD80" s="30"/>
      <c r="CE80" s="30"/>
      <c r="CF80" s="30"/>
      <c r="CG80" s="30"/>
      <c r="CH80" s="30"/>
      <c r="CI80" s="30"/>
      <c r="CJ80" s="30"/>
      <c r="CK80" s="30"/>
      <c r="CL80" s="30"/>
      <c r="CM80" s="30"/>
      <c r="CN80" s="30"/>
      <c r="CO80" s="30"/>
      <c r="CP80" s="30"/>
      <c r="CQ80" s="30"/>
      <c r="CR80" s="30"/>
      <c r="CS80" s="30"/>
      <c r="CT80" s="30"/>
      <c r="CU80" s="30"/>
      <c r="CV80" s="30"/>
      <c r="CW80" s="30"/>
      <c r="CX80" s="30"/>
      <c r="CY80" s="30"/>
      <c r="CZ80" s="30"/>
      <c r="DA80" s="30"/>
      <c r="DB80" s="30"/>
    </row>
    <row r="81" spans="1:106" x14ac:dyDescent="0.25">
      <c r="A81" s="33" t="s">
        <v>303</v>
      </c>
      <c r="B81" s="24"/>
      <c r="C81" s="52">
        <v>0</v>
      </c>
      <c r="D81" s="52">
        <v>0</v>
      </c>
      <c r="E81" s="52">
        <v>3</v>
      </c>
      <c r="F81" s="52">
        <v>3</v>
      </c>
      <c r="G81" s="52">
        <v>1</v>
      </c>
      <c r="H81" s="52">
        <v>6</v>
      </c>
      <c r="I81" s="52">
        <v>0</v>
      </c>
      <c r="J81" s="52">
        <v>3</v>
      </c>
      <c r="K81" s="52">
        <v>1</v>
      </c>
      <c r="L81" s="52">
        <v>2</v>
      </c>
      <c r="M81" s="52">
        <v>2</v>
      </c>
      <c r="N81" s="52">
        <v>0</v>
      </c>
      <c r="O81" s="52">
        <v>3</v>
      </c>
      <c r="P81" s="52">
        <v>3</v>
      </c>
      <c r="Q81" s="52">
        <v>0</v>
      </c>
      <c r="R81" s="52">
        <v>5</v>
      </c>
      <c r="S81" s="52">
        <v>4</v>
      </c>
      <c r="T81" s="52">
        <v>0</v>
      </c>
      <c r="U81" s="52">
        <v>2</v>
      </c>
      <c r="V81" s="52">
        <v>3</v>
      </c>
      <c r="W81" s="52">
        <v>4</v>
      </c>
      <c r="X81" s="52">
        <v>1</v>
      </c>
      <c r="Y81" s="52">
        <v>1</v>
      </c>
      <c r="Z81" s="52">
        <v>5</v>
      </c>
      <c r="AA81" s="52">
        <v>1</v>
      </c>
      <c r="AB81" s="52">
        <v>2</v>
      </c>
      <c r="AC81" s="52">
        <v>6</v>
      </c>
      <c r="AD81" s="52">
        <v>1</v>
      </c>
      <c r="AE81" s="52">
        <v>3</v>
      </c>
      <c r="AF81" s="52">
        <v>0</v>
      </c>
      <c r="AG81" s="52">
        <v>0</v>
      </c>
      <c r="AH81" s="52">
        <v>1</v>
      </c>
      <c r="AI81" s="52">
        <v>2</v>
      </c>
      <c r="AJ81" s="52">
        <v>3</v>
      </c>
      <c r="AK81" s="52">
        <v>1</v>
      </c>
      <c r="AL81" s="52">
        <v>1</v>
      </c>
      <c r="AM81" s="52">
        <v>0</v>
      </c>
      <c r="AN81" s="52">
        <v>0</v>
      </c>
      <c r="AO81" s="52">
        <v>1</v>
      </c>
      <c r="AP81" s="52">
        <v>7</v>
      </c>
      <c r="AQ81" s="52">
        <v>2</v>
      </c>
      <c r="AR81" s="52">
        <v>2</v>
      </c>
      <c r="AS81" s="52">
        <v>0</v>
      </c>
      <c r="AT81" s="52">
        <v>3</v>
      </c>
      <c r="AU81" s="52">
        <v>3</v>
      </c>
      <c r="AV81" s="52">
        <v>4</v>
      </c>
      <c r="AW81" s="52">
        <v>4</v>
      </c>
      <c r="AX81" s="52">
        <v>0</v>
      </c>
      <c r="AY81" s="52">
        <v>1</v>
      </c>
      <c r="AZ81" s="52">
        <v>1</v>
      </c>
      <c r="BA81" s="52">
        <v>3</v>
      </c>
      <c r="BB81" s="52">
        <v>10</v>
      </c>
      <c r="BC81" s="52">
        <v>13</v>
      </c>
      <c r="BD81" s="52">
        <v>1</v>
      </c>
      <c r="BE81" s="52">
        <v>13</v>
      </c>
      <c r="BF81" s="52">
        <v>1</v>
      </c>
      <c r="BG81" s="52">
        <v>1</v>
      </c>
      <c r="BH81" s="52">
        <v>2</v>
      </c>
      <c r="BI81" s="52">
        <v>1</v>
      </c>
      <c r="BJ81" s="52">
        <v>6</v>
      </c>
      <c r="BK81" s="52">
        <v>3</v>
      </c>
      <c r="BL81" s="52">
        <v>3</v>
      </c>
      <c r="BM81" s="52">
        <v>8</v>
      </c>
      <c r="BN81" s="52">
        <v>2</v>
      </c>
      <c r="BO81" s="53">
        <f>=SUM(BO82:BO90)</f>
        <v>11</v>
      </c>
      <c r="BP81" s="53">
        <f>=SUM(BP82:BP90)</f>
        <v>3</v>
      </c>
      <c r="BQ81" s="53">
        <f>=SUM(BQ82:BQ90)</f>
        <v>2</v>
      </c>
      <c r="BR81" s="53">
        <f>=SUM(BR82:BR90)</f>
        <v>7</v>
      </c>
      <c r="BS81" s="53">
        <f>=SUM(BS82:BS90)</f>
        <v>8</v>
      </c>
      <c r="BT81" s="53">
        <f>=SUM(BT82:BT90)</f>
        <v>7</v>
      </c>
      <c r="BU81" s="53">
        <f>=SUM(BU82:BU90)</f>
        <v>0</v>
      </c>
      <c r="BV81" s="53">
        <f>=SUM(BV82:BV90)</f>
        <v>3</v>
      </c>
      <c r="BW81" s="53">
        <f>=SUM(BW82:BW90)</f>
        <v>2</v>
      </c>
      <c r="BX81" s="53">
        <f>=SUM(BX82:BX90)</f>
        <v>3</v>
      </c>
      <c r="BY81" s="53">
        <f>=SUM(BY82:BY90)</f>
        <v>5</v>
      </c>
      <c r="BZ81" s="53">
        <f>=SUM(BZ82:BZ90)</f>
        <v>0</v>
      </c>
      <c r="CA81" s="53">
        <f>=SUM(CA82:CA90)</f>
        <v>0</v>
      </c>
      <c r="CB81" s="53">
        <f>=SUM(CB82:CB90)</f>
        <v>0</v>
      </c>
      <c r="CC81" s="53">
        <f>=SUM(CC82:CC90)</f>
        <v>0</v>
      </c>
      <c r="CD81" s="53">
        <f>=SUM(CD82:CD90)</f>
        <v>0</v>
      </c>
      <c r="CE81" s="53">
        <f>=SUM(CE82:CE90)</f>
        <v>0</v>
      </c>
      <c r="CF81" s="53">
        <f>=SUM(CF82:CF90)</f>
        <v>10</v>
      </c>
      <c r="CG81" s="53">
        <f>=SUM(CG82:CG90)</f>
        <v>0</v>
      </c>
      <c r="CH81" s="53">
        <f>=SUM(CH82:CH90)</f>
        <v>0</v>
      </c>
      <c r="CI81" s="53">
        <f>=SUM(CI82:CI90)</f>
        <v>0</v>
      </c>
      <c r="CJ81" s="53">
        <f>=SUM(CJ82:CJ90)</f>
        <v>0</v>
      </c>
      <c r="CK81" s="53">
        <f>=SUM(CK82:CK90)</f>
        <v>0</v>
      </c>
      <c r="CL81" s="53">
        <f>=SUM(CL82:CL90)</f>
        <v>0</v>
      </c>
      <c r="CM81" s="53">
        <f>=SUM(CM82:CM90)</f>
        <v>0</v>
      </c>
      <c r="CN81" s="53">
        <f>=SUM(CN82:CN90)</f>
        <v>0</v>
      </c>
      <c r="CO81" s="53">
        <f>=SUM(CO82:CO90)</f>
        <v>0</v>
      </c>
      <c r="CP81" s="53">
        <f>=SUM(CP82:CP90)</f>
        <v>0</v>
      </c>
      <c r="CQ81" s="53">
        <f>=SUM(CQ82:CQ90)</f>
        <v>0</v>
      </c>
      <c r="CR81" s="53">
        <f>=SUM(CR82:CR90)</f>
        <v>0</v>
      </c>
      <c r="CS81" s="53">
        <f>=SUM(CS82:CS90)</f>
        <v>0</v>
      </c>
      <c r="CT81" s="53">
        <f>=SUM(CT82:CT90)</f>
        <v>0</v>
      </c>
      <c r="CU81" s="53">
        <f>=SUM(CU82:CU90)</f>
        <v>0</v>
      </c>
      <c r="CV81" s="53">
        <f>=SUM(CV82:CV90)</f>
        <v>0</v>
      </c>
      <c r="CW81" s="53">
        <f>=SUM(CW82:CW90)</f>
        <v>0</v>
      </c>
      <c r="CX81" s="53">
        <f>=SUM(CX82:CX90)</f>
        <v>0</v>
      </c>
      <c r="CY81" s="53">
        <f>=SUM(CY82:CY90)</f>
        <v>0</v>
      </c>
      <c r="CZ81" s="53">
        <f>=SUM(CZ82:CZ90)</f>
        <v>0</v>
      </c>
      <c r="DA81" s="53">
        <f>=SUM(DA82:DA90)</f>
        <v>0</v>
      </c>
      <c r="DB81" s="53">
        <f>=SUM(DB82:DB90)</f>
        <v>0</v>
      </c>
    </row>
    <row r="82" spans="1:106" x14ac:dyDescent="0.25">
      <c r="A82" s="57" t="s">
        <v>304</v>
      </c>
      <c r="C82" s="17">
        <v>0</v>
      </c>
      <c r="D82" s="17">
        <v>0</v>
      </c>
      <c r="E82" s="17">
        <v>0</v>
      </c>
      <c r="F82" s="17">
        <v>0</v>
      </c>
      <c r="G82" s="17">
        <v>0</v>
      </c>
      <c r="H82" s="17">
        <v>1</v>
      </c>
      <c r="I82" s="17">
        <v>0</v>
      </c>
      <c r="J82" s="17">
        <v>2</v>
      </c>
      <c r="K82" s="17">
        <v>0</v>
      </c>
      <c r="L82" s="17">
        <v>2</v>
      </c>
      <c r="M82" s="17">
        <v>0</v>
      </c>
      <c r="N82" s="17">
        <v>0</v>
      </c>
      <c r="O82" s="17">
        <v>1</v>
      </c>
      <c r="P82" s="17">
        <v>2</v>
      </c>
      <c r="Q82" s="17">
        <v>0</v>
      </c>
      <c r="R82" s="17">
        <v>2</v>
      </c>
      <c r="S82" s="17">
        <v>2</v>
      </c>
      <c r="T82" s="17">
        <v>0</v>
      </c>
      <c r="U82" s="17">
        <v>2</v>
      </c>
      <c r="V82" s="17">
        <v>0</v>
      </c>
      <c r="W82" s="17">
        <v>0</v>
      </c>
      <c r="X82" s="17">
        <v>1</v>
      </c>
      <c r="Y82" s="17">
        <v>1</v>
      </c>
      <c r="Z82" s="17">
        <v>1</v>
      </c>
      <c r="AA82" s="17">
        <v>1</v>
      </c>
      <c r="AB82" s="17">
        <v>2</v>
      </c>
      <c r="AC82" s="17">
        <v>0</v>
      </c>
      <c r="AD82" s="17">
        <v>0</v>
      </c>
      <c r="AE82" s="17">
        <v>3</v>
      </c>
      <c r="AF82" s="17">
        <v>0</v>
      </c>
      <c r="AG82" s="17">
        <v>0</v>
      </c>
      <c r="AH82" s="17">
        <v>0</v>
      </c>
      <c r="AI82" s="17">
        <v>1</v>
      </c>
      <c r="AJ82" s="17">
        <v>2</v>
      </c>
      <c r="AK82" s="17">
        <v>1</v>
      </c>
      <c r="AL82" s="17">
        <v>0</v>
      </c>
      <c r="AM82" s="17">
        <v>0</v>
      </c>
      <c r="AN82" s="17">
        <v>0</v>
      </c>
      <c r="AO82" s="17">
        <v>0</v>
      </c>
      <c r="AP82" s="17">
        <v>1</v>
      </c>
      <c r="AQ82" s="17">
        <v>1</v>
      </c>
      <c r="AR82" s="17">
        <v>1</v>
      </c>
      <c r="AS82" s="17">
        <v>0</v>
      </c>
      <c r="AT82" s="17">
        <v>0</v>
      </c>
      <c r="AU82" s="17">
        <v>1</v>
      </c>
      <c r="AV82" s="17">
        <v>0</v>
      </c>
      <c r="AW82" s="17">
        <v>1</v>
      </c>
      <c r="AX82" s="17">
        <v>0</v>
      </c>
      <c r="AY82" s="17">
        <v>1</v>
      </c>
      <c r="AZ82" s="17">
        <v>0</v>
      </c>
      <c r="BA82" s="17">
        <v>1</v>
      </c>
      <c r="BB82" s="17">
        <v>2</v>
      </c>
      <c r="BC82" s="17">
        <v>0</v>
      </c>
      <c r="BD82" s="17">
        <v>1</v>
      </c>
      <c r="BE82" s="17">
        <v>8</v>
      </c>
      <c r="BF82" s="17">
        <v>0</v>
      </c>
      <c r="BG82" s="17">
        <v>0</v>
      </c>
      <c r="BH82" s="17">
        <v>0</v>
      </c>
      <c r="BI82" s="17">
        <v>0</v>
      </c>
      <c r="BJ82" s="17">
        <v>1</v>
      </c>
      <c r="BK82" s="17">
        <v>0</v>
      </c>
      <c r="BL82" s="17">
        <v>3</v>
      </c>
      <c r="BM82" s="17">
        <v>0</v>
      </c>
      <c r="BN82" s="55">
        <v>0</v>
      </c>
      <c r="BO82" s="55">
        <v>9</v>
      </c>
      <c r="BP82" s="55">
        <v>1</v>
      </c>
      <c r="BQ82" s="55">
        <v>1</v>
      </c>
      <c r="BR82" s="55">
        <v>0</v>
      </c>
      <c r="BS82" s="55">
        <v>0</v>
      </c>
      <c r="BT82" s="55">
        <v>1</v>
      </c>
      <c r="BU82" s="55">
        <v>0</v>
      </c>
      <c r="BV82" s="17">
        <v>2</v>
      </c>
      <c r="BW82" s="17">
        <v>0</v>
      </c>
      <c r="BX82" s="17">
        <v>1</v>
      </c>
      <c r="BY82" s="17">
        <v>2</v>
      </c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</row>
    <row r="83" spans="1:106" x14ac:dyDescent="0.25">
      <c r="A83" s="57" t="s">
        <v>384</v>
      </c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>
        <v>1</v>
      </c>
      <c r="BK83" s="17">
        <v>1</v>
      </c>
      <c r="BL83" s="17"/>
      <c r="BM83" s="17"/>
      <c r="BN83" s="55"/>
      <c r="BO83" s="55"/>
      <c r="BP83" s="55"/>
      <c r="BQ83" s="55"/>
      <c r="BR83" s="58">
        <v>1</v>
      </c>
      <c r="BS83" s="55">
        <v>1</v>
      </c>
      <c r="BT83" s="55"/>
      <c r="BU83" s="55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>
        <v>10</v>
      </c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</row>
    <row r="84" spans="1:106" x14ac:dyDescent="0.25">
      <c r="A84" s="57" t="s">
        <v>306</v>
      </c>
      <c r="C84" s="17"/>
      <c r="D84" s="17"/>
      <c r="E84" s="17"/>
      <c r="F84" s="17">
        <v>1</v>
      </c>
      <c r="G84" s="17"/>
      <c r="H84" s="17">
        <v>4</v>
      </c>
      <c r="I84" s="17"/>
      <c r="J84" s="17">
        <v>1</v>
      </c>
      <c r="K84" s="17">
        <v>1</v>
      </c>
      <c r="L84" s="17"/>
      <c r="M84" s="17">
        <v>2</v>
      </c>
      <c r="N84" s="17"/>
      <c r="O84" s="17">
        <v>2</v>
      </c>
      <c r="P84" s="17">
        <v>1</v>
      </c>
      <c r="Q84" s="17"/>
      <c r="R84" s="17">
        <v>3</v>
      </c>
      <c r="S84" s="17">
        <v>1</v>
      </c>
      <c r="T84" s="17"/>
      <c r="U84" s="17"/>
      <c r="V84" s="17">
        <v>3</v>
      </c>
      <c r="W84" s="17"/>
      <c r="X84" s="17"/>
      <c r="Y84" s="17"/>
      <c r="Z84" s="17">
        <v>1</v>
      </c>
      <c r="AA84" s="17"/>
      <c r="AB84" s="17"/>
      <c r="AC84" s="17"/>
      <c r="AD84" s="17">
        <v>1</v>
      </c>
      <c r="AE84" s="17"/>
      <c r="AF84" s="17"/>
      <c r="AG84" s="17"/>
      <c r="AH84" s="17">
        <v>1</v>
      </c>
      <c r="AI84" s="17">
        <v>0</v>
      </c>
      <c r="AJ84" s="17">
        <v>1</v>
      </c>
      <c r="AK84" s="17"/>
      <c r="AL84" s="17"/>
      <c r="AM84" s="17"/>
      <c r="AN84" s="17"/>
      <c r="AO84" s="17">
        <v>1</v>
      </c>
      <c r="AP84" s="17"/>
      <c r="AQ84" s="17">
        <v>1</v>
      </c>
      <c r="AR84" s="17"/>
      <c r="AS84" s="17"/>
      <c r="AT84" s="17">
        <v>2</v>
      </c>
      <c r="AU84" s="17"/>
      <c r="AV84" s="17">
        <v>2</v>
      </c>
      <c r="AW84" s="17">
        <v>1</v>
      </c>
      <c r="AX84" s="17"/>
      <c r="AY84" s="17"/>
      <c r="AZ84" s="17">
        <v>1</v>
      </c>
      <c r="BA84" s="17">
        <v>1</v>
      </c>
      <c r="BB84" s="17">
        <v>3</v>
      </c>
      <c r="BC84" s="17">
        <v>6</v>
      </c>
      <c r="BD84" s="17"/>
      <c r="BE84" s="17">
        <v>2</v>
      </c>
      <c r="BF84" s="17"/>
      <c r="BG84" s="17">
        <v>1</v>
      </c>
      <c r="BH84" s="17"/>
      <c r="BI84" s="17">
        <v>1</v>
      </c>
      <c r="BJ84" s="17">
        <v>1</v>
      </c>
      <c r="BK84" s="17">
        <v>2</v>
      </c>
      <c r="BL84" s="17"/>
      <c r="BM84" s="17">
        <v>2</v>
      </c>
      <c r="BN84" s="55">
        <v>2</v>
      </c>
      <c r="BO84" s="55">
        <v>2</v>
      </c>
      <c r="BP84" s="55">
        <v>2</v>
      </c>
      <c r="BQ84" s="55">
        <v>1</v>
      </c>
      <c r="BR84" s="55">
        <v>6</v>
      </c>
      <c r="BS84" s="55">
        <v>7</v>
      </c>
      <c r="BT84" s="55">
        <v>6</v>
      </c>
      <c r="BU84" s="55"/>
      <c r="BV84" s="17">
        <v>1</v>
      </c>
      <c r="BW84" s="17">
        <v>2</v>
      </c>
      <c r="BX84" s="17">
        <v>2</v>
      </c>
      <c r="BY84" s="17">
        <v>3</v>
      </c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</row>
    <row r="85" spans="1:106" x14ac:dyDescent="0.25">
      <c r="A85" s="57" t="s">
        <v>374</v>
      </c>
      <c r="C85" s="17"/>
      <c r="D85" s="17"/>
      <c r="E85" s="17">
        <v>3</v>
      </c>
      <c r="F85" s="17">
        <v>2</v>
      </c>
      <c r="G85" s="17">
        <v>1</v>
      </c>
      <c r="H85" s="17">
        <v>1</v>
      </c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>
        <v>1</v>
      </c>
      <c r="T85" s="17"/>
      <c r="U85" s="17"/>
      <c r="V85" s="17"/>
      <c r="W85" s="17">
        <v>4</v>
      </c>
      <c r="X85" s="17"/>
      <c r="Y85" s="17"/>
      <c r="Z85" s="17">
        <v>3</v>
      </c>
      <c r="AA85" s="17"/>
      <c r="AB85" s="17"/>
      <c r="AC85" s="17">
        <v>6</v>
      </c>
      <c r="AD85" s="17"/>
      <c r="AE85" s="17"/>
      <c r="AF85" s="17"/>
      <c r="AG85" s="17"/>
      <c r="AH85" s="17"/>
      <c r="AI85" s="17"/>
      <c r="AJ85" s="17"/>
      <c r="AK85" s="17"/>
      <c r="AL85" s="17">
        <v>1</v>
      </c>
      <c r="AM85" s="17"/>
      <c r="AN85" s="17"/>
      <c r="AO85" s="17"/>
      <c r="AP85" s="17">
        <v>6</v>
      </c>
      <c r="AQ85" s="17"/>
      <c r="AR85" s="17">
        <v>1</v>
      </c>
      <c r="AS85" s="17"/>
      <c r="AT85" s="17">
        <v>1</v>
      </c>
      <c r="AU85" s="17">
        <v>2</v>
      </c>
      <c r="AV85" s="17">
        <v>2</v>
      </c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</row>
    <row r="86" spans="1:106" x14ac:dyDescent="0.25">
      <c r="A86" s="57" t="s">
        <v>404</v>
      </c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>
        <v>2</v>
      </c>
      <c r="AX86" s="17"/>
      <c r="AY86" s="17"/>
      <c r="AZ86" s="17"/>
      <c r="BA86" s="17"/>
      <c r="BB86" s="17"/>
      <c r="BC86" s="17"/>
      <c r="BD86" s="17"/>
      <c r="BE86" s="17">
        <v>3</v>
      </c>
      <c r="BF86" s="17">
        <v>1</v>
      </c>
      <c r="BG86" s="17"/>
      <c r="BH86" s="17">
        <v>2</v>
      </c>
      <c r="BI86" s="17"/>
      <c r="BJ86" s="17">
        <v>3</v>
      </c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</row>
    <row r="87" spans="1:106" x14ac:dyDescent="0.25">
      <c r="A87" s="94" t="s">
        <v>310</v>
      </c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>
        <v>5</v>
      </c>
      <c r="BC87" s="17">
        <v>7</v>
      </c>
      <c r="BD87" s="17"/>
      <c r="BE87" s="17"/>
      <c r="BF87" s="17"/>
      <c r="BG87" s="17"/>
      <c r="BH87" s="17"/>
      <c r="BI87" s="17"/>
      <c r="BJ87" s="17"/>
      <c r="BK87" s="17"/>
      <c r="BL87" s="17"/>
      <c r="BM87" s="17">
        <v>6</v>
      </c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</row>
    <row r="88" spans="1:106" x14ac:dyDescent="0.25">
      <c r="A88" s="94" t="s">
        <v>311</v>
      </c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</row>
    <row r="89" spans="1:106" x14ac:dyDescent="0.25">
      <c r="A89" s="94" t="s">
        <v>405</v>
      </c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</row>
    <row r="90" spans="1:106" x14ac:dyDescent="0.25">
      <c r="A90" s="94" t="s">
        <v>315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>
        <v>1</v>
      </c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</row>
    <row r="91" spans="1:106" x14ac:dyDescent="0.25">
      <c r="A91" s="57" t="s">
        <v>320</v>
      </c>
      <c r="C91" s="17">
        <v>0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>
        <v>0</v>
      </c>
      <c r="AS91" s="17">
        <v>0</v>
      </c>
      <c r="AT91" s="17">
        <v>0</v>
      </c>
      <c r="AU91" s="17">
        <v>0</v>
      </c>
      <c r="AV91" s="17">
        <v>0</v>
      </c>
      <c r="AW91" s="17">
        <v>0</v>
      </c>
      <c r="AX91" s="17">
        <v>0</v>
      </c>
      <c r="AY91" s="17">
        <v>0</v>
      </c>
      <c r="AZ91" s="17">
        <v>0</v>
      </c>
      <c r="BA91" s="17">
        <v>1</v>
      </c>
      <c r="BB91" s="17">
        <v>5</v>
      </c>
      <c r="BC91" s="17">
        <v>7</v>
      </c>
      <c r="BD91" s="17">
        <v>0</v>
      </c>
      <c r="BE91" s="17">
        <v>0</v>
      </c>
      <c r="BF91" s="17">
        <v>0</v>
      </c>
      <c r="BG91" s="17">
        <v>0</v>
      </c>
      <c r="BH91" s="17">
        <v>0</v>
      </c>
      <c r="BI91" s="17">
        <v>0</v>
      </c>
      <c r="BJ91" s="17">
        <v>0</v>
      </c>
      <c r="BK91" s="17">
        <v>0</v>
      </c>
      <c r="BL91" s="17">
        <v>0</v>
      </c>
      <c r="BM91" s="17">
        <v>6</v>
      </c>
      <c r="BN91" s="17">
        <v>0</v>
      </c>
      <c r="BO91" s="17">
        <f>=SUM(BO87:BO90)</f>
        <v>0</v>
      </c>
      <c r="BP91" s="17">
        <f>=SUM(BP87:BP90)</f>
        <v>0</v>
      </c>
      <c r="BQ91" s="17">
        <f>=SUM(BQ87:BQ90)</f>
        <v>0</v>
      </c>
      <c r="BR91" s="17">
        <f>=SUM(BR87:BR90)</f>
        <v>0</v>
      </c>
      <c r="BS91" s="17">
        <f>=SUM(BS87:BS90)</f>
        <v>0</v>
      </c>
      <c r="BT91" s="17">
        <f>=SUM(BT87:BT90)</f>
        <v>0</v>
      </c>
      <c r="BU91" s="17">
        <f>=SUM(BU87:BU90)</f>
        <v>0</v>
      </c>
      <c r="BV91" s="17">
        <f>=SUM(BV87:BV90)</f>
        <v>0</v>
      </c>
      <c r="BW91" s="17">
        <f>=SUM(BW87:BW90)</f>
        <v>0</v>
      </c>
      <c r="BX91" s="17">
        <f>=SUM(BX87:BX90)</f>
        <v>0</v>
      </c>
      <c r="BY91" s="17">
        <f>=SUM(BY87:BY90)</f>
        <v>0</v>
      </c>
      <c r="BZ91" s="17">
        <f>=SUM(BZ87:BZ90)</f>
        <v>0</v>
      </c>
      <c r="CA91" s="17">
        <f>=SUM(CA87:CA90)</f>
        <v>0</v>
      </c>
      <c r="CB91" s="17">
        <f>=SUM(CB87:CB90)</f>
        <v>0</v>
      </c>
      <c r="CC91" s="17">
        <f>=SUM(CC87:CC90)</f>
        <v>0</v>
      </c>
      <c r="CD91" s="17">
        <f>=SUM(CD87:CD90)</f>
        <v>0</v>
      </c>
      <c r="CE91" s="17">
        <f>=SUM(CE87:CE90)</f>
        <v>0</v>
      </c>
      <c r="CF91" s="17">
        <f>=SUM(CF87:CF90)</f>
        <v>0</v>
      </c>
      <c r="CG91" s="17">
        <f>=SUM(CG87:CG90)</f>
        <v>0</v>
      </c>
      <c r="CH91" s="17">
        <f>=SUM(CH87:CH90)</f>
        <v>0</v>
      </c>
      <c r="CI91" s="17">
        <f>=SUM(CI87:CI90)</f>
        <v>0</v>
      </c>
      <c r="CJ91" s="17">
        <f>=SUM(CJ87:CJ90)</f>
        <v>0</v>
      </c>
      <c r="CK91" s="17">
        <f>=SUM(CK87:CK90)</f>
        <v>0</v>
      </c>
      <c r="CL91" s="17">
        <f>=SUM(CL87:CL90)</f>
        <v>0</v>
      </c>
      <c r="CM91" s="17">
        <f>=SUM(CM87:CM90)</f>
        <v>0</v>
      </c>
      <c r="CN91" s="17">
        <f>=SUM(CN87:CN90)</f>
        <v>0</v>
      </c>
      <c r="CO91" s="17">
        <f>=SUM(CO87:CO90)</f>
        <v>0</v>
      </c>
      <c r="CP91" s="17">
        <f>=SUM(CP87:CP90)</f>
        <v>0</v>
      </c>
      <c r="CQ91" s="17">
        <f>=SUM(CQ87:CQ90)</f>
        <v>0</v>
      </c>
      <c r="CR91" s="17">
        <f>=SUM(CR87:CR90)</f>
        <v>0</v>
      </c>
      <c r="CS91" s="17">
        <f>=SUM(CS87:CS90)</f>
        <v>0</v>
      </c>
      <c r="CT91" s="17">
        <f>=SUM(CT87:CT90)</f>
        <v>0</v>
      </c>
      <c r="CU91" s="17">
        <f>=SUM(CU87:CU90)</f>
        <v>0</v>
      </c>
      <c r="CV91" s="17">
        <f>=SUM(CV87:CV90)</f>
        <v>0</v>
      </c>
      <c r="CW91" s="17">
        <f>=SUM(CW87:CW90)</f>
        <v>0</v>
      </c>
      <c r="CX91" s="17">
        <f>=SUM(CX87:CX90)</f>
        <v>0</v>
      </c>
      <c r="CY91" s="17">
        <f>=SUM(CY87:CY90)</f>
        <v>0</v>
      </c>
      <c r="CZ91" s="17">
        <f>=SUM(CZ87:CZ90)</f>
        <v>0</v>
      </c>
      <c r="DA91" s="17">
        <f>=SUM(DA87:DA90)</f>
        <v>0</v>
      </c>
      <c r="DB91" s="17">
        <f>=SUM(DB87:DB90)</f>
        <v>0</v>
      </c>
    </row>
    <row r="92" spans="1:106" x14ac:dyDescent="0.25">
      <c r="A92" s="33" t="s">
        <v>321</v>
      </c>
      <c r="B92" s="24"/>
      <c r="C92" s="52">
        <v>0</v>
      </c>
      <c r="D92" s="52">
        <v>0</v>
      </c>
      <c r="E92" s="52">
        <v>0</v>
      </c>
      <c r="F92" s="52">
        <v>0</v>
      </c>
      <c r="G92" s="52">
        <v>2</v>
      </c>
      <c r="H92" s="52">
        <v>1</v>
      </c>
      <c r="I92" s="52">
        <v>1</v>
      </c>
      <c r="J92" s="52">
        <v>4</v>
      </c>
      <c r="K92" s="52">
        <v>0</v>
      </c>
      <c r="L92" s="52">
        <v>0</v>
      </c>
      <c r="M92" s="52">
        <v>0</v>
      </c>
      <c r="N92" s="52">
        <v>2</v>
      </c>
      <c r="O92" s="52">
        <v>0</v>
      </c>
      <c r="P92" s="52">
        <v>2</v>
      </c>
      <c r="Q92" s="52">
        <v>0</v>
      </c>
      <c r="R92" s="52">
        <v>3</v>
      </c>
      <c r="S92" s="52">
        <v>3</v>
      </c>
      <c r="T92" s="52">
        <v>2</v>
      </c>
      <c r="U92" s="52">
        <v>0</v>
      </c>
      <c r="V92" s="52">
        <v>0</v>
      </c>
      <c r="W92" s="52">
        <v>0</v>
      </c>
      <c r="X92" s="52">
        <v>0</v>
      </c>
      <c r="Y92" s="52">
        <v>4</v>
      </c>
      <c r="Z92" s="52">
        <v>0</v>
      </c>
      <c r="AA92" s="52">
        <v>3</v>
      </c>
      <c r="AB92" s="52">
        <v>0</v>
      </c>
      <c r="AC92" s="52">
        <v>0</v>
      </c>
      <c r="AD92" s="52">
        <v>0</v>
      </c>
      <c r="AE92" s="52">
        <v>0</v>
      </c>
      <c r="AF92" s="52">
        <v>1</v>
      </c>
      <c r="AG92" s="52">
        <v>0</v>
      </c>
      <c r="AH92" s="52">
        <v>0</v>
      </c>
      <c r="AI92" s="52">
        <v>0</v>
      </c>
      <c r="AJ92" s="52">
        <v>0</v>
      </c>
      <c r="AK92" s="52">
        <v>0</v>
      </c>
      <c r="AL92" s="52">
        <v>1</v>
      </c>
      <c r="AM92" s="52">
        <v>0</v>
      </c>
      <c r="AN92" s="52">
        <v>0</v>
      </c>
      <c r="AO92" s="52">
        <v>0</v>
      </c>
      <c r="AP92" s="52">
        <v>0</v>
      </c>
      <c r="AQ92" s="52">
        <v>1</v>
      </c>
      <c r="AR92" s="52">
        <v>1</v>
      </c>
      <c r="AS92" s="52">
        <v>0</v>
      </c>
      <c r="AT92" s="52">
        <v>0</v>
      </c>
      <c r="AU92" s="52">
        <v>1</v>
      </c>
      <c r="AV92" s="52">
        <v>1</v>
      </c>
      <c r="AW92" s="52">
        <v>1</v>
      </c>
      <c r="AX92" s="52">
        <v>0</v>
      </c>
      <c r="AY92" s="52">
        <v>2</v>
      </c>
      <c r="AZ92" s="52">
        <v>1</v>
      </c>
      <c r="BA92" s="52">
        <v>1</v>
      </c>
      <c r="BB92" s="52">
        <v>1</v>
      </c>
      <c r="BC92" s="52">
        <v>0</v>
      </c>
      <c r="BD92" s="52">
        <v>1</v>
      </c>
      <c r="BE92" s="52">
        <v>6</v>
      </c>
      <c r="BF92" s="52">
        <v>7</v>
      </c>
      <c r="BG92" s="52">
        <v>3</v>
      </c>
      <c r="BH92" s="52">
        <v>2</v>
      </c>
      <c r="BI92" s="52">
        <v>0</v>
      </c>
      <c r="BJ92" s="52">
        <v>0</v>
      </c>
      <c r="BK92" s="52">
        <v>1</v>
      </c>
      <c r="BL92" s="52">
        <v>1</v>
      </c>
      <c r="BM92" s="52">
        <v>0</v>
      </c>
      <c r="BN92" s="53">
        <f>=SUM(BN93:BN99)-SUM(BN112)</f>
        <v>5</v>
      </c>
      <c r="BO92" s="53">
        <f>=SUM(BO93:BO99)-SUM(BO112)</f>
        <v>1</v>
      </c>
      <c r="BP92" s="53">
        <f>=SUM(BP93:BP99)-SUM(BP112)</f>
        <v>0</v>
      </c>
      <c r="BQ92" s="53">
        <f>=SUM(BQ93:BQ99)-SUM(BQ112)</f>
        <v>7</v>
      </c>
      <c r="BR92" s="53">
        <f>=SUM(BR93:BR99)-SUM(BR112)</f>
        <v>0</v>
      </c>
      <c r="BS92" s="53">
        <f>=SUM(BS93:BS99)-SUM(BS112)</f>
        <v>2</v>
      </c>
      <c r="BT92" s="53">
        <f>=SUM(BT93:BT99)-SUM(BT112)</f>
        <v>4</v>
      </c>
      <c r="BU92" s="53">
        <f>=SUM(BU93:BU99)-SUM(BU112)</f>
        <v>1</v>
      </c>
      <c r="BV92" s="53">
        <f>=SUM(BV93:BV99)-SUM(BV112)</f>
        <v>1</v>
      </c>
      <c r="BW92" s="53">
        <f>=SUM(BW93:BW99)-SUM(BW112)</f>
        <v>0</v>
      </c>
      <c r="BX92" s="53">
        <f>=SUM(BX93:BX99)-SUM(BX112)</f>
        <v>0</v>
      </c>
      <c r="BY92" s="53">
        <f>=SUM(BY93:BY99)</f>
        <v>0</v>
      </c>
      <c r="BZ92" s="53">
        <f>=SUM(BZ93:BZ99)</f>
        <v>0</v>
      </c>
      <c r="CA92" s="53">
        <f>=SUM(CA93:CA99)</f>
        <v>0</v>
      </c>
      <c r="CB92" s="53">
        <f>=SUM(CB93:CB99)</f>
        <v>0</v>
      </c>
      <c r="CC92" s="53">
        <f>=SUM(CC93:CC99)</f>
        <v>0</v>
      </c>
      <c r="CD92" s="53">
        <f>=SUM(CD93:CD99)</f>
        <v>0</v>
      </c>
      <c r="CE92" s="53">
        <f>=SUM(CE93:CE99)</f>
        <v>0</v>
      </c>
      <c r="CF92" s="53">
        <f>=SUM(CF93:CF99)</f>
        <v>0</v>
      </c>
      <c r="CG92" s="53">
        <f>=SUM(CG93:CG99)</f>
        <v>0</v>
      </c>
      <c r="CH92" s="53">
        <f>=SUM(CH93:CH99)</f>
        <v>0</v>
      </c>
      <c r="CI92" s="53">
        <f>=SUM(CI93:CI99)</f>
        <v>0</v>
      </c>
      <c r="CJ92" s="53">
        <f>=SUM(CJ93:CJ99)</f>
        <v>0</v>
      </c>
      <c r="CK92" s="53">
        <f>=SUM(CK93:CK99)</f>
        <v>0</v>
      </c>
      <c r="CL92" s="53">
        <f>=SUM(CL93:CL99)</f>
        <v>0</v>
      </c>
      <c r="CM92" s="53">
        <f>=SUM(CM93:CM99)</f>
        <v>0</v>
      </c>
      <c r="CN92" s="53">
        <f>=SUM(CN93:CN99)</f>
        <v>0</v>
      </c>
      <c r="CO92" s="53">
        <f>=SUM(CO93:CO99)</f>
        <v>0</v>
      </c>
      <c r="CP92" s="53">
        <f>=SUM(CP93:CP99)</f>
        <v>0</v>
      </c>
      <c r="CQ92" s="53">
        <f>=SUM(CQ93:CQ99)</f>
        <v>0</v>
      </c>
      <c r="CR92" s="53">
        <f>=SUM(CR93:CR99)</f>
        <v>0</v>
      </c>
      <c r="CS92" s="53">
        <f>=SUM(CS93:CS99)</f>
        <v>0</v>
      </c>
      <c r="CT92" s="53">
        <f>=SUM(CT93:CT99)</f>
        <v>0</v>
      </c>
      <c r="CU92" s="53">
        <f>=SUM(CU93:CU99)</f>
        <v>0</v>
      </c>
      <c r="CV92" s="53">
        <f>=SUM(CV93:CV99)</f>
        <v>0</v>
      </c>
      <c r="CW92" s="53">
        <f>=SUM(CW93:CW99)</f>
        <v>0</v>
      </c>
      <c r="CX92" s="53">
        <f>=SUM(CX93:CX99)</f>
        <v>0</v>
      </c>
      <c r="CY92" s="53">
        <f>=SUM(CY93:CY99)</f>
        <v>0</v>
      </c>
      <c r="CZ92" s="53">
        <f>=SUM(CZ93:CZ99)</f>
        <v>0</v>
      </c>
      <c r="DA92" s="53">
        <f>=SUM(DA93:DA99)</f>
        <v>0</v>
      </c>
      <c r="DB92" s="53">
        <f>=SUM(DB93:DB99)</f>
        <v>0</v>
      </c>
    </row>
    <row r="93" spans="1:106" x14ac:dyDescent="0.25">
      <c r="A93" s="57" t="s">
        <v>322</v>
      </c>
      <c r="C93" s="17"/>
      <c r="D93" s="17"/>
      <c r="E93" s="17"/>
      <c r="F93" s="17"/>
      <c r="G93" s="17">
        <v>1</v>
      </c>
      <c r="H93" s="17">
        <v>1</v>
      </c>
      <c r="I93" s="17">
        <v>1</v>
      </c>
      <c r="J93" s="17"/>
      <c r="K93" s="17"/>
      <c r="L93" s="17"/>
      <c r="M93" s="17"/>
      <c r="N93" s="17">
        <v>2</v>
      </c>
      <c r="O93" s="17"/>
      <c r="P93" s="17">
        <v>2</v>
      </c>
      <c r="Q93" s="17"/>
      <c r="R93" s="17">
        <v>1</v>
      </c>
      <c r="S93" s="17">
        <v>3</v>
      </c>
      <c r="T93" s="17">
        <v>2</v>
      </c>
      <c r="U93" s="17"/>
      <c r="V93" s="17"/>
      <c r="W93" s="17"/>
      <c r="X93" s="17"/>
      <c r="Y93" s="17">
        <v>1</v>
      </c>
      <c r="Z93" s="17"/>
      <c r="AA93" s="17"/>
      <c r="AB93" s="17"/>
      <c r="AC93" s="17"/>
      <c r="AD93" s="17"/>
      <c r="AE93" s="17"/>
      <c r="AF93" s="17">
        <v>1</v>
      </c>
      <c r="AG93" s="17"/>
      <c r="AH93" s="17"/>
      <c r="AI93" s="17"/>
      <c r="AJ93" s="17"/>
      <c r="AK93" s="17"/>
      <c r="AL93" s="17">
        <v>1</v>
      </c>
      <c r="AM93" s="17"/>
      <c r="AN93" s="17"/>
      <c r="AO93" s="17"/>
      <c r="AP93" s="17"/>
      <c r="AQ93" s="17"/>
      <c r="AR93" s="17">
        <v>1</v>
      </c>
      <c r="AS93" s="17"/>
      <c r="AT93" s="17"/>
      <c r="AU93" s="17">
        <v>1</v>
      </c>
      <c r="AV93" s="17">
        <v>1</v>
      </c>
      <c r="AW93" s="17">
        <v>1</v>
      </c>
      <c r="AX93" s="17"/>
      <c r="AY93" s="17">
        <v>2</v>
      </c>
      <c r="AZ93" s="17">
        <v>1</v>
      </c>
      <c r="BA93" s="17">
        <v>1</v>
      </c>
      <c r="BB93" s="17">
        <v>1</v>
      </c>
      <c r="BC93" s="17"/>
      <c r="BD93" s="17"/>
      <c r="BE93" s="17"/>
      <c r="BF93" s="17">
        <v>7</v>
      </c>
      <c r="BG93" s="17"/>
      <c r="BH93" s="17">
        <v>2</v>
      </c>
      <c r="BI93" s="17"/>
      <c r="BJ93" s="17"/>
      <c r="BK93" s="17"/>
      <c r="BL93" s="17">
        <v>1</v>
      </c>
      <c r="BM93" s="17"/>
      <c r="BN93" s="55">
        <v>1</v>
      </c>
      <c r="BO93" s="55">
        <v>1</v>
      </c>
      <c r="BP93" s="55"/>
      <c r="BQ93" s="55"/>
      <c r="BR93" s="55"/>
      <c r="BS93" s="55">
        <v>2</v>
      </c>
      <c r="BT93" s="55">
        <v>1</v>
      </c>
      <c r="BU93" s="55">
        <v>1</v>
      </c>
      <c r="BV93" s="17">
        <v>1</v>
      </c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</row>
    <row r="94" spans="1:106" x14ac:dyDescent="0.25">
      <c r="A94" s="57" t="s">
        <v>377</v>
      </c>
      <c r="C94" s="17"/>
      <c r="D94" s="17"/>
      <c r="E94" s="17"/>
      <c r="F94" s="17"/>
      <c r="G94" s="17"/>
      <c r="H94" s="17"/>
      <c r="I94" s="17"/>
      <c r="J94" s="17">
        <v>4</v>
      </c>
      <c r="K94" s="17"/>
      <c r="L94" s="17"/>
      <c r="M94" s="17"/>
      <c r="N94" s="17"/>
      <c r="O94" s="17"/>
      <c r="P94" s="17"/>
      <c r="Q94" s="17"/>
      <c r="R94" s="17">
        <v>2</v>
      </c>
      <c r="S94" s="17"/>
      <c r="T94" s="17"/>
      <c r="U94" s="17"/>
      <c r="V94" s="17"/>
      <c r="W94" s="17"/>
      <c r="X94" s="17"/>
      <c r="Y94" s="17">
        <v>3</v>
      </c>
      <c r="Z94" s="17"/>
      <c r="AA94" s="17">
        <v>3</v>
      </c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>
        <v>1</v>
      </c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>
        <v>3</v>
      </c>
      <c r="BH94" s="17"/>
      <c r="BI94" s="17"/>
      <c r="BJ94" s="17"/>
      <c r="BK94" s="17"/>
      <c r="BL94" s="17"/>
      <c r="BM94" s="17"/>
      <c r="BN94" s="55">
        <v>3</v>
      </c>
      <c r="BO94" s="55"/>
      <c r="BP94" s="55"/>
      <c r="BQ94" s="55">
        <v>1</v>
      </c>
      <c r="BR94" s="55"/>
      <c r="BS94" s="55"/>
      <c r="BT94" s="55">
        <v>3</v>
      </c>
      <c r="BU94" s="55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</row>
    <row r="95" spans="1:106" x14ac:dyDescent="0.25">
      <c r="A95" s="57" t="s">
        <v>390</v>
      </c>
      <c r="C95" s="17">
        <v>0</v>
      </c>
      <c r="D95" s="17">
        <v>14</v>
      </c>
      <c r="E95" s="17">
        <v>0</v>
      </c>
      <c r="F95" s="17">
        <v>0</v>
      </c>
      <c r="G95" s="17">
        <v>1</v>
      </c>
      <c r="H95" s="17">
        <v>0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7">
        <v>0</v>
      </c>
      <c r="T95" s="17">
        <v>0</v>
      </c>
      <c r="U95" s="17">
        <v>16</v>
      </c>
      <c r="V95" s="17">
        <v>0</v>
      </c>
      <c r="W95" s="17">
        <v>0</v>
      </c>
      <c r="X95" s="17">
        <v>0</v>
      </c>
      <c r="Y95" s="17">
        <v>0</v>
      </c>
      <c r="Z95" s="17">
        <v>0</v>
      </c>
      <c r="AA95" s="17">
        <v>14</v>
      </c>
      <c r="AB95" s="17">
        <v>0</v>
      </c>
      <c r="AC95" s="17">
        <v>0</v>
      </c>
      <c r="AD95" s="17">
        <v>0</v>
      </c>
      <c r="AE95" s="17">
        <v>14</v>
      </c>
      <c r="AF95" s="17">
        <v>0</v>
      </c>
      <c r="AG95" s="17">
        <v>14</v>
      </c>
      <c r="AH95" s="17">
        <v>0</v>
      </c>
      <c r="AI95" s="17">
        <v>14</v>
      </c>
      <c r="AJ95" s="17">
        <v>0</v>
      </c>
      <c r="AK95" s="17">
        <v>12</v>
      </c>
      <c r="AL95" s="17">
        <v>16</v>
      </c>
      <c r="AM95" s="17">
        <v>0</v>
      </c>
      <c r="AN95" s="17">
        <v>30</v>
      </c>
      <c r="AO95" s="17">
        <v>16</v>
      </c>
      <c r="AP95" s="17">
        <v>0</v>
      </c>
      <c r="AQ95" s="17">
        <v>0</v>
      </c>
      <c r="AR95" s="17">
        <v>15</v>
      </c>
      <c r="AS95" s="17">
        <v>16</v>
      </c>
      <c r="AT95" s="17">
        <v>27</v>
      </c>
      <c r="AU95" s="17">
        <v>11</v>
      </c>
      <c r="AV95" s="17">
        <v>0</v>
      </c>
      <c r="AW95" s="17">
        <v>0</v>
      </c>
      <c r="AX95" s="17">
        <v>0</v>
      </c>
      <c r="AY95" s="17">
        <v>0</v>
      </c>
      <c r="AZ95" s="17">
        <v>14</v>
      </c>
      <c r="BA95" s="17">
        <v>0</v>
      </c>
      <c r="BB95" s="17">
        <v>0</v>
      </c>
      <c r="BC95" s="17">
        <v>0</v>
      </c>
      <c r="BD95" s="17">
        <v>0</v>
      </c>
      <c r="BE95" s="17">
        <v>0</v>
      </c>
      <c r="BF95" s="17">
        <v>0</v>
      </c>
      <c r="BG95" s="17">
        <v>0</v>
      </c>
      <c r="BH95" s="17">
        <v>0</v>
      </c>
      <c r="BI95" s="17">
        <v>0</v>
      </c>
      <c r="BJ95" s="17">
        <v>0</v>
      </c>
      <c r="BK95" s="17">
        <v>0</v>
      </c>
      <c r="BL95" s="17">
        <v>0</v>
      </c>
      <c r="BM95" s="17">
        <v>0</v>
      </c>
      <c r="BN95" s="55">
        <v>1</v>
      </c>
      <c r="BO95" s="55">
        <v>0</v>
      </c>
      <c r="BP95" s="55">
        <v>0</v>
      </c>
      <c r="BQ95" s="55">
        <v>6</v>
      </c>
      <c r="BR95" s="55">
        <v>0</v>
      </c>
      <c r="BS95" s="55">
        <v>0</v>
      </c>
      <c r="BT95" s="55">
        <v>0</v>
      </c>
      <c r="BU95" s="55">
        <v>0</v>
      </c>
      <c r="BV95" s="17">
        <v>0</v>
      </c>
      <c r="BW95" s="17">
        <v>0</v>
      </c>
      <c r="BX95" s="17">
        <v>0</v>
      </c>
      <c r="BY95" s="17">
        <v>0</v>
      </c>
      <c r="BZ95" s="17">
        <v>0</v>
      </c>
      <c r="CA95" s="17">
        <v>0</v>
      </c>
      <c r="CB95" s="17">
        <v>0</v>
      </c>
      <c r="CC95" s="17">
        <v>0</v>
      </c>
      <c r="CD95" s="17">
        <v>0</v>
      </c>
      <c r="CE95" s="17">
        <v>0</v>
      </c>
      <c r="CF95" s="17">
        <v>0</v>
      </c>
      <c r="CG95" s="17">
        <v>0</v>
      </c>
      <c r="CH95" s="17">
        <v>0</v>
      </c>
      <c r="CI95" s="17">
        <v>0</v>
      </c>
      <c r="CJ95" s="17">
        <v>0</v>
      </c>
      <c r="CK95" s="17">
        <v>0</v>
      </c>
      <c r="CL95" s="17"/>
      <c r="CM95" s="17">
        <v>0</v>
      </c>
      <c r="CN95" s="17">
        <v>0</v>
      </c>
      <c r="CO95" s="17">
        <v>0</v>
      </c>
      <c r="CP95" s="17"/>
      <c r="CQ95" s="17">
        <v>0</v>
      </c>
      <c r="CR95" s="17">
        <v>0</v>
      </c>
      <c r="CS95" s="17">
        <v>0</v>
      </c>
      <c r="CT95" s="17">
        <v>0</v>
      </c>
      <c r="CU95" s="17">
        <v>0</v>
      </c>
      <c r="CV95" s="17">
        <v>0</v>
      </c>
      <c r="CW95" s="17">
        <v>0</v>
      </c>
      <c r="CX95" s="17">
        <v>0</v>
      </c>
      <c r="CY95" s="17">
        <v>0</v>
      </c>
      <c r="CZ95" s="17">
        <v>0</v>
      </c>
      <c r="DA95" s="17">
        <v>0</v>
      </c>
      <c r="DB95" s="17">
        <v>0</v>
      </c>
    </row>
    <row r="96" spans="1:106" x14ac:dyDescent="0.25">
      <c r="A96" s="57" t="s">
        <v>326</v>
      </c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>
        <v>1</v>
      </c>
      <c r="BE96" s="17">
        <v>6</v>
      </c>
      <c r="BF96" s="17"/>
      <c r="BG96" s="17"/>
      <c r="BH96" s="17"/>
      <c r="BI96" s="17"/>
      <c r="BJ96" s="17"/>
      <c r="BK96" s="17">
        <v>1</v>
      </c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</row>
    <row r="97" spans="1:106" x14ac:dyDescent="0.25">
      <c r="A97" s="57" t="s">
        <v>266</v>
      </c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30"/>
      <c r="CE97" s="30"/>
      <c r="CF97" s="30"/>
      <c r="CG97" s="30"/>
      <c r="CH97" s="30"/>
      <c r="CI97" s="30"/>
      <c r="CJ97" s="30"/>
      <c r="CK97" s="30"/>
      <c r="CL97" s="30"/>
      <c r="CM97" s="30"/>
      <c r="CN97" s="30"/>
      <c r="CO97" s="30"/>
      <c r="CP97" s="30"/>
      <c r="CQ97" s="30"/>
      <c r="CR97" s="30"/>
      <c r="CS97" s="30"/>
      <c r="CT97" s="30"/>
      <c r="CU97" s="30"/>
      <c r="CV97" s="30"/>
      <c r="CW97" s="30"/>
      <c r="CX97" s="30"/>
      <c r="CY97" s="30"/>
      <c r="CZ97" s="30"/>
      <c r="DA97" s="30"/>
      <c r="DB97" s="30"/>
    </row>
    <row r="98" spans="1:106" x14ac:dyDescent="0.25">
      <c r="A98" s="57" t="s">
        <v>266</v>
      </c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30"/>
      <c r="BV98" s="30"/>
      <c r="BW98" s="30"/>
      <c r="BX98" s="30"/>
      <c r="BY98" s="30"/>
      <c r="BZ98" s="30"/>
      <c r="CA98" s="30"/>
      <c r="CB98" s="30"/>
      <c r="CC98" s="30"/>
      <c r="CD98" s="30"/>
      <c r="CE98" s="30"/>
      <c r="CF98" s="30"/>
      <c r="CG98" s="30"/>
      <c r="CH98" s="30"/>
      <c r="CI98" s="30"/>
      <c r="CJ98" s="30"/>
      <c r="CK98" s="30"/>
      <c r="CL98" s="30"/>
      <c r="CM98" s="30"/>
      <c r="CN98" s="30"/>
      <c r="CO98" s="30"/>
      <c r="CP98" s="30"/>
      <c r="CQ98" s="30"/>
      <c r="CR98" s="30"/>
      <c r="CS98" s="30"/>
      <c r="CT98" s="30"/>
      <c r="CU98" s="30"/>
      <c r="CV98" s="30"/>
      <c r="CW98" s="30"/>
      <c r="CX98" s="30"/>
      <c r="CY98" s="30"/>
      <c r="CZ98" s="30"/>
      <c r="DA98" s="30"/>
      <c r="DB98" s="30"/>
    </row>
    <row r="99" spans="1:106" x14ac:dyDescent="0.25">
      <c r="A99" s="57" t="s">
        <v>266</v>
      </c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  <c r="AU99" s="30"/>
      <c r="AV99" s="30"/>
      <c r="AW99" s="30"/>
      <c r="AX99" s="30"/>
      <c r="AY99" s="30"/>
      <c r="AZ99" s="30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  <c r="BS99" s="30"/>
      <c r="BT99" s="30"/>
      <c r="BU99" s="30"/>
      <c r="BV99" s="30"/>
      <c r="BW99" s="30"/>
      <c r="BX99" s="30"/>
      <c r="BY99" s="30"/>
      <c r="BZ99" s="30"/>
      <c r="CA99" s="30"/>
      <c r="CB99" s="30"/>
      <c r="CC99" s="30"/>
      <c r="CD99" s="30"/>
      <c r="CE99" s="30"/>
      <c r="CF99" s="30"/>
      <c r="CG99" s="30"/>
      <c r="CH99" s="30"/>
      <c r="CI99" s="30"/>
      <c r="CJ99" s="30"/>
      <c r="CK99" s="30"/>
      <c r="CL99" s="30"/>
      <c r="CM99" s="30"/>
      <c r="CN99" s="30"/>
      <c r="CO99" s="30"/>
      <c r="CP99" s="30"/>
      <c r="CQ99" s="30"/>
      <c r="CR99" s="30"/>
      <c r="CS99" s="30"/>
      <c r="CT99" s="30"/>
      <c r="CU99" s="30"/>
      <c r="CV99" s="30"/>
      <c r="CW99" s="30"/>
      <c r="CX99" s="30"/>
      <c r="CY99" s="30"/>
      <c r="CZ99" s="30"/>
      <c r="DA99" s="30"/>
      <c r="DB99" s="30"/>
    </row>
    <row r="100" spans="3:106" x14ac:dyDescent="0.25"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  <c r="AU100" s="30"/>
      <c r="AV100" s="30"/>
      <c r="AW100" s="30"/>
      <c r="AX100" s="30"/>
      <c r="AY100" s="30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  <c r="BS100" s="30"/>
      <c r="BT100" s="30"/>
      <c r="BU100" s="30"/>
      <c r="BV100" s="30"/>
      <c r="BW100" s="30"/>
      <c r="BX100" s="30"/>
      <c r="BY100" s="30"/>
      <c r="BZ100" s="30"/>
      <c r="CA100" s="30"/>
      <c r="CB100" s="30"/>
      <c r="CC100" s="30"/>
      <c r="CD100" s="30"/>
      <c r="CE100" s="30"/>
      <c r="CF100" s="30"/>
      <c r="CG100" s="30"/>
      <c r="CH100" s="30"/>
      <c r="CI100" s="30"/>
      <c r="CJ100" s="30"/>
      <c r="CK100" s="30"/>
      <c r="CL100" s="30"/>
      <c r="CM100" s="30"/>
      <c r="CN100" s="30"/>
      <c r="CO100" s="30"/>
      <c r="CP100" s="30"/>
      <c r="CQ100" s="30"/>
      <c r="CR100" s="30"/>
      <c r="CS100" s="30"/>
      <c r="CT100" s="30"/>
      <c r="CU100" s="30"/>
      <c r="CV100" s="30"/>
      <c r="CW100" s="30"/>
      <c r="CX100" s="30"/>
      <c r="CY100" s="30"/>
      <c r="CZ100" s="30"/>
      <c r="DA100" s="30"/>
      <c r="DB100" s="30"/>
    </row>
    <row r="101" ht="15" customHeight="1" spans="1:106" x14ac:dyDescent="0.25">
      <c r="A101" s="9" t="s">
        <v>327</v>
      </c>
      <c r="B101" s="17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2"/>
      <c r="BP101" s="32"/>
      <c r="BQ101" s="32"/>
      <c r="BR101" s="32"/>
      <c r="BS101" s="32"/>
      <c r="BT101" s="32"/>
      <c r="BU101" s="32"/>
      <c r="BV101" s="32"/>
      <c r="BW101" s="32"/>
      <c r="BX101" s="32"/>
      <c r="BY101" s="32"/>
      <c r="BZ101" s="32"/>
      <c r="CA101" s="32"/>
      <c r="CB101" s="32"/>
      <c r="CC101" s="32"/>
      <c r="CD101" s="32"/>
      <c r="CE101" s="32"/>
      <c r="CF101" s="32"/>
      <c r="CG101" s="32"/>
      <c r="CH101" s="32"/>
      <c r="CI101" s="32"/>
      <c r="CJ101" s="32"/>
      <c r="CK101" s="32"/>
      <c r="CL101" s="32"/>
      <c r="CM101" s="32"/>
      <c r="CN101" s="32"/>
      <c r="CO101" s="32"/>
      <c r="CP101" s="32"/>
      <c r="CQ101" s="32"/>
      <c r="CR101" s="32"/>
      <c r="CS101" s="32"/>
      <c r="CT101" s="32"/>
      <c r="CU101" s="32"/>
      <c r="CV101" s="32"/>
      <c r="CW101" s="32"/>
      <c r="CX101" s="32"/>
      <c r="CY101" s="32"/>
      <c r="CZ101" s="32"/>
      <c r="DA101" s="32"/>
      <c r="DB101" s="32"/>
    </row>
    <row r="102" ht="15" customHeight="1" spans="1:106" x14ac:dyDescent="0.25">
      <c r="A102" s="61" t="s">
        <v>328</v>
      </c>
      <c r="B102" s="13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  <c r="CW102" s="15"/>
      <c r="CX102" s="15"/>
      <c r="CY102" s="15"/>
      <c r="CZ102" s="15"/>
      <c r="DA102" s="15"/>
      <c r="DB102" s="15"/>
    </row>
    <row r="103" spans="1:106" x14ac:dyDescent="0.25">
      <c r="A103" s="62" t="s">
        <v>329</v>
      </c>
      <c r="B103" s="24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63"/>
      <c r="AP103" s="63"/>
      <c r="AQ103" s="63"/>
      <c r="AR103" s="63"/>
      <c r="AS103" s="63"/>
      <c r="AT103" s="63"/>
      <c r="AU103" s="63"/>
      <c r="AV103" s="63"/>
      <c r="AW103" s="63"/>
      <c r="AX103" s="63"/>
      <c r="AY103" s="63"/>
      <c r="AZ103" s="63"/>
      <c r="BA103" s="63"/>
      <c r="BB103" s="63"/>
      <c r="BC103" s="63"/>
      <c r="BD103" s="63"/>
      <c r="BE103" s="63"/>
      <c r="BF103" s="63"/>
      <c r="BG103" s="63"/>
      <c r="BH103" s="63"/>
      <c r="BI103" s="63"/>
      <c r="BJ103" s="63"/>
      <c r="BK103" s="63"/>
      <c r="BL103" s="63"/>
      <c r="BM103" s="63"/>
      <c r="BN103" s="63"/>
      <c r="BO103" s="63"/>
      <c r="BP103" s="63"/>
      <c r="BQ103" s="63"/>
      <c r="BR103" s="63"/>
      <c r="BS103" s="63"/>
      <c r="BT103" s="63"/>
      <c r="BU103" s="63"/>
      <c r="BV103" s="63"/>
      <c r="BW103" s="63"/>
      <c r="BX103" s="63"/>
      <c r="BY103" s="63"/>
      <c r="BZ103" s="63"/>
      <c r="CA103" s="63"/>
      <c r="CB103" s="63"/>
      <c r="CC103" s="63"/>
      <c r="CD103" s="63"/>
      <c r="CE103" s="63"/>
      <c r="CF103" s="63"/>
      <c r="CG103" s="63"/>
      <c r="CH103" s="63"/>
      <c r="CI103" s="63"/>
      <c r="CJ103" s="63"/>
      <c r="CK103" s="63"/>
      <c r="CL103" s="63"/>
      <c r="CM103" s="63"/>
      <c r="CN103" s="63"/>
      <c r="CO103" s="63"/>
      <c r="CP103" s="63"/>
      <c r="CQ103" s="63"/>
      <c r="CR103" s="63"/>
      <c r="CS103" s="63"/>
      <c r="CT103" s="63"/>
      <c r="CU103" s="63"/>
      <c r="CV103" s="63"/>
      <c r="CW103" s="63"/>
      <c r="CX103" s="63"/>
      <c r="CY103" s="63"/>
      <c r="CZ103" s="63"/>
      <c r="DA103" s="63"/>
      <c r="DB103" s="63"/>
    </row>
    <row r="104" ht="15" customHeight="1" spans="1:106" x14ac:dyDescent="0.25">
      <c r="A104" s="16" t="s">
        <v>330</v>
      </c>
      <c r="B104" s="17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0"/>
      <c r="AK104" s="50"/>
      <c r="AL104" s="50"/>
      <c r="AM104" s="50"/>
      <c r="AN104" s="50"/>
      <c r="AO104" s="50"/>
      <c r="AP104" s="50"/>
      <c r="AQ104" s="50"/>
      <c r="AR104" s="50"/>
      <c r="AS104" s="50"/>
      <c r="AT104" s="50"/>
      <c r="AU104" s="50"/>
      <c r="AV104" s="50"/>
      <c r="AW104" s="50"/>
      <c r="AX104" s="50"/>
      <c r="AY104" s="50"/>
      <c r="AZ104" s="50"/>
      <c r="BA104" s="50"/>
      <c r="BB104" s="50"/>
      <c r="BC104" s="50"/>
      <c r="BD104" s="50"/>
      <c r="BE104" s="50"/>
      <c r="BF104" s="50"/>
      <c r="BG104" s="50"/>
      <c r="BH104" s="50"/>
      <c r="BI104" s="50"/>
      <c r="BJ104" s="50"/>
      <c r="BK104" s="50"/>
      <c r="BL104" s="50"/>
      <c r="BM104" s="50"/>
      <c r="BN104" s="50"/>
      <c r="BO104" s="50"/>
      <c r="BP104" s="50"/>
      <c r="BQ104" s="50"/>
      <c r="BR104" s="50"/>
      <c r="BS104" s="50"/>
      <c r="BT104" s="50"/>
      <c r="BU104" s="50"/>
      <c r="BV104" s="50"/>
      <c r="BW104" s="50"/>
      <c r="BX104" s="50"/>
      <c r="BY104" s="50"/>
      <c r="BZ104" s="50"/>
      <c r="CA104" s="50"/>
      <c r="CB104" s="50"/>
      <c r="CC104" s="50"/>
      <c r="CD104" s="50"/>
      <c r="CE104" s="50"/>
      <c r="CF104" s="50"/>
      <c r="CG104" s="50"/>
      <c r="CH104" s="50"/>
      <c r="CI104" s="50"/>
      <c r="CJ104" s="50"/>
      <c r="CK104" s="50"/>
      <c r="CL104" s="50"/>
      <c r="CM104" s="50"/>
      <c r="CN104" s="50"/>
      <c r="CO104" s="50"/>
      <c r="CP104" s="50"/>
      <c r="CQ104" s="50"/>
      <c r="CR104" s="50"/>
      <c r="CS104" s="50"/>
      <c r="CT104" s="50"/>
      <c r="CU104" s="50"/>
      <c r="CV104" s="50"/>
      <c r="CW104" s="50"/>
      <c r="CX104" s="50"/>
      <c r="CY104" s="50"/>
      <c r="CZ104" s="50"/>
      <c r="DA104" s="50"/>
      <c r="DB104" s="50"/>
    </row>
    <row r="105" ht="15" customHeight="1" spans="1:106" x14ac:dyDescent="0.25">
      <c r="A105" s="16" t="s">
        <v>331</v>
      </c>
      <c r="B105" s="17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  <c r="AG105" s="50"/>
      <c r="AH105" s="50"/>
      <c r="AI105" s="50"/>
      <c r="AJ105" s="50"/>
      <c r="AK105" s="50"/>
      <c r="AL105" s="50"/>
      <c r="AM105" s="50"/>
      <c r="AN105" s="50"/>
      <c r="AO105" s="50"/>
      <c r="AP105" s="50"/>
      <c r="AQ105" s="50"/>
      <c r="AR105" s="50"/>
      <c r="AS105" s="50"/>
      <c r="AT105" s="50"/>
      <c r="AU105" s="50"/>
      <c r="AV105" s="50"/>
      <c r="AW105" s="50"/>
      <c r="AX105" s="50"/>
      <c r="AY105" s="50"/>
      <c r="AZ105" s="50"/>
      <c r="BA105" s="50"/>
      <c r="BB105" s="50"/>
      <c r="BC105" s="50"/>
      <c r="BD105" s="50"/>
      <c r="BE105" s="50"/>
      <c r="BF105" s="50"/>
      <c r="BG105" s="50"/>
      <c r="BH105" s="50"/>
      <c r="BI105" s="50"/>
      <c r="BJ105" s="50"/>
      <c r="BK105" s="50"/>
      <c r="BL105" s="50"/>
      <c r="BM105" s="50"/>
      <c r="BN105" s="50"/>
      <c r="BO105" s="50"/>
      <c r="BP105" s="50"/>
      <c r="BQ105" s="50"/>
      <c r="BR105" s="50"/>
      <c r="BS105" s="50"/>
      <c r="BT105" s="50"/>
      <c r="BU105" s="50"/>
      <c r="BV105" s="50"/>
      <c r="BW105" s="50"/>
      <c r="BX105" s="50"/>
      <c r="BY105" s="50"/>
      <c r="BZ105" s="50"/>
      <c r="CA105" s="50"/>
      <c r="CB105" s="50"/>
      <c r="CC105" s="50"/>
      <c r="CD105" s="50"/>
      <c r="CE105" s="50"/>
      <c r="CF105" s="50"/>
      <c r="CG105" s="50"/>
      <c r="CH105" s="50"/>
      <c r="CI105" s="50"/>
      <c r="CJ105" s="50"/>
      <c r="CK105" s="50"/>
      <c r="CL105" s="50"/>
      <c r="CM105" s="50"/>
      <c r="CN105" s="50"/>
      <c r="CO105" s="50"/>
      <c r="CP105" s="50"/>
      <c r="CQ105" s="50"/>
      <c r="CR105" s="50"/>
      <c r="CS105" s="50"/>
      <c r="CT105" s="50"/>
      <c r="CU105" s="50"/>
      <c r="CV105" s="50"/>
      <c r="CW105" s="50"/>
      <c r="CX105" s="50"/>
      <c r="CY105" s="50"/>
      <c r="CZ105" s="50"/>
      <c r="DA105" s="50"/>
      <c r="DB105" s="50"/>
    </row>
    <row r="106" ht="15" customHeight="1" spans="1:106" x14ac:dyDescent="0.25">
      <c r="A106" s="20" t="s">
        <v>332</v>
      </c>
      <c r="B106" s="13"/>
      <c r="C106" s="35">
        <f>=IFERROR(C105/C104,0)</f>
        <v>0</v>
      </c>
      <c r="D106" s="35">
        <f>=IFERROR(D105/D104,0)</f>
        <v>0</v>
      </c>
      <c r="E106" s="35">
        <f>=IFERROR(E105/E104,0)</f>
        <v>0</v>
      </c>
      <c r="F106" s="35">
        <f>=IFERROR(F105/F104,0)</f>
        <v>0</v>
      </c>
      <c r="G106" s="35">
        <f>=IFERROR(G105/G104,0)</f>
        <v>0</v>
      </c>
      <c r="H106" s="35">
        <f>=IFERROR(H105/H104,0)</f>
        <v>0</v>
      </c>
      <c r="I106" s="35">
        <f>=IFERROR(I105/I104,0)</f>
        <v>0</v>
      </c>
      <c r="J106" s="35">
        <f>=IFERROR(J105/J104,0)</f>
        <v>0</v>
      </c>
      <c r="K106" s="35">
        <f>=IFERROR(K105/K104,0)</f>
        <v>0</v>
      </c>
      <c r="L106" s="35">
        <f>=IFERROR(L105/L104,0)</f>
        <v>0</v>
      </c>
      <c r="M106" s="35">
        <f>=IFERROR(M105/M104,0)</f>
        <v>0</v>
      </c>
      <c r="N106" s="35">
        <f>=IFERROR(N105/N104,0)</f>
        <v>0</v>
      </c>
      <c r="O106" s="35">
        <f>=IFERROR(O105/O104,0)</f>
        <v>0</v>
      </c>
      <c r="P106" s="35">
        <f>=IFERROR(P105/P104,0)</f>
        <v>0</v>
      </c>
      <c r="Q106" s="35">
        <f>=IFERROR(Q105/Q104,0)</f>
        <v>0</v>
      </c>
      <c r="R106" s="35">
        <f>=IFERROR(R105/R104,0)</f>
        <v>0</v>
      </c>
      <c r="S106" s="35">
        <f>=IFERROR(S105/S104,0)</f>
        <v>0</v>
      </c>
      <c r="T106" s="35">
        <f>=IFERROR(T105/T104,0)</f>
        <v>0</v>
      </c>
      <c r="U106" s="35">
        <f>=IFERROR(U105/U104,0)</f>
        <v>0</v>
      </c>
      <c r="V106" s="35">
        <f>=IFERROR(V105/V104,0)</f>
        <v>0</v>
      </c>
      <c r="W106" s="35">
        <f>=IFERROR(W105/W104,0)</f>
        <v>0</v>
      </c>
      <c r="X106" s="35">
        <f>=IFERROR(X105/X104,0)</f>
        <v>0</v>
      </c>
      <c r="Y106" s="35">
        <f>=IFERROR(Y105/Y104,0)</f>
        <v>0</v>
      </c>
      <c r="Z106" s="35">
        <f>=IFERROR(Z105/Z104,0)</f>
        <v>0</v>
      </c>
      <c r="AA106" s="35">
        <f>=IFERROR(AA105/AA104,0)</f>
        <v>0</v>
      </c>
      <c r="AB106" s="35">
        <f>=IFERROR(AB105/AB104,0)</f>
        <v>0</v>
      </c>
      <c r="AC106" s="35">
        <f>=IFERROR(AC105/AC104,0)</f>
        <v>0</v>
      </c>
      <c r="AD106" s="35">
        <f>=IFERROR(AD105/AD104,0)</f>
        <v>0</v>
      </c>
      <c r="AE106" s="35">
        <f>=IFERROR(AE105/AE104,0)</f>
        <v>0</v>
      </c>
      <c r="AF106" s="35">
        <f>=IFERROR(AF105/AF104,0)</f>
        <v>0</v>
      </c>
      <c r="AG106" s="35">
        <f>=IFERROR(AG105/AG104,0)</f>
        <v>0</v>
      </c>
      <c r="AH106" s="35">
        <f>=IFERROR(AH105/AH104,0)</f>
        <v>0</v>
      </c>
      <c r="AI106" s="35">
        <f>=IFERROR(AI105/AI104,0)</f>
        <v>0</v>
      </c>
      <c r="AJ106" s="35">
        <f>=IFERROR(AJ105/AJ104,0)</f>
        <v>0</v>
      </c>
      <c r="AK106" s="35">
        <f>=IFERROR(AK105/AK104,0)</f>
        <v>0</v>
      </c>
      <c r="AL106" s="35">
        <f>=IFERROR(AL105/AL104,0)</f>
        <v>0</v>
      </c>
      <c r="AM106" s="35">
        <f>=IFERROR(AM105/AM104,0)</f>
        <v>0</v>
      </c>
      <c r="AN106" s="35">
        <f>=IFERROR(AN105/AN104,0)</f>
        <v>0</v>
      </c>
      <c r="AO106" s="35">
        <f>=IFERROR(AO105/AO104,0)</f>
        <v>0</v>
      </c>
      <c r="AP106" s="35">
        <f>=IFERROR(AP105/AP104,0)</f>
        <v>0</v>
      </c>
      <c r="AQ106" s="35">
        <f>=IFERROR(AQ105/AQ104,0)</f>
        <v>0</v>
      </c>
      <c r="AR106" s="35">
        <f>=IFERROR(AR105/AR104,0)</f>
        <v>0</v>
      </c>
      <c r="AS106" s="35">
        <f>=IFERROR(AS105/AS104,0)</f>
        <v>0</v>
      </c>
      <c r="AT106" s="35">
        <f>=IFERROR(AT105/AT104,0)</f>
        <v>0</v>
      </c>
      <c r="AU106" s="35">
        <f>=IFERROR(AU105/AU104,0)</f>
        <v>0</v>
      </c>
      <c r="AV106" s="35">
        <f>=IFERROR(AV105/AV104,0)</f>
        <v>0</v>
      </c>
      <c r="AW106" s="35">
        <f>=IFERROR(AW105/AW104,0)</f>
        <v>0</v>
      </c>
      <c r="AX106" s="35">
        <f>=IFERROR(AX105/AX104,0)</f>
        <v>0</v>
      </c>
      <c r="AY106" s="35">
        <f>=IFERROR(AY105/AY104,0)</f>
        <v>0</v>
      </c>
      <c r="AZ106" s="35">
        <f>=IFERROR(AZ105/AZ104,0)</f>
        <v>0</v>
      </c>
      <c r="BA106" s="35">
        <f>=IFERROR(BA105/BA104,0)</f>
        <v>0</v>
      </c>
      <c r="BB106" s="35">
        <f>=IFERROR(BB105/BB104,0)</f>
        <v>0</v>
      </c>
      <c r="BC106" s="35">
        <f>=IFERROR(BC105/BC104,0)</f>
        <v>0</v>
      </c>
      <c r="BD106" s="35">
        <f>=IFERROR(BD105/BD104,0)</f>
        <v>0</v>
      </c>
      <c r="BE106" s="35">
        <f>=IFERROR(BE105/BE104,0)</f>
        <v>0</v>
      </c>
      <c r="BF106" s="35">
        <f>=IFERROR(BF105/BF104,0)</f>
        <v>0</v>
      </c>
      <c r="BG106" s="35">
        <f>=IFERROR(BG105/BG104,0)</f>
        <v>0</v>
      </c>
      <c r="BH106" s="35">
        <f>=IFERROR(BH105/BH104,0)</f>
        <v>0</v>
      </c>
      <c r="BI106" s="35">
        <f>=IFERROR(BI105/BI104,0)</f>
        <v>0</v>
      </c>
      <c r="BJ106" s="35">
        <f>=IFERROR(BJ105/BJ104,0)</f>
        <v>0</v>
      </c>
      <c r="BK106" s="35">
        <f>=IFERROR(BK105/BK104,0)</f>
        <v>0</v>
      </c>
      <c r="BL106" s="35">
        <f>=IFERROR(BL105/BL104,0)</f>
        <v>0</v>
      </c>
      <c r="BM106" s="35">
        <f>=IFERROR(BM105/BM104,0)</f>
        <v>0</v>
      </c>
      <c r="BN106" s="35">
        <f>=IFERROR(BN105/BN104,0)</f>
        <v>0</v>
      </c>
      <c r="BO106" s="35">
        <f>=IFERROR(BO105/BO104,0)</f>
        <v>0</v>
      </c>
      <c r="BP106" s="35">
        <f>=IFERROR(BP105/BP104,0)</f>
        <v>0</v>
      </c>
      <c r="BQ106" s="35">
        <f>=IFERROR(BQ105/BQ104,0)</f>
        <v>0</v>
      </c>
      <c r="BR106" s="35">
        <f>=IFERROR(BR105/BR104,0)</f>
        <v>0</v>
      </c>
      <c r="BS106" s="35">
        <f>=IFERROR(BS105/BS104,0)</f>
        <v>0</v>
      </c>
      <c r="BT106" s="35">
        <f>=IFERROR(BT105/BT104,0)</f>
        <v>0</v>
      </c>
      <c r="BU106" s="35">
        <f>=IFERROR(BU105/BU104,0)</f>
        <v>0</v>
      </c>
      <c r="BV106" s="35">
        <f>=IFERROR(BV105/BV104,0)</f>
        <v>0</v>
      </c>
      <c r="BW106" s="35">
        <f>=IFERROR(BW105/BW104,0)</f>
        <v>0</v>
      </c>
      <c r="BX106" s="35">
        <f>=IFERROR(BX105/BX104,0)</f>
        <v>0</v>
      </c>
      <c r="BY106" s="35">
        <f>=IFERROR(BY105/BY104,0)</f>
        <v>0</v>
      </c>
      <c r="BZ106" s="35">
        <f>=IFERROR(BZ105/BZ104,0)</f>
        <v>0</v>
      </c>
      <c r="CA106" s="35">
        <f>=IFERROR(CA105/CA104,0)</f>
        <v>0</v>
      </c>
      <c r="CB106" s="35">
        <f>=IFERROR(CB105/CB104,0)</f>
        <v>0</v>
      </c>
      <c r="CC106" s="35">
        <f>=IFERROR(CC105/CC104,0)</f>
        <v>0</v>
      </c>
      <c r="CD106" s="35">
        <f>=IFERROR(CD105/CD104,0)</f>
        <v>0</v>
      </c>
      <c r="CE106" s="35">
        <f>=IFERROR(CE105/CE104,0)</f>
        <v>0</v>
      </c>
      <c r="CF106" s="35">
        <f>=IFERROR(CF105/CF104,0)</f>
        <v>0</v>
      </c>
      <c r="CG106" s="35">
        <f>=IFERROR(CG105/CG104,0)</f>
        <v>0</v>
      </c>
      <c r="CH106" s="35">
        <f>=IFERROR(CH105/CH104,0)</f>
        <v>0</v>
      </c>
      <c r="CI106" s="35">
        <f>=IFERROR(CI105/CI104,0)</f>
        <v>0</v>
      </c>
      <c r="CJ106" s="35">
        <f>=IFERROR(CJ105/CJ104,0)</f>
        <v>0</v>
      </c>
      <c r="CK106" s="35">
        <f>=IFERROR(CK105/CK104,0)</f>
        <v>0</v>
      </c>
      <c r="CL106" s="35">
        <f>=IFERROR(CL105/CL104,0)</f>
        <v>0</v>
      </c>
      <c r="CM106" s="35">
        <f>=IFERROR(CM105/CM104,0)</f>
        <v>0</v>
      </c>
      <c r="CN106" s="35">
        <f>=IFERROR(CN105/CN104,0)</f>
        <v>0</v>
      </c>
      <c r="CO106" s="35">
        <f>=IFERROR(CO105/CO104,0)</f>
        <v>0</v>
      </c>
      <c r="CP106" s="35">
        <f>=IFERROR(CP105/CP104,0)</f>
        <v>0</v>
      </c>
      <c r="CQ106" s="35">
        <f>=IFERROR(CQ105/CQ104,0)</f>
        <v>0</v>
      </c>
      <c r="CR106" s="35">
        <f>=IFERROR(CR105/CR104,0)</f>
        <v>0</v>
      </c>
      <c r="CS106" s="35">
        <f>=IFERROR(CS105/CS104,0)</f>
        <v>0</v>
      </c>
      <c r="CT106" s="35">
        <f>=IFERROR(CT105/CT104,0)</f>
        <v>0</v>
      </c>
      <c r="CU106" s="35">
        <f>=IFERROR(CU105/CU104,0)</f>
        <v>0</v>
      </c>
      <c r="CV106" s="35">
        <f>=IFERROR(CV105/CV104,0)</f>
        <v>0</v>
      </c>
      <c r="CW106" s="35">
        <f>=IFERROR(CW105/CW104,0)</f>
        <v>0</v>
      </c>
      <c r="CX106" s="35">
        <f>=IFERROR(CX105/CX104,0)</f>
        <v>0</v>
      </c>
      <c r="CY106" s="35">
        <f>=IFERROR(CY105/CY104,0)</f>
        <v>0</v>
      </c>
      <c r="CZ106" s="35">
        <f>=IFERROR(CZ105/CZ104,0)</f>
        <v>0</v>
      </c>
      <c r="DA106" s="35">
        <f>=IFERROR(DA105/DA104,0)</f>
        <v>0</v>
      </c>
      <c r="DB106" s="35">
        <f>=IFERROR(DB105/DB104,0)</f>
        <v>0</v>
      </c>
    </row>
    <row r="107" spans="1:106" x14ac:dyDescent="0.25">
      <c r="A107" s="17" t="s">
        <v>333</v>
      </c>
      <c r="B107" s="65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6"/>
      <c r="AT107" s="66"/>
      <c r="AU107" s="66"/>
      <c r="AV107" s="66"/>
      <c r="AW107" s="66"/>
      <c r="AX107" s="66"/>
      <c r="AY107" s="66"/>
      <c r="AZ107" s="66"/>
      <c r="BA107" s="66"/>
      <c r="BB107" s="66"/>
      <c r="BC107" s="66"/>
      <c r="BD107" s="66"/>
      <c r="BE107" s="66"/>
      <c r="BF107" s="66"/>
      <c r="BG107" s="66"/>
      <c r="BH107" s="66"/>
      <c r="BI107" s="66"/>
      <c r="BJ107" s="66"/>
      <c r="BK107" s="66"/>
      <c r="BL107" s="66"/>
      <c r="BM107" s="66"/>
      <c r="BN107" s="66"/>
      <c r="BO107" s="66"/>
      <c r="BP107" s="66"/>
      <c r="BQ107" s="66"/>
      <c r="BR107" s="66"/>
      <c r="BS107" s="66"/>
      <c r="BT107" s="66"/>
      <c r="BU107" s="66"/>
      <c r="BV107" s="66"/>
      <c r="BW107" s="66"/>
      <c r="BX107" s="66"/>
      <c r="BY107" s="66"/>
      <c r="BZ107" s="66"/>
      <c r="CA107" s="66"/>
      <c r="CB107" s="66"/>
      <c r="CC107" s="66"/>
      <c r="CD107" s="66"/>
      <c r="CE107" s="66"/>
      <c r="CF107" s="66"/>
      <c r="CG107" s="66"/>
      <c r="CH107" s="66"/>
      <c r="CI107" s="66"/>
      <c r="CJ107" s="66"/>
      <c r="CK107" s="66"/>
      <c r="CL107" s="66"/>
      <c r="CM107" s="66"/>
      <c r="CN107" s="66"/>
      <c r="CO107" s="66"/>
      <c r="CP107" s="66"/>
      <c r="CQ107" s="66"/>
      <c r="CR107" s="66"/>
      <c r="CS107" s="66"/>
      <c r="CT107" s="66"/>
      <c r="CU107" s="66"/>
      <c r="CV107" s="66"/>
      <c r="CW107" s="66"/>
      <c r="CX107" s="66"/>
      <c r="CY107" s="66"/>
      <c r="CZ107" s="66"/>
      <c r="DA107" s="66"/>
      <c r="DB107" s="66"/>
    </row>
    <row r="108" spans="1:106" x14ac:dyDescent="0.25">
      <c r="A108" s="17" t="s">
        <v>334</v>
      </c>
      <c r="B108" s="65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6"/>
      <c r="AQ108" s="66"/>
      <c r="AR108" s="66"/>
      <c r="AS108" s="66"/>
      <c r="AT108" s="66"/>
      <c r="AU108" s="66"/>
      <c r="AV108" s="66"/>
      <c r="AW108" s="66"/>
      <c r="AX108" s="66"/>
      <c r="AY108" s="66"/>
      <c r="AZ108" s="66"/>
      <c r="BA108" s="66"/>
      <c r="BB108" s="66"/>
      <c r="BC108" s="66"/>
      <c r="BD108" s="66"/>
      <c r="BE108" s="66"/>
      <c r="BF108" s="66"/>
      <c r="BG108" s="66"/>
      <c r="BH108" s="66"/>
      <c r="BI108" s="66"/>
      <c r="BJ108" s="66"/>
      <c r="BK108" s="66"/>
      <c r="BL108" s="66"/>
      <c r="BM108" s="66"/>
      <c r="BN108" s="66"/>
      <c r="BO108" s="66"/>
      <c r="BP108" s="66"/>
      <c r="BQ108" s="66"/>
      <c r="BR108" s="66"/>
      <c r="BS108" s="66"/>
      <c r="BT108" s="66"/>
      <c r="BU108" s="66"/>
      <c r="BV108" s="66"/>
      <c r="BW108" s="66"/>
      <c r="BX108" s="66"/>
      <c r="BY108" s="66"/>
      <c r="BZ108" s="66"/>
      <c r="CA108" s="66"/>
      <c r="CB108" s="66"/>
      <c r="CC108" s="66"/>
      <c r="CD108" s="66"/>
      <c r="CE108" s="66"/>
      <c r="CF108" s="66"/>
      <c r="CG108" s="66"/>
      <c r="CH108" s="66"/>
      <c r="CI108" s="66"/>
      <c r="CJ108" s="66"/>
      <c r="CK108" s="66"/>
      <c r="CL108" s="66"/>
      <c r="CM108" s="66"/>
      <c r="CN108" s="66"/>
      <c r="CO108" s="66"/>
      <c r="CP108" s="66"/>
      <c r="CQ108" s="66"/>
      <c r="CR108" s="66"/>
      <c r="CS108" s="66"/>
      <c r="CT108" s="66"/>
      <c r="CU108" s="66"/>
      <c r="CV108" s="66"/>
      <c r="CW108" s="66"/>
      <c r="CX108" s="66"/>
      <c r="CY108" s="66"/>
      <c r="CZ108" s="66"/>
      <c r="DA108" s="66"/>
      <c r="DB108" s="66"/>
    </row>
    <row r="109" spans="1:106" x14ac:dyDescent="0.25">
      <c r="A109" s="17" t="s">
        <v>335</v>
      </c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0"/>
      <c r="AY109" s="30"/>
      <c r="AZ109" s="30"/>
      <c r="BA109" s="30"/>
      <c r="BB109" s="30"/>
      <c r="BC109" s="30"/>
      <c r="BD109" s="30"/>
      <c r="BE109" s="30"/>
      <c r="BF109" s="30"/>
      <c r="BG109" s="30"/>
      <c r="BH109" s="30"/>
      <c r="BI109" s="30"/>
      <c r="BJ109" s="30"/>
      <c r="BK109" s="30"/>
      <c r="BL109" s="30"/>
      <c r="BM109" s="30"/>
      <c r="BN109" s="30"/>
      <c r="BO109" s="30"/>
      <c r="BP109" s="30"/>
      <c r="BQ109" s="30"/>
      <c r="BR109" s="30"/>
      <c r="BS109" s="30"/>
      <c r="BT109" s="30"/>
      <c r="BU109" s="30"/>
      <c r="BV109" s="30"/>
      <c r="BW109" s="30"/>
      <c r="BX109" s="30"/>
      <c r="BY109" s="30"/>
      <c r="BZ109" s="30"/>
      <c r="CA109" s="30"/>
      <c r="CB109" s="30"/>
      <c r="CC109" s="30"/>
      <c r="CD109" s="30"/>
      <c r="CE109" s="30"/>
      <c r="CF109" s="30"/>
      <c r="CG109" s="30"/>
      <c r="CH109" s="30"/>
      <c r="CI109" s="30"/>
      <c r="CJ109" s="30"/>
      <c r="CK109" s="30"/>
      <c r="CL109" s="30"/>
      <c r="CM109" s="30"/>
      <c r="CN109" s="30"/>
      <c r="CO109" s="30"/>
      <c r="CP109" s="30"/>
      <c r="CQ109" s="30"/>
      <c r="CR109" s="30"/>
      <c r="CS109" s="30"/>
      <c r="CT109" s="30"/>
      <c r="CU109" s="30"/>
      <c r="CV109" s="30"/>
      <c r="CW109" s="30"/>
      <c r="CX109" s="30"/>
      <c r="CY109" s="30"/>
      <c r="CZ109" s="30"/>
      <c r="DA109" s="30"/>
      <c r="DB109" s="30"/>
    </row>
    <row r="110" spans="1:106" x14ac:dyDescent="0.25">
      <c r="A110" s="17" t="s">
        <v>266</v>
      </c>
      <c r="C110" s="28">
        <f>=C108+C107</f>
        <v>0</v>
      </c>
      <c r="D110" s="28">
        <f>=D108+D107</f>
        <v>0</v>
      </c>
      <c r="E110" s="28">
        <f>=E108+E107</f>
        <v>0</v>
      </c>
      <c r="F110" s="28">
        <f>=F108+F107</f>
        <v>0</v>
      </c>
      <c r="G110" s="28">
        <f>=G108+G107</f>
        <v>0</v>
      </c>
      <c r="H110" s="28">
        <f>=H108+H107</f>
        <v>0</v>
      </c>
      <c r="I110" s="28">
        <f>=I108+I107</f>
        <v>0</v>
      </c>
      <c r="J110" s="28">
        <f>=J108+J107</f>
        <v>0</v>
      </c>
      <c r="K110" s="28">
        <f>=K108+K107</f>
        <v>0</v>
      </c>
      <c r="L110" s="28">
        <f>=L108+L107</f>
        <v>0</v>
      </c>
      <c r="M110" s="28">
        <f>=M108+M107</f>
        <v>0</v>
      </c>
      <c r="N110" s="28">
        <f>=N108+N107</f>
        <v>0</v>
      </c>
      <c r="O110" s="28">
        <f>=O108+O107</f>
        <v>0</v>
      </c>
      <c r="P110" s="28">
        <f>=P108+P107</f>
        <v>0</v>
      </c>
      <c r="Q110" s="28">
        <f>=Q108+Q107</f>
        <v>0</v>
      </c>
      <c r="R110" s="28">
        <f>=R108+R107</f>
        <v>0</v>
      </c>
      <c r="S110" s="28">
        <f>=S108+S107</f>
        <v>0</v>
      </c>
      <c r="T110" s="28">
        <f>=T108+T107</f>
        <v>0</v>
      </c>
      <c r="U110" s="28">
        <f>=U108+U107</f>
        <v>0</v>
      </c>
      <c r="V110" s="28">
        <f>=V108+V107</f>
        <v>0</v>
      </c>
      <c r="W110" s="28">
        <f>=W108+W107</f>
        <v>0</v>
      </c>
      <c r="X110" s="28">
        <f>=X108+X107</f>
        <v>0</v>
      </c>
      <c r="Y110" s="28">
        <f>=Y108+Y107</f>
        <v>0</v>
      </c>
      <c r="Z110" s="28">
        <f>=Z108+Z107</f>
        <v>0</v>
      </c>
      <c r="AA110" s="28">
        <f>=AA108+AA107</f>
        <v>0</v>
      </c>
      <c r="AB110" s="28">
        <f>=AB108+AB107</f>
        <v>0</v>
      </c>
      <c r="AC110" s="28">
        <f>=AC108+AC107</f>
        <v>0</v>
      </c>
      <c r="AD110" s="28">
        <f>=AD108+AD107</f>
        <v>0</v>
      </c>
      <c r="AE110" s="28">
        <f>=AE108+AE107</f>
        <v>0</v>
      </c>
      <c r="AF110" s="28">
        <f>=AF108+AF107</f>
        <v>0</v>
      </c>
      <c r="AG110" s="17">
        <v>0</v>
      </c>
      <c r="AH110" s="17">
        <v>0</v>
      </c>
      <c r="AI110" s="17">
        <v>0</v>
      </c>
      <c r="AJ110" s="17">
        <v>0</v>
      </c>
      <c r="AK110" s="17">
        <v>0</v>
      </c>
      <c r="AL110" s="17">
        <v>0</v>
      </c>
      <c r="AM110" s="17">
        <v>0</v>
      </c>
      <c r="AN110" s="17">
        <v>0</v>
      </c>
      <c r="AO110" s="17">
        <v>0</v>
      </c>
      <c r="AP110" s="17">
        <v>0</v>
      </c>
      <c r="AQ110" s="17">
        <v>0</v>
      </c>
      <c r="AR110" s="17">
        <v>0</v>
      </c>
      <c r="AS110" s="17">
        <v>0</v>
      </c>
      <c r="AT110" s="17">
        <v>0</v>
      </c>
      <c r="AU110" s="17">
        <v>0</v>
      </c>
      <c r="AV110" s="17">
        <v>0</v>
      </c>
      <c r="AW110" s="17">
        <v>0</v>
      </c>
      <c r="AX110" s="17">
        <v>0</v>
      </c>
      <c r="AY110" s="17">
        <v>0</v>
      </c>
      <c r="AZ110" s="17">
        <v>0</v>
      </c>
      <c r="BA110" s="17">
        <v>0</v>
      </c>
      <c r="BB110" s="17">
        <v>0</v>
      </c>
      <c r="BC110" s="17">
        <v>0</v>
      </c>
      <c r="BD110" s="17">
        <v>0</v>
      </c>
      <c r="BE110" s="17">
        <v>0</v>
      </c>
      <c r="BF110" s="17">
        <v>0</v>
      </c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30"/>
      <c r="CD110" s="30"/>
      <c r="CE110" s="30"/>
      <c r="CF110" s="30"/>
      <c r="CG110" s="30"/>
      <c r="CH110" s="30"/>
      <c r="CI110" s="30"/>
      <c r="CJ110" s="30"/>
      <c r="CK110" s="30"/>
      <c r="CL110" s="30"/>
      <c r="CM110" s="30"/>
      <c r="CN110" s="30"/>
      <c r="CO110" s="30"/>
      <c r="CP110" s="30"/>
      <c r="CQ110" s="30"/>
      <c r="CR110" s="30"/>
      <c r="CS110" s="30"/>
      <c r="CT110" s="30"/>
      <c r="CU110" s="30"/>
      <c r="CV110" s="30"/>
      <c r="CW110" s="30"/>
      <c r="CX110" s="30"/>
      <c r="CY110" s="30"/>
      <c r="CZ110" s="30"/>
      <c r="DA110" s="30"/>
      <c r="DB110" s="30"/>
    </row>
    <row r="111" spans="1:106" x14ac:dyDescent="0.25">
      <c r="A111" s="17" t="s">
        <v>266</v>
      </c>
      <c r="C111" s="30"/>
      <c r="D111" s="28">
        <f>=C110*(1-D$43)</f>
        <v>0</v>
      </c>
      <c r="E111" s="28">
        <f>=D110*(1-E$43)</f>
        <v>0</v>
      </c>
      <c r="F111" s="28">
        <f>=E110*(1-F$43)</f>
        <v>0</v>
      </c>
      <c r="G111" s="28">
        <f>=F110*(1-G$43)</f>
        <v>0</v>
      </c>
      <c r="H111" s="28">
        <f>=G110*(1-H$43)</f>
        <v>0</v>
      </c>
      <c r="I111" s="28">
        <f>=H110*(1-I$43)</f>
        <v>0</v>
      </c>
      <c r="J111" s="28">
        <f>=I110*(1-J$43)</f>
        <v>0</v>
      </c>
      <c r="K111" s="28">
        <f>=J110*(1-K$43)</f>
        <v>0</v>
      </c>
      <c r="L111" s="28">
        <f>=K110*(1-L$43)</f>
        <v>0</v>
      </c>
      <c r="M111" s="28">
        <f>=L110*(1-M$43)</f>
        <v>0</v>
      </c>
      <c r="N111" s="28">
        <f>=M110*(1-N$43)</f>
        <v>0</v>
      </c>
      <c r="O111" s="28">
        <f>=N110*(1-O$43)</f>
        <v>0</v>
      </c>
      <c r="P111" s="28">
        <f>=O110*(1-P$43)</f>
        <v>0</v>
      </c>
      <c r="Q111" s="28">
        <f>=P110*(1-Q$43)</f>
        <v>0</v>
      </c>
      <c r="R111" s="28">
        <f>=Q110*(1-R$43)</f>
        <v>0</v>
      </c>
      <c r="S111" s="28">
        <f>=R110*(1-S$43)</f>
        <v>0</v>
      </c>
      <c r="T111" s="28">
        <f>=S110*(1-T$43)</f>
        <v>0</v>
      </c>
      <c r="U111" s="28">
        <f>=T110*(1-U$43)</f>
        <v>0</v>
      </c>
      <c r="V111" s="28">
        <f>=U110*(1-V$43)</f>
        <v>0</v>
      </c>
      <c r="W111" s="28">
        <f>=V110*(1-W$43)</f>
        <v>0</v>
      </c>
      <c r="X111" s="28">
        <f>=W110*(1-X$43)</f>
        <v>0</v>
      </c>
      <c r="Y111" s="28">
        <f>=X110*(1-Y$43)</f>
        <v>0</v>
      </c>
      <c r="Z111" s="28">
        <f>=Y110*(1-Z$43)</f>
        <v>0</v>
      </c>
      <c r="AA111" s="28">
        <f>=Z110*(1-AA$43)</f>
        <v>0</v>
      </c>
      <c r="AB111" s="28">
        <f>=AA110*(1-AB$43)</f>
        <v>0</v>
      </c>
      <c r="AC111" s="28">
        <f>=AB110*(1-AC$43)</f>
        <v>0</v>
      </c>
      <c r="AD111" s="28">
        <f>=AC110*(1-AD$43)</f>
        <v>0</v>
      </c>
      <c r="AE111" s="28">
        <f>=AD110*(1-AE$43)</f>
        <v>0</v>
      </c>
      <c r="AF111" s="28">
        <f>=AE110*(1-AF$43)</f>
        <v>0</v>
      </c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</row>
    <row r="112" ht="18" customHeight="1" spans="1:106" x14ac:dyDescent="0.25">
      <c r="A112" s="17" t="s">
        <v>336</v>
      </c>
      <c r="C112" s="17">
        <v>0</v>
      </c>
      <c r="D112" s="17">
        <v>14</v>
      </c>
      <c r="E112" s="17">
        <v>0</v>
      </c>
      <c r="F112" s="17">
        <v>0</v>
      </c>
      <c r="G112" s="17">
        <v>0</v>
      </c>
      <c r="H112" s="17">
        <v>0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7">
        <v>0</v>
      </c>
      <c r="T112" s="17">
        <v>0</v>
      </c>
      <c r="U112" s="17">
        <v>16</v>
      </c>
      <c r="V112" s="17">
        <v>0</v>
      </c>
      <c r="W112" s="17">
        <v>0</v>
      </c>
      <c r="X112" s="17">
        <v>0</v>
      </c>
      <c r="Y112" s="17">
        <v>0</v>
      </c>
      <c r="Z112" s="17">
        <v>0</v>
      </c>
      <c r="AA112" s="17">
        <v>14</v>
      </c>
      <c r="AB112" s="17">
        <v>0</v>
      </c>
      <c r="AC112" s="17">
        <v>0</v>
      </c>
      <c r="AD112" s="17">
        <v>0</v>
      </c>
      <c r="AE112" s="17">
        <v>14</v>
      </c>
      <c r="AF112" s="17">
        <v>0</v>
      </c>
      <c r="AG112" s="17">
        <v>14</v>
      </c>
      <c r="AH112" s="17">
        <v>0</v>
      </c>
      <c r="AI112" s="17">
        <v>14</v>
      </c>
      <c r="AJ112" s="17">
        <v>0</v>
      </c>
      <c r="AK112" s="17">
        <v>12</v>
      </c>
      <c r="AL112" s="17">
        <v>16</v>
      </c>
      <c r="AM112" s="17">
        <v>0</v>
      </c>
      <c r="AN112" s="17">
        <v>30</v>
      </c>
      <c r="AO112" s="17">
        <v>16</v>
      </c>
      <c r="AP112" s="17">
        <v>0</v>
      </c>
      <c r="AQ112" s="17">
        <v>0</v>
      </c>
      <c r="AR112" s="17">
        <v>15</v>
      </c>
      <c r="AS112" s="17">
        <v>16</v>
      </c>
      <c r="AT112" s="17">
        <v>27</v>
      </c>
      <c r="AU112" s="17">
        <v>11</v>
      </c>
      <c r="AV112" s="17">
        <v>0</v>
      </c>
      <c r="AW112" s="17">
        <v>0</v>
      </c>
      <c r="AX112" s="17">
        <v>0</v>
      </c>
      <c r="AY112" s="17">
        <v>0</v>
      </c>
      <c r="AZ112" s="17">
        <v>14</v>
      </c>
      <c r="BA112" s="17">
        <v>0</v>
      </c>
      <c r="BB112" s="17">
        <v>0</v>
      </c>
      <c r="BC112" s="17">
        <v>0</v>
      </c>
      <c r="BD112" s="17">
        <v>0</v>
      </c>
      <c r="BE112" s="17">
        <v>0</v>
      </c>
      <c r="BF112" s="17">
        <v>0</v>
      </c>
      <c r="BG112" s="17">
        <f>=SUM(BG107:BG108)</f>
        <v>0</v>
      </c>
      <c r="BH112" s="17">
        <f>=SUM(BH107:BH108)</f>
        <v>0</v>
      </c>
      <c r="BI112" s="17">
        <f>=SUM(BI107:BI108)</f>
        <v>0</v>
      </c>
      <c r="BJ112" s="17">
        <f>=SUM(BJ107:BJ108)</f>
        <v>0</v>
      </c>
      <c r="BK112" s="17">
        <v>0</v>
      </c>
      <c r="BL112" s="17">
        <f>=SUM(BL107:BL108)</f>
        <v>0</v>
      </c>
      <c r="BM112" s="17">
        <f>=SUM(BM107:BM108)</f>
        <v>0</v>
      </c>
      <c r="BN112" s="17">
        <f>=SUM(BN107:BN108)</f>
        <v>0</v>
      </c>
      <c r="BO112" s="17">
        <f>=SUM(BO107:BO108)</f>
        <v>0</v>
      </c>
      <c r="BP112" s="17">
        <f>=SUM(BP107:BP108)</f>
        <v>0</v>
      </c>
      <c r="BQ112" s="17">
        <f>=SUM(BQ107:BQ108)</f>
        <v>0</v>
      </c>
      <c r="BR112" s="17">
        <f>=SUM(BR107:BR108)</f>
        <v>0</v>
      </c>
      <c r="BS112" s="17">
        <f>=SUM(BS107:BS108)</f>
        <v>0</v>
      </c>
      <c r="BT112" s="17">
        <f>=SUM(BT107:BT108)</f>
        <v>0</v>
      </c>
      <c r="BU112" s="17">
        <f>=SUM(BU107:BU108)</f>
        <v>0</v>
      </c>
      <c r="BV112" s="17">
        <f>=SUM(BV107:BV108)</f>
        <v>0</v>
      </c>
      <c r="BW112" s="17">
        <f>=SUM(BW107:BW108)</f>
        <v>0</v>
      </c>
      <c r="BX112" s="67">
        <f>=SUM(BX107:BX108)</f>
        <v>0</v>
      </c>
      <c r="BY112" s="67">
        <f>=SUM(BY107:BY108)</f>
        <v>0</v>
      </c>
      <c r="BZ112" s="67">
        <f>=SUM(BZ107:BZ108)</f>
        <v>0</v>
      </c>
      <c r="CA112" s="67">
        <f>=SUM(CA107:CA108)</f>
        <v>0</v>
      </c>
      <c r="CB112" s="67">
        <f>=SUM(CB107:CB108)</f>
        <v>0</v>
      </c>
      <c r="CC112" s="67">
        <f>=SUM(CC107:CC108)</f>
        <v>0</v>
      </c>
      <c r="CD112" s="67">
        <f>=SUM(CD107:CD108)</f>
        <v>0</v>
      </c>
      <c r="CE112" s="67">
        <f>=SUM(CE107:CE108)</f>
        <v>0</v>
      </c>
      <c r="CF112" s="67">
        <f>=SUM(CF107:CF108)</f>
        <v>0</v>
      </c>
      <c r="CG112" s="67">
        <f>=SUM(CG107:CG108)</f>
        <v>0</v>
      </c>
      <c r="CH112" s="67">
        <f>=SUM(CH107:CH108)</f>
        <v>0</v>
      </c>
      <c r="CI112" s="67">
        <f>=SUM(CI107:CI108)</f>
        <v>0</v>
      </c>
      <c r="CJ112" s="67">
        <f>=SUM(CJ107:CJ108)</f>
        <v>0</v>
      </c>
      <c r="CK112" s="67">
        <f>=SUM(CK107:CK108)</f>
        <v>0</v>
      </c>
      <c r="CL112" s="67">
        <f>=SUM(CL107:CL108)</f>
        <v>0</v>
      </c>
      <c r="CM112" s="67">
        <f>=SUM(CM107:CM108)</f>
        <v>0</v>
      </c>
      <c r="CN112" s="67">
        <f>=SUM(CN107:CN108)</f>
        <v>0</v>
      </c>
      <c r="CO112" s="67">
        <f>=SUM(CO107:CO108)</f>
        <v>0</v>
      </c>
      <c r="CP112" s="67">
        <f>=SUM(CP107:CP108)</f>
        <v>0</v>
      </c>
      <c r="CQ112" s="67">
        <f>=SUM(CQ107:CQ108)</f>
        <v>0</v>
      </c>
      <c r="CR112" s="67">
        <f>=SUM(CR107:CR108)</f>
        <v>0</v>
      </c>
      <c r="CS112" s="67">
        <f>=SUM(CS107:CS108)</f>
        <v>0</v>
      </c>
      <c r="CT112" s="67">
        <f>=SUM(CT107:CT108)</f>
        <v>0</v>
      </c>
      <c r="CU112" s="67">
        <f>=SUM(CU107:CU108)</f>
        <v>0</v>
      </c>
      <c r="CV112" s="67">
        <f>=SUM(CV107:CV108)</f>
        <v>0</v>
      </c>
      <c r="CW112" s="67">
        <f>=SUM(CW107:CW108)</f>
        <v>0</v>
      </c>
      <c r="CX112" s="67">
        <f>=SUM(CX107:CX108)</f>
        <v>0</v>
      </c>
      <c r="CY112" s="67">
        <f>=SUM(CY107:CY108)</f>
        <v>0</v>
      </c>
      <c r="CZ112" s="67">
        <f>=SUM(CZ107:CZ108)</f>
        <v>0</v>
      </c>
      <c r="DA112" s="67">
        <f>=SUM(DA107:DA108)</f>
        <v>0</v>
      </c>
      <c r="DB112" s="67">
        <f>=SUM(DB107:DB108)</f>
        <v>0</v>
      </c>
    </row>
    <row r="113" ht="18" customHeight="1" spans="1:106" x14ac:dyDescent="0.25">
      <c r="A113" s="17" t="s">
        <v>337</v>
      </c>
      <c r="C113" s="17">
        <v>0</v>
      </c>
      <c r="D113" s="17">
        <v>0</v>
      </c>
      <c r="E113" s="17">
        <v>14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15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14</v>
      </c>
      <c r="AC113" s="17">
        <v>0</v>
      </c>
      <c r="AD113" s="17">
        <v>0</v>
      </c>
      <c r="AE113" s="17">
        <v>0</v>
      </c>
      <c r="AF113" s="17">
        <v>13</v>
      </c>
      <c r="AG113" s="17">
        <v>0</v>
      </c>
      <c r="AH113" s="17">
        <v>12</v>
      </c>
      <c r="AI113" s="17">
        <v>0</v>
      </c>
      <c r="AJ113" s="17">
        <v>11</v>
      </c>
      <c r="AK113" s="17">
        <v>0</v>
      </c>
      <c r="AL113" s="17">
        <v>7</v>
      </c>
      <c r="AM113" s="17">
        <v>13</v>
      </c>
      <c r="AN113" s="17">
        <v>0</v>
      </c>
      <c r="AO113" s="17">
        <v>30</v>
      </c>
      <c r="AP113" s="17">
        <v>17</v>
      </c>
      <c r="AQ113" s="17">
        <v>0</v>
      </c>
      <c r="AR113" s="17">
        <v>0</v>
      </c>
      <c r="AS113" s="17">
        <v>15</v>
      </c>
      <c r="AT113" s="17">
        <v>16</v>
      </c>
      <c r="AU113" s="17">
        <v>28</v>
      </c>
      <c r="AV113" s="17">
        <v>12</v>
      </c>
      <c r="AW113" s="17">
        <v>0</v>
      </c>
      <c r="AX113" s="17">
        <v>0</v>
      </c>
      <c r="AY113" s="17">
        <v>0</v>
      </c>
      <c r="AZ113" s="17">
        <v>0</v>
      </c>
      <c r="BA113" s="17">
        <v>15</v>
      </c>
      <c r="BB113" s="17">
        <v>0</v>
      </c>
      <c r="BC113" s="17">
        <v>0</v>
      </c>
      <c r="BD113" s="17">
        <v>0</v>
      </c>
      <c r="BE113" s="17">
        <v>0</v>
      </c>
      <c r="BF113" s="17">
        <v>0</v>
      </c>
      <c r="BG113" s="17"/>
      <c r="BH113" s="17">
        <f>=BG112*(1-BH$43)</f>
        <v>0</v>
      </c>
      <c r="BI113" s="17">
        <f>=BH112*(1-BI$43)</f>
        <v>0</v>
      </c>
      <c r="BJ113" s="17">
        <f>=BI112*(1-BJ$43)</f>
        <v>0</v>
      </c>
      <c r="BK113" s="17">
        <f>=BJ112*(1-BK$43)</f>
        <v>0</v>
      </c>
      <c r="BL113" s="17">
        <f>=BK112*(1-BL$43)</f>
        <v>0</v>
      </c>
      <c r="BM113" s="17">
        <f>=BL112*(1-BM$43)</f>
        <v>0</v>
      </c>
      <c r="BN113" s="17">
        <f>=BM112*(1-BN$43)</f>
        <v>0</v>
      </c>
      <c r="BO113" s="17">
        <f>=BN112*(1-BO$43)</f>
        <v>0</v>
      </c>
      <c r="BP113" s="17">
        <f>=BO112*(1-BP$43)</f>
        <v>0</v>
      </c>
      <c r="BQ113" s="17">
        <f>=BP112*(1-BQ$43)</f>
        <v>0</v>
      </c>
      <c r="BR113" s="17">
        <f>=BQ112*(1-BR$43)</f>
        <v>0</v>
      </c>
      <c r="BS113" s="17">
        <f>=BR112*(1-BS$43)</f>
        <v>0</v>
      </c>
      <c r="BT113" s="17">
        <f>=BS112*(1-BT$43)</f>
        <v>0</v>
      </c>
      <c r="BU113" s="17">
        <f>=BT112*(1-BU$43)</f>
        <v>0</v>
      </c>
      <c r="BV113" s="17">
        <f>=BU112*(1-BV$43)</f>
        <v>0</v>
      </c>
      <c r="BW113" s="17">
        <f>=BV112*(1-BW$43)</f>
        <v>0</v>
      </c>
      <c r="BX113" s="67">
        <f>=BW112*(1-BX$43)</f>
        <v>0</v>
      </c>
      <c r="BY113" s="67">
        <f>=BX112*(1-BY$43)</f>
        <v>0</v>
      </c>
      <c r="BZ113" s="67">
        <f>=BY112*(1-BZ$43)</f>
        <v>0</v>
      </c>
      <c r="CA113" s="67">
        <f>=BZ112*(1-CA$43)</f>
        <v>0</v>
      </c>
      <c r="CB113" s="67">
        <f>=CA112*(1-CB$43)</f>
        <v>0</v>
      </c>
      <c r="CC113" s="67">
        <f>=CB112*(1-CC$43)</f>
        <v>0</v>
      </c>
      <c r="CD113" s="67">
        <f>=CC112*(1-CD$43)</f>
        <v>0</v>
      </c>
      <c r="CE113" s="67">
        <f>=CD112*(1-CE$43)</f>
        <v>0</v>
      </c>
      <c r="CF113" s="67">
        <f>=CE112*(1-CF$43)</f>
        <v>0</v>
      </c>
      <c r="CG113" s="67">
        <f>=CF112*(1-CG$43)</f>
        <v>0</v>
      </c>
      <c r="CH113" s="67">
        <f>=CG112*(1-CH$43)</f>
        <v>0</v>
      </c>
      <c r="CI113" s="67">
        <f>=CH112*(1-CI$43)</f>
        <v>0</v>
      </c>
      <c r="CJ113" s="67">
        <f>=CI112*(1-CJ$43)</f>
        <v>0</v>
      </c>
      <c r="CK113" s="67">
        <f>=CJ112*(1-CK$43)</f>
        <v>0</v>
      </c>
      <c r="CL113" s="67">
        <f>=CK112*(1-CL$43)</f>
        <v>0</v>
      </c>
      <c r="CM113" s="67">
        <f>=CL112*(1-CM$43)</f>
        <v>0</v>
      </c>
      <c r="CN113" s="67">
        <f>=CM112*(1-CN$43)</f>
        <v>0</v>
      </c>
      <c r="CO113" s="67">
        <f>=CN112*(1-CO$43)</f>
        <v>0</v>
      </c>
      <c r="CP113" s="67">
        <f>=CO112*(1-CP$43)</f>
        <v>0</v>
      </c>
      <c r="CQ113" s="67">
        <f>=CP112*(1-CQ$43)</f>
        <v>0</v>
      </c>
      <c r="CR113" s="67">
        <f>=CQ112*(1-CR$43)</f>
        <v>0</v>
      </c>
      <c r="CS113" s="67">
        <f>=CR112*(1-CS$43)</f>
        <v>0</v>
      </c>
      <c r="CT113" s="67">
        <f>=CS112*(1-CT$43)</f>
        <v>0</v>
      </c>
      <c r="CU113" s="67">
        <f>=CT112*(1-CU$43)</f>
        <v>0</v>
      </c>
      <c r="CV113" s="67">
        <f>=CU112*(1-CV$43)</f>
        <v>0</v>
      </c>
      <c r="CW113" s="67">
        <f>=CV112*(1-CW$43)</f>
        <v>0</v>
      </c>
      <c r="CX113" s="67">
        <f>=CW112*(1-CX$43)</f>
        <v>0</v>
      </c>
      <c r="CY113" s="67">
        <f>=CX112*(1-CY$43)</f>
        <v>0</v>
      </c>
      <c r="CZ113" s="67">
        <f>=CY112*(1-CZ$43)</f>
        <v>0</v>
      </c>
      <c r="DA113" s="67">
        <f>=CZ112*(1-DA$43)</f>
        <v>0</v>
      </c>
      <c r="DB113" s="67">
        <f>=DA112*(1-DB$43)</f>
        <v>0</v>
      </c>
    </row>
    <row r="114" ht="18" customHeight="1" spans="1:106" x14ac:dyDescent="0.25">
      <c r="A114" s="17" t="s">
        <v>338</v>
      </c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67">
        <f>=BW113*(1-BX$43)</f>
        <v>0</v>
      </c>
      <c r="BY114" s="67">
        <f>=BX113*(1-BY$43)</f>
        <v>0</v>
      </c>
      <c r="BZ114" s="67">
        <f>=BY113*(1-BZ$43)</f>
        <v>0</v>
      </c>
      <c r="CA114" s="67">
        <f>=BZ113*(1-CA$43)</f>
        <v>0</v>
      </c>
      <c r="CB114" s="67">
        <f>=CA113*(1-CB$43)</f>
        <v>0</v>
      </c>
      <c r="CC114" s="67">
        <f>=CB113*(1-CC$43)</f>
        <v>0</v>
      </c>
      <c r="CD114" s="67">
        <f>=CC113*(1-CD$43)</f>
        <v>0</v>
      </c>
      <c r="CE114" s="67">
        <f>=CD113*(1-CE$43)</f>
        <v>0</v>
      </c>
      <c r="CF114" s="67">
        <f>=CE113*(1-CF$43)</f>
        <v>0</v>
      </c>
      <c r="CG114" s="67">
        <f>=CF113*(1-CG$43)</f>
        <v>0</v>
      </c>
      <c r="CH114" s="67">
        <f>=CG113*(1-CH$43)</f>
        <v>0</v>
      </c>
      <c r="CI114" s="67">
        <f>=CH113*(1-CI$43)</f>
        <v>0</v>
      </c>
      <c r="CJ114" s="67">
        <f>=CI113*(1-CJ$43)</f>
        <v>0</v>
      </c>
      <c r="CK114" s="67">
        <f>=CJ113*(1-CK$43)</f>
        <v>0</v>
      </c>
      <c r="CL114" s="67">
        <f>=CK113*(1-CL$43)</f>
        <v>0</v>
      </c>
      <c r="CM114" s="67">
        <f>=CL113*(1-CM$43)</f>
        <v>0</v>
      </c>
      <c r="CN114" s="67">
        <f>=CM113*(1-CN$43)</f>
        <v>0</v>
      </c>
      <c r="CO114" s="67">
        <f>=CN113*(1-CO$43)</f>
        <v>0</v>
      </c>
      <c r="CP114" s="67">
        <f>=CO113*(1-CP$43)</f>
        <v>0</v>
      </c>
      <c r="CQ114" s="67">
        <f>=CP113*(1-CQ$43)</f>
        <v>0</v>
      </c>
      <c r="CR114" s="67">
        <f>=CQ113*(1-CR$43)</f>
        <v>0</v>
      </c>
      <c r="CS114" s="67">
        <f>=CR113*(1-CS$43)</f>
        <v>0</v>
      </c>
      <c r="CT114" s="67">
        <f>=CS113*(1-CT$43)</f>
        <v>0</v>
      </c>
      <c r="CU114" s="67">
        <f>=CT113*(1-CU$43)</f>
        <v>0</v>
      </c>
      <c r="CV114" s="67">
        <f>=CU113*(1-CV$43)</f>
        <v>0</v>
      </c>
      <c r="CW114" s="67">
        <f>=CV113*(1-CW$43)</f>
        <v>0</v>
      </c>
      <c r="CX114" s="67">
        <f>=CW113*(1-CX$43)</f>
        <v>0</v>
      </c>
      <c r="CY114" s="67">
        <f>=CX113*(1-CY$43)</f>
        <v>0</v>
      </c>
      <c r="CZ114" s="67">
        <f>=CY113*(1-CZ$43)</f>
        <v>0</v>
      </c>
      <c r="DA114" s="67">
        <f>=CZ113*(1-DA$43)</f>
        <v>0</v>
      </c>
      <c r="DB114" s="67">
        <f>=DA113*(1-DB$43)</f>
        <v>0</v>
      </c>
    </row>
    <row r="115" spans="1:106" x14ac:dyDescent="0.25">
      <c r="A115" s="17" t="s">
        <v>339</v>
      </c>
      <c r="C115" s="17">
        <v>0</v>
      </c>
      <c r="D115" s="17">
        <v>0</v>
      </c>
      <c r="E115" s="17">
        <v>0</v>
      </c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</row>
    <row r="116" spans="1:106" x14ac:dyDescent="0.25">
      <c r="A116" s="17" t="s">
        <v>266</v>
      </c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</row>
    <row r="117" ht="18" customHeight="1" spans="1:106" x14ac:dyDescent="0.25">
      <c r="A117" s="17" t="s">
        <v>340</v>
      </c>
      <c r="C117" s="17">
        <v>0</v>
      </c>
      <c r="D117" s="17">
        <v>0</v>
      </c>
      <c r="E117" s="17">
        <v>0</v>
      </c>
      <c r="F117" s="17">
        <v>12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12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14</v>
      </c>
      <c r="AD117" s="17">
        <v>0</v>
      </c>
      <c r="AE117" s="17">
        <v>0</v>
      </c>
      <c r="AF117" s="17">
        <v>0</v>
      </c>
      <c r="AG117" s="17">
        <v>13</v>
      </c>
      <c r="AH117" s="17">
        <v>0</v>
      </c>
      <c r="AI117" s="95">
        <v>11.52</v>
      </c>
      <c r="AJ117" s="17">
        <v>0</v>
      </c>
      <c r="AK117" s="17">
        <v>12</v>
      </c>
      <c r="AL117" s="17">
        <v>0</v>
      </c>
      <c r="AM117" s="17">
        <v>6</v>
      </c>
      <c r="AN117" s="17">
        <v>12</v>
      </c>
      <c r="AO117" s="17">
        <v>0</v>
      </c>
      <c r="AP117" s="17">
        <v>25</v>
      </c>
      <c r="AQ117" s="17">
        <v>15</v>
      </c>
      <c r="AR117" s="17">
        <v>0</v>
      </c>
      <c r="AS117" s="17">
        <v>0</v>
      </c>
      <c r="AT117" s="17">
        <v>15</v>
      </c>
      <c r="AU117" s="17">
        <v>15</v>
      </c>
      <c r="AV117" s="17">
        <v>27</v>
      </c>
      <c r="AW117" s="17">
        <v>11</v>
      </c>
      <c r="AX117" s="17">
        <v>0</v>
      </c>
      <c r="AY117" s="17">
        <v>0</v>
      </c>
      <c r="AZ117" s="17">
        <v>0</v>
      </c>
      <c r="BA117" s="17">
        <v>0</v>
      </c>
      <c r="BB117" s="17">
        <v>15</v>
      </c>
      <c r="BC117" s="17">
        <v>0</v>
      </c>
      <c r="BD117" s="17">
        <v>0</v>
      </c>
      <c r="BE117" s="17">
        <v>0</v>
      </c>
      <c r="BF117" s="17">
        <v>0</v>
      </c>
      <c r="BG117" s="17"/>
      <c r="BH117" s="17">
        <f>=BG114*(1-BH$43)</f>
        <v>0</v>
      </c>
      <c r="BI117" s="17">
        <f>=BH114*(1-BI$43)</f>
        <v>0</v>
      </c>
      <c r="BJ117" s="17">
        <f>=BI114*(1-BJ$43)</f>
        <v>0</v>
      </c>
      <c r="BK117" s="17">
        <f>=BJ113*(1-BK$43)</f>
        <v>0</v>
      </c>
      <c r="BL117" s="17">
        <f>=BK113*(1-BL$43)</f>
        <v>0</v>
      </c>
      <c r="BM117" s="17">
        <f>=BL113*(1-BM$43)</f>
        <v>0</v>
      </c>
      <c r="BN117" s="17">
        <f>=BM113*(1-BN$43)</f>
        <v>0</v>
      </c>
      <c r="BO117" s="17">
        <f>=BN113*(1-BO$43)</f>
        <v>0</v>
      </c>
      <c r="BP117" s="17">
        <f>=BO113*(1-BP$43)</f>
        <v>0</v>
      </c>
      <c r="BQ117" s="17">
        <f>=BP113*(1-BQ$43)</f>
        <v>0</v>
      </c>
      <c r="BR117" s="17">
        <f>=BQ113*(1-BR$43)</f>
        <v>0</v>
      </c>
      <c r="BS117" s="17">
        <f>=BR113*(1-BS$43)</f>
        <v>0</v>
      </c>
      <c r="BT117" s="17">
        <f>=BS113*(1-BT$43)</f>
        <v>0</v>
      </c>
      <c r="BU117" s="17">
        <f>=BT113*(1-BU$43)</f>
        <v>0</v>
      </c>
      <c r="BV117" s="17">
        <f>=BU113*(1-BV$43)</f>
        <v>0</v>
      </c>
      <c r="BW117" s="17">
        <f>=BV113*(1-BW$43)</f>
        <v>0</v>
      </c>
      <c r="BX117" s="67">
        <f>=BW114*(1-BX$43)</f>
        <v>0</v>
      </c>
      <c r="BY117" s="67">
        <f>=BX114*(1-BY$43)</f>
        <v>0</v>
      </c>
      <c r="BZ117" s="67">
        <f>=BY114*(1-BZ$43)</f>
        <v>0</v>
      </c>
      <c r="CA117" s="67">
        <f>=BZ114*(1-CA$43)</f>
        <v>0</v>
      </c>
      <c r="CB117" s="67">
        <f>=CA114*(1-CB$43)</f>
        <v>0</v>
      </c>
      <c r="CC117" s="67">
        <f>=CB114*(1-CC$43)</f>
        <v>0</v>
      </c>
      <c r="CD117" s="67">
        <f>=CC114*(1-CD$43)</f>
        <v>0</v>
      </c>
      <c r="CE117" s="67">
        <f>=CD114*(1-CE$43)</f>
        <v>0</v>
      </c>
      <c r="CF117" s="67">
        <f>=CE114*(1-CF$43)</f>
        <v>0</v>
      </c>
      <c r="CG117" s="67">
        <f>=CF114*(1-CG$43)</f>
        <v>0</v>
      </c>
      <c r="CH117" s="67">
        <f>=CG114*(1-CH$43)</f>
        <v>0</v>
      </c>
      <c r="CI117" s="67">
        <f>=CH114*(1-CI$43)</f>
        <v>0</v>
      </c>
      <c r="CJ117" s="67">
        <f>=CI114*(1-CJ$43)</f>
        <v>0</v>
      </c>
      <c r="CK117" s="67">
        <f>=CJ114*(1-CK$43)</f>
        <v>0</v>
      </c>
      <c r="CL117" s="67">
        <f>=CK114*(1-CL$43)</f>
        <v>0</v>
      </c>
      <c r="CM117" s="67">
        <f>=CL114*(1-CM$43)</f>
        <v>0</v>
      </c>
      <c r="CN117" s="67">
        <f>=CM114*(1-CN$43)</f>
        <v>0</v>
      </c>
      <c r="CO117" s="67">
        <f>=CN114*(1-CO$43)</f>
        <v>0</v>
      </c>
      <c r="CP117" s="67">
        <f>=CO114*(1-CP$43)</f>
        <v>0</v>
      </c>
      <c r="CQ117" s="67">
        <f>=CP114*(1-CQ$43)</f>
        <v>0</v>
      </c>
      <c r="CR117" s="67">
        <f>=CQ114*(1-CR$43)</f>
        <v>0</v>
      </c>
      <c r="CS117" s="67">
        <f>=CR114*(1-CS$43)</f>
        <v>0</v>
      </c>
      <c r="CT117" s="67">
        <f>=CS114*(1-CT$43)</f>
        <v>0</v>
      </c>
      <c r="CU117" s="67">
        <f>=CT114*(1-CU$43)</f>
        <v>0</v>
      </c>
      <c r="CV117" s="67">
        <f>=CU114*(1-CV$43)</f>
        <v>0</v>
      </c>
      <c r="CW117" s="67">
        <f>=CV114*(1-CW$43)</f>
        <v>0</v>
      </c>
      <c r="CX117" s="67">
        <f>=CW114*(1-CX$43)</f>
        <v>0</v>
      </c>
      <c r="CY117" s="67">
        <f>=CX114*(1-CY$43)</f>
        <v>0</v>
      </c>
      <c r="CZ117" s="67">
        <f>=CY114*(1-CZ$43)</f>
        <v>0</v>
      </c>
      <c r="DA117" s="67">
        <f>=CZ114*(1-DA$43)</f>
        <v>0</v>
      </c>
      <c r="DB117" s="67">
        <f>=DA114*(1-DB$43)</f>
        <v>0</v>
      </c>
    </row>
    <row r="118" ht="18" customHeight="1" spans="1:106" x14ac:dyDescent="0.25">
      <c r="A118" s="17" t="s">
        <v>341</v>
      </c>
      <c r="C118" s="17">
        <v>4</v>
      </c>
      <c r="D118" s="17">
        <v>0</v>
      </c>
      <c r="E118" s="17">
        <v>0</v>
      </c>
      <c r="F118" s="17">
        <v>0</v>
      </c>
      <c r="G118" s="17">
        <v>12</v>
      </c>
      <c r="H118" s="17">
        <v>0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7">
        <v>0</v>
      </c>
      <c r="T118" s="17">
        <v>0</v>
      </c>
      <c r="U118" s="17">
        <v>0</v>
      </c>
      <c r="V118" s="17">
        <v>0</v>
      </c>
      <c r="W118" s="17">
        <v>0</v>
      </c>
      <c r="X118" s="17">
        <v>11</v>
      </c>
      <c r="Y118" s="17">
        <v>0</v>
      </c>
      <c r="Z118" s="17">
        <v>0</v>
      </c>
      <c r="AA118" s="17">
        <v>0</v>
      </c>
      <c r="AB118" s="17">
        <v>0</v>
      </c>
      <c r="AC118" s="17">
        <v>0</v>
      </c>
      <c r="AD118" s="17">
        <v>14</v>
      </c>
      <c r="AE118" s="17">
        <v>0</v>
      </c>
      <c r="AF118" s="17">
        <v>0</v>
      </c>
      <c r="AG118" s="17">
        <v>0</v>
      </c>
      <c r="AH118" s="17">
        <v>13</v>
      </c>
      <c r="AI118" s="17">
        <v>0</v>
      </c>
      <c r="AJ118" s="17">
        <v>9</v>
      </c>
      <c r="AK118" s="17">
        <v>0</v>
      </c>
      <c r="AL118" s="17">
        <v>10</v>
      </c>
      <c r="AM118" s="17">
        <v>0</v>
      </c>
      <c r="AN118" s="17">
        <v>12</v>
      </c>
      <c r="AO118" s="17">
        <v>13</v>
      </c>
      <c r="AP118" s="17">
        <v>0</v>
      </c>
      <c r="AQ118" s="17">
        <v>27</v>
      </c>
      <c r="AR118" s="17">
        <v>15</v>
      </c>
      <c r="AS118" s="17">
        <v>0</v>
      </c>
      <c r="AT118" s="17">
        <v>0</v>
      </c>
      <c r="AU118" s="17">
        <v>15</v>
      </c>
      <c r="AV118" s="17">
        <v>15</v>
      </c>
      <c r="AW118" s="17">
        <v>24</v>
      </c>
      <c r="AX118" s="17">
        <v>11</v>
      </c>
      <c r="AY118" s="17">
        <v>0</v>
      </c>
      <c r="AZ118" s="17">
        <v>0</v>
      </c>
      <c r="BA118" s="17">
        <v>0</v>
      </c>
      <c r="BB118" s="17">
        <v>0</v>
      </c>
      <c r="BC118" s="17">
        <v>15</v>
      </c>
      <c r="BD118" s="17">
        <v>0</v>
      </c>
      <c r="BE118" s="17">
        <v>0</v>
      </c>
      <c r="BF118" s="17">
        <v>0</v>
      </c>
      <c r="BG118" s="17"/>
      <c r="BH118" s="17">
        <f>=BG117*(1-BH$43)</f>
        <v>0</v>
      </c>
      <c r="BI118" s="17">
        <f>=BH117*(1-BI$43)</f>
        <v>0</v>
      </c>
      <c r="BJ118" s="17">
        <f>=BI117*(1-BJ$43)</f>
        <v>0</v>
      </c>
      <c r="BK118" s="17">
        <f>=BJ117*(1-BK$43)</f>
        <v>0</v>
      </c>
      <c r="BL118" s="17">
        <f>=BK117*(1-BL$43)</f>
        <v>0</v>
      </c>
      <c r="BM118" s="17">
        <f>=BL117*(1-BM$43)</f>
        <v>0</v>
      </c>
      <c r="BN118" s="17">
        <f>=BM117*(1-BN$43)</f>
        <v>0</v>
      </c>
      <c r="BO118" s="17">
        <f>=BN117*(1-BO$43)</f>
        <v>0</v>
      </c>
      <c r="BP118" s="17">
        <f>=BO117*(1-BP$43)</f>
        <v>0</v>
      </c>
      <c r="BQ118" s="17">
        <f>=BP117*(1-BQ$43)</f>
        <v>0</v>
      </c>
      <c r="BR118" s="17">
        <f>=BQ117*(1-BR$43)</f>
        <v>0</v>
      </c>
      <c r="BS118" s="17">
        <f>=BR117*(1-BS$43)</f>
        <v>0</v>
      </c>
      <c r="BT118" s="17">
        <f>=BS117*(1-BT$43)</f>
        <v>0</v>
      </c>
      <c r="BU118" s="17">
        <f>=BT117*(1-BU$43)</f>
        <v>0</v>
      </c>
      <c r="BV118" s="17">
        <f>=BU117*(1-BV$43)</f>
        <v>0</v>
      </c>
      <c r="BW118" s="17">
        <f>=BV117*(1-BW$43)</f>
        <v>0</v>
      </c>
      <c r="BX118" s="67">
        <f>=BW117*(1-BX$43)</f>
        <v>0</v>
      </c>
      <c r="BY118" s="67">
        <f>=BX117*(1-BY$43)</f>
        <v>0</v>
      </c>
      <c r="BZ118" s="67">
        <f>=BY117*(1-BZ$43)</f>
        <v>0</v>
      </c>
      <c r="CA118" s="67">
        <f>=BZ117*(1-CA$43)</f>
        <v>0</v>
      </c>
      <c r="CB118" s="67">
        <f>=CA117*(1-CB$43)</f>
        <v>0</v>
      </c>
      <c r="CC118" s="67">
        <f>=CB117*(1-CC$43)</f>
        <v>0</v>
      </c>
      <c r="CD118" s="67">
        <f>=CC117*(1-CD$43)</f>
        <v>0</v>
      </c>
      <c r="CE118" s="67">
        <f>=CD117*(1-CE$43)</f>
        <v>0</v>
      </c>
      <c r="CF118" s="67">
        <f>=CE117*(1-CF$43)</f>
        <v>0</v>
      </c>
      <c r="CG118" s="67">
        <f>=CF117*(1-CG$43)</f>
        <v>0</v>
      </c>
      <c r="CH118" s="67">
        <f>=CG117*(1-CH$43)</f>
        <v>0</v>
      </c>
      <c r="CI118" s="67">
        <f>=CH117*(1-CI$43)</f>
        <v>0</v>
      </c>
      <c r="CJ118" s="67">
        <f>=CI117*(1-CJ$43)</f>
        <v>0</v>
      </c>
      <c r="CK118" s="67">
        <f>=CJ117*(1-CK$43)</f>
        <v>0</v>
      </c>
      <c r="CL118" s="67">
        <f>=CK117*(1-CL$43)</f>
        <v>0</v>
      </c>
      <c r="CM118" s="67">
        <f>=CL117*(1-CM$43)</f>
        <v>0</v>
      </c>
      <c r="CN118" s="67">
        <f>=CM117*(1-CN$43)</f>
        <v>0</v>
      </c>
      <c r="CO118" s="67">
        <f>=CN117*(1-CO$43)</f>
        <v>0</v>
      </c>
      <c r="CP118" s="67">
        <f>=CO117*(1-CP$43)</f>
        <v>0</v>
      </c>
      <c r="CQ118" s="67">
        <f>=CP117*(1-CQ$43)</f>
        <v>0</v>
      </c>
      <c r="CR118" s="67">
        <f>=CQ117*(1-CR$43)</f>
        <v>0</v>
      </c>
      <c r="CS118" s="67">
        <f>=CR117*(1-CS$43)</f>
        <v>0</v>
      </c>
      <c r="CT118" s="67">
        <f>=CS117*(1-CT$43)</f>
        <v>0</v>
      </c>
      <c r="CU118" s="67">
        <f>=CT117*(1-CU$43)</f>
        <v>0</v>
      </c>
      <c r="CV118" s="67">
        <f>=CU117*(1-CV$43)</f>
        <v>0</v>
      </c>
      <c r="CW118" s="67">
        <f>=CV117*(1-CW$43)</f>
        <v>0</v>
      </c>
      <c r="CX118" s="67">
        <f>=CW117*(1-CX$43)</f>
        <v>0</v>
      </c>
      <c r="CY118" s="67">
        <f>=CX117*(1-CY$43)</f>
        <v>0</v>
      </c>
      <c r="CZ118" s="67">
        <f>=CY117*(1-CZ$43)</f>
        <v>0</v>
      </c>
      <c r="DA118" s="67">
        <f>=CZ117*(1-DA$43)</f>
        <v>0</v>
      </c>
      <c r="DB118" s="67">
        <f>=DA117*(1-DB$43)</f>
        <v>0</v>
      </c>
    </row>
    <row r="119" ht="18" customHeight="1" spans="1:106" x14ac:dyDescent="0.25">
      <c r="A119" s="17" t="s">
        <v>406</v>
      </c>
      <c r="C119" s="17">
        <v>0</v>
      </c>
      <c r="D119" s="17">
        <v>4</v>
      </c>
      <c r="E119" s="17">
        <v>0</v>
      </c>
      <c r="F119" s="17">
        <v>0</v>
      </c>
      <c r="G119" s="17">
        <v>0</v>
      </c>
      <c r="H119" s="17">
        <v>11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9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13</v>
      </c>
      <c r="AF119" s="17">
        <v>0</v>
      </c>
      <c r="AG119" s="17">
        <v>0</v>
      </c>
      <c r="AH119" s="17">
        <v>0</v>
      </c>
      <c r="AI119" s="89">
        <v>12.48</v>
      </c>
      <c r="AJ119" s="17">
        <v>0</v>
      </c>
      <c r="AK119" s="17">
        <v>8</v>
      </c>
      <c r="AL119" s="17">
        <v>0</v>
      </c>
      <c r="AM119" s="17">
        <v>10</v>
      </c>
      <c r="AN119" s="17">
        <v>0</v>
      </c>
      <c r="AO119" s="17">
        <v>11</v>
      </c>
      <c r="AP119" s="17">
        <v>8</v>
      </c>
      <c r="AQ119" s="17">
        <v>0</v>
      </c>
      <c r="AR119" s="17">
        <v>26</v>
      </c>
      <c r="AS119" s="17">
        <v>14</v>
      </c>
      <c r="AT119" s="17">
        <v>0</v>
      </c>
      <c r="AU119" s="17">
        <v>0</v>
      </c>
      <c r="AV119" s="17">
        <v>15</v>
      </c>
      <c r="AW119" s="17">
        <v>13</v>
      </c>
      <c r="AX119" s="17">
        <v>22</v>
      </c>
      <c r="AY119" s="17">
        <v>11</v>
      </c>
      <c r="AZ119" s="17">
        <v>0</v>
      </c>
      <c r="BA119" s="17">
        <v>0</v>
      </c>
      <c r="BB119" s="17">
        <v>0</v>
      </c>
      <c r="BC119" s="17">
        <v>0</v>
      </c>
      <c r="BD119" s="17">
        <v>15</v>
      </c>
      <c r="BE119" s="17">
        <v>0</v>
      </c>
      <c r="BF119" s="17">
        <v>0</v>
      </c>
      <c r="BG119" s="17"/>
      <c r="BH119" s="17">
        <f>=BG113*(1-BH$41)</f>
        <v>0</v>
      </c>
      <c r="BI119" s="17">
        <f>=BH113*(1-BI$41)</f>
        <v>0</v>
      </c>
      <c r="BJ119" s="17">
        <f>=BI113*(1-BJ$41)</f>
        <v>0</v>
      </c>
      <c r="BK119" s="17">
        <f>=BJ113*(1-BK$41)</f>
        <v>0</v>
      </c>
      <c r="BL119" s="17">
        <f>=BK113*(1-BL$41)</f>
        <v>0</v>
      </c>
      <c r="BM119" s="17">
        <f>=BL113*(1-BM$41)</f>
        <v>0</v>
      </c>
      <c r="BN119" s="17">
        <f>=BM113*(1-BN$41)</f>
        <v>0</v>
      </c>
      <c r="BO119" s="17">
        <f>=BN113*(1-BO$41)</f>
        <v>0</v>
      </c>
      <c r="BP119" s="17">
        <f>=BO113*(1-BP$41)</f>
        <v>0</v>
      </c>
      <c r="BQ119" s="17">
        <f>=BP113*(1-BQ$41)</f>
        <v>0</v>
      </c>
      <c r="BR119" s="17">
        <f>=BQ113*(1-BR$41)</f>
        <v>0</v>
      </c>
      <c r="BS119" s="17">
        <f>=BR113*(1-BS$41)</f>
        <v>0</v>
      </c>
      <c r="BT119" s="17">
        <f>=BS113*(1-BT$41)</f>
        <v>0</v>
      </c>
      <c r="BU119" s="17">
        <f>=BT113*(1-BU$41)</f>
        <v>0</v>
      </c>
      <c r="BV119" s="17">
        <f>=BU113*(1-BV$41)</f>
        <v>0</v>
      </c>
      <c r="BW119" s="17">
        <f>=BV113*(1-BW$41)</f>
        <v>0</v>
      </c>
      <c r="BX119" s="67">
        <f>=BW118*(1-BX$41)</f>
        <v>0</v>
      </c>
      <c r="BY119" s="67">
        <f>=BX118*(1-BY$41)</f>
        <v>0</v>
      </c>
      <c r="BZ119" s="67">
        <f>=BY118*(1-BZ$41)</f>
        <v>0</v>
      </c>
      <c r="CA119" s="67">
        <f>=BZ118*(1-CA$41)</f>
        <v>0</v>
      </c>
      <c r="CB119" s="67">
        <f>=CA118*(1-CB$41)</f>
        <v>0</v>
      </c>
      <c r="CC119" s="67">
        <f>=CB118*(1-CC$41)</f>
        <v>0</v>
      </c>
      <c r="CD119" s="67">
        <f>=CC118*(1-CD$41)</f>
        <v>0</v>
      </c>
      <c r="CE119" s="67">
        <f>=CD118*(1-CE$41)</f>
        <v>0</v>
      </c>
      <c r="CF119" s="67">
        <f>=CE118*(1-CF$41)</f>
        <v>0</v>
      </c>
      <c r="CG119" s="67">
        <f>=CF118*(1-CG$41)</f>
        <v>0</v>
      </c>
      <c r="CH119" s="67">
        <f>=CG118*(1-CH$41)</f>
        <v>0</v>
      </c>
      <c r="CI119" s="67">
        <f>=CH118*(1-CI$41)</f>
        <v>0</v>
      </c>
      <c r="CJ119" s="67">
        <f>=CI118*(1-CJ$41)</f>
        <v>0</v>
      </c>
      <c r="CK119" s="67">
        <f>=CJ118*(1-CK$41)</f>
        <v>0</v>
      </c>
      <c r="CL119" s="67">
        <f>=CK118*(1-CL$41)</f>
        <v>0</v>
      </c>
      <c r="CM119" s="67">
        <f>=CL118*(1-CM$41)</f>
        <v>0</v>
      </c>
      <c r="CN119" s="67">
        <f>=CM118*(1-CN$41)</f>
        <v>0</v>
      </c>
      <c r="CO119" s="67">
        <f>=CN118*(1-CO$41)</f>
        <v>0</v>
      </c>
      <c r="CP119" s="67">
        <f>=CO118*(1-CP$41)</f>
        <v>0</v>
      </c>
      <c r="CQ119" s="67">
        <f>=CP118*(1-CQ$41)</f>
        <v>0</v>
      </c>
      <c r="CR119" s="67">
        <f>=CQ118*(1-CR$41)</f>
        <v>0</v>
      </c>
      <c r="CS119" s="67">
        <f>=CR118*(1-CS$41)</f>
        <v>0</v>
      </c>
      <c r="CT119" s="67">
        <f>=CS118*(1-CT$41)</f>
        <v>0</v>
      </c>
      <c r="CU119" s="67">
        <f>=CT118*(1-CU$41)</f>
        <v>0</v>
      </c>
      <c r="CV119" s="67">
        <f>=CU118*(1-CV$41)</f>
        <v>0</v>
      </c>
      <c r="CW119" s="67">
        <f>=CV118*(1-CW$41)</f>
        <v>0</v>
      </c>
      <c r="CX119" s="67">
        <f>=CW118*(1-CX$41)</f>
        <v>0</v>
      </c>
      <c r="CY119" s="67">
        <f>=CX118*(1-CY$41)</f>
        <v>0</v>
      </c>
      <c r="CZ119" s="67">
        <f>=CY118*(1-CZ$41)</f>
        <v>0</v>
      </c>
      <c r="DA119" s="67">
        <f>=CZ118*(1-DA$41)</f>
        <v>0</v>
      </c>
      <c r="DB119" s="67">
        <f>=DA118*(1-DB$41)</f>
        <v>0</v>
      </c>
    </row>
    <row r="120" ht="18" customHeight="1" spans="1:106" x14ac:dyDescent="0.25">
      <c r="A120" s="17" t="s">
        <v>407</v>
      </c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>
        <v>9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13</v>
      </c>
      <c r="AG120" s="17">
        <v>0</v>
      </c>
      <c r="AH120" s="17">
        <v>0</v>
      </c>
      <c r="AI120" s="17">
        <v>0</v>
      </c>
      <c r="AJ120" s="17">
        <v>12</v>
      </c>
      <c r="AK120" s="17">
        <v>0</v>
      </c>
      <c r="AL120" s="17">
        <v>7</v>
      </c>
      <c r="AM120" s="17">
        <v>0</v>
      </c>
      <c r="AN120" s="17">
        <v>8</v>
      </c>
      <c r="AO120" s="17">
        <v>0</v>
      </c>
      <c r="AP120" s="17">
        <v>10</v>
      </c>
      <c r="AQ120" s="17">
        <v>7</v>
      </c>
      <c r="AR120" s="17">
        <v>0</v>
      </c>
      <c r="AS120" s="17">
        <v>24</v>
      </c>
      <c r="AT120" s="17">
        <v>13</v>
      </c>
      <c r="AU120" s="17">
        <v>0</v>
      </c>
      <c r="AV120" s="17">
        <v>0</v>
      </c>
      <c r="AW120" s="17">
        <v>14</v>
      </c>
      <c r="AX120" s="17">
        <v>12</v>
      </c>
      <c r="AY120" s="17">
        <v>20</v>
      </c>
      <c r="AZ120" s="17">
        <v>9</v>
      </c>
      <c r="BA120" s="17">
        <v>0</v>
      </c>
      <c r="BB120" s="17">
        <v>0</v>
      </c>
      <c r="BC120" s="17">
        <v>0</v>
      </c>
      <c r="BD120" s="17">
        <v>0</v>
      </c>
      <c r="BE120" s="17">
        <v>13</v>
      </c>
      <c r="BF120" s="17">
        <v>0</v>
      </c>
      <c r="BG120" s="17"/>
      <c r="BH120" s="17">
        <f>=BG114*(1-BH$41)</f>
        <v>0</v>
      </c>
      <c r="BI120" s="17">
        <f>=BH114*(1-BI$41)</f>
        <v>0</v>
      </c>
      <c r="BJ120" s="17">
        <f>=BI114*(1-BJ$41)</f>
        <v>0</v>
      </c>
      <c r="BK120" s="17">
        <f>=BJ114*(1-BK$41)</f>
        <v>0</v>
      </c>
      <c r="BL120" s="17">
        <f>=BK114*(1-BL$41)</f>
        <v>0</v>
      </c>
      <c r="BM120" s="17">
        <f>=BL114*(1-BM$41)</f>
        <v>0</v>
      </c>
      <c r="BN120" s="17">
        <f>=BM114*(1-BN$41)</f>
        <v>0</v>
      </c>
      <c r="BO120" s="17">
        <f>=BN114*(1-BO$41)</f>
        <v>0</v>
      </c>
      <c r="BP120" s="17">
        <f>=BO114*(1-BP$41)</f>
        <v>0</v>
      </c>
      <c r="BQ120" s="17">
        <f>=BP114*(1-BQ$41)</f>
        <v>0</v>
      </c>
      <c r="BR120" s="17">
        <f>=BQ114*(1-BR$41)</f>
        <v>0</v>
      </c>
      <c r="BS120" s="17">
        <f>=BR114*(1-BS$41)</f>
        <v>0</v>
      </c>
      <c r="BT120" s="17">
        <f>=BS114*(1-BT$41)</f>
        <v>0</v>
      </c>
      <c r="BU120" s="17">
        <f>=BT114*(1-BU$41)</f>
        <v>0</v>
      </c>
      <c r="BV120" s="17">
        <f>=BU114*(1-BV$41)</f>
        <v>0</v>
      </c>
      <c r="BW120" s="17">
        <f>=BV114*(1-BW$41)</f>
        <v>0</v>
      </c>
      <c r="BX120" s="67">
        <f>=BW119*(1-BX$41)</f>
        <v>0</v>
      </c>
      <c r="BY120" s="67">
        <f>=BX119*(1-BY$41)</f>
        <v>0</v>
      </c>
      <c r="BZ120" s="67">
        <f>=BY119*(1-BZ$41)</f>
        <v>0</v>
      </c>
      <c r="CA120" s="67">
        <f>=BZ119*(1-CA$41)</f>
        <v>0</v>
      </c>
      <c r="CB120" s="67">
        <f>=CA119*(1-CB$41)</f>
        <v>0</v>
      </c>
      <c r="CC120" s="67">
        <f>=CB119*(1-CC$41)</f>
        <v>0</v>
      </c>
      <c r="CD120" s="67">
        <f>=CC119*(1-CD$41)</f>
        <v>0</v>
      </c>
      <c r="CE120" s="67">
        <f>=CD119*(1-CE$41)</f>
        <v>0</v>
      </c>
      <c r="CF120" s="67">
        <f>=CE119*(1-CF$41)</f>
        <v>0</v>
      </c>
      <c r="CG120" s="67">
        <f>=CF119*(1-CG$41)</f>
        <v>0</v>
      </c>
      <c r="CH120" s="67">
        <f>=CG119*(1-CH$41)</f>
        <v>0</v>
      </c>
      <c r="CI120" s="67">
        <f>=CH119*(1-CI$41)</f>
        <v>0</v>
      </c>
      <c r="CJ120" s="67">
        <f>=CI119*(1-CJ$41)</f>
        <v>0</v>
      </c>
      <c r="CK120" s="67">
        <f>=CJ119*(1-CK$41)</f>
        <v>0</v>
      </c>
      <c r="CL120" s="67">
        <f>=CK119*(1-CL$41)</f>
        <v>0</v>
      </c>
      <c r="CM120" s="67">
        <f>=CL119*(1-CM$41)</f>
        <v>0</v>
      </c>
      <c r="CN120" s="67">
        <f>=CM119*(1-CN$41)</f>
        <v>0</v>
      </c>
      <c r="CO120" s="67">
        <f>=CN119*(1-CO$41)</f>
        <v>0</v>
      </c>
      <c r="CP120" s="67">
        <f>=CO119*(1-CP$41)</f>
        <v>0</v>
      </c>
      <c r="CQ120" s="67">
        <f>=CP119*(1-CQ$41)</f>
        <v>0</v>
      </c>
      <c r="CR120" s="67">
        <f>=CQ119*(1-CR$41)</f>
        <v>0</v>
      </c>
      <c r="CS120" s="67">
        <f>=CR119*(1-CS$41)</f>
        <v>0</v>
      </c>
      <c r="CT120" s="67">
        <f>=CS119*(1-CT$41)</f>
        <v>0</v>
      </c>
      <c r="CU120" s="67">
        <f>=CT119*(1-CU$41)</f>
        <v>0</v>
      </c>
      <c r="CV120" s="67">
        <f>=CU119*(1-CV$41)</f>
        <v>0</v>
      </c>
      <c r="CW120" s="67">
        <f>=CV119*(1-CW$41)</f>
        <v>0</v>
      </c>
      <c r="CX120" s="67">
        <f>=CW119*(1-CX$41)</f>
        <v>0</v>
      </c>
      <c r="CY120" s="67">
        <f>=CX119*(1-CY$41)</f>
        <v>0</v>
      </c>
      <c r="CZ120" s="67">
        <f>=CY119*(1-CZ$41)</f>
        <v>0</v>
      </c>
      <c r="DA120" s="67">
        <f>=CZ119*(1-DA$41)</f>
        <v>0</v>
      </c>
      <c r="DB120" s="67">
        <f>=DA119*(1-DB$41)</f>
        <v>0</v>
      </c>
    </row>
    <row r="121" ht="18" customHeight="1" spans="1:106" x14ac:dyDescent="0.25">
      <c r="A121" s="17" t="s">
        <v>344</v>
      </c>
      <c r="C121" s="17">
        <v>6</v>
      </c>
      <c r="D121" s="17">
        <v>0</v>
      </c>
      <c r="E121" s="17">
        <v>4</v>
      </c>
      <c r="F121" s="17">
        <v>0</v>
      </c>
      <c r="G121" s="17">
        <v>0</v>
      </c>
      <c r="H121" s="17">
        <v>0</v>
      </c>
      <c r="I121" s="17">
        <v>11</v>
      </c>
      <c r="J121" s="17">
        <v>0</v>
      </c>
      <c r="K121" s="17">
        <v>0</v>
      </c>
      <c r="L121" s="17">
        <v>0</v>
      </c>
      <c r="M121" s="17">
        <v>0</v>
      </c>
      <c r="N121" s="17">
        <v>0</v>
      </c>
      <c r="O121" s="17">
        <v>0</v>
      </c>
      <c r="P121" s="17">
        <v>0</v>
      </c>
      <c r="Q121" s="17">
        <v>0</v>
      </c>
      <c r="R121" s="17">
        <v>0</v>
      </c>
      <c r="S121" s="17">
        <v>0</v>
      </c>
      <c r="T121" s="17">
        <v>0</v>
      </c>
      <c r="U121" s="17">
        <v>0</v>
      </c>
      <c r="V121" s="17">
        <v>0</v>
      </c>
      <c r="W121" s="17">
        <v>0</v>
      </c>
      <c r="X121" s="17">
        <v>0</v>
      </c>
      <c r="Y121" s="17">
        <v>0</v>
      </c>
      <c r="Z121" s="17">
        <v>0</v>
      </c>
      <c r="AA121" s="17">
        <v>9</v>
      </c>
      <c r="AB121" s="17">
        <v>0</v>
      </c>
      <c r="AC121" s="17">
        <v>0</v>
      </c>
      <c r="AD121" s="17">
        <v>0</v>
      </c>
      <c r="AE121" s="17">
        <v>0</v>
      </c>
      <c r="AF121" s="17">
        <v>0</v>
      </c>
      <c r="AG121" s="17">
        <v>12</v>
      </c>
      <c r="AH121" s="17">
        <v>0</v>
      </c>
      <c r="AI121" s="17">
        <v>0</v>
      </c>
      <c r="AJ121" s="17">
        <v>0</v>
      </c>
      <c r="AK121" s="17">
        <v>12</v>
      </c>
      <c r="AL121" s="17">
        <v>0</v>
      </c>
      <c r="AM121" s="17">
        <v>7</v>
      </c>
      <c r="AN121" s="17">
        <v>0</v>
      </c>
      <c r="AO121" s="17">
        <v>8</v>
      </c>
      <c r="AP121" s="17">
        <v>0</v>
      </c>
      <c r="AQ121" s="17">
        <v>9</v>
      </c>
      <c r="AR121" s="17">
        <v>7</v>
      </c>
      <c r="AS121" s="17">
        <v>0</v>
      </c>
      <c r="AT121" s="17">
        <v>24</v>
      </c>
      <c r="AU121" s="17">
        <v>13</v>
      </c>
      <c r="AV121" s="17">
        <v>0</v>
      </c>
      <c r="AW121" s="17">
        <v>0</v>
      </c>
      <c r="AX121" s="17">
        <v>14</v>
      </c>
      <c r="AY121" s="17">
        <v>11</v>
      </c>
      <c r="AZ121" s="17">
        <v>21</v>
      </c>
      <c r="BA121" s="17">
        <v>9</v>
      </c>
      <c r="BB121" s="17">
        <v>0</v>
      </c>
      <c r="BC121" s="17">
        <v>0</v>
      </c>
      <c r="BD121" s="17">
        <v>0</v>
      </c>
      <c r="BE121" s="17">
        <v>0</v>
      </c>
      <c r="BF121" s="17">
        <v>13</v>
      </c>
      <c r="BG121" s="17"/>
      <c r="BH121" s="17">
        <f>=BG120*(1-BH$43)</f>
        <v>0</v>
      </c>
      <c r="BI121" s="17">
        <f>=BH120*(1-BI$43)</f>
        <v>0</v>
      </c>
      <c r="BJ121" s="17">
        <f>=BI120*(1-BJ$43)</f>
        <v>0</v>
      </c>
      <c r="BK121" s="17">
        <f>=BJ120*(1-BK$43)</f>
        <v>0</v>
      </c>
      <c r="BL121" s="17">
        <f>=BK120*(1-BL$43)</f>
        <v>0</v>
      </c>
      <c r="BM121" s="17">
        <f>=BL120*(1-BM$43)</f>
        <v>0</v>
      </c>
      <c r="BN121" s="17">
        <f>=BM120*(1-BN$43)</f>
        <v>0</v>
      </c>
      <c r="BO121" s="17">
        <f>=BN120*(1-BO$43)</f>
        <v>0</v>
      </c>
      <c r="BP121" s="17">
        <f>=BO120*(1-BP$43)</f>
        <v>0</v>
      </c>
      <c r="BQ121" s="17">
        <f>=BP120*(1-BQ$43)</f>
        <v>0</v>
      </c>
      <c r="BR121" s="17">
        <f>=BQ120*(1-BR$43)</f>
        <v>0</v>
      </c>
      <c r="BS121" s="17">
        <f>=BR120*(1-BS$43)</f>
        <v>0</v>
      </c>
      <c r="BT121" s="17">
        <f>=BS120*(1-BT$43)</f>
        <v>0</v>
      </c>
      <c r="BU121" s="17">
        <f>=BT120*(1-BU$43)</f>
        <v>0</v>
      </c>
      <c r="BV121" s="17">
        <f>=BU120*(1-BV$43)</f>
        <v>0</v>
      </c>
      <c r="BW121" s="17">
        <f>=BV120*(1-BW$43)</f>
        <v>0</v>
      </c>
      <c r="BX121" s="67">
        <f>=BW120*(1-BX$43)</f>
        <v>0</v>
      </c>
      <c r="BY121" s="67">
        <f>=BX120*(1-BY$43)</f>
        <v>0</v>
      </c>
      <c r="BZ121" s="67">
        <f>=BY120*(1-BZ$43)</f>
        <v>0</v>
      </c>
      <c r="CA121" s="67">
        <f>=BZ120*(1-CA$43)</f>
        <v>0</v>
      </c>
      <c r="CB121" s="67">
        <f>=CA120*(1-CB$43)</f>
        <v>0</v>
      </c>
      <c r="CC121" s="67">
        <f>=CB120*(1-CC$43)</f>
        <v>0</v>
      </c>
      <c r="CD121" s="67">
        <f>=CC120*(1-CD$43)</f>
        <v>0</v>
      </c>
      <c r="CE121" s="67">
        <f>=CD120*(1-CE$43)</f>
        <v>0</v>
      </c>
      <c r="CF121" s="67">
        <f>=CE120*(1-CF$43)</f>
        <v>0</v>
      </c>
      <c r="CG121" s="67">
        <f>=CF120*(1-CG$43)</f>
        <v>0</v>
      </c>
      <c r="CH121" s="67">
        <f>=CG120*(1-CH$43)</f>
        <v>0</v>
      </c>
      <c r="CI121" s="67">
        <f>=CH120*(1-CI$43)</f>
        <v>0</v>
      </c>
      <c r="CJ121" s="67">
        <f>=CI120*(1-CJ$43)</f>
        <v>0</v>
      </c>
      <c r="CK121" s="67">
        <f>=CJ120*(1-CK$43)</f>
        <v>0</v>
      </c>
      <c r="CL121" s="67">
        <f>=CK120*(1-CL$43)</f>
        <v>0</v>
      </c>
      <c r="CM121" s="67">
        <f>=CL120*(1-CM$43)</f>
        <v>0</v>
      </c>
      <c r="CN121" s="67">
        <f>=CM120*(1-CN$43)</f>
        <v>0</v>
      </c>
      <c r="CO121" s="67">
        <f>=CN120*(1-CO$43)</f>
        <v>0</v>
      </c>
      <c r="CP121" s="67">
        <f>=CO120*(1-CP$43)</f>
        <v>0</v>
      </c>
      <c r="CQ121" s="67">
        <f>=CP120*(1-CQ$43)</f>
        <v>0</v>
      </c>
      <c r="CR121" s="67">
        <f>=CQ120*(1-CR$43)</f>
        <v>0</v>
      </c>
      <c r="CS121" s="67">
        <f>=CR120*(1-CS$43)</f>
        <v>0</v>
      </c>
      <c r="CT121" s="67">
        <f>=CS120*(1-CT$43)</f>
        <v>0</v>
      </c>
      <c r="CU121" s="67">
        <f>=CT120*(1-CU$43)</f>
        <v>0</v>
      </c>
      <c r="CV121" s="67">
        <f>=CU120*(1-CV$43)</f>
        <v>0</v>
      </c>
      <c r="CW121" s="67">
        <f>=CV120*(1-CW$43)</f>
        <v>0</v>
      </c>
      <c r="CX121" s="67">
        <f>=CW120*(1-CX$43)</f>
        <v>0</v>
      </c>
      <c r="CY121" s="67">
        <f>=CX120*(1-CY$43)</f>
        <v>0</v>
      </c>
      <c r="CZ121" s="67">
        <f>=CY120*(1-CZ$43)</f>
        <v>0</v>
      </c>
      <c r="DA121" s="67">
        <f>=CZ120*(1-DA$43)</f>
        <v>0</v>
      </c>
      <c r="DB121" s="67">
        <f>=DA120*(1-DB$43)</f>
        <v>0</v>
      </c>
    </row>
    <row r="122" spans="3:106" x14ac:dyDescent="0.25"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  <c r="AW122" s="30"/>
      <c r="AX122" s="30"/>
      <c r="AY122" s="30"/>
      <c r="AZ122" s="30"/>
      <c r="BA122" s="30"/>
      <c r="BB122" s="30"/>
      <c r="BC122" s="30"/>
      <c r="BD122" s="30"/>
      <c r="BE122" s="30"/>
      <c r="BF122" s="30"/>
      <c r="BG122" s="30"/>
      <c r="BH122" s="30"/>
      <c r="BI122" s="30"/>
      <c r="BJ122" s="30"/>
      <c r="BK122" s="30"/>
      <c r="BL122" s="30"/>
      <c r="BM122" s="30"/>
      <c r="BN122" s="30"/>
      <c r="BO122" s="30"/>
      <c r="BP122" s="30"/>
      <c r="BQ122" s="30"/>
      <c r="BR122" s="30"/>
      <c r="BS122" s="30"/>
      <c r="BT122" s="30"/>
      <c r="BU122" s="30"/>
      <c r="BV122" s="30"/>
      <c r="BW122" s="30"/>
      <c r="BX122" s="30"/>
      <c r="BY122" s="30"/>
      <c r="BZ122" s="30"/>
      <c r="CA122" s="30"/>
      <c r="CB122" s="30"/>
      <c r="CC122" s="30"/>
      <c r="CD122" s="30"/>
      <c r="CE122" s="30"/>
      <c r="CF122" s="30"/>
      <c r="CG122" s="30"/>
      <c r="CH122" s="30"/>
      <c r="CI122" s="30"/>
      <c r="CJ122" s="30"/>
      <c r="CK122" s="30"/>
      <c r="CL122" s="30"/>
      <c r="CM122" s="30"/>
      <c r="CN122" s="30"/>
      <c r="CO122" s="30"/>
      <c r="CP122" s="30"/>
      <c r="CQ122" s="30"/>
      <c r="CR122" s="30"/>
      <c r="CS122" s="30"/>
      <c r="CT122" s="30"/>
      <c r="CU122" s="30"/>
      <c r="CV122" s="30"/>
      <c r="CW122" s="30"/>
      <c r="CX122" s="30"/>
      <c r="CY122" s="30"/>
      <c r="CZ122" s="30"/>
      <c r="DA122" s="30"/>
      <c r="DB122" s="30"/>
    </row>
    <row r="123" spans="1:106" x14ac:dyDescent="0.25">
      <c r="A123" s="9" t="s">
        <v>345</v>
      </c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  <c r="AV123" s="30"/>
      <c r="AW123" s="30"/>
      <c r="AX123" s="30"/>
      <c r="AY123" s="30"/>
      <c r="AZ123" s="30"/>
      <c r="BA123" s="30"/>
      <c r="BB123" s="30"/>
      <c r="BC123" s="30"/>
      <c r="BD123" s="30"/>
      <c r="BE123" s="30"/>
      <c r="BF123" s="30"/>
      <c r="BG123" s="30"/>
      <c r="BH123" s="30"/>
      <c r="BI123" s="30"/>
      <c r="BJ123" s="30"/>
      <c r="BK123" s="30"/>
      <c r="BL123" s="30"/>
      <c r="BM123" s="30"/>
      <c r="BN123" s="30"/>
      <c r="BO123" s="30"/>
      <c r="BP123" s="30"/>
      <c r="BQ123" s="30"/>
      <c r="BR123" s="30"/>
      <c r="BS123" s="30"/>
      <c r="BT123" s="30"/>
      <c r="BU123" s="30"/>
      <c r="BV123" s="30"/>
      <c r="BW123" s="30"/>
      <c r="BX123" s="30"/>
      <c r="BY123" s="30"/>
      <c r="BZ123" s="30"/>
      <c r="CA123" s="30"/>
      <c r="CB123" s="30"/>
      <c r="CC123" s="30"/>
      <c r="CD123" s="30"/>
      <c r="CE123" s="30"/>
      <c r="CF123" s="30"/>
      <c r="CG123" s="30"/>
      <c r="CH123" s="30"/>
      <c r="CI123" s="30"/>
      <c r="CJ123" s="30"/>
      <c r="CK123" s="30"/>
      <c r="CL123" s="30"/>
      <c r="CM123" s="30"/>
      <c r="CN123" s="30"/>
      <c r="CO123" s="30"/>
      <c r="CP123" s="30"/>
      <c r="CQ123" s="30"/>
      <c r="CR123" s="30"/>
      <c r="CS123" s="30"/>
      <c r="CT123" s="30"/>
      <c r="CU123" s="30"/>
      <c r="CV123" s="30"/>
      <c r="CW123" s="30"/>
      <c r="CX123" s="30"/>
      <c r="CY123" s="30"/>
      <c r="CZ123" s="30"/>
      <c r="DA123" s="30"/>
      <c r="DB123" s="30"/>
    </row>
    <row r="124" ht="16" customHeight="1" spans="1:106" x14ac:dyDescent="0.25">
      <c r="A124" s="68" t="s">
        <v>346</v>
      </c>
      <c r="C124" s="30">
        <f>=C8</f>
        <v>2117</v>
      </c>
      <c r="D124" s="30">
        <f>=D8</f>
        <v>2119</v>
      </c>
      <c r="E124" s="30">
        <f>=E8</f>
        <v>2114</v>
      </c>
      <c r="F124" s="30">
        <f>=F8</f>
        <v>2121</v>
      </c>
      <c r="G124" s="30">
        <f>=G8</f>
        <v>2120</v>
      </c>
      <c r="H124" s="30">
        <f>=H8</f>
        <v>2157</v>
      </c>
      <c r="I124" s="30">
        <f>=I8</f>
        <v>2154</v>
      </c>
      <c r="J124" s="30">
        <f>=J8</f>
        <v>1972</v>
      </c>
      <c r="K124" s="30">
        <f>=K8</f>
        <v>1973</v>
      </c>
      <c r="L124" s="30">
        <f>=L8</f>
        <v>1797</v>
      </c>
      <c r="M124" s="30">
        <f>=M8</f>
        <v>1789</v>
      </c>
      <c r="N124" s="30">
        <f>=N8</f>
        <v>1505</v>
      </c>
      <c r="O124" s="30">
        <f>=O8</f>
        <v>1501</v>
      </c>
      <c r="P124" s="30">
        <f>=P8</f>
        <v>1508</v>
      </c>
      <c r="Q124" s="30">
        <f>=Q8</f>
        <v>1506</v>
      </c>
      <c r="R124" s="30">
        <f>=R8</f>
        <v>1506</v>
      </c>
      <c r="S124" s="30">
        <f>=S8</f>
        <v>1503</v>
      </c>
      <c r="T124" s="30">
        <f>=T8</f>
        <v>1504</v>
      </c>
      <c r="U124" s="30">
        <f>=U8</f>
        <v>1495</v>
      </c>
      <c r="V124" s="30">
        <f>=V8</f>
        <v>1495</v>
      </c>
      <c r="W124" s="30">
        <f>=W8</f>
        <v>1495</v>
      </c>
      <c r="X124" s="30">
        <f>=X8</f>
        <v>1495</v>
      </c>
      <c r="Y124" s="30">
        <f>=Y8</f>
        <v>1494</v>
      </c>
      <c r="Z124" s="30">
        <f>=Z8</f>
        <v>1494</v>
      </c>
      <c r="AA124" s="30">
        <f>=AA8</f>
        <v>1494</v>
      </c>
      <c r="AB124" s="30">
        <f>=AB8</f>
        <v>1494</v>
      </c>
      <c r="AC124" s="30">
        <f>=AC8</f>
        <v>1862</v>
      </c>
      <c r="AD124" s="30">
        <f>=AD8</f>
        <v>2220</v>
      </c>
      <c r="AE124" s="30">
        <f>=AE8</f>
        <v>2220</v>
      </c>
      <c r="AF124" s="30">
        <f>=AF8</f>
        <v>2220</v>
      </c>
      <c r="AG124" s="30">
        <f>=AG8</f>
        <v>2218</v>
      </c>
      <c r="AH124" s="30">
        <f>=AH8</f>
        <v>2572</v>
      </c>
      <c r="AI124" s="30">
        <f>=AI8</f>
        <v>2849</v>
      </c>
      <c r="AJ124" s="30">
        <f>=AJ8</f>
        <v>3037</v>
      </c>
      <c r="AK124" s="30">
        <f>=AK8</f>
        <v>3030</v>
      </c>
      <c r="AL124" s="30">
        <f>=AL8</f>
        <v>3302</v>
      </c>
      <c r="AM124" s="30">
        <f>=AM8</f>
        <v>3302</v>
      </c>
      <c r="AN124" s="30">
        <f>=AN8</f>
        <v>3302</v>
      </c>
      <c r="AO124" s="30">
        <f>=AO8</f>
        <v>3302</v>
      </c>
      <c r="AP124" s="30">
        <f>=AP8</f>
        <v>3302</v>
      </c>
      <c r="AQ124" s="30">
        <f>=AQ8</f>
        <v>3727</v>
      </c>
      <c r="AR124" s="30">
        <f>=AR8</f>
        <v>3727</v>
      </c>
      <c r="AS124" s="30">
        <f>=AS8</f>
        <v>3727</v>
      </c>
      <c r="AT124" s="30">
        <f>=AT8</f>
        <v>3949</v>
      </c>
      <c r="AU124" s="30">
        <f>=AU8</f>
        <v>4379</v>
      </c>
      <c r="AV124" s="30">
        <f>=AV8</f>
        <v>4379</v>
      </c>
      <c r="AW124" s="30">
        <f>=AW8</f>
        <v>4380</v>
      </c>
      <c r="AX124" s="30">
        <f>=AX8</f>
        <v>4667</v>
      </c>
      <c r="AY124" s="30">
        <f>=AY8</f>
        <v>4685</v>
      </c>
      <c r="AZ124" s="30">
        <f>=AZ8</f>
        <v>4685</v>
      </c>
      <c r="BA124" s="30">
        <f>=BA8</f>
        <v>4685</v>
      </c>
      <c r="BB124" s="30">
        <f>=BB8</f>
        <v>4685</v>
      </c>
      <c r="BC124" s="30">
        <f>=BC8</f>
        <v>4686</v>
      </c>
      <c r="BD124" s="30">
        <f>=BD8</f>
        <v>4686</v>
      </c>
      <c r="BE124" s="30">
        <f>=BE8</f>
        <v>4686</v>
      </c>
      <c r="BF124" s="30">
        <f>=BF8</f>
        <v>4686</v>
      </c>
      <c r="BG124" s="30">
        <f>=BG8</f>
        <v>4684</v>
      </c>
      <c r="BH124" s="30">
        <f>=BH8</f>
        <v>4678</v>
      </c>
      <c r="BI124" s="30">
        <f>=BI8</f>
        <v>4678</v>
      </c>
      <c r="BJ124" s="30">
        <f>=BJ8</f>
        <v>4678</v>
      </c>
      <c r="BK124" s="30">
        <f>=BK8</f>
        <v>4678</v>
      </c>
      <c r="BL124" s="30">
        <f>=BL8</f>
        <v>4501</v>
      </c>
      <c r="BM124" s="30">
        <f>=BM8</f>
        <v>4496</v>
      </c>
      <c r="BN124" s="30">
        <f>=BN8</f>
        <v>4496</v>
      </c>
      <c r="BO124" s="30">
        <f>=BO8</f>
        <v>4496</v>
      </c>
      <c r="BP124" s="30">
        <f>=BP8</f>
        <v>4498</v>
      </c>
      <c r="BQ124" s="30">
        <f>=BQ8</f>
        <v>4311</v>
      </c>
      <c r="BR124" s="30">
        <f>=BR8</f>
        <v>3952</v>
      </c>
      <c r="BS124" s="30">
        <f>=BS8</f>
        <v>3952</v>
      </c>
      <c r="BT124" s="30">
        <f>=BT8</f>
        <v>3949</v>
      </c>
      <c r="BU124" s="30">
        <f>=BU8</f>
        <v>3955</v>
      </c>
      <c r="BV124" s="30">
        <f>=BV8</f>
        <v>3955</v>
      </c>
      <c r="BW124" s="30">
        <f>=BW8</f>
        <v>3955</v>
      </c>
      <c r="BX124" s="30">
        <f>=BX8</f>
        <v>3955</v>
      </c>
      <c r="BY124" s="30">
        <f>=BY8</f>
        <v>3959</v>
      </c>
      <c r="BZ124" s="30">
        <f>=BZ8</f>
        <v>3963</v>
      </c>
      <c r="CA124" s="30">
        <f>=CA8</f>
        <v>3963</v>
      </c>
      <c r="CB124" s="30">
        <f>=CB8</f>
        <v>3963</v>
      </c>
      <c r="CC124" s="30">
        <f>=CC8</f>
        <v>3963</v>
      </c>
      <c r="CD124" s="30">
        <f>=CD8</f>
        <v>2726</v>
      </c>
      <c r="CE124" s="30">
        <f>=CE8</f>
        <v>2726</v>
      </c>
      <c r="CF124" s="30">
        <f>=CF8</f>
        <v>2726</v>
      </c>
      <c r="CG124" s="30">
        <f>=CG8</f>
        <v>2726</v>
      </c>
      <c r="CH124" s="30">
        <f>=CH8</f>
        <v>2821</v>
      </c>
      <c r="CI124" s="30">
        <f>=CI8</f>
        <v>2821</v>
      </c>
      <c r="CJ124" s="30">
        <f>=CJ8</f>
        <v>2821</v>
      </c>
      <c r="CK124" s="30">
        <f>=CK8</f>
        <v>2821</v>
      </c>
      <c r="CL124" s="30">
        <f>=CL8</f>
        <v>2918</v>
      </c>
      <c r="CM124" s="30">
        <f>=CM8</f>
        <v>2918</v>
      </c>
      <c r="CN124" s="30">
        <f>=CN8</f>
        <v>2918</v>
      </c>
      <c r="CO124" s="30">
        <f>=CO8</f>
        <v>2918</v>
      </c>
      <c r="CP124" s="30">
        <f>=CP8</f>
        <v>3051</v>
      </c>
      <c r="CQ124" s="30">
        <f>=CQ8</f>
        <v>3051</v>
      </c>
      <c r="CR124" s="30">
        <f>=CR8</f>
        <v>3051</v>
      </c>
      <c r="CS124" s="30">
        <f>=CS8</f>
        <v>3051</v>
      </c>
      <c r="CT124" s="30">
        <f>=CT8</f>
        <v>3051</v>
      </c>
      <c r="CU124" s="30">
        <f>=CU8</f>
        <v>3189</v>
      </c>
      <c r="CV124" s="30">
        <f>=CV8</f>
        <v>3189</v>
      </c>
      <c r="CW124" s="30">
        <f>=CW8</f>
        <v>3189</v>
      </c>
      <c r="CX124" s="30">
        <f>=CX8</f>
        <v>3189</v>
      </c>
      <c r="CY124" s="30">
        <f>=CY8</f>
        <v>3333</v>
      </c>
      <c r="CZ124" s="30">
        <f>=CZ8</f>
        <v>3333</v>
      </c>
      <c r="DA124" s="30">
        <f>=DA8</f>
        <v>3333</v>
      </c>
      <c r="DB124" s="30">
        <f>=DB8</f>
        <v>3333</v>
      </c>
    </row>
    <row r="125" ht="18" customHeight="1" spans="1:106" x14ac:dyDescent="0.25">
      <c r="A125" s="68" t="s">
        <v>347</v>
      </c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50">
        <v>2824</v>
      </c>
      <c r="AD125" s="50">
        <v>2655</v>
      </c>
      <c r="AE125" s="50">
        <v>2776</v>
      </c>
      <c r="AF125" s="50">
        <v>2922</v>
      </c>
      <c r="AG125" s="50">
        <v>3046</v>
      </c>
      <c r="AH125" s="50">
        <v>3485</v>
      </c>
      <c r="AI125" s="50">
        <v>3842</v>
      </c>
      <c r="AJ125" s="50">
        <v>3614</v>
      </c>
      <c r="AK125" s="50">
        <v>4156</v>
      </c>
      <c r="AL125" s="50">
        <v>3540</v>
      </c>
      <c r="AM125" s="50">
        <v>4030</v>
      </c>
      <c r="AN125" s="50">
        <v>4280</v>
      </c>
      <c r="AO125" s="50">
        <v>4215</v>
      </c>
      <c r="AP125" s="50">
        <v>4879</v>
      </c>
      <c r="AQ125" s="50">
        <v>5140</v>
      </c>
      <c r="AR125" s="50">
        <v>5085</v>
      </c>
      <c r="AS125" s="50">
        <v>4580</v>
      </c>
      <c r="AT125" s="50">
        <v>5702</v>
      </c>
      <c r="AU125" s="50">
        <v>6128</v>
      </c>
      <c r="AV125" s="50">
        <v>7016</v>
      </c>
      <c r="AW125" s="50">
        <v>7158</v>
      </c>
      <c r="AX125" s="50">
        <v>7738</v>
      </c>
      <c r="AY125" s="50">
        <v>6422</v>
      </c>
      <c r="AZ125" s="50">
        <v>6740</v>
      </c>
      <c r="BA125" s="50">
        <v>6683</v>
      </c>
      <c r="BB125" s="50">
        <v>7248</v>
      </c>
      <c r="BC125" s="50">
        <v>6676</v>
      </c>
      <c r="BD125" s="50">
        <v>6046</v>
      </c>
      <c r="BE125" s="50">
        <v>6424</v>
      </c>
      <c r="BF125" s="50">
        <v>6655</v>
      </c>
      <c r="BG125" s="50">
        <v>6527</v>
      </c>
      <c r="BH125" s="50">
        <v>6460</v>
      </c>
      <c r="BI125" s="50">
        <v>6349</v>
      </c>
      <c r="BJ125" s="50">
        <v>6332</v>
      </c>
      <c r="BK125" s="50">
        <v>6197</v>
      </c>
      <c r="BL125" s="50">
        <v>6042</v>
      </c>
      <c r="BM125" s="50">
        <v>5777</v>
      </c>
      <c r="BN125" s="69">
        <v>5486</v>
      </c>
      <c r="BO125" s="69">
        <v>5323</v>
      </c>
      <c r="BP125" s="69">
        <v>5466</v>
      </c>
      <c r="BQ125" s="69">
        <v>5304</v>
      </c>
      <c r="BR125" s="69">
        <v>4818</v>
      </c>
      <c r="BS125" s="69">
        <v>4653</v>
      </c>
      <c r="BT125" s="69">
        <v>4676</v>
      </c>
      <c r="BU125" s="69">
        <v>4640</v>
      </c>
      <c r="BV125" s="69">
        <v>4579</v>
      </c>
      <c r="BW125" s="69">
        <v>4640</v>
      </c>
      <c r="BX125" s="30"/>
      <c r="BY125" s="30"/>
      <c r="BZ125" s="30"/>
      <c r="CA125" s="30"/>
      <c r="CB125" s="30"/>
      <c r="CC125" s="30"/>
      <c r="CD125" s="30"/>
      <c r="CE125" s="30"/>
      <c r="CF125" s="30"/>
      <c r="CG125" s="30"/>
      <c r="CH125" s="30"/>
      <c r="CI125" s="30"/>
      <c r="CJ125" s="30"/>
      <c r="CK125" s="30"/>
      <c r="CL125" s="30"/>
      <c r="CM125" s="30"/>
      <c r="CN125" s="30"/>
      <c r="CO125" s="30"/>
      <c r="CP125" s="30"/>
      <c r="CQ125" s="30"/>
      <c r="CR125" s="30"/>
      <c r="CS125" s="30"/>
      <c r="CT125" s="30"/>
      <c r="CU125" s="30"/>
      <c r="CV125" s="30"/>
      <c r="CW125" s="30"/>
      <c r="CX125" s="30"/>
      <c r="CY125" s="30"/>
      <c r="CZ125" s="30"/>
      <c r="DA125" s="30"/>
      <c r="DB125" s="30"/>
    </row>
    <row r="126" ht="18" customHeight="1" spans="1:106" x14ac:dyDescent="0.25">
      <c r="A126" s="68" t="s">
        <v>348</v>
      </c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50">
        <v>2288</v>
      </c>
      <c r="AD126" s="50">
        <v>2328</v>
      </c>
      <c r="AE126" s="50">
        <v>2269</v>
      </c>
      <c r="AF126" s="50">
        <v>2264</v>
      </c>
      <c r="AG126" s="50">
        <v>2299</v>
      </c>
      <c r="AH126" s="50">
        <v>2549</v>
      </c>
      <c r="AI126" s="50">
        <v>2680</v>
      </c>
      <c r="AJ126" s="50">
        <v>2533</v>
      </c>
      <c r="AK126" s="50">
        <v>2888</v>
      </c>
      <c r="AL126" s="50">
        <v>2726</v>
      </c>
      <c r="AM126" s="50">
        <v>2947</v>
      </c>
      <c r="AN126" s="50">
        <v>3252</v>
      </c>
      <c r="AO126" s="50">
        <v>3145</v>
      </c>
      <c r="AP126" s="50">
        <v>3548</v>
      </c>
      <c r="AQ126" s="50">
        <v>3049</v>
      </c>
      <c r="AR126" s="50">
        <v>3869</v>
      </c>
      <c r="AS126" s="50">
        <v>3798</v>
      </c>
      <c r="AT126" s="50">
        <v>4068</v>
      </c>
      <c r="AU126" s="50">
        <v>4559</v>
      </c>
      <c r="AV126" s="50">
        <v>4873</v>
      </c>
      <c r="AW126" s="50">
        <v>5543</v>
      </c>
      <c r="AX126" s="50">
        <v>5121</v>
      </c>
      <c r="AY126" s="50">
        <v>5440</v>
      </c>
      <c r="AZ126" s="50">
        <v>5549</v>
      </c>
      <c r="BA126" s="50">
        <v>5181</v>
      </c>
      <c r="BB126" s="50">
        <v>5536</v>
      </c>
      <c r="BC126" s="50">
        <v>5200</v>
      </c>
      <c r="BD126" s="50">
        <v>5020</v>
      </c>
      <c r="BE126" s="50">
        <v>4877</v>
      </c>
      <c r="BF126" s="50">
        <v>5092</v>
      </c>
      <c r="BG126" s="50">
        <v>5096</v>
      </c>
      <c r="BH126" s="50">
        <v>5023</v>
      </c>
      <c r="BI126" s="50">
        <v>4997</v>
      </c>
      <c r="BJ126" s="50">
        <v>4946</v>
      </c>
      <c r="BK126" s="50">
        <v>4993</v>
      </c>
      <c r="BL126" s="50">
        <v>4623</v>
      </c>
      <c r="BM126" s="50">
        <v>4294</v>
      </c>
      <c r="BN126" s="69">
        <v>4347</v>
      </c>
      <c r="BO126" s="69">
        <v>4263</v>
      </c>
      <c r="BP126" s="69">
        <v>4294</v>
      </c>
      <c r="BQ126" s="69">
        <v>4259</v>
      </c>
      <c r="BR126" s="69">
        <v>3826</v>
      </c>
      <c r="BS126" s="69">
        <v>3735</v>
      </c>
      <c r="BT126" s="69">
        <v>1146</v>
      </c>
      <c r="BU126" s="69">
        <v>3592</v>
      </c>
      <c r="BV126" s="69">
        <v>3625</v>
      </c>
      <c r="BW126" s="69">
        <v>3607</v>
      </c>
      <c r="BX126" s="30"/>
      <c r="BY126" s="30"/>
      <c r="BZ126" s="30"/>
      <c r="CA126" s="30"/>
      <c r="CB126" s="30"/>
      <c r="CC126" s="30"/>
      <c r="CD126" s="30"/>
      <c r="CE126" s="30"/>
      <c r="CF126" s="30"/>
      <c r="CG126" s="30"/>
      <c r="CH126" s="30"/>
      <c r="CI126" s="30"/>
      <c r="CJ126" s="30"/>
      <c r="CK126" s="30"/>
      <c r="CL126" s="30"/>
      <c r="CM126" s="30"/>
      <c r="CN126" s="30"/>
      <c r="CO126" s="30"/>
      <c r="CP126" s="30"/>
      <c r="CQ126" s="30"/>
      <c r="CR126" s="30"/>
      <c r="CS126" s="30"/>
      <c r="CT126" s="30"/>
      <c r="CU126" s="30"/>
      <c r="CV126" s="30"/>
      <c r="CW126" s="30"/>
      <c r="CX126" s="30"/>
      <c r="CY126" s="30"/>
      <c r="CZ126" s="30"/>
      <c r="DA126" s="30"/>
      <c r="DB126" s="30"/>
    </row>
    <row r="127" ht="18" customHeight="1" spans="1:106" x14ac:dyDescent="0.25">
      <c r="A127" s="70" t="s">
        <v>349</v>
      </c>
      <c r="C127" s="31">
        <f>=IFERROR(C126/C124,0)</f>
        <v>0</v>
      </c>
      <c r="D127" s="31">
        <f>=IFERROR(D126/D124,0)</f>
        <v>0</v>
      </c>
      <c r="E127" s="31">
        <f>=IFERROR(E126/E124,0)</f>
        <v>0</v>
      </c>
      <c r="F127" s="31">
        <f>=IFERROR(F126/F124,0)</f>
        <v>0</v>
      </c>
      <c r="G127" s="31">
        <f>=IFERROR(G126/G124,0)</f>
        <v>0</v>
      </c>
      <c r="H127" s="31">
        <f>=IFERROR(H126/H124,0)</f>
        <v>0</v>
      </c>
      <c r="I127" s="31">
        <f>=IFERROR(I126/I124,0)</f>
        <v>0</v>
      </c>
      <c r="J127" s="31">
        <f>=IFERROR(J126/J124,0)</f>
        <v>0</v>
      </c>
      <c r="K127" s="31">
        <f>=IFERROR(K126/K124,0)</f>
        <v>0</v>
      </c>
      <c r="L127" s="31">
        <f>=IFERROR(L126/L124,0)</f>
        <v>0</v>
      </c>
      <c r="M127" s="31">
        <f>=IFERROR(M126/M124,0)</f>
        <v>0</v>
      </c>
      <c r="N127" s="31">
        <f>=IFERROR(N126/N124,0)</f>
        <v>0</v>
      </c>
      <c r="O127" s="31">
        <f>=IFERROR(O126/O124,0)</f>
        <v>0</v>
      </c>
      <c r="P127" s="31">
        <f>=IFERROR(P126/P124,0)</f>
        <v>0</v>
      </c>
      <c r="Q127" s="31">
        <f>=IFERROR(Q126/Q124,0)</f>
        <v>0</v>
      </c>
      <c r="R127" s="31">
        <f>=IFERROR(R126/R124,0)</f>
        <v>0</v>
      </c>
      <c r="S127" s="31">
        <f>=IFERROR(S126/S124,0)</f>
        <v>0</v>
      </c>
      <c r="T127" s="31">
        <f>=IFERROR(T126/T124,0)</f>
        <v>0</v>
      </c>
      <c r="U127" s="31">
        <f>=IFERROR(U126/U124,0)</f>
        <v>0</v>
      </c>
      <c r="V127" s="31">
        <f>=IFERROR(V126/V124,0)</f>
        <v>0</v>
      </c>
      <c r="W127" s="31">
        <f>=IFERROR(W126/W124,0)</f>
        <v>0</v>
      </c>
      <c r="X127" s="31">
        <f>=IFERROR(X126/X124,0)</f>
        <v>0</v>
      </c>
      <c r="Y127" s="31">
        <f>=IFERROR(Y126/Y124,0)</f>
        <v>0</v>
      </c>
      <c r="Z127" s="31">
        <f>=IFERROR(Z126/Z124,0)</f>
        <v>0</v>
      </c>
      <c r="AA127" s="31">
        <f>=IFERROR(AA126/AA124,0)</f>
        <v>0</v>
      </c>
      <c r="AB127" s="31">
        <f>=IFERROR(AB126/AB124,0)</f>
        <v>0</v>
      </c>
      <c r="AC127" s="31">
        <f>=IFERROR(AC126/AC124,0)</f>
        <v>1.2287862513426424</v>
      </c>
      <c r="AD127" s="31">
        <f>=IFERROR(AD126/AD124,0)</f>
        <v>1.0486486486486486</v>
      </c>
      <c r="AE127" s="31">
        <f>=IFERROR(AE126/AE124,0)</f>
        <v>1.0220720720720722</v>
      </c>
      <c r="AF127" s="31">
        <f>=IFERROR(AF126/AF124,0)</f>
        <v>1.0198198198198198</v>
      </c>
      <c r="AG127" s="31">
        <f>=IFERROR(AG126/AG124,0)</f>
        <v>1.0365193868349865</v>
      </c>
      <c r="AH127" s="31">
        <f>=IFERROR(AH126/AH124,0)</f>
        <v>0.9910575427682737</v>
      </c>
      <c r="AI127" s="31">
        <f>=IFERROR(AI126/AI124,0)</f>
        <v>0.9406809406809407</v>
      </c>
      <c r="AJ127" s="31">
        <f>=IFERROR(AJ126/AJ124,0)</f>
        <v>0.8340467566677643</v>
      </c>
      <c r="AK127" s="31">
        <f>=IFERROR(AK126/AK124,0)</f>
        <v>0.9531353135313532</v>
      </c>
      <c r="AL127" s="31">
        <f>=IFERROR(AL126/AL124,0)</f>
        <v>0.8255602665051484</v>
      </c>
      <c r="AM127" s="31">
        <f>=IFERROR(AM126/AM124,0)</f>
        <v>0.8924894003634161</v>
      </c>
      <c r="AN127" s="31">
        <f>=IFERROR(AN126/AN124,0)</f>
        <v>0.9848576620230164</v>
      </c>
      <c r="AO127" s="31">
        <f>=IFERROR(AO126/AO124,0)</f>
        <v>0.9524530587522714</v>
      </c>
      <c r="AP127" s="31">
        <f>=IFERROR(AP126/AP124,0)</f>
        <v>1.0745003028467595</v>
      </c>
      <c r="AQ127" s="31">
        <f>=IFERROR(AQ126/AQ124,0)</f>
        <v>0.8180842500670781</v>
      </c>
      <c r="AR127" s="31">
        <f>=IFERROR(AR126/AR124,0)</f>
        <v>1.03810034880601</v>
      </c>
      <c r="AS127" s="31">
        <f>=IFERROR(AS126/AS124,0)</f>
        <v>1.0190501744030052</v>
      </c>
      <c r="AT127" s="31">
        <f>=IFERROR(AT126/AT124,0)</f>
        <v>1.030134211192707</v>
      </c>
      <c r="AU127" s="31">
        <f>=IFERROR(AU126/AU124,0)</f>
        <v>1.0411052751769811</v>
      </c>
      <c r="AV127" s="31">
        <f>=IFERROR(AV126/AV124,0)</f>
        <v>1.1128111440968258</v>
      </c>
      <c r="AW127" s="31">
        <f>=IFERROR(AW126/AW124,0)</f>
        <v>1.265525114155251</v>
      </c>
      <c r="AX127" s="31">
        <f>=IFERROR(AX126/AX124,0)</f>
        <v>1.0972787658024428</v>
      </c>
      <c r="AY127" s="31">
        <f>=IFERROR(AY126/AY124,0)</f>
        <v>1.1611526147278548</v>
      </c>
      <c r="AZ127" s="31">
        <f>=IFERROR(AZ126/AZ124,0)</f>
        <v>1.184418356456777</v>
      </c>
      <c r="BA127" s="31">
        <f>=IFERROR(BA126/BA124,0)</f>
        <v>1.1058697972251867</v>
      </c>
      <c r="BB127" s="31">
        <f>=IFERROR(BB126/BB124,0)</f>
        <v>1.1816435432230523</v>
      </c>
      <c r="BC127" s="31">
        <f>=IFERROR(BC126/BC124,0)</f>
        <v>1.1096884336320956</v>
      </c>
      <c r="BD127" s="31">
        <f>=IFERROR(BD126/BD124,0)</f>
        <v>1.071276141698677</v>
      </c>
      <c r="BE127" s="31">
        <f>=IFERROR(BE126/BE124,0)</f>
        <v>1.0407597097737942</v>
      </c>
      <c r="BF127" s="31">
        <f>=IFERROR(BF126/BF124,0)</f>
        <v>1.0866410584720443</v>
      </c>
      <c r="BG127" s="31">
        <f>=IFERROR(BG126/BG124,0)</f>
        <v>1.0879590093936806</v>
      </c>
      <c r="BH127" s="31">
        <f>=IFERROR(BH126/BH124,0)</f>
        <v>1.0737494655835826</v>
      </c>
      <c r="BI127" s="31">
        <f>=IFERROR(BI126/BI124,0)</f>
        <v>1.0681915348439504</v>
      </c>
      <c r="BJ127" s="31">
        <f>=IFERROR(BJ126/BJ124,0)</f>
        <v>1.0572894399315946</v>
      </c>
      <c r="BK127" s="31">
        <f>=IFERROR(BK126/BK124,0)</f>
        <v>1.0673364685763147</v>
      </c>
      <c r="BL127" s="31">
        <f>=IFERROR(BL126/BL124,0)</f>
        <v>1.027105087758276</v>
      </c>
      <c r="BM127" s="31">
        <f>=IFERROR(BM126/BM124,0)</f>
        <v>0.9550711743772242</v>
      </c>
      <c r="BN127" s="31">
        <f>=IFERROR(BN126/BN124,0)</f>
        <v>0.9668594306049823</v>
      </c>
      <c r="BO127" s="31">
        <f>=IFERROR(BO126/BO124,0)</f>
        <v>0.9481761565836299</v>
      </c>
      <c r="BP127" s="31">
        <f>=IFERROR(BP126/BP124,0)</f>
        <v>0.9546465095598043</v>
      </c>
      <c r="BQ127" s="31">
        <f>=IFERROR(BQ126/BQ124,0)</f>
        <v>0.9879378334493157</v>
      </c>
      <c r="BR127" s="31">
        <f>=IFERROR(BR126/BR124,0)</f>
        <v>0.9681174089068826</v>
      </c>
      <c r="BS127" s="31">
        <f>=IFERROR(BS126/BS124,0)</f>
        <v>0.9450910931174089</v>
      </c>
      <c r="BT127" s="31">
        <f>=IFERROR(BT126/BT124,0)</f>
        <v>0.2902000506457331</v>
      </c>
      <c r="BU127" s="31">
        <f>=IFERROR(BU126/BU124,0)</f>
        <v>0.9082174462705436</v>
      </c>
      <c r="BV127" s="31">
        <f>=IFERROR(BV126/BV124,0)</f>
        <v>0.9165613147914032</v>
      </c>
      <c r="BW127" s="31">
        <f>=IFERROR(BW126/BW124,0)</f>
        <v>0.9120101137800253</v>
      </c>
      <c r="BX127" s="31">
        <f>=IFERROR(BX126/BX124,0)</f>
        <v>0</v>
      </c>
      <c r="BY127" s="31">
        <f>=IFERROR(BY126/BY124,0)</f>
        <v>0</v>
      </c>
      <c r="BZ127" s="31">
        <f>=IFERROR(BZ126/BZ124,0)</f>
        <v>0</v>
      </c>
      <c r="CA127" s="31">
        <f>=IFERROR(CA126/CA124,0)</f>
        <v>0</v>
      </c>
      <c r="CB127" s="31">
        <f>=IFERROR(CB126/CB124,0)</f>
        <v>0</v>
      </c>
      <c r="CC127" s="31">
        <f>=IFERROR(CC126/CC124,0)</f>
        <v>0</v>
      </c>
      <c r="CD127" s="31">
        <f>=IFERROR(CD126/CD124,0)</f>
        <v>0</v>
      </c>
      <c r="CE127" s="31">
        <f>=IFERROR(CE126/CE124,0)</f>
        <v>0</v>
      </c>
      <c r="CF127" s="31">
        <f>=IFERROR(CF126/CF124,0)</f>
        <v>0</v>
      </c>
      <c r="CG127" s="31">
        <f>=IFERROR(CG126/CG124,0)</f>
        <v>0</v>
      </c>
      <c r="CH127" s="31">
        <f>=IFERROR(CH126/CH124,0)</f>
        <v>0</v>
      </c>
      <c r="CI127" s="31">
        <f>=IFERROR(CI126/CI124,0)</f>
        <v>0</v>
      </c>
      <c r="CJ127" s="31">
        <f>=IFERROR(CJ126/CJ124,0)</f>
        <v>0</v>
      </c>
      <c r="CK127" s="31">
        <f>=IFERROR(CK126/CK124,0)</f>
        <v>0</v>
      </c>
      <c r="CL127" s="31">
        <f>=IFERROR(CL126/CL124,0)</f>
        <v>0</v>
      </c>
      <c r="CM127" s="31">
        <f>=IFERROR(CM126/CM124,0)</f>
        <v>0</v>
      </c>
      <c r="CN127" s="31">
        <f>=IFERROR(CN126/CN124,0)</f>
        <v>0</v>
      </c>
      <c r="CO127" s="31">
        <f>=IFERROR(CO126/CO124,0)</f>
        <v>0</v>
      </c>
      <c r="CP127" s="31">
        <f>=IFERROR(CP126/CP124,0)</f>
        <v>0</v>
      </c>
      <c r="CQ127" s="31">
        <f>=IFERROR(CQ126/CQ124,0)</f>
        <v>0</v>
      </c>
      <c r="CR127" s="31">
        <f>=IFERROR(CR126/CR124,0)</f>
        <v>0</v>
      </c>
      <c r="CS127" s="31">
        <f>=IFERROR(CS126/CS124,0)</f>
        <v>0</v>
      </c>
      <c r="CT127" s="31">
        <f>=IFERROR(CT126/CT124,0)</f>
        <v>0</v>
      </c>
      <c r="CU127" s="31">
        <f>=IFERROR(CU126/CU124,0)</f>
        <v>0</v>
      </c>
      <c r="CV127" s="31">
        <f>=IFERROR(CV126/CV124,0)</f>
        <v>0</v>
      </c>
      <c r="CW127" s="31">
        <f>=IFERROR(CW126/CW124,0)</f>
        <v>0</v>
      </c>
      <c r="CX127" s="31">
        <f>=IFERROR(CX126/CX124,0)</f>
        <v>0</v>
      </c>
      <c r="CY127" s="31">
        <f>=IFERROR(CY126/CY124,0)</f>
        <v>0</v>
      </c>
      <c r="CZ127" s="31">
        <f>=IFERROR(CZ126/CZ124,0)</f>
        <v>0</v>
      </c>
      <c r="DA127" s="31">
        <f>=IFERROR(DA126/DA124,0)</f>
        <v>0</v>
      </c>
      <c r="DB127" s="31">
        <f>=IFERROR(DB126/DB124,0)</f>
        <v>0</v>
      </c>
    </row>
    <row r="128" ht="18" customHeight="1" spans="1:106" x14ac:dyDescent="0.25">
      <c r="A128" s="68" t="s">
        <v>350</v>
      </c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50">
        <v>1731</v>
      </c>
      <c r="AD128" s="50">
        <v>2018</v>
      </c>
      <c r="AE128" s="50">
        <v>1484</v>
      </c>
      <c r="AF128" s="50">
        <v>1865</v>
      </c>
      <c r="AG128" s="50">
        <v>1825</v>
      </c>
      <c r="AH128" s="50">
        <v>1885</v>
      </c>
      <c r="AI128" s="50">
        <v>1670</v>
      </c>
      <c r="AJ128" s="50">
        <v>2024</v>
      </c>
      <c r="AK128" s="50">
        <v>2097</v>
      </c>
      <c r="AL128" s="50">
        <v>2390</v>
      </c>
      <c r="AM128" s="50">
        <v>2399</v>
      </c>
      <c r="AN128" s="50">
        <v>2734</v>
      </c>
      <c r="AO128" s="50">
        <v>2597</v>
      </c>
      <c r="AP128" s="50">
        <v>3052</v>
      </c>
      <c r="AQ128" s="50">
        <v>2798</v>
      </c>
      <c r="AR128" s="50">
        <v>2832</v>
      </c>
      <c r="AS128" s="50">
        <v>3265</v>
      </c>
      <c r="AT128" s="50">
        <v>3674</v>
      </c>
      <c r="AU128" s="50">
        <v>4185</v>
      </c>
      <c r="AV128" s="50">
        <v>4245</v>
      </c>
      <c r="AW128" s="50">
        <v>4907</v>
      </c>
      <c r="AX128" s="50">
        <v>4342</v>
      </c>
      <c r="AY128" s="50">
        <v>4480</v>
      </c>
      <c r="AZ128" s="50">
        <v>4756</v>
      </c>
      <c r="BA128" s="50">
        <v>4337</v>
      </c>
      <c r="BB128" s="50">
        <v>4931</v>
      </c>
      <c r="BC128" s="50">
        <v>4743</v>
      </c>
      <c r="BD128" s="50">
        <v>4236</v>
      </c>
      <c r="BE128" s="50">
        <v>4373</v>
      </c>
      <c r="BF128" s="50">
        <v>4453</v>
      </c>
      <c r="BG128" s="50">
        <v>4468</v>
      </c>
      <c r="BH128" s="50">
        <v>4423</v>
      </c>
      <c r="BI128" s="50">
        <v>4445</v>
      </c>
      <c r="BJ128" s="50">
        <v>4397</v>
      </c>
      <c r="BK128" s="50">
        <v>4461</v>
      </c>
      <c r="BL128" s="50">
        <v>4119</v>
      </c>
      <c r="BM128" s="50">
        <v>3823</v>
      </c>
      <c r="BN128" s="69">
        <v>3879</v>
      </c>
      <c r="BO128" s="69">
        <v>3688</v>
      </c>
      <c r="BP128" s="69">
        <v>3758</v>
      </c>
      <c r="BQ128" s="69">
        <v>3657</v>
      </c>
      <c r="BR128" s="69">
        <v>3387</v>
      </c>
      <c r="BS128" s="69">
        <v>3224</v>
      </c>
      <c r="BT128" s="69">
        <v>1006</v>
      </c>
      <c r="BU128" s="69">
        <v>3046</v>
      </c>
      <c r="BV128" s="69">
        <v>3027</v>
      </c>
      <c r="BW128" s="69">
        <v>3195</v>
      </c>
      <c r="BX128" s="30"/>
      <c r="BY128" s="30"/>
      <c r="BZ128" s="30"/>
      <c r="CA128" s="30"/>
      <c r="CB128" s="30"/>
      <c r="CC128" s="30"/>
      <c r="CD128" s="30"/>
      <c r="CE128" s="30"/>
      <c r="CF128" s="30"/>
      <c r="CG128" s="30"/>
      <c r="CH128" s="30"/>
      <c r="CI128" s="30"/>
      <c r="CJ128" s="30"/>
      <c r="CK128" s="30"/>
      <c r="CL128" s="30"/>
      <c r="CM128" s="30"/>
      <c r="CN128" s="30"/>
      <c r="CO128" s="30"/>
      <c r="CP128" s="30"/>
      <c r="CQ128" s="30"/>
      <c r="CR128" s="30"/>
      <c r="CS128" s="30"/>
      <c r="CT128" s="30"/>
      <c r="CU128" s="30"/>
      <c r="CV128" s="30"/>
      <c r="CW128" s="30"/>
      <c r="CX128" s="30"/>
      <c r="CY128" s="30"/>
      <c r="CZ128" s="30"/>
      <c r="DA128" s="30"/>
      <c r="DB128" s="30"/>
    </row>
    <row r="129" ht="18" customHeight="1" spans="1:75" x14ac:dyDescent="0.25">
      <c r="A129" s="68" t="s">
        <v>351</v>
      </c>
      <c r="BU129" s="71"/>
      <c r="BV129" s="71"/>
      <c r="BW129" s="71"/>
    </row>
    <row r="130" ht="18" customHeight="1" spans="1:75" x14ac:dyDescent="0.25">
      <c r="A130" s="72" t="s">
        <v>263</v>
      </c>
      <c r="AC130" s="50">
        <v>118</v>
      </c>
      <c r="AD130" s="50">
        <v>19</v>
      </c>
      <c r="AE130" s="50">
        <v>5</v>
      </c>
      <c r="AF130" s="50">
        <v>19</v>
      </c>
      <c r="AG130" s="50">
        <v>154</v>
      </c>
      <c r="AH130" s="50">
        <v>119</v>
      </c>
      <c r="AI130" s="50">
        <v>104</v>
      </c>
      <c r="AJ130" s="50">
        <v>65</v>
      </c>
      <c r="AK130" s="50">
        <v>20</v>
      </c>
      <c r="AL130" s="50">
        <v>68</v>
      </c>
      <c r="AM130" s="50">
        <v>55</v>
      </c>
      <c r="AN130" s="50">
        <v>95</v>
      </c>
      <c r="AO130" s="50">
        <v>124</v>
      </c>
      <c r="AP130" s="50">
        <v>100</v>
      </c>
      <c r="AQ130" s="50">
        <v>92</v>
      </c>
      <c r="AR130" s="50">
        <v>190</v>
      </c>
      <c r="AS130" s="50">
        <v>96</v>
      </c>
      <c r="AT130" s="50">
        <v>114</v>
      </c>
      <c r="AU130" s="50">
        <v>114</v>
      </c>
      <c r="AV130" s="50">
        <v>130</v>
      </c>
      <c r="AW130" s="50">
        <v>62</v>
      </c>
      <c r="AX130" s="50">
        <v>105</v>
      </c>
      <c r="AY130" s="50">
        <v>69</v>
      </c>
      <c r="AZ130" s="50">
        <v>81</v>
      </c>
      <c r="BA130" s="50">
        <v>147</v>
      </c>
      <c r="BB130" s="50">
        <v>133</v>
      </c>
      <c r="BC130" s="50">
        <v>255</v>
      </c>
      <c r="BD130" s="50">
        <v>158</v>
      </c>
      <c r="BE130" s="50">
        <v>118</v>
      </c>
      <c r="BF130" s="50">
        <v>155</v>
      </c>
      <c r="BG130" s="50">
        <v>275</v>
      </c>
      <c r="BH130" s="50">
        <v>257</v>
      </c>
      <c r="BI130" s="50">
        <v>313</v>
      </c>
      <c r="BJ130" s="50">
        <v>298</v>
      </c>
      <c r="BK130" s="50">
        <v>403</v>
      </c>
      <c r="BL130" s="50">
        <v>307</v>
      </c>
      <c r="BM130" s="50">
        <v>244</v>
      </c>
      <c r="BN130" s="69">
        <v>185</v>
      </c>
      <c r="BO130" s="69">
        <v>315</v>
      </c>
      <c r="BP130" s="69">
        <v>300</v>
      </c>
      <c r="BQ130" s="69">
        <v>207</v>
      </c>
      <c r="BR130" s="69">
        <v>339</v>
      </c>
      <c r="BS130" s="69">
        <v>217</v>
      </c>
      <c r="BT130" s="69">
        <v>210</v>
      </c>
      <c r="BU130" s="69">
        <v>239</v>
      </c>
      <c r="BV130" s="69">
        <v>196</v>
      </c>
      <c r="BW130" s="69">
        <v>220</v>
      </c>
    </row>
    <row r="131" ht="18" customHeight="1" spans="1:106" x14ac:dyDescent="0.25">
      <c r="A131" s="72" t="s">
        <v>264</v>
      </c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50">
        <v>100</v>
      </c>
      <c r="AD131" s="50">
        <v>76</v>
      </c>
      <c r="AE131" s="50">
        <v>89</v>
      </c>
      <c r="AF131" s="50">
        <v>238</v>
      </c>
      <c r="AG131" s="50">
        <v>171</v>
      </c>
      <c r="AH131" s="50">
        <v>165</v>
      </c>
      <c r="AI131" s="50">
        <v>192</v>
      </c>
      <c r="AJ131" s="50">
        <v>172</v>
      </c>
      <c r="AK131" s="50">
        <v>337</v>
      </c>
      <c r="AL131" s="50">
        <v>261</v>
      </c>
      <c r="AM131" s="50">
        <v>273</v>
      </c>
      <c r="AN131" s="50">
        <v>231</v>
      </c>
      <c r="AO131" s="50">
        <v>287</v>
      </c>
      <c r="AP131" s="50">
        <v>398</v>
      </c>
      <c r="AQ131" s="50">
        <v>302</v>
      </c>
      <c r="AR131" s="50">
        <v>265</v>
      </c>
      <c r="AS131" s="50">
        <v>279</v>
      </c>
      <c r="AT131" s="50">
        <v>437</v>
      </c>
      <c r="AU131" s="50">
        <v>438</v>
      </c>
      <c r="AV131" s="50">
        <v>686</v>
      </c>
      <c r="AW131" s="50">
        <v>273</v>
      </c>
      <c r="AX131" s="50">
        <v>312</v>
      </c>
      <c r="AY131" s="50">
        <v>497</v>
      </c>
      <c r="AZ131" s="50">
        <v>335</v>
      </c>
      <c r="BA131" s="50">
        <v>590</v>
      </c>
      <c r="BB131" s="50">
        <v>81</v>
      </c>
      <c r="BC131" s="50">
        <v>513</v>
      </c>
      <c r="BD131" s="50">
        <v>404</v>
      </c>
      <c r="BE131" s="50">
        <v>702</v>
      </c>
      <c r="BF131" s="50">
        <v>578</v>
      </c>
      <c r="BG131" s="50">
        <v>362</v>
      </c>
      <c r="BH131" s="50">
        <v>378</v>
      </c>
      <c r="BI131" s="50">
        <v>292</v>
      </c>
      <c r="BJ131" s="50">
        <v>335</v>
      </c>
      <c r="BK131" s="50">
        <v>452</v>
      </c>
      <c r="BL131" s="50">
        <v>402</v>
      </c>
      <c r="BM131" s="50">
        <v>554</v>
      </c>
      <c r="BN131" s="69">
        <v>312</v>
      </c>
      <c r="BO131" s="69">
        <v>165</v>
      </c>
      <c r="BP131" s="69">
        <v>210</v>
      </c>
      <c r="BQ131" s="69">
        <v>220</v>
      </c>
      <c r="BR131" s="69">
        <v>151</v>
      </c>
      <c r="BS131" s="69">
        <v>200</v>
      </c>
      <c r="BT131" s="69">
        <v>2357</v>
      </c>
      <c r="BU131" s="69">
        <v>296</v>
      </c>
      <c r="BV131" s="69">
        <v>221</v>
      </c>
      <c r="BW131" s="69">
        <v>363</v>
      </c>
      <c r="BX131" s="30"/>
      <c r="BY131" s="30"/>
      <c r="BZ131" s="30"/>
      <c r="CA131" s="30"/>
      <c r="CB131" s="30"/>
      <c r="CC131" s="30"/>
      <c r="CD131" s="30"/>
      <c r="CE131" s="30"/>
      <c r="CF131" s="30"/>
      <c r="CG131" s="30"/>
      <c r="CH131" s="30"/>
      <c r="CI131" s="30"/>
      <c r="CJ131" s="30"/>
      <c r="CK131" s="30"/>
      <c r="CL131" s="30"/>
      <c r="CM131" s="30"/>
      <c r="CN131" s="30"/>
      <c r="CO131" s="30"/>
      <c r="CP131" s="30"/>
      <c r="CQ131" s="30"/>
      <c r="CR131" s="30"/>
      <c r="CS131" s="30"/>
      <c r="CT131" s="30"/>
      <c r="CU131" s="30"/>
      <c r="CV131" s="30"/>
      <c r="CW131" s="30"/>
      <c r="CX131" s="30"/>
      <c r="CY131" s="30"/>
      <c r="CZ131" s="30"/>
      <c r="DA131" s="30"/>
      <c r="DB131" s="30"/>
    </row>
    <row r="132" spans="1:106" x14ac:dyDescent="0.25">
      <c r="A132" s="72" t="s">
        <v>265</v>
      </c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  <c r="AZ132" s="30"/>
      <c r="BA132" s="30"/>
      <c r="BB132" s="30"/>
      <c r="BC132" s="30"/>
      <c r="BD132" s="30"/>
      <c r="BE132" s="30"/>
      <c r="BF132" s="30"/>
      <c r="BG132" s="30"/>
      <c r="BH132" s="30"/>
      <c r="BI132" s="30"/>
      <c r="BJ132" s="30"/>
      <c r="BK132" s="30"/>
      <c r="BL132" s="30"/>
      <c r="BM132" s="30"/>
      <c r="BN132" s="30"/>
      <c r="BO132" s="30"/>
      <c r="BP132" s="30"/>
      <c r="BQ132" s="30"/>
      <c r="BR132" s="30"/>
      <c r="BS132" s="30"/>
      <c r="BT132" s="30"/>
      <c r="BU132" s="30"/>
      <c r="BV132" s="30"/>
      <c r="BW132" s="30"/>
      <c r="BX132" s="30"/>
      <c r="BY132" s="30"/>
      <c r="BZ132" s="30"/>
      <c r="CA132" s="30"/>
      <c r="CB132" s="30"/>
      <c r="CC132" s="30"/>
      <c r="CD132" s="30"/>
      <c r="CE132" s="30"/>
      <c r="CF132" s="30"/>
      <c r="CG132" s="30"/>
      <c r="CH132" s="30"/>
      <c r="CI132" s="30"/>
      <c r="CJ132" s="30"/>
      <c r="CK132" s="30"/>
      <c r="CL132" s="30"/>
      <c r="CM132" s="30"/>
      <c r="CN132" s="30"/>
      <c r="CO132" s="30"/>
      <c r="CP132" s="30"/>
      <c r="CQ132" s="30"/>
      <c r="CR132" s="30"/>
      <c r="CS132" s="30"/>
      <c r="CT132" s="30"/>
      <c r="CU132" s="30"/>
      <c r="CV132" s="30"/>
      <c r="CW132" s="30"/>
      <c r="CX132" s="30"/>
      <c r="CY132" s="30"/>
      <c r="CZ132" s="30"/>
      <c r="DA132" s="30"/>
      <c r="DB132" s="30"/>
    </row>
    <row r="133" ht="16" customHeight="1" spans="1:106" x14ac:dyDescent="0.25">
      <c r="A133" s="72" t="s">
        <v>266</v>
      </c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  <c r="AW133" s="30"/>
      <c r="AX133" s="30"/>
      <c r="AY133" s="30"/>
      <c r="AZ133" s="30"/>
      <c r="BA133" s="30"/>
      <c r="BB133" s="30"/>
      <c r="BC133" s="30"/>
      <c r="BD133" s="30"/>
      <c r="BE133" s="30"/>
      <c r="BF133" s="30"/>
      <c r="BG133" s="30"/>
      <c r="BH133" s="30"/>
      <c r="BI133" s="30"/>
      <c r="BJ133" s="30"/>
      <c r="BK133" s="30"/>
      <c r="BL133" s="30"/>
      <c r="BM133" s="30"/>
      <c r="BN133" s="30"/>
      <c r="BO133" s="30"/>
      <c r="BP133" s="30"/>
      <c r="BQ133" s="30"/>
      <c r="BR133" s="30"/>
      <c r="BS133" s="30"/>
      <c r="BT133" s="30"/>
      <c r="BU133" s="30"/>
      <c r="BV133" s="30"/>
      <c r="BW133" s="30"/>
      <c r="BX133" s="30"/>
      <c r="BY133" s="30"/>
      <c r="BZ133" s="30"/>
      <c r="CA133" s="30"/>
      <c r="CB133" s="30"/>
      <c r="CC133" s="30"/>
      <c r="CD133" s="30"/>
      <c r="CE133" s="30"/>
      <c r="CF133" s="30"/>
      <c r="CG133" s="30"/>
      <c r="CH133" s="30"/>
      <c r="CI133" s="30"/>
      <c r="CJ133" s="30"/>
      <c r="CK133" s="30"/>
      <c r="CL133" s="30"/>
      <c r="CM133" s="30"/>
      <c r="CN133" s="30"/>
      <c r="CO133" s="30"/>
      <c r="CP133" s="30"/>
      <c r="CQ133" s="30"/>
      <c r="CR133" s="30"/>
      <c r="CS133" s="30"/>
      <c r="CT133" s="30"/>
      <c r="CU133" s="30"/>
      <c r="CV133" s="30"/>
      <c r="CW133" s="30"/>
      <c r="CX133" s="30"/>
      <c r="CY133" s="30"/>
      <c r="CZ133" s="30"/>
      <c r="DA133" s="30"/>
      <c r="DB133" s="30"/>
    </row>
    <row r="134" ht="16" customHeight="1" spans="1:106" x14ac:dyDescent="0.25">
      <c r="A134" s="68" t="s">
        <v>352</v>
      </c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/>
      <c r="AZ134" s="30"/>
      <c r="BA134" s="30"/>
      <c r="BB134" s="30"/>
      <c r="BC134" s="30"/>
      <c r="BD134" s="30"/>
      <c r="BE134" s="30"/>
      <c r="BF134" s="30"/>
      <c r="BG134" s="30"/>
      <c r="BH134" s="30"/>
      <c r="BI134" s="30"/>
      <c r="BJ134" s="30"/>
      <c r="BK134" s="30"/>
      <c r="BL134" s="30"/>
      <c r="BM134" s="30"/>
      <c r="BN134" s="30"/>
      <c r="BO134" s="30"/>
      <c r="BP134" s="30"/>
      <c r="BQ134" s="30"/>
      <c r="BR134" s="30"/>
      <c r="BS134" s="30"/>
      <c r="BT134" s="30"/>
      <c r="BU134" s="30"/>
      <c r="BV134" s="30"/>
      <c r="BW134" s="30"/>
      <c r="BX134" s="30"/>
      <c r="BY134" s="30"/>
      <c r="BZ134" s="30"/>
      <c r="CA134" s="30"/>
      <c r="CB134" s="30"/>
      <c r="CC134" s="30"/>
      <c r="CD134" s="30"/>
      <c r="CE134" s="30"/>
      <c r="CF134" s="30"/>
      <c r="CG134" s="30"/>
      <c r="CH134" s="30"/>
      <c r="CI134" s="30"/>
      <c r="CJ134" s="30"/>
      <c r="CK134" s="30"/>
      <c r="CL134" s="30"/>
      <c r="CM134" s="30"/>
      <c r="CN134" s="30"/>
      <c r="CO134" s="30"/>
      <c r="CP134" s="30"/>
      <c r="CQ134" s="30"/>
      <c r="CR134" s="30"/>
      <c r="CS134" s="30"/>
      <c r="CT134" s="30"/>
      <c r="CU134" s="30"/>
      <c r="CV134" s="30"/>
      <c r="CW134" s="30"/>
      <c r="CX134" s="30"/>
      <c r="CY134" s="30"/>
      <c r="CZ134" s="30"/>
      <c r="DA134" s="30"/>
      <c r="DB134" s="30"/>
    </row>
    <row r="135" ht="18" customHeight="1" spans="1:106" x14ac:dyDescent="0.25">
      <c r="A135" s="36" t="s">
        <v>268</v>
      </c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30"/>
      <c r="AY135" s="30"/>
      <c r="AZ135" s="30"/>
      <c r="BA135" s="30"/>
      <c r="BB135" s="30"/>
      <c r="BC135" s="30"/>
      <c r="BD135" s="30"/>
      <c r="BE135" s="30"/>
      <c r="BF135" s="30"/>
      <c r="BG135" s="30"/>
      <c r="BH135" s="30"/>
      <c r="BI135" s="30"/>
      <c r="BJ135" s="30"/>
      <c r="BK135" s="30"/>
      <c r="BL135" s="30"/>
      <c r="BM135" s="30"/>
      <c r="BN135" s="30"/>
      <c r="BO135" s="30"/>
      <c r="BP135" s="30"/>
      <c r="BQ135" s="30"/>
      <c r="BR135" s="30"/>
      <c r="BS135" s="30"/>
      <c r="BT135" s="30"/>
      <c r="BU135" s="30"/>
      <c r="BV135" s="30"/>
      <c r="BW135" s="30"/>
      <c r="BX135" s="30"/>
      <c r="BY135" s="30"/>
      <c r="BZ135" s="30"/>
      <c r="CA135" s="30"/>
      <c r="CB135" s="30"/>
      <c r="CC135" s="30"/>
      <c r="CD135" s="30"/>
      <c r="CE135" s="30"/>
      <c r="CF135" s="30"/>
      <c r="CG135" s="30"/>
      <c r="CH135" s="30"/>
      <c r="CI135" s="30"/>
      <c r="CJ135" s="30"/>
      <c r="CK135" s="30"/>
      <c r="CL135" s="30"/>
      <c r="CM135" s="30"/>
      <c r="CN135" s="30"/>
      <c r="CO135" s="30"/>
      <c r="CP135" s="30"/>
      <c r="CQ135" s="30"/>
      <c r="CR135" s="30"/>
      <c r="CS135" s="30"/>
      <c r="CT135" s="30"/>
      <c r="CU135" s="30"/>
      <c r="CV135" s="30"/>
      <c r="CW135" s="30"/>
      <c r="CX135" s="30"/>
      <c r="CY135" s="30"/>
      <c r="CZ135" s="30"/>
      <c r="DA135" s="30"/>
      <c r="DB135" s="30"/>
    </row>
    <row r="136" ht="18" customHeight="1" spans="1:106" x14ac:dyDescent="0.25">
      <c r="A136" s="36" t="s">
        <v>269</v>
      </c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30"/>
      <c r="BD136" s="30"/>
      <c r="BE136" s="30"/>
      <c r="BF136" s="30"/>
      <c r="BG136" s="30"/>
      <c r="BH136" s="30"/>
      <c r="BI136" s="30"/>
      <c r="BJ136" s="30"/>
      <c r="BK136" s="30"/>
      <c r="BL136" s="30"/>
      <c r="BM136" s="30"/>
      <c r="BN136" s="30"/>
      <c r="BO136" s="30"/>
      <c r="BP136" s="30"/>
      <c r="BQ136" s="30"/>
      <c r="BR136" s="30"/>
      <c r="BS136" s="30"/>
      <c r="BT136" s="30"/>
      <c r="BU136" s="30"/>
      <c r="BV136" s="30"/>
      <c r="BW136" s="30"/>
      <c r="BX136" s="30"/>
      <c r="BY136" s="30"/>
      <c r="BZ136" s="30"/>
      <c r="CA136" s="30"/>
      <c r="CB136" s="30"/>
      <c r="CC136" s="30"/>
      <c r="CD136" s="30"/>
      <c r="CE136" s="30"/>
      <c r="CF136" s="30"/>
      <c r="CG136" s="30"/>
      <c r="CH136" s="30"/>
      <c r="CI136" s="30"/>
      <c r="CJ136" s="30"/>
      <c r="CK136" s="30"/>
      <c r="CL136" s="30"/>
      <c r="CM136" s="30"/>
      <c r="CN136" s="30"/>
      <c r="CO136" s="30"/>
      <c r="CP136" s="30"/>
      <c r="CQ136" s="30"/>
      <c r="CR136" s="30"/>
      <c r="CS136" s="30"/>
      <c r="CT136" s="30"/>
      <c r="CU136" s="30"/>
      <c r="CV136" s="30"/>
      <c r="CW136" s="30"/>
      <c r="CX136" s="30"/>
      <c r="CY136" s="30"/>
      <c r="CZ136" s="30"/>
      <c r="DA136" s="30"/>
      <c r="DB136" s="30"/>
    </row>
    <row r="137" ht="18" customHeight="1" spans="1:106" x14ac:dyDescent="0.25">
      <c r="A137" s="36" t="s">
        <v>288</v>
      </c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  <c r="BA137" s="30"/>
      <c r="BB137" s="30"/>
      <c r="BC137" s="30"/>
      <c r="BD137" s="30"/>
      <c r="BE137" s="30"/>
      <c r="BF137" s="30"/>
      <c r="BG137" s="30"/>
      <c r="BH137" s="30"/>
      <c r="BI137" s="30"/>
      <c r="BJ137" s="30"/>
      <c r="BK137" s="30"/>
      <c r="BL137" s="30"/>
      <c r="BM137" s="30"/>
      <c r="BN137" s="30"/>
      <c r="BO137" s="30"/>
      <c r="BP137" s="30"/>
      <c r="BQ137" s="30"/>
      <c r="BR137" s="30"/>
      <c r="BS137" s="30"/>
      <c r="BT137" s="30"/>
      <c r="BU137" s="30"/>
      <c r="BV137" s="30"/>
      <c r="BW137" s="30"/>
      <c r="BX137" s="30"/>
      <c r="BY137" s="30"/>
      <c r="BZ137" s="30"/>
      <c r="CA137" s="30"/>
      <c r="CB137" s="30"/>
      <c r="CC137" s="30"/>
      <c r="CD137" s="30"/>
      <c r="CE137" s="30"/>
      <c r="CF137" s="30"/>
      <c r="CG137" s="30"/>
      <c r="CH137" s="30"/>
      <c r="CI137" s="30"/>
      <c r="CJ137" s="30"/>
      <c r="CK137" s="30"/>
      <c r="CL137" s="30"/>
      <c r="CM137" s="30"/>
      <c r="CN137" s="30"/>
      <c r="CO137" s="30"/>
      <c r="CP137" s="30"/>
      <c r="CQ137" s="30"/>
      <c r="CR137" s="30"/>
      <c r="CS137" s="30"/>
      <c r="CT137" s="30"/>
      <c r="CU137" s="30"/>
      <c r="CV137" s="30"/>
      <c r="CW137" s="30"/>
      <c r="CX137" s="30"/>
      <c r="CY137" s="30"/>
      <c r="CZ137" s="30"/>
      <c r="DA137" s="30"/>
      <c r="DB137" s="30"/>
    </row>
    <row r="138" ht="18" customHeight="1" spans="1:1" x14ac:dyDescent="0.25">
      <c r="A138" s="36" t="s">
        <v>272</v>
      </c>
    </row>
    <row r="139" ht="18" customHeight="1" spans="1:1" x14ac:dyDescent="0.25">
      <c r="A139" s="36" t="s">
        <v>289</v>
      </c>
    </row>
    <row r="140" ht="18" customHeight="1" spans="1:106" x14ac:dyDescent="0.25">
      <c r="A140" s="36" t="s">
        <v>271</v>
      </c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  <c r="BA140" s="30"/>
      <c r="BB140" s="30"/>
      <c r="BC140" s="30"/>
      <c r="BD140" s="30"/>
      <c r="BE140" s="30"/>
      <c r="BF140" s="30"/>
      <c r="BG140" s="30"/>
      <c r="BH140" s="30"/>
      <c r="BI140" s="30"/>
      <c r="BJ140" s="30"/>
      <c r="BK140" s="30"/>
      <c r="BL140" s="30"/>
      <c r="BM140" s="30"/>
      <c r="BN140" s="30"/>
      <c r="BO140" s="30"/>
      <c r="BP140" s="30"/>
      <c r="BQ140" s="30"/>
      <c r="BR140" s="30"/>
      <c r="BS140" s="30"/>
      <c r="BT140" s="30"/>
      <c r="BU140" s="30"/>
      <c r="BV140" s="30"/>
      <c r="BW140" s="30"/>
      <c r="BX140" s="30"/>
      <c r="BY140" s="30"/>
      <c r="BZ140" s="30"/>
      <c r="CA140" s="30"/>
      <c r="CB140" s="30"/>
      <c r="CC140" s="30"/>
      <c r="CD140" s="30"/>
      <c r="CE140" s="30"/>
      <c r="CF140" s="30"/>
      <c r="CG140" s="30"/>
      <c r="CH140" s="30"/>
      <c r="CI140" s="30"/>
      <c r="CJ140" s="30"/>
      <c r="CK140" s="30"/>
      <c r="CL140" s="30"/>
      <c r="CM140" s="30"/>
      <c r="CN140" s="30"/>
      <c r="CO140" s="30"/>
      <c r="CP140" s="30"/>
      <c r="CQ140" s="30"/>
      <c r="CR140" s="30"/>
      <c r="CS140" s="30"/>
      <c r="CT140" s="30"/>
      <c r="CU140" s="30"/>
      <c r="CV140" s="30"/>
      <c r="CW140" s="30"/>
      <c r="CX140" s="30"/>
      <c r="CY140" s="30"/>
      <c r="CZ140" s="30"/>
      <c r="DA140" s="30"/>
      <c r="DB140" s="30"/>
    </row>
    <row r="141" spans="3:106" x14ac:dyDescent="0.25"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  <c r="BA141" s="30"/>
      <c r="BB141" s="30"/>
      <c r="BC141" s="30"/>
      <c r="BD141" s="30"/>
      <c r="BE141" s="30"/>
      <c r="BF141" s="30"/>
      <c r="BG141" s="30"/>
      <c r="BH141" s="30"/>
      <c r="BI141" s="30"/>
      <c r="BJ141" s="30"/>
      <c r="BK141" s="30"/>
      <c r="BL141" s="30"/>
      <c r="BM141" s="30"/>
      <c r="BN141" s="30"/>
      <c r="BO141" s="30"/>
      <c r="BP141" s="30"/>
      <c r="BQ141" s="30"/>
      <c r="BR141" s="30"/>
      <c r="BS141" s="30"/>
      <c r="BT141" s="30"/>
      <c r="BU141" s="30"/>
      <c r="BV141" s="30"/>
      <c r="BW141" s="30"/>
      <c r="BX141" s="30"/>
      <c r="BY141" s="30"/>
      <c r="BZ141" s="30"/>
      <c r="CA141" s="30"/>
      <c r="CB141" s="30"/>
      <c r="CC141" s="30"/>
      <c r="CD141" s="30"/>
      <c r="CE141" s="30"/>
      <c r="CF141" s="30"/>
      <c r="CG141" s="30"/>
      <c r="CH141" s="30"/>
      <c r="CI141" s="30"/>
      <c r="CJ141" s="30"/>
      <c r="CK141" s="30"/>
      <c r="CL141" s="30"/>
      <c r="CM141" s="30"/>
      <c r="CN141" s="30"/>
      <c r="CO141" s="30"/>
      <c r="CP141" s="30"/>
      <c r="CQ141" s="30"/>
      <c r="CR141" s="30"/>
      <c r="CS141" s="30"/>
      <c r="CT141" s="30"/>
      <c r="CU141" s="30"/>
      <c r="CV141" s="30"/>
      <c r="CW141" s="30"/>
      <c r="CX141" s="30"/>
      <c r="CY141" s="30"/>
      <c r="CZ141" s="30"/>
      <c r="DA141" s="30"/>
      <c r="DB141" s="30"/>
    </row>
    <row r="142" spans="1:106" x14ac:dyDescent="0.25">
      <c r="A142" s="9" t="s">
        <v>353</v>
      </c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  <c r="BA142" s="30"/>
      <c r="BB142" s="30"/>
      <c r="BC142" s="30"/>
      <c r="BD142" s="30"/>
      <c r="BE142" s="30"/>
      <c r="BF142" s="30"/>
      <c r="BG142" s="30"/>
      <c r="BH142" s="30"/>
      <c r="BI142" s="30"/>
      <c r="BJ142" s="30"/>
      <c r="BK142" s="30"/>
      <c r="BL142" s="30"/>
      <c r="BM142" s="30"/>
      <c r="BN142" s="30"/>
      <c r="BO142" s="30"/>
      <c r="BP142" s="30"/>
      <c r="BQ142" s="30"/>
      <c r="BR142" s="30"/>
      <c r="BS142" s="30"/>
      <c r="BT142" s="30"/>
      <c r="BU142" s="30"/>
      <c r="BV142" s="30"/>
      <c r="BW142" s="30"/>
      <c r="BX142" s="30"/>
      <c r="BY142" s="30"/>
      <c r="BZ142" s="30"/>
      <c r="CA142" s="30"/>
      <c r="CB142" s="30"/>
      <c r="CC142" s="30"/>
      <c r="CD142" s="30"/>
      <c r="CE142" s="30"/>
      <c r="CF142" s="30"/>
      <c r="CG142" s="30"/>
      <c r="CH142" s="30"/>
      <c r="CI142" s="30"/>
      <c r="CJ142" s="30"/>
      <c r="CK142" s="30"/>
      <c r="CL142" s="30"/>
      <c r="CM142" s="30"/>
      <c r="CN142" s="30"/>
      <c r="CO142" s="30"/>
      <c r="CP142" s="30"/>
      <c r="CQ142" s="30"/>
      <c r="CR142" s="30"/>
      <c r="CS142" s="30"/>
      <c r="CT142" s="30"/>
      <c r="CU142" s="30"/>
      <c r="CV142" s="30"/>
      <c r="CW142" s="30"/>
      <c r="CX142" s="30"/>
      <c r="CY142" s="30"/>
      <c r="CZ142" s="30"/>
      <c r="DA142" s="30"/>
      <c r="DB142" s="30"/>
    </row>
    <row r="143" ht="14" customHeight="1" spans="1:106" x14ac:dyDescent="0.25">
      <c r="A143" s="33" t="s">
        <v>354</v>
      </c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  <c r="AX143" s="30"/>
      <c r="AY143" s="30"/>
      <c r="AZ143" s="30"/>
      <c r="BA143" s="30"/>
      <c r="BB143" s="30"/>
      <c r="BC143" s="30"/>
      <c r="BD143" s="30"/>
      <c r="BE143" s="30"/>
      <c r="BF143" s="30"/>
      <c r="BG143" s="30"/>
      <c r="BH143" s="30"/>
      <c r="BI143" s="30"/>
      <c r="BJ143" s="30"/>
      <c r="BK143" s="30"/>
      <c r="BL143" s="30"/>
      <c r="BM143" s="30"/>
      <c r="BN143" s="30"/>
      <c r="BO143" s="30"/>
      <c r="BP143" s="30"/>
      <c r="BQ143" s="30"/>
      <c r="BR143" s="30"/>
      <c r="BS143" s="30"/>
      <c r="BT143" s="30"/>
      <c r="BU143" s="30"/>
      <c r="BV143" s="30"/>
      <c r="BW143" s="30"/>
      <c r="BX143" s="30"/>
      <c r="BY143" s="30"/>
      <c r="BZ143" s="30"/>
      <c r="CA143" s="30"/>
      <c r="CB143" s="30"/>
      <c r="CC143" s="30"/>
      <c r="CD143" s="30"/>
      <c r="CE143" s="30"/>
      <c r="CF143" s="30"/>
      <c r="CG143" s="30"/>
      <c r="CH143" s="30"/>
      <c r="CI143" s="30"/>
      <c r="CJ143" s="30"/>
      <c r="CK143" s="30"/>
      <c r="CL143" s="30"/>
      <c r="CM143" s="30"/>
      <c r="CN143" s="30"/>
      <c r="CO143" s="30"/>
      <c r="CP143" s="30"/>
      <c r="CQ143" s="30"/>
      <c r="CR143" s="30"/>
      <c r="CS143" s="30"/>
      <c r="CT143" s="30"/>
      <c r="CU143" s="30"/>
      <c r="CV143" s="30"/>
      <c r="CW143" s="30"/>
      <c r="CX143" s="30"/>
      <c r="CY143" s="30"/>
      <c r="CZ143" s="30"/>
      <c r="DA143" s="30"/>
      <c r="DB143" s="30"/>
    </row>
    <row r="144" spans="1:106" x14ac:dyDescent="0.25">
      <c r="A144" s="17" t="s">
        <v>355</v>
      </c>
      <c r="B144" s="17">
        <v>15</v>
      </c>
      <c r="C144" s="46">
        <f>=IFERROR(ROUND((C19+C23)/$B135,0),0)</f>
        <v>3</v>
      </c>
      <c r="D144" s="46">
        <f>=IFERROR(ROUND((D19+D23)/$B135,0),0)</f>
        <v>4</v>
      </c>
      <c r="E144" s="46">
        <f>=IFERROR(ROUND((E19+E23)/$B135,0),0)</f>
        <v>3</v>
      </c>
      <c r="F144" s="46">
        <f>=IFERROR(ROUND((F19+F23)/$B135,0),0)</f>
        <v>3</v>
      </c>
      <c r="G144" s="46">
        <f>=IFERROR(ROUND((G19+G23)/$B135,0),0)</f>
        <v>3</v>
      </c>
      <c r="H144" s="46">
        <f>=IFERROR(ROUND((H19+H23)/$B135,0),0)</f>
        <v>4</v>
      </c>
      <c r="I144" s="46">
        <f>=IFERROR(ROUND((I19+I23)/$B135,0),0)</f>
        <v>4</v>
      </c>
      <c r="J144" s="46">
        <f>=IFERROR(ROUND((J19+J23)/$B135,0),0)</f>
        <v>4</v>
      </c>
      <c r="K144" s="46">
        <f>=IFERROR(ROUND((K19+K23)/$B135,0),0)</f>
        <v>4</v>
      </c>
      <c r="L144" s="46">
        <f>=IFERROR(ROUND((L19+L23)/$B135,0),0)</f>
        <v>4</v>
      </c>
      <c r="M144" s="46">
        <f>=IFERROR(ROUND((M19+M23)/$B135,0),0)</f>
        <v>3</v>
      </c>
      <c r="N144" s="46">
        <f>=IFERROR(ROUND((N19+N23)/$B135,0),0)</f>
        <v>4</v>
      </c>
      <c r="O144" s="46">
        <f>=IFERROR(ROUND((O19+O23)/$B135,0),0)</f>
        <v>3</v>
      </c>
      <c r="P144" s="46">
        <f>=IFERROR(ROUND((P19+P23)/$B135,0),0)</f>
        <v>3</v>
      </c>
      <c r="Q144" s="46">
        <f>=IFERROR(ROUND((Q19+Q23)/$B135,0),0)</f>
        <v>3</v>
      </c>
      <c r="R144" s="46">
        <f>=IFERROR(ROUND((R19+R23)/$B135,0),0)</f>
        <v>3</v>
      </c>
      <c r="S144" s="46">
        <f>=IFERROR(ROUND((S19+S23)/$B135,0),0)</f>
        <v>3</v>
      </c>
      <c r="T144" s="46">
        <f>=IFERROR(ROUND((T19+T23)/$B135,0),0)</f>
        <v>3</v>
      </c>
      <c r="U144" s="46">
        <f>=IFERROR(ROUND((U19+U23)/$B135,0),0)</f>
        <v>3</v>
      </c>
      <c r="V144" s="46">
        <f>=IFERROR(ROUND((V19+V23)/$B135,0),0)</f>
        <v>3</v>
      </c>
      <c r="W144" s="46">
        <f>=IFERROR(ROUND((W19+W23)/$B135,0),0)</f>
        <v>3</v>
      </c>
      <c r="X144" s="46">
        <f>=IFERROR(ROUND((X19+X23)/$B135,0),0)</f>
        <v>3</v>
      </c>
      <c r="Y144" s="46">
        <f>=IFERROR(ROUND((Y19+Y23)/$B135,0),0)</f>
        <v>3</v>
      </c>
      <c r="Z144" s="46">
        <f>=IFERROR(ROUND((Z19+Z23)/$B135,0),0)</f>
        <v>2</v>
      </c>
      <c r="AA144" s="46">
        <f>=IFERROR(ROUND((AA19+AA23)/$B135,0),0)</f>
        <v>3</v>
      </c>
      <c r="AB144" s="46">
        <f>=IFERROR(ROUND((AB19+AB23)/$B135,0),0)</f>
        <v>3</v>
      </c>
      <c r="AC144" s="46">
        <f>=IFERROR(ROUND((AC19+AC23)/$B135,0),0)</f>
        <v>3</v>
      </c>
      <c r="AD144" s="46">
        <f>=IFERROR(ROUND((AD19+AD23)/$B135,0),0)</f>
        <v>3</v>
      </c>
      <c r="AE144" s="46">
        <f>=IFERROR(ROUND((AE19+AE23)/$B135,0),0)</f>
        <v>2</v>
      </c>
      <c r="AF144" s="46">
        <f>=IFERROR(ROUND((AF19+AF23)/$B135,0),0)</f>
        <v>2</v>
      </c>
      <c r="AG144" s="46">
        <f>=IFERROR(ROUND((AG19+AG23)/$B135,0),0)</f>
        <v>3</v>
      </c>
      <c r="AH144" s="46">
        <f>=IFERROR(ROUND((AH19+AH23)/$B135,0),0)</f>
        <v>3</v>
      </c>
      <c r="AI144" s="46">
        <f>=IFERROR(ROUND((AI19+AI23)/$B135,0),0)</f>
        <v>3</v>
      </c>
      <c r="AJ144" s="46">
        <f>=IFERROR(ROUND((AJ19+AJ23)/$B135,0),0)</f>
        <v>3</v>
      </c>
      <c r="AK144" s="46">
        <f>=IFERROR(ROUND((AK19+AK23)/$B135,0),0)</f>
        <v>4</v>
      </c>
      <c r="AL144" s="46">
        <f>=IFERROR(ROUND((AL19+AL23)/$B135,0),0)</f>
        <v>4</v>
      </c>
      <c r="AM144" s="46">
        <f>=IFERROR(ROUND((AM19+AM23)/$B135,0),0)</f>
        <v>4</v>
      </c>
      <c r="AN144" s="46">
        <f>=IFERROR(ROUND((AN19+AN23)/$B135,0),0)</f>
        <v>4</v>
      </c>
      <c r="AO144" s="46">
        <f>=IFERROR(ROUND((AO19+AO23)/$B135,0),0)</f>
        <v>5</v>
      </c>
      <c r="AP144" s="46">
        <f>=IFERROR(ROUND((AP19+AP23)/$B135,0),0)</f>
        <v>4</v>
      </c>
      <c r="AQ144" s="46">
        <f>=IFERROR(ROUND((AQ19+AQ23)/$B135,0),0)</f>
        <v>5</v>
      </c>
      <c r="AR144" s="46">
        <f>=IFERROR(ROUND((AR19+AR23)/$B135,0),0)</f>
        <v>5</v>
      </c>
      <c r="AS144" s="46">
        <f>=IFERROR(ROUND((AS19+AS23)/$B135,0),0)</f>
        <v>5</v>
      </c>
      <c r="AT144" s="46">
        <f>=IFERROR(ROUND((AT19+AT23)/$B135,0),0)</f>
        <v>6</v>
      </c>
      <c r="AU144" s="46">
        <f>=IFERROR(ROUND((AU19+AU23)/$B135,0),0)</f>
        <v>7</v>
      </c>
      <c r="AV144" s="46">
        <f>=IFERROR(ROUND((AV19+AV23)/$B135,0),0)</f>
        <v>7</v>
      </c>
      <c r="AW144" s="46">
        <f>=IFERROR(ROUND((AW19+AW23)/$B135,0),0)</f>
        <v>7</v>
      </c>
      <c r="AX144" s="46">
        <f>=IFERROR(ROUND((AX19+AX23)/$B135,0),0)</f>
        <v>8</v>
      </c>
      <c r="AY144" s="46">
        <f>=IFERROR(ROUND((AY19+AY23)/$B135,0),0)</f>
        <v>8</v>
      </c>
      <c r="AZ144" s="46">
        <f>=IFERROR(ROUND((AZ19+AZ23)/$B135,0),0)</f>
        <v>10</v>
      </c>
      <c r="BA144" s="46">
        <f>=IFERROR(ROUND((BA19+BA23)/$B135,0),0)</f>
        <v>10</v>
      </c>
      <c r="BB144" s="46">
        <f>=IFERROR(ROUND((BB19+BB23)/$B135,0),0)</f>
        <v>10</v>
      </c>
      <c r="BC144" s="46">
        <f>=IFERROR(ROUND((BC19+BC23)/$B135,0),0)</f>
        <v>9</v>
      </c>
      <c r="BD144" s="73">
        <f>=IFERROR(ROUND((BD19+BD23)/$B135,0),0)</f>
        <v>9</v>
      </c>
      <c r="BE144" s="46">
        <f>=IFERROR(ROUND((BE19+BE23)/$B135,0),0)</f>
        <v>8</v>
      </c>
      <c r="BF144" s="46">
        <f>=IFERROR(ROUND((BF19+BF23)/$B135,0),0)</f>
        <v>10</v>
      </c>
      <c r="BG144" s="46">
        <f>=IFERROR(ROUND((BG19+BG23)/$B135,0),0)</f>
        <v>10</v>
      </c>
      <c r="BH144" s="46">
        <f>=IFERROR(ROUND((BH19+BH23)/$B135,0),0)</f>
        <v>10</v>
      </c>
      <c r="BI144" s="46">
        <f>=IFERROR(ROUND((BI19+BI23)/$B135,0),0)</f>
        <v>10</v>
      </c>
      <c r="BJ144" s="46">
        <f>=IFERROR(ROUND((BJ19+BJ23)/$B135,0),0)</f>
        <v>9</v>
      </c>
      <c r="BK144" s="46">
        <f>=IFERROR(ROUND((BK19+BK23)/$B135,0),0)</f>
        <v>9</v>
      </c>
      <c r="BL144" s="73">
        <f>=IFERROR(ROUND((BL19+BL23)/$B135,0),0)</f>
        <v>9</v>
      </c>
      <c r="BM144" s="46">
        <f>=IFERROR(ROUND((BM19+BM23)/$B135,0),0)</f>
        <v>9</v>
      </c>
      <c r="BN144" s="46">
        <f>=IFERROR(ROUND((BN19+BN23)/$B135,0),0)</f>
        <v>9</v>
      </c>
      <c r="BO144" s="46">
        <f>=IFERROR(ROUND((BO19+BO23)/$B135,0),0)</f>
        <v>9</v>
      </c>
      <c r="BP144" s="46">
        <f>=IFERROR(ROUND((BP19+BP23)/$B135,0),0)</f>
        <v>8</v>
      </c>
      <c r="BQ144" s="46">
        <f>=IFERROR(ROUND((BQ19+BQ23)/$B135,0),0)</f>
        <v>8</v>
      </c>
      <c r="BR144" s="46">
        <f>=IFERROR(ROUND((BR19+BR23)/$B135,0),0)</f>
        <v>8</v>
      </c>
      <c r="BS144" s="46">
        <f>=IFERROR(ROUND((BS19+BS23)/$B135,0),0)</f>
        <v>8</v>
      </c>
      <c r="BT144" s="46">
        <f>=IFERROR(ROUND((BT19+BT23)/$B135,0),0)</f>
        <v>8</v>
      </c>
      <c r="BU144" s="46">
        <f>=IFERROR(ROUND((BU19+BU23)/$B135,0),0)</f>
        <v>8</v>
      </c>
      <c r="BV144" s="46">
        <f>=IFERROR(ROUND((BV19+BV23)/$B135,0),0)</f>
        <v>8</v>
      </c>
      <c r="BW144" s="46">
        <f>=IFERROR(ROUND((BW19+BW23)/$B135,0),0)</f>
        <v>8</v>
      </c>
      <c r="BX144" s="46">
        <f>=IFERROR(ROUND((BX19)/$B144,0),0)</f>
        <v>7</v>
      </c>
      <c r="BY144" s="46">
        <f>=IFERROR(ROUND((BY19)/$B144,0),0)</f>
        <v>6</v>
      </c>
      <c r="BZ144" s="46">
        <f>=IFERROR(ROUND((BZ19)/$B144,0),0)</f>
        <v>6</v>
      </c>
      <c r="CA144" s="46">
        <f>=IFERROR(ROUND((CA19)/$B144,0),0)</f>
        <v>6</v>
      </c>
      <c r="CB144" s="46">
        <f>=IFERROR(ROUND((CB19)/$B144,0),0)</f>
        <v>6</v>
      </c>
      <c r="CC144" s="46">
        <f>=IFERROR(ROUND((CC19)/$B144,0),0)</f>
        <v>6</v>
      </c>
      <c r="CD144" s="46">
        <f>=IFERROR(ROUND((CD19)/$B144,0),0)</f>
        <v>6</v>
      </c>
      <c r="CE144" s="46">
        <f>=IFERROR(ROUND((CE19)/$B144,0),0)</f>
        <v>6</v>
      </c>
      <c r="CF144" s="46">
        <f>=IFERROR(ROUND((CF19)/$B144,0),0)</f>
        <v>5</v>
      </c>
      <c r="CG144" s="46">
        <f>=IFERROR(ROUND((CG19)/$B144,0),0)</f>
        <v>5</v>
      </c>
      <c r="CH144" s="46">
        <f>=IFERROR(ROUND((CH19)/$B144,0),0)</f>
        <v>5</v>
      </c>
      <c r="CI144" s="46">
        <f>=IFERROR(ROUND((CI19)/$B144,0),0)</f>
        <v>5</v>
      </c>
      <c r="CJ144" s="46">
        <f>=IFERROR(ROUND((CJ19)/$B144,0),0)</f>
        <v>5</v>
      </c>
      <c r="CK144" s="46">
        <f>=IFERROR(ROUND((CK19)/$B144,0),0)</f>
        <v>5</v>
      </c>
      <c r="CL144" s="46">
        <f>=IFERROR(ROUND((CL19)/$B144,0),0)</f>
        <v>5</v>
      </c>
      <c r="CM144" s="46">
        <f>=IFERROR(ROUND((CM19)/$B144,0),0)</f>
        <v>5</v>
      </c>
      <c r="CN144" s="46">
        <f>=IFERROR(ROUND((CN19)/$B144,0),0)</f>
        <v>5</v>
      </c>
      <c r="CO144" s="46">
        <f>=IFERROR(ROUND((CO19)/$B144,0),0)</f>
        <v>5</v>
      </c>
      <c r="CP144" s="46">
        <f>=IFERROR(ROUND((CP19)/$B144,0),0)</f>
        <v>5</v>
      </c>
      <c r="CQ144" s="46">
        <f>=IFERROR(ROUND((CQ19)/$B144,0),0)</f>
        <v>5</v>
      </c>
      <c r="CR144" s="46">
        <f>=IFERROR(ROUND((CR19)/$B144,0),0)</f>
        <v>5</v>
      </c>
      <c r="CS144" s="46">
        <f>=IFERROR(ROUND((CS19)/$B144,0),0)</f>
        <v>5</v>
      </c>
      <c r="CT144" s="46">
        <f>=IFERROR(ROUND((CT19)/$B144,0),0)</f>
        <v>4</v>
      </c>
      <c r="CU144" s="46">
        <f>=IFERROR(ROUND((CU19)/$B144,0),0)</f>
        <v>4</v>
      </c>
      <c r="CV144" s="46">
        <f>=IFERROR(ROUND((CV19)/$B144,0),0)</f>
        <v>4</v>
      </c>
      <c r="CW144" s="46">
        <f>=IFERROR(ROUND((CW19)/$B144,0),0)</f>
        <v>4</v>
      </c>
      <c r="CX144" s="46">
        <f>=IFERROR(ROUND((CX19)/$B144,0),0)</f>
        <v>4</v>
      </c>
      <c r="CY144" s="46">
        <f>=IFERROR(ROUND((CY19)/$B144,0),0)</f>
        <v>4</v>
      </c>
      <c r="CZ144" s="46">
        <f>=IFERROR(ROUND((CZ19)/$B144,0),0)</f>
        <v>4</v>
      </c>
      <c r="DA144" s="46">
        <f>=IFERROR(ROUND((DA19)/$B144,0),0)</f>
        <v>4</v>
      </c>
      <c r="DB144" s="46">
        <f>=IFERROR(ROUND((DB19)/$B144,0),0)</f>
        <v>4</v>
      </c>
    </row>
    <row r="145" spans="1:106" x14ac:dyDescent="0.25">
      <c r="A145" s="17" t="s">
        <v>356</v>
      </c>
      <c r="B145" s="17">
        <v>15</v>
      </c>
      <c r="C145" s="46">
        <f>=IFERROR(ROUND((C21+C22)/$B136,0),0)</f>
        <v>0</v>
      </c>
      <c r="D145" s="46">
        <f>=IFERROR(ROUND((D21+D22)/$B136,0),0)</f>
        <v>0</v>
      </c>
      <c r="E145" s="46">
        <f>=IFERROR(ROUND((E21+E22)/$B136,0),0)</f>
        <v>0</v>
      </c>
      <c r="F145" s="46">
        <f>=IFERROR(ROUND((F21+F22)/$B136,0),0)</f>
        <v>1</v>
      </c>
      <c r="G145" s="46">
        <f>=IFERROR(ROUND((G21+G22)/$B136,0),0)</f>
        <v>1</v>
      </c>
      <c r="H145" s="46">
        <f>=IFERROR(ROUND((H21+H22)/$B136,0),0)</f>
        <v>0</v>
      </c>
      <c r="I145" s="46">
        <f>=IFERROR(ROUND((I21+I22)/$B136,0),0)</f>
        <v>0</v>
      </c>
      <c r="J145" s="46">
        <f>=IFERROR(ROUND((J21+J22)/$B136,0),0)</f>
        <v>0</v>
      </c>
      <c r="K145" s="46">
        <f>=IFERROR(ROUND((K21+K22)/$B136,0),0)</f>
        <v>0</v>
      </c>
      <c r="L145" s="46">
        <f>=IFERROR(ROUND((L21+L22)/$B136,0),0)</f>
        <v>0</v>
      </c>
      <c r="M145" s="46">
        <f>=IFERROR(ROUND((M21+M22)/$B136,0),0)</f>
        <v>0</v>
      </c>
      <c r="N145" s="46">
        <f>=IFERROR(ROUND((N21+N22)/$B136,0),0)</f>
        <v>0</v>
      </c>
      <c r="O145" s="46">
        <f>=IFERROR(ROUND((O21+O22)/$B136,0),0)</f>
        <v>0</v>
      </c>
      <c r="P145" s="46">
        <f>=IFERROR(ROUND((P21+P22)/$B136,0),0)</f>
        <v>0</v>
      </c>
      <c r="Q145" s="46">
        <f>=IFERROR(ROUND((Q21+Q22)/$B136,0),0)</f>
        <v>0</v>
      </c>
      <c r="R145" s="46">
        <f>=IFERROR(ROUND((R21+R22)/$B136,0),0)</f>
        <v>0</v>
      </c>
      <c r="S145" s="46">
        <f>=IFERROR(ROUND((S21+S22)/$B136,0),0)</f>
        <v>0</v>
      </c>
      <c r="T145" s="46">
        <f>=IFERROR(ROUND((T21+T22)/$B136,0),0)</f>
        <v>0</v>
      </c>
      <c r="U145" s="46">
        <f>=IFERROR(ROUND((U21+U22)/$B136,0),0)</f>
        <v>0</v>
      </c>
      <c r="V145" s="46">
        <f>=IFERROR(ROUND((V21+V22)/$B136,0),0)</f>
        <v>0</v>
      </c>
      <c r="W145" s="46">
        <f>=IFERROR(ROUND((W21+W22)/$B136,0),0)</f>
        <v>1</v>
      </c>
      <c r="X145" s="46">
        <f>=IFERROR(ROUND((X21+X22)/$B136,0),0)</f>
        <v>1</v>
      </c>
      <c r="Y145" s="46">
        <f>=IFERROR(ROUND((Y21+Y22)/$B136,0),0)</f>
        <v>0</v>
      </c>
      <c r="Z145" s="46">
        <f>=IFERROR(ROUND((Z21+Z22)/$B136,0),0)</f>
        <v>1</v>
      </c>
      <c r="AA145" s="46">
        <f>=IFERROR(ROUND((AA21+AA22)/$B136,0),0)</f>
        <v>0</v>
      </c>
      <c r="AB145" s="46">
        <f>=IFERROR(ROUND((AB21+AB22)/$B136,0),0)</f>
        <v>0</v>
      </c>
      <c r="AC145" s="46">
        <f>=IFERROR(ROUND((AC21+AC22)/$B136,0),0)</f>
        <v>1</v>
      </c>
      <c r="AD145" s="46">
        <f>=IFERROR(ROUND((AD21+AD22)/$B136,0),0)</f>
        <v>1</v>
      </c>
      <c r="AE145" s="46">
        <f>=IFERROR(ROUND((AE21+AE22)/$B136,0),0)</f>
        <v>0</v>
      </c>
      <c r="AF145" s="46">
        <f>=IFERROR(ROUND((AF21+AF22)/$B136,0),0)</f>
        <v>1</v>
      </c>
      <c r="AG145" s="46">
        <f>=IFERROR(ROUND((AG21+AG22)/$B136,0),0)</f>
        <v>1</v>
      </c>
      <c r="AH145" s="46">
        <f>=IFERROR(ROUND((AH21+AH22)/$B136,0),0)</f>
        <v>1</v>
      </c>
      <c r="AI145" s="46">
        <f>=IFERROR(ROUND((AI21+AI22)/$B136,0),0)</f>
        <v>1</v>
      </c>
      <c r="AJ145" s="46">
        <f>=IFERROR(ROUND((AJ21+AJ22)/$B136,0),0)</f>
        <v>1</v>
      </c>
      <c r="AK145" s="46">
        <f>=IFERROR(ROUND((AK21+AK22)/$B136,0),0)</f>
        <v>1</v>
      </c>
      <c r="AL145" s="46">
        <f>=IFERROR(ROUND((AL21+AL22)/$B136,0),0)</f>
        <v>1</v>
      </c>
      <c r="AM145" s="46">
        <f>=IFERROR(ROUND((AM21+AM22)/$B136,0),0)</f>
        <v>0</v>
      </c>
      <c r="AN145" s="46">
        <f>=IFERROR(ROUND((AN21+AN22)/$B136,0),0)</f>
        <v>2</v>
      </c>
      <c r="AO145" s="46">
        <f>=IFERROR(ROUND((AO21+AO22)/$B136,0),0)</f>
        <v>1</v>
      </c>
      <c r="AP145" s="46">
        <f>=IFERROR(ROUND((AP21+AP22)/$B136,0),0)</f>
        <v>2</v>
      </c>
      <c r="AQ145" s="46">
        <f>=IFERROR(ROUND((AQ21+AQ22)/$B136,0),0)</f>
        <v>3</v>
      </c>
      <c r="AR145" s="46">
        <f>=IFERROR(ROUND((AR21+AR22)/$B136,0),0)</f>
        <v>1</v>
      </c>
      <c r="AS145" s="46">
        <f>=IFERROR(ROUND((AS21+AS22)/$B136,0),0)</f>
        <v>2</v>
      </c>
      <c r="AT145" s="46">
        <f>=IFERROR(ROUND((AT21+AT22)/$B136,0),0)</f>
        <v>2</v>
      </c>
      <c r="AU145" s="46">
        <f>=IFERROR(ROUND((AU21+AU22)/$B136,0),0)</f>
        <v>2</v>
      </c>
      <c r="AV145" s="46">
        <f>=IFERROR(ROUND((AV21+AV22)/$B136,0),0)</f>
        <v>3</v>
      </c>
      <c r="AW145" s="46">
        <f>=IFERROR(ROUND((AW21+AW22)/$B136,0),0)</f>
        <v>3</v>
      </c>
      <c r="AX145" s="46">
        <f>=IFERROR(ROUND((AX21+AX22)/$B136,0),0)</f>
        <v>2</v>
      </c>
      <c r="AY145" s="46">
        <f>=IFERROR(ROUND((AY21+AY22)/$B136,0),0)</f>
        <v>1</v>
      </c>
      <c r="AZ145" s="46">
        <f>=IFERROR(ROUND((AZ21+AZ22)/$B136,0),0)</f>
        <v>1</v>
      </c>
      <c r="BA145" s="46">
        <f>=IFERROR(ROUND((BA21+BA22)/$B136,0),0)</f>
        <v>0</v>
      </c>
      <c r="BB145" s="46">
        <f>=IFERROR(ROUND((BB21+BB22)/$B136,0),0)</f>
        <v>1</v>
      </c>
      <c r="BC145" s="46">
        <f>=IFERROR(ROUND((BC21+BC22)/$B136,0),0)</f>
        <v>1</v>
      </c>
      <c r="BD145" s="46">
        <f>=IFERROR(ROUND((BD21+BD22)/$B136,0),0)</f>
        <v>0</v>
      </c>
      <c r="BE145" s="46">
        <f>=IFERROR(ROUND((BE21+BE22)/$B136,0),0)</f>
        <v>1</v>
      </c>
      <c r="BF145" s="46">
        <f>=IFERROR(ROUND((BF21+BF22)/$B136,0),0)</f>
        <v>0</v>
      </c>
      <c r="BG145" s="46">
        <f>=IFERROR(ROUND((BG21+BG22)/$B136,0),0)</f>
        <v>0</v>
      </c>
      <c r="BH145" s="46">
        <f>=IFERROR(ROUND((BH21+BH22)/$B136,0),0)</f>
        <v>0</v>
      </c>
      <c r="BI145" s="46">
        <f>=IFERROR(ROUND((BI21+BI22)/$B136,0),0)</f>
        <v>0</v>
      </c>
      <c r="BJ145" s="46">
        <f>=IFERROR(ROUND((BJ21+BJ22)/$B136,0),0)</f>
        <v>0</v>
      </c>
      <c r="BK145" s="46">
        <f>=IFERROR(ROUND((BK21+BK22)/$B136,0),0)</f>
        <v>0</v>
      </c>
      <c r="BL145" s="46">
        <f>=IFERROR(ROUND((BL21+BL22)/$B136,0),0)</f>
        <v>0</v>
      </c>
      <c r="BM145" s="46">
        <f>=IFERROR(ROUND((BM21+BM22)/$B136,0),0)</f>
        <v>0</v>
      </c>
      <c r="BN145" s="46">
        <f>=IFERROR(ROUND((BN21+BN22)/$B136,0),0)</f>
        <v>0</v>
      </c>
      <c r="BO145" s="46">
        <f>=IFERROR(ROUND((BO21+BO22)/$B136,0),0)</f>
        <v>0</v>
      </c>
      <c r="BP145" s="46">
        <f>=IFERROR(ROUND((BP21+BP22)/$B136,0),0)</f>
        <v>0</v>
      </c>
      <c r="BQ145" s="46">
        <f>=IFERROR(ROUND((BQ21+BQ22)/$B136,0),0)</f>
        <v>0</v>
      </c>
      <c r="BR145" s="46">
        <f>=IFERROR(ROUND((BR21+BR22)/$B136,0),0)</f>
        <v>0</v>
      </c>
      <c r="BS145" s="46">
        <f>=IFERROR(ROUND((BS21+BS22)/$B136,0),0)</f>
        <v>0</v>
      </c>
      <c r="BT145" s="46">
        <f>=IFERROR(ROUND((BT21+BT22)/$B136,0),0)</f>
        <v>0</v>
      </c>
      <c r="BU145" s="46">
        <f>=IFERROR(ROUND((BU21+BU22)/$B136,0),0)</f>
        <v>0</v>
      </c>
      <c r="BV145" s="46">
        <f>=IFERROR(ROUND((BV21+BV22)/$B136,0),0)</f>
        <v>0</v>
      </c>
      <c r="BW145" s="46">
        <f>=IFERROR(ROUND((BW21+BW22)/$B136,0),0)</f>
        <v>0</v>
      </c>
      <c r="BX145" s="46">
        <f>=IFERROR(ROUND((BX22)/$B145,0),0)</f>
        <v>0</v>
      </c>
      <c r="BY145" s="46">
        <f>=IFERROR(ROUND((BY22)/$B145,0),0)</f>
        <v>0</v>
      </c>
      <c r="BZ145" s="46">
        <f>=IFERROR(ROUND((BZ22)/$B145,0),0)</f>
        <v>0</v>
      </c>
      <c r="CA145" s="46">
        <f>=IFERROR(ROUND((CA22)/$B145,0),0)</f>
        <v>0</v>
      </c>
      <c r="CB145" s="46">
        <f>=IFERROR(ROUND((CB22)/$B145,0),0)</f>
        <v>0</v>
      </c>
      <c r="CC145" s="46">
        <f>=IFERROR(ROUND((CC22)/$B145,0),0)</f>
        <v>0</v>
      </c>
      <c r="CD145" s="46">
        <f>=IFERROR(ROUND((CD22)/$B145,0),0)</f>
        <v>0</v>
      </c>
      <c r="CE145" s="46">
        <f>=IFERROR(ROUND((CE22)/$B145,0),0)</f>
        <v>0</v>
      </c>
      <c r="CF145" s="46">
        <f>=IFERROR(ROUND((CF22)/$B145,0),0)</f>
        <v>0</v>
      </c>
      <c r="CG145" s="46">
        <f>=IFERROR(ROUND((CG22)/$B145,0),0)</f>
        <v>0</v>
      </c>
      <c r="CH145" s="46">
        <f>=IFERROR(ROUND((CH22)/$B145,0),0)</f>
        <v>0</v>
      </c>
      <c r="CI145" s="46">
        <f>=IFERROR(ROUND((CI22)/$B145,0),0)</f>
        <v>0</v>
      </c>
      <c r="CJ145" s="46">
        <f>=IFERROR(ROUND((CJ22)/$B145,0),0)</f>
        <v>0</v>
      </c>
      <c r="CK145" s="46">
        <f>=IFERROR(ROUND((CK22)/$B145,0),0)</f>
        <v>0</v>
      </c>
      <c r="CL145" s="46">
        <f>=IFERROR(ROUND((CL22)/$B145,0),0)</f>
        <v>0</v>
      </c>
      <c r="CM145" s="46">
        <f>=IFERROR(ROUND((CM22)/$B145,0),0)</f>
        <v>0</v>
      </c>
      <c r="CN145" s="46">
        <f>=IFERROR(ROUND((CN22)/$B145,0),0)</f>
        <v>0</v>
      </c>
      <c r="CO145" s="46">
        <f>=IFERROR(ROUND((CO22)/$B145,0),0)</f>
        <v>0</v>
      </c>
      <c r="CP145" s="46">
        <f>=IFERROR(ROUND((CP22)/$B145,0),0)</f>
        <v>0</v>
      </c>
      <c r="CQ145" s="46">
        <f>=IFERROR(ROUND((CQ22)/$B145,0),0)</f>
        <v>0</v>
      </c>
      <c r="CR145" s="46">
        <f>=IFERROR(ROUND((CR22)/$B145,0),0)</f>
        <v>0</v>
      </c>
      <c r="CS145" s="46">
        <f>=IFERROR(ROUND((CS22)/$B145,0),0)</f>
        <v>0</v>
      </c>
      <c r="CT145" s="46">
        <f>=IFERROR(ROUND((CT22)/$B145,0),0)</f>
        <v>0</v>
      </c>
      <c r="CU145" s="46">
        <f>=IFERROR(ROUND((CU22)/$B145,0),0)</f>
        <v>0</v>
      </c>
      <c r="CV145" s="46">
        <f>=IFERROR(ROUND((CV22)/$B145,0),0)</f>
        <v>0</v>
      </c>
      <c r="CW145" s="46">
        <f>=IFERROR(ROUND((CW22)/$B145,0),0)</f>
        <v>0</v>
      </c>
      <c r="CX145" s="46">
        <f>=IFERROR(ROUND((CX22)/$B145,0),0)</f>
        <v>0</v>
      </c>
      <c r="CY145" s="46">
        <f>=IFERROR(ROUND((CY22)/$B145,0),0)</f>
        <v>0</v>
      </c>
      <c r="CZ145" s="46">
        <f>=IFERROR(ROUND((CZ22)/$B145,0),0)</f>
        <v>0</v>
      </c>
      <c r="DA145" s="46">
        <f>=IFERROR(ROUND((DA22)/$B145,0),0)</f>
        <v>0</v>
      </c>
      <c r="DB145" s="46">
        <f>=IFERROR(ROUND((DB22)/$B145,0),0)</f>
        <v>0</v>
      </c>
    </row>
    <row r="146" spans="1:106" x14ac:dyDescent="0.25">
      <c r="A146" s="17" t="s">
        <v>357</v>
      </c>
      <c r="B146" s="17">
        <v>15</v>
      </c>
      <c r="C146" s="46">
        <f>=IFERROR(ROUND((C19+C23)/$B146,0),0)</f>
        <v>3</v>
      </c>
      <c r="D146" s="46">
        <f>=IFERROR(ROUND((D19+D23)/$B146,0),0)</f>
        <v>4</v>
      </c>
      <c r="E146" s="46">
        <f>=IFERROR(ROUND((E19+E23)/$B146,0),0)</f>
        <v>3</v>
      </c>
      <c r="F146" s="46">
        <f>=IFERROR(ROUND((F19+F23)/$B146,0),0)</f>
        <v>3</v>
      </c>
      <c r="G146" s="46">
        <f>=IFERROR(ROUND((G19+G23)/$B146,0),0)</f>
        <v>3</v>
      </c>
      <c r="H146" s="46">
        <f>=IFERROR(ROUND((H19+H23)/$B146,0),0)</f>
        <v>4</v>
      </c>
      <c r="I146" s="46">
        <f>=IFERROR(ROUND((I19+I23)/$B146,0),0)</f>
        <v>4</v>
      </c>
      <c r="J146" s="46">
        <f>=IFERROR(ROUND((J19+J23)/$B146,0),0)</f>
        <v>4</v>
      </c>
      <c r="K146" s="46">
        <f>=IFERROR(ROUND((K19+K23)/$B146,0),0)</f>
        <v>4</v>
      </c>
      <c r="L146" s="46">
        <f>=IFERROR(ROUND((L19+L23)/$B146,0),0)</f>
        <v>4</v>
      </c>
      <c r="M146" s="46">
        <f>=IFERROR(ROUND((M19+M23)/$B146,0),0)</f>
        <v>3</v>
      </c>
      <c r="N146" s="46">
        <f>=IFERROR(ROUND((N19+N23)/$B146,0),0)</f>
        <v>4</v>
      </c>
      <c r="O146" s="46">
        <f>=IFERROR(ROUND((O19+O23)/$B146,0),0)</f>
        <v>3</v>
      </c>
      <c r="P146" s="46">
        <f>=IFERROR(ROUND((P19+P23)/$B146,0),0)</f>
        <v>3</v>
      </c>
      <c r="Q146" s="46">
        <f>=IFERROR(ROUND((Q19+Q23)/$B146,0),0)</f>
        <v>3</v>
      </c>
      <c r="R146" s="46">
        <f>=IFERROR(ROUND((R19+R23)/$B146,0),0)</f>
        <v>3</v>
      </c>
      <c r="S146" s="46">
        <f>=IFERROR(ROUND((S19+S23)/$B146,0),0)</f>
        <v>3</v>
      </c>
      <c r="T146" s="46">
        <f>=IFERROR(ROUND((T19+T23)/$B146,0),0)</f>
        <v>3</v>
      </c>
      <c r="U146" s="46">
        <f>=IFERROR(ROUND((U19+U23)/$B146,0),0)</f>
        <v>3</v>
      </c>
      <c r="V146" s="46">
        <f>=IFERROR(ROUND((V19+V23)/$B146,0),0)</f>
        <v>3</v>
      </c>
      <c r="W146" s="46">
        <f>=IFERROR(ROUND((W19+W23)/$B146,0),0)</f>
        <v>3</v>
      </c>
      <c r="X146" s="46">
        <f>=IFERROR(ROUND((X19+X23)/$B146,0),0)</f>
        <v>3</v>
      </c>
      <c r="Y146" s="46">
        <f>=IFERROR(ROUND((Y19+Y23)/$B146,0),0)</f>
        <v>3</v>
      </c>
      <c r="Z146" s="46">
        <f>=IFERROR(ROUND((Z19+Z23)/$B146,0),0)</f>
        <v>2</v>
      </c>
      <c r="AA146" s="46">
        <f>=IFERROR(ROUND((AA19+AA23)/$B146,0),0)</f>
        <v>3</v>
      </c>
      <c r="AB146" s="46">
        <f>=IFERROR(ROUND((AB19+AB23)/$B146,0),0)</f>
        <v>3</v>
      </c>
      <c r="AC146" s="46">
        <f>=IFERROR(ROUND((AC19+AC23)/$B146,0),0)</f>
        <v>3</v>
      </c>
      <c r="AD146" s="46">
        <f>=IFERROR(ROUND((AD19+AD23)/$B146,0),0)</f>
        <v>3</v>
      </c>
      <c r="AE146" s="46">
        <f>=IFERROR(ROUND((AE19+AE23)/$B146,0),0)</f>
        <v>2</v>
      </c>
      <c r="AF146" s="46">
        <f>=IFERROR(ROUND((AF19+AF23)/$B146,0),0)</f>
        <v>2</v>
      </c>
      <c r="AG146" s="46">
        <f>=IFERROR(ROUND((AG19+AG23)/$B146,0),0)</f>
        <v>3</v>
      </c>
      <c r="AH146" s="46">
        <f>=IFERROR(ROUND((AH19+AH23)/$B146,0),0)</f>
        <v>3</v>
      </c>
      <c r="AI146" s="46">
        <f>=IFERROR(ROUND((AI19+AI23)/$B146,0),0)</f>
        <v>3</v>
      </c>
      <c r="AJ146" s="46">
        <f>=IFERROR(ROUND((AJ19+AJ23)/$B146,0),0)</f>
        <v>3</v>
      </c>
      <c r="AK146" s="46">
        <f>=IFERROR(ROUND((AK19+AK23)/$B146,0),0)</f>
        <v>4</v>
      </c>
      <c r="AL146" s="46">
        <f>=IFERROR(ROUND((AL19+AL23)/$B146,0),0)</f>
        <v>4</v>
      </c>
      <c r="AM146" s="46">
        <f>=IFERROR(ROUND((AM19+AM23)/$B146,0),0)</f>
        <v>4</v>
      </c>
      <c r="AN146" s="46">
        <f>=IFERROR(ROUND((AN19+AN23)/$B146,0),0)</f>
        <v>4</v>
      </c>
      <c r="AO146" s="46">
        <f>=IFERROR(ROUND((AO19+AO23)/$B146,0),0)</f>
        <v>5</v>
      </c>
      <c r="AP146" s="46">
        <f>=IFERROR(ROUND((AP19+AP23)/$B146,0),0)</f>
        <v>4</v>
      </c>
      <c r="AQ146" s="46">
        <f>=IFERROR(ROUND((AQ19+AQ23)/$B146,0),0)</f>
        <v>5</v>
      </c>
      <c r="AR146" s="46">
        <f>=IFERROR(ROUND((AR19+AR23)/$B146,0),0)</f>
        <v>5</v>
      </c>
      <c r="AS146" s="46">
        <f>=IFERROR(ROUND((AS19+AS23)/$B146,0),0)</f>
        <v>5</v>
      </c>
      <c r="AT146" s="46">
        <f>=IFERROR(ROUND((AT19+AT23)/$B146,0),0)</f>
        <v>6</v>
      </c>
      <c r="AU146" s="46">
        <f>=IFERROR(ROUND((AU19+AU23)/$B146,0),0)</f>
        <v>7</v>
      </c>
      <c r="AV146" s="46">
        <f>=IFERROR(ROUND((AV19+AV23)/$B146,0),0)</f>
        <v>7</v>
      </c>
      <c r="AW146" s="46">
        <f>=IFERROR(ROUND((AW19+AW23)/$B146,0),0)</f>
        <v>7</v>
      </c>
      <c r="AX146" s="46">
        <f>=IFERROR(ROUND((AX19+AX23)/$B146,0),0)</f>
        <v>8</v>
      </c>
      <c r="AY146" s="46">
        <f>=IFERROR(ROUND((AY19+AY23)/$B146,0),0)</f>
        <v>8</v>
      </c>
      <c r="AZ146" s="46">
        <f>=IFERROR(ROUND((AZ19+AZ23)/$B146,0),0)</f>
        <v>10</v>
      </c>
      <c r="BA146" s="46">
        <f>=IFERROR(ROUND((BA19+BA23)/$B146,0),0)</f>
        <v>10</v>
      </c>
      <c r="BB146" s="46">
        <f>=IFERROR(ROUND((BB19+BB23)/$B146,0),0)</f>
        <v>10</v>
      </c>
      <c r="BC146" s="46">
        <f>=IFERROR(ROUND((BC19+BC23)/$B146,0),0)</f>
        <v>9</v>
      </c>
      <c r="BD146" s="73">
        <f>=IFERROR(ROUND((BD19+BD23)/$B146,0),0)</f>
        <v>9</v>
      </c>
      <c r="BE146" s="46">
        <f>=IFERROR(ROUND((BE19+BE23)/$B146,0),0)</f>
        <v>8</v>
      </c>
      <c r="BF146" s="46">
        <f>=IFERROR(ROUND((BF19+BF23)/$B146,0),0)</f>
        <v>10</v>
      </c>
      <c r="BG146" s="46">
        <f>=IFERROR(ROUND((BG19+BG23)/$B146,0),0)</f>
        <v>10</v>
      </c>
      <c r="BH146" s="46">
        <f>=IFERROR(ROUND((BH19+BH23)/$B146,0),0)</f>
        <v>10</v>
      </c>
      <c r="BI146" s="46">
        <f>=IFERROR(ROUND((BI19+BI23)/$B146,0),0)</f>
        <v>10</v>
      </c>
      <c r="BJ146" s="46">
        <f>=IFERROR(ROUND((BJ19+BJ23)/$B146,0),0)</f>
        <v>9</v>
      </c>
      <c r="BK146" s="46">
        <f>=IFERROR(ROUND((BK19+BK23)/$B146,0),0)</f>
        <v>9</v>
      </c>
      <c r="BL146" s="73">
        <f>=IFERROR(ROUND((BL19+BL23)/$B146,0),0)</f>
        <v>9</v>
      </c>
      <c r="BM146" s="46">
        <f>=IFERROR(ROUND((BM19+BM23)/$B146,0),0)</f>
        <v>9</v>
      </c>
      <c r="BN146" s="46">
        <f>=IFERROR(ROUND((BN19+BN23)/$B146,0),0)</f>
        <v>9</v>
      </c>
      <c r="BO146" s="46">
        <f>=IFERROR(ROUND((BO19+BO23)/$B146,0),0)</f>
        <v>8</v>
      </c>
      <c r="BP146" s="46">
        <f>=IFERROR(ROUND((BP19+BP23)/$B146,0),0)</f>
        <v>8</v>
      </c>
      <c r="BQ146" s="46">
        <f>=IFERROR(ROUND((BQ19+BQ23)/$B146,0),0)</f>
        <v>8</v>
      </c>
      <c r="BR146" s="46">
        <f>=IFERROR(ROUND((BR19+BR23)/$B146,0),0)</f>
        <v>8</v>
      </c>
      <c r="BS146" s="46">
        <f>=IFERROR(ROUND((BS19+BS23)/$B146,0),0)</f>
        <v>7</v>
      </c>
      <c r="BT146" s="46">
        <f>=IFERROR(ROUND((BT19+BT23)/$B146,0),0)</f>
        <v>7</v>
      </c>
      <c r="BU146" s="46">
        <f>=IFERROR(ROUND((BU19+BU23)/$B146,0),0)</f>
        <v>7</v>
      </c>
      <c r="BV146" s="46">
        <f>=IFERROR(ROUND((BV19+BV23)/$B146,0),0)</f>
        <v>7</v>
      </c>
      <c r="BW146" s="46">
        <f>=IFERROR(ROUND((BW19+BW23)/$B146,0),0)</f>
        <v>7</v>
      </c>
      <c r="BX146" s="46">
        <f>=IFERROR(ROUND((BX19)/$B146,0),0)</f>
        <v>7</v>
      </c>
      <c r="BY146" s="46">
        <f>=IFERROR(ROUND((BY19)/$B146,0),0)</f>
        <v>6</v>
      </c>
      <c r="BZ146" s="46">
        <f>=IFERROR(ROUND((BZ19)/$B146,0),0)</f>
        <v>6</v>
      </c>
      <c r="CA146" s="46">
        <f>=IFERROR(ROUND((CA19)/$B146,0),0)</f>
        <v>6</v>
      </c>
      <c r="CB146" s="46">
        <f>=IFERROR(ROUND((CB19)/$B146,0),0)</f>
        <v>6</v>
      </c>
      <c r="CC146" s="46">
        <f>=IFERROR(ROUND((CC19)/$B146,0),0)</f>
        <v>6</v>
      </c>
      <c r="CD146" s="46">
        <f>=IFERROR(ROUND((CD19)/$B146,0),0)</f>
        <v>6</v>
      </c>
      <c r="CE146" s="46">
        <f>=IFERROR(ROUND((CE19)/$B146,0),0)</f>
        <v>6</v>
      </c>
      <c r="CF146" s="46">
        <f>=IFERROR(ROUND((CF19)/$B146,0),0)</f>
        <v>5</v>
      </c>
      <c r="CG146" s="46">
        <f>=IFERROR(ROUND((CG19)/$B146,0),0)</f>
        <v>5</v>
      </c>
      <c r="CH146" s="46">
        <f>=IFERROR(ROUND((CH19)/$B146,0),0)</f>
        <v>5</v>
      </c>
      <c r="CI146" s="46">
        <f>=IFERROR(ROUND((CI19)/$B146,0),0)</f>
        <v>5</v>
      </c>
      <c r="CJ146" s="46">
        <f>=IFERROR(ROUND((CJ19)/$B146,0),0)</f>
        <v>5</v>
      </c>
      <c r="CK146" s="46">
        <f>=IFERROR(ROUND((CK19)/$B146,0),0)</f>
        <v>5</v>
      </c>
      <c r="CL146" s="46">
        <f>=IFERROR(ROUND((CL19)/$B146,0),0)</f>
        <v>5</v>
      </c>
      <c r="CM146" s="46">
        <f>=IFERROR(ROUND((CM19)/$B146,0),0)</f>
        <v>5</v>
      </c>
      <c r="CN146" s="46">
        <f>=IFERROR(ROUND((CN19)/$B146,0),0)</f>
        <v>5</v>
      </c>
      <c r="CO146" s="46">
        <f>=IFERROR(ROUND((CO19)/$B146,0),0)</f>
        <v>5</v>
      </c>
      <c r="CP146" s="46">
        <f>=IFERROR(ROUND((CP19)/$B146,0),0)</f>
        <v>5</v>
      </c>
      <c r="CQ146" s="46">
        <f>=IFERROR(ROUND((CQ19)/$B146,0),0)</f>
        <v>5</v>
      </c>
      <c r="CR146" s="46">
        <f>=IFERROR(ROUND((CR19)/$B146,0),0)</f>
        <v>5</v>
      </c>
      <c r="CS146" s="46">
        <f>=IFERROR(ROUND((CS19)/$B146,0),0)</f>
        <v>5</v>
      </c>
      <c r="CT146" s="46">
        <f>=IFERROR(ROUND((CT19)/$B146,0),0)</f>
        <v>4</v>
      </c>
      <c r="CU146" s="46">
        <f>=IFERROR(ROUND((CU19)/$B146,0),0)</f>
        <v>4</v>
      </c>
      <c r="CV146" s="46">
        <f>=IFERROR(ROUND((CV19)/$B146,0),0)</f>
        <v>4</v>
      </c>
      <c r="CW146" s="46">
        <f>=IFERROR(ROUND((CW19)/$B146,0),0)</f>
        <v>4</v>
      </c>
      <c r="CX146" s="46">
        <f>=IFERROR(ROUND((CX19)/$B146,0),0)</f>
        <v>4</v>
      </c>
      <c r="CY146" s="46">
        <f>=IFERROR(ROUND((CY19)/$B146,0),0)</f>
        <v>4</v>
      </c>
      <c r="CZ146" s="46">
        <f>=IFERROR(ROUND((CZ19)/$B146,0),0)</f>
        <v>4</v>
      </c>
      <c r="DA146" s="46">
        <f>=IFERROR(ROUND((DA19)/$B146,0),0)</f>
        <v>4</v>
      </c>
      <c r="DB146" s="46">
        <f>=IFERROR(ROUND((DB19)/$B146,0),0)</f>
        <v>4</v>
      </c>
    </row>
    <row r="147" spans="1:106" x14ac:dyDescent="0.25">
      <c r="A147" s="17" t="s">
        <v>358</v>
      </c>
      <c r="B147" s="17">
        <v>35</v>
      </c>
      <c r="C147" s="46">
        <f>=IFERROR(ROUND((C19+C23)/$B147,0),0)</f>
        <v>1</v>
      </c>
      <c r="D147" s="46">
        <f>=IFERROR(ROUND((D19+D23)/$B147,0),0)</f>
        <v>2</v>
      </c>
      <c r="E147" s="46">
        <f>=IFERROR(ROUND((E19+E23)/$B147,0),0)</f>
        <v>1</v>
      </c>
      <c r="F147" s="46">
        <f>=IFERROR(ROUND((F19+F23)/$B147,0),0)</f>
        <v>1</v>
      </c>
      <c r="G147" s="46">
        <f>=IFERROR(ROUND((G19+G23)/$B147,0),0)</f>
        <v>1</v>
      </c>
      <c r="H147" s="46">
        <f>=IFERROR(ROUND((H19+H23)/$B147,0),0)</f>
        <v>2</v>
      </c>
      <c r="I147" s="46">
        <f>=IFERROR(ROUND((I19+I23)/$B147,0),0)</f>
        <v>2</v>
      </c>
      <c r="J147" s="46">
        <f>=IFERROR(ROUND((J19+J23)/$B147,0),0)</f>
        <v>2</v>
      </c>
      <c r="K147" s="46">
        <f>=IFERROR(ROUND((K19+K23)/$B147,0),0)</f>
        <v>2</v>
      </c>
      <c r="L147" s="46">
        <f>=IFERROR(ROUND((L19+L23)/$B147,0),0)</f>
        <v>2</v>
      </c>
      <c r="M147" s="46">
        <f>=IFERROR(ROUND((M19+M23)/$B147,0),0)</f>
        <v>1</v>
      </c>
      <c r="N147" s="46">
        <f>=IFERROR(ROUND((N19+N23)/$B147,0),0)</f>
        <v>2</v>
      </c>
      <c r="O147" s="46">
        <f>=IFERROR(ROUND((O19+O23)/$B147,0),0)</f>
        <v>1</v>
      </c>
      <c r="P147" s="46">
        <f>=IFERROR(ROUND((P19+P23)/$B147,0),0)</f>
        <v>1</v>
      </c>
      <c r="Q147" s="46">
        <f>=IFERROR(ROUND((Q19+Q23)/$B147,0),0)</f>
        <v>1</v>
      </c>
      <c r="R147" s="46">
        <f>=IFERROR(ROUND((R19+R23)/$B147,0),0)</f>
        <v>1</v>
      </c>
      <c r="S147" s="46">
        <f>=IFERROR(ROUND((S19+S23)/$B147,0),0)</f>
        <v>1</v>
      </c>
      <c r="T147" s="46">
        <f>=IFERROR(ROUND((T19+T23)/$B147,0),0)</f>
        <v>1</v>
      </c>
      <c r="U147" s="46">
        <f>=IFERROR(ROUND((U19+U23)/$B147,0),0)</f>
        <v>1</v>
      </c>
      <c r="V147" s="46">
        <f>=IFERROR(ROUND((V19+V23)/$B147,0),0)</f>
        <v>1</v>
      </c>
      <c r="W147" s="46">
        <f>=IFERROR(ROUND((W19+W23)/$B147,0),0)</f>
        <v>1</v>
      </c>
      <c r="X147" s="46">
        <f>=IFERROR(ROUND((X19+X23)/$B147,0),0)</f>
        <v>1</v>
      </c>
      <c r="Y147" s="46">
        <f>=IFERROR(ROUND((Y19+Y23)/$B147,0),0)</f>
        <v>1</v>
      </c>
      <c r="Z147" s="46">
        <f>=IFERROR(ROUND((Z19+Z23)/$B147,0),0)</f>
        <v>1</v>
      </c>
      <c r="AA147" s="46">
        <f>=IFERROR(ROUND((AA19+AA23)/$B147,0),0)</f>
        <v>1</v>
      </c>
      <c r="AB147" s="46">
        <f>=IFERROR(ROUND((AB19+AB23)/$B147,0),0)</f>
        <v>1</v>
      </c>
      <c r="AC147" s="46">
        <f>=IFERROR(ROUND((AC19+AC23)/$B147,0),0)</f>
        <v>1</v>
      </c>
      <c r="AD147" s="46">
        <f>=IFERROR(ROUND((AD19+AD23)/$B147,0),0)</f>
        <v>1</v>
      </c>
      <c r="AE147" s="46">
        <f>=IFERROR(ROUND((AE19+AE23)/$B147,0),0)</f>
        <v>1</v>
      </c>
      <c r="AF147" s="46">
        <f>=IFERROR(ROUND((AF19+AF23)/$B147,0),0)</f>
        <v>1</v>
      </c>
      <c r="AG147" s="46">
        <f>=IFERROR(ROUND((AG19+AG23)/$B147,0),0)</f>
        <v>1</v>
      </c>
      <c r="AH147" s="46">
        <f>=IFERROR(ROUND((AH19+AH23)/$B147,0),0)</f>
        <v>1</v>
      </c>
      <c r="AI147" s="46">
        <f>=IFERROR(ROUND((AI19+AI23)/$B147,0),0)</f>
        <v>1</v>
      </c>
      <c r="AJ147" s="46">
        <f>=IFERROR(ROUND((AJ19+AJ23)/$B147,0),0)</f>
        <v>1</v>
      </c>
      <c r="AK147" s="46">
        <f>=IFERROR(ROUND((AK19+AK23)/$B147,0),0)</f>
        <v>2</v>
      </c>
      <c r="AL147" s="46">
        <f>=IFERROR(ROUND((AL19+AL23)/$B147,0),0)</f>
        <v>2</v>
      </c>
      <c r="AM147" s="46">
        <f>=IFERROR(ROUND((AM19+AM23)/$B147,0),0)</f>
        <v>2</v>
      </c>
      <c r="AN147" s="46">
        <f>=IFERROR(ROUND((AN19+AN23)/$B147,0),0)</f>
        <v>2</v>
      </c>
      <c r="AO147" s="46">
        <f>=IFERROR(ROUND((AO19+AO23)/$B147,0),0)</f>
        <v>2</v>
      </c>
      <c r="AP147" s="46">
        <f>=IFERROR(ROUND((AP19+AP23)/$B147,0),0)</f>
        <v>2</v>
      </c>
      <c r="AQ147" s="46">
        <f>=IFERROR(ROUND((AQ19+AQ23)/$B147,0),0)</f>
        <v>2</v>
      </c>
      <c r="AR147" s="46">
        <f>=IFERROR(ROUND((AR19+AR23)/$B147,0),0)</f>
        <v>2</v>
      </c>
      <c r="AS147" s="46">
        <f>=IFERROR(ROUND((AS19+AS23)/$B147,0),0)</f>
        <v>2</v>
      </c>
      <c r="AT147" s="46">
        <f>=IFERROR(ROUND((AT19+AT23)/$B147,0),0)</f>
        <v>3</v>
      </c>
      <c r="AU147" s="46">
        <f>=IFERROR(ROUND((AU19+AU23)/$B147,0),0)</f>
        <v>3</v>
      </c>
      <c r="AV147" s="46">
        <f>=IFERROR(ROUND((AV19+AV23)/$B147,0),0)</f>
        <v>3</v>
      </c>
      <c r="AW147" s="46">
        <f>=IFERROR(ROUND((AW19+AW23)/$B147,0),0)</f>
        <v>3</v>
      </c>
      <c r="AX147" s="46">
        <f>=IFERROR(ROUND((AX19+AX23)/$B147,0),0)</f>
        <v>3</v>
      </c>
      <c r="AY147" s="46">
        <f>=IFERROR(ROUND((AY19+AY23)/$B147,0),0)</f>
        <v>4</v>
      </c>
      <c r="AZ147" s="46">
        <f>=IFERROR(ROUND((AZ19+AZ23)/$B147,0),0)</f>
        <v>4</v>
      </c>
      <c r="BA147" s="46">
        <f>=IFERROR(ROUND((BA19+BA23)/$B147,0),0)</f>
        <v>4</v>
      </c>
      <c r="BB147" s="46">
        <f>=IFERROR(ROUND((BB19+BB23)/$B147,0),0)</f>
        <v>4</v>
      </c>
      <c r="BC147" s="73">
        <f>=IFERROR(ROUND((BC19+BC23)/$B147,0),0)</f>
        <v>4</v>
      </c>
      <c r="BD147" s="46">
        <f>=IFERROR(ROUND((BD19+BD23)/$B147,0),0)</f>
        <v>4</v>
      </c>
      <c r="BE147" s="46">
        <f>=IFERROR(ROUND((BE19+BE23)/$B147,0),0)</f>
        <v>4</v>
      </c>
      <c r="BF147" s="46">
        <f>=IFERROR(ROUND((BF19+BF23)/$B147,0),0)</f>
        <v>4</v>
      </c>
      <c r="BG147" s="46">
        <f>=IFERROR(ROUND((BG19+BG23)/$B147,0),0)</f>
        <v>4</v>
      </c>
      <c r="BH147" s="46">
        <f>=IFERROR(ROUND((BH19+BH23)/$B147,0),0)</f>
        <v>4</v>
      </c>
      <c r="BI147" s="46">
        <f>=IFERROR(ROUND((BI19+BI23)/$B147,0),0)</f>
        <v>4</v>
      </c>
      <c r="BJ147" s="46">
        <f>=IFERROR(ROUND((BJ19+BJ23)/$B147,0),0)</f>
        <v>4</v>
      </c>
      <c r="BK147" s="46">
        <f>=IFERROR(ROUND((BK19+BK23)/$B147,0),0)</f>
        <v>4</v>
      </c>
      <c r="BL147" s="46">
        <f>=IFERROR(ROUND((BL19+BL23)/$B147,0),0)</f>
        <v>4</v>
      </c>
      <c r="BM147" s="46">
        <f>=IFERROR(ROUND((BM19+BM23)/$B147,0),0)</f>
        <v>4</v>
      </c>
      <c r="BN147" s="46">
        <f>=IFERROR(ROUND((BN19+BN23)/$B147,0),0)</f>
        <v>4</v>
      </c>
      <c r="BO147" s="46">
        <f>=IFERROR(ROUND((BO19+BO23)/$B147,0),0)</f>
        <v>3</v>
      </c>
      <c r="BP147" s="46">
        <f>=IFERROR(ROUND((BP19+BP23)/$B147,0),0)</f>
        <v>3</v>
      </c>
      <c r="BQ147" s="46">
        <f>=IFERROR(ROUND((BQ19+BQ23)/$B147,0),0)</f>
        <v>4</v>
      </c>
      <c r="BR147" s="46">
        <f>=IFERROR(ROUND((BR19+BR23)/$B147,0),0)</f>
        <v>3</v>
      </c>
      <c r="BS147" s="46">
        <f>=IFERROR(ROUND((BS19+BS23)/$B147,0),0)</f>
        <v>3</v>
      </c>
      <c r="BT147" s="46">
        <f>=IFERROR(ROUND((BT19+BT23)/$B147,0),0)</f>
        <v>3</v>
      </c>
      <c r="BU147" s="46">
        <f>=IFERROR(ROUND((BU19+BU23)/$B147,0),0)</f>
        <v>3</v>
      </c>
      <c r="BV147" s="46">
        <f>=IFERROR(ROUND((BV19+BV23)/$B147,0),0)</f>
        <v>3</v>
      </c>
      <c r="BW147" s="46">
        <f>=IFERROR(ROUND((BW19+BW23)/$B147,0),0)</f>
        <v>3</v>
      </c>
      <c r="BX147" s="46">
        <f>=IFERROR(ROUND((BX10)/$B147,0),0)</f>
        <v>3</v>
      </c>
      <c r="BY147" s="46">
        <f>=IFERROR(ROUND((BY10)/$B147,0),0)</f>
        <v>3</v>
      </c>
      <c r="BZ147" s="46">
        <f>=IFERROR(ROUND((BZ10)/$B147,0),0)</f>
        <v>3</v>
      </c>
      <c r="CA147" s="46">
        <f>=IFERROR(ROUND((CA10)/$B147,0),0)</f>
        <v>3</v>
      </c>
      <c r="CB147" s="46">
        <f>=IFERROR(ROUND((CB10)/$B147,0),0)</f>
        <v>3</v>
      </c>
      <c r="CC147" s="46">
        <f>=IFERROR(ROUND((CC10)/$B147,0),0)</f>
        <v>3</v>
      </c>
      <c r="CD147" s="46">
        <f>=IFERROR(ROUND((CD10)/$B147,0),0)</f>
        <v>3</v>
      </c>
      <c r="CE147" s="46">
        <f>=IFERROR(ROUND((CE10)/$B147,0),0)</f>
        <v>3</v>
      </c>
      <c r="CF147" s="46">
        <f>=IFERROR(ROUND((CF10)/$B147,0),0)</f>
        <v>2</v>
      </c>
      <c r="CG147" s="46">
        <f>=IFERROR(ROUND((CG10)/$B147,0),0)</f>
        <v>2</v>
      </c>
      <c r="CH147" s="46">
        <f>=IFERROR(ROUND((CH10)/$B147,0),0)</f>
        <v>2</v>
      </c>
      <c r="CI147" s="46">
        <f>=IFERROR(ROUND((CI10)/$B147,0),0)</f>
        <v>2</v>
      </c>
      <c r="CJ147" s="46">
        <f>=IFERROR(ROUND((CJ10)/$B147,0),0)</f>
        <v>2</v>
      </c>
      <c r="CK147" s="46">
        <f>=IFERROR(ROUND((CK10)/$B147,0),0)</f>
        <v>2</v>
      </c>
      <c r="CL147" s="46">
        <f>=IFERROR(ROUND((CL10)/$B147,0),0)</f>
        <v>2</v>
      </c>
      <c r="CM147" s="46">
        <f>=IFERROR(ROUND((CM10)/$B147,0),0)</f>
        <v>2</v>
      </c>
      <c r="CN147" s="46">
        <f>=IFERROR(ROUND((CN10)/$B147,0),0)</f>
        <v>2</v>
      </c>
      <c r="CO147" s="46">
        <f>=IFERROR(ROUND((CO10)/$B147,0),0)</f>
        <v>2</v>
      </c>
      <c r="CP147" s="46">
        <f>=IFERROR(ROUND((CP10)/$B147,0),0)</f>
        <v>2</v>
      </c>
      <c r="CQ147" s="46">
        <f>=IFERROR(ROUND((CQ10)/$B147,0),0)</f>
        <v>2</v>
      </c>
      <c r="CR147" s="46">
        <f>=IFERROR(ROUND((CR10)/$B147,0),0)</f>
        <v>2</v>
      </c>
      <c r="CS147" s="46">
        <f>=IFERROR(ROUND((CS10)/$B147,0),0)</f>
        <v>2</v>
      </c>
      <c r="CT147" s="46">
        <f>=IFERROR(ROUND((CT10)/$B147,0),0)</f>
        <v>2</v>
      </c>
      <c r="CU147" s="46">
        <f>=IFERROR(ROUND((CU10)/$B147,0),0)</f>
        <v>2</v>
      </c>
      <c r="CV147" s="46">
        <f>=IFERROR(ROUND((CV10)/$B147,0),0)</f>
        <v>2</v>
      </c>
      <c r="CW147" s="46">
        <f>=IFERROR(ROUND((CW10)/$B147,0),0)</f>
        <v>2</v>
      </c>
      <c r="CX147" s="46">
        <f>=IFERROR(ROUND((CX10)/$B147,0),0)</f>
        <v>2</v>
      </c>
      <c r="CY147" s="46">
        <f>=IFERROR(ROUND((CY10)/$B147,0),0)</f>
        <v>2</v>
      </c>
      <c r="CZ147" s="46">
        <f>=IFERROR(ROUND((CZ10)/$B147,0),0)</f>
        <v>2</v>
      </c>
      <c r="DA147" s="46">
        <f>=IFERROR(ROUND((DA10)/$B147,0),0)</f>
        <v>2</v>
      </c>
      <c r="DB147" s="46">
        <f>=IFERROR(ROUND((DB10)/$B147,0),0)</f>
        <v>2</v>
      </c>
    </row>
    <row r="148" spans="1:106" x14ac:dyDescent="0.25">
      <c r="A148" s="17" t="s">
        <v>359</v>
      </c>
      <c r="B148" s="17">
        <v>15</v>
      </c>
      <c r="C148" s="46">
        <f>=IFERROR(ROUND(C19/$B148,0),0)</f>
        <v>3</v>
      </c>
      <c r="D148" s="46">
        <f>=IFERROR(ROUND(D19/$B148,0),0)</f>
        <v>3</v>
      </c>
      <c r="E148" s="46">
        <f>=IFERROR(ROUND(E19/$B148,0),0)</f>
        <v>3</v>
      </c>
      <c r="F148" s="46">
        <f>=IFERROR(ROUND(F19/$B148,0),0)</f>
        <v>3</v>
      </c>
      <c r="G148" s="46">
        <f>=IFERROR(ROUND(G19/$B148,0),0)</f>
        <v>3</v>
      </c>
      <c r="H148" s="46">
        <f>=IFERROR(ROUND(H19/$B148,0),0)</f>
        <v>3</v>
      </c>
      <c r="I148" s="46">
        <f>=IFERROR(ROUND(I19/$B148,0),0)</f>
        <v>4</v>
      </c>
      <c r="J148" s="46">
        <f>=IFERROR(ROUND(J19/$B148,0),0)</f>
        <v>4</v>
      </c>
      <c r="K148" s="46">
        <f>=IFERROR(ROUND(K19/$B148,0),0)</f>
        <v>4</v>
      </c>
      <c r="L148" s="46">
        <f>=IFERROR(ROUND(L19/$B148,0),0)</f>
        <v>4</v>
      </c>
      <c r="M148" s="46">
        <f>=IFERROR(ROUND(M19/$B148,0),0)</f>
        <v>3</v>
      </c>
      <c r="N148" s="46">
        <f>=IFERROR(ROUND(N19/$B148,0),0)</f>
        <v>4</v>
      </c>
      <c r="O148" s="46">
        <f>=IFERROR(ROUND(O19/$B148,0),0)</f>
        <v>3</v>
      </c>
      <c r="P148" s="46">
        <f>=IFERROR(ROUND(P19/$B148,0),0)</f>
        <v>3</v>
      </c>
      <c r="Q148" s="46">
        <f>=IFERROR(ROUND(Q19/$B148,0),0)</f>
        <v>3</v>
      </c>
      <c r="R148" s="46">
        <f>=IFERROR(ROUND(R19/$B148,0),0)</f>
        <v>3</v>
      </c>
      <c r="S148" s="46">
        <f>=IFERROR(ROUND(S19/$B148,0),0)</f>
        <v>3</v>
      </c>
      <c r="T148" s="46">
        <f>=IFERROR(ROUND(T19/$B148,0),0)</f>
        <v>3</v>
      </c>
      <c r="U148" s="46">
        <f>=IFERROR(ROUND(U19/$B148,0),0)</f>
        <v>3</v>
      </c>
      <c r="V148" s="46">
        <f>=IFERROR(ROUND(V19/$B148,0),0)</f>
        <v>3</v>
      </c>
      <c r="W148" s="46">
        <f>=IFERROR(ROUND(W19/$B148,0),0)</f>
        <v>3</v>
      </c>
      <c r="X148" s="46">
        <f>=IFERROR(ROUND(X19/$B148,0),0)</f>
        <v>3</v>
      </c>
      <c r="Y148" s="46">
        <f>=IFERROR(ROUND(Y19/$B148,0),0)</f>
        <v>3</v>
      </c>
      <c r="Z148" s="46">
        <f>=IFERROR(ROUND(Z19/$B148,0),0)</f>
        <v>2</v>
      </c>
      <c r="AA148" s="46">
        <f>=IFERROR(ROUND(AA19/$B148,0),0)</f>
        <v>3</v>
      </c>
      <c r="AB148" s="46">
        <f>=IFERROR(ROUND(AB19/$B148,0),0)</f>
        <v>3</v>
      </c>
      <c r="AC148" s="46">
        <f>=IFERROR(ROUND(AC19/$B148,0),0)</f>
        <v>3</v>
      </c>
      <c r="AD148" s="46">
        <f>=IFERROR(ROUND(AD19/$B148,0),0)</f>
        <v>3</v>
      </c>
      <c r="AE148" s="46">
        <f>=IFERROR(ROUND(AE19/$B148,0),0)</f>
        <v>2</v>
      </c>
      <c r="AF148" s="46">
        <f>=IFERROR(ROUND(AF19/$B148,0),0)</f>
        <v>2</v>
      </c>
      <c r="AG148" s="46">
        <f>=IFERROR(ROUND(AG19/$B148,0),0)</f>
        <v>3</v>
      </c>
      <c r="AH148" s="46">
        <f>=IFERROR(ROUND(AH19/$B148,0),0)</f>
        <v>3</v>
      </c>
      <c r="AI148" s="46">
        <f>=IFERROR(ROUND(AI19/$B148,0),0)</f>
        <v>3</v>
      </c>
      <c r="AJ148" s="46">
        <f>=IFERROR(ROUND(AJ19/$B148,0),0)</f>
        <v>3</v>
      </c>
      <c r="AK148" s="46">
        <f>=IFERROR(ROUND(AK19/$B148,0),0)</f>
        <v>4</v>
      </c>
      <c r="AL148" s="46">
        <f>=IFERROR(ROUND(AL19/$B148,0),0)</f>
        <v>4</v>
      </c>
      <c r="AM148" s="46">
        <f>=IFERROR(ROUND(AM19/$B148,0),0)</f>
        <v>4</v>
      </c>
      <c r="AN148" s="46">
        <f>=IFERROR(ROUND(AN19/$B148,0),0)</f>
        <v>4</v>
      </c>
      <c r="AO148" s="46">
        <f>=IFERROR(ROUND(AO19/$B148,0),0)</f>
        <v>5</v>
      </c>
      <c r="AP148" s="46">
        <f>=IFERROR(ROUND(AP19/$B148,0),0)</f>
        <v>4</v>
      </c>
      <c r="AQ148" s="46">
        <f>=IFERROR(ROUND(AQ19/$B148,0),0)</f>
        <v>5</v>
      </c>
      <c r="AR148" s="46">
        <f>=IFERROR(ROUND(AR19/$B148,0),0)</f>
        <v>5</v>
      </c>
      <c r="AS148" s="46">
        <f>=IFERROR(ROUND(AS19/$B148,0),0)</f>
        <v>5</v>
      </c>
      <c r="AT148" s="46">
        <f>=IFERROR(ROUND(AT19/$B148,0),0)</f>
        <v>6</v>
      </c>
      <c r="AU148" s="46">
        <f>=IFERROR(ROUND(AU19/$B148,0),0)</f>
        <v>7</v>
      </c>
      <c r="AV148" s="46">
        <f>=IFERROR(ROUND(AV19/$B148,0),0)</f>
        <v>7</v>
      </c>
      <c r="AW148" s="46">
        <f>=IFERROR(ROUND(AW19/$B148,0),0)</f>
        <v>7</v>
      </c>
      <c r="AX148" s="46">
        <f>=IFERROR(ROUND(AX19/$B148,0),0)</f>
        <v>8</v>
      </c>
      <c r="AY148" s="46">
        <f>=IFERROR(ROUND(AY19/$B148,0),0)</f>
        <v>8</v>
      </c>
      <c r="AZ148" s="46">
        <f>=IFERROR(ROUND(AZ19/$B148,0),0)</f>
        <v>10</v>
      </c>
      <c r="BA148" s="46">
        <f>=IFERROR(ROUND(BA19/$B148,0),0)</f>
        <v>10</v>
      </c>
      <c r="BB148" s="46">
        <f>=IFERROR(ROUND(BB19/$B148,0),0)</f>
        <v>10</v>
      </c>
      <c r="BC148" s="46">
        <f>=IFERROR(ROUND(BC19/$B148,0),0)</f>
        <v>9</v>
      </c>
      <c r="BD148" s="46">
        <f>=IFERROR(ROUND(BD19/$B148,0),0)</f>
        <v>9</v>
      </c>
      <c r="BE148" s="46">
        <f>=IFERROR(ROUND(BE19/$B148,0),0)</f>
        <v>8</v>
      </c>
      <c r="BF148" s="46">
        <f>=IFERROR(ROUND(BF19/$B148,0),0)</f>
        <v>10</v>
      </c>
      <c r="BG148" s="46">
        <f>=IFERROR(ROUND(BG19/$B148,0),0)</f>
        <v>10</v>
      </c>
      <c r="BH148" s="46">
        <f>=IFERROR(ROUND(BH19/$B148,0),0)</f>
        <v>10</v>
      </c>
      <c r="BI148" s="46">
        <f>=IFERROR(ROUND(BI19/$B148,0),0)</f>
        <v>10</v>
      </c>
      <c r="BJ148" s="46">
        <f>=IFERROR(ROUND(BJ19/$B148,0),0)</f>
        <v>9</v>
      </c>
      <c r="BK148" s="46">
        <f>=IFERROR(ROUND(BK19/$B148,0),0)</f>
        <v>9</v>
      </c>
      <c r="BL148" s="73">
        <f>=IFERROR(ROUND(BL19/$B148,0),0)</f>
        <v>9</v>
      </c>
      <c r="BM148" s="46">
        <f>=IFERROR(ROUND(BM19/$B148,0),0)</f>
        <v>9</v>
      </c>
      <c r="BN148" s="46">
        <f>=IFERROR(ROUND(BN19/$B148,0),0)</f>
        <v>9</v>
      </c>
      <c r="BO148" s="46">
        <f>=IFERROR(ROUND(BO19/$B148,0),0)</f>
        <v>8</v>
      </c>
      <c r="BP148" s="46">
        <f>=IFERROR(ROUND(BP19/$B148,0),0)</f>
        <v>8</v>
      </c>
      <c r="BQ148" s="46">
        <f>=IFERROR(ROUND(BQ19/$B148,0),0)</f>
        <v>8</v>
      </c>
      <c r="BR148" s="46">
        <f>=IFERROR(ROUND(BR19/$B148,0),0)</f>
        <v>8</v>
      </c>
      <c r="BS148" s="46">
        <f>=IFERROR(ROUND(BS19/$B148,0),0)</f>
        <v>7</v>
      </c>
      <c r="BT148" s="46">
        <f>=IFERROR(ROUND(BT19/$B148,0),0)</f>
        <v>7</v>
      </c>
      <c r="BU148" s="46">
        <f>=IFERROR(ROUND(BU19/$B148,0),0)</f>
        <v>7</v>
      </c>
      <c r="BV148" s="46">
        <f>=IFERROR(ROUND(BV19/$B148,0),0)</f>
        <v>7</v>
      </c>
      <c r="BW148" s="46">
        <f>=IFERROR(ROUND(BW19/$B148,0),0)</f>
        <v>7</v>
      </c>
      <c r="BX148" s="46">
        <f>=IFERROR(ROUND(BX10/$B148,0),0)</f>
        <v>7</v>
      </c>
      <c r="BY148" s="46">
        <f>=IFERROR(ROUND(BY10/$B148,0),0)</f>
        <v>6</v>
      </c>
      <c r="BZ148" s="46">
        <f>=IFERROR(ROUND(BZ10/$B148,0),0)</f>
        <v>6</v>
      </c>
      <c r="CA148" s="46">
        <f>=IFERROR(ROUND(CA10/$B148,0),0)</f>
        <v>6</v>
      </c>
      <c r="CB148" s="46">
        <f>=IFERROR(ROUND(CB10/$B148,0),0)</f>
        <v>6</v>
      </c>
      <c r="CC148" s="46">
        <f>=IFERROR(ROUND(CC10/$B148,0),0)</f>
        <v>6</v>
      </c>
      <c r="CD148" s="46">
        <f>=IFERROR(ROUND(CD10/$B148,0),0)</f>
        <v>6</v>
      </c>
      <c r="CE148" s="46">
        <f>=IFERROR(ROUND(CE10/$B148,0),0)</f>
        <v>6</v>
      </c>
      <c r="CF148" s="46">
        <f>=IFERROR(ROUND(CF10/$B148,0),0)</f>
        <v>5</v>
      </c>
      <c r="CG148" s="46">
        <f>=IFERROR(ROUND(CG10/$B148,0),0)</f>
        <v>5</v>
      </c>
      <c r="CH148" s="46">
        <f>=IFERROR(ROUND(CH10/$B148,0),0)</f>
        <v>5</v>
      </c>
      <c r="CI148" s="46">
        <f>=IFERROR(ROUND(CI10/$B148,0),0)</f>
        <v>5</v>
      </c>
      <c r="CJ148" s="46">
        <f>=IFERROR(ROUND(CJ10/$B148,0),0)</f>
        <v>5</v>
      </c>
      <c r="CK148" s="46">
        <f>=IFERROR(ROUND(CK10/$B148,0),0)</f>
        <v>5</v>
      </c>
      <c r="CL148" s="46">
        <f>=IFERROR(ROUND(CL10/$B148,0),0)</f>
        <v>5</v>
      </c>
      <c r="CM148" s="46">
        <f>=IFERROR(ROUND(CM10/$B148,0),0)</f>
        <v>5</v>
      </c>
      <c r="CN148" s="46">
        <f>=IFERROR(ROUND(CN10/$B148,0),0)</f>
        <v>5</v>
      </c>
      <c r="CO148" s="46">
        <f>=IFERROR(ROUND(CO10/$B148,0),0)</f>
        <v>5</v>
      </c>
      <c r="CP148" s="46">
        <f>=IFERROR(ROUND(CP10/$B148,0),0)</f>
        <v>5</v>
      </c>
      <c r="CQ148" s="46">
        <f>=IFERROR(ROUND(CQ10/$B148,0),0)</f>
        <v>5</v>
      </c>
      <c r="CR148" s="46">
        <f>=IFERROR(ROUND(CR10/$B148,0),0)</f>
        <v>5</v>
      </c>
      <c r="CS148" s="46">
        <f>=IFERROR(ROUND(CS10/$B148,0),0)</f>
        <v>5</v>
      </c>
      <c r="CT148" s="46">
        <f>=IFERROR(ROUND(CT10/$B148,0),0)</f>
        <v>4</v>
      </c>
      <c r="CU148" s="46">
        <f>=IFERROR(ROUND(CU10/$B148,0),0)</f>
        <v>4</v>
      </c>
      <c r="CV148" s="46">
        <f>=IFERROR(ROUND(CV10/$B148,0),0)</f>
        <v>4</v>
      </c>
      <c r="CW148" s="46">
        <f>=IFERROR(ROUND(CW10/$B148,0),0)</f>
        <v>4</v>
      </c>
      <c r="CX148" s="46">
        <f>=IFERROR(ROUND(CX10/$B148,0),0)</f>
        <v>4</v>
      </c>
      <c r="CY148" s="46">
        <f>=IFERROR(ROUND(CY10/$B148,0),0)</f>
        <v>4</v>
      </c>
      <c r="CZ148" s="46">
        <f>=IFERROR(ROUND(CZ10/$B148,0),0)</f>
        <v>4</v>
      </c>
      <c r="DA148" s="46">
        <f>=IFERROR(ROUND(DA10/$B148,0),0)</f>
        <v>4</v>
      </c>
      <c r="DB148" s="46">
        <f>=IFERROR(ROUND(DB10/$B148,0),0)</f>
        <v>4</v>
      </c>
    </row>
    <row r="149" spans="1:106" x14ac:dyDescent="0.25">
      <c r="A149" s="17" t="s">
        <v>360</v>
      </c>
      <c r="B149" s="17">
        <v>100</v>
      </c>
      <c r="C149" s="46">
        <f>=IFERROR(ROUND(C10/$B149,0),0)</f>
        <v>1</v>
      </c>
      <c r="D149" s="46">
        <f>=IFERROR(ROUND(D10/$B149,0),0)</f>
        <v>1</v>
      </c>
      <c r="E149" s="46">
        <f>=IFERROR(ROUND(E10/$B149,0),0)</f>
        <v>1</v>
      </c>
      <c r="F149" s="46">
        <f>=IFERROR(ROUND(F10/$B149,0),0)</f>
        <v>1</v>
      </c>
      <c r="G149" s="46">
        <f>=IFERROR(ROUND(G10/$B149,0),0)</f>
        <v>1</v>
      </c>
      <c r="H149" s="46">
        <f>=IFERROR(ROUND(H10/$B149,0),0)</f>
        <v>1</v>
      </c>
      <c r="I149" s="46">
        <f>=IFERROR(ROUND(I10/$B149,0),0)</f>
        <v>1</v>
      </c>
      <c r="J149" s="46">
        <f>=IFERROR(ROUND(J10/$B149,0),0)</f>
        <v>1</v>
      </c>
      <c r="K149" s="46">
        <f>=IFERROR(ROUND(K10/$B149,0),0)</f>
        <v>1</v>
      </c>
      <c r="L149" s="46">
        <f>=IFERROR(ROUND(L10/$B149,0),0)</f>
        <v>1</v>
      </c>
      <c r="M149" s="46">
        <f>=IFERROR(ROUND(M10/$B149,0),0)</f>
        <v>1</v>
      </c>
      <c r="N149" s="46">
        <f>=IFERROR(ROUND(N10/$B149,0),0)</f>
        <v>1</v>
      </c>
      <c r="O149" s="46">
        <f>=IFERROR(ROUND(O10/$B149,0),0)</f>
        <v>1</v>
      </c>
      <c r="P149" s="46">
        <f>=IFERROR(ROUND(P10/$B149,0),0)</f>
        <v>1</v>
      </c>
      <c r="Q149" s="46">
        <f>=IFERROR(ROUND(Q10/$B149,0),0)</f>
        <v>1</v>
      </c>
      <c r="R149" s="46">
        <f>=IFERROR(ROUND(R10/$B149,0),0)</f>
        <v>0</v>
      </c>
      <c r="S149" s="46">
        <f>=IFERROR(ROUND(S10/$B149,0),0)</f>
        <v>0</v>
      </c>
      <c r="T149" s="46">
        <f>=IFERROR(ROUND(T10/$B149,0),0)</f>
        <v>0</v>
      </c>
      <c r="U149" s="46">
        <f>=IFERROR(ROUND(U10/$B149,0),0)</f>
        <v>0</v>
      </c>
      <c r="V149" s="46">
        <f>=IFERROR(ROUND(V10/$B149,0),0)</f>
        <v>0</v>
      </c>
      <c r="W149" s="46">
        <f>=IFERROR(ROUND(W10/$B149,0),0)</f>
        <v>1</v>
      </c>
      <c r="X149" s="46">
        <f>=IFERROR(ROUND(X10/$B149,0),0)</f>
        <v>1</v>
      </c>
      <c r="Y149" s="46">
        <f>=IFERROR(ROUND(Y10/$B149,0),0)</f>
        <v>0</v>
      </c>
      <c r="Z149" s="46">
        <f>=IFERROR(ROUND(Z10/$B149,0),0)</f>
        <v>0</v>
      </c>
      <c r="AA149" s="46">
        <f>=IFERROR(ROUND(AA10/$B149,0),0)</f>
        <v>0</v>
      </c>
      <c r="AB149" s="46">
        <f>=IFERROR(ROUND(AB10/$B149,0),0)</f>
        <v>0</v>
      </c>
      <c r="AC149" s="46">
        <f>=IFERROR(ROUND(AC10/$B149,0),0)</f>
        <v>1</v>
      </c>
      <c r="AD149" s="46">
        <f>=IFERROR(ROUND(AD10/$B149,0),0)</f>
        <v>1</v>
      </c>
      <c r="AE149" s="46">
        <f>=IFERROR(ROUND(AE10/$B149,0),0)</f>
        <v>0</v>
      </c>
      <c r="AF149" s="46">
        <f>=IFERROR(ROUND(AF10/$B149,0),0)</f>
        <v>1</v>
      </c>
      <c r="AG149" s="46">
        <f>=IFERROR(ROUND(AG10/$B149,0),0)</f>
        <v>1</v>
      </c>
      <c r="AH149" s="46">
        <f>=IFERROR(ROUND(AH10/$B149,0),0)</f>
        <v>1</v>
      </c>
      <c r="AI149" s="46">
        <f>=IFERROR(ROUND(AI10/$B149,0),0)</f>
        <v>1</v>
      </c>
      <c r="AJ149" s="46">
        <f>=IFERROR(ROUND(AJ10/$B149,0),0)</f>
        <v>1</v>
      </c>
      <c r="AK149" s="46">
        <f>=IFERROR(ROUND(AK10/$B149,0),0)</f>
        <v>1</v>
      </c>
      <c r="AL149" s="46">
        <f>=IFERROR(ROUND(AL10/$B149,0),0)</f>
        <v>1</v>
      </c>
      <c r="AM149" s="46">
        <f>=IFERROR(ROUND(AM10/$B149,0),0)</f>
        <v>1</v>
      </c>
      <c r="AN149" s="46">
        <f>=IFERROR(ROUND(AN10/$B149,0),0)</f>
        <v>1</v>
      </c>
      <c r="AO149" s="46">
        <f>=IFERROR(ROUND(AO10/$B149,0),0)</f>
        <v>1</v>
      </c>
      <c r="AP149" s="46">
        <f>=IFERROR(ROUND(AP10/$B149,0),0)</f>
        <v>1</v>
      </c>
      <c r="AQ149" s="46">
        <f>=IFERROR(ROUND(AQ10/$B149,0),0)</f>
        <v>1</v>
      </c>
      <c r="AR149" s="46">
        <f>=IFERROR(ROUND(AR10/$B149,0),0)</f>
        <v>1</v>
      </c>
      <c r="AS149" s="46">
        <f>=IFERROR(ROUND(AS10/$B149,0),0)</f>
        <v>1</v>
      </c>
      <c r="AT149" s="46">
        <f>=IFERROR(ROUND(AT10/$B149,0),0)</f>
        <v>1</v>
      </c>
      <c r="AU149" s="46">
        <f>=IFERROR(ROUND(AU10/$B149,0),0)</f>
        <v>1</v>
      </c>
      <c r="AV149" s="46">
        <f>=IFERROR(ROUND(AV10/$B149,0),0)</f>
        <v>1</v>
      </c>
      <c r="AW149" s="46">
        <f>=IFERROR(ROUND(AW10/$B149,0),0)</f>
        <v>2</v>
      </c>
      <c r="AX149" s="46">
        <f>=IFERROR(ROUND(AX10/$B149,0),0)</f>
        <v>1</v>
      </c>
      <c r="AY149" s="46">
        <f>=IFERROR(ROUND(AY10/$B149,0),0)</f>
        <v>1</v>
      </c>
      <c r="AZ149" s="46">
        <f>=IFERROR(ROUND(AZ10/$B149,0),0)</f>
        <v>2</v>
      </c>
      <c r="BA149" s="46">
        <f>=IFERROR(ROUND(BA10/$B149,0),0)</f>
        <v>2</v>
      </c>
      <c r="BB149" s="46">
        <f>=IFERROR(ROUND(BB10/$B149,0),0)</f>
        <v>2</v>
      </c>
      <c r="BC149" s="46">
        <f>=IFERROR(ROUND(BC10/$B149,0),0)</f>
        <v>1</v>
      </c>
      <c r="BD149" s="46">
        <f>=IFERROR(ROUND(BD10/$B149,0),0)</f>
        <v>1</v>
      </c>
      <c r="BE149" s="46">
        <f>=IFERROR(ROUND(BE10/$B149,0),0)</f>
        <v>1</v>
      </c>
      <c r="BF149" s="46">
        <f>=IFERROR(ROUND(BF10/$B149,0),0)</f>
        <v>1</v>
      </c>
      <c r="BG149" s="46">
        <f>=IFERROR(ROUND(BG10/$B149,0),0)</f>
        <v>1</v>
      </c>
      <c r="BH149" s="73">
        <f>=IFERROR(ROUND(BH10/$B149,0),0)</f>
        <v>1</v>
      </c>
      <c r="BI149" s="46">
        <f>=IFERROR(ROUND(BI10/$B149,0),0)</f>
        <v>1</v>
      </c>
      <c r="BJ149" s="46">
        <f>=IFERROR(ROUND(BJ10/$B149,0),0)</f>
        <v>1</v>
      </c>
      <c r="BK149" s="46">
        <f>=IFERROR(ROUND(BK10/$B149,0),0)</f>
        <v>1</v>
      </c>
      <c r="BL149" s="73">
        <f>=IFERROR(ROUND(BL10/$B149,0),0)</f>
        <v>1</v>
      </c>
      <c r="BM149" s="46">
        <f>=IFERROR(ROUND(BM10/$B149,0),0)</f>
        <v>1</v>
      </c>
      <c r="BN149" s="46">
        <f>=IFERROR(ROUND(BN10/$B149,0),0)</f>
        <v>1</v>
      </c>
      <c r="BO149" s="73">
        <f>=IFERROR(ROUND(BO10/$B149,0),0)</f>
        <v>1</v>
      </c>
      <c r="BP149" s="46">
        <f>=IFERROR(ROUND(BP10/$B149,0),0)</f>
        <v>1</v>
      </c>
      <c r="BQ149" s="46">
        <f>=IFERROR(ROUND(BQ10/$B149,0),0)</f>
        <v>1</v>
      </c>
      <c r="BR149" s="46">
        <f>=IFERROR(ROUND(BR10/$B149,0),0)</f>
        <v>1</v>
      </c>
      <c r="BS149" s="46">
        <f>=IFERROR(ROUND(BS10/$B149,0),0)</f>
        <v>1</v>
      </c>
      <c r="BT149" s="46">
        <f>=IFERROR(ROUND(BT10/$B149,0),0)</f>
        <v>1</v>
      </c>
      <c r="BU149" s="46">
        <f>=IFERROR(ROUND(BU10/$B149,0),0)</f>
        <v>1</v>
      </c>
      <c r="BV149" s="46">
        <f>=IFERROR(ROUND(BV10/$B149,0),0)</f>
        <v>1</v>
      </c>
      <c r="BW149" s="46">
        <f>=IFERROR(ROUND(BW10/$B149,0),0)</f>
        <v>1</v>
      </c>
      <c r="BX149" s="46">
        <f>=IFERROR(ROUND(BX10/$B149,0),0)</f>
        <v>1</v>
      </c>
      <c r="BY149" s="46">
        <f>=IFERROR(ROUND(BY10/$B149,0),0)</f>
        <v>1</v>
      </c>
      <c r="BZ149" s="46">
        <f>=IFERROR(ROUND(BZ10/$B149,0),0)</f>
        <v>1</v>
      </c>
      <c r="CA149" s="46">
        <f>=IFERROR(ROUND(CA10/$B149,0),0)</f>
        <v>1</v>
      </c>
      <c r="CB149" s="46">
        <f>=IFERROR(ROUND(CB10/$B149,0),0)</f>
        <v>1</v>
      </c>
      <c r="CC149" s="46">
        <f>=IFERROR(ROUND(CC10/$B149,0),0)</f>
        <v>1</v>
      </c>
      <c r="CD149" s="73">
        <f>=IFERROR(ROUND(CD10/$B149,0),0)</f>
        <v>1</v>
      </c>
      <c r="CE149" s="73">
        <f>=IFERROR(ROUND(CE10/$B149,0),0)</f>
        <v>1</v>
      </c>
      <c r="CF149" s="46">
        <f>=IFERROR(ROUND(CF10/$B149,0),0)</f>
        <v>1</v>
      </c>
      <c r="CG149" s="46">
        <f>=IFERROR(ROUND(CG10/$B149,0),0)</f>
        <v>1</v>
      </c>
      <c r="CH149" s="46">
        <f>=IFERROR(ROUND(CH10/$B149,0),0)</f>
        <v>1</v>
      </c>
      <c r="CI149" s="46">
        <f>=IFERROR(ROUND(CI10/$B149,0),0)</f>
        <v>1</v>
      </c>
      <c r="CJ149" s="46">
        <f>=IFERROR(ROUND(CJ10/$B149,0),0)</f>
        <v>1</v>
      </c>
      <c r="CK149" s="46">
        <f>=IFERROR(ROUND(CK10/$B149,0),0)</f>
        <v>1</v>
      </c>
      <c r="CL149" s="46">
        <f>=IFERROR(ROUND(CL10/$B149,0),0)</f>
        <v>1</v>
      </c>
      <c r="CM149" s="46">
        <f>=IFERROR(ROUND(CM10/$B149,0),0)</f>
        <v>1</v>
      </c>
      <c r="CN149" s="46">
        <f>=IFERROR(ROUND(CN10/$B149,0),0)</f>
        <v>1</v>
      </c>
      <c r="CO149" s="46">
        <f>=IFERROR(ROUND(CO10/$B149,0),0)</f>
        <v>1</v>
      </c>
      <c r="CP149" s="46">
        <f>=IFERROR(ROUND(CP10/$B149,0),0)</f>
        <v>1</v>
      </c>
      <c r="CQ149" s="46">
        <f>=IFERROR(ROUND(CQ10/$B149,0),0)</f>
        <v>1</v>
      </c>
      <c r="CR149" s="46">
        <f>=IFERROR(ROUND(CR10/$B149,0),0)</f>
        <v>1</v>
      </c>
      <c r="CS149" s="46">
        <f>=IFERROR(ROUND(CS10/$B149,0),0)</f>
        <v>1</v>
      </c>
      <c r="CT149" s="46">
        <f>=IFERROR(ROUND(CT10/$B149,0),0)</f>
        <v>1</v>
      </c>
      <c r="CU149" s="46">
        <f>=IFERROR(ROUND(CU10/$B149,0),0)</f>
        <v>1</v>
      </c>
      <c r="CV149" s="46">
        <f>=IFERROR(ROUND(CV10/$B149,0),0)</f>
        <v>1</v>
      </c>
      <c r="CW149" s="73">
        <f>=IFERROR(ROUND(CW10/$B149,0),0)</f>
        <v>1</v>
      </c>
      <c r="CX149" s="46">
        <f>=IFERROR(ROUND(CX10/$B149,0),0)</f>
        <v>1</v>
      </c>
      <c r="CY149" s="46">
        <f>=IFERROR(ROUND(CY10/$B149,0),0)</f>
        <v>1</v>
      </c>
      <c r="CZ149" s="46">
        <f>=IFERROR(ROUND(CZ10/$B149,0),0)</f>
        <v>1</v>
      </c>
      <c r="DA149" s="46">
        <f>=IFERROR(ROUND(DA10/$B149,0),0)</f>
        <v>1</v>
      </c>
      <c r="DB149" s="46">
        <f>=IFERROR(ROUND(DB10/$B149,0),0)</f>
        <v>1</v>
      </c>
    </row>
    <row r="150" spans="1:106" x14ac:dyDescent="0.25">
      <c r="A150" s="17" t="s">
        <v>361</v>
      </c>
      <c r="B150" s="17">
        <v>5</v>
      </c>
      <c r="C150" s="46">
        <f>=IFERROR(ROUND((C21+C22)/$B150,0),0)</f>
        <v>1</v>
      </c>
      <c r="D150" s="46">
        <f>=IFERROR(ROUND((D21+D22)/$B150,0),0)</f>
        <v>0</v>
      </c>
      <c r="E150" s="46">
        <f>=IFERROR(ROUND((E21+E22)/$B150,0),0)</f>
        <v>0</v>
      </c>
      <c r="F150" s="46">
        <f>=IFERROR(ROUND((F21+F22)/$B150,0),0)</f>
        <v>2</v>
      </c>
      <c r="G150" s="46">
        <f>=IFERROR(ROUND((G21+G22)/$B150,0),0)</f>
        <v>2</v>
      </c>
      <c r="H150" s="46">
        <f>=IFERROR(ROUND((H21+H22)/$B150,0),0)</f>
        <v>0</v>
      </c>
      <c r="I150" s="46">
        <f>=IFERROR(ROUND((I21+I22)/$B150,0),0)</f>
        <v>0</v>
      </c>
      <c r="J150" s="46">
        <f>=IFERROR(ROUND((J21+J22)/$B150,0),0)</f>
        <v>0</v>
      </c>
      <c r="K150" s="46">
        <f>=IFERROR(ROUND((K21+K22)/$B150,0),0)</f>
        <v>0</v>
      </c>
      <c r="L150" s="46">
        <f>=IFERROR(ROUND((L21+L22)/$B150,0),0)</f>
        <v>0</v>
      </c>
      <c r="M150" s="46">
        <f>=IFERROR(ROUND((M21+M22)/$B150,0),0)</f>
        <v>0</v>
      </c>
      <c r="N150" s="46">
        <f>=IFERROR(ROUND((N21+N22)/$B150,0),0)</f>
        <v>0</v>
      </c>
      <c r="O150" s="46">
        <f>=IFERROR(ROUND((O21+O22)/$B150,0),0)</f>
        <v>0</v>
      </c>
      <c r="P150" s="46">
        <f>=IFERROR(ROUND((P21+P22)/$B150,0),0)</f>
        <v>0</v>
      </c>
      <c r="Q150" s="46">
        <f>=IFERROR(ROUND((Q21+Q22)/$B150,0),0)</f>
        <v>0</v>
      </c>
      <c r="R150" s="46">
        <f>=IFERROR(ROUND((R21+R22)/$B150,0),0)</f>
        <v>0</v>
      </c>
      <c r="S150" s="46">
        <f>=IFERROR(ROUND((S21+S22)/$B150,0),0)</f>
        <v>0</v>
      </c>
      <c r="T150" s="46">
        <f>=IFERROR(ROUND((T21+T22)/$B150,0),0)</f>
        <v>0</v>
      </c>
      <c r="U150" s="46">
        <f>=IFERROR(ROUND((U21+U22)/$B150,0),0)</f>
        <v>0</v>
      </c>
      <c r="V150" s="46">
        <f>=IFERROR(ROUND((V21+V22)/$B150,0),0)</f>
        <v>0</v>
      </c>
      <c r="W150" s="46">
        <f>=IFERROR(ROUND((W21+W22)/$B150,0),0)</f>
        <v>2</v>
      </c>
      <c r="X150" s="46">
        <f>=IFERROR(ROUND((X21+X22)/$B150,0),0)</f>
        <v>2</v>
      </c>
      <c r="Y150" s="46">
        <f>=IFERROR(ROUND((Y21+Y22)/$B150,0),0)</f>
        <v>0</v>
      </c>
      <c r="Z150" s="46">
        <f>=IFERROR(ROUND((Z21+Z22)/$B150,0),0)</f>
        <v>2</v>
      </c>
      <c r="AA150" s="46">
        <f>=IFERROR(ROUND((AA21+AA22)/$B150,0),0)</f>
        <v>0</v>
      </c>
      <c r="AB150" s="46">
        <f>=IFERROR(ROUND((AB21+AB22)/$B150,0),0)</f>
        <v>0</v>
      </c>
      <c r="AC150" s="46">
        <f>=IFERROR(ROUND((AC21+AC22)/$B150,0),0)</f>
        <v>3</v>
      </c>
      <c r="AD150" s="46">
        <f>=IFERROR(ROUND((AD21+AD22)/$B150,0),0)</f>
        <v>3</v>
      </c>
      <c r="AE150" s="46">
        <f>=IFERROR(ROUND((AE21+AE22)/$B150,0),0)</f>
        <v>0</v>
      </c>
      <c r="AF150" s="46">
        <f>=IFERROR(ROUND((AF21+AF22)/$B150,0),0)</f>
        <v>3</v>
      </c>
      <c r="AG150" s="46">
        <f>=IFERROR(ROUND((AG21+AG22)/$B150,0),0)</f>
        <v>3</v>
      </c>
      <c r="AH150" s="46">
        <f>=IFERROR(ROUND((AH21+AH22)/$B150,0),0)</f>
        <v>3</v>
      </c>
      <c r="AI150" s="46">
        <f>=IFERROR(ROUND((AI21+AI22)/$B150,0),0)</f>
        <v>2</v>
      </c>
      <c r="AJ150" s="46">
        <f>=IFERROR(ROUND((AJ21+AJ22)/$B150,0),0)</f>
        <v>4</v>
      </c>
      <c r="AK150" s="46">
        <f>=IFERROR(ROUND((AK21+AK22)/$B150,0),0)</f>
        <v>2</v>
      </c>
      <c r="AL150" s="46">
        <f>=IFERROR(ROUND((AL21+AL22)/$B150,0),0)</f>
        <v>3</v>
      </c>
      <c r="AM150" s="46">
        <f>=IFERROR(ROUND((AM21+AM22)/$B150,0),0)</f>
        <v>1</v>
      </c>
      <c r="AN150" s="46">
        <f>=IFERROR(ROUND((AN21+AN22)/$B150,0),0)</f>
        <v>6</v>
      </c>
      <c r="AO150" s="46">
        <f>=IFERROR(ROUND((AO21+AO22)/$B150,0),0)</f>
        <v>3</v>
      </c>
      <c r="AP150" s="46">
        <f>=IFERROR(ROUND((AP21+AP22)/$B150,0),0)</f>
        <v>7</v>
      </c>
      <c r="AQ150" s="46">
        <f>=IFERROR(ROUND((AQ21+AQ22)/$B150,0),0)</f>
        <v>10</v>
      </c>
      <c r="AR150" s="46">
        <f>=IFERROR(ROUND((AR21+AR22)/$B150,0),0)</f>
        <v>3</v>
      </c>
      <c r="AS150" s="46">
        <f>=IFERROR(ROUND((AS21+AS22)/$B150,0),0)</f>
        <v>5</v>
      </c>
      <c r="AT150" s="46">
        <f>=IFERROR(ROUND((AT21+AT22)/$B150,0),0)</f>
        <v>6</v>
      </c>
      <c r="AU150" s="46">
        <f>=IFERROR(ROUND((AU21+AU22)/$B150,0),0)</f>
        <v>6</v>
      </c>
      <c r="AV150" s="46">
        <f>=IFERROR(ROUND((AV21+AV22)/$B150,0),0)</f>
        <v>8</v>
      </c>
      <c r="AW150" s="46">
        <f>=IFERROR(ROUND((AW21+AW22)/$B150,0),0)</f>
        <v>10</v>
      </c>
      <c r="AX150" s="46">
        <f>=IFERROR(ROUND((AX21+AX22)/$B150,0),0)</f>
        <v>5</v>
      </c>
      <c r="AY150" s="46">
        <f>=IFERROR(ROUND((AY21+AY22)/$B150,0),0)</f>
        <v>4</v>
      </c>
      <c r="AZ150" s="46">
        <f>=IFERROR(ROUND((AZ21+AZ22)/$B150,0),0)</f>
        <v>2</v>
      </c>
      <c r="BA150" s="46">
        <f>=IFERROR(ROUND((BA21+BA22)/$B150,0),0)</f>
        <v>0</v>
      </c>
      <c r="BB150" s="46">
        <f>=IFERROR(ROUND((BB21+BB22)/$B150,0),0)</f>
        <v>3</v>
      </c>
      <c r="BC150" s="46">
        <f>=IFERROR(ROUND((BC21+BC22)/$B150,0),0)</f>
        <v>3</v>
      </c>
      <c r="BD150" s="46">
        <f>=IFERROR(ROUND((BD21+BD22)/$B150,0),0)</f>
        <v>0</v>
      </c>
      <c r="BE150" s="46">
        <f>=IFERROR(ROUND((BE21+BE22)/$B150,0),0)</f>
        <v>3</v>
      </c>
      <c r="BF150" s="46">
        <f>=IFERROR(ROUND((BF21+BF22)/$B150,0),0)</f>
        <v>0</v>
      </c>
      <c r="BG150" s="46">
        <f>=IFERROR(ROUND((BG21+BG22)/$B150,0),0)</f>
        <v>0</v>
      </c>
      <c r="BH150" s="46">
        <f>=IFERROR(ROUND((BH21+BH22)/$B150,0),0)</f>
        <v>0</v>
      </c>
      <c r="BI150" s="46">
        <f>=IFERROR(ROUND((BI21+BI22)/$B150,0),0)</f>
        <v>0</v>
      </c>
      <c r="BJ150" s="46">
        <f>=IFERROR(ROUND((BJ21+BJ22)/$B150,0),0)</f>
        <v>0</v>
      </c>
      <c r="BK150" s="46">
        <f>=IFERROR(ROUND((BK21+BK22)/$B150,0),0)</f>
        <v>0</v>
      </c>
      <c r="BL150" s="46">
        <f>=IFERROR(ROUND((BL21+BL22)/$B150,0),0)</f>
        <v>0</v>
      </c>
      <c r="BM150" s="46">
        <f>=IFERROR(ROUND((BM21+BM22)/$B150,0),0)</f>
        <v>0</v>
      </c>
      <c r="BN150" s="46">
        <f>=IFERROR(ROUND((BN21+BN22)/$B150,0),0)</f>
        <v>0</v>
      </c>
      <c r="BO150" s="46">
        <f>=IFERROR(ROUND((BO21+BO22)/$B150,0),0)</f>
        <v>0</v>
      </c>
      <c r="BP150" s="46">
        <f>=IFERROR(ROUND((BP21+BP22)/$B150,0),0)</f>
        <v>0</v>
      </c>
      <c r="BQ150" s="46">
        <f>=IFERROR(ROUND((BQ21+BQ22)/$B150,0),0)</f>
        <v>0</v>
      </c>
      <c r="BR150" s="46">
        <f>=IFERROR(ROUND((BR21+BR22)/$B150,0),0)</f>
        <v>0</v>
      </c>
      <c r="BS150" s="46">
        <f>=IFERROR(ROUND((BS21+BS22)/$B150,0),0)</f>
        <v>0</v>
      </c>
      <c r="BT150" s="46">
        <f>=IFERROR(ROUND((BT21+BT22)/$B150,0),0)</f>
        <v>0</v>
      </c>
      <c r="BU150" s="46">
        <f>=IFERROR(ROUND((BU21+BU22)/$B150,0),0)</f>
        <v>0</v>
      </c>
      <c r="BV150" s="46">
        <f>=IFERROR(ROUND((BV21+BV22)/$B150,0),0)</f>
        <v>0</v>
      </c>
      <c r="BW150" s="46">
        <f>=IFERROR(ROUND((BW21+BW22)/$B150,0),0)</f>
        <v>0</v>
      </c>
      <c r="BX150" s="46">
        <f>=IFERROR(ROUND((BX22)/$B150,0),0)</f>
        <v>0</v>
      </c>
      <c r="BY150" s="46">
        <f>=IFERROR(ROUND((BY22)/$B150,0),0)</f>
        <v>0</v>
      </c>
      <c r="BZ150" s="46">
        <f>=IFERROR(ROUND((BZ22)/$B150,0),0)</f>
        <v>0</v>
      </c>
      <c r="CA150" s="46">
        <f>=IFERROR(ROUND((CA22)/$B150,0),0)</f>
        <v>0</v>
      </c>
      <c r="CB150" s="46">
        <f>=IFERROR(ROUND((CB22)/$B150,0),0)</f>
        <v>0</v>
      </c>
      <c r="CC150" s="46">
        <f>=IFERROR(ROUND((CC22)/$B150,0),0)</f>
        <v>0</v>
      </c>
      <c r="CD150" s="46">
        <f>=IFERROR(ROUND((CD22)/$B150,0),0)</f>
        <v>0</v>
      </c>
      <c r="CE150" s="46">
        <f>=IFERROR(ROUND((CE22)/$B150,0),0)</f>
        <v>0</v>
      </c>
      <c r="CF150" s="46">
        <f>=IFERROR(ROUND((CF22)/$B150,0),0)</f>
        <v>0</v>
      </c>
      <c r="CG150" s="46">
        <f>=IFERROR(ROUND((CG22)/$B150,0),0)</f>
        <v>0</v>
      </c>
      <c r="CH150" s="46">
        <f>=IFERROR(ROUND((CH22)/$B150,0),0)</f>
        <v>0</v>
      </c>
      <c r="CI150" s="46">
        <f>=IFERROR(ROUND((CI22)/$B150,0),0)</f>
        <v>0</v>
      </c>
      <c r="CJ150" s="46">
        <f>=IFERROR(ROUND((CJ22)/$B150,0),0)</f>
        <v>0</v>
      </c>
      <c r="CK150" s="46">
        <f>=IFERROR(ROUND((CK22)/$B150,0),0)</f>
        <v>0</v>
      </c>
      <c r="CL150" s="46">
        <f>=IFERROR(ROUND((CL22)/$B150,0),0)</f>
        <v>0</v>
      </c>
      <c r="CM150" s="46">
        <f>=IFERROR(ROUND((CM22)/$B150,0),0)</f>
        <v>0</v>
      </c>
      <c r="CN150" s="46">
        <f>=IFERROR(ROUND((CN22)/$B150,0),0)</f>
        <v>0</v>
      </c>
      <c r="CO150" s="46">
        <f>=IFERROR(ROUND((CO22)/$B150,0),0)</f>
        <v>0</v>
      </c>
      <c r="CP150" s="46">
        <f>=IFERROR(ROUND((CP22)/$B150,0),0)</f>
        <v>0</v>
      </c>
      <c r="CQ150" s="46">
        <f>=IFERROR(ROUND((CQ22)/$B150,0),0)</f>
        <v>0</v>
      </c>
      <c r="CR150" s="46">
        <f>=IFERROR(ROUND((CR22)/$B150,0),0)</f>
        <v>0</v>
      </c>
      <c r="CS150" s="46">
        <f>=IFERROR(ROUND((CS22)/$B150,0),0)</f>
        <v>0</v>
      </c>
      <c r="CT150" s="46">
        <f>=IFERROR(ROUND((CT22)/$B150,0),0)</f>
        <v>0</v>
      </c>
      <c r="CU150" s="46">
        <f>=IFERROR(ROUND((CU22)/$B150,0),0)</f>
        <v>0</v>
      </c>
      <c r="CV150" s="46">
        <f>=IFERROR(ROUND((CV22)/$B150,0),0)</f>
        <v>0</v>
      </c>
      <c r="CW150" s="46">
        <f>=IFERROR(ROUND((CW22)/$B150,0),0)</f>
        <v>0</v>
      </c>
      <c r="CX150" s="46">
        <f>=IFERROR(ROUND((CX22)/$B150,0),0)</f>
        <v>0</v>
      </c>
      <c r="CY150" s="46">
        <f>=IFERROR(ROUND((CY22)/$B150,0),0)</f>
        <v>0</v>
      </c>
      <c r="CZ150" s="46">
        <f>=IFERROR(ROUND((CZ22)/$B150,0),0)</f>
        <v>0</v>
      </c>
      <c r="DA150" s="46">
        <f>=IFERROR(ROUND((DA22)/$B150,0),0)</f>
        <v>0</v>
      </c>
      <c r="DB150" s="46">
        <f>=IFERROR(ROUND((DB22)/$B150,0),0)</f>
        <v>0</v>
      </c>
    </row>
    <row r="151" spans="1:106" x14ac:dyDescent="0.25">
      <c r="A151" s="17" t="s">
        <v>362</v>
      </c>
      <c r="B151" s="17">
        <v>15</v>
      </c>
      <c r="C151" s="46">
        <f>=IFERROR(ROUND(C23/$B151,0),0)</f>
        <v>0</v>
      </c>
      <c r="D151" s="46">
        <f>=IFERROR(ROUND(D23/$B151,0),0)</f>
        <v>0</v>
      </c>
      <c r="E151" s="46">
        <f>=IFERROR(ROUND(E23/$B151,0),0)</f>
        <v>0</v>
      </c>
      <c r="F151" s="46">
        <f>=IFERROR(ROUND(F23/$B151,0),0)</f>
        <v>0</v>
      </c>
      <c r="G151" s="46">
        <f>=IFERROR(ROUND(G23/$B151,0),0)</f>
        <v>0</v>
      </c>
      <c r="H151" s="46">
        <f>=IFERROR(ROUND(H23/$B151,0),0)</f>
        <v>1</v>
      </c>
      <c r="I151" s="46">
        <f>=IFERROR(ROUND(I23/$B151,0),0)</f>
        <v>0</v>
      </c>
      <c r="J151" s="46">
        <f>=IFERROR(ROUND(J23/$B151,0),0)</f>
        <v>0</v>
      </c>
      <c r="K151" s="46">
        <f>=IFERROR(ROUND(K23/$B151,0),0)</f>
        <v>0</v>
      </c>
      <c r="L151" s="46">
        <f>=IFERROR(ROUND(L23/$B151,0),0)</f>
        <v>0</v>
      </c>
      <c r="M151" s="46">
        <f>=IFERROR(ROUND(M23/$B151,0),0)</f>
        <v>0</v>
      </c>
      <c r="N151" s="46">
        <f>=IFERROR(ROUND(N23/$B151,0),0)</f>
        <v>0</v>
      </c>
      <c r="O151" s="46">
        <f>=IFERROR(ROUND(O23/$B151,0),0)</f>
        <v>0</v>
      </c>
      <c r="P151" s="46">
        <f>=IFERROR(ROUND(P23/$B151,0),0)</f>
        <v>0</v>
      </c>
      <c r="Q151" s="46">
        <f>=IFERROR(ROUND(Q23/$B151,0),0)</f>
        <v>0</v>
      </c>
      <c r="R151" s="46">
        <f>=IFERROR(ROUND(R23/$B151,0),0)</f>
        <v>0</v>
      </c>
      <c r="S151" s="46">
        <f>=IFERROR(ROUND(S23/$B151,0),0)</f>
        <v>0</v>
      </c>
      <c r="T151" s="46">
        <f>=IFERROR(ROUND(T23/$B151,0),0)</f>
        <v>0</v>
      </c>
      <c r="U151" s="46">
        <f>=IFERROR(ROUND(U23/$B151,0),0)</f>
        <v>0</v>
      </c>
      <c r="V151" s="46">
        <f>=IFERROR(ROUND(V23/$B151,0),0)</f>
        <v>0</v>
      </c>
      <c r="W151" s="46">
        <f>=IFERROR(ROUND(W23/$B151,0),0)</f>
        <v>0</v>
      </c>
      <c r="X151" s="46">
        <f>=IFERROR(ROUND(X23/$B151,0),0)</f>
        <v>0</v>
      </c>
      <c r="Y151" s="46">
        <f>=IFERROR(ROUND(Y23/$B151,0),0)</f>
        <v>0</v>
      </c>
      <c r="Z151" s="46">
        <f>=IFERROR(ROUND(Z23/$B151,0),0)</f>
        <v>0</v>
      </c>
      <c r="AA151" s="46">
        <f>=IFERROR(ROUND(AA23/$B151,0),0)</f>
        <v>0</v>
      </c>
      <c r="AB151" s="46">
        <f>=IFERROR(ROUND(AB23/$B151,0),0)</f>
        <v>0</v>
      </c>
      <c r="AC151" s="46">
        <f>=IFERROR(ROUND(AC23/$B151,0),0)</f>
        <v>0</v>
      </c>
      <c r="AD151" s="46">
        <f>=IFERROR(ROUND(AD23/$B151,0),0)</f>
        <v>0</v>
      </c>
      <c r="AE151" s="46">
        <f>=IFERROR(ROUND(AE23/$B151,0),0)</f>
        <v>0</v>
      </c>
      <c r="AF151" s="46">
        <f>=IFERROR(ROUND(AF23/$B151,0),0)</f>
        <v>0</v>
      </c>
      <c r="AG151" s="46">
        <f>=IFERROR(ROUND(AG23/$B151,0),0)</f>
        <v>0</v>
      </c>
      <c r="AH151" s="46">
        <f>=IFERROR(ROUND(AH23/$B151,0),0)</f>
        <v>0</v>
      </c>
      <c r="AI151" s="46">
        <f>=IFERROR(ROUND(AI23/$B151,0),0)</f>
        <v>0</v>
      </c>
      <c r="AJ151" s="46">
        <f>=IFERROR(ROUND(AJ23/$B151,0),0)</f>
        <v>0</v>
      </c>
      <c r="AK151" s="46">
        <f>=IFERROR(ROUND(AK23/$B151,0),0)</f>
        <v>0</v>
      </c>
      <c r="AL151" s="46">
        <f>=IFERROR(ROUND(AL23/$B151,0),0)</f>
        <v>0</v>
      </c>
      <c r="AM151" s="46">
        <f>=IFERROR(ROUND(AM23/$B151,0),0)</f>
        <v>0</v>
      </c>
      <c r="AN151" s="46">
        <f>=IFERROR(ROUND(AN23/$B151,0),0)</f>
        <v>0</v>
      </c>
      <c r="AO151" s="46">
        <f>=IFERROR(ROUND(AO23/$B151,0),0)</f>
        <v>0</v>
      </c>
      <c r="AP151" s="46">
        <f>=IFERROR(ROUND(AP23/$B151,0),0)</f>
        <v>0</v>
      </c>
      <c r="AQ151" s="46">
        <f>=IFERROR(ROUND(AQ23/$B151,0),0)</f>
        <v>0</v>
      </c>
      <c r="AR151" s="46">
        <f>=IFERROR(ROUND(AR23/$B151,0),0)</f>
        <v>0</v>
      </c>
      <c r="AS151" s="46">
        <f>=IFERROR(ROUND(AS23/$B151,0),0)</f>
        <v>0</v>
      </c>
      <c r="AT151" s="46">
        <f>=IFERROR(ROUND(AT23/$B151,0),0)</f>
        <v>0</v>
      </c>
      <c r="AU151" s="46">
        <f>=IFERROR(ROUND(AU23/$B151,0),0)</f>
        <v>0</v>
      </c>
      <c r="AV151" s="46">
        <f>=IFERROR(ROUND(AV23/$B151,0),0)</f>
        <v>0</v>
      </c>
      <c r="AW151" s="46">
        <f>=IFERROR(ROUND(AW23/$B151,0),0)</f>
        <v>0</v>
      </c>
      <c r="AX151" s="46">
        <f>=IFERROR(ROUND(AX23/$B151,0),0)</f>
        <v>0</v>
      </c>
      <c r="AY151" s="46">
        <f>=IFERROR(ROUND(AY23/$B151,0),0)</f>
        <v>0</v>
      </c>
      <c r="AZ151" s="46">
        <f>=IFERROR(ROUND(AZ23/$B151,0),0)</f>
        <v>0</v>
      </c>
      <c r="BA151" s="46">
        <f>=IFERROR(ROUND(BA23/$B151,0),0)</f>
        <v>0</v>
      </c>
      <c r="BB151" s="46">
        <f>=IFERROR(ROUND(BB23/$B151,0),0)</f>
        <v>0</v>
      </c>
      <c r="BC151" s="46">
        <f>=IFERROR(ROUND(BC23/$B151,0),0)</f>
        <v>0</v>
      </c>
      <c r="BD151" s="46">
        <f>=IFERROR(ROUND(BD23/$B151,0),0)</f>
        <v>0</v>
      </c>
      <c r="BE151" s="46">
        <f>=IFERROR(ROUND(BE23/$B151,0),0)</f>
        <v>0</v>
      </c>
      <c r="BF151" s="46">
        <f>=IFERROR(ROUND(BF23/$B151,0),0)</f>
        <v>0</v>
      </c>
      <c r="BG151" s="46">
        <f>=IFERROR(ROUND(BG23/$B151,0),0)</f>
        <v>0</v>
      </c>
      <c r="BH151" s="46">
        <f>=IFERROR(ROUND(BH23/$B151,0),0)</f>
        <v>0</v>
      </c>
      <c r="BI151" s="46">
        <f>=IFERROR(ROUND(BI23/$B151,0),0)</f>
        <v>0</v>
      </c>
      <c r="BJ151" s="46">
        <f>=IFERROR(ROUND(BJ23/$B151,0),0)</f>
        <v>0</v>
      </c>
      <c r="BK151" s="46">
        <f>=IFERROR(ROUND(BK23/$B151,0),0)</f>
        <v>0</v>
      </c>
      <c r="BL151" s="46">
        <f>=IFERROR(ROUND(BL23/$B151,0),0)</f>
        <v>0</v>
      </c>
      <c r="BM151" s="46">
        <f>=IFERROR(ROUND(BM23/$B151,0),0)</f>
        <v>0</v>
      </c>
      <c r="BN151" s="46">
        <f>=IFERROR(ROUND(BN23/$B151,0),0)</f>
        <v>0</v>
      </c>
      <c r="BO151" s="46">
        <f>=IFERROR(ROUND(BO23/$B151,0),0)</f>
        <v>0</v>
      </c>
      <c r="BP151" s="46">
        <f>=IFERROR(ROUND(BP23/$B151,0),0)</f>
        <v>0</v>
      </c>
      <c r="BQ151" s="46">
        <f>=IFERROR(ROUND(BQ23/$B151,0),0)</f>
        <v>0</v>
      </c>
      <c r="BR151" s="46">
        <f>=IFERROR(ROUND(BR23/$B151,0),0)</f>
        <v>0</v>
      </c>
      <c r="BS151" s="46">
        <f>=IFERROR(ROUND(BS23/$B151,0),0)</f>
        <v>0</v>
      </c>
      <c r="BT151" s="46">
        <f>=IFERROR(ROUND(BT23/$B151,0),0)</f>
        <v>0</v>
      </c>
      <c r="BU151" s="46">
        <f>=IFERROR(ROUND(BU23/$B151,0),0)</f>
        <v>0</v>
      </c>
      <c r="BV151" s="46">
        <f>=IFERROR(ROUND(BV23/$B151,0),0)</f>
        <v>0</v>
      </c>
      <c r="BW151" s="46">
        <f>=IFERROR(ROUND(BW23/$B151,0),0)</f>
        <v>0</v>
      </c>
      <c r="BX151" s="46">
        <f>=IFERROR(ROUND(BX23/$B151,0),0)</f>
        <v>0</v>
      </c>
      <c r="BY151" s="46">
        <f>=IFERROR(ROUND(BY23/$B151,0),0)</f>
        <v>0</v>
      </c>
      <c r="BZ151" s="46">
        <f>=IFERROR(ROUND(BZ23/$B151,0),0)</f>
        <v>0</v>
      </c>
      <c r="CA151" s="46">
        <f>=IFERROR(ROUND(CA23/$B151,0),0)</f>
        <v>0</v>
      </c>
      <c r="CB151" s="46">
        <f>=IFERROR(ROUND(CB23/$B151,0),0)</f>
        <v>0</v>
      </c>
      <c r="CC151" s="46">
        <f>=IFERROR(ROUND(CC23/$B151,0),0)</f>
        <v>0</v>
      </c>
      <c r="CD151" s="46">
        <f>=IFERROR(ROUND(CD23/$B151,0),0)</f>
        <v>0</v>
      </c>
      <c r="CE151" s="46">
        <f>=IFERROR(ROUND(CE23/$B151,0),0)</f>
        <v>0</v>
      </c>
      <c r="CF151" s="46">
        <f>=IFERROR(ROUND(CF23/$B151,0),0)</f>
        <v>0</v>
      </c>
      <c r="CG151" s="46">
        <f>=IFERROR(ROUND(CG23/$B151,0),0)</f>
        <v>0</v>
      </c>
      <c r="CH151" s="46">
        <f>=IFERROR(ROUND(CH23/$B151,0),0)</f>
        <v>0</v>
      </c>
      <c r="CI151" s="46">
        <f>=IFERROR(ROUND(CI23/$B151,0),0)</f>
        <v>0</v>
      </c>
      <c r="CJ151" s="46">
        <f>=IFERROR(ROUND(CJ23/$B151,0),0)</f>
        <v>0</v>
      </c>
      <c r="CK151" s="46">
        <f>=IFERROR(ROUND(CK23/$B151,0),0)</f>
        <v>0</v>
      </c>
      <c r="CL151" s="46">
        <f>=IFERROR(ROUND(CL23/$B151,0),0)</f>
        <v>0</v>
      </c>
      <c r="CM151" s="46">
        <f>=IFERROR(ROUND(CM23/$B151,0),0)</f>
        <v>0</v>
      </c>
      <c r="CN151" s="46">
        <f>=IFERROR(ROUND(CN23/$B151,0),0)</f>
        <v>0</v>
      </c>
      <c r="CO151" s="46">
        <f>=IFERROR(ROUND(CO23/$B151,0),0)</f>
        <v>0</v>
      </c>
      <c r="CP151" s="46">
        <f>=IFERROR(ROUND(CP23/$B151,0),0)</f>
        <v>0</v>
      </c>
      <c r="CQ151" s="46">
        <f>=IFERROR(ROUND(CQ23/$B151,0),0)</f>
        <v>0</v>
      </c>
      <c r="CR151" s="46">
        <f>=IFERROR(ROUND(CR23/$B151,0),0)</f>
        <v>0</v>
      </c>
      <c r="CS151" s="46">
        <f>=IFERROR(ROUND(CS23/$B151,0),0)</f>
        <v>0</v>
      </c>
      <c r="CT151" s="46">
        <f>=IFERROR(ROUND(CT23/$B151,0),0)</f>
        <v>0</v>
      </c>
      <c r="CU151" s="46">
        <f>=IFERROR(ROUND(CU23/$B151,0),0)</f>
        <v>0</v>
      </c>
      <c r="CV151" s="46">
        <f>=IFERROR(ROUND(CV23/$B151,0),0)</f>
        <v>0</v>
      </c>
      <c r="CW151" s="46">
        <f>=IFERROR(ROUND(CW23/$B151,0),0)</f>
        <v>0</v>
      </c>
      <c r="CX151" s="46">
        <f>=IFERROR(ROUND(CX23/$B151,0),0)</f>
        <v>0</v>
      </c>
      <c r="CY151" s="46">
        <f>=IFERROR(ROUND(CY23/$B151,0),0)</f>
        <v>0</v>
      </c>
      <c r="CZ151" s="46">
        <f>=IFERROR(ROUND(CZ23/$B151,0),0)</f>
        <v>0</v>
      </c>
      <c r="DA151" s="46">
        <f>=IFERROR(ROUND(DA23/$B151,0),0)</f>
        <v>0</v>
      </c>
      <c r="DB151" s="46">
        <f>=IFERROR(ROUND(DB23/$B151,0),0)</f>
        <v>0</v>
      </c>
    </row>
    <row r="152" spans="1:106" x14ac:dyDescent="0.25">
      <c r="A152" s="17" t="s">
        <v>363</v>
      </c>
      <c r="B152" s="17">
        <v>15</v>
      </c>
      <c r="C152" s="46">
        <f>=IFERROR(ROUND(C24/$B152,0),0)</f>
        <v>0</v>
      </c>
      <c r="D152" s="46">
        <f>=IFERROR(ROUND(D24/$B152,0),0)</f>
        <v>0</v>
      </c>
      <c r="E152" s="46">
        <f>=IFERROR(ROUND(E24/$B152,0),0)</f>
        <v>0</v>
      </c>
      <c r="F152" s="46">
        <f>=IFERROR(ROUND(F24/$B152,0),0)</f>
        <v>0</v>
      </c>
      <c r="G152" s="46">
        <f>=IFERROR(ROUND(G24/$B152,0),0)</f>
        <v>0</v>
      </c>
      <c r="H152" s="46">
        <f>=IFERROR(ROUND(H24/$B152,0),0)</f>
        <v>0</v>
      </c>
      <c r="I152" s="46">
        <f>=IFERROR(ROUND(I24/$B152,0),0)</f>
        <v>0</v>
      </c>
      <c r="J152" s="46">
        <f>=IFERROR(ROUND(J24/$B152,0),0)</f>
        <v>0</v>
      </c>
      <c r="K152" s="46">
        <f>=IFERROR(ROUND(K24/$B152,0),0)</f>
        <v>0</v>
      </c>
      <c r="L152" s="46">
        <f>=IFERROR(ROUND(L24/$B152,0),0)</f>
        <v>0</v>
      </c>
      <c r="M152" s="46">
        <f>=IFERROR(ROUND(M24/$B152,0),0)</f>
        <v>0</v>
      </c>
      <c r="N152" s="46">
        <f>=IFERROR(ROUND(N24/$B152,0),0)</f>
        <v>0</v>
      </c>
      <c r="O152" s="46">
        <f>=IFERROR(ROUND(O24/$B152,0),0)</f>
        <v>0</v>
      </c>
      <c r="P152" s="46">
        <f>=IFERROR(ROUND(P24/$B152,0),0)</f>
        <v>0</v>
      </c>
      <c r="Q152" s="46">
        <f>=IFERROR(ROUND(Q24/$B152,0),0)</f>
        <v>0</v>
      </c>
      <c r="R152" s="46">
        <f>=IFERROR(ROUND(R24/$B152,0),0)</f>
        <v>0</v>
      </c>
      <c r="S152" s="46">
        <f>=IFERROR(ROUND(S24/$B152,0),0)</f>
        <v>0</v>
      </c>
      <c r="T152" s="46">
        <f>=IFERROR(ROUND(T24/$B152,0),0)</f>
        <v>0</v>
      </c>
      <c r="U152" s="46">
        <f>=IFERROR(ROUND(U24/$B152,0),0)</f>
        <v>0</v>
      </c>
      <c r="V152" s="46">
        <f>=IFERROR(ROUND(V24/$B152,0),0)</f>
        <v>0</v>
      </c>
      <c r="W152" s="46">
        <f>=IFERROR(ROUND(W24/$B152,0),0)</f>
        <v>0</v>
      </c>
      <c r="X152" s="46">
        <f>=IFERROR(ROUND(X24/$B152,0),0)</f>
        <v>0</v>
      </c>
      <c r="Y152" s="46">
        <f>=IFERROR(ROUND(Y24/$B152,0),0)</f>
        <v>0</v>
      </c>
      <c r="Z152" s="46">
        <f>=IFERROR(ROUND(Z24/$B152,0),0)</f>
        <v>0</v>
      </c>
      <c r="AA152" s="46">
        <f>=IFERROR(ROUND(AA24/$B152,0),0)</f>
        <v>0</v>
      </c>
      <c r="AB152" s="46">
        <f>=IFERROR(ROUND(AB24/$B152,0),0)</f>
        <v>0</v>
      </c>
      <c r="AC152" s="46">
        <f>=IFERROR(ROUND(AC24/$B152,0),0)</f>
        <v>0</v>
      </c>
      <c r="AD152" s="46">
        <f>=IFERROR(ROUND(AD24/$B152,0),0)</f>
        <v>0</v>
      </c>
      <c r="AE152" s="46">
        <f>=IFERROR(ROUND(AE24/$B152,0),0)</f>
        <v>0</v>
      </c>
      <c r="AF152" s="46">
        <f>=IFERROR(ROUND(AF24/$B152,0),0)</f>
        <v>0</v>
      </c>
      <c r="AG152" s="46">
        <f>=IFERROR(ROUND(AG24/$B152,0),0)</f>
        <v>0</v>
      </c>
      <c r="AH152" s="46">
        <f>=IFERROR(ROUND(AH24/$B152,0),0)</f>
        <v>0</v>
      </c>
      <c r="AI152" s="46">
        <f>=IFERROR(ROUND(AI24/$B152,0),0)</f>
        <v>0</v>
      </c>
      <c r="AJ152" s="46">
        <f>=IFERROR(ROUND(AJ24/$B152,0),0)</f>
        <v>0</v>
      </c>
      <c r="AK152" s="46">
        <f>=IFERROR(ROUND(AK24/$B152,0),0)</f>
        <v>0</v>
      </c>
      <c r="AL152" s="46">
        <f>=IFERROR(ROUND(AL24/$B152,0),0)</f>
        <v>0</v>
      </c>
      <c r="AM152" s="46">
        <f>=IFERROR(ROUND(AM24/$B152,0),0)</f>
        <v>0</v>
      </c>
      <c r="AN152" s="46">
        <f>=IFERROR(ROUND(AN24/$B152,0),0)</f>
        <v>0</v>
      </c>
      <c r="AO152" s="46">
        <f>=IFERROR(ROUND(AO24/$B152,0),0)</f>
        <v>0</v>
      </c>
      <c r="AP152" s="46">
        <f>=IFERROR(ROUND(AP24/$B152,0),0)</f>
        <v>0</v>
      </c>
      <c r="AQ152" s="46">
        <f>=IFERROR(ROUND(AQ24/$B152,0),0)</f>
        <v>0</v>
      </c>
      <c r="AR152" s="46">
        <f>=IFERROR(ROUND(AR24/$B152,0),0)</f>
        <v>0</v>
      </c>
      <c r="AS152" s="46">
        <f>=IFERROR(ROUND(AS24/$B152,0),0)</f>
        <v>0</v>
      </c>
      <c r="AT152" s="46">
        <f>=IFERROR(ROUND(AT24/$B152,0),0)</f>
        <v>0</v>
      </c>
      <c r="AU152" s="46">
        <f>=IFERROR(ROUND(AU24/$B152,0),0)</f>
        <v>0</v>
      </c>
      <c r="AV152" s="46">
        <f>=IFERROR(ROUND(AV24/$B152,0),0)</f>
        <v>0</v>
      </c>
      <c r="AW152" s="46">
        <f>=IFERROR(ROUND(AW24/$B152,0),0)</f>
        <v>0</v>
      </c>
      <c r="AX152" s="46">
        <f>=IFERROR(ROUND(AX24/$B152,0),0)</f>
        <v>0</v>
      </c>
      <c r="AY152" s="46">
        <f>=IFERROR(ROUND(AY24/$B152,0),0)</f>
        <v>0</v>
      </c>
      <c r="AZ152" s="46">
        <f>=IFERROR(ROUND(AZ24/$B152,0),0)</f>
        <v>0</v>
      </c>
      <c r="BA152" s="46">
        <f>=IFERROR(ROUND(BA24/$B152,0),0)</f>
        <v>0</v>
      </c>
      <c r="BB152" s="46">
        <f>=IFERROR(ROUND(BB24/$B152,0),0)</f>
        <v>0</v>
      </c>
      <c r="BC152" s="46">
        <f>=IFERROR(ROUND(BC24/$B152,0),0)</f>
        <v>0</v>
      </c>
      <c r="BD152" s="46">
        <f>=IFERROR(ROUND(BD24/$B152,0),0)</f>
        <v>0</v>
      </c>
      <c r="BE152" s="46">
        <f>=IFERROR(ROUND(BE24/$B152,0),0)</f>
        <v>0</v>
      </c>
      <c r="BF152" s="46">
        <f>=IFERROR(ROUND(BF24/$B152,0),0)</f>
        <v>0</v>
      </c>
      <c r="BG152" s="46">
        <f>=IFERROR(ROUND(BG24/$B152,0),0)</f>
        <v>0</v>
      </c>
      <c r="BH152" s="46">
        <f>=IFERROR(ROUND(BH24/$B152,0),0)</f>
        <v>0</v>
      </c>
      <c r="BI152" s="46">
        <f>=IFERROR(ROUND(BI24/$B152,0),0)</f>
        <v>0</v>
      </c>
      <c r="BJ152" s="46">
        <f>=IFERROR(ROUND(BJ24/$B152,0),0)</f>
        <v>0</v>
      </c>
      <c r="BK152" s="46">
        <f>=IFERROR(ROUND(BK24/$B152,0),0)</f>
        <v>0</v>
      </c>
      <c r="BL152" s="46">
        <f>=IFERROR(ROUND(BL24/$B152,0),0)</f>
        <v>0</v>
      </c>
      <c r="BM152" s="46">
        <f>=IFERROR(ROUND(BM24/$B152,0),0)</f>
        <v>0</v>
      </c>
      <c r="BN152" s="46">
        <f>=IFERROR(ROUND(BN24/$B152,0),0)</f>
        <v>0</v>
      </c>
      <c r="BO152" s="46">
        <f>=IFERROR(ROUND(BO24/$B152,0),0)</f>
        <v>0</v>
      </c>
      <c r="BP152" s="46">
        <f>=IFERROR(ROUND(BP24/$B152,0),0)</f>
        <v>0</v>
      </c>
      <c r="BQ152" s="46">
        <f>=IFERROR(ROUND(BQ24/$B152,0),0)</f>
        <v>0</v>
      </c>
      <c r="BR152" s="46">
        <f>=IFERROR(ROUND(BR24/$B152,0),0)</f>
        <v>0</v>
      </c>
      <c r="BS152" s="46">
        <f>=IFERROR(ROUND(BS24/$B152,0),0)</f>
        <v>0</v>
      </c>
      <c r="BT152" s="46">
        <f>=IFERROR(ROUND(BT24/$B152,0),0)</f>
        <v>0</v>
      </c>
      <c r="BU152" s="46">
        <f>=IFERROR(ROUND(BU24/$B152,0),0)</f>
        <v>0</v>
      </c>
      <c r="BV152" s="46">
        <f>=IFERROR(ROUND(BV24/$B152,0),0)</f>
        <v>0</v>
      </c>
      <c r="BW152" s="46">
        <f>=IFERROR(ROUND(BW24/$B152,0),0)</f>
        <v>0</v>
      </c>
      <c r="BX152" s="46">
        <f>=IFERROR(ROUND(BX24/$B152,0),0)</f>
        <v>0</v>
      </c>
      <c r="BY152" s="46">
        <f>=IFERROR(ROUND(BY24/$B152,0),0)</f>
        <v>0</v>
      </c>
      <c r="BZ152" s="46">
        <f>=IFERROR(ROUND(BZ24/$B152,0),0)</f>
        <v>0</v>
      </c>
      <c r="CA152" s="46">
        <f>=IFERROR(ROUND(CA24/$B152,0),0)</f>
        <v>0</v>
      </c>
      <c r="CB152" s="46">
        <f>=IFERROR(ROUND(CB24/$B152,0),0)</f>
        <v>0</v>
      </c>
      <c r="CC152" s="46">
        <f>=IFERROR(ROUND(CC24/$B152,0),0)</f>
        <v>0</v>
      </c>
      <c r="CD152" s="46">
        <f>=IFERROR(ROUND(CD24/$B152,0),0)</f>
        <v>0</v>
      </c>
      <c r="CE152" s="46">
        <f>=IFERROR(ROUND(CE24/$B152,0),0)</f>
        <v>0</v>
      </c>
      <c r="CF152" s="46">
        <f>=IFERROR(ROUND(CF24/$B152,0),0)</f>
        <v>0</v>
      </c>
      <c r="CG152" s="46">
        <f>=IFERROR(ROUND(CG24/$B152,0),0)</f>
        <v>0</v>
      </c>
      <c r="CH152" s="46">
        <f>=IFERROR(ROUND(CH24/$B152,0),0)</f>
        <v>0</v>
      </c>
      <c r="CI152" s="46">
        <f>=IFERROR(ROUND(CI24/$B152,0),0)</f>
        <v>0</v>
      </c>
      <c r="CJ152" s="46">
        <f>=IFERROR(ROUND(CJ24/$B152,0),0)</f>
        <v>0</v>
      </c>
      <c r="CK152" s="46">
        <f>=IFERROR(ROUND(CK24/$B152,0),0)</f>
        <v>0</v>
      </c>
      <c r="CL152" s="46">
        <f>=IFERROR(ROUND(CL24/$B152,0),0)</f>
        <v>0</v>
      </c>
      <c r="CM152" s="46">
        <f>=IFERROR(ROUND(CM24/$B152,0),0)</f>
        <v>0</v>
      </c>
      <c r="CN152" s="46">
        <f>=IFERROR(ROUND(CN24/$B152,0),0)</f>
        <v>0</v>
      </c>
      <c r="CO152" s="46">
        <f>=IFERROR(ROUND(CO24/$B152,0),0)</f>
        <v>0</v>
      </c>
      <c r="CP152" s="46">
        <f>=IFERROR(ROUND(CP24/$B152,0),0)</f>
        <v>0</v>
      </c>
      <c r="CQ152" s="46">
        <f>=IFERROR(ROUND(CQ24/$B152,0),0)</f>
        <v>0</v>
      </c>
      <c r="CR152" s="46">
        <f>=IFERROR(ROUND(CR24/$B152,0),0)</f>
        <v>0</v>
      </c>
      <c r="CS152" s="46">
        <f>=IFERROR(ROUND(CS24/$B152,0),0)</f>
        <v>0</v>
      </c>
      <c r="CT152" s="46">
        <f>=IFERROR(ROUND(CT24/$B152,0),0)</f>
        <v>0</v>
      </c>
      <c r="CU152" s="46">
        <f>=IFERROR(ROUND(CU24/$B152,0),0)</f>
        <v>0</v>
      </c>
      <c r="CV152" s="46">
        <f>=IFERROR(ROUND(CV24/$B152,0),0)</f>
        <v>0</v>
      </c>
      <c r="CW152" s="46">
        <f>=IFERROR(ROUND(CW24/$B152,0),0)</f>
        <v>0</v>
      </c>
      <c r="CX152" s="46">
        <f>=IFERROR(ROUND(CX24/$B152,0),0)</f>
        <v>0</v>
      </c>
      <c r="CY152" s="46">
        <f>=IFERROR(ROUND(CY24/$B152,0),0)</f>
        <v>0</v>
      </c>
      <c r="CZ152" s="46">
        <f>=IFERROR(ROUND(CZ24/$B152,0),0)</f>
        <v>0</v>
      </c>
      <c r="DA152" s="46">
        <f>=IFERROR(ROUND(DA24/$B152,0),0)</f>
        <v>0</v>
      </c>
      <c r="DB152" s="46">
        <f>=IFERROR(ROUND(DB24/$B152,0),0)</f>
        <v>0</v>
      </c>
    </row>
    <row r="153" spans="1:106" x14ac:dyDescent="0.25">
      <c r="A153" s="17" t="s">
        <v>364</v>
      </c>
      <c r="B153" s="17">
        <v>30</v>
      </c>
      <c r="C153" s="46">
        <f>=IFERROR(ROUND(C23/$B153,0),0)</f>
        <v>0</v>
      </c>
      <c r="D153" s="46">
        <f>=IFERROR(ROUND(D23/$B153,0),0)</f>
        <v>0</v>
      </c>
      <c r="E153" s="46">
        <f>=IFERROR(ROUND(E23/$B153,0),0)</f>
        <v>0</v>
      </c>
      <c r="F153" s="46">
        <f>=IFERROR(ROUND(F23/$B153,0),0)</f>
        <v>0</v>
      </c>
      <c r="G153" s="46">
        <f>=IFERROR(ROUND(G23/$B153,0),0)</f>
        <v>0</v>
      </c>
      <c r="H153" s="46">
        <f>=IFERROR(ROUND(H23/$B153,0),0)</f>
        <v>0</v>
      </c>
      <c r="I153" s="46">
        <f>=IFERROR(ROUND(I23/$B153,0),0)</f>
        <v>0</v>
      </c>
      <c r="J153" s="46">
        <f>=IFERROR(ROUND(J23/$B153,0),0)</f>
        <v>0</v>
      </c>
      <c r="K153" s="46">
        <f>=IFERROR(ROUND(K23/$B153,0),0)</f>
        <v>0</v>
      </c>
      <c r="L153" s="46">
        <f>=IFERROR(ROUND(L23/$B153,0),0)</f>
        <v>0</v>
      </c>
      <c r="M153" s="46">
        <f>=IFERROR(ROUND(M23/$B153,0),0)</f>
        <v>0</v>
      </c>
      <c r="N153" s="46">
        <f>=IFERROR(ROUND(N23/$B153,0),0)</f>
        <v>0</v>
      </c>
      <c r="O153" s="46">
        <f>=IFERROR(ROUND(O23/$B153,0),0)</f>
        <v>0</v>
      </c>
      <c r="P153" s="46">
        <f>=IFERROR(ROUND(P23/$B153,0),0)</f>
        <v>0</v>
      </c>
      <c r="Q153" s="46">
        <f>=IFERROR(ROUND(Q23/$B153,0),0)</f>
        <v>0</v>
      </c>
      <c r="R153" s="46">
        <f>=IFERROR(ROUND(R23/$B153,0),0)</f>
        <v>0</v>
      </c>
      <c r="S153" s="46">
        <f>=IFERROR(ROUND(S23/$B153,0),0)</f>
        <v>0</v>
      </c>
      <c r="T153" s="46">
        <f>=IFERROR(ROUND(T23/$B153,0),0)</f>
        <v>0</v>
      </c>
      <c r="U153" s="46">
        <f>=IFERROR(ROUND(U23/$B153,0),0)</f>
        <v>0</v>
      </c>
      <c r="V153" s="46">
        <f>=IFERROR(ROUND(V23/$B153,0),0)</f>
        <v>0</v>
      </c>
      <c r="W153" s="46">
        <f>=IFERROR(ROUND(W23/$B153,0),0)</f>
        <v>0</v>
      </c>
      <c r="X153" s="46">
        <f>=IFERROR(ROUND(X23/$B153,0),0)</f>
        <v>0</v>
      </c>
      <c r="Y153" s="46">
        <f>=IFERROR(ROUND(Y23/$B153,0),0)</f>
        <v>0</v>
      </c>
      <c r="Z153" s="46">
        <f>=IFERROR(ROUND(Z23/$B153,0),0)</f>
        <v>0</v>
      </c>
      <c r="AA153" s="46">
        <f>=IFERROR(ROUND(AA23/$B153,0),0)</f>
        <v>0</v>
      </c>
      <c r="AB153" s="46">
        <f>=IFERROR(ROUND(AB23/$B153,0),0)</f>
        <v>0</v>
      </c>
      <c r="AC153" s="46">
        <f>=IFERROR(ROUND(AC23/$B153,0),0)</f>
        <v>0</v>
      </c>
      <c r="AD153" s="46">
        <f>=IFERROR(ROUND(AD23/$B153,0),0)</f>
        <v>0</v>
      </c>
      <c r="AE153" s="46">
        <f>=IFERROR(ROUND(AE23/$B153,0),0)</f>
        <v>0</v>
      </c>
      <c r="AF153" s="46">
        <f>=IFERROR(ROUND(AF23/$B153,0),0)</f>
        <v>0</v>
      </c>
      <c r="AG153" s="46">
        <f>=IFERROR(ROUND(AG23/$B153,0),0)</f>
        <v>0</v>
      </c>
      <c r="AH153" s="46">
        <f>=IFERROR(ROUND(AH23/$B153,0),0)</f>
        <v>0</v>
      </c>
      <c r="AI153" s="46">
        <f>=IFERROR(ROUND(AI23/$B153,0),0)</f>
        <v>0</v>
      </c>
      <c r="AJ153" s="46">
        <f>=IFERROR(ROUND(AJ23/$B153,0),0)</f>
        <v>0</v>
      </c>
      <c r="AK153" s="46">
        <f>=IFERROR(ROUND(AK23/$B153,0),0)</f>
        <v>0</v>
      </c>
      <c r="AL153" s="46">
        <f>=IFERROR(ROUND(AL23/$B153,0),0)</f>
        <v>0</v>
      </c>
      <c r="AM153" s="46">
        <f>=IFERROR(ROUND(AM23/$B153,0),0)</f>
        <v>0</v>
      </c>
      <c r="AN153" s="46">
        <f>=IFERROR(ROUND(AN23/$B153,0),0)</f>
        <v>0</v>
      </c>
      <c r="AO153" s="46">
        <f>=IFERROR(ROUND(AO23/$B153,0),0)</f>
        <v>0</v>
      </c>
      <c r="AP153" s="46">
        <f>=IFERROR(ROUND(AP23/$B153,0),0)</f>
        <v>0</v>
      </c>
      <c r="AQ153" s="46">
        <f>=IFERROR(ROUND(AQ23/$B153,0),0)</f>
        <v>0</v>
      </c>
      <c r="AR153" s="46">
        <f>=IFERROR(ROUND(AR23/$B153,0),0)</f>
        <v>0</v>
      </c>
      <c r="AS153" s="46">
        <f>=IFERROR(ROUND(AS23/$B153,0),0)</f>
        <v>0</v>
      </c>
      <c r="AT153" s="46">
        <f>=IFERROR(ROUND(AT23/$B153,0),0)</f>
        <v>0</v>
      </c>
      <c r="AU153" s="46">
        <f>=IFERROR(ROUND(AU23/$B153,0),0)</f>
        <v>0</v>
      </c>
      <c r="AV153" s="46">
        <f>=IFERROR(ROUND(AV23/$B153,0),0)</f>
        <v>0</v>
      </c>
      <c r="AW153" s="46">
        <f>=IFERROR(ROUND(AW23/$B153,0),0)</f>
        <v>0</v>
      </c>
      <c r="AX153" s="46">
        <f>=IFERROR(ROUND(AX23/$B153,0),0)</f>
        <v>0</v>
      </c>
      <c r="AY153" s="46">
        <f>=IFERROR(ROUND(AY23/$B153,0),0)</f>
        <v>0</v>
      </c>
      <c r="AZ153" s="46">
        <f>=IFERROR(ROUND(AZ23/$B153,0),0)</f>
        <v>0</v>
      </c>
      <c r="BA153" s="46">
        <f>=IFERROR(ROUND(BA23/$B153,0),0)</f>
        <v>0</v>
      </c>
      <c r="BB153" s="46">
        <f>=IFERROR(ROUND(BB23/$B153,0),0)</f>
        <v>0</v>
      </c>
      <c r="BC153" s="46">
        <f>=IFERROR(ROUND(BC23/$B153,0),0)</f>
        <v>0</v>
      </c>
      <c r="BD153" s="46">
        <f>=IFERROR(ROUND(BD23/$B153,0),0)</f>
        <v>0</v>
      </c>
      <c r="BE153" s="46">
        <f>=IFERROR(ROUND(BE23/$B153,0),0)</f>
        <v>0</v>
      </c>
      <c r="BF153" s="46">
        <f>=IFERROR(ROUND(BF23/$B153,0),0)</f>
        <v>0</v>
      </c>
      <c r="BG153" s="46">
        <f>=IFERROR(ROUND(BG23/$B153,0),0)</f>
        <v>0</v>
      </c>
      <c r="BH153" s="46">
        <f>=IFERROR(ROUND(BH23/$B153,0),0)</f>
        <v>0</v>
      </c>
      <c r="BI153" s="46">
        <f>=IFERROR(ROUND(BI23/$B153,0),0)</f>
        <v>0</v>
      </c>
      <c r="BJ153" s="46">
        <f>=IFERROR(ROUND(BJ23/$B153,0),0)</f>
        <v>0</v>
      </c>
      <c r="BK153" s="46">
        <f>=IFERROR(ROUND(BK23/$B153,0),0)</f>
        <v>0</v>
      </c>
      <c r="BL153" s="46">
        <f>=IFERROR(ROUND(BL23/$B153,0),0)</f>
        <v>0</v>
      </c>
      <c r="BM153" s="46">
        <f>=IFERROR(ROUND(BM23/$B153,0),0)</f>
        <v>0</v>
      </c>
      <c r="BN153" s="46">
        <f>=IFERROR(ROUND(BN23/$B153,0),0)</f>
        <v>0</v>
      </c>
      <c r="BO153" s="46">
        <f>=IFERROR(ROUND(BO23/$B153,0),0)</f>
        <v>0</v>
      </c>
      <c r="BP153" s="46">
        <f>=IFERROR(ROUND(BP23/$B153,0),0)</f>
        <v>0</v>
      </c>
      <c r="BQ153" s="46">
        <f>=IFERROR(ROUND(BQ23/$B153,0),0)</f>
        <v>0</v>
      </c>
      <c r="BR153" s="46">
        <f>=IFERROR(ROUND(BR23/$B153,0),0)</f>
        <v>0</v>
      </c>
      <c r="BS153" s="46">
        <f>=IFERROR(ROUND(BS23/$B153,0),0)</f>
        <v>0</v>
      </c>
      <c r="BT153" s="46">
        <f>=IFERROR(ROUND(BT23/$B153,0),0)</f>
        <v>0</v>
      </c>
      <c r="BU153" s="46">
        <f>=IFERROR(ROUND(BU23/$B153,0),0)</f>
        <v>0</v>
      </c>
      <c r="BV153" s="46">
        <f>=IFERROR(ROUND(BV23/$B153,0),0)</f>
        <v>0</v>
      </c>
      <c r="BW153" s="46">
        <f>=IFERROR(ROUND(BW23/$B153,0),0)</f>
        <v>0</v>
      </c>
      <c r="BX153" s="46">
        <f>=IFERROR(ROUND(BX23/$B153,0),0)</f>
        <v>0</v>
      </c>
      <c r="BY153" s="46">
        <f>=IFERROR(ROUND(BY23/$B153,0),0)</f>
        <v>0</v>
      </c>
      <c r="BZ153" s="46">
        <f>=IFERROR(ROUND(BZ23/$B153,0),0)</f>
        <v>0</v>
      </c>
      <c r="CA153" s="46">
        <f>=IFERROR(ROUND(CA23/$B153,0),0)</f>
        <v>0</v>
      </c>
      <c r="CB153" s="46">
        <f>=IFERROR(ROUND(CB23/$B153,0),0)</f>
        <v>0</v>
      </c>
      <c r="CC153" s="46">
        <f>=IFERROR(ROUND(CC23/$B153,0),0)</f>
        <v>0</v>
      </c>
      <c r="CD153" s="46">
        <f>=IFERROR(ROUND(CD23/$B153,0),0)</f>
        <v>0</v>
      </c>
      <c r="CE153" s="46">
        <f>=IFERROR(ROUND(CE23/$B153,0),0)</f>
        <v>0</v>
      </c>
      <c r="CF153" s="46">
        <f>=IFERROR(ROUND(CF23/$B153,0),0)</f>
        <v>0</v>
      </c>
      <c r="CG153" s="46">
        <f>=IFERROR(ROUND(CG23/$B153,0),0)</f>
        <v>0</v>
      </c>
      <c r="CH153" s="46">
        <f>=IFERROR(ROUND(CH23/$B153,0),0)</f>
        <v>0</v>
      </c>
      <c r="CI153" s="46">
        <f>=IFERROR(ROUND(CI23/$B153,0),0)</f>
        <v>0</v>
      </c>
      <c r="CJ153" s="46">
        <f>=IFERROR(ROUND(CJ23/$B153,0),0)</f>
        <v>0</v>
      </c>
      <c r="CK153" s="46">
        <f>=IFERROR(ROUND(CK23/$B153,0),0)</f>
        <v>0</v>
      </c>
      <c r="CL153" s="46">
        <f>=IFERROR(ROUND(CL23/$B153,0),0)</f>
        <v>0</v>
      </c>
      <c r="CM153" s="46">
        <f>=IFERROR(ROUND(CM23/$B153,0),0)</f>
        <v>0</v>
      </c>
      <c r="CN153" s="46">
        <f>=IFERROR(ROUND(CN23/$B153,0),0)</f>
        <v>0</v>
      </c>
      <c r="CO153" s="46">
        <f>=IFERROR(ROUND(CO23/$B153,0),0)</f>
        <v>0</v>
      </c>
      <c r="CP153" s="46">
        <f>=IFERROR(ROUND(CP23/$B153,0),0)</f>
        <v>0</v>
      </c>
      <c r="CQ153" s="46">
        <f>=IFERROR(ROUND(CQ23/$B153,0),0)</f>
        <v>0</v>
      </c>
      <c r="CR153" s="46">
        <f>=IFERROR(ROUND(CR23/$B153,0),0)</f>
        <v>0</v>
      </c>
      <c r="CS153" s="46">
        <f>=IFERROR(ROUND(CS23/$B153,0),0)</f>
        <v>0</v>
      </c>
      <c r="CT153" s="46">
        <f>=IFERROR(ROUND(CT23/$B153,0),0)</f>
        <v>0</v>
      </c>
      <c r="CU153" s="46">
        <f>=IFERROR(ROUND(CU23/$B153,0),0)</f>
        <v>0</v>
      </c>
      <c r="CV153" s="46">
        <f>=IFERROR(ROUND(CV23/$B153,0),0)</f>
        <v>0</v>
      </c>
      <c r="CW153" s="46">
        <f>=IFERROR(ROUND(CW23/$B153,0),0)</f>
        <v>0</v>
      </c>
      <c r="CX153" s="46">
        <f>=IFERROR(ROUND(CX23/$B153,0),0)</f>
        <v>0</v>
      </c>
      <c r="CY153" s="46">
        <f>=IFERROR(ROUND(CY23/$B153,0),0)</f>
        <v>0</v>
      </c>
      <c r="CZ153" s="46">
        <f>=IFERROR(ROUND(CZ23/$B153,0),0)</f>
        <v>0</v>
      </c>
      <c r="DA153" s="46">
        <f>=IFERROR(ROUND(DA23/$B153,0),0)</f>
        <v>0</v>
      </c>
      <c r="DB153" s="46">
        <f>=IFERROR(ROUND(DB23/$B153,0),0)</f>
        <v>0</v>
      </c>
    </row>
    <row r="154" spans="1:106" x14ac:dyDescent="0.25">
      <c r="A154" s="17" t="s">
        <v>365</v>
      </c>
      <c r="B154" s="17">
        <v>15</v>
      </c>
      <c r="C154" s="46">
        <f>=IFERROR(ROUND(C22/$B154,0),0)</f>
        <v>0</v>
      </c>
      <c r="D154" s="46">
        <f>=IFERROR(ROUND(D22/$B154,0),0)</f>
        <v>0</v>
      </c>
      <c r="E154" s="46">
        <f>=IFERROR(ROUND(E22/$B154,0),0)</f>
        <v>0</v>
      </c>
      <c r="F154" s="46">
        <f>=IFERROR(ROUND(F22/$B154,0),0)</f>
        <v>1</v>
      </c>
      <c r="G154" s="46">
        <f>=IFERROR(ROUND(G22/$B154,0),0)</f>
        <v>1</v>
      </c>
      <c r="H154" s="46">
        <f>=IFERROR(ROUND(H22/$B154,0),0)</f>
        <v>0</v>
      </c>
      <c r="I154" s="46">
        <f>=IFERROR(ROUND(I22/$B154,0),0)</f>
        <v>0</v>
      </c>
      <c r="J154" s="46">
        <f>=IFERROR(ROUND(J22/$B154,0),0)</f>
        <v>0</v>
      </c>
      <c r="K154" s="46">
        <f>=IFERROR(ROUND(K22/$B154,0),0)</f>
        <v>0</v>
      </c>
      <c r="L154" s="46">
        <f>=IFERROR(ROUND(L22/$B154,0),0)</f>
        <v>0</v>
      </c>
      <c r="M154" s="46">
        <f>=IFERROR(ROUND(M22/$B154,0),0)</f>
        <v>0</v>
      </c>
      <c r="N154" s="46">
        <f>=IFERROR(ROUND(N22/$B154,0),0)</f>
        <v>0</v>
      </c>
      <c r="O154" s="46">
        <f>=IFERROR(ROUND(O22/$B154,0),0)</f>
        <v>0</v>
      </c>
      <c r="P154" s="46">
        <f>=IFERROR(ROUND(P22/$B154,0),0)</f>
        <v>0</v>
      </c>
      <c r="Q154" s="46">
        <f>=IFERROR(ROUND(Q22/$B154,0),0)</f>
        <v>0</v>
      </c>
      <c r="R154" s="46">
        <f>=IFERROR(ROUND(R22/$B154,0),0)</f>
        <v>0</v>
      </c>
      <c r="S154" s="46">
        <f>=IFERROR(ROUND(S22/$B154,0),0)</f>
        <v>0</v>
      </c>
      <c r="T154" s="46">
        <f>=IFERROR(ROUND(T22/$B154,0),0)</f>
        <v>0</v>
      </c>
      <c r="U154" s="46">
        <f>=IFERROR(ROUND(U22/$B154,0),0)</f>
        <v>0</v>
      </c>
      <c r="V154" s="46">
        <f>=IFERROR(ROUND(V22/$B154,0),0)</f>
        <v>0</v>
      </c>
      <c r="W154" s="46">
        <f>=IFERROR(ROUND(W22/$B154,0),0)</f>
        <v>1</v>
      </c>
      <c r="X154" s="46">
        <f>=IFERROR(ROUND(X22/$B154,0),0)</f>
        <v>1</v>
      </c>
      <c r="Y154" s="46">
        <f>=IFERROR(ROUND(Y22/$B154,0),0)</f>
        <v>0</v>
      </c>
      <c r="Z154" s="46">
        <f>=IFERROR(ROUND(Z22/$B154,0),0)</f>
        <v>1</v>
      </c>
      <c r="AA154" s="46">
        <f>=IFERROR(ROUND(AA22/$B154,0),0)</f>
        <v>0</v>
      </c>
      <c r="AB154" s="46">
        <f>=IFERROR(ROUND(AB22/$B154,0),0)</f>
        <v>0</v>
      </c>
      <c r="AC154" s="46">
        <f>=IFERROR(ROUND(AC22/$B154,0),0)</f>
        <v>1</v>
      </c>
      <c r="AD154" s="46">
        <f>=IFERROR(ROUND(AD22/$B154,0),0)</f>
        <v>1</v>
      </c>
      <c r="AE154" s="46">
        <f>=IFERROR(ROUND(AE22/$B154,0),0)</f>
        <v>0</v>
      </c>
      <c r="AF154" s="46">
        <f>=IFERROR(ROUND(AF22/$B154,0),0)</f>
        <v>1</v>
      </c>
      <c r="AG154" s="46">
        <f>=IFERROR(ROUND(AG22/$B154,0),0)</f>
        <v>1</v>
      </c>
      <c r="AH154" s="46">
        <f>=IFERROR(ROUND(AH22/$B154,0),0)</f>
        <v>1</v>
      </c>
      <c r="AI154" s="46">
        <f>=IFERROR(ROUND(AI22/$B154,0),0)</f>
        <v>1</v>
      </c>
      <c r="AJ154" s="46">
        <f>=IFERROR(ROUND(AJ22/$B154,0),0)</f>
        <v>1</v>
      </c>
      <c r="AK154" s="46">
        <f>=IFERROR(ROUND(AK22/$B154,0),0)</f>
        <v>1</v>
      </c>
      <c r="AL154" s="46">
        <f>=IFERROR(ROUND(AL22/$B154,0),0)</f>
        <v>1</v>
      </c>
      <c r="AM154" s="46">
        <f>=IFERROR(ROUND(AM22/$B154,0),0)</f>
        <v>0</v>
      </c>
      <c r="AN154" s="46">
        <f>=IFERROR(ROUND(AN22/$B154,0),0)</f>
        <v>2</v>
      </c>
      <c r="AO154" s="46">
        <f>=IFERROR(ROUND(AO22/$B154,0),0)</f>
        <v>1</v>
      </c>
      <c r="AP154" s="46">
        <f>=IFERROR(ROUND(AP22/$B154,0),0)</f>
        <v>2</v>
      </c>
      <c r="AQ154" s="46">
        <f>=IFERROR(ROUND(AQ22/$B154,0),0)</f>
        <v>3</v>
      </c>
      <c r="AR154" s="46">
        <f>=IFERROR(ROUND(AR22/$B154,0),0)</f>
        <v>1</v>
      </c>
      <c r="AS154" s="46">
        <f>=IFERROR(ROUND(AS22/$B154,0),0)</f>
        <v>2</v>
      </c>
      <c r="AT154" s="46">
        <f>=IFERROR(ROUND(AT22/$B154,0),0)</f>
        <v>2</v>
      </c>
      <c r="AU154" s="46">
        <f>=IFERROR(ROUND(AU22/$B154,0),0)</f>
        <v>2</v>
      </c>
      <c r="AV154" s="46">
        <f>=IFERROR(ROUND(AV22/$B154,0),0)</f>
        <v>3</v>
      </c>
      <c r="AW154" s="46">
        <f>=IFERROR(ROUND(AW22/$B154,0),0)</f>
        <v>3</v>
      </c>
      <c r="AX154" s="46">
        <f>=IFERROR(ROUND(AX22/$B154,0),0)</f>
        <v>2</v>
      </c>
      <c r="AY154" s="46">
        <f>=IFERROR(ROUND(AY22/$B154,0),0)</f>
        <v>1</v>
      </c>
      <c r="AZ154" s="46">
        <f>=IFERROR(ROUND(AZ22/$B154,0),0)</f>
        <v>1</v>
      </c>
      <c r="BA154" s="46">
        <f>=IFERROR(ROUND(BA22/$B154,0),0)</f>
        <v>0</v>
      </c>
      <c r="BB154" s="46">
        <f>=IFERROR(ROUND(BB22/$B154,0),0)</f>
        <v>1</v>
      </c>
      <c r="BC154" s="46">
        <f>=IFERROR(ROUND(BC22/$B154,0),0)</f>
        <v>1</v>
      </c>
      <c r="BD154" s="46">
        <f>=IFERROR(ROUND(BD22/$B154,0),0)</f>
        <v>0</v>
      </c>
      <c r="BE154" s="46">
        <f>=IFERROR(ROUND(BE22/$B154,0),0)</f>
        <v>1</v>
      </c>
      <c r="BF154" s="46">
        <f>=IFERROR(ROUND(BF22/$B154,0),0)</f>
        <v>0</v>
      </c>
      <c r="BG154" s="46">
        <f>=IFERROR(ROUND(BG22/$B154,0),0)</f>
        <v>0</v>
      </c>
      <c r="BH154" s="46">
        <f>=IFERROR(ROUND(BH22/$B154,0),0)</f>
        <v>0</v>
      </c>
      <c r="BI154" s="46">
        <f>=IFERROR(ROUND(BI22/$B154,0),0)</f>
        <v>0</v>
      </c>
      <c r="BJ154" s="46">
        <f>=IFERROR(ROUND(BJ22/$B154,0),0)</f>
        <v>0</v>
      </c>
      <c r="BK154" s="46">
        <f>=IFERROR(ROUND(BK22/$B154,0),0)</f>
        <v>0</v>
      </c>
      <c r="BL154" s="46">
        <f>=IFERROR(ROUND(BL22/$B154,0),0)</f>
        <v>0</v>
      </c>
      <c r="BM154" s="46">
        <f>=IFERROR(ROUND(BM22/$B154,0),0)</f>
        <v>0</v>
      </c>
      <c r="BN154" s="46">
        <f>=IFERROR(ROUND(BN22/$B154,0),0)</f>
        <v>0</v>
      </c>
      <c r="BO154" s="46">
        <f>=IFERROR(ROUND(BO22/$B154,0),0)</f>
        <v>0</v>
      </c>
      <c r="BP154" s="46">
        <f>=IFERROR(ROUND(BP22/$B154,0),0)</f>
        <v>0</v>
      </c>
      <c r="BQ154" s="46">
        <f>=IFERROR(ROUND(BQ22/$B154,0),0)</f>
        <v>0</v>
      </c>
      <c r="BR154" s="46">
        <f>=IFERROR(ROUND(BR22/$B154,0),0)</f>
        <v>0</v>
      </c>
      <c r="BS154" s="46">
        <f>=IFERROR(ROUND(BS22/$B154,0),0)</f>
        <v>0</v>
      </c>
      <c r="BT154" s="46">
        <f>=IFERROR(ROUND(BT22/$B154,0),0)</f>
        <v>0</v>
      </c>
      <c r="BU154" s="46">
        <f>=IFERROR(ROUND(BU22/$B154,0),0)</f>
        <v>0</v>
      </c>
      <c r="BV154" s="46">
        <f>=IFERROR(ROUND(BV22/$B154,0),0)</f>
        <v>0</v>
      </c>
      <c r="BW154" s="46">
        <f>=IFERROR(ROUND(BW22/$B154,0),0)</f>
        <v>0</v>
      </c>
      <c r="BX154" s="46">
        <f>=IFERROR(ROUND(BX22/$B154,0),0)</f>
        <v>0</v>
      </c>
      <c r="BY154" s="46">
        <f>=IFERROR(ROUND(BY22/$B154,0),0)</f>
        <v>0</v>
      </c>
      <c r="BZ154" s="46">
        <f>=IFERROR(ROUND(BZ22/$B154,0),0)</f>
        <v>0</v>
      </c>
      <c r="CA154" s="46">
        <f>=IFERROR(ROUND(CA22/$B154,0),0)</f>
        <v>0</v>
      </c>
      <c r="CB154" s="46">
        <f>=IFERROR(ROUND(CB22/$B154,0),0)</f>
        <v>0</v>
      </c>
      <c r="CC154" s="46">
        <f>=IFERROR(ROUND(CC22/$B154,0),0)</f>
        <v>0</v>
      </c>
      <c r="CD154" s="46">
        <f>=IFERROR(ROUND(CD22/$B154,0),0)</f>
        <v>0</v>
      </c>
      <c r="CE154" s="46">
        <f>=IFERROR(ROUND(CE22/$B154,0),0)</f>
        <v>0</v>
      </c>
      <c r="CF154" s="46">
        <f>=IFERROR(ROUND(CF22/$B154,0),0)</f>
        <v>0</v>
      </c>
      <c r="CG154" s="46">
        <f>=IFERROR(ROUND(CG22/$B154,0),0)</f>
        <v>0</v>
      </c>
      <c r="CH154" s="46">
        <f>=IFERROR(ROUND(CH22/$B154,0),0)</f>
        <v>0</v>
      </c>
      <c r="CI154" s="46">
        <f>=IFERROR(ROUND(CI22/$B154,0),0)</f>
        <v>0</v>
      </c>
      <c r="CJ154" s="46">
        <f>=IFERROR(ROUND(CJ22/$B154,0),0)</f>
        <v>0</v>
      </c>
      <c r="CK154" s="46">
        <f>=IFERROR(ROUND(CK22/$B154,0),0)</f>
        <v>0</v>
      </c>
      <c r="CL154" s="46">
        <f>=IFERROR(ROUND(CL22/$B154,0),0)</f>
        <v>0</v>
      </c>
      <c r="CM154" s="46">
        <f>=IFERROR(ROUND(CM22/$B154,0),0)</f>
        <v>0</v>
      </c>
      <c r="CN154" s="46">
        <f>=IFERROR(ROUND(CN22/$B154,0),0)</f>
        <v>0</v>
      </c>
      <c r="CO154" s="46">
        <f>=IFERROR(ROUND(CO22/$B154,0),0)</f>
        <v>0</v>
      </c>
      <c r="CP154" s="46">
        <f>=IFERROR(ROUND(CP22/$B154,0),0)</f>
        <v>0</v>
      </c>
      <c r="CQ154" s="46">
        <f>=IFERROR(ROUND(CQ22/$B154,0),0)</f>
        <v>0</v>
      </c>
      <c r="CR154" s="46">
        <f>=IFERROR(ROUND(CR22/$B154,0),0)</f>
        <v>0</v>
      </c>
      <c r="CS154" s="46">
        <f>=IFERROR(ROUND(CS22/$B154,0),0)</f>
        <v>0</v>
      </c>
      <c r="CT154" s="46">
        <f>=IFERROR(ROUND(CT22/$B154,0),0)</f>
        <v>0</v>
      </c>
      <c r="CU154" s="46">
        <f>=IFERROR(ROUND(CU22/$B154,0),0)</f>
        <v>0</v>
      </c>
      <c r="CV154" s="46">
        <f>=IFERROR(ROUND(CV22/$B154,0),0)</f>
        <v>0</v>
      </c>
      <c r="CW154" s="46">
        <f>=IFERROR(ROUND(CW22/$B154,0),0)</f>
        <v>0</v>
      </c>
      <c r="CX154" s="46">
        <f>=IFERROR(ROUND(CX22/$B154,0),0)</f>
        <v>0</v>
      </c>
      <c r="CY154" s="46">
        <f>=IFERROR(ROUND(CY22/$B154,0),0)</f>
        <v>0</v>
      </c>
      <c r="CZ154" s="46">
        <f>=IFERROR(ROUND(CZ22/$B154,0),0)</f>
        <v>0</v>
      </c>
      <c r="DA154" s="46">
        <f>=IFERROR(ROUND(DA22/$B154,0),0)</f>
        <v>0</v>
      </c>
      <c r="DB154" s="46">
        <f>=IFERROR(ROUND(DB22/$B154,0),0)</f>
        <v>0</v>
      </c>
    </row>
    <row r="155" spans="3:106" x14ac:dyDescent="0.25"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30"/>
      <c r="BD155" s="30"/>
      <c r="BE155" s="30"/>
      <c r="BF155" s="30"/>
      <c r="BG155" s="30"/>
      <c r="BH155" s="30"/>
      <c r="BI155" s="30"/>
      <c r="BJ155" s="30"/>
      <c r="BK155" s="30"/>
      <c r="BL155" s="30"/>
      <c r="BM155" s="30"/>
      <c r="BN155" s="30"/>
      <c r="BO155" s="30"/>
      <c r="BP155" s="30"/>
      <c r="BQ155" s="30"/>
      <c r="BR155" s="30"/>
      <c r="BS155" s="30"/>
      <c r="BT155" s="30"/>
      <c r="BU155" s="30"/>
      <c r="BV155" s="30"/>
      <c r="BW155" s="30"/>
      <c r="BX155" s="30"/>
      <c r="BY155" s="30"/>
      <c r="BZ155" s="30"/>
      <c r="CA155" s="30"/>
      <c r="CB155" s="30"/>
      <c r="CC155" s="30"/>
      <c r="CD155" s="30"/>
      <c r="CE155" s="30"/>
      <c r="CF155" s="30"/>
      <c r="CG155" s="30"/>
      <c r="CH155" s="30"/>
      <c r="CI155" s="30"/>
      <c r="CJ155" s="30"/>
      <c r="CK155" s="30"/>
      <c r="CL155" s="30"/>
      <c r="CM155" s="30"/>
      <c r="CN155" s="30"/>
      <c r="CO155" s="30"/>
      <c r="CP155" s="30"/>
      <c r="CQ155" s="30"/>
      <c r="CR155" s="30"/>
      <c r="CS155" s="30"/>
      <c r="CT155" s="30"/>
      <c r="CU155" s="30"/>
      <c r="CV155" s="30"/>
      <c r="CW155" s="30"/>
      <c r="CX155" s="30"/>
      <c r="CY155" s="30"/>
      <c r="CZ155" s="30"/>
      <c r="DA155" s="30"/>
      <c r="DB155" s="30"/>
    </row>
    <row r="156" spans="1:106" x14ac:dyDescent="0.25">
      <c r="A156" s="33" t="s">
        <v>366</v>
      </c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  <c r="BE156" s="30"/>
      <c r="BF156" s="30"/>
      <c r="BG156" s="30"/>
      <c r="BH156" s="30"/>
      <c r="BI156" s="30"/>
      <c r="BJ156" s="30"/>
      <c r="BK156" s="30"/>
      <c r="BL156" s="30"/>
      <c r="BM156" s="30"/>
      <c r="BN156" s="30"/>
      <c r="BO156" s="30"/>
      <c r="BP156" s="30"/>
      <c r="BQ156" s="30"/>
      <c r="BR156" s="30"/>
      <c r="BS156" s="30"/>
      <c r="BT156" s="30"/>
      <c r="BU156" s="30"/>
      <c r="BV156" s="30"/>
      <c r="BW156" s="30"/>
      <c r="BX156" s="30"/>
      <c r="BY156" s="30"/>
      <c r="BZ156" s="30"/>
      <c r="CA156" s="30"/>
      <c r="CB156" s="30"/>
      <c r="CC156" s="30"/>
      <c r="CD156" s="30"/>
      <c r="CE156" s="30"/>
      <c r="CF156" s="30"/>
      <c r="CG156" s="30"/>
      <c r="CH156" s="30"/>
      <c r="CI156" s="30"/>
      <c r="CJ156" s="30"/>
      <c r="CK156" s="30"/>
      <c r="CL156" s="30"/>
      <c r="CM156" s="30"/>
      <c r="CN156" s="30"/>
      <c r="CO156" s="30"/>
      <c r="CP156" s="30"/>
      <c r="CQ156" s="30"/>
      <c r="CR156" s="30"/>
      <c r="CS156" s="30"/>
      <c r="CT156" s="30"/>
      <c r="CU156" s="30"/>
      <c r="CV156" s="30"/>
      <c r="CW156" s="30"/>
      <c r="CX156" s="30"/>
      <c r="CY156" s="30"/>
      <c r="CZ156" s="30"/>
      <c r="DA156" s="30"/>
      <c r="DB156" s="30"/>
    </row>
    <row r="157" spans="1:106" x14ac:dyDescent="0.25">
      <c r="A157" s="17" t="s">
        <v>367</v>
      </c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  <c r="BD157" s="30"/>
      <c r="BE157" s="30"/>
      <c r="BF157" s="30"/>
      <c r="BG157" s="30"/>
      <c r="BH157" s="30"/>
      <c r="BI157" s="30"/>
      <c r="BJ157" s="30"/>
      <c r="BK157" s="30"/>
      <c r="BL157" s="30"/>
      <c r="BM157" s="30"/>
      <c r="BN157" s="30"/>
      <c r="BO157" s="30"/>
      <c r="BP157" s="30"/>
      <c r="BQ157" s="30"/>
      <c r="BR157" s="30"/>
      <c r="BS157" s="30"/>
      <c r="BT157" s="30"/>
      <c r="BU157" s="30"/>
      <c r="BV157" s="30"/>
      <c r="BW157" s="30"/>
      <c r="BX157" s="30"/>
      <c r="BY157" s="30"/>
      <c r="BZ157" s="30"/>
      <c r="CA157" s="30"/>
      <c r="CB157" s="30"/>
      <c r="CC157" s="30"/>
      <c r="CD157" s="30"/>
      <c r="CE157" s="30"/>
      <c r="CF157" s="30"/>
      <c r="CG157" s="30"/>
      <c r="CH157" s="30"/>
      <c r="CI157" s="30"/>
      <c r="CJ157" s="30"/>
      <c r="CK157" s="30"/>
      <c r="CL157" s="30"/>
      <c r="CM157" s="30"/>
      <c r="CN157" s="30"/>
      <c r="CO157" s="30"/>
      <c r="CP157" s="30"/>
      <c r="CQ157" s="30"/>
      <c r="CR157" s="30"/>
      <c r="CS157" s="30"/>
      <c r="CT157" s="30"/>
      <c r="CU157" s="30"/>
      <c r="CV157" s="30"/>
      <c r="CW157" s="30"/>
      <c r="CX157" s="30"/>
      <c r="CY157" s="30"/>
      <c r="CZ157" s="30"/>
      <c r="DA157" s="30"/>
      <c r="DB157" s="30"/>
    </row>
    <row r="158" spans="1:106" x14ac:dyDescent="0.25">
      <c r="A158" s="17" t="s">
        <v>357</v>
      </c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  <c r="BU158" s="30"/>
      <c r="BV158" s="30"/>
      <c r="BW158" s="30"/>
      <c r="BX158" s="30"/>
      <c r="BY158" s="30"/>
      <c r="BZ158" s="30"/>
      <c r="CA158" s="30"/>
      <c r="CB158" s="30"/>
      <c r="CC158" s="30"/>
      <c r="CD158" s="30"/>
      <c r="CE158" s="30"/>
      <c r="CF158" s="30"/>
      <c r="CG158" s="30"/>
      <c r="CH158" s="30"/>
      <c r="CI158" s="30"/>
      <c r="CJ158" s="30"/>
      <c r="CK158" s="30"/>
      <c r="CL158" s="30"/>
      <c r="CM158" s="30"/>
      <c r="CN158" s="30"/>
      <c r="CO158" s="30"/>
      <c r="CP158" s="30"/>
      <c r="CQ158" s="30"/>
      <c r="CR158" s="30"/>
      <c r="CS158" s="30"/>
      <c r="CT158" s="30"/>
      <c r="CU158" s="30"/>
      <c r="CV158" s="30"/>
      <c r="CW158" s="30"/>
      <c r="CX158" s="30"/>
      <c r="CY158" s="30"/>
      <c r="CZ158" s="30"/>
      <c r="DA158" s="30"/>
      <c r="DB158" s="30"/>
    </row>
    <row r="159" spans="1:106" x14ac:dyDescent="0.25">
      <c r="A159" s="17" t="s">
        <v>358</v>
      </c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  <c r="BP159" s="30"/>
      <c r="BQ159" s="30"/>
      <c r="BR159" s="30"/>
      <c r="BS159" s="30"/>
      <c r="BT159" s="30"/>
      <c r="BU159" s="30"/>
      <c r="BV159" s="30"/>
      <c r="BW159" s="30"/>
      <c r="BX159" s="30"/>
      <c r="BY159" s="30"/>
      <c r="BZ159" s="30"/>
      <c r="CA159" s="30"/>
      <c r="CB159" s="30"/>
      <c r="CC159" s="30"/>
      <c r="CD159" s="30"/>
      <c r="CE159" s="30"/>
      <c r="CF159" s="30"/>
      <c r="CG159" s="30"/>
      <c r="CH159" s="30"/>
      <c r="CI159" s="30"/>
      <c r="CJ159" s="30"/>
      <c r="CK159" s="30"/>
      <c r="CL159" s="30"/>
      <c r="CM159" s="30"/>
      <c r="CN159" s="30"/>
      <c r="CO159" s="30"/>
      <c r="CP159" s="30"/>
      <c r="CQ159" s="30"/>
      <c r="CR159" s="30"/>
      <c r="CS159" s="30"/>
      <c r="CT159" s="30"/>
      <c r="CU159" s="30"/>
      <c r="CV159" s="30"/>
      <c r="CW159" s="30"/>
      <c r="CX159" s="30"/>
      <c r="CY159" s="30"/>
      <c r="CZ159" s="30"/>
      <c r="DA159" s="30"/>
      <c r="DB159" s="30"/>
    </row>
    <row r="160" spans="1:106" x14ac:dyDescent="0.25">
      <c r="A160" s="17" t="s">
        <v>359</v>
      </c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  <c r="BF160" s="30"/>
      <c r="BG160" s="30"/>
      <c r="BH160" s="30"/>
      <c r="BI160" s="30"/>
      <c r="BJ160" s="30"/>
      <c r="BK160" s="30"/>
      <c r="BL160" s="30"/>
      <c r="BM160" s="30"/>
      <c r="BN160" s="30"/>
      <c r="BO160" s="30"/>
      <c r="BP160" s="30"/>
      <c r="BQ160" s="30"/>
      <c r="BR160" s="30"/>
      <c r="BS160" s="30"/>
      <c r="BT160" s="30"/>
      <c r="BU160" s="30"/>
      <c r="BV160" s="30"/>
      <c r="BW160" s="30"/>
      <c r="BX160" s="30"/>
      <c r="BY160" s="30"/>
      <c r="BZ160" s="30"/>
      <c r="CA160" s="30"/>
      <c r="CB160" s="30"/>
      <c r="CC160" s="30"/>
      <c r="CD160" s="30"/>
      <c r="CE160" s="30"/>
      <c r="CF160" s="30"/>
      <c r="CG160" s="30"/>
      <c r="CH160" s="30"/>
      <c r="CI160" s="30"/>
      <c r="CJ160" s="30"/>
      <c r="CK160" s="30"/>
      <c r="CL160" s="30"/>
      <c r="CM160" s="30"/>
      <c r="CN160" s="30"/>
      <c r="CO160" s="30"/>
      <c r="CP160" s="30"/>
      <c r="CQ160" s="30"/>
      <c r="CR160" s="30"/>
      <c r="CS160" s="30"/>
      <c r="CT160" s="30"/>
      <c r="CU160" s="30"/>
      <c r="CV160" s="30"/>
      <c r="CW160" s="30"/>
      <c r="CX160" s="30"/>
      <c r="CY160" s="30"/>
      <c r="CZ160" s="30"/>
      <c r="DA160" s="30"/>
      <c r="DB160" s="30"/>
    </row>
    <row r="161" spans="1:106" x14ac:dyDescent="0.25">
      <c r="A161" s="17" t="s">
        <v>360</v>
      </c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0"/>
      <c r="BK161" s="30"/>
      <c r="BL161" s="30"/>
      <c r="BM161" s="30"/>
      <c r="BN161" s="30"/>
      <c r="BO161" s="30"/>
      <c r="BP161" s="30"/>
      <c r="BQ161" s="30"/>
      <c r="BR161" s="30"/>
      <c r="BS161" s="30"/>
      <c r="BT161" s="30"/>
      <c r="BU161" s="30"/>
      <c r="BV161" s="30"/>
      <c r="BW161" s="30"/>
      <c r="BX161" s="30"/>
      <c r="BY161" s="30"/>
      <c r="BZ161" s="30"/>
      <c r="CA161" s="30"/>
      <c r="CB161" s="30"/>
      <c r="CC161" s="30"/>
      <c r="CD161" s="30"/>
      <c r="CE161" s="30"/>
      <c r="CF161" s="30"/>
      <c r="CG161" s="30"/>
      <c r="CH161" s="30"/>
      <c r="CI161" s="30"/>
      <c r="CJ161" s="30"/>
      <c r="CK161" s="30"/>
      <c r="CL161" s="30"/>
      <c r="CM161" s="30"/>
      <c r="CN161" s="30"/>
      <c r="CO161" s="30"/>
      <c r="CP161" s="30"/>
      <c r="CQ161" s="30"/>
      <c r="CR161" s="30"/>
      <c r="CS161" s="30"/>
      <c r="CT161" s="30"/>
      <c r="CU161" s="30"/>
      <c r="CV161" s="30"/>
      <c r="CW161" s="30"/>
      <c r="CX161" s="30"/>
      <c r="CY161" s="30"/>
      <c r="CZ161" s="30"/>
      <c r="DA161" s="30"/>
      <c r="DB161" s="30"/>
    </row>
    <row r="162" spans="1:106" x14ac:dyDescent="0.25">
      <c r="A162" s="17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30"/>
      <c r="BP162" s="30"/>
      <c r="BQ162" s="30"/>
      <c r="BR162" s="30"/>
      <c r="BS162" s="30"/>
      <c r="BT162" s="30"/>
      <c r="BU162" s="30"/>
      <c r="BV162" s="30"/>
      <c r="BW162" s="30"/>
      <c r="BX162" s="30"/>
      <c r="BY162" s="30"/>
      <c r="BZ162" s="30"/>
      <c r="CA162" s="30"/>
      <c r="CB162" s="30"/>
      <c r="CC162" s="30"/>
      <c r="CD162" s="30"/>
      <c r="CE162" s="30"/>
      <c r="CF162" s="30"/>
      <c r="CG162" s="30"/>
      <c r="CH162" s="30"/>
      <c r="CI162" s="30"/>
      <c r="CJ162" s="30"/>
      <c r="CK162" s="30"/>
      <c r="CL162" s="30"/>
      <c r="CM162" s="30"/>
      <c r="CN162" s="30"/>
      <c r="CO162" s="30"/>
      <c r="CP162" s="30"/>
      <c r="CQ162" s="30"/>
      <c r="CR162" s="30"/>
      <c r="CS162" s="30"/>
      <c r="CT162" s="30"/>
      <c r="CU162" s="30"/>
      <c r="CV162" s="30"/>
      <c r="CW162" s="30"/>
      <c r="CX162" s="30"/>
      <c r="CY162" s="30"/>
      <c r="CZ162" s="30"/>
      <c r="DA162" s="30"/>
      <c r="DB162" s="30"/>
    </row>
    <row r="163" spans="1:106" x14ac:dyDescent="0.25">
      <c r="A163" s="33" t="s">
        <v>368</v>
      </c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/>
      <c r="BE163" s="30"/>
      <c r="BF163" s="30"/>
      <c r="BG163" s="30"/>
      <c r="BH163" s="30"/>
      <c r="BI163" s="30"/>
      <c r="BJ163" s="30"/>
      <c r="BK163" s="30"/>
      <c r="BL163" s="30"/>
      <c r="BM163" s="30"/>
      <c r="BN163" s="30"/>
      <c r="BO163" s="30"/>
      <c r="BP163" s="30"/>
      <c r="BQ163" s="30"/>
      <c r="BR163" s="30"/>
      <c r="BS163" s="30"/>
      <c r="BT163" s="30"/>
      <c r="BU163" s="30"/>
      <c r="BV163" s="30"/>
      <c r="BW163" s="30"/>
      <c r="BX163" s="30"/>
      <c r="BY163" s="30"/>
      <c r="BZ163" s="30"/>
      <c r="CA163" s="30"/>
      <c r="CB163" s="30"/>
      <c r="CC163" s="30"/>
      <c r="CD163" s="30"/>
      <c r="CE163" s="30"/>
      <c r="CF163" s="30"/>
      <c r="CG163" s="30"/>
      <c r="CH163" s="30"/>
      <c r="CI163" s="30"/>
      <c r="CJ163" s="30"/>
      <c r="CK163" s="30"/>
      <c r="CL163" s="30"/>
      <c r="CM163" s="30"/>
      <c r="CN163" s="30"/>
      <c r="CO163" s="30"/>
      <c r="CP163" s="30"/>
      <c r="CQ163" s="30"/>
      <c r="CR163" s="30"/>
      <c r="CS163" s="30"/>
      <c r="CT163" s="30"/>
      <c r="CU163" s="30"/>
      <c r="CV163" s="30"/>
      <c r="CW163" s="30"/>
      <c r="CX163" s="30"/>
      <c r="CY163" s="30"/>
      <c r="CZ163" s="30"/>
      <c r="DA163" s="30"/>
      <c r="DB163" s="30"/>
    </row>
    <row r="164" spans="1:106" x14ac:dyDescent="0.25">
      <c r="A164" s="17" t="s">
        <v>367</v>
      </c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30"/>
      <c r="BD164" s="30"/>
      <c r="BE164" s="30"/>
      <c r="BF164" s="30"/>
      <c r="BG164" s="30"/>
      <c r="BH164" s="30"/>
      <c r="BI164" s="30"/>
      <c r="BJ164" s="30"/>
      <c r="BK164" s="30"/>
      <c r="BL164" s="30"/>
      <c r="BM164" s="30"/>
      <c r="BN164" s="30"/>
      <c r="BO164" s="30"/>
      <c r="BP164" s="30"/>
      <c r="BQ164" s="30"/>
      <c r="BR164" s="30"/>
      <c r="BS164" s="30"/>
      <c r="BT164" s="30"/>
      <c r="BU164" s="30"/>
      <c r="BV164" s="30"/>
      <c r="BW164" s="30"/>
      <c r="BX164" s="30"/>
      <c r="BY164" s="30"/>
      <c r="BZ164" s="30"/>
      <c r="CA164" s="30"/>
      <c r="CB164" s="30"/>
      <c r="CC164" s="30"/>
      <c r="CD164" s="30"/>
      <c r="CE164" s="30"/>
      <c r="CF164" s="30"/>
      <c r="CG164" s="30"/>
      <c r="CH164" s="30"/>
      <c r="CI164" s="30"/>
      <c r="CJ164" s="30"/>
      <c r="CK164" s="30"/>
      <c r="CL164" s="30"/>
      <c r="CM164" s="30"/>
      <c r="CN164" s="30"/>
      <c r="CO164" s="30"/>
      <c r="CP164" s="30"/>
      <c r="CQ164" s="30"/>
      <c r="CR164" s="30"/>
      <c r="CS164" s="30"/>
      <c r="CT164" s="30"/>
      <c r="CU164" s="30"/>
      <c r="CV164" s="30"/>
      <c r="CW164" s="30"/>
      <c r="CX164" s="30"/>
      <c r="CY164" s="30"/>
      <c r="CZ164" s="30"/>
      <c r="DA164" s="30"/>
      <c r="DB164" s="30"/>
    </row>
    <row r="165" spans="1:106" x14ac:dyDescent="0.25">
      <c r="A165" s="17" t="s">
        <v>357</v>
      </c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30"/>
      <c r="BD165" s="30"/>
      <c r="BE165" s="30"/>
      <c r="BF165" s="30"/>
      <c r="BG165" s="30"/>
      <c r="BH165" s="30"/>
      <c r="BI165" s="30"/>
      <c r="BJ165" s="30"/>
      <c r="BK165" s="30"/>
      <c r="BL165" s="30"/>
      <c r="BM165" s="30"/>
      <c r="BN165" s="30"/>
      <c r="BO165" s="30"/>
      <c r="BP165" s="30"/>
      <c r="BQ165" s="30"/>
      <c r="BR165" s="30"/>
      <c r="BS165" s="30"/>
      <c r="BT165" s="30"/>
      <c r="BU165" s="30"/>
      <c r="BV165" s="30"/>
      <c r="BW165" s="30"/>
      <c r="BX165" s="30"/>
      <c r="BY165" s="30"/>
      <c r="BZ165" s="30"/>
      <c r="CA165" s="30"/>
      <c r="CB165" s="30"/>
      <c r="CC165" s="30"/>
      <c r="CD165" s="30"/>
      <c r="CE165" s="30"/>
      <c r="CF165" s="30"/>
      <c r="CG165" s="30"/>
      <c r="CH165" s="30"/>
      <c r="CI165" s="30"/>
      <c r="CJ165" s="30"/>
      <c r="CK165" s="30"/>
      <c r="CL165" s="30"/>
      <c r="CM165" s="30"/>
      <c r="CN165" s="30"/>
      <c r="CO165" s="30"/>
      <c r="CP165" s="30"/>
      <c r="CQ165" s="30"/>
      <c r="CR165" s="30"/>
      <c r="CS165" s="30"/>
      <c r="CT165" s="30"/>
      <c r="CU165" s="30"/>
      <c r="CV165" s="30"/>
      <c r="CW165" s="30"/>
      <c r="CX165" s="30"/>
      <c r="CY165" s="30"/>
      <c r="CZ165" s="30"/>
      <c r="DA165" s="30"/>
      <c r="DB165" s="30"/>
    </row>
    <row r="166" spans="1:106" x14ac:dyDescent="0.25">
      <c r="A166" s="17" t="s">
        <v>358</v>
      </c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  <c r="BA166" s="30"/>
      <c r="BB166" s="30"/>
      <c r="BC166" s="30"/>
      <c r="BD166" s="30"/>
      <c r="BE166" s="30"/>
      <c r="BF166" s="30"/>
      <c r="BG166" s="30"/>
      <c r="BH166" s="30"/>
      <c r="BI166" s="30"/>
      <c r="BJ166" s="30"/>
      <c r="BK166" s="30"/>
      <c r="BL166" s="30"/>
      <c r="BM166" s="30"/>
      <c r="BN166" s="30"/>
      <c r="BO166" s="30"/>
      <c r="BP166" s="30"/>
      <c r="BQ166" s="30"/>
      <c r="BR166" s="30"/>
      <c r="BS166" s="30"/>
      <c r="BT166" s="30"/>
      <c r="BU166" s="30"/>
      <c r="BV166" s="30"/>
      <c r="BW166" s="30"/>
      <c r="BX166" s="30"/>
      <c r="BY166" s="30"/>
      <c r="BZ166" s="30"/>
      <c r="CA166" s="30"/>
      <c r="CB166" s="30"/>
      <c r="CC166" s="30"/>
      <c r="CD166" s="30"/>
      <c r="CE166" s="30"/>
      <c r="CF166" s="30"/>
      <c r="CG166" s="30"/>
      <c r="CH166" s="30"/>
      <c r="CI166" s="30"/>
      <c r="CJ166" s="30"/>
      <c r="CK166" s="30"/>
      <c r="CL166" s="30"/>
      <c r="CM166" s="30"/>
      <c r="CN166" s="30"/>
      <c r="CO166" s="30"/>
      <c r="CP166" s="30"/>
      <c r="CQ166" s="30"/>
      <c r="CR166" s="30"/>
      <c r="CS166" s="30"/>
      <c r="CT166" s="30"/>
      <c r="CU166" s="30"/>
      <c r="CV166" s="30"/>
      <c r="CW166" s="30"/>
      <c r="CX166" s="30"/>
      <c r="CY166" s="30"/>
      <c r="CZ166" s="30"/>
      <c r="DA166" s="30"/>
      <c r="DB166" s="30"/>
    </row>
    <row r="167" spans="1:106" x14ac:dyDescent="0.25">
      <c r="A167" s="17" t="s">
        <v>359</v>
      </c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  <c r="BC167" s="30"/>
      <c r="BD167" s="30"/>
      <c r="BE167" s="30"/>
      <c r="BF167" s="30"/>
      <c r="BG167" s="30"/>
      <c r="BH167" s="30"/>
      <c r="BI167" s="30"/>
      <c r="BJ167" s="30"/>
      <c r="BK167" s="30"/>
      <c r="BL167" s="30"/>
      <c r="BM167" s="30"/>
      <c r="BN167" s="30"/>
      <c r="BO167" s="30"/>
      <c r="BP167" s="30"/>
      <c r="BQ167" s="30"/>
      <c r="BR167" s="30"/>
      <c r="BS167" s="30"/>
      <c r="BT167" s="30"/>
      <c r="BU167" s="30"/>
      <c r="BV167" s="30"/>
      <c r="BW167" s="30"/>
      <c r="BX167" s="30"/>
      <c r="BY167" s="30"/>
      <c r="BZ167" s="30"/>
      <c r="CA167" s="30"/>
      <c r="CB167" s="30"/>
      <c r="CC167" s="30"/>
      <c r="CD167" s="30"/>
      <c r="CE167" s="30"/>
      <c r="CF167" s="30"/>
      <c r="CG167" s="30"/>
      <c r="CH167" s="30"/>
      <c r="CI167" s="30"/>
      <c r="CJ167" s="30"/>
      <c r="CK167" s="30"/>
      <c r="CL167" s="30"/>
      <c r="CM167" s="30"/>
      <c r="CN167" s="30"/>
      <c r="CO167" s="30"/>
      <c r="CP167" s="30"/>
      <c r="CQ167" s="30"/>
      <c r="CR167" s="30"/>
      <c r="CS167" s="30"/>
      <c r="CT167" s="30"/>
      <c r="CU167" s="30"/>
      <c r="CV167" s="30"/>
      <c r="CW167" s="30"/>
      <c r="CX167" s="30"/>
      <c r="CY167" s="30"/>
      <c r="CZ167" s="30"/>
      <c r="DA167" s="30"/>
      <c r="DB167" s="30"/>
    </row>
    <row r="168" spans="1:106" x14ac:dyDescent="0.25">
      <c r="A168" s="17" t="s">
        <v>360</v>
      </c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  <c r="BA168" s="30"/>
      <c r="BB168" s="30"/>
      <c r="BC168" s="30"/>
      <c r="BD168" s="30"/>
      <c r="BE168" s="30"/>
      <c r="BF168" s="30"/>
      <c r="BG168" s="30"/>
      <c r="BH168" s="30"/>
      <c r="BI168" s="30"/>
      <c r="BJ168" s="30"/>
      <c r="BK168" s="30"/>
      <c r="BL168" s="30"/>
      <c r="BM168" s="30"/>
      <c r="BN168" s="30"/>
      <c r="BO168" s="30"/>
      <c r="BP168" s="30"/>
      <c r="BQ168" s="30"/>
      <c r="BR168" s="30"/>
      <c r="BS168" s="30"/>
      <c r="BT168" s="30"/>
      <c r="BU168" s="30"/>
      <c r="BV168" s="30"/>
      <c r="BW168" s="30"/>
      <c r="BX168" s="30"/>
      <c r="BY168" s="30"/>
      <c r="BZ168" s="30"/>
      <c r="CA168" s="30"/>
      <c r="CB168" s="30"/>
      <c r="CC168" s="30"/>
      <c r="CD168" s="30"/>
      <c r="CE168" s="30"/>
      <c r="CF168" s="30"/>
      <c r="CG168" s="30"/>
      <c r="CH168" s="30"/>
      <c r="CI168" s="30"/>
      <c r="CJ168" s="30"/>
      <c r="CK168" s="30"/>
      <c r="CL168" s="30"/>
      <c r="CM168" s="30"/>
      <c r="CN168" s="30"/>
      <c r="CO168" s="30"/>
      <c r="CP168" s="30"/>
      <c r="CQ168" s="30"/>
      <c r="CR168" s="30"/>
      <c r="CS168" s="30"/>
      <c r="CT168" s="30"/>
      <c r="CU168" s="30"/>
      <c r="CV168" s="30"/>
      <c r="CW168" s="30"/>
      <c r="CX168" s="30"/>
      <c r="CY168" s="30"/>
      <c r="CZ168" s="30"/>
      <c r="DA168" s="30"/>
      <c r="DB168" s="30"/>
    </row>
    <row r="169" spans="3:106" x14ac:dyDescent="0.25"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  <c r="BA169" s="30"/>
      <c r="BB169" s="30"/>
      <c r="BC169" s="30"/>
      <c r="BD169" s="30"/>
      <c r="BE169" s="30"/>
      <c r="BF169" s="30"/>
      <c r="BG169" s="30"/>
      <c r="BH169" s="30"/>
      <c r="BI169" s="30"/>
      <c r="BJ169" s="30"/>
      <c r="BK169" s="30"/>
      <c r="BL169" s="30"/>
      <c r="BM169" s="30"/>
      <c r="BN169" s="30"/>
      <c r="BO169" s="30"/>
      <c r="BP169" s="30"/>
      <c r="BQ169" s="30"/>
      <c r="BR169" s="30"/>
      <c r="BS169" s="30"/>
      <c r="BT169" s="30"/>
      <c r="BU169" s="30"/>
      <c r="BV169" s="30"/>
      <c r="BW169" s="30"/>
      <c r="BX169" s="30"/>
      <c r="BY169" s="30"/>
      <c r="BZ169" s="30"/>
      <c r="CA169" s="30"/>
      <c r="CB169" s="30"/>
      <c r="CC169" s="30"/>
      <c r="CD169" s="30"/>
      <c r="CE169" s="30"/>
      <c r="CF169" s="30"/>
      <c r="CG169" s="30"/>
      <c r="CH169" s="30"/>
      <c r="CI169" s="30"/>
      <c r="CJ169" s="30"/>
      <c r="CK169" s="30"/>
      <c r="CL169" s="30"/>
      <c r="CM169" s="30"/>
      <c r="CN169" s="30"/>
      <c r="CO169" s="30"/>
      <c r="CP169" s="30"/>
      <c r="CQ169" s="30"/>
      <c r="CR169" s="30"/>
      <c r="CS169" s="30"/>
      <c r="CT169" s="30"/>
      <c r="CU169" s="30"/>
      <c r="CV169" s="30"/>
      <c r="CW169" s="30"/>
      <c r="CX169" s="30"/>
      <c r="CY169" s="30"/>
      <c r="CZ169" s="30"/>
      <c r="DA169" s="30"/>
      <c r="DB169" s="30"/>
    </row>
    <row r="170" spans="3:106" x14ac:dyDescent="0.25"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  <c r="BF170" s="30"/>
      <c r="BG170" s="30"/>
      <c r="BH170" s="30"/>
      <c r="BI170" s="30"/>
      <c r="BJ170" s="30"/>
      <c r="BK170" s="30"/>
      <c r="BL170" s="30"/>
      <c r="BM170" s="30"/>
      <c r="BN170" s="30"/>
      <c r="BO170" s="30"/>
      <c r="BP170" s="30"/>
      <c r="BQ170" s="30"/>
      <c r="BR170" s="30"/>
      <c r="BS170" s="30"/>
      <c r="BT170" s="30"/>
      <c r="BU170" s="30"/>
      <c r="BV170" s="30"/>
      <c r="BW170" s="30"/>
      <c r="BX170" s="30"/>
      <c r="BY170" s="30"/>
      <c r="BZ170" s="30"/>
      <c r="CA170" s="30"/>
      <c r="CB170" s="30"/>
      <c r="CC170" s="30"/>
      <c r="CD170" s="30"/>
      <c r="CE170" s="30"/>
      <c r="CF170" s="30"/>
      <c r="CG170" s="30"/>
      <c r="CH170" s="30"/>
      <c r="CI170" s="30"/>
      <c r="CJ170" s="30"/>
      <c r="CK170" s="30"/>
      <c r="CL170" s="30"/>
      <c r="CM170" s="30"/>
      <c r="CN170" s="30"/>
      <c r="CO170" s="30"/>
      <c r="CP170" s="30"/>
      <c r="CQ170" s="30"/>
      <c r="CR170" s="30"/>
      <c r="CS170" s="30"/>
      <c r="CT170" s="30"/>
      <c r="CU170" s="30"/>
      <c r="CV170" s="30"/>
      <c r="CW170" s="30"/>
      <c r="CX170" s="30"/>
      <c r="CY170" s="30"/>
      <c r="CZ170" s="30"/>
      <c r="DA170" s="30"/>
      <c r="DB170" s="30"/>
    </row>
    <row r="171" spans="3:106" x14ac:dyDescent="0.25"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  <c r="BA171" s="30"/>
      <c r="BB171" s="30"/>
      <c r="BC171" s="30"/>
      <c r="BD171" s="30"/>
      <c r="BE171" s="30"/>
      <c r="BF171" s="30"/>
      <c r="BG171" s="30"/>
      <c r="BH171" s="30"/>
      <c r="BI171" s="30"/>
      <c r="BJ171" s="30"/>
      <c r="BK171" s="30"/>
      <c r="BL171" s="30"/>
      <c r="BM171" s="30"/>
      <c r="BN171" s="30"/>
      <c r="BO171" s="30"/>
      <c r="BP171" s="30"/>
      <c r="BQ171" s="30"/>
      <c r="BR171" s="30"/>
      <c r="BS171" s="30"/>
      <c r="BT171" s="30"/>
      <c r="BU171" s="30"/>
      <c r="BV171" s="30"/>
      <c r="BW171" s="30"/>
      <c r="BX171" s="30"/>
      <c r="BY171" s="30"/>
      <c r="BZ171" s="30"/>
      <c r="CA171" s="30"/>
      <c r="CB171" s="30"/>
      <c r="CC171" s="30"/>
      <c r="CD171" s="30"/>
      <c r="CE171" s="30"/>
      <c r="CF171" s="30"/>
      <c r="CG171" s="30"/>
      <c r="CH171" s="30"/>
      <c r="CI171" s="30"/>
      <c r="CJ171" s="30"/>
      <c r="CK171" s="30"/>
      <c r="CL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</row>
    <row r="172" spans="1:106" x14ac:dyDescent="0.25">
      <c r="A172" s="17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  <c r="BA172" s="30"/>
      <c r="BB172" s="30"/>
      <c r="BC172" s="30"/>
      <c r="BD172" s="30"/>
      <c r="BE172" s="30"/>
      <c r="BF172" s="30"/>
      <c r="BG172" s="30"/>
      <c r="BH172" s="30"/>
      <c r="BI172" s="30"/>
      <c r="BJ172" s="30"/>
      <c r="BK172" s="30"/>
      <c r="BL172" s="30"/>
      <c r="BM172" s="30"/>
      <c r="BN172" s="30"/>
      <c r="BO172" s="30"/>
      <c r="BP172" s="30"/>
      <c r="BQ172" s="30"/>
      <c r="BR172" s="30"/>
      <c r="BS172" s="30"/>
      <c r="BT172" s="30"/>
      <c r="BU172" s="30"/>
      <c r="BV172" s="30"/>
      <c r="BW172" s="30"/>
      <c r="BX172" s="30"/>
      <c r="BY172" s="30"/>
      <c r="BZ172" s="30"/>
      <c r="CA172" s="30"/>
      <c r="CB172" s="30"/>
      <c r="CC172" s="30"/>
      <c r="CD172" s="30"/>
      <c r="CE172" s="30"/>
      <c r="CF172" s="30"/>
      <c r="CG172" s="30"/>
      <c r="CH172" s="30"/>
      <c r="CI172" s="30"/>
      <c r="CJ172" s="30"/>
      <c r="CK172" s="30"/>
      <c r="CL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173"/>
  <sheetFormatPr defaultRowHeight="15" outlineLevelRow="0" outlineLevelCol="0" x14ac:dyDescent="55"/>
  <cols>
    <col min="1" max="1" width="33" customWidth="1"/>
    <col min="2" max="2" width="17" customWidth="1"/>
    <col min="3" max="4" width="11" customWidth="1"/>
  </cols>
  <sheetData>
    <row r="1" ht="17" customHeight="1" spans="1:106" x14ac:dyDescent="0.25">
      <c r="A1" s="1" t="s">
        <v>408</v>
      </c>
      <c r="B1" t="s">
        <v>1</v>
      </c>
      <c r="C1" t="s">
        <v>2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2</v>
      </c>
      <c r="X1" t="s">
        <v>2</v>
      </c>
      <c r="Y1" t="s">
        <v>2</v>
      </c>
      <c r="Z1" t="s">
        <v>2</v>
      </c>
      <c r="AA1" t="s">
        <v>2</v>
      </c>
      <c r="AB1" t="s">
        <v>2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 t="s">
        <v>2</v>
      </c>
      <c r="AI1" t="s">
        <v>2</v>
      </c>
      <c r="AJ1" t="s">
        <v>2</v>
      </c>
      <c r="AK1" t="s">
        <v>2</v>
      </c>
      <c r="AL1" t="s">
        <v>2</v>
      </c>
      <c r="AM1" t="s">
        <v>2</v>
      </c>
      <c r="AN1" t="s">
        <v>2</v>
      </c>
      <c r="AO1" t="s">
        <v>2</v>
      </c>
      <c r="AP1" t="s">
        <v>2</v>
      </c>
      <c r="AQ1" t="s">
        <v>2</v>
      </c>
      <c r="AR1" t="s">
        <v>2</v>
      </c>
      <c r="AS1" t="s">
        <v>2</v>
      </c>
      <c r="AT1" t="s">
        <v>2</v>
      </c>
      <c r="AU1" t="s">
        <v>2</v>
      </c>
      <c r="AV1" t="s">
        <v>2</v>
      </c>
      <c r="AW1" t="s">
        <v>2</v>
      </c>
      <c r="AX1" t="s">
        <v>2</v>
      </c>
      <c r="AY1" t="s">
        <v>2</v>
      </c>
      <c r="AZ1" t="s">
        <v>2</v>
      </c>
      <c r="BA1" t="s">
        <v>2</v>
      </c>
      <c r="BB1" t="s">
        <v>2</v>
      </c>
      <c r="BC1" t="s">
        <v>2</v>
      </c>
      <c r="BD1" t="s">
        <v>2</v>
      </c>
      <c r="BE1" t="s">
        <v>2</v>
      </c>
      <c r="BF1" t="s">
        <v>2</v>
      </c>
      <c r="BG1" t="s">
        <v>2</v>
      </c>
      <c r="BH1" t="s">
        <v>2</v>
      </c>
      <c r="BI1" t="s">
        <v>2</v>
      </c>
      <c r="BJ1" t="s">
        <v>2</v>
      </c>
      <c r="BK1" t="s">
        <v>2</v>
      </c>
      <c r="BL1" t="s">
        <v>2</v>
      </c>
      <c r="BM1" t="s">
        <v>2</v>
      </c>
      <c r="BN1" t="s">
        <v>2</v>
      </c>
      <c r="BO1" t="s">
        <v>2</v>
      </c>
      <c r="BP1" t="s">
        <v>2</v>
      </c>
      <c r="BQ1" t="s">
        <v>2</v>
      </c>
      <c r="BR1" t="s">
        <v>2</v>
      </c>
      <c r="BS1" t="s">
        <v>2</v>
      </c>
      <c r="BT1" t="s">
        <v>2</v>
      </c>
      <c r="BU1" t="s">
        <v>2</v>
      </c>
      <c r="BV1" t="s">
        <v>2</v>
      </c>
      <c r="BW1" t="s">
        <v>2</v>
      </c>
      <c r="BX1" t="s">
        <v>2</v>
      </c>
      <c r="BY1" t="s">
        <v>2</v>
      </c>
      <c r="BZ1" t="s">
        <v>2</v>
      </c>
      <c r="CA1" t="s">
        <v>2</v>
      </c>
      <c r="CB1" t="s">
        <v>2</v>
      </c>
      <c r="CC1" t="s">
        <v>2</v>
      </c>
      <c r="CD1" t="s">
        <v>2</v>
      </c>
      <c r="CE1" t="s">
        <v>2</v>
      </c>
      <c r="CF1" t="s">
        <v>2</v>
      </c>
      <c r="CG1" t="s">
        <v>2</v>
      </c>
      <c r="CH1" t="s">
        <v>2</v>
      </c>
      <c r="CI1" t="s">
        <v>2</v>
      </c>
      <c r="CJ1" t="s">
        <v>2</v>
      </c>
      <c r="CK1" t="s">
        <v>2</v>
      </c>
      <c r="CL1" t="s">
        <v>2</v>
      </c>
      <c r="CM1" t="s">
        <v>2</v>
      </c>
      <c r="CN1" t="s">
        <v>2</v>
      </c>
      <c r="CO1" t="s">
        <v>2</v>
      </c>
      <c r="CP1" t="s">
        <v>2</v>
      </c>
      <c r="CQ1" t="s">
        <v>2</v>
      </c>
      <c r="CR1" t="s">
        <v>2</v>
      </c>
      <c r="CS1" t="s">
        <v>2</v>
      </c>
      <c r="CT1" t="s">
        <v>2</v>
      </c>
      <c r="CU1" t="s">
        <v>2</v>
      </c>
      <c r="CV1" t="s">
        <v>2</v>
      </c>
      <c r="CW1" t="s">
        <v>2</v>
      </c>
      <c r="CX1" t="s">
        <v>2</v>
      </c>
      <c r="CY1" t="s">
        <v>2</v>
      </c>
      <c r="CZ1" t="s">
        <v>2</v>
      </c>
      <c r="DA1" t="s">
        <v>2</v>
      </c>
      <c r="DB1" t="s">
        <v>2</v>
      </c>
    </row>
    <row r="2" ht="14" customHeight="1" spans="1:2" x14ac:dyDescent="0.25">
      <c r="B2" t="s">
        <v>3</v>
      </c>
    </row>
    <row r="3" spans="1:106" x14ac:dyDescent="0.25">
      <c r="A3" s="1"/>
      <c r="B3" s="5" t="s">
        <v>4</v>
      </c>
      <c r="C3" t="s">
        <v>5</v>
      </c>
      <c r="D3" t="s">
        <v>6</v>
      </c>
      <c r="E3" t="s">
        <v>6</v>
      </c>
      <c r="F3" t="s">
        <v>6</v>
      </c>
      <c r="G3" t="s">
        <v>6</v>
      </c>
      <c r="H3" t="s">
        <v>7</v>
      </c>
      <c r="I3" t="s">
        <v>7</v>
      </c>
      <c r="J3" t="s">
        <v>7</v>
      </c>
      <c r="K3" t="s">
        <v>7</v>
      </c>
      <c r="L3" t="s">
        <v>8</v>
      </c>
      <c r="M3" t="s">
        <v>8</v>
      </c>
      <c r="N3" t="s">
        <v>8</v>
      </c>
      <c r="O3" t="s">
        <v>8</v>
      </c>
      <c r="P3" t="s">
        <v>8</v>
      </c>
      <c r="Q3" t="s">
        <v>9</v>
      </c>
      <c r="R3" t="s">
        <v>9</v>
      </c>
      <c r="S3" t="s">
        <v>9</v>
      </c>
      <c r="T3" t="s">
        <v>9</v>
      </c>
      <c r="U3" t="s">
        <v>10</v>
      </c>
      <c r="V3" t="s">
        <v>10</v>
      </c>
      <c r="W3" t="s">
        <v>10</v>
      </c>
      <c r="X3" t="s">
        <v>10</v>
      </c>
      <c r="Y3" t="s">
        <v>11</v>
      </c>
      <c r="Z3" t="s">
        <v>11</v>
      </c>
      <c r="AA3" t="s">
        <v>11</v>
      </c>
      <c r="AB3" t="s">
        <v>11</v>
      </c>
      <c r="AC3" t="s">
        <v>11</v>
      </c>
      <c r="AD3" t="s">
        <v>12</v>
      </c>
      <c r="AE3" t="s">
        <v>12</v>
      </c>
      <c r="AF3" t="s">
        <v>12</v>
      </c>
      <c r="AG3" t="s">
        <v>12</v>
      </c>
      <c r="AH3" t="s">
        <v>13</v>
      </c>
      <c r="AI3" t="s">
        <v>13</v>
      </c>
      <c r="AJ3" t="s">
        <v>13</v>
      </c>
      <c r="AK3" t="s">
        <v>13</v>
      </c>
      <c r="AL3" t="s">
        <v>14</v>
      </c>
      <c r="AM3" t="s">
        <v>14</v>
      </c>
      <c r="AN3" t="s">
        <v>14</v>
      </c>
      <c r="AO3" t="s">
        <v>14</v>
      </c>
      <c r="AP3" t="s">
        <v>14</v>
      </c>
      <c r="AQ3" t="s">
        <v>15</v>
      </c>
      <c r="AR3" t="s">
        <v>15</v>
      </c>
      <c r="AS3" t="s">
        <v>15</v>
      </c>
      <c r="AT3" t="s">
        <v>15</v>
      </c>
      <c r="AU3" t="s">
        <v>16</v>
      </c>
      <c r="AV3" t="s">
        <v>16</v>
      </c>
      <c r="AW3" t="s">
        <v>16</v>
      </c>
      <c r="AX3" t="s">
        <v>16</v>
      </c>
      <c r="AY3" t="s">
        <v>17</v>
      </c>
      <c r="AZ3" t="s">
        <v>17</v>
      </c>
      <c r="BA3" t="s">
        <v>17</v>
      </c>
      <c r="BB3" t="s">
        <v>17</v>
      </c>
      <c r="BC3" t="s">
        <v>17</v>
      </c>
      <c r="BD3" t="s">
        <v>18</v>
      </c>
      <c r="BE3" t="s">
        <v>18</v>
      </c>
      <c r="BF3" t="s">
        <v>18</v>
      </c>
      <c r="BG3" t="s">
        <v>18</v>
      </c>
      <c r="BH3" t="s">
        <v>19</v>
      </c>
      <c r="BI3" t="s">
        <v>19</v>
      </c>
      <c r="BJ3" t="s">
        <v>19</v>
      </c>
      <c r="BK3" t="s">
        <v>19</v>
      </c>
      <c r="BL3" t="s">
        <v>19</v>
      </c>
      <c r="BM3" t="s">
        <v>20</v>
      </c>
      <c r="BN3" t="s">
        <v>20</v>
      </c>
      <c r="BO3" t="s">
        <v>20</v>
      </c>
      <c r="BP3" t="s">
        <v>20</v>
      </c>
      <c r="BQ3" t="s">
        <v>21</v>
      </c>
      <c r="BR3" t="s">
        <v>21</v>
      </c>
      <c r="BS3" t="s">
        <v>21</v>
      </c>
      <c r="BT3" t="s">
        <v>21</v>
      </c>
      <c r="BU3" t="s">
        <v>22</v>
      </c>
      <c r="BV3" t="s">
        <v>22</v>
      </c>
      <c r="BW3" t="s">
        <v>22</v>
      </c>
      <c r="BX3" t="s">
        <v>22</v>
      </c>
      <c r="BY3" t="s">
        <v>22</v>
      </c>
      <c r="BZ3" t="s">
        <v>23</v>
      </c>
      <c r="CA3" t="s">
        <v>23</v>
      </c>
      <c r="CB3" t="s">
        <v>23</v>
      </c>
      <c r="CC3" t="s">
        <v>23</v>
      </c>
      <c r="CD3" t="s">
        <v>24</v>
      </c>
      <c r="CE3" t="s">
        <v>24</v>
      </c>
      <c r="CF3" t="s">
        <v>24</v>
      </c>
      <c r="CG3" t="s">
        <v>24</v>
      </c>
      <c r="CH3" t="s">
        <v>25</v>
      </c>
      <c r="CI3" t="s">
        <v>25</v>
      </c>
      <c r="CJ3" t="s">
        <v>25</v>
      </c>
      <c r="CK3" t="s">
        <v>25</v>
      </c>
      <c r="CL3" t="s">
        <v>26</v>
      </c>
      <c r="CM3" t="s">
        <v>26</v>
      </c>
      <c r="CN3" t="s">
        <v>26</v>
      </c>
      <c r="CO3" t="s">
        <v>26</v>
      </c>
      <c r="CP3" t="s">
        <v>26</v>
      </c>
      <c r="CQ3" t="s">
        <v>27</v>
      </c>
      <c r="CR3" t="s">
        <v>27</v>
      </c>
      <c r="CS3" t="s">
        <v>27</v>
      </c>
      <c r="CT3" t="s">
        <v>27</v>
      </c>
      <c r="CU3" t="s">
        <v>28</v>
      </c>
      <c r="CV3" t="s">
        <v>28</v>
      </c>
      <c r="CW3" t="s">
        <v>28</v>
      </c>
      <c r="CX3" t="s">
        <v>28</v>
      </c>
      <c r="CY3" t="s">
        <v>28</v>
      </c>
      <c r="CZ3" t="s">
        <v>29</v>
      </c>
      <c r="DA3" t="s">
        <v>29</v>
      </c>
      <c r="DB3" t="s">
        <v>29</v>
      </c>
    </row>
    <row r="4" spans="1:106" x14ac:dyDescent="0.25">
      <c r="A4" s="1"/>
      <c r="B4" s="5" t="s">
        <v>30</v>
      </c>
      <c r="C4" s="7" t="s">
        <v>31</v>
      </c>
      <c r="D4" s="7" t="s">
        <v>32</v>
      </c>
      <c r="E4" s="7" t="s">
        <v>33</v>
      </c>
      <c r="F4" s="7" t="s">
        <v>34</v>
      </c>
      <c r="G4" s="7" t="s">
        <v>35</v>
      </c>
      <c r="H4" s="7" t="s">
        <v>36</v>
      </c>
      <c r="I4" s="7" t="s">
        <v>37</v>
      </c>
      <c r="J4" s="7" t="s">
        <v>38</v>
      </c>
      <c r="K4" s="7" t="s">
        <v>39</v>
      </c>
      <c r="L4" s="7" t="s">
        <v>40</v>
      </c>
      <c r="M4" s="7" t="s">
        <v>41</v>
      </c>
      <c r="N4" s="7" t="s">
        <v>42</v>
      </c>
      <c r="O4" s="7" t="s">
        <v>43</v>
      </c>
      <c r="P4" s="7" t="s">
        <v>44</v>
      </c>
      <c r="Q4" s="7" t="s">
        <v>45</v>
      </c>
      <c r="R4" s="7" t="s">
        <v>46</v>
      </c>
      <c r="S4" s="7" t="s">
        <v>47</v>
      </c>
      <c r="T4" s="7" t="s">
        <v>48</v>
      </c>
      <c r="U4" s="7" t="s">
        <v>49</v>
      </c>
      <c r="V4" s="7" t="s">
        <v>50</v>
      </c>
      <c r="W4" s="7" t="s">
        <v>51</v>
      </c>
      <c r="X4" s="7" t="s">
        <v>52</v>
      </c>
      <c r="Y4" s="7" t="s">
        <v>53</v>
      </c>
      <c r="Z4" s="7" t="s">
        <v>54</v>
      </c>
      <c r="AA4" s="7" t="s">
        <v>55</v>
      </c>
      <c r="AB4" s="7" t="s">
        <v>56</v>
      </c>
      <c r="AC4" s="7" t="s">
        <v>57</v>
      </c>
      <c r="AD4" s="7" t="s">
        <v>58</v>
      </c>
      <c r="AE4" s="7" t="s">
        <v>59</v>
      </c>
      <c r="AF4" s="7" t="s">
        <v>60</v>
      </c>
      <c r="AG4" s="7" t="s">
        <v>61</v>
      </c>
      <c r="AH4" s="7" t="s">
        <v>62</v>
      </c>
      <c r="AI4" s="7" t="s">
        <v>63</v>
      </c>
      <c r="AJ4" s="7" t="s">
        <v>64</v>
      </c>
      <c r="AK4" s="7" t="s">
        <v>65</v>
      </c>
      <c r="AL4" s="7" t="s">
        <v>66</v>
      </c>
      <c r="AM4" s="7" t="s">
        <v>67</v>
      </c>
      <c r="AN4" s="7" t="s">
        <v>68</v>
      </c>
      <c r="AO4" s="7" t="s">
        <v>69</v>
      </c>
      <c r="AP4" s="7" t="s">
        <v>70</v>
      </c>
      <c r="AQ4" s="7" t="s">
        <v>71</v>
      </c>
      <c r="AR4" s="7" t="s">
        <v>72</v>
      </c>
      <c r="AS4" s="7" t="s">
        <v>73</v>
      </c>
      <c r="AT4" s="7" t="s">
        <v>74</v>
      </c>
      <c r="AU4" s="7" t="s">
        <v>75</v>
      </c>
      <c r="AV4" s="7" t="s">
        <v>76</v>
      </c>
      <c r="AW4" s="7" t="s">
        <v>77</v>
      </c>
      <c r="AX4" s="7" t="s">
        <v>78</v>
      </c>
      <c r="AY4" s="7" t="s">
        <v>79</v>
      </c>
      <c r="AZ4" s="7" t="s">
        <v>80</v>
      </c>
      <c r="BA4" s="7" t="s">
        <v>81</v>
      </c>
      <c r="BB4" s="7" t="s">
        <v>82</v>
      </c>
      <c r="BC4" s="7" t="s">
        <v>83</v>
      </c>
      <c r="BD4" s="7" t="s">
        <v>84</v>
      </c>
      <c r="BE4" s="7" t="s">
        <v>85</v>
      </c>
      <c r="BF4" s="7" t="s">
        <v>86</v>
      </c>
      <c r="BG4" s="7" t="s">
        <v>87</v>
      </c>
      <c r="BH4" s="7" t="s">
        <v>88</v>
      </c>
      <c r="BI4" s="7" t="s">
        <v>89</v>
      </c>
      <c r="BJ4" s="7" t="s">
        <v>90</v>
      </c>
      <c r="BK4" s="7" t="s">
        <v>91</v>
      </c>
      <c r="BL4" s="7" t="s">
        <v>92</v>
      </c>
      <c r="BM4" s="7" t="s">
        <v>93</v>
      </c>
      <c r="BN4" s="7" t="s">
        <v>94</v>
      </c>
      <c r="BO4" s="7" t="s">
        <v>95</v>
      </c>
      <c r="BP4" s="7" t="s">
        <v>96</v>
      </c>
      <c r="BQ4" s="7" t="s">
        <v>97</v>
      </c>
      <c r="BR4" s="7" t="s">
        <v>98</v>
      </c>
      <c r="BS4" s="7" t="s">
        <v>99</v>
      </c>
      <c r="BT4" s="7" t="s">
        <v>100</v>
      </c>
      <c r="BU4" s="7" t="s">
        <v>101</v>
      </c>
      <c r="BV4" s="7" t="s">
        <v>102</v>
      </c>
      <c r="BW4" s="7" t="s">
        <v>103</v>
      </c>
      <c r="BX4" s="7" t="s">
        <v>104</v>
      </c>
      <c r="BY4" s="7" t="s">
        <v>105</v>
      </c>
      <c r="BZ4" s="7" t="s">
        <v>106</v>
      </c>
      <c r="CA4" s="7" t="s">
        <v>107</v>
      </c>
      <c r="CB4" s="7" t="s">
        <v>108</v>
      </c>
      <c r="CC4" s="7" t="s">
        <v>109</v>
      </c>
      <c r="CD4" s="7" t="s">
        <v>110</v>
      </c>
      <c r="CE4" s="7" t="s">
        <v>111</v>
      </c>
      <c r="CF4" s="7" t="s">
        <v>112</v>
      </c>
      <c r="CG4" s="7" t="s">
        <v>113</v>
      </c>
      <c r="CH4" s="7" t="s">
        <v>114</v>
      </c>
      <c r="CI4" s="7" t="s">
        <v>115</v>
      </c>
      <c r="CJ4" s="7" t="s">
        <v>116</v>
      </c>
      <c r="CK4" s="7" t="s">
        <v>117</v>
      </c>
      <c r="CL4" s="7" t="s">
        <v>118</v>
      </c>
      <c r="CM4" s="7" t="s">
        <v>119</v>
      </c>
      <c r="CN4" s="7" t="s">
        <v>120</v>
      </c>
      <c r="CO4" s="7" t="s">
        <v>121</v>
      </c>
      <c r="CP4" s="7" t="s">
        <v>122</v>
      </c>
      <c r="CQ4" s="7" t="s">
        <v>123</v>
      </c>
      <c r="CR4" s="7" t="s">
        <v>124</v>
      </c>
      <c r="CS4" s="7" t="s">
        <v>125</v>
      </c>
      <c r="CT4" s="7" t="s">
        <v>126</v>
      </c>
      <c r="CU4" s="7" t="s">
        <v>127</v>
      </c>
      <c r="CV4" s="7" t="s">
        <v>128</v>
      </c>
      <c r="CW4" s="7" t="s">
        <v>129</v>
      </c>
      <c r="CX4" s="7" t="s">
        <v>130</v>
      </c>
      <c r="CY4" s="7" t="s">
        <v>131</v>
      </c>
      <c r="CZ4" s="7" t="s">
        <v>132</v>
      </c>
      <c r="DA4" s="7" t="s">
        <v>133</v>
      </c>
      <c r="DB4" s="7" t="s">
        <v>134</v>
      </c>
    </row>
    <row r="5" spans="1:106" x14ac:dyDescent="0.25">
      <c r="A5" s="1"/>
      <c r="B5" s="5" t="s">
        <v>135</v>
      </c>
      <c r="C5" s="8" t="s">
        <v>136</v>
      </c>
      <c r="D5" s="8" t="s">
        <v>137</v>
      </c>
      <c r="E5" s="8" t="s">
        <v>138</v>
      </c>
      <c r="F5" s="8" t="s">
        <v>139</v>
      </c>
      <c r="G5" s="8" t="s">
        <v>140</v>
      </c>
      <c r="H5" s="8" t="s">
        <v>141</v>
      </c>
      <c r="I5" s="8" t="s">
        <v>142</v>
      </c>
      <c r="J5" s="8" t="s">
        <v>143</v>
      </c>
      <c r="K5" s="8" t="s">
        <v>144</v>
      </c>
      <c r="L5" s="8" t="s">
        <v>145</v>
      </c>
      <c r="M5" s="8" t="s">
        <v>146</v>
      </c>
      <c r="N5" s="8" t="s">
        <v>147</v>
      </c>
      <c r="O5" s="8" t="s">
        <v>148</v>
      </c>
      <c r="P5" s="8" t="s">
        <v>149</v>
      </c>
      <c r="Q5" s="8" t="s">
        <v>150</v>
      </c>
      <c r="R5" s="8" t="s">
        <v>151</v>
      </c>
      <c r="S5" s="8" t="s">
        <v>152</v>
      </c>
      <c r="T5" s="8" t="s">
        <v>153</v>
      </c>
      <c r="U5" s="8" t="s">
        <v>154</v>
      </c>
      <c r="V5" s="8" t="s">
        <v>155</v>
      </c>
      <c r="W5" s="8" t="s">
        <v>156</v>
      </c>
      <c r="X5" s="8" t="s">
        <v>157</v>
      </c>
      <c r="Y5" s="8" t="s">
        <v>158</v>
      </c>
      <c r="Z5" s="8" t="s">
        <v>159</v>
      </c>
      <c r="AA5" s="8" t="s">
        <v>160</v>
      </c>
      <c r="AB5" s="8" t="s">
        <v>161</v>
      </c>
      <c r="AC5" s="8" t="s">
        <v>162</v>
      </c>
      <c r="AD5" s="8" t="s">
        <v>163</v>
      </c>
      <c r="AE5" s="8" t="s">
        <v>164</v>
      </c>
      <c r="AF5" s="8" t="s">
        <v>165</v>
      </c>
      <c r="AG5" s="8" t="s">
        <v>166</v>
      </c>
      <c r="AH5" s="8" t="s">
        <v>167</v>
      </c>
      <c r="AI5" s="8" t="s">
        <v>168</v>
      </c>
      <c r="AJ5" s="8" t="s">
        <v>169</v>
      </c>
      <c r="AK5" s="8" t="s">
        <v>170</v>
      </c>
      <c r="AL5" s="8" t="s">
        <v>171</v>
      </c>
      <c r="AM5" s="8" t="s">
        <v>172</v>
      </c>
      <c r="AN5" s="8" t="s">
        <v>173</v>
      </c>
      <c r="AO5" s="8" t="s">
        <v>174</v>
      </c>
      <c r="AP5" s="8" t="s">
        <v>175</v>
      </c>
      <c r="AQ5" s="8" t="s">
        <v>176</v>
      </c>
      <c r="AR5" s="8" t="s">
        <v>177</v>
      </c>
      <c r="AS5" s="8" t="s">
        <v>178</v>
      </c>
      <c r="AT5" s="8" t="s">
        <v>179</v>
      </c>
      <c r="AU5" s="8" t="s">
        <v>180</v>
      </c>
      <c r="AV5" s="8" t="s">
        <v>181</v>
      </c>
      <c r="AW5" s="8" t="s">
        <v>182</v>
      </c>
      <c r="AX5" s="8" t="s">
        <v>183</v>
      </c>
      <c r="AY5" s="8" t="s">
        <v>184</v>
      </c>
      <c r="AZ5" s="8" t="s">
        <v>185</v>
      </c>
      <c r="BA5" s="8" t="s">
        <v>186</v>
      </c>
      <c r="BB5" s="8" t="s">
        <v>187</v>
      </c>
      <c r="BC5" s="8" t="s">
        <v>188</v>
      </c>
      <c r="BD5" s="8" t="s">
        <v>189</v>
      </c>
      <c r="BE5" s="8" t="s">
        <v>190</v>
      </c>
      <c r="BF5" s="8" t="s">
        <v>191</v>
      </c>
      <c r="BG5" s="8" t="s">
        <v>192</v>
      </c>
      <c r="BH5" s="8" t="s">
        <v>193</v>
      </c>
      <c r="BI5" s="8" t="s">
        <v>194</v>
      </c>
      <c r="BJ5" s="8" t="s">
        <v>195</v>
      </c>
      <c r="BK5" s="8" t="s">
        <v>196</v>
      </c>
      <c r="BL5" s="8" t="s">
        <v>197</v>
      </c>
      <c r="BM5" s="8" t="s">
        <v>198</v>
      </c>
      <c r="BN5" s="8" t="s">
        <v>199</v>
      </c>
      <c r="BO5" s="8" t="s">
        <v>200</v>
      </c>
      <c r="BP5" s="8" t="s">
        <v>201</v>
      </c>
      <c r="BQ5" s="8" t="s">
        <v>202</v>
      </c>
      <c r="BR5" s="8" t="s">
        <v>203</v>
      </c>
      <c r="BS5" s="8" t="s">
        <v>204</v>
      </c>
      <c r="BT5" s="8" t="s">
        <v>205</v>
      </c>
      <c r="BU5" s="8" t="s">
        <v>206</v>
      </c>
      <c r="BV5" s="8" t="s">
        <v>207</v>
      </c>
      <c r="BW5" s="8" t="s">
        <v>208</v>
      </c>
      <c r="BX5" s="8" t="s">
        <v>209</v>
      </c>
      <c r="BY5" s="8" t="s">
        <v>210</v>
      </c>
      <c r="BZ5" s="8" t="s">
        <v>211</v>
      </c>
      <c r="CA5" s="8" t="s">
        <v>212</v>
      </c>
      <c r="CB5" s="8" t="s">
        <v>213</v>
      </c>
      <c r="CC5" s="8" t="s">
        <v>214</v>
      </c>
      <c r="CD5" s="8" t="s">
        <v>215</v>
      </c>
      <c r="CE5" s="8" t="s">
        <v>216</v>
      </c>
      <c r="CF5" s="8" t="s">
        <v>217</v>
      </c>
      <c r="CG5" s="8" t="s">
        <v>218</v>
      </c>
      <c r="CH5" s="8" t="s">
        <v>219</v>
      </c>
      <c r="CI5" s="8" t="s">
        <v>220</v>
      </c>
      <c r="CJ5" s="8" t="s">
        <v>221</v>
      </c>
      <c r="CK5" s="8" t="s">
        <v>222</v>
      </c>
      <c r="CL5" s="8" t="s">
        <v>223</v>
      </c>
      <c r="CM5" s="8" t="s">
        <v>224</v>
      </c>
      <c r="CN5" s="8" t="s">
        <v>225</v>
      </c>
      <c r="CO5" s="8" t="s">
        <v>226</v>
      </c>
      <c r="CP5" s="8" t="s">
        <v>227</v>
      </c>
      <c r="CQ5" s="8" t="s">
        <v>228</v>
      </c>
      <c r="CR5" s="8" t="s">
        <v>229</v>
      </c>
      <c r="CS5" s="8" t="s">
        <v>230</v>
      </c>
      <c r="CT5" s="8" t="s">
        <v>231</v>
      </c>
      <c r="CU5" s="8" t="s">
        <v>232</v>
      </c>
      <c r="CV5" s="8" t="s">
        <v>233</v>
      </c>
      <c r="CW5" s="8" t="s">
        <v>234</v>
      </c>
      <c r="CX5" s="8" t="s">
        <v>235</v>
      </c>
      <c r="CY5" s="8" t="s">
        <v>236</v>
      </c>
      <c r="CZ5" s="8" t="s">
        <v>237</v>
      </c>
      <c r="DA5" s="8" t="s">
        <v>238</v>
      </c>
      <c r="DB5" s="8" t="s">
        <v>239</v>
      </c>
    </row>
    <row r="6" spans="1:106" x14ac:dyDescent="0.25">
      <c r="A6" s="9" t="s">
        <v>240</v>
      </c>
      <c r="B6" s="10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</row>
    <row r="7" ht="16" customHeight="1" spans="1:106" x14ac:dyDescent="0.25">
      <c r="A7" s="12" t="s">
        <v>241</v>
      </c>
      <c r="B7" s="13"/>
      <c r="C7" s="14">
        <v>12</v>
      </c>
      <c r="D7" s="14">
        <v>12</v>
      </c>
      <c r="E7" s="14">
        <v>12</v>
      </c>
      <c r="F7" s="14">
        <v>12</v>
      </c>
      <c r="G7" s="14">
        <v>12</v>
      </c>
      <c r="H7" s="14">
        <v>12</v>
      </c>
      <c r="I7" s="14">
        <v>12</v>
      </c>
      <c r="J7" s="14">
        <v>12</v>
      </c>
      <c r="K7" s="14">
        <v>12</v>
      </c>
      <c r="L7" s="14">
        <v>12</v>
      </c>
      <c r="M7" s="14">
        <v>12</v>
      </c>
      <c r="N7" s="14">
        <v>12</v>
      </c>
      <c r="O7" s="14">
        <v>12</v>
      </c>
      <c r="P7" s="14">
        <v>12</v>
      </c>
      <c r="Q7" s="14">
        <v>12</v>
      </c>
      <c r="R7" s="14">
        <v>12</v>
      </c>
      <c r="S7" s="14">
        <v>12</v>
      </c>
      <c r="T7" s="14">
        <v>12</v>
      </c>
      <c r="U7" s="14">
        <v>12</v>
      </c>
      <c r="V7" s="14">
        <v>12</v>
      </c>
      <c r="W7" s="14">
        <v>12</v>
      </c>
      <c r="X7" s="14">
        <v>12</v>
      </c>
      <c r="Y7" s="14">
        <v>12</v>
      </c>
      <c r="Z7" s="14">
        <v>12</v>
      </c>
      <c r="AA7" s="14">
        <v>12</v>
      </c>
      <c r="AB7" s="14">
        <v>12</v>
      </c>
      <c r="AC7" s="14">
        <v>12</v>
      </c>
      <c r="AD7" s="14">
        <v>12</v>
      </c>
      <c r="AE7" s="14">
        <v>12</v>
      </c>
      <c r="AF7" s="14">
        <v>12</v>
      </c>
      <c r="AG7" s="14">
        <v>12</v>
      </c>
      <c r="AH7" s="14">
        <v>12</v>
      </c>
      <c r="AI7" s="14">
        <v>12</v>
      </c>
      <c r="AJ7" s="14">
        <v>12</v>
      </c>
      <c r="AK7" s="14">
        <v>12</v>
      </c>
      <c r="AL7" s="14">
        <v>12</v>
      </c>
      <c r="AM7" s="14">
        <v>12</v>
      </c>
      <c r="AN7" s="14">
        <v>12</v>
      </c>
      <c r="AO7" s="14">
        <v>12</v>
      </c>
      <c r="AP7" s="14">
        <v>12</v>
      </c>
      <c r="AQ7" s="14">
        <v>12</v>
      </c>
      <c r="AR7" s="14">
        <v>12</v>
      </c>
      <c r="AS7" s="14">
        <v>12</v>
      </c>
      <c r="AT7" s="14">
        <v>12</v>
      </c>
      <c r="AU7" s="14">
        <v>12</v>
      </c>
      <c r="AV7" s="14">
        <v>12</v>
      </c>
      <c r="AW7" s="14">
        <v>12</v>
      </c>
      <c r="AX7" s="14">
        <v>12</v>
      </c>
      <c r="AY7" s="14">
        <v>18</v>
      </c>
      <c r="AZ7" s="14">
        <v>18</v>
      </c>
      <c r="BA7" s="14">
        <v>18</v>
      </c>
      <c r="BB7" s="14">
        <v>18</v>
      </c>
      <c r="BC7" s="14">
        <v>18</v>
      </c>
      <c r="BD7" s="14">
        <v>18</v>
      </c>
      <c r="BE7" s="14">
        <v>18</v>
      </c>
      <c r="BF7" s="14">
        <v>18</v>
      </c>
      <c r="BG7" s="14">
        <v>18</v>
      </c>
      <c r="BH7" s="14">
        <v>18</v>
      </c>
      <c r="BI7" s="14">
        <v>18</v>
      </c>
      <c r="BJ7" s="14">
        <v>18</v>
      </c>
      <c r="BK7" s="14">
        <v>18</v>
      </c>
      <c r="BL7" s="14">
        <v>18</v>
      </c>
      <c r="BM7" s="14">
        <v>18</v>
      </c>
      <c r="BN7" s="14">
        <v>18</v>
      </c>
      <c r="BO7" s="14">
        <v>18</v>
      </c>
      <c r="BP7" s="14">
        <v>18</v>
      </c>
      <c r="BQ7" s="14">
        <v>18</v>
      </c>
      <c r="BR7" s="14">
        <v>18</v>
      </c>
      <c r="BS7" s="14">
        <v>18</v>
      </c>
      <c r="BT7" s="14">
        <v>18</v>
      </c>
      <c r="BU7" s="14">
        <v>18</v>
      </c>
      <c r="BV7" s="14">
        <v>18</v>
      </c>
      <c r="BW7" s="14">
        <v>18</v>
      </c>
      <c r="BX7" s="14">
        <v>18</v>
      </c>
      <c r="BY7" s="14">
        <v>18</v>
      </c>
      <c r="BZ7" s="14">
        <v>18</v>
      </c>
      <c r="CA7" s="14">
        <v>18</v>
      </c>
      <c r="CB7" s="14">
        <v>18</v>
      </c>
      <c r="CC7" s="14">
        <v>18</v>
      </c>
      <c r="CD7" s="14">
        <v>12</v>
      </c>
      <c r="CE7" s="14">
        <v>12</v>
      </c>
      <c r="CF7" s="14">
        <v>12</v>
      </c>
      <c r="CG7" s="14">
        <v>12</v>
      </c>
      <c r="CH7" s="14">
        <v>12</v>
      </c>
      <c r="CI7" s="14">
        <v>12</v>
      </c>
      <c r="CJ7" s="14">
        <v>12</v>
      </c>
      <c r="CK7" s="14">
        <v>12</v>
      </c>
      <c r="CL7" s="14">
        <v>12</v>
      </c>
      <c r="CM7" s="14">
        <v>12</v>
      </c>
      <c r="CN7" s="14">
        <v>12</v>
      </c>
      <c r="CO7" s="14">
        <v>12</v>
      </c>
      <c r="CP7" s="14">
        <v>12</v>
      </c>
      <c r="CQ7" s="14">
        <v>12</v>
      </c>
      <c r="CR7" s="14">
        <v>12</v>
      </c>
      <c r="CS7" s="14">
        <v>12</v>
      </c>
      <c r="CT7" s="14">
        <v>12</v>
      </c>
      <c r="CU7" s="14">
        <v>12</v>
      </c>
      <c r="CV7" s="14">
        <v>12</v>
      </c>
      <c r="CW7" s="14">
        <v>12</v>
      </c>
      <c r="CX7" s="14">
        <v>12</v>
      </c>
      <c r="CY7" s="14">
        <v>12</v>
      </c>
      <c r="CZ7" s="14">
        <v>12</v>
      </c>
      <c r="DA7" s="14">
        <v>12</v>
      </c>
      <c r="DB7" s="14">
        <v>12</v>
      </c>
    </row>
    <row r="8" ht="16" customHeight="1" spans="1:106" x14ac:dyDescent="0.25">
      <c r="A8" s="12" t="s">
        <v>242</v>
      </c>
      <c r="B8" s="13"/>
      <c r="C8" s="14">
        <v>415</v>
      </c>
      <c r="D8" s="14">
        <v>415</v>
      </c>
      <c r="E8" s="14">
        <v>415</v>
      </c>
      <c r="F8" s="14">
        <v>416</v>
      </c>
      <c r="G8" s="14">
        <v>416</v>
      </c>
      <c r="H8" s="14">
        <v>417</v>
      </c>
      <c r="I8" s="14">
        <v>417</v>
      </c>
      <c r="J8" s="14">
        <v>417</v>
      </c>
      <c r="K8" s="14">
        <v>416</v>
      </c>
      <c r="L8" s="14">
        <v>416</v>
      </c>
      <c r="M8" s="14">
        <v>415</v>
      </c>
      <c r="N8" s="14">
        <v>419</v>
      </c>
      <c r="O8" s="14">
        <v>419</v>
      </c>
      <c r="P8" s="14">
        <v>415</v>
      </c>
      <c r="Q8" s="14">
        <v>415</v>
      </c>
      <c r="R8" s="14">
        <v>415</v>
      </c>
      <c r="S8" s="14">
        <v>414</v>
      </c>
      <c r="T8" s="14">
        <v>414</v>
      </c>
      <c r="U8" s="14">
        <v>414</v>
      </c>
      <c r="V8" s="14">
        <v>414</v>
      </c>
      <c r="W8" s="14">
        <v>414</v>
      </c>
      <c r="X8" s="14">
        <v>414</v>
      </c>
      <c r="Y8" s="14">
        <v>415</v>
      </c>
      <c r="Z8" s="14">
        <v>415</v>
      </c>
      <c r="AA8" s="14">
        <v>415</v>
      </c>
      <c r="AB8" s="14">
        <v>415</v>
      </c>
      <c r="AC8" s="14">
        <v>415</v>
      </c>
      <c r="AD8" s="14">
        <v>415</v>
      </c>
      <c r="AE8" s="14">
        <v>415</v>
      </c>
      <c r="AF8" s="14">
        <v>415</v>
      </c>
      <c r="AG8" s="14">
        <v>415</v>
      </c>
      <c r="AH8" s="14">
        <v>415</v>
      </c>
      <c r="AI8" s="14">
        <v>415</v>
      </c>
      <c r="AJ8" s="14">
        <v>415</v>
      </c>
      <c r="AK8" s="14">
        <v>415</v>
      </c>
      <c r="AL8" s="14">
        <v>415</v>
      </c>
      <c r="AM8" s="14">
        <v>415</v>
      </c>
      <c r="AN8" s="14">
        <v>415</v>
      </c>
      <c r="AO8" s="14">
        <v>415</v>
      </c>
      <c r="AP8" s="14">
        <v>419</v>
      </c>
      <c r="AQ8" s="14">
        <v>419</v>
      </c>
      <c r="AR8" s="14">
        <v>419</v>
      </c>
      <c r="AS8" s="14">
        <v>419</v>
      </c>
      <c r="AT8" s="14">
        <v>420</v>
      </c>
      <c r="AU8" s="14">
        <v>419</v>
      </c>
      <c r="AV8" s="14">
        <v>421</v>
      </c>
      <c r="AW8" s="14">
        <v>421</v>
      </c>
      <c r="AX8" s="14">
        <v>419</v>
      </c>
      <c r="AY8" s="14">
        <v>626</v>
      </c>
      <c r="AZ8" s="14">
        <v>626</v>
      </c>
      <c r="BA8" s="14">
        <v>626</v>
      </c>
      <c r="BB8" s="14">
        <v>626</v>
      </c>
      <c r="BC8" s="14">
        <v>626</v>
      </c>
      <c r="BD8" s="14">
        <v>626</v>
      </c>
      <c r="BE8" s="14">
        <v>626</v>
      </c>
      <c r="BF8" s="14">
        <v>626</v>
      </c>
      <c r="BG8" s="14">
        <v>626</v>
      </c>
      <c r="BH8" s="14">
        <v>626</v>
      </c>
      <c r="BI8" s="14">
        <v>626</v>
      </c>
      <c r="BJ8" s="14">
        <v>626</v>
      </c>
      <c r="BK8" s="14">
        <v>626</v>
      </c>
      <c r="BL8" s="14">
        <v>626</v>
      </c>
      <c r="BM8" s="14">
        <v>626</v>
      </c>
      <c r="BN8" s="14">
        <v>626</v>
      </c>
      <c r="BO8" s="14">
        <v>626</v>
      </c>
      <c r="BP8" s="14">
        <v>626</v>
      </c>
      <c r="BQ8" s="14">
        <v>626</v>
      </c>
      <c r="BR8" s="14">
        <v>626</v>
      </c>
      <c r="BS8" s="14">
        <v>626</v>
      </c>
      <c r="BT8" s="14">
        <v>626</v>
      </c>
      <c r="BU8" s="14">
        <v>626</v>
      </c>
      <c r="BV8" s="14">
        <v>626</v>
      </c>
      <c r="BW8" s="14">
        <v>626</v>
      </c>
      <c r="BX8" s="14">
        <v>626</v>
      </c>
      <c r="BY8" s="14">
        <v>626</v>
      </c>
      <c r="BZ8" s="14">
        <v>626</v>
      </c>
      <c r="CA8" s="14">
        <v>626</v>
      </c>
      <c r="CB8" s="14">
        <v>626</v>
      </c>
      <c r="CC8" s="14">
        <v>626</v>
      </c>
      <c r="CD8" s="14">
        <v>413</v>
      </c>
      <c r="CE8" s="14">
        <v>413</v>
      </c>
      <c r="CF8" s="14">
        <v>413</v>
      </c>
      <c r="CG8" s="14">
        <v>413</v>
      </c>
      <c r="CH8" s="14">
        <v>413</v>
      </c>
      <c r="CI8" s="14">
        <v>413</v>
      </c>
      <c r="CJ8" s="14">
        <v>413</v>
      </c>
      <c r="CK8" s="14">
        <v>413</v>
      </c>
      <c r="CL8" s="14">
        <v>413</v>
      </c>
      <c r="CM8" s="14">
        <v>413</v>
      </c>
      <c r="CN8" s="14">
        <v>413</v>
      </c>
      <c r="CO8" s="14">
        <v>413</v>
      </c>
      <c r="CP8" s="14">
        <v>413</v>
      </c>
      <c r="CQ8" s="14">
        <v>413</v>
      </c>
      <c r="CR8" s="14">
        <v>413</v>
      </c>
      <c r="CS8" s="14">
        <v>413</v>
      </c>
      <c r="CT8" s="14">
        <v>413</v>
      </c>
      <c r="CU8" s="14">
        <v>413</v>
      </c>
      <c r="CV8" s="14">
        <v>413</v>
      </c>
      <c r="CW8" s="14">
        <v>413</v>
      </c>
      <c r="CX8" s="14">
        <v>413</v>
      </c>
      <c r="CY8" s="14">
        <v>413</v>
      </c>
      <c r="CZ8" s="14">
        <v>413</v>
      </c>
      <c r="DA8" s="14">
        <v>413</v>
      </c>
      <c r="DB8" s="14">
        <v>413</v>
      </c>
    </row>
    <row r="9" ht="18" customHeight="1" spans="1:106" x14ac:dyDescent="0.25">
      <c r="A9" s="12" t="s">
        <v>243</v>
      </c>
      <c r="B9" s="13"/>
      <c r="C9" s="15">
        <f>=IFERROR(ROUND((C8/(C47*C48))/(1-C29)/C45,0),"")</f>
        <v>12</v>
      </c>
      <c r="D9" s="15">
        <f>=IFERROR(ROUND((D8/(D47*D48))/(1-D29)/D45,0),"")</f>
        <v>12</v>
      </c>
      <c r="E9" s="15">
        <f>=IFERROR(ROUND((E8/(E47*E48))/(1-E29)/E45,0),"")</f>
        <v>12</v>
      </c>
      <c r="F9" s="15">
        <f>=IFERROR(ROUND((F8/(F47*F48))/(1-F29)/F45,0),"")</f>
        <v>12</v>
      </c>
      <c r="G9" s="15">
        <f>=IFERROR(ROUND((G8/(G47*G48))/(1-G29)/G45,0),"")</f>
        <v>12</v>
      </c>
      <c r="H9" s="15">
        <f>=IFERROR(ROUND((H8/(H47*H48))/(1-H29)/H45,0),"")</f>
        <v>12</v>
      </c>
      <c r="I9" s="15">
        <f>=IFERROR(ROUND((I8/(I47*I48))/(1-I29)/I45,0),"")</f>
        <v>12</v>
      </c>
      <c r="J9" s="15">
        <f>=IFERROR(ROUND((J8/(J47*J48))/(1-J29)/J45,0),"")</f>
        <v>12</v>
      </c>
      <c r="K9" s="15">
        <f>=IFERROR(ROUND((K8/(K47*K48))/(1-K29)/K45,0),"")</f>
        <v>12</v>
      </c>
      <c r="L9" s="15">
        <f>=IFERROR(ROUND((L8/(L47*L48))/(1-L29)/L45,0),"")</f>
        <v>12</v>
      </c>
      <c r="M9" s="15">
        <f>=IFERROR(ROUND((M8/(M47*M48))/(1-M29)/M45,0),"")</f>
        <v>12</v>
      </c>
      <c r="N9" s="15">
        <f>=IFERROR(ROUND((N8/(N47*N48))/(1-N29)/N45,0),"")</f>
        <v>12</v>
      </c>
      <c r="O9" s="15">
        <f>=IFERROR(ROUND((O8/(O47*O48))/(1-O29)/O45,0),"")</f>
        <v>12</v>
      </c>
      <c r="P9" s="15">
        <f>=IFERROR(ROUND((P8/(P47*P48))/(1-P29)/P45,0),"")</f>
        <v>12</v>
      </c>
      <c r="Q9" s="15">
        <f>=IFERROR(ROUND((Q8/(Q47*Q48))/(1-Q29)/Q45,0),"")</f>
        <v>12</v>
      </c>
      <c r="R9" s="15">
        <f>=IFERROR(ROUND((R8/(R47*R48))/(1-R29)/R45,0),"")</f>
        <v>12</v>
      </c>
      <c r="S9" s="15">
        <f>=IFERROR(ROUND((S8/(S47*S48))/(1-S29)/S45,0),"")</f>
        <v>12</v>
      </c>
      <c r="T9" s="15">
        <f>=IFERROR(ROUND((T8/(T47*T48))/(1-T29)/T45,0),"")</f>
        <v>12</v>
      </c>
      <c r="U9" s="15">
        <f>=IFERROR(ROUND((U8/(U47*U48))/(1-U29)/U45,0),"")</f>
        <v>12</v>
      </c>
      <c r="V9" s="15">
        <f>=IFERROR(ROUND((V8/(V47*V48))/(1-V29)/V45,0),"")</f>
        <v>12</v>
      </c>
      <c r="W9" s="15">
        <f>=IFERROR(ROUND((W8/(W47*W48))/(1-W29)/W45,0),"")</f>
        <v>12</v>
      </c>
      <c r="X9" s="15">
        <f>=IFERROR(ROUND((X8/(X47*X48))/(1-X29)/X45,0),"")</f>
        <v>12</v>
      </c>
      <c r="Y9" s="15">
        <f>=IFERROR(ROUND((Y8/(Y47*Y48))/(1-Y29)/Y45,0),"")</f>
        <v>12</v>
      </c>
      <c r="Z9" s="15">
        <f>=IFERROR(ROUND((Z8/(Z47*Z48))/(1-Z29)/Z45,0),"")</f>
        <v>12</v>
      </c>
      <c r="AA9" s="15">
        <f>=IFERROR(ROUND((AA8/(AA47*AA48))/(1-AA29)/AA45,0),"")</f>
        <v>12</v>
      </c>
      <c r="AB9" s="15">
        <f>=IFERROR(ROUND((AB8/(AB47*AB48))/(1-AB29)/AB45,0),"")</f>
        <v>12</v>
      </c>
      <c r="AC9" s="15">
        <f>=IFERROR(ROUND((AC8/(AC47*AC48))/(1-AC29)/AC45,0),"")</f>
        <v>12</v>
      </c>
      <c r="AD9" s="15">
        <f>=IFERROR(ROUND((AD8/(AD47*AD48))/(1-AD29)/AD45,0),"")</f>
        <v>12</v>
      </c>
      <c r="AE9" s="15">
        <f>=IFERROR(ROUND((AE8/(AE47*AE48))/(1-AE29)/AE45,0),"")</f>
        <v>12</v>
      </c>
      <c r="AF9" s="15">
        <f>=IFERROR(ROUND((AF8/(AF47*AF48))/(1-AF29)/AF45,0),"")</f>
        <v>12</v>
      </c>
      <c r="AG9" s="15">
        <f>=IFERROR(ROUND((AG8/(AG47*AG48))/(1-AG29)/AG45,0),"")</f>
        <v>12</v>
      </c>
      <c r="AH9" s="15">
        <f>=IFERROR(ROUND((AH8/(AH47*AH48))/(1-AH29)/AH45,0),"")</f>
        <v>12</v>
      </c>
      <c r="AI9" s="15">
        <f>=IFERROR(ROUND((AI8/(AI47*AI48))/(1-AI29)/AI45,0),"")</f>
        <v>12</v>
      </c>
      <c r="AJ9" s="15">
        <f>=IFERROR(ROUND((AJ8/(AJ47*AJ48))/(1-AJ29)/AJ45,0),"")</f>
        <v>12</v>
      </c>
      <c r="AK9" s="15">
        <f>=IFERROR(ROUND((AK8/(AK47*AK48))/(1-AK29)/AK45,0),"")</f>
        <v>12</v>
      </c>
      <c r="AL9" s="15">
        <f>=IFERROR(ROUND((AL8/(AL47*AL48))/(1-AL29)/AL45,0),"")</f>
        <v>12</v>
      </c>
      <c r="AM9" s="15">
        <f>=IFERROR(ROUND((AM8/(AM47*AM48))/(1-AM29)/AM45,0),"")</f>
        <v>12</v>
      </c>
      <c r="AN9" s="15">
        <f>=IFERROR(ROUND((AN8/(AN47*AN48))/(1-AN29)/AN45,0),"")</f>
        <v>12</v>
      </c>
      <c r="AO9" s="15">
        <f>=IFERROR(ROUND((AO8/(AO47*AO48))/(1-AO29)/AO45,0),"")</f>
        <v>12</v>
      </c>
      <c r="AP9" s="15">
        <f>=IFERROR(ROUND((AP8/(AP47*AP48))/(1-AP29)/AP45,0),"")</f>
        <v>11</v>
      </c>
      <c r="AQ9" s="15">
        <f>=IFERROR(ROUND((AQ8/(AQ47*AQ48))/(1-AQ29)/AQ45,0),"")</f>
        <v>11</v>
      </c>
      <c r="AR9" s="15">
        <f>=IFERROR(ROUND((AR8/(AR47*AR48))/(1-AR29)/AR45,0),"")</f>
        <v>11</v>
      </c>
      <c r="AS9" s="15">
        <f>=IFERROR(ROUND((AS8/(AS47*AS48))/(1-AS29)/AS45,0),"")</f>
        <v>11</v>
      </c>
      <c r="AT9" s="15">
        <f>=IFERROR(ROUND((AT8/(AT47*AT48))/(1-AT29)/AT45,0),"")</f>
        <v>11</v>
      </c>
      <c r="AU9" s="15">
        <f>=IFERROR(ROUND((AU8/(AU47*AU48))/(1-AU29)/AU45,0),"")</f>
        <v>11</v>
      </c>
      <c r="AV9" s="15">
        <f>=IFERROR(ROUND((AV8/(AV47*AV48))/(1-AV29)/AV45,0),"")</f>
        <v>11</v>
      </c>
      <c r="AW9" s="15">
        <f>=IFERROR(ROUND((AW8/(AW47*AW48))/(1-AW29)/AW45,0),"")</f>
        <v>11</v>
      </c>
      <c r="AX9" s="15">
        <f>=IFERROR(ROUND((AX8/(AX47*AX48))/(1-AX29)/AX45,0),"")</f>
        <v>11</v>
      </c>
      <c r="AY9" s="15">
        <f>=IFERROR(ROUND((AY8/(AY47*AY48))/(1-AY29)/AY45,0),"")</f>
        <v>17</v>
      </c>
      <c r="AZ9" s="15">
        <f>=IFERROR(ROUND((AZ8/(AZ47*AZ48))/(1-AZ29)/AZ45,0),"")</f>
        <v>17</v>
      </c>
      <c r="BA9" s="15">
        <f>=IFERROR(ROUND((BA8/(BA47*BA48))/(1-BA29)/BA45,0),"")</f>
        <v>17</v>
      </c>
      <c r="BB9" s="15">
        <f>=IFERROR(ROUND((BB8/(BB47*BB48))/(1-BB29)/BB45,0),"")</f>
        <v>17</v>
      </c>
      <c r="BC9" s="15">
        <f>=IFERROR(ROUND((BC8/(BC47*BC48))/(1-BC29)/BC45,0),"")</f>
        <v>17</v>
      </c>
      <c r="BD9" s="15">
        <f>=IFERROR(ROUND((BD8/(BD47*BD48))/(1-BD29)/BD45,0),"")</f>
        <v>17</v>
      </c>
      <c r="BE9" s="15">
        <f>=IFERROR(ROUND((BE8/(BE47*BE48))/(1-BE29)/BE45,0),"")</f>
        <v>17</v>
      </c>
      <c r="BF9" s="15">
        <f>=IFERROR(ROUND((BF8/(BF47*BF48))/(1-BF29)/BF45,0),"")</f>
        <v>17</v>
      </c>
      <c r="BG9" s="15">
        <f>=IFERROR(ROUND((BG8/(BG47*BG48))/(1-BG29)/BG45,0),"")</f>
        <v>17</v>
      </c>
      <c r="BH9" s="15">
        <f>=IFERROR(ROUND((BH8/(BH47*BH48))/(1-BH29)/BH45,0),"")</f>
        <v>17</v>
      </c>
      <c r="BI9" s="15">
        <f>=IFERROR(ROUND((BI8/(BI47*BI48))/(1-BI29)/BI45,0),"")</f>
        <v>17</v>
      </c>
      <c r="BJ9" s="15">
        <f>=IFERROR(ROUND((BJ8/(BJ47*BJ48))/(1-BJ29)/BJ45,0),"")</f>
        <v>17</v>
      </c>
      <c r="BK9" s="15">
        <f>=IFERROR(ROUND((BK8/(BK47*BK48))/(1-BK29)/BK45,0),"")</f>
        <v>17</v>
      </c>
      <c r="BL9" s="15">
        <f>=IFERROR(ROUND((BL8/(BL47*BL48))/(1-BL29)/BL45,0),"")</f>
        <v>17</v>
      </c>
      <c r="BM9" s="15">
        <f>=IFERROR(ROUND((BM8/(BM47*BM48))/(1-BM29)/BM45,0),"")</f>
        <v>17</v>
      </c>
      <c r="BN9" s="15">
        <f>=IFERROR(ROUND((BN8/(BN47*BN48))/(1-BN29)/BN45,0),"")</f>
        <v>17</v>
      </c>
      <c r="BO9" s="15">
        <f>=IFERROR(ROUND((BO8/(BO47*BO48))/(1-BO29)/BO45,0),"")</f>
        <v>17</v>
      </c>
      <c r="BP9" s="15">
        <f>=IFERROR(ROUND((BP8/(BP47*BP48))/(1-BP29)/BP45,0),"")</f>
        <v>17</v>
      </c>
      <c r="BQ9" s="15">
        <f>=IFERROR(ROUND((BQ8/(BQ47*BQ48))/(1-BQ29)/BQ45,0),"")</f>
        <v>17</v>
      </c>
      <c r="BR9" s="15">
        <f>=IFERROR(ROUND((BR8/(BR47*BR48))/(1-BR29)/BR45,0),"")</f>
        <v>17</v>
      </c>
      <c r="BS9" s="15">
        <f>=IFERROR(ROUND((BS8/(BS47*BS48))/(1-BS29)/BS45,0),"")</f>
        <v>17</v>
      </c>
      <c r="BT9" s="15">
        <f>=IFERROR(ROUND((BT8/(BT47*BT48))/(1-BT29)/BT45,0),"")</f>
        <v>17</v>
      </c>
      <c r="BU9" s="15">
        <f>=IFERROR(ROUND((BU8/(BU47*BU48))/(1-BU29)/BU45,0),"")</f>
        <v>17</v>
      </c>
      <c r="BV9" s="15">
        <f>=IFERROR(ROUND((BV8/(BV47*BV48))/(1-BV29)/BV45,0),"")</f>
        <v>17</v>
      </c>
      <c r="BW9" s="15">
        <f>=IFERROR(ROUND((BW8/(BW47*BW48))/(1-BW29)/BW45,0),"")</f>
        <v>17</v>
      </c>
      <c r="BX9" s="15">
        <f>=IFERROR(ROUND((BX8/(BX47*BX48))/(1-BX29)/BX45,0),"")</f>
        <v>17</v>
      </c>
      <c r="BY9" s="15">
        <f>=IFERROR(ROUND((BY8/(BY47*BY48))/(1-BY29)/BY45,0),"")</f>
        <v>17</v>
      </c>
      <c r="BZ9" s="15">
        <f>=IFERROR(ROUND((BZ8/(BZ47*BZ48))/(1-BZ29)/BZ45,0),"")</f>
        <v>17</v>
      </c>
      <c r="CA9" s="15">
        <f>=IFERROR(ROUND((CA8/(CA47*CA48))/(1-CA29)/CA45,0),"")</f>
        <v>17</v>
      </c>
      <c r="CB9" s="15">
        <f>=IFERROR(ROUND((CB8/(CB47*CB48))/(1-CB29)/CB45,0),"")</f>
        <v>17</v>
      </c>
      <c r="CC9" s="15">
        <f>=IFERROR(ROUND((CC8/(CC47*CC48))/(1-CC29)/CC45,0),"")</f>
        <v>17</v>
      </c>
      <c r="CD9" s="15">
        <f>=IFERROR(ROUND((CD8/(CD47*CD48))/(1-CD29)/CD45,0),"")</f>
        <v>11</v>
      </c>
      <c r="CE9" s="15">
        <f>=IFERROR(ROUND((CE8/(CE47*CE48))/(1-CE29)/CE45,0),"")</f>
        <v>11</v>
      </c>
      <c r="CF9" s="15">
        <f>=IFERROR(ROUND((CF8/(CF47*CF48))/(1-CF29)/CF45,0),"")</f>
        <v>11</v>
      </c>
      <c r="CG9" s="15">
        <f>=IFERROR(ROUND((CG8/(CG47*CG48))/(1-CG29)/CG45,0),"")</f>
        <v>11</v>
      </c>
      <c r="CH9" s="15">
        <f>=IFERROR(ROUND((CH8/(CH47*CH48))/(1-CH29)/CH45,0),"")</f>
        <v>11</v>
      </c>
      <c r="CI9" s="15">
        <f>=IFERROR(ROUND((CI8/(CI47*CI48))/(1-CI29)/CI45,0),"")</f>
        <v>11</v>
      </c>
      <c r="CJ9" s="15">
        <f>=IFERROR(ROUND((CJ8/(CJ47*CJ48))/(1-CJ29)/CJ45,0),"")</f>
        <v>11</v>
      </c>
      <c r="CK9" s="15">
        <f>=IFERROR(ROUND((CK8/(CK47*CK48))/(1-CK29)/CK45,0),"")</f>
        <v>11</v>
      </c>
      <c r="CL9" s="15">
        <f>=IFERROR(ROUND((CL8/(CL47*CL48))/(1-CL29)/CL45,0),"")</f>
        <v>11</v>
      </c>
      <c r="CM9" s="15">
        <f>=IFERROR(ROUND((CM8/(CM47*CM48))/(1-CM29)/CM45,0),"")</f>
        <v>11</v>
      </c>
      <c r="CN9" s="15">
        <f>=IFERROR(ROUND((CN8/(CN47*CN48))/(1-CN29)/CN45,0),"")</f>
        <v>11</v>
      </c>
      <c r="CO9" s="15">
        <f>=IFERROR(ROUND((CO8/(CO47*CO48))/(1-CO29)/CO45,0),"")</f>
        <v>11</v>
      </c>
      <c r="CP9" s="15">
        <f>=IFERROR(ROUND((CP8/(CP47*CP48))/(1-CP29)/CP45,0),"")</f>
        <v>11</v>
      </c>
      <c r="CQ9" s="15">
        <f>=IFERROR(ROUND((CQ8/(CQ47*CQ48))/(1-CQ29)/CQ45,0),"")</f>
        <v>11</v>
      </c>
      <c r="CR9" s="15">
        <f>=IFERROR(ROUND((CR8/(CR47*CR48))/(1-CR29)/CR45,0),"")</f>
        <v>11</v>
      </c>
      <c r="CS9" s="15">
        <f>=IFERROR(ROUND((CS8/(CS47*CS48))/(1-CS29)/CS45,0),"")</f>
        <v>11</v>
      </c>
      <c r="CT9" s="15">
        <f>=IFERROR(ROUND((CT8/(CT47*CT48))/(1-CT29)/CT45,0),"")</f>
        <v>11</v>
      </c>
      <c r="CU9" s="15">
        <f>=IFERROR(ROUND((CU8/(CU47*CU48))/(1-CU29)/CU45,0),"")</f>
        <v>11</v>
      </c>
      <c r="CV9" s="15">
        <f>=IFERROR(ROUND((CV8/(CV47*CV48))/(1-CV29)/CV45,0),"")</f>
        <v>11</v>
      </c>
      <c r="CW9" s="15">
        <f>=IFERROR(ROUND((CW8/(CW47*CW48))/(1-CW29)/CW45,0),"")</f>
        <v>11</v>
      </c>
      <c r="CX9" s="15">
        <f>=IFERROR(ROUND((CX8/(CX47*CX48))/(1-CX29)/CX45,0),"")</f>
        <v>11</v>
      </c>
      <c r="CY9" s="15">
        <f>=IFERROR(ROUND((CY8/(CY47*CY48))/(1-CY29)/CY45,0),"")</f>
        <v>11</v>
      </c>
      <c r="CZ9" s="15">
        <f>=IFERROR(ROUND((CZ8/(CZ47*CZ48))/(1-CZ29)/CZ45,0),"")</f>
        <v>11</v>
      </c>
      <c r="DA9" s="15">
        <f>=IFERROR(ROUND((DA8/(DA47*DA48))/(1-DA29)/DA45,0),"")</f>
        <v>11</v>
      </c>
      <c r="DB9" s="15">
        <f>=IFERROR(ROUND((DB8/(DB47*DB48))/(1-DB29)/DB45,0),"")</f>
        <v>11</v>
      </c>
    </row>
    <row r="10" ht="15" customHeight="1" spans="1:106" x14ac:dyDescent="0.25">
      <c r="A10" s="16" t="s">
        <v>244</v>
      </c>
      <c r="B10" s="17"/>
      <c r="C10" s="18">
        <f>=IFERROR(C19+C22+C23,0)</f>
        <v>13</v>
      </c>
      <c r="D10" s="18">
        <f>=IFERROR(D19+D22+D23,0)</f>
        <v>13</v>
      </c>
      <c r="E10" s="18">
        <f>=IFERROR(E19+E22+E23,0)</f>
        <v>12</v>
      </c>
      <c r="F10" s="18">
        <f>=IFERROR(F19+F22+F23,0)</f>
        <v>11</v>
      </c>
      <c r="G10" s="18">
        <f>=IFERROR(G19+G22+G23,0)</f>
        <v>11</v>
      </c>
      <c r="H10" s="18">
        <f>=IFERROR(H19+H22+H23,0)</f>
        <v>11</v>
      </c>
      <c r="I10" s="18">
        <f>=IFERROR(I19+I22+I23,0)</f>
        <v>11</v>
      </c>
      <c r="J10" s="18">
        <f>=IFERROR(J19+J22+J23,0)</f>
        <v>10</v>
      </c>
      <c r="K10" s="18">
        <f>=IFERROR(K19+K22+K23,0)</f>
        <v>14</v>
      </c>
      <c r="L10" s="18">
        <f>=IFERROR(L19+L22+L23,0)</f>
        <v>14</v>
      </c>
      <c r="M10" s="18">
        <f>=IFERROR(M19+M22+M23,0)</f>
        <v>15</v>
      </c>
      <c r="N10" s="18">
        <f>=IFERROR(N19+N22+N23,0)</f>
        <v>14</v>
      </c>
      <c r="O10" s="18">
        <f>=IFERROR(O19+O22+O23,0)</f>
        <v>14</v>
      </c>
      <c r="P10" s="18">
        <f>=IFERROR(P19+P22+P23,0)</f>
        <v>14</v>
      </c>
      <c r="Q10" s="18">
        <f>=IFERROR(Q19+Q22+Q23,0)</f>
        <v>14</v>
      </c>
      <c r="R10" s="18">
        <f>=IFERROR(R19+R22+R23,0)</f>
        <v>14</v>
      </c>
      <c r="S10" s="18">
        <f>=IFERROR(S19+S22+S23,0)</f>
        <v>14</v>
      </c>
      <c r="T10" s="18">
        <f>=IFERROR(T19+T22+T23,0)</f>
        <v>13</v>
      </c>
      <c r="U10" s="18">
        <f>=IFERROR(U19+U22+U23,0)</f>
        <v>12</v>
      </c>
      <c r="V10" s="18">
        <f>=IFERROR(V19+V22+V23,0)</f>
        <v>12</v>
      </c>
      <c r="W10" s="18">
        <f>=IFERROR(W19+W22+W23,0)</f>
        <v>12</v>
      </c>
      <c r="X10" s="18">
        <f>=IFERROR(X19+X22+X23,0)</f>
        <v>12</v>
      </c>
      <c r="Y10" s="18">
        <f>=IFERROR(Y19+Y22+Y23,0)</f>
        <v>12</v>
      </c>
      <c r="Z10" s="18">
        <f>=IFERROR(Z19+Z22+Z23,0)</f>
        <v>11</v>
      </c>
      <c r="AA10" s="18">
        <f>=IFERROR(AA19+AA22+AA23,0)</f>
        <v>11</v>
      </c>
      <c r="AB10" s="18">
        <f>=IFERROR(AB19+AB22+AB23,0)</f>
        <v>11</v>
      </c>
      <c r="AC10" s="18">
        <f>=IFERROR(AC19+AC22+AC23,0)</f>
        <v>13</v>
      </c>
      <c r="AD10" s="18">
        <f>=IFERROR(AD19+AD22+AD23,0)</f>
        <v>12</v>
      </c>
      <c r="AE10" s="18">
        <f>=IFERROR(AE19+AE22+AE23,0)</f>
        <v>12</v>
      </c>
      <c r="AF10" s="18">
        <f>=IFERROR(AF19+AF22+AF23,0)</f>
        <v>12</v>
      </c>
      <c r="AG10" s="18">
        <f>=IFERROR(AG19+AG22+AG23,0)</f>
        <v>12</v>
      </c>
      <c r="AH10" s="18">
        <f>=IFERROR(AH19+AH22+AH23,0)</f>
        <v>13.8432</v>
      </c>
      <c r="AI10" s="18">
        <f>=IFERROR(AI19+AI22+AI23,0)</f>
        <v>13.769472</v>
      </c>
      <c r="AJ10" s="18">
        <f>=IFERROR(AJ19+AJ22+AJ23,0)</f>
        <v>12</v>
      </c>
      <c r="AK10" s="18">
        <f>=IFERROR(AK19+AK22+AK23,0)</f>
        <v>12</v>
      </c>
      <c r="AL10" s="18">
        <f>=IFERROR(AL19+AL22+AL23,0)</f>
        <v>12</v>
      </c>
      <c r="AM10" s="18">
        <f>=IFERROR(AM19+AM22+AM23,0)</f>
        <v>14</v>
      </c>
      <c r="AN10" s="18">
        <f>=IFERROR(AN19+AN22+AN23,0)</f>
        <v>13</v>
      </c>
      <c r="AO10" s="18">
        <f>=IFERROR(AO19+AO22+AO23,0)</f>
        <v>14</v>
      </c>
      <c r="AP10" s="18">
        <f>=IFERROR(AP19+AP22+AP23,0)</f>
        <v>12</v>
      </c>
      <c r="AQ10" s="18">
        <f>=IFERROR(AQ19+AQ22+AQ23,0)</f>
        <v>11</v>
      </c>
      <c r="AR10" s="18">
        <f>=IFERROR(AR19+AR22+AR23,0)</f>
        <v>11</v>
      </c>
      <c r="AS10" s="18">
        <f>=IFERROR(AS19+AS22+AS23,0)</f>
        <v>10</v>
      </c>
      <c r="AT10" s="18">
        <f>=IFERROR(AT19+AT22+AT23,0)</f>
        <v>11</v>
      </c>
      <c r="AU10" s="18">
        <f>=IFERROR(AU19+AU22+AU23,0)</f>
        <v>10</v>
      </c>
      <c r="AV10" s="18">
        <f>=IFERROR(AV19+AV22+AV23,0)</f>
        <v>10</v>
      </c>
      <c r="AW10" s="18">
        <f>=IFERROR(AW19+AW22+AW23,0)</f>
        <v>17</v>
      </c>
      <c r="AX10" s="18">
        <f>=IFERROR(AX19+AX22+AX23,0)</f>
        <v>17</v>
      </c>
      <c r="AY10" s="18">
        <f>=IFERROR(AY19+AY22+AY23,0)</f>
        <v>19</v>
      </c>
      <c r="AZ10" s="18">
        <f>=IFERROR(AZ19+AZ22+AZ23,0)</f>
        <v>19</v>
      </c>
      <c r="BA10" s="18">
        <f>=IFERROR(BA19+BA22+BA23,0)</f>
        <v>19</v>
      </c>
      <c r="BB10" s="18">
        <f>=IFERROR(BB19+BB22+BB23,0)</f>
        <v>19</v>
      </c>
      <c r="BC10" s="18">
        <f>=IFERROR(BC19+BC22+BC23,0)</f>
        <v>19</v>
      </c>
      <c r="BD10" s="18">
        <f>=IFERROR(BD19+BD22+BD23,0)</f>
        <v>19</v>
      </c>
      <c r="BE10" s="18">
        <f>=IFERROR(BE19+BE22+BE23,0)</f>
        <v>16</v>
      </c>
      <c r="BF10" s="18">
        <f>=IFERROR(BF19+BF22+BF23,0)</f>
        <v>16</v>
      </c>
      <c r="BG10" s="18">
        <f>=IFERROR(BG19+BG22+BG23,0)</f>
        <v>19.84</v>
      </c>
      <c r="BH10" s="18">
        <f>=IFERROR(BH19+BH22+BH23,0)</f>
        <v>18</v>
      </c>
      <c r="BI10" s="18">
        <f>=IFERROR(BI19+BI22+BI23,0)</f>
        <v>18</v>
      </c>
      <c r="BJ10" s="18">
        <f>=IFERROR(BJ19+BJ22+BJ23,0)</f>
        <v>18.88</v>
      </c>
      <c r="BK10" s="18">
        <f>=IFERROR(BK19+BK22+BK23,0)</f>
        <v>17.7648</v>
      </c>
      <c r="BL10" s="18">
        <f>=IFERROR(BL19+BL22+BL23,0)</f>
        <v>17.528</v>
      </c>
      <c r="BM10" s="18">
        <f>=IFERROR(BM19+BM22+BM23,0)</f>
        <v>17.377472</v>
      </c>
      <c r="BN10" s="18">
        <f>=IFERROR(BN19+BN22+BN23,0)</f>
        <v>18.23296512</v>
      </c>
      <c r="BO10" s="18">
        <f>=IFERROR(BO19+BO22+BO23,0)</f>
        <v>17.1650173952</v>
      </c>
      <c r="BP10" s="18">
        <f>=IFERROR(BP19+BP22+BP23,0)</f>
        <v>16</v>
      </c>
      <c r="BQ10" s="18">
        <f>=IFERROR(BQ19+BQ22+BQ23,0)</f>
        <v>0</v>
      </c>
      <c r="BR10" s="18">
        <f>=IFERROR(BR19+BR22+BR23,0)</f>
        <v>0</v>
      </c>
      <c r="BS10" s="18">
        <f>=IFERROR(BS19+BS22+BS23,0)</f>
        <v>0</v>
      </c>
      <c r="BT10" s="18">
        <f>=IFERROR(BT19+BT22+BT23,0)</f>
        <v>0</v>
      </c>
      <c r="BU10" s="18">
        <f>=IFERROR(BU19+BU22+BU23,0)</f>
        <v>0</v>
      </c>
      <c r="BV10" s="18">
        <f>=IFERROR(BV19+BV22+BV23,0)</f>
        <v>0</v>
      </c>
      <c r="BW10" s="18">
        <f>=IFERROR(BW19+BW22+BW23,0)</f>
        <v>0</v>
      </c>
      <c r="BX10" s="18">
        <f>=IFERROR(BX19+BX22+BX23,0)</f>
        <v>0</v>
      </c>
      <c r="BY10" s="18">
        <f>=IFERROR(BY19+BY22+BY23,0)</f>
        <v>0</v>
      </c>
      <c r="BZ10" s="18">
        <f>=IFERROR(BZ19+BZ22+BZ23,0)</f>
        <v>0</v>
      </c>
      <c r="CA10" s="18">
        <f>=IFERROR(CA19+CA22+CA23,0)</f>
        <v>0</v>
      </c>
      <c r="CB10" s="18">
        <f>=IFERROR(CB19+CB22+CB23,0)</f>
        <v>0</v>
      </c>
      <c r="CC10" s="18">
        <f>=IFERROR(CC19+CC22+CC23,0)</f>
        <v>0</v>
      </c>
      <c r="CD10" s="18">
        <f>=IFERROR(CD19+CD22+CD23,0)</f>
        <v>0</v>
      </c>
      <c r="CE10" s="18">
        <f>=IFERROR(CE19+CE22+CE23,0)</f>
        <v>0</v>
      </c>
      <c r="CF10" s="18">
        <f>=IFERROR(CF19+CF22+CF23,0)</f>
        <v>0</v>
      </c>
      <c r="CG10" s="18">
        <f>=IFERROR(CG19+CG22+CG23,0)</f>
        <v>0</v>
      </c>
      <c r="CH10" s="18">
        <f>=IFERROR(CH19+CH22+CH23,0)</f>
        <v>0</v>
      </c>
      <c r="CI10" s="18">
        <f>=IFERROR(CI19+CI22+CI23,0)</f>
        <v>0</v>
      </c>
      <c r="CJ10" s="18">
        <f>=IFERROR(CJ19+CJ22+CJ23,0)</f>
        <v>0</v>
      </c>
      <c r="CK10" s="18">
        <f>=IFERROR(CK19+CK22+CK23,0)</f>
        <v>0</v>
      </c>
      <c r="CL10" s="18">
        <f>=IFERROR(CL19+CL22+CL23,0)</f>
        <v>0</v>
      </c>
      <c r="CM10" s="18">
        <f>=IFERROR(CM19+CM22+CM23,0)</f>
        <v>0</v>
      </c>
      <c r="CN10" s="18">
        <f>=IFERROR(CN19+CN22+CN23,0)</f>
        <v>0</v>
      </c>
      <c r="CO10" s="18">
        <f>=IFERROR(CO19+CO22+CO23,0)</f>
        <v>0</v>
      </c>
      <c r="CP10" s="18">
        <f>=IFERROR(CP19+CP22+CP23,0)</f>
        <v>0</v>
      </c>
      <c r="CQ10" s="18">
        <f>=IFERROR(CQ19+CQ22+CQ23,0)</f>
        <v>0</v>
      </c>
      <c r="CR10" s="18">
        <f>=IFERROR(CR19+CR22+CR23,0)</f>
        <v>0</v>
      </c>
      <c r="CS10" s="18">
        <f>=IFERROR(CS19+CS22+CS23,0)</f>
        <v>0</v>
      </c>
      <c r="CT10" s="18">
        <f>=IFERROR(CT19+CT22+CT23,0)</f>
        <v>0</v>
      </c>
      <c r="CU10" s="18">
        <f>=IFERROR(CU19+CU22+CU23,0)</f>
        <v>0</v>
      </c>
      <c r="CV10" s="18">
        <f>=IFERROR(CV19+CV22+CV23,0)</f>
        <v>0</v>
      </c>
      <c r="CW10" s="18">
        <f>=IFERROR(CW19+CW22+CW23,0)</f>
        <v>0</v>
      </c>
      <c r="CX10" s="18">
        <f>=IFERROR(CX19+CX22+CX23,0)</f>
        <v>0</v>
      </c>
      <c r="CY10" s="18">
        <f>=IFERROR(CY19+CY22+CY23,0)</f>
        <v>0</v>
      </c>
      <c r="CZ10" s="18">
        <f>=IFERROR(CZ19+CZ22+CZ23,0)</f>
        <v>0</v>
      </c>
      <c r="DA10" s="18">
        <f>=IFERROR(DA19+DA22+DA23,0)</f>
        <v>0</v>
      </c>
      <c r="DB10" s="18">
        <f>=IFERROR(DB19+DB22+DB23,0)</f>
        <v>0</v>
      </c>
    </row>
    <row r="11" ht="15" customHeight="1" spans="1:106" x14ac:dyDescent="0.25">
      <c r="A11" s="16" t="s">
        <v>245</v>
      </c>
      <c r="B11" s="17"/>
      <c r="C11" s="18">
        <f>=C10*(C47*C48*(1-C29)*(1-C46))</f>
        <v>464.1</v>
      </c>
      <c r="D11" s="18">
        <f>=D10*(D47*D48*(1-D29)*(1-D46))</f>
        <v>464.1</v>
      </c>
      <c r="E11" s="18">
        <f>=E10*(E47*E48*(1-E29)*(1-E46))</f>
        <v>428.4</v>
      </c>
      <c r="F11" s="18">
        <f>=F10*(F47*F48*(1-F29)*(1-F46))</f>
        <v>392.7</v>
      </c>
      <c r="G11" s="18">
        <f>=G10*(G47*G48*(1-G29)*(1-G46))</f>
        <v>392.7</v>
      </c>
      <c r="H11" s="18">
        <f>=H10*(H47*H48*(1-H29)*(1-H46))</f>
        <v>392.7</v>
      </c>
      <c r="I11" s="18">
        <f>=I10*(I47*I48*(1-I29)*(1-I46))</f>
        <v>392.7</v>
      </c>
      <c r="J11" s="18">
        <f>=J10*(J47*J48*(1-J29)*(1-J46))</f>
        <v>357</v>
      </c>
      <c r="K11" s="18">
        <f>=K10*(K47*K48*(1-K29)*(1-K46))</f>
        <v>499.8</v>
      </c>
      <c r="L11" s="18">
        <f>=L10*(L47*L48*(1-L29)*(1-L46))</f>
        <v>499.8</v>
      </c>
      <c r="M11" s="18">
        <f>=M10*(M47*M48*(1-M29)*(1-M46))</f>
        <v>535.5</v>
      </c>
      <c r="N11" s="18">
        <f>=N10*(N47*N48*(1-N29)*(1-N46))</f>
        <v>499.8</v>
      </c>
      <c r="O11" s="18">
        <f>=O10*(O47*O48*(1-O29)*(1-O46))</f>
        <v>499.8</v>
      </c>
      <c r="P11" s="18">
        <f>=P10*(P47*P48*(1-P29)*(1-P46))</f>
        <v>499.8</v>
      </c>
      <c r="Q11" s="18">
        <f>=Q10*(Q47*Q48*(1-Q29)*(1-Q46))</f>
        <v>499.8</v>
      </c>
      <c r="R11" s="18">
        <f>=R10*(R47*R48*(1-R29)*(1-R46))</f>
        <v>499.8</v>
      </c>
      <c r="S11" s="18">
        <f>=S10*(S47*S48*(1-S29)*(1-S46))</f>
        <v>499.8</v>
      </c>
      <c r="T11" s="18">
        <f>=T10*(T47*T48*(1-T29)*(1-T46))</f>
        <v>464.1</v>
      </c>
      <c r="U11" s="18">
        <f>=U10*(U47*U48*(1-U29)*(1-U46))</f>
        <v>428.4</v>
      </c>
      <c r="V11" s="18">
        <f>=V10*(V47*V48*(1-V29)*(1-V46))</f>
        <v>428.4</v>
      </c>
      <c r="W11" s="18">
        <f>=W10*(W47*W48*(1-W29)*(1-W46))</f>
        <v>428.4</v>
      </c>
      <c r="X11" s="18">
        <f>=X10*(X47*X48*(1-X29)*(1-X46))</f>
        <v>428.4</v>
      </c>
      <c r="Y11" s="18">
        <f>=Y10*(Y47*Y48*(1-Y29)*(1-Y46))</f>
        <v>428.4</v>
      </c>
      <c r="Z11" s="18">
        <f>=Z10*(Z47*Z48*(1-Z29)*(1-Z46))</f>
        <v>392.7</v>
      </c>
      <c r="AA11" s="18">
        <f>=AA10*(AA47*AA48*(1-AA29)*(1-AA46))</f>
        <v>392.7</v>
      </c>
      <c r="AB11" s="18">
        <f>=AB10*(AB47*AB48*(1-AB29)*(1-AB46))</f>
        <v>392.7</v>
      </c>
      <c r="AC11" s="18">
        <f>=AC10*(AC47*AC48*(1-AC29)*(1-AC46))</f>
        <v>464.1</v>
      </c>
      <c r="AD11" s="18">
        <f>=AD10*(AD47*AD48*(1-AD29)*(1-AD46))</f>
        <v>428.4</v>
      </c>
      <c r="AE11" s="18">
        <f>=AE10*(AE47*AE48*(1-AE29)*(1-AE46))</f>
        <v>428.4</v>
      </c>
      <c r="AF11" s="18">
        <f>=AF10*(AF47*AF48*(1-AF29)*(1-AF46))</f>
        <v>428.4</v>
      </c>
      <c r="AG11" s="18">
        <f>=AG10*(AG47*AG48*(1-AG29)*(1-AG46))</f>
        <v>428.4</v>
      </c>
      <c r="AH11" s="18">
        <f>=AH10*(AH47*AH48*(1-AH29)*(1-AH46))</f>
        <v>494.20224</v>
      </c>
      <c r="AI11" s="18">
        <f>=AI10*(AI47*AI48*(1-AI29)*(1-AI46))</f>
        <v>491.5701504</v>
      </c>
      <c r="AJ11" s="18">
        <f>=AJ10*(AJ47*AJ48*(1-AJ29)*(1-AJ46))</f>
        <v>428.4</v>
      </c>
      <c r="AK11" s="18">
        <f>=AK10*(AK47*AK48*(1-AK29)*(1-AK46))</f>
        <v>428.4</v>
      </c>
      <c r="AL11" s="18">
        <f>=AL10*(AL47*AL48*(1-AL29)*(1-AL46))</f>
        <v>428.4</v>
      </c>
      <c r="AM11" s="18">
        <f>=AM10*(AM47*AM48*(1-AM29)*(1-AM46))</f>
        <v>499.8</v>
      </c>
      <c r="AN11" s="18">
        <f>=AN10*(AN47*AN48*(1-AN29)*(1-AN46))</f>
        <v>464.1</v>
      </c>
      <c r="AO11" s="18">
        <f>=AO10*(AO47*AO48*(1-AO29)*(1-AO46))</f>
        <v>499.8</v>
      </c>
      <c r="AP11" s="18">
        <f>=AP10*(AP47*AP48*(1-AP29)*(1-AP46))</f>
        <v>443.7</v>
      </c>
      <c r="AQ11" s="18">
        <f>=AQ10*(AQ47*AQ48*(1-AQ29)*(1-AQ46))</f>
        <v>406.725</v>
      </c>
      <c r="AR11" s="18">
        <f>=AR10*(AR47*AR48*(1-AR29)*(1-AR46))</f>
        <v>406.725</v>
      </c>
      <c r="AS11" s="18">
        <f>=AS10*(AS47*AS48*(1-AS29)*(1-AS46))</f>
        <v>369.75</v>
      </c>
      <c r="AT11" s="18">
        <f>=AT10*(AT47*AT48*(1-AT29)*(1-AT46))</f>
        <v>406.725</v>
      </c>
      <c r="AU11" s="18">
        <f>=AU10*(AU47*AU48*(1-AU29)*(1-AU46))</f>
        <v>369.75</v>
      </c>
      <c r="AV11" s="18">
        <f>=AV10*(AV47*AV48*(1-AV29)*(1-AV46))</f>
        <v>369.75</v>
      </c>
      <c r="AW11" s="18">
        <f>=AW10*(AW47*AW48*(1-AW29)*(1-AW46))</f>
        <v>628.575</v>
      </c>
      <c r="AX11" s="18">
        <f>=AX10*(AX47*AX48*(1-AX29)*(1-AX46))</f>
        <v>628.575</v>
      </c>
      <c r="AY11" s="18">
        <f>=AY10*(AY47*AY48*(1-AY29)*(1-AY46))</f>
        <v>702.525</v>
      </c>
      <c r="AZ11" s="18">
        <f>=AZ10*(AZ47*AZ48*(1-AZ29)*(1-AZ46))</f>
        <v>702.525</v>
      </c>
      <c r="BA11" s="18">
        <f>=BA10*(BA47*BA48*(1-BA29)*(1-BA46))</f>
        <v>702.525</v>
      </c>
      <c r="BB11" s="18">
        <f>=BB10*(BB47*BB48*(1-BB29)*(1-BB46))</f>
        <v>702.525</v>
      </c>
      <c r="BC11" s="18">
        <f>=BC10*(BC47*BC48*(1-BC29)*(1-BC46))</f>
        <v>694.45</v>
      </c>
      <c r="BD11" s="18">
        <f>=BD10*(BD47*BD48*(1-BD29)*(1-BD46))</f>
        <v>694.45</v>
      </c>
      <c r="BE11" s="18">
        <f>=BE10*(BE47*BE48*(1-BE29)*(1-BE46))</f>
        <v>584.8</v>
      </c>
      <c r="BF11" s="18">
        <f>=BF10*(BF47*BF48*(1-BF29)*(1-BF46))</f>
        <v>584.8</v>
      </c>
      <c r="BG11" s="18">
        <f>=BG10*(BG47*BG48*(1-BG29)*(1-BG46))</f>
        <v>725.152</v>
      </c>
      <c r="BH11" s="18">
        <f>=BH10*(BH47*BH48*(1-BH29)*(1-BH46))</f>
        <v>657.9</v>
      </c>
      <c r="BI11" s="18">
        <f>=BI10*(BI47*BI48*(1-BI29)*(1-BI46))</f>
        <v>657.9</v>
      </c>
      <c r="BJ11" s="18">
        <f>=BJ10*(BJ47*BJ48*(1-BJ29)*(1-BJ46))</f>
        <v>690.064</v>
      </c>
      <c r="BK11" s="18">
        <f>=BK10*(BK47*BK48*(1-BK29)*(1-BK46))</f>
        <v>649.30344</v>
      </c>
      <c r="BL11" s="18">
        <f>=BL10*(BL47*BL48*(1-BL29)*(1-BL46))</f>
        <v>640.6484</v>
      </c>
      <c r="BM11" s="18">
        <f>=BM10*(BM47*BM48*(1-BM29)*(1-BM46))</f>
        <v>635.1466016</v>
      </c>
      <c r="BN11" s="18">
        <f>=BN10*(BN47*BN48*(1-BN29)*(1-BN46))</f>
        <v>666.414875136</v>
      </c>
      <c r="BO11" s="18">
        <f>=BO10*(BO47*BO48*(1-BO29)*(1-BO46))</f>
        <v>627.38138579456</v>
      </c>
      <c r="BP11" s="18">
        <f>=BP10*(BP47*BP48*(1-BP29)*(1-BP46))</f>
        <v>584.8</v>
      </c>
      <c r="BQ11" s="18">
        <f>=BQ10*(BQ47*BQ48*(1-BQ29)*(1-BQ46))</f>
        <v>0</v>
      </c>
      <c r="BR11" s="18">
        <f>=BR10*(BR47*BR48*(1-BR29)*(1-BR46))</f>
        <v>0</v>
      </c>
      <c r="BS11" s="18">
        <f>=BS10*(BS47*BS48*(1-BS29)*(1-BS46))</f>
        <v>0</v>
      </c>
      <c r="BT11" s="18">
        <f>=BT10*(BT47*BT48*(1-BT29)*(1-BT46))</f>
        <v>0</v>
      </c>
      <c r="BU11" s="18">
        <f>=BU10*(BU47*BU48*(1-BU29)*(1-BU46))</f>
        <v>0</v>
      </c>
      <c r="BV11" s="18">
        <f>=BV10*(BV47*BV48*(1-BV29)*(1-BV46))</f>
        <v>0</v>
      </c>
      <c r="BW11" s="18">
        <f>=BW10*(BW47*BW48*(1-BW29)*(1-BW46))</f>
        <v>0</v>
      </c>
      <c r="BX11" s="18">
        <f>=BX10*(BX47*BX48*(1-BX29)*(1-BX46))</f>
        <v>0</v>
      </c>
      <c r="BY11" s="18">
        <f>=BY10*(BY47*BY48*(1-BY29)*(1-BY46))</f>
        <v>0</v>
      </c>
      <c r="BZ11" s="18">
        <f>=BZ10*(BZ47*BZ48*(1-BZ29)*(1-BZ46))</f>
        <v>0</v>
      </c>
      <c r="CA11" s="18">
        <f>=CA10*(CA47*CA48*(1-CA29)*(1-CA46))</f>
        <v>0</v>
      </c>
      <c r="CB11" s="18">
        <f>=CB10*(CB47*CB48*(1-CB29)*(1-CB46))</f>
        <v>0</v>
      </c>
      <c r="CC11" s="18">
        <f>=CC10*(CC47*CC48*(1-CC29)*(1-CC46))</f>
        <v>0</v>
      </c>
      <c r="CD11" s="18">
        <f>=CD10*(CD47*CD48*(1-CD29)*(1-CD46))</f>
        <v>0</v>
      </c>
      <c r="CE11" s="18">
        <f>=CE10*(CE47*CE48*(1-CE29)*(1-CE46))</f>
        <v>0</v>
      </c>
      <c r="CF11" s="18">
        <f>=CF10*(CF47*CF48*(1-CF29)*(1-CF46))</f>
        <v>0</v>
      </c>
      <c r="CG11" s="18">
        <f>=CG10*(CG47*CG48*(1-CG29)*(1-CG46))</f>
        <v>0</v>
      </c>
      <c r="CH11" s="18">
        <f>=CH10*(CH47*CH48*(1-CH29)*(1-CH46))</f>
        <v>0</v>
      </c>
      <c r="CI11" s="18">
        <f>=CI10*(CI47*CI48*(1-CI29)*(1-CI46))</f>
        <v>0</v>
      </c>
      <c r="CJ11" s="18">
        <f>=CJ10*(CJ47*CJ48*(1-CJ29)*(1-CJ46))</f>
        <v>0</v>
      </c>
      <c r="CK11" s="18">
        <f>=CK10*(CK47*CK48*(1-CK29)*(1-CK46))</f>
        <v>0</v>
      </c>
      <c r="CL11" s="18">
        <f>=CL10*(CL47*CL48*(1-CL29)*(1-CL46))</f>
        <v>0</v>
      </c>
      <c r="CM11" s="18">
        <f>=CM10*(CM47*CM48*(1-CM29)*(1-CM46))</f>
        <v>0</v>
      </c>
      <c r="CN11" s="18">
        <f>=CN10*(CN47*CN48*(1-CN29)*(1-CN46))</f>
        <v>0</v>
      </c>
      <c r="CO11" s="18">
        <f>=CO10*(CO47*CO48*(1-CO29)*(1-CO46))</f>
        <v>0</v>
      </c>
      <c r="CP11" s="18">
        <f>=CP10*(CP47*CP48*(1-CP29)*(1-CP46))</f>
        <v>0</v>
      </c>
      <c r="CQ11" s="18">
        <f>=CQ10*(CQ47*CQ48*(1-CQ29)*(1-CQ46))</f>
        <v>0</v>
      </c>
      <c r="CR11" s="18">
        <f>=CR10*(CR47*CR48*(1-CR29)*(1-CR46))</f>
        <v>0</v>
      </c>
      <c r="CS11" s="18">
        <f>=CS10*(CS47*CS48*(1-CS29)*(1-CS46))</f>
        <v>0</v>
      </c>
      <c r="CT11" s="18">
        <f>=CT10*(CT47*CT48*(1-CT29)*(1-CT46))</f>
        <v>0</v>
      </c>
      <c r="CU11" s="18">
        <f>=CU10*(CU47*CU48*(1-CU29)*(1-CU46))</f>
        <v>0</v>
      </c>
      <c r="CV11" s="18">
        <f>=CV10*(CV47*CV48*(1-CV29)*(1-CV46))</f>
        <v>0</v>
      </c>
      <c r="CW11" s="18">
        <f>=CW10*(CW47*CW48*(1-CW29)*(1-CW46))</f>
        <v>0</v>
      </c>
      <c r="CX11" s="18">
        <f>=CX10*(CX47*CX48*(1-CX29)*(1-CX46))</f>
        <v>0</v>
      </c>
      <c r="CY11" s="18">
        <f>=CY10*(CY47*CY48*(1-CY29)*(1-CY46))</f>
        <v>0</v>
      </c>
      <c r="CZ11" s="18">
        <f>=CZ10*(CZ47*CZ48*(1-CZ29)*(1-CZ46))</f>
        <v>0</v>
      </c>
      <c r="DA11" s="18">
        <f>=DA10*(DA47*DA48*(1-DA29)*(1-DA46))</f>
        <v>0</v>
      </c>
      <c r="DB11" s="18">
        <f>=DB10*(DB47*DB48*(1-DB29)*(1-DB46))</f>
        <v>0</v>
      </c>
    </row>
    <row r="12" spans="1:106" x14ac:dyDescent="0.25">
      <c r="A12" s="16" t="s">
        <v>246</v>
      </c>
      <c r="C12" s="28">
        <f>=IFERROR(C10-C7,0)</f>
        <v>1</v>
      </c>
      <c r="D12" s="28">
        <f>=IFERROR(D10-D7,0)</f>
        <v>1</v>
      </c>
      <c r="E12" s="28">
        <f>=IFERROR(E10-E7,0)</f>
        <v>0</v>
      </c>
      <c r="F12" s="28">
        <f>=IFERROR(F10-F7,0)</f>
        <v>-1</v>
      </c>
      <c r="G12" s="28">
        <f>=IFERROR(G10-G7,0)</f>
        <v>-1</v>
      </c>
      <c r="H12" s="28">
        <f>=IFERROR(H10-H7,0)</f>
        <v>-1</v>
      </c>
      <c r="I12" s="28">
        <f>=IFERROR(I10-I7,0)</f>
        <v>-1</v>
      </c>
      <c r="J12" s="28">
        <f>=IFERROR(J10-J7,0)</f>
        <v>-2</v>
      </c>
      <c r="K12" s="28">
        <f>=IFERROR(K10-K7,0)</f>
        <v>2</v>
      </c>
      <c r="L12" s="28">
        <f>=IFERROR(L10-L7,0)</f>
        <v>2</v>
      </c>
      <c r="M12" s="28">
        <f>=IFERROR(M10-M7,0)</f>
        <v>3</v>
      </c>
      <c r="N12" s="28">
        <f>=IFERROR(N10-N7,0)</f>
        <v>2</v>
      </c>
      <c r="O12" s="28">
        <f>=IFERROR(O10-O7,0)</f>
        <v>2</v>
      </c>
      <c r="P12" s="28">
        <f>=IFERROR(P10-P7,0)</f>
        <v>2</v>
      </c>
      <c r="Q12" s="28">
        <f>=IFERROR(Q10-Q7,0)</f>
        <v>2</v>
      </c>
      <c r="R12" s="28">
        <f>=IFERROR(R10-R7,0)</f>
        <v>2</v>
      </c>
      <c r="S12" s="28">
        <f>=IFERROR(S10-S7,0)</f>
        <v>2</v>
      </c>
      <c r="T12" s="28">
        <f>=IFERROR(T10-T7,0)</f>
        <v>1</v>
      </c>
      <c r="U12" s="28">
        <f>=IFERROR(U10-U7,0)</f>
        <v>0</v>
      </c>
      <c r="V12" s="28">
        <f>=IFERROR(V10-V7,0)</f>
        <v>0</v>
      </c>
      <c r="W12" s="28">
        <f>=IFERROR(W10-W7,0)</f>
        <v>0</v>
      </c>
      <c r="X12" s="28">
        <f>=IFERROR(X10-X7,0)</f>
        <v>0</v>
      </c>
      <c r="Y12" s="28">
        <f>=IFERROR(Y10-Y7,0)</f>
        <v>0</v>
      </c>
      <c r="Z12" s="28">
        <f>=IFERROR(Z10-Z7,0)</f>
        <v>-1</v>
      </c>
      <c r="AA12" s="28">
        <f>=IFERROR(AA10-AA7,0)</f>
        <v>-1</v>
      </c>
      <c r="AB12" s="28">
        <f>=IFERROR(AB10-AB7,0)</f>
        <v>-1</v>
      </c>
      <c r="AC12" s="28">
        <f>=IFERROR(AC10-AC7,0)</f>
        <v>1</v>
      </c>
      <c r="AD12" s="28">
        <f>=IFERROR(AD10-AD7,0)</f>
        <v>0</v>
      </c>
      <c r="AE12" s="28">
        <f>=IFERROR(AE10-AE7,0)</f>
        <v>0</v>
      </c>
      <c r="AF12" s="28">
        <f>=IFERROR(AF10-AF7,0)</f>
        <v>0</v>
      </c>
      <c r="AG12" s="28">
        <f>=IFERROR(AG10-AG7,0)</f>
        <v>0</v>
      </c>
      <c r="AH12" s="28">
        <f>=IFERROR(AH10-AH7,0)</f>
        <v>1.8432</v>
      </c>
      <c r="AI12" s="28">
        <f>=IFERROR(AI10-AI7,0)</f>
        <v>1.769472</v>
      </c>
      <c r="AJ12" s="28">
        <f>=IFERROR(AJ10-AJ7,0)</f>
        <v>0</v>
      </c>
      <c r="AK12" s="28">
        <f>=IFERROR(AK10-AK7,0)</f>
        <v>0</v>
      </c>
      <c r="AL12" s="28">
        <f>=IFERROR(AL10-AL7,0)</f>
        <v>0</v>
      </c>
      <c r="AM12" s="28">
        <f>=IFERROR(AM10-AM7,0)</f>
        <v>2</v>
      </c>
      <c r="AN12" s="28">
        <f>=IFERROR(AN10-AN7,0)</f>
        <v>1</v>
      </c>
      <c r="AO12" s="28">
        <f>=IFERROR(AO10-AO7,0)</f>
        <v>2</v>
      </c>
      <c r="AP12" s="28">
        <f>=IFERROR(AP10-AP7,0)</f>
        <v>0</v>
      </c>
      <c r="AQ12" s="28">
        <f>=IFERROR(AQ10-AQ7,0)</f>
        <v>-1</v>
      </c>
      <c r="AR12" s="28">
        <f>=IFERROR(AR10-AR7,0)</f>
        <v>-1</v>
      </c>
      <c r="AS12" s="28">
        <f>=IFERROR(AS10-AS7,0)</f>
        <v>-2</v>
      </c>
      <c r="AT12" s="28">
        <f>=IFERROR(AT10-AT7,0)</f>
        <v>-1</v>
      </c>
      <c r="AU12" s="28">
        <f>=IFERROR(AU10-AU7,0)</f>
        <v>-2</v>
      </c>
      <c r="AV12" s="28">
        <f>=IFERROR(AV10-AV7,0)</f>
        <v>-2</v>
      </c>
      <c r="AW12" s="28">
        <f>=IFERROR(AW10-AW7,0)</f>
        <v>5</v>
      </c>
      <c r="AX12" s="28">
        <f>=IFERROR(AX10-AX7,0)</f>
        <v>5</v>
      </c>
      <c r="AY12" s="28">
        <f>=IFERROR(AY10-AY7,0)</f>
        <v>1</v>
      </c>
      <c r="AZ12" s="28">
        <f>=IFERROR(AZ10-AZ7,0)</f>
        <v>1</v>
      </c>
      <c r="BA12" s="28">
        <f>=IFERROR(BA10-BA7,0)</f>
        <v>1</v>
      </c>
      <c r="BB12" s="28">
        <f>=IFERROR(BB10-BB7,0)</f>
        <v>1</v>
      </c>
      <c r="BC12" s="28">
        <f>=IFERROR(BC10-BC7,0)</f>
        <v>1</v>
      </c>
      <c r="BD12" s="28">
        <f>=IFERROR(BD10-BD7,0)</f>
        <v>1</v>
      </c>
      <c r="BE12" s="28">
        <f>=IFERROR(BE10-BE7,0)</f>
        <v>-2</v>
      </c>
      <c r="BF12" s="28">
        <f>=IFERROR(BF10-BF7,0)</f>
        <v>-2</v>
      </c>
      <c r="BG12" s="28">
        <f>=IFERROR(BG10-BG7,0)</f>
        <v>1.84</v>
      </c>
      <c r="BH12" s="28">
        <f>=IFERROR(BH10-BH7,0)</f>
        <v>0</v>
      </c>
      <c r="BI12" s="28">
        <f>=IFERROR(BI10-BI7,0)</f>
        <v>0</v>
      </c>
      <c r="BJ12" s="28">
        <f>=IFERROR(BJ10-BJ7,0)</f>
        <v>0.88</v>
      </c>
      <c r="BK12" s="28">
        <f>=IFERROR(BK10-BK7,0)</f>
        <v>-0.2352</v>
      </c>
      <c r="BL12" s="28">
        <f>=IFERROR(BL10-BL7,0)</f>
        <v>-0.472</v>
      </c>
      <c r="BM12" s="28">
        <f>=IFERROR(BM10-BM7,0)</f>
        <v>-0.622528</v>
      </c>
      <c r="BN12" s="28">
        <f>=IFERROR(BN10-BN7,0)</f>
        <v>0.23296512</v>
      </c>
      <c r="BO12" s="28">
        <f>=IFERROR(BO10-BO7,0)</f>
        <v>-0.8349826048</v>
      </c>
      <c r="BP12" s="28">
        <f>=IFERROR(BP10-BP7,0)</f>
        <v>-2</v>
      </c>
      <c r="BQ12" s="28">
        <f>=IFERROR(BQ10-BQ7,0)</f>
        <v>-18</v>
      </c>
      <c r="BR12" s="28">
        <f>=IFERROR(BR10-BR7,0)</f>
        <v>-18</v>
      </c>
      <c r="BS12" s="28">
        <f>=IFERROR(BS10-BS7,0)</f>
        <v>-18</v>
      </c>
      <c r="BT12" s="28">
        <f>=IFERROR(BT10-BT7,0)</f>
        <v>-18</v>
      </c>
      <c r="BU12" s="28">
        <f>=IFERROR(BU10-BU7,0)</f>
        <v>-18</v>
      </c>
      <c r="BV12" s="28">
        <f>=IFERROR(BV10-BV7,0)</f>
        <v>-18</v>
      </c>
      <c r="BW12" s="28">
        <f>=IFERROR(BW10-BW7,0)</f>
        <v>-18</v>
      </c>
      <c r="BX12" s="28">
        <f>=IFERROR(BX10-BX7,0)</f>
        <v>-18</v>
      </c>
      <c r="BY12" s="28">
        <f>=IFERROR(BY10-BY7,0)</f>
        <v>-18</v>
      </c>
      <c r="BZ12" s="28">
        <f>=IFERROR(BZ10-BZ7,0)</f>
        <v>-18</v>
      </c>
      <c r="CA12" s="28">
        <f>=IFERROR(CA10-CA7,0)</f>
        <v>-18</v>
      </c>
      <c r="CB12" s="28">
        <f>=IFERROR(CB10-CB7,0)</f>
        <v>-18</v>
      </c>
      <c r="CC12" s="28">
        <f>=IFERROR(CC10-CC7,0)</f>
        <v>-18</v>
      </c>
      <c r="CD12" s="28">
        <f>=IFERROR(CD10-CD7,0)</f>
        <v>-12</v>
      </c>
      <c r="CE12" s="28">
        <f>=IFERROR(CE10-CE7,0)</f>
        <v>-12</v>
      </c>
      <c r="CF12" s="28">
        <f>=IFERROR(CF10-CF7,0)</f>
        <v>-12</v>
      </c>
      <c r="CG12" s="28">
        <f>=IFERROR(CG10-CG7,0)</f>
        <v>-12</v>
      </c>
      <c r="CH12" s="28">
        <f>=IFERROR(CH10-CH7,0)</f>
        <v>-12</v>
      </c>
      <c r="CI12" s="28">
        <f>=IFERROR(CI10-CI7,0)</f>
        <v>-12</v>
      </c>
      <c r="CJ12" s="28">
        <f>=IFERROR(CJ10-CJ7,0)</f>
        <v>-12</v>
      </c>
      <c r="CK12" s="28">
        <f>=IFERROR(CK10-CK7,0)</f>
        <v>-12</v>
      </c>
      <c r="CL12" s="28">
        <f>=IFERROR(CL10-CL7,0)</f>
        <v>-12</v>
      </c>
      <c r="CM12" s="28">
        <f>=IFERROR(CM10-CM7,0)</f>
        <v>-12</v>
      </c>
      <c r="CN12" s="28">
        <f>=IFERROR(CN10-CN7,0)</f>
        <v>-12</v>
      </c>
      <c r="CO12" s="28">
        <f>=IFERROR(CO10-CO7,0)</f>
        <v>-12</v>
      </c>
      <c r="CP12" s="28">
        <f>=IFERROR(CP10-CP7,0)</f>
        <v>-12</v>
      </c>
      <c r="CQ12" s="28">
        <f>=IFERROR(CQ10-CQ7,0)</f>
        <v>-12</v>
      </c>
      <c r="CR12" s="28">
        <f>=IFERROR(CR10-CR7,0)</f>
        <v>-12</v>
      </c>
      <c r="CS12" s="28">
        <f>=IFERROR(CS10-CS7,0)</f>
        <v>-12</v>
      </c>
      <c r="CT12" s="28">
        <f>=IFERROR(CT10-CT7,0)</f>
        <v>-12</v>
      </c>
      <c r="CU12" s="28">
        <f>=IFERROR(CU10-CU7,0)</f>
        <v>-12</v>
      </c>
      <c r="CV12" s="28">
        <f>=IFERROR(CV10-CV7,0)</f>
        <v>-12</v>
      </c>
      <c r="CW12" s="28">
        <f>=IFERROR(CW10-CW7,0)</f>
        <v>-12</v>
      </c>
      <c r="CX12" s="28">
        <f>=IFERROR(CX10-CX7,0)</f>
        <v>-12</v>
      </c>
      <c r="CY12" s="28">
        <f>=IFERROR(CY10-CY7,0)</f>
        <v>-12</v>
      </c>
      <c r="CZ12" s="28">
        <f>=IFERROR(CZ10-CZ7,0)</f>
        <v>-12</v>
      </c>
      <c r="DA12" s="28">
        <f>=IFERROR(DA10-DA7,0)</f>
        <v>-12</v>
      </c>
      <c r="DB12" s="28">
        <f>=IFERROR(DB10-DB7,0)</f>
        <v>-12</v>
      </c>
    </row>
    <row r="13" ht="15" customHeight="1" spans="1:106" x14ac:dyDescent="0.25">
      <c r="A13" s="20" t="s">
        <v>247</v>
      </c>
      <c r="B13" s="17"/>
      <c r="C13" s="18">
        <f>=IFERROR(C10-C9,0)</f>
        <v>1</v>
      </c>
      <c r="D13" s="18">
        <f>=IFERROR(D10-D9,0)</f>
        <v>1</v>
      </c>
      <c r="E13" s="18">
        <f>=IFERROR(E10-E9,0)</f>
        <v>0</v>
      </c>
      <c r="F13" s="18">
        <f>=IFERROR(F10-F9,0)</f>
        <v>-1</v>
      </c>
      <c r="G13" s="18">
        <f>=IFERROR(G10-G9,0)</f>
        <v>-1</v>
      </c>
      <c r="H13" s="18">
        <f>=IFERROR(H10-H9,0)</f>
        <v>-1</v>
      </c>
      <c r="I13" s="18">
        <f>=IFERROR(I10-I9,0)</f>
        <v>-1</v>
      </c>
      <c r="J13" s="18">
        <f>=IFERROR(J10-J9,0)</f>
        <v>-2</v>
      </c>
      <c r="K13" s="18">
        <f>=IFERROR(K10-K9,0)</f>
        <v>2</v>
      </c>
      <c r="L13" s="18">
        <f>=IFERROR(L10-L9,0)</f>
        <v>2</v>
      </c>
      <c r="M13" s="18">
        <f>=IFERROR(M10-M9,0)</f>
        <v>3</v>
      </c>
      <c r="N13" s="18">
        <f>=IFERROR(N10-N9,0)</f>
        <v>2</v>
      </c>
      <c r="O13" s="18">
        <f>=IFERROR(O10-O9,0)</f>
        <v>2</v>
      </c>
      <c r="P13" s="18">
        <f>=IFERROR(P10-P9,0)</f>
        <v>2</v>
      </c>
      <c r="Q13" s="18">
        <f>=IFERROR(Q10-Q9,0)</f>
        <v>2</v>
      </c>
      <c r="R13" s="18">
        <f>=IFERROR(R10-R9,0)</f>
        <v>2</v>
      </c>
      <c r="S13" s="18">
        <f>=IFERROR(S10-S9,0)</f>
        <v>2</v>
      </c>
      <c r="T13" s="18">
        <f>=IFERROR(T10-T9,0)</f>
        <v>1</v>
      </c>
      <c r="U13" s="18">
        <f>=IFERROR(U10-U9,0)</f>
        <v>0</v>
      </c>
      <c r="V13" s="18">
        <f>=IFERROR(V10-V9,0)</f>
        <v>0</v>
      </c>
      <c r="W13" s="18">
        <f>=IFERROR(W10-W9,0)</f>
        <v>0</v>
      </c>
      <c r="X13" s="18">
        <f>=IFERROR(X10-X9,0)</f>
        <v>0</v>
      </c>
      <c r="Y13" s="18">
        <f>=IFERROR(Y10-Y9,0)</f>
        <v>0</v>
      </c>
      <c r="Z13" s="18">
        <f>=IFERROR(Z10-Z9,0)</f>
        <v>-1</v>
      </c>
      <c r="AA13" s="18">
        <f>=IFERROR(AA10-AA9,0)</f>
        <v>-1</v>
      </c>
      <c r="AB13" s="18">
        <f>=IFERROR(AB10-AB9,0)</f>
        <v>-1</v>
      </c>
      <c r="AC13" s="18">
        <f>=IFERROR(AC10-AC9,0)</f>
        <v>1</v>
      </c>
      <c r="AD13" s="18">
        <f>=IFERROR(AD10-AD9,0)</f>
        <v>0</v>
      </c>
      <c r="AE13" s="18">
        <f>=IFERROR(AE10-AE9,0)</f>
        <v>0</v>
      </c>
      <c r="AF13" s="18">
        <f>=IFERROR(AF10-AF9,0)</f>
        <v>0</v>
      </c>
      <c r="AG13" s="18">
        <f>=IFERROR(AG10-AG9,0)</f>
        <v>0</v>
      </c>
      <c r="AH13" s="18">
        <f>=IFERROR(AH10-AH9,0)</f>
        <v>1.8432</v>
      </c>
      <c r="AI13" s="18">
        <f>=IFERROR(AI10-AI9,0)</f>
        <v>1.769472</v>
      </c>
      <c r="AJ13" s="18">
        <f>=IFERROR(AJ10-AJ9,0)</f>
        <v>0</v>
      </c>
      <c r="AK13" s="18">
        <f>=IFERROR(AK10-AK9,0)</f>
        <v>0</v>
      </c>
      <c r="AL13" s="18">
        <f>=IFERROR(AL10-AL9,0)</f>
        <v>0</v>
      </c>
      <c r="AM13" s="18">
        <f>=IFERROR(AM10-AM9,0)</f>
        <v>2</v>
      </c>
      <c r="AN13" s="18">
        <f>=IFERROR(AN10-AN9,0)</f>
        <v>1</v>
      </c>
      <c r="AO13" s="18">
        <f>=IFERROR(AO10-AO9,0)</f>
        <v>2</v>
      </c>
      <c r="AP13" s="18">
        <f>=IFERROR(AP10-AP9,0)</f>
        <v>1</v>
      </c>
      <c r="AQ13" s="18">
        <f>=IFERROR(AQ10-AQ9,0)</f>
        <v>0</v>
      </c>
      <c r="AR13" s="18">
        <f>=IFERROR(AR10-AR9,0)</f>
        <v>0</v>
      </c>
      <c r="AS13" s="18">
        <f>=IFERROR(AS10-AS9,0)</f>
        <v>-1</v>
      </c>
      <c r="AT13" s="18">
        <f>=IFERROR(AT10-AT9,0)</f>
        <v>0</v>
      </c>
      <c r="AU13" s="18">
        <f>=IFERROR(AU10-AU9,0)</f>
        <v>-1</v>
      </c>
      <c r="AV13" s="18">
        <f>=IFERROR(AV10-AV9,0)</f>
        <v>-1</v>
      </c>
      <c r="AW13" s="18">
        <f>=IFERROR(AW10-AW9,0)</f>
        <v>6</v>
      </c>
      <c r="AX13" s="18">
        <f>=IFERROR(AX10-AX9,0)</f>
        <v>6</v>
      </c>
      <c r="AY13" s="18">
        <f>=IFERROR(AY10-AY9,0)</f>
        <v>2</v>
      </c>
      <c r="AZ13" s="18">
        <f>=IFERROR(AZ10-AZ9,0)</f>
        <v>2</v>
      </c>
      <c r="BA13" s="18">
        <f>=IFERROR(BA10-BA9,0)</f>
        <v>2</v>
      </c>
      <c r="BB13" s="18">
        <f>=IFERROR(BB10-BB9,0)</f>
        <v>2</v>
      </c>
      <c r="BC13" s="18">
        <f>=IFERROR(BC10-BC9,0)</f>
        <v>2</v>
      </c>
      <c r="BD13" s="18">
        <f>=IFERROR(BD10-BD9,0)</f>
        <v>2</v>
      </c>
      <c r="BE13" s="18">
        <f>=IFERROR(BE10-BE9,0)</f>
        <v>-1</v>
      </c>
      <c r="BF13" s="18">
        <f>=IFERROR(BF10-BF9,0)</f>
        <v>-1</v>
      </c>
      <c r="BG13" s="18">
        <f>=IFERROR(BG10-BG9,0)</f>
        <v>2.84</v>
      </c>
      <c r="BH13" s="18">
        <f>=IFERROR(BH10-BH9,0)</f>
        <v>1</v>
      </c>
      <c r="BI13" s="18">
        <f>=IFERROR(BI10-BI9,0)</f>
        <v>1</v>
      </c>
      <c r="BJ13" s="18">
        <f>=IFERROR(BJ10-BJ9,0)</f>
        <v>1.88</v>
      </c>
      <c r="BK13" s="18">
        <f>=IFERROR(BK10-BK9,0)</f>
        <v>0.7648</v>
      </c>
      <c r="BL13" s="18">
        <f>=IFERROR(BL10-BL9,0)</f>
        <v>0.528</v>
      </c>
      <c r="BM13" s="18">
        <f>=IFERROR(BM10-BM9,0)</f>
        <v>0.377472</v>
      </c>
      <c r="BN13" s="18">
        <f>=IFERROR(BN10-BN9,0)</f>
        <v>1.23296512</v>
      </c>
      <c r="BO13" s="18">
        <f>=IFERROR(BO10-BO9,0)</f>
        <v>0.1650173952</v>
      </c>
      <c r="BP13" s="18">
        <f>=IFERROR(BP10-BP9,0)</f>
        <v>-1</v>
      </c>
      <c r="BQ13" s="18">
        <f>=IFERROR(BQ10-BQ9,0)</f>
        <v>-17</v>
      </c>
      <c r="BR13" s="18">
        <f>=IFERROR(BR10-BR9,0)</f>
        <v>-17</v>
      </c>
      <c r="BS13" s="18">
        <f>=IFERROR(BS10-BS9,0)</f>
        <v>-17</v>
      </c>
      <c r="BT13" s="18">
        <f>=IFERROR(BT10-BT9,0)</f>
        <v>-17</v>
      </c>
      <c r="BU13" s="18">
        <f>=IFERROR(BU10-BU9,0)</f>
        <v>-17</v>
      </c>
      <c r="BV13" s="18">
        <f>=IFERROR(BV10-BV9,0)</f>
        <v>-17</v>
      </c>
      <c r="BW13" s="18">
        <f>=IFERROR(BW10-BW9,0)</f>
        <v>-17</v>
      </c>
      <c r="BX13" s="18">
        <f>=IFERROR(BX10-BX9,0)</f>
        <v>-17</v>
      </c>
      <c r="BY13" s="18">
        <f>=IFERROR(BY10-BY9,0)</f>
        <v>-17</v>
      </c>
      <c r="BZ13" s="18">
        <f>=IFERROR(BZ10-BZ9,0)</f>
        <v>-17</v>
      </c>
      <c r="CA13" s="18">
        <f>=IFERROR(CA10-CA9,0)</f>
        <v>-17</v>
      </c>
      <c r="CB13" s="18">
        <f>=IFERROR(CB10-CB9,0)</f>
        <v>-17</v>
      </c>
      <c r="CC13" s="18">
        <f>=IFERROR(CC10-CC9,0)</f>
        <v>-17</v>
      </c>
      <c r="CD13" s="18">
        <f>=IFERROR(CD10-CD9,0)</f>
        <v>-11</v>
      </c>
      <c r="CE13" s="18">
        <f>=IFERROR(CE10-CE9,0)</f>
        <v>-11</v>
      </c>
      <c r="CF13" s="18">
        <f>=IFERROR(CF10-CF9,0)</f>
        <v>-11</v>
      </c>
      <c r="CG13" s="18">
        <f>=IFERROR(CG10-CG9,0)</f>
        <v>-11</v>
      </c>
      <c r="CH13" s="18">
        <f>=IFERROR(CH10-CH9,0)</f>
        <v>-11</v>
      </c>
      <c r="CI13" s="18">
        <f>=IFERROR(CI10-CI9,0)</f>
        <v>-11</v>
      </c>
      <c r="CJ13" s="18">
        <f>=IFERROR(CJ10-CJ9,0)</f>
        <v>-11</v>
      </c>
      <c r="CK13" s="18">
        <f>=IFERROR(CK10-CK9,0)</f>
        <v>-11</v>
      </c>
      <c r="CL13" s="18">
        <f>=IFERROR(CL10-CL9,0)</f>
        <v>-11</v>
      </c>
      <c r="CM13" s="18">
        <f>=IFERROR(CM10-CM9,0)</f>
        <v>-11</v>
      </c>
      <c r="CN13" s="18">
        <f>=IFERROR(CN10-CN9,0)</f>
        <v>-11</v>
      </c>
      <c r="CO13" s="18">
        <f>=IFERROR(CO10-CO9,0)</f>
        <v>-11</v>
      </c>
      <c r="CP13" s="18">
        <f>=IFERROR(CP10-CP9,0)</f>
        <v>-11</v>
      </c>
      <c r="CQ13" s="18">
        <f>=IFERROR(CQ10-CQ9,0)</f>
        <v>-11</v>
      </c>
      <c r="CR13" s="18">
        <f>=IFERROR(CR10-CR9,0)</f>
        <v>-11</v>
      </c>
      <c r="CS13" s="18">
        <f>=IFERROR(CS10-CS9,0)</f>
        <v>-11</v>
      </c>
      <c r="CT13" s="18">
        <f>=IFERROR(CT10-CT9,0)</f>
        <v>-11</v>
      </c>
      <c r="CU13" s="18">
        <f>=IFERROR(CU10-CU9,0)</f>
        <v>-11</v>
      </c>
      <c r="CV13" s="18">
        <f>=IFERROR(CV10-CV9,0)</f>
        <v>-11</v>
      </c>
      <c r="CW13" s="18">
        <f>=IFERROR(CW10-CW9,0)</f>
        <v>-11</v>
      </c>
      <c r="CX13" s="18">
        <f>=IFERROR(CX10-CX9,0)</f>
        <v>-11</v>
      </c>
      <c r="CY13" s="18">
        <f>=IFERROR(CY10-CY9,0)</f>
        <v>-11</v>
      </c>
      <c r="CZ13" s="18">
        <f>=IFERROR(CZ10-CZ9,0)</f>
        <v>-11</v>
      </c>
      <c r="DA13" s="18">
        <f>=IFERROR(DA10-DA9,0)</f>
        <v>-11</v>
      </c>
      <c r="DB13" s="18">
        <f>=IFERROR(DB10-DB9,0)</f>
        <v>-11</v>
      </c>
    </row>
    <row r="14" ht="15" customHeight="1" spans="1:106" x14ac:dyDescent="0.25">
      <c r="A14" s="22" t="s">
        <v>248</v>
      </c>
      <c r="B14" s="17"/>
      <c r="C14" s="18">
        <f>=Round(C11-C8,0)</f>
        <v>49</v>
      </c>
      <c r="D14" s="18">
        <f>=Round(D11-D8,0)</f>
        <v>49</v>
      </c>
      <c r="E14" s="18">
        <f>=Round(E11-E8,0)</f>
        <v>13</v>
      </c>
      <c r="F14" s="18">
        <f>=Round(F11-F8,0)</f>
        <v>-23</v>
      </c>
      <c r="G14" s="18">
        <f>=Round(G11-G8,0)</f>
        <v>-23</v>
      </c>
      <c r="H14" s="18">
        <f>=Round(H11-H8,0)</f>
        <v>-24</v>
      </c>
      <c r="I14" s="18">
        <f>=Round(I11-I8,0)</f>
        <v>-24</v>
      </c>
      <c r="J14" s="18">
        <f>=Round(J11-J8,0)</f>
        <v>-60</v>
      </c>
      <c r="K14" s="18">
        <f>=Round(K11-K8,0)</f>
        <v>84</v>
      </c>
      <c r="L14" s="18">
        <f>=Round(L11-L8,0)</f>
        <v>84</v>
      </c>
      <c r="M14" s="18">
        <f>=Round(M11-M8,0)</f>
        <v>121</v>
      </c>
      <c r="N14" s="18">
        <f>=Round(N11-N8,0)</f>
        <v>81</v>
      </c>
      <c r="O14" s="18">
        <f>=Round(O11-O8,0)</f>
        <v>81</v>
      </c>
      <c r="P14" s="18">
        <f>=Round(P11-P8,0)</f>
        <v>85</v>
      </c>
      <c r="Q14" s="18">
        <f>=Round(Q11-Q8,0)</f>
        <v>85</v>
      </c>
      <c r="R14" s="18">
        <f>=Round(R11-R8,0)</f>
        <v>85</v>
      </c>
      <c r="S14" s="18">
        <f>=Round(S11-S8,0)</f>
        <v>86</v>
      </c>
      <c r="T14" s="18">
        <f>=Round(T11-T8,0)</f>
        <v>50</v>
      </c>
      <c r="U14" s="18">
        <f>=Round(U11-U8,0)</f>
        <v>14</v>
      </c>
      <c r="V14" s="18">
        <f>=Round(V11-V8,0)</f>
        <v>14</v>
      </c>
      <c r="W14" s="18">
        <f>=Round(W11-W8,0)</f>
        <v>14</v>
      </c>
      <c r="X14" s="18">
        <f>=Round(X11-X8,0)</f>
        <v>14</v>
      </c>
      <c r="Y14" s="18">
        <f>=Round(Y11-Y8,0)</f>
        <v>13</v>
      </c>
      <c r="Z14" s="18">
        <f>=Round(Z11-Z8,0)</f>
        <v>-22</v>
      </c>
      <c r="AA14" s="18">
        <f>=Round(AA11-AA8,0)</f>
        <v>-22</v>
      </c>
      <c r="AB14" s="18">
        <f>=Round(AB11-AB8,0)</f>
        <v>-22</v>
      </c>
      <c r="AC14" s="18">
        <f>=Round(AC11-AC8,0)</f>
        <v>49</v>
      </c>
      <c r="AD14" s="18">
        <f>=Round(AD11-AD8,0)</f>
        <v>13</v>
      </c>
      <c r="AE14" s="18">
        <f>=Round(AE11-AE8,0)</f>
        <v>13</v>
      </c>
      <c r="AF14" s="18">
        <f>=Round(AF11-AF8,0)</f>
        <v>13</v>
      </c>
      <c r="AG14" s="18">
        <f>=Round(AG11-AG8,0)</f>
        <v>13</v>
      </c>
      <c r="AH14" s="18">
        <f>=Round(AH11-AH8,0)</f>
        <v>79</v>
      </c>
      <c r="AI14" s="18">
        <f>=Round(AI11-AI8,0)</f>
        <v>77</v>
      </c>
      <c r="AJ14" s="18">
        <f>=Round(AJ11-AJ8,0)</f>
        <v>13</v>
      </c>
      <c r="AK14" s="18">
        <f>=Round(AK11-AK8,0)</f>
        <v>13</v>
      </c>
      <c r="AL14" s="18">
        <f>=Round(AL11-AL8,0)</f>
        <v>13</v>
      </c>
      <c r="AM14" s="18">
        <f>=Round(AM11-AM8,0)</f>
        <v>85</v>
      </c>
      <c r="AN14" s="18">
        <f>=Round(AN11-AN8,0)</f>
        <v>49</v>
      </c>
      <c r="AO14" s="18">
        <f>=Round(AO11-AO8,0)</f>
        <v>85</v>
      </c>
      <c r="AP14" s="18">
        <f>=Round(AP11-AP8,0)</f>
        <v>25</v>
      </c>
      <c r="AQ14" s="18">
        <f>=Round(AQ11-AQ8,0)</f>
        <v>-12</v>
      </c>
      <c r="AR14" s="18">
        <f>=Round(AR11-AR8,0)</f>
        <v>-12</v>
      </c>
      <c r="AS14" s="18">
        <f>=Round(AS11-AS8,0)</f>
        <v>-49</v>
      </c>
      <c r="AT14" s="18">
        <f>=Round(AT11-AT8,0)</f>
        <v>-13</v>
      </c>
      <c r="AU14" s="18">
        <f>=Round(AU11-AU8,0)</f>
        <v>-49</v>
      </c>
      <c r="AV14" s="18">
        <f>=Round(AV11-AV8,0)</f>
        <v>-51</v>
      </c>
      <c r="AW14" s="18">
        <f>=Round(AW11-AW8,0)</f>
        <v>208</v>
      </c>
      <c r="AX14" s="18">
        <f>=Round(AX11-AX8,0)</f>
        <v>210</v>
      </c>
      <c r="AY14" s="18">
        <f>=Round(AY11-AY8,0)</f>
        <v>77</v>
      </c>
      <c r="AZ14" s="18">
        <f>=Round(AZ11-AZ8,0)</f>
        <v>77</v>
      </c>
      <c r="BA14" s="18">
        <f>=Round(BA11-BA8,0)</f>
        <v>77</v>
      </c>
      <c r="BB14" s="18">
        <f>=Round(BB11-BB8,0)</f>
        <v>77</v>
      </c>
      <c r="BC14" s="18">
        <f>=Round(BC11-BC8,0)</f>
        <v>68</v>
      </c>
      <c r="BD14" s="18">
        <f>=Round(BD11-BD8,0)</f>
        <v>68</v>
      </c>
      <c r="BE14" s="18">
        <f>=Round(BE11-BE8,0)</f>
        <v>-41</v>
      </c>
      <c r="BF14" s="18">
        <f>=Round(BF11-BF8,0)</f>
        <v>-41</v>
      </c>
      <c r="BG14" s="18">
        <f>=Round(BG11-BG8,0)</f>
        <v>99</v>
      </c>
      <c r="BH14" s="18">
        <f>=Round(BH11-BH8,0)</f>
        <v>32</v>
      </c>
      <c r="BI14" s="18">
        <f>=Round(BI11-BI8,0)</f>
        <v>32</v>
      </c>
      <c r="BJ14" s="18">
        <f>=Round(BJ11-BJ8,0)</f>
        <v>64</v>
      </c>
      <c r="BK14" s="18">
        <f>=Round(BK11-BK8,0)</f>
        <v>23</v>
      </c>
      <c r="BL14" s="18">
        <f>=Round(BL11-BL8,0)</f>
        <v>15</v>
      </c>
      <c r="BM14" s="18">
        <f>=Round(BM11-BM8,0)</f>
        <v>9</v>
      </c>
      <c r="BN14" s="18">
        <f>=Round(BN11-BN8,0)</f>
        <v>40</v>
      </c>
      <c r="BO14" s="18">
        <f>=Round(BO11-BO8,0)</f>
        <v>1</v>
      </c>
      <c r="BP14" s="18">
        <f>=Round(BP11-BP8,0)</f>
        <v>-41</v>
      </c>
      <c r="BQ14" s="18">
        <f>=Round(BQ11-BQ8,0)</f>
        <v>-626</v>
      </c>
      <c r="BR14" s="18">
        <f>=Round(BR11-BR8,0)</f>
        <v>-626</v>
      </c>
      <c r="BS14" s="18">
        <f>=Round(BS11-BS8,0)</f>
        <v>-626</v>
      </c>
      <c r="BT14" s="18">
        <f>=Round(BT11-BT8,0)</f>
        <v>-626</v>
      </c>
      <c r="BU14" s="18">
        <f>=Round(BU11-BU8,0)</f>
        <v>-626</v>
      </c>
      <c r="BV14" s="18">
        <f>=Round(BV11-BV8,0)</f>
        <v>-626</v>
      </c>
      <c r="BW14" s="18">
        <f>=Round(BW11-BW8,0)</f>
        <v>-626</v>
      </c>
      <c r="BX14" s="18">
        <f>=Round(BX11-BX8,0)</f>
        <v>-626</v>
      </c>
      <c r="BY14" s="18">
        <f>=Round(BY11-BY8,0)</f>
        <v>-626</v>
      </c>
      <c r="BZ14" s="18">
        <f>=Round(BZ11-BZ8,0)</f>
        <v>-626</v>
      </c>
      <c r="CA14" s="18">
        <f>=Round(CA11-CA8,0)</f>
        <v>-626</v>
      </c>
      <c r="CB14" s="18">
        <f>=Round(CB11-CB8,0)</f>
        <v>-626</v>
      </c>
      <c r="CC14" s="18">
        <f>=Round(CC11-CC8,0)</f>
        <v>-626</v>
      </c>
      <c r="CD14" s="18">
        <f>=Round(CD11-CD8,0)</f>
        <v>-413</v>
      </c>
      <c r="CE14" s="18">
        <f>=Round(CE11-CE8,0)</f>
        <v>-413</v>
      </c>
      <c r="CF14" s="18">
        <f>=Round(CF11-CF8,0)</f>
        <v>-413</v>
      </c>
      <c r="CG14" s="18">
        <f>=Round(CG11-CG8,0)</f>
        <v>-413</v>
      </c>
      <c r="CH14" s="18">
        <f>=Round(CH11-CH8,0)</f>
        <v>-413</v>
      </c>
      <c r="CI14" s="18">
        <f>=Round(CI11-CI8,0)</f>
        <v>-413</v>
      </c>
      <c r="CJ14" s="18">
        <f>=Round(CJ11-CJ8,0)</f>
        <v>-413</v>
      </c>
      <c r="CK14" s="18">
        <f>=Round(CK11-CK8,0)</f>
        <v>-413</v>
      </c>
      <c r="CL14" s="18">
        <f>=Round(CL11-CL8,0)</f>
        <v>-413</v>
      </c>
      <c r="CM14" s="18">
        <f>=Round(CM11-CM8,0)</f>
        <v>-413</v>
      </c>
      <c r="CN14" s="18">
        <f>=Round(CN11-CN8,0)</f>
        <v>-413</v>
      </c>
      <c r="CO14" s="18">
        <f>=Round(CO11-CO8,0)</f>
        <v>-413</v>
      </c>
      <c r="CP14" s="18">
        <f>=Round(CP11-CP8,0)</f>
        <v>-413</v>
      </c>
      <c r="CQ14" s="18">
        <f>=Round(CQ11-CQ8,0)</f>
        <v>-413</v>
      </c>
      <c r="CR14" s="18">
        <f>=Round(CR11-CR8,0)</f>
        <v>-413</v>
      </c>
      <c r="CS14" s="18">
        <f>=Round(CS11-CS8,0)</f>
        <v>-413</v>
      </c>
      <c r="CT14" s="18">
        <f>=Round(CT11-CT8,0)</f>
        <v>-413</v>
      </c>
      <c r="CU14" s="18">
        <f>=Round(CU11-CU8,0)</f>
        <v>-413</v>
      </c>
      <c r="CV14" s="18">
        <f>=Round(CV11-CV8,0)</f>
        <v>-413</v>
      </c>
      <c r="CW14" s="18">
        <f>=Round(CW11-CW8,0)</f>
        <v>-413</v>
      </c>
      <c r="CX14" s="18">
        <f>=Round(CX11-CX8,0)</f>
        <v>-413</v>
      </c>
      <c r="CY14" s="18">
        <f>=Round(CY11-CY8,0)</f>
        <v>-413</v>
      </c>
      <c r="CZ14" s="18">
        <f>=Round(CZ11-CZ8,0)</f>
        <v>-413</v>
      </c>
      <c r="DA14" s="18">
        <f>=Round(DA11-DA8,0)</f>
        <v>-413</v>
      </c>
      <c r="DB14" s="18">
        <f>=Round(DB11-DB8,0)</f>
        <v>-413</v>
      </c>
    </row>
    <row r="15" ht="14" customHeight="1" spans="1:106" x14ac:dyDescent="0.25">
      <c r="A15" s="23" t="s">
        <v>249</v>
      </c>
      <c r="B15" s="24"/>
      <c r="C15" s="25">
        <f>=Round(IFERROR(C10/C7,0),2)</f>
        <v>1.08</v>
      </c>
      <c r="D15" s="25">
        <f>=Round(IFERROR(D10/D7,0),2)</f>
        <v>1.08</v>
      </c>
      <c r="E15" s="25">
        <f>=Round(IFERROR(E10/E7,0),2)</f>
        <v>1</v>
      </c>
      <c r="F15" s="25">
        <f>=Round(IFERROR(F10/F7,0),2)</f>
        <v>0.92</v>
      </c>
      <c r="G15" s="25">
        <f>=Round(IFERROR(G10/G7,0),2)</f>
        <v>0.92</v>
      </c>
      <c r="H15" s="25">
        <f>=Round(IFERROR(H10/H7,0),2)</f>
        <v>0.92</v>
      </c>
      <c r="I15" s="25">
        <f>=Round(IFERROR(I10/I7,0),2)</f>
        <v>0.92</v>
      </c>
      <c r="J15" s="25">
        <f>=Round(IFERROR(J10/J7,0),2)</f>
        <v>0.83</v>
      </c>
      <c r="K15" s="25">
        <f>=Round(IFERROR(K10/K7,0),2)</f>
        <v>1.17</v>
      </c>
      <c r="L15" s="25">
        <f>=Round(IFERROR(L10/L7,0),2)</f>
        <v>1.17</v>
      </c>
      <c r="M15" s="25">
        <f>=Round(IFERROR(M10/M7,0),2)</f>
        <v>1.25</v>
      </c>
      <c r="N15" s="25">
        <f>=Round(IFERROR(N10/N7,0),2)</f>
        <v>1.17</v>
      </c>
      <c r="O15" s="25">
        <f>=Round(IFERROR(O10/O7,0),2)</f>
        <v>1.17</v>
      </c>
      <c r="P15" s="25">
        <f>=Round(IFERROR(P10/P7,0),2)</f>
        <v>1.17</v>
      </c>
      <c r="Q15" s="25">
        <f>=Round(IFERROR(Q10/Q7,0),2)</f>
        <v>1.17</v>
      </c>
      <c r="R15" s="25">
        <f>=Round(IFERROR(R10/R7,0),2)</f>
        <v>1.17</v>
      </c>
      <c r="S15" s="25">
        <f>=Round(IFERROR(S10/S7,0),2)</f>
        <v>1.17</v>
      </c>
      <c r="T15" s="25">
        <f>=Round(IFERROR(T10/T7,0),2)</f>
        <v>1.08</v>
      </c>
      <c r="U15" s="25">
        <f>=Round(IFERROR(U10/U7,0),2)</f>
        <v>1</v>
      </c>
      <c r="V15" s="25">
        <f>=Round(IFERROR(V10/V7,0),2)</f>
        <v>1</v>
      </c>
      <c r="W15" s="25">
        <f>=Round(IFERROR(W10/W7,0),2)</f>
        <v>1</v>
      </c>
      <c r="X15" s="25">
        <f>=Round(IFERROR(X10/X7,0),2)</f>
        <v>1</v>
      </c>
      <c r="Y15" s="25">
        <f>=Round(IFERROR(Y10/Y7,0),2)</f>
        <v>1</v>
      </c>
      <c r="Z15" s="25">
        <f>=Round(IFERROR(Z10/Z7,0),2)</f>
        <v>0.92</v>
      </c>
      <c r="AA15" s="25">
        <f>=Round(IFERROR(AA10/AA7,0),2)</f>
        <v>0.92</v>
      </c>
      <c r="AB15" s="25">
        <f>=Round(IFERROR(AB10/AB7,0),2)</f>
        <v>0.92</v>
      </c>
      <c r="AC15" s="25">
        <f>=Round(IFERROR(AC10/AC7,0),2)</f>
        <v>1.08</v>
      </c>
      <c r="AD15" s="25">
        <f>=Round(IFERROR(AD10/AD7,0),2)</f>
        <v>1</v>
      </c>
      <c r="AE15" s="25">
        <f>=Round(IFERROR(AE10/AE7,0),2)</f>
        <v>1</v>
      </c>
      <c r="AF15" s="25">
        <f>=Round(IFERROR(AF10/AF7,0),2)</f>
        <v>1</v>
      </c>
      <c r="AG15" s="25">
        <f>=Round(IFERROR(AG10/AG7,0),2)</f>
        <v>1</v>
      </c>
      <c r="AH15" s="25">
        <f>=Round(IFERROR(AH10/AH7,0),2)</f>
        <v>1.15</v>
      </c>
      <c r="AI15" s="25">
        <f>=Round(IFERROR(AI10/AI7,0),2)</f>
        <v>1.15</v>
      </c>
      <c r="AJ15" s="25">
        <f>=Round(IFERROR(AJ10/AJ7,0),2)</f>
        <v>1</v>
      </c>
      <c r="AK15" s="25">
        <f>=Round(IFERROR(AK10/AK7,0),2)</f>
        <v>1</v>
      </c>
      <c r="AL15" s="25">
        <f>=Round(IFERROR(AL10/AL7,0),2)</f>
        <v>1</v>
      </c>
      <c r="AM15" s="25">
        <f>=Round(IFERROR(AM10/AM7,0),2)</f>
        <v>1.17</v>
      </c>
      <c r="AN15" s="25">
        <f>=Round(IFERROR(AN10/AN7,0),2)</f>
        <v>1.08</v>
      </c>
      <c r="AO15" s="25">
        <f>=Round(IFERROR(AO10/AO7,0),2)</f>
        <v>1.17</v>
      </c>
      <c r="AP15" s="25">
        <f>=Round(IFERROR(AP10/AP7,0),2)</f>
        <v>1</v>
      </c>
      <c r="AQ15" s="25">
        <f>=Round(IFERROR(AQ10/AQ7,0),2)</f>
        <v>0.92</v>
      </c>
      <c r="AR15" s="25">
        <f>=Round(IFERROR(AR10/AR7,0),2)</f>
        <v>0.92</v>
      </c>
      <c r="AS15" s="25">
        <f>=Round(IFERROR(AS10/AS7,0),2)</f>
        <v>0.83</v>
      </c>
      <c r="AT15" s="25">
        <f>=Round(IFERROR(AT10/AT7,0),2)</f>
        <v>0.92</v>
      </c>
      <c r="AU15" s="25">
        <f>=Round(IFERROR(AU10/AU7,0),2)</f>
        <v>0.83</v>
      </c>
      <c r="AV15" s="25">
        <f>=Round(IFERROR(AV10/AV7,0),2)</f>
        <v>0.83</v>
      </c>
      <c r="AW15" s="25">
        <f>=Round(IFERROR(AW10/AW7,0),2)</f>
        <v>1.42</v>
      </c>
      <c r="AX15" s="25">
        <f>=Round(IFERROR(AX10/AX7,0),2)</f>
        <v>1.42</v>
      </c>
      <c r="AY15" s="25">
        <f>=Round(IFERROR(AY10/AY7,0),2)</f>
        <v>1.06</v>
      </c>
      <c r="AZ15" s="25">
        <f>=Round(IFERROR(AZ10/AZ7,0),2)</f>
        <v>1.06</v>
      </c>
      <c r="BA15" s="25">
        <f>=Round(IFERROR(BA10/BA7,0),2)</f>
        <v>1.06</v>
      </c>
      <c r="BB15" s="25">
        <f>=Round(IFERROR(BB10/BB7,0),2)</f>
        <v>1.06</v>
      </c>
      <c r="BC15" s="25">
        <f>=Round(IFERROR(BC10/BC7,0),2)</f>
        <v>1.06</v>
      </c>
      <c r="BD15" s="25">
        <f>=Round(IFERROR(BD10/BD7,0),2)</f>
        <v>1.06</v>
      </c>
      <c r="BE15" s="25">
        <f>=Round(IFERROR(BE10/BE7,0),2)</f>
        <v>0.89</v>
      </c>
      <c r="BF15" s="25">
        <f>=Round(IFERROR(BF10/BF7,0),2)</f>
        <v>0.89</v>
      </c>
      <c r="BG15" s="25">
        <f>=Round(IFERROR(BG10/BG7,0),2)</f>
        <v>1.1</v>
      </c>
      <c r="BH15" s="25">
        <f>=Round(IFERROR(BH10/BH7,0),2)</f>
        <v>1</v>
      </c>
      <c r="BI15" s="25">
        <f>=Round(IFERROR(BI10/BI7,0),2)</f>
        <v>1</v>
      </c>
      <c r="BJ15" s="25">
        <f>=Round(IFERROR(BJ10/BJ7,0),2)</f>
        <v>1.05</v>
      </c>
      <c r="BK15" s="25">
        <f>=Round(IFERROR(BK10/BK7,0),2)</f>
        <v>0.99</v>
      </c>
      <c r="BL15" s="25">
        <f>=Round(IFERROR(BL10/BL7,0),2)</f>
        <v>0.97</v>
      </c>
      <c r="BM15" s="25">
        <f>=Round(IFERROR(BM10/BM7,0),2)</f>
        <v>0.97</v>
      </c>
      <c r="BN15" s="25">
        <f>=Round(IFERROR(BN10/BN7,0),2)</f>
        <v>1.01</v>
      </c>
      <c r="BO15" s="25">
        <f>=Round(IFERROR(BO10/BO7,0),2)</f>
        <v>0.95</v>
      </c>
      <c r="BP15" s="25">
        <f>=Round(IFERROR(BP10/BP7,0),2)</f>
        <v>0.89</v>
      </c>
      <c r="BQ15" s="25">
        <f>=Round(IFERROR(BQ10/BQ7,0),2)</f>
        <v>0</v>
      </c>
      <c r="BR15" s="25">
        <f>=Round(IFERROR(BR10/BR7,0),2)</f>
        <v>0</v>
      </c>
      <c r="BS15" s="25">
        <f>=Round(IFERROR(BS10/BS7,0),2)</f>
        <v>0</v>
      </c>
      <c r="BT15" s="25">
        <f>=Round(IFERROR(BT10/BT7,0),2)</f>
        <v>0</v>
      </c>
      <c r="BU15" s="25">
        <f>=Round(IFERROR(BU10/BU7,0),2)</f>
        <v>0</v>
      </c>
      <c r="BV15" s="25">
        <f>=Round(IFERROR(BV10/BV7,0),2)</f>
        <v>0</v>
      </c>
      <c r="BW15" s="25">
        <f>=Round(IFERROR(BW10/BW7,0),2)</f>
        <v>0</v>
      </c>
      <c r="BX15" s="25">
        <f>=Round(IFERROR(BX10/BX7,0),2)</f>
        <v>0</v>
      </c>
      <c r="BY15" s="25">
        <f>=Round(IFERROR(BY10/BY7,0),2)</f>
        <v>0</v>
      </c>
      <c r="BZ15" s="25">
        <f>=Round(IFERROR(BZ10/BZ7,0),2)</f>
        <v>0</v>
      </c>
      <c r="CA15" s="25">
        <f>=Round(IFERROR(CA10/CA7,0),2)</f>
        <v>0</v>
      </c>
      <c r="CB15" s="25">
        <f>=Round(IFERROR(CB10/CB7,0),2)</f>
        <v>0</v>
      </c>
      <c r="CC15" s="25">
        <f>=Round(IFERROR(CC10/CC7,0),2)</f>
        <v>0</v>
      </c>
      <c r="CD15" s="25">
        <f>=Round(IFERROR(CD10/CD7,0),2)</f>
        <v>0</v>
      </c>
      <c r="CE15" s="25">
        <f>=Round(IFERROR(CE10/CE7,0),2)</f>
        <v>0</v>
      </c>
      <c r="CF15" s="25">
        <f>=Round(IFERROR(CF10/CF7,0),2)</f>
        <v>0</v>
      </c>
      <c r="CG15" s="25">
        <f>=Round(IFERROR(CG10/CG7,0),2)</f>
        <v>0</v>
      </c>
      <c r="CH15" s="25">
        <f>=Round(IFERROR(CH10/CH7,0),2)</f>
        <v>0</v>
      </c>
      <c r="CI15" s="25">
        <f>=Round(IFERROR(CI10/CI7,0),2)</f>
        <v>0</v>
      </c>
      <c r="CJ15" s="25">
        <f>=Round(IFERROR(CJ10/CJ7,0),2)</f>
        <v>0</v>
      </c>
      <c r="CK15" s="25">
        <f>=Round(IFERROR(CK10/CK7,0),2)</f>
        <v>0</v>
      </c>
      <c r="CL15" s="25">
        <f>=Round(IFERROR(CL10/CL7,0),2)</f>
        <v>0</v>
      </c>
      <c r="CM15" s="25">
        <f>=Round(IFERROR(CM10/CM7,0),2)</f>
        <v>0</v>
      </c>
      <c r="CN15" s="25">
        <f>=Round(IFERROR(CN10/CN7,0),2)</f>
        <v>0</v>
      </c>
      <c r="CO15" s="25">
        <f>=Round(IFERROR(CO10/CO7,0),2)</f>
        <v>0</v>
      </c>
      <c r="CP15" s="25">
        <f>=Round(IFERROR(CP10/CP7,0),2)</f>
        <v>0</v>
      </c>
      <c r="CQ15" s="25">
        <f>=Round(IFERROR(CQ10/CQ7,0),2)</f>
        <v>0</v>
      </c>
      <c r="CR15" s="25">
        <f>=Round(IFERROR(CR10/CR7,0),2)</f>
        <v>0</v>
      </c>
      <c r="CS15" s="25">
        <f>=Round(IFERROR(CS10/CS7,0),2)</f>
        <v>0</v>
      </c>
      <c r="CT15" s="25">
        <f>=Round(IFERROR(CT10/CT7,0),2)</f>
        <v>0</v>
      </c>
      <c r="CU15" s="25">
        <f>=Round(IFERROR(CU10/CU7,0),2)</f>
        <v>0</v>
      </c>
      <c r="CV15" s="25">
        <f>=Round(IFERROR(CV10/CV7,0),2)</f>
        <v>0</v>
      </c>
      <c r="CW15" s="25">
        <f>=Round(IFERROR(CW10/CW7,0),2)</f>
        <v>0</v>
      </c>
      <c r="CX15" s="25">
        <f>=Round(IFERROR(CX10/CX7,0),2)</f>
        <v>0</v>
      </c>
      <c r="CY15" s="25">
        <f>=Round(IFERROR(CY10/CY7,0),2)</f>
        <v>0</v>
      </c>
      <c r="CZ15" s="25">
        <f>=Round(IFERROR(CZ10/CZ7,0),2)</f>
        <v>0</v>
      </c>
      <c r="DA15" s="25">
        <f>=Round(IFERROR(DA10/DA7,0),2)</f>
        <v>0</v>
      </c>
      <c r="DB15" s="25">
        <f>=Round(IFERROR(DB10/DB7,0),2)</f>
        <v>0</v>
      </c>
    </row>
    <row r="16" spans="1:106" x14ac:dyDescent="0.25">
      <c r="A16" s="23" t="s">
        <v>250</v>
      </c>
      <c r="B16" s="24"/>
      <c r="C16" s="25">
        <f>=Round(IFERROR(C10/C9,0),2)</f>
        <v>1.08</v>
      </c>
      <c r="D16" s="25">
        <f>=Round(IFERROR(D10/D9,0),2)</f>
        <v>1.08</v>
      </c>
      <c r="E16" s="25">
        <f>=Round(IFERROR(E10/E9,0),2)</f>
        <v>1</v>
      </c>
      <c r="F16" s="25">
        <f>=Round(IFERROR(F10/F9,0),2)</f>
        <v>0.92</v>
      </c>
      <c r="G16" s="25">
        <f>=Round(IFERROR(G10/G9,0),2)</f>
        <v>0.92</v>
      </c>
      <c r="H16" s="25">
        <f>=Round(IFERROR(H10/H9,0),2)</f>
        <v>0.92</v>
      </c>
      <c r="I16" s="25">
        <f>=Round(IFERROR(I10/I9,0),2)</f>
        <v>0.92</v>
      </c>
      <c r="J16" s="25">
        <f>=Round(IFERROR(J10/J9,0),2)</f>
        <v>0.83</v>
      </c>
      <c r="K16" s="25">
        <f>=Round(IFERROR(K10/K9,0),2)</f>
        <v>1.17</v>
      </c>
      <c r="L16" s="25">
        <f>=Round(IFERROR(L10/L9,0),2)</f>
        <v>1.17</v>
      </c>
      <c r="M16" s="25">
        <f>=Round(IFERROR(M10/M9,0),2)</f>
        <v>1.25</v>
      </c>
      <c r="N16" s="25">
        <f>=Round(IFERROR(N10/N9,0),2)</f>
        <v>1.17</v>
      </c>
      <c r="O16" s="25">
        <f>=Round(IFERROR(O10/O9,0),2)</f>
        <v>1.17</v>
      </c>
      <c r="P16" s="25">
        <f>=Round(IFERROR(P10/P9,0),2)</f>
        <v>1.17</v>
      </c>
      <c r="Q16" s="25">
        <f>=Round(IFERROR(Q10/Q9,0),2)</f>
        <v>1.17</v>
      </c>
      <c r="R16" s="25">
        <f>=Round(IFERROR(R10/R9,0),2)</f>
        <v>1.17</v>
      </c>
      <c r="S16" s="25">
        <f>=Round(IFERROR(S10/S9,0),2)</f>
        <v>1.17</v>
      </c>
      <c r="T16" s="25">
        <f>=Round(IFERROR(T10/T9,0),2)</f>
        <v>1.08</v>
      </c>
      <c r="U16" s="25">
        <f>=Round(IFERROR(U10/U9,0),2)</f>
        <v>1</v>
      </c>
      <c r="V16" s="25">
        <f>=Round(IFERROR(V10/V9,0),2)</f>
        <v>1</v>
      </c>
      <c r="W16" s="25">
        <f>=Round(IFERROR(W10/W9,0),2)</f>
        <v>1</v>
      </c>
      <c r="X16" s="25">
        <f>=Round(IFERROR(X10/X9,0),2)</f>
        <v>1</v>
      </c>
      <c r="Y16" s="25">
        <f>=Round(IFERROR(Y10/Y9,0),2)</f>
        <v>1</v>
      </c>
      <c r="Z16" s="25">
        <f>=Round(IFERROR(Z10/Z9,0),2)</f>
        <v>0.92</v>
      </c>
      <c r="AA16" s="25">
        <f>=Round(IFERROR(AA10/AA9,0),2)</f>
        <v>0.92</v>
      </c>
      <c r="AB16" s="25">
        <f>=Round(IFERROR(AB10/AB9,0),2)</f>
        <v>0.92</v>
      </c>
      <c r="AC16" s="25">
        <f>=Round(IFERROR(AC10/AC9,0),2)</f>
        <v>1.08</v>
      </c>
      <c r="AD16" s="25">
        <f>=Round(IFERROR(AD10/AD9,0),2)</f>
        <v>1</v>
      </c>
      <c r="AE16" s="25">
        <f>=Round(IFERROR(AE10/AE9,0),2)</f>
        <v>1</v>
      </c>
      <c r="AF16" s="25">
        <f>=Round(IFERROR(AF10/AF9,0),2)</f>
        <v>1</v>
      </c>
      <c r="AG16" s="25">
        <f>=Round(IFERROR(AG10/AG9,0),2)</f>
        <v>1</v>
      </c>
      <c r="AH16" s="25">
        <f>=Round(IFERROR(AH10/AH9,0),2)</f>
        <v>1.15</v>
      </c>
      <c r="AI16" s="25">
        <f>=Round(IFERROR(AI10/AI9,0),2)</f>
        <v>1.15</v>
      </c>
      <c r="AJ16" s="25">
        <f>=Round(IFERROR(AJ10/AJ9,0),2)</f>
        <v>1</v>
      </c>
      <c r="AK16" s="25">
        <f>=Round(IFERROR(AK10/AK9,0),2)</f>
        <v>1</v>
      </c>
      <c r="AL16" s="25">
        <f>=Round(IFERROR(AL10/AL9,0),2)</f>
        <v>1</v>
      </c>
      <c r="AM16" s="25">
        <f>=Round(IFERROR(AM10/AM9,0),2)</f>
        <v>1.17</v>
      </c>
      <c r="AN16" s="25">
        <f>=Round(IFERROR(AN10/AN9,0),2)</f>
        <v>1.08</v>
      </c>
      <c r="AO16" s="25">
        <f>=Round(IFERROR(AO10/AO9,0),2)</f>
        <v>1.17</v>
      </c>
      <c r="AP16" s="25">
        <f>=Round(IFERROR(AP10/AP9,0),2)</f>
        <v>1.09</v>
      </c>
      <c r="AQ16" s="25">
        <f>=Round(IFERROR(AQ10/AQ9,0),2)</f>
        <v>1</v>
      </c>
      <c r="AR16" s="25">
        <f>=Round(IFERROR(AR10/AR9,0),2)</f>
        <v>1</v>
      </c>
      <c r="AS16" s="25">
        <f>=Round(IFERROR(AS10/AS9,0),2)</f>
        <v>0.91</v>
      </c>
      <c r="AT16" s="25">
        <f>=Round(IFERROR(AT10/AT9,0),2)</f>
        <v>1</v>
      </c>
      <c r="AU16" s="25">
        <f>=Round(IFERROR(AU10/AU9,0),2)</f>
        <v>0.91</v>
      </c>
      <c r="AV16" s="25">
        <f>=Round(IFERROR(AV10/AV9,0),2)</f>
        <v>0.91</v>
      </c>
      <c r="AW16" s="25">
        <f>=Round(IFERROR(AW10/AW9,0),2)</f>
        <v>1.55</v>
      </c>
      <c r="AX16" s="25">
        <f>=Round(IFERROR(AX10/AX9,0),2)</f>
        <v>1.55</v>
      </c>
      <c r="AY16" s="25">
        <f>=Round(IFERROR(AY10/AY9,0),2)</f>
        <v>1.12</v>
      </c>
      <c r="AZ16" s="25">
        <f>=Round(IFERROR(AZ10/AZ9,0),2)</f>
        <v>1.12</v>
      </c>
      <c r="BA16" s="25">
        <f>=Round(IFERROR(BA10/BA9,0),2)</f>
        <v>1.12</v>
      </c>
      <c r="BB16" s="25">
        <f>=Round(IFERROR(BB10/BB9,0),2)</f>
        <v>1.12</v>
      </c>
      <c r="BC16" s="25">
        <f>=Round(IFERROR(BC10/BC9,0),2)</f>
        <v>1.12</v>
      </c>
      <c r="BD16" s="25">
        <f>=Round(IFERROR(BD10/BD9,0),2)</f>
        <v>1.12</v>
      </c>
      <c r="BE16" s="25">
        <f>=Round(IFERROR(BE10/BE9,0),2)</f>
        <v>0.94</v>
      </c>
      <c r="BF16" s="25">
        <f>=Round(IFERROR(BF10/BF9,0),2)</f>
        <v>0.94</v>
      </c>
      <c r="BG16" s="25">
        <f>=Round(IFERROR(BG10/BG9,0),2)</f>
        <v>1.17</v>
      </c>
      <c r="BH16" s="25">
        <f>=Round(IFERROR(BH10/BH9,0),2)</f>
        <v>1.06</v>
      </c>
      <c r="BI16" s="25">
        <f>=Round(IFERROR(BI10/BI9,0),2)</f>
        <v>1.06</v>
      </c>
      <c r="BJ16" s="25">
        <f>=Round(IFERROR(BJ10/BJ9,0),2)</f>
        <v>1.11</v>
      </c>
      <c r="BK16" s="25">
        <f>=Round(IFERROR(BK10/BK9,0),2)</f>
        <v>1.04</v>
      </c>
      <c r="BL16" s="25">
        <f>=Round(IFERROR(BL10/BL9,0),2)</f>
        <v>1.03</v>
      </c>
      <c r="BM16" s="25">
        <f>=Round(IFERROR(BM10/BM9,0),2)</f>
        <v>1.02</v>
      </c>
      <c r="BN16" s="25">
        <f>=Round(IFERROR(BN10/BN9,0),2)</f>
        <v>1.07</v>
      </c>
      <c r="BO16" s="25">
        <f>=Round(IFERROR(BO10/BO9,0),2)</f>
        <v>1.01</v>
      </c>
      <c r="BP16" s="25">
        <f>=Round(IFERROR(BP10/BP9,0),2)</f>
        <v>0.94</v>
      </c>
      <c r="BQ16" s="25">
        <f>=Round(IFERROR(BQ10/BQ9,0),2)</f>
        <v>0</v>
      </c>
      <c r="BR16" s="25">
        <f>=Round(IFERROR(BR10/BR9,0),2)</f>
        <v>0</v>
      </c>
      <c r="BS16" s="25">
        <f>=Round(IFERROR(BS10/BS9,0),2)</f>
        <v>0</v>
      </c>
      <c r="BT16" s="25">
        <f>=Round(IFERROR(BT10/BT9,0),2)</f>
        <v>0</v>
      </c>
      <c r="BU16" s="25">
        <f>=Round(IFERROR(BU10/BU9,0),2)</f>
        <v>0</v>
      </c>
      <c r="BV16" s="25">
        <f>=Round(IFERROR(BV10/BV9,0),2)</f>
        <v>0</v>
      </c>
      <c r="BW16" s="25">
        <f>=Round(IFERROR(BW10/BW9,0),2)</f>
        <v>0</v>
      </c>
      <c r="BX16" s="25">
        <f>=Round(IFERROR(BX10/BX9,0),2)</f>
        <v>0</v>
      </c>
      <c r="BY16" s="25">
        <f>=Round(IFERROR(BY10/BY9,0),2)</f>
        <v>0</v>
      </c>
      <c r="BZ16" s="25">
        <f>=Round(IFERROR(BZ10/BZ9,0),2)</f>
        <v>0</v>
      </c>
      <c r="CA16" s="25">
        <f>=Round(IFERROR(CA10/CA9,0),2)</f>
        <v>0</v>
      </c>
      <c r="CB16" s="25">
        <f>=Round(IFERROR(CB10/CB9,0),2)</f>
        <v>0</v>
      </c>
      <c r="CC16" s="25">
        <f>=Round(IFERROR(CC10/CC9,0),2)</f>
        <v>0</v>
      </c>
      <c r="CD16" s="25">
        <f>=Round(IFERROR(CD10/CD9,0),2)</f>
        <v>0</v>
      </c>
      <c r="CE16" s="25">
        <f>=Round(IFERROR(CE10/CE9,0),2)</f>
        <v>0</v>
      </c>
      <c r="CF16" s="25">
        <f>=Round(IFERROR(CF10/CF9,0),2)</f>
        <v>0</v>
      </c>
      <c r="CG16" s="25">
        <f>=Round(IFERROR(CG10/CG9,0),2)</f>
        <v>0</v>
      </c>
      <c r="CH16" s="25">
        <f>=Round(IFERROR(CH10/CH9,0),2)</f>
        <v>0</v>
      </c>
      <c r="CI16" s="25">
        <f>=Round(IFERROR(CI10/CI9,0),2)</f>
        <v>0</v>
      </c>
      <c r="CJ16" s="25">
        <f>=Round(IFERROR(CJ10/CJ9,0),2)</f>
        <v>0</v>
      </c>
      <c r="CK16" s="25">
        <f>=Round(IFERROR(CK10/CK9,0),2)</f>
        <v>0</v>
      </c>
      <c r="CL16" s="25">
        <f>=Round(IFERROR(CL10/CL9,0),2)</f>
        <v>0</v>
      </c>
      <c r="CM16" s="25">
        <f>=Round(IFERROR(CM10/CM9,0),2)</f>
        <v>0</v>
      </c>
      <c r="CN16" s="25">
        <f>=Round(IFERROR(CN10/CN9,0),2)</f>
        <v>0</v>
      </c>
      <c r="CO16" s="25">
        <f>=Round(IFERROR(CO10/CO9,0),2)</f>
        <v>0</v>
      </c>
      <c r="CP16" s="25">
        <f>=Round(IFERROR(CP10/CP9,0),2)</f>
        <v>0</v>
      </c>
      <c r="CQ16" s="25">
        <f>=Round(IFERROR(CQ10/CQ9,0),2)</f>
        <v>0</v>
      </c>
      <c r="CR16" s="25">
        <f>=Round(IFERROR(CR10/CR9,0),2)</f>
        <v>0</v>
      </c>
      <c r="CS16" s="25">
        <f>=Round(IFERROR(CS10/CS9,0),2)</f>
        <v>0</v>
      </c>
      <c r="CT16" s="25">
        <f>=Round(IFERROR(CT10/CT9,0),2)</f>
        <v>0</v>
      </c>
      <c r="CU16" s="25">
        <f>=Round(IFERROR(CU10/CU9,0),2)</f>
        <v>0</v>
      </c>
      <c r="CV16" s="25">
        <f>=Round(IFERROR(CV10/CV9,0),2)</f>
        <v>0</v>
      </c>
      <c r="CW16" s="25">
        <f>=Round(IFERROR(CW10/CW9,0),2)</f>
        <v>0</v>
      </c>
      <c r="CX16" s="25">
        <f>=Round(IFERROR(CX10/CX9,0),2)</f>
        <v>0</v>
      </c>
      <c r="CY16" s="25">
        <f>=Round(IFERROR(CY10/CY9,0),2)</f>
        <v>0</v>
      </c>
      <c r="CZ16" s="25">
        <f>=Round(IFERROR(CZ10/CZ9,0),2)</f>
        <v>0</v>
      </c>
      <c r="DA16" s="25">
        <f>=Round(IFERROR(DA10/DA9,0),2)</f>
        <v>0</v>
      </c>
      <c r="DB16" s="25">
        <f>=Round(IFERROR(DB10/DB9,0),2)</f>
        <v>0</v>
      </c>
    </row>
    <row r="17" ht="14" customHeight="1" spans="1:106" x14ac:dyDescent="0.25">
      <c r="A17" s="23" t="s">
        <v>251</v>
      </c>
      <c r="B17" s="24"/>
      <c r="C17" s="26">
        <f>=IFERROR(C11/C8,0)</f>
        <v>1.118313253012048</v>
      </c>
      <c r="D17" s="26">
        <f>=IFERROR(D11/D8,0)</f>
        <v>1.118313253012048</v>
      </c>
      <c r="E17" s="25">
        <f>=IFERROR(E11/E8,0)</f>
        <v>1.032289156626506</v>
      </c>
      <c r="F17" s="25">
        <f>=IFERROR(F11/F8,0)</f>
        <v>0.9439903846153846</v>
      </c>
      <c r="G17" s="25">
        <f>=IFERROR(G11/G8,0)</f>
        <v>0.9439903846153846</v>
      </c>
      <c r="H17" s="25">
        <f>=IFERROR(H11/H8,0)</f>
        <v>0.9417266187050359</v>
      </c>
      <c r="I17" s="25">
        <f>=IFERROR(I11/I8,0)</f>
        <v>0.9417266187050359</v>
      </c>
      <c r="J17" s="25">
        <f>=IFERROR(J11/J8,0)</f>
        <v>0.8561151079136691</v>
      </c>
      <c r="K17" s="25">
        <f>=IFERROR(K11/K8,0)</f>
        <v>1.2014423076923078</v>
      </c>
      <c r="L17" s="25">
        <f>=IFERROR(L11/L8,0)</f>
        <v>1.2014423076923078</v>
      </c>
      <c r="M17" s="25">
        <f>=IFERROR(M11/M8,0)</f>
        <v>1.2903614457831325</v>
      </c>
      <c r="N17" s="25">
        <f>=IFERROR(N11/N8,0)</f>
        <v>1.1928400954653937</v>
      </c>
      <c r="O17" s="25">
        <f>=IFERROR(O11/O8,0)</f>
        <v>1.1928400954653937</v>
      </c>
      <c r="P17" s="25">
        <f>=IFERROR(P11/P8,0)</f>
        <v>1.2043373493975904</v>
      </c>
      <c r="Q17" s="25">
        <f>=IFERROR(Q11/Q8,0)</f>
        <v>1.2043373493975904</v>
      </c>
      <c r="R17" s="25">
        <f>=IFERROR(R11/R8,0)</f>
        <v>1.2043373493975904</v>
      </c>
      <c r="S17" s="25">
        <f>=IFERROR(S11/S8,0)</f>
        <v>1.2072463768115942</v>
      </c>
      <c r="T17" s="25">
        <f>=IFERROR(T11/T8,0)</f>
        <v>1.1210144927536232</v>
      </c>
      <c r="U17" s="25">
        <f>=IFERROR(U11/U8,0)</f>
        <v>1.0347826086956522</v>
      </c>
      <c r="V17" s="25">
        <f>=IFERROR(V11/V8,0)</f>
        <v>1.0347826086956522</v>
      </c>
      <c r="W17" s="25">
        <f>=IFERROR(W11/W8,0)</f>
        <v>1.0347826086956522</v>
      </c>
      <c r="X17" s="25">
        <f>=IFERROR(X11/X8,0)</f>
        <v>1.0347826086956522</v>
      </c>
      <c r="Y17" s="25">
        <f>=IFERROR(Y11/Y8,0)</f>
        <v>1.032289156626506</v>
      </c>
      <c r="Z17" s="25">
        <f>=IFERROR(Z11/Z8,0)</f>
        <v>0.9462650602409639</v>
      </c>
      <c r="AA17" s="25">
        <f>=IFERROR(AA11/AA8,0)</f>
        <v>0.9462650602409639</v>
      </c>
      <c r="AB17" s="25">
        <f>=IFERROR(AB11/AB8,0)</f>
        <v>0.9462650602409639</v>
      </c>
      <c r="AC17" s="25">
        <f>=IFERROR(AC11/AC8,0)</f>
        <v>1.118313253012048</v>
      </c>
      <c r="AD17" s="25">
        <f>=IFERROR(AD11/AD8,0)</f>
        <v>1.032289156626506</v>
      </c>
      <c r="AE17" s="25">
        <f>=IFERROR(AE11/AE8,0)</f>
        <v>1.032289156626506</v>
      </c>
      <c r="AF17" s="25">
        <f>=IFERROR(AF11/AF8,0)</f>
        <v>1.032289156626506</v>
      </c>
      <c r="AG17" s="25">
        <f>=IFERROR(AG11/AG8,0)</f>
        <v>1.032289156626506</v>
      </c>
      <c r="AH17" s="25">
        <f>=IFERROR(AH11/AH8,0)</f>
        <v>1.1908487710843374</v>
      </c>
      <c r="AI17" s="25">
        <f>=IFERROR(AI11/AI8,0)</f>
        <v>1.1845063865060241</v>
      </c>
      <c r="AJ17" s="25">
        <f>=IFERROR(AJ11/AJ8,0)</f>
        <v>1.032289156626506</v>
      </c>
      <c r="AK17" s="25">
        <f>=IFERROR(AK11/AK8,0)</f>
        <v>1.032289156626506</v>
      </c>
      <c r="AL17" s="25">
        <f>=IFERROR(AL11/AL8,0)</f>
        <v>1.032289156626506</v>
      </c>
      <c r="AM17" s="25">
        <f>=IFERROR(AM11/AM8,0)</f>
        <v>1.2043373493975904</v>
      </c>
      <c r="AN17" s="25">
        <f>=IFERROR(AN11/AN8,0)</f>
        <v>1.118313253012048</v>
      </c>
      <c r="AO17" s="25">
        <f>=IFERROR(AO11/AO8,0)</f>
        <v>1.2043373493975904</v>
      </c>
      <c r="AP17" s="25">
        <f>=IFERROR(AP11/AP8,0)</f>
        <v>1.0589498806682578</v>
      </c>
      <c r="AQ17" s="25">
        <f>=IFERROR(AQ11/AQ8,0)</f>
        <v>0.9707040572792363</v>
      </c>
      <c r="AR17" s="25">
        <f>=IFERROR(AR11/AR8,0)</f>
        <v>0.9707040572792363</v>
      </c>
      <c r="AS17" s="25">
        <f>=IFERROR(AS11/AS8,0)</f>
        <v>0.8824582338902148</v>
      </c>
      <c r="AT17" s="25">
        <f>=IFERROR(AT11/AT8,0)</f>
        <v>0.9683928571428572</v>
      </c>
      <c r="AU17" s="25">
        <f>=IFERROR(AU11/AU8,0)</f>
        <v>0.8824582338902148</v>
      </c>
      <c r="AV17" s="25">
        <f>=IFERROR(AV11/AV8,0)</f>
        <v>0.8782660332541568</v>
      </c>
      <c r="AW17" s="25">
        <f>=IFERROR(AW11/AW8,0)</f>
        <v>1.4930522565320665</v>
      </c>
      <c r="AX17" s="25">
        <f>=IFERROR(AX11/AX8,0)</f>
        <v>1.5001789976133653</v>
      </c>
      <c r="AY17" s="25">
        <f>=IFERROR(AY11/AY8,0)</f>
        <v>1.1222444089456869</v>
      </c>
      <c r="AZ17" s="25">
        <f>=IFERROR(AZ11/AZ8,0)</f>
        <v>1.1222444089456869</v>
      </c>
      <c r="BA17" s="25">
        <f>=IFERROR(BA11/BA8,0)</f>
        <v>1.1222444089456869</v>
      </c>
      <c r="BB17" s="25">
        <f>=IFERROR(BB11/BB8,0)</f>
        <v>1.1222444089456869</v>
      </c>
      <c r="BC17" s="25">
        <f>=IFERROR(BC11/BC8,0)</f>
        <v>1.1093450479233227</v>
      </c>
      <c r="BD17" s="25">
        <f>=IFERROR(BD11/BD8,0)</f>
        <v>1.1093450479233227</v>
      </c>
      <c r="BE17" s="25">
        <f>=IFERROR(BE11/BE8,0)</f>
        <v>0.934185303514377</v>
      </c>
      <c r="BF17" s="25">
        <f>=IFERROR(BF11/BF8,0)</f>
        <v>0.934185303514377</v>
      </c>
      <c r="BG17" s="25">
        <f>=IFERROR(BG11/BG8,0)</f>
        <v>1.1583897763578275</v>
      </c>
      <c r="BH17" s="25">
        <f>=IFERROR(BH11/BH8,0)</f>
        <v>1.0509584664536742</v>
      </c>
      <c r="BI17" s="25">
        <f>=IFERROR(BI11/BI8,0)</f>
        <v>1.0509584664536742</v>
      </c>
      <c r="BJ17" s="25">
        <f>=IFERROR(BJ11/BJ8,0)</f>
        <v>1.102338658146965</v>
      </c>
      <c r="BK17" s="25">
        <f>=IFERROR(BK11/BK8,0)</f>
        <v>1.0372259424920127</v>
      </c>
      <c r="BL17" s="25">
        <f>=IFERROR(BL11/BL8,0)</f>
        <v>1.0234</v>
      </c>
      <c r="BM17" s="25">
        <f>=IFERROR(BM11/BM8,0)</f>
        <v>1.0146111846645367</v>
      </c>
      <c r="BN17" s="25">
        <f>=IFERROR(BN11/BN8,0)</f>
        <v>1.0645605034121406</v>
      </c>
      <c r="BO17" s="25">
        <f>=IFERROR(BO11/BO8,0)</f>
        <v>1.0022066865727794</v>
      </c>
      <c r="BP17" s="25">
        <f>=IFERROR(BP11/BP8,0)</f>
        <v>0.934185303514377</v>
      </c>
      <c r="BQ17" s="25">
        <f>=IFERROR(BQ11/BQ8,0)</f>
        <v>0</v>
      </c>
      <c r="BR17" s="25">
        <f>=IFERROR(BR11/BR8,0)</f>
        <v>0</v>
      </c>
      <c r="BS17" s="25">
        <f>=IFERROR(BS11/BS8,0)</f>
        <v>0</v>
      </c>
      <c r="BT17" s="25">
        <f>=IFERROR(BT11/BT8,0)</f>
        <v>0</v>
      </c>
      <c r="BU17" s="25">
        <f>=IFERROR(BU11/BU8,0)</f>
        <v>0</v>
      </c>
      <c r="BV17" s="25">
        <f>=IFERROR(BV11/BV8,0)</f>
        <v>0</v>
      </c>
      <c r="BW17" s="25">
        <f>=IFERROR(BW11/BW8,0)</f>
        <v>0</v>
      </c>
      <c r="BX17" s="25">
        <f>=IFERROR(BX11/BX8,0)</f>
        <v>0</v>
      </c>
      <c r="BY17" s="25">
        <f>=IFERROR(BY11/BY8,0)</f>
        <v>0</v>
      </c>
      <c r="BZ17" s="25">
        <f>=IFERROR(BZ11/BZ8,0)</f>
        <v>0</v>
      </c>
      <c r="CA17" s="25">
        <f>=IFERROR(CA11/CA8,0)</f>
        <v>0</v>
      </c>
      <c r="CB17" s="25">
        <f>=IFERROR(CB11/CB8,0)</f>
        <v>0</v>
      </c>
      <c r="CC17" s="25">
        <f>=IFERROR(CC11/CC8,0)</f>
        <v>0</v>
      </c>
      <c r="CD17" s="25">
        <f>=IFERROR(CD11/CD8,0)</f>
        <v>0</v>
      </c>
      <c r="CE17" s="25">
        <f>=IFERROR(CE11/CE8,0)</f>
        <v>0</v>
      </c>
      <c r="CF17" s="25">
        <f>=IFERROR(CF11/CF8,0)</f>
        <v>0</v>
      </c>
      <c r="CG17" s="25">
        <f>=IFERROR(CG11/CG8,0)</f>
        <v>0</v>
      </c>
      <c r="CH17" s="25">
        <f>=IFERROR(CH11/CH8,0)</f>
        <v>0</v>
      </c>
      <c r="CI17" s="25">
        <f>=IFERROR(CI11/CI8,0)</f>
        <v>0</v>
      </c>
      <c r="CJ17" s="25">
        <f>=IFERROR(CJ11/CJ8,0)</f>
        <v>0</v>
      </c>
      <c r="CK17" s="25">
        <f>=IFERROR(CK11/CK8,0)</f>
        <v>0</v>
      </c>
      <c r="CL17" s="25">
        <f>=IFERROR(CL11/CL8,0)</f>
        <v>0</v>
      </c>
      <c r="CM17" s="25">
        <f>=IFERROR(CM11/CM8,0)</f>
        <v>0</v>
      </c>
      <c r="CN17" s="25">
        <f>=IFERROR(CN11/CN8,0)</f>
        <v>0</v>
      </c>
      <c r="CO17" s="25">
        <f>=IFERROR(CO11/CO8,0)</f>
        <v>0</v>
      </c>
      <c r="CP17" s="25">
        <f>=IFERROR(CP11/CP8,0)</f>
        <v>0</v>
      </c>
      <c r="CQ17" s="25">
        <f>=IFERROR(CQ11/CQ8,0)</f>
        <v>0</v>
      </c>
      <c r="CR17" s="25">
        <f>=IFERROR(CR11/CR8,0)</f>
        <v>0</v>
      </c>
      <c r="CS17" s="25">
        <f>=IFERROR(CS11/CS8,0)</f>
        <v>0</v>
      </c>
      <c r="CT17" s="25">
        <f>=IFERROR(CT11/CT8,0)</f>
        <v>0</v>
      </c>
      <c r="CU17" s="25">
        <f>=IFERROR(CU11/CU8,0)</f>
        <v>0</v>
      </c>
      <c r="CV17" s="25">
        <f>=IFERROR(CV11/CV8,0)</f>
        <v>0</v>
      </c>
      <c r="CW17" s="25">
        <f>=IFERROR(CW11/CW8,0)</f>
        <v>0</v>
      </c>
      <c r="CX17" s="25">
        <f>=IFERROR(CX11/CX8,0)</f>
        <v>0</v>
      </c>
      <c r="CY17" s="25">
        <f>=IFERROR(CY11/CY8,0)</f>
        <v>0</v>
      </c>
      <c r="CZ17" s="25">
        <f>=IFERROR(CZ11/CZ8,0)</f>
        <v>0</v>
      </c>
      <c r="DA17" s="25">
        <f>=IFERROR(DA11/DA8,0)</f>
        <v>0</v>
      </c>
      <c r="DB17" s="25">
        <f>=IFERROR(DB11/DB8,0)</f>
        <v>0</v>
      </c>
    </row>
    <row r="18" spans="1:106" x14ac:dyDescent="0.25">
      <c r="A18" s="27" t="s">
        <v>252</v>
      </c>
      <c r="C18" s="28">
        <f>=SUM(C19:C23)</f>
        <v>13</v>
      </c>
      <c r="D18" s="28">
        <f>=SUM(D19:D23)</f>
        <v>13</v>
      </c>
      <c r="E18" s="28">
        <f>=SUM(E19:E23)</f>
        <v>12</v>
      </c>
      <c r="F18" s="28">
        <f>=SUM(F19:F23)</f>
        <v>11</v>
      </c>
      <c r="G18" s="28">
        <f>=SUM(G19:G23)</f>
        <v>11</v>
      </c>
      <c r="H18" s="28">
        <f>=SUM(H19:H23)</f>
        <v>11</v>
      </c>
      <c r="I18" s="28">
        <f>=SUM(I19:I23)</f>
        <v>14</v>
      </c>
      <c r="J18" s="28">
        <f>=SUM(J19:J23)</f>
        <v>14</v>
      </c>
      <c r="K18" s="28">
        <f>=SUM(K19:K23)</f>
        <v>14</v>
      </c>
      <c r="L18" s="28">
        <f>=SUM(L19:L23)</f>
        <v>14</v>
      </c>
      <c r="M18" s="28">
        <f>=SUM(M19:M23)</f>
        <v>15</v>
      </c>
      <c r="N18" s="28">
        <f>=SUM(N19:N23)</f>
        <v>14</v>
      </c>
      <c r="O18" s="28">
        <f>=SUM(O19:O23)</f>
        <v>14</v>
      </c>
      <c r="P18" s="28">
        <f>=SUM(P19:P23)</f>
        <v>14</v>
      </c>
      <c r="Q18" s="28">
        <f>=SUM(Q19:Q23)</f>
        <v>14</v>
      </c>
      <c r="R18" s="28">
        <f>=SUM(R19:R23)</f>
        <v>14</v>
      </c>
      <c r="S18" s="28">
        <f>=SUM(S19:S23)</f>
        <v>14</v>
      </c>
      <c r="T18" s="28">
        <f>=SUM(T19:T23)</f>
        <v>13</v>
      </c>
      <c r="U18" s="28">
        <f>=SUM(U19:U23)</f>
        <v>12</v>
      </c>
      <c r="V18" s="28">
        <f>=SUM(V19:V23)</f>
        <v>12</v>
      </c>
      <c r="W18" s="28">
        <f>=SUM(W19:W23)</f>
        <v>12</v>
      </c>
      <c r="X18" s="28">
        <f>=SUM(X19:X23)</f>
        <v>12</v>
      </c>
      <c r="Y18" s="28">
        <f>=SUM(Y19:Y23)</f>
        <v>12</v>
      </c>
      <c r="Z18" s="28">
        <f>=SUM(Z19:Z23)</f>
        <v>11</v>
      </c>
      <c r="AA18" s="28">
        <f>=SUM(AA19:AA23)</f>
        <v>13</v>
      </c>
      <c r="AB18" s="28">
        <f>=SUM(AB19:AB23)</f>
        <v>12.92</v>
      </c>
      <c r="AC18" s="28">
        <f>=SUM(AC19:AC23)</f>
        <v>13</v>
      </c>
      <c r="AD18" s="28">
        <f>=SUM(AD19:AD23)</f>
        <v>12</v>
      </c>
      <c r="AE18" s="28">
        <f>=SUM(AE19:AE23)</f>
        <v>12</v>
      </c>
      <c r="AF18" s="28">
        <f>=SUM(AF19:AF23)</f>
        <v>14</v>
      </c>
      <c r="AG18" s="29">
        <f>=SUM(AG19:AG23)</f>
        <v>13.92</v>
      </c>
      <c r="AH18" s="28">
        <f>=SUM(AH19:AH23)</f>
        <v>13.8432</v>
      </c>
      <c r="AI18" s="28">
        <f>=SUM(AI19:AI23)</f>
        <v>13.769472</v>
      </c>
      <c r="AJ18" s="28">
        <f>=SUM(AJ19:AJ23)</f>
        <v>12</v>
      </c>
      <c r="AK18" s="28">
        <f>=SUM(AK19:AK23)</f>
        <v>14</v>
      </c>
      <c r="AL18" s="28">
        <f>=SUM(AL19:AL23)</f>
        <v>14</v>
      </c>
      <c r="AM18" s="28">
        <f>=SUM(AM19:AM23)</f>
        <v>14</v>
      </c>
      <c r="AN18" s="28">
        <f>=SUM(AN19:AN23)</f>
        <v>13</v>
      </c>
      <c r="AO18" s="28">
        <f>=SUM(AO19:AO23)</f>
        <v>14</v>
      </c>
      <c r="AP18" s="28">
        <f>=SUM(AP19:AP23)</f>
        <v>12</v>
      </c>
      <c r="AQ18" s="28">
        <f>=SUM(AQ19:AQ23)</f>
        <v>11</v>
      </c>
      <c r="AR18" s="28">
        <f>=SUM(AR19:AR23)</f>
        <v>11</v>
      </c>
      <c r="AS18" s="28">
        <f>=SUM(AS19:AS23)</f>
        <v>10</v>
      </c>
      <c r="AT18" s="28">
        <f>=SUM(AT19:AT23)</f>
        <v>11</v>
      </c>
      <c r="AU18" s="28">
        <f>=SUM(AU19:AU23)</f>
        <v>21</v>
      </c>
      <c r="AV18" s="28">
        <f>=SUM(AV19:AV23)</f>
        <v>20</v>
      </c>
      <c r="AW18" s="28">
        <f>=SUM(AW19:AW23)</f>
        <v>19</v>
      </c>
      <c r="AX18" s="28">
        <f>=SUM(AX19:AX23)</f>
        <v>19</v>
      </c>
      <c r="AY18" s="28">
        <f>=SUM(AY19:AY23)</f>
        <v>19</v>
      </c>
      <c r="AZ18" s="28">
        <f>=SUM(AZ19:AZ23)</f>
        <v>19</v>
      </c>
      <c r="BA18" s="28">
        <f>=SUM(BA19:BA23)</f>
        <v>19</v>
      </c>
      <c r="BB18" s="28">
        <f>=SUM(BB19:BB23)</f>
        <v>19</v>
      </c>
      <c r="BC18" s="28">
        <f>=SUM(BC19:BC23)</f>
        <v>19</v>
      </c>
      <c r="BD18" s="28">
        <f>=SUM(BD19:BD23)</f>
        <v>19</v>
      </c>
      <c r="BE18" s="28">
        <f>=SUM(BE19:BE23)</f>
        <v>19</v>
      </c>
      <c r="BF18" s="28">
        <f>=SUM(BF19:BF23)</f>
        <v>20</v>
      </c>
      <c r="BG18" s="28">
        <f>=SUM(BG19:BG23)</f>
        <v>19.84</v>
      </c>
      <c r="BH18" s="28">
        <f>=SUM(BH19:BH23)</f>
        <v>20</v>
      </c>
      <c r="BI18" s="28">
        <f>=SUM(BI19:BI23)</f>
        <v>19.92</v>
      </c>
      <c r="BJ18" s="28">
        <f>=SUM(BJ19:BJ23)</f>
        <v>20.88</v>
      </c>
      <c r="BK18" s="28">
        <f>=SUM(BK19:BK23)</f>
        <v>19.6848</v>
      </c>
      <c r="BL18" s="28">
        <f>=SUM(BL19:BL23)</f>
        <v>17.528</v>
      </c>
      <c r="BM18" s="29">
        <v>18</v>
      </c>
      <c r="BN18" s="29">
        <v>19</v>
      </c>
      <c r="BO18" s="29">
        <v>18</v>
      </c>
      <c r="BP18" s="29">
        <v>16</v>
      </c>
      <c r="BQ18" s="28">
        <f>=SUM(BQ19:BQ23)</f>
        <v>0</v>
      </c>
      <c r="BR18" s="28">
        <f>=SUM(BR19:BR23)</f>
        <v>0</v>
      </c>
      <c r="BS18" s="28">
        <f>=SUM(BS19:BS23)</f>
        <v>0</v>
      </c>
      <c r="BT18" s="28">
        <f>=SUM(BT19:BT23)</f>
        <v>0</v>
      </c>
      <c r="BU18" s="28">
        <f>=SUM(BU19:BU23)</f>
        <v>0</v>
      </c>
      <c r="BV18" s="28">
        <f>=SUM(BV19:BV23)</f>
        <v>0</v>
      </c>
      <c r="BW18" s="28">
        <f>=SUM(BW19:BW23)</f>
        <v>0</v>
      </c>
      <c r="BX18" s="28">
        <f>=SUM(BX19:BX23)</f>
        <v>0</v>
      </c>
      <c r="BY18" s="28">
        <f>=SUM(BY19:BY23)</f>
        <v>0</v>
      </c>
      <c r="BZ18" s="28">
        <f>=SUM(BZ19:BZ23)</f>
        <v>0</v>
      </c>
      <c r="CA18" s="28">
        <f>=SUM(CA19:CA23)</f>
        <v>0</v>
      </c>
      <c r="CB18" s="28">
        <f>=SUM(CB19:CB23)</f>
        <v>0</v>
      </c>
      <c r="CC18" s="28">
        <f>=SUM(CC19:CC23)</f>
        <v>0</v>
      </c>
      <c r="CD18" s="28">
        <f>=SUM(CD19:CD23)</f>
        <v>0</v>
      </c>
      <c r="CE18" s="28">
        <f>=SUM(CE19:CE23)</f>
        <v>0</v>
      </c>
      <c r="CF18" s="28">
        <f>=SUM(CF19:CF23)</f>
        <v>0</v>
      </c>
      <c r="CG18" s="28">
        <f>=SUM(CG19:CG23)</f>
        <v>0</v>
      </c>
      <c r="CH18" s="28">
        <f>=SUM(CH19:CH23)</f>
        <v>0</v>
      </c>
      <c r="CI18" s="28">
        <f>=SUM(CI19:CI23)</f>
        <v>0</v>
      </c>
      <c r="CJ18" s="28">
        <f>=SUM(CJ19:CJ23)</f>
        <v>0</v>
      </c>
      <c r="CK18" s="28">
        <f>=SUM(CK19:CK23)</f>
        <v>0</v>
      </c>
      <c r="CL18" s="28">
        <f>=SUM(CL19:CL23)</f>
        <v>0</v>
      </c>
      <c r="CM18" s="28">
        <f>=SUM(CM19:CM23)</f>
        <v>0</v>
      </c>
      <c r="CN18" s="28">
        <f>=SUM(CN19:CN23)</f>
        <v>0</v>
      </c>
      <c r="CO18" s="28">
        <f>=SUM(CO19:CO23)</f>
        <v>0</v>
      </c>
      <c r="CP18" s="28">
        <f>=SUM(CP19:CP23)</f>
        <v>0</v>
      </c>
      <c r="CQ18" s="28">
        <f>=SUM(CQ19:CQ23)</f>
        <v>0</v>
      </c>
      <c r="CR18" s="28">
        <f>=SUM(CR19:CR23)</f>
        <v>0</v>
      </c>
      <c r="CS18" s="28">
        <f>=SUM(CS19:CS23)</f>
        <v>0</v>
      </c>
      <c r="CT18" s="28">
        <f>=SUM(CT19:CT23)</f>
        <v>0</v>
      </c>
      <c r="CU18" s="28">
        <f>=SUM(CU19:CU23)</f>
        <v>0</v>
      </c>
      <c r="CV18" s="28">
        <f>=SUM(CV19:CV23)</f>
        <v>0</v>
      </c>
      <c r="CW18" s="28">
        <f>=SUM(CW19:CW23)</f>
        <v>0</v>
      </c>
      <c r="CX18" s="28">
        <f>=SUM(CX19:CX23)</f>
        <v>0</v>
      </c>
      <c r="CY18" s="28">
        <f>=SUM(CY19:CY23)</f>
        <v>0</v>
      </c>
      <c r="CZ18" s="28">
        <f>=SUM(CZ19:CZ23)</f>
        <v>0</v>
      </c>
      <c r="DA18" s="28">
        <f>=SUM(DA19:DA23)</f>
        <v>0</v>
      </c>
      <c r="DB18" s="28">
        <f>=SUM(DB19:DB23)</f>
        <v>0</v>
      </c>
    </row>
    <row r="19" spans="1:106" x14ac:dyDescent="0.25">
      <c r="A19" s="27" t="s">
        <v>253</v>
      </c>
      <c r="C19" s="28">
        <f>=IF(LEN(C82)=0,(13*(1-B41))-C81+C93+C122,(13-C81+C93+C122))</f>
        <v>13</v>
      </c>
      <c r="D19" s="28">
        <f>=IF(LEN(D82)=0,(C19*(1-C41))-D81+D93+D122,(C19-D81+D93+D122))</f>
        <v>13</v>
      </c>
      <c r="E19" s="28">
        <f>=IF(LEN(E82)=0,(D19*(1-D41))-E81+E93+E122,(D19-E81+E93+E122))</f>
        <v>12</v>
      </c>
      <c r="F19" s="28">
        <f>=IF(LEN(F82)=0,(E19*(1-E41))-F81+F93+F122,(E19-F81+F93+F122))</f>
        <v>11</v>
      </c>
      <c r="G19" s="28">
        <f>=IF(LEN(G82)=0,(F19*(1-F41))-G81+G93+G122,(F19-G81+G93+G122))</f>
        <v>11</v>
      </c>
      <c r="H19" s="28">
        <f>=IF(LEN(H82)=0,(G19*(1-G41))-H81+H93+H122,(G19-H81+H93+H122))</f>
        <v>11</v>
      </c>
      <c r="I19" s="28">
        <f>=IF(LEN(I82)=0,(H19*(1-H41))-I81+I93+I122,(H19-I81+I93+I122))</f>
        <v>11</v>
      </c>
      <c r="J19" s="28">
        <f>=IF(LEN(J82)=0,(I19*(1-I41))-J81+J93+J122,(I19-J81+J93+J122))</f>
        <v>10</v>
      </c>
      <c r="K19" s="28">
        <f>=IF(LEN(K82)=0,(J19*(1-J41))-K81+K93+K122,(J19-K81+K93+K122))</f>
        <v>10</v>
      </c>
      <c r="L19" s="28">
        <f>=IF(LEN(L82)=0,(K19*(1-K41))-L81+L93+L122,(K19-L81+L93+L122))</f>
        <v>10</v>
      </c>
      <c r="M19" s="28">
        <f>=IF(LEN(M82)=0,(L19*(1-L41))-M81+M93+M122,(L19-M81+M93+M122))</f>
        <v>15</v>
      </c>
      <c r="N19" s="28">
        <f>=IF(LEN(N82)=0,(M19*(1-M41))-N81+N93+N122,(M19-N81+N93+N122))</f>
        <v>14</v>
      </c>
      <c r="O19" s="28">
        <f>=IF(LEN(O82)=0,(N19*(1-N41))-O81+O93+O122,(N19-O81+O93+O122))</f>
        <v>14</v>
      </c>
      <c r="P19" s="28">
        <f>=IF(LEN(P82)=0,(O19*(1-O41))-P81+P93+P122,(O19-P81+P93+P122))</f>
        <v>14</v>
      </c>
      <c r="Q19" s="28">
        <f>=IF(LEN(Q82)=0,(P19*(1-P41))-Q81+Q93+Q122,(P19-Q81+Q93+Q122))</f>
        <v>14</v>
      </c>
      <c r="R19" s="28">
        <f>=IF(LEN(R82)=0,(Q19*(1-Q41))-R81+R93+R122,(Q19-R81+R93+R122))</f>
        <v>14</v>
      </c>
      <c r="S19" s="28">
        <f>=IF(LEN(S82)=0,(R19*(1-R41))-S81+S93+S122,(R19-S81+S93+S122))</f>
        <v>14</v>
      </c>
      <c r="T19" s="28">
        <f>=IF(LEN(T82)=0,(S19*(1-S41))-T81+T93+T122,(S19-T81+T93+T122))</f>
        <v>13</v>
      </c>
      <c r="U19" s="28">
        <f>=IF(LEN(U82)=0,(T19*(1-T41))-U81+U93+U122,(T19-U81+U93+U122))</f>
        <v>12</v>
      </c>
      <c r="V19" s="28">
        <f>=IF(LEN(V82)=0,(U19*(1-U41))-V81+V93+V122,(U19-V81+V93+V122))</f>
        <v>12</v>
      </c>
      <c r="W19" s="28">
        <f>=IF(LEN(W82)=0,(V19*(1-V41))-W81+W93+W122,(V19-W81+W93+W122))</f>
        <v>12</v>
      </c>
      <c r="X19" s="28">
        <f>=IF(LEN(X82)=0,(W19*(1-W41))-X81+X93+X122,(W19-X81+X93+X122))</f>
        <v>12</v>
      </c>
      <c r="Y19" s="28">
        <f>=IF(LEN(Y82)=0,(X19*(1-X41))-Y81+Y93+Y122,(X19-Y81+Y93+Y122))</f>
        <v>12</v>
      </c>
      <c r="Z19" s="28">
        <f>=IF(LEN(Z82)=0,(Y19*(1-Y41))-Z81+Z93+Z122,(Y19-Z81+Z93+Z122))</f>
        <v>11</v>
      </c>
      <c r="AA19" s="28">
        <f>=IF(LEN(AA82)=0,(Z19*(1-Z41))-AA81+AA93+AA122,(Z19-AA81+AA93+AA122))</f>
        <v>11</v>
      </c>
      <c r="AB19" s="28">
        <f>=IF(LEN(AB82)=0,(AA19*(1-AA41))-AB81+AB93+AB122,(AA19-AB81+AB93+AB122))</f>
        <v>11</v>
      </c>
      <c r="AC19" s="28">
        <f>=IF(LEN(AC82)=0,(AB19*(1-AB41))-AC81+AC93+AC122,(AB19-AC81+AC93+AC122))</f>
        <v>11</v>
      </c>
      <c r="AD19" s="28">
        <f>=IF(LEN(AD82)=0,(AC19*(1-AC41))-AD81+AD93+AD122,(AC19-AD81+AD93+AD122))</f>
        <v>11</v>
      </c>
      <c r="AE19" s="28">
        <f>=IF(LEN(AE82)=0,(AD19*(1-AD41))-AE81+AE93+AE122,(AD19-AE81+AE93+AE122))</f>
        <v>12</v>
      </c>
      <c r="AF19" s="28">
        <f>=IF(LEN(AF82)=0,(AE19*(1-AE41))-AF81+AF93+AF122,(AE19-AF81+AF93+AF122))</f>
        <v>12</v>
      </c>
      <c r="AG19" s="28">
        <f>=IF(LEN(AG82)=0,(AF19*(1-AF41))-AG81+AG93+AG122,(AF19-AG81+AG93+AG122))</f>
        <v>12</v>
      </c>
      <c r="AH19" s="28">
        <f>=IF(LEN(AH82)=0,(AG19*(1-AG41))-AH81+AH93+AH122,(AG19-AH81+AH93+AH122))</f>
        <v>12</v>
      </c>
      <c r="AI19" s="28">
        <f>=IF(LEN(AI82)=0,(AH19*(1-AH41))-AI81+AI93+AI122,(AH19-AI81+AI93+AI122))</f>
        <v>12</v>
      </c>
      <c r="AJ19" s="28">
        <f>=IF(LEN(AJ82)=0,(AI19*(1-AI41))-AJ81+AJ93+AJ122,(AI19-AJ81+AJ93+AJ122))</f>
        <v>12</v>
      </c>
      <c r="AK19" s="28">
        <f>=IF(LEN(AK82)=0,(AJ19*(1-AJ41))-AK81+AK93+AK122,(AJ19-AK81+AK93+AK122))</f>
        <v>12</v>
      </c>
      <c r="AL19" s="28">
        <f>=IF(LEN(AL82)=0,(AK19*(1-AK41))-AL81+AL93+AL122,(AK19-AL81+AL93+AL122))</f>
        <v>12</v>
      </c>
      <c r="AM19" s="28">
        <f>=IF(LEN(AM82)=0,(AL19*(1-AL41))-AM81+AM93+AM122,(AL19-AM81+AM93+AM122))</f>
        <v>12</v>
      </c>
      <c r="AN19" s="28">
        <f>=IF(LEN(AN82)=0,(AM19*(1-AM41))-AN81+AN93+AN122,(AM19-AN81+AN93+AN122))</f>
        <v>11</v>
      </c>
      <c r="AO19" s="28">
        <f>=IF(LEN(AO82)=0,(AN19*(1-AN41))-AO81+AO93+AO122,(AN19-AO81+AO93+AO122))</f>
        <v>12</v>
      </c>
      <c r="AP19" s="28">
        <f>=IF(LEN(AP82)=0,(AO19*(1-AO41))-AP81+AP93+AP122,(AO19-AP81+AP93+AP122))</f>
        <v>10</v>
      </c>
      <c r="AQ19" s="28">
        <f>=IF(LEN(AQ82)=0,(AP19*(1-AP41))-AQ81+AQ93+AQ122,(AP19-AQ81+AQ93+AQ122))</f>
        <v>11</v>
      </c>
      <c r="AR19" s="28">
        <f>=IF(LEN(AR82)=0,(AQ19*(1-AQ41))-AR81+AR93+AR122,(AQ19-AR81+AR93+AR122))</f>
        <v>11</v>
      </c>
      <c r="AS19" s="28">
        <f>=IF(LEN(AS82)=0,(AR19*(1-AR41))-AS81+AS93+AS122,(AR19-AS81+AS93+AS122))</f>
        <v>10</v>
      </c>
      <c r="AT19" s="28">
        <f>=IF(LEN(AT82)=0,(AS19*(1-AS41))-AT81+AT93+AT122,(AS19-AT81+AT93+AT122))</f>
        <v>11</v>
      </c>
      <c r="AU19" s="28">
        <f>=IF(LEN(AU82)=0,(AT19*(1-AT41))-AU81+AU93+AU122,(AT19-AU81+AU93+AU122))</f>
        <v>10</v>
      </c>
      <c r="AV19" s="28">
        <f>=IF(LEN(AV82)=0,(AU19*(1-AU41))-AV81+AV93+AV122,(AU19-AV81+AV93+AV122))</f>
        <v>10</v>
      </c>
      <c r="AW19" s="28">
        <f>=IF(LEN(AW82)=0,(AV19*(1-AV41))-AW81+AW93+AW122,(AV19-AW81+AW93+AW122))</f>
        <v>9</v>
      </c>
      <c r="AX19" s="28">
        <f>=IF(LEN(AX82)=0,(AW19*(1-AW41))-AX81+AX93+AX122,(AW19-AX81+AX93+AX122))</f>
        <v>9</v>
      </c>
      <c r="AY19" s="28">
        <f>=IF(LEN(AY82)=0,(AX19*(1-AX41))-AY81+AY93+AY122,(AX19-AY81+AY93+AY122))</f>
        <v>9</v>
      </c>
      <c r="AZ19" s="28">
        <f>=IF(LEN(AZ82)=0,(AY19*(1-AY41))-AZ81+AZ93+AZ122,(AY19-AZ81+AZ93+AZ122))</f>
        <v>9</v>
      </c>
      <c r="BA19" s="28">
        <f>=IF(LEN(BA82)=0,(AZ19*(1-AZ41))-BA81+BA93+BA122,(AZ19-BA81+BA93+BA122))</f>
        <v>17</v>
      </c>
      <c r="BB19" s="28">
        <f>=IF(LEN(BB82)=0,(BA19*(1-BA41))-BB81+BB93+BB122,(BA19-BB81+BB93+BB122))</f>
        <v>17</v>
      </c>
      <c r="BC19" s="28">
        <f>=IF(LEN(BC82)=0,(BB19*(1-BB41))-BC81+BC93+BC122,(BB19-BC81+BC93+BC122))</f>
        <v>19</v>
      </c>
      <c r="BD19" s="28">
        <f>=IF(LEN(BD82)=0,(BC19*(1-BC41))-BD81+BD93+BD122,(BC19-BD81+BD93+BD122))</f>
        <v>19</v>
      </c>
      <c r="BE19" s="28">
        <f>=IF(LEN(BE82)=0,(BD19*(1-BD41))-BE81+BE93+BE122,(BD19-BE81+BE93+BE122))</f>
        <v>16</v>
      </c>
      <c r="BF19" s="28">
        <f>=IF(LEN(BF82)=0,(BE19*(1-BE41))-BF81+BF93+BF122,(BE19-BF81+BF93+BF122))</f>
        <v>16</v>
      </c>
      <c r="BG19" s="28">
        <f>=IF(LEN(BG82)=0,(BF19*(1-BF41))-BG81+BG93+BG122,(BF19-BG81+BG93+BG122))</f>
        <v>16</v>
      </c>
      <c r="BH19" s="28">
        <f>=IF(LEN(BH82)=0,(BG19*(1-BG41))-BH81+BH93+BH122,(BG19-BH81+BH93+BH122))</f>
        <v>15</v>
      </c>
      <c r="BI19" s="28">
        <f>=IF(LEN(BI82)=0,(BH19*(1-BH41))-BI81+BI93+BI122,(BH19-BI81+BI93+BI122))</f>
        <v>15</v>
      </c>
      <c r="BJ19" s="28">
        <f>=IF(LEN(BJ82)=0,(BI19*(1-BI41))-BJ81+BJ93+BJ122,(BI19-BJ81+BJ93+BJ122))</f>
        <v>13</v>
      </c>
      <c r="BK19" s="28">
        <f>=IF(LEN(BK82)=0,(BJ19*(1-BJ41))-BK81+BK93+BK122,(BJ19-BK81+BK93+BK122))</f>
        <v>15.7648</v>
      </c>
      <c r="BL19" s="28">
        <f>=IF(LEN(BL82)=0,(BK19*(1-BK41))-BL81+BL93+BL122,(BK19-BL81+BL93+BL122))</f>
        <v>13.7648</v>
      </c>
      <c r="BM19" s="28">
        <f>=IF(LEN(BM82)=0,(BL19*(1-BL41))-BM81+BM93+BM122,(BL19-BM81+BM93+BM122))</f>
        <v>13.7648</v>
      </c>
      <c r="BN19" s="28">
        <f>=IF(LEN(BN82)=0,(BM19*(1-BM41))-BN81+BN93+BN122,(BM19-BN81+BN93+BN122))</f>
        <v>16.534272</v>
      </c>
      <c r="BO19" s="28">
        <f>=IF(LEN(BO82)=0,(BN19*(1-BN41))-BO81+BO93+BO122,(BN19-BO81+BO93+BO122))</f>
        <v>15.534272</v>
      </c>
      <c r="BP19" s="29">
        <v>16</v>
      </c>
      <c r="BQ19" s="28">
        <f>=IF(LEN(BQ82)=0,(BP19*(1-BP41))-BQ81+BQ93+BQ122,(BP19-BQ81+BQ93+BQ122))</f>
        <v>0</v>
      </c>
      <c r="BR19" s="28">
        <f>=IF(LEN(BR82)=0,(BQ19*(1-BQ41))-BR81+BR93+BR122,(BQ19-BR81+BR93+BR122))</f>
        <v>0</v>
      </c>
      <c r="BS19" s="28">
        <f>=IF(LEN(BS82)=0,(BR19*(1-BR41))-BS81+BS93+BS122,(BR19-BS81+BS93+BS122))</f>
        <v>0</v>
      </c>
      <c r="BT19" s="28">
        <f>=IF(LEN(BT82)=0,(BS19*(1-BS41))-BT81+BT93+BT122,(BS19-BT81+BT93+BT122))</f>
        <v>0</v>
      </c>
      <c r="BU19" s="28">
        <f>=IF(LEN(BU82)=0,(BT19*(1-BT41))-BU81+BU93+BU122,(BT19-BU81+BU93+BU122))</f>
        <v>0</v>
      </c>
      <c r="BV19" s="28">
        <f>=IF(LEN(BV82)=0,(BU19*(1-BU41))-BV81+BV93+BV122,(BU19-BV81+BV93+BV122))</f>
        <v>0</v>
      </c>
      <c r="BW19" s="28">
        <f>=IF(LEN(BW82)=0,(BV19*(1-BV41))-BW81+BW93+BW122,(BV19-BW81+BW93+BW122))</f>
        <v>0</v>
      </c>
      <c r="BX19" s="28">
        <f>=IF(LEN(BX82)=0,(BW19*(1-BW41))-BX81+BX93+BX122,(BW19-BX81+BX93+BX122))</f>
        <v>0</v>
      </c>
      <c r="BY19" s="28">
        <f>=IF(LEN(BY82)=0,(BX19*(1-BX41))-BY81+BY93+BY122,(BX19-BY81+BY93+BY122))</f>
        <v>0</v>
      </c>
      <c r="BZ19" s="28">
        <f>=IF(LEN(BZ82)=0,(BY19*(1-BY41))-BZ81+BZ93+BZ122,(BY19-BZ81+BZ93+BZ122))</f>
        <v>0</v>
      </c>
      <c r="CA19" s="28">
        <f>=IF(LEN(CA82)=0,(BZ19*(1-BZ41))-CA81+CA93+CA122,(BZ19-CA81+CA93+CA122))</f>
        <v>0</v>
      </c>
      <c r="CB19" s="28">
        <f>=IF(LEN(CB82)=0,(CA19*(1-CA41))-CB81+CB93+CB122,(CA19-CB81+CB93+CB122))</f>
        <v>0</v>
      </c>
      <c r="CC19" s="28">
        <f>=IF(LEN(CC82)=0,(CB19*(1-CB41))-CC81+CC93+CC122,(CB19-CC81+CC93+CC122))</f>
        <v>0</v>
      </c>
      <c r="CD19" s="28">
        <f>=IF(LEN(CD82)=0,(CC19*(1-CC41))-CD81+CD93+CD122,(CC19-CD81+CD93+CD122))</f>
        <v>0</v>
      </c>
      <c r="CE19" s="28">
        <f>=IF(LEN(CE82)=0,(CD19*(1-CD41))-CE81+CE93+CE122,(CD19-CE81+CE93+CE122))</f>
        <v>0</v>
      </c>
      <c r="CF19" s="28">
        <f>=IF(LEN(CF82)=0,(CE19*(1-CE41))-CF81+CF93+CF122,(CE19-CF81+CF93+CF122))</f>
        <v>0</v>
      </c>
      <c r="CG19" s="28">
        <f>=IF(LEN(CG82)=0,(CF19*(1-CF41))-CG81+CG93+CG122,(CF19-CG81+CG93+CG122))</f>
        <v>0</v>
      </c>
      <c r="CH19" s="28">
        <f>=IF(LEN(CH82)=0,(CG19*(1-CG41))-CH81+CH93+CH122,(CG19-CH81+CH93+CH122))</f>
        <v>0</v>
      </c>
      <c r="CI19" s="28">
        <f>=IF(LEN(CI82)=0,(CH19*(1-CH41))-CI81+CI93+CI122,(CH19-CI81+CI93+CI122))</f>
        <v>0</v>
      </c>
      <c r="CJ19" s="28">
        <f>=IF(LEN(CJ82)=0,(CI19*(1-CI41))-CJ81+CJ93+CJ122,(CI19-CJ81+CJ93+CJ122))</f>
        <v>0</v>
      </c>
      <c r="CK19" s="28">
        <f>=IF(LEN(CK82)=0,(CJ19*(1-CJ41))-CK81+CK93+CK122,(CJ19-CK81+CK93+CK122))</f>
        <v>0</v>
      </c>
      <c r="CL19" s="28">
        <f>=IF(LEN(CL82)=0,(CK19*(1-CK41))-CL81+CL93+CL122,(CK19-CL81+CL93+CL122))</f>
        <v>0</v>
      </c>
      <c r="CM19" s="28">
        <f>=IF(LEN(CM82)=0,(CL19*(1-CL41))-CM81+CM93+CM122,(CL19-CM81+CM93+CM122))</f>
        <v>0</v>
      </c>
      <c r="CN19" s="28">
        <f>=IF(LEN(CN82)=0,(CM19*(1-CM41))-CN81+CN93+CN122,(CM19-CN81+CN93+CN122))</f>
        <v>0</v>
      </c>
      <c r="CO19" s="28">
        <f>=IF(LEN(CO82)=0,(CN19*(1-CN41))-CO81+CO93+CO122,(CN19-CO81+CO93+CO122))</f>
        <v>0</v>
      </c>
      <c r="CP19" s="28">
        <f>=IF(LEN(CP82)=0,(CO19*(1-CO41))-CP81+CP93+CP122,(CO19-CP81+CP93+CP122))</f>
        <v>0</v>
      </c>
      <c r="CQ19" s="28">
        <f>=IF(LEN(CQ82)=0,(CP19*(1-CP41))-CQ81+CQ93+CQ122,(CP19-CQ81+CQ93+CQ122))</f>
        <v>0</v>
      </c>
      <c r="CR19" s="28">
        <f>=IF(LEN(CR82)=0,(CQ19*(1-CQ41))-CR81+CR93+CR122,(CQ19-CR81+CR93+CR122))</f>
        <v>0</v>
      </c>
      <c r="CS19" s="28">
        <f>=IF(LEN(CS82)=0,(CR19*(1-CR41))-CS81+CS93+CS122,(CR19-CS81+CS93+CS122))</f>
        <v>0</v>
      </c>
      <c r="CT19" s="28">
        <f>=IF(LEN(CT82)=0,(CS19*(1-CS41))-CT81+CT93+CT122,(CS19-CT81+CT93+CT122))</f>
        <v>0</v>
      </c>
      <c r="CU19" s="28">
        <f>=IF(LEN(CU82)=0,(CT19*(1-CT41))-CU81+CU93+CU122,(CT19-CU81+CU93+CU122))</f>
        <v>0</v>
      </c>
      <c r="CV19" s="28">
        <f>=IF(LEN(CV82)=0,(CU19*(1-CU41))-CV81+CV93+CV122,(CU19-CV81+CV93+CV122))</f>
        <v>0</v>
      </c>
      <c r="CW19" s="28">
        <f>=IF(LEN(CW82)=0,(CV19*(1-CV41))-CW81+CW93+CW122,(CV19-CW81+CW93+CW122))</f>
        <v>0</v>
      </c>
      <c r="CX19" s="28">
        <f>=IF(LEN(CX82)=0,(CW19*(1-CW41))-CX81+CX93+CX122,(CW19-CX81+CX93+CX122))</f>
        <v>0</v>
      </c>
      <c r="CY19" s="28">
        <f>=IF(LEN(CY82)=0,(CX19*(1-CX41))-CY81+CY93+CY122,(CX19-CY81+CY93+CY122))</f>
        <v>0</v>
      </c>
      <c r="CZ19" s="28">
        <f>=IF(LEN(CZ82)=0,(CY19*(1-CY41))-CZ81+CZ93+CZ122,(CY19-CZ81+CZ93+CZ122))</f>
        <v>0</v>
      </c>
      <c r="DA19" s="28">
        <f>=IF(LEN(DA82)=0,(CZ19*(1-CZ41))-DA81+DA93+DA122,(CZ19-DA81+DA93+DA122))</f>
        <v>0</v>
      </c>
      <c r="DB19" s="28">
        <f>=IF(LEN(DB82)=0,(DA19*(1-DA41))-DB81+DB93+DB122,(DA19-DB81+DB93+DB122))</f>
        <v>0</v>
      </c>
    </row>
    <row r="20" spans="1:106" x14ac:dyDescent="0.25">
      <c r="A20" s="27" t="s">
        <v>254</v>
      </c>
      <c r="C20" s="28">
        <f>=SUM(C113:C115)</f>
        <v>0</v>
      </c>
      <c r="D20" s="28">
        <f>=SUM(D113:D115)</f>
        <v>0</v>
      </c>
      <c r="E20" s="28">
        <f>=SUM(E113:E115)</f>
        <v>0</v>
      </c>
      <c r="F20" s="28">
        <f>=SUM(F113:F115)</f>
        <v>0</v>
      </c>
      <c r="G20" s="28">
        <f>=SUM(G113:G115)</f>
        <v>0</v>
      </c>
      <c r="H20" s="28">
        <f>=SUM(H113:H115)</f>
        <v>0</v>
      </c>
      <c r="I20" s="28">
        <f>=SUM(I113:I115)</f>
        <v>3</v>
      </c>
      <c r="J20" s="28">
        <f>=SUM(J113:J115)</f>
        <v>0</v>
      </c>
      <c r="K20" s="28">
        <f>=SUM(K113:K115)</f>
        <v>0</v>
      </c>
      <c r="L20" s="28">
        <f>=SUM(L113:L115)</f>
        <v>0</v>
      </c>
      <c r="M20" s="28">
        <f>=SUM(M113:M115)</f>
        <v>0</v>
      </c>
      <c r="N20" s="28">
        <f>=SUM(N113:N115)</f>
        <v>0</v>
      </c>
      <c r="O20" s="28">
        <f>=SUM(O113:O115)</f>
        <v>0</v>
      </c>
      <c r="P20" s="28">
        <f>=SUM(P113:P115)</f>
        <v>0</v>
      </c>
      <c r="Q20" s="28">
        <f>=SUM(Q113:Q115)</f>
        <v>0</v>
      </c>
      <c r="R20" s="28">
        <f>=SUM(R113:R115)</f>
        <v>0</v>
      </c>
      <c r="S20" s="28">
        <f>=SUM(S113:S115)</f>
        <v>0</v>
      </c>
      <c r="T20" s="28">
        <f>=SUM(T113:T115)</f>
        <v>0</v>
      </c>
      <c r="U20" s="28">
        <f>=SUM(U113:U115)</f>
        <v>0</v>
      </c>
      <c r="V20" s="28">
        <f>=SUM(V113:V115)</f>
        <v>0</v>
      </c>
      <c r="W20" s="28">
        <f>=SUM(W113:W115)</f>
        <v>0</v>
      </c>
      <c r="X20" s="28">
        <f>=SUM(X113:X115)</f>
        <v>0</v>
      </c>
      <c r="Y20" s="28">
        <f>=SUM(Y113:Y115)</f>
        <v>0</v>
      </c>
      <c r="Z20" s="28">
        <f>=SUM(Z113:Z115)</f>
        <v>0</v>
      </c>
      <c r="AA20" s="28">
        <f>=SUM(AA113:AA115)</f>
        <v>2</v>
      </c>
      <c r="AB20" s="28">
        <f>=SUM(AB113:AB115)</f>
        <v>0</v>
      </c>
      <c r="AC20" s="28">
        <f>=SUM(AC113:AC115)</f>
        <v>0</v>
      </c>
      <c r="AD20" s="28">
        <f>=SUM(AD113:AD115)</f>
        <v>0</v>
      </c>
      <c r="AE20" s="28">
        <f>=SUM(AE113:AE115)</f>
        <v>0</v>
      </c>
      <c r="AF20" s="28">
        <f>=SUM(AF113:AF115)</f>
        <v>2</v>
      </c>
      <c r="AG20" s="28">
        <f>=SUM(AG113:AG115)</f>
        <v>0</v>
      </c>
      <c r="AH20" s="28">
        <f>=SUM(AH113:AH115)</f>
        <v>0</v>
      </c>
      <c r="AI20" s="28">
        <f>=SUM(AI113:AI115)</f>
        <v>0</v>
      </c>
      <c r="AJ20" s="28">
        <f>=SUM(AJ113:AJ115)</f>
        <v>0</v>
      </c>
      <c r="AK20" s="28">
        <f>=SUM(AK113:AK115)</f>
        <v>2</v>
      </c>
      <c r="AL20" s="28">
        <f>=SUM(AL113:AL115)</f>
        <v>0</v>
      </c>
      <c r="AM20" s="28">
        <f>=SUM(AM113:AM115)</f>
        <v>0</v>
      </c>
      <c r="AN20" s="28">
        <f>=SUM(AN113:AN115)</f>
        <v>0</v>
      </c>
      <c r="AO20" s="28">
        <f>=SUM(AO113:AO115)</f>
        <v>0</v>
      </c>
      <c r="AP20" s="28">
        <f>=SUM(AP113:AP115)</f>
        <v>0</v>
      </c>
      <c r="AQ20" s="28">
        <f>=SUM(AQ113:AQ115)</f>
        <v>0</v>
      </c>
      <c r="AR20" s="28">
        <f>=SUM(AR113:AR115)</f>
        <v>0</v>
      </c>
      <c r="AS20" s="28">
        <f>=SUM(AS113:AS115)</f>
        <v>0</v>
      </c>
      <c r="AT20" s="28">
        <f>=SUM(AT113:AT115)</f>
        <v>0</v>
      </c>
      <c r="AU20" s="28">
        <f>=SUM(AU113:AU115)</f>
        <v>11</v>
      </c>
      <c r="AV20" s="28">
        <f>=SUM(AV113:AV115)</f>
        <v>0</v>
      </c>
      <c r="AW20" s="28">
        <f>=SUM(AW113:AW115)</f>
        <v>2</v>
      </c>
      <c r="AX20" s="28">
        <f>=SUM(AX113:AX115)</f>
        <v>0</v>
      </c>
      <c r="AY20" s="28">
        <f>=SUM(AY113:AY115)</f>
        <v>0</v>
      </c>
      <c r="AZ20" s="28">
        <f>=SUM(AZ113:AZ115)</f>
        <v>0</v>
      </c>
      <c r="BA20" s="28">
        <f>=SUM(BA113:BA115)</f>
        <v>0</v>
      </c>
      <c r="BB20" s="28">
        <f>=SUM(BB113:BB115)</f>
        <v>0</v>
      </c>
      <c r="BC20" s="28">
        <f>=SUM(BC113:BC115)</f>
        <v>0</v>
      </c>
      <c r="BD20" s="28">
        <f>=SUM(BD113:BD115)</f>
        <v>0</v>
      </c>
      <c r="BE20" s="28">
        <f>=SUM(BE113:BE115)</f>
        <v>3</v>
      </c>
      <c r="BF20" s="28">
        <f>=SUM(BF113:BF115)</f>
        <v>0</v>
      </c>
      <c r="BG20" s="28">
        <f>=SUM(BG113:BG115)</f>
        <v>0</v>
      </c>
      <c r="BH20" s="28">
        <f>=SUM(BH113:BH115)</f>
        <v>2</v>
      </c>
      <c r="BI20" s="28">
        <f>=SUM(BI113:BI115)</f>
        <v>0</v>
      </c>
      <c r="BJ20" s="28">
        <f>=SUM(BJ113:BJ115)</f>
        <v>2</v>
      </c>
      <c r="BK20" s="28">
        <f>=SUM(BK113:BK115)</f>
        <v>0</v>
      </c>
      <c r="BL20" s="28">
        <f>=SUM(BL113:BL115)</f>
        <v>0</v>
      </c>
      <c r="BM20" s="28">
        <f>=SUM(BM113:BM115)</f>
        <v>0</v>
      </c>
      <c r="BN20" s="28">
        <f>=SUM(BN113:BN115)</f>
        <v>0</v>
      </c>
      <c r="BO20" s="28">
        <f>=SUM(BO113:BO115)</f>
        <v>0</v>
      </c>
      <c r="BP20" s="28">
        <f>=SUM(BP113:BP115)</f>
        <v>0</v>
      </c>
      <c r="BQ20" s="28">
        <f>=SUM(BQ113:BQ115)</f>
        <v>0</v>
      </c>
      <c r="BR20" s="28">
        <f>=SUM(BR113:BR115)</f>
        <v>0</v>
      </c>
      <c r="BS20" s="28">
        <f>=SUM(BS113:BS115)</f>
        <v>0</v>
      </c>
      <c r="BT20" s="28">
        <f>=SUM(BT113:BT115)</f>
        <v>0</v>
      </c>
      <c r="BU20" s="28">
        <f>=SUM(BU113:BU115)</f>
        <v>0</v>
      </c>
      <c r="BV20" s="28">
        <f>=SUM(BV113:BV115)</f>
        <v>0</v>
      </c>
      <c r="BW20" s="28">
        <f>=SUM(BW113:BW115)</f>
        <v>0</v>
      </c>
      <c r="BX20" s="28">
        <f>=SUM(BX113:BX115)</f>
        <v>0</v>
      </c>
      <c r="BY20" s="28">
        <f>=SUM(BY113:BY115)</f>
        <v>0</v>
      </c>
      <c r="BZ20" s="28">
        <f>=SUM(BZ113:BZ115)</f>
        <v>0</v>
      </c>
      <c r="CA20" s="28">
        <f>=SUM(CA113:CA115)</f>
        <v>0</v>
      </c>
      <c r="CB20" s="28">
        <f>=SUM(CB113:CB115)</f>
        <v>0</v>
      </c>
      <c r="CC20" s="28">
        <f>=SUM(CC113:CC115)</f>
        <v>0</v>
      </c>
      <c r="CD20" s="28">
        <f>=SUM(CD113:CD115)</f>
        <v>0</v>
      </c>
      <c r="CE20" s="28">
        <f>=SUM(CE113:CE115)</f>
        <v>0</v>
      </c>
      <c r="CF20" s="28">
        <f>=SUM(CF113:CF115)</f>
        <v>0</v>
      </c>
      <c r="CG20" s="28">
        <f>=SUM(CG113:CG115)</f>
        <v>0</v>
      </c>
      <c r="CH20" s="28">
        <f>=SUM(CH113:CH115)</f>
        <v>0</v>
      </c>
      <c r="CI20" s="28">
        <f>=SUM(CI113:CI115)</f>
        <v>0</v>
      </c>
      <c r="CJ20" s="28">
        <f>=SUM(CJ113:CJ115)</f>
        <v>0</v>
      </c>
      <c r="CK20" s="28">
        <f>=SUM(CK113:CK115)</f>
        <v>0</v>
      </c>
      <c r="CL20" s="28">
        <f>=SUM(CL113:CL115)</f>
        <v>0</v>
      </c>
      <c r="CM20" s="28">
        <f>=SUM(CM113:CM115)</f>
        <v>0</v>
      </c>
      <c r="CN20" s="28">
        <f>=SUM(CN113:CN115)</f>
        <v>0</v>
      </c>
      <c r="CO20" s="28">
        <f>=SUM(CO113:CO115)</f>
        <v>0</v>
      </c>
      <c r="CP20" s="28">
        <f>=SUM(CP113:CP115)</f>
        <v>0</v>
      </c>
      <c r="CQ20" s="28">
        <f>=SUM(CQ113:CQ115)</f>
        <v>0</v>
      </c>
      <c r="CR20" s="28">
        <f>=SUM(CR113:CR115)</f>
        <v>0</v>
      </c>
      <c r="CS20" s="28">
        <f>=SUM(CS113:CS115)</f>
        <v>0</v>
      </c>
      <c r="CT20" s="28">
        <f>=SUM(CT113:CT115)</f>
        <v>0</v>
      </c>
      <c r="CU20" s="28">
        <f>=SUM(CU113:CU115)</f>
        <v>0</v>
      </c>
      <c r="CV20" s="28">
        <f>=SUM(CV113:CV115)</f>
        <v>0</v>
      </c>
      <c r="CW20" s="28">
        <f>=SUM(CW113:CW115)</f>
        <v>0</v>
      </c>
      <c r="CX20" s="28">
        <f>=SUM(CX113:CX115)</f>
        <v>0</v>
      </c>
      <c r="CY20" s="28">
        <f>=SUM(CY113:CY115)</f>
        <v>0</v>
      </c>
      <c r="CZ20" s="28">
        <f>=SUM(CZ113:CZ115)</f>
        <v>0</v>
      </c>
      <c r="DA20" s="28">
        <f>=SUM(DA113:DA115)</f>
        <v>0</v>
      </c>
      <c r="DB20" s="28">
        <f>=SUM(DB113:DB115)</f>
        <v>0</v>
      </c>
    </row>
    <row r="21" spans="1:106" x14ac:dyDescent="0.25">
      <c r="A21" s="27" t="s">
        <v>255</v>
      </c>
      <c r="C21" s="28">
        <f>=SUM(C116:C117)</f>
        <v>0</v>
      </c>
      <c r="D21" s="28">
        <f>=SUM(D116:D117)</f>
        <v>0</v>
      </c>
      <c r="E21" s="28">
        <f>=SUM(E116:E117)</f>
        <v>0</v>
      </c>
      <c r="F21" s="28">
        <f>=SUM(F116:F117)</f>
        <v>0</v>
      </c>
      <c r="G21" s="28">
        <f>=SUM(G116:G117)</f>
        <v>0</v>
      </c>
      <c r="H21" s="28">
        <f>=SUM(H116:H117)</f>
        <v>0</v>
      </c>
      <c r="I21" s="28">
        <f>=SUM(I116:I117)</f>
        <v>0</v>
      </c>
      <c r="J21" s="28">
        <f>=SUM(J116:J117)</f>
        <v>4</v>
      </c>
      <c r="K21" s="28">
        <f>=SUM(K116:K117)</f>
        <v>0</v>
      </c>
      <c r="L21" s="28">
        <f>=SUM(L116:L117)</f>
        <v>0</v>
      </c>
      <c r="M21" s="28">
        <f>=SUM(M116:M117)</f>
        <v>0</v>
      </c>
      <c r="N21" s="28">
        <f>=SUM(N116:N117)</f>
        <v>0</v>
      </c>
      <c r="O21" s="28">
        <f>=SUM(O116:O117)</f>
        <v>0</v>
      </c>
      <c r="P21" s="28">
        <f>=SUM(P116:P117)</f>
        <v>0</v>
      </c>
      <c r="Q21" s="28">
        <f>=SUM(Q116:Q117)</f>
        <v>0</v>
      </c>
      <c r="R21" s="28">
        <f>=SUM(R116:R117)</f>
        <v>0</v>
      </c>
      <c r="S21" s="28">
        <f>=SUM(S116:S117)</f>
        <v>0</v>
      </c>
      <c r="T21" s="28">
        <f>=SUM(T116:T117)</f>
        <v>0</v>
      </c>
      <c r="U21" s="28">
        <f>=SUM(U116:U117)</f>
        <v>0</v>
      </c>
      <c r="V21" s="28">
        <f>=SUM(V116:V117)</f>
        <v>0</v>
      </c>
      <c r="W21" s="28">
        <f>=SUM(W116:W117)</f>
        <v>0</v>
      </c>
      <c r="X21" s="28">
        <f>=SUM(X116:X117)</f>
        <v>0</v>
      </c>
      <c r="Y21" s="28">
        <f>=SUM(Y116:Y117)</f>
        <v>0</v>
      </c>
      <c r="Z21" s="28">
        <f>=SUM(Z116:Z117)</f>
        <v>0</v>
      </c>
      <c r="AA21" s="28">
        <f>=SUM(AA116:AA117)</f>
        <v>0</v>
      </c>
      <c r="AB21" s="28">
        <f>=SUM(AB116:AB117)</f>
        <v>1.92</v>
      </c>
      <c r="AC21" s="28">
        <f>=SUM(AC116:AC117)</f>
        <v>0</v>
      </c>
      <c r="AD21" s="28">
        <f>=SUM(AD116:AD117)</f>
        <v>0</v>
      </c>
      <c r="AE21" s="28">
        <f>=SUM(AE116:AE117)</f>
        <v>0</v>
      </c>
      <c r="AF21" s="28">
        <f>=SUM(AF116:AF117)</f>
        <v>0</v>
      </c>
      <c r="AG21" s="28">
        <f>=SUM(AG116:AG117)</f>
        <v>1.92</v>
      </c>
      <c r="AH21" s="28">
        <f>=SUM(AH116:AH117)</f>
        <v>0</v>
      </c>
      <c r="AI21" s="28">
        <f>=SUM(AI116:AI117)</f>
        <v>0</v>
      </c>
      <c r="AJ21" s="28">
        <f>=SUM(AJ116:AJ117)</f>
        <v>0</v>
      </c>
      <c r="AK21" s="28">
        <f>=SUM(AK116:AK117)</f>
        <v>0</v>
      </c>
      <c r="AL21" s="28">
        <f>=SUM(AL116:AL117)</f>
        <v>2</v>
      </c>
      <c r="AM21" s="28">
        <f>=SUM(AM116:AM117)</f>
        <v>0</v>
      </c>
      <c r="AN21" s="28">
        <f>=SUM(AN116:AN117)</f>
        <v>0</v>
      </c>
      <c r="AO21" s="28">
        <f>=SUM(AO116:AO117)</f>
        <v>0</v>
      </c>
      <c r="AP21" s="28">
        <f>=SUM(AP116:AP117)</f>
        <v>0</v>
      </c>
      <c r="AQ21" s="28">
        <f>=SUM(AQ116:AQ117)</f>
        <v>0</v>
      </c>
      <c r="AR21" s="28">
        <f>=SUM(AR116:AR117)</f>
        <v>0</v>
      </c>
      <c r="AS21" s="28">
        <f>=SUM(AS116:AS117)</f>
        <v>0</v>
      </c>
      <c r="AT21" s="28">
        <f>=SUM(AT116:AT117)</f>
        <v>0</v>
      </c>
      <c r="AU21" s="28">
        <f>=SUM(AU116:AU117)</f>
        <v>0</v>
      </c>
      <c r="AV21" s="28">
        <f>=SUM(AV116:AV117)</f>
        <v>10</v>
      </c>
      <c r="AW21" s="28">
        <f>=SUM(AW116:AW117)</f>
        <v>0</v>
      </c>
      <c r="AX21" s="28">
        <f>=SUM(AX116:AX117)</f>
        <v>2</v>
      </c>
      <c r="AY21" s="28">
        <f>=SUM(AY116:AY117)</f>
        <v>0</v>
      </c>
      <c r="AZ21" s="28">
        <f>=SUM(AZ116:AZ117)</f>
        <v>0</v>
      </c>
      <c r="BA21" s="28">
        <f>=SUM(BA116:BA117)</f>
        <v>0</v>
      </c>
      <c r="BB21" s="28">
        <f>=SUM(BB116:BB117)</f>
        <v>0</v>
      </c>
      <c r="BC21" s="28">
        <f>=SUM(BC116:BC117)</f>
        <v>0</v>
      </c>
      <c r="BD21" s="28">
        <f>=SUM(BD116:BD117)</f>
        <v>0</v>
      </c>
      <c r="BE21" s="28">
        <f>=SUM(BE116:BE117)</f>
        <v>0</v>
      </c>
      <c r="BF21" s="28">
        <f>=SUM(BF116:BF117)</f>
        <v>4</v>
      </c>
      <c r="BG21" s="28">
        <f>=SUM(BG116:BG117)</f>
        <v>0</v>
      </c>
      <c r="BH21" s="28">
        <f>=SUM(BH116:BH117)</f>
        <v>0</v>
      </c>
      <c r="BI21" s="28">
        <f>=SUM(BI116:BI117)</f>
        <v>1.92</v>
      </c>
      <c r="BJ21" s="28">
        <f>=SUM(BJ116:BJ117)</f>
        <v>0</v>
      </c>
      <c r="BK21" s="28">
        <f>=SUM(BK116:BK117)</f>
        <v>1.92</v>
      </c>
      <c r="BL21" s="28">
        <f>=SUM(BL116:BL117)</f>
        <v>0</v>
      </c>
      <c r="BM21" s="28">
        <f>=SUM(BM116:BM117)</f>
        <v>0</v>
      </c>
      <c r="BN21" s="28">
        <f>=SUM(BN116:BN117)</f>
        <v>0</v>
      </c>
      <c r="BO21" s="28">
        <f>=SUM(BO116:BO117)</f>
        <v>0</v>
      </c>
      <c r="BP21" s="28">
        <f>=SUM(BP116:BP117)</f>
        <v>0</v>
      </c>
      <c r="BQ21" s="28">
        <f>=SUM(BQ116:BQ117)</f>
        <v>0</v>
      </c>
      <c r="BR21" s="28">
        <f>=SUM(BR116:BR117)</f>
        <v>0</v>
      </c>
      <c r="BS21" s="28">
        <f>=SUM(BS116:BS117)</f>
        <v>0</v>
      </c>
      <c r="BT21" s="28">
        <f>=SUM(BT116:BT117)</f>
        <v>0</v>
      </c>
      <c r="BU21" s="28">
        <f>=SUM(BU116:BU117)</f>
        <v>0</v>
      </c>
      <c r="BV21" s="28">
        <f>=SUM(BV116:BV117)</f>
        <v>0</v>
      </c>
      <c r="BW21" s="28">
        <f>=SUM(BW116:BW117)</f>
        <v>0</v>
      </c>
      <c r="BX21" s="28">
        <f>=SUM(BX116:BX117)</f>
        <v>0</v>
      </c>
      <c r="BY21" s="28">
        <f>=SUM(BY116:BY117)</f>
        <v>0</v>
      </c>
      <c r="BZ21" s="28">
        <f>=SUM(BZ116:BZ117)</f>
        <v>0</v>
      </c>
      <c r="CA21" s="28">
        <f>=SUM(CA116:CA117)</f>
        <v>0</v>
      </c>
      <c r="CB21" s="28">
        <f>=SUM(CB116:CB117)</f>
        <v>0</v>
      </c>
      <c r="CC21" s="28">
        <f>=SUM(CC116:CC117)</f>
        <v>0</v>
      </c>
      <c r="CD21" s="28">
        <f>=SUM(CD116:CD117)</f>
        <v>0</v>
      </c>
      <c r="CE21" s="28">
        <f>=SUM(CE116:CE117)</f>
        <v>0</v>
      </c>
      <c r="CF21" s="28">
        <f>=SUM(CF116:CF117)</f>
        <v>0</v>
      </c>
      <c r="CG21" s="28">
        <f>=SUM(CG116:CG117)</f>
        <v>0</v>
      </c>
      <c r="CH21" s="28">
        <f>=SUM(CH116:CH117)</f>
        <v>0</v>
      </c>
      <c r="CI21" s="28">
        <f>=SUM(CI116:CI117)</f>
        <v>0</v>
      </c>
      <c r="CJ21" s="28">
        <f>=SUM(CJ116:CJ117)</f>
        <v>0</v>
      </c>
      <c r="CK21" s="28">
        <f>=SUM(CK116:CK117)</f>
        <v>0</v>
      </c>
      <c r="CL21" s="28">
        <f>=SUM(CL116:CL117)</f>
        <v>0</v>
      </c>
      <c r="CM21" s="28">
        <f>=SUM(CM116:CM117)</f>
        <v>0</v>
      </c>
      <c r="CN21" s="28">
        <f>=SUM(CN116:CN117)</f>
        <v>0</v>
      </c>
      <c r="CO21" s="28">
        <f>=SUM(CO116:CO117)</f>
        <v>0</v>
      </c>
      <c r="CP21" s="28">
        <f>=SUM(CP116:CP117)</f>
        <v>0</v>
      </c>
      <c r="CQ21" s="28">
        <f>=SUM(CQ116:CQ117)</f>
        <v>0</v>
      </c>
      <c r="CR21" s="28">
        <f>=SUM(CR116:CR117)</f>
        <v>0</v>
      </c>
      <c r="CS21" s="28">
        <f>=SUM(CS116:CS117)</f>
        <v>0</v>
      </c>
      <c r="CT21" s="28">
        <f>=SUM(CT116:CT117)</f>
        <v>0</v>
      </c>
      <c r="CU21" s="28">
        <f>=SUM(CU116:CU117)</f>
        <v>0</v>
      </c>
      <c r="CV21" s="28">
        <f>=SUM(CV116:CV117)</f>
        <v>0</v>
      </c>
      <c r="CW21" s="28">
        <f>=SUM(CW116:CW117)</f>
        <v>0</v>
      </c>
      <c r="CX21" s="28">
        <f>=SUM(CX116:CX117)</f>
        <v>0</v>
      </c>
      <c r="CY21" s="28">
        <f>=SUM(CY116:CY117)</f>
        <v>0</v>
      </c>
      <c r="CZ21" s="28">
        <f>=SUM(CZ116:CZ117)</f>
        <v>0</v>
      </c>
      <c r="DA21" s="28">
        <f>=SUM(DA116:DA117)</f>
        <v>0</v>
      </c>
      <c r="DB21" s="28">
        <f>=SUM(DB116:DB117)</f>
        <v>0</v>
      </c>
    </row>
    <row r="22" spans="1:106" x14ac:dyDescent="0.25">
      <c r="A22" s="27" t="s">
        <v>256</v>
      </c>
      <c r="C22" s="28">
        <f>=SUM(C118:C119)</f>
        <v>0</v>
      </c>
      <c r="D22" s="28">
        <f>=SUM(D118:D119)</f>
        <v>0</v>
      </c>
      <c r="E22" s="28">
        <f>=SUM(E118:E119)</f>
        <v>0</v>
      </c>
      <c r="F22" s="28">
        <f>=SUM(F118:F119)</f>
        <v>0</v>
      </c>
      <c r="G22" s="28">
        <f>=SUM(G118:G119)</f>
        <v>0</v>
      </c>
      <c r="H22" s="28">
        <f>=SUM(H118:H119)</f>
        <v>0</v>
      </c>
      <c r="I22" s="28">
        <v>0</v>
      </c>
      <c r="J22" s="28">
        <f>=SUM(J118:J119)</f>
        <v>0</v>
      </c>
      <c r="K22" s="28">
        <f>=SUM(K118:K119)</f>
        <v>4</v>
      </c>
      <c r="L22" s="28">
        <f>=SUM(L118:L119)</f>
        <v>4</v>
      </c>
      <c r="M22" s="28">
        <f>=SUM(M118:M119)</f>
        <v>0</v>
      </c>
      <c r="N22" s="28">
        <f>=SUM(N118:N119)</f>
        <v>0</v>
      </c>
      <c r="O22" s="28">
        <f>=SUM(O118:O119)</f>
        <v>0</v>
      </c>
      <c r="P22" s="28">
        <f>=SUM(P118:P119)</f>
        <v>0</v>
      </c>
      <c r="Q22" s="28">
        <f>=SUM(Q118:Q119)</f>
        <v>0</v>
      </c>
      <c r="R22" s="28">
        <f>=SUM(R118:R119)</f>
        <v>0</v>
      </c>
      <c r="S22" s="28">
        <f>=SUM(S118:S119)</f>
        <v>0</v>
      </c>
      <c r="T22" s="28">
        <f>=SUM(T118:T119)</f>
        <v>0</v>
      </c>
      <c r="U22" s="28">
        <f>=SUM(U118:U119)</f>
        <v>0</v>
      </c>
      <c r="V22" s="28">
        <f>=SUM(V118:V119)</f>
        <v>0</v>
      </c>
      <c r="W22" s="28">
        <f>=SUM(W118:W119)</f>
        <v>0</v>
      </c>
      <c r="X22" s="28">
        <f>=SUM(X118:X119)</f>
        <v>0</v>
      </c>
      <c r="Y22" s="28">
        <f>=SUM(Y118:Y119)</f>
        <v>0</v>
      </c>
      <c r="Z22" s="28">
        <f>=SUM(Z118:Z119)</f>
        <v>0</v>
      </c>
      <c r="AA22" s="28">
        <f>=SUM(AA118:AA119)</f>
        <v>0</v>
      </c>
      <c r="AB22" s="28">
        <f>=SUM(AB118:AB119)</f>
        <v>0</v>
      </c>
      <c r="AC22" s="28">
        <f>=SUM(AC118:AC119)</f>
        <v>2</v>
      </c>
      <c r="AD22" s="28">
        <f>=SUM(AD118:AD119)</f>
        <v>1</v>
      </c>
      <c r="AE22" s="28">
        <f>=SUM(AE118:AE119)</f>
        <v>0</v>
      </c>
      <c r="AF22" s="28">
        <f>=SUM(AF118:AF119)</f>
        <v>0</v>
      </c>
      <c r="AG22" s="28">
        <f>=SUM(AG118:AG119)</f>
        <v>0</v>
      </c>
      <c r="AH22" s="28">
        <f>=SUM(AH118:AH119)</f>
        <v>1.8432</v>
      </c>
      <c r="AI22" s="28">
        <f>=SUM(AI118:AI119)</f>
        <v>1.769472</v>
      </c>
      <c r="AJ22" s="28">
        <f>=SUM(AJ118:AJ119)</f>
        <v>0</v>
      </c>
      <c r="AK22" s="28">
        <f>=SUM(AK118:AK119)</f>
        <v>0</v>
      </c>
      <c r="AL22" s="28">
        <f>=SUM(AL118:AL119)</f>
        <v>0</v>
      </c>
      <c r="AM22" s="28">
        <f>=SUM(AM118:AM119)</f>
        <v>2</v>
      </c>
      <c r="AN22" s="28">
        <f>=SUM(AN118:AN119)</f>
        <v>2</v>
      </c>
      <c r="AO22" s="28">
        <f>=SUM(AO118:AO119)</f>
        <v>0</v>
      </c>
      <c r="AP22" s="28">
        <f>=SUM(AP118:AP119)</f>
        <v>0</v>
      </c>
      <c r="AQ22" s="28">
        <f>=SUM(AQ118:AQ119)</f>
        <v>0</v>
      </c>
      <c r="AR22" s="28">
        <f>=SUM(AR118:AR119)</f>
        <v>0</v>
      </c>
      <c r="AS22" s="28">
        <f>=SUM(AS118:AS119)</f>
        <v>0</v>
      </c>
      <c r="AT22" s="28">
        <f>=SUM(AT118:AT119)</f>
        <v>0</v>
      </c>
      <c r="AU22" s="28">
        <f>=SUM(AU118:AU119)</f>
        <v>0</v>
      </c>
      <c r="AV22" s="28">
        <f>=SUM(AV118:AV119)</f>
        <v>0</v>
      </c>
      <c r="AW22" s="28">
        <f>=SUM(AW118:AW119)</f>
        <v>8</v>
      </c>
      <c r="AX22" s="28">
        <f>=SUM(AX118:AX119)</f>
        <v>8</v>
      </c>
      <c r="AY22" s="28">
        <f>=SUM(AY118:AY119)</f>
        <v>2</v>
      </c>
      <c r="AZ22" s="28">
        <f>=SUM(AZ118:AZ119)</f>
        <v>2</v>
      </c>
      <c r="BA22" s="28">
        <f>=SUM(BA118:BA119)</f>
        <v>0</v>
      </c>
      <c r="BB22" s="28">
        <f>=SUM(BB118:BB119)</f>
        <v>0</v>
      </c>
      <c r="BC22" s="28">
        <f>=SUM(BC118:BC119)</f>
        <v>0</v>
      </c>
      <c r="BD22" s="28">
        <f>=SUM(BD118:BD119)</f>
        <v>0</v>
      </c>
      <c r="BE22" s="28">
        <f>=SUM(BE118:BE119)</f>
        <v>0</v>
      </c>
      <c r="BF22" s="28">
        <f>=SUM(BF118:BF119)</f>
        <v>0</v>
      </c>
      <c r="BG22" s="28">
        <f>=SUM(BG118:BG119)</f>
        <v>3.84</v>
      </c>
      <c r="BH22" s="28">
        <f>=SUM(BH118:BH119)</f>
        <v>3</v>
      </c>
      <c r="BI22" s="28">
        <f>=SUM(BI118:BI119)</f>
        <v>0</v>
      </c>
      <c r="BJ22" s="28">
        <f>=SUM(BJ118:BJ119)</f>
        <v>3</v>
      </c>
      <c r="BK22" s="28">
        <f>=SUM(BK118:BK119)</f>
        <v>2</v>
      </c>
      <c r="BL22" s="28">
        <f>=SUM(BL118:BL119)</f>
        <v>1.8432</v>
      </c>
      <c r="BM22" s="28">
        <f>=SUM(BM118:BM119)</f>
        <v>1.769472</v>
      </c>
      <c r="BN22" s="28">
        <f>=SUM(BN118:BN119)</f>
        <v>0</v>
      </c>
      <c r="BO22" s="28">
        <f>=SUM(BO118:BO119)</f>
        <v>0</v>
      </c>
      <c r="BP22" s="28">
        <f>=SUM(BP118:BP119)</f>
        <v>0</v>
      </c>
      <c r="BQ22" s="28">
        <f>=SUM(BQ118:BQ119)</f>
        <v>0</v>
      </c>
      <c r="BR22" s="28">
        <f>=SUM(BR118:BR119)</f>
        <v>0</v>
      </c>
      <c r="BS22" s="28">
        <f>=SUM(BS118:BS119)</f>
        <v>0</v>
      </c>
      <c r="BT22" s="28">
        <f>=SUM(BT118:BT119)</f>
        <v>0</v>
      </c>
      <c r="BU22" s="28">
        <f>=SUM(BU118:BU119)</f>
        <v>0</v>
      </c>
      <c r="BV22" s="28">
        <f>=SUM(BV118:BV119)</f>
        <v>0</v>
      </c>
      <c r="BW22" s="28">
        <f>=SUM(BW118:BW119)</f>
        <v>0</v>
      </c>
      <c r="BX22" s="28">
        <f>=SUM(BX118:BX119)</f>
        <v>0</v>
      </c>
      <c r="BY22" s="28">
        <f>=SUM(BY118:BY119)</f>
        <v>0</v>
      </c>
      <c r="BZ22" s="28">
        <f>=SUM(BZ118:BZ119)</f>
        <v>0</v>
      </c>
      <c r="CA22" s="28">
        <f>=SUM(CA118:CA119)</f>
        <v>0</v>
      </c>
      <c r="CB22" s="28">
        <f>=SUM(CB118:CB119)</f>
        <v>0</v>
      </c>
      <c r="CC22" s="28">
        <f>=SUM(CC118:CC119)</f>
        <v>0</v>
      </c>
      <c r="CD22" s="28">
        <f>=SUM(CD118:CD119)</f>
        <v>0</v>
      </c>
      <c r="CE22" s="28">
        <f>=SUM(CE118:CE119)</f>
        <v>0</v>
      </c>
      <c r="CF22" s="28">
        <f>=SUM(CF118:CF119)</f>
        <v>0</v>
      </c>
      <c r="CG22" s="28">
        <f>=SUM(CG118:CG119)</f>
        <v>0</v>
      </c>
      <c r="CH22" s="28">
        <f>=SUM(CH118:CH119)</f>
        <v>0</v>
      </c>
      <c r="CI22" s="28">
        <f>=SUM(CI118:CI119)</f>
        <v>0</v>
      </c>
      <c r="CJ22" s="28">
        <f>=SUM(CJ118:CJ119)</f>
        <v>0</v>
      </c>
      <c r="CK22" s="28">
        <f>=SUM(CK118:CK119)</f>
        <v>0</v>
      </c>
      <c r="CL22" s="28">
        <f>=SUM(CL118:CL119)</f>
        <v>0</v>
      </c>
      <c r="CM22" s="28">
        <f>=SUM(CM118:CM119)</f>
        <v>0</v>
      </c>
      <c r="CN22" s="28">
        <f>=SUM(CN118:CN119)</f>
        <v>0</v>
      </c>
      <c r="CO22" s="28">
        <f>=SUM(CO118:CO119)</f>
        <v>0</v>
      </c>
      <c r="CP22" s="28">
        <f>=SUM(CP118:CP119)</f>
        <v>0</v>
      </c>
      <c r="CQ22" s="28">
        <f>=SUM(CQ118:CQ119)</f>
        <v>0</v>
      </c>
      <c r="CR22" s="28">
        <f>=SUM(CR118:CR119)</f>
        <v>0</v>
      </c>
      <c r="CS22" s="28">
        <f>=SUM(CS118:CS119)</f>
        <v>0</v>
      </c>
      <c r="CT22" s="28">
        <f>=SUM(CT118:CT119)</f>
        <v>0</v>
      </c>
      <c r="CU22" s="28">
        <f>=SUM(CU118:CU119)</f>
        <v>0</v>
      </c>
      <c r="CV22" s="28">
        <f>=SUM(CV118:CV119)</f>
        <v>0</v>
      </c>
      <c r="CW22" s="28">
        <f>=SUM(CW118:CW119)</f>
        <v>0</v>
      </c>
      <c r="CX22" s="28">
        <f>=SUM(CX118:CX119)</f>
        <v>0</v>
      </c>
      <c r="CY22" s="28">
        <f>=SUM(CY118:CY119)</f>
        <v>0</v>
      </c>
      <c r="CZ22" s="28">
        <f>=SUM(CZ118:CZ119)</f>
        <v>0</v>
      </c>
      <c r="DA22" s="28">
        <f>=SUM(DA118:DA119)</f>
        <v>0</v>
      </c>
      <c r="DB22" s="28">
        <f>=SUM(DB118:DB119)</f>
        <v>0</v>
      </c>
    </row>
    <row r="23" spans="1:106" x14ac:dyDescent="0.25">
      <c r="A23" s="27" t="s">
        <v>257</v>
      </c>
      <c r="C23" s="28">
        <f>=SUM(C120:C121)</f>
        <v>0</v>
      </c>
      <c r="D23" s="28">
        <f>=SUM(D120:D121)</f>
        <v>0</v>
      </c>
      <c r="E23" s="28">
        <f>=SUM(E120:E121)</f>
        <v>0</v>
      </c>
      <c r="F23" s="28">
        <f>=SUM(F120:F121)</f>
        <v>0</v>
      </c>
      <c r="G23" s="28">
        <f>=SUM(G120:G121)</f>
        <v>0</v>
      </c>
      <c r="H23" s="28">
        <f>=SUM(H120:H121)</f>
        <v>0</v>
      </c>
      <c r="I23" s="28">
        <f>=SUM(I120:I121)</f>
        <v>0</v>
      </c>
      <c r="J23" s="28">
        <f>=SUM(J120:J121)</f>
        <v>0</v>
      </c>
      <c r="K23" s="28">
        <f>=SUM(K120:K121)</f>
        <v>0</v>
      </c>
      <c r="L23" s="28">
        <f>=SUM(L120:L121)</f>
        <v>0</v>
      </c>
      <c r="M23" s="28">
        <f>=SUM(M120:M121)</f>
        <v>0</v>
      </c>
      <c r="N23" s="28">
        <f>=SUM(N120:N121)</f>
        <v>0</v>
      </c>
      <c r="O23" s="28">
        <f>=SUM(O120:O121)</f>
        <v>0</v>
      </c>
      <c r="P23" s="28">
        <f>=SUM(P120:P121)</f>
        <v>0</v>
      </c>
      <c r="Q23" s="28">
        <f>=SUM(Q120:Q121)</f>
        <v>0</v>
      </c>
      <c r="R23" s="28">
        <f>=SUM(R120:R121)</f>
        <v>0</v>
      </c>
      <c r="S23" s="28">
        <f>=SUM(S120:S121)</f>
        <v>0</v>
      </c>
      <c r="T23" s="28">
        <f>=SUM(T120:T121)</f>
        <v>0</v>
      </c>
      <c r="U23" s="28">
        <f>=SUM(U120:U121)</f>
        <v>0</v>
      </c>
      <c r="V23" s="28">
        <f>=SUM(V120:V121)</f>
        <v>0</v>
      </c>
      <c r="W23" s="28">
        <f>=SUM(W120:W121)</f>
        <v>0</v>
      </c>
      <c r="X23" s="28">
        <f>=SUM(X120:X121)</f>
        <v>0</v>
      </c>
      <c r="Y23" s="28">
        <f>=SUM(Y120:Y121)</f>
        <v>0</v>
      </c>
      <c r="Z23" s="28">
        <f>=SUM(Z120:Z121)</f>
        <v>0</v>
      </c>
      <c r="AA23" s="28">
        <f>=SUM(AA120:AA121)</f>
        <v>0</v>
      </c>
      <c r="AB23" s="28">
        <f>=SUM(AB120:AB121)</f>
        <v>0</v>
      </c>
      <c r="AC23" s="28">
        <f>=SUM(AC120:AC121)</f>
        <v>0</v>
      </c>
      <c r="AD23" s="28">
        <f>=SUM(AD120:AD121)</f>
        <v>0</v>
      </c>
      <c r="AE23" s="28">
        <f>=SUM(AE120:AE121)</f>
        <v>0</v>
      </c>
      <c r="AF23" s="28">
        <f>=SUM(AF120:AF121)</f>
        <v>0</v>
      </c>
      <c r="AG23" s="28">
        <f>=SUM(AG120:AG121)</f>
        <v>0</v>
      </c>
      <c r="AH23" s="28">
        <f>=SUM(AH120:AH121)</f>
        <v>0</v>
      </c>
      <c r="AI23" s="28">
        <f>=SUM(AI120:AI121)</f>
        <v>0</v>
      </c>
      <c r="AJ23" s="28">
        <f>=SUM(AJ120:AJ121)</f>
        <v>0</v>
      </c>
      <c r="AK23" s="28">
        <f>=SUM(AK120:AK121)</f>
        <v>0</v>
      </c>
      <c r="AL23" s="28">
        <f>=SUM(AL120:AL121)</f>
        <v>0</v>
      </c>
      <c r="AM23" s="28">
        <f>=SUM(AM120:AM121)</f>
        <v>0</v>
      </c>
      <c r="AN23" s="28">
        <f>=SUM(AN120:AN121)</f>
        <v>0</v>
      </c>
      <c r="AO23" s="28">
        <f>=SUM(AO120:AO121)</f>
        <v>2</v>
      </c>
      <c r="AP23" s="28">
        <f>=SUM(AP120:AP121)</f>
        <v>2</v>
      </c>
      <c r="AQ23" s="28">
        <f>=SUM(AQ120:AQ121)</f>
        <v>0</v>
      </c>
      <c r="AR23" s="28">
        <f>=SUM(AR120:AR121)</f>
        <v>0</v>
      </c>
      <c r="AS23" s="28">
        <f>=SUM(AS120:AS121)</f>
        <v>0</v>
      </c>
      <c r="AT23" s="28">
        <f>=SUM(AT120:AT121)</f>
        <v>0</v>
      </c>
      <c r="AU23" s="28">
        <f>=SUM(AU120:AU121)</f>
        <v>0</v>
      </c>
      <c r="AV23" s="28">
        <f>=SUM(AV120:AV121)</f>
        <v>0</v>
      </c>
      <c r="AW23" s="28">
        <f>=SUM(AW120:AW121)</f>
        <v>0</v>
      </c>
      <c r="AX23" s="28">
        <f>=SUM(AX120:AX121)</f>
        <v>0</v>
      </c>
      <c r="AY23" s="28">
        <f>=SUM(AY120:AY121)</f>
        <v>8</v>
      </c>
      <c r="AZ23" s="28">
        <f>=SUM(AZ120:AZ121)</f>
        <v>8</v>
      </c>
      <c r="BA23" s="28">
        <f>=SUM(BA120:BA121)</f>
        <v>2</v>
      </c>
      <c r="BB23" s="28">
        <f>=SUM(BB120:BB121)</f>
        <v>2</v>
      </c>
      <c r="BC23" s="28">
        <f>=SUM(BC120:BC121)</f>
        <v>0</v>
      </c>
      <c r="BD23" s="28">
        <f>=SUM(BD120:BD121)</f>
        <v>0</v>
      </c>
      <c r="BE23" s="28">
        <f>=SUM(BE120:BE121)</f>
        <v>0</v>
      </c>
      <c r="BF23" s="28">
        <f>=SUM(BF120:BF121)</f>
        <v>0</v>
      </c>
      <c r="BG23" s="28">
        <f>=SUM(BG120:BG121)</f>
        <v>0</v>
      </c>
      <c r="BH23" s="28">
        <f>=SUM(BH120:BH121)</f>
        <v>0</v>
      </c>
      <c r="BI23" s="28">
        <f>=SUM(BI120:BI121)</f>
        <v>3</v>
      </c>
      <c r="BJ23" s="28">
        <f>=SUM(BJ120:BJ121)</f>
        <v>2.88</v>
      </c>
      <c r="BK23" s="28">
        <f>=SUM(BK120:BK121)</f>
        <v>0</v>
      </c>
      <c r="BL23" s="28">
        <f>=SUM(BL120:BL121)</f>
        <v>1.92</v>
      </c>
      <c r="BM23" s="28">
        <f>=SUM(BM120:BM121)</f>
        <v>1.8432</v>
      </c>
      <c r="BN23" s="28">
        <f>=SUM(BN120:BN121)</f>
        <v>1.69869312</v>
      </c>
      <c r="BO23" s="28">
        <f>=SUM(BO120:BO121)</f>
        <v>1.6307453952</v>
      </c>
      <c r="BP23" s="28">
        <f>=SUM(BP120:BP121)</f>
        <v>0</v>
      </c>
      <c r="BQ23" s="28">
        <f>=SUM(BQ120:BQ121)</f>
        <v>0</v>
      </c>
      <c r="BR23" s="28">
        <f>=SUM(BR120:BR121)</f>
        <v>0</v>
      </c>
      <c r="BS23" s="28">
        <f>=SUM(BS120:BS121)</f>
        <v>0</v>
      </c>
      <c r="BT23" s="28">
        <f>=SUM(BT120:BT121)</f>
        <v>0</v>
      </c>
      <c r="BU23" s="28">
        <f>=SUM(BU120:BU121)</f>
        <v>0</v>
      </c>
      <c r="BV23" s="28">
        <f>=SUM(BV120:BV121)</f>
        <v>0</v>
      </c>
      <c r="BW23" s="28">
        <f>=SUM(BW120:BW121)</f>
        <v>0</v>
      </c>
      <c r="BX23" s="28">
        <f>=SUM(BX120:BX121)</f>
        <v>0</v>
      </c>
      <c r="BY23" s="28">
        <f>=SUM(BY120:BY121)</f>
        <v>0</v>
      </c>
      <c r="BZ23" s="28">
        <f>=SUM(BZ120:BZ121)</f>
        <v>0</v>
      </c>
      <c r="CA23" s="28">
        <f>=SUM(CA120:CA121)</f>
        <v>0</v>
      </c>
      <c r="CB23" s="28">
        <f>=SUM(CB120:CB121)</f>
        <v>0</v>
      </c>
      <c r="CC23" s="28">
        <f>=SUM(CC120:CC121)</f>
        <v>0</v>
      </c>
      <c r="CD23" s="28">
        <f>=SUM(CD120:CD121)</f>
        <v>0</v>
      </c>
      <c r="CE23" s="28">
        <f>=SUM(CE120:CE121)</f>
        <v>0</v>
      </c>
      <c r="CF23" s="28">
        <f>=SUM(CF120:CF121)</f>
        <v>0</v>
      </c>
      <c r="CG23" s="28">
        <f>=SUM(CG120:CG121)</f>
        <v>0</v>
      </c>
      <c r="CH23" s="28">
        <f>=SUM(CH120:CH121)</f>
        <v>0</v>
      </c>
      <c r="CI23" s="28">
        <f>=SUM(CI120:CI121)</f>
        <v>0</v>
      </c>
      <c r="CJ23" s="28">
        <f>=SUM(CJ120:CJ121)</f>
        <v>0</v>
      </c>
      <c r="CK23" s="28">
        <f>=SUM(CK120:CK121)</f>
        <v>0</v>
      </c>
      <c r="CL23" s="28">
        <f>=SUM(CL120:CL121)</f>
        <v>0</v>
      </c>
      <c r="CM23" s="28">
        <f>=SUM(CM120:CM121)</f>
        <v>0</v>
      </c>
      <c r="CN23" s="28">
        <f>=SUM(CN120:CN121)</f>
        <v>0</v>
      </c>
      <c r="CO23" s="28">
        <f>=SUM(CO120:CO121)</f>
        <v>0</v>
      </c>
      <c r="CP23" s="28">
        <f>=SUM(CP120:CP121)</f>
        <v>0</v>
      </c>
      <c r="CQ23" s="28">
        <f>=SUM(CQ120:CQ121)</f>
        <v>0</v>
      </c>
      <c r="CR23" s="28">
        <f>=SUM(CR120:CR121)</f>
        <v>0</v>
      </c>
      <c r="CS23" s="28">
        <f>=SUM(CS120:CS121)</f>
        <v>0</v>
      </c>
      <c r="CT23" s="28">
        <f>=SUM(CT120:CT121)</f>
        <v>0</v>
      </c>
      <c r="CU23" s="28">
        <f>=SUM(CU120:CU121)</f>
        <v>0</v>
      </c>
      <c r="CV23" s="28">
        <f>=SUM(CV120:CV121)</f>
        <v>0</v>
      </c>
      <c r="CW23" s="28">
        <f>=SUM(CW120:CW121)</f>
        <v>0</v>
      </c>
      <c r="CX23" s="28">
        <f>=SUM(CX120:CX121)</f>
        <v>0</v>
      </c>
      <c r="CY23" s="28">
        <f>=SUM(CY120:CY121)</f>
        <v>0</v>
      </c>
      <c r="CZ23" s="28">
        <f>=SUM(CZ120:CZ121)</f>
        <v>0</v>
      </c>
      <c r="DA23" s="28">
        <f>=SUM(DA120:DA121)</f>
        <v>0</v>
      </c>
      <c r="DB23" s="28">
        <f>=SUM(DB120:DB121)</f>
        <v>0</v>
      </c>
    </row>
    <row r="24" spans="1:106" x14ac:dyDescent="0.25">
      <c r="A24" s="27" t="s">
        <v>258</v>
      </c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0"/>
      <c r="CI24" s="30"/>
      <c r="CJ24" s="30"/>
      <c r="CK24" s="30"/>
      <c r="CL24" s="30"/>
      <c r="CM24" s="30"/>
      <c r="CN24" s="30"/>
      <c r="CO24" s="30"/>
      <c r="CP24" s="30"/>
      <c r="CQ24" s="30"/>
      <c r="CR24" s="30"/>
      <c r="CS24" s="30"/>
      <c r="CT24" s="30"/>
      <c r="CU24" s="30"/>
      <c r="CV24" s="30"/>
      <c r="CW24" s="30"/>
      <c r="CX24" s="30"/>
      <c r="CY24" s="30"/>
      <c r="CZ24" s="30"/>
      <c r="DA24" s="30"/>
      <c r="DB24" s="30"/>
    </row>
    <row r="25" spans="1:106" x14ac:dyDescent="0.25">
      <c r="A25" s="22" t="s">
        <v>259</v>
      </c>
      <c r="C25" s="48">
        <f>=IFERROR(C19/C10,0)</f>
        <v>1</v>
      </c>
      <c r="D25" s="48">
        <f>=IFERROR(D19/D10,0)</f>
        <v>1</v>
      </c>
      <c r="E25" s="48">
        <f>=IFERROR(E19/E10,0)</f>
        <v>1</v>
      </c>
      <c r="F25" s="48">
        <f>=IFERROR(F19/F10,0)</f>
        <v>1</v>
      </c>
      <c r="G25" s="48">
        <f>=IFERROR(G19/G10,0)</f>
        <v>1</v>
      </c>
      <c r="H25" s="48">
        <f>=IFERROR(H19/H10,0)</f>
        <v>1</v>
      </c>
      <c r="I25" s="48">
        <f>=IFERROR(I19/I10,0)</f>
        <v>1</v>
      </c>
      <c r="J25" s="48">
        <f>=IFERROR(J19/J10,0)</f>
        <v>1</v>
      </c>
      <c r="K25" s="48">
        <f>=IFERROR(K19/K10,0)</f>
        <v>0.7142857142857143</v>
      </c>
      <c r="L25" s="48">
        <f>=IFERROR(L19/L10,0)</f>
        <v>0.7142857142857143</v>
      </c>
      <c r="M25" s="48">
        <f>=IFERROR(M19/M10,0)</f>
        <v>1</v>
      </c>
      <c r="N25" s="48">
        <f>=IFERROR(N19/N10,0)</f>
        <v>1</v>
      </c>
      <c r="O25" s="48">
        <f>=IFERROR(O19/O10,0)</f>
        <v>1</v>
      </c>
      <c r="P25" s="48">
        <f>=IFERROR(P19/P10,0)</f>
        <v>1</v>
      </c>
      <c r="Q25" s="48">
        <f>=IFERROR(Q19/Q10,0)</f>
        <v>1</v>
      </c>
      <c r="R25" s="48">
        <f>=IFERROR(R19/R10,0)</f>
        <v>1</v>
      </c>
      <c r="S25" s="48">
        <f>=IFERROR(S19/S10,0)</f>
        <v>1</v>
      </c>
      <c r="T25" s="48">
        <f>=IFERROR(T19/T10,0)</f>
        <v>1</v>
      </c>
      <c r="U25" s="48">
        <f>=IFERROR(U19/U10,0)</f>
        <v>1</v>
      </c>
      <c r="V25" s="48">
        <f>=IFERROR(V19/V10,0)</f>
        <v>1</v>
      </c>
      <c r="W25" s="48">
        <f>=IFERROR(W19/W10,0)</f>
        <v>1</v>
      </c>
      <c r="X25" s="48">
        <f>=IFERROR(X19/X10,0)</f>
        <v>1</v>
      </c>
      <c r="Y25" s="48">
        <f>=IFERROR(Y19/Y10,0)</f>
        <v>1</v>
      </c>
      <c r="Z25" s="48">
        <f>=IFERROR(Z19/Z10,0)</f>
        <v>1</v>
      </c>
      <c r="AA25" s="48">
        <f>=IFERROR(AA19/AA10,0)</f>
        <v>1</v>
      </c>
      <c r="AB25" s="48">
        <f>=IFERROR(AB19/AB10,0)</f>
        <v>1</v>
      </c>
      <c r="AC25" s="48">
        <f>=IFERROR(AC19/AC10,0)</f>
        <v>0.8461538461538461</v>
      </c>
      <c r="AD25" s="48">
        <f>=IFERROR(AD19/AD10,0)</f>
        <v>0.9166666666666666</v>
      </c>
      <c r="AE25" s="48">
        <f>=IFERROR(AE19/AE10,0)</f>
        <v>1</v>
      </c>
      <c r="AF25" s="48">
        <f>=IFERROR(AF19/AF10,0)</f>
        <v>1</v>
      </c>
      <c r="AG25" s="48">
        <f>=IFERROR(AG19/AG10,0)</f>
        <v>1</v>
      </c>
      <c r="AH25" s="48">
        <f>=IFERROR(AH19/AH10,0)</f>
        <v>0.8668515950069348</v>
      </c>
      <c r="AI25" s="48">
        <f>=IFERROR(AI19/AI10,0)</f>
        <v>0.871493111718445</v>
      </c>
      <c r="AJ25" s="48">
        <f>=IFERROR(AJ19/AJ10,0)</f>
        <v>1</v>
      </c>
      <c r="AK25" s="48">
        <f>=IFERROR(AK19/AK10,0)</f>
        <v>1</v>
      </c>
      <c r="AL25" s="48">
        <f>=IFERROR(AL19/AL10,0)</f>
        <v>1</v>
      </c>
      <c r="AM25" s="48">
        <f>=IFERROR(AM19/AM10,0)</f>
        <v>0.8571428571428571</v>
      </c>
      <c r="AN25" s="48">
        <f>=IFERROR(AN19/AN10,0)</f>
        <v>0.8461538461538461</v>
      </c>
      <c r="AO25" s="48">
        <f>=IFERROR(AO19/AO10,0)</f>
        <v>0.8571428571428571</v>
      </c>
      <c r="AP25" s="48">
        <f>=IFERROR(AP19/AP10,0)</f>
        <v>0.8333333333333334</v>
      </c>
      <c r="AQ25" s="48">
        <f>=IFERROR(AQ19/AQ10,0)</f>
        <v>1</v>
      </c>
      <c r="AR25" s="48">
        <f>=IFERROR(AR19/AR10,0)</f>
        <v>1</v>
      </c>
      <c r="AS25" s="48">
        <f>=IFERROR(AS19/AS10,0)</f>
        <v>1</v>
      </c>
      <c r="AT25" s="48">
        <f>=IFERROR(AT19/AT10,0)</f>
        <v>1</v>
      </c>
      <c r="AU25" s="48">
        <f>=IFERROR(AU19/AU10,0)</f>
        <v>1</v>
      </c>
      <c r="AV25" s="48">
        <f>=IFERROR(AV19/AV10,0)</f>
        <v>1</v>
      </c>
      <c r="AW25" s="48">
        <f>=IFERROR(AW19/AW10,0)</f>
        <v>0.5294117647058824</v>
      </c>
      <c r="AX25" s="48">
        <f>=IFERROR(AX19/AX10,0)</f>
        <v>0.5294117647058824</v>
      </c>
      <c r="AY25" s="48">
        <f>=IFERROR(AY19/AY10,0)</f>
        <v>0.47368421052631576</v>
      </c>
      <c r="AZ25" s="48">
        <f>=IFERROR(AZ19/AZ10,0)</f>
        <v>0.47368421052631576</v>
      </c>
      <c r="BA25" s="48">
        <f>=IFERROR(BA19/BA10,0)</f>
        <v>0.8947368421052632</v>
      </c>
      <c r="BB25" s="48">
        <f>=IFERROR(BB19/BB10,0)</f>
        <v>0.8947368421052632</v>
      </c>
      <c r="BC25" s="48">
        <f>=IFERROR(BC19/BC10,0)</f>
        <v>1</v>
      </c>
      <c r="BD25" s="48">
        <f>=IFERROR(BD19/BD10,0)</f>
        <v>1</v>
      </c>
      <c r="BE25" s="48">
        <f>=IFERROR(BE19/BE10,0)</f>
        <v>1</v>
      </c>
      <c r="BF25" s="48">
        <f>=IFERROR(BF19/BF10,0)</f>
        <v>1</v>
      </c>
      <c r="BG25" s="48">
        <f>=IFERROR(BG19/BG10,0)</f>
        <v>0.8064516129032258</v>
      </c>
      <c r="BH25" s="48">
        <f>=IFERROR(BH19/BH10,0)</f>
        <v>0.8333333333333334</v>
      </c>
      <c r="BI25" s="48">
        <f>=IFERROR(BI19/BI10,0)</f>
        <v>0.8333333333333334</v>
      </c>
      <c r="BJ25" s="48">
        <f>=IFERROR(BJ19/BJ10,0)</f>
        <v>0.6885593220338984</v>
      </c>
      <c r="BK25" s="48">
        <f>=IFERROR(BK19/BK10,0)</f>
        <v>0.8874178150049536</v>
      </c>
      <c r="BL25" s="48">
        <f>=IFERROR(BL19/BL10,0)</f>
        <v>0.7853035143769969</v>
      </c>
      <c r="BM25" s="48">
        <f>=IFERROR(BM19/BM10,0)</f>
        <v>0.7921060094356648</v>
      </c>
      <c r="BN25" s="48">
        <f>=IFERROR(BN19/BN10,0)</f>
        <v>0.906833962067054</v>
      </c>
      <c r="BO25" s="48">
        <f>=IFERROR(BO19/BO10,0)</f>
        <v>0.9049959951886783</v>
      </c>
      <c r="BP25" s="48">
        <f>=IFERROR(BP19/BP10,0)</f>
        <v>1</v>
      </c>
      <c r="BQ25" s="48">
        <f>=IFERROR(BQ19/BQ10,0)</f>
        <v>0</v>
      </c>
      <c r="BR25" s="48">
        <f>=IFERROR(BR19/BR10,0)</f>
        <v>0</v>
      </c>
      <c r="BS25" s="48">
        <f>=IFERROR(BS19/BS10,0)</f>
        <v>0</v>
      </c>
      <c r="BT25" s="48">
        <f>=IFERROR(BT19/BT10,0)</f>
        <v>0</v>
      </c>
      <c r="BU25" s="48">
        <f>=IFERROR(BU19/BU10,0)</f>
        <v>0</v>
      </c>
      <c r="BV25" s="48">
        <f>=IFERROR(BV19/BV10,0)</f>
        <v>0</v>
      </c>
      <c r="BW25" s="48">
        <f>=IFERROR(BW19/BW10,0)</f>
        <v>0</v>
      </c>
      <c r="BX25" s="48">
        <f>=IFERROR(BX19/BX10,0)</f>
        <v>0</v>
      </c>
      <c r="BY25" s="48">
        <f>=IFERROR(BY19/BY10,0)</f>
        <v>0</v>
      </c>
      <c r="BZ25" s="48">
        <f>=IFERROR(BZ19/BZ10,0)</f>
        <v>0</v>
      </c>
      <c r="CA25" s="48">
        <f>=IFERROR(CA19/CA10,0)</f>
        <v>0</v>
      </c>
      <c r="CB25" s="48">
        <f>=IFERROR(CB19/CB10,0)</f>
        <v>0</v>
      </c>
      <c r="CC25" s="48">
        <f>=IFERROR(CC19/CC10,0)</f>
        <v>0</v>
      </c>
      <c r="CD25" s="48">
        <f>=IFERROR(CD19/CD10,0)</f>
        <v>0</v>
      </c>
      <c r="CE25" s="48">
        <f>=IFERROR(CE19/CE10,0)</f>
        <v>0</v>
      </c>
      <c r="CF25" s="48">
        <f>=IFERROR(CF19/CF10,0)</f>
        <v>0</v>
      </c>
      <c r="CG25" s="48">
        <f>=IFERROR(CG19/CG10,0)</f>
        <v>0</v>
      </c>
      <c r="CH25" s="48">
        <f>=IFERROR(CH19/CH10,0)</f>
        <v>0</v>
      </c>
      <c r="CI25" s="48">
        <f>=IFERROR(CI19/CI10,0)</f>
        <v>0</v>
      </c>
      <c r="CJ25" s="48">
        <f>=IFERROR(CJ19/CJ10,0)</f>
        <v>0</v>
      </c>
      <c r="CK25" s="48">
        <f>=IFERROR(CK19/CK10,0)</f>
        <v>0</v>
      </c>
      <c r="CL25" s="48">
        <f>=IFERROR(CL19/CL10,0)</f>
        <v>0</v>
      </c>
      <c r="CM25" s="48">
        <f>=IFERROR(CM19/CM10,0)</f>
        <v>0</v>
      </c>
      <c r="CN25" s="48">
        <f>=IFERROR(CN19/CN10,0)</f>
        <v>0</v>
      </c>
      <c r="CO25" s="48">
        <f>=IFERROR(CO19/CO10,0)</f>
        <v>0</v>
      </c>
      <c r="CP25" s="48">
        <f>=IFERROR(CP19/CP10,0)</f>
        <v>0</v>
      </c>
      <c r="CQ25" s="48">
        <f>=IFERROR(CQ19/CQ10,0)</f>
        <v>0</v>
      </c>
      <c r="CR25" s="48">
        <f>=IFERROR(CR19/CR10,0)</f>
        <v>0</v>
      </c>
      <c r="CS25" s="48">
        <f>=IFERROR(CS19/CS10,0)</f>
        <v>0</v>
      </c>
      <c r="CT25" s="48">
        <f>=IFERROR(CT19/CT10,0)</f>
        <v>0</v>
      </c>
      <c r="CU25" s="48">
        <f>=IFERROR(CU19/CU10,0)</f>
        <v>0</v>
      </c>
      <c r="CV25" s="48">
        <f>=IFERROR(CV19/CV10,0)</f>
        <v>0</v>
      </c>
      <c r="CW25" s="48">
        <f>=IFERROR(CW19/CW10,0)</f>
        <v>0</v>
      </c>
      <c r="CX25" s="48">
        <f>=IFERROR(CX19/CX10,0)</f>
        <v>0</v>
      </c>
      <c r="CY25" s="48">
        <f>=IFERROR(CY19/CY10,0)</f>
        <v>0</v>
      </c>
      <c r="CZ25" s="48">
        <f>=IFERROR(CZ19/CZ10,0)</f>
        <v>0</v>
      </c>
      <c r="DA25" s="48">
        <f>=IFERROR(DA19/DA10,0)</f>
        <v>0</v>
      </c>
      <c r="DB25" s="48">
        <f>=IFERROR(DB19/DB10,0)</f>
        <v>0</v>
      </c>
    </row>
    <row r="26" spans="3:106" x14ac:dyDescent="0.25"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0"/>
      <c r="CG26" s="30"/>
      <c r="CH26" s="30"/>
      <c r="CI26" s="30"/>
      <c r="CJ26" s="30"/>
      <c r="CK26" s="30"/>
      <c r="CL26" s="30"/>
      <c r="CM26" s="30"/>
      <c r="CN26" s="30"/>
      <c r="CO26" s="30"/>
      <c r="CP26" s="30"/>
      <c r="CQ26" s="30"/>
      <c r="CR26" s="30"/>
      <c r="CS26" s="30"/>
      <c r="CT26" s="30"/>
      <c r="CU26" s="30"/>
      <c r="CV26" s="30"/>
      <c r="CW26" s="30"/>
      <c r="CX26" s="30"/>
      <c r="CY26" s="30"/>
      <c r="CZ26" s="30"/>
      <c r="DA26" s="30"/>
      <c r="DB26" s="30"/>
    </row>
    <row r="27" ht="14" customHeight="1" spans="1:106" x14ac:dyDescent="0.25">
      <c r="A27" s="9" t="s">
        <v>260</v>
      </c>
      <c r="B27" s="17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</row>
    <row r="28" ht="15" customHeight="1" spans="1:106" x14ac:dyDescent="0.25">
      <c r="A28" s="33" t="s">
        <v>261</v>
      </c>
      <c r="B28" s="13"/>
      <c r="C28" s="34">
        <f>=IFERROR(1-((1-C29)*(1-C34)),0)</f>
        <v>0.328</v>
      </c>
      <c r="D28" s="34">
        <f>=IFERROR(1-((1-D29)*(1-D34)),0)</f>
        <v>0.328</v>
      </c>
      <c r="E28" s="34">
        <f>=IFERROR(1-((1-E29)*(1-E34)),0)</f>
        <v>0.328</v>
      </c>
      <c r="F28" s="34">
        <f>=IFERROR(1-((1-F29)*(1-F34)),0)</f>
        <v>0.328</v>
      </c>
      <c r="G28" s="34">
        <f>=IFERROR(1-((1-G29)*(1-G34)),0)</f>
        <v>0.328</v>
      </c>
      <c r="H28" s="34">
        <f>=IFERROR(1-((1-H29)*(1-H34)),0)</f>
        <v>0.328</v>
      </c>
      <c r="I28" s="34">
        <f>=IFERROR(1-((1-I29)*(1-I34)),0)</f>
        <v>0.328</v>
      </c>
      <c r="J28" s="34">
        <f>=IFERROR(1-((1-J29)*(1-J34)),0)</f>
        <v>0.328</v>
      </c>
      <c r="K28" s="34">
        <f>=IFERROR(1-((1-K29)*(1-K34)),0)</f>
        <v>0.328</v>
      </c>
      <c r="L28" s="34">
        <f>=IFERROR(1-((1-L29)*(1-L34)),0)</f>
        <v>0.328</v>
      </c>
      <c r="M28" s="34">
        <f>=IFERROR(1-((1-M29)*(1-M34)),0)</f>
        <v>0.328</v>
      </c>
      <c r="N28" s="34">
        <f>=IFERROR(1-((1-N29)*(1-N34)),0)</f>
        <v>0.328</v>
      </c>
      <c r="O28" s="34">
        <f>=IFERROR(1-((1-O29)*(1-O34)),0)</f>
        <v>0.328</v>
      </c>
      <c r="P28" s="34">
        <f>=IFERROR(1-((1-P29)*(1-P34)),0)</f>
        <v>0.328</v>
      </c>
      <c r="Q28" s="34">
        <f>=IFERROR(1-((1-Q29)*(1-Q34)),0)</f>
        <v>0.328</v>
      </c>
      <c r="R28" s="34">
        <f>=IFERROR(1-((1-R29)*(1-R34)),0)</f>
        <v>0.328</v>
      </c>
      <c r="S28" s="34">
        <f>=IFERROR(1-((1-S29)*(1-S34)),0)</f>
        <v>0.328</v>
      </c>
      <c r="T28" s="34">
        <f>=IFERROR(1-((1-T29)*(1-T34)),0)</f>
        <v>0.328</v>
      </c>
      <c r="U28" s="34">
        <f>=IFERROR(1-((1-U29)*(1-U34)),0)</f>
        <v>0.328</v>
      </c>
      <c r="V28" s="34">
        <f>=IFERROR(1-((1-V29)*(1-V34)),0)</f>
        <v>0.328</v>
      </c>
      <c r="W28" s="34">
        <f>=IFERROR(1-((1-W29)*(1-W34)),0)</f>
        <v>0.328</v>
      </c>
      <c r="X28" s="34">
        <f>=IFERROR(1-((1-X29)*(1-X34)),0)</f>
        <v>0.328</v>
      </c>
      <c r="Y28" s="34">
        <f>=IFERROR(1-((1-Y29)*(1-Y34)),0)</f>
        <v>0.328</v>
      </c>
      <c r="Z28" s="34">
        <f>=IFERROR(1-((1-Z29)*(1-Z34)),0)</f>
        <v>0.328</v>
      </c>
      <c r="AA28" s="34">
        <f>=IFERROR(1-((1-AA29)*(1-AA34)),0)</f>
        <v>0.328</v>
      </c>
      <c r="AB28" s="34">
        <f>=IFERROR(1-((1-AB29)*(1-AB34)),0)</f>
        <v>0.328</v>
      </c>
      <c r="AC28" s="34">
        <f>=IFERROR(1-((1-AC29)*(1-AC34)),0)</f>
        <v>0.328</v>
      </c>
      <c r="AD28" s="34">
        <f>=IFERROR(1-((1-AD29)*(1-AD34)),0)</f>
        <v>0.328</v>
      </c>
      <c r="AE28" s="34">
        <f>=IFERROR(1-((1-AE29)*(1-AE34)),0)</f>
        <v>0.328</v>
      </c>
      <c r="AF28" s="34">
        <f>=IFERROR(1-((1-AF29)*(1-AF34)),0)</f>
        <v>0.328</v>
      </c>
      <c r="AG28" s="34">
        <f>=IFERROR(1-((1-AG29)*(1-AG34)),0)</f>
        <v>0.328</v>
      </c>
      <c r="AH28" s="34">
        <f>=IFERROR(1-((1-AH29)*(1-AH34)),0)</f>
        <v>0.328</v>
      </c>
      <c r="AI28" s="34">
        <f>=IFERROR(1-((1-AI29)*(1-AI34)),0)</f>
        <v>0.328</v>
      </c>
      <c r="AJ28" s="34">
        <f>=IFERROR(1-((1-AJ29)*(1-AJ34)),0)</f>
        <v>0.328</v>
      </c>
      <c r="AK28" s="34">
        <f>=IFERROR(1-((1-AK29)*(1-AK34)),0)</f>
        <v>0.328</v>
      </c>
      <c r="AL28" s="34">
        <f>=IFERROR(1-((1-AL29)*(1-AL34)),0)</f>
        <v>0.328</v>
      </c>
      <c r="AM28" s="34">
        <f>=IFERROR(1-((1-AM29)*(1-AM34)),0)</f>
        <v>0.328</v>
      </c>
      <c r="AN28" s="34">
        <f>=IFERROR(1-((1-AN29)*(1-AN34)),0)</f>
        <v>0.328</v>
      </c>
      <c r="AO28" s="34">
        <f>=IFERROR(1-((1-AO29)*(1-AO34)),0)</f>
        <v>0.328</v>
      </c>
      <c r="AP28" s="34">
        <f>=IFERROR(1-((1-AP29)*(1-AP34)),0)</f>
        <v>0.304</v>
      </c>
      <c r="AQ28" s="34">
        <f>=IFERROR(1-((1-AQ29)*(1-AQ34)),0)</f>
        <v>0.304</v>
      </c>
      <c r="AR28" s="34">
        <f>=IFERROR(1-((1-AR29)*(1-AR34)),0)</f>
        <v>0.304</v>
      </c>
      <c r="AS28" s="34">
        <f>=IFERROR(1-((1-AS29)*(1-AS34)),0)</f>
        <v>0.304</v>
      </c>
      <c r="AT28" s="34">
        <f>=IFERROR(1-((1-AT29)*(1-AT34)),0)</f>
        <v>0.304</v>
      </c>
      <c r="AU28" s="34">
        <f>=IFERROR(1-((1-AU29)*(1-AU34)),0)</f>
        <v>0.304</v>
      </c>
      <c r="AV28" s="34">
        <f>=IFERROR(1-((1-AV29)*(1-AV34)),0)</f>
        <v>0.304</v>
      </c>
      <c r="AW28" s="34">
        <f>=IFERROR(1-((1-AW29)*(1-AW34)),0)</f>
        <v>0.304</v>
      </c>
      <c r="AX28" s="34">
        <f>=IFERROR(1-((1-AX29)*(1-AX34)),0)</f>
        <v>0.304</v>
      </c>
      <c r="AY28" s="34">
        <f>=IFERROR(1-((1-AY29)*(1-AY34)),0)</f>
        <v>0.304</v>
      </c>
      <c r="AZ28" s="34">
        <f>=IFERROR(1-((1-AZ29)*(1-AZ34)),0)</f>
        <v>0.304</v>
      </c>
      <c r="BA28" s="34">
        <f>=IFERROR(1-((1-BA29)*(1-BA34)),0)</f>
        <v>0.304</v>
      </c>
      <c r="BB28" s="34">
        <f>=IFERROR(1-((1-BB29)*(1-BB34)),0)</f>
        <v>0.304</v>
      </c>
      <c r="BC28" s="34">
        <f>=IFERROR(1-((1-BC29)*(1-BC34)),0)</f>
        <v>0.312</v>
      </c>
      <c r="BD28" s="34">
        <f>=IFERROR(1-((1-BD29)*(1-BD34)),0)</f>
        <v>0.312</v>
      </c>
      <c r="BE28" s="34">
        <f>=IFERROR(1-((1-BE29)*(1-BE34)),0)</f>
        <v>0.312</v>
      </c>
      <c r="BF28" s="34">
        <f>=IFERROR(1-((1-BF29)*(1-BF34)),0)</f>
        <v>0.312</v>
      </c>
      <c r="BG28" s="34">
        <f>=IFERROR(1-((1-BG29)*(1-BG34)),0)</f>
        <v>0.312</v>
      </c>
      <c r="BH28" s="34">
        <f>=IFERROR(1-((1-BH29)*(1-BH34)),0)</f>
        <v>0.312</v>
      </c>
      <c r="BI28" s="34">
        <f>=IFERROR(1-((1-BI29)*(1-BI34)),0)</f>
        <v>0.312</v>
      </c>
      <c r="BJ28" s="34">
        <f>=IFERROR(1-((1-BJ29)*(1-BJ34)),0)</f>
        <v>0.312</v>
      </c>
      <c r="BK28" s="34">
        <f>=IFERROR(1-((1-BK29)*(1-BK34)),0)</f>
        <v>0.312</v>
      </c>
      <c r="BL28" s="34">
        <f>=IFERROR(1-((1-BL29)*(1-BL34)),0)</f>
        <v>0.312</v>
      </c>
      <c r="BM28" s="34">
        <f>=IFERROR(1-((1-BM29)*(1-BM34)),0)</f>
        <v>0.312</v>
      </c>
      <c r="BN28" s="34">
        <f>=IFERROR(1-((1-BN29)*(1-BN34)),0)</f>
        <v>0.312</v>
      </c>
      <c r="BO28" s="34">
        <f>=IFERROR(1-((1-BO29)*(1-BO34)),0)</f>
        <v>0.312</v>
      </c>
      <c r="BP28" s="34">
        <f>=IFERROR(1-((1-BP29)*(1-BP34)),0)</f>
        <v>0.312</v>
      </c>
      <c r="BQ28" s="34">
        <f>=IFERROR(1-((1-BQ29)*(1-BQ34)),0)</f>
        <v>0.312</v>
      </c>
      <c r="BR28" s="34">
        <f>=IFERROR(1-((1-BR29)*(1-BR34)),0)</f>
        <v>0.312</v>
      </c>
      <c r="BS28" s="34">
        <f>=IFERROR(1-((1-BS29)*(1-BS34)),0)</f>
        <v>0.312</v>
      </c>
      <c r="BT28" s="34">
        <f>=IFERROR(1-((1-BT29)*(1-BT34)),0)</f>
        <v>0.312</v>
      </c>
      <c r="BU28" s="34">
        <f>=IFERROR(1-((1-BU29)*(1-BU34)),0)</f>
        <v>0.312</v>
      </c>
      <c r="BV28" s="34">
        <f>=IFERROR(1-((1-BV29)*(1-BV34)),0)</f>
        <v>0.312</v>
      </c>
      <c r="BW28" s="34">
        <f>=IFERROR(1-((1-BW29)*(1-BW34)),0)</f>
        <v>0.312</v>
      </c>
      <c r="BX28" s="34">
        <f>=IFERROR(1-((1-BX29)*(1-BX34)),0)</f>
        <v>0.312</v>
      </c>
      <c r="BY28" s="34">
        <f>=IFERROR(1-((1-BY29)*(1-BY34)),0)</f>
        <v>0.312</v>
      </c>
      <c r="BZ28" s="34">
        <f>=IFERROR(1-((1-BZ29)*(1-BZ34)),0)</f>
        <v>0.312</v>
      </c>
      <c r="CA28" s="34">
        <f>=IFERROR(1-((1-CA29)*(1-CA34)),0)</f>
        <v>0.312</v>
      </c>
      <c r="CB28" s="34">
        <f>=IFERROR(1-((1-CB29)*(1-CB34)),0)</f>
        <v>0.312</v>
      </c>
      <c r="CC28" s="34">
        <f>=IFERROR(1-((1-CC29)*(1-CC34)),0)</f>
        <v>0.312</v>
      </c>
      <c r="CD28" s="34">
        <f>=IFERROR(1-((1-CD29)*(1-CD34)),0)</f>
        <v>0.312</v>
      </c>
      <c r="CE28" s="34">
        <f>=IFERROR(1-((1-CE29)*(1-CE34)),0)</f>
        <v>0.312</v>
      </c>
      <c r="CF28" s="34">
        <f>=IFERROR(1-((1-CF29)*(1-CF34)),0)</f>
        <v>0.312</v>
      </c>
      <c r="CG28" s="34">
        <f>=IFERROR(1-((1-CG29)*(1-CG34)),0)</f>
        <v>0.312</v>
      </c>
      <c r="CH28" s="34">
        <f>=IFERROR(1-((1-CH29)*(1-CH34)),0)</f>
        <v>0.312</v>
      </c>
      <c r="CI28" s="34">
        <f>=IFERROR(1-((1-CI29)*(1-CI34)),0)</f>
        <v>0.312</v>
      </c>
      <c r="CJ28" s="34">
        <f>=IFERROR(1-((1-CJ29)*(1-CJ34)),0)</f>
        <v>0.312</v>
      </c>
      <c r="CK28" s="34">
        <f>=IFERROR(1-((1-CK29)*(1-CK34)),0)</f>
        <v>0.312</v>
      </c>
      <c r="CL28" s="34">
        <f>=IFERROR(1-((1-CL29)*(1-CL34)),0)</f>
        <v>0.312</v>
      </c>
      <c r="CM28" s="34">
        <f>=IFERROR(1-((1-CM29)*(1-CM34)),0)</f>
        <v>0.312</v>
      </c>
      <c r="CN28" s="34">
        <f>=IFERROR(1-((1-CN29)*(1-CN34)),0)</f>
        <v>0.312</v>
      </c>
      <c r="CO28" s="34">
        <f>=IFERROR(1-((1-CO29)*(1-CO34)),0)</f>
        <v>0.312</v>
      </c>
      <c r="CP28" s="34">
        <f>=IFERROR(1-((1-CP29)*(1-CP34)),0)</f>
        <v>0.312</v>
      </c>
      <c r="CQ28" s="34">
        <f>=IFERROR(1-((1-CQ29)*(1-CQ34)),0)</f>
        <v>0.312</v>
      </c>
      <c r="CR28" s="34">
        <f>=IFERROR(1-((1-CR29)*(1-CR34)),0)</f>
        <v>0.312</v>
      </c>
      <c r="CS28" s="34">
        <f>=IFERROR(1-((1-CS29)*(1-CS34)),0)</f>
        <v>0.312</v>
      </c>
      <c r="CT28" s="34">
        <f>=IFERROR(1-((1-CT29)*(1-CT34)),0)</f>
        <v>0.312</v>
      </c>
      <c r="CU28" s="34">
        <f>=IFERROR(1-((1-CU29)*(1-CU34)),0)</f>
        <v>0.312</v>
      </c>
      <c r="CV28" s="34">
        <f>=IFERROR(1-((1-CV29)*(1-CV34)),0)</f>
        <v>0.312</v>
      </c>
      <c r="CW28" s="34">
        <f>=IFERROR(1-((1-CW29)*(1-CW34)),0)</f>
        <v>0.312</v>
      </c>
      <c r="CX28" s="34">
        <f>=IFERROR(1-((1-CX29)*(1-CX34)),0)</f>
        <v>0.312</v>
      </c>
      <c r="CY28" s="34">
        <f>=IFERROR(1-((1-CY29)*(1-CY34)),0)</f>
        <v>0.312</v>
      </c>
      <c r="CZ28" s="34">
        <f>=IFERROR(1-((1-CZ29)*(1-CZ34)),0)</f>
        <v>0.312</v>
      </c>
      <c r="DA28" s="34">
        <f>=IFERROR(1-((1-DA29)*(1-DA34)),0)</f>
        <v>0.312</v>
      </c>
      <c r="DB28" s="34">
        <f>=IFERROR(1-((1-DB29)*(1-DB34)),0)</f>
        <v>0.312</v>
      </c>
    </row>
    <row r="29" ht="16" customHeight="1" spans="1:106" x14ac:dyDescent="0.25">
      <c r="A29" s="16" t="s">
        <v>262</v>
      </c>
      <c r="B29" s="17"/>
      <c r="C29" s="35">
        <f>=SUM(C30:C33)</f>
        <v>0.16</v>
      </c>
      <c r="D29" s="35">
        <f>=SUM(D30:D33)</f>
        <v>0.16</v>
      </c>
      <c r="E29" s="35">
        <f>=SUM(E30:E33)</f>
        <v>0.16</v>
      </c>
      <c r="F29" s="35">
        <f>=SUM(F30:F33)</f>
        <v>0.16</v>
      </c>
      <c r="G29" s="35">
        <f>=SUM(G30:G33)</f>
        <v>0.16</v>
      </c>
      <c r="H29" s="35">
        <f>=SUM(H30:H33)</f>
        <v>0.16</v>
      </c>
      <c r="I29" s="35">
        <f>=SUM(I30:I33)</f>
        <v>0.16</v>
      </c>
      <c r="J29" s="35">
        <f>=SUM(J30:J33)</f>
        <v>0.16</v>
      </c>
      <c r="K29" s="35">
        <f>=SUM(K30:K33)</f>
        <v>0.16</v>
      </c>
      <c r="L29" s="35">
        <f>=SUM(L30:L33)</f>
        <v>0.16</v>
      </c>
      <c r="M29" s="35">
        <f>=SUM(M30:M33)</f>
        <v>0.16</v>
      </c>
      <c r="N29" s="35">
        <f>=SUM(N30:N33)</f>
        <v>0.16</v>
      </c>
      <c r="O29" s="35">
        <f>=SUM(O30:O33)</f>
        <v>0.16</v>
      </c>
      <c r="P29" s="35">
        <f>=SUM(P30:P33)</f>
        <v>0.16</v>
      </c>
      <c r="Q29" s="35">
        <f>=SUM(Q30:Q33)</f>
        <v>0.16</v>
      </c>
      <c r="R29" s="35">
        <f>=SUM(R30:R33)</f>
        <v>0.16</v>
      </c>
      <c r="S29" s="35">
        <f>=SUM(S30:S33)</f>
        <v>0.16</v>
      </c>
      <c r="T29" s="35">
        <f>=SUM(T30:T33)</f>
        <v>0.16</v>
      </c>
      <c r="U29" s="35">
        <f>=SUM(U30:U33)</f>
        <v>0.16</v>
      </c>
      <c r="V29" s="35">
        <f>=SUM(V30:V33)</f>
        <v>0.16</v>
      </c>
      <c r="W29" s="35">
        <f>=SUM(W30:W33)</f>
        <v>0.16</v>
      </c>
      <c r="X29" s="35">
        <f>=SUM(X30:X33)</f>
        <v>0.16</v>
      </c>
      <c r="Y29" s="35">
        <f>=SUM(Y30:Y33)</f>
        <v>0.16</v>
      </c>
      <c r="Z29" s="35">
        <f>=SUM(Z30:Z33)</f>
        <v>0.16</v>
      </c>
      <c r="AA29" s="35">
        <f>=SUM(AA30:AA33)</f>
        <v>0.16</v>
      </c>
      <c r="AB29" s="35">
        <f>=SUM(AB30:AB33)</f>
        <v>0.16</v>
      </c>
      <c r="AC29" s="35">
        <f>=SUM(AC30:AC33)</f>
        <v>0.16</v>
      </c>
      <c r="AD29" s="35">
        <f>=SUM(AD30:AD33)</f>
        <v>0.16</v>
      </c>
      <c r="AE29" s="35">
        <f>=SUM(AE30:AE33)</f>
        <v>0.16</v>
      </c>
      <c r="AF29" s="35">
        <f>=SUM(AF30:AF33)</f>
        <v>0.16</v>
      </c>
      <c r="AG29" s="35">
        <f>=SUM(AG30:AG33)</f>
        <v>0.16</v>
      </c>
      <c r="AH29" s="35">
        <f>=SUM(AH30:AH33)</f>
        <v>0.16</v>
      </c>
      <c r="AI29" s="35">
        <f>=SUM(AI30:AI33)</f>
        <v>0.16</v>
      </c>
      <c r="AJ29" s="35">
        <f>=SUM(AJ30:AJ33)</f>
        <v>0.16</v>
      </c>
      <c r="AK29" s="35">
        <f>=SUM(AK30:AK33)</f>
        <v>0.16</v>
      </c>
      <c r="AL29" s="35">
        <f>=SUM(AL30:AL33)</f>
        <v>0.16</v>
      </c>
      <c r="AM29" s="35">
        <f>=SUM(AM30:AM33)</f>
        <v>0.16</v>
      </c>
      <c r="AN29" s="35">
        <f>=SUM(AN30:AN33)</f>
        <v>0.16</v>
      </c>
      <c r="AO29" s="35">
        <f>=SUM(AO30:AO33)</f>
        <v>0.16</v>
      </c>
      <c r="AP29" s="35">
        <f>=SUM(AP30:AP33)</f>
        <v>0.13</v>
      </c>
      <c r="AQ29" s="35">
        <f>=SUM(AQ30:AQ33)</f>
        <v>0.13</v>
      </c>
      <c r="AR29" s="35">
        <f>=SUM(AR30:AR33)</f>
        <v>0.13</v>
      </c>
      <c r="AS29" s="35">
        <f>=SUM(AS30:AS33)</f>
        <v>0.13</v>
      </c>
      <c r="AT29" s="35">
        <f>=SUM(AT30:AT33)</f>
        <v>0.13</v>
      </c>
      <c r="AU29" s="35">
        <f>=SUM(AU30:AU33)</f>
        <v>0.13</v>
      </c>
      <c r="AV29" s="35">
        <f>=SUM(AV30:AV33)</f>
        <v>0.13</v>
      </c>
      <c r="AW29" s="35">
        <f>=SUM(AW30:AW33)</f>
        <v>0.13</v>
      </c>
      <c r="AX29" s="35">
        <f>=SUM(AX30:AX33)</f>
        <v>0.13</v>
      </c>
      <c r="AY29" s="35">
        <f>=SUM(AY30:AY33)</f>
        <v>0.13</v>
      </c>
      <c r="AZ29" s="35">
        <f>=SUM(AZ30:AZ33)</f>
        <v>0.13</v>
      </c>
      <c r="BA29" s="35">
        <f>=SUM(BA30:BA33)</f>
        <v>0.13</v>
      </c>
      <c r="BB29" s="35">
        <f>=SUM(BB30:BB33)</f>
        <v>0.13</v>
      </c>
      <c r="BC29" s="35">
        <f>=SUM(BC30:BC33)</f>
        <v>0.14</v>
      </c>
      <c r="BD29" s="35">
        <f>=SUM(BD30:BD33)</f>
        <v>0.14</v>
      </c>
      <c r="BE29" s="35">
        <f>=SUM(BE30:BE33)</f>
        <v>0.14</v>
      </c>
      <c r="BF29" s="35">
        <f>=SUM(BF30:BF33)</f>
        <v>0.14</v>
      </c>
      <c r="BG29" s="35">
        <f>=SUM(BG30:BG33)</f>
        <v>0.14</v>
      </c>
      <c r="BH29" s="35">
        <f>=SUM(BH30:BH33)</f>
        <v>0.14</v>
      </c>
      <c r="BI29" s="35">
        <f>=SUM(BI30:BI33)</f>
        <v>0.14</v>
      </c>
      <c r="BJ29" s="35">
        <f>=SUM(BJ30:BJ33)</f>
        <v>0.14</v>
      </c>
      <c r="BK29" s="35">
        <f>=SUM(BK30:BK33)</f>
        <v>0.14</v>
      </c>
      <c r="BL29" s="35">
        <f>=SUM(BL30:BL33)</f>
        <v>0.14</v>
      </c>
      <c r="BM29" s="35">
        <f>=SUM(BM30:BM33)</f>
        <v>0.14</v>
      </c>
      <c r="BN29" s="35">
        <f>=SUM(BN30:BN33)</f>
        <v>0.14</v>
      </c>
      <c r="BO29" s="35">
        <f>=SUM(BO30:BO33)</f>
        <v>0.14</v>
      </c>
      <c r="BP29" s="35">
        <f>=SUM(BP30:BP33)</f>
        <v>0.14</v>
      </c>
      <c r="BQ29" s="35">
        <f>=SUM(BQ30:BQ33)</f>
        <v>0.14</v>
      </c>
      <c r="BR29" s="35">
        <f>=SUM(BR30:BR33)</f>
        <v>0.14</v>
      </c>
      <c r="BS29" s="35">
        <f>=SUM(BS30:BS33)</f>
        <v>0.14</v>
      </c>
      <c r="BT29" s="35">
        <f>=SUM(BT30:BT33)</f>
        <v>0.14</v>
      </c>
      <c r="BU29" s="35">
        <f>=SUM(BU30:BU33)</f>
        <v>0.14</v>
      </c>
      <c r="BV29" s="35">
        <f>=SUM(BV30:BV33)</f>
        <v>0.14</v>
      </c>
      <c r="BW29" s="35">
        <f>=SUM(BW30:BW33)</f>
        <v>0.14</v>
      </c>
      <c r="BX29" s="35">
        <f>=SUM(BX30:BX33)</f>
        <v>0.14</v>
      </c>
      <c r="BY29" s="35">
        <f>=SUM(BY30:BY33)</f>
        <v>0.14</v>
      </c>
      <c r="BZ29" s="35">
        <f>=SUM(BZ30:BZ33)</f>
        <v>0.14</v>
      </c>
      <c r="CA29" s="35">
        <f>=SUM(CA30:CA33)</f>
        <v>0.14</v>
      </c>
      <c r="CB29" s="35">
        <f>=SUM(CB30:CB33)</f>
        <v>0.14</v>
      </c>
      <c r="CC29" s="35">
        <f>=SUM(CC30:CC33)</f>
        <v>0.14</v>
      </c>
      <c r="CD29" s="35">
        <f>=SUM(CD30:CD33)</f>
        <v>0.14</v>
      </c>
      <c r="CE29" s="35">
        <f>=SUM(CE30:CE33)</f>
        <v>0.14</v>
      </c>
      <c r="CF29" s="35">
        <f>=SUM(CF30:CF33)</f>
        <v>0.14</v>
      </c>
      <c r="CG29" s="35">
        <f>=SUM(CG30:CG33)</f>
        <v>0.14</v>
      </c>
      <c r="CH29" s="35">
        <f>=SUM(CH30:CH33)</f>
        <v>0.14</v>
      </c>
      <c r="CI29" s="35">
        <f>=SUM(CI30:CI33)</f>
        <v>0.14</v>
      </c>
      <c r="CJ29" s="35">
        <f>=SUM(CJ30:CJ33)</f>
        <v>0.14</v>
      </c>
      <c r="CK29" s="35">
        <f>=SUM(CK30:CK33)</f>
        <v>0.14</v>
      </c>
      <c r="CL29" s="35">
        <f>=SUM(CL30:CL33)</f>
        <v>0.14</v>
      </c>
      <c r="CM29" s="35">
        <f>=SUM(CM30:CM33)</f>
        <v>0.14</v>
      </c>
      <c r="CN29" s="35">
        <f>=SUM(CN30:CN33)</f>
        <v>0.14</v>
      </c>
      <c r="CO29" s="35">
        <f>=SUM(CO30:CO33)</f>
        <v>0.14</v>
      </c>
      <c r="CP29" s="35">
        <f>=SUM(CP30:CP33)</f>
        <v>0.14</v>
      </c>
      <c r="CQ29" s="35">
        <f>=SUM(CQ30:CQ33)</f>
        <v>0.14</v>
      </c>
      <c r="CR29" s="35">
        <f>=SUM(CR30:CR33)</f>
        <v>0.14</v>
      </c>
      <c r="CS29" s="35">
        <f>=SUM(CS30:CS33)</f>
        <v>0.14</v>
      </c>
      <c r="CT29" s="35">
        <f>=SUM(CT30:CT33)</f>
        <v>0.14</v>
      </c>
      <c r="CU29" s="35">
        <f>=SUM(CU30:CU33)</f>
        <v>0.14</v>
      </c>
      <c r="CV29" s="35">
        <f>=SUM(CV30:CV33)</f>
        <v>0.14</v>
      </c>
      <c r="CW29" s="35">
        <f>=SUM(CW30:CW33)</f>
        <v>0.14</v>
      </c>
      <c r="CX29" s="35">
        <f>=SUM(CX30:CX33)</f>
        <v>0.14</v>
      </c>
      <c r="CY29" s="35">
        <f>=SUM(CY30:CY33)</f>
        <v>0.14</v>
      </c>
      <c r="CZ29" s="35">
        <f>=SUM(CZ30:CZ33)</f>
        <v>0.14</v>
      </c>
      <c r="DA29" s="35">
        <f>=SUM(DA30:DA33)</f>
        <v>0.14</v>
      </c>
      <c r="DB29" s="35">
        <f>=SUM(DB30:DB33)</f>
        <v>0.14</v>
      </c>
    </row>
    <row r="30" ht="16" customHeight="1" spans="1:106" x14ac:dyDescent="0.25">
      <c r="A30" s="36" t="s">
        <v>263</v>
      </c>
      <c r="C30" s="80">
        <v>0.08</v>
      </c>
      <c r="D30" s="80">
        <v>0.08</v>
      </c>
      <c r="E30" s="80">
        <v>0.08</v>
      </c>
      <c r="F30" s="80">
        <v>0.08</v>
      </c>
      <c r="G30" s="80">
        <v>0.08</v>
      </c>
      <c r="H30" s="80">
        <v>0.08</v>
      </c>
      <c r="I30" s="80">
        <v>0.08</v>
      </c>
      <c r="J30" s="80">
        <v>0.08</v>
      </c>
      <c r="K30" s="80">
        <v>0.08</v>
      </c>
      <c r="L30" s="80">
        <v>0.08</v>
      </c>
      <c r="M30" s="80">
        <v>0.08</v>
      </c>
      <c r="N30" s="80">
        <v>0.08</v>
      </c>
      <c r="O30" s="80">
        <v>0.08</v>
      </c>
      <c r="P30" s="80">
        <v>0.08</v>
      </c>
      <c r="Q30" s="80">
        <v>0.08</v>
      </c>
      <c r="R30" s="80">
        <v>0.08</v>
      </c>
      <c r="S30" s="80">
        <v>0.08</v>
      </c>
      <c r="T30" s="80">
        <v>0.08</v>
      </c>
      <c r="U30" s="80">
        <v>0.08</v>
      </c>
      <c r="V30" s="80">
        <v>0.08</v>
      </c>
      <c r="W30" s="80">
        <v>0.08</v>
      </c>
      <c r="X30" s="80">
        <v>0.08</v>
      </c>
      <c r="Y30" s="80">
        <v>0.08</v>
      </c>
      <c r="Z30" s="80">
        <v>0.08</v>
      </c>
      <c r="AA30" s="80">
        <v>0.08</v>
      </c>
      <c r="AB30" s="80">
        <v>0.08</v>
      </c>
      <c r="AC30" s="80">
        <v>0.08</v>
      </c>
      <c r="AD30" s="80">
        <v>0.08</v>
      </c>
      <c r="AE30" s="80">
        <v>0.08</v>
      </c>
      <c r="AF30" s="80">
        <v>0.08</v>
      </c>
      <c r="AG30" s="80">
        <v>0.08</v>
      </c>
      <c r="AH30" s="80">
        <v>0.08</v>
      </c>
      <c r="AI30" s="80">
        <v>0.08</v>
      </c>
      <c r="AJ30" s="80">
        <v>0.08</v>
      </c>
      <c r="AK30" s="80">
        <v>0.08</v>
      </c>
      <c r="AL30" s="80">
        <v>0.08</v>
      </c>
      <c r="AM30" s="80">
        <v>0.08</v>
      </c>
      <c r="AN30" s="80">
        <v>0.08</v>
      </c>
      <c r="AO30" s="80">
        <v>0.08</v>
      </c>
      <c r="AP30" s="80">
        <v>0.065</v>
      </c>
      <c r="AQ30" s="80">
        <v>0.065</v>
      </c>
      <c r="AR30" s="80">
        <v>0.065</v>
      </c>
      <c r="AS30" s="80">
        <v>0.065</v>
      </c>
      <c r="AT30" s="80">
        <v>0.065</v>
      </c>
      <c r="AU30" s="80">
        <v>0.065</v>
      </c>
      <c r="AV30" s="80">
        <v>0.065</v>
      </c>
      <c r="AW30" s="80">
        <v>0.065</v>
      </c>
      <c r="AX30" s="80">
        <v>0.065</v>
      </c>
      <c r="AY30" s="80">
        <v>0.065</v>
      </c>
      <c r="AZ30" s="80">
        <v>0.065</v>
      </c>
      <c r="BA30" s="80">
        <v>0.065</v>
      </c>
      <c r="BB30" s="80">
        <v>0.065</v>
      </c>
      <c r="BC30" s="80">
        <v>0.07</v>
      </c>
      <c r="BD30" s="80">
        <v>0.07</v>
      </c>
      <c r="BE30" s="80">
        <v>0.07</v>
      </c>
      <c r="BF30" s="80">
        <v>0.07</v>
      </c>
      <c r="BG30" s="80">
        <v>0.07</v>
      </c>
      <c r="BH30" s="80">
        <v>0.07</v>
      </c>
      <c r="BI30" s="80">
        <v>0.07</v>
      </c>
      <c r="BJ30" s="80">
        <v>0.07</v>
      </c>
      <c r="BK30" s="80">
        <v>0.07</v>
      </c>
      <c r="BL30" s="80">
        <v>0.07</v>
      </c>
      <c r="BM30" s="80">
        <v>0.07</v>
      </c>
      <c r="BN30" s="80">
        <v>0.07</v>
      </c>
      <c r="BO30" s="80">
        <v>0.07</v>
      </c>
      <c r="BP30" s="80">
        <v>0.07</v>
      </c>
      <c r="BQ30" s="80">
        <v>0.07</v>
      </c>
      <c r="BR30" s="80">
        <v>0.07</v>
      </c>
      <c r="BS30" s="80">
        <v>0.07</v>
      </c>
      <c r="BT30" s="80">
        <v>0.07</v>
      </c>
      <c r="BU30" s="80">
        <v>0.07</v>
      </c>
      <c r="BV30" s="80">
        <v>0.07</v>
      </c>
      <c r="BW30" s="80">
        <v>0.07</v>
      </c>
      <c r="BX30" s="80">
        <v>0.07</v>
      </c>
      <c r="BY30" s="80">
        <v>0.07</v>
      </c>
      <c r="BZ30" s="80">
        <v>0.07</v>
      </c>
      <c r="CA30" s="80">
        <v>0.07</v>
      </c>
      <c r="CB30" s="80">
        <v>0.07</v>
      </c>
      <c r="CC30" s="80">
        <v>0.07</v>
      </c>
      <c r="CD30" s="80">
        <v>0.07</v>
      </c>
      <c r="CE30" s="80">
        <v>0.07</v>
      </c>
      <c r="CF30" s="80">
        <v>0.07</v>
      </c>
      <c r="CG30" s="80">
        <v>0.07</v>
      </c>
      <c r="CH30" s="80">
        <v>0.07</v>
      </c>
      <c r="CI30" s="80">
        <v>0.07</v>
      </c>
      <c r="CJ30" s="80">
        <v>0.07</v>
      </c>
      <c r="CK30" s="80">
        <v>0.07</v>
      </c>
      <c r="CL30" s="80">
        <v>0.07</v>
      </c>
      <c r="CM30" s="80">
        <v>0.07</v>
      </c>
      <c r="CN30" s="80">
        <v>0.07</v>
      </c>
      <c r="CO30" s="80">
        <v>0.07</v>
      </c>
      <c r="CP30" s="80">
        <v>0.07</v>
      </c>
      <c r="CQ30" s="80">
        <v>0.07</v>
      </c>
      <c r="CR30" s="80">
        <v>0.07</v>
      </c>
      <c r="CS30" s="80">
        <v>0.07</v>
      </c>
      <c r="CT30" s="80">
        <v>0.07</v>
      </c>
      <c r="CU30" s="80">
        <v>0.07</v>
      </c>
      <c r="CV30" s="80">
        <v>0.07</v>
      </c>
      <c r="CW30" s="80">
        <v>0.07</v>
      </c>
      <c r="CX30" s="80">
        <v>0.07</v>
      </c>
      <c r="CY30" s="80">
        <v>0.07</v>
      </c>
      <c r="CZ30" s="80">
        <v>0.07</v>
      </c>
      <c r="DA30" s="80">
        <v>0.07</v>
      </c>
      <c r="DB30" s="80">
        <v>0.07</v>
      </c>
    </row>
    <row r="31" ht="16" customHeight="1" spans="1:106" x14ac:dyDescent="0.25">
      <c r="A31" s="36" t="s">
        <v>264</v>
      </c>
      <c r="C31" s="80">
        <v>0.08</v>
      </c>
      <c r="D31" s="80">
        <v>0.08</v>
      </c>
      <c r="E31" s="80">
        <v>0.08</v>
      </c>
      <c r="F31" s="80">
        <v>0.08</v>
      </c>
      <c r="G31" s="80">
        <v>0.08</v>
      </c>
      <c r="H31" s="80">
        <v>0.08</v>
      </c>
      <c r="I31" s="80">
        <v>0.08</v>
      </c>
      <c r="J31" s="80">
        <v>0.08</v>
      </c>
      <c r="K31" s="80">
        <v>0.08</v>
      </c>
      <c r="L31" s="80">
        <v>0.08</v>
      </c>
      <c r="M31" s="80">
        <v>0.08</v>
      </c>
      <c r="N31" s="80">
        <v>0.08</v>
      </c>
      <c r="O31" s="80">
        <v>0.08</v>
      </c>
      <c r="P31" s="80">
        <v>0.08</v>
      </c>
      <c r="Q31" s="80">
        <v>0.08</v>
      </c>
      <c r="R31" s="80">
        <v>0.08</v>
      </c>
      <c r="S31" s="80">
        <v>0.08</v>
      </c>
      <c r="T31" s="80">
        <v>0.08</v>
      </c>
      <c r="U31" s="80">
        <v>0.08</v>
      </c>
      <c r="V31" s="80">
        <v>0.08</v>
      </c>
      <c r="W31" s="80">
        <v>0.08</v>
      </c>
      <c r="X31" s="80">
        <v>0.08</v>
      </c>
      <c r="Y31" s="80">
        <v>0.08</v>
      </c>
      <c r="Z31" s="80">
        <v>0.08</v>
      </c>
      <c r="AA31" s="80">
        <v>0.08</v>
      </c>
      <c r="AB31" s="80">
        <v>0.08</v>
      </c>
      <c r="AC31" s="80">
        <v>0.08</v>
      </c>
      <c r="AD31" s="80">
        <v>0.08</v>
      </c>
      <c r="AE31" s="80">
        <v>0.08</v>
      </c>
      <c r="AF31" s="80">
        <v>0.08</v>
      </c>
      <c r="AG31" s="80">
        <v>0.08</v>
      </c>
      <c r="AH31" s="80">
        <v>0.08</v>
      </c>
      <c r="AI31" s="80">
        <v>0.08</v>
      </c>
      <c r="AJ31" s="80">
        <v>0.08</v>
      </c>
      <c r="AK31" s="80">
        <v>0.08</v>
      </c>
      <c r="AL31" s="80">
        <v>0.08</v>
      </c>
      <c r="AM31" s="80">
        <v>0.08</v>
      </c>
      <c r="AN31" s="80">
        <v>0.08</v>
      </c>
      <c r="AO31" s="80">
        <v>0.08</v>
      </c>
      <c r="AP31" s="80">
        <v>0.065</v>
      </c>
      <c r="AQ31" s="80">
        <v>0.065</v>
      </c>
      <c r="AR31" s="80">
        <v>0.065</v>
      </c>
      <c r="AS31" s="80">
        <v>0.065</v>
      </c>
      <c r="AT31" s="80">
        <v>0.065</v>
      </c>
      <c r="AU31" s="80">
        <v>0.065</v>
      </c>
      <c r="AV31" s="80">
        <v>0.065</v>
      </c>
      <c r="AW31" s="80">
        <v>0.065</v>
      </c>
      <c r="AX31" s="80">
        <v>0.065</v>
      </c>
      <c r="AY31" s="80">
        <v>0.065</v>
      </c>
      <c r="AZ31" s="80">
        <v>0.065</v>
      </c>
      <c r="BA31" s="80">
        <v>0.065</v>
      </c>
      <c r="BB31" s="80">
        <v>0.065</v>
      </c>
      <c r="BC31" s="80">
        <v>0.07</v>
      </c>
      <c r="BD31" s="80">
        <v>0.07</v>
      </c>
      <c r="BE31" s="80">
        <v>0.07</v>
      </c>
      <c r="BF31" s="80">
        <v>0.07</v>
      </c>
      <c r="BG31" s="80">
        <v>0.07</v>
      </c>
      <c r="BH31" s="80">
        <v>0.07</v>
      </c>
      <c r="BI31" s="80">
        <v>0.07</v>
      </c>
      <c r="BJ31" s="80">
        <v>0.07</v>
      </c>
      <c r="BK31" s="80">
        <v>0.07</v>
      </c>
      <c r="BL31" s="80">
        <v>0.07</v>
      </c>
      <c r="BM31" s="80">
        <v>0.07</v>
      </c>
      <c r="BN31" s="80">
        <v>0.07</v>
      </c>
      <c r="BO31" s="80">
        <v>0.07</v>
      </c>
      <c r="BP31" s="80">
        <v>0.07</v>
      </c>
      <c r="BQ31" s="80">
        <v>0.07</v>
      </c>
      <c r="BR31" s="80">
        <v>0.07</v>
      </c>
      <c r="BS31" s="80">
        <v>0.07</v>
      </c>
      <c r="BT31" s="80">
        <v>0.07</v>
      </c>
      <c r="BU31" s="80">
        <v>0.07</v>
      </c>
      <c r="BV31" s="80">
        <v>0.07</v>
      </c>
      <c r="BW31" s="80">
        <v>0.07</v>
      </c>
      <c r="BX31" s="80">
        <v>0.07</v>
      </c>
      <c r="BY31" s="80">
        <v>0.07</v>
      </c>
      <c r="BZ31" s="80">
        <v>0.07</v>
      </c>
      <c r="CA31" s="80">
        <v>0.07</v>
      </c>
      <c r="CB31" s="80">
        <v>0.07</v>
      </c>
      <c r="CC31" s="80">
        <v>0.07</v>
      </c>
      <c r="CD31" s="80">
        <v>0.07</v>
      </c>
      <c r="CE31" s="80">
        <v>0.07</v>
      </c>
      <c r="CF31" s="80">
        <v>0.07</v>
      </c>
      <c r="CG31" s="80">
        <v>0.07</v>
      </c>
      <c r="CH31" s="80">
        <v>0.07</v>
      </c>
      <c r="CI31" s="80">
        <v>0.07</v>
      </c>
      <c r="CJ31" s="80">
        <v>0.07</v>
      </c>
      <c r="CK31" s="80">
        <v>0.07</v>
      </c>
      <c r="CL31" s="80">
        <v>0.07</v>
      </c>
      <c r="CM31" s="80">
        <v>0.07</v>
      </c>
      <c r="CN31" s="80">
        <v>0.07</v>
      </c>
      <c r="CO31" s="80">
        <v>0.07</v>
      </c>
      <c r="CP31" s="80">
        <v>0.07</v>
      </c>
      <c r="CQ31" s="80">
        <v>0.07</v>
      </c>
      <c r="CR31" s="80">
        <v>0.07</v>
      </c>
      <c r="CS31" s="80">
        <v>0.07</v>
      </c>
      <c r="CT31" s="80">
        <v>0.07</v>
      </c>
      <c r="CU31" s="80">
        <v>0.07</v>
      </c>
      <c r="CV31" s="80">
        <v>0.07</v>
      </c>
      <c r="CW31" s="80">
        <v>0.07</v>
      </c>
      <c r="CX31" s="80">
        <v>0.07</v>
      </c>
      <c r="CY31" s="80">
        <v>0.07</v>
      </c>
      <c r="CZ31" s="80">
        <v>0.07</v>
      </c>
      <c r="DA31" s="80">
        <v>0.07</v>
      </c>
      <c r="DB31" s="80">
        <v>0.07</v>
      </c>
    </row>
    <row r="32" spans="1:106" x14ac:dyDescent="0.25">
      <c r="A32" s="36" t="s">
        <v>265</v>
      </c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38"/>
      <c r="BM32" s="38"/>
      <c r="BN32" s="38"/>
      <c r="BO32" s="38"/>
      <c r="BP32" s="38"/>
      <c r="BQ32" s="38"/>
      <c r="BR32" s="38"/>
      <c r="BS32" s="38"/>
      <c r="BT32" s="38"/>
      <c r="BU32" s="38"/>
      <c r="BV32" s="38"/>
      <c r="BW32" s="38"/>
      <c r="BX32" s="38"/>
      <c r="BY32" s="38"/>
      <c r="BZ32" s="38"/>
      <c r="CA32" s="38"/>
      <c r="CB32" s="38"/>
      <c r="CC32" s="38"/>
      <c r="CD32" s="38"/>
      <c r="CE32" s="38"/>
      <c r="CF32" s="38"/>
      <c r="CG32" s="38"/>
      <c r="CH32" s="38"/>
      <c r="CI32" s="38"/>
      <c r="CJ32" s="38"/>
      <c r="CK32" s="38"/>
      <c r="CL32" s="38"/>
      <c r="CM32" s="38"/>
      <c r="CN32" s="38"/>
      <c r="CO32" s="38"/>
      <c r="CP32" s="38"/>
      <c r="CQ32" s="38"/>
      <c r="CR32" s="38"/>
      <c r="CS32" s="38"/>
      <c r="CT32" s="38"/>
      <c r="CU32" s="38"/>
      <c r="CV32" s="38"/>
      <c r="CW32" s="38"/>
      <c r="CX32" s="38"/>
      <c r="CY32" s="38"/>
      <c r="CZ32" s="38"/>
      <c r="DA32" s="38"/>
      <c r="DB32" s="38"/>
    </row>
    <row r="33" spans="1:106" x14ac:dyDescent="0.25">
      <c r="A33" s="36" t="s">
        <v>266</v>
      </c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/>
      <c r="BK33" s="38"/>
      <c r="BL33" s="38"/>
      <c r="BM33" s="38"/>
      <c r="BN33" s="38"/>
      <c r="BO33" s="38"/>
      <c r="BP33" s="38"/>
      <c r="BQ33" s="38"/>
      <c r="BR33" s="38"/>
      <c r="BS33" s="38"/>
      <c r="BT33" s="38"/>
      <c r="BU33" s="38"/>
      <c r="BV33" s="38"/>
      <c r="BW33" s="38"/>
      <c r="BX33" s="38"/>
      <c r="BY33" s="38"/>
      <c r="BZ33" s="38"/>
      <c r="CA33" s="38"/>
      <c r="CB33" s="38"/>
      <c r="CC33" s="38"/>
      <c r="CD33" s="38"/>
      <c r="CE33" s="38"/>
      <c r="CF33" s="38"/>
      <c r="CG33" s="38"/>
      <c r="CH33" s="38"/>
      <c r="CI33" s="38"/>
      <c r="CJ33" s="38"/>
      <c r="CK33" s="38"/>
      <c r="CL33" s="38"/>
      <c r="CM33" s="38"/>
      <c r="CN33" s="38"/>
      <c r="CO33" s="38"/>
      <c r="CP33" s="38"/>
      <c r="CQ33" s="38"/>
      <c r="CR33" s="38"/>
      <c r="CS33" s="38"/>
      <c r="CT33" s="38"/>
      <c r="CU33" s="38"/>
      <c r="CV33" s="38"/>
      <c r="CW33" s="38"/>
      <c r="CX33" s="38"/>
      <c r="CY33" s="38"/>
      <c r="CZ33" s="38"/>
      <c r="DA33" s="38"/>
      <c r="DB33" s="38"/>
    </row>
    <row r="34" ht="15" customHeight="1" spans="1:106" x14ac:dyDescent="0.25">
      <c r="A34" s="16" t="s">
        <v>267</v>
      </c>
      <c r="B34" s="17"/>
      <c r="C34" s="35">
        <f>=SUM(C35:C40)</f>
        <v>0.2</v>
      </c>
      <c r="D34" s="35">
        <f>=SUM(D35:D40)</f>
        <v>0.2</v>
      </c>
      <c r="E34" s="35">
        <f>=SUM(E35:E40)</f>
        <v>0.2</v>
      </c>
      <c r="F34" s="35">
        <f>=SUM(F35:F40)</f>
        <v>0.2</v>
      </c>
      <c r="G34" s="35">
        <f>=SUM(G35:G40)</f>
        <v>0.2</v>
      </c>
      <c r="H34" s="35">
        <f>=SUM(H35:H40)</f>
        <v>0.2</v>
      </c>
      <c r="I34" s="35">
        <f>=SUM(I35:I40)</f>
        <v>0.2</v>
      </c>
      <c r="J34" s="35">
        <f>=SUM(J35:J40)</f>
        <v>0.2</v>
      </c>
      <c r="K34" s="35">
        <f>=SUM(K35:K40)</f>
        <v>0.2</v>
      </c>
      <c r="L34" s="35">
        <f>=SUM(L35:L40)</f>
        <v>0.2</v>
      </c>
      <c r="M34" s="35">
        <f>=SUM(M35:M40)</f>
        <v>0.2</v>
      </c>
      <c r="N34" s="35">
        <f>=SUM(N35:N40)</f>
        <v>0.2</v>
      </c>
      <c r="O34" s="35">
        <f>=SUM(O35:O40)</f>
        <v>0.2</v>
      </c>
      <c r="P34" s="35">
        <f>=SUM(P35:P40)</f>
        <v>0.2</v>
      </c>
      <c r="Q34" s="35">
        <f>=SUM(Q35:Q40)</f>
        <v>0.2</v>
      </c>
      <c r="R34" s="35">
        <f>=SUM(R35:R40)</f>
        <v>0.2</v>
      </c>
      <c r="S34" s="35">
        <f>=SUM(S35:S40)</f>
        <v>0.2</v>
      </c>
      <c r="T34" s="35">
        <f>=SUM(T35:T40)</f>
        <v>0.2</v>
      </c>
      <c r="U34" s="35">
        <f>=SUM(U35:U40)</f>
        <v>0.2</v>
      </c>
      <c r="V34" s="35">
        <f>=SUM(V35:V40)</f>
        <v>0.2</v>
      </c>
      <c r="W34" s="35">
        <f>=SUM(W35:W40)</f>
        <v>0.2</v>
      </c>
      <c r="X34" s="35">
        <f>=SUM(X35:X40)</f>
        <v>0.2</v>
      </c>
      <c r="Y34" s="35">
        <f>=SUM(Y35:Y40)</f>
        <v>0.2</v>
      </c>
      <c r="Z34" s="35">
        <f>=SUM(Z35:Z40)</f>
        <v>0.2</v>
      </c>
      <c r="AA34" s="35">
        <f>=SUM(AA35:AA40)</f>
        <v>0.2</v>
      </c>
      <c r="AB34" s="35">
        <f>=SUM(AB35:AB40)</f>
        <v>0.2</v>
      </c>
      <c r="AC34" s="35">
        <f>=SUM(AC35:AC40)</f>
        <v>0.2</v>
      </c>
      <c r="AD34" s="35">
        <f>=SUM(AD35:AD40)</f>
        <v>0.2</v>
      </c>
      <c r="AE34" s="35">
        <f>=SUM(AE35:AE40)</f>
        <v>0.2</v>
      </c>
      <c r="AF34" s="35">
        <f>=SUM(AF35:AF40)</f>
        <v>0.2</v>
      </c>
      <c r="AG34" s="35">
        <f>=SUM(AG35:AG40)</f>
        <v>0.2</v>
      </c>
      <c r="AH34" s="35">
        <f>=SUM(AH35:AH40)</f>
        <v>0.2</v>
      </c>
      <c r="AI34" s="35">
        <f>=SUM(AI35:AI40)</f>
        <v>0.2</v>
      </c>
      <c r="AJ34" s="35">
        <f>=SUM(AJ35:AJ40)</f>
        <v>0.2</v>
      </c>
      <c r="AK34" s="35">
        <f>=SUM(AK35:AK40)</f>
        <v>0.2</v>
      </c>
      <c r="AL34" s="35">
        <f>=SUM(AL35:AL40)</f>
        <v>0.2</v>
      </c>
      <c r="AM34" s="35">
        <f>=SUM(AM35:AM40)</f>
        <v>0.2</v>
      </c>
      <c r="AN34" s="35">
        <f>=SUM(AN35:AN40)</f>
        <v>0.2</v>
      </c>
      <c r="AO34" s="35">
        <f>=SUM(AO35:AO40)</f>
        <v>0.2</v>
      </c>
      <c r="AP34" s="35">
        <f>=SUM(AP35:AP40)</f>
        <v>0.2</v>
      </c>
      <c r="AQ34" s="35">
        <f>=SUM(AQ35:AQ40)</f>
        <v>0.2</v>
      </c>
      <c r="AR34" s="35">
        <f>=SUM(AR35:AR40)</f>
        <v>0.2</v>
      </c>
      <c r="AS34" s="35">
        <f>=SUM(AS35:AS40)</f>
        <v>0.2</v>
      </c>
      <c r="AT34" s="35">
        <f>=SUM(AT35:AT40)</f>
        <v>0.2</v>
      </c>
      <c r="AU34" s="35">
        <f>=SUM(AU35:AU40)</f>
        <v>0.2</v>
      </c>
      <c r="AV34" s="35">
        <f>=SUM(AV35:AV40)</f>
        <v>0.2</v>
      </c>
      <c r="AW34" s="35">
        <f>=SUM(AW35:AW40)</f>
        <v>0.2</v>
      </c>
      <c r="AX34" s="35">
        <f>=SUM(AX35:AX40)</f>
        <v>0.2</v>
      </c>
      <c r="AY34" s="35">
        <f>=SUM(AY35:AY40)</f>
        <v>0.2</v>
      </c>
      <c r="AZ34" s="35">
        <f>=SUM(AZ35:AZ40)</f>
        <v>0.2</v>
      </c>
      <c r="BA34" s="35">
        <f>=SUM(BA35:BA40)</f>
        <v>0.2</v>
      </c>
      <c r="BB34" s="35">
        <f>=SUM(BB35:BB40)</f>
        <v>0.2</v>
      </c>
      <c r="BC34" s="35">
        <f>=SUM(BC35:BC40)</f>
        <v>0.2</v>
      </c>
      <c r="BD34" s="35">
        <f>=SUM(BD35:BD40)</f>
        <v>0.2</v>
      </c>
      <c r="BE34" s="35">
        <f>=SUM(BE35:BE40)</f>
        <v>0.2</v>
      </c>
      <c r="BF34" s="35">
        <f>=SUM(BF35:BF40)</f>
        <v>0.2</v>
      </c>
      <c r="BG34" s="35">
        <f>=SUM(BG35:BG40)</f>
        <v>0.2</v>
      </c>
      <c r="BH34" s="35">
        <f>=SUM(BH35:BH40)</f>
        <v>0.2</v>
      </c>
      <c r="BI34" s="35">
        <f>=SUM(BI35:BI40)</f>
        <v>0.2</v>
      </c>
      <c r="BJ34" s="35">
        <f>=SUM(BJ35:BJ40)</f>
        <v>0.2</v>
      </c>
      <c r="BK34" s="35">
        <f>=SUM(BK35:BK40)</f>
        <v>0.2</v>
      </c>
      <c r="BL34" s="35">
        <f>=SUM(BL35:BL40)</f>
        <v>0.2</v>
      </c>
      <c r="BM34" s="35">
        <f>=SUM(BM35:BM40)</f>
        <v>0.2</v>
      </c>
      <c r="BN34" s="35">
        <f>=SUM(BN35:BN40)</f>
        <v>0.2</v>
      </c>
      <c r="BO34" s="35">
        <f>=SUM(BO35:BO40)</f>
        <v>0.2</v>
      </c>
      <c r="BP34" s="35">
        <f>=SUM(BP35:BP40)</f>
        <v>0.2</v>
      </c>
      <c r="BQ34" s="35">
        <f>=SUM(BQ35:BQ40)</f>
        <v>0.2</v>
      </c>
      <c r="BR34" s="35">
        <f>=SUM(BR35:BR40)</f>
        <v>0.2</v>
      </c>
      <c r="BS34" s="35">
        <f>=SUM(BS35:BS40)</f>
        <v>0.2</v>
      </c>
      <c r="BT34" s="35">
        <f>=SUM(BT35:BT40)</f>
        <v>0.2</v>
      </c>
      <c r="BU34" s="35">
        <f>=SUM(BU35:BU40)</f>
        <v>0.2</v>
      </c>
      <c r="BV34" s="35">
        <f>=SUM(BV35:BV40)</f>
        <v>0.2</v>
      </c>
      <c r="BW34" s="35">
        <f>=SUM(BW35:BW40)</f>
        <v>0.2</v>
      </c>
      <c r="BX34" s="35">
        <f>=SUM(BX35:BX40)</f>
        <v>0.2</v>
      </c>
      <c r="BY34" s="35">
        <f>=SUM(BY35:BY40)</f>
        <v>0.2</v>
      </c>
      <c r="BZ34" s="35">
        <f>=SUM(BZ35:BZ40)</f>
        <v>0.2</v>
      </c>
      <c r="CA34" s="35">
        <f>=SUM(CA35:CA40)</f>
        <v>0.2</v>
      </c>
      <c r="CB34" s="35">
        <f>=SUM(CB35:CB40)</f>
        <v>0.2</v>
      </c>
      <c r="CC34" s="35">
        <f>=SUM(CC35:CC40)</f>
        <v>0.2</v>
      </c>
      <c r="CD34" s="35">
        <f>=SUM(CD35:CD40)</f>
        <v>0.2</v>
      </c>
      <c r="CE34" s="35">
        <f>=SUM(CE35:CE40)</f>
        <v>0.2</v>
      </c>
      <c r="CF34" s="35">
        <f>=SUM(CF35:CF40)</f>
        <v>0.2</v>
      </c>
      <c r="CG34" s="35">
        <f>=SUM(CG35:CG40)</f>
        <v>0.2</v>
      </c>
      <c r="CH34" s="35">
        <f>=SUM(CH35:CH40)</f>
        <v>0.2</v>
      </c>
      <c r="CI34" s="35">
        <f>=SUM(CI35:CI40)</f>
        <v>0.2</v>
      </c>
      <c r="CJ34" s="35">
        <f>=SUM(CJ35:CJ40)</f>
        <v>0.2</v>
      </c>
      <c r="CK34" s="35">
        <f>=SUM(CK35:CK40)</f>
        <v>0.2</v>
      </c>
      <c r="CL34" s="35">
        <f>=SUM(CL35:CL40)</f>
        <v>0.2</v>
      </c>
      <c r="CM34" s="35">
        <f>=SUM(CM35:CM40)</f>
        <v>0.2</v>
      </c>
      <c r="CN34" s="35">
        <f>=SUM(CN35:CN40)</f>
        <v>0.2</v>
      </c>
      <c r="CO34" s="35">
        <f>=SUM(CO35:CO40)</f>
        <v>0.2</v>
      </c>
      <c r="CP34" s="35">
        <f>=SUM(CP35:CP40)</f>
        <v>0.2</v>
      </c>
      <c r="CQ34" s="35">
        <f>=SUM(CQ35:CQ40)</f>
        <v>0.2</v>
      </c>
      <c r="CR34" s="35">
        <f>=SUM(CR35:CR40)</f>
        <v>0.2</v>
      </c>
      <c r="CS34" s="35">
        <f>=SUM(CS35:CS40)</f>
        <v>0.2</v>
      </c>
      <c r="CT34" s="35">
        <f>=SUM(CT35:CT40)</f>
        <v>0.2</v>
      </c>
      <c r="CU34" s="35">
        <f>=SUM(CU35:CU40)</f>
        <v>0.2</v>
      </c>
      <c r="CV34" s="35">
        <f>=SUM(CV35:CV40)</f>
        <v>0.2</v>
      </c>
      <c r="CW34" s="35">
        <f>=SUM(CW35:CW40)</f>
        <v>0.2</v>
      </c>
      <c r="CX34" s="35">
        <f>=SUM(CX35:CX40)</f>
        <v>0.2</v>
      </c>
      <c r="CY34" s="35">
        <f>=SUM(CY35:CY40)</f>
        <v>0.2</v>
      </c>
      <c r="CZ34" s="35">
        <f>=SUM(CZ35:CZ40)</f>
        <v>0.2</v>
      </c>
      <c r="DA34" s="35">
        <f>=SUM(DA35:DA40)</f>
        <v>0.2</v>
      </c>
      <c r="DB34" s="35">
        <f>=SUM(DB35:DB40)</f>
        <v>0.2</v>
      </c>
    </row>
    <row r="35" ht="16" customHeight="1" spans="1:106" x14ac:dyDescent="0.25">
      <c r="A35" s="36" t="s">
        <v>268</v>
      </c>
      <c r="B35" s="17"/>
      <c r="C35" s="80">
        <v>0.12</v>
      </c>
      <c r="D35" s="80">
        <v>0.12</v>
      </c>
      <c r="E35" s="80">
        <v>0.12</v>
      </c>
      <c r="F35" s="80">
        <v>0.12</v>
      </c>
      <c r="G35" s="80">
        <v>0.12</v>
      </c>
      <c r="H35" s="80">
        <v>0.12</v>
      </c>
      <c r="I35" s="80">
        <v>0.12</v>
      </c>
      <c r="J35" s="80">
        <v>0.12</v>
      </c>
      <c r="K35" s="80">
        <v>0.12</v>
      </c>
      <c r="L35" s="80">
        <v>0.12</v>
      </c>
      <c r="M35" s="80">
        <v>0.12</v>
      </c>
      <c r="N35" s="80">
        <v>0.12</v>
      </c>
      <c r="O35" s="80">
        <v>0.12</v>
      </c>
      <c r="P35" s="80">
        <v>0.12</v>
      </c>
      <c r="Q35" s="80">
        <v>0.12</v>
      </c>
      <c r="R35" s="80">
        <v>0.12</v>
      </c>
      <c r="S35" s="80">
        <v>0.12</v>
      </c>
      <c r="T35" s="80">
        <v>0.12</v>
      </c>
      <c r="U35" s="80">
        <v>0.12</v>
      </c>
      <c r="V35" s="80">
        <v>0.12</v>
      </c>
      <c r="W35" s="80">
        <v>0.12</v>
      </c>
      <c r="X35" s="80">
        <v>0.12</v>
      </c>
      <c r="Y35" s="80">
        <v>0.12</v>
      </c>
      <c r="Z35" s="80">
        <v>0.12</v>
      </c>
      <c r="AA35" s="80">
        <v>0.12</v>
      </c>
      <c r="AB35" s="80">
        <v>0.12</v>
      </c>
      <c r="AC35" s="80">
        <v>0.12</v>
      </c>
      <c r="AD35" s="80">
        <v>0.12</v>
      </c>
      <c r="AE35" s="80">
        <v>0.12</v>
      </c>
      <c r="AF35" s="80">
        <v>0.12</v>
      </c>
      <c r="AG35" s="80">
        <v>0.12</v>
      </c>
      <c r="AH35" s="80">
        <v>0.12</v>
      </c>
      <c r="AI35" s="80">
        <v>0.12</v>
      </c>
      <c r="AJ35" s="80">
        <v>0.12</v>
      </c>
      <c r="AK35" s="80">
        <v>0.12</v>
      </c>
      <c r="AL35" s="80">
        <v>0.12</v>
      </c>
      <c r="AM35" s="80">
        <v>0.12</v>
      </c>
      <c r="AN35" s="80">
        <v>0.12</v>
      </c>
      <c r="AO35" s="80">
        <v>0.12</v>
      </c>
      <c r="AP35" s="80">
        <v>0.12</v>
      </c>
      <c r="AQ35" s="80">
        <v>0.12</v>
      </c>
      <c r="AR35" s="80">
        <v>0.12</v>
      </c>
      <c r="AS35" s="80">
        <v>0.12</v>
      </c>
      <c r="AT35" s="80">
        <v>0.12</v>
      </c>
      <c r="AU35" s="80">
        <v>0.12</v>
      </c>
      <c r="AV35" s="80">
        <v>0.12</v>
      </c>
      <c r="AW35" s="80">
        <v>0.12</v>
      </c>
      <c r="AX35" s="80">
        <v>0.12</v>
      </c>
      <c r="AY35" s="80">
        <v>0.12</v>
      </c>
      <c r="AZ35" s="80">
        <v>0.12</v>
      </c>
      <c r="BA35" s="80">
        <v>0.12</v>
      </c>
      <c r="BB35" s="80">
        <v>0.12</v>
      </c>
      <c r="BC35" s="80">
        <v>0.12</v>
      </c>
      <c r="BD35" s="80">
        <v>0.12</v>
      </c>
      <c r="BE35" s="80">
        <v>0.12</v>
      </c>
      <c r="BF35" s="80">
        <v>0.12</v>
      </c>
      <c r="BG35" s="80">
        <v>0.12</v>
      </c>
      <c r="BH35" s="80">
        <v>0.12</v>
      </c>
      <c r="BI35" s="80">
        <v>0.12</v>
      </c>
      <c r="BJ35" s="80">
        <v>0.12</v>
      </c>
      <c r="BK35" s="80">
        <v>0.12</v>
      </c>
      <c r="BL35" s="80">
        <v>0.12</v>
      </c>
      <c r="BM35" s="80">
        <v>0.12</v>
      </c>
      <c r="BN35" s="80">
        <v>0.12</v>
      </c>
      <c r="BO35" s="80">
        <v>0.12</v>
      </c>
      <c r="BP35" s="80">
        <v>0.12</v>
      </c>
      <c r="BQ35" s="80">
        <v>0.12</v>
      </c>
      <c r="BR35" s="80">
        <v>0.12</v>
      </c>
      <c r="BS35" s="80">
        <v>0.12</v>
      </c>
      <c r="BT35" s="80">
        <v>0.12</v>
      </c>
      <c r="BU35" s="80">
        <v>0.12</v>
      </c>
      <c r="BV35" s="80">
        <v>0.12</v>
      </c>
      <c r="BW35" s="80">
        <v>0.12</v>
      </c>
      <c r="BX35" s="80">
        <v>0.12</v>
      </c>
      <c r="BY35" s="80">
        <v>0.12</v>
      </c>
      <c r="BZ35" s="80">
        <v>0.12</v>
      </c>
      <c r="CA35" s="80">
        <v>0.12</v>
      </c>
      <c r="CB35" s="80">
        <v>0.12</v>
      </c>
      <c r="CC35" s="80">
        <v>0.12</v>
      </c>
      <c r="CD35" s="80">
        <v>0.12</v>
      </c>
      <c r="CE35" s="80">
        <v>0.12</v>
      </c>
      <c r="CF35" s="80">
        <v>0.12</v>
      </c>
      <c r="CG35" s="80">
        <v>0.12</v>
      </c>
      <c r="CH35" s="80">
        <v>0.12</v>
      </c>
      <c r="CI35" s="80">
        <v>0.12</v>
      </c>
      <c r="CJ35" s="80">
        <v>0.12</v>
      </c>
      <c r="CK35" s="80">
        <v>0.12</v>
      </c>
      <c r="CL35" s="80">
        <v>0.12</v>
      </c>
      <c r="CM35" s="80">
        <v>0.12</v>
      </c>
      <c r="CN35" s="80">
        <v>0.12</v>
      </c>
      <c r="CO35" s="80">
        <v>0.12</v>
      </c>
      <c r="CP35" s="80">
        <v>0.12</v>
      </c>
      <c r="CQ35" s="80">
        <v>0.12</v>
      </c>
      <c r="CR35" s="80">
        <v>0.12</v>
      </c>
      <c r="CS35" s="80">
        <v>0.12</v>
      </c>
      <c r="CT35" s="80">
        <v>0.12</v>
      </c>
      <c r="CU35" s="80">
        <v>0.12</v>
      </c>
      <c r="CV35" s="80">
        <v>0.12</v>
      </c>
      <c r="CW35" s="80">
        <v>0.12</v>
      </c>
      <c r="CX35" s="80">
        <v>0.12</v>
      </c>
      <c r="CY35" s="80">
        <v>0.12</v>
      </c>
      <c r="CZ35" s="80">
        <v>0.12</v>
      </c>
      <c r="DA35" s="80">
        <v>0.12</v>
      </c>
      <c r="DB35" s="80">
        <v>0.12</v>
      </c>
    </row>
    <row r="36" ht="15" customHeight="1" spans="1:106" x14ac:dyDescent="0.25">
      <c r="A36" s="36" t="s">
        <v>382</v>
      </c>
      <c r="B36" s="17"/>
      <c r="C36" s="37">
        <v>0.08</v>
      </c>
      <c r="D36" s="37">
        <v>0.08</v>
      </c>
      <c r="E36" s="37">
        <v>0.08</v>
      </c>
      <c r="F36" s="37">
        <v>0.08</v>
      </c>
      <c r="G36" s="37">
        <v>0.08</v>
      </c>
      <c r="H36" s="37">
        <v>0.08</v>
      </c>
      <c r="I36" s="37">
        <v>0.08</v>
      </c>
      <c r="J36" s="37">
        <v>0.08</v>
      </c>
      <c r="K36" s="37">
        <v>0.08</v>
      </c>
      <c r="L36" s="37">
        <v>0.08</v>
      </c>
      <c r="M36" s="37">
        <v>0.08</v>
      </c>
      <c r="N36" s="37">
        <v>0.08</v>
      </c>
      <c r="O36" s="37">
        <v>0.08</v>
      </c>
      <c r="P36" s="37">
        <v>0.08</v>
      </c>
      <c r="Q36" s="37">
        <v>0.08</v>
      </c>
      <c r="R36" s="37">
        <v>0.08</v>
      </c>
      <c r="S36" s="37">
        <v>0.08</v>
      </c>
      <c r="T36" s="37">
        <v>0.08</v>
      </c>
      <c r="U36" s="37">
        <v>0.08</v>
      </c>
      <c r="V36" s="37">
        <v>0.08</v>
      </c>
      <c r="W36" s="37">
        <v>0.08</v>
      </c>
      <c r="X36" s="37">
        <v>0.08</v>
      </c>
      <c r="Y36" s="37">
        <v>0.08</v>
      </c>
      <c r="Z36" s="37">
        <v>0.08</v>
      </c>
      <c r="AA36" s="37">
        <v>0.08</v>
      </c>
      <c r="AB36" s="37">
        <v>0.08</v>
      </c>
      <c r="AC36" s="37">
        <v>0.08</v>
      </c>
      <c r="AD36" s="37">
        <v>0.08</v>
      </c>
      <c r="AE36" s="37">
        <v>0.08</v>
      </c>
      <c r="AF36" s="37">
        <v>0.08</v>
      </c>
      <c r="AG36" s="37">
        <v>0.08</v>
      </c>
      <c r="AH36" s="37">
        <v>0.08</v>
      </c>
      <c r="AI36" s="37">
        <v>0.08</v>
      </c>
      <c r="AJ36" s="37">
        <v>0.08</v>
      </c>
      <c r="AK36" s="37">
        <v>0.08</v>
      </c>
      <c r="AL36" s="37">
        <v>0.08</v>
      </c>
      <c r="AM36" s="37">
        <v>0.08</v>
      </c>
      <c r="AN36" s="37">
        <v>0.08</v>
      </c>
      <c r="AO36" s="37">
        <v>0.08</v>
      </c>
      <c r="AP36" s="37">
        <v>0.08</v>
      </c>
      <c r="AQ36" s="37">
        <v>0.08</v>
      </c>
      <c r="AR36" s="37">
        <v>0.08</v>
      </c>
      <c r="AS36" s="37">
        <v>0.08</v>
      </c>
      <c r="AT36" s="37">
        <v>0.08</v>
      </c>
      <c r="AU36" s="37">
        <v>0.08</v>
      </c>
      <c r="AV36" s="37">
        <v>0.08</v>
      </c>
      <c r="AW36" s="37">
        <v>0.08</v>
      </c>
      <c r="AX36" s="37">
        <v>0.08</v>
      </c>
      <c r="AY36" s="37">
        <v>0.08</v>
      </c>
      <c r="AZ36" s="37">
        <v>0.08</v>
      </c>
      <c r="BA36" s="37">
        <v>0.08</v>
      </c>
      <c r="BB36" s="37">
        <v>0.08</v>
      </c>
      <c r="BC36" s="37">
        <v>0.08</v>
      </c>
      <c r="BD36" s="37">
        <v>0.08</v>
      </c>
      <c r="BE36" s="37">
        <v>0.08</v>
      </c>
      <c r="BF36" s="37">
        <v>0.08</v>
      </c>
      <c r="BG36" s="37">
        <v>0.08</v>
      </c>
      <c r="BH36" s="37">
        <v>0.08</v>
      </c>
      <c r="BI36" s="37">
        <v>0.08</v>
      </c>
      <c r="BJ36" s="37">
        <v>0.08</v>
      </c>
      <c r="BK36" s="37">
        <v>0.08</v>
      </c>
      <c r="BL36" s="37">
        <v>0.08</v>
      </c>
      <c r="BM36" s="37">
        <v>0.08</v>
      </c>
      <c r="BN36" s="37">
        <v>0.08</v>
      </c>
      <c r="BO36" s="37">
        <v>0.08</v>
      </c>
      <c r="BP36" s="37">
        <v>0.08</v>
      </c>
      <c r="BQ36" s="37">
        <v>0.08</v>
      </c>
      <c r="BR36" s="37">
        <v>0.08</v>
      </c>
      <c r="BS36" s="37">
        <v>0.08</v>
      </c>
      <c r="BT36" s="37">
        <v>0.08</v>
      </c>
      <c r="BU36" s="37">
        <v>0.08</v>
      </c>
      <c r="BV36" s="37">
        <v>0.08</v>
      </c>
      <c r="BW36" s="37">
        <v>0.08</v>
      </c>
      <c r="BX36" s="37">
        <v>0.08</v>
      </c>
      <c r="BY36" s="37">
        <v>0.08</v>
      </c>
      <c r="BZ36" s="37">
        <v>0.08</v>
      </c>
      <c r="CA36" s="37">
        <v>0.08</v>
      </c>
      <c r="CB36" s="37">
        <v>0.08</v>
      </c>
      <c r="CC36" s="37">
        <v>0.08</v>
      </c>
      <c r="CD36" s="37">
        <v>0.08</v>
      </c>
      <c r="CE36" s="37">
        <v>0.08</v>
      </c>
      <c r="CF36" s="37">
        <v>0.08</v>
      </c>
      <c r="CG36" s="37">
        <v>0.08</v>
      </c>
      <c r="CH36" s="37">
        <v>0.08</v>
      </c>
      <c r="CI36" s="37">
        <v>0.08</v>
      </c>
      <c r="CJ36" s="37">
        <v>0.08</v>
      </c>
      <c r="CK36" s="37">
        <v>0.08</v>
      </c>
      <c r="CL36" s="37">
        <v>0.08</v>
      </c>
      <c r="CM36" s="37">
        <v>0.08</v>
      </c>
      <c r="CN36" s="37">
        <v>0.08</v>
      </c>
      <c r="CO36" s="37">
        <v>0.08</v>
      </c>
      <c r="CP36" s="37">
        <v>0.08</v>
      </c>
      <c r="CQ36" s="37">
        <v>0.08</v>
      </c>
      <c r="CR36" s="37">
        <v>0.08</v>
      </c>
      <c r="CS36" s="37">
        <v>0.08</v>
      </c>
      <c r="CT36" s="37">
        <v>0.08</v>
      </c>
      <c r="CU36" s="37">
        <v>0.08</v>
      </c>
      <c r="CV36" s="37">
        <v>0.08</v>
      </c>
      <c r="CW36" s="37">
        <v>0.08</v>
      </c>
      <c r="CX36" s="37">
        <v>0.08</v>
      </c>
      <c r="CY36" s="37">
        <v>0.08</v>
      </c>
      <c r="CZ36" s="37">
        <v>0.08</v>
      </c>
      <c r="DA36" s="37">
        <v>0.08</v>
      </c>
      <c r="DB36" s="37">
        <v>0.08</v>
      </c>
    </row>
    <row r="37" spans="1:1" x14ac:dyDescent="0.25">
      <c r="A37" s="36" t="s">
        <v>383</v>
      </c>
    </row>
    <row r="38" spans="1:1" x14ac:dyDescent="0.25">
      <c r="A38" s="36" t="s">
        <v>266</v>
      </c>
    </row>
    <row r="39" spans="1:106" x14ac:dyDescent="0.25">
      <c r="A39" s="36" t="s">
        <v>266</v>
      </c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38"/>
      <c r="BM39" s="38"/>
      <c r="BN39" s="38"/>
      <c r="BO39" s="38"/>
      <c r="BP39" s="38"/>
      <c r="BQ39" s="38"/>
      <c r="BR39" s="38"/>
      <c r="BS39" s="38"/>
      <c r="BT39" s="38"/>
      <c r="BU39" s="38"/>
      <c r="BV39" s="38"/>
      <c r="BW39" s="38"/>
      <c r="BX39" s="38"/>
      <c r="BY39" s="38"/>
      <c r="BZ39" s="38"/>
      <c r="CA39" s="38"/>
      <c r="CB39" s="38"/>
      <c r="CC39" s="38"/>
      <c r="CD39" s="38"/>
      <c r="CE39" s="38"/>
      <c r="CF39" s="38"/>
      <c r="CG39" s="38"/>
      <c r="CH39" s="38"/>
      <c r="CI39" s="38"/>
      <c r="CJ39" s="38"/>
      <c r="CK39" s="38"/>
      <c r="CL39" s="38"/>
      <c r="CM39" s="38"/>
      <c r="CN39" s="38"/>
      <c r="CO39" s="38"/>
      <c r="CP39" s="38"/>
      <c r="CQ39" s="38"/>
      <c r="CR39" s="38"/>
      <c r="CS39" s="38"/>
      <c r="CT39" s="38"/>
      <c r="CU39" s="38"/>
      <c r="CV39" s="38"/>
      <c r="CW39" s="38"/>
      <c r="CX39" s="38"/>
      <c r="CY39" s="38"/>
      <c r="CZ39" s="38"/>
      <c r="DA39" s="38"/>
      <c r="DB39" s="38"/>
    </row>
    <row r="40" spans="1:106" x14ac:dyDescent="0.25">
      <c r="A40" s="36" t="s">
        <v>266</v>
      </c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  <c r="BL40" s="38"/>
      <c r="BM40" s="38"/>
      <c r="BN40" s="38"/>
      <c r="BO40" s="38"/>
      <c r="BP40" s="38"/>
      <c r="BQ40" s="38"/>
      <c r="BR40" s="38"/>
      <c r="BS40" s="38"/>
      <c r="BT40" s="38"/>
      <c r="BU40" s="38"/>
      <c r="BV40" s="38"/>
      <c r="BW40" s="38"/>
      <c r="BX40" s="38"/>
      <c r="BY40" s="38"/>
      <c r="BZ40" s="38"/>
      <c r="CA40" s="38"/>
      <c r="CB40" s="38"/>
      <c r="CC40" s="38"/>
      <c r="CD40" s="38"/>
      <c r="CE40" s="38"/>
      <c r="CF40" s="38"/>
      <c r="CG40" s="38"/>
      <c r="CH40" s="38"/>
      <c r="CI40" s="38"/>
      <c r="CJ40" s="38"/>
      <c r="CK40" s="38"/>
      <c r="CL40" s="38"/>
      <c r="CM40" s="38"/>
      <c r="CN40" s="38"/>
      <c r="CO40" s="38"/>
      <c r="CP40" s="38"/>
      <c r="CQ40" s="38"/>
      <c r="CR40" s="38"/>
      <c r="CS40" s="38"/>
      <c r="CT40" s="38"/>
      <c r="CU40" s="38"/>
      <c r="CV40" s="38"/>
      <c r="CW40" s="38"/>
      <c r="CX40" s="38"/>
      <c r="CY40" s="38"/>
      <c r="CZ40" s="38"/>
      <c r="DA40" s="38"/>
      <c r="DB40" s="38"/>
    </row>
    <row r="41" ht="16" customHeight="1" spans="1:106" x14ac:dyDescent="0.25">
      <c r="A41" s="20" t="s">
        <v>274</v>
      </c>
      <c r="B41" s="17"/>
      <c r="C41" s="76">
        <v>0.015</v>
      </c>
      <c r="D41" s="76">
        <v>0.015</v>
      </c>
      <c r="E41" s="76">
        <v>0.015</v>
      </c>
      <c r="F41" s="76">
        <v>0.015</v>
      </c>
      <c r="G41" s="76">
        <v>0.015</v>
      </c>
      <c r="H41" s="76">
        <v>0.015</v>
      </c>
      <c r="I41" s="76">
        <v>0.015</v>
      </c>
      <c r="J41" s="76">
        <v>0.015</v>
      </c>
      <c r="K41" s="76">
        <v>0.015</v>
      </c>
      <c r="L41" s="76">
        <v>0.015</v>
      </c>
      <c r="M41" s="76">
        <v>0.015</v>
      </c>
      <c r="N41" s="76">
        <v>0.015</v>
      </c>
      <c r="O41" s="76">
        <v>0.015</v>
      </c>
      <c r="P41" s="76">
        <v>0.015</v>
      </c>
      <c r="Q41" s="76">
        <v>0.015</v>
      </c>
      <c r="R41" s="76">
        <v>0.015</v>
      </c>
      <c r="S41" s="76">
        <v>0.015</v>
      </c>
      <c r="T41" s="76">
        <v>0.015</v>
      </c>
      <c r="U41" s="76">
        <v>0.015</v>
      </c>
      <c r="V41" s="76">
        <v>0.015</v>
      </c>
      <c r="W41" s="76">
        <v>0.015</v>
      </c>
      <c r="X41" s="76">
        <v>0.015</v>
      </c>
      <c r="Y41" s="76">
        <v>0.015</v>
      </c>
      <c r="Z41" s="76">
        <v>0.015</v>
      </c>
      <c r="AA41" s="76">
        <v>0.015</v>
      </c>
      <c r="AB41" s="76">
        <v>0.015</v>
      </c>
      <c r="AC41" s="76">
        <v>0.015</v>
      </c>
      <c r="AD41" s="76">
        <v>0.015</v>
      </c>
      <c r="AE41" s="76">
        <v>0.015</v>
      </c>
      <c r="AF41" s="76">
        <v>0.015</v>
      </c>
      <c r="AG41" s="76">
        <v>0.015</v>
      </c>
      <c r="AH41" s="76">
        <v>0.015</v>
      </c>
      <c r="AI41" s="76">
        <v>0.015</v>
      </c>
      <c r="AJ41" s="76">
        <v>0.015</v>
      </c>
      <c r="AK41" s="76">
        <v>0.015</v>
      </c>
      <c r="AL41" s="76">
        <v>0.015</v>
      </c>
      <c r="AM41" s="76">
        <v>0.015</v>
      </c>
      <c r="AN41" s="76">
        <v>0.015</v>
      </c>
      <c r="AO41" s="76">
        <v>0.015</v>
      </c>
      <c r="AP41" s="76">
        <v>0.015</v>
      </c>
      <c r="AQ41" s="76">
        <v>0.015</v>
      </c>
      <c r="AR41" s="76">
        <v>0.015</v>
      </c>
      <c r="AS41" s="76">
        <v>0.015</v>
      </c>
      <c r="AT41" s="76">
        <v>0.015</v>
      </c>
      <c r="AU41" s="76">
        <v>0.015</v>
      </c>
      <c r="AV41" s="76">
        <v>0.015</v>
      </c>
      <c r="AW41" s="76">
        <v>0.015</v>
      </c>
      <c r="AX41" s="76">
        <v>0.015</v>
      </c>
      <c r="AY41" s="76">
        <v>0.015</v>
      </c>
      <c r="AZ41" s="76">
        <v>0.015</v>
      </c>
      <c r="BA41" s="76">
        <v>0.015</v>
      </c>
      <c r="BB41" s="76">
        <v>0.015</v>
      </c>
      <c r="BC41" s="76">
        <v>0.01</v>
      </c>
      <c r="BD41" s="76">
        <v>0.01</v>
      </c>
      <c r="BE41" s="76">
        <v>0.01</v>
      </c>
      <c r="BF41" s="76">
        <v>0.01</v>
      </c>
      <c r="BG41" s="76">
        <v>0.01</v>
      </c>
      <c r="BH41" s="76">
        <v>0.0125</v>
      </c>
      <c r="BI41" s="76">
        <v>0.0125</v>
      </c>
      <c r="BJ41" s="76">
        <v>0.0125</v>
      </c>
      <c r="BK41" s="76">
        <v>0.0125</v>
      </c>
      <c r="BL41" s="76">
        <v>0.0125</v>
      </c>
      <c r="BM41" s="76">
        <v>0.0125</v>
      </c>
      <c r="BN41" s="76">
        <v>0.0125</v>
      </c>
      <c r="BO41" s="76">
        <v>0.0125</v>
      </c>
      <c r="BP41" s="76">
        <v>0.01</v>
      </c>
      <c r="BQ41" s="76">
        <v>0.01</v>
      </c>
      <c r="BR41" s="76">
        <v>0.01</v>
      </c>
      <c r="BS41" s="76">
        <v>0.01</v>
      </c>
      <c r="BT41" s="76">
        <v>0.01</v>
      </c>
      <c r="BU41" s="76">
        <v>0.0125</v>
      </c>
      <c r="BV41" s="76">
        <v>0.0125</v>
      </c>
      <c r="BW41" s="76">
        <v>0.0125</v>
      </c>
      <c r="BX41" s="76">
        <v>0.0125</v>
      </c>
      <c r="BY41" s="76">
        <v>0.0125</v>
      </c>
      <c r="BZ41" s="76">
        <v>0.0125</v>
      </c>
      <c r="CA41" s="76">
        <v>0.0125</v>
      </c>
      <c r="CB41" s="76">
        <v>0.0125</v>
      </c>
      <c r="CC41" s="76">
        <v>0.01</v>
      </c>
      <c r="CD41" s="76">
        <v>0.01</v>
      </c>
      <c r="CE41" s="76">
        <v>0.01</v>
      </c>
      <c r="CF41" s="76">
        <v>0.01</v>
      </c>
      <c r="CG41" s="76">
        <v>0.01</v>
      </c>
      <c r="CH41" s="76">
        <v>0.0125</v>
      </c>
      <c r="CI41" s="76">
        <v>0.0125</v>
      </c>
      <c r="CJ41" s="76">
        <v>0.0125</v>
      </c>
      <c r="CK41" s="76">
        <v>0.0125</v>
      </c>
      <c r="CL41" s="76">
        <v>0.0125</v>
      </c>
      <c r="CM41" s="76">
        <v>0.0125</v>
      </c>
      <c r="CN41" s="76">
        <v>0.0125</v>
      </c>
      <c r="CO41" s="76">
        <v>0.0125</v>
      </c>
      <c r="CP41" s="76">
        <v>0.01</v>
      </c>
      <c r="CQ41" s="76">
        <v>0.01</v>
      </c>
      <c r="CR41" s="76">
        <v>0.01</v>
      </c>
      <c r="CS41" s="76">
        <v>0.01</v>
      </c>
      <c r="CT41" s="76">
        <v>0.01</v>
      </c>
      <c r="CU41" s="76">
        <v>0.0125</v>
      </c>
      <c r="CV41" s="76">
        <v>0.0125</v>
      </c>
      <c r="CW41" s="76">
        <v>0.0125</v>
      </c>
      <c r="CX41" s="76">
        <v>0.0125</v>
      </c>
      <c r="CY41" s="76">
        <v>0.0125</v>
      </c>
      <c r="CZ41" s="76">
        <v>0.0125</v>
      </c>
      <c r="DA41" s="76">
        <v>0.0125</v>
      </c>
      <c r="DB41" s="76">
        <v>0.0125</v>
      </c>
    </row>
    <row r="42" spans="1:106" x14ac:dyDescent="0.25">
      <c r="A42" s="36" t="s">
        <v>275</v>
      </c>
      <c r="C42" s="41">
        <f>=IFERROR(C19*C41,0)</f>
        <v>0.195</v>
      </c>
      <c r="D42" s="41">
        <f>=IFERROR(D19*D41,0)</f>
        <v>0.195</v>
      </c>
      <c r="E42" s="41">
        <f>=IFERROR(E19*E41,0)</f>
        <v>0.18</v>
      </c>
      <c r="F42" s="41">
        <f>=IFERROR(F19*F41,0)</f>
        <v>0.165</v>
      </c>
      <c r="G42" s="41">
        <f>=IFERROR(G19*G41,0)</f>
        <v>0.165</v>
      </c>
      <c r="H42" s="41">
        <f>=IFERROR(H19*H41,0)</f>
        <v>0.165</v>
      </c>
      <c r="I42" s="41">
        <f>=IFERROR(I19*I41,0)</f>
        <v>0.165</v>
      </c>
      <c r="J42" s="41">
        <f>=IFERROR(J19*J41,0)</f>
        <v>0.15</v>
      </c>
      <c r="K42" s="41">
        <f>=IFERROR(K19*K41,0)</f>
        <v>0.15</v>
      </c>
      <c r="L42" s="41">
        <f>=IFERROR(L19*L41,0)</f>
        <v>0.15</v>
      </c>
      <c r="M42" s="41">
        <f>=IFERROR(M19*M41,0)</f>
        <v>0.225</v>
      </c>
      <c r="N42" s="41">
        <f>=IFERROR(N19*N41,0)</f>
        <v>0.21</v>
      </c>
      <c r="O42" s="41">
        <f>=IFERROR(O19*O41,0)</f>
        <v>0.21</v>
      </c>
      <c r="P42" s="41">
        <f>=IFERROR(P19*P41,0)</f>
        <v>0.21</v>
      </c>
      <c r="Q42" s="41">
        <f>=IFERROR(Q19*Q41,0)</f>
        <v>0.21</v>
      </c>
      <c r="R42" s="41">
        <f>=IFERROR(R19*R41,0)</f>
        <v>0.21</v>
      </c>
      <c r="S42" s="41">
        <f>=IFERROR(S19*S41,0)</f>
        <v>0.21</v>
      </c>
      <c r="T42" s="41">
        <f>=IFERROR(T19*T41,0)</f>
        <v>0.195</v>
      </c>
      <c r="U42" s="41">
        <f>=IFERROR(U19*U41,0)</f>
        <v>0.18</v>
      </c>
      <c r="V42" s="41">
        <f>=IFERROR(V19*V41,0)</f>
        <v>0.18</v>
      </c>
      <c r="W42" s="41">
        <f>=IFERROR(W19*W41,0)</f>
        <v>0.18</v>
      </c>
      <c r="X42" s="41">
        <f>=IFERROR(X19*X41,0)</f>
        <v>0.18</v>
      </c>
      <c r="Y42" s="41">
        <f>=IFERROR(Y19*Y41,0)</f>
        <v>0.18</v>
      </c>
      <c r="Z42" s="41">
        <f>=IFERROR(Z19*Z41,0)</f>
        <v>0.165</v>
      </c>
      <c r="AA42" s="41">
        <f>=IFERROR(AA19*AA41,0)</f>
        <v>0.165</v>
      </c>
      <c r="AB42" s="41">
        <f>=IFERROR(AB19*AB41,0)</f>
        <v>0.165</v>
      </c>
      <c r="AC42" s="41">
        <f>=IFERROR(AC19*AC41,0)</f>
        <v>0.165</v>
      </c>
      <c r="AD42" s="41">
        <f>=IFERROR(AD19*AD41,0)</f>
        <v>0.165</v>
      </c>
      <c r="AE42" s="41">
        <f>=IFERROR(AE19*AE41,0)</f>
        <v>0.18</v>
      </c>
      <c r="AF42" s="41">
        <f>=IFERROR(AF19*AF41,0)</f>
        <v>0.18</v>
      </c>
      <c r="AG42" s="41">
        <f>=IFERROR(AG19*AG41,0)</f>
        <v>0.18</v>
      </c>
      <c r="AH42" s="41">
        <f>=IFERROR(AH19*AH41,0)</f>
        <v>0.18</v>
      </c>
      <c r="AI42" s="41">
        <f>=IFERROR(AI19*AI41,0)</f>
        <v>0.18</v>
      </c>
      <c r="AJ42" s="41">
        <f>=IFERROR(AJ19*AJ41,0)</f>
        <v>0.18</v>
      </c>
      <c r="AK42" s="41">
        <f>=IFERROR(AK19*AK41,0)</f>
        <v>0.18</v>
      </c>
      <c r="AL42" s="41">
        <f>=IFERROR(AL19*AL41,0)</f>
        <v>0.18</v>
      </c>
      <c r="AM42" s="41">
        <f>=IFERROR(AM19*AM41,0)</f>
        <v>0.18</v>
      </c>
      <c r="AN42" s="41">
        <f>=IFERROR(AN19*AN41,0)</f>
        <v>0.165</v>
      </c>
      <c r="AO42" s="41">
        <f>=IFERROR(AO19*AO41,0)</f>
        <v>0.18</v>
      </c>
      <c r="AP42" s="41">
        <f>=IFERROR(AP19*AP41,0)</f>
        <v>0.15</v>
      </c>
      <c r="AQ42" s="41">
        <f>=IFERROR(AQ19*AQ41,0)</f>
        <v>0.165</v>
      </c>
      <c r="AR42" s="41">
        <f>=IFERROR(AR19*AR41,0)</f>
        <v>0.165</v>
      </c>
      <c r="AS42" s="41">
        <f>=IFERROR(AS19*AS41,0)</f>
        <v>0.15</v>
      </c>
      <c r="AT42" s="41">
        <f>=IFERROR(AT19*AT41,0)</f>
        <v>0.165</v>
      </c>
      <c r="AU42" s="41">
        <f>=IFERROR(AU19*AU41,0)</f>
        <v>0.15</v>
      </c>
      <c r="AV42" s="41">
        <f>=IFERROR(AV19*AV41,0)</f>
        <v>0.15</v>
      </c>
      <c r="AW42" s="41">
        <f>=IFERROR(AW19*AW41,0)</f>
        <v>0.135</v>
      </c>
      <c r="AX42" s="41">
        <f>=IFERROR(AX19*AX41,0)</f>
        <v>0.135</v>
      </c>
      <c r="AY42" s="41">
        <f>=IFERROR(AY19*AY41,0)</f>
        <v>0.135</v>
      </c>
      <c r="AZ42" s="41">
        <f>=IFERROR(AZ19*AZ41,0)</f>
        <v>0.135</v>
      </c>
      <c r="BA42" s="41">
        <f>=IFERROR(BA19*BA41,0)</f>
        <v>0.255</v>
      </c>
      <c r="BB42" s="41">
        <f>=IFERROR(BB19*BB41,0)</f>
        <v>0.255</v>
      </c>
      <c r="BC42" s="41">
        <f>=IFERROR(BC19*BC41,0)</f>
        <v>0.19</v>
      </c>
      <c r="BD42" s="41">
        <f>=IFERROR(BD19*BD41,0)</f>
        <v>0.19</v>
      </c>
      <c r="BE42" s="41">
        <f>=IFERROR(BE19*BE41,0)</f>
        <v>0.16</v>
      </c>
      <c r="BF42" s="41">
        <f>=IFERROR(BF19*BF41,0)</f>
        <v>0.16</v>
      </c>
      <c r="BG42" s="41">
        <f>=IFERROR(BG19*BG41,0)</f>
        <v>0.16</v>
      </c>
      <c r="BH42" s="41">
        <f>=IFERROR(BH19*BH41,0)</f>
        <v>0.1875</v>
      </c>
      <c r="BI42" s="41">
        <f>=IFERROR(BI19*BI41,0)</f>
        <v>0.1875</v>
      </c>
      <c r="BJ42" s="41">
        <f>=IFERROR(BJ19*BJ41,0)</f>
        <v>0.1625</v>
      </c>
      <c r="BK42" s="41">
        <f>=IFERROR(BK19*BK41,0)</f>
        <v>0.19706</v>
      </c>
      <c r="BL42" s="41">
        <f>=IFERROR(BL19*BL41,0)</f>
        <v>0.17206</v>
      </c>
      <c r="BM42" s="41">
        <f>=IFERROR(BM19*BM41,0)</f>
        <v>0.17206</v>
      </c>
      <c r="BN42" s="41">
        <f>=IFERROR(BN19*BN41,0)</f>
        <v>0.2066784</v>
      </c>
      <c r="BO42" s="41">
        <f>=IFERROR(BO19*BO41,0)</f>
        <v>0.1941784</v>
      </c>
      <c r="BP42" s="41">
        <f>=IFERROR(BP19*BP41,0)</f>
        <v>0.16</v>
      </c>
      <c r="BQ42" s="41">
        <f>=IFERROR(BQ19*BQ41,0)</f>
        <v>0</v>
      </c>
      <c r="BR42" s="41">
        <f>=IFERROR(BR19*BR41,0)</f>
        <v>0</v>
      </c>
      <c r="BS42" s="41">
        <f>=IFERROR(BS19*BS41,0)</f>
        <v>0</v>
      </c>
      <c r="BT42" s="41">
        <f>=IFERROR(BT19*BT41,0)</f>
        <v>0</v>
      </c>
      <c r="BU42" s="41">
        <f>=IFERROR(BU19*BU41,0)</f>
        <v>0</v>
      </c>
      <c r="BV42" s="41">
        <f>=IFERROR(BV19*BV41,0)</f>
        <v>0</v>
      </c>
      <c r="BW42" s="41">
        <f>=IFERROR(BW19*BW41,0)</f>
        <v>0</v>
      </c>
      <c r="BX42" s="41">
        <f>=IFERROR(BX19*BX41,0)</f>
        <v>0</v>
      </c>
      <c r="BY42" s="41">
        <f>=IFERROR(BY19*BY41,0)</f>
        <v>0</v>
      </c>
      <c r="BZ42" s="41">
        <f>=IFERROR(BZ19*BZ41,0)</f>
        <v>0</v>
      </c>
      <c r="CA42" s="41">
        <f>=IFERROR(CA19*CA41,0)</f>
        <v>0</v>
      </c>
      <c r="CB42" s="41">
        <f>=IFERROR(CB19*CB41,0)</f>
        <v>0</v>
      </c>
      <c r="CC42" s="41">
        <f>=IFERROR(CC19*CC41,0)</f>
        <v>0</v>
      </c>
      <c r="CD42" s="41">
        <f>=IFERROR(CD19*CD41,0)</f>
        <v>0</v>
      </c>
      <c r="CE42" s="41">
        <f>=IFERROR(CE19*CE41,0)</f>
        <v>0</v>
      </c>
      <c r="CF42" s="41">
        <f>=IFERROR(CF19*CF41,0)</f>
        <v>0</v>
      </c>
      <c r="CG42" s="41">
        <f>=IFERROR(CG19*CG41,0)</f>
        <v>0</v>
      </c>
      <c r="CH42" s="41">
        <f>=IFERROR(CH19*CH41,0)</f>
        <v>0</v>
      </c>
      <c r="CI42" s="41">
        <f>=IFERROR(CI19*CI41,0)</f>
        <v>0</v>
      </c>
      <c r="CJ42" s="41">
        <f>=IFERROR(CJ19*CJ41,0)</f>
        <v>0</v>
      </c>
      <c r="CK42" s="41">
        <f>=IFERROR(CK19*CK41,0)</f>
        <v>0</v>
      </c>
      <c r="CL42" s="41">
        <f>=IFERROR(CL19*CL41,0)</f>
        <v>0</v>
      </c>
      <c r="CM42" s="41">
        <f>=IFERROR(CM19*CM41,0)</f>
        <v>0</v>
      </c>
      <c r="CN42" s="41">
        <f>=IFERROR(CN19*CN41,0)</f>
        <v>0</v>
      </c>
      <c r="CO42" s="41">
        <f>=IFERROR(CO19*CO41,0)</f>
        <v>0</v>
      </c>
      <c r="CP42" s="41">
        <f>=IFERROR(CP19*CP41,0)</f>
        <v>0</v>
      </c>
      <c r="CQ42" s="41">
        <f>=IFERROR(CQ19*CQ41,0)</f>
        <v>0</v>
      </c>
      <c r="CR42" s="41">
        <f>=IFERROR(CR19*CR41,0)</f>
        <v>0</v>
      </c>
      <c r="CS42" s="41">
        <f>=IFERROR(CS19*CS41,0)</f>
        <v>0</v>
      </c>
      <c r="CT42" s="41">
        <f>=IFERROR(CT19*CT41,0)</f>
        <v>0</v>
      </c>
      <c r="CU42" s="41">
        <f>=IFERROR(CU19*CU41,0)</f>
        <v>0</v>
      </c>
      <c r="CV42" s="41">
        <f>=IFERROR(CV19*CV41,0)</f>
        <v>0</v>
      </c>
      <c r="CW42" s="41">
        <f>=IFERROR(CW19*CW41,0)</f>
        <v>0</v>
      </c>
      <c r="CX42" s="41">
        <f>=IFERROR(CX19*CX41,0)</f>
        <v>0</v>
      </c>
      <c r="CY42" s="41">
        <f>=IFERROR(CY19*CY41,0)</f>
        <v>0</v>
      </c>
      <c r="CZ42" s="41">
        <f>=IFERROR(CZ19*CZ41,0)</f>
        <v>0</v>
      </c>
      <c r="DA42" s="41">
        <f>=IFERROR(DA19*DA41,0)</f>
        <v>0</v>
      </c>
      <c r="DB42" s="41">
        <f>=IFERROR(DB19*DB41,0)</f>
        <v>0</v>
      </c>
    </row>
    <row r="43" ht="16" customHeight="1" spans="1:106" x14ac:dyDescent="0.25">
      <c r="A43" s="20" t="s">
        <v>276</v>
      </c>
      <c r="B43" s="17"/>
      <c r="C43" s="42">
        <v>0.04</v>
      </c>
      <c r="D43" s="42">
        <v>0.04</v>
      </c>
      <c r="E43" s="42">
        <v>0.04</v>
      </c>
      <c r="F43" s="42">
        <v>0.04</v>
      </c>
      <c r="G43" s="42">
        <v>0.04</v>
      </c>
      <c r="H43" s="42">
        <v>0.04</v>
      </c>
      <c r="I43" s="42">
        <v>0.04</v>
      </c>
      <c r="J43" s="42">
        <v>0.04</v>
      </c>
      <c r="K43" s="42">
        <v>0.04</v>
      </c>
      <c r="L43" s="42">
        <v>0.04</v>
      </c>
      <c r="M43" s="42">
        <v>0.04</v>
      </c>
      <c r="N43" s="42">
        <v>0.04</v>
      </c>
      <c r="O43" s="42">
        <v>0.04</v>
      </c>
      <c r="P43" s="42">
        <v>0.04</v>
      </c>
      <c r="Q43" s="42">
        <v>0.04</v>
      </c>
      <c r="R43" s="42">
        <v>0.04</v>
      </c>
      <c r="S43" s="42">
        <v>0.04</v>
      </c>
      <c r="T43" s="42">
        <v>0.04</v>
      </c>
      <c r="U43" s="42">
        <v>0.04</v>
      </c>
      <c r="V43" s="42">
        <v>0.04</v>
      </c>
      <c r="W43" s="42">
        <v>0.04</v>
      </c>
      <c r="X43" s="42">
        <v>0.04</v>
      </c>
      <c r="Y43" s="42">
        <v>0.04</v>
      </c>
      <c r="Z43" s="42">
        <v>0.04</v>
      </c>
      <c r="AA43" s="42">
        <v>0.04</v>
      </c>
      <c r="AB43" s="42">
        <v>0.04</v>
      </c>
      <c r="AC43" s="42">
        <v>0.04</v>
      </c>
      <c r="AD43" s="42">
        <v>0.04</v>
      </c>
      <c r="AE43" s="42">
        <v>0.04</v>
      </c>
      <c r="AF43" s="42">
        <v>0.04</v>
      </c>
      <c r="AG43" s="42">
        <v>0.04</v>
      </c>
      <c r="AH43" s="42">
        <v>0.04</v>
      </c>
      <c r="AI43" s="42">
        <v>0.04</v>
      </c>
      <c r="AJ43" s="42">
        <v>0.04</v>
      </c>
      <c r="AK43" s="42">
        <v>0.04</v>
      </c>
      <c r="AL43" s="42">
        <v>0.04</v>
      </c>
      <c r="AM43" s="42">
        <v>0.04</v>
      </c>
      <c r="AN43" s="42">
        <v>0.04</v>
      </c>
      <c r="AO43" s="42">
        <v>0.04</v>
      </c>
      <c r="AP43" s="42">
        <v>0.04</v>
      </c>
      <c r="AQ43" s="42">
        <v>0.04</v>
      </c>
      <c r="AR43" s="42">
        <v>0.04</v>
      </c>
      <c r="AS43" s="42">
        <v>0.04</v>
      </c>
      <c r="AT43" s="42">
        <v>0.04</v>
      </c>
      <c r="AU43" s="42">
        <v>0.04</v>
      </c>
      <c r="AV43" s="42">
        <v>0.04</v>
      </c>
      <c r="AW43" s="42">
        <v>0.04</v>
      </c>
      <c r="AX43" s="42">
        <v>0.04</v>
      </c>
      <c r="AY43" s="42">
        <v>0.04</v>
      </c>
      <c r="AZ43" s="42">
        <v>0.04</v>
      </c>
      <c r="BA43" s="42">
        <v>0.04</v>
      </c>
      <c r="BB43" s="42">
        <v>0.04</v>
      </c>
      <c r="BC43" s="42">
        <v>0.04</v>
      </c>
      <c r="BD43" s="42">
        <v>0.04</v>
      </c>
      <c r="BE43" s="42">
        <v>0.04</v>
      </c>
      <c r="BF43" s="42">
        <v>0.04</v>
      </c>
      <c r="BG43" s="42">
        <v>0.04</v>
      </c>
      <c r="BH43" s="42">
        <v>0.04</v>
      </c>
      <c r="BI43" s="42">
        <v>0.04</v>
      </c>
      <c r="BJ43" s="42">
        <v>0.04</v>
      </c>
      <c r="BK43" s="42">
        <v>0.04</v>
      </c>
      <c r="BL43" s="42">
        <v>0.04</v>
      </c>
      <c r="BM43" s="42">
        <v>0.04</v>
      </c>
      <c r="BN43" s="42">
        <v>0.04</v>
      </c>
      <c r="BO43" s="42">
        <v>0.04</v>
      </c>
      <c r="BP43" s="42">
        <v>0.04</v>
      </c>
      <c r="BQ43" s="42">
        <v>0.04</v>
      </c>
      <c r="BR43" s="42">
        <v>0.04</v>
      </c>
      <c r="BS43" s="42">
        <v>0.04</v>
      </c>
      <c r="BT43" s="42">
        <v>0.04</v>
      </c>
      <c r="BU43" s="42">
        <v>0.04</v>
      </c>
      <c r="BV43" s="42">
        <v>0.04</v>
      </c>
      <c r="BW43" s="42">
        <v>0.04</v>
      </c>
      <c r="BX43" s="42">
        <v>0.04</v>
      </c>
      <c r="BY43" s="42">
        <v>0.04</v>
      </c>
      <c r="BZ43" s="42">
        <v>0.04</v>
      </c>
      <c r="CA43" s="42">
        <v>0.04</v>
      </c>
      <c r="CB43" s="42">
        <v>0.04</v>
      </c>
      <c r="CC43" s="42">
        <v>0.04</v>
      </c>
      <c r="CD43" s="42">
        <v>0.04</v>
      </c>
      <c r="CE43" s="42">
        <v>0.04</v>
      </c>
      <c r="CF43" s="42">
        <v>0.04</v>
      </c>
      <c r="CG43" s="42">
        <v>0.04</v>
      </c>
      <c r="CH43" s="42">
        <v>0.04</v>
      </c>
      <c r="CI43" s="42">
        <v>0.04</v>
      </c>
      <c r="CJ43" s="42">
        <v>0.04</v>
      </c>
      <c r="CK43" s="42">
        <v>0.04</v>
      </c>
      <c r="CL43" s="42">
        <v>0.04</v>
      </c>
      <c r="CM43" s="42">
        <v>0.04</v>
      </c>
      <c r="CN43" s="42">
        <v>0.04</v>
      </c>
      <c r="CO43" s="42">
        <v>0.04</v>
      </c>
      <c r="CP43" s="42">
        <v>0.04</v>
      </c>
      <c r="CQ43" s="42">
        <v>0.04</v>
      </c>
      <c r="CR43" s="42">
        <v>0.04</v>
      </c>
      <c r="CS43" s="42">
        <v>0.04</v>
      </c>
      <c r="CT43" s="42">
        <v>0.04</v>
      </c>
      <c r="CU43" s="42">
        <v>0.04</v>
      </c>
      <c r="CV43" s="42">
        <v>0.04</v>
      </c>
      <c r="CW43" s="42">
        <v>0.04</v>
      </c>
      <c r="CX43" s="42">
        <v>0.04</v>
      </c>
      <c r="CY43" s="42">
        <v>0.04</v>
      </c>
      <c r="CZ43" s="42">
        <v>0.04</v>
      </c>
      <c r="DA43" s="42">
        <v>0.04</v>
      </c>
      <c r="DB43" s="42">
        <v>0.04</v>
      </c>
    </row>
    <row r="44" spans="1:106" x14ac:dyDescent="0.25">
      <c r="A44" s="36" t="s">
        <v>277</v>
      </c>
      <c r="C44" s="83">
        <f>=IFERROR(SUM(C113:C119)*C43,0)</f>
        <v>0</v>
      </c>
      <c r="D44" s="83">
        <f>=IFERROR(SUM(D113:D119)*D43,0)</f>
        <v>0</v>
      </c>
      <c r="E44" s="83">
        <f>=IFERROR(SUM(E113:E119)*E43,0)</f>
        <v>0</v>
      </c>
      <c r="F44" s="83">
        <f>=IFERROR(SUM(F113:F119)*F43,0)</f>
        <v>0</v>
      </c>
      <c r="G44" s="83">
        <f>=IFERROR(SUM(G113:G119)*G43,0)</f>
        <v>0</v>
      </c>
      <c r="H44" s="83">
        <f>=IFERROR(SUM(H113:H119)*H43,0)</f>
        <v>0</v>
      </c>
      <c r="I44" s="83">
        <f>=IFERROR(SUM(I113:I119)*I43,0)</f>
        <v>0.12</v>
      </c>
      <c r="J44" s="83">
        <f>=IFERROR(SUM(J113:J119)*J43,0)</f>
        <v>0.16</v>
      </c>
      <c r="K44" s="83">
        <f>=IFERROR(SUM(K113:K119)*K43,0)</f>
        <v>0.16</v>
      </c>
      <c r="L44" s="83">
        <f>=IFERROR(SUM(L113:L119)*L43,0)</f>
        <v>0.16</v>
      </c>
      <c r="M44" s="83">
        <f>=IFERROR(SUM(M113:M119)*M43,0)</f>
        <v>0</v>
      </c>
      <c r="N44" s="83">
        <f>=IFERROR(SUM(N113:N119)*N43,0)</f>
        <v>0</v>
      </c>
      <c r="O44" s="83">
        <f>=IFERROR(SUM(O113:O119)*O43,0)</f>
        <v>0</v>
      </c>
      <c r="P44" s="83">
        <f>=IFERROR(SUM(P113:P119)*P43,0)</f>
        <v>0</v>
      </c>
      <c r="Q44" s="83">
        <f>=IFERROR(SUM(Q113:Q119)*Q43,0)</f>
        <v>0</v>
      </c>
      <c r="R44" s="83">
        <f>=IFERROR(SUM(R113:R119)*R43,0)</f>
        <v>0</v>
      </c>
      <c r="S44" s="83">
        <f>=IFERROR(SUM(S113:S119)*S43,0)</f>
        <v>0</v>
      </c>
      <c r="T44" s="83">
        <f>=IFERROR(SUM(T113:T119)*T43,0)</f>
        <v>0</v>
      </c>
      <c r="U44" s="83">
        <f>=IFERROR(SUM(U113:U119)*U43,0)</f>
        <v>0</v>
      </c>
      <c r="V44" s="83">
        <f>=IFERROR(SUM(V113:V119)*V43,0)</f>
        <v>0</v>
      </c>
      <c r="W44" s="83">
        <f>=IFERROR(SUM(W113:W119)*W43,0)</f>
        <v>0</v>
      </c>
      <c r="X44" s="83">
        <f>=IFERROR(SUM(X113:X119)*X43,0)</f>
        <v>0</v>
      </c>
      <c r="Y44" s="83">
        <f>=IFERROR(SUM(Y113:Y119)*Y43,0)</f>
        <v>0</v>
      </c>
      <c r="Z44" s="83">
        <f>=IFERROR(SUM(Z113:Z119)*Z43,0)</f>
        <v>0</v>
      </c>
      <c r="AA44" s="83">
        <f>=IFERROR(SUM(AA113:AA119)*AA43,0)</f>
        <v>0.08</v>
      </c>
      <c r="AB44" s="83">
        <f>=IFERROR(SUM(AB113:AB119)*AB43,0)</f>
        <v>0.0768</v>
      </c>
      <c r="AC44" s="83">
        <f>=IFERROR(SUM(AC113:AC119)*AC43,0)</f>
        <v>0.08</v>
      </c>
      <c r="AD44" s="83">
        <f>=IFERROR(SUM(AD113:AD119)*AD43,0)</f>
        <v>0.04</v>
      </c>
      <c r="AE44" s="83">
        <f>=IFERROR(SUM(AE113:AE119)*AE43,0)</f>
        <v>0</v>
      </c>
      <c r="AF44" s="83">
        <f>=IFERROR(SUM(AF113:AF119)*AF43,0)</f>
        <v>0.08</v>
      </c>
      <c r="AG44" s="83">
        <f>=IFERROR(SUM(AG113:AG119)*AG43,0)</f>
        <v>0.0768</v>
      </c>
      <c r="AH44" s="83">
        <f>=IFERROR(SUM(AH113:AH119)*AH43,0)</f>
        <v>0.073728</v>
      </c>
      <c r="AI44" s="83">
        <f>=IFERROR(SUM(AI113:AI119)*AI43,0)</f>
        <v>0.07077888</v>
      </c>
      <c r="AJ44" s="83">
        <f>=IFERROR(SUM(AJ113:AJ119)*AJ43,0)</f>
        <v>0</v>
      </c>
      <c r="AK44" s="83">
        <f>=IFERROR(SUM(AK113:AK119)*AK43,0)</f>
        <v>0.08</v>
      </c>
      <c r="AL44" s="83">
        <f>=IFERROR(SUM(AL113:AL119)*AL43,0)</f>
        <v>0.08</v>
      </c>
      <c r="AM44" s="83">
        <f>=IFERROR(SUM(AM113:AM119)*AM43,0)</f>
        <v>0.08</v>
      </c>
      <c r="AN44" s="83">
        <f>=IFERROR(SUM(AN113:AN119)*AN43,0)</f>
        <v>0.08</v>
      </c>
      <c r="AO44" s="83">
        <f>=IFERROR(SUM(AO113:AO119)*AO43,0)</f>
        <v>0</v>
      </c>
      <c r="AP44" s="83">
        <f>=IFERROR(SUM(AP113:AP119)*AP43,0)</f>
        <v>0</v>
      </c>
      <c r="AQ44" s="83">
        <f>=IFERROR(SUM(AQ113:AQ119)*AQ43,0)</f>
        <v>0</v>
      </c>
      <c r="AR44" s="83">
        <f>=IFERROR(SUM(AR113:AR119)*AR43,0)</f>
        <v>0</v>
      </c>
      <c r="AS44" s="83">
        <f>=IFERROR(SUM(AS113:AS119)*AS43,0)</f>
        <v>0</v>
      </c>
      <c r="AT44" s="83">
        <f>=IFERROR(SUM(AT113:AT119)*AT43,0)</f>
        <v>0</v>
      </c>
      <c r="AU44" s="83">
        <f>=IFERROR(SUM(AU113:AU119)*AU43,0)</f>
        <v>0.44</v>
      </c>
      <c r="AV44" s="83">
        <f>=IFERROR(SUM(AV113:AV119)*AV43,0)</f>
        <v>0.4</v>
      </c>
      <c r="AW44" s="83">
        <f>=IFERROR(SUM(AW113:AW119)*AW43,0)</f>
        <v>0.4</v>
      </c>
      <c r="AX44" s="83">
        <f>=IFERROR(SUM(AX113:AX119)*AX43,0)</f>
        <v>0.4</v>
      </c>
      <c r="AY44" s="83">
        <f>=IFERROR(SUM(AY113:AY119)*AY43,0)</f>
        <v>0.08</v>
      </c>
      <c r="AZ44" s="83">
        <f>=IFERROR(SUM(AZ113:AZ119)*AZ43,0)</f>
        <v>0.08</v>
      </c>
      <c r="BA44" s="83">
        <f>=IFERROR(SUM(BA113:BA119)*BA43,0)</f>
        <v>0</v>
      </c>
      <c r="BB44" s="83">
        <f>=IFERROR(SUM(BB113:BB119)*BB43,0)</f>
        <v>0</v>
      </c>
      <c r="BC44" s="83">
        <f>=IFERROR(SUM(BC113:BC119)*BC43,0)</f>
        <v>0</v>
      </c>
      <c r="BD44" s="83">
        <f>=IFERROR(SUM(BD113:BD119)*BD43,0)</f>
        <v>0</v>
      </c>
      <c r="BE44" s="83">
        <f>=IFERROR(SUM(BE113:BE119)*BE43,0)</f>
        <v>0.12</v>
      </c>
      <c r="BF44" s="83">
        <f>=IFERROR(SUM(BF113:BF119)*BF43,0)</f>
        <v>0.16</v>
      </c>
      <c r="BG44" s="83">
        <f>=IFERROR(SUM(BG113:BG119)*BG43,0)</f>
        <v>0.1536</v>
      </c>
      <c r="BH44" s="83">
        <f>=IFERROR(SUM(BH113:BH119)*BH43,0)</f>
        <v>0.2</v>
      </c>
      <c r="BI44" s="83">
        <f>=IFERROR(SUM(BI113:BI119)*BI43,0)</f>
        <v>0.0768</v>
      </c>
      <c r="BJ44" s="83">
        <f>=IFERROR(SUM(BJ113:BJ119)*BJ43,0)</f>
        <v>0.2</v>
      </c>
      <c r="BK44" s="83">
        <f>=IFERROR(SUM(BK113:BK119)*BK43,0)</f>
        <v>0.1568</v>
      </c>
      <c r="BL44" s="83">
        <f>=IFERROR(SUM(BL113:BL119)*BL43,0)</f>
        <v>0.073728</v>
      </c>
      <c r="BM44" s="83">
        <f>=IFERROR(SUM(BM113:BM119)*BM43,0)</f>
        <v>0.07077888</v>
      </c>
      <c r="BN44" s="83">
        <f>=IFERROR(SUM(BN113:BN119)*BN43,0)</f>
        <v>0</v>
      </c>
      <c r="BO44" s="83">
        <f>=IFERROR(SUM(BO113:BO119)*BO43,0)</f>
        <v>0</v>
      </c>
      <c r="BP44" s="83">
        <f>=IFERROR(SUM(BP113:BP119)*BP43,0)</f>
        <v>0</v>
      </c>
      <c r="BQ44" s="83">
        <f>=IFERROR(SUM(BQ113:BQ119)*BQ43,0)</f>
        <v>0</v>
      </c>
      <c r="BR44" s="83">
        <f>=IFERROR(SUM(BR113:BR119)*BR43,0)</f>
        <v>0</v>
      </c>
      <c r="BS44" s="83">
        <f>=IFERROR(SUM(BS113:BS119)*BS43,0)</f>
        <v>0</v>
      </c>
      <c r="BT44" s="83">
        <f>=IFERROR(SUM(BT113:BT119)*BT43,0)</f>
        <v>0</v>
      </c>
      <c r="BU44" s="83">
        <f>=IFERROR(SUM(BU113:BU119)*BU43,0)</f>
        <v>0</v>
      </c>
      <c r="BV44" s="83">
        <f>=IFERROR(SUM(BV113:BV119)*BV43,0)</f>
        <v>0</v>
      </c>
      <c r="BW44" s="83">
        <f>=IFERROR(SUM(BW113:BW119)*BW43,0)</f>
        <v>0</v>
      </c>
      <c r="BX44" s="83">
        <f>=IFERROR(SUM(BX113:BX119)*BX43,0)</f>
        <v>0</v>
      </c>
      <c r="BY44" s="83">
        <f>=IFERROR(SUM(BY113:BY119)*BY43,0)</f>
        <v>0</v>
      </c>
      <c r="BZ44" s="83">
        <f>=IFERROR(SUM(BZ113:BZ119)*BZ43,0)</f>
        <v>0</v>
      </c>
      <c r="CA44" s="83">
        <f>=IFERROR(SUM(CA113:CA119)*CA43,0)</f>
        <v>0</v>
      </c>
      <c r="CB44" s="83">
        <f>=IFERROR(SUM(CB113:CB119)*CB43,0)</f>
        <v>0</v>
      </c>
      <c r="CC44" s="83">
        <f>=IFERROR(SUM(CC113:CC119)*CC43,0)</f>
        <v>0</v>
      </c>
      <c r="CD44" s="83">
        <f>=IFERROR(SUM(CD113:CD119)*CD43,0)</f>
        <v>0</v>
      </c>
      <c r="CE44" s="83">
        <f>=IFERROR(SUM(CE113:CE119)*CE43,0)</f>
        <v>0</v>
      </c>
      <c r="CF44" s="83">
        <f>=IFERROR(SUM(CF113:CF119)*CF43,0)</f>
        <v>0</v>
      </c>
      <c r="CG44" s="83">
        <f>=IFERROR(SUM(CG113:CG119)*CG43,0)</f>
        <v>0</v>
      </c>
      <c r="CH44" s="83">
        <f>=IFERROR(SUM(CH113:CH119)*CH43,0)</f>
        <v>0</v>
      </c>
      <c r="CI44" s="83">
        <f>=IFERROR(SUM(CI113:CI119)*CI43,0)</f>
        <v>0</v>
      </c>
      <c r="CJ44" s="83">
        <f>=IFERROR(SUM(CJ113:CJ119)*CJ43,0)</f>
        <v>0</v>
      </c>
      <c r="CK44" s="83">
        <f>=IFERROR(SUM(CK113:CK119)*CK43,0)</f>
        <v>0</v>
      </c>
      <c r="CL44" s="83">
        <f>=IFERROR(SUM(CL113:CL119)*CL43,0)</f>
        <v>0</v>
      </c>
      <c r="CM44" s="83">
        <f>=IFERROR(SUM(CM113:CM119)*CM43,0)</f>
        <v>0</v>
      </c>
      <c r="CN44" s="83">
        <f>=IFERROR(SUM(CN113:CN119)*CN43,0)</f>
        <v>0</v>
      </c>
      <c r="CO44" s="83">
        <f>=IFERROR(SUM(CO113:CO119)*CO43,0)</f>
        <v>0</v>
      </c>
      <c r="CP44" s="83">
        <f>=IFERROR(SUM(CP113:CP119)*CP43,0)</f>
        <v>0</v>
      </c>
      <c r="CQ44" s="83">
        <f>=IFERROR(SUM(CQ113:CQ119)*CQ43,0)</f>
        <v>0</v>
      </c>
      <c r="CR44" s="83">
        <f>=IFERROR(SUM(CR113:CR119)*CR43,0)</f>
        <v>0</v>
      </c>
      <c r="CS44" s="83">
        <f>=IFERROR(SUM(CS113:CS119)*CS43,0)</f>
        <v>0</v>
      </c>
      <c r="CT44" s="83">
        <f>=IFERROR(SUM(CT113:CT119)*CT43,0)</f>
        <v>0</v>
      </c>
      <c r="CU44" s="83">
        <f>=IFERROR(SUM(CU113:CU119)*CU43,0)</f>
        <v>0</v>
      </c>
      <c r="CV44" s="83">
        <f>=IFERROR(SUM(CV113:CV119)*CV43,0)</f>
        <v>0</v>
      </c>
      <c r="CW44" s="83">
        <f>=IFERROR(SUM(CW113:CW119)*CW43,0)</f>
        <v>0</v>
      </c>
      <c r="CX44" s="83">
        <f>=IFERROR(SUM(CX113:CX119)*CX43,0)</f>
        <v>0</v>
      </c>
      <c r="CY44" s="83">
        <f>=IFERROR(SUM(CY113:CY119)*CY43,0)</f>
        <v>0</v>
      </c>
      <c r="CZ44" s="83">
        <f>=IFERROR(SUM(CZ113:CZ119)*CZ43,0)</f>
        <v>0</v>
      </c>
      <c r="DA44" s="83">
        <f>=IFERROR(SUM(DA113:DA119)*DA43,0)</f>
        <v>0</v>
      </c>
      <c r="DB44" s="83">
        <f>=IFERROR(SUM(DB113:DB119)*DB43,0)</f>
        <v>0</v>
      </c>
    </row>
    <row r="45" ht="18" customHeight="1" spans="1:106" x14ac:dyDescent="0.25">
      <c r="A45" s="16" t="s">
        <v>278</v>
      </c>
      <c r="C45" s="44">
        <v>1</v>
      </c>
      <c r="D45" s="44">
        <v>1</v>
      </c>
      <c r="E45" s="44">
        <v>1</v>
      </c>
      <c r="F45" s="44">
        <v>1</v>
      </c>
      <c r="G45" s="44">
        <v>1</v>
      </c>
      <c r="H45" s="44">
        <v>1</v>
      </c>
      <c r="I45" s="44">
        <v>1</v>
      </c>
      <c r="J45" s="44">
        <v>1</v>
      </c>
      <c r="K45" s="44">
        <v>1</v>
      </c>
      <c r="L45" s="44">
        <v>1</v>
      </c>
      <c r="M45" s="44">
        <v>1</v>
      </c>
      <c r="N45" s="44">
        <v>1</v>
      </c>
      <c r="O45" s="44">
        <v>1</v>
      </c>
      <c r="P45" s="44">
        <v>1</v>
      </c>
      <c r="Q45" s="44">
        <v>1</v>
      </c>
      <c r="R45" s="44">
        <v>1</v>
      </c>
      <c r="S45" s="44">
        <v>1</v>
      </c>
      <c r="T45" s="44">
        <v>1</v>
      </c>
      <c r="U45" s="44">
        <v>1</v>
      </c>
      <c r="V45" s="44">
        <v>1</v>
      </c>
      <c r="W45" s="44">
        <v>1</v>
      </c>
      <c r="X45" s="44">
        <v>1</v>
      </c>
      <c r="Y45" s="44">
        <v>1</v>
      </c>
      <c r="Z45" s="44">
        <v>1</v>
      </c>
      <c r="AA45" s="44">
        <v>1</v>
      </c>
      <c r="AB45" s="44">
        <v>1</v>
      </c>
      <c r="AC45" s="44">
        <v>1</v>
      </c>
      <c r="AD45" s="44">
        <v>1</v>
      </c>
      <c r="AE45" s="44">
        <v>1</v>
      </c>
      <c r="AF45" s="44">
        <v>1</v>
      </c>
      <c r="AG45" s="44">
        <v>1</v>
      </c>
      <c r="AH45" s="44">
        <v>1</v>
      </c>
      <c r="AI45" s="44">
        <v>1</v>
      </c>
      <c r="AJ45" s="44">
        <v>1</v>
      </c>
      <c r="AK45" s="44">
        <v>1</v>
      </c>
      <c r="AL45" s="44">
        <v>1</v>
      </c>
      <c r="AM45" s="44">
        <v>1</v>
      </c>
      <c r="AN45" s="44">
        <v>1</v>
      </c>
      <c r="AO45" s="44">
        <v>1</v>
      </c>
      <c r="AP45" s="44">
        <v>1</v>
      </c>
      <c r="AQ45" s="44">
        <v>1</v>
      </c>
      <c r="AR45" s="44">
        <v>1</v>
      </c>
      <c r="AS45" s="44">
        <v>1</v>
      </c>
      <c r="AT45" s="44">
        <v>1</v>
      </c>
      <c r="AU45" s="44">
        <v>1</v>
      </c>
      <c r="AV45" s="44">
        <v>1</v>
      </c>
      <c r="AW45" s="44">
        <v>1</v>
      </c>
      <c r="AX45" s="44">
        <v>1</v>
      </c>
      <c r="AY45" s="44">
        <v>1</v>
      </c>
      <c r="AZ45" s="44">
        <v>1</v>
      </c>
      <c r="BA45" s="44">
        <v>1</v>
      </c>
      <c r="BB45" s="44">
        <v>1</v>
      </c>
      <c r="BC45" s="44">
        <v>1</v>
      </c>
      <c r="BD45" s="44">
        <v>1</v>
      </c>
      <c r="BE45" s="44">
        <v>1</v>
      </c>
      <c r="BF45" s="44">
        <v>1</v>
      </c>
      <c r="BG45" s="44">
        <v>1</v>
      </c>
      <c r="BH45" s="44">
        <v>1</v>
      </c>
      <c r="BI45" s="44">
        <v>1</v>
      </c>
      <c r="BJ45" s="44">
        <v>1</v>
      </c>
      <c r="BK45" s="44">
        <v>1</v>
      </c>
      <c r="BL45" s="44">
        <v>1</v>
      </c>
      <c r="BM45" s="44">
        <v>1</v>
      </c>
      <c r="BN45" s="44">
        <v>1</v>
      </c>
      <c r="BO45" s="44">
        <v>1</v>
      </c>
      <c r="BP45" s="44">
        <v>1</v>
      </c>
      <c r="BQ45" s="44">
        <v>1</v>
      </c>
      <c r="BR45" s="44">
        <v>1</v>
      </c>
      <c r="BS45" s="44">
        <v>1</v>
      </c>
      <c r="BT45" s="44">
        <v>1</v>
      </c>
      <c r="BU45" s="44">
        <v>1</v>
      </c>
      <c r="BV45" s="44">
        <v>1</v>
      </c>
      <c r="BW45" s="44">
        <v>1</v>
      </c>
      <c r="BX45" s="44">
        <v>1</v>
      </c>
      <c r="BY45" s="44">
        <v>1</v>
      </c>
      <c r="BZ45" s="44">
        <v>1</v>
      </c>
      <c r="CA45" s="44">
        <v>1</v>
      </c>
      <c r="CB45" s="44">
        <v>1</v>
      </c>
      <c r="CC45" s="44">
        <v>1</v>
      </c>
      <c r="CD45" s="44">
        <v>1</v>
      </c>
      <c r="CE45" s="44">
        <v>1</v>
      </c>
      <c r="CF45" s="44">
        <v>1</v>
      </c>
      <c r="CG45" s="44">
        <v>1</v>
      </c>
      <c r="CH45" s="44">
        <v>1</v>
      </c>
      <c r="CI45" s="44">
        <v>1</v>
      </c>
      <c r="CJ45" s="44">
        <v>1</v>
      </c>
      <c r="CK45" s="44">
        <v>1</v>
      </c>
      <c r="CL45" s="44">
        <v>1</v>
      </c>
      <c r="CM45" s="44">
        <v>1</v>
      </c>
      <c r="CN45" s="44">
        <v>1</v>
      </c>
      <c r="CO45" s="44">
        <v>1</v>
      </c>
      <c r="CP45" s="44">
        <v>1</v>
      </c>
      <c r="CQ45" s="44">
        <v>1</v>
      </c>
      <c r="CR45" s="44">
        <v>1</v>
      </c>
      <c r="CS45" s="44">
        <v>1</v>
      </c>
      <c r="CT45" s="44">
        <v>1</v>
      </c>
      <c r="CU45" s="44">
        <v>1</v>
      </c>
      <c r="CV45" s="44">
        <v>1</v>
      </c>
      <c r="CW45" s="44">
        <v>1</v>
      </c>
      <c r="CX45" s="44">
        <v>1</v>
      </c>
      <c r="CY45" s="44">
        <v>1</v>
      </c>
      <c r="CZ45" s="44">
        <v>1</v>
      </c>
      <c r="DA45" s="44">
        <v>1</v>
      </c>
      <c r="DB45" s="44">
        <v>1</v>
      </c>
    </row>
    <row r="46" ht="15" customHeight="1" spans="1:106" x14ac:dyDescent="0.25">
      <c r="A46" s="16" t="s">
        <v>279</v>
      </c>
      <c r="B46" s="17"/>
      <c r="C46" s="45">
        <v>0</v>
      </c>
      <c r="D46" s="45">
        <v>0</v>
      </c>
      <c r="E46" s="45">
        <v>0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v>0</v>
      </c>
      <c r="O46" s="45">
        <v>0</v>
      </c>
      <c r="P46" s="45">
        <v>0</v>
      </c>
      <c r="Q46" s="45">
        <v>0</v>
      </c>
      <c r="R46" s="45">
        <v>0</v>
      </c>
      <c r="S46" s="45">
        <v>0</v>
      </c>
      <c r="T46" s="45">
        <v>0</v>
      </c>
      <c r="U46" s="45">
        <v>0</v>
      </c>
      <c r="V46" s="45">
        <v>0</v>
      </c>
      <c r="W46" s="45">
        <v>0</v>
      </c>
      <c r="X46" s="45">
        <v>0</v>
      </c>
      <c r="Y46" s="45">
        <v>0</v>
      </c>
      <c r="Z46" s="45">
        <v>0</v>
      </c>
      <c r="AA46" s="45">
        <v>0</v>
      </c>
      <c r="AB46" s="45">
        <v>0</v>
      </c>
      <c r="AC46" s="45">
        <v>0</v>
      </c>
      <c r="AD46" s="45">
        <v>0</v>
      </c>
      <c r="AE46" s="45">
        <v>0</v>
      </c>
      <c r="AF46" s="45">
        <v>0</v>
      </c>
      <c r="AG46" s="45">
        <v>0</v>
      </c>
      <c r="AH46" s="45">
        <v>0</v>
      </c>
      <c r="AI46" s="45">
        <v>0</v>
      </c>
      <c r="AJ46" s="45">
        <v>0</v>
      </c>
      <c r="AK46" s="45">
        <v>0</v>
      </c>
      <c r="AL46" s="45">
        <v>0</v>
      </c>
      <c r="AM46" s="45">
        <v>0</v>
      </c>
      <c r="AN46" s="45">
        <v>0</v>
      </c>
      <c r="AO46" s="45">
        <v>0</v>
      </c>
      <c r="AP46" s="45">
        <v>0</v>
      </c>
      <c r="AQ46" s="45">
        <v>0</v>
      </c>
      <c r="AR46" s="45">
        <v>0</v>
      </c>
      <c r="AS46" s="45">
        <v>0</v>
      </c>
      <c r="AT46" s="45">
        <v>0</v>
      </c>
      <c r="AU46" s="45">
        <v>0</v>
      </c>
      <c r="AV46" s="45">
        <v>0</v>
      </c>
      <c r="AW46" s="45">
        <v>0</v>
      </c>
      <c r="AX46" s="45">
        <v>0</v>
      </c>
      <c r="AY46" s="45">
        <v>0</v>
      </c>
      <c r="AZ46" s="45">
        <v>0</v>
      </c>
      <c r="BA46" s="45">
        <v>0</v>
      </c>
      <c r="BB46" s="45">
        <v>0</v>
      </c>
      <c r="BC46" s="45">
        <v>0</v>
      </c>
      <c r="BD46" s="45">
        <v>0</v>
      </c>
      <c r="BE46" s="45">
        <v>0</v>
      </c>
      <c r="BF46" s="45">
        <v>0</v>
      </c>
      <c r="BG46" s="45">
        <v>0</v>
      </c>
      <c r="BH46" s="45">
        <v>0</v>
      </c>
      <c r="BI46" s="45">
        <v>0</v>
      </c>
      <c r="BJ46" s="45">
        <v>0</v>
      </c>
      <c r="BK46" s="45">
        <v>0</v>
      </c>
      <c r="BL46" s="45">
        <v>0</v>
      </c>
      <c r="BM46" s="45">
        <v>0</v>
      </c>
      <c r="BN46" s="45">
        <v>0</v>
      </c>
      <c r="BO46" s="45">
        <v>0</v>
      </c>
      <c r="BP46" s="45">
        <v>0</v>
      </c>
      <c r="BQ46" s="45">
        <v>0</v>
      </c>
      <c r="BR46" s="45">
        <v>0</v>
      </c>
      <c r="BS46" s="45">
        <v>0</v>
      </c>
      <c r="BT46" s="45">
        <v>0</v>
      </c>
      <c r="BU46" s="45">
        <v>0</v>
      </c>
      <c r="BV46" s="45">
        <v>0</v>
      </c>
      <c r="BW46" s="45">
        <v>0</v>
      </c>
      <c r="BX46" s="45">
        <v>0</v>
      </c>
      <c r="BY46" s="45">
        <v>0</v>
      </c>
      <c r="BZ46" s="45">
        <v>0</v>
      </c>
      <c r="CA46" s="45">
        <v>0</v>
      </c>
      <c r="CB46" s="45">
        <v>0</v>
      </c>
      <c r="CC46" s="45">
        <v>0</v>
      </c>
      <c r="CD46" s="45">
        <v>0</v>
      </c>
      <c r="CE46" s="45">
        <v>0</v>
      </c>
      <c r="CF46" s="45">
        <v>0</v>
      </c>
      <c r="CG46" s="45">
        <v>0</v>
      </c>
      <c r="CH46" s="45">
        <v>0</v>
      </c>
      <c r="CI46" s="45">
        <v>0</v>
      </c>
      <c r="CJ46" s="45">
        <v>0</v>
      </c>
      <c r="CK46" s="45">
        <v>0</v>
      </c>
      <c r="CL46" s="45">
        <v>0</v>
      </c>
      <c r="CM46" s="45">
        <v>0</v>
      </c>
      <c r="CN46" s="45">
        <v>0</v>
      </c>
      <c r="CO46" s="45">
        <v>0</v>
      </c>
      <c r="CP46" s="45">
        <v>0</v>
      </c>
      <c r="CQ46" s="45">
        <v>0</v>
      </c>
      <c r="CR46" s="45">
        <v>0</v>
      </c>
      <c r="CS46" s="45">
        <v>0</v>
      </c>
      <c r="CT46" s="45">
        <v>0</v>
      </c>
      <c r="CU46" s="45">
        <v>0</v>
      </c>
      <c r="CV46" s="45">
        <v>0</v>
      </c>
      <c r="CW46" s="45">
        <v>0</v>
      </c>
      <c r="CX46" s="45">
        <v>0</v>
      </c>
      <c r="CY46" s="45">
        <v>0</v>
      </c>
      <c r="CZ46" s="45">
        <v>0</v>
      </c>
      <c r="DA46" s="45">
        <v>0</v>
      </c>
      <c r="DB46" s="45">
        <v>0</v>
      </c>
    </row>
    <row r="47" ht="15" customHeight="1" spans="1:106" x14ac:dyDescent="0.25">
      <c r="A47" s="16" t="s">
        <v>280</v>
      </c>
      <c r="B47" s="17"/>
      <c r="C47" s="46">
        <v>5</v>
      </c>
      <c r="D47" s="46">
        <v>5</v>
      </c>
      <c r="E47" s="46">
        <v>5</v>
      </c>
      <c r="F47" s="46">
        <v>5</v>
      </c>
      <c r="G47" s="46">
        <v>5</v>
      </c>
      <c r="H47" s="46">
        <v>5</v>
      </c>
      <c r="I47" s="46">
        <v>5</v>
      </c>
      <c r="J47" s="46">
        <v>5</v>
      </c>
      <c r="K47" s="46">
        <v>5</v>
      </c>
      <c r="L47" s="46">
        <v>5</v>
      </c>
      <c r="M47" s="46">
        <v>5</v>
      </c>
      <c r="N47" s="46">
        <v>5</v>
      </c>
      <c r="O47" s="46">
        <v>5</v>
      </c>
      <c r="P47" s="46">
        <v>5</v>
      </c>
      <c r="Q47" s="46">
        <v>5</v>
      </c>
      <c r="R47" s="46">
        <v>5</v>
      </c>
      <c r="S47" s="46">
        <v>5</v>
      </c>
      <c r="T47" s="46">
        <v>5</v>
      </c>
      <c r="U47" s="46">
        <v>5</v>
      </c>
      <c r="V47" s="46">
        <v>5</v>
      </c>
      <c r="W47" s="46">
        <v>5</v>
      </c>
      <c r="X47" s="46">
        <v>5</v>
      </c>
      <c r="Y47" s="46">
        <v>5</v>
      </c>
      <c r="Z47" s="46">
        <v>5</v>
      </c>
      <c r="AA47" s="46">
        <v>5</v>
      </c>
      <c r="AB47" s="46">
        <v>5</v>
      </c>
      <c r="AC47" s="46">
        <v>5</v>
      </c>
      <c r="AD47" s="46">
        <v>5</v>
      </c>
      <c r="AE47" s="46">
        <v>5</v>
      </c>
      <c r="AF47" s="46">
        <v>5</v>
      </c>
      <c r="AG47" s="46">
        <v>5</v>
      </c>
      <c r="AH47" s="46">
        <v>5</v>
      </c>
      <c r="AI47" s="46">
        <v>5</v>
      </c>
      <c r="AJ47" s="46">
        <v>5</v>
      </c>
      <c r="AK47" s="46">
        <v>5</v>
      </c>
      <c r="AL47" s="46">
        <v>5</v>
      </c>
      <c r="AM47" s="46">
        <v>5</v>
      </c>
      <c r="AN47" s="46">
        <v>5</v>
      </c>
      <c r="AO47" s="46">
        <v>5</v>
      </c>
      <c r="AP47" s="46">
        <v>5</v>
      </c>
      <c r="AQ47" s="46">
        <v>5</v>
      </c>
      <c r="AR47" s="46">
        <v>5</v>
      </c>
      <c r="AS47" s="46">
        <v>5</v>
      </c>
      <c r="AT47" s="46">
        <v>5</v>
      </c>
      <c r="AU47" s="46">
        <v>5</v>
      </c>
      <c r="AV47" s="46">
        <v>5</v>
      </c>
      <c r="AW47" s="46">
        <v>5</v>
      </c>
      <c r="AX47" s="46">
        <v>5</v>
      </c>
      <c r="AY47" s="46">
        <v>5</v>
      </c>
      <c r="AZ47" s="46">
        <v>5</v>
      </c>
      <c r="BA47" s="46">
        <v>5</v>
      </c>
      <c r="BB47" s="46">
        <v>5</v>
      </c>
      <c r="BC47" s="46">
        <v>5</v>
      </c>
      <c r="BD47" s="46">
        <v>5</v>
      </c>
      <c r="BE47" s="46">
        <v>5</v>
      </c>
      <c r="BF47" s="46">
        <v>5</v>
      </c>
      <c r="BG47" s="46">
        <v>5</v>
      </c>
      <c r="BH47" s="46">
        <v>5</v>
      </c>
      <c r="BI47" s="46">
        <v>5</v>
      </c>
      <c r="BJ47" s="46">
        <v>5</v>
      </c>
      <c r="BK47" s="46">
        <v>5</v>
      </c>
      <c r="BL47" s="46">
        <v>5</v>
      </c>
      <c r="BM47" s="46">
        <v>5</v>
      </c>
      <c r="BN47" s="46">
        <v>5</v>
      </c>
      <c r="BO47" s="46">
        <v>5</v>
      </c>
      <c r="BP47" s="46">
        <v>5</v>
      </c>
      <c r="BQ47" s="46">
        <v>5</v>
      </c>
      <c r="BR47" s="46">
        <v>5</v>
      </c>
      <c r="BS47" s="46">
        <v>5</v>
      </c>
      <c r="BT47" s="46">
        <v>5</v>
      </c>
      <c r="BU47" s="46">
        <v>5</v>
      </c>
      <c r="BV47" s="46">
        <v>5</v>
      </c>
      <c r="BW47" s="46">
        <v>5</v>
      </c>
      <c r="BX47" s="46">
        <v>5</v>
      </c>
      <c r="BY47" s="46">
        <v>5</v>
      </c>
      <c r="BZ47" s="46">
        <v>5</v>
      </c>
      <c r="CA47" s="46">
        <v>5</v>
      </c>
      <c r="CB47" s="46">
        <v>5</v>
      </c>
      <c r="CC47" s="46">
        <v>5</v>
      </c>
      <c r="CD47" s="46">
        <v>5</v>
      </c>
      <c r="CE47" s="46">
        <v>5</v>
      </c>
      <c r="CF47" s="46">
        <v>5</v>
      </c>
      <c r="CG47" s="46">
        <v>5</v>
      </c>
      <c r="CH47" s="46">
        <v>5</v>
      </c>
      <c r="CI47" s="46">
        <v>5</v>
      </c>
      <c r="CJ47" s="46">
        <v>5</v>
      </c>
      <c r="CK47" s="46">
        <v>5</v>
      </c>
      <c r="CL47" s="46">
        <v>5</v>
      </c>
      <c r="CM47" s="46">
        <v>5</v>
      </c>
      <c r="CN47" s="46">
        <v>5</v>
      </c>
      <c r="CO47" s="46">
        <v>5</v>
      </c>
      <c r="CP47" s="46">
        <v>5</v>
      </c>
      <c r="CQ47" s="46">
        <v>5</v>
      </c>
      <c r="CR47" s="46">
        <v>5</v>
      </c>
      <c r="CS47" s="46">
        <v>5</v>
      </c>
      <c r="CT47" s="46">
        <v>5</v>
      </c>
      <c r="CU47" s="46">
        <v>5</v>
      </c>
      <c r="CV47" s="46">
        <v>5</v>
      </c>
      <c r="CW47" s="46">
        <v>5</v>
      </c>
      <c r="CX47" s="46">
        <v>5</v>
      </c>
      <c r="CY47" s="46">
        <v>5</v>
      </c>
      <c r="CZ47" s="46">
        <v>5</v>
      </c>
      <c r="DA47" s="46">
        <v>5</v>
      </c>
      <c r="DB47" s="46">
        <v>5</v>
      </c>
    </row>
    <row r="48" ht="15" customHeight="1" spans="1:106" x14ac:dyDescent="0.25">
      <c r="A48" s="16" t="s">
        <v>281</v>
      </c>
      <c r="B48" s="17"/>
      <c r="C48" s="46">
        <v>8.5</v>
      </c>
      <c r="D48" s="46">
        <v>8.5</v>
      </c>
      <c r="E48" s="46">
        <v>8.5</v>
      </c>
      <c r="F48" s="46">
        <v>8.5</v>
      </c>
      <c r="G48" s="46">
        <v>8.5</v>
      </c>
      <c r="H48" s="46">
        <v>8.5</v>
      </c>
      <c r="I48" s="46">
        <v>8.5</v>
      </c>
      <c r="J48" s="46">
        <v>8.5</v>
      </c>
      <c r="K48" s="46">
        <v>8.5</v>
      </c>
      <c r="L48" s="46">
        <v>8.5</v>
      </c>
      <c r="M48" s="46">
        <v>8.5</v>
      </c>
      <c r="N48" s="46">
        <v>8.5</v>
      </c>
      <c r="O48" s="46">
        <v>8.5</v>
      </c>
      <c r="P48" s="46">
        <v>8.5</v>
      </c>
      <c r="Q48" s="46">
        <v>8.5</v>
      </c>
      <c r="R48" s="46">
        <v>8.5</v>
      </c>
      <c r="S48" s="46">
        <v>8.5</v>
      </c>
      <c r="T48" s="46">
        <v>8.5</v>
      </c>
      <c r="U48" s="46">
        <v>8.5</v>
      </c>
      <c r="V48" s="46">
        <v>8.5</v>
      </c>
      <c r="W48" s="46">
        <v>8.5</v>
      </c>
      <c r="X48" s="46">
        <v>8.5</v>
      </c>
      <c r="Y48" s="46">
        <v>8.5</v>
      </c>
      <c r="Z48" s="46">
        <v>8.5</v>
      </c>
      <c r="AA48" s="46">
        <v>8.5</v>
      </c>
      <c r="AB48" s="46">
        <v>8.5</v>
      </c>
      <c r="AC48" s="46">
        <v>8.5</v>
      </c>
      <c r="AD48" s="46">
        <v>8.5</v>
      </c>
      <c r="AE48" s="46">
        <v>8.5</v>
      </c>
      <c r="AF48" s="46">
        <v>8.5</v>
      </c>
      <c r="AG48" s="46">
        <v>8.5</v>
      </c>
      <c r="AH48" s="46">
        <v>8.5</v>
      </c>
      <c r="AI48" s="46">
        <v>8.5</v>
      </c>
      <c r="AJ48" s="46">
        <v>8.5</v>
      </c>
      <c r="AK48" s="46">
        <v>8.5</v>
      </c>
      <c r="AL48" s="46">
        <v>8.5</v>
      </c>
      <c r="AM48" s="46">
        <v>8.5</v>
      </c>
      <c r="AN48" s="46">
        <v>8.5</v>
      </c>
      <c r="AO48" s="46">
        <v>8.5</v>
      </c>
      <c r="AP48" s="46">
        <v>8.5</v>
      </c>
      <c r="AQ48" s="46">
        <v>8.5</v>
      </c>
      <c r="AR48" s="46">
        <v>8.5</v>
      </c>
      <c r="AS48" s="46">
        <v>8.5</v>
      </c>
      <c r="AT48" s="46">
        <v>8.5</v>
      </c>
      <c r="AU48" s="46">
        <v>8.5</v>
      </c>
      <c r="AV48" s="46">
        <v>8.5</v>
      </c>
      <c r="AW48" s="46">
        <v>8.5</v>
      </c>
      <c r="AX48" s="46">
        <v>8.5</v>
      </c>
      <c r="AY48" s="46">
        <v>8.5</v>
      </c>
      <c r="AZ48" s="46">
        <v>8.5</v>
      </c>
      <c r="BA48" s="46">
        <v>8.5</v>
      </c>
      <c r="BB48" s="46">
        <v>8.5</v>
      </c>
      <c r="BC48" s="46">
        <v>8.5</v>
      </c>
      <c r="BD48" s="46">
        <v>8.5</v>
      </c>
      <c r="BE48" s="46">
        <v>8.5</v>
      </c>
      <c r="BF48" s="46">
        <v>8.5</v>
      </c>
      <c r="BG48" s="46">
        <v>8.5</v>
      </c>
      <c r="BH48" s="46">
        <v>8.5</v>
      </c>
      <c r="BI48" s="46">
        <v>8.5</v>
      </c>
      <c r="BJ48" s="46">
        <v>8.5</v>
      </c>
      <c r="BK48" s="46">
        <v>8.5</v>
      </c>
      <c r="BL48" s="46">
        <v>8.5</v>
      </c>
      <c r="BM48" s="46">
        <v>8.5</v>
      </c>
      <c r="BN48" s="46">
        <v>8.5</v>
      </c>
      <c r="BO48" s="46">
        <v>8.5</v>
      </c>
      <c r="BP48" s="46">
        <v>8.5</v>
      </c>
      <c r="BQ48" s="46">
        <v>8.5</v>
      </c>
      <c r="BR48" s="46">
        <v>8.5</v>
      </c>
      <c r="BS48" s="46">
        <v>8.5</v>
      </c>
      <c r="BT48" s="46">
        <v>8.5</v>
      </c>
      <c r="BU48" s="46">
        <v>8.5</v>
      </c>
      <c r="BV48" s="46">
        <v>8.5</v>
      </c>
      <c r="BW48" s="46">
        <v>8.5</v>
      </c>
      <c r="BX48" s="46">
        <v>8.5</v>
      </c>
      <c r="BY48" s="46">
        <v>8.5</v>
      </c>
      <c r="BZ48" s="46">
        <v>8.5</v>
      </c>
      <c r="CA48" s="46">
        <v>8.5</v>
      </c>
      <c r="CB48" s="46">
        <v>8.5</v>
      </c>
      <c r="CC48" s="46">
        <v>8.5</v>
      </c>
      <c r="CD48" s="46">
        <v>8.5</v>
      </c>
      <c r="CE48" s="46">
        <v>8.5</v>
      </c>
      <c r="CF48" s="46">
        <v>8.5</v>
      </c>
      <c r="CG48" s="46">
        <v>8.5</v>
      </c>
      <c r="CH48" s="46">
        <v>8.5</v>
      </c>
      <c r="CI48" s="46">
        <v>8.5</v>
      </c>
      <c r="CJ48" s="46">
        <v>8.5</v>
      </c>
      <c r="CK48" s="46">
        <v>8.5</v>
      </c>
      <c r="CL48" s="46">
        <v>8.5</v>
      </c>
      <c r="CM48" s="46">
        <v>8.5</v>
      </c>
      <c r="CN48" s="46">
        <v>8.5</v>
      </c>
      <c r="CO48" s="46">
        <v>8.5</v>
      </c>
      <c r="CP48" s="46">
        <v>8.5</v>
      </c>
      <c r="CQ48" s="46">
        <v>8.5</v>
      </c>
      <c r="CR48" s="46">
        <v>8.5</v>
      </c>
      <c r="CS48" s="46">
        <v>8.5</v>
      </c>
      <c r="CT48" s="46">
        <v>8.5</v>
      </c>
      <c r="CU48" s="46">
        <v>8.5</v>
      </c>
      <c r="CV48" s="46">
        <v>8.5</v>
      </c>
      <c r="CW48" s="46">
        <v>8.5</v>
      </c>
      <c r="CX48" s="46">
        <v>8.5</v>
      </c>
      <c r="CY48" s="46">
        <v>8.5</v>
      </c>
      <c r="CZ48" s="46">
        <v>8.5</v>
      </c>
      <c r="DA48" s="46">
        <v>8.5</v>
      </c>
      <c r="DB48" s="46">
        <v>8.5</v>
      </c>
    </row>
    <row r="49" ht="15" customHeight="1" spans="1:106" x14ac:dyDescent="0.25">
      <c r="A49" s="16" t="s">
        <v>282</v>
      </c>
      <c r="B49" s="17"/>
      <c r="C49" s="46">
        <v>0</v>
      </c>
      <c r="D49" s="46">
        <v>0</v>
      </c>
      <c r="E49" s="46">
        <v>0</v>
      </c>
      <c r="F49" s="46">
        <v>0</v>
      </c>
      <c r="G49" s="46">
        <v>0</v>
      </c>
      <c r="H49" s="46">
        <v>0</v>
      </c>
      <c r="I49" s="46">
        <v>0</v>
      </c>
      <c r="J49" s="46">
        <v>0</v>
      </c>
      <c r="K49" s="46">
        <v>0</v>
      </c>
      <c r="L49" s="46">
        <v>0</v>
      </c>
      <c r="M49" s="46">
        <v>0</v>
      </c>
      <c r="N49" s="46">
        <v>0</v>
      </c>
      <c r="O49" s="46">
        <v>0</v>
      </c>
      <c r="P49" s="46">
        <v>0</v>
      </c>
      <c r="Q49" s="46">
        <v>0</v>
      </c>
      <c r="R49" s="46">
        <v>0</v>
      </c>
      <c r="S49" s="46">
        <v>0</v>
      </c>
      <c r="T49" s="46">
        <v>0</v>
      </c>
      <c r="U49" s="46">
        <v>0</v>
      </c>
      <c r="V49" s="46">
        <v>0</v>
      </c>
      <c r="W49" s="46">
        <v>0</v>
      </c>
      <c r="X49" s="46">
        <v>0</v>
      </c>
      <c r="Y49" s="46">
        <v>0</v>
      </c>
      <c r="Z49" s="46">
        <v>0</v>
      </c>
      <c r="AA49" s="46">
        <v>0</v>
      </c>
      <c r="AB49" s="46">
        <v>0</v>
      </c>
      <c r="AC49" s="46">
        <v>0</v>
      </c>
      <c r="AD49" s="46">
        <v>0</v>
      </c>
      <c r="AE49" s="46">
        <v>0</v>
      </c>
      <c r="AF49" s="46">
        <v>0</v>
      </c>
      <c r="AG49" s="46">
        <v>0</v>
      </c>
      <c r="AH49" s="46">
        <v>0</v>
      </c>
      <c r="AI49" s="46">
        <v>0</v>
      </c>
      <c r="AJ49" s="46">
        <v>0</v>
      </c>
      <c r="AK49" s="46">
        <v>0</v>
      </c>
      <c r="AL49" s="46">
        <v>0</v>
      </c>
      <c r="AM49" s="46">
        <v>0</v>
      </c>
      <c r="AN49" s="46">
        <v>0</v>
      </c>
      <c r="AO49" s="46">
        <v>0</v>
      </c>
      <c r="AP49" s="46">
        <v>0</v>
      </c>
      <c r="AQ49" s="46">
        <v>0</v>
      </c>
      <c r="AR49" s="46">
        <v>0</v>
      </c>
      <c r="AS49" s="46">
        <v>0</v>
      </c>
      <c r="AT49" s="46">
        <v>0</v>
      </c>
      <c r="AU49" s="46">
        <v>0</v>
      </c>
      <c r="AV49" s="46">
        <v>0</v>
      </c>
      <c r="AW49" s="46">
        <v>0</v>
      </c>
      <c r="AX49" s="46">
        <v>0</v>
      </c>
      <c r="AY49" s="46">
        <v>0</v>
      </c>
      <c r="AZ49" s="46">
        <v>0</v>
      </c>
      <c r="BA49" s="46">
        <v>0</v>
      </c>
      <c r="BB49" s="46">
        <v>0</v>
      </c>
      <c r="BC49" s="46">
        <v>0</v>
      </c>
      <c r="BD49" s="46">
        <v>0</v>
      </c>
      <c r="BE49" s="46">
        <v>0</v>
      </c>
      <c r="BF49" s="46">
        <v>0</v>
      </c>
      <c r="BG49" s="46">
        <v>0</v>
      </c>
      <c r="BH49" s="46">
        <v>0</v>
      </c>
      <c r="BI49" s="46">
        <v>0</v>
      </c>
      <c r="BJ49" s="46">
        <v>0</v>
      </c>
      <c r="BK49" s="46">
        <v>0</v>
      </c>
      <c r="BL49" s="46">
        <v>0</v>
      </c>
      <c r="BM49" s="46">
        <v>0</v>
      </c>
      <c r="BN49" s="46">
        <v>0</v>
      </c>
      <c r="BO49" s="46">
        <v>0</v>
      </c>
      <c r="BP49" s="46">
        <v>0</v>
      </c>
      <c r="BQ49" s="46">
        <v>0</v>
      </c>
      <c r="BR49" s="46">
        <v>0</v>
      </c>
      <c r="BS49" s="46">
        <v>0</v>
      </c>
      <c r="BT49" s="46">
        <v>0</v>
      </c>
      <c r="BU49" s="46">
        <v>0</v>
      </c>
      <c r="BV49" s="46">
        <v>0</v>
      </c>
      <c r="BW49" s="46">
        <v>0</v>
      </c>
      <c r="BX49" s="46">
        <v>0</v>
      </c>
      <c r="BY49" s="46">
        <v>0</v>
      </c>
      <c r="BZ49" s="46">
        <v>0</v>
      </c>
      <c r="CA49" s="46">
        <v>0</v>
      </c>
      <c r="CB49" s="46">
        <v>0</v>
      </c>
      <c r="CC49" s="46">
        <v>0</v>
      </c>
      <c r="CD49" s="46">
        <v>0</v>
      </c>
      <c r="CE49" s="46">
        <v>0</v>
      </c>
      <c r="CF49" s="46">
        <v>0</v>
      </c>
      <c r="CG49" s="46">
        <v>0</v>
      </c>
      <c r="CH49" s="46">
        <v>0</v>
      </c>
      <c r="CI49" s="46">
        <v>0</v>
      </c>
      <c r="CJ49" s="46">
        <v>0</v>
      </c>
      <c r="CK49" s="46">
        <v>0</v>
      </c>
      <c r="CL49" s="46">
        <v>0</v>
      </c>
      <c r="CM49" s="46">
        <v>0</v>
      </c>
      <c r="CN49" s="46">
        <v>0</v>
      </c>
      <c r="CO49" s="46">
        <v>0</v>
      </c>
      <c r="CP49" s="46">
        <v>0</v>
      </c>
      <c r="CQ49" s="46">
        <v>0</v>
      </c>
      <c r="CR49" s="46">
        <v>0</v>
      </c>
      <c r="CS49" s="46">
        <v>0</v>
      </c>
      <c r="CT49" s="46">
        <v>0</v>
      </c>
      <c r="CU49" s="46">
        <v>0</v>
      </c>
      <c r="CV49" s="46">
        <v>0</v>
      </c>
      <c r="CW49" s="46">
        <v>0</v>
      </c>
      <c r="CX49" s="46">
        <v>0</v>
      </c>
      <c r="CY49" s="46">
        <v>0</v>
      </c>
      <c r="CZ49" s="46">
        <v>0</v>
      </c>
      <c r="DA49" s="46">
        <v>0</v>
      </c>
      <c r="DB49" s="46">
        <v>0</v>
      </c>
    </row>
    <row r="50" spans="3:106" x14ac:dyDescent="0.25"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0"/>
      <c r="CI50" s="30"/>
      <c r="CJ50" s="30"/>
      <c r="CK50" s="30"/>
      <c r="CL50" s="30"/>
      <c r="CM50" s="30"/>
      <c r="CN50" s="30"/>
      <c r="CO50" s="30"/>
      <c r="CP50" s="30"/>
      <c r="CQ50" s="30"/>
      <c r="CR50" s="30"/>
      <c r="CS50" s="30"/>
      <c r="CT50" s="30"/>
      <c r="CU50" s="30"/>
      <c r="CV50" s="30"/>
      <c r="CW50" s="30"/>
      <c r="CX50" s="30"/>
      <c r="CY50" s="30"/>
      <c r="CZ50" s="30"/>
      <c r="DA50" s="30"/>
      <c r="DB50" s="30"/>
    </row>
    <row r="51" spans="1:106" x14ac:dyDescent="0.25">
      <c r="A51" s="9" t="s">
        <v>283</v>
      </c>
      <c r="B51" s="17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  <c r="CQ51" s="32"/>
      <c r="CR51" s="32"/>
      <c r="CS51" s="32"/>
      <c r="CT51" s="32"/>
      <c r="CU51" s="32"/>
      <c r="CV51" s="32"/>
      <c r="CW51" s="32"/>
      <c r="CX51" s="32"/>
      <c r="CY51" s="32"/>
      <c r="CZ51" s="32"/>
      <c r="DA51" s="32"/>
      <c r="DB51" s="32"/>
    </row>
    <row r="52" ht="15" customHeight="1" spans="1:106" x14ac:dyDescent="0.25">
      <c r="A52" s="33" t="s">
        <v>284</v>
      </c>
      <c r="B52" s="17"/>
      <c r="C52" s="34">
        <f>=IFERROR(1-((1-C53)*(1-C58)),0)</f>
        <v>0</v>
      </c>
      <c r="D52" s="34">
        <f>=IFERROR(1-((1-D53)*(1-D58)),0)</f>
        <v>0</v>
      </c>
      <c r="E52" s="34">
        <f>=IFERROR(1-((1-E53)*(1-E58)),0)</f>
        <v>0</v>
      </c>
      <c r="F52" s="34">
        <f>=IFERROR(1-((1-F53)*(1-F58)),0)</f>
        <v>0</v>
      </c>
      <c r="G52" s="34">
        <f>=IFERROR(1-((1-G53)*(1-G58)),0)</f>
        <v>0</v>
      </c>
      <c r="H52" s="34">
        <f>=IFERROR(1-((1-H53)*(1-H58)),0)</f>
        <v>0</v>
      </c>
      <c r="I52" s="34">
        <f>=IFERROR(1-((1-I53)*(1-I58)),0)</f>
        <v>0</v>
      </c>
      <c r="J52" s="34">
        <f>=IFERROR(1-((1-J53)*(1-J58)),0)</f>
        <v>0</v>
      </c>
      <c r="K52" s="34">
        <f>=IFERROR(1-((1-K53)*(1-K58)),0)</f>
        <v>0</v>
      </c>
      <c r="L52" s="34">
        <f>=IFERROR(1-((1-L53)*(1-L58)),0)</f>
        <v>0</v>
      </c>
      <c r="M52" s="34">
        <f>=IFERROR(1-((1-M53)*(1-M58)),0)</f>
        <v>0</v>
      </c>
      <c r="N52" s="34">
        <f>=IFERROR(1-((1-N53)*(1-N58)),0)</f>
        <v>0</v>
      </c>
      <c r="O52" s="34">
        <f>=IFERROR(1-((1-O53)*(1-O58)),0)</f>
        <v>0</v>
      </c>
      <c r="P52" s="34">
        <f>=IFERROR(1-((1-P53)*(1-P58)),0)</f>
        <v>0</v>
      </c>
      <c r="Q52" s="34">
        <f>=IFERROR(1-((1-Q53)*(1-Q58)),0)</f>
        <v>0</v>
      </c>
      <c r="R52" s="34">
        <f>=IFERROR(1-((1-R53)*(1-R58)),0)</f>
        <v>0</v>
      </c>
      <c r="S52" s="34">
        <f>=IFERROR(1-((1-S53)*(1-S58)),0)</f>
        <v>0</v>
      </c>
      <c r="T52" s="34">
        <f>=IFERROR(1-((1-T53)*(1-T58)),0)</f>
        <v>0</v>
      </c>
      <c r="U52" s="34">
        <f>=IFERROR(1-((1-U53)*(1-U58)),0)</f>
        <v>0</v>
      </c>
      <c r="V52" s="34">
        <f>=IFERROR(1-((1-V53)*(1-V58)),0)</f>
        <v>0</v>
      </c>
      <c r="W52" s="34">
        <f>=IFERROR(1-((1-W53)*(1-W58)),0)</f>
        <v>0</v>
      </c>
      <c r="X52" s="34">
        <f>=IFERROR(1-((1-X53)*(1-X58)),0)</f>
        <v>0</v>
      </c>
      <c r="Y52" s="34">
        <f>=IFERROR(1-((1-Y53)*(1-Y58)),0)</f>
        <v>0</v>
      </c>
      <c r="Z52" s="34">
        <f>=IFERROR(1-((1-Z53)*(1-Z58)),0)</f>
        <v>0</v>
      </c>
      <c r="AA52" s="34">
        <f>=IFERROR(1-((1-AA53)*(1-AA58)),0)</f>
        <v>0</v>
      </c>
      <c r="AB52" s="34">
        <f>=IFERROR(1-((1-AB53)*(1-AB58)),0)</f>
        <v>0</v>
      </c>
      <c r="AC52" s="34">
        <f>=IFERROR(1-((1-AC53)*(1-AC58)),0)</f>
        <v>0.00184842883549</v>
      </c>
      <c r="AD52" s="34">
        <f>=IFERROR(1-((1-AD53)*(1-AD58)),0)</f>
        <v>0.074074074074074</v>
      </c>
      <c r="AE52" s="34">
        <f>=IFERROR(1-((1-AE53)*(1-AE58)),0)</f>
        <v>0.035185185185185</v>
      </c>
      <c r="AF52" s="34">
        <f>=IFERROR(1-((1-AF53)*(1-AF58)),0)</f>
        <v>0.1277777777777778</v>
      </c>
      <c r="AG52" s="34">
        <f>=IFERROR(1-((1-AG53)*(1-AG58)),0)</f>
        <v>0.1370370370370372</v>
      </c>
      <c r="AH52" s="34">
        <f>=IFERROR(1-((1-AH53)*(1-AH58)),0)</f>
        <v>0.15</v>
      </c>
      <c r="AI52" s="34">
        <f>=IFERROR(1-((1-AI53)*(1-AI58)),0)</f>
        <v>0.1728395061728396</v>
      </c>
      <c r="AJ52" s="34">
        <f>=IFERROR(1-((1-AJ53)*(1-AJ58)),0)</f>
        <v>0.1229946524064173</v>
      </c>
      <c r="AK52" s="34">
        <f>=IFERROR(1-((1-AK53)*(1-AK58)),0)</f>
        <v>0.0722311396468698</v>
      </c>
      <c r="AL52" s="34">
        <f>=IFERROR(1-((1-AL53)*(1-AL58)),0)</f>
        <v>0.0321489001692046</v>
      </c>
      <c r="AM52" s="34">
        <f>=IFERROR(1-((1-AM53)*(1-AM58)),0)</f>
        <v>0.06436420722135</v>
      </c>
      <c r="AN52" s="34">
        <f>=IFERROR(1-((1-AN53)*(1-AN58)),0)</f>
        <v>0.1164021164021164</v>
      </c>
      <c r="AO52" s="34">
        <f>=IFERROR(1-((1-AO53)*(1-AO58)),0)</f>
        <v>0.0655737704918032</v>
      </c>
      <c r="AP52" s="34">
        <f>=IFERROR(1-((1-AP53)*(1-AP58)),0)</f>
        <v>0.064885496183206</v>
      </c>
      <c r="AQ52" s="34">
        <f>=IFERROR(1-((1-AQ53)*(1-AQ58)),0)</f>
        <v>0.0772277227722772</v>
      </c>
      <c r="AR52" s="34">
        <f>=IFERROR(1-((1-AR53)*(1-AR58)),0)</f>
        <v>0.111111111111111</v>
      </c>
      <c r="AS52" s="34">
        <f>=IFERROR(1-((1-AS53)*(1-AS58)),0)</f>
        <v>0.1818181818181819</v>
      </c>
      <c r="AT52" s="34">
        <f>=IFERROR(1-((1-AT53)*(1-AT58)),0)</f>
        <v>0.1</v>
      </c>
      <c r="AU52" s="34">
        <f>=IFERROR(1-((1-AU53)*(1-AU58)),0)</f>
        <v>0.0466666666666668</v>
      </c>
      <c r="AV52" s="34">
        <f>=IFERROR(1-((1-AV53)*(1-AV58)),0)</f>
        <v>0.0404040404040404</v>
      </c>
      <c r="AW52" s="34">
        <f>=IFERROR(1-((1-AW53)*(1-AW58)),0)</f>
        <v>0.0587449933244326</v>
      </c>
      <c r="AX52" s="34">
        <f>=IFERROR(1-((1-AX53)*(1-AX58)),0)</f>
        <v>0.0841423948220064</v>
      </c>
      <c r="AY52" s="34">
        <f>=IFERROR(1-((1-AY53)*(1-AY58)),0)</f>
        <v>0.1493582263710619</v>
      </c>
      <c r="AZ52" s="34">
        <f>=IFERROR(1-((1-AZ53)*(1-AZ58)),0)</f>
        <v>0.0526315789473684</v>
      </c>
      <c r="BA52" s="34">
        <f>=IFERROR(1-((1-BA53)*(1-BA58)),0)</f>
        <v>0.0912280701754386</v>
      </c>
      <c r="BB52" s="34">
        <f>=IFERROR(1-((1-BB53)*(1-BB58)),0)</f>
        <v>0.0502923976608188</v>
      </c>
      <c r="BC52" s="34">
        <f>=IFERROR(1-((1-BC53)*(1-BC58)),0)</f>
        <v>0.1532163742690059</v>
      </c>
      <c r="BD52" s="34">
        <f>=IFERROR(1-((1-BD53)*(1-BD58)),0)</f>
        <v>0.119949494949495</v>
      </c>
      <c r="BE52" s="34">
        <f>=IFERROR(1-((1-BE53)*(1-BE58)),0)</f>
        <v>0.1618037135278516</v>
      </c>
      <c r="BF52" s="34">
        <f>=IFERROR(1-((1-BF53)*(1-BF58)),0)</f>
        <v>0.0937880633373938</v>
      </c>
      <c r="BG52" s="34">
        <f>=IFERROR(1-((1-BG53)*(1-BG58)),0)</f>
        <v>0.0571428571428572</v>
      </c>
      <c r="BH52" s="34">
        <f>=IFERROR(1-((1-BH53)*(1-BH58)),0)</f>
        <v>0.0941320293398534</v>
      </c>
      <c r="BI52" s="34">
        <f>=IFERROR(1-((1-BI53)*(1-BI58)),0)</f>
        <v>0.042446941323346</v>
      </c>
      <c r="BJ52" s="34">
        <f>=IFERROR(1-((1-BJ53)*(1-BJ58)),0)</f>
        <v>0.0687285223367698</v>
      </c>
      <c r="BK52" s="34">
        <f>=IFERROR(1-((1-BK53)*(1-BK58)),0)</f>
        <v>0.1096543504171633</v>
      </c>
      <c r="BL52" s="34">
        <f>=IFERROR(1-((1-BL53)*(1-BL58)),0)</f>
        <v>0.1203599550056245</v>
      </c>
      <c r="BM52" s="34">
        <f>=IFERROR(1-((1-BM53)*(1-BM58)),0)</f>
        <v>0.0679287305122494</v>
      </c>
      <c r="BN52" s="34">
        <f>=IFERROR(1-((1-BN53)*(1-BN58)),0)</f>
        <v>0.1221719457013576</v>
      </c>
      <c r="BO52" s="34">
        <f>=IFERROR(1-((1-BO53)*(1-BO58)),0)</f>
        <v>0.081578947368421</v>
      </c>
      <c r="BP52" s="34">
        <f>=IFERROR(1-((1-BP53)*(1-BP58)),0)</f>
        <v>0.2088068181818182</v>
      </c>
      <c r="BQ52" s="34">
        <f>=IFERROR(1-((1-BQ53)*(1-BQ58)),0)</f>
        <v>0</v>
      </c>
      <c r="BR52" s="34">
        <f>=IFERROR(1-((1-BR53)*(1-BR58)),0)</f>
        <v>0</v>
      </c>
      <c r="BS52" s="34">
        <f>=IFERROR(1-((1-BS53)*(1-BS58)),0)</f>
        <v>0</v>
      </c>
      <c r="BT52" s="34">
        <f>=IFERROR(1-((1-BT53)*(1-BT58)),0)</f>
        <v>0</v>
      </c>
      <c r="BU52" s="34">
        <f>=IFERROR(1-((1-BU53)*(1-BU58)),0)</f>
        <v>0</v>
      </c>
      <c r="BV52" s="34">
        <f>=IFERROR(1-((1-BV53)*(1-BV58)),0)</f>
        <v>0</v>
      </c>
      <c r="BW52" s="34">
        <f>=IFERROR(1-((1-BW53)*(1-BW58)),0)</f>
        <v>0</v>
      </c>
      <c r="BX52" s="34">
        <f>=IFERROR(1-((1-BX53)*(1-BX58)),0)</f>
        <v>0</v>
      </c>
      <c r="BY52" s="34">
        <f>=IFERROR(1-((1-BY53)*(1-BY58)),0)</f>
        <v>0</v>
      </c>
      <c r="BZ52" s="34">
        <f>=IFERROR(1-((1-BZ53)*(1-BZ58)),0)</f>
        <v>0</v>
      </c>
      <c r="CA52" s="34">
        <f>=IFERROR(1-((1-CA53)*(1-CA58)),0)</f>
        <v>0</v>
      </c>
      <c r="CB52" s="34">
        <f>=IFERROR(1-((1-CB53)*(1-CB58)),0)</f>
        <v>0</v>
      </c>
      <c r="CC52" s="34">
        <f>=IFERROR(1-((1-CC53)*(1-CC58)),0)</f>
        <v>0</v>
      </c>
      <c r="CD52" s="34">
        <f>=IFERROR(1-((1-CD53)*(1-CD58)),0)</f>
        <v>0</v>
      </c>
      <c r="CE52" s="34">
        <f>=IFERROR(1-((1-CE53)*(1-CE58)),0)</f>
        <v>0</v>
      </c>
      <c r="CF52" s="34">
        <f>=IFERROR(1-((1-CF53)*(1-CF58)),0)</f>
        <v>0</v>
      </c>
      <c r="CG52" s="34">
        <f>=IFERROR(1-((1-CG53)*(1-CG58)),0)</f>
        <v>0</v>
      </c>
      <c r="CH52" s="34">
        <f>=IFERROR(1-((1-CH53)*(1-CH58)),0)</f>
        <v>0</v>
      </c>
      <c r="CI52" s="34">
        <f>=IFERROR(1-((1-CI53)*(1-CI58)),0)</f>
        <v>0</v>
      </c>
      <c r="CJ52" s="34">
        <f>=IFERROR(1-((1-CJ53)*(1-CJ58)),0)</f>
        <v>0</v>
      </c>
      <c r="CK52" s="34">
        <f>=IFERROR(1-((1-CK53)*(1-CK58)),0)</f>
        <v>0</v>
      </c>
      <c r="CL52" s="34">
        <f>=IFERROR(1-((1-CL53)*(1-CL58)),0)</f>
        <v>0</v>
      </c>
      <c r="CM52" s="34">
        <f>=IFERROR(1-((1-CM53)*(1-CM58)),0)</f>
        <v>0</v>
      </c>
      <c r="CN52" s="34">
        <f>=IFERROR(1-((1-CN53)*(1-CN58)),0)</f>
        <v>0</v>
      </c>
      <c r="CO52" s="34">
        <f>=IFERROR(1-((1-CO53)*(1-CO58)),0)</f>
        <v>0</v>
      </c>
      <c r="CP52" s="34">
        <f>=IFERROR(1-((1-CP53)*(1-CP58)),0)</f>
        <v>0</v>
      </c>
      <c r="CQ52" s="34">
        <f>=IFERROR(1-((1-CQ53)*(1-CQ58)),0)</f>
        <v>0</v>
      </c>
      <c r="CR52" s="34">
        <f>=IFERROR(1-((1-CR53)*(1-CR58)),0)</f>
        <v>0</v>
      </c>
      <c r="CS52" s="34">
        <f>=IFERROR(1-((1-CS53)*(1-CS58)),0)</f>
        <v>0</v>
      </c>
      <c r="CT52" s="34">
        <f>=IFERROR(1-((1-CT53)*(1-CT58)),0)</f>
        <v>0</v>
      </c>
      <c r="CU52" s="34">
        <f>=IFERROR(1-((1-CU53)*(1-CU58)),0)</f>
        <v>0</v>
      </c>
      <c r="CV52" s="34">
        <f>=IFERROR(1-((1-CV53)*(1-CV58)),0)</f>
        <v>0</v>
      </c>
      <c r="CW52" s="34">
        <f>=IFERROR(1-((1-CW53)*(1-CW58)),0)</f>
        <v>0</v>
      </c>
      <c r="CX52" s="34">
        <f>=IFERROR(1-((1-CX53)*(1-CX58)),0)</f>
        <v>0</v>
      </c>
      <c r="CY52" s="34">
        <f>=IFERROR(1-((1-CY53)*(1-CY58)),0)</f>
        <v>0</v>
      </c>
      <c r="CZ52" s="34">
        <f>=IFERROR(1-((1-CZ53)*(1-CZ58)),0)</f>
        <v>0</v>
      </c>
      <c r="DA52" s="34">
        <f>=IFERROR(1-((1-DA53)*(1-DA58)),0)</f>
        <v>0</v>
      </c>
      <c r="DB52" s="34">
        <f>=IFERROR(1-((1-DB53)*(1-DB58)),0)</f>
        <v>0</v>
      </c>
    </row>
    <row r="53" ht="15" customHeight="1" spans="1:106" x14ac:dyDescent="0.25">
      <c r="A53" s="16" t="s">
        <v>285</v>
      </c>
      <c r="B53" s="17"/>
      <c r="C53" s="35">
        <f>=SUM(C54:C57)</f>
        <v>0</v>
      </c>
      <c r="D53" s="35">
        <f>=SUM(D54:D57)</f>
        <v>0</v>
      </c>
      <c r="E53" s="35">
        <f>=SUM(E54:E57)</f>
        <v>0</v>
      </c>
      <c r="F53" s="35">
        <f>=SUM(F54:F57)</f>
        <v>0</v>
      </c>
      <c r="G53" s="35">
        <f>=SUM(G54:G57)</f>
        <v>0</v>
      </c>
      <c r="H53" s="35">
        <f>=SUM(H54:H57)</f>
        <v>0</v>
      </c>
      <c r="I53" s="35">
        <f>=SUM(I54:I57)</f>
        <v>0</v>
      </c>
      <c r="J53" s="35">
        <f>=SUM(J54:J57)</f>
        <v>0</v>
      </c>
      <c r="K53" s="35">
        <f>=SUM(K54:K57)</f>
        <v>0</v>
      </c>
      <c r="L53" s="35">
        <f>=SUM(L54:L57)</f>
        <v>0</v>
      </c>
      <c r="M53" s="35">
        <f>=SUM(M54:M57)</f>
        <v>0</v>
      </c>
      <c r="N53" s="35">
        <f>=SUM(N54:N57)</f>
        <v>0</v>
      </c>
      <c r="O53" s="35">
        <f>=SUM(O54:O57)</f>
        <v>0</v>
      </c>
      <c r="P53" s="35">
        <f>=SUM(P54:P57)</f>
        <v>0</v>
      </c>
      <c r="Q53" s="35">
        <f>=SUM(Q54:Q57)</f>
        <v>0</v>
      </c>
      <c r="R53" s="35">
        <f>=SUM(R54:R57)</f>
        <v>0</v>
      </c>
      <c r="S53" s="35">
        <f>=SUM(S54:S57)</f>
        <v>0</v>
      </c>
      <c r="T53" s="35">
        <f>=SUM(T54:T57)</f>
        <v>0</v>
      </c>
      <c r="U53" s="35">
        <f>=SUM(U54:U57)</f>
        <v>0</v>
      </c>
      <c r="V53" s="35">
        <f>=SUM(V54:V57)</f>
        <v>0</v>
      </c>
      <c r="W53" s="35">
        <f>=SUM(W54:W57)</f>
        <v>0</v>
      </c>
      <c r="X53" s="35">
        <f>=SUM(X54:X57)</f>
        <v>0</v>
      </c>
      <c r="Y53" s="35">
        <f>=SUM(Y54:Y57)</f>
        <v>0</v>
      </c>
      <c r="Z53" s="35">
        <f>=SUM(Z54:Z57)</f>
        <v>0</v>
      </c>
      <c r="AA53" s="35">
        <f>=SUM(AA54:AA57)</f>
        <v>0</v>
      </c>
      <c r="AB53" s="35">
        <f>=SUM(AB54:AB57)</f>
        <v>0</v>
      </c>
      <c r="AC53" s="35">
        <f>=SUM(AC54:AC57)</f>
        <v>0.0018484288354898336</v>
      </c>
      <c r="AD53" s="35">
        <f>=SUM(AD54:AD57)</f>
        <v>0.07407407407407408</v>
      </c>
      <c r="AE53" s="35">
        <f>=SUM(AE54:AE57)</f>
        <v>0.03518518518518519</v>
      </c>
      <c r="AF53" s="35">
        <f>=SUM(AF54:AF57)</f>
        <v>0.12777777777777777</v>
      </c>
      <c r="AG53" s="35">
        <f>=SUM(AG54:AG57)</f>
        <v>0.137037037037037</v>
      </c>
      <c r="AH53" s="35">
        <f>=SUM(AH54:AH57)</f>
        <v>0.15</v>
      </c>
      <c r="AI53" s="35">
        <f>=SUM(AI54:AI57)</f>
        <v>0.17283950617283947</v>
      </c>
      <c r="AJ53" s="35">
        <f>=SUM(AJ54:AJ57)</f>
        <v>0.12299465240641712</v>
      </c>
      <c r="AK53" s="35">
        <f>=SUM(AK54:AK57)</f>
        <v>0.07223113964686999</v>
      </c>
      <c r="AL53" s="35">
        <f>=SUM(AL54:AL57)</f>
        <v>0.032148900169204735</v>
      </c>
      <c r="AM53" s="35">
        <f>=SUM(AM54:AM57)</f>
        <v>0.06436420722135008</v>
      </c>
      <c r="AN53" s="35">
        <f>=SUM(AN54:AN57)</f>
        <v>0.1164021164021164</v>
      </c>
      <c r="AO53" s="35">
        <f>=SUM(AO54:AO57)</f>
        <v>0.06557377049180328</v>
      </c>
      <c r="AP53" s="35">
        <f>=SUM(AP54:AP57)</f>
        <v>0.06488549618320612</v>
      </c>
      <c r="AQ53" s="35">
        <f>=SUM(AQ54:AQ57)</f>
        <v>0.07722772277227723</v>
      </c>
      <c r="AR53" s="35">
        <f>=SUM(AR54:AR57)</f>
        <v>0.11111111111111112</v>
      </c>
      <c r="AS53" s="35">
        <f>=SUM(AS54:AS57)</f>
        <v>0.18181818181818185</v>
      </c>
      <c r="AT53" s="35">
        <f>=SUM(AT54:AT57)</f>
        <v>0.1</v>
      </c>
      <c r="AU53" s="35">
        <f>=SUM(AU54:AU57)</f>
        <v>0.04666666666666667</v>
      </c>
      <c r="AV53" s="35">
        <f>=SUM(AV54:AV57)</f>
        <v>0.0404040404040404</v>
      </c>
      <c r="AW53" s="35">
        <f>=SUM(AW54:AW57)</f>
        <v>0.05874499332443257</v>
      </c>
      <c r="AX53" s="35">
        <f>=SUM(AX54:AX57)</f>
        <v>0.08414239482200646</v>
      </c>
      <c r="AY53" s="35">
        <f>=SUM(AY54:AY57)</f>
        <v>0.14935822637106183</v>
      </c>
      <c r="AZ53" s="35">
        <f>=SUM(AZ54:AZ57)</f>
        <v>0.05263157894736842</v>
      </c>
      <c r="BA53" s="35">
        <f>=SUM(BA54:BA57)</f>
        <v>0.0912280701754386</v>
      </c>
      <c r="BB53" s="35">
        <f>=SUM(BB54:BB57)</f>
        <v>0.05029239766081872</v>
      </c>
      <c r="BC53" s="35">
        <f>=SUM(BC54:BC57)</f>
        <v>0.15321637426900586</v>
      </c>
      <c r="BD53" s="35">
        <f>=SUM(BD54:BD57)</f>
        <v>0.11994949494949496</v>
      </c>
      <c r="BE53" s="35">
        <f>=SUM(BE54:BE57)</f>
        <v>0.16180371352785144</v>
      </c>
      <c r="BF53" s="35">
        <f>=SUM(BF54:BF57)</f>
        <v>0.09378806333739344</v>
      </c>
      <c r="BG53" s="35">
        <f>=SUM(BG54:BG57)</f>
        <v>0.05714285714285714</v>
      </c>
      <c r="BH53" s="35">
        <f>=SUM(BH54:BH57)</f>
        <v>0.09413202933985329</v>
      </c>
      <c r="BI53" s="35">
        <f>=SUM(BI54:BI57)</f>
        <v>0.04244694132334582</v>
      </c>
      <c r="BJ53" s="35">
        <f>=SUM(BJ54:BJ57)</f>
        <v>0.06872852233676977</v>
      </c>
      <c r="BK53" s="35">
        <f>=SUM(BK54:BK57)</f>
        <v>0.10965435041716327</v>
      </c>
      <c r="BL53" s="35">
        <f>=SUM(BL54:BL57)</f>
        <v>0.1203599550056243</v>
      </c>
      <c r="BM53" s="35">
        <f>=SUM(BM54:BM57)</f>
        <v>0.06792873051224944</v>
      </c>
      <c r="BN53" s="35">
        <f>=SUM(BN54:BN57)</f>
        <v>0.12217194570135748</v>
      </c>
      <c r="BO53" s="35">
        <f>=SUM(BO54:BO57)</f>
        <v>0.08157894736842106</v>
      </c>
      <c r="BP53" s="35">
        <f>=SUM(BP54:BP57)</f>
        <v>0.20880681818181818</v>
      </c>
      <c r="BQ53" s="35">
        <f>=SUM(BQ54:BQ57)</f>
        <v>0</v>
      </c>
      <c r="BR53" s="35">
        <f>=SUM(BR54:BR57)</f>
        <v>0</v>
      </c>
      <c r="BS53" s="35">
        <f>=SUM(BS54:BS57)</f>
        <v>0</v>
      </c>
      <c r="BT53" s="35">
        <f>=SUM(BT54:BT57)</f>
        <v>0</v>
      </c>
      <c r="BU53" s="35">
        <f>=SUM(BU54:BU57)</f>
        <v>0</v>
      </c>
      <c r="BV53" s="35">
        <f>=SUM(BV54:BV57)</f>
        <v>0</v>
      </c>
      <c r="BW53" s="35">
        <f>=SUM(BW54:BW57)</f>
        <v>0</v>
      </c>
      <c r="BX53" s="35">
        <f>=SUM(BX54:BX57)</f>
        <v>0</v>
      </c>
      <c r="BY53" s="35">
        <f>=SUM(BY54:BY57)</f>
        <v>0</v>
      </c>
      <c r="BZ53" s="35">
        <f>=SUM(BZ54:BZ57)</f>
        <v>0</v>
      </c>
      <c r="CA53" s="35">
        <f>=SUM(CA54:CA57)</f>
        <v>0</v>
      </c>
      <c r="CB53" s="35">
        <f>=SUM(CB54:CB57)</f>
        <v>0</v>
      </c>
      <c r="CC53" s="35">
        <f>=SUM(CC54:CC57)</f>
        <v>0</v>
      </c>
      <c r="CD53" s="35">
        <f>=SUM(CD54:CD57)</f>
        <v>0</v>
      </c>
      <c r="CE53" s="35">
        <f>=SUM(CE54:CE57)</f>
        <v>0</v>
      </c>
      <c r="CF53" s="35">
        <f>=SUM(CF54:CF57)</f>
        <v>0</v>
      </c>
      <c r="CG53" s="35">
        <f>=SUM(CG54:CG57)</f>
        <v>0</v>
      </c>
      <c r="CH53" s="35">
        <f>=SUM(CH54:CH57)</f>
        <v>0</v>
      </c>
      <c r="CI53" s="35">
        <f>=SUM(CI54:CI57)</f>
        <v>0</v>
      </c>
      <c r="CJ53" s="35">
        <f>=SUM(CJ54:CJ57)</f>
        <v>0</v>
      </c>
      <c r="CK53" s="35">
        <f>=SUM(CK54:CK57)</f>
        <v>0</v>
      </c>
      <c r="CL53" s="35">
        <f>=SUM(CL54:CL57)</f>
        <v>0</v>
      </c>
      <c r="CM53" s="35">
        <f>=SUM(CM54:CM57)</f>
        <v>0</v>
      </c>
      <c r="CN53" s="35">
        <f>=SUM(CN54:CN57)</f>
        <v>0</v>
      </c>
      <c r="CO53" s="35">
        <f>=SUM(CO54:CO57)</f>
        <v>0</v>
      </c>
      <c r="CP53" s="35">
        <f>=SUM(CP54:CP57)</f>
        <v>0</v>
      </c>
      <c r="CQ53" s="35">
        <f>=SUM(CQ54:CQ57)</f>
        <v>0</v>
      </c>
      <c r="CR53" s="35">
        <f>=SUM(CR54:CR57)</f>
        <v>0</v>
      </c>
      <c r="CS53" s="35">
        <f>=SUM(CS54:CS57)</f>
        <v>0</v>
      </c>
      <c r="CT53" s="35">
        <f>=SUM(CT54:CT57)</f>
        <v>0</v>
      </c>
      <c r="CU53" s="35">
        <f>=SUM(CU54:CU57)</f>
        <v>0</v>
      </c>
      <c r="CV53" s="35">
        <f>=SUM(CV54:CV57)</f>
        <v>0</v>
      </c>
      <c r="CW53" s="35">
        <f>=SUM(CW54:CW57)</f>
        <v>0</v>
      </c>
      <c r="CX53" s="35">
        <f>=SUM(CX54:CX57)</f>
        <v>0</v>
      </c>
      <c r="CY53" s="35">
        <f>=SUM(CY54:CY57)</f>
        <v>0</v>
      </c>
      <c r="CZ53" s="35">
        <f>=SUM(CZ54:CZ57)</f>
        <v>0</v>
      </c>
      <c r="DA53" s="35">
        <f>=SUM(DA54:DA57)</f>
        <v>0</v>
      </c>
      <c r="DB53" s="35">
        <f>=SUM(DB54:DB57)</f>
        <v>0</v>
      </c>
    </row>
    <row r="54" ht="18" customHeight="1" spans="1:106" x14ac:dyDescent="0.25">
      <c r="A54" s="36" t="s">
        <v>263</v>
      </c>
      <c r="B54" s="17"/>
      <c r="C54" s="37">
        <f>=IFERROR(C131/C126,0)</f>
        <v>0</v>
      </c>
      <c r="D54" s="37">
        <f>=IFERROR(D131/D126,0)</f>
        <v>0</v>
      </c>
      <c r="E54" s="37">
        <f>=IFERROR(E131/E126,0)</f>
        <v>0</v>
      </c>
      <c r="F54" s="37">
        <f>=IFERROR(F131/F126,0)</f>
        <v>0</v>
      </c>
      <c r="G54" s="37">
        <f>=IFERROR(G131/G126,0)</f>
        <v>0</v>
      </c>
      <c r="H54" s="37">
        <f>=IFERROR(H131/H126,0)</f>
        <v>0</v>
      </c>
      <c r="I54" s="37">
        <f>=IFERROR(I131/I126,0)</f>
        <v>0</v>
      </c>
      <c r="J54" s="37">
        <f>=IFERROR(J131/J126,0)</f>
        <v>0</v>
      </c>
      <c r="K54" s="37">
        <f>=IFERROR(K131/K126,0)</f>
        <v>0</v>
      </c>
      <c r="L54" s="37">
        <f>=IFERROR(L131/L126,0)</f>
        <v>0</v>
      </c>
      <c r="M54" s="37">
        <f>=IFERROR(M131/M126,0)</f>
        <v>0</v>
      </c>
      <c r="N54" s="37">
        <f>=IFERROR(N131/N126,0)</f>
        <v>0</v>
      </c>
      <c r="O54" s="37">
        <f>=IFERROR(O131/O126,0)</f>
        <v>0</v>
      </c>
      <c r="P54" s="37">
        <f>=IFERROR(P131/P126,0)</f>
        <v>0</v>
      </c>
      <c r="Q54" s="37">
        <f>=IFERROR(Q131/Q126,0)</f>
        <v>0</v>
      </c>
      <c r="R54" s="37">
        <f>=IFERROR(R131/R126,0)</f>
        <v>0</v>
      </c>
      <c r="S54" s="37">
        <f>=IFERROR(S131/S126,0)</f>
        <v>0</v>
      </c>
      <c r="T54" s="37">
        <f>=IFERROR(T131/T126,0)</f>
        <v>0</v>
      </c>
      <c r="U54" s="37">
        <f>=IFERROR(U131/U126,0)</f>
        <v>0</v>
      </c>
      <c r="V54" s="37">
        <f>=IFERROR(V131/V126,0)</f>
        <v>0</v>
      </c>
      <c r="W54" s="37">
        <f>=IFERROR(W131/W126,0)</f>
        <v>0</v>
      </c>
      <c r="X54" s="37">
        <f>=IFERROR(X131/X126,0)</f>
        <v>0</v>
      </c>
      <c r="Y54" s="37">
        <f>=IFERROR(Y131/Y126,0)</f>
        <v>0</v>
      </c>
      <c r="Z54" s="37">
        <f>=IFERROR(Z131/Z126,0)</f>
        <v>0</v>
      </c>
      <c r="AA54" s="37">
        <f>=IFERROR(AA131/AA126,0)</f>
        <v>0</v>
      </c>
      <c r="AB54" s="37">
        <f>=IFERROR(AB131/AB126,0)</f>
        <v>0</v>
      </c>
      <c r="AC54" s="37">
        <f>=IFERROR(AC131/AC126,0)</f>
        <v>0.0018484288354898336</v>
      </c>
      <c r="AD54" s="37">
        <f>=IFERROR(AD131/AD126,0)</f>
        <v>0.012962962962962963</v>
      </c>
      <c r="AE54" s="37">
        <f>=IFERROR(AE131/AE126,0)</f>
        <v>0</v>
      </c>
      <c r="AF54" s="37">
        <f>=IFERROR(AF131/AF126,0)</f>
        <v>0.05</v>
      </c>
      <c r="AG54" s="37">
        <f>=IFERROR(AG131/AG126,0)</f>
        <v>0.053703703703703705</v>
      </c>
      <c r="AH54" s="37">
        <f>=IFERROR(AH131/AH126,0)</f>
        <v>0.09444444444444444</v>
      </c>
      <c r="AI54" s="37">
        <f>=IFERROR(AI131/AI126,0)</f>
        <v>0.07716049382716049</v>
      </c>
      <c r="AJ54" s="37">
        <f>=IFERROR(AJ131/AJ126,0)</f>
        <v>0.0106951871657754</v>
      </c>
      <c r="AK54" s="37">
        <f>=IFERROR(AK131/AK126,0)</f>
        <v>0.025682182985553772</v>
      </c>
      <c r="AL54" s="37">
        <f>=IFERROR(AL131/AL126,0)</f>
        <v>0.01015228426395939</v>
      </c>
      <c r="AM54" s="37">
        <f>=IFERROR(AM131/AM126,0)</f>
        <v>0.03296703296703297</v>
      </c>
      <c r="AN54" s="37">
        <f>=IFERROR(AN131/AN126,0)</f>
        <v>0</v>
      </c>
      <c r="AO54" s="37">
        <f>=IFERROR(AO131/AO126,0)</f>
        <v>0</v>
      </c>
      <c r="AP54" s="37">
        <f>=IFERROR(AP131/AP126,0)</f>
        <v>0.030534351145038167</v>
      </c>
      <c r="AQ54" s="37">
        <f>=IFERROR(AQ131/AQ126,0)</f>
        <v>0.02178217821782178</v>
      </c>
      <c r="AR54" s="37">
        <f>=IFERROR(AR131/AR126,0)</f>
        <v>0.024242424242424242</v>
      </c>
      <c r="AS54" s="37">
        <f>=IFERROR(AS131/AS126,0)</f>
        <v>0.1038961038961039</v>
      </c>
      <c r="AT54" s="37">
        <f>=IFERROR(AT131/AT126,0)</f>
        <v>0.07555555555555556</v>
      </c>
      <c r="AU54" s="37">
        <f>=IFERROR(AU131/AU126,0)</f>
        <v>0.02</v>
      </c>
      <c r="AV54" s="37">
        <f>=IFERROR(AV131/AV126,0)</f>
        <v>0.02861952861952862</v>
      </c>
      <c r="AW54" s="37">
        <f>=IFERROR(AW131/AW126,0)</f>
        <v>0.0026702269692923898</v>
      </c>
      <c r="AX54" s="37">
        <f>=IFERROR(AX131/AX126,0)</f>
        <v>0.021574973031283712</v>
      </c>
      <c r="AY54" s="37">
        <f>=IFERROR(AY131/AY126,0)</f>
        <v>0.03267211201866978</v>
      </c>
      <c r="AZ54" s="37">
        <f>=IFERROR(AZ131/AZ126,0)</f>
        <v>0.016374269005847954</v>
      </c>
      <c r="BA54" s="37">
        <f>=IFERROR(BA131/BA126,0)</f>
        <v>0.0023391812865497076</v>
      </c>
      <c r="BB54" s="37">
        <f>=IFERROR(BB131/BB126,0)</f>
        <v>0.03976608187134503</v>
      </c>
      <c r="BC54" s="37">
        <f>=IFERROR(BC131/BC126,0)</f>
        <v>0.029239766081871343</v>
      </c>
      <c r="BD54" s="37">
        <f>=IFERROR(BD131/BD126,0)</f>
        <v>0.054292929292929296</v>
      </c>
      <c r="BE54" s="37">
        <f>=IFERROR(BE131/BE126,0)</f>
        <v>0.05172413793103448</v>
      </c>
      <c r="BF54" s="37">
        <f>=IFERROR(BF131/BF126,0)</f>
        <v>0.012180267965895249</v>
      </c>
      <c r="BG54" s="37">
        <f>=IFERROR(BG131/BG126,0)</f>
        <v>0</v>
      </c>
      <c r="BH54" s="37">
        <f>=IFERROR(BH131/BH126,0)</f>
        <v>0.009779951100244499</v>
      </c>
      <c r="BI54" s="37">
        <f>=IFERROR(BI131/BI126,0)</f>
        <v>0</v>
      </c>
      <c r="BJ54" s="37">
        <f>=IFERROR(BJ131/BJ126,0)</f>
        <v>0.006872852233676976</v>
      </c>
      <c r="BK54" s="37">
        <f>=IFERROR(BK131/BK126,0)</f>
        <v>0.033373063170441</v>
      </c>
      <c r="BL54" s="37">
        <f>=IFERROR(BL131/BL126,0)</f>
        <v>0.024746906636670417</v>
      </c>
      <c r="BM54" s="37">
        <f>=IFERROR(BM131/BM126,0)</f>
        <v>0</v>
      </c>
      <c r="BN54" s="37">
        <f>=IFERROR(BN131/BN126,0)</f>
        <v>0.033936651583710405</v>
      </c>
      <c r="BO54" s="37">
        <f>=IFERROR(BO131/BO126,0)</f>
        <v>0.05263157894736842</v>
      </c>
      <c r="BP54" s="37">
        <f>=IFERROR(BP131/BP126,0)</f>
        <v>0.036931818181818184</v>
      </c>
      <c r="BQ54" s="37">
        <f>=IFERROR(BQ131/BQ126,0)</f>
        <v>0</v>
      </c>
      <c r="BR54" s="37">
        <f>=IFERROR(BR131/BR126,0)</f>
        <v>0</v>
      </c>
      <c r="BS54" s="37">
        <f>=IFERROR(BS131/BS126,0)</f>
        <v>0</v>
      </c>
      <c r="BT54" s="37">
        <f>=IFERROR(BT131/BT126,0)</f>
        <v>0</v>
      </c>
      <c r="BU54" s="37">
        <f>=IFERROR(BU131/BU126,0)</f>
        <v>0</v>
      </c>
      <c r="BV54" s="37">
        <f>=IFERROR(BV131/BV126,0)</f>
        <v>0</v>
      </c>
      <c r="BW54" s="37">
        <f>=IFERROR(BW131/BW126,0)</f>
        <v>0</v>
      </c>
      <c r="BX54" s="37">
        <f>=IFERROR(BX131/BX126,0)</f>
        <v>0</v>
      </c>
      <c r="BY54" s="37">
        <f>=IFERROR(BY131/BY126,0)</f>
        <v>0</v>
      </c>
      <c r="BZ54" s="37">
        <f>=IFERROR(BZ131/BZ126,0)</f>
        <v>0</v>
      </c>
      <c r="CA54" s="37">
        <f>=IFERROR(CA131/CA126,0)</f>
        <v>0</v>
      </c>
      <c r="CB54" s="37">
        <f>=IFERROR(CB131/CB126,0)</f>
        <v>0</v>
      </c>
      <c r="CC54" s="37">
        <f>=IFERROR(CC131/CC126,0)</f>
        <v>0</v>
      </c>
      <c r="CD54" s="37">
        <f>=IFERROR(CD131/CD126,0)</f>
        <v>0</v>
      </c>
      <c r="CE54" s="37">
        <f>=IFERROR(CE131/CE126,0)</f>
        <v>0</v>
      </c>
      <c r="CF54" s="37">
        <f>=IFERROR(CF131/CF126,0)</f>
        <v>0</v>
      </c>
      <c r="CG54" s="37">
        <f>=IFERROR(CG131/CG126,0)</f>
        <v>0</v>
      </c>
      <c r="CH54" s="37">
        <f>=IFERROR(CH131/CH126,0)</f>
        <v>0</v>
      </c>
      <c r="CI54" s="37">
        <f>=IFERROR(CI131/CI126,0)</f>
        <v>0</v>
      </c>
      <c r="CJ54" s="37">
        <f>=IFERROR(CJ131/CJ126,0)</f>
        <v>0</v>
      </c>
      <c r="CK54" s="37">
        <f>=IFERROR(CK131/CK126,0)</f>
        <v>0</v>
      </c>
      <c r="CL54" s="37">
        <f>=IFERROR(CL131/CL126,0)</f>
        <v>0</v>
      </c>
      <c r="CM54" s="37">
        <f>=IFERROR(CM131/CM126,0)</f>
        <v>0</v>
      </c>
      <c r="CN54" s="37">
        <f>=IFERROR(CN131/CN126,0)</f>
        <v>0</v>
      </c>
      <c r="CO54" s="37">
        <f>=IFERROR(CO131/CO126,0)</f>
        <v>0</v>
      </c>
      <c r="CP54" s="37">
        <f>=IFERROR(CP131/CP126,0)</f>
        <v>0</v>
      </c>
      <c r="CQ54" s="37">
        <f>=IFERROR(CQ131/CQ126,0)</f>
        <v>0</v>
      </c>
      <c r="CR54" s="37">
        <f>=IFERROR(CR131/CR126,0)</f>
        <v>0</v>
      </c>
      <c r="CS54" s="37">
        <f>=IFERROR(CS131/CS126,0)</f>
        <v>0</v>
      </c>
      <c r="CT54" s="37">
        <f>=IFERROR(CT131/CT126,0)</f>
        <v>0</v>
      </c>
      <c r="CU54" s="37">
        <f>=IFERROR(CU131/CU126,0)</f>
        <v>0</v>
      </c>
      <c r="CV54" s="37">
        <f>=IFERROR(CV131/CV126,0)</f>
        <v>0</v>
      </c>
      <c r="CW54" s="37">
        <f>=IFERROR(CW131/CW126,0)</f>
        <v>0</v>
      </c>
      <c r="CX54" s="37">
        <f>=IFERROR(CX131/CX126,0)</f>
        <v>0</v>
      </c>
      <c r="CY54" s="37">
        <f>=IFERROR(CY131/CY126,0)</f>
        <v>0</v>
      </c>
      <c r="CZ54" s="37">
        <f>=IFERROR(CZ131/CZ126,0)</f>
        <v>0</v>
      </c>
      <c r="DA54" s="37">
        <f>=IFERROR(DA131/DA126,0)</f>
        <v>0</v>
      </c>
      <c r="DB54" s="37">
        <f>=IFERROR(DB131/DB126,0)</f>
        <v>0</v>
      </c>
    </row>
    <row r="55" ht="18" customHeight="1" spans="1:106" x14ac:dyDescent="0.25">
      <c r="A55" s="36" t="s">
        <v>264</v>
      </c>
      <c r="B55" s="17"/>
      <c r="C55" s="37">
        <f>=IFERROR(C132/C126,0)</f>
        <v>0</v>
      </c>
      <c r="D55" s="37">
        <f>=IFERROR(D132/D126,0)</f>
        <v>0</v>
      </c>
      <c r="E55" s="37">
        <f>=IFERROR(E132/E126,0)</f>
        <v>0</v>
      </c>
      <c r="F55" s="37">
        <f>=IFERROR(F132/F126,0)</f>
        <v>0</v>
      </c>
      <c r="G55" s="37">
        <f>=IFERROR(G132/G126,0)</f>
        <v>0</v>
      </c>
      <c r="H55" s="37">
        <f>=IFERROR(H132/H126,0)</f>
        <v>0</v>
      </c>
      <c r="I55" s="37">
        <f>=IFERROR(I132/I126,0)</f>
        <v>0</v>
      </c>
      <c r="J55" s="37">
        <f>=IFERROR(J132/J126,0)</f>
        <v>0</v>
      </c>
      <c r="K55" s="37">
        <f>=IFERROR(K132/K126,0)</f>
        <v>0</v>
      </c>
      <c r="L55" s="37">
        <f>=IFERROR(L132/L126,0)</f>
        <v>0</v>
      </c>
      <c r="M55" s="37">
        <f>=IFERROR(M132/M126,0)</f>
        <v>0</v>
      </c>
      <c r="N55" s="37">
        <f>=IFERROR(N132/N126,0)</f>
        <v>0</v>
      </c>
      <c r="O55" s="37">
        <f>=IFERROR(O132/O126,0)</f>
        <v>0</v>
      </c>
      <c r="P55" s="37">
        <f>=IFERROR(P132/P126,0)</f>
        <v>0</v>
      </c>
      <c r="Q55" s="37">
        <f>=IFERROR(Q132/Q126,0)</f>
        <v>0</v>
      </c>
      <c r="R55" s="37">
        <f>=IFERROR(R132/R126,0)</f>
        <v>0</v>
      </c>
      <c r="S55" s="37">
        <f>=IFERROR(S132/S126,0)</f>
        <v>0</v>
      </c>
      <c r="T55" s="37">
        <f>=IFERROR(T132/T126,0)</f>
        <v>0</v>
      </c>
      <c r="U55" s="37">
        <f>=IFERROR(U132/U126,0)</f>
        <v>0</v>
      </c>
      <c r="V55" s="37">
        <f>=IFERROR(V132/V126,0)</f>
        <v>0</v>
      </c>
      <c r="W55" s="37">
        <f>=IFERROR(W132/W126,0)</f>
        <v>0</v>
      </c>
      <c r="X55" s="37">
        <f>=IFERROR(X132/X126,0)</f>
        <v>0</v>
      </c>
      <c r="Y55" s="37">
        <f>=IFERROR(Y132/Y126,0)</f>
        <v>0</v>
      </c>
      <c r="Z55" s="37">
        <f>=IFERROR(Z132/Z126,0)</f>
        <v>0</v>
      </c>
      <c r="AA55" s="37">
        <f>=IFERROR(AA132/AA126,0)</f>
        <v>0</v>
      </c>
      <c r="AB55" s="37">
        <f>=IFERROR(AB132/AB126,0)</f>
        <v>0</v>
      </c>
      <c r="AC55" s="37">
        <f>=IFERROR(AC132/AC126,0)</f>
        <v>0</v>
      </c>
      <c r="AD55" s="37">
        <f>=IFERROR(AD132/AD126,0)</f>
        <v>0.06111111111111111</v>
      </c>
      <c r="AE55" s="37">
        <f>=IFERROR(AE132/AE126,0)</f>
        <v>0.03518518518518519</v>
      </c>
      <c r="AF55" s="37">
        <f>=IFERROR(AF132/AF126,0)</f>
        <v>0.07777777777777778</v>
      </c>
      <c r="AG55" s="37">
        <f>=IFERROR(AG132/AG126,0)</f>
        <v>0.08333333333333333</v>
      </c>
      <c r="AH55" s="37">
        <f>=IFERROR(AH132/AH126,0)</f>
        <v>0.05555555555555555</v>
      </c>
      <c r="AI55" s="37">
        <f>=IFERROR(AI132/AI126,0)</f>
        <v>0.09567901234567901</v>
      </c>
      <c r="AJ55" s="37">
        <f>=IFERROR(AJ132/AJ126,0)</f>
        <v>0.11229946524064172</v>
      </c>
      <c r="AK55" s="37">
        <f>=IFERROR(AK132/AK126,0)</f>
        <v>0.04654895666131621</v>
      </c>
      <c r="AL55" s="37">
        <f>=IFERROR(AL132/AL126,0)</f>
        <v>0.021996615905245348</v>
      </c>
      <c r="AM55" s="37">
        <f>=IFERROR(AM132/AM126,0)</f>
        <v>0.03139717425431711</v>
      </c>
      <c r="AN55" s="37">
        <f>=IFERROR(AN132/AN126,0)</f>
        <v>0.1164021164021164</v>
      </c>
      <c r="AO55" s="37">
        <f>=IFERROR(AO132/AO126,0)</f>
        <v>0.06557377049180328</v>
      </c>
      <c r="AP55" s="37">
        <f>=IFERROR(AP132/AP126,0)</f>
        <v>0.03435114503816794</v>
      </c>
      <c r="AQ55" s="37">
        <f>=IFERROR(AQ132/AQ126,0)</f>
        <v>0.055445544554455446</v>
      </c>
      <c r="AR55" s="37">
        <f>=IFERROR(AR132/AR126,0)</f>
        <v>0.08686868686868687</v>
      </c>
      <c r="AS55" s="37">
        <f>=IFERROR(AS132/AS126,0)</f>
        <v>0.07792207792207792</v>
      </c>
      <c r="AT55" s="37">
        <f>=IFERROR(AT132/AT126,0)</f>
        <v>0.024444444444444446</v>
      </c>
      <c r="AU55" s="37">
        <f>=IFERROR(AU132/AU126,0)</f>
        <v>0.02666666666666667</v>
      </c>
      <c r="AV55" s="37">
        <f>=IFERROR(AV132/AV126,0)</f>
        <v>0.011784511784511785</v>
      </c>
      <c r="AW55" s="37">
        <f>=IFERROR(AW132/AW126,0)</f>
        <v>0.056074766355140186</v>
      </c>
      <c r="AX55" s="37">
        <f>=IFERROR(AX132/AX126,0)</f>
        <v>0.06256742179072276</v>
      </c>
      <c r="AY55" s="37">
        <f>=IFERROR(AY132/AY126,0)</f>
        <v>0.11668611435239207</v>
      </c>
      <c r="AZ55" s="37">
        <f>=IFERROR(AZ132/AZ126,0)</f>
        <v>0.03625730994152047</v>
      </c>
      <c r="BA55" s="37">
        <f>=IFERROR(BA132/BA126,0)</f>
        <v>0.08888888888888889</v>
      </c>
      <c r="BB55" s="37">
        <f>=IFERROR(BB132/BB126,0)</f>
        <v>0.010526315789473684</v>
      </c>
      <c r="BC55" s="37">
        <f>=IFERROR(BC132/BC126,0)</f>
        <v>0.1239766081871345</v>
      </c>
      <c r="BD55" s="37">
        <f>=IFERROR(BD132/BD126,0)</f>
        <v>0.06565656565656566</v>
      </c>
      <c r="BE55" s="37">
        <f>=IFERROR(BE132/BE126,0)</f>
        <v>0.11007957559681697</v>
      </c>
      <c r="BF55" s="37">
        <f>=IFERROR(BF132/BF126,0)</f>
        <v>0.08160779537149818</v>
      </c>
      <c r="BG55" s="37">
        <f>=IFERROR(BG132/BG126,0)</f>
        <v>0.05714285714285714</v>
      </c>
      <c r="BH55" s="37">
        <f>=IFERROR(BH132/BH126,0)</f>
        <v>0.0843520782396088</v>
      </c>
      <c r="BI55" s="37">
        <f>=IFERROR(BI132/BI126,0)</f>
        <v>0.04244694132334582</v>
      </c>
      <c r="BJ55" s="37">
        <f>=IFERROR(BJ132/BJ126,0)</f>
        <v>0.061855670103092786</v>
      </c>
      <c r="BK55" s="37">
        <f>=IFERROR(BK132/BK126,0)</f>
        <v>0.07628128724672228</v>
      </c>
      <c r="BL55" s="37">
        <f>=IFERROR(BL132/BL126,0)</f>
        <v>0.09561304836895389</v>
      </c>
      <c r="BM55" s="37">
        <f>=IFERROR(BM132/BM126,0)</f>
        <v>0.06792873051224944</v>
      </c>
      <c r="BN55" s="37">
        <f>=IFERROR(BN132/BN126,0)</f>
        <v>0.08823529411764706</v>
      </c>
      <c r="BO55" s="37">
        <f>=IFERROR(BO132/BO126,0)</f>
        <v>0.02894736842105263</v>
      </c>
      <c r="BP55" s="37">
        <f>=IFERROR(BP132/BP126,0)</f>
        <v>0.171875</v>
      </c>
      <c r="BQ55" s="37">
        <f>=IFERROR(BQ132/BQ126,0)</f>
        <v>0</v>
      </c>
      <c r="BR55" s="37">
        <f>=IFERROR(BR132/BR126,0)</f>
        <v>0</v>
      </c>
      <c r="BS55" s="37">
        <f>=IFERROR(BS132/BS126,0)</f>
        <v>0</v>
      </c>
      <c r="BT55" s="37">
        <f>=IFERROR(BT132/BT126,0)</f>
        <v>0</v>
      </c>
      <c r="BU55" s="37">
        <f>=IFERROR(BU132/BU126,0)</f>
        <v>0</v>
      </c>
      <c r="BV55" s="37">
        <f>=IFERROR(BV132/BV126,0)</f>
        <v>0</v>
      </c>
      <c r="BW55" s="37">
        <f>=IFERROR(BW132/BW126,0)</f>
        <v>0</v>
      </c>
      <c r="BX55" s="37">
        <f>=IFERROR(BX132/BX126,0)</f>
        <v>0</v>
      </c>
      <c r="BY55" s="37">
        <f>=IFERROR(BY132/BY126,0)</f>
        <v>0</v>
      </c>
      <c r="BZ55" s="37">
        <f>=IFERROR(BZ132/BZ126,0)</f>
        <v>0</v>
      </c>
      <c r="CA55" s="37">
        <f>=IFERROR(CA132/CA126,0)</f>
        <v>0</v>
      </c>
      <c r="CB55" s="37">
        <f>=IFERROR(CB132/CB126,0)</f>
        <v>0</v>
      </c>
      <c r="CC55" s="37">
        <f>=IFERROR(CC132/CC126,0)</f>
        <v>0</v>
      </c>
      <c r="CD55" s="37">
        <f>=IFERROR(CD132/CD126,0)</f>
        <v>0</v>
      </c>
      <c r="CE55" s="37">
        <f>=IFERROR(CE132/CE126,0)</f>
        <v>0</v>
      </c>
      <c r="CF55" s="37">
        <f>=IFERROR(CF132/CF126,0)</f>
        <v>0</v>
      </c>
      <c r="CG55" s="37">
        <f>=IFERROR(CG132/CG126,0)</f>
        <v>0</v>
      </c>
      <c r="CH55" s="37">
        <f>=IFERROR(CH132/CH126,0)</f>
        <v>0</v>
      </c>
      <c r="CI55" s="37">
        <f>=IFERROR(CI132/CI126,0)</f>
        <v>0</v>
      </c>
      <c r="CJ55" s="37">
        <f>=IFERROR(CJ132/CJ126,0)</f>
        <v>0</v>
      </c>
      <c r="CK55" s="37">
        <f>=IFERROR(CK132/CK126,0)</f>
        <v>0</v>
      </c>
      <c r="CL55" s="37">
        <f>=IFERROR(CL132/CL126,0)</f>
        <v>0</v>
      </c>
      <c r="CM55" s="37">
        <f>=IFERROR(CM132/CM126,0)</f>
        <v>0</v>
      </c>
      <c r="CN55" s="37">
        <f>=IFERROR(CN132/CN126,0)</f>
        <v>0</v>
      </c>
      <c r="CO55" s="37">
        <f>=IFERROR(CO132/CO126,0)</f>
        <v>0</v>
      </c>
      <c r="CP55" s="37">
        <f>=IFERROR(CP132/CP126,0)</f>
        <v>0</v>
      </c>
      <c r="CQ55" s="37">
        <f>=IFERROR(CQ132/CQ126,0)</f>
        <v>0</v>
      </c>
      <c r="CR55" s="37">
        <f>=IFERROR(CR132/CR126,0)</f>
        <v>0</v>
      </c>
      <c r="CS55" s="37">
        <f>=IFERROR(CS132/CS126,0)</f>
        <v>0</v>
      </c>
      <c r="CT55" s="37">
        <f>=IFERROR(CT132/CT126,0)</f>
        <v>0</v>
      </c>
      <c r="CU55" s="37">
        <f>=IFERROR(CU132/CU126,0)</f>
        <v>0</v>
      </c>
      <c r="CV55" s="37">
        <f>=IFERROR(CV132/CV126,0)</f>
        <v>0</v>
      </c>
      <c r="CW55" s="37">
        <f>=IFERROR(CW132/CW126,0)</f>
        <v>0</v>
      </c>
      <c r="CX55" s="37">
        <f>=IFERROR(CX132/CX126,0)</f>
        <v>0</v>
      </c>
      <c r="CY55" s="37">
        <f>=IFERROR(CY132/CY126,0)</f>
        <v>0</v>
      </c>
      <c r="CZ55" s="37">
        <f>=IFERROR(CZ132/CZ126,0)</f>
        <v>0</v>
      </c>
      <c r="DA55" s="37">
        <f>=IFERROR(DA132/DA126,0)</f>
        <v>0</v>
      </c>
      <c r="DB55" s="37">
        <f>=IFERROR(DB132/DB126,0)</f>
        <v>0</v>
      </c>
    </row>
    <row r="56" ht="15" customHeight="1" spans="1:106" x14ac:dyDescent="0.25">
      <c r="A56" s="36" t="s">
        <v>265</v>
      </c>
      <c r="B56" s="17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8"/>
      <c r="BG56" s="38"/>
      <c r="BH56" s="38"/>
      <c r="BI56" s="38"/>
      <c r="BJ56" s="38"/>
      <c r="BK56" s="38"/>
      <c r="BL56" s="38"/>
      <c r="BM56" s="38"/>
      <c r="BN56" s="38"/>
      <c r="BO56" s="38"/>
      <c r="BP56" s="38"/>
      <c r="BQ56" s="38"/>
      <c r="BR56" s="38"/>
      <c r="BS56" s="38"/>
      <c r="BT56" s="38"/>
      <c r="BU56" s="38"/>
      <c r="BV56" s="38"/>
      <c r="BW56" s="38"/>
      <c r="BX56" s="38"/>
      <c r="BY56" s="38"/>
      <c r="BZ56" s="38"/>
      <c r="CA56" s="38"/>
      <c r="CB56" s="38"/>
      <c r="CC56" s="38"/>
      <c r="CD56" s="38"/>
      <c r="CE56" s="38"/>
      <c r="CF56" s="38"/>
      <c r="CG56" s="38"/>
      <c r="CH56" s="38"/>
      <c r="CI56" s="38"/>
      <c r="CJ56" s="38"/>
      <c r="CK56" s="38"/>
      <c r="CL56" s="38"/>
      <c r="CM56" s="38"/>
      <c r="CN56" s="38"/>
      <c r="CO56" s="38"/>
      <c r="CP56" s="38"/>
      <c r="CQ56" s="38"/>
      <c r="CR56" s="38"/>
      <c r="CS56" s="38"/>
      <c r="CT56" s="38"/>
      <c r="CU56" s="38"/>
      <c r="CV56" s="38"/>
      <c r="CW56" s="38"/>
      <c r="CX56" s="38"/>
      <c r="CY56" s="38"/>
      <c r="CZ56" s="38"/>
      <c r="DA56" s="38"/>
      <c r="DB56" s="38"/>
    </row>
    <row r="57" ht="15" customHeight="1" spans="1:106" x14ac:dyDescent="0.25">
      <c r="A57" s="36" t="s">
        <v>286</v>
      </c>
      <c r="B57" s="17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  <c r="CG57" s="38"/>
      <c r="CH57" s="38"/>
      <c r="CI57" s="38"/>
      <c r="CJ57" s="38"/>
      <c r="CK57" s="38"/>
      <c r="CL57" s="38"/>
      <c r="CM57" s="38"/>
      <c r="CN57" s="38"/>
      <c r="CO57" s="38"/>
      <c r="CP57" s="38"/>
      <c r="CQ57" s="38"/>
      <c r="CR57" s="38"/>
      <c r="CS57" s="38"/>
      <c r="CT57" s="38"/>
      <c r="CU57" s="38"/>
      <c r="CV57" s="38"/>
      <c r="CW57" s="38"/>
      <c r="CX57" s="38"/>
      <c r="CY57" s="38"/>
      <c r="CZ57" s="38"/>
      <c r="DA57" s="38"/>
      <c r="DB57" s="38"/>
    </row>
    <row r="58" ht="15" customHeight="1" spans="1:106" x14ac:dyDescent="0.25">
      <c r="A58" s="16" t="s">
        <v>287</v>
      </c>
      <c r="B58" s="17"/>
      <c r="C58" s="35">
        <f>=SUM(C59:C64)</f>
        <v>0</v>
      </c>
      <c r="D58" s="35">
        <f>=SUM(D59:D61)</f>
        <v>0</v>
      </c>
      <c r="E58" s="35">
        <f>=SUM(E59:E61)</f>
        <v>0</v>
      </c>
      <c r="F58" s="35">
        <f>=SUM(F59:F61)</f>
        <v>0</v>
      </c>
      <c r="G58" s="35">
        <f>=SUM(G59:G61)</f>
        <v>0</v>
      </c>
      <c r="H58" s="35">
        <f>=SUM(H59:H61)</f>
        <v>0</v>
      </c>
      <c r="I58" s="35">
        <f>=SUM(I59:I61)</f>
        <v>0</v>
      </c>
      <c r="J58" s="35">
        <f>=SUM(J59:J61)</f>
        <v>0</v>
      </c>
      <c r="K58" s="35">
        <f>=SUM(K59:K61)</f>
        <v>0</v>
      </c>
      <c r="L58" s="35">
        <f>=SUM(L59:L61)</f>
        <v>0</v>
      </c>
      <c r="M58" s="35">
        <f>=SUM(M59:M61)</f>
        <v>0</v>
      </c>
      <c r="N58" s="35">
        <f>=SUM(N59:N61)</f>
        <v>0</v>
      </c>
      <c r="O58" s="35">
        <f>=SUM(O59:O61)</f>
        <v>0</v>
      </c>
      <c r="P58" s="35">
        <f>=SUM(P59:P61)</f>
        <v>0</v>
      </c>
      <c r="Q58" s="35">
        <f>=SUM(Q59:Q61)</f>
        <v>0</v>
      </c>
      <c r="R58" s="35">
        <f>=SUM(R59:R61)</f>
        <v>0</v>
      </c>
      <c r="S58" s="35">
        <f>=SUM(S59:S61)</f>
        <v>0</v>
      </c>
      <c r="T58" s="35">
        <f>=SUM(T59:T61)</f>
        <v>0</v>
      </c>
      <c r="U58" s="35">
        <f>=SUM(U59:U61)</f>
        <v>0</v>
      </c>
      <c r="V58" s="35">
        <f>=SUM(V59:V61)</f>
        <v>0</v>
      </c>
      <c r="W58" s="35">
        <f>=SUM(W59:W61)</f>
        <v>0</v>
      </c>
      <c r="X58" s="35">
        <f>=SUM(X59:X61)</f>
        <v>0</v>
      </c>
      <c r="Y58" s="35">
        <f>=SUM(Y59:Y61)</f>
        <v>0</v>
      </c>
      <c r="Z58" s="35">
        <f>=SUM(Z59:Z61)</f>
        <v>0</v>
      </c>
      <c r="AA58" s="35">
        <f>=SUM(AA59:AA61)</f>
        <v>0</v>
      </c>
      <c r="AB58" s="35">
        <f>=SUM(AB59:AB61)</f>
        <v>0</v>
      </c>
      <c r="AC58" s="35">
        <f>=SUM(AC59:AC61)</f>
        <v>0</v>
      </c>
      <c r="AD58" s="35">
        <f>=SUM(AD59:AD61)</f>
        <v>0</v>
      </c>
      <c r="AE58" s="35">
        <f>=SUM(AE59:AE61)</f>
        <v>0</v>
      </c>
      <c r="AF58" s="35">
        <f>=SUM(AF59:AF61)</f>
        <v>0</v>
      </c>
      <c r="AG58" s="35">
        <f>=SUM(AG59:AG61)</f>
        <v>0</v>
      </c>
      <c r="AH58" s="35">
        <f>=SUM(AH59:AH61)</f>
        <v>0</v>
      </c>
      <c r="AI58" s="35">
        <f>=SUM(AI59:AI61)</f>
        <v>0</v>
      </c>
      <c r="AJ58" s="35">
        <f>=SUM(AJ59:AJ61)</f>
        <v>0</v>
      </c>
      <c r="AK58" s="35">
        <f>=SUM(AK59:AK61)</f>
        <v>0</v>
      </c>
      <c r="AL58" s="35">
        <f>=SUM(AL59:AL61)</f>
        <v>0</v>
      </c>
      <c r="AM58" s="35">
        <f>=SUM(AM59:AM61)</f>
        <v>0</v>
      </c>
      <c r="AN58" s="35">
        <f>=SUM(AN59:AN61)</f>
        <v>0</v>
      </c>
      <c r="AO58" s="35">
        <f>=SUM(AO59:AO61)</f>
        <v>0</v>
      </c>
      <c r="AP58" s="35">
        <f>=SUM(AP59:AP61)</f>
        <v>0</v>
      </c>
      <c r="AQ58" s="35">
        <f>=SUM(AQ59:AQ61)</f>
        <v>0</v>
      </c>
      <c r="AR58" s="35">
        <f>=SUM(AR59:AR61)</f>
        <v>0</v>
      </c>
      <c r="AS58" s="35">
        <f>=SUM(AS59:AS61)</f>
        <v>0</v>
      </c>
      <c r="AT58" s="35">
        <f>=SUM(AT59:AT61)</f>
        <v>0</v>
      </c>
      <c r="AU58" s="35">
        <f>=SUM(AU59:AU61)</f>
        <v>0</v>
      </c>
      <c r="AV58" s="35">
        <f>=SUM(AV59:AV61)</f>
        <v>0</v>
      </c>
      <c r="AW58" s="35">
        <f>=SUM(AW59:AW61)</f>
        <v>0</v>
      </c>
      <c r="AX58" s="35">
        <f>=SUM(AX59:AX61)</f>
        <v>0</v>
      </c>
      <c r="AY58" s="35">
        <f>=SUM(AY59:AY61)</f>
        <v>0</v>
      </c>
      <c r="AZ58" s="35">
        <f>=SUM(AZ59:AZ61)</f>
        <v>0</v>
      </c>
      <c r="BA58" s="35">
        <f>=SUM(BA59:BA61)</f>
        <v>0</v>
      </c>
      <c r="BB58" s="35">
        <f>=SUM(BB59:BB61)</f>
        <v>0</v>
      </c>
      <c r="BC58" s="35">
        <f>=SUM(BC59:BC61)</f>
        <v>0</v>
      </c>
      <c r="BD58" s="35">
        <f>=SUM(BD59:BD61)</f>
        <v>0</v>
      </c>
      <c r="BE58" s="35">
        <f>=SUM(BE59:BE61)</f>
        <v>0</v>
      </c>
      <c r="BF58" s="35">
        <f>=SUM(BF59:BF61)</f>
        <v>0</v>
      </c>
      <c r="BG58" s="35">
        <f>=SUM(BG59:BG61)</f>
        <v>0</v>
      </c>
      <c r="BH58" s="35">
        <f>=SUM(BH59:BH61)</f>
        <v>0</v>
      </c>
      <c r="BI58" s="35">
        <f>=SUM(BI59:BI61)</f>
        <v>0</v>
      </c>
      <c r="BJ58" s="35">
        <f>=SUM(BJ59:BJ61)</f>
        <v>0</v>
      </c>
      <c r="BK58" s="35">
        <f>=SUM(BK59:BK61)</f>
        <v>0</v>
      </c>
      <c r="BL58" s="35">
        <f>=SUM(BL59:BL61)</f>
        <v>0</v>
      </c>
      <c r="BM58" s="35">
        <f>=SUM(BM59:BM61)</f>
        <v>0</v>
      </c>
      <c r="BN58" s="35">
        <f>=SUM(BN59:BN61)</f>
        <v>0</v>
      </c>
      <c r="BO58" s="35">
        <f>=SUM(BO59:BO61)</f>
        <v>0</v>
      </c>
      <c r="BP58" s="35">
        <f>=SUM(BP59:BP61)</f>
        <v>0</v>
      </c>
      <c r="BQ58" s="35">
        <f>=SUM(BQ59:BQ61)</f>
        <v>0</v>
      </c>
      <c r="BR58" s="35">
        <f>=SUM(BR59:BR61)</f>
        <v>0</v>
      </c>
      <c r="BS58" s="35">
        <f>=SUM(BS59:BS61)</f>
        <v>0</v>
      </c>
      <c r="BT58" s="35">
        <f>=SUM(BT59:BT61)</f>
        <v>0</v>
      </c>
      <c r="BU58" s="35">
        <f>=SUM(BU59:BU61)</f>
        <v>0</v>
      </c>
      <c r="BV58" s="35">
        <f>=SUM(BV59:BV61)</f>
        <v>0</v>
      </c>
      <c r="BW58" s="35">
        <f>=SUM(BW59:BW61)</f>
        <v>0</v>
      </c>
      <c r="BX58" s="35">
        <f>=SUM(BX59:BX61)</f>
        <v>0</v>
      </c>
      <c r="BY58" s="35">
        <f>=SUM(BY59:BY61)</f>
        <v>0</v>
      </c>
      <c r="BZ58" s="35">
        <f>=SUM(BZ59:BZ61)</f>
        <v>0</v>
      </c>
      <c r="CA58" s="35">
        <f>=SUM(CA59:CA61)</f>
        <v>0</v>
      </c>
      <c r="CB58" s="35">
        <f>=SUM(CB59:CB61)</f>
        <v>0</v>
      </c>
      <c r="CC58" s="35">
        <f>=SUM(CC59:CC61)</f>
        <v>0</v>
      </c>
      <c r="CD58" s="35">
        <f>=SUM(CD59:CD61)</f>
        <v>0</v>
      </c>
      <c r="CE58" s="35">
        <f>=SUM(CE59:CE61)</f>
        <v>0</v>
      </c>
      <c r="CF58" s="35">
        <f>=SUM(CF59:CF61)</f>
        <v>0</v>
      </c>
      <c r="CG58" s="35">
        <f>=SUM(CG59:CG61)</f>
        <v>0</v>
      </c>
      <c r="CH58" s="35">
        <f>=SUM(CH59:CH61)</f>
        <v>0</v>
      </c>
      <c r="CI58" s="35">
        <f>=SUM(CI59:CI61)</f>
        <v>0</v>
      </c>
      <c r="CJ58" s="35">
        <f>=SUM(CJ59:CJ61)</f>
        <v>0</v>
      </c>
      <c r="CK58" s="35">
        <f>=SUM(CK59:CK61)</f>
        <v>0</v>
      </c>
      <c r="CL58" s="35">
        <f>=SUM(CL59:CL61)</f>
        <v>0</v>
      </c>
      <c r="CM58" s="35">
        <f>=SUM(CM59:CM61)</f>
        <v>0</v>
      </c>
      <c r="CN58" s="35">
        <f>=SUM(CN59:CN61)</f>
        <v>0</v>
      </c>
      <c r="CO58" s="35">
        <f>=SUM(CO59:CO61)</f>
        <v>0</v>
      </c>
      <c r="CP58" s="35">
        <f>=SUM(CP59:CP61)</f>
        <v>0</v>
      </c>
      <c r="CQ58" s="35">
        <f>=SUM(CQ59:CQ61)</f>
        <v>0</v>
      </c>
      <c r="CR58" s="35">
        <f>=SUM(CR59:CR61)</f>
        <v>0</v>
      </c>
      <c r="CS58" s="35">
        <f>=SUM(CS59:CS61)</f>
        <v>0</v>
      </c>
      <c r="CT58" s="35">
        <f>=SUM(CT59:CT61)</f>
        <v>0</v>
      </c>
      <c r="CU58" s="35">
        <f>=SUM(CU59:CU61)</f>
        <v>0</v>
      </c>
      <c r="CV58" s="35">
        <f>=SUM(CV59:CV61)</f>
        <v>0</v>
      </c>
      <c r="CW58" s="35">
        <f>=SUM(CW59:CW61)</f>
        <v>0</v>
      </c>
      <c r="CX58" s="35">
        <f>=SUM(CX59:CX61)</f>
        <v>0</v>
      </c>
      <c r="CY58" s="35">
        <f>=SUM(CY59:CY61)</f>
        <v>0</v>
      </c>
      <c r="CZ58" s="35">
        <f>=SUM(CZ59:CZ61)</f>
        <v>0</v>
      </c>
      <c r="DA58" s="35">
        <f>=SUM(DA59:DA61)</f>
        <v>0</v>
      </c>
      <c r="DB58" s="35">
        <f>=SUM(DB59:DB61)</f>
        <v>0</v>
      </c>
    </row>
    <row r="59" ht="18" customHeight="1" spans="1:106" x14ac:dyDescent="0.25">
      <c r="A59" s="36" t="s">
        <v>268</v>
      </c>
      <c r="B59" s="17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BH59" s="38"/>
      <c r="BI59" s="38"/>
      <c r="BJ59" s="38"/>
      <c r="BK59" s="38"/>
      <c r="BL59" s="38"/>
      <c r="BM59" s="38"/>
      <c r="BN59" s="38"/>
      <c r="BO59" s="38"/>
      <c r="BP59" s="38"/>
      <c r="BQ59" s="38"/>
      <c r="BR59" s="38"/>
      <c r="BS59" s="38"/>
      <c r="BT59" s="38"/>
      <c r="BU59" s="38"/>
      <c r="BV59" s="38"/>
      <c r="BW59" s="38"/>
      <c r="BX59" s="38"/>
      <c r="BY59" s="38"/>
      <c r="BZ59" s="38"/>
      <c r="CA59" s="38"/>
      <c r="CB59" s="38"/>
      <c r="CC59" s="38"/>
      <c r="CD59" s="38"/>
      <c r="CE59" s="38"/>
      <c r="CF59" s="38"/>
      <c r="CG59" s="38"/>
      <c r="CH59" s="38"/>
      <c r="CI59" s="38"/>
      <c r="CJ59" s="38"/>
      <c r="CK59" s="38"/>
      <c r="CL59" s="38"/>
      <c r="CM59" s="38"/>
      <c r="CN59" s="38"/>
      <c r="CO59" s="38"/>
      <c r="CP59" s="38"/>
      <c r="CQ59" s="38"/>
      <c r="CR59" s="38"/>
      <c r="CS59" s="38"/>
      <c r="CT59" s="38"/>
      <c r="CU59" s="38"/>
      <c r="CV59" s="38"/>
      <c r="CW59" s="38"/>
      <c r="CX59" s="38"/>
      <c r="CY59" s="38"/>
      <c r="CZ59" s="38"/>
      <c r="DA59" s="38"/>
      <c r="DB59" s="38"/>
    </row>
    <row r="60" ht="18" customHeight="1" spans="1:106" x14ac:dyDescent="0.25">
      <c r="A60" s="36" t="s">
        <v>269</v>
      </c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8"/>
      <c r="BH60" s="38"/>
      <c r="BI60" s="38"/>
      <c r="BJ60" s="38"/>
      <c r="BK60" s="38"/>
      <c r="BL60" s="38"/>
      <c r="BM60" s="38"/>
      <c r="BN60" s="38"/>
      <c r="BO60" s="38"/>
      <c r="BP60" s="38"/>
      <c r="BQ60" s="38"/>
      <c r="BR60" s="38"/>
      <c r="BS60" s="38"/>
      <c r="BT60" s="38"/>
      <c r="BU60" s="38"/>
      <c r="BV60" s="38"/>
      <c r="BW60" s="38"/>
      <c r="BX60" s="38"/>
      <c r="BY60" s="38"/>
      <c r="BZ60" s="38"/>
      <c r="CA60" s="38"/>
      <c r="CB60" s="38"/>
      <c r="CC60" s="38"/>
      <c r="CD60" s="38"/>
      <c r="CE60" s="38"/>
      <c r="CF60" s="38"/>
      <c r="CG60" s="38"/>
      <c r="CH60" s="38"/>
      <c r="CI60" s="38"/>
      <c r="CJ60" s="38"/>
      <c r="CK60" s="38"/>
      <c r="CL60" s="38"/>
      <c r="CM60" s="38"/>
      <c r="CN60" s="38"/>
      <c r="CO60" s="38"/>
      <c r="CP60" s="38"/>
      <c r="CQ60" s="38"/>
      <c r="CR60" s="38"/>
      <c r="CS60" s="38"/>
      <c r="CT60" s="38"/>
      <c r="CU60" s="38"/>
      <c r="CV60" s="38"/>
      <c r="CW60" s="38"/>
      <c r="CX60" s="38"/>
      <c r="CY60" s="38"/>
      <c r="CZ60" s="38"/>
      <c r="DA60" s="38"/>
      <c r="DB60" s="38"/>
    </row>
    <row r="61" ht="18" customHeight="1" spans="1:106" x14ac:dyDescent="0.25">
      <c r="A61" s="36" t="s">
        <v>288</v>
      </c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38"/>
      <c r="BM61" s="38"/>
      <c r="BN61" s="38"/>
      <c r="BO61" s="38"/>
      <c r="BP61" s="38"/>
      <c r="BQ61" s="38"/>
      <c r="BR61" s="38"/>
      <c r="BS61" s="38"/>
      <c r="BT61" s="38"/>
      <c r="BU61" s="38"/>
      <c r="BV61" s="38"/>
      <c r="BW61" s="38"/>
      <c r="BX61" s="38"/>
      <c r="BY61" s="38"/>
      <c r="BZ61" s="38"/>
      <c r="CA61" s="38"/>
      <c r="CB61" s="38"/>
      <c r="CC61" s="38"/>
      <c r="CD61" s="38"/>
      <c r="CE61" s="38"/>
      <c r="CF61" s="38"/>
      <c r="CG61" s="38"/>
      <c r="CH61" s="38"/>
      <c r="CI61" s="38"/>
      <c r="CJ61" s="38"/>
      <c r="CK61" s="38"/>
      <c r="CL61" s="38"/>
      <c r="CM61" s="38"/>
      <c r="CN61" s="38"/>
      <c r="CO61" s="38"/>
      <c r="CP61" s="38"/>
      <c r="CQ61" s="38"/>
      <c r="CR61" s="38"/>
      <c r="CS61" s="38"/>
      <c r="CT61" s="38"/>
      <c r="CU61" s="38"/>
      <c r="CV61" s="38"/>
      <c r="CW61" s="38"/>
      <c r="CX61" s="38"/>
      <c r="CY61" s="38"/>
      <c r="CZ61" s="38"/>
      <c r="DA61" s="38"/>
      <c r="DB61" s="38"/>
    </row>
    <row r="62" spans="1:1" x14ac:dyDescent="0.25">
      <c r="A62" s="36" t="s">
        <v>272</v>
      </c>
    </row>
    <row r="63" ht="18" customHeight="1" spans="1:1" x14ac:dyDescent="0.25">
      <c r="A63" s="36" t="s">
        <v>289</v>
      </c>
    </row>
    <row r="64" ht="18" customHeight="1" spans="1:106" x14ac:dyDescent="0.25">
      <c r="A64" s="36" t="s">
        <v>266</v>
      </c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</row>
    <row r="65" spans="1:106" x14ac:dyDescent="0.25">
      <c r="A65" s="20" t="s">
        <v>290</v>
      </c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48">
        <f>=IFERROR(AC66/AC19,0)</f>
        <v>0</v>
      </c>
      <c r="AD65" s="48">
        <f>=IFERROR(AD66/AD19,0)</f>
        <v>0</v>
      </c>
      <c r="AE65" s="48">
        <f>=IFERROR(AE66/AE19,0)</f>
        <v>0</v>
      </c>
      <c r="AF65" s="48">
        <f>=IFERROR(AF66/AF19,0)</f>
        <v>0</v>
      </c>
      <c r="AG65" s="48">
        <f>=IFERROR(AG66/AG19,0)</f>
        <v>0</v>
      </c>
      <c r="AH65" s="48">
        <f>=IFERROR(AH66/AH19,0)</f>
        <v>0</v>
      </c>
      <c r="AI65" s="48">
        <f>=IFERROR(AI66/AI19,0)</f>
        <v>0</v>
      </c>
      <c r="AJ65" s="48">
        <f>=IFERROR(AJ66/AJ19,0)</f>
        <v>0</v>
      </c>
      <c r="AK65" s="48">
        <f>=IFERROR(AK66/AK19,0)</f>
        <v>0</v>
      </c>
      <c r="AL65" s="48">
        <f>=IFERROR(AL66/AL19,0)</f>
        <v>0</v>
      </c>
      <c r="AM65" s="48">
        <f>=IFERROR(AM66/AM19,0)</f>
        <v>0</v>
      </c>
      <c r="AN65" s="48">
        <f>=IFERROR(AN66/AN19,0)</f>
        <v>0</v>
      </c>
      <c r="AO65" s="48">
        <f>=IFERROR(AO66/AO19,0)</f>
        <v>0</v>
      </c>
      <c r="AP65" s="48">
        <f>=IFERROR(AP66/AP19,0)</f>
        <v>0</v>
      </c>
      <c r="AQ65" s="48">
        <f>=IFERROR(AQ66/AQ19,0)</f>
        <v>0.09090909090909091</v>
      </c>
      <c r="AR65" s="48">
        <f>=IFERROR(AR66/AR19,0)</f>
        <v>0</v>
      </c>
      <c r="AS65" s="48">
        <f>=IFERROR(AS66/AS19,0)</f>
        <v>0.1</v>
      </c>
      <c r="AT65" s="48">
        <f>=IFERROR(AT66/AT19,0)</f>
        <v>0</v>
      </c>
      <c r="AU65" s="48">
        <f>=IFERROR(AU66/AU19,0)</f>
        <v>0</v>
      </c>
      <c r="AV65" s="48">
        <f>=IFERROR(AV66/AV19,0)</f>
        <v>0</v>
      </c>
      <c r="AW65" s="48">
        <f>=IFERROR(AW66/AW19,0)</f>
        <v>0</v>
      </c>
      <c r="AX65" s="48">
        <f>=IFERROR(AX66/AX19,0)</f>
        <v>0</v>
      </c>
      <c r="AY65" s="48">
        <f>=IFERROR(AY66/AY19,0)</f>
        <v>0</v>
      </c>
      <c r="AZ65" s="48">
        <f>=IFERROR(AZ66/AZ19,0)</f>
        <v>0</v>
      </c>
      <c r="BA65" s="48">
        <f>=IFERROR(BA66/BA19,0)</f>
        <v>0</v>
      </c>
      <c r="BB65" s="48">
        <f>=IFERROR(BB66/BB19,0)</f>
        <v>0</v>
      </c>
      <c r="BC65" s="48">
        <f>=IFERROR(BC66/BC19,0)</f>
        <v>0</v>
      </c>
      <c r="BD65" s="48">
        <f>=IFERROR(BD66/BD19,0)</f>
        <v>0</v>
      </c>
      <c r="BE65" s="48">
        <f>=IFERROR(BE66/BE19,0)</f>
        <v>0.125</v>
      </c>
      <c r="BF65" s="48">
        <f>=IFERROR(BF66/BF19,0)</f>
        <v>0</v>
      </c>
      <c r="BG65" s="48">
        <f>=IFERROR(BG66/BG19,0)</f>
        <v>0</v>
      </c>
      <c r="BH65" s="48">
        <f>=IFERROR(BH66/BH19,0)</f>
        <v>0.06666666666666667</v>
      </c>
      <c r="BI65" s="48">
        <f>=IFERROR(BI66/BI19,0)</f>
        <v>0</v>
      </c>
      <c r="BJ65" s="48">
        <f>=IFERROR(BJ66/BJ19,0)</f>
        <v>0</v>
      </c>
      <c r="BK65" s="48">
        <f>=IFERROR(BK66/BK19,0)</f>
        <v>0</v>
      </c>
      <c r="BL65" s="48">
        <f>=IFERROR(BL66/BL19,0)</f>
        <v>0.07264907590375451</v>
      </c>
      <c r="BM65" s="48">
        <f>=IFERROR(BM66/BM19,0)</f>
        <v>0</v>
      </c>
      <c r="BN65" s="48">
        <f>=IFERROR(BN66/BN19,0)</f>
        <v>0</v>
      </c>
      <c r="BO65" s="48">
        <f>=IFERROR(BO66/BO19,0)</f>
        <v>0.06437379234765556</v>
      </c>
      <c r="BP65" s="48">
        <f>=IFERROR(BP66/BP19,0)</f>
        <v>0</v>
      </c>
      <c r="BQ65" s="48">
        <f>=IFERROR(BQ66/BQ19,0)</f>
        <v>0</v>
      </c>
      <c r="BR65" s="48">
        <f>=IFERROR(BR66/BR19,0)</f>
        <v>0</v>
      </c>
      <c r="BS65" s="48">
        <f>=IFERROR(BS66/BS19,0)</f>
        <v>0</v>
      </c>
      <c r="BT65" s="48">
        <f>=IFERROR(BT66/BT19,0)</f>
        <v>0</v>
      </c>
      <c r="BU65" s="48">
        <f>=IFERROR(BU66/BU19,0)</f>
        <v>0</v>
      </c>
      <c r="BV65" s="48">
        <f>=IFERROR(BV66/BV19,0)</f>
        <v>0</v>
      </c>
      <c r="BW65" s="48">
        <f>=IFERROR(BW66/BW19,0)</f>
        <v>0</v>
      </c>
      <c r="BX65" s="48">
        <f>=IFERROR(BX66/BX19,0)</f>
        <v>0</v>
      </c>
      <c r="BY65" s="48">
        <f>=IFERROR(BY66/BY19,0)</f>
        <v>0</v>
      </c>
      <c r="BZ65" s="48">
        <f>=IFERROR(BZ66/BZ19,0)</f>
        <v>0</v>
      </c>
      <c r="CA65" s="48">
        <f>=IFERROR(CA66/CA19,0)</f>
        <v>0</v>
      </c>
      <c r="CB65" s="48">
        <f>=IFERROR(CB66/CB19,0)</f>
        <v>0</v>
      </c>
      <c r="CC65" s="48">
        <f>=IFERROR(CC66/CC19,0)</f>
        <v>0</v>
      </c>
      <c r="CD65" s="48">
        <f>=IFERROR(CD66/CD19,0)</f>
        <v>0</v>
      </c>
      <c r="CE65" s="48">
        <f>=IFERROR(CE66/CE19,0)</f>
        <v>0</v>
      </c>
      <c r="CF65" s="48">
        <f>=IFERROR(CF66/CF19,0)</f>
        <v>0</v>
      </c>
      <c r="CG65" s="48">
        <f>=IFERROR(CG66/CG19,0)</f>
        <v>0</v>
      </c>
      <c r="CH65" s="48">
        <f>=IFERROR(CH66/CH19,0)</f>
        <v>0</v>
      </c>
      <c r="CI65" s="48">
        <f>=IFERROR(CI66/CI19,0)</f>
        <v>0</v>
      </c>
      <c r="CJ65" s="48">
        <f>=IFERROR(CJ66/CJ19,0)</f>
        <v>0</v>
      </c>
      <c r="CK65" s="48">
        <f>=IFERROR(CK66/CK19,0)</f>
        <v>0</v>
      </c>
      <c r="CL65" s="48">
        <f>=IFERROR(CL66/CL19,0)</f>
        <v>0</v>
      </c>
      <c r="CM65" s="48">
        <f>=IFERROR(CM66/CM19,0)</f>
        <v>0</v>
      </c>
      <c r="CN65" s="48">
        <f>=IFERROR(CN66/CN19,0)</f>
        <v>0</v>
      </c>
      <c r="CO65" s="48">
        <f>=IFERROR(CO66/CO19,0)</f>
        <v>0</v>
      </c>
      <c r="CP65" s="48">
        <f>=IFERROR(CP66/CP19,0)</f>
        <v>0</v>
      </c>
      <c r="CQ65" s="48">
        <f>=IFERROR(CQ66/CQ19,0)</f>
        <v>0</v>
      </c>
      <c r="CR65" s="48">
        <f>=IFERROR(CR66/CR19,0)</f>
        <v>0</v>
      </c>
      <c r="CS65" s="48">
        <f>=IFERROR(CS66/CS19,0)</f>
        <v>0</v>
      </c>
      <c r="CT65" s="48">
        <f>=IFERROR(CT66/CT19,0)</f>
        <v>0</v>
      </c>
      <c r="CU65" s="48">
        <f>=IFERROR(CU66/CU19,0)</f>
        <v>0</v>
      </c>
      <c r="CV65" s="48">
        <f>=IFERROR(CV66/CV19,0)</f>
        <v>0</v>
      </c>
      <c r="CW65" s="48">
        <f>=IFERROR(CW66/CW19,0)</f>
        <v>0</v>
      </c>
      <c r="CX65" s="48">
        <f>=IFERROR(CX66/CX19,0)</f>
        <v>0</v>
      </c>
      <c r="CY65" s="48">
        <f>=IFERROR(CY66/CY19,0)</f>
        <v>0</v>
      </c>
      <c r="CZ65" s="48">
        <f>=IFERROR(CZ66/CZ19,0)</f>
        <v>0</v>
      </c>
      <c r="DA65" s="48">
        <f>=IFERROR(DA66/DA19,0)</f>
        <v>0</v>
      </c>
      <c r="DB65" s="48">
        <f>=IFERROR(DB66/DB19,0)</f>
        <v>0</v>
      </c>
    </row>
    <row r="66" spans="1:106" x14ac:dyDescent="0.25">
      <c r="A66" s="36" t="s">
        <v>291</v>
      </c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>
        <f>=AC82</f>
        <v>0</v>
      </c>
      <c r="AD66" s="30">
        <f>=AD82</f>
        <v>0</v>
      </c>
      <c r="AE66" s="30">
        <f>=AE82</f>
        <v>0</v>
      </c>
      <c r="AF66" s="30">
        <f>=AF82</f>
        <v>0</v>
      </c>
      <c r="AG66" s="30">
        <f>=AG82</f>
        <v>0</v>
      </c>
      <c r="AH66" s="30">
        <f>=AH82</f>
        <v>0</v>
      </c>
      <c r="AI66" s="30">
        <f>=AI82</f>
        <v>0</v>
      </c>
      <c r="AJ66" s="30">
        <f>=AJ82</f>
        <v>0</v>
      </c>
      <c r="AK66" s="30">
        <f>=AK82</f>
        <v>0</v>
      </c>
      <c r="AL66" s="30">
        <f>=AL82</f>
        <v>0</v>
      </c>
      <c r="AM66" s="30">
        <f>=AM82</f>
        <v>0</v>
      </c>
      <c r="AN66" s="30">
        <f>=AN82</f>
        <v>0</v>
      </c>
      <c r="AO66" s="30">
        <f>=AO82</f>
        <v>0</v>
      </c>
      <c r="AP66" s="30">
        <f>=AP82</f>
        <v>0</v>
      </c>
      <c r="AQ66" s="30">
        <f>=AQ82</f>
        <v>1</v>
      </c>
      <c r="AR66" s="30">
        <f>=AR82</f>
        <v>0</v>
      </c>
      <c r="AS66" s="30">
        <f>=AS82</f>
        <v>1</v>
      </c>
      <c r="AT66" s="30">
        <f>=AT82</f>
        <v>0</v>
      </c>
      <c r="AU66" s="30">
        <f>=AU82</f>
        <v>0</v>
      </c>
      <c r="AV66" s="30">
        <f>=AV82</f>
        <v>0</v>
      </c>
      <c r="AW66" s="30">
        <f>=AW82</f>
        <v>0</v>
      </c>
      <c r="AX66" s="30">
        <f>=AX82</f>
        <v>0</v>
      </c>
      <c r="AY66" s="30">
        <f>=AY82</f>
        <v>0</v>
      </c>
      <c r="AZ66" s="30">
        <f>=AZ82</f>
        <v>0</v>
      </c>
      <c r="BA66" s="30">
        <f>=BA82</f>
        <v>0</v>
      </c>
      <c r="BB66" s="30">
        <f>=BB82</f>
        <v>0</v>
      </c>
      <c r="BC66" s="30">
        <f>=BC82</f>
        <v>0</v>
      </c>
      <c r="BD66" s="30">
        <f>=BD82</f>
        <v>0</v>
      </c>
      <c r="BE66" s="30">
        <f>=BE82</f>
        <v>2</v>
      </c>
      <c r="BF66" s="30">
        <f>=BF82</f>
        <v>0</v>
      </c>
      <c r="BG66" s="30">
        <f>=BG82</f>
        <v>0</v>
      </c>
      <c r="BH66" s="30">
        <f>=BH82</f>
        <v>1</v>
      </c>
      <c r="BI66" s="30">
        <f>=BI82</f>
        <v>0</v>
      </c>
      <c r="BJ66" s="30">
        <f>=BJ82</f>
        <v>0</v>
      </c>
      <c r="BK66" s="30">
        <f>=BK82</f>
        <v>0</v>
      </c>
      <c r="BL66" s="30">
        <f>=BL82</f>
        <v>1</v>
      </c>
      <c r="BM66" s="30">
        <f>=BM82</f>
        <v>0</v>
      </c>
      <c r="BN66" s="30">
        <f>=BN82</f>
        <v>0</v>
      </c>
      <c r="BO66" s="30">
        <f>=BO82</f>
        <v>1</v>
      </c>
      <c r="BP66" s="30">
        <f>=BP82</f>
        <v>0</v>
      </c>
      <c r="BQ66" s="30">
        <f>=BQ82</f>
        <v>0</v>
      </c>
      <c r="BR66" s="30">
        <f>=BR82</f>
        <v>0</v>
      </c>
      <c r="BS66" s="30">
        <f>=BS82</f>
        <v>0</v>
      </c>
      <c r="BT66" s="30">
        <f>=BT82</f>
        <v>0</v>
      </c>
      <c r="BU66" s="30">
        <f>=BU82</f>
        <v>0</v>
      </c>
      <c r="BV66" s="30">
        <f>=BV82</f>
        <v>0</v>
      </c>
      <c r="BW66" s="30">
        <f>=BW82</f>
        <v>0</v>
      </c>
      <c r="BX66" s="30">
        <f>=BX82</f>
        <v>0</v>
      </c>
      <c r="BY66" s="30">
        <f>=BY82</f>
        <v>0</v>
      </c>
      <c r="BZ66" s="30">
        <f>=BZ82</f>
        <v>0</v>
      </c>
      <c r="CA66" s="30">
        <f>=CA82</f>
        <v>0</v>
      </c>
      <c r="CB66" s="30">
        <f>=CB82</f>
        <v>0</v>
      </c>
      <c r="CC66" s="30">
        <f>=CC82</f>
        <v>0</v>
      </c>
      <c r="CD66" s="30">
        <f>=CD82</f>
        <v>0</v>
      </c>
      <c r="CE66" s="30">
        <f>=CE82</f>
        <v>0</v>
      </c>
      <c r="CF66" s="30">
        <f>=CF82</f>
        <v>0</v>
      </c>
      <c r="CG66" s="30">
        <f>=CG82</f>
        <v>0</v>
      </c>
      <c r="CH66" s="30">
        <f>=CH82</f>
        <v>0</v>
      </c>
      <c r="CI66" s="30">
        <f>=CI82</f>
        <v>0</v>
      </c>
      <c r="CJ66" s="30">
        <f>=CJ82</f>
        <v>0</v>
      </c>
      <c r="CK66" s="30">
        <f>=CK82</f>
        <v>0</v>
      </c>
      <c r="CL66" s="30">
        <f>=CL82</f>
        <v>0</v>
      </c>
      <c r="CM66" s="30">
        <f>=CM82</f>
        <v>0</v>
      </c>
      <c r="CN66" s="30">
        <f>=CN82</f>
        <v>0</v>
      </c>
      <c r="CO66" s="30">
        <f>=CO82</f>
        <v>0</v>
      </c>
      <c r="CP66" s="30">
        <f>=CP82</f>
        <v>0</v>
      </c>
      <c r="CQ66" s="30">
        <f>=CQ82</f>
        <v>0</v>
      </c>
      <c r="CR66" s="30">
        <f>=CR82</f>
        <v>0</v>
      </c>
      <c r="CS66" s="30">
        <f>=CS82</f>
        <v>0</v>
      </c>
      <c r="CT66" s="30">
        <f>=CT82</f>
        <v>0</v>
      </c>
      <c r="CU66" s="30">
        <f>=CU82</f>
        <v>0</v>
      </c>
      <c r="CV66" s="30">
        <f>=CV82</f>
        <v>0</v>
      </c>
      <c r="CW66" s="30">
        <f>=CW82</f>
        <v>0</v>
      </c>
      <c r="CX66" s="30">
        <f>=CX82</f>
        <v>0</v>
      </c>
      <c r="CY66" s="30">
        <f>=CY82</f>
        <v>0</v>
      </c>
      <c r="CZ66" s="30">
        <f>=CZ82</f>
        <v>0</v>
      </c>
      <c r="DA66" s="30">
        <f>=DA82</f>
        <v>0</v>
      </c>
      <c r="DB66" s="30">
        <f>=DB82</f>
        <v>0</v>
      </c>
    </row>
    <row r="67" spans="1:106" x14ac:dyDescent="0.25">
      <c r="A67" s="20" t="s">
        <v>292</v>
      </c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J67" s="30"/>
      <c r="BK67" s="30"/>
      <c r="BL67" s="30"/>
      <c r="BM67" s="30"/>
      <c r="BN67" s="30"/>
      <c r="BO67" s="30"/>
      <c r="BP67" s="30"/>
      <c r="BQ67" s="30"/>
      <c r="BR67" s="30"/>
      <c r="BS67" s="30"/>
      <c r="BT67" s="30"/>
      <c r="BU67" s="30"/>
      <c r="BV67" s="30"/>
      <c r="BW67" s="30"/>
      <c r="BX67" s="30"/>
      <c r="BY67" s="30"/>
      <c r="BZ67" s="30"/>
      <c r="CA67" s="30"/>
      <c r="CB67" s="30"/>
      <c r="CC67" s="30"/>
      <c r="CD67" s="30"/>
      <c r="CE67" s="30"/>
      <c r="CF67" s="30"/>
      <c r="CG67" s="30"/>
      <c r="CH67" s="30"/>
      <c r="CI67" s="30"/>
      <c r="CJ67" s="30"/>
      <c r="CK67" s="30"/>
      <c r="CL67" s="30"/>
      <c r="CM67" s="30"/>
      <c r="CN67" s="30"/>
      <c r="CO67" s="30"/>
      <c r="CP67" s="30"/>
      <c r="CQ67" s="30"/>
      <c r="CR67" s="30"/>
      <c r="CS67" s="30"/>
      <c r="CT67" s="30"/>
      <c r="CU67" s="30"/>
      <c r="CV67" s="30"/>
      <c r="CW67" s="30"/>
      <c r="CX67" s="30"/>
      <c r="CY67" s="30"/>
      <c r="CZ67" s="30"/>
      <c r="DA67" s="30"/>
      <c r="DB67" s="30"/>
    </row>
    <row r="68" spans="1:106" x14ac:dyDescent="0.25">
      <c r="A68" s="36" t="s">
        <v>293</v>
      </c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30"/>
      <c r="BK68" s="30"/>
      <c r="BL68" s="30"/>
      <c r="BM68" s="30"/>
      <c r="BN68" s="30"/>
      <c r="BO68" s="30"/>
      <c r="BP68" s="30"/>
      <c r="BQ68" s="30"/>
      <c r="BR68" s="30"/>
      <c r="BS68" s="30"/>
      <c r="BT68" s="30"/>
      <c r="BU68" s="30"/>
      <c r="BV68" s="30"/>
      <c r="BW68" s="30"/>
      <c r="BX68" s="30"/>
      <c r="BY68" s="30"/>
      <c r="BZ68" s="30"/>
      <c r="CA68" s="30"/>
      <c r="CB68" s="30"/>
      <c r="CC68" s="30"/>
      <c r="CD68" s="30"/>
      <c r="CE68" s="30"/>
      <c r="CF68" s="30"/>
      <c r="CG68" s="30"/>
      <c r="CH68" s="30"/>
      <c r="CI68" s="30"/>
      <c r="CJ68" s="30"/>
      <c r="CK68" s="30"/>
      <c r="CL68" s="30"/>
      <c r="CM68" s="30"/>
      <c r="CN68" s="30"/>
      <c r="CO68" s="30"/>
      <c r="CP68" s="30"/>
      <c r="CQ68" s="30"/>
      <c r="CR68" s="30"/>
      <c r="CS68" s="30"/>
      <c r="CT68" s="30"/>
      <c r="CU68" s="30"/>
      <c r="CV68" s="30"/>
      <c r="CW68" s="30"/>
      <c r="CX68" s="30"/>
      <c r="CY68" s="30"/>
      <c r="CZ68" s="30"/>
      <c r="DA68" s="30"/>
      <c r="DB68" s="30"/>
    </row>
    <row r="69" spans="1:106" x14ac:dyDescent="0.25">
      <c r="A69" s="16" t="s">
        <v>294</v>
      </c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  <c r="BP69" s="30"/>
      <c r="BQ69" s="30"/>
      <c r="BR69" s="30"/>
      <c r="BS69" s="30"/>
      <c r="BT69" s="30"/>
      <c r="BU69" s="30"/>
      <c r="BV69" s="30"/>
      <c r="BW69" s="30"/>
      <c r="BX69" s="30"/>
      <c r="BY69" s="30"/>
      <c r="BZ69" s="30"/>
      <c r="CA69" s="30"/>
      <c r="CB69" s="30"/>
      <c r="CC69" s="30"/>
      <c r="CD69" s="30"/>
      <c r="CE69" s="30"/>
      <c r="CF69" s="30"/>
      <c r="CG69" s="30"/>
      <c r="CH69" s="30"/>
      <c r="CI69" s="30"/>
      <c r="CJ69" s="30"/>
      <c r="CK69" s="30"/>
      <c r="CL69" s="30"/>
      <c r="CM69" s="30"/>
      <c r="CN69" s="30"/>
      <c r="CO69" s="30"/>
      <c r="CP69" s="30"/>
      <c r="CQ69" s="30"/>
      <c r="CR69" s="30"/>
      <c r="CS69" s="30"/>
      <c r="CT69" s="30"/>
      <c r="CU69" s="30"/>
      <c r="CV69" s="30"/>
      <c r="CW69" s="30"/>
      <c r="CX69" s="30"/>
      <c r="CY69" s="30"/>
      <c r="CZ69" s="30"/>
      <c r="DA69" s="30"/>
      <c r="DB69" s="30"/>
    </row>
    <row r="70" spans="1:106" x14ac:dyDescent="0.25">
      <c r="A70" s="16" t="s">
        <v>282</v>
      </c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/>
      <c r="BO70" s="30"/>
      <c r="BP70" s="30"/>
      <c r="BQ70" s="30"/>
      <c r="BR70" s="30"/>
      <c r="BS70" s="30"/>
      <c r="BT70" s="30"/>
      <c r="BU70" s="30"/>
      <c r="BV70" s="30"/>
      <c r="BW70" s="30"/>
      <c r="BX70" s="30"/>
      <c r="BY70" s="30"/>
      <c r="BZ70" s="30"/>
      <c r="CA70" s="30"/>
      <c r="CB70" s="30"/>
      <c r="CC70" s="30"/>
      <c r="CD70" s="30"/>
      <c r="CE70" s="30"/>
      <c r="CF70" s="30"/>
      <c r="CG70" s="30"/>
      <c r="CH70" s="30"/>
      <c r="CI70" s="30"/>
      <c r="CJ70" s="30"/>
      <c r="CK70" s="30"/>
      <c r="CL70" s="30"/>
      <c r="CM70" s="30"/>
      <c r="CN70" s="30"/>
      <c r="CO70" s="30"/>
      <c r="CP70" s="30"/>
      <c r="CQ70" s="30"/>
      <c r="CR70" s="30"/>
      <c r="CS70" s="30"/>
      <c r="CT70" s="30"/>
      <c r="CU70" s="30"/>
      <c r="CV70" s="30"/>
      <c r="CW70" s="30"/>
      <c r="CX70" s="30"/>
      <c r="CY70" s="30"/>
      <c r="CZ70" s="30"/>
      <c r="DA70" s="30"/>
      <c r="DB70" s="30"/>
    </row>
    <row r="71" spans="3:106" x14ac:dyDescent="0.25"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30"/>
      <c r="BN71" s="30"/>
      <c r="BO71" s="30"/>
      <c r="BP71" s="30"/>
      <c r="BQ71" s="30"/>
      <c r="BR71" s="30"/>
      <c r="BS71" s="30"/>
      <c r="BT71" s="30"/>
      <c r="BU71" s="30"/>
      <c r="BV71" s="30"/>
      <c r="BW71" s="30"/>
      <c r="BX71" s="30"/>
      <c r="BY71" s="30"/>
      <c r="BZ71" s="30"/>
      <c r="CA71" s="30"/>
      <c r="CB71" s="30"/>
      <c r="CC71" s="30"/>
      <c r="CD71" s="30"/>
      <c r="CE71" s="30"/>
      <c r="CF71" s="30"/>
      <c r="CG71" s="30"/>
      <c r="CH71" s="30"/>
      <c r="CI71" s="30"/>
      <c r="CJ71" s="30"/>
      <c r="CK71" s="30"/>
      <c r="CL71" s="30"/>
      <c r="CM71" s="30"/>
      <c r="CN71" s="30"/>
      <c r="CO71" s="30"/>
      <c r="CP71" s="30"/>
      <c r="CQ71" s="30"/>
      <c r="CR71" s="30"/>
      <c r="CS71" s="30"/>
      <c r="CT71" s="30"/>
      <c r="CU71" s="30"/>
      <c r="CV71" s="30"/>
      <c r="CW71" s="30"/>
      <c r="CX71" s="30"/>
      <c r="CY71" s="30"/>
      <c r="CZ71" s="30"/>
      <c r="DA71" s="30"/>
      <c r="DB71" s="30"/>
    </row>
    <row r="72" spans="1:106" x14ac:dyDescent="0.25">
      <c r="A72" s="49" t="s">
        <v>295</v>
      </c>
      <c r="B72" s="17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2"/>
      <c r="CH72" s="32"/>
      <c r="CI72" s="32"/>
      <c r="CJ72" s="32"/>
      <c r="CK72" s="32"/>
      <c r="CL72" s="32"/>
      <c r="CM72" s="32"/>
      <c r="CN72" s="32"/>
      <c r="CO72" s="32"/>
      <c r="CP72" s="32"/>
      <c r="CQ72" s="32"/>
      <c r="CR72" s="32"/>
      <c r="CS72" s="32"/>
      <c r="CT72" s="32"/>
      <c r="CU72" s="32"/>
      <c r="CV72" s="32"/>
      <c r="CW72" s="32"/>
      <c r="CX72" s="32"/>
      <c r="CY72" s="32"/>
      <c r="CZ72" s="32"/>
      <c r="DA72" s="32"/>
      <c r="DB72" s="32"/>
    </row>
    <row r="73" ht="15" customHeight="1" spans="1:106" x14ac:dyDescent="0.25">
      <c r="A73" s="16" t="s">
        <v>296</v>
      </c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</row>
    <row r="74" ht="15" customHeight="1" spans="1:106" x14ac:dyDescent="0.25">
      <c r="A74" s="16" t="s">
        <v>297</v>
      </c>
      <c r="B74" s="17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  <c r="BC74" s="50"/>
      <c r="BD74" s="50"/>
      <c r="BE74" s="50"/>
      <c r="BF74" s="50"/>
      <c r="BG74" s="50"/>
      <c r="BH74" s="50"/>
      <c r="BI74" s="50"/>
      <c r="BJ74" s="50"/>
      <c r="BK74" s="50"/>
      <c r="BL74" s="50"/>
      <c r="BM74" s="50"/>
      <c r="BN74" s="50"/>
      <c r="BO74" s="50"/>
      <c r="BP74" s="50"/>
      <c r="BQ74" s="50"/>
      <c r="BR74" s="50"/>
      <c r="BS74" s="50"/>
      <c r="BT74" s="50"/>
      <c r="BU74" s="50"/>
      <c r="BV74" s="50"/>
      <c r="BW74" s="50"/>
      <c r="BX74" s="50"/>
      <c r="BY74" s="50"/>
      <c r="BZ74" s="50"/>
      <c r="CA74" s="50"/>
      <c r="CB74" s="50"/>
      <c r="CC74" s="50"/>
      <c r="CD74" s="50"/>
      <c r="CE74" s="50"/>
      <c r="CF74" s="50"/>
      <c r="CG74" s="50"/>
      <c r="CH74" s="50"/>
      <c r="CI74" s="50"/>
      <c r="CJ74" s="50"/>
      <c r="CK74" s="50"/>
      <c r="CL74" s="50"/>
      <c r="CM74" s="50"/>
      <c r="CN74" s="50"/>
      <c r="CO74" s="50"/>
      <c r="CP74" s="50"/>
      <c r="CQ74" s="50"/>
      <c r="CR74" s="50"/>
      <c r="CS74" s="50"/>
      <c r="CT74" s="50"/>
      <c r="CU74" s="50"/>
      <c r="CV74" s="50"/>
      <c r="CW74" s="50"/>
      <c r="CX74" s="50"/>
      <c r="CY74" s="50"/>
      <c r="CZ74" s="50"/>
      <c r="DA74" s="50"/>
      <c r="DB74" s="50"/>
    </row>
    <row r="75" ht="15" customHeight="1" spans="1:106" x14ac:dyDescent="0.25">
      <c r="A75" s="51" t="s">
        <v>298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</row>
    <row r="76" ht="15" customHeight="1" spans="1:106" x14ac:dyDescent="0.25">
      <c r="A76" s="16" t="s">
        <v>299</v>
      </c>
      <c r="B76" s="17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50"/>
      <c r="AR76" s="50"/>
      <c r="AS76" s="50"/>
      <c r="AT76" s="50"/>
      <c r="AU76" s="50"/>
      <c r="AV76" s="50"/>
      <c r="AW76" s="50"/>
      <c r="AX76" s="50"/>
      <c r="AY76" s="50"/>
      <c r="AZ76" s="50"/>
      <c r="BA76" s="50"/>
      <c r="BB76" s="50"/>
      <c r="BC76" s="50"/>
      <c r="BD76" s="50"/>
      <c r="BE76" s="50"/>
      <c r="BF76" s="50"/>
      <c r="BG76" s="50"/>
      <c r="BH76" s="50"/>
      <c r="BI76" s="50"/>
      <c r="BJ76" s="50"/>
      <c r="BK76" s="50"/>
      <c r="BL76" s="50"/>
      <c r="BM76" s="50"/>
      <c r="BN76" s="50"/>
      <c r="BO76" s="50"/>
      <c r="BP76" s="50"/>
      <c r="BQ76" s="50"/>
      <c r="BR76" s="50"/>
      <c r="BS76" s="50"/>
      <c r="BT76" s="50"/>
      <c r="BU76" s="50"/>
      <c r="BV76" s="50"/>
      <c r="BW76" s="50"/>
      <c r="BX76" s="50"/>
      <c r="BY76" s="50"/>
      <c r="BZ76" s="50"/>
      <c r="CA76" s="50"/>
      <c r="CB76" s="50"/>
      <c r="CC76" s="50"/>
      <c r="CD76" s="50"/>
      <c r="CE76" s="50"/>
      <c r="CF76" s="50"/>
      <c r="CG76" s="50"/>
      <c r="CH76" s="50"/>
      <c r="CI76" s="50"/>
      <c r="CJ76" s="50"/>
      <c r="CK76" s="50"/>
      <c r="CL76" s="50"/>
      <c r="CM76" s="50"/>
      <c r="CN76" s="50"/>
      <c r="CO76" s="50"/>
      <c r="CP76" s="50"/>
      <c r="CQ76" s="50"/>
      <c r="CR76" s="50"/>
      <c r="CS76" s="50"/>
      <c r="CT76" s="50"/>
      <c r="CU76" s="50"/>
      <c r="CV76" s="50"/>
      <c r="CW76" s="50"/>
      <c r="CX76" s="50"/>
      <c r="CY76" s="50"/>
      <c r="CZ76" s="50"/>
      <c r="DA76" s="50"/>
      <c r="DB76" s="50"/>
    </row>
    <row r="77" ht="15" customHeight="1" spans="1:106" x14ac:dyDescent="0.25">
      <c r="A77" s="16" t="s">
        <v>300</v>
      </c>
      <c r="B77" s="17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50"/>
      <c r="BC77" s="50"/>
      <c r="BD77" s="50"/>
      <c r="BE77" s="50"/>
      <c r="BF77" s="50"/>
      <c r="BG77" s="50"/>
      <c r="BH77" s="50"/>
      <c r="BI77" s="50"/>
      <c r="BJ77" s="50"/>
      <c r="BK77" s="50"/>
      <c r="BL77" s="50"/>
      <c r="BM77" s="50"/>
      <c r="BN77" s="50"/>
      <c r="BO77" s="50"/>
      <c r="BP77" s="50"/>
      <c r="BQ77" s="50"/>
      <c r="BR77" s="50"/>
      <c r="BS77" s="50"/>
      <c r="BT77" s="50"/>
      <c r="BU77" s="50"/>
      <c r="BV77" s="50"/>
      <c r="BW77" s="50"/>
      <c r="BX77" s="50"/>
      <c r="BY77" s="50"/>
      <c r="BZ77" s="50"/>
      <c r="CA77" s="50"/>
      <c r="CB77" s="50"/>
      <c r="CC77" s="50"/>
      <c r="CD77" s="50"/>
      <c r="CE77" s="50"/>
      <c r="CF77" s="50"/>
      <c r="CG77" s="50"/>
      <c r="CH77" s="50"/>
      <c r="CI77" s="50"/>
      <c r="CJ77" s="50"/>
      <c r="CK77" s="50"/>
      <c r="CL77" s="50"/>
      <c r="CM77" s="50"/>
      <c r="CN77" s="50"/>
      <c r="CO77" s="50"/>
      <c r="CP77" s="50"/>
      <c r="CQ77" s="50"/>
      <c r="CR77" s="50"/>
      <c r="CS77" s="50"/>
      <c r="CT77" s="50"/>
      <c r="CU77" s="50"/>
      <c r="CV77" s="50"/>
      <c r="CW77" s="50"/>
      <c r="CX77" s="50"/>
      <c r="CY77" s="50"/>
      <c r="CZ77" s="50"/>
      <c r="DA77" s="50"/>
      <c r="DB77" s="50"/>
    </row>
    <row r="78" ht="15" customHeight="1" spans="1:106" x14ac:dyDescent="0.25">
      <c r="A78" s="16" t="s">
        <v>301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</row>
    <row r="79" spans="3:106" x14ac:dyDescent="0.25"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  <c r="BK79" s="30"/>
      <c r="BL79" s="30"/>
      <c r="BM79" s="30"/>
      <c r="BN79" s="30"/>
      <c r="BO79" s="30"/>
      <c r="BP79" s="30"/>
      <c r="BQ79" s="30"/>
      <c r="BR79" s="30"/>
      <c r="BS79" s="30"/>
      <c r="BT79" s="30"/>
      <c r="BU79" s="30"/>
      <c r="BV79" s="30"/>
      <c r="BW79" s="30"/>
      <c r="BX79" s="30"/>
      <c r="BY79" s="30"/>
      <c r="BZ79" s="30"/>
      <c r="CA79" s="30"/>
      <c r="CB79" s="30"/>
      <c r="CC79" s="30"/>
      <c r="CD79" s="30"/>
      <c r="CE79" s="30"/>
      <c r="CF79" s="30"/>
      <c r="CG79" s="30"/>
      <c r="CH79" s="30"/>
      <c r="CI79" s="30"/>
      <c r="CJ79" s="30"/>
      <c r="CK79" s="30"/>
      <c r="CL79" s="30"/>
      <c r="CM79" s="30"/>
      <c r="CN79" s="30"/>
      <c r="CO79" s="30"/>
      <c r="CP79" s="30"/>
      <c r="CQ79" s="30"/>
      <c r="CR79" s="30"/>
      <c r="CS79" s="30"/>
      <c r="CT79" s="30"/>
      <c r="CU79" s="30"/>
      <c r="CV79" s="30"/>
      <c r="CW79" s="30"/>
      <c r="CX79" s="30"/>
      <c r="CY79" s="30"/>
      <c r="CZ79" s="30"/>
      <c r="DA79" s="30"/>
      <c r="DB79" s="30"/>
    </row>
    <row r="80" spans="1:106" x14ac:dyDescent="0.25">
      <c r="A80" s="9" t="s">
        <v>302</v>
      </c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30"/>
      <c r="BN80" s="30"/>
      <c r="BO80" s="30"/>
      <c r="BP80" s="30"/>
      <c r="BQ80" s="30"/>
      <c r="BR80" s="30"/>
      <c r="BS80" s="30"/>
      <c r="BT80" s="30"/>
      <c r="BU80" s="30"/>
      <c r="BV80" s="30"/>
      <c r="BW80" s="30"/>
      <c r="BX80" s="30"/>
      <c r="BY80" s="30"/>
      <c r="BZ80" s="30"/>
      <c r="CA80" s="30"/>
      <c r="CB80" s="30"/>
      <c r="CC80" s="30"/>
      <c r="CD80" s="30"/>
      <c r="CE80" s="30"/>
      <c r="CF80" s="30"/>
      <c r="CG80" s="30"/>
      <c r="CH80" s="30"/>
      <c r="CI80" s="30"/>
      <c r="CJ80" s="30"/>
      <c r="CK80" s="30"/>
      <c r="CL80" s="30"/>
      <c r="CM80" s="30"/>
      <c r="CN80" s="30"/>
      <c r="CO80" s="30"/>
      <c r="CP80" s="30"/>
      <c r="CQ80" s="30"/>
      <c r="CR80" s="30"/>
      <c r="CS80" s="30"/>
      <c r="CT80" s="30"/>
      <c r="CU80" s="30"/>
      <c r="CV80" s="30"/>
      <c r="CW80" s="30"/>
      <c r="CX80" s="30"/>
      <c r="CY80" s="30"/>
      <c r="CZ80" s="30"/>
      <c r="DA80" s="30"/>
      <c r="DB80" s="30"/>
    </row>
    <row r="81" spans="1:106" x14ac:dyDescent="0.25">
      <c r="A81" s="33" t="s">
        <v>303</v>
      </c>
      <c r="B81" s="88"/>
      <c r="C81" s="52">
        <v>0</v>
      </c>
      <c r="D81" s="52">
        <v>0</v>
      </c>
      <c r="E81" s="52">
        <v>1</v>
      </c>
      <c r="F81" s="52">
        <v>1</v>
      </c>
      <c r="G81" s="52">
        <v>0</v>
      </c>
      <c r="H81" s="52">
        <v>1</v>
      </c>
      <c r="I81" s="52">
        <v>0</v>
      </c>
      <c r="J81" s="52">
        <v>1</v>
      </c>
      <c r="K81" s="52">
        <v>0</v>
      </c>
      <c r="L81" s="52">
        <v>0</v>
      </c>
      <c r="M81" s="52">
        <v>0</v>
      </c>
      <c r="N81" s="52">
        <v>1</v>
      </c>
      <c r="O81" s="52">
        <v>0</v>
      </c>
      <c r="P81" s="52">
        <v>0</v>
      </c>
      <c r="Q81" s="52">
        <v>0</v>
      </c>
      <c r="R81" s="52">
        <v>0</v>
      </c>
      <c r="S81" s="52">
        <v>0</v>
      </c>
      <c r="T81" s="52">
        <v>1</v>
      </c>
      <c r="U81" s="52">
        <v>2</v>
      </c>
      <c r="V81" s="52">
        <v>1</v>
      </c>
      <c r="W81" s="52">
        <v>0</v>
      </c>
      <c r="X81" s="52">
        <v>0</v>
      </c>
      <c r="Y81" s="52">
        <v>0</v>
      </c>
      <c r="Z81" s="52">
        <v>1</v>
      </c>
      <c r="AA81" s="52">
        <v>0</v>
      </c>
      <c r="AB81" s="52">
        <v>0</v>
      </c>
      <c r="AC81" s="52">
        <v>0</v>
      </c>
      <c r="AD81" s="52">
        <v>0</v>
      </c>
      <c r="AE81" s="52">
        <v>0</v>
      </c>
      <c r="AF81" s="52">
        <v>0</v>
      </c>
      <c r="AG81" s="52">
        <v>0</v>
      </c>
      <c r="AH81" s="52">
        <v>0</v>
      </c>
      <c r="AI81" s="52">
        <v>0</v>
      </c>
      <c r="AJ81" s="52">
        <v>0</v>
      </c>
      <c r="AK81" s="52">
        <v>0</v>
      </c>
      <c r="AL81" s="52">
        <v>0</v>
      </c>
      <c r="AM81" s="52">
        <v>0</v>
      </c>
      <c r="AN81" s="52">
        <v>1</v>
      </c>
      <c r="AO81" s="52">
        <v>0</v>
      </c>
      <c r="AP81" s="52">
        <v>2</v>
      </c>
      <c r="AQ81" s="52">
        <v>1</v>
      </c>
      <c r="AR81" s="52">
        <v>0</v>
      </c>
      <c r="AS81" s="52">
        <v>1</v>
      </c>
      <c r="AT81" s="52">
        <v>0</v>
      </c>
      <c r="AU81" s="52">
        <v>1</v>
      </c>
      <c r="AV81" s="52">
        <v>0</v>
      </c>
      <c r="AW81" s="52">
        <v>1</v>
      </c>
      <c r="AX81" s="52">
        <v>0</v>
      </c>
      <c r="AY81" s="52">
        <v>0</v>
      </c>
      <c r="AZ81" s="52">
        <v>0</v>
      </c>
      <c r="BA81" s="52">
        <v>0</v>
      </c>
      <c r="BB81" s="52">
        <v>0</v>
      </c>
      <c r="BC81" s="52">
        <v>0</v>
      </c>
      <c r="BD81" s="52">
        <v>0</v>
      </c>
      <c r="BE81" s="52">
        <v>3</v>
      </c>
      <c r="BF81" s="52">
        <v>0</v>
      </c>
      <c r="BG81" s="52">
        <v>0</v>
      </c>
      <c r="BH81" s="52">
        <v>1</v>
      </c>
      <c r="BI81" s="52">
        <v>0</v>
      </c>
      <c r="BJ81" s="52">
        <v>2</v>
      </c>
      <c r="BK81" s="52">
        <v>0</v>
      </c>
      <c r="BL81" s="52">
        <v>2</v>
      </c>
      <c r="BM81" s="52">
        <v>0</v>
      </c>
      <c r="BN81" s="52">
        <v>1</v>
      </c>
      <c r="BO81" s="53">
        <f>=SUM(BO82:BO91)</f>
        <v>1</v>
      </c>
      <c r="BP81" s="53">
        <f>=SUM(BP82:BP91)</f>
        <v>2</v>
      </c>
      <c r="BQ81" s="53">
        <f>=SUM(BQ82:BQ91)</f>
        <v>16</v>
      </c>
      <c r="BR81" s="53">
        <f>=SUM(BR82:BR91)</f>
        <v>0</v>
      </c>
      <c r="BS81" s="53">
        <f>=SUM(BS82:BS91)</f>
        <v>0</v>
      </c>
      <c r="BT81" s="53">
        <f>=SUM(BT82:BT91)</f>
        <v>0</v>
      </c>
      <c r="BU81" s="53">
        <f>=SUM(BU82:BU91)</f>
        <v>0</v>
      </c>
      <c r="BV81" s="53">
        <f>=SUM(BV82:BV91)</f>
        <v>0</v>
      </c>
      <c r="BW81" s="53">
        <f>=SUM(BW82:BW91)</f>
        <v>0</v>
      </c>
      <c r="BX81" s="53">
        <f>=SUM(BX82:BX91)</f>
        <v>0</v>
      </c>
      <c r="BY81" s="53">
        <f>=SUM(BY82:BY91)</f>
        <v>0</v>
      </c>
      <c r="BZ81" s="53">
        <f>=SUM(BZ82:BZ91)</f>
        <v>0</v>
      </c>
      <c r="CA81" s="53">
        <f>=SUM(CA82:CA91)</f>
        <v>0</v>
      </c>
      <c r="CB81" s="53">
        <f>=SUM(CB82:CB91)</f>
        <v>0</v>
      </c>
      <c r="CC81" s="53">
        <f>=SUM(CC82:CC91)</f>
        <v>0</v>
      </c>
      <c r="CD81" s="53">
        <f>=SUM(CD82:CD91)</f>
        <v>0</v>
      </c>
      <c r="CE81" s="53">
        <f>=SUM(CE82:CE91)</f>
        <v>0</v>
      </c>
      <c r="CF81" s="53">
        <f>=SUM(CF82:CF91)</f>
        <v>0</v>
      </c>
      <c r="CG81" s="53">
        <f>=SUM(CG82:CG91)</f>
        <v>0</v>
      </c>
      <c r="CH81" s="53">
        <f>=SUM(CH82:CH91)</f>
        <v>0</v>
      </c>
      <c r="CI81" s="53">
        <f>=SUM(CI82:CI91)</f>
        <v>0</v>
      </c>
      <c r="CJ81" s="53">
        <f>=SUM(CJ82:CJ91)</f>
        <v>0</v>
      </c>
      <c r="CK81" s="53">
        <f>=SUM(CK82:CK91)</f>
        <v>0</v>
      </c>
      <c r="CL81" s="53">
        <f>=SUM(CL82:CL91)</f>
        <v>0</v>
      </c>
      <c r="CM81" s="53">
        <f>=SUM(CM82:CM91)</f>
        <v>0</v>
      </c>
      <c r="CN81" s="53">
        <f>=SUM(CN82:CN91)</f>
        <v>0</v>
      </c>
      <c r="CO81" s="53">
        <f>=SUM(CO82:CO91)</f>
        <v>0</v>
      </c>
      <c r="CP81" s="53">
        <f>=SUM(CP82:CP91)</f>
        <v>0</v>
      </c>
      <c r="CQ81" s="53">
        <f>=SUM(CQ82:CQ91)</f>
        <v>0</v>
      </c>
      <c r="CR81" s="53">
        <f>=SUM(CR82:CR91)</f>
        <v>0</v>
      </c>
      <c r="CS81" s="53">
        <f>=SUM(CS82:CS91)</f>
        <v>0</v>
      </c>
      <c r="CT81" s="53">
        <f>=SUM(CT82:CT91)</f>
        <v>0</v>
      </c>
      <c r="CU81" s="53">
        <f>=SUM(CU82:CU91)</f>
        <v>0</v>
      </c>
      <c r="CV81" s="53">
        <f>=SUM(CV82:CV91)</f>
        <v>0</v>
      </c>
      <c r="CW81" s="53">
        <f>=SUM(CW82:CW91)</f>
        <v>0</v>
      </c>
      <c r="CX81" s="53">
        <f>=SUM(CX82:CX91)</f>
        <v>0</v>
      </c>
      <c r="CY81" s="53">
        <f>=SUM(CY82:CY91)</f>
        <v>0</v>
      </c>
      <c r="CZ81" s="53">
        <f>=SUM(CZ82:CZ91)</f>
        <v>0</v>
      </c>
      <c r="DA81" s="53">
        <f>=SUM(DA82:DA91)</f>
        <v>0</v>
      </c>
      <c r="DB81" s="53">
        <f>=SUM(DB82:DB91)</f>
        <v>0</v>
      </c>
    </row>
    <row r="82" spans="1:106" x14ac:dyDescent="0.25">
      <c r="A82" s="57" t="s">
        <v>304</v>
      </c>
      <c r="C82" s="17">
        <v>0</v>
      </c>
      <c r="D82" s="17">
        <v>0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1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  <c r="AE82" s="17">
        <v>0</v>
      </c>
      <c r="AF82" s="17">
        <v>0</v>
      </c>
      <c r="AG82" s="17">
        <v>0</v>
      </c>
      <c r="AH82" s="17">
        <v>0</v>
      </c>
      <c r="AI82" s="17">
        <v>0</v>
      </c>
      <c r="AJ82" s="17">
        <v>0</v>
      </c>
      <c r="AK82" s="17">
        <v>0</v>
      </c>
      <c r="AL82" s="17">
        <v>0</v>
      </c>
      <c r="AM82" s="17">
        <v>0</v>
      </c>
      <c r="AN82" s="17">
        <v>0</v>
      </c>
      <c r="AO82" s="17">
        <v>0</v>
      </c>
      <c r="AP82" s="17">
        <v>0</v>
      </c>
      <c r="AQ82" s="17">
        <v>1</v>
      </c>
      <c r="AR82" s="17">
        <v>0</v>
      </c>
      <c r="AS82" s="17">
        <v>1</v>
      </c>
      <c r="AT82" s="17">
        <v>0</v>
      </c>
      <c r="AU82" s="17">
        <v>0</v>
      </c>
      <c r="AV82" s="17">
        <v>0</v>
      </c>
      <c r="AW82" s="17">
        <v>0</v>
      </c>
      <c r="AX82" s="17">
        <v>0</v>
      </c>
      <c r="AY82" s="17">
        <v>0</v>
      </c>
      <c r="AZ82" s="17">
        <v>0</v>
      </c>
      <c r="BA82" s="17">
        <v>0</v>
      </c>
      <c r="BB82" s="17">
        <v>0</v>
      </c>
      <c r="BC82" s="17">
        <v>0</v>
      </c>
      <c r="BD82" s="17">
        <v>0</v>
      </c>
      <c r="BE82" s="17">
        <v>2</v>
      </c>
      <c r="BF82" s="17">
        <v>0</v>
      </c>
      <c r="BG82" s="17">
        <v>0</v>
      </c>
      <c r="BH82" s="17">
        <v>1</v>
      </c>
      <c r="BI82" s="17">
        <v>0</v>
      </c>
      <c r="BJ82" s="17">
        <v>0</v>
      </c>
      <c r="BK82" s="17">
        <v>0</v>
      </c>
      <c r="BL82" s="17">
        <v>1</v>
      </c>
      <c r="BM82" s="17">
        <v>0</v>
      </c>
      <c r="BN82" s="55">
        <v>0</v>
      </c>
      <c r="BO82" s="55">
        <v>1</v>
      </c>
      <c r="BP82" s="55">
        <v>0</v>
      </c>
      <c r="BQ82" s="55">
        <v>0</v>
      </c>
      <c r="BR82" s="30"/>
      <c r="BS82" s="30"/>
      <c r="BT82" s="30"/>
      <c r="BU82" s="30"/>
      <c r="BV82" s="30"/>
      <c r="BW82" s="30"/>
      <c r="BX82" s="30"/>
      <c r="BY82" s="30"/>
      <c r="BZ82" s="30"/>
      <c r="CA82" s="30"/>
      <c r="CB82" s="30"/>
      <c r="CC82" s="30"/>
      <c r="CD82" s="30"/>
      <c r="CE82" s="30"/>
      <c r="CF82" s="30"/>
      <c r="CG82" s="30"/>
      <c r="CH82" s="30"/>
      <c r="CI82" s="30"/>
      <c r="CJ82" s="30"/>
      <c r="CK82" s="30"/>
      <c r="CL82" s="30"/>
      <c r="CM82" s="30"/>
      <c r="CN82" s="30"/>
      <c r="CO82" s="30"/>
      <c r="CP82" s="30"/>
      <c r="CQ82" s="30"/>
      <c r="CR82" s="30"/>
      <c r="CS82" s="30"/>
      <c r="CT82" s="30"/>
      <c r="CU82" s="30"/>
      <c r="CV82" s="30"/>
      <c r="CW82" s="30"/>
      <c r="CX82" s="30"/>
      <c r="CY82" s="30"/>
      <c r="CZ82" s="30"/>
      <c r="DA82" s="30"/>
      <c r="DB82" s="30"/>
    </row>
    <row r="83" spans="1:106" x14ac:dyDescent="0.25">
      <c r="A83" s="57" t="s">
        <v>384</v>
      </c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55"/>
      <c r="BO83" s="55"/>
      <c r="BP83" s="55">
        <v>1</v>
      </c>
      <c r="BQ83" s="55"/>
      <c r="BR83" s="30"/>
      <c r="BS83" s="30"/>
      <c r="BT83" s="30"/>
      <c r="BU83" s="30"/>
      <c r="BV83" s="30"/>
      <c r="BW83" s="30"/>
      <c r="BX83" s="30"/>
      <c r="BY83" s="30"/>
      <c r="BZ83" s="30"/>
      <c r="CA83" s="30"/>
      <c r="CB83" s="30"/>
      <c r="CC83" s="30"/>
      <c r="CD83" s="30"/>
      <c r="CE83" s="30"/>
      <c r="CF83" s="30"/>
      <c r="CG83" s="30"/>
      <c r="CH83" s="30"/>
      <c r="CI83" s="30"/>
      <c r="CJ83" s="30"/>
      <c r="CK83" s="30"/>
      <c r="CL83" s="30"/>
      <c r="CM83" s="30"/>
      <c r="CN83" s="30"/>
      <c r="CO83" s="30"/>
      <c r="CP83" s="30"/>
      <c r="CQ83" s="30"/>
      <c r="CR83" s="30"/>
      <c r="CS83" s="30"/>
      <c r="CT83" s="30"/>
      <c r="CU83" s="30"/>
      <c r="CV83" s="30"/>
      <c r="CW83" s="30"/>
      <c r="CX83" s="30"/>
      <c r="CY83" s="30"/>
      <c r="CZ83" s="30"/>
      <c r="DA83" s="30"/>
      <c r="DB83" s="30"/>
    </row>
    <row r="84" spans="1:106" x14ac:dyDescent="0.25">
      <c r="A84" s="57" t="s">
        <v>306</v>
      </c>
      <c r="C84" s="17"/>
      <c r="D84" s="17"/>
      <c r="E84" s="17">
        <v>1</v>
      </c>
      <c r="F84" s="17">
        <v>1</v>
      </c>
      <c r="G84" s="17"/>
      <c r="H84" s="17">
        <v>1</v>
      </c>
      <c r="I84" s="17"/>
      <c r="J84" s="17">
        <v>1</v>
      </c>
      <c r="K84" s="17"/>
      <c r="L84" s="17"/>
      <c r="M84" s="17"/>
      <c r="N84" s="17">
        <v>1</v>
      </c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>
        <v>1</v>
      </c>
      <c r="AA84" s="17"/>
      <c r="AB84" s="17"/>
      <c r="AC84" s="17">
        <v>0</v>
      </c>
      <c r="AD84" s="17">
        <v>0</v>
      </c>
      <c r="AE84" s="17"/>
      <c r="AF84" s="17"/>
      <c r="AG84" s="17"/>
      <c r="AH84" s="17"/>
      <c r="AI84" s="17">
        <v>0</v>
      </c>
      <c r="AJ84" s="17">
        <v>0</v>
      </c>
      <c r="AK84" s="17">
        <v>0</v>
      </c>
      <c r="AL84" s="17"/>
      <c r="AM84" s="17"/>
      <c r="AN84" s="17"/>
      <c r="AO84" s="17"/>
      <c r="AP84" s="17">
        <v>1</v>
      </c>
      <c r="AQ84" s="17"/>
      <c r="AR84" s="17"/>
      <c r="AS84" s="17"/>
      <c r="AT84" s="17"/>
      <c r="AU84" s="17">
        <v>1</v>
      </c>
      <c r="AV84" s="17"/>
      <c r="AW84" s="17"/>
      <c r="AX84" s="17"/>
      <c r="AY84" s="17"/>
      <c r="AZ84" s="17"/>
      <c r="BA84" s="17"/>
      <c r="BB84" s="17"/>
      <c r="BC84" s="17"/>
      <c r="BD84" s="17"/>
      <c r="BE84" s="17">
        <v>1</v>
      </c>
      <c r="BF84" s="17"/>
      <c r="BG84" s="17"/>
      <c r="BH84" s="17"/>
      <c r="BI84" s="17"/>
      <c r="BJ84" s="17">
        <v>2</v>
      </c>
      <c r="BK84" s="17"/>
      <c r="BL84" s="17">
        <v>1</v>
      </c>
      <c r="BM84" s="17"/>
      <c r="BN84" s="55">
        <v>1</v>
      </c>
      <c r="BO84" s="55"/>
      <c r="BP84" s="55">
        <v>1</v>
      </c>
      <c r="BQ84" s="58">
        <v>10</v>
      </c>
      <c r="BR84" s="30"/>
      <c r="BS84" s="30"/>
      <c r="BT84" s="30"/>
      <c r="BU84" s="30"/>
      <c r="BV84" s="30"/>
      <c r="BW84" s="30"/>
      <c r="BX84" s="30"/>
      <c r="BY84" s="30"/>
      <c r="BZ84" s="30"/>
      <c r="CA84" s="30"/>
      <c r="CB84" s="30"/>
      <c r="CC84" s="30"/>
      <c r="CD84" s="30"/>
      <c r="CE84" s="30"/>
      <c r="CF84" s="30"/>
      <c r="CG84" s="30"/>
      <c r="CH84" s="30"/>
      <c r="CI84" s="30"/>
      <c r="CJ84" s="30"/>
      <c r="CK84" s="30"/>
      <c r="CL84" s="30"/>
      <c r="CM84" s="30"/>
      <c r="CN84" s="30"/>
      <c r="CO84" s="30"/>
      <c r="CP84" s="30"/>
      <c r="CQ84" s="30"/>
      <c r="CR84" s="30"/>
      <c r="CS84" s="30"/>
      <c r="CT84" s="30"/>
      <c r="CU84" s="30"/>
      <c r="CV84" s="30"/>
      <c r="CW84" s="30"/>
      <c r="CX84" s="30"/>
      <c r="CY84" s="30"/>
      <c r="CZ84" s="30"/>
      <c r="DA84" s="30"/>
      <c r="DB84" s="30"/>
    </row>
    <row r="85" spans="1:106" x14ac:dyDescent="0.25">
      <c r="A85" s="57" t="s">
        <v>374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>
        <v>1</v>
      </c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>
        <v>1</v>
      </c>
      <c r="AO85" s="17"/>
      <c r="AP85" s="17">
        <v>1</v>
      </c>
      <c r="AQ85" s="17"/>
      <c r="AR85" s="17"/>
      <c r="AS85" s="17"/>
      <c r="AT85" s="17"/>
      <c r="AU85" s="17"/>
      <c r="AV85" s="17"/>
      <c r="AW85" s="17">
        <v>1</v>
      </c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30"/>
      <c r="CD85" s="30"/>
      <c r="CE85" s="30"/>
      <c r="CF85" s="30"/>
      <c r="CG85" s="30"/>
      <c r="CH85" s="30"/>
      <c r="CI85" s="30"/>
      <c r="CJ85" s="30"/>
      <c r="CK85" s="30"/>
      <c r="CL85" s="30"/>
      <c r="CM85" s="30"/>
      <c r="CN85" s="30"/>
      <c r="CO85" s="30"/>
      <c r="CP85" s="30"/>
      <c r="CQ85" s="30"/>
      <c r="CR85" s="30"/>
      <c r="CS85" s="30"/>
      <c r="CT85" s="30"/>
      <c r="CU85" s="30"/>
      <c r="CV85" s="30"/>
      <c r="CW85" s="30"/>
      <c r="CX85" s="30"/>
      <c r="CY85" s="30"/>
      <c r="CZ85" s="30"/>
      <c r="DA85" s="30"/>
      <c r="DB85" s="30"/>
    </row>
    <row r="86" spans="1:106" x14ac:dyDescent="0.25">
      <c r="A86" s="57" t="s">
        <v>409</v>
      </c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30"/>
      <c r="BP86" s="30"/>
      <c r="BQ86" s="30"/>
      <c r="BR86" s="30"/>
      <c r="BS86" s="30"/>
      <c r="BT86" s="30"/>
      <c r="BU86" s="30"/>
      <c r="BV86" s="30"/>
      <c r="BW86" s="30"/>
      <c r="BX86" s="30"/>
      <c r="BY86" s="30"/>
      <c r="BZ86" s="30"/>
      <c r="CA86" s="30"/>
      <c r="CB86" s="30"/>
      <c r="CC86" s="30"/>
      <c r="CD86" s="30"/>
      <c r="CE86" s="30"/>
      <c r="CF86" s="30"/>
      <c r="CG86" s="30"/>
      <c r="CH86" s="30"/>
      <c r="CI86" s="30"/>
      <c r="CJ86" s="30"/>
      <c r="CK86" s="30"/>
      <c r="CL86" s="30"/>
      <c r="CM86" s="30"/>
      <c r="CN86" s="30"/>
      <c r="CO86" s="30"/>
      <c r="CP86" s="30"/>
      <c r="CQ86" s="30"/>
      <c r="CR86" s="30"/>
      <c r="CS86" s="30"/>
      <c r="CT86" s="30"/>
      <c r="CU86" s="30"/>
      <c r="CV86" s="30"/>
      <c r="CW86" s="30"/>
      <c r="CX86" s="30"/>
      <c r="CY86" s="30"/>
      <c r="CZ86" s="30"/>
      <c r="DA86" s="30"/>
      <c r="DB86" s="30"/>
    </row>
    <row r="87" ht="16" customHeight="1" spans="1:66" x14ac:dyDescent="0.25">
      <c r="A87" s="94" t="s">
        <v>310</v>
      </c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</row>
    <row r="88" ht="16" customHeight="1" spans="1:106" x14ac:dyDescent="0.25">
      <c r="A88" s="94" t="s">
        <v>311</v>
      </c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30"/>
      <c r="BP88" s="30"/>
      <c r="BQ88" s="30"/>
      <c r="BR88" s="30"/>
      <c r="BS88" s="30"/>
      <c r="BT88" s="30"/>
      <c r="BU88" s="30"/>
      <c r="BV88" s="30"/>
      <c r="BW88" s="30"/>
      <c r="BX88" s="30"/>
      <c r="BY88" s="30"/>
      <c r="BZ88" s="30"/>
      <c r="CA88" s="30"/>
      <c r="CB88" s="30"/>
      <c r="CC88" s="30"/>
      <c r="CD88" s="30"/>
      <c r="CE88" s="30"/>
      <c r="CF88" s="30"/>
      <c r="CG88" s="30"/>
      <c r="CH88" s="30"/>
      <c r="CI88" s="30"/>
      <c r="CJ88" s="30"/>
      <c r="CK88" s="30"/>
      <c r="CL88" s="30"/>
      <c r="CM88" s="30"/>
      <c r="CN88" s="30"/>
      <c r="CO88" s="30"/>
      <c r="CP88" s="30"/>
      <c r="CQ88" s="30"/>
      <c r="CR88" s="30"/>
      <c r="CS88" s="30"/>
      <c r="CT88" s="30"/>
      <c r="CU88" s="30"/>
      <c r="CV88" s="30"/>
      <c r="CW88" s="30"/>
      <c r="CX88" s="30"/>
      <c r="CY88" s="30"/>
      <c r="CZ88" s="30"/>
      <c r="DA88" s="30"/>
      <c r="DB88" s="30"/>
    </row>
    <row r="89" ht="16" customHeight="1" spans="1:106" x14ac:dyDescent="0.25">
      <c r="A89" s="94" t="s">
        <v>410</v>
      </c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30"/>
      <c r="BP89" s="30"/>
      <c r="BQ89" s="30"/>
      <c r="BR89" s="30"/>
      <c r="BS89" s="30"/>
      <c r="BT89" s="30"/>
      <c r="BU89" s="30"/>
      <c r="BV89" s="30"/>
      <c r="BW89" s="30"/>
      <c r="BX89" s="30"/>
      <c r="BY89" s="30"/>
      <c r="BZ89" s="30"/>
      <c r="CA89" s="30"/>
      <c r="CB89" s="30"/>
      <c r="CC89" s="30"/>
      <c r="CD89" s="30"/>
      <c r="CE89" s="30"/>
      <c r="CF89" s="30"/>
      <c r="CG89" s="30"/>
      <c r="CH89" s="30"/>
      <c r="CI89" s="30"/>
      <c r="CJ89" s="30"/>
      <c r="CK89" s="30"/>
      <c r="CL89" s="30"/>
      <c r="CM89" s="30"/>
      <c r="CN89" s="30"/>
      <c r="CO89" s="30"/>
      <c r="CP89" s="30"/>
      <c r="CQ89" s="30"/>
      <c r="CR89" s="30"/>
      <c r="CS89" s="30"/>
      <c r="CT89" s="30"/>
      <c r="CU89" s="30"/>
      <c r="CV89" s="30"/>
      <c r="CW89" s="30"/>
      <c r="CX89" s="30"/>
      <c r="CY89" s="30"/>
      <c r="CZ89" s="30"/>
      <c r="DA89" s="30"/>
      <c r="DB89" s="30"/>
    </row>
    <row r="90" ht="16" customHeight="1" spans="1:106" x14ac:dyDescent="0.25">
      <c r="A90" s="94" t="s">
        <v>315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30"/>
      <c r="BP90" s="30"/>
      <c r="BQ90" s="30"/>
      <c r="BR90" s="30"/>
      <c r="BS90" s="30"/>
      <c r="BT90" s="30"/>
      <c r="BU90" s="30"/>
      <c r="BV90" s="30"/>
      <c r="BW90" s="30"/>
      <c r="BX90" s="30"/>
      <c r="BY90" s="30"/>
      <c r="BZ90" s="30"/>
      <c r="CA90" s="30"/>
      <c r="CB90" s="30"/>
      <c r="CC90" s="30"/>
      <c r="CD90" s="30"/>
      <c r="CE90" s="30"/>
      <c r="CF90" s="30"/>
      <c r="CG90" s="30"/>
      <c r="CH90" s="30"/>
      <c r="CI90" s="30"/>
      <c r="CJ90" s="30"/>
      <c r="CK90" s="30"/>
      <c r="CL90" s="30"/>
      <c r="CM90" s="30"/>
      <c r="CN90" s="30"/>
      <c r="CO90" s="30"/>
      <c r="CP90" s="30"/>
      <c r="CQ90" s="30"/>
      <c r="CR90" s="30"/>
      <c r="CS90" s="30"/>
      <c r="CT90" s="30"/>
      <c r="CU90" s="30"/>
      <c r="CV90" s="30"/>
      <c r="CW90" s="30"/>
      <c r="CX90" s="30"/>
      <c r="CY90" s="30"/>
      <c r="CZ90" s="30"/>
      <c r="DA90" s="30"/>
      <c r="DB90" s="30"/>
    </row>
    <row r="91" ht="16" customHeight="1" spans="1:106" x14ac:dyDescent="0.25">
      <c r="A91" s="94" t="s">
        <v>312</v>
      </c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30"/>
      <c r="BP91" s="30"/>
      <c r="BQ91" s="30">
        <v>6</v>
      </c>
      <c r="BR91" s="30"/>
      <c r="BS91" s="30"/>
      <c r="BT91" s="30"/>
      <c r="BU91" s="30"/>
      <c r="BV91" s="30"/>
      <c r="BW91" s="30"/>
      <c r="BX91" s="30"/>
      <c r="BY91" s="30"/>
      <c r="BZ91" s="30"/>
      <c r="CA91" s="30"/>
      <c r="CB91" s="30"/>
      <c r="CC91" s="30"/>
      <c r="CD91" s="30"/>
      <c r="CE91" s="30"/>
      <c r="CF91" s="30"/>
      <c r="CG91" s="30"/>
      <c r="CH91" s="30"/>
      <c r="CI91" s="30"/>
      <c r="CJ91" s="30"/>
      <c r="CK91" s="30"/>
      <c r="CL91" s="30"/>
      <c r="CM91" s="30"/>
      <c r="CN91" s="30"/>
      <c r="CO91" s="30"/>
      <c r="CP91" s="30"/>
      <c r="CQ91" s="30"/>
      <c r="CR91" s="30"/>
      <c r="CS91" s="30"/>
      <c r="CT91" s="30"/>
      <c r="CU91" s="30"/>
      <c r="CV91" s="30"/>
      <c r="CW91" s="30"/>
      <c r="CX91" s="30"/>
      <c r="CY91" s="30"/>
      <c r="CZ91" s="30"/>
      <c r="DA91" s="30"/>
      <c r="DB91" s="30"/>
    </row>
    <row r="92" spans="1:106" x14ac:dyDescent="0.25">
      <c r="A92" s="57" t="s">
        <v>320</v>
      </c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30">
        <f>=SUM(BO87:BO91)</f>
        <v>0</v>
      </c>
      <c r="BP92" s="30">
        <f>=SUM(BP87:BP91)</f>
        <v>0</v>
      </c>
      <c r="BQ92" s="30">
        <f>=SUM(BQ87:BQ91)</f>
        <v>6</v>
      </c>
      <c r="BR92" s="30">
        <f>=SUM(BR87:BR91)</f>
        <v>0</v>
      </c>
      <c r="BS92" s="30">
        <f>=SUM(BS87:BS91)</f>
        <v>0</v>
      </c>
      <c r="BT92" s="30">
        <f>=SUM(BT87:BT91)</f>
        <v>0</v>
      </c>
      <c r="BU92" s="30">
        <f>=SUM(BU87:BU91)</f>
        <v>0</v>
      </c>
      <c r="BV92" s="30">
        <f>=SUM(BV87:BV91)</f>
        <v>0</v>
      </c>
      <c r="BW92" s="30">
        <f>=SUM(BW87:BW91)</f>
        <v>0</v>
      </c>
      <c r="BX92" s="30">
        <f>=SUM(BX87:BX91)</f>
        <v>0</v>
      </c>
      <c r="BY92" s="30">
        <f>=SUM(BY87:BY91)</f>
        <v>0</v>
      </c>
      <c r="BZ92" s="30">
        <f>=SUM(BZ87:BZ91)</f>
        <v>0</v>
      </c>
      <c r="CA92" s="30">
        <f>=SUM(CA87:CA91)</f>
        <v>0</v>
      </c>
      <c r="CB92" s="30">
        <f>=SUM(CB87:CB91)</f>
        <v>0</v>
      </c>
      <c r="CC92" s="30">
        <f>=SUM(CC87:CC91)</f>
        <v>0</v>
      </c>
      <c r="CD92" s="30">
        <f>=SUM(CD87:CD91)</f>
        <v>0</v>
      </c>
      <c r="CE92" s="30">
        <f>=SUM(CE87:CE91)</f>
        <v>0</v>
      </c>
      <c r="CF92" s="30">
        <f>=SUM(CF87:CF91)</f>
        <v>0</v>
      </c>
      <c r="CG92" s="30">
        <f>=SUM(CG87:CG91)</f>
        <v>0</v>
      </c>
      <c r="CH92" s="30">
        <f>=SUM(CH87:CH91)</f>
        <v>0</v>
      </c>
      <c r="CI92" s="30">
        <f>=SUM(CI87:CI91)</f>
        <v>0</v>
      </c>
      <c r="CJ92" s="30">
        <f>=SUM(CJ87:CJ91)</f>
        <v>0</v>
      </c>
      <c r="CK92" s="30">
        <f>=SUM(CK87:CK91)</f>
        <v>0</v>
      </c>
      <c r="CL92" s="30">
        <f>=SUM(CL87:CL91)</f>
        <v>0</v>
      </c>
      <c r="CM92" s="30">
        <f>=SUM(CM87:CM91)</f>
        <v>0</v>
      </c>
      <c r="CN92" s="30">
        <f>=SUM(CN87:CN91)</f>
        <v>0</v>
      </c>
      <c r="CO92" s="30">
        <f>=SUM(CO87:CO91)</f>
        <v>0</v>
      </c>
      <c r="CP92" s="30">
        <f>=SUM(CP87:CP91)</f>
        <v>0</v>
      </c>
      <c r="CQ92" s="30">
        <f>=SUM(CQ87:CQ91)</f>
        <v>0</v>
      </c>
      <c r="CR92" s="30">
        <f>=SUM(CR87:CR91)</f>
        <v>0</v>
      </c>
      <c r="CS92" s="30">
        <f>=SUM(CS87:CS91)</f>
        <v>0</v>
      </c>
      <c r="CT92" s="30">
        <f>=SUM(CT87:CT91)</f>
        <v>0</v>
      </c>
      <c r="CU92" s="30">
        <f>=SUM(CU87:CU91)</f>
        <v>0</v>
      </c>
      <c r="CV92" s="30">
        <f>=SUM(CV87:CV91)</f>
        <v>0</v>
      </c>
      <c r="CW92" s="30">
        <f>=SUM(CW87:CW91)</f>
        <v>0</v>
      </c>
      <c r="CX92" s="30">
        <f>=SUM(CX87:CX91)</f>
        <v>0</v>
      </c>
      <c r="CY92" s="30">
        <f>=SUM(CY87:CY91)</f>
        <v>0</v>
      </c>
      <c r="CZ92" s="30">
        <f>=SUM(CZ87:CZ91)</f>
        <v>0</v>
      </c>
      <c r="DA92" s="30">
        <f>=SUM(DA87:DA91)</f>
        <v>0</v>
      </c>
      <c r="DB92" s="30">
        <f>=SUM(DB87:DB91)</f>
        <v>0</v>
      </c>
    </row>
    <row r="93" spans="1:106" x14ac:dyDescent="0.25">
      <c r="A93" s="33" t="s">
        <v>321</v>
      </c>
      <c r="B93" s="88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1</v>
      </c>
      <c r="I93" s="52">
        <v>0</v>
      </c>
      <c r="J93" s="52">
        <v>0</v>
      </c>
      <c r="K93" s="52">
        <v>0</v>
      </c>
      <c r="L93" s="52">
        <v>0</v>
      </c>
      <c r="M93" s="52">
        <v>1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1</v>
      </c>
      <c r="V93" s="52">
        <v>1</v>
      </c>
      <c r="W93" s="52">
        <v>0</v>
      </c>
      <c r="X93" s="52">
        <v>0</v>
      </c>
      <c r="Y93" s="52">
        <v>0</v>
      </c>
      <c r="Z93" s="52">
        <v>0</v>
      </c>
      <c r="AA93" s="52">
        <v>0</v>
      </c>
      <c r="AB93" s="52">
        <v>0</v>
      </c>
      <c r="AC93" s="52">
        <v>0</v>
      </c>
      <c r="AD93" s="52">
        <v>0</v>
      </c>
      <c r="AE93" s="52">
        <v>0</v>
      </c>
      <c r="AF93" s="52">
        <v>0</v>
      </c>
      <c r="AG93" s="52">
        <v>0</v>
      </c>
      <c r="AH93" s="52">
        <v>0</v>
      </c>
      <c r="AI93" s="52">
        <v>0</v>
      </c>
      <c r="AJ93" s="52">
        <v>0</v>
      </c>
      <c r="AK93" s="52">
        <v>0</v>
      </c>
      <c r="AL93" s="52">
        <v>0</v>
      </c>
      <c r="AM93" s="52">
        <v>0</v>
      </c>
      <c r="AN93" s="52">
        <v>0</v>
      </c>
      <c r="AO93" s="52">
        <v>1</v>
      </c>
      <c r="AP93" s="52">
        <v>0</v>
      </c>
      <c r="AQ93" s="52">
        <v>0</v>
      </c>
      <c r="AR93" s="52">
        <v>0</v>
      </c>
      <c r="AS93" s="52">
        <v>0</v>
      </c>
      <c r="AT93" s="52">
        <v>1</v>
      </c>
      <c r="AU93" s="52">
        <v>0</v>
      </c>
      <c r="AV93" s="52">
        <v>0</v>
      </c>
      <c r="AW93" s="52">
        <v>0</v>
      </c>
      <c r="AX93" s="52">
        <v>0</v>
      </c>
      <c r="AY93" s="52">
        <v>0</v>
      </c>
      <c r="AZ93" s="52">
        <v>0</v>
      </c>
      <c r="BA93" s="52">
        <v>0</v>
      </c>
      <c r="BB93" s="52">
        <v>0</v>
      </c>
      <c r="BC93" s="52">
        <v>0</v>
      </c>
      <c r="BD93" s="52">
        <v>0</v>
      </c>
      <c r="BE93" s="52">
        <v>0</v>
      </c>
      <c r="BF93" s="52">
        <v>0</v>
      </c>
      <c r="BG93" s="52">
        <v>0</v>
      </c>
      <c r="BH93" s="52">
        <v>0</v>
      </c>
      <c r="BI93" s="52">
        <v>0</v>
      </c>
      <c r="BJ93" s="52">
        <v>0</v>
      </c>
      <c r="BK93" s="52">
        <v>0</v>
      </c>
      <c r="BL93" s="52">
        <v>0</v>
      </c>
      <c r="BM93" s="52">
        <v>0</v>
      </c>
      <c r="BN93" s="52">
        <v>2</v>
      </c>
      <c r="BO93" s="53">
        <f>=SUM(BO94:BO100)-BO113</f>
        <v>0</v>
      </c>
      <c r="BP93" s="53">
        <f>=SUM(BP94:BP100)-BP113</f>
        <v>0</v>
      </c>
      <c r="BQ93" s="53">
        <f>=SUM(BQ94:BQ100)-BQ113</f>
        <v>0</v>
      </c>
      <c r="BR93" s="53">
        <f>=SUM(BR94:BR100)-BR113</f>
        <v>0</v>
      </c>
      <c r="BS93" s="53">
        <f>=SUM(BS94:BS100)-BS113</f>
        <v>0</v>
      </c>
      <c r="BT93" s="53">
        <f>=SUM(BT94:BT100)-BT113</f>
        <v>0</v>
      </c>
      <c r="BU93" s="53">
        <f>=SUM(BU94:BU100)-BU113</f>
        <v>0</v>
      </c>
      <c r="BV93" s="53">
        <f>=SUM(BV94:BV100)-BV113</f>
        <v>0</v>
      </c>
      <c r="BW93" s="53">
        <f>=SUM(BW94:BW100)-BW113</f>
        <v>0</v>
      </c>
      <c r="BX93" s="53">
        <f>=SUM(BX94:BX100)-BX113</f>
        <v>0</v>
      </c>
      <c r="BY93" s="53">
        <f>=SUM(BY94:BY100)-BY113</f>
        <v>0</v>
      </c>
      <c r="BZ93" s="53">
        <f>=SUM(BZ94:BZ100)-BZ113</f>
        <v>0</v>
      </c>
      <c r="CA93" s="53">
        <f>=SUM(CA94:CA100)-CA113</f>
        <v>0</v>
      </c>
      <c r="CB93" s="53">
        <f>=SUM(CB94:CB100)-CB113</f>
        <v>0</v>
      </c>
      <c r="CC93" s="53">
        <f>=SUM(CC94:CC100)-CC113</f>
        <v>0</v>
      </c>
      <c r="CD93" s="53">
        <f>=SUM(CD94:CD100)-CD113</f>
        <v>0</v>
      </c>
      <c r="CE93" s="53">
        <f>=SUM(CE94:CE100)-CE113</f>
        <v>0</v>
      </c>
      <c r="CF93" s="53">
        <f>=SUM(CF94:CF100)-CF113</f>
        <v>0</v>
      </c>
      <c r="CG93" s="53">
        <f>=SUM(CG94:CG100)-CG113</f>
        <v>0</v>
      </c>
      <c r="CH93" s="53">
        <f>=SUM(CH94:CH100)-CH113</f>
        <v>0</v>
      </c>
      <c r="CI93" s="53">
        <f>=SUM(CI94:CI100)-CI113</f>
        <v>0</v>
      </c>
      <c r="CJ93" s="53">
        <f>=SUM(CJ94:CJ100)-CJ113</f>
        <v>0</v>
      </c>
      <c r="CK93" s="53">
        <f>=SUM(CK94:CK100)-CK113</f>
        <v>0</v>
      </c>
      <c r="CL93" s="53">
        <f>=SUM(CL94:CL100)-CL113</f>
        <v>0</v>
      </c>
      <c r="CM93" s="53">
        <f>=SUM(CM94:CM100)-CM113</f>
        <v>0</v>
      </c>
      <c r="CN93" s="53">
        <f>=SUM(CN94:CN100)-CN113</f>
        <v>0</v>
      </c>
      <c r="CO93" s="53">
        <f>=SUM(CO94:CO100)-CO113</f>
        <v>0</v>
      </c>
      <c r="CP93" s="53">
        <f>=SUM(CP94:CP100)-CP113</f>
        <v>0</v>
      </c>
      <c r="CQ93" s="53">
        <f>=SUM(CQ94:CQ100)-CQ113</f>
        <v>0</v>
      </c>
      <c r="CR93" s="53">
        <f>=SUM(CR94:CR100)-CR113</f>
        <v>0</v>
      </c>
      <c r="CS93" s="53">
        <f>=SUM(CS94:CS100)-CS113</f>
        <v>0</v>
      </c>
      <c r="CT93" s="53">
        <f>=SUM(CT94:CT100)-CT113</f>
        <v>0</v>
      </c>
      <c r="CU93" s="53">
        <f>=SUM(CU94:CU100)-CU113</f>
        <v>0</v>
      </c>
      <c r="CV93" s="53">
        <f>=SUM(CV94:CV100)-CV113</f>
        <v>0</v>
      </c>
      <c r="CW93" s="53">
        <f>=SUM(CW94:CW100)-CW113</f>
        <v>0</v>
      </c>
      <c r="CX93" s="53">
        <f>=SUM(CX94:CX100)-CX113</f>
        <v>0</v>
      </c>
      <c r="CY93" s="53">
        <f>=SUM(CY94:CY100)-CY113</f>
        <v>0</v>
      </c>
      <c r="CZ93" s="53">
        <f>=SUM(CZ94:CZ100)-CZ113</f>
        <v>0</v>
      </c>
      <c r="DA93" s="53">
        <f>=SUM(DA94:DA100)-DA113</f>
        <v>0</v>
      </c>
      <c r="DB93" s="53">
        <f>=SUM(DB94:DB100)-DB113</f>
        <v>0</v>
      </c>
    </row>
    <row r="94" spans="1:106" x14ac:dyDescent="0.25">
      <c r="A94" s="57" t="s">
        <v>322</v>
      </c>
      <c r="C94" s="17"/>
      <c r="D94" s="17"/>
      <c r="E94" s="17"/>
      <c r="F94" s="17"/>
      <c r="G94" s="17"/>
      <c r="H94" s="17">
        <v>1</v>
      </c>
      <c r="I94" s="17"/>
      <c r="J94" s="17"/>
      <c r="K94" s="17"/>
      <c r="L94" s="17"/>
      <c r="M94" s="17">
        <v>1</v>
      </c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>
        <v>1</v>
      </c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>
        <v>1</v>
      </c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30"/>
      <c r="CE94" s="30"/>
      <c r="CF94" s="30"/>
      <c r="CG94" s="30"/>
      <c r="CH94" s="30"/>
      <c r="CI94" s="30"/>
      <c r="CJ94" s="30"/>
      <c r="CK94" s="30"/>
      <c r="CL94" s="30"/>
      <c r="CM94" s="30"/>
      <c r="CN94" s="30"/>
      <c r="CO94" s="30"/>
      <c r="CP94" s="30"/>
      <c r="CQ94" s="30"/>
      <c r="CR94" s="30"/>
      <c r="CS94" s="30"/>
      <c r="CT94" s="30"/>
      <c r="CU94" s="30"/>
      <c r="CV94" s="30"/>
      <c r="CW94" s="30"/>
      <c r="CX94" s="30"/>
      <c r="CY94" s="30"/>
      <c r="CZ94" s="30"/>
      <c r="DA94" s="30"/>
      <c r="DB94" s="30"/>
    </row>
    <row r="95" spans="1:106" x14ac:dyDescent="0.25">
      <c r="A95" s="57" t="s">
        <v>377</v>
      </c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>
        <v>1</v>
      </c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>
        <v>1</v>
      </c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>
        <v>0</v>
      </c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>
        <v>1</v>
      </c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30"/>
      <c r="CE95" s="30"/>
      <c r="CF95" s="30"/>
      <c r="CG95" s="30"/>
      <c r="CH95" s="30"/>
      <c r="CI95" s="30"/>
      <c r="CJ95" s="30"/>
      <c r="CK95" s="30"/>
      <c r="CL95" s="30"/>
      <c r="CM95" s="30"/>
      <c r="CN95" s="30"/>
      <c r="CO95" s="30"/>
      <c r="CP95" s="30"/>
      <c r="CQ95" s="30"/>
      <c r="CR95" s="30"/>
      <c r="CS95" s="30"/>
      <c r="CT95" s="30"/>
      <c r="CU95" s="30"/>
      <c r="CV95" s="30"/>
      <c r="CW95" s="30"/>
      <c r="CX95" s="30"/>
      <c r="CY95" s="30"/>
      <c r="CZ95" s="30"/>
      <c r="DA95" s="30"/>
      <c r="DB95" s="30"/>
    </row>
    <row r="96" spans="1:106" x14ac:dyDescent="0.25">
      <c r="A96" s="57" t="s">
        <v>390</v>
      </c>
      <c r="C96" s="17">
        <v>0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3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2</v>
      </c>
      <c r="AB96" s="17">
        <v>0</v>
      </c>
      <c r="AC96" s="17">
        <v>0</v>
      </c>
      <c r="AD96" s="17">
        <v>0</v>
      </c>
      <c r="AE96" s="17">
        <v>0</v>
      </c>
      <c r="AF96" s="17">
        <v>2</v>
      </c>
      <c r="AG96" s="17">
        <v>0</v>
      </c>
      <c r="AH96" s="17">
        <v>0</v>
      </c>
      <c r="AI96" s="17">
        <v>0</v>
      </c>
      <c r="AJ96" s="17">
        <v>0</v>
      </c>
      <c r="AK96" s="17">
        <v>2</v>
      </c>
      <c r="AL96" s="17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>
        <v>0</v>
      </c>
      <c r="AS96" s="17">
        <v>0</v>
      </c>
      <c r="AT96" s="17">
        <v>0</v>
      </c>
      <c r="AU96" s="17">
        <v>11</v>
      </c>
      <c r="AV96" s="17">
        <v>0</v>
      </c>
      <c r="AW96" s="17">
        <v>2</v>
      </c>
      <c r="AX96" s="17">
        <v>0</v>
      </c>
      <c r="AY96" s="17">
        <v>0</v>
      </c>
      <c r="AZ96" s="17">
        <v>0</v>
      </c>
      <c r="BA96" s="17">
        <v>0</v>
      </c>
      <c r="BB96" s="17">
        <v>0</v>
      </c>
      <c r="BC96" s="17">
        <v>0</v>
      </c>
      <c r="BD96" s="17">
        <v>0</v>
      </c>
      <c r="BE96" s="17">
        <v>3</v>
      </c>
      <c r="BF96" s="17">
        <v>0</v>
      </c>
      <c r="BG96" s="17">
        <v>0</v>
      </c>
      <c r="BH96" s="17">
        <v>2</v>
      </c>
      <c r="BI96" s="17">
        <v>0</v>
      </c>
      <c r="BJ96" s="17">
        <v>2</v>
      </c>
      <c r="BK96" s="17">
        <v>0</v>
      </c>
      <c r="BL96" s="17">
        <v>0</v>
      </c>
      <c r="BM96" s="17">
        <v>0</v>
      </c>
      <c r="BN96" s="17">
        <v>0</v>
      </c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30"/>
      <c r="CF96" s="30"/>
      <c r="CG96" s="30"/>
      <c r="CH96" s="30"/>
      <c r="CI96" s="30"/>
      <c r="CJ96" s="30"/>
      <c r="CK96" s="30"/>
      <c r="CL96" s="30"/>
      <c r="CM96" s="30"/>
      <c r="CN96" s="30"/>
      <c r="CO96" s="30"/>
      <c r="CP96" s="30"/>
      <c r="CQ96" s="30"/>
      <c r="CR96" s="30"/>
      <c r="CS96" s="30"/>
      <c r="CT96" s="30"/>
      <c r="CU96" s="30"/>
      <c r="CV96" s="30"/>
      <c r="CW96" s="30"/>
      <c r="CX96" s="30"/>
      <c r="CY96" s="30"/>
      <c r="CZ96" s="30"/>
      <c r="DA96" s="30"/>
      <c r="DB96" s="30"/>
    </row>
    <row r="97" spans="1:106" x14ac:dyDescent="0.25">
      <c r="A97" s="57" t="s">
        <v>326</v>
      </c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>
        <v>1</v>
      </c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30"/>
      <c r="CE97" s="30"/>
      <c r="CF97" s="30"/>
      <c r="CG97" s="30"/>
      <c r="CH97" s="30"/>
      <c r="CI97" s="30"/>
      <c r="CJ97" s="30"/>
      <c r="CK97" s="30"/>
      <c r="CL97" s="30"/>
      <c r="CM97" s="30"/>
      <c r="CN97" s="30"/>
      <c r="CO97" s="30"/>
      <c r="CP97" s="30"/>
      <c r="CQ97" s="30"/>
      <c r="CR97" s="30"/>
      <c r="CS97" s="30"/>
      <c r="CT97" s="30"/>
      <c r="CU97" s="30"/>
      <c r="CV97" s="30"/>
      <c r="CW97" s="30"/>
      <c r="CX97" s="30"/>
      <c r="CY97" s="30"/>
      <c r="CZ97" s="30"/>
      <c r="DA97" s="30"/>
      <c r="DB97" s="30"/>
    </row>
    <row r="98" spans="1:106" x14ac:dyDescent="0.25">
      <c r="A98" s="57" t="s">
        <v>266</v>
      </c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30"/>
      <c r="CE98" s="30"/>
      <c r="CF98" s="30"/>
      <c r="CG98" s="30"/>
      <c r="CH98" s="30"/>
      <c r="CI98" s="30"/>
      <c r="CJ98" s="30"/>
      <c r="CK98" s="30"/>
      <c r="CL98" s="30"/>
      <c r="CM98" s="30"/>
      <c r="CN98" s="30"/>
      <c r="CO98" s="30"/>
      <c r="CP98" s="30"/>
      <c r="CQ98" s="30"/>
      <c r="CR98" s="30"/>
      <c r="CS98" s="30"/>
      <c r="CT98" s="30"/>
      <c r="CU98" s="30"/>
      <c r="CV98" s="30"/>
      <c r="CW98" s="30"/>
      <c r="CX98" s="30"/>
      <c r="CY98" s="30"/>
      <c r="CZ98" s="30"/>
      <c r="DA98" s="30"/>
      <c r="DB98" s="30"/>
    </row>
    <row r="99" spans="1:106" x14ac:dyDescent="0.25">
      <c r="A99" s="57" t="s">
        <v>266</v>
      </c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30"/>
      <c r="BP99" s="30"/>
      <c r="BQ99" s="30"/>
      <c r="BR99" s="30"/>
      <c r="BS99" s="30"/>
      <c r="BT99" s="30"/>
      <c r="BU99" s="30"/>
      <c r="BV99" s="30"/>
      <c r="BW99" s="30"/>
      <c r="BX99" s="30"/>
      <c r="BY99" s="30"/>
      <c r="BZ99" s="30"/>
      <c r="CA99" s="30"/>
      <c r="CB99" s="30"/>
      <c r="CC99" s="30"/>
      <c r="CD99" s="30"/>
      <c r="CE99" s="30"/>
      <c r="CF99" s="30"/>
      <c r="CG99" s="30"/>
      <c r="CH99" s="30"/>
      <c r="CI99" s="30"/>
      <c r="CJ99" s="30"/>
      <c r="CK99" s="30"/>
      <c r="CL99" s="30"/>
      <c r="CM99" s="30"/>
      <c r="CN99" s="30"/>
      <c r="CO99" s="30"/>
      <c r="CP99" s="30"/>
      <c r="CQ99" s="30"/>
      <c r="CR99" s="30"/>
      <c r="CS99" s="30"/>
      <c r="CT99" s="30"/>
      <c r="CU99" s="30"/>
      <c r="CV99" s="30"/>
      <c r="CW99" s="30"/>
      <c r="CX99" s="30"/>
      <c r="CY99" s="30"/>
      <c r="CZ99" s="30"/>
      <c r="DA99" s="30"/>
      <c r="DB99" s="30"/>
    </row>
    <row r="100" spans="1:106" x14ac:dyDescent="0.25">
      <c r="A100" s="57" t="s">
        <v>266</v>
      </c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30"/>
      <c r="BP100" s="30"/>
      <c r="BQ100" s="30"/>
      <c r="BR100" s="30"/>
      <c r="BS100" s="30"/>
      <c r="BT100" s="30"/>
      <c r="BU100" s="30"/>
      <c r="BV100" s="30"/>
      <c r="BW100" s="30"/>
      <c r="BX100" s="30"/>
      <c r="BY100" s="30"/>
      <c r="BZ100" s="30"/>
      <c r="CA100" s="30"/>
      <c r="CB100" s="30"/>
      <c r="CC100" s="30"/>
      <c r="CD100" s="30"/>
      <c r="CE100" s="30"/>
      <c r="CF100" s="30"/>
      <c r="CG100" s="30"/>
      <c r="CH100" s="30"/>
      <c r="CI100" s="30"/>
      <c r="CJ100" s="30"/>
      <c r="CK100" s="30"/>
      <c r="CL100" s="30"/>
      <c r="CM100" s="30"/>
      <c r="CN100" s="30"/>
      <c r="CO100" s="30"/>
      <c r="CP100" s="30"/>
      <c r="CQ100" s="30"/>
      <c r="CR100" s="30"/>
      <c r="CS100" s="30"/>
      <c r="CT100" s="30"/>
      <c r="CU100" s="30"/>
      <c r="CV100" s="30"/>
      <c r="CW100" s="30"/>
      <c r="CX100" s="30"/>
      <c r="CY100" s="30"/>
      <c r="CZ100" s="30"/>
      <c r="DA100" s="30"/>
      <c r="DB100" s="30"/>
    </row>
    <row r="101" spans="3:106" x14ac:dyDescent="0.25"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  <c r="BS101" s="30"/>
      <c r="BT101" s="30"/>
      <c r="BU101" s="30"/>
      <c r="BV101" s="30"/>
      <c r="BW101" s="30"/>
      <c r="BX101" s="30"/>
      <c r="BY101" s="30"/>
      <c r="BZ101" s="30"/>
      <c r="CA101" s="30"/>
      <c r="CB101" s="30"/>
      <c r="CC101" s="30"/>
      <c r="CD101" s="30"/>
      <c r="CE101" s="30"/>
      <c r="CF101" s="30"/>
      <c r="CG101" s="30"/>
      <c r="CH101" s="30"/>
      <c r="CI101" s="30"/>
      <c r="CJ101" s="30"/>
      <c r="CK101" s="30"/>
      <c r="CL101" s="30"/>
      <c r="CM101" s="30"/>
      <c r="CN101" s="30"/>
      <c r="CO101" s="30"/>
      <c r="CP101" s="30"/>
      <c r="CQ101" s="30"/>
      <c r="CR101" s="30"/>
      <c r="CS101" s="30"/>
      <c r="CT101" s="30"/>
      <c r="CU101" s="30"/>
      <c r="CV101" s="30"/>
      <c r="CW101" s="30"/>
      <c r="CX101" s="30"/>
      <c r="CY101" s="30"/>
      <c r="CZ101" s="30"/>
      <c r="DA101" s="30"/>
      <c r="DB101" s="30"/>
    </row>
    <row r="102" ht="15" customHeight="1" spans="1:106" x14ac:dyDescent="0.25">
      <c r="A102" s="9" t="s">
        <v>327</v>
      </c>
      <c r="B102" s="17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2"/>
      <c r="BP102" s="32"/>
      <c r="BQ102" s="32"/>
      <c r="BR102" s="32"/>
      <c r="BS102" s="32"/>
      <c r="BT102" s="32"/>
      <c r="BU102" s="32"/>
      <c r="BV102" s="32"/>
      <c r="BW102" s="32"/>
      <c r="BX102" s="32"/>
      <c r="BY102" s="32"/>
      <c r="BZ102" s="32"/>
      <c r="CA102" s="32"/>
      <c r="CB102" s="32"/>
      <c r="CC102" s="32"/>
      <c r="CD102" s="32"/>
      <c r="CE102" s="32"/>
      <c r="CF102" s="32"/>
      <c r="CG102" s="32"/>
      <c r="CH102" s="32"/>
      <c r="CI102" s="32"/>
      <c r="CJ102" s="32"/>
      <c r="CK102" s="32"/>
      <c r="CL102" s="32"/>
      <c r="CM102" s="32"/>
      <c r="CN102" s="32"/>
      <c r="CO102" s="32"/>
      <c r="CP102" s="32"/>
      <c r="CQ102" s="32"/>
      <c r="CR102" s="32"/>
      <c r="CS102" s="32"/>
      <c r="CT102" s="32"/>
      <c r="CU102" s="32"/>
      <c r="CV102" s="32"/>
      <c r="CW102" s="32"/>
      <c r="CX102" s="32"/>
      <c r="CY102" s="32"/>
      <c r="CZ102" s="32"/>
      <c r="DA102" s="32"/>
      <c r="DB102" s="32"/>
    </row>
    <row r="103" ht="15" customHeight="1" spans="1:106" x14ac:dyDescent="0.25">
      <c r="A103" s="61" t="s">
        <v>328</v>
      </c>
      <c r="B103" s="13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</row>
    <row r="104" spans="1:106" x14ac:dyDescent="0.25">
      <c r="A104" s="62" t="s">
        <v>329</v>
      </c>
      <c r="B104" s="24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  <c r="AB104" s="63"/>
      <c r="AC104" s="63"/>
      <c r="AD104" s="63"/>
      <c r="AE104" s="63"/>
      <c r="AF104" s="63"/>
      <c r="AG104" s="63"/>
      <c r="AH104" s="63"/>
      <c r="AI104" s="63"/>
      <c r="AJ104" s="63"/>
      <c r="AK104" s="63"/>
      <c r="AL104" s="63"/>
      <c r="AM104" s="63"/>
      <c r="AN104" s="63"/>
      <c r="AO104" s="63"/>
      <c r="AP104" s="63"/>
      <c r="AQ104" s="63"/>
      <c r="AR104" s="63"/>
      <c r="AS104" s="63"/>
      <c r="AT104" s="63"/>
      <c r="AU104" s="63"/>
      <c r="AV104" s="63"/>
      <c r="AW104" s="63"/>
      <c r="AX104" s="63"/>
      <c r="AY104" s="63"/>
      <c r="AZ104" s="63"/>
      <c r="BA104" s="63"/>
      <c r="BB104" s="63"/>
      <c r="BC104" s="63"/>
      <c r="BD104" s="63"/>
      <c r="BE104" s="63"/>
      <c r="BF104" s="63"/>
      <c r="BG104" s="63"/>
      <c r="BH104" s="63"/>
      <c r="BI104" s="63"/>
      <c r="BJ104" s="63"/>
      <c r="BK104" s="63"/>
      <c r="BL104" s="63"/>
      <c r="BM104" s="63"/>
      <c r="BN104" s="63"/>
      <c r="BO104" s="63"/>
      <c r="BP104" s="63"/>
      <c r="BQ104" s="63"/>
      <c r="BR104" s="63"/>
      <c r="BS104" s="63"/>
      <c r="BT104" s="63"/>
      <c r="BU104" s="63"/>
      <c r="BV104" s="63"/>
      <c r="BW104" s="63"/>
      <c r="BX104" s="63"/>
      <c r="BY104" s="63"/>
      <c r="BZ104" s="63"/>
      <c r="CA104" s="63"/>
      <c r="CB104" s="63"/>
      <c r="CC104" s="63"/>
      <c r="CD104" s="63"/>
      <c r="CE104" s="63"/>
      <c r="CF104" s="63"/>
      <c r="CG104" s="63"/>
      <c r="CH104" s="63"/>
      <c r="CI104" s="63"/>
      <c r="CJ104" s="63"/>
      <c r="CK104" s="63"/>
      <c r="CL104" s="63"/>
      <c r="CM104" s="63"/>
      <c r="CN104" s="63"/>
      <c r="CO104" s="63"/>
      <c r="CP104" s="63"/>
      <c r="CQ104" s="63"/>
      <c r="CR104" s="63"/>
      <c r="CS104" s="63"/>
      <c r="CT104" s="63"/>
      <c r="CU104" s="63"/>
      <c r="CV104" s="63"/>
      <c r="CW104" s="63"/>
      <c r="CX104" s="63"/>
      <c r="CY104" s="63"/>
      <c r="CZ104" s="63"/>
      <c r="DA104" s="63"/>
      <c r="DB104" s="63"/>
    </row>
    <row r="105" ht="15" customHeight="1" spans="1:106" x14ac:dyDescent="0.25">
      <c r="A105" s="16" t="s">
        <v>330</v>
      </c>
      <c r="B105" s="17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  <c r="AG105" s="50"/>
      <c r="AH105" s="50"/>
      <c r="AI105" s="50"/>
      <c r="AJ105" s="50"/>
      <c r="AK105" s="50"/>
      <c r="AL105" s="50"/>
      <c r="AM105" s="50"/>
      <c r="AN105" s="50"/>
      <c r="AO105" s="50"/>
      <c r="AP105" s="50"/>
      <c r="AQ105" s="50"/>
      <c r="AR105" s="50"/>
      <c r="AS105" s="50"/>
      <c r="AT105" s="50"/>
      <c r="AU105" s="50"/>
      <c r="AV105" s="50"/>
      <c r="AW105" s="50"/>
      <c r="AX105" s="50"/>
      <c r="AY105" s="50"/>
      <c r="AZ105" s="50"/>
      <c r="BA105" s="50"/>
      <c r="BB105" s="50"/>
      <c r="BC105" s="50"/>
      <c r="BD105" s="50"/>
      <c r="BE105" s="50"/>
      <c r="BF105" s="50"/>
      <c r="BG105" s="50"/>
      <c r="BH105" s="50"/>
      <c r="BI105" s="50"/>
      <c r="BJ105" s="50"/>
      <c r="BK105" s="50"/>
      <c r="BL105" s="50"/>
      <c r="BM105" s="50"/>
      <c r="BN105" s="50"/>
      <c r="BO105" s="50"/>
      <c r="BP105" s="50"/>
      <c r="BQ105" s="50"/>
      <c r="BR105" s="50"/>
      <c r="BS105" s="50"/>
      <c r="BT105" s="50"/>
      <c r="BU105" s="50"/>
      <c r="BV105" s="50"/>
      <c r="BW105" s="50"/>
      <c r="BX105" s="50"/>
      <c r="BY105" s="50"/>
      <c r="BZ105" s="50"/>
      <c r="CA105" s="50"/>
      <c r="CB105" s="50"/>
      <c r="CC105" s="50"/>
      <c r="CD105" s="50"/>
      <c r="CE105" s="50"/>
      <c r="CF105" s="50"/>
      <c r="CG105" s="50"/>
      <c r="CH105" s="50"/>
      <c r="CI105" s="50"/>
      <c r="CJ105" s="50"/>
      <c r="CK105" s="50"/>
      <c r="CL105" s="50"/>
      <c r="CM105" s="50"/>
      <c r="CN105" s="50"/>
      <c r="CO105" s="50"/>
      <c r="CP105" s="50"/>
      <c r="CQ105" s="50"/>
      <c r="CR105" s="50"/>
      <c r="CS105" s="50"/>
      <c r="CT105" s="50"/>
      <c r="CU105" s="50"/>
      <c r="CV105" s="50"/>
      <c r="CW105" s="50"/>
      <c r="CX105" s="50"/>
      <c r="CY105" s="50"/>
      <c r="CZ105" s="50"/>
      <c r="DA105" s="50"/>
      <c r="DB105" s="50"/>
    </row>
    <row r="106" ht="15" customHeight="1" spans="1:106" x14ac:dyDescent="0.25">
      <c r="A106" s="16" t="s">
        <v>331</v>
      </c>
      <c r="B106" s="17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  <c r="AI106" s="50"/>
      <c r="AJ106" s="50"/>
      <c r="AK106" s="50"/>
      <c r="AL106" s="50"/>
      <c r="AM106" s="50"/>
      <c r="AN106" s="50"/>
      <c r="AO106" s="50"/>
      <c r="AP106" s="50"/>
      <c r="AQ106" s="50"/>
      <c r="AR106" s="50"/>
      <c r="AS106" s="50"/>
      <c r="AT106" s="50"/>
      <c r="AU106" s="50"/>
      <c r="AV106" s="50"/>
      <c r="AW106" s="50"/>
      <c r="AX106" s="50"/>
      <c r="AY106" s="50"/>
      <c r="AZ106" s="50"/>
      <c r="BA106" s="50"/>
      <c r="BB106" s="50"/>
      <c r="BC106" s="50"/>
      <c r="BD106" s="50"/>
      <c r="BE106" s="50"/>
      <c r="BF106" s="50"/>
      <c r="BG106" s="50"/>
      <c r="BH106" s="50"/>
      <c r="BI106" s="50"/>
      <c r="BJ106" s="50"/>
      <c r="BK106" s="50"/>
      <c r="BL106" s="50"/>
      <c r="BM106" s="50"/>
      <c r="BN106" s="50"/>
      <c r="BO106" s="50"/>
      <c r="BP106" s="50"/>
      <c r="BQ106" s="50"/>
      <c r="BR106" s="50"/>
      <c r="BS106" s="50"/>
      <c r="BT106" s="50"/>
      <c r="BU106" s="50"/>
      <c r="BV106" s="50"/>
      <c r="BW106" s="50"/>
      <c r="BX106" s="50"/>
      <c r="BY106" s="50"/>
      <c r="BZ106" s="50"/>
      <c r="CA106" s="50"/>
      <c r="CB106" s="50"/>
      <c r="CC106" s="50"/>
      <c r="CD106" s="50"/>
      <c r="CE106" s="50"/>
      <c r="CF106" s="50"/>
      <c r="CG106" s="50"/>
      <c r="CH106" s="50"/>
      <c r="CI106" s="50"/>
      <c r="CJ106" s="50"/>
      <c r="CK106" s="50"/>
      <c r="CL106" s="50"/>
      <c r="CM106" s="50"/>
      <c r="CN106" s="50"/>
      <c r="CO106" s="50"/>
      <c r="CP106" s="50"/>
      <c r="CQ106" s="50"/>
      <c r="CR106" s="50"/>
      <c r="CS106" s="50"/>
      <c r="CT106" s="50"/>
      <c r="CU106" s="50"/>
      <c r="CV106" s="50"/>
      <c r="CW106" s="50"/>
      <c r="CX106" s="50"/>
      <c r="CY106" s="50"/>
      <c r="CZ106" s="50"/>
      <c r="DA106" s="50"/>
      <c r="DB106" s="50"/>
    </row>
    <row r="107" ht="15" customHeight="1" spans="1:106" x14ac:dyDescent="0.25">
      <c r="A107" s="20" t="s">
        <v>332</v>
      </c>
      <c r="B107" s="13"/>
      <c r="C107" s="64">
        <f>=IFERROR(C106/C105,0)</f>
        <v>0</v>
      </c>
      <c r="D107" s="64">
        <f>=IFERROR(D106/D105,0)</f>
        <v>0</v>
      </c>
      <c r="E107" s="64">
        <f>=IFERROR(E106/E105,0)</f>
        <v>0</v>
      </c>
      <c r="F107" s="64">
        <f>=IFERROR(F106/F105,0)</f>
        <v>0</v>
      </c>
      <c r="G107" s="64">
        <f>=IFERROR(G106/G105,0)</f>
        <v>0</v>
      </c>
      <c r="H107" s="64">
        <f>=IFERROR(H106/H105,0)</f>
        <v>0</v>
      </c>
      <c r="I107" s="64">
        <f>=IFERROR(I106/I105,0)</f>
        <v>0</v>
      </c>
      <c r="J107" s="64">
        <f>=IFERROR(J106/J105,0)</f>
        <v>0</v>
      </c>
      <c r="K107" s="64">
        <f>=IFERROR(K106/K105,0)</f>
        <v>0</v>
      </c>
      <c r="L107" s="64">
        <f>=IFERROR(L106/L105,0)</f>
        <v>0</v>
      </c>
      <c r="M107" s="64">
        <f>=IFERROR(M106/M105,0)</f>
        <v>0</v>
      </c>
      <c r="N107" s="64">
        <f>=IFERROR(N106/N105,0)</f>
        <v>0</v>
      </c>
      <c r="O107" s="64">
        <f>=IFERROR(O106/O105,0)</f>
        <v>0</v>
      </c>
      <c r="P107" s="64">
        <f>=IFERROR(P106/P105,0)</f>
        <v>0</v>
      </c>
      <c r="Q107" s="64">
        <f>=IFERROR(Q106/Q105,0)</f>
        <v>0</v>
      </c>
      <c r="R107" s="64">
        <f>=IFERROR(R106/R105,0)</f>
        <v>0</v>
      </c>
      <c r="S107" s="64">
        <f>=IFERROR(S106/S105,0)</f>
        <v>0</v>
      </c>
      <c r="T107" s="64">
        <f>=IFERROR(T106/T105,0)</f>
        <v>0</v>
      </c>
      <c r="U107" s="64">
        <f>=IFERROR(U106/U105,0)</f>
        <v>0</v>
      </c>
      <c r="V107" s="64">
        <f>=IFERROR(V106/V105,0)</f>
        <v>0</v>
      </c>
      <c r="W107" s="64">
        <f>=IFERROR(W106/W105,0)</f>
        <v>0</v>
      </c>
      <c r="X107" s="64">
        <f>=IFERROR(X106/X105,0)</f>
        <v>0</v>
      </c>
      <c r="Y107" s="64">
        <f>=IFERROR(Y106/Y105,0)</f>
        <v>0</v>
      </c>
      <c r="Z107" s="64">
        <f>=IFERROR(Z106/Z105,0)</f>
        <v>0</v>
      </c>
      <c r="AA107" s="64">
        <f>=IFERROR(AA106/AA105,0)</f>
        <v>0</v>
      </c>
      <c r="AB107" s="64">
        <f>=IFERROR(AB106/AB105,0)</f>
        <v>0</v>
      </c>
      <c r="AC107" s="64">
        <f>=IFERROR(AC106/AC105,0)</f>
        <v>0</v>
      </c>
      <c r="AD107" s="64">
        <f>=IFERROR(AD106/AD105,0)</f>
        <v>0</v>
      </c>
      <c r="AE107" s="64">
        <f>=IFERROR(AE106/AE105,0)</f>
        <v>0</v>
      </c>
      <c r="AF107" s="64">
        <f>=IFERROR(AF106/AF105,0)</f>
        <v>0</v>
      </c>
      <c r="AG107" s="64">
        <f>=IFERROR(AG106/AG105,0)</f>
        <v>0</v>
      </c>
      <c r="AH107" s="64">
        <f>=IFERROR(AH106/AH105,0)</f>
        <v>0</v>
      </c>
      <c r="AI107" s="64">
        <f>=IFERROR(AI106/AI105,0)</f>
        <v>0</v>
      </c>
      <c r="AJ107" s="64">
        <f>=IFERROR(AJ106/AJ105,0)</f>
        <v>0</v>
      </c>
      <c r="AK107" s="64">
        <f>=IFERROR(AK106/AK105,0)</f>
        <v>0</v>
      </c>
      <c r="AL107" s="64">
        <f>=IFERROR(AL106/AL105,0)</f>
        <v>0</v>
      </c>
      <c r="AM107" s="64">
        <f>=IFERROR(AM106/AM105,0)</f>
        <v>0</v>
      </c>
      <c r="AN107" s="64">
        <f>=IFERROR(AN106/AN105,0)</f>
        <v>0</v>
      </c>
      <c r="AO107" s="64">
        <f>=IFERROR(AO106/AO105,0)</f>
        <v>0</v>
      </c>
      <c r="AP107" s="64">
        <f>=IFERROR(AP106/AP105,0)</f>
        <v>0</v>
      </c>
      <c r="AQ107" s="64">
        <f>=IFERROR(AQ106/AQ105,0)</f>
        <v>0</v>
      </c>
      <c r="AR107" s="64">
        <f>=IFERROR(AR106/AR105,0)</f>
        <v>0</v>
      </c>
      <c r="AS107" s="64">
        <f>=IFERROR(AS106/AS105,0)</f>
        <v>0</v>
      </c>
      <c r="AT107" s="64">
        <f>=IFERROR(AT106/AT105,0)</f>
        <v>0</v>
      </c>
      <c r="AU107" s="64">
        <f>=IFERROR(AU106/AU105,0)</f>
        <v>0</v>
      </c>
      <c r="AV107" s="64">
        <f>=IFERROR(AV106/AV105,0)</f>
        <v>0</v>
      </c>
      <c r="AW107" s="64">
        <f>=IFERROR(AW106/AW105,0)</f>
        <v>0</v>
      </c>
      <c r="AX107" s="64">
        <f>=IFERROR(AX106/AX105,0)</f>
        <v>0</v>
      </c>
      <c r="AY107" s="64">
        <f>=IFERROR(AY106/AY105,0)</f>
        <v>0</v>
      </c>
      <c r="AZ107" s="64">
        <f>=IFERROR(AZ106/AZ105,0)</f>
        <v>0</v>
      </c>
      <c r="BA107" s="64">
        <f>=IFERROR(BA106/BA105,0)</f>
        <v>0</v>
      </c>
      <c r="BB107" s="64">
        <f>=IFERROR(BB106/BB105,0)</f>
        <v>0</v>
      </c>
      <c r="BC107" s="64">
        <f>=IFERROR(BC106/BC105,0)</f>
        <v>0</v>
      </c>
      <c r="BD107" s="64">
        <f>=IFERROR(BD106/BD105,0)</f>
        <v>0</v>
      </c>
      <c r="BE107" s="64">
        <f>=IFERROR(BE106/BE105,0)</f>
        <v>0</v>
      </c>
      <c r="BF107" s="64">
        <f>=IFERROR(BF106/BF105,0)</f>
        <v>0</v>
      </c>
      <c r="BG107" s="64">
        <f>=IFERROR(BG106/BG105,0)</f>
        <v>0</v>
      </c>
      <c r="BH107" s="64">
        <f>=IFERROR(BH106/BH105,0)</f>
        <v>0</v>
      </c>
      <c r="BI107" s="64">
        <f>=IFERROR(BI106/BI105,0)</f>
        <v>0</v>
      </c>
      <c r="BJ107" s="64">
        <f>=IFERROR(BJ106/BJ105,0)</f>
        <v>0</v>
      </c>
      <c r="BK107" s="64">
        <f>=IFERROR(BK106/BK105,0)</f>
        <v>0</v>
      </c>
      <c r="BL107" s="64">
        <f>=IFERROR(BL106/BL105,0)</f>
        <v>0</v>
      </c>
      <c r="BM107" s="64">
        <f>=IFERROR(BM106/BM105,0)</f>
        <v>0</v>
      </c>
      <c r="BN107" s="64">
        <f>=IFERROR(BN106/BN105,0)</f>
        <v>0</v>
      </c>
      <c r="BO107" s="64">
        <f>=IFERROR(BO106/BO105,0)</f>
        <v>0</v>
      </c>
      <c r="BP107" s="64">
        <f>=IFERROR(BP106/BP105,0)</f>
        <v>0</v>
      </c>
      <c r="BQ107" s="64">
        <f>=IFERROR(BQ106/BQ105,0)</f>
        <v>0</v>
      </c>
      <c r="BR107" s="64">
        <f>=IFERROR(BR106/BR105,0)</f>
        <v>0</v>
      </c>
      <c r="BS107" s="64">
        <f>=IFERROR(BS106/BS105,0)</f>
        <v>0</v>
      </c>
      <c r="BT107" s="64">
        <f>=IFERROR(BT106/BT105,0)</f>
        <v>0</v>
      </c>
      <c r="BU107" s="64">
        <f>=IFERROR(BU106/BU105,0)</f>
        <v>0</v>
      </c>
      <c r="BV107" s="64">
        <f>=IFERROR(BV106/BV105,0)</f>
        <v>0</v>
      </c>
      <c r="BW107" s="64">
        <f>=IFERROR(BW106/BW105,0)</f>
        <v>0</v>
      </c>
      <c r="BX107" s="64">
        <f>=IFERROR(BX106/BX105,0)</f>
        <v>0</v>
      </c>
      <c r="BY107" s="64">
        <f>=IFERROR(BY106/BY105,0)</f>
        <v>0</v>
      </c>
      <c r="BZ107" s="64">
        <f>=IFERROR(BZ106/BZ105,0)</f>
        <v>0</v>
      </c>
      <c r="CA107" s="64">
        <f>=IFERROR(CA106/CA105,0)</f>
        <v>0</v>
      </c>
      <c r="CB107" s="64">
        <f>=IFERROR(CB106/CB105,0)</f>
        <v>0</v>
      </c>
      <c r="CC107" s="64">
        <f>=IFERROR(CC106/CC105,0)</f>
        <v>0</v>
      </c>
      <c r="CD107" s="64">
        <f>=IFERROR(CD106/CD105,0)</f>
        <v>0</v>
      </c>
      <c r="CE107" s="64">
        <f>=IFERROR(CE106/CE105,0)</f>
        <v>0</v>
      </c>
      <c r="CF107" s="64">
        <f>=IFERROR(CF106/CF105,0)</f>
        <v>0</v>
      </c>
      <c r="CG107" s="64">
        <f>=IFERROR(CG106/CG105,0)</f>
        <v>0</v>
      </c>
      <c r="CH107" s="64">
        <f>=IFERROR(CH106/CH105,0)</f>
        <v>0</v>
      </c>
      <c r="CI107" s="64">
        <f>=IFERROR(CI106/CI105,0)</f>
        <v>0</v>
      </c>
      <c r="CJ107" s="64">
        <f>=IFERROR(CJ106/CJ105,0)</f>
        <v>0</v>
      </c>
      <c r="CK107" s="64">
        <f>=IFERROR(CK106/CK105,0)</f>
        <v>0</v>
      </c>
      <c r="CL107" s="64">
        <f>=IFERROR(CL106/CL105,0)</f>
        <v>0</v>
      </c>
      <c r="CM107" s="64">
        <f>=IFERROR(CM106/CM105,0)</f>
        <v>0</v>
      </c>
      <c r="CN107" s="64">
        <f>=IFERROR(CN106/CN105,0)</f>
        <v>0</v>
      </c>
      <c r="CO107" s="64">
        <f>=IFERROR(CO106/CO105,0)</f>
        <v>0</v>
      </c>
      <c r="CP107" s="64">
        <f>=IFERROR(CP106/CP105,0)</f>
        <v>0</v>
      </c>
      <c r="CQ107" s="64">
        <f>=IFERROR(CQ106/CQ105,0)</f>
        <v>0</v>
      </c>
      <c r="CR107" s="64">
        <f>=IFERROR(CR106/CR105,0)</f>
        <v>0</v>
      </c>
      <c r="CS107" s="64">
        <f>=IFERROR(CS106/CS105,0)</f>
        <v>0</v>
      </c>
      <c r="CT107" s="64">
        <f>=IFERROR(CT106/CT105,0)</f>
        <v>0</v>
      </c>
      <c r="CU107" s="64">
        <f>=IFERROR(CU106/CU105,0)</f>
        <v>0</v>
      </c>
      <c r="CV107" s="64">
        <f>=IFERROR(CV106/CV105,0)</f>
        <v>0</v>
      </c>
      <c r="CW107" s="64">
        <f>=IFERROR(CW106/CW105,0)</f>
        <v>0</v>
      </c>
      <c r="CX107" s="64">
        <f>=IFERROR(CX106/CX105,0)</f>
        <v>0</v>
      </c>
      <c r="CY107" s="64">
        <f>=IFERROR(CY106/CY105,0)</f>
        <v>0</v>
      </c>
      <c r="CZ107" s="64">
        <f>=IFERROR(CZ106/CZ105,0)</f>
        <v>0</v>
      </c>
      <c r="DA107" s="64">
        <f>=IFERROR(DA106/DA105,0)</f>
        <v>0</v>
      </c>
      <c r="DB107" s="64">
        <f>=IFERROR(DB106/DB105,0)</f>
        <v>0</v>
      </c>
    </row>
    <row r="108" spans="1:106" x14ac:dyDescent="0.25">
      <c r="A108" s="17" t="s">
        <v>333</v>
      </c>
      <c r="B108" s="65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6"/>
      <c r="AQ108" s="66"/>
      <c r="AR108" s="66"/>
      <c r="AS108" s="66"/>
      <c r="AT108" s="66"/>
      <c r="AU108" s="66"/>
      <c r="AV108" s="66"/>
      <c r="AW108" s="66"/>
      <c r="AX108" s="66"/>
      <c r="AY108" s="66"/>
      <c r="AZ108" s="66"/>
      <c r="BA108" s="66"/>
      <c r="BB108" s="66"/>
      <c r="BC108" s="66"/>
      <c r="BD108" s="66"/>
      <c r="BE108" s="66"/>
      <c r="BF108" s="66"/>
      <c r="BG108" s="66"/>
      <c r="BH108" s="66"/>
      <c r="BI108" s="66"/>
      <c r="BJ108" s="66"/>
      <c r="BK108" s="66"/>
      <c r="BL108" s="66"/>
      <c r="BM108" s="66"/>
      <c r="BN108" s="66"/>
      <c r="BO108" s="66"/>
      <c r="BP108" s="66"/>
      <c r="BQ108" s="66"/>
      <c r="BR108" s="66"/>
      <c r="BS108" s="66"/>
      <c r="BT108" s="66"/>
      <c r="BU108" s="66"/>
      <c r="BV108" s="66"/>
      <c r="BW108" s="66"/>
      <c r="BX108" s="66"/>
      <c r="BY108" s="66"/>
      <c r="BZ108" s="66"/>
      <c r="CA108" s="66"/>
      <c r="CB108" s="66"/>
      <c r="CC108" s="66"/>
      <c r="CD108" s="66"/>
      <c r="CE108" s="66"/>
      <c r="CF108" s="66"/>
      <c r="CG108" s="66"/>
      <c r="CH108" s="66"/>
      <c r="CI108" s="66"/>
      <c r="CJ108" s="66"/>
      <c r="CK108" s="66"/>
      <c r="CL108" s="66"/>
      <c r="CM108" s="66"/>
      <c r="CN108" s="66"/>
      <c r="CO108" s="66"/>
      <c r="CP108" s="66"/>
      <c r="CQ108" s="66"/>
      <c r="CR108" s="66"/>
      <c r="CS108" s="66"/>
      <c r="CT108" s="66"/>
      <c r="CU108" s="66"/>
      <c r="CV108" s="66"/>
      <c r="CW108" s="66"/>
      <c r="CX108" s="66"/>
      <c r="CY108" s="66"/>
      <c r="CZ108" s="66"/>
      <c r="DA108" s="66"/>
      <c r="DB108" s="66"/>
    </row>
    <row r="109" spans="1:106" x14ac:dyDescent="0.25">
      <c r="A109" s="17" t="s">
        <v>334</v>
      </c>
      <c r="B109" s="65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6"/>
      <c r="AT109" s="66"/>
      <c r="AU109" s="66"/>
      <c r="AV109" s="66"/>
      <c r="AW109" s="66"/>
      <c r="AX109" s="66"/>
      <c r="AY109" s="66"/>
      <c r="AZ109" s="66"/>
      <c r="BA109" s="66"/>
      <c r="BB109" s="66"/>
      <c r="BC109" s="66"/>
      <c r="BD109" s="66"/>
      <c r="BE109" s="66"/>
      <c r="BF109" s="66"/>
      <c r="BG109" s="66"/>
      <c r="BH109" s="66"/>
      <c r="BI109" s="66"/>
      <c r="BJ109" s="66"/>
      <c r="BK109" s="66"/>
      <c r="BL109" s="66"/>
      <c r="BM109" s="66"/>
      <c r="BN109" s="66"/>
      <c r="BO109" s="66"/>
      <c r="BP109" s="66"/>
      <c r="BQ109" s="66"/>
      <c r="BR109" s="66"/>
      <c r="BS109" s="66"/>
      <c r="BT109" s="66"/>
      <c r="BU109" s="66"/>
      <c r="BV109" s="66"/>
      <c r="BW109" s="66"/>
      <c r="BX109" s="66"/>
      <c r="BY109" s="66"/>
      <c r="BZ109" s="66"/>
      <c r="CA109" s="66"/>
      <c r="CB109" s="66"/>
      <c r="CC109" s="66"/>
      <c r="CD109" s="66"/>
      <c r="CE109" s="66"/>
      <c r="CF109" s="66"/>
      <c r="CG109" s="66"/>
      <c r="CH109" s="66"/>
      <c r="CI109" s="66"/>
      <c r="CJ109" s="66"/>
      <c r="CK109" s="66"/>
      <c r="CL109" s="66"/>
      <c r="CM109" s="66"/>
      <c r="CN109" s="66"/>
      <c r="CO109" s="66"/>
      <c r="CP109" s="66"/>
      <c r="CQ109" s="66"/>
      <c r="CR109" s="66"/>
      <c r="CS109" s="66"/>
      <c r="CT109" s="66"/>
      <c r="CU109" s="66"/>
      <c r="CV109" s="66"/>
      <c r="CW109" s="66"/>
      <c r="CX109" s="66"/>
      <c r="CY109" s="66"/>
      <c r="CZ109" s="66"/>
      <c r="DA109" s="66"/>
      <c r="DB109" s="66"/>
    </row>
    <row r="110" spans="1:106" x14ac:dyDescent="0.25">
      <c r="A110" s="17" t="s">
        <v>335</v>
      </c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  <c r="AX110" s="30"/>
      <c r="AY110" s="30"/>
      <c r="AZ110" s="30"/>
      <c r="BA110" s="30"/>
      <c r="BB110" s="30"/>
      <c r="BC110" s="30"/>
      <c r="BD110" s="30"/>
      <c r="BE110" s="30"/>
      <c r="BF110" s="30"/>
      <c r="BG110" s="30"/>
      <c r="BH110" s="30"/>
      <c r="BI110" s="30"/>
      <c r="BJ110" s="30"/>
      <c r="BK110" s="30"/>
      <c r="BL110" s="30"/>
      <c r="BM110" s="30"/>
      <c r="BN110" s="30"/>
      <c r="BO110" s="30"/>
      <c r="BP110" s="30"/>
      <c r="BQ110" s="30"/>
      <c r="BR110" s="30"/>
      <c r="BS110" s="30"/>
      <c r="BT110" s="30"/>
      <c r="BU110" s="30"/>
      <c r="BV110" s="30"/>
      <c r="BW110" s="30"/>
      <c r="BX110" s="30"/>
      <c r="BY110" s="30"/>
      <c r="BZ110" s="30"/>
      <c r="CA110" s="30"/>
      <c r="CB110" s="30"/>
      <c r="CC110" s="30"/>
      <c r="CD110" s="30"/>
      <c r="CE110" s="30"/>
      <c r="CF110" s="30"/>
      <c r="CG110" s="30"/>
      <c r="CH110" s="30"/>
      <c r="CI110" s="30"/>
      <c r="CJ110" s="30"/>
      <c r="CK110" s="30"/>
      <c r="CL110" s="30"/>
      <c r="CM110" s="30"/>
      <c r="CN110" s="30"/>
      <c r="CO110" s="30"/>
      <c r="CP110" s="30"/>
      <c r="CQ110" s="30"/>
      <c r="CR110" s="30"/>
      <c r="CS110" s="30"/>
      <c r="CT110" s="30"/>
      <c r="CU110" s="30"/>
      <c r="CV110" s="30"/>
      <c r="CW110" s="30"/>
      <c r="CX110" s="30"/>
      <c r="CY110" s="30"/>
      <c r="CZ110" s="30"/>
      <c r="DA110" s="30"/>
      <c r="DB110" s="30"/>
    </row>
    <row r="111" spans="1:106" x14ac:dyDescent="0.25">
      <c r="A111" s="17" t="s">
        <v>266</v>
      </c>
      <c r="C111" s="28">
        <f>=C109+C108</f>
        <v>0</v>
      </c>
      <c r="D111" s="28">
        <f>=D109+D108</f>
        <v>0</v>
      </c>
      <c r="E111" s="28">
        <f>=E109+E108</f>
        <v>0</v>
      </c>
      <c r="F111" s="28">
        <f>=F109+F108</f>
        <v>0</v>
      </c>
      <c r="G111" s="28">
        <f>=G109+G108</f>
        <v>0</v>
      </c>
      <c r="H111" s="28">
        <f>=H109+H108</f>
        <v>0</v>
      </c>
      <c r="I111" s="28">
        <f>=I109+I108</f>
        <v>0</v>
      </c>
      <c r="J111" s="28">
        <f>=J109+J108</f>
        <v>0</v>
      </c>
      <c r="K111" s="28">
        <f>=K109+K108</f>
        <v>0</v>
      </c>
      <c r="L111" s="28">
        <f>=L109+L108</f>
        <v>0</v>
      </c>
      <c r="M111" s="28">
        <f>=M109+M108</f>
        <v>0</v>
      </c>
      <c r="N111" s="28">
        <f>=N109+N108</f>
        <v>0</v>
      </c>
      <c r="O111" s="28">
        <f>=O109+O108</f>
        <v>0</v>
      </c>
      <c r="P111" s="28">
        <f>=P109+P108</f>
        <v>0</v>
      </c>
      <c r="Q111" s="28">
        <f>=Q109+Q108</f>
        <v>0</v>
      </c>
      <c r="R111" s="28">
        <f>=R109+R108</f>
        <v>0</v>
      </c>
      <c r="S111" s="28">
        <f>=S109+S108</f>
        <v>0</v>
      </c>
      <c r="T111" s="28">
        <f>=T109+T108</f>
        <v>0</v>
      </c>
      <c r="U111" s="28">
        <f>=U109+U108</f>
        <v>0</v>
      </c>
      <c r="V111" s="28">
        <f>=V109+V108</f>
        <v>0</v>
      </c>
      <c r="W111" s="28">
        <f>=W109+W108</f>
        <v>0</v>
      </c>
      <c r="X111" s="28">
        <f>=X109+X108</f>
        <v>0</v>
      </c>
      <c r="Y111" s="28">
        <f>=Y109+Y108</f>
        <v>0</v>
      </c>
      <c r="Z111" s="28">
        <f>=Z109+Z108</f>
        <v>0</v>
      </c>
      <c r="AA111" s="28">
        <f>=AA109+AA108</f>
        <v>0</v>
      </c>
      <c r="AB111" s="28">
        <f>=AB109+AB108</f>
        <v>0</v>
      </c>
      <c r="AC111" s="28">
        <f>=AC109+AC108</f>
        <v>0</v>
      </c>
      <c r="AD111" s="28">
        <f>=AD109+AD108</f>
        <v>0</v>
      </c>
      <c r="AE111" s="28">
        <f>=AE109+AE108</f>
        <v>0</v>
      </c>
      <c r="AF111" s="28">
        <f>=AF109+AF108</f>
        <v>0</v>
      </c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30"/>
      <c r="CD111" s="30"/>
      <c r="CE111" s="30"/>
      <c r="CF111" s="30"/>
      <c r="CG111" s="30"/>
      <c r="CH111" s="30"/>
      <c r="CI111" s="30"/>
      <c r="CJ111" s="30"/>
      <c r="CK111" s="30"/>
      <c r="CL111" s="30"/>
      <c r="CM111" s="30"/>
      <c r="CN111" s="30"/>
      <c r="CO111" s="30"/>
      <c r="CP111" s="30"/>
      <c r="CQ111" s="30"/>
      <c r="CR111" s="30"/>
      <c r="CS111" s="30"/>
      <c r="CT111" s="30"/>
      <c r="CU111" s="30"/>
      <c r="CV111" s="30"/>
      <c r="CW111" s="30"/>
      <c r="CX111" s="30"/>
      <c r="CY111" s="30"/>
      <c r="CZ111" s="30"/>
      <c r="DA111" s="30"/>
      <c r="DB111" s="30"/>
    </row>
    <row r="112" spans="1:106" x14ac:dyDescent="0.25">
      <c r="A112" s="17" t="s">
        <v>266</v>
      </c>
      <c r="C112" s="30"/>
      <c r="D112" s="28">
        <f>=C111*(1-D$43)</f>
        <v>0</v>
      </c>
      <c r="E112" s="28">
        <f>=D111*(1-E$43)</f>
        <v>0</v>
      </c>
      <c r="F112" s="28">
        <f>=E111*(1-F$43)</f>
        <v>0</v>
      </c>
      <c r="G112" s="28">
        <f>=F111*(1-G$43)</f>
        <v>0</v>
      </c>
      <c r="H112" s="28">
        <f>=G111*(1-H$43)</f>
        <v>0</v>
      </c>
      <c r="I112" s="28">
        <f>=H111*(1-I$43)</f>
        <v>0</v>
      </c>
      <c r="J112" s="28">
        <f>=I111*(1-J$43)</f>
        <v>0</v>
      </c>
      <c r="K112" s="28">
        <f>=J111*(1-K$43)</f>
        <v>0</v>
      </c>
      <c r="L112" s="28">
        <f>=K111*(1-L$43)</f>
        <v>0</v>
      </c>
      <c r="M112" s="28">
        <f>=L111*(1-M$43)</f>
        <v>0</v>
      </c>
      <c r="N112" s="28">
        <f>=M111*(1-N$43)</f>
        <v>0</v>
      </c>
      <c r="O112" s="28">
        <f>=N111*(1-O$43)</f>
        <v>0</v>
      </c>
      <c r="P112" s="28">
        <f>=O111*(1-P$43)</f>
        <v>0</v>
      </c>
      <c r="Q112" s="28">
        <f>=P111*(1-Q$43)</f>
        <v>0</v>
      </c>
      <c r="R112" s="28">
        <f>=Q111*(1-R$43)</f>
        <v>0</v>
      </c>
      <c r="S112" s="28">
        <f>=R111*(1-S$43)</f>
        <v>0</v>
      </c>
      <c r="T112" s="28">
        <f>=S111*(1-T$43)</f>
        <v>0</v>
      </c>
      <c r="U112" s="28">
        <f>=T111*(1-U$43)</f>
        <v>0</v>
      </c>
      <c r="V112" s="28">
        <f>=U111*(1-V$43)</f>
        <v>0</v>
      </c>
      <c r="W112" s="28">
        <f>=V111*(1-W$43)</f>
        <v>0</v>
      </c>
      <c r="X112" s="28">
        <f>=W111*(1-X$43)</f>
        <v>0</v>
      </c>
      <c r="Y112" s="28">
        <f>=X111*(1-Y$43)</f>
        <v>0</v>
      </c>
      <c r="Z112" s="28">
        <f>=Y111*(1-Z$43)</f>
        <v>0</v>
      </c>
      <c r="AA112" s="28">
        <f>=Z111*(1-AA$43)</f>
        <v>0</v>
      </c>
      <c r="AB112" s="28">
        <f>=AA111*(1-AB$43)</f>
        <v>0</v>
      </c>
      <c r="AC112" s="28">
        <f>=AB111*(1-AC$43)</f>
        <v>0</v>
      </c>
      <c r="AD112" s="28">
        <f>=AC111*(1-AD$43)</f>
        <v>0</v>
      </c>
      <c r="AE112" s="28">
        <f>=AD111*(1-AE$43)</f>
        <v>0</v>
      </c>
      <c r="AF112" s="28">
        <f>=AE111*(1-AF$43)</f>
        <v>0</v>
      </c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30"/>
      <c r="CD112" s="30"/>
      <c r="CE112" s="30"/>
      <c r="CF112" s="30"/>
      <c r="CG112" s="30"/>
      <c r="CH112" s="30"/>
      <c r="CI112" s="30"/>
      <c r="CJ112" s="30"/>
      <c r="CK112" s="30"/>
      <c r="CL112" s="30"/>
      <c r="CM112" s="30"/>
      <c r="CN112" s="30"/>
      <c r="CO112" s="30"/>
      <c r="CP112" s="30"/>
      <c r="CQ112" s="30"/>
      <c r="CR112" s="30"/>
      <c r="CS112" s="30"/>
      <c r="CT112" s="30"/>
      <c r="CU112" s="30"/>
      <c r="CV112" s="30"/>
      <c r="CW112" s="30"/>
      <c r="CX112" s="30"/>
      <c r="CY112" s="30"/>
      <c r="CZ112" s="30"/>
      <c r="DA112" s="30"/>
      <c r="DB112" s="30"/>
    </row>
    <row r="113" spans="1:106" x14ac:dyDescent="0.25">
      <c r="A113" s="17" t="s">
        <v>336</v>
      </c>
      <c r="C113" s="17">
        <v>0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3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2</v>
      </c>
      <c r="AB113" s="17">
        <v>0</v>
      </c>
      <c r="AC113" s="17">
        <v>0</v>
      </c>
      <c r="AD113" s="17">
        <v>0</v>
      </c>
      <c r="AE113" s="17">
        <v>0</v>
      </c>
      <c r="AF113" s="17">
        <v>2</v>
      </c>
      <c r="AG113" s="17">
        <v>0</v>
      </c>
      <c r="AH113" s="17">
        <v>0</v>
      </c>
      <c r="AI113" s="17">
        <v>0</v>
      </c>
      <c r="AJ113" s="17">
        <v>0</v>
      </c>
      <c r="AK113" s="17">
        <v>2</v>
      </c>
      <c r="AL113" s="17">
        <v>0</v>
      </c>
      <c r="AM113" s="17">
        <v>0</v>
      </c>
      <c r="AN113" s="17">
        <v>0</v>
      </c>
      <c r="AO113" s="17">
        <v>0</v>
      </c>
      <c r="AP113" s="17">
        <v>0</v>
      </c>
      <c r="AQ113" s="17">
        <v>0</v>
      </c>
      <c r="AR113" s="17">
        <v>0</v>
      </c>
      <c r="AS113" s="17">
        <v>0</v>
      </c>
      <c r="AT113" s="17">
        <v>0</v>
      </c>
      <c r="AU113" s="17">
        <v>11</v>
      </c>
      <c r="AV113" s="17">
        <v>0</v>
      </c>
      <c r="AW113" s="17">
        <v>2</v>
      </c>
      <c r="AX113" s="17">
        <v>0</v>
      </c>
      <c r="AY113" s="17">
        <v>0</v>
      </c>
      <c r="AZ113" s="17">
        <v>0</v>
      </c>
      <c r="BA113" s="17">
        <v>0</v>
      </c>
      <c r="BB113" s="17">
        <v>0</v>
      </c>
      <c r="BC113" s="17">
        <v>0</v>
      </c>
      <c r="BD113" s="17">
        <f>=SUM(BD108:BD109)</f>
        <v>0</v>
      </c>
      <c r="BE113" s="67">
        <v>3</v>
      </c>
      <c r="BF113" s="67">
        <f>=SUM(BF108:BF109)</f>
        <v>0</v>
      </c>
      <c r="BG113" s="67">
        <f>=SUM(BG108:BG109)</f>
        <v>0</v>
      </c>
      <c r="BH113" s="67">
        <v>2</v>
      </c>
      <c r="BI113" s="67">
        <f>=SUM(BI108:BI109)</f>
        <v>0</v>
      </c>
      <c r="BJ113" s="67">
        <v>2</v>
      </c>
      <c r="BK113" s="67">
        <f>=SUM(BK108:BK109)</f>
        <v>0</v>
      </c>
      <c r="BL113" s="67">
        <f>=SUM(BL108:BL109)</f>
        <v>0</v>
      </c>
      <c r="BM113" s="67">
        <f>=SUM(BM108:BM109)</f>
        <v>0</v>
      </c>
      <c r="BN113" s="67">
        <f>=SUM(BN108:BN109)</f>
        <v>0</v>
      </c>
      <c r="BO113" s="67">
        <f>=SUM(BO108:BO109)</f>
        <v>0</v>
      </c>
      <c r="BP113" s="67">
        <f>=SUM(BP108:BP109)</f>
        <v>0</v>
      </c>
      <c r="BQ113" s="67">
        <f>=SUM(BQ108:BQ109)</f>
        <v>0</v>
      </c>
      <c r="BR113" s="67">
        <f>=SUM(BR108:BR109)</f>
        <v>0</v>
      </c>
      <c r="BS113" s="67">
        <f>=SUM(BS108:BS109)</f>
        <v>0</v>
      </c>
      <c r="BT113" s="67">
        <f>=SUM(BT108:BT109)</f>
        <v>0</v>
      </c>
      <c r="BU113" s="67">
        <f>=SUM(BU108:BU109)</f>
        <v>0</v>
      </c>
      <c r="BV113" s="67">
        <f>=SUM(BV108:BV109)</f>
        <v>0</v>
      </c>
      <c r="BW113" s="67">
        <f>=SUM(BW108:BW109)</f>
        <v>0</v>
      </c>
      <c r="BX113" s="67">
        <f>=SUM(BX108:BX109)</f>
        <v>0</v>
      </c>
      <c r="BY113" s="67">
        <f>=SUM(BY108:BY109)</f>
        <v>0</v>
      </c>
      <c r="BZ113" s="67">
        <f>=SUM(BZ108:BZ109)</f>
        <v>0</v>
      </c>
      <c r="CA113" s="67">
        <f>=SUM(CA108:CA109)</f>
        <v>0</v>
      </c>
      <c r="CB113" s="67">
        <f>=SUM(CB108:CB109)</f>
        <v>0</v>
      </c>
      <c r="CC113" s="67">
        <f>=SUM(CC108:CC109)</f>
        <v>0</v>
      </c>
      <c r="CD113" s="67">
        <f>=SUM(CD108:CD109)</f>
        <v>0</v>
      </c>
      <c r="CE113" s="67">
        <f>=SUM(CE108:CE109)</f>
        <v>0</v>
      </c>
      <c r="CF113" s="67">
        <f>=SUM(CF108:CF109)</f>
        <v>0</v>
      </c>
      <c r="CG113" s="67">
        <f>=SUM(CG108:CG109)</f>
        <v>0</v>
      </c>
      <c r="CH113" s="67">
        <f>=SUM(CH108:CH109)</f>
        <v>0</v>
      </c>
      <c r="CI113" s="67">
        <f>=SUM(CI108:CI109)</f>
        <v>0</v>
      </c>
      <c r="CJ113" s="67">
        <f>=SUM(CJ108:CJ109)</f>
        <v>0</v>
      </c>
      <c r="CK113" s="67">
        <f>=SUM(CK108:CK109)</f>
        <v>0</v>
      </c>
      <c r="CL113" s="67">
        <f>=SUM(CL108:CL109)</f>
        <v>0</v>
      </c>
      <c r="CM113" s="67">
        <f>=SUM(CM108:CM109)</f>
        <v>0</v>
      </c>
      <c r="CN113" s="67">
        <f>=SUM(CN108:CN109)</f>
        <v>0</v>
      </c>
      <c r="CO113" s="67">
        <f>=SUM(CO108:CO109)</f>
        <v>0</v>
      </c>
      <c r="CP113" s="67">
        <f>=SUM(CP108:CP109)</f>
        <v>0</v>
      </c>
      <c r="CQ113" s="67">
        <f>=SUM(CQ108:CQ109)</f>
        <v>0</v>
      </c>
      <c r="CR113" s="67">
        <f>=SUM(CR108:CR109)</f>
        <v>0</v>
      </c>
      <c r="CS113" s="67">
        <f>=SUM(CS108:CS109)</f>
        <v>0</v>
      </c>
      <c r="CT113" s="67">
        <f>=SUM(CT108:CT109)</f>
        <v>0</v>
      </c>
      <c r="CU113" s="67">
        <f>=SUM(CU108:CU109)</f>
        <v>0</v>
      </c>
      <c r="CV113" s="67">
        <f>=SUM(CV108:CV109)</f>
        <v>0</v>
      </c>
      <c r="CW113" s="67">
        <f>=SUM(CW108:CW109)</f>
        <v>0</v>
      </c>
      <c r="CX113" s="67">
        <f>=SUM(CX108:CX109)</f>
        <v>0</v>
      </c>
      <c r="CY113" s="67">
        <f>=SUM(CY108:CY109)</f>
        <v>0</v>
      </c>
      <c r="CZ113" s="67">
        <f>=SUM(CZ108:CZ109)</f>
        <v>0</v>
      </c>
      <c r="DA113" s="67">
        <f>=SUM(DA108:DA109)</f>
        <v>0</v>
      </c>
      <c r="DB113" s="67">
        <f>=SUM(DB108:DB109)</f>
        <v>0</v>
      </c>
    </row>
    <row r="114" spans="1:106" x14ac:dyDescent="0.25">
      <c r="A114" s="17" t="s">
        <v>337</v>
      </c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</row>
    <row r="115" spans="1:106" x14ac:dyDescent="0.25">
      <c r="A115" s="17" t="s">
        <v>338</v>
      </c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</row>
    <row r="116" spans="1:106" x14ac:dyDescent="0.25">
      <c r="A116" s="17" t="s">
        <v>411</v>
      </c>
      <c r="C116" s="17">
        <v>0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4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17">
        <v>0</v>
      </c>
      <c r="AB116" s="95">
        <v>1.92</v>
      </c>
      <c r="AC116" s="17">
        <v>0</v>
      </c>
      <c r="AD116" s="17">
        <v>0</v>
      </c>
      <c r="AE116" s="17">
        <v>0</v>
      </c>
      <c r="AF116" s="17">
        <v>0</v>
      </c>
      <c r="AG116" s="95">
        <v>1.92</v>
      </c>
      <c r="AH116" s="17">
        <v>0</v>
      </c>
      <c r="AI116" s="17">
        <v>0</v>
      </c>
      <c r="AJ116" s="17">
        <v>0</v>
      </c>
      <c r="AK116" s="17">
        <v>0</v>
      </c>
      <c r="AL116" s="17">
        <v>2</v>
      </c>
      <c r="AM116" s="17">
        <v>0</v>
      </c>
      <c r="AN116" s="17">
        <v>0</v>
      </c>
      <c r="AO116" s="17">
        <v>0</v>
      </c>
      <c r="AP116" s="17">
        <v>0</v>
      </c>
      <c r="AQ116" s="17">
        <v>0</v>
      </c>
      <c r="AR116" s="17">
        <v>0</v>
      </c>
      <c r="AS116" s="17">
        <v>0</v>
      </c>
      <c r="AT116" s="17">
        <v>0</v>
      </c>
      <c r="AU116" s="17">
        <v>0</v>
      </c>
      <c r="AV116" s="17">
        <v>10</v>
      </c>
      <c r="AW116" s="17">
        <v>0</v>
      </c>
      <c r="AX116" s="17">
        <v>2</v>
      </c>
      <c r="AY116" s="17">
        <v>0</v>
      </c>
      <c r="AZ116" s="17">
        <v>0</v>
      </c>
      <c r="BA116" s="17">
        <v>0</v>
      </c>
      <c r="BB116" s="17">
        <v>0</v>
      </c>
      <c r="BC116" s="17">
        <v>0</v>
      </c>
      <c r="BD116" s="17">
        <v>0</v>
      </c>
      <c r="BE116" s="67">
        <f>=BD115*(1-BE$43)</f>
        <v>0</v>
      </c>
      <c r="BF116" s="67">
        <v>4</v>
      </c>
      <c r="BG116" s="67">
        <f>=BF113*(1-BG$43)</f>
        <v>0</v>
      </c>
      <c r="BH116" s="67">
        <f>=BG113*(1-BH$43)</f>
        <v>0</v>
      </c>
      <c r="BI116" s="67">
        <f>=BH113*(1-BI$43)</f>
        <v>1.92</v>
      </c>
      <c r="BJ116" s="67">
        <f>=BI113*(1-BJ$43)</f>
        <v>0</v>
      </c>
      <c r="BK116" s="67">
        <f>=BJ113*(1-BK$43)</f>
        <v>1.92</v>
      </c>
      <c r="BL116" s="67">
        <f>=BK113*(1-BL$43)</f>
        <v>0</v>
      </c>
      <c r="BM116" s="67">
        <f>=BL113*(1-BM$43)</f>
        <v>0</v>
      </c>
      <c r="BN116" s="67">
        <f>=BM113*(1-BN$43)</f>
        <v>0</v>
      </c>
      <c r="BO116" s="67">
        <f>=BN113*(1-BO$43)</f>
        <v>0</v>
      </c>
      <c r="BP116" s="67">
        <f>=BO113*(1-BP$43)</f>
        <v>0</v>
      </c>
      <c r="BQ116" s="67">
        <f>=BP113*(1-BQ$43)</f>
        <v>0</v>
      </c>
      <c r="BR116" s="67">
        <f>=BQ113*(1-BR$43)</f>
        <v>0</v>
      </c>
      <c r="BS116" s="67">
        <f>=BR113*(1-BS$43)</f>
        <v>0</v>
      </c>
      <c r="BT116" s="67">
        <f>=BS113*(1-BT$43)</f>
        <v>0</v>
      </c>
      <c r="BU116" s="67">
        <f>=BT113*(1-BU$43)</f>
        <v>0</v>
      </c>
      <c r="BV116" s="67">
        <f>=BU113*(1-BV$43)</f>
        <v>0</v>
      </c>
      <c r="BW116" s="67">
        <f>=BV113*(1-BW$43)</f>
        <v>0</v>
      </c>
      <c r="BX116" s="67">
        <f>=BW113*(1-BX$43)</f>
        <v>0</v>
      </c>
      <c r="BY116" s="67">
        <f>=BX113*(1-BY$43)</f>
        <v>0</v>
      </c>
      <c r="BZ116" s="67">
        <f>=BY113*(1-BZ$43)</f>
        <v>0</v>
      </c>
      <c r="CA116" s="67">
        <f>=BZ113*(1-CA$43)</f>
        <v>0</v>
      </c>
      <c r="CB116" s="67">
        <f>=CA113*(1-CB$43)</f>
        <v>0</v>
      </c>
      <c r="CC116" s="67">
        <f>=CB113*(1-CC$43)</f>
        <v>0</v>
      </c>
      <c r="CD116" s="67">
        <f>=CC113*(1-CD$43)</f>
        <v>0</v>
      </c>
      <c r="CE116" s="67">
        <f>=CD113*(1-CE$43)</f>
        <v>0</v>
      </c>
      <c r="CF116" s="67">
        <f>=CE113*(1-CF$43)</f>
        <v>0</v>
      </c>
      <c r="CG116" s="67">
        <f>=CF113*(1-CG$43)</f>
        <v>0</v>
      </c>
      <c r="CH116" s="67">
        <f>=CG113*(1-CH$43)</f>
        <v>0</v>
      </c>
      <c r="CI116" s="67">
        <f>=CH113*(1-CI$43)</f>
        <v>0</v>
      </c>
      <c r="CJ116" s="67">
        <f>=CI113*(1-CJ$43)</f>
        <v>0</v>
      </c>
      <c r="CK116" s="67">
        <f>=CJ113*(1-CK$43)</f>
        <v>0</v>
      </c>
      <c r="CL116" s="67">
        <f>=CK113*(1-CL$43)</f>
        <v>0</v>
      </c>
      <c r="CM116" s="67">
        <f>=CL113*(1-CM$43)</f>
        <v>0</v>
      </c>
      <c r="CN116" s="67">
        <f>=CM113*(1-CN$43)</f>
        <v>0</v>
      </c>
      <c r="CO116" s="67">
        <f>=CN113*(1-CO$43)</f>
        <v>0</v>
      </c>
      <c r="CP116" s="67">
        <f>=CO113*(1-CP$43)</f>
        <v>0</v>
      </c>
      <c r="CQ116" s="67">
        <f>=CP113*(1-CQ$43)</f>
        <v>0</v>
      </c>
      <c r="CR116" s="67">
        <f>=CQ113*(1-CR$43)</f>
        <v>0</v>
      </c>
      <c r="CS116" s="67">
        <f>=CR113*(1-CS$43)</f>
        <v>0</v>
      </c>
      <c r="CT116" s="67">
        <f>=CS113*(1-CT$43)</f>
        <v>0</v>
      </c>
      <c r="CU116" s="67">
        <f>=CT113*(1-CU$43)</f>
        <v>0</v>
      </c>
      <c r="CV116" s="67">
        <f>=CU113*(1-CV$43)</f>
        <v>0</v>
      </c>
      <c r="CW116" s="67">
        <f>=CV113*(1-CW$43)</f>
        <v>0</v>
      </c>
      <c r="CX116" s="67">
        <f>=CW113*(1-CX$43)</f>
        <v>0</v>
      </c>
      <c r="CY116" s="67">
        <f>=CX113*(1-CY$43)</f>
        <v>0</v>
      </c>
      <c r="CZ116" s="67">
        <f>=CY113*(1-CZ$43)</f>
        <v>0</v>
      </c>
      <c r="DA116" s="67">
        <f>=CZ113*(1-DA$43)</f>
        <v>0</v>
      </c>
      <c r="DB116" s="67">
        <f>=DA113*(1-DB$43)</f>
        <v>0</v>
      </c>
    </row>
    <row r="117" spans="1:106" x14ac:dyDescent="0.25">
      <c r="A117" s="17" t="s">
        <v>266</v>
      </c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</row>
    <row r="118" spans="1:106" x14ac:dyDescent="0.25">
      <c r="A118" s="17" t="s">
        <v>341</v>
      </c>
      <c r="C118" s="17">
        <v>0</v>
      </c>
      <c r="D118" s="17">
        <v>0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17">
        <v>0</v>
      </c>
      <c r="K118" s="17">
        <v>4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7">
        <v>0</v>
      </c>
      <c r="T118" s="17">
        <v>0</v>
      </c>
      <c r="U118" s="17">
        <v>0</v>
      </c>
      <c r="V118" s="17">
        <v>0</v>
      </c>
      <c r="W118" s="17">
        <v>0</v>
      </c>
      <c r="X118" s="17">
        <v>0</v>
      </c>
      <c r="Y118" s="17">
        <v>0</v>
      </c>
      <c r="Z118" s="17">
        <v>0</v>
      </c>
      <c r="AA118" s="17">
        <v>0</v>
      </c>
      <c r="AB118" s="17">
        <v>0</v>
      </c>
      <c r="AC118" s="17">
        <v>2</v>
      </c>
      <c r="AD118" s="17">
        <v>0</v>
      </c>
      <c r="AE118" s="17">
        <v>0</v>
      </c>
      <c r="AF118" s="17">
        <v>0</v>
      </c>
      <c r="AG118" s="17">
        <v>0</v>
      </c>
      <c r="AH118" s="96">
        <v>1.8432</v>
      </c>
      <c r="AI118" s="17">
        <v>0</v>
      </c>
      <c r="AJ118" s="17">
        <v>0</v>
      </c>
      <c r="AK118" s="17">
        <v>0</v>
      </c>
      <c r="AL118" s="17">
        <v>0</v>
      </c>
      <c r="AM118" s="17">
        <v>2</v>
      </c>
      <c r="AN118" s="17">
        <v>0</v>
      </c>
      <c r="AO118" s="17">
        <v>0</v>
      </c>
      <c r="AP118" s="17">
        <v>0</v>
      </c>
      <c r="AQ118" s="17">
        <v>0</v>
      </c>
      <c r="AR118" s="17">
        <v>0</v>
      </c>
      <c r="AS118" s="17">
        <v>0</v>
      </c>
      <c r="AT118" s="17">
        <v>0</v>
      </c>
      <c r="AU118" s="17">
        <v>0</v>
      </c>
      <c r="AV118" s="17">
        <v>0</v>
      </c>
      <c r="AW118" s="17">
        <v>8</v>
      </c>
      <c r="AX118" s="17">
        <v>0</v>
      </c>
      <c r="AY118" s="17">
        <v>2</v>
      </c>
      <c r="AZ118" s="17">
        <v>0</v>
      </c>
      <c r="BA118" s="17">
        <v>0</v>
      </c>
      <c r="BB118" s="17">
        <v>0</v>
      </c>
      <c r="BC118" s="17">
        <v>0</v>
      </c>
      <c r="BD118" s="17">
        <v>0</v>
      </c>
      <c r="BE118" s="67">
        <f>=BD116*(1-BE$43)</f>
        <v>0</v>
      </c>
      <c r="BF118" s="67">
        <f>=BE116*(1-BF$43)</f>
        <v>0</v>
      </c>
      <c r="BG118" s="67">
        <f>=BF116*(1-BG$43)</f>
        <v>3.84</v>
      </c>
      <c r="BH118" s="67">
        <f>=BG116*(1-BH$43)</f>
        <v>0</v>
      </c>
      <c r="BI118" s="67">
        <f>=BH116*(1-BI$43)</f>
        <v>0</v>
      </c>
      <c r="BJ118" s="67">
        <v>3</v>
      </c>
      <c r="BK118" s="67">
        <f>=BJ116*(1-BK$43)</f>
        <v>0</v>
      </c>
      <c r="BL118" s="67">
        <f>=BK116*(1-BL$43)</f>
        <v>1.8432</v>
      </c>
      <c r="BM118" s="67">
        <f>=BL116*(1-BM$43)</f>
        <v>0</v>
      </c>
      <c r="BN118" s="67">
        <f>=BM116*(1-BN$43)</f>
        <v>0</v>
      </c>
      <c r="BO118" s="67">
        <f>=BN116*(1-BO$43)</f>
        <v>0</v>
      </c>
      <c r="BP118" s="67">
        <f>=BO116*(1-BP$43)</f>
        <v>0</v>
      </c>
      <c r="BQ118" s="67">
        <f>=BP116*(1-BQ$43)</f>
        <v>0</v>
      </c>
      <c r="BR118" s="67">
        <f>=BQ116*(1-BR$43)</f>
        <v>0</v>
      </c>
      <c r="BS118" s="67">
        <f>=BR116*(1-BS$43)</f>
        <v>0</v>
      </c>
      <c r="BT118" s="67">
        <f>=BS116*(1-BT$43)</f>
        <v>0</v>
      </c>
      <c r="BU118" s="67">
        <f>=BT116*(1-BU$43)</f>
        <v>0</v>
      </c>
      <c r="BV118" s="67">
        <f>=BU116*(1-BV$43)</f>
        <v>0</v>
      </c>
      <c r="BW118" s="67">
        <f>=BV116*(1-BW$43)</f>
        <v>0</v>
      </c>
      <c r="BX118" s="67">
        <f>=BW116*(1-BX$43)</f>
        <v>0</v>
      </c>
      <c r="BY118" s="67">
        <f>=BX116*(1-BY$43)</f>
        <v>0</v>
      </c>
      <c r="BZ118" s="67">
        <f>=BY116*(1-BZ$43)</f>
        <v>0</v>
      </c>
      <c r="CA118" s="67">
        <f>=BZ116*(1-CA$43)</f>
        <v>0</v>
      </c>
      <c r="CB118" s="67">
        <f>=CA116*(1-CB$43)</f>
        <v>0</v>
      </c>
      <c r="CC118" s="67">
        <f>=CB116*(1-CC$43)</f>
        <v>0</v>
      </c>
      <c r="CD118" s="67">
        <f>=CC116*(1-CD$43)</f>
        <v>0</v>
      </c>
      <c r="CE118" s="67">
        <f>=CD116*(1-CE$43)</f>
        <v>0</v>
      </c>
      <c r="CF118" s="67">
        <f>=CE116*(1-CF$43)</f>
        <v>0</v>
      </c>
      <c r="CG118" s="67">
        <f>=CF116*(1-CG$43)</f>
        <v>0</v>
      </c>
      <c r="CH118" s="67">
        <f>=CG116*(1-CH$43)</f>
        <v>0</v>
      </c>
      <c r="CI118" s="67">
        <f>=CH116*(1-CI$43)</f>
        <v>0</v>
      </c>
      <c r="CJ118" s="67">
        <f>=CI116*(1-CJ$43)</f>
        <v>0</v>
      </c>
      <c r="CK118" s="67">
        <f>=CJ116*(1-CK$43)</f>
        <v>0</v>
      </c>
      <c r="CL118" s="67">
        <f>=CK116*(1-CL$43)</f>
        <v>0</v>
      </c>
      <c r="CM118" s="67">
        <f>=CL116*(1-CM$43)</f>
        <v>0</v>
      </c>
      <c r="CN118" s="67">
        <f>=CM116*(1-CN$43)</f>
        <v>0</v>
      </c>
      <c r="CO118" s="67">
        <f>=CN116*(1-CO$43)</f>
        <v>0</v>
      </c>
      <c r="CP118" s="67">
        <f>=CO116*(1-CP$43)</f>
        <v>0</v>
      </c>
      <c r="CQ118" s="67">
        <f>=CP116*(1-CQ$43)</f>
        <v>0</v>
      </c>
      <c r="CR118" s="67">
        <f>=CQ116*(1-CR$43)</f>
        <v>0</v>
      </c>
      <c r="CS118" s="67">
        <f>=CR116*(1-CS$43)</f>
        <v>0</v>
      </c>
      <c r="CT118" s="67">
        <f>=CS116*(1-CT$43)</f>
        <v>0</v>
      </c>
      <c r="CU118" s="67">
        <f>=CT116*(1-CU$43)</f>
        <v>0</v>
      </c>
      <c r="CV118" s="67">
        <f>=CU116*(1-CV$43)</f>
        <v>0</v>
      </c>
      <c r="CW118" s="67">
        <f>=CV116*(1-CW$43)</f>
        <v>0</v>
      </c>
      <c r="CX118" s="67">
        <f>=CW116*(1-CX$43)</f>
        <v>0</v>
      </c>
      <c r="CY118" s="67">
        <f>=CX116*(1-CY$43)</f>
        <v>0</v>
      </c>
      <c r="CZ118" s="67">
        <f>=CY116*(1-CZ$43)</f>
        <v>0</v>
      </c>
      <c r="DA118" s="67">
        <f>=CZ116*(1-DA$43)</f>
        <v>0</v>
      </c>
      <c r="DB118" s="67">
        <f>=DA116*(1-DB$43)</f>
        <v>0</v>
      </c>
    </row>
    <row r="119" spans="1:106" x14ac:dyDescent="0.25">
      <c r="A119" s="17" t="s">
        <v>379</v>
      </c>
      <c r="C119" s="17">
        <v>0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4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1</v>
      </c>
      <c r="AE119" s="17">
        <v>0</v>
      </c>
      <c r="AF119" s="17">
        <v>0</v>
      </c>
      <c r="AG119" s="17">
        <v>0</v>
      </c>
      <c r="AH119" s="17">
        <v>0</v>
      </c>
      <c r="AI119" s="97">
        <v>1.769472</v>
      </c>
      <c r="AJ119" s="17">
        <v>0</v>
      </c>
      <c r="AK119" s="17">
        <v>0</v>
      </c>
      <c r="AL119" s="17">
        <v>0</v>
      </c>
      <c r="AM119" s="17">
        <v>0</v>
      </c>
      <c r="AN119" s="17">
        <v>2</v>
      </c>
      <c r="AO119" s="17">
        <v>0</v>
      </c>
      <c r="AP119" s="17">
        <v>0</v>
      </c>
      <c r="AQ119" s="17">
        <v>0</v>
      </c>
      <c r="AR119" s="17">
        <v>0</v>
      </c>
      <c r="AS119" s="17">
        <v>0</v>
      </c>
      <c r="AT119" s="17">
        <v>0</v>
      </c>
      <c r="AU119" s="17">
        <v>0</v>
      </c>
      <c r="AV119" s="17">
        <v>0</v>
      </c>
      <c r="AW119" s="17">
        <v>0</v>
      </c>
      <c r="AX119" s="17">
        <v>8</v>
      </c>
      <c r="AY119" s="17">
        <v>0</v>
      </c>
      <c r="AZ119" s="17">
        <v>2</v>
      </c>
      <c r="BA119" s="17">
        <v>0</v>
      </c>
      <c r="BB119" s="17">
        <v>0</v>
      </c>
      <c r="BC119" s="17">
        <v>0</v>
      </c>
      <c r="BD119" s="17">
        <v>0</v>
      </c>
      <c r="BE119" s="67">
        <f>=BD118*(1-BE$43)</f>
        <v>0</v>
      </c>
      <c r="BF119" s="67">
        <f>=BE118*(1-BF$43)</f>
        <v>0</v>
      </c>
      <c r="BG119" s="67">
        <f>=BF118*(1-BG$43)</f>
        <v>0</v>
      </c>
      <c r="BH119" s="67">
        <v>3</v>
      </c>
      <c r="BI119" s="67">
        <f>=BH118*(1-BI$43)</f>
        <v>0</v>
      </c>
      <c r="BJ119" s="67">
        <f>=BI118*(1-BJ$43)</f>
        <v>0</v>
      </c>
      <c r="BK119" s="67">
        <v>2</v>
      </c>
      <c r="BL119" s="67">
        <f>=BK118*(1-BL$43)</f>
        <v>0</v>
      </c>
      <c r="BM119" s="67">
        <f>=BL118*(1-BM$43)</f>
        <v>1.769472</v>
      </c>
      <c r="BN119" s="67">
        <f>=BM118*(1-BN$43)</f>
        <v>0</v>
      </c>
      <c r="BO119" s="67">
        <f>=BN118*(1-BO$43)</f>
        <v>0</v>
      </c>
      <c r="BP119" s="67">
        <f>=BO118*(1-BP$43)</f>
        <v>0</v>
      </c>
      <c r="BQ119" s="67">
        <f>=BP118*(1-BQ$43)</f>
        <v>0</v>
      </c>
      <c r="BR119" s="67">
        <f>=BQ118*(1-BR$43)</f>
        <v>0</v>
      </c>
      <c r="BS119" s="67">
        <f>=BR118*(1-BS$43)</f>
        <v>0</v>
      </c>
      <c r="BT119" s="67">
        <f>=BS118*(1-BT$43)</f>
        <v>0</v>
      </c>
      <c r="BU119" s="67">
        <f>=BT118*(1-BU$43)</f>
        <v>0</v>
      </c>
      <c r="BV119" s="67">
        <f>=BU118*(1-BV$43)</f>
        <v>0</v>
      </c>
      <c r="BW119" s="67">
        <f>=BV118*(1-BW$43)</f>
        <v>0</v>
      </c>
      <c r="BX119" s="67">
        <f>=BW118*(1-BX$43)</f>
        <v>0</v>
      </c>
      <c r="BY119" s="67">
        <f>=BX118*(1-BY$43)</f>
        <v>0</v>
      </c>
      <c r="BZ119" s="67">
        <f>=BY118*(1-BZ$43)</f>
        <v>0</v>
      </c>
      <c r="CA119" s="67">
        <f>=BZ118*(1-CA$43)</f>
        <v>0</v>
      </c>
      <c r="CB119" s="67">
        <f>=CA118*(1-CB$43)</f>
        <v>0</v>
      </c>
      <c r="CC119" s="67">
        <f>=CB118*(1-CC$43)</f>
        <v>0</v>
      </c>
      <c r="CD119" s="67">
        <f>=CC118*(1-CD$43)</f>
        <v>0</v>
      </c>
      <c r="CE119" s="67">
        <f>=CD118*(1-CE$43)</f>
        <v>0</v>
      </c>
      <c r="CF119" s="67">
        <f>=CE118*(1-CF$43)</f>
        <v>0</v>
      </c>
      <c r="CG119" s="67">
        <f>=CF118*(1-CG$43)</f>
        <v>0</v>
      </c>
      <c r="CH119" s="67">
        <f>=CG118*(1-CH$43)</f>
        <v>0</v>
      </c>
      <c r="CI119" s="67">
        <f>=CH118*(1-CI$43)</f>
        <v>0</v>
      </c>
      <c r="CJ119" s="67">
        <f>=CI118*(1-CJ$43)</f>
        <v>0</v>
      </c>
      <c r="CK119" s="67">
        <f>=CJ118*(1-CK$43)</f>
        <v>0</v>
      </c>
      <c r="CL119" s="67">
        <f>=CK118*(1-CL$43)</f>
        <v>0</v>
      </c>
      <c r="CM119" s="67">
        <f>=CL118*(1-CM$43)</f>
        <v>0</v>
      </c>
      <c r="CN119" s="67">
        <f>=CM118*(1-CN$43)</f>
        <v>0</v>
      </c>
      <c r="CO119" s="67">
        <f>=CN118*(1-CO$43)</f>
        <v>0</v>
      </c>
      <c r="CP119" s="67">
        <f>=CO118*(1-CP$43)</f>
        <v>0</v>
      </c>
      <c r="CQ119" s="67">
        <f>=CP118*(1-CQ$43)</f>
        <v>0</v>
      </c>
      <c r="CR119" s="67">
        <f>=CQ118*(1-CR$43)</f>
        <v>0</v>
      </c>
      <c r="CS119" s="67">
        <f>=CR118*(1-CS$43)</f>
        <v>0</v>
      </c>
      <c r="CT119" s="67">
        <f>=CS118*(1-CT$43)</f>
        <v>0</v>
      </c>
      <c r="CU119" s="67">
        <f>=CT118*(1-CU$43)</f>
        <v>0</v>
      </c>
      <c r="CV119" s="67">
        <f>=CU118*(1-CV$43)</f>
        <v>0</v>
      </c>
      <c r="CW119" s="67">
        <f>=CV118*(1-CW$43)</f>
        <v>0</v>
      </c>
      <c r="CX119" s="67">
        <f>=CW118*(1-CX$43)</f>
        <v>0</v>
      </c>
      <c r="CY119" s="67">
        <f>=CX118*(1-CY$43)</f>
        <v>0</v>
      </c>
      <c r="CZ119" s="67">
        <f>=CY118*(1-CZ$43)</f>
        <v>0</v>
      </c>
      <c r="DA119" s="67">
        <f>=CZ118*(1-DA$43)</f>
        <v>0</v>
      </c>
      <c r="DB119" s="67">
        <f>=DA118*(1-DB$43)</f>
        <v>0</v>
      </c>
    </row>
    <row r="120" spans="1:106" x14ac:dyDescent="0.25">
      <c r="A120" s="17" t="s">
        <v>380</v>
      </c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>
        <v>0</v>
      </c>
      <c r="AM120" s="17">
        <v>0</v>
      </c>
      <c r="AN120" s="17">
        <v>0</v>
      </c>
      <c r="AO120" s="17">
        <v>2</v>
      </c>
      <c r="AP120" s="17">
        <v>0</v>
      </c>
      <c r="AQ120" s="17">
        <v>0</v>
      </c>
      <c r="AR120" s="17">
        <v>0</v>
      </c>
      <c r="AS120" s="17">
        <v>0</v>
      </c>
      <c r="AT120" s="17">
        <v>0</v>
      </c>
      <c r="AU120" s="17">
        <v>0</v>
      </c>
      <c r="AV120" s="17">
        <v>0</v>
      </c>
      <c r="AW120" s="17">
        <v>0</v>
      </c>
      <c r="AX120" s="17">
        <v>0</v>
      </c>
      <c r="AY120" s="17">
        <v>8</v>
      </c>
      <c r="AZ120" s="17">
        <v>0</v>
      </c>
      <c r="BA120" s="17">
        <v>2</v>
      </c>
      <c r="BB120" s="17">
        <v>0</v>
      </c>
      <c r="BC120" s="17">
        <v>0</v>
      </c>
      <c r="BD120" s="17">
        <v>0</v>
      </c>
      <c r="BE120" s="67">
        <f>=BD119*(1-BE$43)</f>
        <v>0</v>
      </c>
      <c r="BF120" s="67">
        <f>=BE119*(1-BF$43)</f>
        <v>0</v>
      </c>
      <c r="BG120" s="67">
        <f>=BF119*(1-BG$43)</f>
        <v>0</v>
      </c>
      <c r="BH120" s="67">
        <f>=BG119*(1-BH$43)</f>
        <v>0</v>
      </c>
      <c r="BI120" s="67">
        <v>3</v>
      </c>
      <c r="BJ120" s="67">
        <f>=BI119*(1-BJ$43)</f>
        <v>0</v>
      </c>
      <c r="BK120" s="67">
        <f>=BJ119*(1-BK$43)</f>
        <v>0</v>
      </c>
      <c r="BL120" s="67">
        <f>=BK119*(1-BL$43)</f>
        <v>1.92</v>
      </c>
      <c r="BM120" s="67">
        <f>=BL119*(1-BM$43)</f>
        <v>0</v>
      </c>
      <c r="BN120" s="67">
        <f>=BM119*(1-BN$43)</f>
        <v>1.69869312</v>
      </c>
      <c r="BO120" s="67">
        <f>=BN119*(1-BO$43)</f>
        <v>0</v>
      </c>
      <c r="BP120" s="67">
        <f>=BO119*(1-BP$43)</f>
        <v>0</v>
      </c>
      <c r="BQ120" s="67">
        <f>=BP119*(1-BQ$43)</f>
        <v>0</v>
      </c>
      <c r="BR120" s="67">
        <f>=BQ119*(1-BR$43)</f>
        <v>0</v>
      </c>
      <c r="BS120" s="67">
        <f>=BR119*(1-BS$43)</f>
        <v>0</v>
      </c>
      <c r="BT120" s="67">
        <f>=BS119*(1-BT$43)</f>
        <v>0</v>
      </c>
      <c r="BU120" s="67">
        <f>=BT119*(1-BU$43)</f>
        <v>0</v>
      </c>
      <c r="BV120" s="67">
        <f>=BU119*(1-BV$43)</f>
        <v>0</v>
      </c>
      <c r="BW120" s="67">
        <f>=BV119*(1-BW$43)</f>
        <v>0</v>
      </c>
      <c r="BX120" s="67">
        <f>=BW119*(1-BX$43)</f>
        <v>0</v>
      </c>
      <c r="BY120" s="67">
        <f>=BX119*(1-BY$43)</f>
        <v>0</v>
      </c>
      <c r="BZ120" s="67">
        <f>=BY119*(1-BZ$43)</f>
        <v>0</v>
      </c>
      <c r="CA120" s="67">
        <f>=BZ119*(1-CA$43)</f>
        <v>0</v>
      </c>
      <c r="CB120" s="67">
        <f>=CA119*(1-CB$43)</f>
        <v>0</v>
      </c>
      <c r="CC120" s="67">
        <f>=CB119*(1-CC$43)</f>
        <v>0</v>
      </c>
      <c r="CD120" s="67">
        <f>=CC119*(1-CD$43)</f>
        <v>0</v>
      </c>
      <c r="CE120" s="67">
        <f>=CD119*(1-CE$43)</f>
        <v>0</v>
      </c>
      <c r="CF120" s="67">
        <f>=CE119*(1-CF$43)</f>
        <v>0</v>
      </c>
      <c r="CG120" s="67">
        <f>=CF119*(1-CG$43)</f>
        <v>0</v>
      </c>
      <c r="CH120" s="67">
        <f>=CG119*(1-CH$43)</f>
        <v>0</v>
      </c>
      <c r="CI120" s="67">
        <f>=CH119*(1-CI$43)</f>
        <v>0</v>
      </c>
      <c r="CJ120" s="67">
        <f>=CI119*(1-CJ$43)</f>
        <v>0</v>
      </c>
      <c r="CK120" s="67">
        <f>=CJ119*(1-CK$43)</f>
        <v>0</v>
      </c>
      <c r="CL120" s="67">
        <f>=CK119*(1-CL$43)</f>
        <v>0</v>
      </c>
      <c r="CM120" s="67">
        <f>=CL119*(1-CM$43)</f>
        <v>0</v>
      </c>
      <c r="CN120" s="67">
        <f>=CM119*(1-CN$43)</f>
        <v>0</v>
      </c>
      <c r="CO120" s="67">
        <f>=CN119*(1-CO$43)</f>
        <v>0</v>
      </c>
      <c r="CP120" s="67">
        <f>=CO119*(1-CP$43)</f>
        <v>0</v>
      </c>
      <c r="CQ120" s="67">
        <f>=CP119*(1-CQ$43)</f>
        <v>0</v>
      </c>
      <c r="CR120" s="67">
        <f>=CQ119*(1-CR$43)</f>
        <v>0</v>
      </c>
      <c r="CS120" s="67">
        <f>=CR119*(1-CS$43)</f>
        <v>0</v>
      </c>
      <c r="CT120" s="67">
        <f>=CS119*(1-CT$43)</f>
        <v>0</v>
      </c>
      <c r="CU120" s="67">
        <f>=CT119*(1-CU$43)</f>
        <v>0</v>
      </c>
      <c r="CV120" s="67">
        <f>=CU119*(1-CV$43)</f>
        <v>0</v>
      </c>
      <c r="CW120" s="67">
        <f>=CV119*(1-CW$43)</f>
        <v>0</v>
      </c>
      <c r="CX120" s="67">
        <f>=CW119*(1-CX$43)</f>
        <v>0</v>
      </c>
      <c r="CY120" s="67">
        <f>=CX119*(1-CY$43)</f>
        <v>0</v>
      </c>
      <c r="CZ120" s="67">
        <f>=CY119*(1-CZ$43)</f>
        <v>0</v>
      </c>
      <c r="DA120" s="67">
        <f>=CZ119*(1-DA$43)</f>
        <v>0</v>
      </c>
      <c r="DB120" s="67">
        <f>=DA119*(1-DB$43)</f>
        <v>0</v>
      </c>
    </row>
    <row r="121" spans="1:106" x14ac:dyDescent="0.25">
      <c r="A121" s="17" t="s">
        <v>412</v>
      </c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>
        <v>0</v>
      </c>
      <c r="AM121" s="17">
        <v>0</v>
      </c>
      <c r="AN121" s="17">
        <v>0</v>
      </c>
      <c r="AO121" s="17">
        <v>0</v>
      </c>
      <c r="AP121" s="17">
        <v>2</v>
      </c>
      <c r="AQ121" s="17">
        <v>0</v>
      </c>
      <c r="AR121" s="17">
        <v>0</v>
      </c>
      <c r="AS121" s="17">
        <v>0</v>
      </c>
      <c r="AT121" s="17">
        <v>0</v>
      </c>
      <c r="AU121" s="17">
        <v>0</v>
      </c>
      <c r="AV121" s="17">
        <v>0</v>
      </c>
      <c r="AW121" s="17">
        <v>0</v>
      </c>
      <c r="AX121" s="17">
        <v>0</v>
      </c>
      <c r="AY121" s="17">
        <v>0</v>
      </c>
      <c r="AZ121" s="17">
        <v>8</v>
      </c>
      <c r="BA121" s="17">
        <v>0</v>
      </c>
      <c r="BB121" s="17">
        <v>2</v>
      </c>
      <c r="BC121" s="17">
        <v>0</v>
      </c>
      <c r="BD121" s="17">
        <v>0</v>
      </c>
      <c r="BE121" s="67">
        <f>=BD120*(1-BE$43)</f>
        <v>0</v>
      </c>
      <c r="BF121" s="67">
        <f>=BE120*(1-BF$43)</f>
        <v>0</v>
      </c>
      <c r="BG121" s="67">
        <f>=BF120*(1-BG$43)</f>
        <v>0</v>
      </c>
      <c r="BH121" s="67">
        <f>=BG120*(1-BH$43)</f>
        <v>0</v>
      </c>
      <c r="BI121" s="67">
        <f>=BH120*(1-BI$43)</f>
        <v>0</v>
      </c>
      <c r="BJ121" s="67">
        <f>=BI120*(1-BJ$43)</f>
        <v>2.88</v>
      </c>
      <c r="BK121" s="67">
        <f>=BJ120*(1-BK$43)</f>
        <v>0</v>
      </c>
      <c r="BL121" s="67">
        <f>=BK120*(1-BL$43)</f>
        <v>0</v>
      </c>
      <c r="BM121" s="67">
        <f>=BL120*(1-BM$43)</f>
        <v>1.8432</v>
      </c>
      <c r="BN121" s="67">
        <f>=BM120*(1-BN$43)</f>
        <v>0</v>
      </c>
      <c r="BO121" s="67">
        <f>=BN120*(1-BO$43)</f>
        <v>1.6307453952</v>
      </c>
      <c r="BP121" s="67">
        <f>=BO120*(1-BP$43)</f>
        <v>0</v>
      </c>
      <c r="BQ121" s="67">
        <f>=BP120*(1-BQ$43)</f>
        <v>0</v>
      </c>
      <c r="BR121" s="67">
        <f>=BQ120*(1-BR$43)</f>
        <v>0</v>
      </c>
      <c r="BS121" s="67">
        <f>=BR120*(1-BS$43)</f>
        <v>0</v>
      </c>
      <c r="BT121" s="67">
        <f>=BS120*(1-BT$43)</f>
        <v>0</v>
      </c>
      <c r="BU121" s="67">
        <f>=BT120*(1-BU$43)</f>
        <v>0</v>
      </c>
      <c r="BV121" s="67">
        <f>=BU120*(1-BV$43)</f>
        <v>0</v>
      </c>
      <c r="BW121" s="67">
        <f>=BV120*(1-BW$43)</f>
        <v>0</v>
      </c>
      <c r="BX121" s="67">
        <f>=BW120*(1-BX$43)</f>
        <v>0</v>
      </c>
      <c r="BY121" s="67">
        <f>=BX120*(1-BY$43)</f>
        <v>0</v>
      </c>
      <c r="BZ121" s="67">
        <f>=BY120*(1-BZ$43)</f>
        <v>0</v>
      </c>
      <c r="CA121" s="67">
        <f>=BZ120*(1-CA$43)</f>
        <v>0</v>
      </c>
      <c r="CB121" s="67">
        <f>=CA120*(1-CB$43)</f>
        <v>0</v>
      </c>
      <c r="CC121" s="67">
        <f>=CB120*(1-CC$43)</f>
        <v>0</v>
      </c>
      <c r="CD121" s="67">
        <f>=CC120*(1-CD$43)</f>
        <v>0</v>
      </c>
      <c r="CE121" s="67">
        <f>=CD120*(1-CE$43)</f>
        <v>0</v>
      </c>
      <c r="CF121" s="67">
        <f>=CE120*(1-CF$43)</f>
        <v>0</v>
      </c>
      <c r="CG121" s="67">
        <f>=CF120*(1-CG$43)</f>
        <v>0</v>
      </c>
      <c r="CH121" s="67">
        <f>=CG120*(1-CH$43)</f>
        <v>0</v>
      </c>
      <c r="CI121" s="67">
        <f>=CH120*(1-CI$43)</f>
        <v>0</v>
      </c>
      <c r="CJ121" s="67">
        <f>=CI120*(1-CJ$43)</f>
        <v>0</v>
      </c>
      <c r="CK121" s="67">
        <f>=CJ120*(1-CK$43)</f>
        <v>0</v>
      </c>
      <c r="CL121" s="67">
        <f>=CK120*(1-CL$43)</f>
        <v>0</v>
      </c>
      <c r="CM121" s="67">
        <f>=CL120*(1-CM$43)</f>
        <v>0</v>
      </c>
      <c r="CN121" s="67">
        <f>=CM120*(1-CN$43)</f>
        <v>0</v>
      </c>
      <c r="CO121" s="67">
        <f>=CN120*(1-CO$43)</f>
        <v>0</v>
      </c>
      <c r="CP121" s="67">
        <f>=CO120*(1-CP$43)</f>
        <v>0</v>
      </c>
      <c r="CQ121" s="67">
        <f>=CP120*(1-CQ$43)</f>
        <v>0</v>
      </c>
      <c r="CR121" s="67">
        <f>=CQ120*(1-CR$43)</f>
        <v>0</v>
      </c>
      <c r="CS121" s="67">
        <f>=CR120*(1-CS$43)</f>
        <v>0</v>
      </c>
      <c r="CT121" s="67">
        <f>=CS120*(1-CT$43)</f>
        <v>0</v>
      </c>
      <c r="CU121" s="67">
        <f>=CT120*(1-CU$43)</f>
        <v>0</v>
      </c>
      <c r="CV121" s="67">
        <f>=CU120*(1-CV$43)</f>
        <v>0</v>
      </c>
      <c r="CW121" s="67">
        <f>=CV120*(1-CW$43)</f>
        <v>0</v>
      </c>
      <c r="CX121" s="67">
        <f>=CW120*(1-CX$43)</f>
        <v>0</v>
      </c>
      <c r="CY121" s="67">
        <f>=CX120*(1-CY$43)</f>
        <v>0</v>
      </c>
      <c r="CZ121" s="67">
        <f>=CY120*(1-CZ$43)</f>
        <v>0</v>
      </c>
      <c r="DA121" s="67">
        <f>=CZ120*(1-DA$43)</f>
        <v>0</v>
      </c>
      <c r="DB121" s="67">
        <f>=DA120*(1-DB$43)</f>
        <v>0</v>
      </c>
    </row>
    <row r="122" spans="1:106" x14ac:dyDescent="0.25">
      <c r="A122" s="17" t="s">
        <v>344</v>
      </c>
      <c r="C122" s="17">
        <v>0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4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1</v>
      </c>
      <c r="AF122" s="17">
        <v>0</v>
      </c>
      <c r="AG122" s="17">
        <v>0</v>
      </c>
      <c r="AH122" s="17">
        <v>0</v>
      </c>
      <c r="AI122" s="17">
        <v>0</v>
      </c>
      <c r="AJ122" s="17">
        <v>0</v>
      </c>
      <c r="AK122" s="17">
        <v>0</v>
      </c>
      <c r="AL122" s="17">
        <v>0</v>
      </c>
      <c r="AM122" s="17">
        <v>0</v>
      </c>
      <c r="AN122" s="17">
        <v>0</v>
      </c>
      <c r="AO122" s="17">
        <v>0</v>
      </c>
      <c r="AP122" s="17">
        <v>0</v>
      </c>
      <c r="AQ122" s="17">
        <v>2</v>
      </c>
      <c r="AR122" s="17">
        <v>0</v>
      </c>
      <c r="AS122" s="17">
        <v>0</v>
      </c>
      <c r="AT122" s="17">
        <v>0</v>
      </c>
      <c r="AU122" s="17">
        <v>0</v>
      </c>
      <c r="AV122" s="17">
        <v>0</v>
      </c>
      <c r="AW122" s="17">
        <v>0</v>
      </c>
      <c r="AX122" s="17">
        <v>0</v>
      </c>
      <c r="AY122" s="17">
        <v>0</v>
      </c>
      <c r="AZ122" s="17">
        <v>0</v>
      </c>
      <c r="BA122" s="17">
        <v>8</v>
      </c>
      <c r="BB122" s="17">
        <v>0</v>
      </c>
      <c r="BC122" s="17">
        <v>2</v>
      </c>
      <c r="BD122" s="17">
        <v>0</v>
      </c>
      <c r="BE122" s="67">
        <f>=BD121*(1-BE$43)</f>
        <v>0</v>
      </c>
      <c r="BF122" s="67">
        <f>=BE121*(1-BF$43)</f>
        <v>0</v>
      </c>
      <c r="BG122" s="67">
        <f>=BF121*(1-BG$43)</f>
        <v>0</v>
      </c>
      <c r="BH122" s="67">
        <f>=BG121*(1-BH$43)</f>
        <v>0</v>
      </c>
      <c r="BI122" s="67">
        <f>=BH121*(1-BI$43)</f>
        <v>0</v>
      </c>
      <c r="BJ122" s="67">
        <f>=BI121*(1-BJ$43)</f>
        <v>0</v>
      </c>
      <c r="BK122" s="67">
        <f>=BJ121*(1-BK$43)</f>
        <v>2.7648</v>
      </c>
      <c r="BL122" s="67">
        <f>=BK121*(1-BL$43)</f>
        <v>0</v>
      </c>
      <c r="BM122" s="67">
        <f>=BL121*(1-BM$43)</f>
        <v>0</v>
      </c>
      <c r="BN122" s="67">
        <f>=BM121*(1-BN$43)</f>
        <v>1.769472</v>
      </c>
      <c r="BO122" s="67">
        <f>=BN121*(1-BO$43)</f>
        <v>0</v>
      </c>
      <c r="BP122" s="67">
        <f>=BO121*(1-BP$43)</f>
        <v>1.565515579392</v>
      </c>
      <c r="BQ122" s="67">
        <f>=BP121*(1-BQ$43)</f>
        <v>0</v>
      </c>
      <c r="BR122" s="67">
        <f>=BQ121*(1-BR$43)</f>
        <v>0</v>
      </c>
      <c r="BS122" s="67">
        <f>=BR121*(1-BS$43)</f>
        <v>0</v>
      </c>
      <c r="BT122" s="67">
        <f>=BS121*(1-BT$43)</f>
        <v>0</v>
      </c>
      <c r="BU122" s="67">
        <f>=BT121*(1-BU$43)</f>
        <v>0</v>
      </c>
      <c r="BV122" s="67">
        <f>=BU121*(1-BV$43)</f>
        <v>0</v>
      </c>
      <c r="BW122" s="67">
        <f>=BV121*(1-BW$43)</f>
        <v>0</v>
      </c>
      <c r="BX122" s="67">
        <f>=BW121*(1-BX$43)</f>
        <v>0</v>
      </c>
      <c r="BY122" s="67">
        <f>=BX121*(1-BY$43)</f>
        <v>0</v>
      </c>
      <c r="BZ122" s="67">
        <f>=BY121*(1-BZ$43)</f>
        <v>0</v>
      </c>
      <c r="CA122" s="67">
        <f>=BZ121*(1-CA$43)</f>
        <v>0</v>
      </c>
      <c r="CB122" s="67">
        <f>=CA121*(1-CB$43)</f>
        <v>0</v>
      </c>
      <c r="CC122" s="67">
        <f>=CB121*(1-CC$43)</f>
        <v>0</v>
      </c>
      <c r="CD122" s="67">
        <f>=CC121*(1-CD$43)</f>
        <v>0</v>
      </c>
      <c r="CE122" s="67">
        <f>=CD121*(1-CE$43)</f>
        <v>0</v>
      </c>
      <c r="CF122" s="67">
        <f>=CE121*(1-CF$43)</f>
        <v>0</v>
      </c>
      <c r="CG122" s="67">
        <f>=CF121*(1-CG$43)</f>
        <v>0</v>
      </c>
      <c r="CH122" s="67">
        <f>=CG121*(1-CH$43)</f>
        <v>0</v>
      </c>
      <c r="CI122" s="67">
        <f>=CH121*(1-CI$43)</f>
        <v>0</v>
      </c>
      <c r="CJ122" s="67">
        <f>=CI121*(1-CJ$43)</f>
        <v>0</v>
      </c>
      <c r="CK122" s="67">
        <f>=CJ121*(1-CK$43)</f>
        <v>0</v>
      </c>
      <c r="CL122" s="67">
        <f>=CK121*(1-CL$43)</f>
        <v>0</v>
      </c>
      <c r="CM122" s="67">
        <f>=CL121*(1-CM$43)</f>
        <v>0</v>
      </c>
      <c r="CN122" s="67">
        <f>=CM121*(1-CN$43)</f>
        <v>0</v>
      </c>
      <c r="CO122" s="67">
        <f>=CN121*(1-CO$43)</f>
        <v>0</v>
      </c>
      <c r="CP122" s="67">
        <f>=CO121*(1-CP$43)</f>
        <v>0</v>
      </c>
      <c r="CQ122" s="67">
        <f>=CP121*(1-CQ$43)</f>
        <v>0</v>
      </c>
      <c r="CR122" s="67">
        <f>=CQ121*(1-CR$43)</f>
        <v>0</v>
      </c>
      <c r="CS122" s="67">
        <f>=CR121*(1-CS$43)</f>
        <v>0</v>
      </c>
      <c r="CT122" s="67">
        <f>=CS121*(1-CT$43)</f>
        <v>0</v>
      </c>
      <c r="CU122" s="67">
        <f>=CT121*(1-CU$43)</f>
        <v>0</v>
      </c>
      <c r="CV122" s="67">
        <f>=CU121*(1-CV$43)</f>
        <v>0</v>
      </c>
      <c r="CW122" s="67">
        <f>=CV121*(1-CW$43)</f>
        <v>0</v>
      </c>
      <c r="CX122" s="67">
        <f>=CW121*(1-CX$43)</f>
        <v>0</v>
      </c>
      <c r="CY122" s="67">
        <f>=CX121*(1-CY$43)</f>
        <v>0</v>
      </c>
      <c r="CZ122" s="67">
        <f>=CY121*(1-CZ$43)</f>
        <v>0</v>
      </c>
      <c r="DA122" s="67">
        <f>=CZ121*(1-DA$43)</f>
        <v>0</v>
      </c>
      <c r="DB122" s="67">
        <f>=DA121*(1-DB$43)</f>
        <v>0</v>
      </c>
    </row>
    <row r="123" spans="3:106" x14ac:dyDescent="0.25"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  <c r="AV123" s="30"/>
      <c r="AW123" s="30"/>
      <c r="AX123" s="30"/>
      <c r="AY123" s="30"/>
      <c r="AZ123" s="30"/>
      <c r="BA123" s="30"/>
      <c r="BB123" s="30"/>
      <c r="BC123" s="30"/>
      <c r="BD123" s="30"/>
      <c r="BE123" s="30"/>
      <c r="BF123" s="30"/>
      <c r="BG123" s="30"/>
      <c r="BH123" s="30"/>
      <c r="BI123" s="30"/>
      <c r="BJ123" s="30"/>
      <c r="BK123" s="30"/>
      <c r="BL123" s="30"/>
      <c r="BM123" s="30"/>
      <c r="BN123" s="30"/>
      <c r="BO123" s="30"/>
      <c r="BP123" s="30"/>
      <c r="BQ123" s="30"/>
      <c r="BR123" s="30"/>
      <c r="BS123" s="30"/>
      <c r="BT123" s="30"/>
      <c r="BU123" s="30"/>
      <c r="BV123" s="30"/>
      <c r="BW123" s="30"/>
      <c r="BX123" s="30"/>
      <c r="BY123" s="30"/>
      <c r="BZ123" s="30"/>
      <c r="CA123" s="30"/>
      <c r="CB123" s="30"/>
      <c r="CC123" s="30"/>
      <c r="CD123" s="30"/>
      <c r="CE123" s="30"/>
      <c r="CF123" s="30"/>
      <c r="CG123" s="30"/>
      <c r="CH123" s="30"/>
      <c r="CI123" s="30"/>
      <c r="CJ123" s="30"/>
      <c r="CK123" s="30"/>
      <c r="CL123" s="30"/>
      <c r="CM123" s="30"/>
      <c r="CN123" s="30"/>
      <c r="CO123" s="30"/>
      <c r="CP123" s="30"/>
      <c r="CQ123" s="30"/>
      <c r="CR123" s="30"/>
      <c r="CS123" s="30"/>
      <c r="CT123" s="30"/>
      <c r="CU123" s="30"/>
      <c r="CV123" s="30"/>
      <c r="CW123" s="30"/>
      <c r="CX123" s="30"/>
      <c r="CY123" s="30"/>
      <c r="CZ123" s="30"/>
      <c r="DA123" s="30"/>
      <c r="DB123" s="30"/>
    </row>
    <row r="124" spans="1:106" x14ac:dyDescent="0.25">
      <c r="A124" s="9" t="s">
        <v>345</v>
      </c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  <c r="BQ124" s="30"/>
      <c r="BR124" s="30"/>
      <c r="BS124" s="30"/>
      <c r="BT124" s="30"/>
      <c r="BU124" s="30"/>
      <c r="BV124" s="30"/>
      <c r="BW124" s="30"/>
      <c r="BX124" s="30"/>
      <c r="BY124" s="30"/>
      <c r="BZ124" s="30"/>
      <c r="CA124" s="30"/>
      <c r="CB124" s="30"/>
      <c r="CC124" s="30"/>
      <c r="CD124" s="30"/>
      <c r="CE124" s="30"/>
      <c r="CF124" s="30"/>
      <c r="CG124" s="30"/>
      <c r="CH124" s="30"/>
      <c r="CI124" s="30"/>
      <c r="CJ124" s="30"/>
      <c r="CK124" s="30"/>
      <c r="CL124" s="30"/>
      <c r="CM124" s="30"/>
      <c r="CN124" s="30"/>
      <c r="CO124" s="30"/>
      <c r="CP124" s="30"/>
      <c r="CQ124" s="30"/>
      <c r="CR124" s="30"/>
      <c r="CS124" s="30"/>
      <c r="CT124" s="30"/>
      <c r="CU124" s="30"/>
      <c r="CV124" s="30"/>
      <c r="CW124" s="30"/>
      <c r="CX124" s="30"/>
      <c r="CY124" s="30"/>
      <c r="CZ124" s="30"/>
      <c r="DA124" s="30"/>
      <c r="DB124" s="30"/>
    </row>
    <row r="125" ht="16" customHeight="1" spans="1:106" x14ac:dyDescent="0.25">
      <c r="A125" s="68" t="s">
        <v>346</v>
      </c>
      <c r="C125" s="30">
        <f>=C8</f>
        <v>415</v>
      </c>
      <c r="D125" s="30">
        <f>=D8</f>
        <v>415</v>
      </c>
      <c r="E125" s="30">
        <f>=E8</f>
        <v>415</v>
      </c>
      <c r="F125" s="30">
        <f>=F8</f>
        <v>416</v>
      </c>
      <c r="G125" s="30">
        <f>=G8</f>
        <v>416</v>
      </c>
      <c r="H125" s="30">
        <f>=H8</f>
        <v>417</v>
      </c>
      <c r="I125" s="30">
        <f>=I8</f>
        <v>417</v>
      </c>
      <c r="J125" s="30">
        <f>=J8</f>
        <v>417</v>
      </c>
      <c r="K125" s="30">
        <f>=K8</f>
        <v>416</v>
      </c>
      <c r="L125" s="30">
        <f>=L8</f>
        <v>416</v>
      </c>
      <c r="M125" s="30">
        <f>=M8</f>
        <v>415</v>
      </c>
      <c r="N125" s="30">
        <f>=N8</f>
        <v>419</v>
      </c>
      <c r="O125" s="30">
        <f>=O8</f>
        <v>419</v>
      </c>
      <c r="P125" s="30">
        <f>=P8</f>
        <v>415</v>
      </c>
      <c r="Q125" s="30">
        <f>=Q8</f>
        <v>415</v>
      </c>
      <c r="R125" s="30">
        <f>=R8</f>
        <v>415</v>
      </c>
      <c r="S125" s="30">
        <f>=S8</f>
        <v>414</v>
      </c>
      <c r="T125" s="30">
        <f>=T8</f>
        <v>414</v>
      </c>
      <c r="U125" s="30">
        <f>=U8</f>
        <v>414</v>
      </c>
      <c r="V125" s="30">
        <f>=V8</f>
        <v>414</v>
      </c>
      <c r="W125" s="30">
        <f>=W8</f>
        <v>414</v>
      </c>
      <c r="X125" s="30">
        <f>=X8</f>
        <v>414</v>
      </c>
      <c r="Y125" s="30">
        <f>=Y8</f>
        <v>415</v>
      </c>
      <c r="Z125" s="30">
        <f>=Z8</f>
        <v>415</v>
      </c>
      <c r="AA125" s="30">
        <f>=AA8</f>
        <v>415</v>
      </c>
      <c r="AB125" s="30">
        <f>=AB8</f>
        <v>415</v>
      </c>
      <c r="AC125" s="30">
        <f>=AC8</f>
        <v>415</v>
      </c>
      <c r="AD125" s="30">
        <f>=AD8</f>
        <v>415</v>
      </c>
      <c r="AE125" s="30">
        <f>=AE8</f>
        <v>415</v>
      </c>
      <c r="AF125" s="30">
        <f>=AF8</f>
        <v>415</v>
      </c>
      <c r="AG125" s="30">
        <f>=AG8</f>
        <v>415</v>
      </c>
      <c r="AH125" s="30">
        <f>=AH8</f>
        <v>415</v>
      </c>
      <c r="AI125" s="30">
        <f>=AI8</f>
        <v>415</v>
      </c>
      <c r="AJ125" s="30">
        <f>=AJ8</f>
        <v>415</v>
      </c>
      <c r="AK125" s="30">
        <f>=AK8</f>
        <v>415</v>
      </c>
      <c r="AL125" s="30">
        <f>=AL8</f>
        <v>415</v>
      </c>
      <c r="AM125" s="30">
        <f>=AM8</f>
        <v>415</v>
      </c>
      <c r="AN125" s="30">
        <f>=AN8</f>
        <v>415</v>
      </c>
      <c r="AO125" s="30">
        <f>=AO8</f>
        <v>415</v>
      </c>
      <c r="AP125" s="30">
        <f>=AP8</f>
        <v>419</v>
      </c>
      <c r="AQ125" s="30">
        <f>=AQ8</f>
        <v>419</v>
      </c>
      <c r="AR125" s="30">
        <f>=AR8</f>
        <v>419</v>
      </c>
      <c r="AS125" s="30">
        <f>=AS8</f>
        <v>419</v>
      </c>
      <c r="AT125" s="30">
        <f>=AT8</f>
        <v>420</v>
      </c>
      <c r="AU125" s="30">
        <f>=AU8</f>
        <v>419</v>
      </c>
      <c r="AV125" s="30">
        <f>=AV8</f>
        <v>421</v>
      </c>
      <c r="AW125" s="30">
        <f>=AW8</f>
        <v>421</v>
      </c>
      <c r="AX125" s="30">
        <f>=AX8</f>
        <v>419</v>
      </c>
      <c r="AY125" s="30">
        <f>=AY8</f>
        <v>626</v>
      </c>
      <c r="AZ125" s="30">
        <f>=AZ8</f>
        <v>626</v>
      </c>
      <c r="BA125" s="30">
        <f>=BA8</f>
        <v>626</v>
      </c>
      <c r="BB125" s="30">
        <f>=BB8</f>
        <v>626</v>
      </c>
      <c r="BC125" s="30">
        <f>=BC8</f>
        <v>626</v>
      </c>
      <c r="BD125" s="30">
        <f>=BD8</f>
        <v>626</v>
      </c>
      <c r="BE125" s="30">
        <f>=BE8</f>
        <v>626</v>
      </c>
      <c r="BF125" s="30">
        <f>=BF8</f>
        <v>626</v>
      </c>
      <c r="BG125" s="30">
        <f>=BG8</f>
        <v>626</v>
      </c>
      <c r="BH125" s="30">
        <f>=BH8</f>
        <v>626</v>
      </c>
      <c r="BI125" s="30">
        <f>=BI8</f>
        <v>626</v>
      </c>
      <c r="BJ125" s="30">
        <f>=BJ8</f>
        <v>626</v>
      </c>
      <c r="BK125" s="30">
        <f>=BK8</f>
        <v>626</v>
      </c>
      <c r="BL125" s="30">
        <f>=BL8</f>
        <v>626</v>
      </c>
      <c r="BM125" s="30">
        <f>=BM8</f>
        <v>626</v>
      </c>
      <c r="BN125" s="30">
        <f>=BN8</f>
        <v>626</v>
      </c>
      <c r="BO125" s="30">
        <f>=BO8</f>
        <v>626</v>
      </c>
      <c r="BP125" s="30">
        <f>=BP8</f>
        <v>626</v>
      </c>
      <c r="BQ125" s="30">
        <f>=BQ8</f>
        <v>626</v>
      </c>
      <c r="BR125" s="30">
        <f>=BR8</f>
        <v>626</v>
      </c>
      <c r="BS125" s="30">
        <f>=BS8</f>
        <v>626</v>
      </c>
      <c r="BT125" s="30">
        <f>=BT8</f>
        <v>626</v>
      </c>
      <c r="BU125" s="30">
        <f>=BU8</f>
        <v>626</v>
      </c>
      <c r="BV125" s="30">
        <f>=BV8</f>
        <v>626</v>
      </c>
      <c r="BW125" s="30">
        <f>=BW8</f>
        <v>626</v>
      </c>
      <c r="BX125" s="30">
        <f>=BX8</f>
        <v>626</v>
      </c>
      <c r="BY125" s="30">
        <f>=BY8</f>
        <v>626</v>
      </c>
      <c r="BZ125" s="30">
        <f>=BZ8</f>
        <v>626</v>
      </c>
      <c r="CA125" s="30">
        <f>=CA8</f>
        <v>626</v>
      </c>
      <c r="CB125" s="30">
        <f>=CB8</f>
        <v>626</v>
      </c>
      <c r="CC125" s="30">
        <f>=CC8</f>
        <v>626</v>
      </c>
      <c r="CD125" s="30">
        <f>=CD8</f>
        <v>413</v>
      </c>
      <c r="CE125" s="30">
        <f>=CE8</f>
        <v>413</v>
      </c>
      <c r="CF125" s="30">
        <f>=CF8</f>
        <v>413</v>
      </c>
      <c r="CG125" s="30">
        <f>=CG8</f>
        <v>413</v>
      </c>
      <c r="CH125" s="30">
        <f>=CH8</f>
        <v>413</v>
      </c>
      <c r="CI125" s="30">
        <f>=CI8</f>
        <v>413</v>
      </c>
      <c r="CJ125" s="30">
        <f>=CJ8</f>
        <v>413</v>
      </c>
      <c r="CK125" s="30">
        <f>=CK8</f>
        <v>413</v>
      </c>
      <c r="CL125" s="30">
        <f>=CL8</f>
        <v>413</v>
      </c>
      <c r="CM125" s="30">
        <f>=CM8</f>
        <v>413</v>
      </c>
      <c r="CN125" s="30">
        <f>=CN8</f>
        <v>413</v>
      </c>
      <c r="CO125" s="30">
        <f>=CO8</f>
        <v>413</v>
      </c>
      <c r="CP125" s="30">
        <f>=CP8</f>
        <v>413</v>
      </c>
      <c r="CQ125" s="30">
        <f>=CQ8</f>
        <v>413</v>
      </c>
      <c r="CR125" s="30">
        <f>=CR8</f>
        <v>413</v>
      </c>
      <c r="CS125" s="30">
        <f>=CS8</f>
        <v>413</v>
      </c>
      <c r="CT125" s="30">
        <f>=CT8</f>
        <v>413</v>
      </c>
      <c r="CU125" s="30">
        <f>=CU8</f>
        <v>413</v>
      </c>
      <c r="CV125" s="30">
        <f>=CV8</f>
        <v>413</v>
      </c>
      <c r="CW125" s="30">
        <f>=CW8</f>
        <v>413</v>
      </c>
      <c r="CX125" s="30">
        <f>=CX8</f>
        <v>413</v>
      </c>
      <c r="CY125" s="30">
        <f>=CY8</f>
        <v>413</v>
      </c>
      <c r="CZ125" s="30">
        <f>=CZ8</f>
        <v>413</v>
      </c>
      <c r="DA125" s="30">
        <f>=DA8</f>
        <v>413</v>
      </c>
      <c r="DB125" s="30">
        <f>=DB8</f>
        <v>413</v>
      </c>
    </row>
    <row r="126" ht="18" customHeight="1" spans="1:106" x14ac:dyDescent="0.25">
      <c r="A126" s="68" t="s">
        <v>347</v>
      </c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50">
        <v>541</v>
      </c>
      <c r="AD126" s="50">
        <v>540</v>
      </c>
      <c r="AE126" s="50">
        <v>540</v>
      </c>
      <c r="AF126" s="50">
        <v>540</v>
      </c>
      <c r="AG126" s="50">
        <v>540</v>
      </c>
      <c r="AH126" s="50">
        <v>540</v>
      </c>
      <c r="AI126" s="50">
        <v>648</v>
      </c>
      <c r="AJ126" s="50">
        <v>561</v>
      </c>
      <c r="AK126" s="50">
        <v>623</v>
      </c>
      <c r="AL126" s="50">
        <v>591</v>
      </c>
      <c r="AM126" s="50">
        <v>637</v>
      </c>
      <c r="AN126" s="50">
        <v>567</v>
      </c>
      <c r="AO126" s="50">
        <v>549</v>
      </c>
      <c r="AP126" s="50">
        <v>524</v>
      </c>
      <c r="AQ126" s="50">
        <v>505</v>
      </c>
      <c r="AR126" s="50">
        <v>495</v>
      </c>
      <c r="AS126" s="50">
        <v>462</v>
      </c>
      <c r="AT126" s="50">
        <v>450</v>
      </c>
      <c r="AU126" s="50">
        <v>450</v>
      </c>
      <c r="AV126" s="50">
        <v>594</v>
      </c>
      <c r="AW126" s="50">
        <v>749</v>
      </c>
      <c r="AX126" s="50">
        <v>927</v>
      </c>
      <c r="AY126" s="50">
        <v>857</v>
      </c>
      <c r="AZ126" s="50">
        <v>855</v>
      </c>
      <c r="BA126" s="50">
        <v>855</v>
      </c>
      <c r="BB126" s="50">
        <v>855</v>
      </c>
      <c r="BC126" s="50">
        <v>855</v>
      </c>
      <c r="BD126" s="50">
        <v>792</v>
      </c>
      <c r="BE126" s="50">
        <v>754</v>
      </c>
      <c r="BF126" s="50">
        <v>821</v>
      </c>
      <c r="BG126" s="50">
        <v>840</v>
      </c>
      <c r="BH126" s="50">
        <v>818</v>
      </c>
      <c r="BI126" s="50">
        <v>801</v>
      </c>
      <c r="BJ126" s="50">
        <v>873</v>
      </c>
      <c r="BK126" s="50">
        <v>839</v>
      </c>
      <c r="BL126" s="50">
        <v>889</v>
      </c>
      <c r="BM126" s="50">
        <v>898</v>
      </c>
      <c r="BN126" s="69">
        <v>884</v>
      </c>
      <c r="BO126" s="69">
        <v>760</v>
      </c>
      <c r="BP126" s="69">
        <v>704</v>
      </c>
      <c r="BQ126" s="30"/>
      <c r="BR126" s="30"/>
      <c r="BS126" s="30"/>
      <c r="BT126" s="30"/>
      <c r="BU126" s="30"/>
      <c r="BV126" s="30"/>
      <c r="BW126" s="30"/>
      <c r="BX126" s="30"/>
      <c r="BY126" s="30"/>
      <c r="BZ126" s="30"/>
      <c r="CA126" s="30"/>
      <c r="CB126" s="30"/>
      <c r="CC126" s="30"/>
      <c r="CD126" s="30"/>
      <c r="CE126" s="30"/>
      <c r="CF126" s="30"/>
      <c r="CG126" s="30"/>
      <c r="CH126" s="30"/>
      <c r="CI126" s="30"/>
      <c r="CJ126" s="30"/>
      <c r="CK126" s="30"/>
      <c r="CL126" s="30"/>
      <c r="CM126" s="30"/>
      <c r="CN126" s="30"/>
      <c r="CO126" s="30"/>
      <c r="CP126" s="30"/>
      <c r="CQ126" s="30"/>
      <c r="CR126" s="30"/>
      <c r="CS126" s="30"/>
      <c r="CT126" s="30"/>
      <c r="CU126" s="30"/>
      <c r="CV126" s="30"/>
      <c r="CW126" s="30"/>
      <c r="CX126" s="30"/>
      <c r="CY126" s="30"/>
      <c r="CZ126" s="30"/>
      <c r="DA126" s="30"/>
      <c r="DB126" s="30"/>
    </row>
    <row r="127" ht="18" customHeight="1" spans="1:106" x14ac:dyDescent="0.25">
      <c r="A127" s="68" t="s">
        <v>348</v>
      </c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50">
        <v>479</v>
      </c>
      <c r="AD127" s="50">
        <v>438</v>
      </c>
      <c r="AE127" s="50">
        <v>458</v>
      </c>
      <c r="AF127" s="50">
        <v>411</v>
      </c>
      <c r="AG127" s="50">
        <v>408</v>
      </c>
      <c r="AH127" s="50">
        <v>402</v>
      </c>
      <c r="AI127" s="50">
        <v>448</v>
      </c>
      <c r="AJ127" s="50">
        <v>416</v>
      </c>
      <c r="AK127" s="50">
        <v>478</v>
      </c>
      <c r="AL127" s="50">
        <v>450</v>
      </c>
      <c r="AM127" s="50">
        <v>510</v>
      </c>
      <c r="AN127" s="50">
        <v>433</v>
      </c>
      <c r="AO127" s="50">
        <v>437</v>
      </c>
      <c r="AP127" s="50">
        <v>426</v>
      </c>
      <c r="AQ127" s="50">
        <v>398</v>
      </c>
      <c r="AR127" s="50">
        <v>381</v>
      </c>
      <c r="AS127" s="50">
        <v>323</v>
      </c>
      <c r="AT127" s="50">
        <v>351</v>
      </c>
      <c r="AU127" s="50">
        <v>370</v>
      </c>
      <c r="AV127" s="50">
        <v>465</v>
      </c>
      <c r="AW127" s="50">
        <v>573</v>
      </c>
      <c r="AX127" s="50">
        <v>584</v>
      </c>
      <c r="AY127" s="50">
        <v>607</v>
      </c>
      <c r="AZ127" s="50">
        <v>690</v>
      </c>
      <c r="BA127" s="50">
        <v>655</v>
      </c>
      <c r="BB127" s="50">
        <v>620</v>
      </c>
      <c r="BC127" s="50">
        <v>620</v>
      </c>
      <c r="BD127" s="50">
        <v>594</v>
      </c>
      <c r="BE127" s="50">
        <v>531</v>
      </c>
      <c r="BF127" s="50">
        <v>598</v>
      </c>
      <c r="BG127" s="50">
        <v>676</v>
      </c>
      <c r="BH127" s="50">
        <v>633</v>
      </c>
      <c r="BI127" s="50">
        <v>639</v>
      </c>
      <c r="BJ127" s="50">
        <v>677</v>
      </c>
      <c r="BK127" s="50">
        <v>617</v>
      </c>
      <c r="BL127" s="50">
        <v>665</v>
      </c>
      <c r="BM127" s="50">
        <v>746</v>
      </c>
      <c r="BN127" s="69">
        <v>684</v>
      </c>
      <c r="BO127" s="69">
        <v>608</v>
      </c>
      <c r="BP127" s="69">
        <v>472</v>
      </c>
      <c r="BQ127" s="30"/>
      <c r="BR127" s="30"/>
      <c r="BS127" s="30"/>
      <c r="BT127" s="30"/>
      <c r="BU127" s="30"/>
      <c r="BV127" s="30"/>
      <c r="BW127" s="30"/>
      <c r="BX127" s="30"/>
      <c r="BY127" s="30"/>
      <c r="BZ127" s="30"/>
      <c r="CA127" s="30"/>
      <c r="CB127" s="30"/>
      <c r="CC127" s="30"/>
      <c r="CD127" s="30"/>
      <c r="CE127" s="30"/>
      <c r="CF127" s="30"/>
      <c r="CG127" s="30"/>
      <c r="CH127" s="30"/>
      <c r="CI127" s="30"/>
      <c r="CJ127" s="30"/>
      <c r="CK127" s="30"/>
      <c r="CL127" s="30"/>
      <c r="CM127" s="30"/>
      <c r="CN127" s="30"/>
      <c r="CO127" s="30"/>
      <c r="CP127" s="30"/>
      <c r="CQ127" s="30"/>
      <c r="CR127" s="30"/>
      <c r="CS127" s="30"/>
      <c r="CT127" s="30"/>
      <c r="CU127" s="30"/>
      <c r="CV127" s="30"/>
      <c r="CW127" s="30"/>
      <c r="CX127" s="30"/>
      <c r="CY127" s="30"/>
      <c r="CZ127" s="30"/>
      <c r="DA127" s="30"/>
      <c r="DB127" s="30"/>
    </row>
    <row r="128" ht="18" customHeight="1" spans="1:106" x14ac:dyDescent="0.25">
      <c r="A128" s="70" t="s">
        <v>349</v>
      </c>
      <c r="C128" s="48">
        <f>=IFERROR(C127/C125,0)</f>
        <v>0</v>
      </c>
      <c r="D128" s="48">
        <f>=IFERROR(D127/D125,0)</f>
        <v>0</v>
      </c>
      <c r="E128" s="48">
        <f>=IFERROR(E127/E125,0)</f>
        <v>0</v>
      </c>
      <c r="F128" s="48">
        <f>=IFERROR(F127/F125,0)</f>
        <v>0</v>
      </c>
      <c r="G128" s="48">
        <f>=IFERROR(G127/G125,0)</f>
        <v>0</v>
      </c>
      <c r="H128" s="48">
        <f>=IFERROR(H127/H125,0)</f>
        <v>0</v>
      </c>
      <c r="I128" s="48">
        <f>=IFERROR(I127/I125,0)</f>
        <v>0</v>
      </c>
      <c r="J128" s="48">
        <f>=IFERROR(J127/J125,0)</f>
        <v>0</v>
      </c>
      <c r="K128" s="48">
        <f>=IFERROR(K127/K125,0)</f>
        <v>0</v>
      </c>
      <c r="L128" s="48">
        <f>=IFERROR(L127/L125,0)</f>
        <v>0</v>
      </c>
      <c r="M128" s="48">
        <f>=IFERROR(M127/M125,0)</f>
        <v>0</v>
      </c>
      <c r="N128" s="48">
        <f>=IFERROR(N127/N125,0)</f>
        <v>0</v>
      </c>
      <c r="O128" s="48">
        <f>=IFERROR(O127/O125,0)</f>
        <v>0</v>
      </c>
      <c r="P128" s="48">
        <f>=IFERROR(P127/P125,0)</f>
        <v>0</v>
      </c>
      <c r="Q128" s="48">
        <f>=IFERROR(Q127/Q125,0)</f>
        <v>0</v>
      </c>
      <c r="R128" s="48">
        <f>=IFERROR(R127/R125,0)</f>
        <v>0</v>
      </c>
      <c r="S128" s="48">
        <f>=IFERROR(S127/S125,0)</f>
        <v>0</v>
      </c>
      <c r="T128" s="48">
        <f>=IFERROR(T127/T125,0)</f>
        <v>0</v>
      </c>
      <c r="U128" s="48">
        <f>=IFERROR(U127/U125,0)</f>
        <v>0</v>
      </c>
      <c r="V128" s="48">
        <f>=IFERROR(V127/V125,0)</f>
        <v>0</v>
      </c>
      <c r="W128" s="48">
        <f>=IFERROR(W127/W125,0)</f>
        <v>0</v>
      </c>
      <c r="X128" s="48">
        <f>=IFERROR(X127/X125,0)</f>
        <v>0</v>
      </c>
      <c r="Y128" s="48">
        <f>=IFERROR(Y127/Y125,0)</f>
        <v>0</v>
      </c>
      <c r="Z128" s="48">
        <f>=IFERROR(Z127/Z125,0)</f>
        <v>0</v>
      </c>
      <c r="AA128" s="48">
        <f>=IFERROR(AA127/AA125,0)</f>
        <v>0</v>
      </c>
      <c r="AB128" s="48">
        <f>=IFERROR(AB127/AB125,0)</f>
        <v>0</v>
      </c>
      <c r="AC128" s="48">
        <f>=IFERROR(AC127/AC125,0)</f>
        <v>1.1542168674698796</v>
      </c>
      <c r="AD128" s="48">
        <f>=IFERROR(AD127/AD125,0)</f>
        <v>1.0554216867469879</v>
      </c>
      <c r="AE128" s="48">
        <f>=IFERROR(AE127/AE125,0)</f>
        <v>1.1036144578313254</v>
      </c>
      <c r="AF128" s="48">
        <f>=IFERROR(AF127/AF125,0)</f>
        <v>0.9903614457831326</v>
      </c>
      <c r="AG128" s="48">
        <f>=IFERROR(AG127/AG125,0)</f>
        <v>0.983132530120482</v>
      </c>
      <c r="AH128" s="48">
        <f>=IFERROR(AH127/AH125,0)</f>
        <v>0.9686746987951808</v>
      </c>
      <c r="AI128" s="48">
        <f>=IFERROR(AI127/AI125,0)</f>
        <v>1.0795180722891566</v>
      </c>
      <c r="AJ128" s="48">
        <f>=IFERROR(AJ127/AJ125,0)</f>
        <v>1.002409638554217</v>
      </c>
      <c r="AK128" s="48">
        <f>=IFERROR(AK127/AK125,0)</f>
        <v>1.1518072289156627</v>
      </c>
      <c r="AL128" s="48">
        <f>=IFERROR(AL127/AL125,0)</f>
        <v>1.0843373493975903</v>
      </c>
      <c r="AM128" s="48">
        <f>=IFERROR(AM127/AM125,0)</f>
        <v>1.2289156626506024</v>
      </c>
      <c r="AN128" s="48">
        <f>=IFERROR(AN127/AN125,0)</f>
        <v>1.0433734939759036</v>
      </c>
      <c r="AO128" s="48">
        <f>=IFERROR(AO127/AO125,0)</f>
        <v>1.0530120481927712</v>
      </c>
      <c r="AP128" s="48">
        <f>=IFERROR(AP127/AP125,0)</f>
        <v>1.0167064439140812</v>
      </c>
      <c r="AQ128" s="48">
        <f>=IFERROR(AQ127/AQ125,0)</f>
        <v>0.9498806682577565</v>
      </c>
      <c r="AR128" s="48">
        <f>=IFERROR(AR127/AR125,0)</f>
        <v>0.9093078758949881</v>
      </c>
      <c r="AS128" s="48">
        <f>=IFERROR(AS127/AS125,0)</f>
        <v>0.7708830548926014</v>
      </c>
      <c r="AT128" s="48">
        <f>=IFERROR(AT127/AT125,0)</f>
        <v>0.8357142857142857</v>
      </c>
      <c r="AU128" s="48">
        <f>=IFERROR(AU127/AU125,0)</f>
        <v>0.883054892601432</v>
      </c>
      <c r="AV128" s="48">
        <f>=IFERROR(AV127/AV125,0)</f>
        <v>1.1045130641330165</v>
      </c>
      <c r="AW128" s="48">
        <f>=IFERROR(AW127/AW125,0)</f>
        <v>1.3610451306413303</v>
      </c>
      <c r="AX128" s="48">
        <f>=IFERROR(AX127/AX125,0)</f>
        <v>1.3937947494033414</v>
      </c>
      <c r="AY128" s="48">
        <f>=IFERROR(AY127/AY125,0)</f>
        <v>0.9696485623003195</v>
      </c>
      <c r="AZ128" s="48">
        <f>=IFERROR(AZ127/AZ125,0)</f>
        <v>1.1022364217252396</v>
      </c>
      <c r="BA128" s="48">
        <f>=IFERROR(BA127/BA125,0)</f>
        <v>1.0463258785942493</v>
      </c>
      <c r="BB128" s="48">
        <f>=IFERROR(BB127/BB125,0)</f>
        <v>0.9904153354632588</v>
      </c>
      <c r="BC128" s="48">
        <f>=IFERROR(BC127/BC125,0)</f>
        <v>0.9904153354632588</v>
      </c>
      <c r="BD128" s="48">
        <f>=IFERROR(BD127/BD125,0)</f>
        <v>0.9488817891373802</v>
      </c>
      <c r="BE128" s="48">
        <f>=IFERROR(BE127/BE125,0)</f>
        <v>0.8482428115015974</v>
      </c>
      <c r="BF128" s="48">
        <f>=IFERROR(BF127/BF125,0)</f>
        <v>0.9552715654952076</v>
      </c>
      <c r="BG128" s="48">
        <f>=IFERROR(BG127/BG125,0)</f>
        <v>1.0798722044728435</v>
      </c>
      <c r="BH128" s="48">
        <f>=IFERROR(BH127/BH125,0)</f>
        <v>1.011182108626198</v>
      </c>
      <c r="BI128" s="48">
        <f>=IFERROR(BI127/BI125,0)</f>
        <v>1.0207667731629393</v>
      </c>
      <c r="BJ128" s="48">
        <f>=IFERROR(BJ127/BJ125,0)</f>
        <v>1.0814696485623003</v>
      </c>
      <c r="BK128" s="48">
        <f>=IFERROR(BK127/BK125,0)</f>
        <v>0.9856230031948882</v>
      </c>
      <c r="BL128" s="48">
        <f>=IFERROR(BL127/BL125,0)</f>
        <v>1.0623003194888179</v>
      </c>
      <c r="BM128" s="48">
        <f>=IFERROR(BM127/BM125,0)</f>
        <v>1.1916932907348243</v>
      </c>
      <c r="BN128" s="48">
        <f>=IFERROR(BN127/BN125,0)</f>
        <v>1.0926517571884984</v>
      </c>
      <c r="BO128" s="48">
        <f>=IFERROR(BO127/BO125,0)</f>
        <v>0.9712460063897763</v>
      </c>
      <c r="BP128" s="48">
        <f>=IFERROR(BP127/BP125,0)</f>
        <v>0.7539936102236422</v>
      </c>
      <c r="BQ128" s="48">
        <f>=IFERROR(BQ127/BQ125,0)</f>
        <v>0</v>
      </c>
      <c r="BR128" s="48">
        <f>=IFERROR(BR127/BR125,0)</f>
        <v>0</v>
      </c>
      <c r="BS128" s="48">
        <f>=IFERROR(BS127/BS125,0)</f>
        <v>0</v>
      </c>
      <c r="BT128" s="48">
        <f>=IFERROR(BT127/BT125,0)</f>
        <v>0</v>
      </c>
      <c r="BU128" s="48">
        <f>=IFERROR(BU127/BU125,0)</f>
        <v>0</v>
      </c>
      <c r="BV128" s="48">
        <f>=IFERROR(BV127/BV125,0)</f>
        <v>0</v>
      </c>
      <c r="BW128" s="48">
        <f>=IFERROR(BW127/BW125,0)</f>
        <v>0</v>
      </c>
      <c r="BX128" s="48">
        <f>=IFERROR(BX127/BX125,0)</f>
        <v>0</v>
      </c>
      <c r="BY128" s="48">
        <f>=IFERROR(BY127/BY125,0)</f>
        <v>0</v>
      </c>
      <c r="BZ128" s="48">
        <f>=IFERROR(BZ127/BZ125,0)</f>
        <v>0</v>
      </c>
      <c r="CA128" s="48">
        <f>=IFERROR(CA127/CA125,0)</f>
        <v>0</v>
      </c>
      <c r="CB128" s="48">
        <f>=IFERROR(CB127/CB125,0)</f>
        <v>0</v>
      </c>
      <c r="CC128" s="48">
        <f>=IFERROR(CC127/CC125,0)</f>
        <v>0</v>
      </c>
      <c r="CD128" s="48">
        <f>=IFERROR(CD127/CD125,0)</f>
        <v>0</v>
      </c>
      <c r="CE128" s="48">
        <f>=IFERROR(CE127/CE125,0)</f>
        <v>0</v>
      </c>
      <c r="CF128" s="48">
        <f>=IFERROR(CF127/CF125,0)</f>
        <v>0</v>
      </c>
      <c r="CG128" s="48">
        <f>=IFERROR(CG127/CG125,0)</f>
        <v>0</v>
      </c>
      <c r="CH128" s="48">
        <f>=IFERROR(CH127/CH125,0)</f>
        <v>0</v>
      </c>
      <c r="CI128" s="48">
        <f>=IFERROR(CI127/CI125,0)</f>
        <v>0</v>
      </c>
      <c r="CJ128" s="48">
        <f>=IFERROR(CJ127/CJ125,0)</f>
        <v>0</v>
      </c>
      <c r="CK128" s="48">
        <f>=IFERROR(CK127/CK125,0)</f>
        <v>0</v>
      </c>
      <c r="CL128" s="48">
        <f>=IFERROR(CL127/CL125,0)</f>
        <v>0</v>
      </c>
      <c r="CM128" s="48">
        <f>=IFERROR(CM127/CM125,0)</f>
        <v>0</v>
      </c>
      <c r="CN128" s="48">
        <f>=IFERROR(CN127/CN125,0)</f>
        <v>0</v>
      </c>
      <c r="CO128" s="48">
        <f>=IFERROR(CO127/CO125,0)</f>
        <v>0</v>
      </c>
      <c r="CP128" s="48">
        <f>=IFERROR(CP127/CP125,0)</f>
        <v>0</v>
      </c>
      <c r="CQ128" s="48">
        <f>=IFERROR(CQ127/CQ125,0)</f>
        <v>0</v>
      </c>
      <c r="CR128" s="48">
        <f>=IFERROR(CR127/CR125,0)</f>
        <v>0</v>
      </c>
      <c r="CS128" s="48">
        <f>=IFERROR(CS127/CS125,0)</f>
        <v>0</v>
      </c>
      <c r="CT128" s="48">
        <f>=IFERROR(CT127/CT125,0)</f>
        <v>0</v>
      </c>
      <c r="CU128" s="48">
        <f>=IFERROR(CU127/CU125,0)</f>
        <v>0</v>
      </c>
      <c r="CV128" s="48">
        <f>=IFERROR(CV127/CV125,0)</f>
        <v>0</v>
      </c>
      <c r="CW128" s="48">
        <f>=IFERROR(CW127/CW125,0)</f>
        <v>0</v>
      </c>
      <c r="CX128" s="48">
        <f>=IFERROR(CX127/CX125,0)</f>
        <v>0</v>
      </c>
      <c r="CY128" s="48">
        <f>=IFERROR(CY127/CY125,0)</f>
        <v>0</v>
      </c>
      <c r="CZ128" s="48">
        <f>=IFERROR(CZ127/CZ125,0)</f>
        <v>0</v>
      </c>
      <c r="DA128" s="48">
        <f>=IFERROR(DA127/DA125,0)</f>
        <v>0</v>
      </c>
      <c r="DB128" s="48">
        <f>=IFERROR(DB127/DB125,0)</f>
        <v>0</v>
      </c>
    </row>
    <row r="129" ht="18" customHeight="1" spans="1:106" x14ac:dyDescent="0.25">
      <c r="A129" s="68" t="s">
        <v>350</v>
      </c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50">
        <v>434</v>
      </c>
      <c r="AD129" s="50">
        <v>409</v>
      </c>
      <c r="AE129" s="50">
        <v>407</v>
      </c>
      <c r="AF129" s="50">
        <v>373</v>
      </c>
      <c r="AG129" s="50">
        <v>363</v>
      </c>
      <c r="AH129" s="50">
        <v>355</v>
      </c>
      <c r="AI129" s="50">
        <v>390</v>
      </c>
      <c r="AJ129" s="50">
        <v>373</v>
      </c>
      <c r="AK129" s="50">
        <v>389</v>
      </c>
      <c r="AL129" s="50">
        <v>381</v>
      </c>
      <c r="AM129" s="50">
        <v>432</v>
      </c>
      <c r="AN129" s="50">
        <v>387</v>
      </c>
      <c r="AO129" s="50">
        <v>382</v>
      </c>
      <c r="AP129" s="50">
        <v>376</v>
      </c>
      <c r="AQ129" s="50">
        <v>350</v>
      </c>
      <c r="AR129" s="50">
        <v>331</v>
      </c>
      <c r="AS129" s="50">
        <v>269</v>
      </c>
      <c r="AT129" s="50">
        <v>306</v>
      </c>
      <c r="AU129" s="50">
        <v>328</v>
      </c>
      <c r="AV129" s="50">
        <v>367</v>
      </c>
      <c r="AW129" s="50">
        <v>390</v>
      </c>
      <c r="AX129" s="50">
        <v>478</v>
      </c>
      <c r="AY129" s="50">
        <v>496</v>
      </c>
      <c r="AZ129" s="50">
        <v>615</v>
      </c>
      <c r="BA129" s="50">
        <v>579</v>
      </c>
      <c r="BB129" s="50">
        <v>553</v>
      </c>
      <c r="BC129" s="50">
        <v>566</v>
      </c>
      <c r="BD129" s="50">
        <v>525</v>
      </c>
      <c r="BE129" s="50">
        <v>472</v>
      </c>
      <c r="BF129" s="50">
        <v>552</v>
      </c>
      <c r="BG129" s="50">
        <v>573</v>
      </c>
      <c r="BH129" s="50">
        <v>528</v>
      </c>
      <c r="BI129" s="50">
        <v>548</v>
      </c>
      <c r="BJ129" s="50">
        <v>521</v>
      </c>
      <c r="BK129" s="50">
        <v>548</v>
      </c>
      <c r="BL129" s="50">
        <v>570</v>
      </c>
      <c r="BM129" s="50">
        <v>652</v>
      </c>
      <c r="BN129" s="69">
        <v>610</v>
      </c>
      <c r="BO129" s="69">
        <v>517</v>
      </c>
      <c r="BP129" s="69">
        <v>404</v>
      </c>
      <c r="BQ129" s="30"/>
      <c r="BR129" s="30"/>
      <c r="BS129" s="30"/>
      <c r="BT129" s="30"/>
      <c r="BU129" s="30"/>
      <c r="BV129" s="30"/>
      <c r="BW129" s="30"/>
      <c r="BX129" s="30"/>
      <c r="BY129" s="30"/>
      <c r="BZ129" s="30"/>
      <c r="CA129" s="30"/>
      <c r="CB129" s="30"/>
      <c r="CC129" s="30"/>
      <c r="CD129" s="30"/>
      <c r="CE129" s="30"/>
      <c r="CF129" s="30"/>
      <c r="CG129" s="30"/>
      <c r="CH129" s="30"/>
      <c r="CI129" s="30"/>
      <c r="CJ129" s="30"/>
      <c r="CK129" s="30"/>
      <c r="CL129" s="30"/>
      <c r="CM129" s="30"/>
      <c r="CN129" s="30"/>
      <c r="CO129" s="30"/>
      <c r="CP129" s="30"/>
      <c r="CQ129" s="30"/>
      <c r="CR129" s="30"/>
      <c r="CS129" s="30"/>
      <c r="CT129" s="30"/>
      <c r="CU129" s="30"/>
      <c r="CV129" s="30"/>
      <c r="CW129" s="30"/>
      <c r="CX129" s="30"/>
      <c r="CY129" s="30"/>
      <c r="CZ129" s="30"/>
      <c r="DA129" s="30"/>
      <c r="DB129" s="30"/>
    </row>
    <row r="130" spans="1:1" x14ac:dyDescent="0.25">
      <c r="A130" s="68" t="s">
        <v>351</v>
      </c>
    </row>
    <row r="131" ht="18" customHeight="1" spans="1:68" x14ac:dyDescent="0.25">
      <c r="A131" s="72" t="s">
        <v>263</v>
      </c>
      <c r="AC131" s="50">
        <v>1</v>
      </c>
      <c r="AD131" s="50">
        <v>7</v>
      </c>
      <c r="AE131" s="50">
        <v>0</v>
      </c>
      <c r="AF131" s="50">
        <v>27</v>
      </c>
      <c r="AG131" s="50">
        <v>29</v>
      </c>
      <c r="AH131" s="50">
        <v>51</v>
      </c>
      <c r="AI131" s="50">
        <v>50</v>
      </c>
      <c r="AJ131" s="50">
        <v>6</v>
      </c>
      <c r="AK131" s="50">
        <v>16</v>
      </c>
      <c r="AL131" s="50">
        <v>6</v>
      </c>
      <c r="AM131" s="50">
        <v>21</v>
      </c>
      <c r="AN131" s="50">
        <v>0</v>
      </c>
      <c r="AO131" s="50">
        <v>0</v>
      </c>
      <c r="AP131" s="50">
        <v>16</v>
      </c>
      <c r="AQ131" s="50">
        <v>11</v>
      </c>
      <c r="AR131" s="50">
        <v>12</v>
      </c>
      <c r="AS131" s="50">
        <v>48</v>
      </c>
      <c r="AT131" s="50">
        <v>34</v>
      </c>
      <c r="AU131" s="50">
        <v>9</v>
      </c>
      <c r="AV131" s="50">
        <v>17</v>
      </c>
      <c r="AW131" s="50">
        <v>2</v>
      </c>
      <c r="AX131" s="50">
        <v>20</v>
      </c>
      <c r="AY131" s="50">
        <v>28</v>
      </c>
      <c r="AZ131" s="50">
        <v>14</v>
      </c>
      <c r="BA131" s="50">
        <v>2</v>
      </c>
      <c r="BB131" s="50">
        <v>34</v>
      </c>
      <c r="BC131" s="50">
        <v>25</v>
      </c>
      <c r="BD131" s="50">
        <v>43</v>
      </c>
      <c r="BE131" s="50">
        <v>39</v>
      </c>
      <c r="BF131" s="50">
        <v>10</v>
      </c>
      <c r="BG131" s="50">
        <v>0</v>
      </c>
      <c r="BH131" s="50">
        <v>8</v>
      </c>
      <c r="BI131" s="50">
        <v>0</v>
      </c>
      <c r="BJ131" s="50">
        <v>6</v>
      </c>
      <c r="BK131" s="50">
        <v>28</v>
      </c>
      <c r="BL131" s="50">
        <v>22</v>
      </c>
      <c r="BM131" s="50">
        <v>0</v>
      </c>
      <c r="BN131" s="69">
        <v>30</v>
      </c>
      <c r="BO131" s="69">
        <v>40</v>
      </c>
      <c r="BP131" s="69">
        <v>26</v>
      </c>
    </row>
    <row r="132" ht="18" customHeight="1" spans="1:106" x14ac:dyDescent="0.25">
      <c r="A132" s="72" t="s">
        <v>264</v>
      </c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50">
        <v>0</v>
      </c>
      <c r="AD132" s="50">
        <v>33</v>
      </c>
      <c r="AE132" s="50">
        <v>19</v>
      </c>
      <c r="AF132" s="50">
        <v>42</v>
      </c>
      <c r="AG132" s="50">
        <v>45</v>
      </c>
      <c r="AH132" s="50">
        <v>30</v>
      </c>
      <c r="AI132" s="50">
        <v>62</v>
      </c>
      <c r="AJ132" s="50">
        <v>63</v>
      </c>
      <c r="AK132" s="50">
        <v>29</v>
      </c>
      <c r="AL132" s="50">
        <v>13</v>
      </c>
      <c r="AM132" s="50">
        <v>20</v>
      </c>
      <c r="AN132" s="50">
        <v>66</v>
      </c>
      <c r="AO132" s="50">
        <v>36</v>
      </c>
      <c r="AP132" s="50">
        <v>18</v>
      </c>
      <c r="AQ132" s="50">
        <v>28</v>
      </c>
      <c r="AR132" s="50">
        <v>43</v>
      </c>
      <c r="AS132" s="50">
        <v>36</v>
      </c>
      <c r="AT132" s="50">
        <v>11</v>
      </c>
      <c r="AU132" s="50">
        <v>12</v>
      </c>
      <c r="AV132" s="50">
        <v>7</v>
      </c>
      <c r="AW132" s="50">
        <v>42</v>
      </c>
      <c r="AX132" s="50">
        <v>58</v>
      </c>
      <c r="AY132" s="50">
        <v>100</v>
      </c>
      <c r="AZ132" s="50">
        <v>31</v>
      </c>
      <c r="BA132" s="50">
        <v>76</v>
      </c>
      <c r="BB132" s="50">
        <v>9</v>
      </c>
      <c r="BC132" s="50">
        <v>106</v>
      </c>
      <c r="BD132" s="50">
        <v>52</v>
      </c>
      <c r="BE132" s="50">
        <v>83</v>
      </c>
      <c r="BF132" s="50">
        <v>67</v>
      </c>
      <c r="BG132" s="50">
        <v>48</v>
      </c>
      <c r="BH132" s="50">
        <v>69</v>
      </c>
      <c r="BI132" s="50">
        <v>34</v>
      </c>
      <c r="BJ132" s="50">
        <v>54</v>
      </c>
      <c r="BK132" s="50">
        <v>64</v>
      </c>
      <c r="BL132" s="50">
        <v>85</v>
      </c>
      <c r="BM132" s="50">
        <v>61</v>
      </c>
      <c r="BN132" s="69">
        <v>78</v>
      </c>
      <c r="BO132" s="69">
        <v>22</v>
      </c>
      <c r="BP132" s="69">
        <v>121</v>
      </c>
      <c r="BQ132" s="30"/>
      <c r="BR132" s="30"/>
      <c r="BS132" s="30"/>
      <c r="BT132" s="30"/>
      <c r="BU132" s="30"/>
      <c r="BV132" s="30"/>
      <c r="BW132" s="30"/>
      <c r="BX132" s="30"/>
      <c r="BY132" s="30"/>
      <c r="BZ132" s="30"/>
      <c r="CA132" s="30"/>
      <c r="CB132" s="30"/>
      <c r="CC132" s="30"/>
      <c r="CD132" s="30"/>
      <c r="CE132" s="30"/>
      <c r="CF132" s="30"/>
      <c r="CG132" s="30"/>
      <c r="CH132" s="30"/>
      <c r="CI132" s="30"/>
      <c r="CJ132" s="30"/>
      <c r="CK132" s="30"/>
      <c r="CL132" s="30"/>
      <c r="CM132" s="30"/>
      <c r="CN132" s="30"/>
      <c r="CO132" s="30"/>
      <c r="CP132" s="30"/>
      <c r="CQ132" s="30"/>
      <c r="CR132" s="30"/>
      <c r="CS132" s="30"/>
      <c r="CT132" s="30"/>
      <c r="CU132" s="30"/>
      <c r="CV132" s="30"/>
      <c r="CW132" s="30"/>
      <c r="CX132" s="30"/>
      <c r="CY132" s="30"/>
      <c r="CZ132" s="30"/>
      <c r="DA132" s="30"/>
      <c r="DB132" s="30"/>
    </row>
    <row r="133" ht="16" customHeight="1" spans="1:106" x14ac:dyDescent="0.25">
      <c r="A133" s="72" t="s">
        <v>265</v>
      </c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  <c r="AW133" s="30"/>
      <c r="AX133" s="30"/>
      <c r="AY133" s="30"/>
      <c r="AZ133" s="30"/>
      <c r="BA133" s="30"/>
      <c r="BB133" s="30"/>
      <c r="BC133" s="30"/>
      <c r="BD133" s="30"/>
      <c r="BE133" s="30"/>
      <c r="BF133" s="30"/>
      <c r="BG133" s="30"/>
      <c r="BH133" s="30"/>
      <c r="BI133" s="30"/>
      <c r="BJ133" s="30"/>
      <c r="BK133" s="30"/>
      <c r="BL133" s="30"/>
      <c r="BM133" s="30"/>
      <c r="BN133" s="30"/>
      <c r="BO133" s="30"/>
      <c r="BP133" s="30"/>
      <c r="BQ133" s="30"/>
      <c r="BR133" s="30"/>
      <c r="BS133" s="30"/>
      <c r="BT133" s="30"/>
      <c r="BU133" s="30"/>
      <c r="BV133" s="30"/>
      <c r="BW133" s="30"/>
      <c r="BX133" s="30"/>
      <c r="BY133" s="30"/>
      <c r="BZ133" s="30"/>
      <c r="CA133" s="30"/>
      <c r="CB133" s="30"/>
      <c r="CC133" s="30"/>
      <c r="CD133" s="30"/>
      <c r="CE133" s="30"/>
      <c r="CF133" s="30"/>
      <c r="CG133" s="30"/>
      <c r="CH133" s="30"/>
      <c r="CI133" s="30"/>
      <c r="CJ133" s="30"/>
      <c r="CK133" s="30"/>
      <c r="CL133" s="30"/>
      <c r="CM133" s="30"/>
      <c r="CN133" s="30"/>
      <c r="CO133" s="30"/>
      <c r="CP133" s="30"/>
      <c r="CQ133" s="30"/>
      <c r="CR133" s="30"/>
      <c r="CS133" s="30"/>
      <c r="CT133" s="30"/>
      <c r="CU133" s="30"/>
      <c r="CV133" s="30"/>
      <c r="CW133" s="30"/>
      <c r="CX133" s="30"/>
      <c r="CY133" s="30"/>
      <c r="CZ133" s="30"/>
      <c r="DA133" s="30"/>
      <c r="DB133" s="30"/>
    </row>
    <row r="134" ht="16" customHeight="1" spans="1:106" x14ac:dyDescent="0.25">
      <c r="A134" s="72" t="s">
        <v>266</v>
      </c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/>
      <c r="AZ134" s="30"/>
      <c r="BA134" s="30"/>
      <c r="BB134" s="30"/>
      <c r="BC134" s="30"/>
      <c r="BD134" s="30"/>
      <c r="BE134" s="30"/>
      <c r="BF134" s="30"/>
      <c r="BG134" s="30"/>
      <c r="BH134" s="30"/>
      <c r="BI134" s="30"/>
      <c r="BJ134" s="30"/>
      <c r="BK134" s="30"/>
      <c r="BL134" s="30"/>
      <c r="BM134" s="30"/>
      <c r="BN134" s="30"/>
      <c r="BO134" s="30"/>
      <c r="BP134" s="30"/>
      <c r="BQ134" s="30"/>
      <c r="BR134" s="30"/>
      <c r="BS134" s="30"/>
      <c r="BT134" s="30"/>
      <c r="BU134" s="30"/>
      <c r="BV134" s="30"/>
      <c r="BW134" s="30"/>
      <c r="BX134" s="30"/>
      <c r="BY134" s="30"/>
      <c r="BZ134" s="30"/>
      <c r="CA134" s="30"/>
      <c r="CB134" s="30"/>
      <c r="CC134" s="30"/>
      <c r="CD134" s="30"/>
      <c r="CE134" s="30"/>
      <c r="CF134" s="30"/>
      <c r="CG134" s="30"/>
      <c r="CH134" s="30"/>
      <c r="CI134" s="30"/>
      <c r="CJ134" s="30"/>
      <c r="CK134" s="30"/>
      <c r="CL134" s="30"/>
      <c r="CM134" s="30"/>
      <c r="CN134" s="30"/>
      <c r="CO134" s="30"/>
      <c r="CP134" s="30"/>
      <c r="CQ134" s="30"/>
      <c r="CR134" s="30"/>
      <c r="CS134" s="30"/>
      <c r="CT134" s="30"/>
      <c r="CU134" s="30"/>
      <c r="CV134" s="30"/>
      <c r="CW134" s="30"/>
      <c r="CX134" s="30"/>
      <c r="CY134" s="30"/>
      <c r="CZ134" s="30"/>
      <c r="DA134" s="30"/>
      <c r="DB134" s="30"/>
    </row>
    <row r="135" ht="16" customHeight="1" spans="1:106" x14ac:dyDescent="0.25">
      <c r="A135" s="68" t="s">
        <v>352</v>
      </c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30"/>
      <c r="AY135" s="30"/>
      <c r="AZ135" s="30"/>
      <c r="BA135" s="30"/>
      <c r="BB135" s="30"/>
      <c r="BC135" s="30"/>
      <c r="BD135" s="30"/>
      <c r="BE135" s="30"/>
      <c r="BF135" s="30"/>
      <c r="BG135" s="30"/>
      <c r="BH135" s="30"/>
      <c r="BI135" s="30"/>
      <c r="BJ135" s="30"/>
      <c r="BK135" s="30"/>
      <c r="BL135" s="30"/>
      <c r="BM135" s="30"/>
      <c r="BN135" s="30"/>
      <c r="BO135" s="30"/>
      <c r="BP135" s="30"/>
      <c r="BQ135" s="30"/>
      <c r="BR135" s="30"/>
      <c r="BS135" s="30"/>
      <c r="BT135" s="30"/>
      <c r="BU135" s="30"/>
      <c r="BV135" s="30"/>
      <c r="BW135" s="30"/>
      <c r="BX135" s="30"/>
      <c r="BY135" s="30"/>
      <c r="BZ135" s="30"/>
      <c r="CA135" s="30"/>
      <c r="CB135" s="30"/>
      <c r="CC135" s="30"/>
      <c r="CD135" s="30"/>
      <c r="CE135" s="30"/>
      <c r="CF135" s="30"/>
      <c r="CG135" s="30"/>
      <c r="CH135" s="30"/>
      <c r="CI135" s="30"/>
      <c r="CJ135" s="30"/>
      <c r="CK135" s="30"/>
      <c r="CL135" s="30"/>
      <c r="CM135" s="30"/>
      <c r="CN135" s="30"/>
      <c r="CO135" s="30"/>
      <c r="CP135" s="30"/>
      <c r="CQ135" s="30"/>
      <c r="CR135" s="30"/>
      <c r="CS135" s="30"/>
      <c r="CT135" s="30"/>
      <c r="CU135" s="30"/>
      <c r="CV135" s="30"/>
      <c r="CW135" s="30"/>
      <c r="CX135" s="30"/>
      <c r="CY135" s="30"/>
      <c r="CZ135" s="30"/>
      <c r="DA135" s="30"/>
      <c r="DB135" s="30"/>
    </row>
    <row r="136" ht="18" customHeight="1" spans="1:106" x14ac:dyDescent="0.25">
      <c r="A136" s="36" t="s">
        <v>268</v>
      </c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30"/>
      <c r="BD136" s="30"/>
      <c r="BE136" s="30"/>
      <c r="BF136" s="30"/>
      <c r="BG136" s="30"/>
      <c r="BH136" s="30"/>
      <c r="BI136" s="30"/>
      <c r="BJ136" s="30"/>
      <c r="BK136" s="30"/>
      <c r="BL136" s="30"/>
      <c r="BM136" s="30"/>
      <c r="BN136" s="30"/>
      <c r="BO136" s="30"/>
      <c r="BP136" s="30"/>
      <c r="BQ136" s="30"/>
      <c r="BR136" s="30"/>
      <c r="BS136" s="30"/>
      <c r="BT136" s="30"/>
      <c r="BU136" s="30"/>
      <c r="BV136" s="30"/>
      <c r="BW136" s="30"/>
      <c r="BX136" s="30"/>
      <c r="BY136" s="30"/>
      <c r="BZ136" s="30"/>
      <c r="CA136" s="30"/>
      <c r="CB136" s="30"/>
      <c r="CC136" s="30"/>
      <c r="CD136" s="30"/>
      <c r="CE136" s="30"/>
      <c r="CF136" s="30"/>
      <c r="CG136" s="30"/>
      <c r="CH136" s="30"/>
      <c r="CI136" s="30"/>
      <c r="CJ136" s="30"/>
      <c r="CK136" s="30"/>
      <c r="CL136" s="30"/>
      <c r="CM136" s="30"/>
      <c r="CN136" s="30"/>
      <c r="CO136" s="30"/>
      <c r="CP136" s="30"/>
      <c r="CQ136" s="30"/>
      <c r="CR136" s="30"/>
      <c r="CS136" s="30"/>
      <c r="CT136" s="30"/>
      <c r="CU136" s="30"/>
      <c r="CV136" s="30"/>
      <c r="CW136" s="30"/>
      <c r="CX136" s="30"/>
      <c r="CY136" s="30"/>
      <c r="CZ136" s="30"/>
      <c r="DA136" s="30"/>
      <c r="DB136" s="30"/>
    </row>
    <row r="137" ht="18" customHeight="1" spans="1:106" x14ac:dyDescent="0.25">
      <c r="A137" s="36" t="s">
        <v>269</v>
      </c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  <c r="BA137" s="30"/>
      <c r="BB137" s="30"/>
      <c r="BC137" s="30"/>
      <c r="BD137" s="30"/>
      <c r="BE137" s="30"/>
      <c r="BF137" s="30"/>
      <c r="BG137" s="30"/>
      <c r="BH137" s="30"/>
      <c r="BI137" s="30"/>
      <c r="BJ137" s="30"/>
      <c r="BK137" s="30"/>
      <c r="BL137" s="30"/>
      <c r="BM137" s="30"/>
      <c r="BN137" s="30"/>
      <c r="BO137" s="30"/>
      <c r="BP137" s="30"/>
      <c r="BQ137" s="30"/>
      <c r="BR137" s="30"/>
      <c r="BS137" s="30"/>
      <c r="BT137" s="30"/>
      <c r="BU137" s="30"/>
      <c r="BV137" s="30"/>
      <c r="BW137" s="30"/>
      <c r="BX137" s="30"/>
      <c r="BY137" s="30"/>
      <c r="BZ137" s="30"/>
      <c r="CA137" s="30"/>
      <c r="CB137" s="30"/>
      <c r="CC137" s="30"/>
      <c r="CD137" s="30"/>
      <c r="CE137" s="30"/>
      <c r="CF137" s="30"/>
      <c r="CG137" s="30"/>
      <c r="CH137" s="30"/>
      <c r="CI137" s="30"/>
      <c r="CJ137" s="30"/>
      <c r="CK137" s="30"/>
      <c r="CL137" s="30"/>
      <c r="CM137" s="30"/>
      <c r="CN137" s="30"/>
      <c r="CO137" s="30"/>
      <c r="CP137" s="30"/>
      <c r="CQ137" s="30"/>
      <c r="CR137" s="30"/>
      <c r="CS137" s="30"/>
      <c r="CT137" s="30"/>
      <c r="CU137" s="30"/>
      <c r="CV137" s="30"/>
      <c r="CW137" s="30"/>
      <c r="CX137" s="30"/>
      <c r="CY137" s="30"/>
      <c r="CZ137" s="30"/>
      <c r="DA137" s="30"/>
      <c r="DB137" s="30"/>
    </row>
    <row r="138" ht="18" customHeight="1" spans="1:106" x14ac:dyDescent="0.25">
      <c r="A138" s="36" t="s">
        <v>288</v>
      </c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  <c r="BA138" s="30"/>
      <c r="BB138" s="30"/>
      <c r="BC138" s="30"/>
      <c r="BD138" s="30"/>
      <c r="BE138" s="30"/>
      <c r="BF138" s="30"/>
      <c r="BG138" s="30"/>
      <c r="BH138" s="30"/>
      <c r="BI138" s="30"/>
      <c r="BJ138" s="30"/>
      <c r="BK138" s="30"/>
      <c r="BL138" s="30"/>
      <c r="BM138" s="30"/>
      <c r="BN138" s="30"/>
      <c r="BO138" s="30"/>
      <c r="BP138" s="30"/>
      <c r="BQ138" s="30"/>
      <c r="BR138" s="30"/>
      <c r="BS138" s="30"/>
      <c r="BT138" s="30"/>
      <c r="BU138" s="30"/>
      <c r="BV138" s="30"/>
      <c r="BW138" s="30"/>
      <c r="BX138" s="30"/>
      <c r="BY138" s="30"/>
      <c r="BZ138" s="30"/>
      <c r="CA138" s="30"/>
      <c r="CB138" s="30"/>
      <c r="CC138" s="30"/>
      <c r="CD138" s="30"/>
      <c r="CE138" s="30"/>
      <c r="CF138" s="30"/>
      <c r="CG138" s="30"/>
      <c r="CH138" s="30"/>
      <c r="CI138" s="30"/>
      <c r="CJ138" s="30"/>
      <c r="CK138" s="30"/>
      <c r="CL138" s="30"/>
      <c r="CM138" s="30"/>
      <c r="CN138" s="30"/>
      <c r="CO138" s="30"/>
      <c r="CP138" s="30"/>
      <c r="CQ138" s="30"/>
      <c r="CR138" s="30"/>
      <c r="CS138" s="30"/>
      <c r="CT138" s="30"/>
      <c r="CU138" s="30"/>
      <c r="CV138" s="30"/>
      <c r="CW138" s="30"/>
      <c r="CX138" s="30"/>
      <c r="CY138" s="30"/>
      <c r="CZ138" s="30"/>
      <c r="DA138" s="30"/>
      <c r="DB138" s="30"/>
    </row>
    <row r="139" ht="18" customHeight="1" spans="1:1" x14ac:dyDescent="0.25">
      <c r="A139" s="36" t="s">
        <v>272</v>
      </c>
    </row>
    <row r="140" ht="18" customHeight="1" spans="1:1" x14ac:dyDescent="0.25">
      <c r="A140" s="36" t="s">
        <v>289</v>
      </c>
    </row>
    <row r="141" ht="18" customHeight="1" spans="1:106" x14ac:dyDescent="0.25">
      <c r="A141" s="36" t="s">
        <v>266</v>
      </c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  <c r="BA141" s="30"/>
      <c r="BB141" s="30"/>
      <c r="BC141" s="30"/>
      <c r="BD141" s="30"/>
      <c r="BE141" s="30"/>
      <c r="BF141" s="30"/>
      <c r="BG141" s="30"/>
      <c r="BH141" s="30"/>
      <c r="BI141" s="30"/>
      <c r="BJ141" s="30"/>
      <c r="BK141" s="30"/>
      <c r="BL141" s="30"/>
      <c r="BM141" s="30"/>
      <c r="BN141" s="30"/>
      <c r="BO141" s="30"/>
      <c r="BP141" s="30"/>
      <c r="BQ141" s="30"/>
      <c r="BR141" s="30"/>
      <c r="BS141" s="30"/>
      <c r="BT141" s="30"/>
      <c r="BU141" s="30"/>
      <c r="BV141" s="30"/>
      <c r="BW141" s="30"/>
      <c r="BX141" s="30"/>
      <c r="BY141" s="30"/>
      <c r="BZ141" s="30"/>
      <c r="CA141" s="30"/>
      <c r="CB141" s="30"/>
      <c r="CC141" s="30"/>
      <c r="CD141" s="30"/>
      <c r="CE141" s="30"/>
      <c r="CF141" s="30"/>
      <c r="CG141" s="30"/>
      <c r="CH141" s="30"/>
      <c r="CI141" s="30"/>
      <c r="CJ141" s="30"/>
      <c r="CK141" s="30"/>
      <c r="CL141" s="30"/>
      <c r="CM141" s="30"/>
      <c r="CN141" s="30"/>
      <c r="CO141" s="30"/>
      <c r="CP141" s="30"/>
      <c r="CQ141" s="30"/>
      <c r="CR141" s="30"/>
      <c r="CS141" s="30"/>
      <c r="CT141" s="30"/>
      <c r="CU141" s="30"/>
      <c r="CV141" s="30"/>
      <c r="CW141" s="30"/>
      <c r="CX141" s="30"/>
      <c r="CY141" s="30"/>
      <c r="CZ141" s="30"/>
      <c r="DA141" s="30"/>
      <c r="DB141" s="30"/>
    </row>
    <row r="142" spans="3:106" x14ac:dyDescent="0.25"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  <c r="BA142" s="30"/>
      <c r="BB142" s="30"/>
      <c r="BC142" s="30"/>
      <c r="BD142" s="30"/>
      <c r="BE142" s="30"/>
      <c r="BF142" s="30"/>
      <c r="BG142" s="30"/>
      <c r="BH142" s="30"/>
      <c r="BI142" s="30"/>
      <c r="BJ142" s="30"/>
      <c r="BK142" s="30"/>
      <c r="BL142" s="30"/>
      <c r="BM142" s="30"/>
      <c r="BN142" s="30"/>
      <c r="BO142" s="30"/>
      <c r="BP142" s="30"/>
      <c r="BQ142" s="30"/>
      <c r="BR142" s="30"/>
      <c r="BS142" s="30"/>
      <c r="BT142" s="30"/>
      <c r="BU142" s="30"/>
      <c r="BV142" s="30"/>
      <c r="BW142" s="30"/>
      <c r="BX142" s="30"/>
      <c r="BY142" s="30"/>
      <c r="BZ142" s="30"/>
      <c r="CA142" s="30"/>
      <c r="CB142" s="30"/>
      <c r="CC142" s="30"/>
      <c r="CD142" s="30"/>
      <c r="CE142" s="30"/>
      <c r="CF142" s="30"/>
      <c r="CG142" s="30"/>
      <c r="CH142" s="30"/>
      <c r="CI142" s="30"/>
      <c r="CJ142" s="30"/>
      <c r="CK142" s="30"/>
      <c r="CL142" s="30"/>
      <c r="CM142" s="30"/>
      <c r="CN142" s="30"/>
      <c r="CO142" s="30"/>
      <c r="CP142" s="30"/>
      <c r="CQ142" s="30"/>
      <c r="CR142" s="30"/>
      <c r="CS142" s="30"/>
      <c r="CT142" s="30"/>
      <c r="CU142" s="30"/>
      <c r="CV142" s="30"/>
      <c r="CW142" s="30"/>
      <c r="CX142" s="30"/>
      <c r="CY142" s="30"/>
      <c r="CZ142" s="30"/>
      <c r="DA142" s="30"/>
      <c r="DB142" s="30"/>
    </row>
    <row r="143" spans="1:106" x14ac:dyDescent="0.25">
      <c r="A143" s="9" t="s">
        <v>353</v>
      </c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  <c r="AX143" s="30"/>
      <c r="AY143" s="30"/>
      <c r="AZ143" s="30"/>
      <c r="BA143" s="30"/>
      <c r="BB143" s="30"/>
      <c r="BC143" s="30"/>
      <c r="BD143" s="30"/>
      <c r="BE143" s="30"/>
      <c r="BF143" s="30"/>
      <c r="BG143" s="30"/>
      <c r="BH143" s="30"/>
      <c r="BI143" s="30"/>
      <c r="BJ143" s="30"/>
      <c r="BK143" s="30"/>
      <c r="BL143" s="30"/>
      <c r="BM143" s="30"/>
      <c r="BN143" s="30"/>
      <c r="BO143" s="30"/>
      <c r="BP143" s="30"/>
      <c r="BQ143" s="30"/>
      <c r="BR143" s="30"/>
      <c r="BS143" s="30"/>
      <c r="BT143" s="30"/>
      <c r="BU143" s="30"/>
      <c r="BV143" s="30"/>
      <c r="BW143" s="30"/>
      <c r="BX143" s="30"/>
      <c r="BY143" s="30"/>
      <c r="BZ143" s="30"/>
      <c r="CA143" s="30"/>
      <c r="CB143" s="30"/>
      <c r="CC143" s="30"/>
      <c r="CD143" s="30"/>
      <c r="CE143" s="30"/>
      <c r="CF143" s="30"/>
      <c r="CG143" s="30"/>
      <c r="CH143" s="30"/>
      <c r="CI143" s="30"/>
      <c r="CJ143" s="30"/>
      <c r="CK143" s="30"/>
      <c r="CL143" s="30"/>
      <c r="CM143" s="30"/>
      <c r="CN143" s="30"/>
      <c r="CO143" s="30"/>
      <c r="CP143" s="30"/>
      <c r="CQ143" s="30"/>
      <c r="CR143" s="30"/>
      <c r="CS143" s="30"/>
      <c r="CT143" s="30"/>
      <c r="CU143" s="30"/>
      <c r="CV143" s="30"/>
      <c r="CW143" s="30"/>
      <c r="CX143" s="30"/>
      <c r="CY143" s="30"/>
      <c r="CZ143" s="30"/>
      <c r="DA143" s="30"/>
      <c r="DB143" s="30"/>
    </row>
    <row r="144" ht="14" customHeight="1" spans="1:106" x14ac:dyDescent="0.25">
      <c r="A144" s="33" t="s">
        <v>354</v>
      </c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  <c r="AV144" s="30"/>
      <c r="AW144" s="30"/>
      <c r="AX144" s="30"/>
      <c r="AY144" s="30"/>
      <c r="AZ144" s="30"/>
      <c r="BA144" s="30"/>
      <c r="BB144" s="30"/>
      <c r="BC144" s="30"/>
      <c r="BD144" s="30"/>
      <c r="BE144" s="30"/>
      <c r="BF144" s="30"/>
      <c r="BG144" s="30"/>
      <c r="BH144" s="30"/>
      <c r="BI144" s="30"/>
      <c r="BJ144" s="30"/>
      <c r="BK144" s="30"/>
      <c r="BL144" s="30"/>
      <c r="BM144" s="30"/>
      <c r="BN144" s="30"/>
      <c r="BO144" s="30"/>
      <c r="BP144" s="30"/>
      <c r="BQ144" s="30"/>
      <c r="BR144" s="30"/>
      <c r="BS144" s="30"/>
      <c r="BT144" s="30"/>
      <c r="BU144" s="30"/>
      <c r="BV144" s="30"/>
      <c r="BW144" s="30"/>
      <c r="BX144" s="30"/>
      <c r="BY144" s="30"/>
      <c r="BZ144" s="30"/>
      <c r="CA144" s="30"/>
      <c r="CB144" s="30"/>
      <c r="CC144" s="30"/>
      <c r="CD144" s="30"/>
      <c r="CE144" s="30"/>
      <c r="CF144" s="30"/>
      <c r="CG144" s="30"/>
      <c r="CH144" s="30"/>
      <c r="CI144" s="30"/>
      <c r="CJ144" s="30"/>
      <c r="CK144" s="30"/>
      <c r="CL144" s="30"/>
      <c r="CM144" s="30"/>
      <c r="CN144" s="30"/>
      <c r="CO144" s="30"/>
      <c r="CP144" s="30"/>
      <c r="CQ144" s="30"/>
      <c r="CR144" s="30"/>
      <c r="CS144" s="30"/>
      <c r="CT144" s="30"/>
      <c r="CU144" s="30"/>
      <c r="CV144" s="30"/>
      <c r="CW144" s="30"/>
      <c r="CX144" s="30"/>
      <c r="CY144" s="30"/>
      <c r="CZ144" s="30"/>
      <c r="DA144" s="30"/>
      <c r="DB144" s="30"/>
    </row>
    <row r="145" spans="1:106" x14ac:dyDescent="0.25">
      <c r="A145" s="17" t="s">
        <v>355</v>
      </c>
      <c r="B145" s="17">
        <v>15</v>
      </c>
      <c r="C145" s="46">
        <f>=IFERROR(ROUND((C19+C23)/$B145,0),0)</f>
        <v>1</v>
      </c>
      <c r="D145" s="46">
        <f>=IFERROR(ROUND((D19+D23)/$B145,0),0)</f>
        <v>1</v>
      </c>
      <c r="E145" s="46">
        <f>=IFERROR(ROUND((E19+E23)/$B145,0),0)</f>
        <v>1</v>
      </c>
      <c r="F145" s="46">
        <f>=IFERROR(ROUND((F19+F23)/$B145,0),0)</f>
        <v>1</v>
      </c>
      <c r="G145" s="46">
        <f>=IFERROR(ROUND((G19+G23)/$B145,0),0)</f>
        <v>1</v>
      </c>
      <c r="H145" s="46">
        <f>=IFERROR(ROUND((H19+H23)/$B145,0),0)</f>
        <v>1</v>
      </c>
      <c r="I145" s="46">
        <f>=IFERROR(ROUND((I19+I23)/$B145,0),0)</f>
        <v>1</v>
      </c>
      <c r="J145" s="46">
        <f>=IFERROR(ROUND((J19+J23)/$B145,0),0)</f>
        <v>1</v>
      </c>
      <c r="K145" s="46">
        <f>=IFERROR(ROUND((K19+K23)/$B145,0),0)</f>
        <v>1</v>
      </c>
      <c r="L145" s="46">
        <f>=IFERROR(ROUND((L19+L23)/$B145,0),0)</f>
        <v>1</v>
      </c>
      <c r="M145" s="46">
        <f>=IFERROR(ROUND((M19+M23)/$B145,0),0)</f>
        <v>1</v>
      </c>
      <c r="N145" s="46">
        <f>=IFERROR(ROUND((N19+N23)/$B145,0),0)</f>
        <v>1</v>
      </c>
      <c r="O145" s="46">
        <f>=IFERROR(ROUND((O19+O23)/$B145,0),0)</f>
        <v>1</v>
      </c>
      <c r="P145" s="46">
        <f>=IFERROR(ROUND((P19+P23)/$B145,0),0)</f>
        <v>1</v>
      </c>
      <c r="Q145" s="46">
        <f>=IFERROR(ROUND((Q19+Q23)/$B145,0),0)</f>
        <v>1</v>
      </c>
      <c r="R145" s="46">
        <f>=IFERROR(ROUND((R19+R23)/$B145,0),0)</f>
        <v>1</v>
      </c>
      <c r="S145" s="46">
        <f>=IFERROR(ROUND((S19+S23)/$B145,0),0)</f>
        <v>1</v>
      </c>
      <c r="T145" s="46">
        <f>=IFERROR(ROUND((T19+T23)/$B145,0),0)</f>
        <v>1</v>
      </c>
      <c r="U145" s="46">
        <f>=IFERROR(ROUND((U19+U23)/$B145,0),0)</f>
        <v>1</v>
      </c>
      <c r="V145" s="46">
        <f>=IFERROR(ROUND((V19+V23)/$B145,0),0)</f>
        <v>1</v>
      </c>
      <c r="W145" s="46">
        <f>=IFERROR(ROUND((W19+W23)/$B145,0),0)</f>
        <v>1</v>
      </c>
      <c r="X145" s="46">
        <f>=IFERROR(ROUND((X19+X23)/$B145,0),0)</f>
        <v>1</v>
      </c>
      <c r="Y145" s="46">
        <f>=IFERROR(ROUND((Y19+Y23)/$B145,0),0)</f>
        <v>1</v>
      </c>
      <c r="Z145" s="46">
        <f>=IFERROR(ROUND((Z19+Z23)/$B145,0),0)</f>
        <v>1</v>
      </c>
      <c r="AA145" s="46">
        <f>=IFERROR(ROUND((AA19+AA23)/$B145,0),0)</f>
        <v>1</v>
      </c>
      <c r="AB145" s="46">
        <f>=IFERROR(ROUND((AB19+AB23)/$B145,0),0)</f>
        <v>1</v>
      </c>
      <c r="AC145" s="46">
        <f>=IFERROR(ROUND((AC19+AC23)/$B145,0),0)</f>
        <v>1</v>
      </c>
      <c r="AD145" s="46">
        <f>=IFERROR(ROUND((AD19+AD23)/$B145,0),0)</f>
        <v>1</v>
      </c>
      <c r="AE145" s="46">
        <f>=IFERROR(ROUND((AE19+AE23)/$B145,0),0)</f>
        <v>1</v>
      </c>
      <c r="AF145" s="46">
        <f>=IFERROR(ROUND((AF19+AF23)/$B145,0),0)</f>
        <v>1</v>
      </c>
      <c r="AG145" s="46">
        <f>=IFERROR(ROUND((AG19+AG23)/$B145,0),0)</f>
        <v>1</v>
      </c>
      <c r="AH145" s="46">
        <f>=IFERROR(ROUND((AH19+AH23)/$B145,0),0)</f>
        <v>1</v>
      </c>
      <c r="AI145" s="46">
        <f>=IFERROR(ROUND((AI19+AI23)/$B145,0),0)</f>
        <v>1</v>
      </c>
      <c r="AJ145" s="46">
        <f>=IFERROR(ROUND((AJ19+AJ23)/$B145,0),0)</f>
        <v>1</v>
      </c>
      <c r="AK145" s="46">
        <f>=IFERROR(ROUND((AK19+AK23)/$B145,0),0)</f>
        <v>1</v>
      </c>
      <c r="AL145" s="46">
        <f>=IFERROR(ROUND((AL19+AL23)/$B145,0),0)</f>
        <v>1</v>
      </c>
      <c r="AM145" s="46">
        <f>=IFERROR(ROUND((AM19+AM23)/$B145,0),0)</f>
        <v>1</v>
      </c>
      <c r="AN145" s="46">
        <f>=IFERROR(ROUND((AN19+AN23)/$B145,0),0)</f>
        <v>1</v>
      </c>
      <c r="AO145" s="46">
        <f>=IFERROR(ROUND((AO19+AO23)/$B145,0),0)</f>
        <v>1</v>
      </c>
      <c r="AP145" s="46">
        <f>=IFERROR(ROUND((AP19+AP23)/$B145,0),0)</f>
        <v>1</v>
      </c>
      <c r="AQ145" s="46">
        <f>=IFERROR(ROUND((AQ19+AQ23)/$B145,0),0)</f>
        <v>1</v>
      </c>
      <c r="AR145" s="46">
        <f>=IFERROR(ROUND((AR19+AR23)/$B145,0),0)</f>
        <v>1</v>
      </c>
      <c r="AS145" s="46">
        <f>=IFERROR(ROUND((AS19+AS23)/$B145,0),0)</f>
        <v>1</v>
      </c>
      <c r="AT145" s="46">
        <f>=IFERROR(ROUND((AT19+AT23)/$B145,0),0)</f>
        <v>1</v>
      </c>
      <c r="AU145" s="46">
        <f>=IFERROR(ROUND((AU19+AU23)/$B145,0),0)</f>
        <v>1</v>
      </c>
      <c r="AV145" s="46">
        <f>=IFERROR(ROUND((AV19+AV23)/$B145,0),0)</f>
        <v>1</v>
      </c>
      <c r="AW145" s="46">
        <f>=IFERROR(ROUND((AW19+AW23)/$B145,0),0)</f>
        <v>1</v>
      </c>
      <c r="AX145" s="46">
        <f>=IFERROR(ROUND((AX19+AX23)/$B145,0),0)</f>
        <v>1</v>
      </c>
      <c r="AY145" s="46">
        <f>=IFERROR(ROUND((AY19+AY23)/$B145,0),0)</f>
        <v>1</v>
      </c>
      <c r="AZ145" s="46">
        <f>=IFERROR(ROUND((AZ19+AZ23)/$B145,0),0)</f>
        <v>1</v>
      </c>
      <c r="BA145" s="46">
        <f>=IFERROR(ROUND((BA19+BA23)/$B145,0),0)</f>
        <v>1</v>
      </c>
      <c r="BB145" s="46">
        <f>=IFERROR(ROUND((BB19+BB23)/$B145,0),0)</f>
        <v>1</v>
      </c>
      <c r="BC145" s="46">
        <f>=IFERROR(ROUND((BC19+BC23)/$B145,0),0)</f>
        <v>1</v>
      </c>
      <c r="BD145" s="73">
        <f>=IFERROR(ROUND((BD19+BD23)/$B145,0),0)</f>
        <v>1</v>
      </c>
      <c r="BE145" s="46">
        <f>=IFERROR(ROUND((BE19+BE23)/$B145,0),0)</f>
        <v>1</v>
      </c>
      <c r="BF145" s="46">
        <f>=IFERROR(ROUND((BF19+BF23)/$B145,0),0)</f>
        <v>1</v>
      </c>
      <c r="BG145" s="46">
        <f>=IFERROR(ROUND((BG19+BG23)/$B145,0),0)</f>
        <v>1</v>
      </c>
      <c r="BH145" s="46">
        <f>=IFERROR(ROUND((BH19+BH23)/$B145,0),0)</f>
        <v>1</v>
      </c>
      <c r="BI145" s="46">
        <f>=IFERROR(ROUND((BI19+BI23)/$B145,0),0)</f>
        <v>1</v>
      </c>
      <c r="BJ145" s="46">
        <f>=IFERROR(ROUND((BJ19+BJ23)/$B145,0),0)</f>
        <v>1</v>
      </c>
      <c r="BK145" s="46">
        <f>=IFERROR(ROUND((BK19+BK23)/$B145,0),0)</f>
        <v>1</v>
      </c>
      <c r="BL145" s="73">
        <f>=IFERROR(ROUND((BL19+BL23)/$B145,0),0)</f>
        <v>1</v>
      </c>
      <c r="BM145" s="46">
        <f>=IFERROR(ROUND((BM19+BM23)/$B145,0),0)</f>
        <v>1</v>
      </c>
      <c r="BN145" s="46">
        <f>=IFERROR(ROUND((BN19+BN23)/$B145,0),0)</f>
        <v>1</v>
      </c>
      <c r="BO145" s="46">
        <f>=IFERROR(ROUND((BO19+BO23)/$B145,0),0)</f>
        <v>1</v>
      </c>
      <c r="BP145" s="46">
        <f>=IFERROR(ROUND((BP19+BP23)/$B145,0),0)</f>
        <v>1</v>
      </c>
      <c r="BQ145" s="46">
        <f>=IFERROR(ROUND((BQ19+BQ23)/$B145,0),0)</f>
        <v>0</v>
      </c>
      <c r="BR145" s="46">
        <f>=IFERROR(ROUND((BR19+BR23)/$B145,0),0)</f>
        <v>0</v>
      </c>
      <c r="BS145" s="46">
        <f>=IFERROR(ROUND((BS19+BS23)/$B145,0),0)</f>
        <v>0</v>
      </c>
      <c r="BT145" s="46">
        <f>=IFERROR(ROUND((BT19+BT23)/$B145,0),0)</f>
        <v>0</v>
      </c>
      <c r="BU145" s="46">
        <f>=IFERROR(ROUND((BU19+BU23)/$B145,0),0)</f>
        <v>0</v>
      </c>
      <c r="BV145" s="46">
        <f>=IFERROR(ROUND((BV19+BV23)/$B145,0),0)</f>
        <v>0</v>
      </c>
      <c r="BW145" s="46">
        <f>=IFERROR(ROUND((BW19+BW23)/$B145,0),0)</f>
        <v>0</v>
      </c>
      <c r="BX145" s="46">
        <f>=IFERROR(ROUND((BX19+BX23)/$B145,0),0)</f>
        <v>0</v>
      </c>
      <c r="BY145" s="73">
        <f>=IFERROR(ROUND((BY19+BY23)/$B145,0),0)</f>
        <v>0</v>
      </c>
      <c r="BZ145" s="46">
        <f>=IFERROR(ROUND((BZ19+BZ23)/$B145,0),0)</f>
        <v>0</v>
      </c>
      <c r="CA145" s="46">
        <f>=IFERROR(ROUND((CA19+CA23)/$B145,0),0)</f>
        <v>0</v>
      </c>
      <c r="CB145" s="46">
        <f>=IFERROR(ROUND((CB19+CB23)/$B145,0),0)</f>
        <v>0</v>
      </c>
      <c r="CC145" s="46">
        <f>=IFERROR(ROUND((CC19+CC23)/$B145,0),0)</f>
        <v>0</v>
      </c>
      <c r="CD145" s="46">
        <f>=IFERROR(ROUND((CD19+CD23)/$B145,0),0)</f>
        <v>0</v>
      </c>
      <c r="CE145" s="46">
        <f>=IFERROR(ROUND((CE19+CE23)/$B145,0),0)</f>
        <v>0</v>
      </c>
      <c r="CF145" s="46">
        <f>=IFERROR(ROUND((CF19+CF23)/$B145,0),0)</f>
        <v>0</v>
      </c>
      <c r="CG145" s="46">
        <f>=IFERROR(ROUND((CG19+CG23)/$B145,0),0)</f>
        <v>0</v>
      </c>
      <c r="CH145" s="46">
        <f>=IFERROR(ROUND((CH19+CH23)/$B145,0),0)</f>
        <v>0</v>
      </c>
      <c r="CI145" s="46">
        <f>=IFERROR(ROUND((CI19+CI23)/$B145,0),0)</f>
        <v>0</v>
      </c>
      <c r="CJ145" s="46">
        <f>=IFERROR(ROUND((CJ19+CJ23)/$B145,0),0)</f>
        <v>0</v>
      </c>
      <c r="CK145" s="46">
        <f>=IFERROR(ROUND((CK19+CK23)/$B145,0),0)</f>
        <v>0</v>
      </c>
      <c r="CL145" s="46">
        <f>=IFERROR(ROUND((CL19+CL23)/$B145,0),0)</f>
        <v>0</v>
      </c>
      <c r="CM145" s="46">
        <f>=IFERROR(ROUND((CM19+CM23)/$B145,0),0)</f>
        <v>0</v>
      </c>
      <c r="CN145" s="46">
        <f>=IFERROR(ROUND((CN19+CN23)/$B145,0),0)</f>
        <v>0</v>
      </c>
      <c r="CO145" s="46">
        <f>=IFERROR(ROUND((CO19+CO23)/$B145,0),0)</f>
        <v>0</v>
      </c>
      <c r="CP145" s="46">
        <f>=IFERROR(ROUND((CP19+CP23)/$B145,0),0)</f>
        <v>0</v>
      </c>
      <c r="CQ145" s="46">
        <f>=IFERROR(ROUND((CQ19+CQ23)/$B145,0),0)</f>
        <v>0</v>
      </c>
      <c r="CR145" s="46">
        <f>=IFERROR(ROUND((CR19+CR23)/$B145,0),0)</f>
        <v>0</v>
      </c>
      <c r="CS145" s="46">
        <f>=IFERROR(ROUND((CS19+CS23)/$B145,0),0)</f>
        <v>0</v>
      </c>
      <c r="CT145" s="73">
        <f>=IFERROR(ROUND((CT19+CT23)/$B145,0),0)</f>
        <v>0</v>
      </c>
      <c r="CU145" s="46">
        <f>=IFERROR(ROUND((CU19+CU23)/$B145,0),0)</f>
        <v>0</v>
      </c>
      <c r="CV145" s="46">
        <f>=IFERROR(ROUND((CV19+CV23)/$B145,0),0)</f>
        <v>0</v>
      </c>
      <c r="CW145" s="73">
        <f>=IFERROR(ROUND((CW19+CW23)/$B145,0),0)</f>
        <v>0</v>
      </c>
      <c r="CX145" s="73">
        <f>=IFERROR(ROUND((CX19+CX23)/$B145,0),0)</f>
        <v>0</v>
      </c>
      <c r="CY145" s="46">
        <f>=IFERROR(ROUND((CY19+CY23)/$B145,0),0)</f>
        <v>0</v>
      </c>
      <c r="CZ145" s="46">
        <f>=IFERROR(ROUND((CZ19+CZ23)/$B145,0),0)</f>
        <v>0</v>
      </c>
      <c r="DA145" s="46">
        <f>=IFERROR(ROUND((DA19+DA23)/$B145,0),0)</f>
        <v>0</v>
      </c>
      <c r="DB145" s="46">
        <f>=IFERROR(ROUND((DB19+DB23)/$B145,0),0)</f>
        <v>0</v>
      </c>
    </row>
    <row r="146" spans="1:106" x14ac:dyDescent="0.25">
      <c r="A146" s="17" t="s">
        <v>356</v>
      </c>
      <c r="B146" s="17">
        <v>15</v>
      </c>
      <c r="C146" s="46">
        <f>=IFERROR(ROUND((C21+C22)/$B146,0),0)</f>
        <v>0</v>
      </c>
      <c r="D146" s="46">
        <f>=IFERROR(ROUND((D21+D22)/$B146,0),0)</f>
        <v>0</v>
      </c>
      <c r="E146" s="46">
        <f>=IFERROR(ROUND((E21+E22)/$B146,0),0)</f>
        <v>0</v>
      </c>
      <c r="F146" s="46">
        <f>=IFERROR(ROUND((F21+F22)/$B146,0),0)</f>
        <v>0</v>
      </c>
      <c r="G146" s="46">
        <f>=IFERROR(ROUND((G21+G22)/$B146,0),0)</f>
        <v>0</v>
      </c>
      <c r="H146" s="46">
        <f>=IFERROR(ROUND((H21+H22)/$B146,0),0)</f>
        <v>0</v>
      </c>
      <c r="I146" s="46">
        <f>=IFERROR(ROUND((I21+I22)/$B146,0),0)</f>
        <v>0</v>
      </c>
      <c r="J146" s="46">
        <f>=IFERROR(ROUND((J21+J22)/$B146,0),0)</f>
        <v>0</v>
      </c>
      <c r="K146" s="46">
        <f>=IFERROR(ROUND((K21+K22)/$B146,0),0)</f>
        <v>0</v>
      </c>
      <c r="L146" s="46">
        <f>=IFERROR(ROUND((L21+L22)/$B146,0),0)</f>
        <v>0</v>
      </c>
      <c r="M146" s="46">
        <f>=IFERROR(ROUND((M21+M22)/$B146,0),0)</f>
        <v>0</v>
      </c>
      <c r="N146" s="46">
        <f>=IFERROR(ROUND((N21+N22)/$B146,0),0)</f>
        <v>0</v>
      </c>
      <c r="O146" s="46">
        <f>=IFERROR(ROUND((O21+O22)/$B146,0),0)</f>
        <v>0</v>
      </c>
      <c r="P146" s="46">
        <f>=IFERROR(ROUND((P21+P22)/$B146,0),0)</f>
        <v>0</v>
      </c>
      <c r="Q146" s="46">
        <f>=IFERROR(ROUND((Q21+Q22)/$B146,0),0)</f>
        <v>0</v>
      </c>
      <c r="R146" s="46">
        <f>=IFERROR(ROUND((R21+R22)/$B146,0),0)</f>
        <v>0</v>
      </c>
      <c r="S146" s="46">
        <f>=IFERROR(ROUND((S21+S22)/$B146,0),0)</f>
        <v>0</v>
      </c>
      <c r="T146" s="46">
        <f>=IFERROR(ROUND((T21+T22)/$B146,0),0)</f>
        <v>0</v>
      </c>
      <c r="U146" s="46">
        <f>=IFERROR(ROUND((U21+U22)/$B146,0),0)</f>
        <v>0</v>
      </c>
      <c r="V146" s="46">
        <f>=IFERROR(ROUND((V21+V22)/$B146,0),0)</f>
        <v>0</v>
      </c>
      <c r="W146" s="46">
        <f>=IFERROR(ROUND((W21+W22)/$B146,0),0)</f>
        <v>0</v>
      </c>
      <c r="X146" s="46">
        <f>=IFERROR(ROUND((X21+X22)/$B146,0),0)</f>
        <v>0</v>
      </c>
      <c r="Y146" s="46">
        <f>=IFERROR(ROUND((Y21+Y22)/$B146,0),0)</f>
        <v>0</v>
      </c>
      <c r="Z146" s="46">
        <f>=IFERROR(ROUND((Z21+Z22)/$B146,0),0)</f>
        <v>0</v>
      </c>
      <c r="AA146" s="46">
        <f>=IFERROR(ROUND((AA21+AA22)/$B146,0),0)</f>
        <v>0</v>
      </c>
      <c r="AB146" s="46">
        <f>=IFERROR(ROUND((AB21+AB22)/$B146,0),0)</f>
        <v>0</v>
      </c>
      <c r="AC146" s="46">
        <f>=IFERROR(ROUND((AC21+AC22)/$B146,0),0)</f>
        <v>0</v>
      </c>
      <c r="AD146" s="46">
        <f>=IFERROR(ROUND((AD21+AD22)/$B146,0),0)</f>
        <v>0</v>
      </c>
      <c r="AE146" s="46">
        <f>=IFERROR(ROUND((AE21+AE22)/$B146,0),0)</f>
        <v>0</v>
      </c>
      <c r="AF146" s="46">
        <f>=IFERROR(ROUND((AF21+AF22)/$B146,0),0)</f>
        <v>0</v>
      </c>
      <c r="AG146" s="46">
        <f>=IFERROR(ROUND((AG21+AG22)/$B146,0),0)</f>
        <v>0</v>
      </c>
      <c r="AH146" s="46">
        <f>=IFERROR(ROUND((AH21+AH22)/$B146,0),0)</f>
        <v>0</v>
      </c>
      <c r="AI146" s="46">
        <f>=IFERROR(ROUND((AI21+AI22)/$B146,0),0)</f>
        <v>0</v>
      </c>
      <c r="AJ146" s="46">
        <f>=IFERROR(ROUND((AJ21+AJ22)/$B146,0),0)</f>
        <v>0</v>
      </c>
      <c r="AK146" s="46">
        <f>=IFERROR(ROUND((AK21+AK22)/$B146,0),0)</f>
        <v>0</v>
      </c>
      <c r="AL146" s="46">
        <f>=IFERROR(ROUND((AL21+AL22)/$B146,0),0)</f>
        <v>0</v>
      </c>
      <c r="AM146" s="46">
        <f>=IFERROR(ROUND((AM21+AM22)/$B146,0),0)</f>
        <v>0</v>
      </c>
      <c r="AN146" s="46">
        <f>=IFERROR(ROUND((AN21+AN22)/$B146,0),0)</f>
        <v>0</v>
      </c>
      <c r="AO146" s="46">
        <f>=IFERROR(ROUND((AO21+AO22)/$B146,0),0)</f>
        <v>0</v>
      </c>
      <c r="AP146" s="46">
        <f>=IFERROR(ROUND((AP21+AP22)/$B146,0),0)</f>
        <v>0</v>
      </c>
      <c r="AQ146" s="46">
        <f>=IFERROR(ROUND((AQ21+AQ22)/$B146,0),0)</f>
        <v>0</v>
      </c>
      <c r="AR146" s="46">
        <f>=IFERROR(ROUND((AR21+AR22)/$B146,0),0)</f>
        <v>0</v>
      </c>
      <c r="AS146" s="46">
        <f>=IFERROR(ROUND((AS21+AS22)/$B146,0),0)</f>
        <v>0</v>
      </c>
      <c r="AT146" s="46">
        <f>=IFERROR(ROUND((AT21+AT22)/$B146,0),0)</f>
        <v>0</v>
      </c>
      <c r="AU146" s="46">
        <f>=IFERROR(ROUND((AU21+AU22)/$B146,0),0)</f>
        <v>0</v>
      </c>
      <c r="AV146" s="46">
        <f>=IFERROR(ROUND((AV21+AV22)/$B146,0),0)</f>
        <v>1</v>
      </c>
      <c r="AW146" s="46">
        <f>=IFERROR(ROUND((AW21+AW22)/$B146,0),0)</f>
        <v>1</v>
      </c>
      <c r="AX146" s="46">
        <f>=IFERROR(ROUND((AX21+AX22)/$B146,0),0)</f>
        <v>1</v>
      </c>
      <c r="AY146" s="46">
        <f>=IFERROR(ROUND((AY21+AY22)/$B146,0),0)</f>
        <v>0</v>
      </c>
      <c r="AZ146" s="46">
        <f>=IFERROR(ROUND((AZ21+AZ22)/$B146,0),0)</f>
        <v>0</v>
      </c>
      <c r="BA146" s="46">
        <f>=IFERROR(ROUND((BA21+BA22)/$B146,0),0)</f>
        <v>0</v>
      </c>
      <c r="BB146" s="46">
        <f>=IFERROR(ROUND((BB21+BB22)/$B146,0),0)</f>
        <v>0</v>
      </c>
      <c r="BC146" s="46">
        <f>=IFERROR(ROUND((BC21+BC22)/$B146,0),0)</f>
        <v>0</v>
      </c>
      <c r="BD146" s="46">
        <f>=IFERROR(ROUND((BD21+BD22)/$B146,0),0)</f>
        <v>0</v>
      </c>
      <c r="BE146" s="46">
        <f>=IFERROR(ROUND((BE21+BE22)/$B146,0),0)</f>
        <v>0</v>
      </c>
      <c r="BF146" s="46">
        <f>=IFERROR(ROUND((BF21+BF22)/$B146,0),0)</f>
        <v>0</v>
      </c>
      <c r="BG146" s="46">
        <f>=IFERROR(ROUND((BG21+BG22)/$B146,0),0)</f>
        <v>0</v>
      </c>
      <c r="BH146" s="46">
        <f>=IFERROR(ROUND((BH21+BH22)/$B146,0),0)</f>
        <v>0</v>
      </c>
      <c r="BI146" s="46">
        <f>=IFERROR(ROUND((BI21+BI22)/$B146,0),0)</f>
        <v>0</v>
      </c>
      <c r="BJ146" s="46">
        <f>=IFERROR(ROUND((BJ21+BJ22)/$B146,0),0)</f>
        <v>0</v>
      </c>
      <c r="BK146" s="46">
        <f>=IFERROR(ROUND((BK21+BK22)/$B146,0),0)</f>
        <v>0</v>
      </c>
      <c r="BL146" s="46">
        <f>=IFERROR(ROUND((BL21+BL22)/$B146,0),0)</f>
        <v>0</v>
      </c>
      <c r="BM146" s="46">
        <f>=IFERROR(ROUND((BM21+BM22)/$B146,0),0)</f>
        <v>0</v>
      </c>
      <c r="BN146" s="46">
        <f>=IFERROR(ROUND((BN21+BN22)/$B146,0),0)</f>
        <v>0</v>
      </c>
      <c r="BO146" s="46">
        <f>=IFERROR(ROUND((BO21+BO22)/$B146,0),0)</f>
        <v>0</v>
      </c>
      <c r="BP146" s="46">
        <f>=IFERROR(ROUND((BP21+BP22)/$B146,0),0)</f>
        <v>0</v>
      </c>
      <c r="BQ146" s="46">
        <f>=IFERROR(ROUND((BQ21+BQ22)/$B146,0),0)</f>
        <v>0</v>
      </c>
      <c r="BR146" s="46">
        <f>=IFERROR(ROUND((BR21+BR22)/$B146,0),0)</f>
        <v>0</v>
      </c>
      <c r="BS146" s="46">
        <f>=IFERROR(ROUND((BS21+BS22)/$B146,0),0)</f>
        <v>0</v>
      </c>
      <c r="BT146" s="46">
        <f>=IFERROR(ROUND((BT21+BT22)/$B146,0),0)</f>
        <v>0</v>
      </c>
      <c r="BU146" s="46">
        <f>=IFERROR(ROUND((BU21+BU22)/$B146,0),0)</f>
        <v>0</v>
      </c>
      <c r="BV146" s="46">
        <f>=IFERROR(ROUND((BV21+BV22)/$B146,0),0)</f>
        <v>0</v>
      </c>
      <c r="BW146" s="46">
        <f>=IFERROR(ROUND((BW21+BW22)/$B146,0),0)</f>
        <v>0</v>
      </c>
      <c r="BX146" s="46">
        <f>=IFERROR(ROUND((BX21+BX22)/$B146,0),0)</f>
        <v>0</v>
      </c>
      <c r="BY146" s="46">
        <f>=IFERROR(ROUND((BY21+BY22)/$B146,0),0)</f>
        <v>0</v>
      </c>
      <c r="BZ146" s="46">
        <f>=IFERROR(ROUND((BZ21+BZ22)/$B146,0),0)</f>
        <v>0</v>
      </c>
      <c r="CA146" s="46">
        <f>=IFERROR(ROUND((CA21+CA22)/$B146,0),0)</f>
        <v>0</v>
      </c>
      <c r="CB146" s="46">
        <f>=IFERROR(ROUND((CB21+CB22)/$B146,0),0)</f>
        <v>0</v>
      </c>
      <c r="CC146" s="46">
        <f>=IFERROR(ROUND((CC21+CC22)/$B146,0),0)</f>
        <v>0</v>
      </c>
      <c r="CD146" s="46">
        <f>=IFERROR(ROUND((CD21+CD22)/$B146,0),0)</f>
        <v>0</v>
      </c>
      <c r="CE146" s="46">
        <f>=IFERROR(ROUND((CE21+CE22)/$B146,0),0)</f>
        <v>0</v>
      </c>
      <c r="CF146" s="46">
        <f>=IFERROR(ROUND((CF21+CF22)/$B146,0),0)</f>
        <v>0</v>
      </c>
      <c r="CG146" s="46">
        <f>=IFERROR(ROUND((CG21+CG22)/$B146,0),0)</f>
        <v>0</v>
      </c>
      <c r="CH146" s="46">
        <f>=IFERROR(ROUND((CH21+CH22)/$B146,0),0)</f>
        <v>0</v>
      </c>
      <c r="CI146" s="46">
        <f>=IFERROR(ROUND((CI21+CI22)/$B146,0),0)</f>
        <v>0</v>
      </c>
      <c r="CJ146" s="46">
        <f>=IFERROR(ROUND((CJ21+CJ22)/$B146,0),0)</f>
        <v>0</v>
      </c>
      <c r="CK146" s="46">
        <f>=IFERROR(ROUND((CK21+CK22)/$B146,0),0)</f>
        <v>0</v>
      </c>
      <c r="CL146" s="46">
        <f>=IFERROR(ROUND((CL21+CL22)/$B146,0),0)</f>
        <v>0</v>
      </c>
      <c r="CM146" s="46">
        <f>=IFERROR(ROUND((CM21+CM22)/$B146,0),0)</f>
        <v>0</v>
      </c>
      <c r="CN146" s="46">
        <f>=IFERROR(ROUND((CN21+CN22)/$B146,0),0)</f>
        <v>0</v>
      </c>
      <c r="CO146" s="46">
        <f>=IFERROR(ROUND((CO21+CO22)/$B146,0),0)</f>
        <v>0</v>
      </c>
      <c r="CP146" s="46">
        <f>=IFERROR(ROUND((CP21+CP22)/$B146,0),0)</f>
        <v>0</v>
      </c>
      <c r="CQ146" s="46">
        <f>=IFERROR(ROUND((CQ21+CQ22)/$B146,0),0)</f>
        <v>0</v>
      </c>
      <c r="CR146" s="46">
        <f>=IFERROR(ROUND((CR21+CR22)/$B146,0),0)</f>
        <v>0</v>
      </c>
      <c r="CS146" s="46">
        <f>=IFERROR(ROUND((CS21+CS22)/$B146,0),0)</f>
        <v>0</v>
      </c>
      <c r="CT146" s="46">
        <f>=IFERROR(ROUND((CT21+CT22)/$B146,0),0)</f>
        <v>0</v>
      </c>
      <c r="CU146" s="46">
        <f>=IFERROR(ROUND((CU21+CU22)/$B146,0),0)</f>
        <v>0</v>
      </c>
      <c r="CV146" s="46">
        <f>=IFERROR(ROUND((CV21+CV22)/$B146,0),0)</f>
        <v>0</v>
      </c>
      <c r="CW146" s="46">
        <f>=IFERROR(ROUND((CW21+CW22)/$B146,0),0)</f>
        <v>0</v>
      </c>
      <c r="CX146" s="46">
        <f>=IFERROR(ROUND((CX21+CX22)/$B146,0),0)</f>
        <v>0</v>
      </c>
      <c r="CY146" s="46">
        <f>=IFERROR(ROUND((CY21+CY22)/$B146,0),0)</f>
        <v>0</v>
      </c>
      <c r="CZ146" s="46">
        <f>=IFERROR(ROUND((CZ21+CZ22)/$B146,0),0)</f>
        <v>0</v>
      </c>
      <c r="DA146" s="46">
        <f>=IFERROR(ROUND((DA21+DA22)/$B146,0),0)</f>
        <v>0</v>
      </c>
      <c r="DB146" s="46">
        <f>=IFERROR(ROUND((DB21+DB22)/$B146,0),0)</f>
        <v>0</v>
      </c>
    </row>
    <row r="147" spans="1:106" x14ac:dyDescent="0.25">
      <c r="A147" s="17" t="s">
        <v>357</v>
      </c>
      <c r="B147" s="17">
        <v>15</v>
      </c>
      <c r="C147" s="46">
        <f>=IFERROR(ROUND((C19+C23)/$B147,0),0)</f>
        <v>1</v>
      </c>
      <c r="D147" s="46">
        <f>=IFERROR(ROUND((D19+D23)/$B147,0),0)</f>
        <v>1</v>
      </c>
      <c r="E147" s="46">
        <f>=IFERROR(ROUND((E19+E23)/$B147,0),0)</f>
        <v>1</v>
      </c>
      <c r="F147" s="46">
        <f>=IFERROR(ROUND((F19+F23)/$B147,0),0)</f>
        <v>1</v>
      </c>
      <c r="G147" s="46">
        <f>=IFERROR(ROUND((G19+G23)/$B147,0),0)</f>
        <v>1</v>
      </c>
      <c r="H147" s="46">
        <f>=IFERROR(ROUND((H19+H23)/$B147,0),0)</f>
        <v>1</v>
      </c>
      <c r="I147" s="46">
        <f>=IFERROR(ROUND((I19+I23)/$B147,0),0)</f>
        <v>1</v>
      </c>
      <c r="J147" s="46">
        <f>=IFERROR(ROUND((J19+J23)/$B147,0),0)</f>
        <v>1</v>
      </c>
      <c r="K147" s="46">
        <f>=IFERROR(ROUND((K19+K23)/$B147,0),0)</f>
        <v>1</v>
      </c>
      <c r="L147" s="46">
        <f>=IFERROR(ROUND((L19+L23)/$B147,0),0)</f>
        <v>1</v>
      </c>
      <c r="M147" s="46">
        <f>=IFERROR(ROUND((M19+M23)/$B147,0),0)</f>
        <v>1</v>
      </c>
      <c r="N147" s="46">
        <f>=IFERROR(ROUND((N19+N23)/$B147,0),0)</f>
        <v>1</v>
      </c>
      <c r="O147" s="46">
        <f>=IFERROR(ROUND((O19+O23)/$B147,0),0)</f>
        <v>1</v>
      </c>
      <c r="P147" s="46">
        <f>=IFERROR(ROUND((P19+P23)/$B147,0),0)</f>
        <v>1</v>
      </c>
      <c r="Q147" s="46">
        <f>=IFERROR(ROUND((Q19+Q23)/$B147,0),0)</f>
        <v>1</v>
      </c>
      <c r="R147" s="46">
        <f>=IFERROR(ROUND((R19+R23)/$B147,0),0)</f>
        <v>1</v>
      </c>
      <c r="S147" s="46">
        <f>=IFERROR(ROUND((S19+S23)/$B147,0),0)</f>
        <v>1</v>
      </c>
      <c r="T147" s="46">
        <f>=IFERROR(ROUND((T19+T23)/$B147,0),0)</f>
        <v>1</v>
      </c>
      <c r="U147" s="46">
        <f>=IFERROR(ROUND((U19+U23)/$B147,0),0)</f>
        <v>1</v>
      </c>
      <c r="V147" s="46">
        <f>=IFERROR(ROUND((V19+V23)/$B147,0),0)</f>
        <v>1</v>
      </c>
      <c r="W147" s="46">
        <f>=IFERROR(ROUND((W19+W23)/$B147,0),0)</f>
        <v>1</v>
      </c>
      <c r="X147" s="46">
        <f>=IFERROR(ROUND((X19+X23)/$B147,0),0)</f>
        <v>1</v>
      </c>
      <c r="Y147" s="46">
        <f>=IFERROR(ROUND((Y19+Y23)/$B147,0),0)</f>
        <v>1</v>
      </c>
      <c r="Z147" s="46">
        <f>=IFERROR(ROUND((Z19+Z23)/$B147,0),0)</f>
        <v>1</v>
      </c>
      <c r="AA147" s="46">
        <f>=IFERROR(ROUND((AA19+AA23)/$B147,0),0)</f>
        <v>1</v>
      </c>
      <c r="AB147" s="46">
        <f>=IFERROR(ROUND((AB19+AB23)/$B147,0),0)</f>
        <v>1</v>
      </c>
      <c r="AC147" s="46">
        <f>=IFERROR(ROUND((AC19+AC23)/$B147,0),0)</f>
        <v>1</v>
      </c>
      <c r="AD147" s="46">
        <f>=IFERROR(ROUND((AD19+AD23)/$B147,0),0)</f>
        <v>1</v>
      </c>
      <c r="AE147" s="46">
        <f>=IFERROR(ROUND((AE19+AE23)/$B147,0),0)</f>
        <v>1</v>
      </c>
      <c r="AF147" s="46">
        <f>=IFERROR(ROUND((AF19+AF23)/$B147,0),0)</f>
        <v>1</v>
      </c>
      <c r="AG147" s="46">
        <f>=IFERROR(ROUND((AG19+AG23)/$B147,0),0)</f>
        <v>1</v>
      </c>
      <c r="AH147" s="46">
        <f>=IFERROR(ROUND((AH19+AH23)/$B147,0),0)</f>
        <v>1</v>
      </c>
      <c r="AI147" s="46">
        <f>=IFERROR(ROUND((AI19+AI23)/$B147,0),0)</f>
        <v>1</v>
      </c>
      <c r="AJ147" s="46">
        <f>=IFERROR(ROUND((AJ19+AJ23)/$B147,0),0)</f>
        <v>1</v>
      </c>
      <c r="AK147" s="46">
        <f>=IFERROR(ROUND((AK19+AK23)/$B147,0),0)</f>
        <v>1</v>
      </c>
      <c r="AL147" s="46">
        <f>=IFERROR(ROUND((AL19+AL23)/$B147,0),0)</f>
        <v>1</v>
      </c>
      <c r="AM147" s="46">
        <f>=IFERROR(ROUND((AM19+AM23)/$B147,0),0)</f>
        <v>1</v>
      </c>
      <c r="AN147" s="46">
        <f>=IFERROR(ROUND((AN19+AN23)/$B147,0),0)</f>
        <v>1</v>
      </c>
      <c r="AO147" s="46">
        <f>=IFERROR(ROUND((AO19+AO23)/$B147,0),0)</f>
        <v>1</v>
      </c>
      <c r="AP147" s="46">
        <f>=IFERROR(ROUND((AP19+AP23)/$B147,0),0)</f>
        <v>1</v>
      </c>
      <c r="AQ147" s="46">
        <f>=IFERROR(ROUND((AQ19+AQ23)/$B147,0),0)</f>
        <v>1</v>
      </c>
      <c r="AR147" s="46">
        <f>=IFERROR(ROUND((AR19+AR23)/$B147,0),0)</f>
        <v>1</v>
      </c>
      <c r="AS147" s="46">
        <f>=IFERROR(ROUND((AS19+AS23)/$B147,0),0)</f>
        <v>1</v>
      </c>
      <c r="AT147" s="46">
        <f>=IFERROR(ROUND((AT19+AT23)/$B147,0),0)</f>
        <v>1</v>
      </c>
      <c r="AU147" s="46">
        <f>=IFERROR(ROUND((AU19+AU23)/$B147,0),0)</f>
        <v>1</v>
      </c>
      <c r="AV147" s="46">
        <f>=IFERROR(ROUND((AV19+AV23)/$B147,0),0)</f>
        <v>1</v>
      </c>
      <c r="AW147" s="46">
        <f>=IFERROR(ROUND((AW19+AW23)/$B147,0),0)</f>
        <v>1</v>
      </c>
      <c r="AX147" s="46">
        <f>=IFERROR(ROUND((AX19+AX23)/$B147,0),0)</f>
        <v>1</v>
      </c>
      <c r="AY147" s="46">
        <f>=IFERROR(ROUND((AY19+AY23)/$B147,0),0)</f>
        <v>1</v>
      </c>
      <c r="AZ147" s="46">
        <f>=IFERROR(ROUND((AZ19+AZ23)/$B147,0),0)</f>
        <v>1</v>
      </c>
      <c r="BA147" s="46">
        <f>=IFERROR(ROUND((BA19+BA23)/$B147,0),0)</f>
        <v>1</v>
      </c>
      <c r="BB147" s="46">
        <f>=IFERROR(ROUND((BB19+BB23)/$B147,0),0)</f>
        <v>1</v>
      </c>
      <c r="BC147" s="46">
        <f>=IFERROR(ROUND((BC19+BC23)/$B147,0),0)</f>
        <v>1</v>
      </c>
      <c r="BD147" s="73">
        <f>=IFERROR(ROUND((BD19+BD23)/$B147,0),0)</f>
        <v>1</v>
      </c>
      <c r="BE147" s="46">
        <f>=IFERROR(ROUND((BE19+BE23)/$B147,0),0)</f>
        <v>1</v>
      </c>
      <c r="BF147" s="46">
        <f>=IFERROR(ROUND((BF19+BF23)/$B147,0),0)</f>
        <v>1</v>
      </c>
      <c r="BG147" s="46">
        <f>=IFERROR(ROUND((BG19+BG23)/$B147,0),0)</f>
        <v>1</v>
      </c>
      <c r="BH147" s="46">
        <f>=IFERROR(ROUND((BH19+BH23)/$B147,0),0)</f>
        <v>1</v>
      </c>
      <c r="BI147" s="46">
        <f>=IFERROR(ROUND((BI19+BI23)/$B147,0),0)</f>
        <v>1</v>
      </c>
      <c r="BJ147" s="46">
        <f>=IFERROR(ROUND((BJ19+BJ23)/$B147,0),0)</f>
        <v>1</v>
      </c>
      <c r="BK147" s="46">
        <f>=IFERROR(ROUND((BK19+BK23)/$B147,0),0)</f>
        <v>1</v>
      </c>
      <c r="BL147" s="73">
        <f>=IFERROR(ROUND((BL19+BL23)/$B147,0),0)</f>
        <v>1</v>
      </c>
      <c r="BM147" s="46">
        <f>=IFERROR(ROUND((BM19+BM23)/$B147,0),0)</f>
        <v>1</v>
      </c>
      <c r="BN147" s="46">
        <f>=IFERROR(ROUND((BN19+BN23)/$B147,0),0)</f>
        <v>1</v>
      </c>
      <c r="BO147" s="46">
        <f>=IFERROR(ROUND((BO19+BO23)/$B147,0),0)</f>
        <v>1</v>
      </c>
      <c r="BP147" s="46">
        <f>=IFERROR(ROUND((BP19+BP23)/$B147,0),0)</f>
        <v>1</v>
      </c>
      <c r="BQ147" s="46">
        <f>=IFERROR(ROUND((BQ19+BQ23)/$B147,0),0)</f>
        <v>0</v>
      </c>
      <c r="BR147" s="46">
        <f>=IFERROR(ROUND((BR19+BR23)/$B147,0),0)</f>
        <v>0</v>
      </c>
      <c r="BS147" s="46">
        <f>=IFERROR(ROUND((BS19+BS23)/$B147,0),0)</f>
        <v>0</v>
      </c>
      <c r="BT147" s="46">
        <f>=IFERROR(ROUND((BT19+BT23)/$B147,0),0)</f>
        <v>0</v>
      </c>
      <c r="BU147" s="46">
        <f>=IFERROR(ROUND((BU19+BU23)/$B147,0),0)</f>
        <v>0</v>
      </c>
      <c r="BV147" s="46">
        <f>=IFERROR(ROUND((BV19+BV23)/$B147,0),0)</f>
        <v>0</v>
      </c>
      <c r="BW147" s="46">
        <f>=IFERROR(ROUND((BW19+BW23)/$B147,0),0)</f>
        <v>0</v>
      </c>
      <c r="BX147" s="46">
        <f>=IFERROR(ROUND((BX19+BX23)/$B147,0),0)</f>
        <v>0</v>
      </c>
      <c r="BY147" s="73">
        <f>=IFERROR(ROUND((BY19+BY23)/$B147,0),0)</f>
        <v>0</v>
      </c>
      <c r="BZ147" s="46">
        <f>=IFERROR(ROUND((BZ19+BZ23)/$B147,0),0)</f>
        <v>0</v>
      </c>
      <c r="CA147" s="46">
        <f>=IFERROR(ROUND((CA19+CA23)/$B147,0),0)</f>
        <v>0</v>
      </c>
      <c r="CB147" s="46">
        <f>=IFERROR(ROUND((CB19+CB23)/$B147,0),0)</f>
        <v>0</v>
      </c>
      <c r="CC147" s="46">
        <f>=IFERROR(ROUND((CC19+CC23)/$B147,0),0)</f>
        <v>0</v>
      </c>
      <c r="CD147" s="46">
        <f>=IFERROR(ROUND((CD19+CD23)/$B147,0),0)</f>
        <v>0</v>
      </c>
      <c r="CE147" s="46">
        <f>=IFERROR(ROUND((CE19+CE23)/$B147,0),0)</f>
        <v>0</v>
      </c>
      <c r="CF147" s="46">
        <f>=IFERROR(ROUND((CF19+CF23)/$B147,0),0)</f>
        <v>0</v>
      </c>
      <c r="CG147" s="46">
        <f>=IFERROR(ROUND((CG19+CG23)/$B147,0),0)</f>
        <v>0</v>
      </c>
      <c r="CH147" s="46">
        <f>=IFERROR(ROUND((CH19+CH23)/$B147,0),0)</f>
        <v>0</v>
      </c>
      <c r="CI147" s="46">
        <f>=IFERROR(ROUND((CI19+CI23)/$B147,0),0)</f>
        <v>0</v>
      </c>
      <c r="CJ147" s="46">
        <f>=IFERROR(ROUND((CJ19+CJ23)/$B147,0),0)</f>
        <v>0</v>
      </c>
      <c r="CK147" s="46">
        <f>=IFERROR(ROUND((CK19+CK23)/$B147,0),0)</f>
        <v>0</v>
      </c>
      <c r="CL147" s="46">
        <f>=IFERROR(ROUND((CL19+CL23)/$B147,0),0)</f>
        <v>0</v>
      </c>
      <c r="CM147" s="46">
        <f>=IFERROR(ROUND((CM19+CM23)/$B147,0),0)</f>
        <v>0</v>
      </c>
      <c r="CN147" s="46">
        <f>=IFERROR(ROUND((CN19+CN23)/$B147,0),0)</f>
        <v>0</v>
      </c>
      <c r="CO147" s="46">
        <f>=IFERROR(ROUND((CO19+CO23)/$B147,0),0)</f>
        <v>0</v>
      </c>
      <c r="CP147" s="46">
        <f>=IFERROR(ROUND((CP19+CP23)/$B147,0),0)</f>
        <v>0</v>
      </c>
      <c r="CQ147" s="46">
        <f>=IFERROR(ROUND((CQ19+CQ23)/$B147,0),0)</f>
        <v>0</v>
      </c>
      <c r="CR147" s="46">
        <f>=IFERROR(ROUND((CR19+CR23)/$B147,0),0)</f>
        <v>0</v>
      </c>
      <c r="CS147" s="46">
        <f>=IFERROR(ROUND((CS19+CS23)/$B147,0),0)</f>
        <v>0</v>
      </c>
      <c r="CT147" s="73">
        <f>=IFERROR(ROUND((CT19+CT23)/$B147,0),0)</f>
        <v>0</v>
      </c>
      <c r="CU147" s="46">
        <f>=IFERROR(ROUND((CU19+CU23)/$B147,0),0)</f>
        <v>0</v>
      </c>
      <c r="CV147" s="46">
        <f>=IFERROR(ROUND((CV19+CV23)/$B147,0),0)</f>
        <v>0</v>
      </c>
      <c r="CW147" s="73">
        <f>=IFERROR(ROUND((CW19+CW23)/$B147,0),0)</f>
        <v>0</v>
      </c>
      <c r="CX147" s="73">
        <f>=IFERROR(ROUND((CX19+CX23)/$B147,0),0)</f>
        <v>0</v>
      </c>
      <c r="CY147" s="46">
        <f>=IFERROR(ROUND((CY19+CY23)/$B147,0),0)</f>
        <v>0</v>
      </c>
      <c r="CZ147" s="46">
        <f>=IFERROR(ROUND((CZ19+CZ23)/$B147,0),0)</f>
        <v>0</v>
      </c>
      <c r="DA147" s="46">
        <f>=IFERROR(ROUND((DA19+DA23)/$B147,0),0)</f>
        <v>0</v>
      </c>
      <c r="DB147" s="46">
        <f>=IFERROR(ROUND((DB19+DB23)/$B147,0),0)</f>
        <v>0</v>
      </c>
    </row>
    <row r="148" spans="1:106" x14ac:dyDescent="0.25">
      <c r="A148" s="17" t="s">
        <v>358</v>
      </c>
      <c r="B148" s="17">
        <v>40</v>
      </c>
      <c r="C148" s="46">
        <f>=IFERROR(ROUND((C19+C23)/$B148,0),0)</f>
        <v>0</v>
      </c>
      <c r="D148" s="46">
        <f>=IFERROR(ROUND((D19+D23)/$B148,0),0)</f>
        <v>0</v>
      </c>
      <c r="E148" s="46">
        <f>=IFERROR(ROUND((E19+E23)/$B148,0),0)</f>
        <v>0</v>
      </c>
      <c r="F148" s="46">
        <f>=IFERROR(ROUND((F19+F23)/$B148,0),0)</f>
        <v>0</v>
      </c>
      <c r="G148" s="46">
        <f>=IFERROR(ROUND((G19+G23)/$B148,0),0)</f>
        <v>0</v>
      </c>
      <c r="H148" s="46">
        <f>=IFERROR(ROUND((H19+H23)/$B148,0),0)</f>
        <v>0</v>
      </c>
      <c r="I148" s="46">
        <f>=IFERROR(ROUND((I19+I23)/$B148,0),0)</f>
        <v>0</v>
      </c>
      <c r="J148" s="46">
        <f>=IFERROR(ROUND((J19+J23)/$B148,0),0)</f>
        <v>0</v>
      </c>
      <c r="K148" s="46">
        <f>=IFERROR(ROUND((K19+K23)/$B148,0),0)</f>
        <v>0</v>
      </c>
      <c r="L148" s="46">
        <f>=IFERROR(ROUND((L19+L23)/$B148,0),0)</f>
        <v>0</v>
      </c>
      <c r="M148" s="46">
        <f>=IFERROR(ROUND((M19+M23)/$B148,0),0)</f>
        <v>0</v>
      </c>
      <c r="N148" s="46">
        <f>=IFERROR(ROUND((N19+N23)/$B148,0),0)</f>
        <v>0</v>
      </c>
      <c r="O148" s="46">
        <f>=IFERROR(ROUND((O19+O23)/$B148,0),0)</f>
        <v>0</v>
      </c>
      <c r="P148" s="46">
        <f>=IFERROR(ROUND((P19+P23)/$B148,0),0)</f>
        <v>0</v>
      </c>
      <c r="Q148" s="46">
        <f>=IFERROR(ROUND((Q19+Q23)/$B148,0),0)</f>
        <v>0</v>
      </c>
      <c r="R148" s="46">
        <f>=IFERROR(ROUND((R19+R23)/$B148,0),0)</f>
        <v>0</v>
      </c>
      <c r="S148" s="46">
        <f>=IFERROR(ROUND((S19+S23)/$B148,0),0)</f>
        <v>0</v>
      </c>
      <c r="T148" s="46">
        <f>=IFERROR(ROUND((T19+T23)/$B148,0),0)</f>
        <v>0</v>
      </c>
      <c r="U148" s="46">
        <f>=IFERROR(ROUND((U19+U23)/$B148,0),0)</f>
        <v>0</v>
      </c>
      <c r="V148" s="46">
        <f>=IFERROR(ROUND((V19+V23)/$B148,0),0)</f>
        <v>0</v>
      </c>
      <c r="W148" s="46">
        <f>=IFERROR(ROUND((W19+W23)/$B148,0),0)</f>
        <v>0</v>
      </c>
      <c r="X148" s="46">
        <f>=IFERROR(ROUND((X19+X23)/$B148,0),0)</f>
        <v>0</v>
      </c>
      <c r="Y148" s="46">
        <f>=IFERROR(ROUND((Y19+Y23)/$B148,0),0)</f>
        <v>0</v>
      </c>
      <c r="Z148" s="46">
        <f>=IFERROR(ROUND((Z19+Z23)/$B148,0),0)</f>
        <v>0</v>
      </c>
      <c r="AA148" s="46">
        <f>=IFERROR(ROUND((AA19+AA23)/$B148,0),0)</f>
        <v>0</v>
      </c>
      <c r="AB148" s="46">
        <f>=IFERROR(ROUND((AB19+AB23)/$B148,0),0)</f>
        <v>0</v>
      </c>
      <c r="AC148" s="46">
        <f>=IFERROR(ROUND((AC19+AC23)/$B148,0),0)</f>
        <v>0</v>
      </c>
      <c r="AD148" s="46">
        <f>=IFERROR(ROUND((AD19+AD23)/$B148,0),0)</f>
        <v>0</v>
      </c>
      <c r="AE148" s="46">
        <f>=IFERROR(ROUND((AE19+AE23)/$B148,0),0)</f>
        <v>0</v>
      </c>
      <c r="AF148" s="46">
        <f>=IFERROR(ROUND((AF19+AF23)/$B148,0),0)</f>
        <v>0</v>
      </c>
      <c r="AG148" s="46">
        <f>=IFERROR(ROUND((AG19+AG23)/$B148,0),0)</f>
        <v>0</v>
      </c>
      <c r="AH148" s="46">
        <f>=IFERROR(ROUND((AH19+AH23)/$B148,0),0)</f>
        <v>0</v>
      </c>
      <c r="AI148" s="46">
        <f>=IFERROR(ROUND((AI19+AI23)/$B148,0),0)</f>
        <v>0</v>
      </c>
      <c r="AJ148" s="46">
        <f>=IFERROR(ROUND((AJ19+AJ23)/$B148,0),0)</f>
        <v>0</v>
      </c>
      <c r="AK148" s="46">
        <f>=IFERROR(ROUND((AK19+AK23)/$B148,0),0)</f>
        <v>0</v>
      </c>
      <c r="AL148" s="46">
        <f>=IFERROR(ROUND((AL19+AL23)/$B148,0),0)</f>
        <v>0</v>
      </c>
      <c r="AM148" s="46">
        <f>=IFERROR(ROUND((AM19+AM23)/$B148,0),0)</f>
        <v>0</v>
      </c>
      <c r="AN148" s="46">
        <f>=IFERROR(ROUND((AN19+AN23)/$B148,0),0)</f>
        <v>0</v>
      </c>
      <c r="AO148" s="46">
        <f>=IFERROR(ROUND((AO19+AO23)/$B148,0),0)</f>
        <v>0</v>
      </c>
      <c r="AP148" s="46">
        <f>=IFERROR(ROUND((AP19+AP23)/$B148,0),0)</f>
        <v>0</v>
      </c>
      <c r="AQ148" s="46">
        <f>=IFERROR(ROUND((AQ19+AQ23)/$B148,0),0)</f>
        <v>0</v>
      </c>
      <c r="AR148" s="46">
        <f>=IFERROR(ROUND((AR19+AR23)/$B148,0),0)</f>
        <v>0</v>
      </c>
      <c r="AS148" s="46">
        <f>=IFERROR(ROUND((AS19+AS23)/$B148,0),0)</f>
        <v>0</v>
      </c>
      <c r="AT148" s="46">
        <f>=IFERROR(ROUND((AT19+AT23)/$B148,0),0)</f>
        <v>0</v>
      </c>
      <c r="AU148" s="46">
        <f>=IFERROR(ROUND((AU19+AU23)/$B148,0),0)</f>
        <v>0</v>
      </c>
      <c r="AV148" s="46">
        <f>=IFERROR(ROUND((AV19+AV23)/$B148,0),0)</f>
        <v>0</v>
      </c>
      <c r="AW148" s="46">
        <f>=IFERROR(ROUND((AW19+AW23)/$B148,0),0)</f>
        <v>0</v>
      </c>
      <c r="AX148" s="46">
        <f>=IFERROR(ROUND((AX19+AX23)/$B148,0),0)</f>
        <v>0</v>
      </c>
      <c r="AY148" s="46">
        <f>=IFERROR(ROUND((AY19+AY23)/$B148,0),0)</f>
        <v>0</v>
      </c>
      <c r="AZ148" s="46">
        <f>=IFERROR(ROUND((AZ19+AZ23)/$B148,0),0)</f>
        <v>0</v>
      </c>
      <c r="BA148" s="46">
        <f>=IFERROR(ROUND((BA19+BA23)/$B148,0),0)</f>
        <v>0</v>
      </c>
      <c r="BB148" s="46">
        <f>=IFERROR(ROUND((BB19+BB23)/$B148,0),0)</f>
        <v>0</v>
      </c>
      <c r="BC148" s="73">
        <f>=IFERROR(ROUND((BC19+BC23)/$B148,0),0)</f>
        <v>0</v>
      </c>
      <c r="BD148" s="46">
        <f>=IFERROR(ROUND((BD19+BD23)/$B148,0),0)</f>
        <v>0</v>
      </c>
      <c r="BE148" s="46">
        <f>=IFERROR(ROUND((BE19+BE23)/$B148,0),0)</f>
        <v>0</v>
      </c>
      <c r="BF148" s="46">
        <f>=IFERROR(ROUND((BF19+BF23)/$B148,0),0)</f>
        <v>0</v>
      </c>
      <c r="BG148" s="46">
        <f>=IFERROR(ROUND((BG19+BG23)/$B148,0),0)</f>
        <v>0</v>
      </c>
      <c r="BH148" s="46">
        <f>=IFERROR(ROUND((BH19+BH23)/$B148,0),0)</f>
        <v>0</v>
      </c>
      <c r="BI148" s="46">
        <f>=IFERROR(ROUND((BI19+BI23)/$B148,0),0)</f>
        <v>0</v>
      </c>
      <c r="BJ148" s="46">
        <f>=IFERROR(ROUND((BJ19+BJ23)/$B148,0),0)</f>
        <v>0</v>
      </c>
      <c r="BK148" s="46">
        <f>=IFERROR(ROUND((BK19+BK23)/$B148,0),0)</f>
        <v>0</v>
      </c>
      <c r="BL148" s="46">
        <f>=IFERROR(ROUND((BL19+BL23)/$B148,0),0)</f>
        <v>0</v>
      </c>
      <c r="BM148" s="46">
        <f>=IFERROR(ROUND((BM19+BM23)/$B148,0),0)</f>
        <v>0</v>
      </c>
      <c r="BN148" s="46">
        <f>=IFERROR(ROUND((BN19+BN23)/$B148,0),0)</f>
        <v>0</v>
      </c>
      <c r="BO148" s="46">
        <f>=IFERROR(ROUND((BO19+BO23)/$B148,0),0)</f>
        <v>0</v>
      </c>
      <c r="BP148" s="46">
        <f>=IFERROR(ROUND((BP19+BP23)/$B148,0),0)</f>
        <v>0</v>
      </c>
      <c r="BQ148" s="46">
        <f>=IFERROR(ROUND((BQ19+BQ23)/$B148,0),0)</f>
        <v>0</v>
      </c>
      <c r="BR148" s="46">
        <f>=IFERROR(ROUND((BR19+BR23)/$B148,0),0)</f>
        <v>0</v>
      </c>
      <c r="BS148" s="46">
        <f>=IFERROR(ROUND((BS19+BS23)/$B148,0),0)</f>
        <v>0</v>
      </c>
      <c r="BT148" s="46">
        <f>=IFERROR(ROUND((BT19+BT23)/$B148,0),0)</f>
        <v>0</v>
      </c>
      <c r="BU148" s="46">
        <f>=IFERROR(ROUND((BU19+BU23)/$B148,0),0)</f>
        <v>0</v>
      </c>
      <c r="BV148" s="46">
        <f>=IFERROR(ROUND((BV19+BV23)/$B148,0),0)</f>
        <v>0</v>
      </c>
      <c r="BW148" s="46">
        <f>=IFERROR(ROUND((BW19+BW23)/$B148,0),0)</f>
        <v>0</v>
      </c>
      <c r="BX148" s="46">
        <f>=IFERROR(ROUND((BX19+BX23)/$B148,0),0)</f>
        <v>0</v>
      </c>
      <c r="BY148" s="46">
        <f>=IFERROR(ROUND((BY19+BY23)/$B148,0),0)</f>
        <v>0</v>
      </c>
      <c r="BZ148" s="46">
        <f>=IFERROR(ROUND((BZ19+BZ23)/$B148,0),0)</f>
        <v>0</v>
      </c>
      <c r="CA148" s="46">
        <f>=IFERROR(ROUND((CA19+CA23)/$B148,0),0)</f>
        <v>0</v>
      </c>
      <c r="CB148" s="46">
        <f>=IFERROR(ROUND((CB19+CB23)/$B148,0),0)</f>
        <v>0</v>
      </c>
      <c r="CC148" s="46">
        <f>=IFERROR(ROUND((CC19+CC23)/$B148,0),0)</f>
        <v>0</v>
      </c>
      <c r="CD148" s="46">
        <f>=IFERROR(ROUND((CD19+CD23)/$B148,0),0)</f>
        <v>0</v>
      </c>
      <c r="CE148" s="46">
        <f>=IFERROR(ROUND((CE19+CE23)/$B148,0),0)</f>
        <v>0</v>
      </c>
      <c r="CF148" s="46">
        <f>=IFERROR(ROUND((CF19+CF23)/$B148,0),0)</f>
        <v>0</v>
      </c>
      <c r="CG148" s="46">
        <f>=IFERROR(ROUND((CG19+CG23)/$B148,0),0)</f>
        <v>0</v>
      </c>
      <c r="CH148" s="46">
        <f>=IFERROR(ROUND((CH19+CH23)/$B148,0),0)</f>
        <v>0</v>
      </c>
      <c r="CI148" s="46">
        <f>=IFERROR(ROUND((CI19+CI23)/$B148,0),0)</f>
        <v>0</v>
      </c>
      <c r="CJ148" s="73">
        <f>=IFERROR(ROUND((CJ19+CJ23)/$B148,0),0)</f>
        <v>0</v>
      </c>
      <c r="CK148" s="46">
        <f>=IFERROR(ROUND((CK19+CK23)/$B148,0),0)</f>
        <v>0</v>
      </c>
      <c r="CL148" s="73">
        <f>=IFERROR(ROUND((CL19+CL23)/$B148,0),0)</f>
        <v>0</v>
      </c>
      <c r="CM148" s="46">
        <f>=IFERROR(ROUND((CM19+CM23)/$B148,0),0)</f>
        <v>0</v>
      </c>
      <c r="CN148" s="46">
        <f>=IFERROR(ROUND((CN19+CN23)/$B148,0),0)</f>
        <v>0</v>
      </c>
      <c r="CO148" s="46">
        <f>=IFERROR(ROUND((CO19+CO23)/$B148,0),0)</f>
        <v>0</v>
      </c>
      <c r="CP148" s="46">
        <f>=IFERROR(ROUND((CP19+CP23)/$B148,0),0)</f>
        <v>0</v>
      </c>
      <c r="CQ148" s="46">
        <f>=IFERROR(ROUND((CQ19+CQ23)/$B148,0),0)</f>
        <v>0</v>
      </c>
      <c r="CR148" s="46">
        <f>=IFERROR(ROUND((CR19+CR23)/$B148,0),0)</f>
        <v>0</v>
      </c>
      <c r="CS148" s="46">
        <f>=IFERROR(ROUND((CS19+CS23)/$B148,0),0)</f>
        <v>0</v>
      </c>
      <c r="CT148" s="46">
        <f>=IFERROR(ROUND((CT19+CT23)/$B148,0),0)</f>
        <v>0</v>
      </c>
      <c r="CU148" s="46">
        <f>=IFERROR(ROUND((CU19+CU23)/$B148,0),0)</f>
        <v>0</v>
      </c>
      <c r="CV148" s="46">
        <f>=IFERROR(ROUND((CV19+CV23)/$B148,0),0)</f>
        <v>0</v>
      </c>
      <c r="CW148" s="46">
        <f>=IFERROR(ROUND((CW19+CW23)/$B148,0),0)</f>
        <v>0</v>
      </c>
      <c r="CX148" s="46">
        <f>=IFERROR(ROUND((CX19+CX23)/$B148,0),0)</f>
        <v>0</v>
      </c>
      <c r="CY148" s="46">
        <f>=IFERROR(ROUND((CY19+CY23)/$B148,0),0)</f>
        <v>0</v>
      </c>
      <c r="CZ148" s="46">
        <f>=IFERROR(ROUND((CZ19+CZ23)/$B148,0),0)</f>
        <v>0</v>
      </c>
      <c r="DA148" s="46">
        <f>=IFERROR(ROUND((DA19+DA23)/$B148,0),0)</f>
        <v>0</v>
      </c>
      <c r="DB148" s="46">
        <f>=IFERROR(ROUND((DB19+DB23)/$B148,0),0)</f>
        <v>0</v>
      </c>
    </row>
    <row r="149" spans="1:106" x14ac:dyDescent="0.25">
      <c r="A149" s="17" t="s">
        <v>359</v>
      </c>
      <c r="B149" s="17">
        <v>30</v>
      </c>
      <c r="C149" s="46">
        <f>=IFERROR(ROUND(C19/$B149,0),0)</f>
        <v>0</v>
      </c>
      <c r="D149" s="46">
        <f>=IFERROR(ROUND(D19/$B149,0),0)</f>
        <v>0</v>
      </c>
      <c r="E149" s="46">
        <f>=IFERROR(ROUND(E19/$B149,0),0)</f>
        <v>0</v>
      </c>
      <c r="F149" s="46">
        <f>=IFERROR(ROUND(F19/$B149,0),0)</f>
        <v>0</v>
      </c>
      <c r="G149" s="46">
        <f>=IFERROR(ROUND(G19/$B149,0),0)</f>
        <v>0</v>
      </c>
      <c r="H149" s="46">
        <f>=IFERROR(ROUND(H19/$B149,0),0)</f>
        <v>0</v>
      </c>
      <c r="I149" s="46">
        <f>=IFERROR(ROUND(I19/$B149,0),0)</f>
        <v>0</v>
      </c>
      <c r="J149" s="46">
        <f>=IFERROR(ROUND(J19/$B149,0),0)</f>
        <v>0</v>
      </c>
      <c r="K149" s="46">
        <f>=IFERROR(ROUND(K19/$B149,0),0)</f>
        <v>0</v>
      </c>
      <c r="L149" s="46">
        <f>=IFERROR(ROUND(L19/$B149,0),0)</f>
        <v>0</v>
      </c>
      <c r="M149" s="46">
        <f>=IFERROR(ROUND(M19/$B149,0),0)</f>
        <v>1</v>
      </c>
      <c r="N149" s="46">
        <f>=IFERROR(ROUND(N19/$B149,0),0)</f>
        <v>0</v>
      </c>
      <c r="O149" s="46">
        <f>=IFERROR(ROUND(O19/$B149,0),0)</f>
        <v>0</v>
      </c>
      <c r="P149" s="46">
        <f>=IFERROR(ROUND(P19/$B149,0),0)</f>
        <v>0</v>
      </c>
      <c r="Q149" s="46">
        <f>=IFERROR(ROUND(Q19/$B149,0),0)</f>
        <v>0</v>
      </c>
      <c r="R149" s="46">
        <f>=IFERROR(ROUND(R19/$B149,0),0)</f>
        <v>0</v>
      </c>
      <c r="S149" s="46">
        <f>=IFERROR(ROUND(S19/$B149,0),0)</f>
        <v>0</v>
      </c>
      <c r="T149" s="46">
        <f>=IFERROR(ROUND(T19/$B149,0),0)</f>
        <v>0</v>
      </c>
      <c r="U149" s="46">
        <f>=IFERROR(ROUND(U19/$B149,0),0)</f>
        <v>0</v>
      </c>
      <c r="V149" s="46">
        <f>=IFERROR(ROUND(V19/$B149,0),0)</f>
        <v>0</v>
      </c>
      <c r="W149" s="46">
        <f>=IFERROR(ROUND(W19/$B149,0),0)</f>
        <v>0</v>
      </c>
      <c r="X149" s="46">
        <f>=IFERROR(ROUND(X19/$B149,0),0)</f>
        <v>0</v>
      </c>
      <c r="Y149" s="46">
        <f>=IFERROR(ROUND(Y19/$B149,0),0)</f>
        <v>0</v>
      </c>
      <c r="Z149" s="46">
        <f>=IFERROR(ROUND(Z19/$B149,0),0)</f>
        <v>0</v>
      </c>
      <c r="AA149" s="46">
        <f>=IFERROR(ROUND(AA19/$B149,0),0)</f>
        <v>0</v>
      </c>
      <c r="AB149" s="46">
        <f>=IFERROR(ROUND(AB19/$B149,0),0)</f>
        <v>0</v>
      </c>
      <c r="AC149" s="46">
        <f>=IFERROR(ROUND(AC19/$B149,0),0)</f>
        <v>0</v>
      </c>
      <c r="AD149" s="46">
        <f>=IFERROR(ROUND(AD19/$B149,0),0)</f>
        <v>0</v>
      </c>
      <c r="AE149" s="46">
        <f>=IFERROR(ROUND(AE19/$B149,0),0)</f>
        <v>0</v>
      </c>
      <c r="AF149" s="46">
        <f>=IFERROR(ROUND(AF19/$B149,0),0)</f>
        <v>0</v>
      </c>
      <c r="AG149" s="46">
        <f>=IFERROR(ROUND(AG19/$B149,0),0)</f>
        <v>0</v>
      </c>
      <c r="AH149" s="46">
        <f>=IFERROR(ROUND(AH19/$B149,0),0)</f>
        <v>0</v>
      </c>
      <c r="AI149" s="46">
        <f>=IFERROR(ROUND(AI19/$B149,0),0)</f>
        <v>0</v>
      </c>
      <c r="AJ149" s="46">
        <f>=IFERROR(ROUND(AJ19/$B149,0),0)</f>
        <v>0</v>
      </c>
      <c r="AK149" s="46">
        <f>=IFERROR(ROUND(AK19/$B149,0),0)</f>
        <v>0</v>
      </c>
      <c r="AL149" s="46">
        <f>=IFERROR(ROUND(AL19/$B149,0),0)</f>
        <v>0</v>
      </c>
      <c r="AM149" s="46">
        <f>=IFERROR(ROUND(AM19/$B149,0),0)</f>
        <v>0</v>
      </c>
      <c r="AN149" s="46">
        <f>=IFERROR(ROUND(AN19/$B149,0),0)</f>
        <v>0</v>
      </c>
      <c r="AO149" s="46">
        <f>=IFERROR(ROUND(AO19/$B149,0),0)</f>
        <v>0</v>
      </c>
      <c r="AP149" s="46">
        <f>=IFERROR(ROUND(AP19/$B149,0),0)</f>
        <v>0</v>
      </c>
      <c r="AQ149" s="46">
        <f>=IFERROR(ROUND(AQ19/$B149,0),0)</f>
        <v>0</v>
      </c>
      <c r="AR149" s="46">
        <f>=IFERROR(ROUND(AR19/$B149,0),0)</f>
        <v>0</v>
      </c>
      <c r="AS149" s="46">
        <f>=IFERROR(ROUND(AS19/$B149,0),0)</f>
        <v>0</v>
      </c>
      <c r="AT149" s="46">
        <f>=IFERROR(ROUND(AT19/$B149,0),0)</f>
        <v>0</v>
      </c>
      <c r="AU149" s="46">
        <f>=IFERROR(ROUND(AU19/$B149,0),0)</f>
        <v>0</v>
      </c>
      <c r="AV149" s="46">
        <f>=IFERROR(ROUND(AV19/$B149,0),0)</f>
        <v>0</v>
      </c>
      <c r="AW149" s="46">
        <f>=IFERROR(ROUND(AW19/$B149,0),0)</f>
        <v>0</v>
      </c>
      <c r="AX149" s="46">
        <f>=IFERROR(ROUND(AX19/$B149,0),0)</f>
        <v>0</v>
      </c>
      <c r="AY149" s="46">
        <f>=IFERROR(ROUND(AY19/$B149,0),0)</f>
        <v>0</v>
      </c>
      <c r="AZ149" s="46">
        <f>=IFERROR(ROUND(AZ19/$B149,0),0)</f>
        <v>0</v>
      </c>
      <c r="BA149" s="46">
        <f>=IFERROR(ROUND(BA19/$B149,0),0)</f>
        <v>1</v>
      </c>
      <c r="BB149" s="46">
        <f>=IFERROR(ROUND(BB19/$B149,0),0)</f>
        <v>1</v>
      </c>
      <c r="BC149" s="46">
        <f>=IFERROR(ROUND(BC19/$B149,0),0)</f>
        <v>1</v>
      </c>
      <c r="BD149" s="46">
        <f>=IFERROR(ROUND(BD19/$B149,0),0)</f>
        <v>1</v>
      </c>
      <c r="BE149" s="46">
        <f>=IFERROR(ROUND(BE19/$B149,0),0)</f>
        <v>1</v>
      </c>
      <c r="BF149" s="46">
        <f>=IFERROR(ROUND(BF19/$B149,0),0)</f>
        <v>1</v>
      </c>
      <c r="BG149" s="46">
        <f>=IFERROR(ROUND(BG19/$B149,0),0)</f>
        <v>1</v>
      </c>
      <c r="BH149" s="46">
        <f>=IFERROR(ROUND(BH19/$B149,0),0)</f>
        <v>1</v>
      </c>
      <c r="BI149" s="46">
        <f>=IFERROR(ROUND(BI19/$B149,0),0)</f>
        <v>1</v>
      </c>
      <c r="BJ149" s="46">
        <f>=IFERROR(ROUND(BJ19/$B149,0),0)</f>
        <v>0</v>
      </c>
      <c r="BK149" s="46">
        <f>=IFERROR(ROUND(BK19/$B149,0),0)</f>
        <v>1</v>
      </c>
      <c r="BL149" s="73">
        <f>=IFERROR(ROUND(BL19/$B149,0),0)</f>
        <v>0</v>
      </c>
      <c r="BM149" s="46">
        <f>=IFERROR(ROUND(BM19/$B149,0),0)</f>
        <v>0</v>
      </c>
      <c r="BN149" s="46">
        <f>=IFERROR(ROUND(BN19/$B149,0),0)</f>
        <v>1</v>
      </c>
      <c r="BO149" s="46">
        <f>=IFERROR(ROUND(BO19/$B149,0),0)</f>
        <v>1</v>
      </c>
      <c r="BP149" s="46">
        <f>=IFERROR(ROUND(BP19/$B149,0),0)</f>
        <v>1</v>
      </c>
      <c r="BQ149" s="46">
        <f>=IFERROR(ROUND(BQ19/$B149,0),0)</f>
        <v>0</v>
      </c>
      <c r="BR149" s="46">
        <f>=IFERROR(ROUND(BR19/$B149,0),0)</f>
        <v>0</v>
      </c>
      <c r="BS149" s="46">
        <f>=IFERROR(ROUND(BS19/$B149,0),0)</f>
        <v>0</v>
      </c>
      <c r="BT149" s="46">
        <f>=IFERROR(ROUND(BT19/$B149,0),0)</f>
        <v>0</v>
      </c>
      <c r="BU149" s="46">
        <f>=IFERROR(ROUND(BU19/$B149,0),0)</f>
        <v>0</v>
      </c>
      <c r="BV149" s="46">
        <f>=IFERROR(ROUND(BV19/$B149,0),0)</f>
        <v>0</v>
      </c>
      <c r="BW149" s="46">
        <f>=IFERROR(ROUND(BW19/$B149,0),0)</f>
        <v>0</v>
      </c>
      <c r="BX149" s="46">
        <f>=IFERROR(ROUND(BX19/$B149,0),0)</f>
        <v>0</v>
      </c>
      <c r="BY149" s="73">
        <f>=IFERROR(ROUND(BY19/$B149,0),0)</f>
        <v>0</v>
      </c>
      <c r="BZ149" s="46">
        <f>=IFERROR(ROUND(BZ19/$B149,0),0)</f>
        <v>0</v>
      </c>
      <c r="CA149" s="46">
        <f>=IFERROR(ROUND(CA19/$B149,0),0)</f>
        <v>0</v>
      </c>
      <c r="CB149" s="46">
        <f>=IFERROR(ROUND(CB19/$B149,0),0)</f>
        <v>0</v>
      </c>
      <c r="CC149" s="46">
        <f>=IFERROR(ROUND(CC19/$B149,0),0)</f>
        <v>0</v>
      </c>
      <c r="CD149" s="46">
        <f>=IFERROR(ROUND(CD19/$B149,0),0)</f>
        <v>0</v>
      </c>
      <c r="CE149" s="46">
        <f>=IFERROR(ROUND(CE19/$B149,0),0)</f>
        <v>0</v>
      </c>
      <c r="CF149" s="46">
        <f>=IFERROR(ROUND(CF19/$B149,0),0)</f>
        <v>0</v>
      </c>
      <c r="CG149" s="46">
        <f>=IFERROR(ROUND(CG19/$B149,0),0)</f>
        <v>0</v>
      </c>
      <c r="CH149" s="46">
        <f>=IFERROR(ROUND(CH19/$B149,0),0)</f>
        <v>0</v>
      </c>
      <c r="CI149" s="46">
        <f>=IFERROR(ROUND(CI19/$B149,0),0)</f>
        <v>0</v>
      </c>
      <c r="CJ149" s="46">
        <f>=IFERROR(ROUND(CJ19/$B149,0),0)</f>
        <v>0</v>
      </c>
      <c r="CK149" s="46">
        <f>=IFERROR(ROUND(CK19/$B149,0),0)</f>
        <v>0</v>
      </c>
      <c r="CL149" s="46">
        <f>=IFERROR(ROUND(CL19/$B149,0),0)</f>
        <v>0</v>
      </c>
      <c r="CM149" s="46">
        <f>=IFERROR(ROUND(CM19/$B149,0),0)</f>
        <v>0</v>
      </c>
      <c r="CN149" s="46">
        <f>=IFERROR(ROUND(CN19/$B149,0),0)</f>
        <v>0</v>
      </c>
      <c r="CO149" s="46">
        <f>=IFERROR(ROUND(CO19/$B149,0),0)</f>
        <v>0</v>
      </c>
      <c r="CP149" s="46">
        <f>=IFERROR(ROUND(CP19/$B149,0),0)</f>
        <v>0</v>
      </c>
      <c r="CQ149" s="46">
        <f>=IFERROR(ROUND(CQ19/$B149,0),0)</f>
        <v>0</v>
      </c>
      <c r="CR149" s="46">
        <f>=IFERROR(ROUND(CR19/$B149,0),0)</f>
        <v>0</v>
      </c>
      <c r="CS149" s="46">
        <f>=IFERROR(ROUND(CS19/$B149,0),0)</f>
        <v>0</v>
      </c>
      <c r="CT149" s="73">
        <f>=IFERROR(ROUND(CT19/$B149,0),0)</f>
        <v>0</v>
      </c>
      <c r="CU149" s="46">
        <f>=IFERROR(ROUND(CU19/$B149,0),0)</f>
        <v>0</v>
      </c>
      <c r="CV149" s="46">
        <f>=IFERROR(ROUND(CV19/$B149,0),0)</f>
        <v>0</v>
      </c>
      <c r="CW149" s="73">
        <f>=IFERROR(ROUND(CW19/$B149,0),0)</f>
        <v>0</v>
      </c>
      <c r="CX149" s="73">
        <f>=IFERROR(ROUND(CX19/$B149,0),0)</f>
        <v>0</v>
      </c>
      <c r="CY149" s="46">
        <f>=IFERROR(ROUND(CY19/$B149,0),0)</f>
        <v>0</v>
      </c>
      <c r="CZ149" s="46">
        <f>=IFERROR(ROUND(CZ19/$B149,0),0)</f>
        <v>0</v>
      </c>
      <c r="DA149" s="46">
        <f>=IFERROR(ROUND(DA19/$B149,0),0)</f>
        <v>0</v>
      </c>
      <c r="DB149" s="46">
        <f>=IFERROR(ROUND(DB19/$B149,0),0)</f>
        <v>0</v>
      </c>
    </row>
    <row r="150" spans="1:106" x14ac:dyDescent="0.25">
      <c r="A150" s="17" t="s">
        <v>360</v>
      </c>
      <c r="B150" s="17">
        <v>100</v>
      </c>
      <c r="C150" s="46">
        <f>=IFERROR(ROUND(C10/$B150,0),0)</f>
        <v>0</v>
      </c>
      <c r="D150" s="46">
        <f>=IFERROR(ROUND(D10/$B150,0),0)</f>
        <v>0</v>
      </c>
      <c r="E150" s="46">
        <f>=IFERROR(ROUND(E10/$B150,0),0)</f>
        <v>0</v>
      </c>
      <c r="F150" s="46">
        <f>=IFERROR(ROUND(F10/$B150,0),0)</f>
        <v>0</v>
      </c>
      <c r="G150" s="46">
        <f>=IFERROR(ROUND(G10/$B150,0),0)</f>
        <v>0</v>
      </c>
      <c r="H150" s="46">
        <f>=IFERROR(ROUND(H10/$B150,0),0)</f>
        <v>0</v>
      </c>
      <c r="I150" s="46">
        <f>=IFERROR(ROUND(I10/$B150,0),0)</f>
        <v>0</v>
      </c>
      <c r="J150" s="46">
        <f>=IFERROR(ROUND(J10/$B150,0),0)</f>
        <v>0</v>
      </c>
      <c r="K150" s="46">
        <f>=IFERROR(ROUND(K10/$B150,0),0)</f>
        <v>0</v>
      </c>
      <c r="L150" s="46">
        <f>=IFERROR(ROUND(L10/$B150,0),0)</f>
        <v>0</v>
      </c>
      <c r="M150" s="46">
        <f>=IFERROR(ROUND(M10/$B150,0),0)</f>
        <v>0</v>
      </c>
      <c r="N150" s="46">
        <f>=IFERROR(ROUND(N10/$B150,0),0)</f>
        <v>0</v>
      </c>
      <c r="O150" s="46">
        <f>=IFERROR(ROUND(O10/$B150,0),0)</f>
        <v>0</v>
      </c>
      <c r="P150" s="46">
        <f>=IFERROR(ROUND(P10/$B150,0),0)</f>
        <v>0</v>
      </c>
      <c r="Q150" s="46">
        <f>=IFERROR(ROUND(Q10/$B150,0),0)</f>
        <v>0</v>
      </c>
      <c r="R150" s="46">
        <f>=IFERROR(ROUND(R10/$B150,0),0)</f>
        <v>0</v>
      </c>
      <c r="S150" s="46">
        <f>=IFERROR(ROUND(S10/$B150,0),0)</f>
        <v>0</v>
      </c>
      <c r="T150" s="46">
        <f>=IFERROR(ROUND(T10/$B150,0),0)</f>
        <v>0</v>
      </c>
      <c r="U150" s="46">
        <f>=IFERROR(ROUND(U10/$B150,0),0)</f>
        <v>0</v>
      </c>
      <c r="V150" s="46">
        <f>=IFERROR(ROUND(V10/$B150,0),0)</f>
        <v>0</v>
      </c>
      <c r="W150" s="46">
        <f>=IFERROR(ROUND(W10/$B150,0),0)</f>
        <v>0</v>
      </c>
      <c r="X150" s="46">
        <f>=IFERROR(ROUND(X10/$B150,0),0)</f>
        <v>0</v>
      </c>
      <c r="Y150" s="46">
        <f>=IFERROR(ROUND(Y10/$B150,0),0)</f>
        <v>0</v>
      </c>
      <c r="Z150" s="46">
        <f>=IFERROR(ROUND(Z10/$B150,0),0)</f>
        <v>0</v>
      </c>
      <c r="AA150" s="46">
        <f>=IFERROR(ROUND(AA10/$B150,0),0)</f>
        <v>0</v>
      </c>
      <c r="AB150" s="46">
        <f>=IFERROR(ROUND(AB10/$B150,0),0)</f>
        <v>0</v>
      </c>
      <c r="AC150" s="46">
        <f>=IFERROR(ROUND(AC10/$B150,0),0)</f>
        <v>0</v>
      </c>
      <c r="AD150" s="46">
        <f>=IFERROR(ROUND(AD10/$B150,0),0)</f>
        <v>0</v>
      </c>
      <c r="AE150" s="46">
        <f>=IFERROR(ROUND(AE10/$B150,0),0)</f>
        <v>0</v>
      </c>
      <c r="AF150" s="46">
        <f>=IFERROR(ROUND(AF10/$B150,0),0)</f>
        <v>0</v>
      </c>
      <c r="AG150" s="46">
        <f>=IFERROR(ROUND(AG10/$B150,0),0)</f>
        <v>0</v>
      </c>
      <c r="AH150" s="46">
        <f>=IFERROR(ROUND(AH10/$B150,0),0)</f>
        <v>0</v>
      </c>
      <c r="AI150" s="46">
        <f>=IFERROR(ROUND(AI10/$B150,0),0)</f>
        <v>0</v>
      </c>
      <c r="AJ150" s="46">
        <f>=IFERROR(ROUND(AJ10/$B150,0),0)</f>
        <v>0</v>
      </c>
      <c r="AK150" s="46">
        <f>=IFERROR(ROUND(AK10/$B150,0),0)</f>
        <v>0</v>
      </c>
      <c r="AL150" s="46">
        <f>=IFERROR(ROUND(AL10/$B150,0),0)</f>
        <v>0</v>
      </c>
      <c r="AM150" s="46">
        <f>=IFERROR(ROUND(AM10/$B150,0),0)</f>
        <v>0</v>
      </c>
      <c r="AN150" s="46">
        <f>=IFERROR(ROUND(AN10/$B150,0),0)</f>
        <v>0</v>
      </c>
      <c r="AO150" s="46">
        <f>=IFERROR(ROUND(AO10/$B150,0),0)</f>
        <v>0</v>
      </c>
      <c r="AP150" s="46">
        <f>=IFERROR(ROUND(AP10/$B150,0),0)</f>
        <v>0</v>
      </c>
      <c r="AQ150" s="46">
        <f>=IFERROR(ROUND(AQ10/$B150,0),0)</f>
        <v>0</v>
      </c>
      <c r="AR150" s="46">
        <f>=IFERROR(ROUND(AR10/$B150,0),0)</f>
        <v>0</v>
      </c>
      <c r="AS150" s="46">
        <f>=IFERROR(ROUND(AS10/$B150,0),0)</f>
        <v>0</v>
      </c>
      <c r="AT150" s="46">
        <f>=IFERROR(ROUND(AT10/$B150,0),0)</f>
        <v>0</v>
      </c>
      <c r="AU150" s="46">
        <f>=IFERROR(ROUND(AU10/$B150,0),0)</f>
        <v>0</v>
      </c>
      <c r="AV150" s="46">
        <f>=IFERROR(ROUND(AV10/$B150,0),0)</f>
        <v>0</v>
      </c>
      <c r="AW150" s="46">
        <f>=IFERROR(ROUND(AW10/$B150,0),0)</f>
        <v>0</v>
      </c>
      <c r="AX150" s="46">
        <f>=IFERROR(ROUND(AX10/$B150,0),0)</f>
        <v>0</v>
      </c>
      <c r="AY150" s="46">
        <f>=IFERROR(ROUND(AY10/$B150,0),0)</f>
        <v>0</v>
      </c>
      <c r="AZ150" s="46">
        <f>=IFERROR(ROUND(AZ10/$B150,0),0)</f>
        <v>0</v>
      </c>
      <c r="BA150" s="46">
        <f>=IFERROR(ROUND(BA10/$B150,0),0)</f>
        <v>0</v>
      </c>
      <c r="BB150" s="46">
        <f>=IFERROR(ROUND(BB10/$B150,0),0)</f>
        <v>0</v>
      </c>
      <c r="BC150" s="46">
        <f>=IFERROR(ROUND(BC10/$B150,0),0)</f>
        <v>0</v>
      </c>
      <c r="BD150" s="46">
        <f>=IFERROR(ROUND(BD10/$B150,0),0)</f>
        <v>0</v>
      </c>
      <c r="BE150" s="46">
        <f>=IFERROR(ROUND(BE10/$B150,0),0)</f>
        <v>0</v>
      </c>
      <c r="BF150" s="46">
        <f>=IFERROR(ROUND(BF10/$B150,0),0)</f>
        <v>0</v>
      </c>
      <c r="BG150" s="46">
        <f>=IFERROR(ROUND(BG10/$B150,0),0)</f>
        <v>0</v>
      </c>
      <c r="BH150" s="73">
        <f>=IFERROR(ROUND(BH10/$B150,0),0)</f>
        <v>0</v>
      </c>
      <c r="BI150" s="46">
        <f>=IFERROR(ROUND(BI10/$B150,0),0)</f>
        <v>0</v>
      </c>
      <c r="BJ150" s="46">
        <f>=IFERROR(ROUND(BJ10/$B150,0),0)</f>
        <v>0</v>
      </c>
      <c r="BK150" s="46">
        <f>=IFERROR(ROUND(BK10/$B150,0),0)</f>
        <v>0</v>
      </c>
      <c r="BL150" s="73">
        <f>=IFERROR(ROUND(BL10/$B150,0),0)</f>
        <v>0</v>
      </c>
      <c r="BM150" s="46">
        <f>=IFERROR(ROUND(BM10/$B150,0),0)</f>
        <v>0</v>
      </c>
      <c r="BN150" s="46">
        <f>=IFERROR(ROUND(BN10/$B150,0),0)</f>
        <v>0</v>
      </c>
      <c r="BO150" s="73">
        <f>=IFERROR(ROUND(BO10/$B150,0),0)</f>
        <v>0</v>
      </c>
      <c r="BP150" s="46">
        <f>=IFERROR(ROUND(BP10/$B150,0),0)</f>
        <v>0</v>
      </c>
      <c r="BQ150" s="46">
        <f>=IFERROR(ROUND(BQ10/$B150,0),0)</f>
        <v>0</v>
      </c>
      <c r="BR150" s="46">
        <f>=IFERROR(ROUND(BR10/$B150,0),0)</f>
        <v>0</v>
      </c>
      <c r="BS150" s="46">
        <f>=IFERROR(ROUND(BS10/$B150,0),0)</f>
        <v>0</v>
      </c>
      <c r="BT150" s="46">
        <f>=IFERROR(ROUND(BT10/$B150,0),0)</f>
        <v>0</v>
      </c>
      <c r="BU150" s="46">
        <f>=IFERROR(ROUND(BU10/$B150,0),0)</f>
        <v>0</v>
      </c>
      <c r="BV150" s="46">
        <f>=IFERROR(ROUND(BV10/$B150,0),0)</f>
        <v>0</v>
      </c>
      <c r="BW150" s="46">
        <f>=IFERROR(ROUND(BW10/$B150,0),0)</f>
        <v>0</v>
      </c>
      <c r="BX150" s="46">
        <f>=IFERROR(ROUND(BX10/$B150,0),0)</f>
        <v>0</v>
      </c>
      <c r="BY150" s="46">
        <f>=IFERROR(ROUND(BY10/$B150,0),0)</f>
        <v>0</v>
      </c>
      <c r="BZ150" s="46">
        <f>=IFERROR(ROUND(BZ10/$B150,0),0)</f>
        <v>0</v>
      </c>
      <c r="CA150" s="46">
        <f>=IFERROR(ROUND(CA10/$B150,0),0)</f>
        <v>0</v>
      </c>
      <c r="CB150" s="46">
        <f>=IFERROR(ROUND(CB10/$B150,0),0)</f>
        <v>0</v>
      </c>
      <c r="CC150" s="46">
        <f>=IFERROR(ROUND(CC10/$B150,0),0)</f>
        <v>0</v>
      </c>
      <c r="CD150" s="73">
        <f>=IFERROR(ROUND(CD10/$B150,0),0)</f>
        <v>0</v>
      </c>
      <c r="CE150" s="73">
        <f>=IFERROR(ROUND(CE10/$B150,0),0)</f>
        <v>0</v>
      </c>
      <c r="CF150" s="46">
        <f>=IFERROR(ROUND(CF10/$B150,0),0)</f>
        <v>0</v>
      </c>
      <c r="CG150" s="46">
        <f>=IFERROR(ROUND(CG10/$B150,0),0)</f>
        <v>0</v>
      </c>
      <c r="CH150" s="46">
        <f>=IFERROR(ROUND(CH10/$B150,0),0)</f>
        <v>0</v>
      </c>
      <c r="CI150" s="46">
        <f>=IFERROR(ROUND(CI10/$B150,0),0)</f>
        <v>0</v>
      </c>
      <c r="CJ150" s="46">
        <f>=IFERROR(ROUND(CJ10/$B150,0),0)</f>
        <v>0</v>
      </c>
      <c r="CK150" s="46">
        <f>=IFERROR(ROUND(CK10/$B150,0),0)</f>
        <v>0</v>
      </c>
      <c r="CL150" s="46">
        <f>=IFERROR(ROUND(CL10/$B150,0),0)</f>
        <v>0</v>
      </c>
      <c r="CM150" s="46">
        <f>=IFERROR(ROUND(CM10/$B150,0),0)</f>
        <v>0</v>
      </c>
      <c r="CN150" s="46">
        <f>=IFERROR(ROUND(CN10/$B150,0),0)</f>
        <v>0</v>
      </c>
      <c r="CO150" s="46">
        <f>=IFERROR(ROUND(CO10/$B150,0),0)</f>
        <v>0</v>
      </c>
      <c r="CP150" s="46">
        <f>=IFERROR(ROUND(CP10/$B150,0),0)</f>
        <v>0</v>
      </c>
      <c r="CQ150" s="46">
        <f>=IFERROR(ROUND(CQ10/$B150,0),0)</f>
        <v>0</v>
      </c>
      <c r="CR150" s="46">
        <f>=IFERROR(ROUND(CR10/$B150,0),0)</f>
        <v>0</v>
      </c>
      <c r="CS150" s="46">
        <f>=IFERROR(ROUND(CS10/$B150,0),0)</f>
        <v>0</v>
      </c>
      <c r="CT150" s="46">
        <f>=IFERROR(ROUND(CT10/$B150,0),0)</f>
        <v>0</v>
      </c>
      <c r="CU150" s="46">
        <f>=IFERROR(ROUND(CU10/$B150,0),0)</f>
        <v>0</v>
      </c>
      <c r="CV150" s="46">
        <f>=IFERROR(ROUND(CV10/$B150,0),0)</f>
        <v>0</v>
      </c>
      <c r="CW150" s="73">
        <f>=IFERROR(ROUND(CW10/$B150,0),0)</f>
        <v>0</v>
      </c>
      <c r="CX150" s="46">
        <f>=IFERROR(ROUND(CX10/$B150,0),0)</f>
        <v>0</v>
      </c>
      <c r="CY150" s="46">
        <f>=IFERROR(ROUND(CY10/$B150,0),0)</f>
        <v>0</v>
      </c>
      <c r="CZ150" s="46">
        <f>=IFERROR(ROUND(CZ10/$B150,0),0)</f>
        <v>0</v>
      </c>
      <c r="DA150" s="46">
        <f>=IFERROR(ROUND(DA10/$B150,0),0)</f>
        <v>0</v>
      </c>
      <c r="DB150" s="46">
        <f>=IFERROR(ROUND(DB10/$B150,0),0)</f>
        <v>0</v>
      </c>
    </row>
    <row r="151" spans="1:106" x14ac:dyDescent="0.25">
      <c r="A151" s="17" t="s">
        <v>361</v>
      </c>
      <c r="B151" s="17">
        <v>5</v>
      </c>
      <c r="C151" s="46">
        <f>=IFERROR(ROUND((C21+C22)/$B151,0),0)</f>
        <v>0</v>
      </c>
      <c r="D151" s="46">
        <f>=IFERROR(ROUND((D21+D22)/$B151,0),0)</f>
        <v>0</v>
      </c>
      <c r="E151" s="46">
        <f>=IFERROR(ROUND((E21+E22)/$B151,0),0)</f>
        <v>0</v>
      </c>
      <c r="F151" s="46">
        <f>=IFERROR(ROUND((F21+F22)/$B151,0),0)</f>
        <v>0</v>
      </c>
      <c r="G151" s="46">
        <f>=IFERROR(ROUND((G21+G22)/$B151,0),0)</f>
        <v>0</v>
      </c>
      <c r="H151" s="46">
        <f>=IFERROR(ROUND((H21+H22)/$B151,0),0)</f>
        <v>0</v>
      </c>
      <c r="I151" s="46">
        <f>=IFERROR(ROUND((I21+I22)/$B151,0),0)</f>
        <v>0</v>
      </c>
      <c r="J151" s="46">
        <f>=IFERROR(ROUND((J21+J22)/$B151,0),0)</f>
        <v>1</v>
      </c>
      <c r="K151" s="46">
        <f>=IFERROR(ROUND((K21+K22)/$B151,0),0)</f>
        <v>1</v>
      </c>
      <c r="L151" s="46">
        <f>=IFERROR(ROUND((L21+L22)/$B151,0),0)</f>
        <v>1</v>
      </c>
      <c r="M151" s="46">
        <f>=IFERROR(ROUND((M21+M22)/$B151,0),0)</f>
        <v>0</v>
      </c>
      <c r="N151" s="46">
        <f>=IFERROR(ROUND((N21+N22)/$B151,0),0)</f>
        <v>0</v>
      </c>
      <c r="O151" s="46">
        <f>=IFERROR(ROUND((O21+O22)/$B151,0),0)</f>
        <v>0</v>
      </c>
      <c r="P151" s="46">
        <f>=IFERROR(ROUND((P21+P22)/$B151,0),0)</f>
        <v>0</v>
      </c>
      <c r="Q151" s="46">
        <f>=IFERROR(ROUND((Q21+Q22)/$B151,0),0)</f>
        <v>0</v>
      </c>
      <c r="R151" s="46">
        <f>=IFERROR(ROUND((R21+R22)/$B151,0),0)</f>
        <v>0</v>
      </c>
      <c r="S151" s="46">
        <f>=IFERROR(ROUND((S21+S22)/$B151,0),0)</f>
        <v>0</v>
      </c>
      <c r="T151" s="46">
        <f>=IFERROR(ROUND((T21+T22)/$B151,0),0)</f>
        <v>0</v>
      </c>
      <c r="U151" s="46">
        <f>=IFERROR(ROUND((U21+U22)/$B151,0),0)</f>
        <v>0</v>
      </c>
      <c r="V151" s="46">
        <f>=IFERROR(ROUND((V21+V22)/$B151,0),0)</f>
        <v>0</v>
      </c>
      <c r="W151" s="46">
        <f>=IFERROR(ROUND((W21+W22)/$B151,0),0)</f>
        <v>0</v>
      </c>
      <c r="X151" s="46">
        <f>=IFERROR(ROUND((X21+X22)/$B151,0),0)</f>
        <v>0</v>
      </c>
      <c r="Y151" s="46">
        <f>=IFERROR(ROUND((Y21+Y22)/$B151,0),0)</f>
        <v>0</v>
      </c>
      <c r="Z151" s="46">
        <f>=IFERROR(ROUND((Z21+Z22)/$B151,0),0)</f>
        <v>0</v>
      </c>
      <c r="AA151" s="46">
        <f>=IFERROR(ROUND((AA21+AA22)/$B151,0),0)</f>
        <v>0</v>
      </c>
      <c r="AB151" s="46">
        <f>=IFERROR(ROUND((AB21+AB22)/$B151,0),0)</f>
        <v>0</v>
      </c>
      <c r="AC151" s="46">
        <f>=IFERROR(ROUND((AC21+AC22)/$B151,0),0)</f>
        <v>0</v>
      </c>
      <c r="AD151" s="46">
        <f>=IFERROR(ROUND((AD21+AD22)/$B151,0),0)</f>
        <v>0</v>
      </c>
      <c r="AE151" s="46">
        <f>=IFERROR(ROUND((AE21+AE22)/$B151,0),0)</f>
        <v>0</v>
      </c>
      <c r="AF151" s="46">
        <f>=IFERROR(ROUND((AF21+AF22)/$B151,0),0)</f>
        <v>0</v>
      </c>
      <c r="AG151" s="46">
        <f>=IFERROR(ROUND((AG21+AG22)/$B151,0),0)</f>
        <v>0</v>
      </c>
      <c r="AH151" s="46">
        <f>=IFERROR(ROUND((AH21+AH22)/$B151,0),0)</f>
        <v>0</v>
      </c>
      <c r="AI151" s="46">
        <f>=IFERROR(ROUND((AI21+AI22)/$B151,0),0)</f>
        <v>0</v>
      </c>
      <c r="AJ151" s="46">
        <f>=IFERROR(ROUND((AJ21+AJ22)/$B151,0),0)</f>
        <v>0</v>
      </c>
      <c r="AK151" s="46">
        <f>=IFERROR(ROUND((AK21+AK22)/$B151,0),0)</f>
        <v>0</v>
      </c>
      <c r="AL151" s="46">
        <f>=IFERROR(ROUND((AL21+AL22)/$B151,0),0)</f>
        <v>0</v>
      </c>
      <c r="AM151" s="46">
        <f>=IFERROR(ROUND((AM21+AM22)/$B151,0),0)</f>
        <v>0</v>
      </c>
      <c r="AN151" s="46">
        <f>=IFERROR(ROUND((AN21+AN22)/$B151,0),0)</f>
        <v>0</v>
      </c>
      <c r="AO151" s="46">
        <f>=IFERROR(ROUND((AO21+AO22)/$B151,0),0)</f>
        <v>0</v>
      </c>
      <c r="AP151" s="46">
        <f>=IFERROR(ROUND((AP21+AP22)/$B151,0),0)</f>
        <v>0</v>
      </c>
      <c r="AQ151" s="46">
        <f>=IFERROR(ROUND((AQ21+AQ22)/$B151,0),0)</f>
        <v>0</v>
      </c>
      <c r="AR151" s="46">
        <f>=IFERROR(ROUND((AR21+AR22)/$B151,0),0)</f>
        <v>0</v>
      </c>
      <c r="AS151" s="46">
        <f>=IFERROR(ROUND((AS21+AS22)/$B151,0),0)</f>
        <v>0</v>
      </c>
      <c r="AT151" s="46">
        <f>=IFERROR(ROUND((AT21+AT22)/$B151,0),0)</f>
        <v>0</v>
      </c>
      <c r="AU151" s="46">
        <f>=IFERROR(ROUND((AU21+AU22)/$B151,0),0)</f>
        <v>0</v>
      </c>
      <c r="AV151" s="46">
        <f>=IFERROR(ROUND((AV21+AV22)/$B151,0),0)</f>
        <v>2</v>
      </c>
      <c r="AW151" s="46">
        <f>=IFERROR(ROUND((AW21+AW22)/$B151,0),0)</f>
        <v>2</v>
      </c>
      <c r="AX151" s="46">
        <f>=IFERROR(ROUND((AX21+AX22)/$B151,0),0)</f>
        <v>2</v>
      </c>
      <c r="AY151" s="46">
        <f>=IFERROR(ROUND((AY21+AY22)/$B151,0),0)</f>
        <v>0</v>
      </c>
      <c r="AZ151" s="46">
        <f>=IFERROR(ROUND((AZ21+AZ22)/$B151,0),0)</f>
        <v>0</v>
      </c>
      <c r="BA151" s="46">
        <f>=IFERROR(ROUND((BA21+BA22)/$B151,0),0)</f>
        <v>0</v>
      </c>
      <c r="BB151" s="46">
        <f>=IFERROR(ROUND((BB21+BB22)/$B151,0),0)</f>
        <v>0</v>
      </c>
      <c r="BC151" s="46">
        <f>=IFERROR(ROUND((BC21+BC22)/$B151,0),0)</f>
        <v>0</v>
      </c>
      <c r="BD151" s="46">
        <f>=IFERROR(ROUND((BD21+BD22)/$B151,0),0)</f>
        <v>0</v>
      </c>
      <c r="BE151" s="46">
        <f>=IFERROR(ROUND((BE21+BE22)/$B151,0),0)</f>
        <v>0</v>
      </c>
      <c r="BF151" s="46">
        <f>=IFERROR(ROUND((BF21+BF22)/$B151,0),0)</f>
        <v>1</v>
      </c>
      <c r="BG151" s="46">
        <f>=IFERROR(ROUND((BG21+BG22)/$B151,0),0)</f>
        <v>1</v>
      </c>
      <c r="BH151" s="46">
        <f>=IFERROR(ROUND((BH21+BH22)/$B151,0),0)</f>
        <v>1</v>
      </c>
      <c r="BI151" s="46">
        <f>=IFERROR(ROUND((BI21+BI22)/$B151,0),0)</f>
        <v>0</v>
      </c>
      <c r="BJ151" s="46">
        <f>=IFERROR(ROUND((BJ21+BJ22)/$B151,0),0)</f>
        <v>1</v>
      </c>
      <c r="BK151" s="46">
        <f>=IFERROR(ROUND((BK21+BK22)/$B151,0),0)</f>
        <v>1</v>
      </c>
      <c r="BL151" s="46">
        <f>=IFERROR(ROUND((BL21+BL22)/$B151,0),0)</f>
        <v>0</v>
      </c>
      <c r="BM151" s="46">
        <f>=IFERROR(ROUND((BM21+BM22)/$B151,0),0)</f>
        <v>0</v>
      </c>
      <c r="BN151" s="46">
        <f>=IFERROR(ROUND((BN21+BN22)/$B151,0),0)</f>
        <v>0</v>
      </c>
      <c r="BO151" s="46">
        <f>=IFERROR(ROUND((BO21+BO22)/$B151,0),0)</f>
        <v>0</v>
      </c>
      <c r="BP151" s="46">
        <f>=IFERROR(ROUND((BP21+BP22)/$B151,0),0)</f>
        <v>0</v>
      </c>
      <c r="BQ151" s="46">
        <f>=IFERROR(ROUND((BQ21+BQ22)/$B151,0),0)</f>
        <v>0</v>
      </c>
      <c r="BR151" s="46">
        <f>=IFERROR(ROUND((BR21+BR22)/$B151,0),0)</f>
        <v>0</v>
      </c>
      <c r="BS151" s="46">
        <f>=IFERROR(ROUND((BS21+BS22)/$B151,0),0)</f>
        <v>0</v>
      </c>
      <c r="BT151" s="46">
        <f>=IFERROR(ROUND((BT21+BT22)/$B151,0),0)</f>
        <v>0</v>
      </c>
      <c r="BU151" s="46">
        <f>=IFERROR(ROUND((BU21+BU22)/$B151,0),0)</f>
        <v>0</v>
      </c>
      <c r="BV151" s="46">
        <f>=IFERROR(ROUND((BV21+BV22)/$B151,0),0)</f>
        <v>0</v>
      </c>
      <c r="BW151" s="46">
        <f>=IFERROR(ROUND((BW21+BW22)/$B151,0),0)</f>
        <v>0</v>
      </c>
      <c r="BX151" s="46">
        <f>=IFERROR(ROUND((BX21+BX22)/$B151,0),0)</f>
        <v>0</v>
      </c>
      <c r="BY151" s="46">
        <f>=IFERROR(ROUND((BY21+BY22)/$B151,0),0)</f>
        <v>0</v>
      </c>
      <c r="BZ151" s="46">
        <f>=IFERROR(ROUND((BZ21+BZ22)/$B151,0),0)</f>
        <v>0</v>
      </c>
      <c r="CA151" s="46">
        <f>=IFERROR(ROUND((CA21+CA22)/$B151,0),0)</f>
        <v>0</v>
      </c>
      <c r="CB151" s="46">
        <f>=IFERROR(ROUND((CB21+CB22)/$B151,0),0)</f>
        <v>0</v>
      </c>
      <c r="CC151" s="46">
        <f>=IFERROR(ROUND((CC21+CC22)/$B151,0),0)</f>
        <v>0</v>
      </c>
      <c r="CD151" s="46">
        <f>=IFERROR(ROUND((CD21+CD22)/$B151,0),0)</f>
        <v>0</v>
      </c>
      <c r="CE151" s="46">
        <f>=IFERROR(ROUND((CE21+CE22)/$B151,0),0)</f>
        <v>0</v>
      </c>
      <c r="CF151" s="46">
        <f>=IFERROR(ROUND((CF21+CF22)/$B151,0),0)</f>
        <v>0</v>
      </c>
      <c r="CG151" s="46">
        <f>=IFERROR(ROUND((CG21+CG22)/$B151,0),0)</f>
        <v>0</v>
      </c>
      <c r="CH151" s="46">
        <f>=IFERROR(ROUND((CH21+CH22)/$B151,0),0)</f>
        <v>0</v>
      </c>
      <c r="CI151" s="46">
        <f>=IFERROR(ROUND((CI21+CI22)/$B151,0),0)</f>
        <v>0</v>
      </c>
      <c r="CJ151" s="46">
        <f>=IFERROR(ROUND((CJ21+CJ22)/$B151,0),0)</f>
        <v>0</v>
      </c>
      <c r="CK151" s="46">
        <f>=IFERROR(ROUND((CK21+CK22)/$B151,0),0)</f>
        <v>0</v>
      </c>
      <c r="CL151" s="46">
        <f>=IFERROR(ROUND((CL21+CL22)/$B151,0),0)</f>
        <v>0</v>
      </c>
      <c r="CM151" s="46">
        <f>=IFERROR(ROUND((CM21+CM22)/$B151,0),0)</f>
        <v>0</v>
      </c>
      <c r="CN151" s="46">
        <f>=IFERROR(ROUND((CN21+CN22)/$B151,0),0)</f>
        <v>0</v>
      </c>
      <c r="CO151" s="46">
        <f>=IFERROR(ROUND((CO21+CO22)/$B151,0),0)</f>
        <v>0</v>
      </c>
      <c r="CP151" s="46">
        <f>=IFERROR(ROUND((CP21+CP22)/$B151,0),0)</f>
        <v>0</v>
      </c>
      <c r="CQ151" s="46">
        <f>=IFERROR(ROUND((CQ21+CQ22)/$B151,0),0)</f>
        <v>0</v>
      </c>
      <c r="CR151" s="46">
        <f>=IFERROR(ROUND((CR21+CR22)/$B151,0),0)</f>
        <v>0</v>
      </c>
      <c r="CS151" s="46">
        <f>=IFERROR(ROUND((CS21+CS22)/$B151,0),0)</f>
        <v>0</v>
      </c>
      <c r="CT151" s="46">
        <f>=IFERROR(ROUND((CT21+CT22)/$B151,0),0)</f>
        <v>0</v>
      </c>
      <c r="CU151" s="46">
        <f>=IFERROR(ROUND((CU21+CU22)/$B151,0),0)</f>
        <v>0</v>
      </c>
      <c r="CV151" s="46">
        <f>=IFERROR(ROUND((CV21+CV22)/$B151,0),0)</f>
        <v>0</v>
      </c>
      <c r="CW151" s="46">
        <f>=IFERROR(ROUND((CW21+CW22)/$B151,0),0)</f>
        <v>0</v>
      </c>
      <c r="CX151" s="46">
        <f>=IFERROR(ROUND((CX21+CX22)/$B151,0),0)</f>
        <v>0</v>
      </c>
      <c r="CY151" s="46">
        <f>=IFERROR(ROUND((CY21+CY22)/$B151,0),0)</f>
        <v>0</v>
      </c>
      <c r="CZ151" s="46">
        <f>=IFERROR(ROUND((CZ21+CZ22)/$B151,0),0)</f>
        <v>0</v>
      </c>
      <c r="DA151" s="46">
        <f>=IFERROR(ROUND((DA21+DA22)/$B151,0),0)</f>
        <v>0</v>
      </c>
      <c r="DB151" s="46">
        <f>=IFERROR(ROUND((DB21+DB22)/$B151,0),0)</f>
        <v>0</v>
      </c>
    </row>
    <row r="152" spans="1:106" x14ac:dyDescent="0.25">
      <c r="A152" s="17" t="s">
        <v>362</v>
      </c>
      <c r="B152" s="17">
        <v>15</v>
      </c>
      <c r="C152" s="46">
        <f>=IFERROR(ROUND(C23/$B152,0),0)</f>
        <v>0</v>
      </c>
      <c r="D152" s="46">
        <f>=IFERROR(ROUND(D23/$B152,0),0)</f>
        <v>0</v>
      </c>
      <c r="E152" s="46">
        <f>=IFERROR(ROUND(E23/$B152,0),0)</f>
        <v>0</v>
      </c>
      <c r="F152" s="46">
        <f>=IFERROR(ROUND(F23/$B152,0),0)</f>
        <v>0</v>
      </c>
      <c r="G152" s="46">
        <f>=IFERROR(ROUND(G23/$B152,0),0)</f>
        <v>0</v>
      </c>
      <c r="H152" s="46">
        <f>=IFERROR(ROUND(H23/$B152,0),0)</f>
        <v>0</v>
      </c>
      <c r="I152" s="46">
        <f>=IFERROR(ROUND(I23/$B152,0),0)</f>
        <v>0</v>
      </c>
      <c r="J152" s="46">
        <f>=IFERROR(ROUND(J23/$B152,0),0)</f>
        <v>0</v>
      </c>
      <c r="K152" s="46">
        <f>=IFERROR(ROUND(K23/$B152,0),0)</f>
        <v>0</v>
      </c>
      <c r="L152" s="46">
        <f>=IFERROR(ROUND(L23/$B152,0),0)</f>
        <v>0</v>
      </c>
      <c r="M152" s="46">
        <f>=IFERROR(ROUND(M23/$B152,0),0)</f>
        <v>0</v>
      </c>
      <c r="N152" s="46">
        <f>=IFERROR(ROUND(N23/$B152,0),0)</f>
        <v>0</v>
      </c>
      <c r="O152" s="46">
        <f>=IFERROR(ROUND(O23/$B152,0),0)</f>
        <v>0</v>
      </c>
      <c r="P152" s="46">
        <f>=IFERROR(ROUND(P23/$B152,0),0)</f>
        <v>0</v>
      </c>
      <c r="Q152" s="46">
        <f>=IFERROR(ROUND(Q23/$B152,0),0)</f>
        <v>0</v>
      </c>
      <c r="R152" s="46">
        <f>=IFERROR(ROUND(R23/$B152,0),0)</f>
        <v>0</v>
      </c>
      <c r="S152" s="46">
        <f>=IFERROR(ROUND(S23/$B152,0),0)</f>
        <v>0</v>
      </c>
      <c r="T152" s="46">
        <f>=IFERROR(ROUND(T23/$B152,0),0)</f>
        <v>0</v>
      </c>
      <c r="U152" s="46">
        <f>=IFERROR(ROUND(U23/$B152,0),0)</f>
        <v>0</v>
      </c>
      <c r="V152" s="46">
        <f>=IFERROR(ROUND(V23/$B152,0),0)</f>
        <v>0</v>
      </c>
      <c r="W152" s="46">
        <f>=IFERROR(ROUND(W23/$B152,0),0)</f>
        <v>0</v>
      </c>
      <c r="X152" s="46">
        <f>=IFERROR(ROUND(X23/$B152,0),0)</f>
        <v>0</v>
      </c>
      <c r="Y152" s="46">
        <f>=IFERROR(ROUND(Y23/$B152,0),0)</f>
        <v>0</v>
      </c>
      <c r="Z152" s="46">
        <f>=IFERROR(ROUND(Z23/$B152,0),0)</f>
        <v>0</v>
      </c>
      <c r="AA152" s="46">
        <f>=IFERROR(ROUND(AA23/$B152,0),0)</f>
        <v>0</v>
      </c>
      <c r="AB152" s="46">
        <f>=IFERROR(ROUND(AB23/$B152,0),0)</f>
        <v>0</v>
      </c>
      <c r="AC152" s="46">
        <f>=IFERROR(ROUND(AC23/$B152,0),0)</f>
        <v>0</v>
      </c>
      <c r="AD152" s="46">
        <f>=IFERROR(ROUND(AD23/$B152,0),0)</f>
        <v>0</v>
      </c>
      <c r="AE152" s="46">
        <f>=IFERROR(ROUND(AE23/$B152,0),0)</f>
        <v>0</v>
      </c>
      <c r="AF152" s="46">
        <f>=IFERROR(ROUND(AF23/$B152,0),0)</f>
        <v>0</v>
      </c>
      <c r="AG152" s="46">
        <f>=IFERROR(ROUND(AG23/$B152,0),0)</f>
        <v>0</v>
      </c>
      <c r="AH152" s="46">
        <f>=IFERROR(ROUND(AH23/$B152,0),0)</f>
        <v>0</v>
      </c>
      <c r="AI152" s="46">
        <f>=IFERROR(ROUND(AI23/$B152,0),0)</f>
        <v>0</v>
      </c>
      <c r="AJ152" s="46">
        <f>=IFERROR(ROUND(AJ23/$B152,0),0)</f>
        <v>0</v>
      </c>
      <c r="AK152" s="46">
        <f>=IFERROR(ROUND(AK23/$B152,0),0)</f>
        <v>0</v>
      </c>
      <c r="AL152" s="46">
        <f>=IFERROR(ROUND(AL23/$B152,0),0)</f>
        <v>0</v>
      </c>
      <c r="AM152" s="46">
        <f>=IFERROR(ROUND(AM23/$B152,0),0)</f>
        <v>0</v>
      </c>
      <c r="AN152" s="46">
        <f>=IFERROR(ROUND(AN23/$B152,0),0)</f>
        <v>0</v>
      </c>
      <c r="AO152" s="46">
        <f>=IFERROR(ROUND(AO23/$B152,0),0)</f>
        <v>0</v>
      </c>
      <c r="AP152" s="46">
        <f>=IFERROR(ROUND(AP23/$B152,0),0)</f>
        <v>0</v>
      </c>
      <c r="AQ152" s="46">
        <f>=IFERROR(ROUND(AQ23/$B152,0),0)</f>
        <v>0</v>
      </c>
      <c r="AR152" s="46">
        <f>=IFERROR(ROUND(AR23/$B152,0),0)</f>
        <v>0</v>
      </c>
      <c r="AS152" s="46">
        <f>=IFERROR(ROUND(AS23/$B152,0),0)</f>
        <v>0</v>
      </c>
      <c r="AT152" s="46">
        <f>=IFERROR(ROUND(AT23/$B152,0),0)</f>
        <v>0</v>
      </c>
      <c r="AU152" s="46">
        <f>=IFERROR(ROUND(AU23/$B152,0),0)</f>
        <v>0</v>
      </c>
      <c r="AV152" s="46">
        <f>=IFERROR(ROUND(AV23/$B152,0),0)</f>
        <v>0</v>
      </c>
      <c r="AW152" s="46">
        <f>=IFERROR(ROUND(AW23/$B152,0),0)</f>
        <v>0</v>
      </c>
      <c r="AX152" s="46">
        <f>=IFERROR(ROUND(AX23/$B152,0),0)</f>
        <v>0</v>
      </c>
      <c r="AY152" s="46">
        <f>=IFERROR(ROUND(AY23/$B152,0),0)</f>
        <v>1</v>
      </c>
      <c r="AZ152" s="46">
        <f>=IFERROR(ROUND(AZ23/$B152,0),0)</f>
        <v>1</v>
      </c>
      <c r="BA152" s="46">
        <f>=IFERROR(ROUND(BA23/$B152,0),0)</f>
        <v>0</v>
      </c>
      <c r="BB152" s="46">
        <f>=IFERROR(ROUND(BB23/$B152,0),0)</f>
        <v>0</v>
      </c>
      <c r="BC152" s="46">
        <f>=IFERROR(ROUND(BC23/$B152,0),0)</f>
        <v>0</v>
      </c>
      <c r="BD152" s="46">
        <f>=IFERROR(ROUND(BD23/$B152,0),0)</f>
        <v>0</v>
      </c>
      <c r="BE152" s="46">
        <f>=IFERROR(ROUND(BE23/$B152,0),0)</f>
        <v>0</v>
      </c>
      <c r="BF152" s="46">
        <f>=IFERROR(ROUND(BF23/$B152,0),0)</f>
        <v>0</v>
      </c>
      <c r="BG152" s="46">
        <f>=IFERROR(ROUND(BG23/$B152,0),0)</f>
        <v>0</v>
      </c>
      <c r="BH152" s="46">
        <f>=IFERROR(ROUND(BH23/$B152,0),0)</f>
        <v>0</v>
      </c>
      <c r="BI152" s="46">
        <f>=IFERROR(ROUND(BI23/$B152,0),0)</f>
        <v>0</v>
      </c>
      <c r="BJ152" s="46">
        <f>=IFERROR(ROUND(BJ23/$B152,0),0)</f>
        <v>0</v>
      </c>
      <c r="BK152" s="46">
        <f>=IFERROR(ROUND(BK23/$B152,0),0)</f>
        <v>0</v>
      </c>
      <c r="BL152" s="46">
        <f>=IFERROR(ROUND(BL23/$B152,0),0)</f>
        <v>0</v>
      </c>
      <c r="BM152" s="46">
        <f>=IFERROR(ROUND(BM23/$B152,0),0)</f>
        <v>0</v>
      </c>
      <c r="BN152" s="46">
        <f>=IFERROR(ROUND(BN23/$B152,0),0)</f>
        <v>0</v>
      </c>
      <c r="BO152" s="46">
        <f>=IFERROR(ROUND(BO23/$B152,0),0)</f>
        <v>0</v>
      </c>
      <c r="BP152" s="46">
        <f>=IFERROR(ROUND(BP23/$B152,0),0)</f>
        <v>0</v>
      </c>
      <c r="BQ152" s="46">
        <f>=IFERROR(ROUND(BQ23/$B152,0),0)</f>
        <v>0</v>
      </c>
      <c r="BR152" s="46">
        <f>=IFERROR(ROUND(BR23/$B152,0),0)</f>
        <v>0</v>
      </c>
      <c r="BS152" s="46">
        <f>=IFERROR(ROUND(BS23/$B152,0),0)</f>
        <v>0</v>
      </c>
      <c r="BT152" s="46">
        <f>=IFERROR(ROUND(BT23/$B152,0),0)</f>
        <v>0</v>
      </c>
      <c r="BU152" s="46">
        <f>=IFERROR(ROUND(BU23/$B152,0),0)</f>
        <v>0</v>
      </c>
      <c r="BV152" s="46">
        <f>=IFERROR(ROUND(BV23/$B152,0),0)</f>
        <v>0</v>
      </c>
      <c r="BW152" s="46">
        <f>=IFERROR(ROUND(BW23/$B152,0),0)</f>
        <v>0</v>
      </c>
      <c r="BX152" s="46">
        <f>=IFERROR(ROUND(BX23/$B152,0),0)</f>
        <v>0</v>
      </c>
      <c r="BY152" s="46">
        <f>=IFERROR(ROUND(BY23/$B152,0),0)</f>
        <v>0</v>
      </c>
      <c r="BZ152" s="46">
        <f>=IFERROR(ROUND(BZ23/$B152,0),0)</f>
        <v>0</v>
      </c>
      <c r="CA152" s="46">
        <f>=IFERROR(ROUND(CA23/$B152,0),0)</f>
        <v>0</v>
      </c>
      <c r="CB152" s="46">
        <f>=IFERROR(ROUND(CB23/$B152,0),0)</f>
        <v>0</v>
      </c>
      <c r="CC152" s="46">
        <f>=IFERROR(ROUND(CC23/$B152,0),0)</f>
        <v>0</v>
      </c>
      <c r="CD152" s="46">
        <f>=IFERROR(ROUND(CD23/$B152,0),0)</f>
        <v>0</v>
      </c>
      <c r="CE152" s="46">
        <f>=IFERROR(ROUND(CE23/$B152,0),0)</f>
        <v>0</v>
      </c>
      <c r="CF152" s="46">
        <f>=IFERROR(ROUND(CF23/$B152,0),0)</f>
        <v>0</v>
      </c>
      <c r="CG152" s="46">
        <f>=IFERROR(ROUND(CG23/$B152,0),0)</f>
        <v>0</v>
      </c>
      <c r="CH152" s="46">
        <f>=IFERROR(ROUND(CH23/$B152,0),0)</f>
        <v>0</v>
      </c>
      <c r="CI152" s="46">
        <f>=IFERROR(ROUND(CI23/$B152,0),0)</f>
        <v>0</v>
      </c>
      <c r="CJ152" s="46">
        <f>=IFERROR(ROUND(CJ23/$B152,0),0)</f>
        <v>0</v>
      </c>
      <c r="CK152" s="46">
        <f>=IFERROR(ROUND(CK23/$B152,0),0)</f>
        <v>0</v>
      </c>
      <c r="CL152" s="46">
        <f>=IFERROR(ROUND(CL23/$B152,0),0)</f>
        <v>0</v>
      </c>
      <c r="CM152" s="46">
        <f>=IFERROR(ROUND(CM23/$B152,0),0)</f>
        <v>0</v>
      </c>
      <c r="CN152" s="46">
        <f>=IFERROR(ROUND(CN23/$B152,0),0)</f>
        <v>0</v>
      </c>
      <c r="CO152" s="46">
        <f>=IFERROR(ROUND(CO23/$B152,0),0)</f>
        <v>0</v>
      </c>
      <c r="CP152" s="46">
        <f>=IFERROR(ROUND(CP23/$B152,0),0)</f>
        <v>0</v>
      </c>
      <c r="CQ152" s="46">
        <f>=IFERROR(ROUND(CQ23/$B152,0),0)</f>
        <v>0</v>
      </c>
      <c r="CR152" s="46">
        <f>=IFERROR(ROUND(CR23/$B152,0),0)</f>
        <v>0</v>
      </c>
      <c r="CS152" s="46">
        <f>=IFERROR(ROUND(CS23/$B152,0),0)</f>
        <v>0</v>
      </c>
      <c r="CT152" s="46">
        <f>=IFERROR(ROUND(CT23/$B152,0),0)</f>
        <v>0</v>
      </c>
      <c r="CU152" s="46">
        <f>=IFERROR(ROUND(CU23/$B152,0),0)</f>
        <v>0</v>
      </c>
      <c r="CV152" s="46">
        <f>=IFERROR(ROUND(CV23/$B152,0),0)</f>
        <v>0</v>
      </c>
      <c r="CW152" s="46">
        <f>=IFERROR(ROUND(CW23/$B152,0),0)</f>
        <v>0</v>
      </c>
      <c r="CX152" s="46">
        <f>=IFERROR(ROUND(CX23/$B152,0),0)</f>
        <v>0</v>
      </c>
      <c r="CY152" s="46">
        <f>=IFERROR(ROUND(CY23/$B152,0),0)</f>
        <v>0</v>
      </c>
      <c r="CZ152" s="46">
        <f>=IFERROR(ROUND(CZ23/$B152,0),0)</f>
        <v>0</v>
      </c>
      <c r="DA152" s="46">
        <f>=IFERROR(ROUND(DA23/$B152,0),0)</f>
        <v>0</v>
      </c>
      <c r="DB152" s="46">
        <f>=IFERROR(ROUND(DB23/$B152,0),0)</f>
        <v>0</v>
      </c>
    </row>
    <row r="153" spans="1:106" x14ac:dyDescent="0.25">
      <c r="A153" s="17" t="s">
        <v>363</v>
      </c>
      <c r="B153" s="17">
        <v>15</v>
      </c>
      <c r="C153" s="46">
        <f>=IFERROR(ROUND(C24/$B153,0),0)</f>
        <v>0</v>
      </c>
      <c r="D153" s="46">
        <f>=IFERROR(ROUND(D24/$B153,0),0)</f>
        <v>0</v>
      </c>
      <c r="E153" s="46">
        <f>=IFERROR(ROUND(E24/$B153,0),0)</f>
        <v>0</v>
      </c>
      <c r="F153" s="46">
        <f>=IFERROR(ROUND(F24/$B153,0),0)</f>
        <v>0</v>
      </c>
      <c r="G153" s="46">
        <f>=IFERROR(ROUND(G24/$B153,0),0)</f>
        <v>0</v>
      </c>
      <c r="H153" s="46">
        <f>=IFERROR(ROUND(H24/$B153,0),0)</f>
        <v>0</v>
      </c>
      <c r="I153" s="46">
        <f>=IFERROR(ROUND(I24/$B153,0),0)</f>
        <v>0</v>
      </c>
      <c r="J153" s="46">
        <f>=IFERROR(ROUND(J24/$B153,0),0)</f>
        <v>0</v>
      </c>
      <c r="K153" s="46">
        <f>=IFERROR(ROUND(K24/$B153,0),0)</f>
        <v>0</v>
      </c>
      <c r="L153" s="46">
        <f>=IFERROR(ROUND(L24/$B153,0),0)</f>
        <v>0</v>
      </c>
      <c r="M153" s="46">
        <f>=IFERROR(ROUND(M24/$B153,0),0)</f>
        <v>0</v>
      </c>
      <c r="N153" s="46">
        <f>=IFERROR(ROUND(N24/$B153,0),0)</f>
        <v>0</v>
      </c>
      <c r="O153" s="46">
        <f>=IFERROR(ROUND(O24/$B153,0),0)</f>
        <v>0</v>
      </c>
      <c r="P153" s="46">
        <f>=IFERROR(ROUND(P24/$B153,0),0)</f>
        <v>0</v>
      </c>
      <c r="Q153" s="46">
        <f>=IFERROR(ROUND(Q24/$B153,0),0)</f>
        <v>0</v>
      </c>
      <c r="R153" s="46">
        <f>=IFERROR(ROUND(R24/$B153,0),0)</f>
        <v>0</v>
      </c>
      <c r="S153" s="46">
        <f>=IFERROR(ROUND(S24/$B153,0),0)</f>
        <v>0</v>
      </c>
      <c r="T153" s="46">
        <f>=IFERROR(ROUND(T24/$B153,0),0)</f>
        <v>0</v>
      </c>
      <c r="U153" s="46">
        <f>=IFERROR(ROUND(U24/$B153,0),0)</f>
        <v>0</v>
      </c>
      <c r="V153" s="46">
        <f>=IFERROR(ROUND(V24/$B153,0),0)</f>
        <v>0</v>
      </c>
      <c r="W153" s="46">
        <f>=IFERROR(ROUND(W24/$B153,0),0)</f>
        <v>0</v>
      </c>
      <c r="X153" s="46">
        <f>=IFERROR(ROUND(X24/$B153,0),0)</f>
        <v>0</v>
      </c>
      <c r="Y153" s="46">
        <f>=IFERROR(ROUND(Y24/$B153,0),0)</f>
        <v>0</v>
      </c>
      <c r="Z153" s="46">
        <f>=IFERROR(ROUND(Z24/$B153,0),0)</f>
        <v>0</v>
      </c>
      <c r="AA153" s="46">
        <f>=IFERROR(ROUND(AA24/$B153,0),0)</f>
        <v>0</v>
      </c>
      <c r="AB153" s="46">
        <f>=IFERROR(ROUND(AB24/$B153,0),0)</f>
        <v>0</v>
      </c>
      <c r="AC153" s="46">
        <f>=IFERROR(ROUND(AC24/$B153,0),0)</f>
        <v>0</v>
      </c>
      <c r="AD153" s="46">
        <f>=IFERROR(ROUND(AD24/$B153,0),0)</f>
        <v>0</v>
      </c>
      <c r="AE153" s="46">
        <f>=IFERROR(ROUND(AE24/$B153,0),0)</f>
        <v>0</v>
      </c>
      <c r="AF153" s="46">
        <f>=IFERROR(ROUND(AF24/$B153,0),0)</f>
        <v>0</v>
      </c>
      <c r="AG153" s="46">
        <f>=IFERROR(ROUND(AG24/$B153,0),0)</f>
        <v>0</v>
      </c>
      <c r="AH153" s="46">
        <f>=IFERROR(ROUND(AH24/$B153,0),0)</f>
        <v>0</v>
      </c>
      <c r="AI153" s="46">
        <f>=IFERROR(ROUND(AI24/$B153,0),0)</f>
        <v>0</v>
      </c>
      <c r="AJ153" s="46">
        <f>=IFERROR(ROUND(AJ24/$B153,0),0)</f>
        <v>0</v>
      </c>
      <c r="AK153" s="46">
        <f>=IFERROR(ROUND(AK24/$B153,0),0)</f>
        <v>0</v>
      </c>
      <c r="AL153" s="46">
        <f>=IFERROR(ROUND(AL24/$B153,0),0)</f>
        <v>0</v>
      </c>
      <c r="AM153" s="46">
        <f>=IFERROR(ROUND(AM24/$B153,0),0)</f>
        <v>0</v>
      </c>
      <c r="AN153" s="46">
        <f>=IFERROR(ROUND(AN24/$B153,0),0)</f>
        <v>0</v>
      </c>
      <c r="AO153" s="46">
        <f>=IFERROR(ROUND(AO24/$B153,0),0)</f>
        <v>0</v>
      </c>
      <c r="AP153" s="46">
        <f>=IFERROR(ROUND(AP24/$B153,0),0)</f>
        <v>0</v>
      </c>
      <c r="AQ153" s="46">
        <f>=IFERROR(ROUND(AQ24/$B153,0),0)</f>
        <v>0</v>
      </c>
      <c r="AR153" s="46">
        <f>=IFERROR(ROUND(AR24/$B153,0),0)</f>
        <v>0</v>
      </c>
      <c r="AS153" s="46">
        <f>=IFERROR(ROUND(AS24/$B153,0),0)</f>
        <v>0</v>
      </c>
      <c r="AT153" s="46">
        <f>=IFERROR(ROUND(AT24/$B153,0),0)</f>
        <v>0</v>
      </c>
      <c r="AU153" s="46">
        <f>=IFERROR(ROUND(AU24/$B153,0),0)</f>
        <v>0</v>
      </c>
      <c r="AV153" s="46">
        <f>=IFERROR(ROUND(AV24/$B153,0),0)</f>
        <v>0</v>
      </c>
      <c r="AW153" s="46">
        <f>=IFERROR(ROUND(AW24/$B153,0),0)</f>
        <v>0</v>
      </c>
      <c r="AX153" s="46">
        <f>=IFERROR(ROUND(AX24/$B153,0),0)</f>
        <v>0</v>
      </c>
      <c r="AY153" s="46">
        <f>=IFERROR(ROUND(AY24/$B153,0),0)</f>
        <v>0</v>
      </c>
      <c r="AZ153" s="46">
        <f>=IFERROR(ROUND(AZ24/$B153,0),0)</f>
        <v>0</v>
      </c>
      <c r="BA153" s="46">
        <f>=IFERROR(ROUND(BA24/$B153,0),0)</f>
        <v>0</v>
      </c>
      <c r="BB153" s="46">
        <f>=IFERROR(ROUND(BB24/$B153,0),0)</f>
        <v>0</v>
      </c>
      <c r="BC153" s="46">
        <f>=IFERROR(ROUND(BC24/$B153,0),0)</f>
        <v>0</v>
      </c>
      <c r="BD153" s="46">
        <f>=IFERROR(ROUND(BD24/$B153,0),0)</f>
        <v>0</v>
      </c>
      <c r="BE153" s="46">
        <f>=IFERROR(ROUND(BE24/$B153,0),0)</f>
        <v>0</v>
      </c>
      <c r="BF153" s="46">
        <f>=IFERROR(ROUND(BF24/$B153,0),0)</f>
        <v>0</v>
      </c>
      <c r="BG153" s="46">
        <f>=IFERROR(ROUND(BG24/$B153,0),0)</f>
        <v>0</v>
      </c>
      <c r="BH153" s="46">
        <f>=IFERROR(ROUND(BH24/$B153,0),0)</f>
        <v>0</v>
      </c>
      <c r="BI153" s="46">
        <f>=IFERROR(ROUND(BI24/$B153,0),0)</f>
        <v>0</v>
      </c>
      <c r="BJ153" s="46">
        <f>=IFERROR(ROUND(BJ24/$B153,0),0)</f>
        <v>0</v>
      </c>
      <c r="BK153" s="46">
        <f>=IFERROR(ROUND(BK24/$B153,0),0)</f>
        <v>0</v>
      </c>
      <c r="BL153" s="46">
        <f>=IFERROR(ROUND(BL24/$B153,0),0)</f>
        <v>0</v>
      </c>
      <c r="BM153" s="46">
        <f>=IFERROR(ROUND(BM24/$B153,0),0)</f>
        <v>0</v>
      </c>
      <c r="BN153" s="46">
        <f>=IFERROR(ROUND(BN24/$B153,0),0)</f>
        <v>0</v>
      </c>
      <c r="BO153" s="46">
        <f>=IFERROR(ROUND(BO24/$B153,0),0)</f>
        <v>0</v>
      </c>
      <c r="BP153" s="46">
        <f>=IFERROR(ROUND(BP24/$B153,0),0)</f>
        <v>0</v>
      </c>
      <c r="BQ153" s="46">
        <f>=IFERROR(ROUND(BQ24/$B153,0),0)</f>
        <v>0</v>
      </c>
      <c r="BR153" s="46">
        <f>=IFERROR(ROUND(BR24/$B153,0),0)</f>
        <v>0</v>
      </c>
      <c r="BS153" s="46">
        <f>=IFERROR(ROUND(BS24/$B153,0),0)</f>
        <v>0</v>
      </c>
      <c r="BT153" s="46">
        <f>=IFERROR(ROUND(BT24/$B153,0),0)</f>
        <v>0</v>
      </c>
      <c r="BU153" s="46">
        <f>=IFERROR(ROUND(BU24/$B153,0),0)</f>
        <v>0</v>
      </c>
      <c r="BV153" s="46">
        <f>=IFERROR(ROUND(BV24/$B153,0),0)</f>
        <v>0</v>
      </c>
      <c r="BW153" s="46">
        <f>=IFERROR(ROUND(BW24/$B153,0),0)</f>
        <v>0</v>
      </c>
      <c r="BX153" s="46">
        <f>=IFERROR(ROUND(BX24/$B153,0),0)</f>
        <v>0</v>
      </c>
      <c r="BY153" s="46">
        <f>=IFERROR(ROUND(BY24/$B153,0),0)</f>
        <v>0</v>
      </c>
      <c r="BZ153" s="46">
        <f>=IFERROR(ROUND(BZ24/$B153,0),0)</f>
        <v>0</v>
      </c>
      <c r="CA153" s="46">
        <f>=IFERROR(ROUND(CA24/$B153,0),0)</f>
        <v>0</v>
      </c>
      <c r="CB153" s="46">
        <f>=IFERROR(ROUND(CB24/$B153,0),0)</f>
        <v>0</v>
      </c>
      <c r="CC153" s="46">
        <f>=IFERROR(ROUND(CC24/$B153,0),0)</f>
        <v>0</v>
      </c>
      <c r="CD153" s="46">
        <f>=IFERROR(ROUND(CD24/$B153,0),0)</f>
        <v>0</v>
      </c>
      <c r="CE153" s="46">
        <f>=IFERROR(ROUND(CE24/$B153,0),0)</f>
        <v>0</v>
      </c>
      <c r="CF153" s="46">
        <f>=IFERROR(ROUND(CF24/$B153,0),0)</f>
        <v>0</v>
      </c>
      <c r="CG153" s="46">
        <f>=IFERROR(ROUND(CG24/$B153,0),0)</f>
        <v>0</v>
      </c>
      <c r="CH153" s="46">
        <f>=IFERROR(ROUND(CH24/$B153,0),0)</f>
        <v>0</v>
      </c>
      <c r="CI153" s="46">
        <f>=IFERROR(ROUND(CI24/$B153,0),0)</f>
        <v>0</v>
      </c>
      <c r="CJ153" s="46">
        <f>=IFERROR(ROUND(CJ24/$B153,0),0)</f>
        <v>0</v>
      </c>
      <c r="CK153" s="46">
        <f>=IFERROR(ROUND(CK24/$B153,0),0)</f>
        <v>0</v>
      </c>
      <c r="CL153" s="46">
        <f>=IFERROR(ROUND(CL24/$B153,0),0)</f>
        <v>0</v>
      </c>
      <c r="CM153" s="46">
        <f>=IFERROR(ROUND(CM24/$B153,0),0)</f>
        <v>0</v>
      </c>
      <c r="CN153" s="46">
        <f>=IFERROR(ROUND(CN24/$B153,0),0)</f>
        <v>0</v>
      </c>
      <c r="CO153" s="46">
        <f>=IFERROR(ROUND(CO24/$B153,0),0)</f>
        <v>0</v>
      </c>
      <c r="CP153" s="46">
        <f>=IFERROR(ROUND(CP24/$B153,0),0)</f>
        <v>0</v>
      </c>
      <c r="CQ153" s="46">
        <f>=IFERROR(ROUND(CQ24/$B153,0),0)</f>
        <v>0</v>
      </c>
      <c r="CR153" s="46">
        <f>=IFERROR(ROUND(CR24/$B153,0),0)</f>
        <v>0</v>
      </c>
      <c r="CS153" s="46">
        <f>=IFERROR(ROUND(CS24/$B153,0),0)</f>
        <v>0</v>
      </c>
      <c r="CT153" s="46">
        <f>=IFERROR(ROUND(CT24/$B153,0),0)</f>
        <v>0</v>
      </c>
      <c r="CU153" s="46">
        <f>=IFERROR(ROUND(CU24/$B153,0),0)</f>
        <v>0</v>
      </c>
      <c r="CV153" s="46">
        <f>=IFERROR(ROUND(CV24/$B153,0),0)</f>
        <v>0</v>
      </c>
      <c r="CW153" s="46">
        <f>=IFERROR(ROUND(CW24/$B153,0),0)</f>
        <v>0</v>
      </c>
      <c r="CX153" s="46">
        <f>=IFERROR(ROUND(CX24/$B153,0),0)</f>
        <v>0</v>
      </c>
      <c r="CY153" s="46">
        <f>=IFERROR(ROUND(CY24/$B153,0),0)</f>
        <v>0</v>
      </c>
      <c r="CZ153" s="46">
        <f>=IFERROR(ROUND(CZ24/$B153,0),0)</f>
        <v>0</v>
      </c>
      <c r="DA153" s="46">
        <f>=IFERROR(ROUND(DA24/$B153,0),0)</f>
        <v>0</v>
      </c>
      <c r="DB153" s="46">
        <f>=IFERROR(ROUND(DB24/$B153,0),0)</f>
        <v>0</v>
      </c>
    </row>
    <row r="154" spans="1:106" x14ac:dyDescent="0.25">
      <c r="A154" s="17" t="s">
        <v>364</v>
      </c>
      <c r="B154" s="17">
        <v>30</v>
      </c>
      <c r="C154" s="46">
        <f>=IFERROR(ROUND(C23/$B154,0),0)</f>
        <v>0</v>
      </c>
      <c r="D154" s="46">
        <f>=IFERROR(ROUND(D23/$B154,0),0)</f>
        <v>0</v>
      </c>
      <c r="E154" s="46">
        <f>=IFERROR(ROUND(E23/$B154,0),0)</f>
        <v>0</v>
      </c>
      <c r="F154" s="46">
        <f>=IFERROR(ROUND(F23/$B154,0),0)</f>
        <v>0</v>
      </c>
      <c r="G154" s="46">
        <f>=IFERROR(ROUND(G23/$B154,0),0)</f>
        <v>0</v>
      </c>
      <c r="H154" s="46">
        <f>=IFERROR(ROUND(H23/$B154,0),0)</f>
        <v>0</v>
      </c>
      <c r="I154" s="46">
        <f>=IFERROR(ROUND(I23/$B154,0),0)</f>
        <v>0</v>
      </c>
      <c r="J154" s="46">
        <f>=IFERROR(ROUND(J23/$B154,0),0)</f>
        <v>0</v>
      </c>
      <c r="K154" s="46">
        <f>=IFERROR(ROUND(K23/$B154,0),0)</f>
        <v>0</v>
      </c>
      <c r="L154" s="46">
        <f>=IFERROR(ROUND(L23/$B154,0),0)</f>
        <v>0</v>
      </c>
      <c r="M154" s="46">
        <f>=IFERROR(ROUND(M23/$B154,0),0)</f>
        <v>0</v>
      </c>
      <c r="N154" s="46">
        <f>=IFERROR(ROUND(N23/$B154,0),0)</f>
        <v>0</v>
      </c>
      <c r="O154" s="46">
        <f>=IFERROR(ROUND(O23/$B154,0),0)</f>
        <v>0</v>
      </c>
      <c r="P154" s="46">
        <f>=IFERROR(ROUND(P23/$B154,0),0)</f>
        <v>0</v>
      </c>
      <c r="Q154" s="46">
        <f>=IFERROR(ROUND(Q23/$B154,0),0)</f>
        <v>0</v>
      </c>
      <c r="R154" s="46">
        <f>=IFERROR(ROUND(R23/$B154,0),0)</f>
        <v>0</v>
      </c>
      <c r="S154" s="46">
        <f>=IFERROR(ROUND(S23/$B154,0),0)</f>
        <v>0</v>
      </c>
      <c r="T154" s="46">
        <f>=IFERROR(ROUND(T23/$B154,0),0)</f>
        <v>0</v>
      </c>
      <c r="U154" s="46">
        <f>=IFERROR(ROUND(U23/$B154,0),0)</f>
        <v>0</v>
      </c>
      <c r="V154" s="46">
        <f>=IFERROR(ROUND(V23/$B154,0),0)</f>
        <v>0</v>
      </c>
      <c r="W154" s="46">
        <f>=IFERROR(ROUND(W23/$B154,0),0)</f>
        <v>0</v>
      </c>
      <c r="X154" s="46">
        <f>=IFERROR(ROUND(X23/$B154,0),0)</f>
        <v>0</v>
      </c>
      <c r="Y154" s="46">
        <f>=IFERROR(ROUND(Y23/$B154,0),0)</f>
        <v>0</v>
      </c>
      <c r="Z154" s="46">
        <f>=IFERROR(ROUND(Z23/$B154,0),0)</f>
        <v>0</v>
      </c>
      <c r="AA154" s="46">
        <f>=IFERROR(ROUND(AA23/$B154,0),0)</f>
        <v>0</v>
      </c>
      <c r="AB154" s="46">
        <f>=IFERROR(ROUND(AB23/$B154,0),0)</f>
        <v>0</v>
      </c>
      <c r="AC154" s="46">
        <f>=IFERROR(ROUND(AC23/$B154,0),0)</f>
        <v>0</v>
      </c>
      <c r="AD154" s="46">
        <f>=IFERROR(ROUND(AD23/$B154,0),0)</f>
        <v>0</v>
      </c>
      <c r="AE154" s="46">
        <f>=IFERROR(ROUND(AE23/$B154,0),0)</f>
        <v>0</v>
      </c>
      <c r="AF154" s="46">
        <f>=IFERROR(ROUND(AF23/$B154,0),0)</f>
        <v>0</v>
      </c>
      <c r="AG154" s="46">
        <f>=IFERROR(ROUND(AG23/$B154,0),0)</f>
        <v>0</v>
      </c>
      <c r="AH154" s="46">
        <f>=IFERROR(ROUND(AH23/$B154,0),0)</f>
        <v>0</v>
      </c>
      <c r="AI154" s="46">
        <f>=IFERROR(ROUND(AI23/$B154,0),0)</f>
        <v>0</v>
      </c>
      <c r="AJ154" s="46">
        <f>=IFERROR(ROUND(AJ23/$B154,0),0)</f>
        <v>0</v>
      </c>
      <c r="AK154" s="46">
        <f>=IFERROR(ROUND(AK23/$B154,0),0)</f>
        <v>0</v>
      </c>
      <c r="AL154" s="46">
        <f>=IFERROR(ROUND(AL23/$B154,0),0)</f>
        <v>0</v>
      </c>
      <c r="AM154" s="46">
        <f>=IFERROR(ROUND(AM23/$B154,0),0)</f>
        <v>0</v>
      </c>
      <c r="AN154" s="46">
        <f>=IFERROR(ROUND(AN23/$B154,0),0)</f>
        <v>0</v>
      </c>
      <c r="AO154" s="46">
        <f>=IFERROR(ROUND(AO23/$B154,0),0)</f>
        <v>0</v>
      </c>
      <c r="AP154" s="46">
        <f>=IFERROR(ROUND(AP23/$B154,0),0)</f>
        <v>0</v>
      </c>
      <c r="AQ154" s="46">
        <f>=IFERROR(ROUND(AQ23/$B154,0),0)</f>
        <v>0</v>
      </c>
      <c r="AR154" s="46">
        <f>=IFERROR(ROUND(AR23/$B154,0),0)</f>
        <v>0</v>
      </c>
      <c r="AS154" s="46">
        <f>=IFERROR(ROUND(AS23/$B154,0),0)</f>
        <v>0</v>
      </c>
      <c r="AT154" s="46">
        <f>=IFERROR(ROUND(AT23/$B154,0),0)</f>
        <v>0</v>
      </c>
      <c r="AU154" s="46">
        <f>=IFERROR(ROUND(AU23/$B154,0),0)</f>
        <v>0</v>
      </c>
      <c r="AV154" s="46">
        <f>=IFERROR(ROUND(AV23/$B154,0),0)</f>
        <v>0</v>
      </c>
      <c r="AW154" s="46">
        <f>=IFERROR(ROUND(AW23/$B154,0),0)</f>
        <v>0</v>
      </c>
      <c r="AX154" s="46">
        <f>=IFERROR(ROUND(AX23/$B154,0),0)</f>
        <v>0</v>
      </c>
      <c r="AY154" s="46">
        <f>=IFERROR(ROUND(AY23/$B154,0),0)</f>
        <v>0</v>
      </c>
      <c r="AZ154" s="46">
        <f>=IFERROR(ROUND(AZ23/$B154,0),0)</f>
        <v>0</v>
      </c>
      <c r="BA154" s="46">
        <f>=IFERROR(ROUND(BA23/$B154,0),0)</f>
        <v>0</v>
      </c>
      <c r="BB154" s="46">
        <f>=IFERROR(ROUND(BB23/$B154,0),0)</f>
        <v>0</v>
      </c>
      <c r="BC154" s="46">
        <f>=IFERROR(ROUND(BC23/$B154,0),0)</f>
        <v>0</v>
      </c>
      <c r="BD154" s="46">
        <f>=IFERROR(ROUND(BD23/$B154,0),0)</f>
        <v>0</v>
      </c>
      <c r="BE154" s="46">
        <f>=IFERROR(ROUND(BE23/$B154,0),0)</f>
        <v>0</v>
      </c>
      <c r="BF154" s="46">
        <f>=IFERROR(ROUND(BF23/$B154,0),0)</f>
        <v>0</v>
      </c>
      <c r="BG154" s="46">
        <f>=IFERROR(ROUND(BG23/$B154,0),0)</f>
        <v>0</v>
      </c>
      <c r="BH154" s="46">
        <f>=IFERROR(ROUND(BH23/$B154,0),0)</f>
        <v>0</v>
      </c>
      <c r="BI154" s="46">
        <f>=IFERROR(ROUND(BI23/$B154,0),0)</f>
        <v>0</v>
      </c>
      <c r="BJ154" s="46">
        <f>=IFERROR(ROUND(BJ23/$B154,0),0)</f>
        <v>0</v>
      </c>
      <c r="BK154" s="46">
        <f>=IFERROR(ROUND(BK23/$B154,0),0)</f>
        <v>0</v>
      </c>
      <c r="BL154" s="46">
        <f>=IFERROR(ROUND(BL23/$B154,0),0)</f>
        <v>0</v>
      </c>
      <c r="BM154" s="46">
        <f>=IFERROR(ROUND(BM23/$B154,0),0)</f>
        <v>0</v>
      </c>
      <c r="BN154" s="46">
        <f>=IFERROR(ROUND(BN23/$B154,0),0)</f>
        <v>0</v>
      </c>
      <c r="BO154" s="46">
        <f>=IFERROR(ROUND(BO23/$B154,0),0)</f>
        <v>0</v>
      </c>
      <c r="BP154" s="46">
        <f>=IFERROR(ROUND(BP23/$B154,0),0)</f>
        <v>0</v>
      </c>
      <c r="BQ154" s="46">
        <f>=IFERROR(ROUND(BQ23/$B154,0),0)</f>
        <v>0</v>
      </c>
      <c r="BR154" s="46">
        <f>=IFERROR(ROUND(BR23/$B154,0),0)</f>
        <v>0</v>
      </c>
      <c r="BS154" s="46">
        <f>=IFERROR(ROUND(BS23/$B154,0),0)</f>
        <v>0</v>
      </c>
      <c r="BT154" s="46">
        <f>=IFERROR(ROUND(BT23/$B154,0),0)</f>
        <v>0</v>
      </c>
      <c r="BU154" s="46">
        <f>=IFERROR(ROUND(BU23/$B154,0),0)</f>
        <v>0</v>
      </c>
      <c r="BV154" s="46">
        <f>=IFERROR(ROUND(BV23/$B154,0),0)</f>
        <v>0</v>
      </c>
      <c r="BW154" s="46">
        <f>=IFERROR(ROUND(BW23/$B154,0),0)</f>
        <v>0</v>
      </c>
      <c r="BX154" s="46">
        <f>=IFERROR(ROUND(BX23/$B154,0),0)</f>
        <v>0</v>
      </c>
      <c r="BY154" s="46">
        <f>=IFERROR(ROUND(BY23/$B154,0),0)</f>
        <v>0</v>
      </c>
      <c r="BZ154" s="46">
        <f>=IFERROR(ROUND(BZ23/$B154,0),0)</f>
        <v>0</v>
      </c>
      <c r="CA154" s="46">
        <f>=IFERROR(ROUND(CA23/$B154,0),0)</f>
        <v>0</v>
      </c>
      <c r="CB154" s="46">
        <f>=IFERROR(ROUND(CB23/$B154,0),0)</f>
        <v>0</v>
      </c>
      <c r="CC154" s="46">
        <f>=IFERROR(ROUND(CC23/$B154,0),0)</f>
        <v>0</v>
      </c>
      <c r="CD154" s="46">
        <f>=IFERROR(ROUND(CD23/$B154,0),0)</f>
        <v>0</v>
      </c>
      <c r="CE154" s="46">
        <f>=IFERROR(ROUND(CE23/$B154,0),0)</f>
        <v>0</v>
      </c>
      <c r="CF154" s="46">
        <f>=IFERROR(ROUND(CF23/$B154,0),0)</f>
        <v>0</v>
      </c>
      <c r="CG154" s="46">
        <f>=IFERROR(ROUND(CG23/$B154,0),0)</f>
        <v>0</v>
      </c>
      <c r="CH154" s="46">
        <f>=IFERROR(ROUND(CH23/$B154,0),0)</f>
        <v>0</v>
      </c>
      <c r="CI154" s="46">
        <f>=IFERROR(ROUND(CI23/$B154,0),0)</f>
        <v>0</v>
      </c>
      <c r="CJ154" s="46">
        <f>=IFERROR(ROUND(CJ23/$B154,0),0)</f>
        <v>0</v>
      </c>
      <c r="CK154" s="46">
        <f>=IFERROR(ROUND(CK23/$B154,0),0)</f>
        <v>0</v>
      </c>
      <c r="CL154" s="46">
        <f>=IFERROR(ROUND(CL23/$B154,0),0)</f>
        <v>0</v>
      </c>
      <c r="CM154" s="46">
        <f>=IFERROR(ROUND(CM23/$B154,0),0)</f>
        <v>0</v>
      </c>
      <c r="CN154" s="46">
        <f>=IFERROR(ROUND(CN23/$B154,0),0)</f>
        <v>0</v>
      </c>
      <c r="CO154" s="46">
        <f>=IFERROR(ROUND(CO23/$B154,0),0)</f>
        <v>0</v>
      </c>
      <c r="CP154" s="46">
        <f>=IFERROR(ROUND(CP23/$B154,0),0)</f>
        <v>0</v>
      </c>
      <c r="CQ154" s="46">
        <f>=IFERROR(ROUND(CQ23/$B154,0),0)</f>
        <v>0</v>
      </c>
      <c r="CR154" s="46">
        <f>=IFERROR(ROUND(CR23/$B154,0),0)</f>
        <v>0</v>
      </c>
      <c r="CS154" s="46">
        <f>=IFERROR(ROUND(CS23/$B154,0),0)</f>
        <v>0</v>
      </c>
      <c r="CT154" s="46">
        <f>=IFERROR(ROUND(CT23/$B154,0),0)</f>
        <v>0</v>
      </c>
      <c r="CU154" s="46">
        <f>=IFERROR(ROUND(CU23/$B154,0),0)</f>
        <v>0</v>
      </c>
      <c r="CV154" s="46">
        <f>=IFERROR(ROUND(CV23/$B154,0),0)</f>
        <v>0</v>
      </c>
      <c r="CW154" s="46">
        <f>=IFERROR(ROUND(CW23/$B154,0),0)</f>
        <v>0</v>
      </c>
      <c r="CX154" s="46">
        <f>=IFERROR(ROUND(CX23/$B154,0),0)</f>
        <v>0</v>
      </c>
      <c r="CY154" s="46">
        <f>=IFERROR(ROUND(CY23/$B154,0),0)</f>
        <v>0</v>
      </c>
      <c r="CZ154" s="46">
        <f>=IFERROR(ROUND(CZ23/$B154,0),0)</f>
        <v>0</v>
      </c>
      <c r="DA154" s="46">
        <f>=IFERROR(ROUND(DA23/$B154,0),0)</f>
        <v>0</v>
      </c>
      <c r="DB154" s="46">
        <f>=IFERROR(ROUND(DB23/$B154,0),0)</f>
        <v>0</v>
      </c>
    </row>
    <row r="155" spans="1:106" x14ac:dyDescent="0.25">
      <c r="A155" s="17" t="s">
        <v>365</v>
      </c>
      <c r="B155" s="17">
        <v>15</v>
      </c>
      <c r="C155" s="46">
        <f>=IFERROR(ROUND(C22/$B155,0),0)</f>
        <v>0</v>
      </c>
      <c r="D155" s="46">
        <f>=IFERROR(ROUND(D22/$B155,0),0)</f>
        <v>0</v>
      </c>
      <c r="E155" s="46">
        <f>=IFERROR(ROUND(E22/$B155,0),0)</f>
        <v>0</v>
      </c>
      <c r="F155" s="46">
        <f>=IFERROR(ROUND(F22/$B155,0),0)</f>
        <v>0</v>
      </c>
      <c r="G155" s="46">
        <f>=IFERROR(ROUND(G22/$B155,0),0)</f>
        <v>0</v>
      </c>
      <c r="H155" s="46">
        <f>=IFERROR(ROUND(H22/$B155,0),0)</f>
        <v>0</v>
      </c>
      <c r="I155" s="46">
        <f>=IFERROR(ROUND(I22/$B155,0),0)</f>
        <v>0</v>
      </c>
      <c r="J155" s="46">
        <f>=IFERROR(ROUND(J22/$B155,0),0)</f>
        <v>0</v>
      </c>
      <c r="K155" s="46">
        <f>=IFERROR(ROUND(K22/$B155,0),0)</f>
        <v>0</v>
      </c>
      <c r="L155" s="46">
        <f>=IFERROR(ROUND(L22/$B155,0),0)</f>
        <v>0</v>
      </c>
      <c r="M155" s="46">
        <f>=IFERROR(ROUND(M22/$B155,0),0)</f>
        <v>0</v>
      </c>
      <c r="N155" s="46">
        <f>=IFERROR(ROUND(N22/$B155,0),0)</f>
        <v>0</v>
      </c>
      <c r="O155" s="46">
        <f>=IFERROR(ROUND(O22/$B155,0),0)</f>
        <v>0</v>
      </c>
      <c r="P155" s="46">
        <f>=IFERROR(ROUND(P22/$B155,0),0)</f>
        <v>0</v>
      </c>
      <c r="Q155" s="46">
        <f>=IFERROR(ROUND(Q22/$B155,0),0)</f>
        <v>0</v>
      </c>
      <c r="R155" s="46">
        <f>=IFERROR(ROUND(R22/$B155,0),0)</f>
        <v>0</v>
      </c>
      <c r="S155" s="46">
        <f>=IFERROR(ROUND(S22/$B155,0),0)</f>
        <v>0</v>
      </c>
      <c r="T155" s="46">
        <f>=IFERROR(ROUND(T22/$B155,0),0)</f>
        <v>0</v>
      </c>
      <c r="U155" s="46">
        <f>=IFERROR(ROUND(U22/$B155,0),0)</f>
        <v>0</v>
      </c>
      <c r="V155" s="46">
        <f>=IFERROR(ROUND(V22/$B155,0),0)</f>
        <v>0</v>
      </c>
      <c r="W155" s="46">
        <f>=IFERROR(ROUND(W22/$B155,0),0)</f>
        <v>0</v>
      </c>
      <c r="X155" s="46">
        <f>=IFERROR(ROUND(X22/$B155,0),0)</f>
        <v>0</v>
      </c>
      <c r="Y155" s="46">
        <f>=IFERROR(ROUND(Y22/$B155,0),0)</f>
        <v>0</v>
      </c>
      <c r="Z155" s="46">
        <f>=IFERROR(ROUND(Z22/$B155,0),0)</f>
        <v>0</v>
      </c>
      <c r="AA155" s="46">
        <f>=IFERROR(ROUND(AA22/$B155,0),0)</f>
        <v>0</v>
      </c>
      <c r="AB155" s="46">
        <f>=IFERROR(ROUND(AB22/$B155,0),0)</f>
        <v>0</v>
      </c>
      <c r="AC155" s="46">
        <f>=IFERROR(ROUND(AC22/$B155,0),0)</f>
        <v>0</v>
      </c>
      <c r="AD155" s="46">
        <f>=IFERROR(ROUND(AD22/$B155,0),0)</f>
        <v>0</v>
      </c>
      <c r="AE155" s="46">
        <f>=IFERROR(ROUND(AE22/$B155,0),0)</f>
        <v>0</v>
      </c>
      <c r="AF155" s="46">
        <f>=IFERROR(ROUND(AF22/$B155,0),0)</f>
        <v>0</v>
      </c>
      <c r="AG155" s="46">
        <f>=IFERROR(ROUND(AG22/$B155,0),0)</f>
        <v>0</v>
      </c>
      <c r="AH155" s="46">
        <f>=IFERROR(ROUND(AH22/$B155,0),0)</f>
        <v>0</v>
      </c>
      <c r="AI155" s="46">
        <f>=IFERROR(ROUND(AI22/$B155,0),0)</f>
        <v>0</v>
      </c>
      <c r="AJ155" s="46">
        <f>=IFERROR(ROUND(AJ22/$B155,0),0)</f>
        <v>0</v>
      </c>
      <c r="AK155" s="46">
        <f>=IFERROR(ROUND(AK22/$B155,0),0)</f>
        <v>0</v>
      </c>
      <c r="AL155" s="46">
        <f>=IFERROR(ROUND(AL22/$B155,0),0)</f>
        <v>0</v>
      </c>
      <c r="AM155" s="46">
        <f>=IFERROR(ROUND(AM22/$B155,0),0)</f>
        <v>0</v>
      </c>
      <c r="AN155" s="46">
        <f>=IFERROR(ROUND(AN22/$B155,0),0)</f>
        <v>0</v>
      </c>
      <c r="AO155" s="46">
        <f>=IFERROR(ROUND(AO22/$B155,0),0)</f>
        <v>0</v>
      </c>
      <c r="AP155" s="46">
        <f>=IFERROR(ROUND(AP22/$B155,0),0)</f>
        <v>0</v>
      </c>
      <c r="AQ155" s="46">
        <f>=IFERROR(ROUND(AQ22/$B155,0),0)</f>
        <v>0</v>
      </c>
      <c r="AR155" s="46">
        <f>=IFERROR(ROUND(AR22/$B155,0),0)</f>
        <v>0</v>
      </c>
      <c r="AS155" s="46">
        <f>=IFERROR(ROUND(AS22/$B155,0),0)</f>
        <v>0</v>
      </c>
      <c r="AT155" s="46">
        <f>=IFERROR(ROUND(AT22/$B155,0),0)</f>
        <v>0</v>
      </c>
      <c r="AU155" s="46">
        <f>=IFERROR(ROUND(AU22/$B155,0),0)</f>
        <v>0</v>
      </c>
      <c r="AV155" s="46">
        <f>=IFERROR(ROUND(AV22/$B155,0),0)</f>
        <v>0</v>
      </c>
      <c r="AW155" s="46">
        <f>=IFERROR(ROUND(AW22/$B155,0),0)</f>
        <v>1</v>
      </c>
      <c r="AX155" s="46">
        <f>=IFERROR(ROUND(AX22/$B155,0),0)</f>
        <v>1</v>
      </c>
      <c r="AY155" s="46">
        <f>=IFERROR(ROUND(AY22/$B155,0),0)</f>
        <v>0</v>
      </c>
      <c r="AZ155" s="46">
        <f>=IFERROR(ROUND(AZ22/$B155,0),0)</f>
        <v>0</v>
      </c>
      <c r="BA155" s="46">
        <f>=IFERROR(ROUND(BA22/$B155,0),0)</f>
        <v>0</v>
      </c>
      <c r="BB155" s="46">
        <f>=IFERROR(ROUND(BB22/$B155,0),0)</f>
        <v>0</v>
      </c>
      <c r="BC155" s="46">
        <f>=IFERROR(ROUND(BC22/$B155,0),0)</f>
        <v>0</v>
      </c>
      <c r="BD155" s="46">
        <f>=IFERROR(ROUND(BD22/$B155,0),0)</f>
        <v>0</v>
      </c>
      <c r="BE155" s="46">
        <f>=IFERROR(ROUND(BE22/$B155,0),0)</f>
        <v>0</v>
      </c>
      <c r="BF155" s="46">
        <f>=IFERROR(ROUND(BF22/$B155,0),0)</f>
        <v>0</v>
      </c>
      <c r="BG155" s="46">
        <f>=IFERROR(ROUND(BG22/$B155,0),0)</f>
        <v>0</v>
      </c>
      <c r="BH155" s="46">
        <f>=IFERROR(ROUND(BH22/$B155,0),0)</f>
        <v>0</v>
      </c>
      <c r="BI155" s="46">
        <f>=IFERROR(ROUND(BI22/$B155,0),0)</f>
        <v>0</v>
      </c>
      <c r="BJ155" s="46">
        <f>=IFERROR(ROUND(BJ22/$B155,0),0)</f>
        <v>0</v>
      </c>
      <c r="BK155" s="46">
        <f>=IFERROR(ROUND(BK22/$B155,0),0)</f>
        <v>0</v>
      </c>
      <c r="BL155" s="46">
        <f>=IFERROR(ROUND(BL22/$B155,0),0)</f>
        <v>0</v>
      </c>
      <c r="BM155" s="46">
        <f>=IFERROR(ROUND(BM22/$B155,0),0)</f>
        <v>0</v>
      </c>
      <c r="BN155" s="46">
        <f>=IFERROR(ROUND(BN22/$B155,0),0)</f>
        <v>0</v>
      </c>
      <c r="BO155" s="46">
        <f>=IFERROR(ROUND(BO22/$B155,0),0)</f>
        <v>0</v>
      </c>
      <c r="BP155" s="46">
        <f>=IFERROR(ROUND(BP22/$B155,0),0)</f>
        <v>0</v>
      </c>
      <c r="BQ155" s="46">
        <f>=IFERROR(ROUND(BQ22/$B155,0),0)</f>
        <v>0</v>
      </c>
      <c r="BR155" s="46">
        <f>=IFERROR(ROUND(BR22/$B155,0),0)</f>
        <v>0</v>
      </c>
      <c r="BS155" s="46">
        <f>=IFERROR(ROUND(BS22/$B155,0),0)</f>
        <v>0</v>
      </c>
      <c r="BT155" s="46">
        <f>=IFERROR(ROUND(BT22/$B155,0),0)</f>
        <v>0</v>
      </c>
      <c r="BU155" s="46">
        <f>=IFERROR(ROUND(BU22/$B155,0),0)</f>
        <v>0</v>
      </c>
      <c r="BV155" s="46">
        <f>=IFERROR(ROUND(BV22/$B155,0),0)</f>
        <v>0</v>
      </c>
      <c r="BW155" s="46">
        <f>=IFERROR(ROUND(BW22/$B155,0),0)</f>
        <v>0</v>
      </c>
      <c r="BX155" s="46">
        <f>=IFERROR(ROUND(BX22/$B155,0),0)</f>
        <v>0</v>
      </c>
      <c r="BY155" s="46">
        <f>=IFERROR(ROUND(BY22/$B155,0),0)</f>
        <v>0</v>
      </c>
      <c r="BZ155" s="46">
        <f>=IFERROR(ROUND(BZ22/$B155,0),0)</f>
        <v>0</v>
      </c>
      <c r="CA155" s="46">
        <f>=IFERROR(ROUND(CA22/$B155,0),0)</f>
        <v>0</v>
      </c>
      <c r="CB155" s="46">
        <f>=IFERROR(ROUND(CB22/$B155,0),0)</f>
        <v>0</v>
      </c>
      <c r="CC155" s="46">
        <f>=IFERROR(ROUND(CC22/$B155,0),0)</f>
        <v>0</v>
      </c>
      <c r="CD155" s="46">
        <f>=IFERROR(ROUND(CD22/$B155,0),0)</f>
        <v>0</v>
      </c>
      <c r="CE155" s="46">
        <f>=IFERROR(ROUND(CE22/$B155,0),0)</f>
        <v>0</v>
      </c>
      <c r="CF155" s="46">
        <f>=IFERROR(ROUND(CF22/$B155,0),0)</f>
        <v>0</v>
      </c>
      <c r="CG155" s="46">
        <f>=IFERROR(ROUND(CG22/$B155,0),0)</f>
        <v>0</v>
      </c>
      <c r="CH155" s="46">
        <f>=IFERROR(ROUND(CH22/$B155,0),0)</f>
        <v>0</v>
      </c>
      <c r="CI155" s="46">
        <f>=IFERROR(ROUND(CI22/$B155,0),0)</f>
        <v>0</v>
      </c>
      <c r="CJ155" s="46">
        <f>=IFERROR(ROUND(CJ22/$B155,0),0)</f>
        <v>0</v>
      </c>
      <c r="CK155" s="46">
        <f>=IFERROR(ROUND(CK22/$B155,0),0)</f>
        <v>0</v>
      </c>
      <c r="CL155" s="46">
        <f>=IFERROR(ROUND(CL22/$B155,0),0)</f>
        <v>0</v>
      </c>
      <c r="CM155" s="46">
        <f>=IFERROR(ROUND(CM22/$B155,0),0)</f>
        <v>0</v>
      </c>
      <c r="CN155" s="46">
        <f>=IFERROR(ROUND(CN22/$B155,0),0)</f>
        <v>0</v>
      </c>
      <c r="CO155" s="46">
        <f>=IFERROR(ROUND(CO22/$B155,0),0)</f>
        <v>0</v>
      </c>
      <c r="CP155" s="46">
        <f>=IFERROR(ROUND(CP22/$B155,0),0)</f>
        <v>0</v>
      </c>
      <c r="CQ155" s="46">
        <f>=IFERROR(ROUND(CQ22/$B155,0),0)</f>
        <v>0</v>
      </c>
      <c r="CR155" s="46">
        <f>=IFERROR(ROUND(CR22/$B155,0),0)</f>
        <v>0</v>
      </c>
      <c r="CS155" s="46">
        <f>=IFERROR(ROUND(CS22/$B155,0),0)</f>
        <v>0</v>
      </c>
      <c r="CT155" s="46">
        <f>=IFERROR(ROUND(CT22/$B155,0),0)</f>
        <v>0</v>
      </c>
      <c r="CU155" s="46">
        <f>=IFERROR(ROUND(CU22/$B155,0),0)</f>
        <v>0</v>
      </c>
      <c r="CV155" s="46">
        <f>=IFERROR(ROUND(CV22/$B155,0),0)</f>
        <v>0</v>
      </c>
      <c r="CW155" s="46">
        <f>=IFERROR(ROUND(CW22/$B155,0),0)</f>
        <v>0</v>
      </c>
      <c r="CX155" s="46">
        <f>=IFERROR(ROUND(CX22/$B155,0),0)</f>
        <v>0</v>
      </c>
      <c r="CY155" s="46">
        <f>=IFERROR(ROUND(CY22/$B155,0),0)</f>
        <v>0</v>
      </c>
      <c r="CZ155" s="46">
        <f>=IFERROR(ROUND(CZ22/$B155,0),0)</f>
        <v>0</v>
      </c>
      <c r="DA155" s="46">
        <f>=IFERROR(ROUND(DA22/$B155,0),0)</f>
        <v>0</v>
      </c>
      <c r="DB155" s="46">
        <f>=IFERROR(ROUND(DB22/$B155,0),0)</f>
        <v>0</v>
      </c>
    </row>
    <row r="156" spans="3:106" x14ac:dyDescent="0.25"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  <c r="BE156" s="30"/>
      <c r="BF156" s="30"/>
      <c r="BG156" s="30"/>
      <c r="BH156" s="30"/>
      <c r="BI156" s="30"/>
      <c r="BJ156" s="30"/>
      <c r="BK156" s="30"/>
      <c r="BL156" s="30"/>
      <c r="BM156" s="30"/>
      <c r="BN156" s="30"/>
      <c r="BO156" s="30"/>
      <c r="BP156" s="30"/>
      <c r="BQ156" s="30"/>
      <c r="BR156" s="30"/>
      <c r="BS156" s="30"/>
      <c r="BT156" s="30"/>
      <c r="BU156" s="30"/>
      <c r="BV156" s="30"/>
      <c r="BW156" s="30"/>
      <c r="BX156" s="30"/>
      <c r="BY156" s="30"/>
      <c r="BZ156" s="30"/>
      <c r="CA156" s="30"/>
      <c r="CB156" s="30"/>
      <c r="CC156" s="30"/>
      <c r="CD156" s="30"/>
      <c r="CE156" s="30"/>
      <c r="CF156" s="30"/>
      <c r="CG156" s="30"/>
      <c r="CH156" s="30"/>
      <c r="CI156" s="30"/>
      <c r="CJ156" s="30"/>
      <c r="CK156" s="30"/>
      <c r="CL156" s="30"/>
      <c r="CM156" s="30"/>
      <c r="CN156" s="30"/>
      <c r="CO156" s="30"/>
      <c r="CP156" s="30"/>
      <c r="CQ156" s="30"/>
      <c r="CR156" s="30"/>
      <c r="CS156" s="30"/>
      <c r="CT156" s="30"/>
      <c r="CU156" s="30"/>
      <c r="CV156" s="30"/>
      <c r="CW156" s="30"/>
      <c r="CX156" s="30"/>
      <c r="CY156" s="30"/>
      <c r="CZ156" s="30"/>
      <c r="DA156" s="30"/>
      <c r="DB156" s="30"/>
    </row>
    <row r="157" spans="1:106" x14ac:dyDescent="0.25">
      <c r="A157" s="33" t="s">
        <v>366</v>
      </c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  <c r="BD157" s="30"/>
      <c r="BE157" s="30"/>
      <c r="BF157" s="30"/>
      <c r="BG157" s="30"/>
      <c r="BH157" s="30"/>
      <c r="BI157" s="30"/>
      <c r="BJ157" s="30"/>
      <c r="BK157" s="30"/>
      <c r="BL157" s="30"/>
      <c r="BM157" s="30"/>
      <c r="BN157" s="30"/>
      <c r="BO157" s="30"/>
      <c r="BP157" s="30"/>
      <c r="BQ157" s="30"/>
      <c r="BR157" s="30"/>
      <c r="BS157" s="30"/>
      <c r="BT157" s="30"/>
      <c r="BU157" s="30"/>
      <c r="BV157" s="30"/>
      <c r="BW157" s="30"/>
      <c r="BX157" s="30"/>
      <c r="BY157" s="30"/>
      <c r="BZ157" s="30"/>
      <c r="CA157" s="30"/>
      <c r="CB157" s="30"/>
      <c r="CC157" s="30"/>
      <c r="CD157" s="30"/>
      <c r="CE157" s="30"/>
      <c r="CF157" s="30"/>
      <c r="CG157" s="30"/>
      <c r="CH157" s="30"/>
      <c r="CI157" s="30"/>
      <c r="CJ157" s="30"/>
      <c r="CK157" s="30"/>
      <c r="CL157" s="30"/>
      <c r="CM157" s="30"/>
      <c r="CN157" s="30"/>
      <c r="CO157" s="30"/>
      <c r="CP157" s="30"/>
      <c r="CQ157" s="30"/>
      <c r="CR157" s="30"/>
      <c r="CS157" s="30"/>
      <c r="CT157" s="30"/>
      <c r="CU157" s="30"/>
      <c r="CV157" s="30"/>
      <c r="CW157" s="30"/>
      <c r="CX157" s="30"/>
      <c r="CY157" s="30"/>
      <c r="CZ157" s="30"/>
      <c r="DA157" s="30"/>
      <c r="DB157" s="30"/>
    </row>
    <row r="158" spans="1:106" x14ac:dyDescent="0.25">
      <c r="A158" s="17" t="s">
        <v>367</v>
      </c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  <c r="BU158" s="30"/>
      <c r="BV158" s="30"/>
      <c r="BW158" s="30"/>
      <c r="BX158" s="30"/>
      <c r="BY158" s="30"/>
      <c r="BZ158" s="30"/>
      <c r="CA158" s="30"/>
      <c r="CB158" s="30"/>
      <c r="CC158" s="30"/>
      <c r="CD158" s="30"/>
      <c r="CE158" s="30"/>
      <c r="CF158" s="30"/>
      <c r="CG158" s="30"/>
      <c r="CH158" s="30"/>
      <c r="CI158" s="30"/>
      <c r="CJ158" s="30"/>
      <c r="CK158" s="30"/>
      <c r="CL158" s="30"/>
      <c r="CM158" s="30"/>
      <c r="CN158" s="30"/>
      <c r="CO158" s="30"/>
      <c r="CP158" s="30"/>
      <c r="CQ158" s="30"/>
      <c r="CR158" s="30"/>
      <c r="CS158" s="30"/>
      <c r="CT158" s="30"/>
      <c r="CU158" s="30"/>
      <c r="CV158" s="30"/>
      <c r="CW158" s="30"/>
      <c r="CX158" s="30"/>
      <c r="CY158" s="30"/>
      <c r="CZ158" s="30"/>
      <c r="DA158" s="30"/>
      <c r="DB158" s="30"/>
    </row>
    <row r="159" spans="1:106" x14ac:dyDescent="0.25">
      <c r="A159" s="17" t="s">
        <v>357</v>
      </c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  <c r="BP159" s="30"/>
      <c r="BQ159" s="30"/>
      <c r="BR159" s="30"/>
      <c r="BS159" s="30"/>
      <c r="BT159" s="30"/>
      <c r="BU159" s="30"/>
      <c r="BV159" s="30"/>
      <c r="BW159" s="30"/>
      <c r="BX159" s="30"/>
      <c r="BY159" s="30"/>
      <c r="BZ159" s="30"/>
      <c r="CA159" s="30"/>
      <c r="CB159" s="30"/>
      <c r="CC159" s="30"/>
      <c r="CD159" s="30"/>
      <c r="CE159" s="30"/>
      <c r="CF159" s="30"/>
      <c r="CG159" s="30"/>
      <c r="CH159" s="30"/>
      <c r="CI159" s="30"/>
      <c r="CJ159" s="30"/>
      <c r="CK159" s="30"/>
      <c r="CL159" s="30"/>
      <c r="CM159" s="30"/>
      <c r="CN159" s="30"/>
      <c r="CO159" s="30"/>
      <c r="CP159" s="30"/>
      <c r="CQ159" s="30"/>
      <c r="CR159" s="30"/>
      <c r="CS159" s="30"/>
      <c r="CT159" s="30"/>
      <c r="CU159" s="30"/>
      <c r="CV159" s="30"/>
      <c r="CW159" s="30"/>
      <c r="CX159" s="30"/>
      <c r="CY159" s="30"/>
      <c r="CZ159" s="30"/>
      <c r="DA159" s="30"/>
      <c r="DB159" s="30"/>
    </row>
    <row r="160" spans="1:106" x14ac:dyDescent="0.25">
      <c r="A160" s="17" t="s">
        <v>358</v>
      </c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  <c r="BF160" s="30"/>
      <c r="BG160" s="30"/>
      <c r="BH160" s="30"/>
      <c r="BI160" s="30"/>
      <c r="BJ160" s="30"/>
      <c r="BK160" s="30"/>
      <c r="BL160" s="30"/>
      <c r="BM160" s="30"/>
      <c r="BN160" s="30"/>
      <c r="BO160" s="30"/>
      <c r="BP160" s="30"/>
      <c r="BQ160" s="30"/>
      <c r="BR160" s="30"/>
      <c r="BS160" s="30"/>
      <c r="BT160" s="30"/>
      <c r="BU160" s="30"/>
      <c r="BV160" s="30"/>
      <c r="BW160" s="30"/>
      <c r="BX160" s="30"/>
      <c r="BY160" s="30"/>
      <c r="BZ160" s="30"/>
      <c r="CA160" s="30"/>
      <c r="CB160" s="30"/>
      <c r="CC160" s="30"/>
      <c r="CD160" s="30"/>
      <c r="CE160" s="30"/>
      <c r="CF160" s="30"/>
      <c r="CG160" s="30"/>
      <c r="CH160" s="30"/>
      <c r="CI160" s="30"/>
      <c r="CJ160" s="30"/>
      <c r="CK160" s="30"/>
      <c r="CL160" s="30"/>
      <c r="CM160" s="30"/>
      <c r="CN160" s="30"/>
      <c r="CO160" s="30"/>
      <c r="CP160" s="30"/>
      <c r="CQ160" s="30"/>
      <c r="CR160" s="30"/>
      <c r="CS160" s="30"/>
      <c r="CT160" s="30"/>
      <c r="CU160" s="30"/>
      <c r="CV160" s="30"/>
      <c r="CW160" s="30"/>
      <c r="CX160" s="30"/>
      <c r="CY160" s="30"/>
      <c r="CZ160" s="30"/>
      <c r="DA160" s="30"/>
      <c r="DB160" s="30"/>
    </row>
    <row r="161" spans="1:106" x14ac:dyDescent="0.25">
      <c r="A161" s="17" t="s">
        <v>359</v>
      </c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0"/>
      <c r="BK161" s="30"/>
      <c r="BL161" s="30"/>
      <c r="BM161" s="30"/>
      <c r="BN161" s="30"/>
      <c r="BO161" s="30"/>
      <c r="BP161" s="30"/>
      <c r="BQ161" s="30"/>
      <c r="BR161" s="30"/>
      <c r="BS161" s="30"/>
      <c r="BT161" s="30"/>
      <c r="BU161" s="30"/>
      <c r="BV161" s="30"/>
      <c r="BW161" s="30"/>
      <c r="BX161" s="30"/>
      <c r="BY161" s="30"/>
      <c r="BZ161" s="30"/>
      <c r="CA161" s="30"/>
      <c r="CB161" s="30"/>
      <c r="CC161" s="30"/>
      <c r="CD161" s="30"/>
      <c r="CE161" s="30"/>
      <c r="CF161" s="30"/>
      <c r="CG161" s="30"/>
      <c r="CH161" s="30"/>
      <c r="CI161" s="30"/>
      <c r="CJ161" s="30"/>
      <c r="CK161" s="30"/>
      <c r="CL161" s="30"/>
      <c r="CM161" s="30"/>
      <c r="CN161" s="30"/>
      <c r="CO161" s="30"/>
      <c r="CP161" s="30"/>
      <c r="CQ161" s="30"/>
      <c r="CR161" s="30"/>
      <c r="CS161" s="30"/>
      <c r="CT161" s="30"/>
      <c r="CU161" s="30"/>
      <c r="CV161" s="30"/>
      <c r="CW161" s="30"/>
      <c r="CX161" s="30"/>
      <c r="CY161" s="30"/>
      <c r="CZ161" s="30"/>
      <c r="DA161" s="30"/>
      <c r="DB161" s="30"/>
    </row>
    <row r="162" spans="1:106" x14ac:dyDescent="0.25">
      <c r="A162" s="17" t="s">
        <v>360</v>
      </c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30"/>
      <c r="BP162" s="30"/>
      <c r="BQ162" s="30"/>
      <c r="BR162" s="30"/>
      <c r="BS162" s="30"/>
      <c r="BT162" s="30"/>
      <c r="BU162" s="30"/>
      <c r="BV162" s="30"/>
      <c r="BW162" s="30"/>
      <c r="BX162" s="30"/>
      <c r="BY162" s="30"/>
      <c r="BZ162" s="30"/>
      <c r="CA162" s="30"/>
      <c r="CB162" s="30"/>
      <c r="CC162" s="30"/>
      <c r="CD162" s="30"/>
      <c r="CE162" s="30"/>
      <c r="CF162" s="30"/>
      <c r="CG162" s="30"/>
      <c r="CH162" s="30"/>
      <c r="CI162" s="30"/>
      <c r="CJ162" s="30"/>
      <c r="CK162" s="30"/>
      <c r="CL162" s="30"/>
      <c r="CM162" s="30"/>
      <c r="CN162" s="30"/>
      <c r="CO162" s="30"/>
      <c r="CP162" s="30"/>
      <c r="CQ162" s="30"/>
      <c r="CR162" s="30"/>
      <c r="CS162" s="30"/>
      <c r="CT162" s="30"/>
      <c r="CU162" s="30"/>
      <c r="CV162" s="30"/>
      <c r="CW162" s="30"/>
      <c r="CX162" s="30"/>
      <c r="CY162" s="30"/>
      <c r="CZ162" s="30"/>
      <c r="DA162" s="30"/>
      <c r="DB162" s="30"/>
    </row>
    <row r="163" spans="1:106" x14ac:dyDescent="0.25">
      <c r="A163" s="17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/>
      <c r="BE163" s="30"/>
      <c r="BF163" s="30"/>
      <c r="BG163" s="30"/>
      <c r="BH163" s="30"/>
      <c r="BI163" s="30"/>
      <c r="BJ163" s="30"/>
      <c r="BK163" s="30"/>
      <c r="BL163" s="30"/>
      <c r="BM163" s="30"/>
      <c r="BN163" s="30"/>
      <c r="BO163" s="30"/>
      <c r="BP163" s="30"/>
      <c r="BQ163" s="30"/>
      <c r="BR163" s="30"/>
      <c r="BS163" s="30"/>
      <c r="BT163" s="30"/>
      <c r="BU163" s="30"/>
      <c r="BV163" s="30"/>
      <c r="BW163" s="30"/>
      <c r="BX163" s="30"/>
      <c r="BY163" s="30"/>
      <c r="BZ163" s="30"/>
      <c r="CA163" s="30"/>
      <c r="CB163" s="30"/>
      <c r="CC163" s="30"/>
      <c r="CD163" s="30"/>
      <c r="CE163" s="30"/>
      <c r="CF163" s="30"/>
      <c r="CG163" s="30"/>
      <c r="CH163" s="30"/>
      <c r="CI163" s="30"/>
      <c r="CJ163" s="30"/>
      <c r="CK163" s="30"/>
      <c r="CL163" s="30"/>
      <c r="CM163" s="30"/>
      <c r="CN163" s="30"/>
      <c r="CO163" s="30"/>
      <c r="CP163" s="30"/>
      <c r="CQ163" s="30"/>
      <c r="CR163" s="30"/>
      <c r="CS163" s="30"/>
      <c r="CT163" s="30"/>
      <c r="CU163" s="30"/>
      <c r="CV163" s="30"/>
      <c r="CW163" s="30"/>
      <c r="CX163" s="30"/>
      <c r="CY163" s="30"/>
      <c r="CZ163" s="30"/>
      <c r="DA163" s="30"/>
      <c r="DB163" s="30"/>
    </row>
    <row r="164" spans="1:106" x14ac:dyDescent="0.25">
      <c r="A164" s="33" t="s">
        <v>368</v>
      </c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30"/>
      <c r="BD164" s="30"/>
      <c r="BE164" s="30"/>
      <c r="BF164" s="30"/>
      <c r="BG164" s="30"/>
      <c r="BH164" s="30"/>
      <c r="BI164" s="30"/>
      <c r="BJ164" s="30"/>
      <c r="BK164" s="30"/>
      <c r="BL164" s="30"/>
      <c r="BM164" s="30"/>
      <c r="BN164" s="30"/>
      <c r="BO164" s="30"/>
      <c r="BP164" s="30"/>
      <c r="BQ164" s="30"/>
      <c r="BR164" s="30"/>
      <c r="BS164" s="30"/>
      <c r="BT164" s="30"/>
      <c r="BU164" s="30"/>
      <c r="BV164" s="30"/>
      <c r="BW164" s="30"/>
      <c r="BX164" s="30"/>
      <c r="BY164" s="30"/>
      <c r="BZ164" s="30"/>
      <c r="CA164" s="30"/>
      <c r="CB164" s="30"/>
      <c r="CC164" s="30"/>
      <c r="CD164" s="30"/>
      <c r="CE164" s="30"/>
      <c r="CF164" s="30"/>
      <c r="CG164" s="30"/>
      <c r="CH164" s="30"/>
      <c r="CI164" s="30"/>
      <c r="CJ164" s="30"/>
      <c r="CK164" s="30"/>
      <c r="CL164" s="30"/>
      <c r="CM164" s="30"/>
      <c r="CN164" s="30"/>
      <c r="CO164" s="30"/>
      <c r="CP164" s="30"/>
      <c r="CQ164" s="30"/>
      <c r="CR164" s="30"/>
      <c r="CS164" s="30"/>
      <c r="CT164" s="30"/>
      <c r="CU164" s="30"/>
      <c r="CV164" s="30"/>
      <c r="CW164" s="30"/>
      <c r="CX164" s="30"/>
      <c r="CY164" s="30"/>
      <c r="CZ164" s="30"/>
      <c r="DA164" s="30"/>
      <c r="DB164" s="30"/>
    </row>
    <row r="165" spans="1:106" x14ac:dyDescent="0.25">
      <c r="A165" s="17" t="s">
        <v>367</v>
      </c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30"/>
      <c r="BD165" s="30"/>
      <c r="BE165" s="30"/>
      <c r="BF165" s="30"/>
      <c r="BG165" s="30"/>
      <c r="BH165" s="30"/>
      <c r="BI165" s="30"/>
      <c r="BJ165" s="30"/>
      <c r="BK165" s="30"/>
      <c r="BL165" s="30"/>
      <c r="BM165" s="30"/>
      <c r="BN165" s="30"/>
      <c r="BO165" s="30"/>
      <c r="BP165" s="30"/>
      <c r="BQ165" s="30"/>
      <c r="BR165" s="30"/>
      <c r="BS165" s="30"/>
      <c r="BT165" s="30"/>
      <c r="BU165" s="30"/>
      <c r="BV165" s="30"/>
      <c r="BW165" s="30"/>
      <c r="BX165" s="30"/>
      <c r="BY165" s="30"/>
      <c r="BZ165" s="30"/>
      <c r="CA165" s="30"/>
      <c r="CB165" s="30"/>
      <c r="CC165" s="30"/>
      <c r="CD165" s="30"/>
      <c r="CE165" s="30"/>
      <c r="CF165" s="30"/>
      <c r="CG165" s="30"/>
      <c r="CH165" s="30"/>
      <c r="CI165" s="30"/>
      <c r="CJ165" s="30"/>
      <c r="CK165" s="30"/>
      <c r="CL165" s="30"/>
      <c r="CM165" s="30"/>
      <c r="CN165" s="30"/>
      <c r="CO165" s="30"/>
      <c r="CP165" s="30"/>
      <c r="CQ165" s="30"/>
      <c r="CR165" s="30"/>
      <c r="CS165" s="30"/>
      <c r="CT165" s="30"/>
      <c r="CU165" s="30"/>
      <c r="CV165" s="30"/>
      <c r="CW165" s="30"/>
      <c r="CX165" s="30"/>
      <c r="CY165" s="30"/>
      <c r="CZ165" s="30"/>
      <c r="DA165" s="30"/>
      <c r="DB165" s="30"/>
    </row>
    <row r="166" spans="1:106" x14ac:dyDescent="0.25">
      <c r="A166" s="17" t="s">
        <v>357</v>
      </c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  <c r="BA166" s="30"/>
      <c r="BB166" s="30"/>
      <c r="BC166" s="30"/>
      <c r="BD166" s="30"/>
      <c r="BE166" s="30"/>
      <c r="BF166" s="30"/>
      <c r="BG166" s="30"/>
      <c r="BH166" s="30"/>
      <c r="BI166" s="30"/>
      <c r="BJ166" s="30"/>
      <c r="BK166" s="30"/>
      <c r="BL166" s="30"/>
      <c r="BM166" s="30"/>
      <c r="BN166" s="30"/>
      <c r="BO166" s="30"/>
      <c r="BP166" s="30"/>
      <c r="BQ166" s="30"/>
      <c r="BR166" s="30"/>
      <c r="BS166" s="30"/>
      <c r="BT166" s="30"/>
      <c r="BU166" s="30"/>
      <c r="BV166" s="30"/>
      <c r="BW166" s="30"/>
      <c r="BX166" s="30"/>
      <c r="BY166" s="30"/>
      <c r="BZ166" s="30"/>
      <c r="CA166" s="30"/>
      <c r="CB166" s="30"/>
      <c r="CC166" s="30"/>
      <c r="CD166" s="30"/>
      <c r="CE166" s="30"/>
      <c r="CF166" s="30"/>
      <c r="CG166" s="30"/>
      <c r="CH166" s="30"/>
      <c r="CI166" s="30"/>
      <c r="CJ166" s="30"/>
      <c r="CK166" s="30"/>
      <c r="CL166" s="30"/>
      <c r="CM166" s="30"/>
      <c r="CN166" s="30"/>
      <c r="CO166" s="30"/>
      <c r="CP166" s="30"/>
      <c r="CQ166" s="30"/>
      <c r="CR166" s="30"/>
      <c r="CS166" s="30"/>
      <c r="CT166" s="30"/>
      <c r="CU166" s="30"/>
      <c r="CV166" s="30"/>
      <c r="CW166" s="30"/>
      <c r="CX166" s="30"/>
      <c r="CY166" s="30"/>
      <c r="CZ166" s="30"/>
      <c r="DA166" s="30"/>
      <c r="DB166" s="30"/>
    </row>
    <row r="167" spans="1:106" x14ac:dyDescent="0.25">
      <c r="A167" s="17" t="s">
        <v>358</v>
      </c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  <c r="BC167" s="30"/>
      <c r="BD167" s="30"/>
      <c r="BE167" s="30"/>
      <c r="BF167" s="30"/>
      <c r="BG167" s="30"/>
      <c r="BH167" s="30"/>
      <c r="BI167" s="30"/>
      <c r="BJ167" s="30"/>
      <c r="BK167" s="30"/>
      <c r="BL167" s="30"/>
      <c r="BM167" s="30"/>
      <c r="BN167" s="30"/>
      <c r="BO167" s="30"/>
      <c r="BP167" s="30"/>
      <c r="BQ167" s="30"/>
      <c r="BR167" s="30"/>
      <c r="BS167" s="30"/>
      <c r="BT167" s="30"/>
      <c r="BU167" s="30"/>
      <c r="BV167" s="30"/>
      <c r="BW167" s="30"/>
      <c r="BX167" s="30"/>
      <c r="BY167" s="30"/>
      <c r="BZ167" s="30"/>
      <c r="CA167" s="30"/>
      <c r="CB167" s="30"/>
      <c r="CC167" s="30"/>
      <c r="CD167" s="30"/>
      <c r="CE167" s="30"/>
      <c r="CF167" s="30"/>
      <c r="CG167" s="30"/>
      <c r="CH167" s="30"/>
      <c r="CI167" s="30"/>
      <c r="CJ167" s="30"/>
      <c r="CK167" s="30"/>
      <c r="CL167" s="30"/>
      <c r="CM167" s="30"/>
      <c r="CN167" s="30"/>
      <c r="CO167" s="30"/>
      <c r="CP167" s="30"/>
      <c r="CQ167" s="30"/>
      <c r="CR167" s="30"/>
      <c r="CS167" s="30"/>
      <c r="CT167" s="30"/>
      <c r="CU167" s="30"/>
      <c r="CV167" s="30"/>
      <c r="CW167" s="30"/>
      <c r="CX167" s="30"/>
      <c r="CY167" s="30"/>
      <c r="CZ167" s="30"/>
      <c r="DA167" s="30"/>
      <c r="DB167" s="30"/>
    </row>
    <row r="168" spans="1:106" x14ac:dyDescent="0.25">
      <c r="A168" s="17" t="s">
        <v>359</v>
      </c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  <c r="BA168" s="30"/>
      <c r="BB168" s="30"/>
      <c r="BC168" s="30"/>
      <c r="BD168" s="30"/>
      <c r="BE168" s="30"/>
      <c r="BF168" s="30"/>
      <c r="BG168" s="30"/>
      <c r="BH168" s="30"/>
      <c r="BI168" s="30"/>
      <c r="BJ168" s="30"/>
      <c r="BK168" s="30"/>
      <c r="BL168" s="30"/>
      <c r="BM168" s="30"/>
      <c r="BN168" s="30"/>
      <c r="BO168" s="30"/>
      <c r="BP168" s="30"/>
      <c r="BQ168" s="30"/>
      <c r="BR168" s="30"/>
      <c r="BS168" s="30"/>
      <c r="BT168" s="30"/>
      <c r="BU168" s="30"/>
      <c r="BV168" s="30"/>
      <c r="BW168" s="30"/>
      <c r="BX168" s="30"/>
      <c r="BY168" s="30"/>
      <c r="BZ168" s="30"/>
      <c r="CA168" s="30"/>
      <c r="CB168" s="30"/>
      <c r="CC168" s="30"/>
      <c r="CD168" s="30"/>
      <c r="CE168" s="30"/>
      <c r="CF168" s="30"/>
      <c r="CG168" s="30"/>
      <c r="CH168" s="30"/>
      <c r="CI168" s="30"/>
      <c r="CJ168" s="30"/>
      <c r="CK168" s="30"/>
      <c r="CL168" s="30"/>
      <c r="CM168" s="30"/>
      <c r="CN168" s="30"/>
      <c r="CO168" s="30"/>
      <c r="CP168" s="30"/>
      <c r="CQ168" s="30"/>
      <c r="CR168" s="30"/>
      <c r="CS168" s="30"/>
      <c r="CT168" s="30"/>
      <c r="CU168" s="30"/>
      <c r="CV168" s="30"/>
      <c r="CW168" s="30"/>
      <c r="CX168" s="30"/>
      <c r="CY168" s="30"/>
      <c r="CZ168" s="30"/>
      <c r="DA168" s="30"/>
      <c r="DB168" s="30"/>
    </row>
    <row r="169" spans="1:106" x14ac:dyDescent="0.25">
      <c r="A169" s="17" t="s">
        <v>360</v>
      </c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  <c r="BA169" s="30"/>
      <c r="BB169" s="30"/>
      <c r="BC169" s="30"/>
      <c r="BD169" s="30"/>
      <c r="BE169" s="30"/>
      <c r="BF169" s="30"/>
      <c r="BG169" s="30"/>
      <c r="BH169" s="30"/>
      <c r="BI169" s="30"/>
      <c r="BJ169" s="30"/>
      <c r="BK169" s="30"/>
      <c r="BL169" s="30"/>
      <c r="BM169" s="30"/>
      <c r="BN169" s="30"/>
      <c r="BO169" s="30"/>
      <c r="BP169" s="30"/>
      <c r="BQ169" s="30"/>
      <c r="BR169" s="30"/>
      <c r="BS169" s="30"/>
      <c r="BT169" s="30"/>
      <c r="BU169" s="30"/>
      <c r="BV169" s="30"/>
      <c r="BW169" s="30"/>
      <c r="BX169" s="30"/>
      <c r="BY169" s="30"/>
      <c r="BZ169" s="30"/>
      <c r="CA169" s="30"/>
      <c r="CB169" s="30"/>
      <c r="CC169" s="30"/>
      <c r="CD169" s="30"/>
      <c r="CE169" s="30"/>
      <c r="CF169" s="30"/>
      <c r="CG169" s="30"/>
      <c r="CH169" s="30"/>
      <c r="CI169" s="30"/>
      <c r="CJ169" s="30"/>
      <c r="CK169" s="30"/>
      <c r="CL169" s="30"/>
      <c r="CM169" s="30"/>
      <c r="CN169" s="30"/>
      <c r="CO169" s="30"/>
      <c r="CP169" s="30"/>
      <c r="CQ169" s="30"/>
      <c r="CR169" s="30"/>
      <c r="CS169" s="30"/>
      <c r="CT169" s="30"/>
      <c r="CU169" s="30"/>
      <c r="CV169" s="30"/>
      <c r="CW169" s="30"/>
      <c r="CX169" s="30"/>
      <c r="CY169" s="30"/>
      <c r="CZ169" s="30"/>
      <c r="DA169" s="30"/>
      <c r="DB169" s="30"/>
    </row>
    <row r="170" spans="3:106" x14ac:dyDescent="0.25"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  <c r="BF170" s="30"/>
      <c r="BG170" s="30"/>
      <c r="BH170" s="30"/>
      <c r="BI170" s="30"/>
      <c r="BJ170" s="30"/>
      <c r="BK170" s="30"/>
      <c r="BL170" s="30"/>
      <c r="BM170" s="30"/>
      <c r="BN170" s="30"/>
      <c r="BO170" s="30"/>
      <c r="BP170" s="30"/>
      <c r="BQ170" s="30"/>
      <c r="BR170" s="30"/>
      <c r="BS170" s="30"/>
      <c r="BT170" s="30"/>
      <c r="BU170" s="30"/>
      <c r="BV170" s="30"/>
      <c r="BW170" s="30"/>
      <c r="BX170" s="30"/>
      <c r="BY170" s="30"/>
      <c r="BZ170" s="30"/>
      <c r="CA170" s="30"/>
      <c r="CB170" s="30"/>
      <c r="CC170" s="30"/>
      <c r="CD170" s="30"/>
      <c r="CE170" s="30"/>
      <c r="CF170" s="30"/>
      <c r="CG170" s="30"/>
      <c r="CH170" s="30"/>
      <c r="CI170" s="30"/>
      <c r="CJ170" s="30"/>
      <c r="CK170" s="30"/>
      <c r="CL170" s="30"/>
      <c r="CM170" s="30"/>
      <c r="CN170" s="30"/>
      <c r="CO170" s="30"/>
      <c r="CP170" s="30"/>
      <c r="CQ170" s="30"/>
      <c r="CR170" s="30"/>
      <c r="CS170" s="30"/>
      <c r="CT170" s="30"/>
      <c r="CU170" s="30"/>
      <c r="CV170" s="30"/>
      <c r="CW170" s="30"/>
      <c r="CX170" s="30"/>
      <c r="CY170" s="30"/>
      <c r="CZ170" s="30"/>
      <c r="DA170" s="30"/>
      <c r="DB170" s="30"/>
    </row>
    <row r="171" spans="3:106" x14ac:dyDescent="0.25"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  <c r="BA171" s="30"/>
      <c r="BB171" s="30"/>
      <c r="BC171" s="30"/>
      <c r="BD171" s="30"/>
      <c r="BE171" s="30"/>
      <c r="BF171" s="30"/>
      <c r="BG171" s="30"/>
      <c r="BH171" s="30"/>
      <c r="BI171" s="30"/>
      <c r="BJ171" s="30"/>
      <c r="BK171" s="30"/>
      <c r="BL171" s="30"/>
      <c r="BM171" s="30"/>
      <c r="BN171" s="30"/>
      <c r="BO171" s="30"/>
      <c r="BP171" s="30"/>
      <c r="BQ171" s="30"/>
      <c r="BR171" s="30"/>
      <c r="BS171" s="30"/>
      <c r="BT171" s="30"/>
      <c r="BU171" s="30"/>
      <c r="BV171" s="30"/>
      <c r="BW171" s="30"/>
      <c r="BX171" s="30"/>
      <c r="BY171" s="30"/>
      <c r="BZ171" s="30"/>
      <c r="CA171" s="30"/>
      <c r="CB171" s="30"/>
      <c r="CC171" s="30"/>
      <c r="CD171" s="30"/>
      <c r="CE171" s="30"/>
      <c r="CF171" s="30"/>
      <c r="CG171" s="30"/>
      <c r="CH171" s="30"/>
      <c r="CI171" s="30"/>
      <c r="CJ171" s="30"/>
      <c r="CK171" s="30"/>
      <c r="CL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</row>
    <row r="172" spans="3:106" x14ac:dyDescent="0.25"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  <c r="BA172" s="30"/>
      <c r="BB172" s="30"/>
      <c r="BC172" s="30"/>
      <c r="BD172" s="30"/>
      <c r="BE172" s="30"/>
      <c r="BF172" s="30"/>
      <c r="BG172" s="30"/>
      <c r="BH172" s="30"/>
      <c r="BI172" s="30"/>
      <c r="BJ172" s="30"/>
      <c r="BK172" s="30"/>
      <c r="BL172" s="30"/>
      <c r="BM172" s="30"/>
      <c r="BN172" s="30"/>
      <c r="BO172" s="30"/>
      <c r="BP172" s="30"/>
      <c r="BQ172" s="30"/>
      <c r="BR172" s="30"/>
      <c r="BS172" s="30"/>
      <c r="BT172" s="30"/>
      <c r="BU172" s="30"/>
      <c r="BV172" s="30"/>
      <c r="BW172" s="30"/>
      <c r="BX172" s="30"/>
      <c r="BY172" s="30"/>
      <c r="BZ172" s="30"/>
      <c r="CA172" s="30"/>
      <c r="CB172" s="30"/>
      <c r="CC172" s="30"/>
      <c r="CD172" s="30"/>
      <c r="CE172" s="30"/>
      <c r="CF172" s="30"/>
      <c r="CG172" s="30"/>
      <c r="CH172" s="30"/>
      <c r="CI172" s="30"/>
      <c r="CJ172" s="30"/>
      <c r="CK172" s="30"/>
      <c r="CL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</row>
    <row r="173" spans="1:106" x14ac:dyDescent="0.25">
      <c r="A173" s="17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  <c r="BA173" s="30"/>
      <c r="BB173" s="30"/>
      <c r="BC173" s="30"/>
      <c r="BD173" s="30"/>
      <c r="BE173" s="30"/>
      <c r="BF173" s="30"/>
      <c r="BG173" s="30"/>
      <c r="BH173" s="30"/>
      <c r="BI173" s="30"/>
      <c r="BJ173" s="30"/>
      <c r="BK173" s="30"/>
      <c r="BL173" s="30"/>
      <c r="BM173" s="30"/>
      <c r="BN173" s="30"/>
      <c r="BO173" s="30"/>
      <c r="BP173" s="30"/>
      <c r="BQ173" s="30"/>
      <c r="BR173" s="30"/>
      <c r="BS173" s="30"/>
      <c r="BT173" s="30"/>
      <c r="BU173" s="30"/>
      <c r="BV173" s="30"/>
      <c r="BW173" s="30"/>
      <c r="BX173" s="30"/>
      <c r="BY173" s="30"/>
      <c r="BZ173" s="30"/>
      <c r="CA173" s="30"/>
      <c r="CB173" s="30"/>
      <c r="CC173" s="30"/>
      <c r="CD173" s="30"/>
      <c r="CE173" s="30"/>
      <c r="CF173" s="30"/>
      <c r="CG173" s="30"/>
      <c r="CH173" s="30"/>
      <c r="CI173" s="30"/>
      <c r="CJ173" s="30"/>
      <c r="CK173" s="30"/>
      <c r="CL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NSL Dispatch</vt:lpstr>
      <vt:lpstr>Regulatory Response</vt:lpstr>
      <vt:lpstr>Neighbors COL</vt:lpstr>
      <vt:lpstr>Neighbors LV</vt:lpstr>
      <vt:lpstr>Open Homes (Airbnb Org)</vt:lpstr>
      <vt:lpstr>SocMed SPA</vt:lpstr>
      <vt:lpstr>Experiences</vt:lpstr>
      <vt:lpstr>Safety COL</vt:lpstr>
      <vt:lpstr>SafetyHub COL</vt:lpstr>
      <vt:lpstr>Safety JAM</vt:lpstr>
      <vt:lpstr>Safetyhub JAM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LuckySheet</dc:creator>
  <dc:title/>
  <dc:subject/>
  <dc:description/>
  <cp:keywords/>
  <cp:category/>
  <cp:lastModifiedBy>Unknown</cp:lastModifiedBy>
  <dcterms:created xsi:type="dcterms:W3CDTF">2025-12-05T07:14:16Z</dcterms:created>
  <dcterms:modified xsi:type="dcterms:W3CDTF">2025-12-05T07:14:16Z</dcterms:modified>
</cp:coreProperties>
</file>