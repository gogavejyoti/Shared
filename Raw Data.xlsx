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prasu\Desktop\"/>
    </mc:Choice>
  </mc:AlternateContent>
  <xr:revisionPtr revIDLastSave="0" documentId="8_{6896BA16-96F7-4F83-9221-CEF02C99D434}" xr6:coauthVersionLast="47" xr6:coauthVersionMax="47" xr10:uidLastSave="{00000000-0000-0000-0000-000000000000}"/>
  <bookViews>
    <workbookView xWindow="-110" yWindow="-110" windowWidth="19420" windowHeight="10300" xr2:uid="{BCF7E18E-39BF-4784-B5EB-D16D8774CD05}"/>
  </bookViews>
  <sheets>
    <sheet name="Summary" sheetId="3" r:id="rId1"/>
    <sheet name="Pivot" sheetId="2" r:id="rId2"/>
    <sheet name="Raw Data" sheetId="1" r:id="rId3"/>
  </sheets>
  <definedNames>
    <definedName name="_xlnm._FilterDatabase" localSheetId="2" hidden="1">'Raw Data'!$B$4:$Y$315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O317" i="1"/>
  <c r="O316" i="1"/>
  <c r="O315" i="1"/>
  <c r="G316" i="1"/>
  <c r="G315" i="1"/>
  <c r="F315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5" i="1"/>
  <c r="D70" i="3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D31" i="2"/>
  <c r="E31" i="2"/>
  <c r="F31" i="2"/>
  <c r="G31" i="2"/>
  <c r="H31" i="2"/>
  <c r="I31" i="2"/>
  <c r="C31" i="2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5" i="1"/>
  <c r="G2" i="1"/>
  <c r="H2" i="1" s="1"/>
  <c r="G3" i="1"/>
  <c r="H3" i="1" s="1"/>
  <c r="G1" i="1"/>
  <c r="R315" i="1" a="1"/>
  <c r="S315" i="1" a="1"/>
  <c r="N315" i="1" a="1"/>
  <c r="J315" i="1" a="1"/>
  <c r="I315" i="1" a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5" i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4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<sst xmlns="http://schemas.openxmlformats.org/spreadsheetml/2006/main" count="431" uniqueCount="45">
  <si>
    <t>Interval</t>
  </si>
  <si>
    <t>Forecasted volume</t>
  </si>
  <si>
    <t>Actual volume</t>
  </si>
  <si>
    <t>Difference (%)</t>
  </si>
  <si>
    <t>Forecasted average handling time (s)</t>
  </si>
  <si>
    <t>Actual average handling time (s)</t>
  </si>
  <si>
    <t>Service level (%)</t>
  </si>
  <si>
    <t>PSL (%)</t>
  </si>
  <si>
    <t>Abandoned rate (%)</t>
  </si>
  <si>
    <t>Average speed of answer (s)</t>
  </si>
  <si>
    <t>PASA (s)</t>
  </si>
  <si>
    <t>Forecasted agents</t>
  </si>
  <si>
    <t>Required agents</t>
  </si>
  <si>
    <t>Scheduled agents</t>
  </si>
  <si>
    <t>Reforecasted agents</t>
  </si>
  <si>
    <t>Date</t>
  </si>
  <si>
    <t>Day</t>
  </si>
  <si>
    <t>Row Labels</t>
  </si>
  <si>
    <t>Sun</t>
  </si>
  <si>
    <t>Mon</t>
  </si>
  <si>
    <t>Tue</t>
  </si>
  <si>
    <t>Wed</t>
  </si>
  <si>
    <t>Thu</t>
  </si>
  <si>
    <t>Fri</t>
  </si>
  <si>
    <t>Sat</t>
  </si>
  <si>
    <t>Grand Total</t>
  </si>
  <si>
    <t>Column Labels</t>
  </si>
  <si>
    <t>Week Day</t>
  </si>
  <si>
    <t>Weekend</t>
  </si>
  <si>
    <t>Details</t>
  </si>
  <si>
    <t>Fails</t>
  </si>
  <si>
    <t>Morning Intervals</t>
  </si>
  <si>
    <t>Afternoon Intervals</t>
  </si>
  <si>
    <t>Evening Intervals</t>
  </si>
  <si>
    <t>Workload SL</t>
  </si>
  <si>
    <t>Sum of Actual volume</t>
  </si>
  <si>
    <t>DOW Factor</t>
  </si>
  <si>
    <t>Time of the Day</t>
  </si>
  <si>
    <t>Volume Heat Map</t>
  </si>
  <si>
    <t>Morning Intervals (7 AM to 11:45 AM)</t>
  </si>
  <si>
    <t>Afternoon Intervals (12 PM to 3 PM)</t>
  </si>
  <si>
    <t>Evening Intervals (3 PM to 7 PM)</t>
  </si>
  <si>
    <t>Volume</t>
  </si>
  <si>
    <t>Workload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</si>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</sst>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/>
    <xf numFmtId="0" fontId="2" fillId="2" borderId="2" xfId="0" applyFont="1" applyFill="1" applyBorder="1" applyAlignment="1">
      <alignment horizontal="left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2" fillId="2" borderId="3" xfId="0" applyFont="1" applyFill="1" applyBorder="1"/>
    <xf numFmtId="9" fontId="2" fillId="2" borderId="9" xfId="1" applyFont="1" applyFill="1" applyBorder="1"/>
    <xf numFmtId="9" fontId="2" fillId="2" borderId="4" xfId="1" applyFont="1" applyFill="1" applyBorder="1"/>
    <xf numFmtId="0" fontId="0" fillId="0" borderId="5" xfId="0" applyBorder="1" applyAlignment="1">
      <alignment horizontal="left"/>
    </xf>
    <xf numFmtId="9" fontId="0" fillId="0" borderId="10" xfId="1" applyFont="1" applyBorder="1"/>
    <xf numFmtId="9" fontId="0" fillId="0" borderId="6" xfId="1" applyFont="1" applyBorder="1"/>
    <xf numFmtId="0" fontId="2" fillId="2" borderId="7" xfId="0" applyFont="1" applyFill="1" applyBorder="1" applyAlignment="1">
      <alignment horizontal="left"/>
    </xf>
    <xf numFmtId="9" fontId="2" fillId="2" borderId="11" xfId="1" applyFont="1" applyFill="1" applyBorder="1"/>
    <xf numFmtId="9" fontId="2" fillId="2" borderId="8" xfId="1" applyFont="1" applyFill="1" applyBorder="1"/>
    <xf numFmtId="0" fontId="2" fillId="2" borderId="2" xfId="0" applyFont="1" applyFill="1" applyBorder="1"/>
    <xf numFmtId="9" fontId="2" fillId="2" borderId="2" xfId="1" applyFont="1" applyFill="1" applyBorder="1"/>
    <xf numFmtId="0" fontId="2" fillId="2" borderId="9" xfId="0" applyFont="1" applyFill="1" applyBorder="1"/>
    <xf numFmtId="0" fontId="2" fillId="2" borderId="4" xfId="0" applyFont="1" applyFill="1" applyBorder="1"/>
    <xf numFmtId="1" fontId="0" fillId="0" borderId="10" xfId="1" applyNumberFormat="1" applyFont="1" applyBorder="1"/>
    <xf numFmtId="1" fontId="0" fillId="0" borderId="6" xfId="1" applyNumberFormat="1" applyFont="1" applyBorder="1"/>
    <xf numFmtId="1" fontId="2" fillId="2" borderId="11" xfId="1" applyNumberFormat="1" applyFont="1" applyFill="1" applyBorder="1"/>
    <xf numFmtId="1" fontId="2" fillId="2" borderId="8" xfId="1" applyNumberFormat="1" applyFont="1" applyFill="1" applyBorder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Summary!$D$3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Summary!$D$4:$D$51</c:f>
              <c:numCache>
                <c:formatCode>0</c:formatCode>
                <c:ptCount val="48"/>
                <c:pt idx="0">
                  <c:v>98.91</c:v>
                </c:pt>
                <c:pt idx="1">
                  <c:v>112.39</c:v>
                </c:pt>
                <c:pt idx="2">
                  <c:v>145.75</c:v>
                </c:pt>
                <c:pt idx="3">
                  <c:v>243.2</c:v>
                </c:pt>
                <c:pt idx="4">
                  <c:v>368.06</c:v>
                </c:pt>
                <c:pt idx="5">
                  <c:v>517.22</c:v>
                </c:pt>
                <c:pt idx="6">
                  <c:v>610.98</c:v>
                </c:pt>
                <c:pt idx="7">
                  <c:v>704.66</c:v>
                </c:pt>
                <c:pt idx="8">
                  <c:v>804.16</c:v>
                </c:pt>
                <c:pt idx="9">
                  <c:v>892.88</c:v>
                </c:pt>
                <c:pt idx="10">
                  <c:v>948.58</c:v>
                </c:pt>
                <c:pt idx="11">
                  <c:v>974.87</c:v>
                </c:pt>
                <c:pt idx="12">
                  <c:v>1006.42</c:v>
                </c:pt>
                <c:pt idx="13">
                  <c:v>1017.08</c:v>
                </c:pt>
                <c:pt idx="14">
                  <c:v>1031.52</c:v>
                </c:pt>
                <c:pt idx="15">
                  <c:v>1024.6199999999999</c:v>
                </c:pt>
                <c:pt idx="16">
                  <c:v>1027.8</c:v>
                </c:pt>
                <c:pt idx="17">
                  <c:v>1013.66</c:v>
                </c:pt>
                <c:pt idx="18">
                  <c:v>1008.05</c:v>
                </c:pt>
                <c:pt idx="19">
                  <c:v>996.97</c:v>
                </c:pt>
                <c:pt idx="20">
                  <c:v>980.42</c:v>
                </c:pt>
                <c:pt idx="21">
                  <c:v>962.84</c:v>
                </c:pt>
                <c:pt idx="22">
                  <c:v>940.55</c:v>
                </c:pt>
                <c:pt idx="23">
                  <c:v>921.44</c:v>
                </c:pt>
                <c:pt idx="24">
                  <c:v>915.43</c:v>
                </c:pt>
                <c:pt idx="25">
                  <c:v>918.07</c:v>
                </c:pt>
                <c:pt idx="26">
                  <c:v>917.72</c:v>
                </c:pt>
                <c:pt idx="27">
                  <c:v>911.11</c:v>
                </c:pt>
                <c:pt idx="28">
                  <c:v>906.39</c:v>
                </c:pt>
                <c:pt idx="29">
                  <c:v>903.89</c:v>
                </c:pt>
                <c:pt idx="30">
                  <c:v>885.64</c:v>
                </c:pt>
                <c:pt idx="31">
                  <c:v>877.99</c:v>
                </c:pt>
                <c:pt idx="32">
                  <c:v>867.64</c:v>
                </c:pt>
                <c:pt idx="33">
                  <c:v>871.4</c:v>
                </c:pt>
                <c:pt idx="34">
                  <c:v>860</c:v>
                </c:pt>
                <c:pt idx="35">
                  <c:v>831.11</c:v>
                </c:pt>
                <c:pt idx="36">
                  <c:v>795.99</c:v>
                </c:pt>
                <c:pt idx="37">
                  <c:v>737.06</c:v>
                </c:pt>
                <c:pt idx="38">
                  <c:v>665.18</c:v>
                </c:pt>
                <c:pt idx="39">
                  <c:v>551.75</c:v>
                </c:pt>
                <c:pt idx="40">
                  <c:v>431.5</c:v>
                </c:pt>
                <c:pt idx="41">
                  <c:v>332.69</c:v>
                </c:pt>
                <c:pt idx="42">
                  <c:v>254.49</c:v>
                </c:pt>
                <c:pt idx="43">
                  <c:v>199.81</c:v>
                </c:pt>
                <c:pt idx="44">
                  <c:v>161.12</c:v>
                </c:pt>
                <c:pt idx="45">
                  <c:v>128.52000000000001</c:v>
                </c:pt>
                <c:pt idx="46">
                  <c:v>109.4</c:v>
                </c:pt>
                <c:pt idx="47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C-4EF5-9532-262523EA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601487"/>
        <c:axId val="965598127"/>
      </c:lineChart>
      <c:catAx>
        <c:axId val="9656014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98127"/>
        <c:crosses val="autoZero"/>
        <c:auto val="1"/>
        <c:lblAlgn val="ctr"/>
        <c:lblOffset val="100"/>
        <c:noMultiLvlLbl val="0"/>
      </c:catAx>
      <c:valAx>
        <c:axId val="96559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Summary!$E$3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Summary!$E$4:$E$51</c:f>
              <c:numCache>
                <c:formatCode>0</c:formatCode>
                <c:ptCount val="48"/>
                <c:pt idx="0">
                  <c:v>72.78</c:v>
                </c:pt>
                <c:pt idx="1">
                  <c:v>88.79</c:v>
                </c:pt>
                <c:pt idx="2">
                  <c:v>119.85</c:v>
                </c:pt>
                <c:pt idx="3">
                  <c:v>198.41</c:v>
                </c:pt>
                <c:pt idx="4">
                  <c:v>303.62</c:v>
                </c:pt>
                <c:pt idx="5">
                  <c:v>434.99</c:v>
                </c:pt>
                <c:pt idx="6">
                  <c:v>524.24</c:v>
                </c:pt>
                <c:pt idx="7">
                  <c:v>604.5</c:v>
                </c:pt>
                <c:pt idx="8">
                  <c:v>691.58</c:v>
                </c:pt>
                <c:pt idx="9">
                  <c:v>771</c:v>
                </c:pt>
                <c:pt idx="10">
                  <c:v>832.57</c:v>
                </c:pt>
                <c:pt idx="11">
                  <c:v>867.69</c:v>
                </c:pt>
                <c:pt idx="12">
                  <c:v>893.75</c:v>
                </c:pt>
                <c:pt idx="13">
                  <c:v>909.16</c:v>
                </c:pt>
                <c:pt idx="14">
                  <c:v>914.51</c:v>
                </c:pt>
                <c:pt idx="15">
                  <c:v>933.25</c:v>
                </c:pt>
                <c:pt idx="16">
                  <c:v>947.72</c:v>
                </c:pt>
                <c:pt idx="17">
                  <c:v>943.85</c:v>
                </c:pt>
                <c:pt idx="18">
                  <c:v>928.79</c:v>
                </c:pt>
                <c:pt idx="19">
                  <c:v>908.05</c:v>
                </c:pt>
                <c:pt idx="20">
                  <c:v>888.05</c:v>
                </c:pt>
                <c:pt idx="21">
                  <c:v>869.08</c:v>
                </c:pt>
                <c:pt idx="22">
                  <c:v>834.21</c:v>
                </c:pt>
                <c:pt idx="23">
                  <c:v>822.8</c:v>
                </c:pt>
                <c:pt idx="24">
                  <c:v>815.81</c:v>
                </c:pt>
                <c:pt idx="25">
                  <c:v>823.84</c:v>
                </c:pt>
                <c:pt idx="26">
                  <c:v>825.54</c:v>
                </c:pt>
                <c:pt idx="27">
                  <c:v>816.98</c:v>
                </c:pt>
                <c:pt idx="28">
                  <c:v>820.71</c:v>
                </c:pt>
                <c:pt idx="29">
                  <c:v>822.1</c:v>
                </c:pt>
                <c:pt idx="30">
                  <c:v>828.38</c:v>
                </c:pt>
                <c:pt idx="31">
                  <c:v>832.84</c:v>
                </c:pt>
                <c:pt idx="32">
                  <c:v>829.32</c:v>
                </c:pt>
                <c:pt idx="33">
                  <c:v>823.24</c:v>
                </c:pt>
                <c:pt idx="34">
                  <c:v>804.49</c:v>
                </c:pt>
                <c:pt idx="35">
                  <c:v>787.47</c:v>
                </c:pt>
                <c:pt idx="36">
                  <c:v>756.69</c:v>
                </c:pt>
                <c:pt idx="37">
                  <c:v>702.79</c:v>
                </c:pt>
                <c:pt idx="38">
                  <c:v>622.84</c:v>
                </c:pt>
                <c:pt idx="39">
                  <c:v>522.20000000000005</c:v>
                </c:pt>
                <c:pt idx="40">
                  <c:v>411.28</c:v>
                </c:pt>
                <c:pt idx="41">
                  <c:v>329.99</c:v>
                </c:pt>
                <c:pt idx="42">
                  <c:v>248.81</c:v>
                </c:pt>
                <c:pt idx="43">
                  <c:v>201.12</c:v>
                </c:pt>
                <c:pt idx="44">
                  <c:v>152.55000000000001</c:v>
                </c:pt>
                <c:pt idx="45">
                  <c:v>121.05</c:v>
                </c:pt>
                <c:pt idx="46">
                  <c:v>100.47</c:v>
                </c:pt>
                <c:pt idx="47">
                  <c:v>90.56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D-475D-979E-69582471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122175"/>
        <c:axId val="857123615"/>
      </c:lineChart>
      <c:catAx>
        <c:axId val="8571221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23615"/>
        <c:crosses val="autoZero"/>
        <c:auto val="1"/>
        <c:lblAlgn val="ctr"/>
        <c:lblOffset val="100"/>
        <c:noMultiLvlLbl val="0"/>
      </c:catAx>
      <c:valAx>
        <c:axId val="85712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2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Summary!$F$3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Summary!$F$4:$F$51</c:f>
              <c:numCache>
                <c:formatCode>0</c:formatCode>
                <c:ptCount val="48"/>
                <c:pt idx="0">
                  <c:v>59.13</c:v>
                </c:pt>
                <c:pt idx="1">
                  <c:v>73.03</c:v>
                </c:pt>
                <c:pt idx="2">
                  <c:v>102.86</c:v>
                </c:pt>
                <c:pt idx="3">
                  <c:v>174.59</c:v>
                </c:pt>
                <c:pt idx="4">
                  <c:v>272.31</c:v>
                </c:pt>
                <c:pt idx="5">
                  <c:v>390.12</c:v>
                </c:pt>
                <c:pt idx="6">
                  <c:v>477.45</c:v>
                </c:pt>
                <c:pt idx="7">
                  <c:v>563.46</c:v>
                </c:pt>
                <c:pt idx="8">
                  <c:v>645.66999999999996</c:v>
                </c:pt>
                <c:pt idx="9">
                  <c:v>727.65</c:v>
                </c:pt>
                <c:pt idx="10">
                  <c:v>776.63</c:v>
                </c:pt>
                <c:pt idx="11">
                  <c:v>809.95</c:v>
                </c:pt>
                <c:pt idx="12">
                  <c:v>830.99</c:v>
                </c:pt>
                <c:pt idx="13">
                  <c:v>856.07</c:v>
                </c:pt>
                <c:pt idx="14">
                  <c:v>876.11</c:v>
                </c:pt>
                <c:pt idx="15">
                  <c:v>888.34</c:v>
                </c:pt>
                <c:pt idx="16">
                  <c:v>896.39</c:v>
                </c:pt>
                <c:pt idx="17">
                  <c:v>890.2</c:v>
                </c:pt>
                <c:pt idx="18">
                  <c:v>878.46</c:v>
                </c:pt>
                <c:pt idx="19">
                  <c:v>856.61</c:v>
                </c:pt>
                <c:pt idx="20">
                  <c:v>839.11</c:v>
                </c:pt>
                <c:pt idx="21">
                  <c:v>819.13</c:v>
                </c:pt>
                <c:pt idx="22">
                  <c:v>802.96</c:v>
                </c:pt>
                <c:pt idx="23">
                  <c:v>783.53</c:v>
                </c:pt>
                <c:pt idx="24">
                  <c:v>780.55</c:v>
                </c:pt>
                <c:pt idx="25">
                  <c:v>785.67</c:v>
                </c:pt>
                <c:pt idx="26">
                  <c:v>793.43</c:v>
                </c:pt>
                <c:pt idx="27">
                  <c:v>797.35</c:v>
                </c:pt>
                <c:pt idx="28">
                  <c:v>792.58</c:v>
                </c:pt>
                <c:pt idx="29">
                  <c:v>789.61</c:v>
                </c:pt>
                <c:pt idx="30">
                  <c:v>780.15</c:v>
                </c:pt>
                <c:pt idx="31">
                  <c:v>774.56</c:v>
                </c:pt>
                <c:pt idx="32">
                  <c:v>777.74</c:v>
                </c:pt>
                <c:pt idx="33">
                  <c:v>785.7</c:v>
                </c:pt>
                <c:pt idx="34">
                  <c:v>783.95</c:v>
                </c:pt>
                <c:pt idx="35">
                  <c:v>760.21</c:v>
                </c:pt>
                <c:pt idx="36">
                  <c:v>720.98</c:v>
                </c:pt>
                <c:pt idx="37">
                  <c:v>658.78</c:v>
                </c:pt>
                <c:pt idx="38">
                  <c:v>583.27</c:v>
                </c:pt>
                <c:pt idx="39">
                  <c:v>482.89</c:v>
                </c:pt>
                <c:pt idx="40">
                  <c:v>375.93</c:v>
                </c:pt>
                <c:pt idx="41">
                  <c:v>294.27</c:v>
                </c:pt>
                <c:pt idx="42">
                  <c:v>220.6</c:v>
                </c:pt>
                <c:pt idx="43">
                  <c:v>180.62</c:v>
                </c:pt>
                <c:pt idx="44">
                  <c:v>143.38</c:v>
                </c:pt>
                <c:pt idx="45">
                  <c:v>117.24</c:v>
                </c:pt>
                <c:pt idx="46">
                  <c:v>97.41</c:v>
                </c:pt>
                <c:pt idx="47">
                  <c:v>87.84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7-4A54-AB89-CE2EFFF5C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064096"/>
        <c:axId val="1240060736"/>
      </c:lineChart>
      <c:catAx>
        <c:axId val="12400640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60736"/>
        <c:crosses val="autoZero"/>
        <c:auto val="1"/>
        <c:lblAlgn val="ctr"/>
        <c:lblOffset val="100"/>
        <c:noMultiLvlLbl val="0"/>
      </c:catAx>
      <c:valAx>
        <c:axId val="12400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Summary!$G$3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Summary!$G$4:$G$51</c:f>
              <c:numCache>
                <c:formatCode>0</c:formatCode>
                <c:ptCount val="48"/>
                <c:pt idx="0">
                  <c:v>63.32</c:v>
                </c:pt>
                <c:pt idx="1">
                  <c:v>74.12</c:v>
                </c:pt>
                <c:pt idx="2">
                  <c:v>100.97</c:v>
                </c:pt>
                <c:pt idx="3">
                  <c:v>168.85</c:v>
                </c:pt>
                <c:pt idx="4">
                  <c:v>258.25</c:v>
                </c:pt>
                <c:pt idx="5">
                  <c:v>364.53</c:v>
                </c:pt>
                <c:pt idx="6">
                  <c:v>448.54</c:v>
                </c:pt>
                <c:pt idx="7">
                  <c:v>528.63</c:v>
                </c:pt>
                <c:pt idx="8">
                  <c:v>622.53</c:v>
                </c:pt>
                <c:pt idx="9">
                  <c:v>702.48</c:v>
                </c:pt>
                <c:pt idx="10">
                  <c:v>757.75</c:v>
                </c:pt>
                <c:pt idx="11">
                  <c:v>782.01</c:v>
                </c:pt>
                <c:pt idx="12">
                  <c:v>808.58</c:v>
                </c:pt>
                <c:pt idx="13">
                  <c:v>839.14</c:v>
                </c:pt>
                <c:pt idx="14">
                  <c:v>857.45</c:v>
                </c:pt>
                <c:pt idx="15">
                  <c:v>860.98</c:v>
                </c:pt>
                <c:pt idx="16">
                  <c:v>854.32</c:v>
                </c:pt>
                <c:pt idx="17">
                  <c:v>854.88</c:v>
                </c:pt>
                <c:pt idx="18">
                  <c:v>849.97</c:v>
                </c:pt>
                <c:pt idx="19">
                  <c:v>831.41</c:v>
                </c:pt>
                <c:pt idx="20">
                  <c:v>802.75</c:v>
                </c:pt>
                <c:pt idx="21">
                  <c:v>772.86</c:v>
                </c:pt>
                <c:pt idx="22">
                  <c:v>753.1</c:v>
                </c:pt>
                <c:pt idx="23">
                  <c:v>738.39</c:v>
                </c:pt>
                <c:pt idx="24">
                  <c:v>744.9</c:v>
                </c:pt>
                <c:pt idx="25">
                  <c:v>750.47</c:v>
                </c:pt>
                <c:pt idx="26">
                  <c:v>753.89</c:v>
                </c:pt>
                <c:pt idx="27">
                  <c:v>752.08</c:v>
                </c:pt>
                <c:pt idx="28">
                  <c:v>748.39</c:v>
                </c:pt>
                <c:pt idx="29">
                  <c:v>756.41</c:v>
                </c:pt>
                <c:pt idx="30">
                  <c:v>756.79</c:v>
                </c:pt>
                <c:pt idx="31">
                  <c:v>763.5</c:v>
                </c:pt>
                <c:pt idx="32">
                  <c:v>751.07</c:v>
                </c:pt>
                <c:pt idx="33">
                  <c:v>740.91</c:v>
                </c:pt>
                <c:pt idx="34">
                  <c:v>726.05</c:v>
                </c:pt>
                <c:pt idx="35">
                  <c:v>706.54</c:v>
                </c:pt>
                <c:pt idx="36">
                  <c:v>677.15</c:v>
                </c:pt>
                <c:pt idx="37">
                  <c:v>621.95000000000005</c:v>
                </c:pt>
                <c:pt idx="38">
                  <c:v>555.19000000000005</c:v>
                </c:pt>
                <c:pt idx="39">
                  <c:v>455.72</c:v>
                </c:pt>
                <c:pt idx="40">
                  <c:v>352.07</c:v>
                </c:pt>
                <c:pt idx="41">
                  <c:v>271.3</c:v>
                </c:pt>
                <c:pt idx="42">
                  <c:v>208.15</c:v>
                </c:pt>
                <c:pt idx="43">
                  <c:v>169.45</c:v>
                </c:pt>
                <c:pt idx="44">
                  <c:v>133.78</c:v>
                </c:pt>
                <c:pt idx="45">
                  <c:v>105.77</c:v>
                </c:pt>
                <c:pt idx="46">
                  <c:v>85.92</c:v>
                </c:pt>
                <c:pt idx="47">
                  <c:v>79.02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1-4481-B8A8-CF214994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71791"/>
        <c:axId val="526555471"/>
      </c:lineChart>
      <c:catAx>
        <c:axId val="5265717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55471"/>
        <c:crosses val="autoZero"/>
        <c:auto val="1"/>
        <c:lblAlgn val="ctr"/>
        <c:lblOffset val="100"/>
        <c:noMultiLvlLbl val="0"/>
      </c:catAx>
      <c:valAx>
        <c:axId val="5265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7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Summary!$H$3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Summary!$H$4:$H$51</c:f>
              <c:numCache>
                <c:formatCode>0</c:formatCode>
                <c:ptCount val="48"/>
                <c:pt idx="0">
                  <c:v>63.5</c:v>
                </c:pt>
                <c:pt idx="1">
                  <c:v>68.56</c:v>
                </c:pt>
                <c:pt idx="2">
                  <c:v>91.17</c:v>
                </c:pt>
                <c:pt idx="3">
                  <c:v>159.44</c:v>
                </c:pt>
                <c:pt idx="4">
                  <c:v>254.71</c:v>
                </c:pt>
                <c:pt idx="5">
                  <c:v>360.31</c:v>
                </c:pt>
                <c:pt idx="6">
                  <c:v>437.98</c:v>
                </c:pt>
                <c:pt idx="7">
                  <c:v>509.77</c:v>
                </c:pt>
                <c:pt idx="8">
                  <c:v>592.63</c:v>
                </c:pt>
                <c:pt idx="9">
                  <c:v>670.03</c:v>
                </c:pt>
                <c:pt idx="10">
                  <c:v>726.5</c:v>
                </c:pt>
                <c:pt idx="11">
                  <c:v>749.85</c:v>
                </c:pt>
                <c:pt idx="12">
                  <c:v>776.32</c:v>
                </c:pt>
                <c:pt idx="13">
                  <c:v>793.33</c:v>
                </c:pt>
                <c:pt idx="14">
                  <c:v>815.6</c:v>
                </c:pt>
                <c:pt idx="15">
                  <c:v>811.25</c:v>
                </c:pt>
                <c:pt idx="16">
                  <c:v>814.67</c:v>
                </c:pt>
                <c:pt idx="17">
                  <c:v>810.26</c:v>
                </c:pt>
                <c:pt idx="18">
                  <c:v>814.18</c:v>
                </c:pt>
                <c:pt idx="19">
                  <c:v>793.4</c:v>
                </c:pt>
                <c:pt idx="20">
                  <c:v>772.77</c:v>
                </c:pt>
                <c:pt idx="21">
                  <c:v>741.99</c:v>
                </c:pt>
                <c:pt idx="22">
                  <c:v>729.07</c:v>
                </c:pt>
                <c:pt idx="23">
                  <c:v>708.03</c:v>
                </c:pt>
                <c:pt idx="24">
                  <c:v>709.69</c:v>
                </c:pt>
                <c:pt idx="25">
                  <c:v>707.24</c:v>
                </c:pt>
                <c:pt idx="26">
                  <c:v>715.92</c:v>
                </c:pt>
                <c:pt idx="27">
                  <c:v>705.21</c:v>
                </c:pt>
                <c:pt idx="28">
                  <c:v>715.48</c:v>
                </c:pt>
                <c:pt idx="29">
                  <c:v>711.35</c:v>
                </c:pt>
                <c:pt idx="30">
                  <c:v>723.29</c:v>
                </c:pt>
                <c:pt idx="31">
                  <c:v>706.82</c:v>
                </c:pt>
                <c:pt idx="32">
                  <c:v>695.16</c:v>
                </c:pt>
                <c:pt idx="33">
                  <c:v>672.05</c:v>
                </c:pt>
                <c:pt idx="34">
                  <c:v>660.61</c:v>
                </c:pt>
                <c:pt idx="35">
                  <c:v>642.13</c:v>
                </c:pt>
                <c:pt idx="36">
                  <c:v>602.04999999999995</c:v>
                </c:pt>
                <c:pt idx="37">
                  <c:v>544.62</c:v>
                </c:pt>
                <c:pt idx="38">
                  <c:v>466.36</c:v>
                </c:pt>
                <c:pt idx="39">
                  <c:v>378.38</c:v>
                </c:pt>
                <c:pt idx="40">
                  <c:v>273.63</c:v>
                </c:pt>
                <c:pt idx="41">
                  <c:v>207.34</c:v>
                </c:pt>
                <c:pt idx="42">
                  <c:v>153.79</c:v>
                </c:pt>
                <c:pt idx="43">
                  <c:v>129.18</c:v>
                </c:pt>
                <c:pt idx="44">
                  <c:v>100.87</c:v>
                </c:pt>
                <c:pt idx="45">
                  <c:v>78.09</c:v>
                </c:pt>
                <c:pt idx="46">
                  <c:v>61.81</c:v>
                </c:pt>
                <c:pt idx="47">
                  <c:v>52.73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B-49A1-B9CA-CF3A2B19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473823"/>
        <c:axId val="963475743"/>
      </c:lineChart>
      <c:catAx>
        <c:axId val="9634738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75743"/>
        <c:crosses val="autoZero"/>
        <c:auto val="1"/>
        <c:lblAlgn val="ctr"/>
        <c:lblOffset val="100"/>
        <c:noMultiLvlLbl val="0"/>
      </c:catAx>
      <c:valAx>
        <c:axId val="96347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7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Summary!$I$3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Summary!$I$4:$I$51</c:f>
              <c:numCache>
                <c:formatCode>0</c:formatCode>
                <c:ptCount val="48"/>
                <c:pt idx="4">
                  <c:v>70.62</c:v>
                </c:pt>
                <c:pt idx="5">
                  <c:v>72.010000000000005</c:v>
                </c:pt>
                <c:pt idx="6">
                  <c:v>76.42</c:v>
                </c:pt>
                <c:pt idx="7">
                  <c:v>82.13</c:v>
                </c:pt>
                <c:pt idx="8">
                  <c:v>92.86</c:v>
                </c:pt>
                <c:pt idx="9">
                  <c:v>103.3</c:v>
                </c:pt>
                <c:pt idx="10">
                  <c:v>110.17</c:v>
                </c:pt>
                <c:pt idx="11">
                  <c:v>113.84</c:v>
                </c:pt>
                <c:pt idx="12">
                  <c:v>118.09</c:v>
                </c:pt>
                <c:pt idx="13">
                  <c:v>119.22</c:v>
                </c:pt>
                <c:pt idx="14">
                  <c:v>122.11</c:v>
                </c:pt>
                <c:pt idx="15">
                  <c:v>121.35</c:v>
                </c:pt>
                <c:pt idx="16">
                  <c:v>119.45</c:v>
                </c:pt>
                <c:pt idx="17">
                  <c:v>115.78</c:v>
                </c:pt>
                <c:pt idx="18">
                  <c:v>113.54</c:v>
                </c:pt>
                <c:pt idx="19">
                  <c:v>111.25</c:v>
                </c:pt>
                <c:pt idx="20">
                  <c:v>105.19</c:v>
                </c:pt>
                <c:pt idx="21">
                  <c:v>101.9</c:v>
                </c:pt>
                <c:pt idx="22">
                  <c:v>99.09</c:v>
                </c:pt>
                <c:pt idx="23">
                  <c:v>93.47</c:v>
                </c:pt>
                <c:pt idx="24">
                  <c:v>87.82</c:v>
                </c:pt>
                <c:pt idx="25">
                  <c:v>83.66</c:v>
                </c:pt>
                <c:pt idx="26">
                  <c:v>80.459999999999994</c:v>
                </c:pt>
                <c:pt idx="27">
                  <c:v>74.239999999999995</c:v>
                </c:pt>
                <c:pt idx="28">
                  <c:v>67.95</c:v>
                </c:pt>
                <c:pt idx="29">
                  <c:v>63.54</c:v>
                </c:pt>
                <c:pt idx="30">
                  <c:v>58.73</c:v>
                </c:pt>
                <c:pt idx="31">
                  <c:v>55.83</c:v>
                </c:pt>
                <c:pt idx="32">
                  <c:v>54.12</c:v>
                </c:pt>
                <c:pt idx="33">
                  <c:v>49.95</c:v>
                </c:pt>
                <c:pt idx="34">
                  <c:v>44.35</c:v>
                </c:pt>
                <c:pt idx="35">
                  <c:v>39.39</c:v>
                </c:pt>
                <c:pt idx="36">
                  <c:v>35.82</c:v>
                </c:pt>
                <c:pt idx="37">
                  <c:v>34.380000000000003</c:v>
                </c:pt>
                <c:pt idx="38">
                  <c:v>0.47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A-43C7-BA26-C41CC3CE1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080399"/>
        <c:axId val="957081839"/>
      </c:lineChart>
      <c:catAx>
        <c:axId val="9570803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81839"/>
        <c:crosses val="autoZero"/>
        <c:auto val="1"/>
        <c:lblAlgn val="ctr"/>
        <c:lblOffset val="100"/>
        <c:noMultiLvlLbl val="0"/>
      </c:catAx>
      <c:valAx>
        <c:axId val="9570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8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Summary!$C$4:$C$51</c:f>
              <c:numCache>
                <c:formatCode>0</c:formatCode>
                <c:ptCount val="48"/>
                <c:pt idx="4">
                  <c:v>5.47</c:v>
                </c:pt>
                <c:pt idx="5">
                  <c:v>5.57</c:v>
                </c:pt>
                <c:pt idx="6">
                  <c:v>5.9</c:v>
                </c:pt>
                <c:pt idx="7">
                  <c:v>7.25</c:v>
                </c:pt>
                <c:pt idx="8">
                  <c:v>18.29</c:v>
                </c:pt>
                <c:pt idx="9">
                  <c:v>20.73</c:v>
                </c:pt>
                <c:pt idx="10">
                  <c:v>22.87</c:v>
                </c:pt>
                <c:pt idx="11">
                  <c:v>22.66</c:v>
                </c:pt>
                <c:pt idx="12">
                  <c:v>23.97</c:v>
                </c:pt>
                <c:pt idx="13">
                  <c:v>24.52</c:v>
                </c:pt>
                <c:pt idx="14">
                  <c:v>25.23</c:v>
                </c:pt>
                <c:pt idx="15">
                  <c:v>26.21</c:v>
                </c:pt>
                <c:pt idx="16">
                  <c:v>26.79</c:v>
                </c:pt>
                <c:pt idx="17">
                  <c:v>26.54</c:v>
                </c:pt>
                <c:pt idx="18">
                  <c:v>26.42</c:v>
                </c:pt>
                <c:pt idx="19">
                  <c:v>25.73</c:v>
                </c:pt>
                <c:pt idx="20">
                  <c:v>24.92</c:v>
                </c:pt>
                <c:pt idx="21">
                  <c:v>24.26</c:v>
                </c:pt>
                <c:pt idx="22">
                  <c:v>23.91</c:v>
                </c:pt>
                <c:pt idx="23">
                  <c:v>23.56</c:v>
                </c:pt>
                <c:pt idx="24">
                  <c:v>23.01</c:v>
                </c:pt>
                <c:pt idx="25">
                  <c:v>23.21</c:v>
                </c:pt>
                <c:pt idx="26">
                  <c:v>24.02</c:v>
                </c:pt>
                <c:pt idx="27">
                  <c:v>23.43</c:v>
                </c:pt>
                <c:pt idx="28">
                  <c:v>22.78</c:v>
                </c:pt>
                <c:pt idx="29">
                  <c:v>21.66</c:v>
                </c:pt>
                <c:pt idx="30">
                  <c:v>21.62</c:v>
                </c:pt>
                <c:pt idx="31">
                  <c:v>19.28</c:v>
                </c:pt>
                <c:pt idx="32">
                  <c:v>9.4499999999999993</c:v>
                </c:pt>
                <c:pt idx="33">
                  <c:v>6.89</c:v>
                </c:pt>
                <c:pt idx="34">
                  <c:v>6.21</c:v>
                </c:pt>
                <c:pt idx="35">
                  <c:v>6.19</c:v>
                </c:pt>
                <c:pt idx="36">
                  <c:v>5.7</c:v>
                </c:pt>
                <c:pt idx="37">
                  <c:v>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0-412D-BDFA-32E191B3B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68896"/>
        <c:axId val="1239169376"/>
      </c:lineChart>
      <c:catAx>
        <c:axId val="1239168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169376"/>
        <c:crosses val="autoZero"/>
        <c:auto val="1"/>
        <c:lblAlgn val="ctr"/>
        <c:lblOffset val="100"/>
        <c:noMultiLvlLbl val="0"/>
      </c:catAx>
      <c:valAx>
        <c:axId val="12391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16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Summary!$J$3</c:f>
              <c:strCache>
                <c:ptCount val="1"/>
                <c:pt idx="0">
                  <c:v>Week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Summary!$J$4:$J$51</c:f>
              <c:numCache>
                <c:formatCode>0</c:formatCode>
                <c:ptCount val="48"/>
                <c:pt idx="0">
                  <c:v>71.527999999999992</c:v>
                </c:pt>
                <c:pt idx="1">
                  <c:v>83.378000000000014</c:v>
                </c:pt>
                <c:pt idx="2">
                  <c:v>112.12</c:v>
                </c:pt>
                <c:pt idx="3">
                  <c:v>188.898</c:v>
                </c:pt>
                <c:pt idx="4">
                  <c:v>291.39</c:v>
                </c:pt>
                <c:pt idx="5">
                  <c:v>413.43400000000003</c:v>
                </c:pt>
                <c:pt idx="6">
                  <c:v>499.83800000000002</c:v>
                </c:pt>
                <c:pt idx="7">
                  <c:v>582.20399999999995</c:v>
                </c:pt>
                <c:pt idx="8">
                  <c:v>671.31399999999996</c:v>
                </c:pt>
                <c:pt idx="9">
                  <c:v>752.80799999999999</c:v>
                </c:pt>
                <c:pt idx="10">
                  <c:v>808.40600000000006</c:v>
                </c:pt>
                <c:pt idx="11">
                  <c:v>836.87400000000014</c:v>
                </c:pt>
                <c:pt idx="12">
                  <c:v>863.21199999999988</c:v>
                </c:pt>
                <c:pt idx="13">
                  <c:v>882.9559999999999</c:v>
                </c:pt>
                <c:pt idx="14">
                  <c:v>899.03800000000012</c:v>
                </c:pt>
                <c:pt idx="15">
                  <c:v>903.6880000000001</c:v>
                </c:pt>
                <c:pt idx="16">
                  <c:v>908.18</c:v>
                </c:pt>
                <c:pt idx="17">
                  <c:v>902.57</c:v>
                </c:pt>
                <c:pt idx="18">
                  <c:v>895.8900000000001</c:v>
                </c:pt>
                <c:pt idx="19">
                  <c:v>877.2879999999999</c:v>
                </c:pt>
                <c:pt idx="20">
                  <c:v>856.62000000000012</c:v>
                </c:pt>
                <c:pt idx="21">
                  <c:v>833.18000000000006</c:v>
                </c:pt>
                <c:pt idx="22">
                  <c:v>811.97800000000007</c:v>
                </c:pt>
                <c:pt idx="23">
                  <c:v>794.83799999999997</c:v>
                </c:pt>
                <c:pt idx="24">
                  <c:v>793.27600000000007</c:v>
                </c:pt>
                <c:pt idx="25">
                  <c:v>797.05799999999999</c:v>
                </c:pt>
                <c:pt idx="26">
                  <c:v>801.3</c:v>
                </c:pt>
                <c:pt idx="27">
                  <c:v>796.54600000000005</c:v>
                </c:pt>
                <c:pt idx="28">
                  <c:v>796.70999999999992</c:v>
                </c:pt>
                <c:pt idx="29">
                  <c:v>796.67199999999991</c:v>
                </c:pt>
                <c:pt idx="30">
                  <c:v>794.85</c:v>
                </c:pt>
                <c:pt idx="31">
                  <c:v>791.14200000000005</c:v>
                </c:pt>
                <c:pt idx="32">
                  <c:v>784.18599999999992</c:v>
                </c:pt>
                <c:pt idx="33">
                  <c:v>778.66000000000008</c:v>
                </c:pt>
                <c:pt idx="34">
                  <c:v>767.02</c:v>
                </c:pt>
                <c:pt idx="35">
                  <c:v>745.49199999999996</c:v>
                </c:pt>
                <c:pt idx="36">
                  <c:v>710.57199999999989</c:v>
                </c:pt>
                <c:pt idx="37">
                  <c:v>653.04</c:v>
                </c:pt>
                <c:pt idx="38">
                  <c:v>578.56799999999998</c:v>
                </c:pt>
                <c:pt idx="39">
                  <c:v>478.18799999999999</c:v>
                </c:pt>
                <c:pt idx="40">
                  <c:v>368.88199999999995</c:v>
                </c:pt>
                <c:pt idx="41">
                  <c:v>287.11799999999999</c:v>
                </c:pt>
                <c:pt idx="42">
                  <c:v>217.16799999999998</c:v>
                </c:pt>
                <c:pt idx="43">
                  <c:v>176.036</c:v>
                </c:pt>
                <c:pt idx="44">
                  <c:v>138.34</c:v>
                </c:pt>
                <c:pt idx="45">
                  <c:v>110.13399999999999</c:v>
                </c:pt>
                <c:pt idx="46">
                  <c:v>91.001999999999995</c:v>
                </c:pt>
                <c:pt idx="47">
                  <c:v>81.53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C-4DDF-AB35-F763B34F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232416"/>
        <c:axId val="1169232896"/>
      </c:lineChart>
      <c:catAx>
        <c:axId val="11692324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32896"/>
        <c:crosses val="autoZero"/>
        <c:auto val="1"/>
        <c:lblAlgn val="ctr"/>
        <c:lblOffset val="100"/>
        <c:noMultiLvlLbl val="0"/>
      </c:catAx>
      <c:valAx>
        <c:axId val="11692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Summary!$K$3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Summary!$B$4:$B$51</c:f>
              <c:numCache>
                <c:formatCode>h:mm</c:formatCode>
                <c:ptCount val="48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0.42708333333333331</c:v>
                </c:pt>
                <c:pt idx="14">
                  <c:v>0.4375</c:v>
                </c:pt>
                <c:pt idx="15">
                  <c:v>0.44791666666666669</c:v>
                </c:pt>
                <c:pt idx="16">
                  <c:v>0.45833333333333331</c:v>
                </c:pt>
                <c:pt idx="17">
                  <c:v>0.46875</c:v>
                </c:pt>
                <c:pt idx="18">
                  <c:v>0.47916666666666669</c:v>
                </c:pt>
                <c:pt idx="19">
                  <c:v>0.48958333333333331</c:v>
                </c:pt>
                <c:pt idx="20">
                  <c:v>0.5</c:v>
                </c:pt>
                <c:pt idx="21">
                  <c:v>0.51041666666666663</c:v>
                </c:pt>
                <c:pt idx="22">
                  <c:v>0.52083333333333337</c:v>
                </c:pt>
                <c:pt idx="23">
                  <c:v>0.53125</c:v>
                </c:pt>
                <c:pt idx="24">
                  <c:v>0.54166666666666663</c:v>
                </c:pt>
                <c:pt idx="25">
                  <c:v>0.55208333333333337</c:v>
                </c:pt>
                <c:pt idx="26">
                  <c:v>0.5625</c:v>
                </c:pt>
                <c:pt idx="27">
                  <c:v>0.57291666666666663</c:v>
                </c:pt>
                <c:pt idx="28">
                  <c:v>0.58333333333333337</c:v>
                </c:pt>
                <c:pt idx="29">
                  <c:v>0.59375</c:v>
                </c:pt>
                <c:pt idx="30">
                  <c:v>0.60416666666666663</c:v>
                </c:pt>
                <c:pt idx="31">
                  <c:v>0.61458333333333337</c:v>
                </c:pt>
                <c:pt idx="32">
                  <c:v>0.625</c:v>
                </c:pt>
                <c:pt idx="33">
                  <c:v>0.63541666666666663</c:v>
                </c:pt>
                <c:pt idx="34">
                  <c:v>0.64583333333333337</c:v>
                </c:pt>
                <c:pt idx="35">
                  <c:v>0.65625</c:v>
                </c:pt>
                <c:pt idx="36">
                  <c:v>0.66666666666666663</c:v>
                </c:pt>
                <c:pt idx="37">
                  <c:v>0.67708333333333337</c:v>
                </c:pt>
                <c:pt idx="38">
                  <c:v>0.6875</c:v>
                </c:pt>
                <c:pt idx="39">
                  <c:v>0.69791666666666663</c:v>
                </c:pt>
                <c:pt idx="40">
                  <c:v>0.70833333333333337</c:v>
                </c:pt>
                <c:pt idx="41">
                  <c:v>0.71875</c:v>
                </c:pt>
                <c:pt idx="42">
                  <c:v>0.72916666666666663</c:v>
                </c:pt>
                <c:pt idx="43">
                  <c:v>0.73958333333333337</c:v>
                </c:pt>
                <c:pt idx="44">
                  <c:v>0.75</c:v>
                </c:pt>
                <c:pt idx="45">
                  <c:v>0.76041666666666663</c:v>
                </c:pt>
                <c:pt idx="46">
                  <c:v>0.77083333333333337</c:v>
                </c:pt>
                <c:pt idx="47">
                  <c:v>0.78125</c:v>
                </c:pt>
              </c:numCache>
            </c:numRef>
          </c:cat>
          <c:val>
            <c:numRef>
              <c:f>Summary!$K$4:$K$51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38.045000000000002</c:v>
                </c:pt>
                <c:pt idx="5">
                  <c:v>38.790000000000006</c:v>
                </c:pt>
                <c:pt idx="6">
                  <c:v>41.160000000000004</c:v>
                </c:pt>
                <c:pt idx="7">
                  <c:v>44.69</c:v>
                </c:pt>
                <c:pt idx="8">
                  <c:v>55.575000000000003</c:v>
                </c:pt>
                <c:pt idx="9">
                  <c:v>62.015000000000001</c:v>
                </c:pt>
                <c:pt idx="10">
                  <c:v>66.52</c:v>
                </c:pt>
                <c:pt idx="11">
                  <c:v>68.25</c:v>
                </c:pt>
                <c:pt idx="12">
                  <c:v>71.03</c:v>
                </c:pt>
                <c:pt idx="13">
                  <c:v>71.87</c:v>
                </c:pt>
                <c:pt idx="14">
                  <c:v>73.67</c:v>
                </c:pt>
                <c:pt idx="15">
                  <c:v>73.78</c:v>
                </c:pt>
                <c:pt idx="16">
                  <c:v>73.12</c:v>
                </c:pt>
                <c:pt idx="17">
                  <c:v>71.16</c:v>
                </c:pt>
                <c:pt idx="18">
                  <c:v>69.98</c:v>
                </c:pt>
                <c:pt idx="19">
                  <c:v>68.489999999999995</c:v>
                </c:pt>
                <c:pt idx="20">
                  <c:v>65.055000000000007</c:v>
                </c:pt>
                <c:pt idx="21">
                  <c:v>63.080000000000005</c:v>
                </c:pt>
                <c:pt idx="22">
                  <c:v>61.5</c:v>
                </c:pt>
                <c:pt idx="23">
                  <c:v>58.515000000000001</c:v>
                </c:pt>
                <c:pt idx="24">
                  <c:v>55.414999999999999</c:v>
                </c:pt>
                <c:pt idx="25">
                  <c:v>53.435000000000002</c:v>
                </c:pt>
                <c:pt idx="26">
                  <c:v>52.239999999999995</c:v>
                </c:pt>
                <c:pt idx="27">
                  <c:v>48.834999999999994</c:v>
                </c:pt>
                <c:pt idx="28">
                  <c:v>45.365000000000002</c:v>
                </c:pt>
                <c:pt idx="29">
                  <c:v>42.6</c:v>
                </c:pt>
                <c:pt idx="30">
                  <c:v>40.174999999999997</c:v>
                </c:pt>
                <c:pt idx="31">
                  <c:v>37.555</c:v>
                </c:pt>
                <c:pt idx="32">
                  <c:v>31.784999999999997</c:v>
                </c:pt>
                <c:pt idx="33">
                  <c:v>28.42</c:v>
                </c:pt>
                <c:pt idx="34">
                  <c:v>25.28</c:v>
                </c:pt>
                <c:pt idx="35">
                  <c:v>22.79</c:v>
                </c:pt>
                <c:pt idx="36">
                  <c:v>20.76</c:v>
                </c:pt>
                <c:pt idx="37">
                  <c:v>20.145000000000003</c:v>
                </c:pt>
                <c:pt idx="38">
                  <c:v>0.47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7-4235-9DEA-340E6713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599567"/>
        <c:axId val="965600047"/>
      </c:lineChart>
      <c:catAx>
        <c:axId val="965599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00047"/>
        <c:crosses val="autoZero"/>
        <c:auto val="1"/>
        <c:lblAlgn val="ctr"/>
        <c:lblOffset val="100"/>
        <c:noMultiLvlLbl val="0"/>
      </c:catAx>
      <c:valAx>
        <c:axId val="9656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9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25400</xdr:rowOff>
    </xdr:from>
    <xdr:to>
      <xdr:col>20</xdr:col>
      <xdr:colOff>9525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19D45-F3AA-290D-1431-CAD17B84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168275</xdr:colOff>
      <xdr:row>2</xdr:row>
      <xdr:rowOff>44450</xdr:rowOff>
    </xdr:from>
    <xdr:to>
      <xdr:col>27</xdr:col>
      <xdr:colOff>473075</xdr:colOff>
      <xdr:row>17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B2BE1-C633-4E44-B1BB-A580B3D70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327025</xdr:colOff>
      <xdr:row>18</xdr:row>
      <xdr:rowOff>6350</xdr:rowOff>
    </xdr:from>
    <xdr:to>
      <xdr:col>20</xdr:col>
      <xdr:colOff>22225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83E307-D613-3274-056D-2674764D7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187325</xdr:colOff>
      <xdr:row>18</xdr:row>
      <xdr:rowOff>19050</xdr:rowOff>
    </xdr:from>
    <xdr:to>
      <xdr:col>27</xdr:col>
      <xdr:colOff>492125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6C222B-7059-DCC6-1C59-29536F826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339725</xdr:colOff>
      <xdr:row>33</xdr:row>
      <xdr:rowOff>88900</xdr:rowOff>
    </xdr:from>
    <xdr:to>
      <xdr:col>20</xdr:col>
      <xdr:colOff>34925</xdr:colOff>
      <xdr:row>48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08DB18-1867-563F-1467-980B675C7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231775</xdr:colOff>
      <xdr:row>33</xdr:row>
      <xdr:rowOff>82550</xdr:rowOff>
    </xdr:from>
    <xdr:to>
      <xdr:col>27</xdr:col>
      <xdr:colOff>536575</xdr:colOff>
      <xdr:row>48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DEE5D2-B227-575C-9BAE-4FDFA6313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352425</xdr:colOff>
      <xdr:row>49</xdr:row>
      <xdr:rowOff>31750</xdr:rowOff>
    </xdr:from>
    <xdr:to>
      <xdr:col>20</xdr:col>
      <xdr:colOff>47625</xdr:colOff>
      <xdr:row>64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6C0057-6244-7627-9A5E-ACC38C2EB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339725</xdr:colOff>
      <xdr:row>64</xdr:row>
      <xdr:rowOff>114300</xdr:rowOff>
    </xdr:from>
    <xdr:to>
      <xdr:col>14</xdr:col>
      <xdr:colOff>555625</xdr:colOff>
      <xdr:row>79</xdr:row>
      <xdr:rowOff>88900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120B45-DB5E-0DBD-1C5F-D1352E149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28575</xdr:colOff>
      <xdr:row>64</xdr:row>
      <xdr:rowOff>120650</xdr:rowOff>
    </xdr:from>
    <xdr:to>
      <xdr:col>22</xdr:col>
      <xdr:colOff>333375</xdr:colOff>
      <xdr:row>79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9FFD06-DB38-5AC2-23A1-A87070F27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un Das" refreshedDate="46231.983642708336" createdVersion="8" refreshedVersion="8" minRefreshableVersion="3" recordCount="310" xr:uid="{44B1165A-90AD-4E26-A95A-E92995040F6D}">
  <cacheSource type="worksheet">
    <worksheetSource ref="B4:Y314" sheet="Raw Data"/>
  </cacheSource>
  <cacheFields count="26">
    <cacheField name="Date" numFmtId="14">
      <sharedItems containsSemiMixedTypes="0" containsNonDate="0" containsDate="1" containsString="0" minDate="2026-07-20T00:00:00" maxDate="2026-07-27T00:00:00"/>
    </cacheField>
    <cacheField name="Day" numFmtId="14">
      <sharedItems count="7">
        <s v="Mon"/>
        <s v="Tue"/>
        <s v="Wed"/>
        <s v="Thu"/>
        <s v="Fri"/>
        <s v="Sat"/>
        <s v="Sun"/>
      </sharedItems>
    </cacheField>
    <cacheField name="Interval" numFmtId="20">
      <sharedItems containsSemiMixedTypes="0" containsNonDate="0" containsDate="1" containsString="0" minDate="1899-12-30T07:00:00" maxDate="1899-12-30T18:45:00"/>
    </cacheField>
    <cacheField name="Interval2" numFmtId="20">
      <sharedItems count="3">
        <s v="Morning Intervals"/>
        <s v="Afternoon Intervals"/>
        <s v="Evening Intervals"/>
      </sharedItems>
    </cacheField>
    <cacheField name="Forecasted volume" numFmtId="0">
      <sharedItems containsSemiMixedTypes="0" containsString="0" containsNumber="1" minValue="0" maxValue="1031.52"/>
    </cacheField>
    <cacheField name="Actual volume" numFmtId="0">
      <sharedItems containsString="0" containsBlank="1" containsNumber="1" containsInteger="1" minValue="1" maxValue="1094"/>
    </cacheField>
    <cacheField name="Difference (%)" numFmtId="10">
      <sharedItems containsSemiMixedTypes="0" containsString="0" containsNumber="1" minValue="-0.83040000000000003" maxValue="0.49280000000000002"/>
    </cacheField>
    <cacheField name="Forecasted average handling time (s)" numFmtId="164">
      <sharedItems containsSemiMixedTypes="0" containsString="0" containsNumber="1" minValue="0" maxValue="481.21"/>
    </cacheField>
    <cacheField name="Actual average handling time (s)" numFmtId="164">
      <sharedItems containsString="0" containsBlank="1" containsNumber="1" minValue="159.5" maxValue="610.25"/>
    </cacheField>
    <cacheField name="Workload" numFmtId="164">
      <sharedItems containsSemiMixedTypes="0" containsString="0" containsNumber="1" minValue="0" maxValue="484762.34"/>
    </cacheField>
    <cacheField name="Details" numFmtId="0">
      <sharedItems containsSemiMixedTypes="0" containsString="0" containsNumber="1" containsInteger="1" minValue="0" maxValue="1"/>
    </cacheField>
    <cacheField name="Difference (%)2" numFmtId="10">
      <sharedItems containsSemiMixedTypes="0" containsString="0" containsNumber="1" minValue="-0.63739999999999997" maxValue="0.37669999999999998"/>
    </cacheField>
    <cacheField name="Service level (%)" numFmtId="0">
      <sharedItems containsString="0" containsBlank="1" containsNumber="1" minValue="0.33" maxValue="1"/>
    </cacheField>
    <cacheField name="Fails" numFmtId="1">
      <sharedItems containsSemiMixedTypes="0" containsString="0" containsNumber="1" containsInteger="1" minValue="0" maxValue="1"/>
    </cacheField>
    <cacheField name="Workload SL" numFmtId="1">
      <sharedItems containsSemiMixedTypes="0" containsString="0" containsNumber="1" minValue="0" maxValue="829.98"/>
    </cacheField>
    <cacheField name="PSL (%)" numFmtId="10">
      <sharedItems containsSemiMixedTypes="0" containsString="0" containsNumber="1" minValue="0" maxValue="0.98560000000000003"/>
    </cacheField>
    <cacheField name="Abandoned rate (%)" numFmtId="0">
      <sharedItems containsString="0" containsBlank="1" containsNumber="1" minValue="0" maxValue="0.13189999999999999"/>
    </cacheField>
    <cacheField name="Average speed of answer (s)" numFmtId="0">
      <sharedItems containsString="0" containsBlank="1" containsNumber="1" minValue="4.5" maxValue="148.59"/>
    </cacheField>
    <cacheField name="PASA (s)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orecasted agents" numFmtId="0">
      <sharedItems containsSemiMixedTypes="0" containsString="0" containsNumber="1" minValue="0" maxValue="648.08000000000004"/>
    </cacheField>
    <cacheField name="Required agents" numFmtId="0">
      <sharedItems containsSemiMixedTypes="0" containsString="0" containsNumber="1" minValue="0" maxValue="666.56"/>
    </cacheField>
    <cacheField name="Scheduled agents" numFmtId="0">
      <sharedItems containsSemiMixedTypes="0" containsString="0" containsNumber="1" minValue="0" maxValue="629.20000000000005"/>
    </cacheField>
    <cacheField name="Reforecasted agents" numFmtId="0">
      <sharedItems containsNonDate="0" containsString="0" containsBlank="1"/>
    </cacheField>
    <cacheField name="SL Computation" numFmtId="0" formula="'Workload SL'/'Actual volume'" databaseField="0"/>
    <cacheField name="AHT 1" numFmtId="0" formula="Workload/'Actual volu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d v="2026-07-20T00:00:00"/>
    <x v="0"/>
    <d v="1899-12-30T07:00:00"/>
    <x v="0"/>
    <n v="98.91"/>
    <n v="77"/>
    <n v="-0.2215"/>
    <n v="324.39"/>
    <n v="352.21"/>
    <n v="27120.17"/>
    <n v="1"/>
    <n v="8.5800000000000001E-2"/>
    <n v="0.85"/>
    <n v="0"/>
    <n v="65.45"/>
    <n v="0.88580000000000003"/>
    <n v="1.2999999999999999E-2"/>
    <n v="18.97"/>
    <m/>
    <m/>
    <n v="70.58"/>
    <n v="58.54"/>
    <n v="77.53"/>
    <m/>
  </r>
  <r>
    <d v="2026-07-20T00:00:00"/>
    <x v="0"/>
    <d v="1899-12-30T07:15:00"/>
    <x v="0"/>
    <n v="112.39"/>
    <n v="97"/>
    <n v="-0.13700000000000001"/>
    <n v="334.59"/>
    <n v="315.20999999999998"/>
    <n v="30575.37"/>
    <n v="0"/>
    <n v="-5.79E-2"/>
    <n v="0.86"/>
    <n v="0"/>
    <n v="83.42"/>
    <n v="0.84560000000000002"/>
    <n v="0"/>
    <n v="34"/>
    <m/>
    <m/>
    <n v="79.42"/>
    <n v="65.430000000000007"/>
    <n v="81.93"/>
    <m/>
  </r>
  <r>
    <d v="2026-07-20T00:00:00"/>
    <x v="0"/>
    <d v="1899-12-30T07:30:00"/>
    <x v="0"/>
    <n v="145.75"/>
    <n v="145"/>
    <n v="-5.1999999999999998E-3"/>
    <n v="338.85"/>
    <n v="346.18"/>
    <n v="50196.1"/>
    <n v="1"/>
    <n v="2.1600000000000001E-2"/>
    <n v="0.89"/>
    <n v="0"/>
    <n v="129.05000000000001"/>
    <n v="0.88200000000000001"/>
    <n v="0"/>
    <n v="15.97"/>
    <m/>
    <m/>
    <n v="99.02"/>
    <n v="97.9"/>
    <n v="123.8"/>
    <m/>
  </r>
  <r>
    <d v="2026-07-20T00:00:00"/>
    <x v="0"/>
    <d v="1899-12-30T07:45:00"/>
    <x v="0"/>
    <n v="243.2"/>
    <n v="188"/>
    <n v="-0.22700000000000001"/>
    <n v="342.72"/>
    <n v="334.75"/>
    <n v="62933"/>
    <n v="0"/>
    <n v="-2.3300000000000001E-2"/>
    <n v="0.89"/>
    <n v="0"/>
    <n v="167.32"/>
    <n v="0.75819999999999999"/>
    <n v="5.3E-3"/>
    <n v="19.82"/>
    <m/>
    <m/>
    <n v="153.33000000000001"/>
    <n v="116.27"/>
    <n v="140.66999999999999"/>
    <m/>
  </r>
  <r>
    <d v="2026-07-20T00:00:00"/>
    <x v="0"/>
    <d v="1899-12-30T08:00:00"/>
    <x v="0"/>
    <n v="368.06"/>
    <n v="393"/>
    <n v="6.7699999999999996E-2"/>
    <n v="348.97"/>
    <n v="375.37"/>
    <n v="147520.41"/>
    <n v="1"/>
    <n v="7.5700000000000003E-2"/>
    <n v="0.84"/>
    <n v="0"/>
    <n v="330.12"/>
    <n v="0.93859999999999999"/>
    <n v="1.0200000000000001E-2"/>
    <n v="21.04"/>
    <m/>
    <m/>
    <n v="218.59"/>
    <n v="234.12"/>
    <n v="297.47000000000003"/>
    <m/>
  </r>
  <r>
    <d v="2026-07-20T00:00:00"/>
    <x v="0"/>
    <d v="1899-12-30T08:15:00"/>
    <x v="0"/>
    <n v="517.22"/>
    <n v="526"/>
    <n v="1.7000000000000001E-2"/>
    <n v="362.67"/>
    <n v="414.77"/>
    <n v="218169.02"/>
    <n v="1"/>
    <n v="0.14369999999999999"/>
    <n v="0.64"/>
    <n v="1"/>
    <n v="336.64"/>
    <n v="0.82640000000000002"/>
    <n v="2.8500000000000001E-2"/>
    <n v="60.98"/>
    <m/>
    <m/>
    <n v="300.47000000000003"/>
    <n v="332.68"/>
    <n v="301.73"/>
    <m/>
  </r>
  <r>
    <d v="2026-07-20T00:00:00"/>
    <x v="0"/>
    <d v="1899-12-30T08:30:00"/>
    <x v="0"/>
    <n v="610.98"/>
    <n v="580"/>
    <n v="-5.0700000000000002E-2"/>
    <n v="375.06"/>
    <n v="381.67"/>
    <n v="221368.6"/>
    <n v="1"/>
    <n v="1.7600000000000001E-2"/>
    <n v="0.49"/>
    <n v="1"/>
    <n v="284.2"/>
    <n v="0.85"/>
    <n v="0.11550000000000001"/>
    <n v="110.75"/>
    <m/>
    <m/>
    <n v="355.57"/>
    <n v="334.19"/>
    <n v="369.47"/>
    <m/>
  </r>
  <r>
    <d v="2026-07-20T00:00:00"/>
    <x v="0"/>
    <d v="1899-12-30T08:45:00"/>
    <x v="0"/>
    <n v="704.66"/>
    <n v="704"/>
    <n v="-8.9999999999999998E-4"/>
    <n v="387.41"/>
    <n v="341.68"/>
    <n v="240542.72"/>
    <n v="0"/>
    <n v="-0.1181"/>
    <n v="0.39"/>
    <n v="1"/>
    <n v="274.56"/>
    <n v="0.75"/>
    <n v="9.9400000000000002E-2"/>
    <n v="148.59"/>
    <m/>
    <m/>
    <n v="412.85"/>
    <n v="354.09"/>
    <n v="372.93"/>
    <m/>
  </r>
  <r>
    <d v="2026-07-20T00:00:00"/>
    <x v="0"/>
    <d v="1899-12-30T09:00:00"/>
    <x v="0"/>
    <n v="804.16"/>
    <n v="838"/>
    <n v="4.2099999999999999E-2"/>
    <n v="396.26"/>
    <n v="302.94"/>
    <n v="253863.72"/>
    <n v="0"/>
    <n v="-0.23549999999999999"/>
    <n v="0.36"/>
    <n v="1"/>
    <n v="301.68"/>
    <n v="0.75749999999999995"/>
    <n v="7.8799999999999995E-2"/>
    <n v="122.12"/>
    <m/>
    <m/>
    <n v="472.63"/>
    <n v="378.03"/>
    <n v="441.13"/>
    <m/>
  </r>
  <r>
    <d v="2026-07-20T00:00:00"/>
    <x v="0"/>
    <d v="1899-12-30T09:15:00"/>
    <x v="0"/>
    <n v="892.88"/>
    <n v="898"/>
    <n v="5.7000000000000002E-3"/>
    <n v="401.75"/>
    <n v="314.10000000000002"/>
    <n v="282061.80000000005"/>
    <n v="0"/>
    <n v="-0.21820000000000001"/>
    <n v="0.62"/>
    <n v="1"/>
    <n v="556.76"/>
    <n v="0.75870000000000004"/>
    <n v="5.6800000000000003E-2"/>
    <n v="66.59"/>
    <m/>
    <m/>
    <n v="526.83000000000004"/>
    <n v="420.2"/>
    <n v="474.33"/>
    <m/>
  </r>
  <r>
    <d v="2026-07-20T00:00:00"/>
    <x v="0"/>
    <d v="1899-12-30T09:30:00"/>
    <x v="0"/>
    <n v="948.58"/>
    <n v="1061"/>
    <n v="0.11849999999999999"/>
    <n v="408.48"/>
    <n v="351.96"/>
    <n v="373429.56"/>
    <n v="0"/>
    <n v="-0.1384"/>
    <n v="0.57999999999999996"/>
    <n v="1"/>
    <n v="615.38"/>
    <n v="0.77380000000000004"/>
    <n v="2.2599999999999999E-2"/>
    <n v="59.11"/>
    <m/>
    <m/>
    <n v="565.87"/>
    <n v="530.21"/>
    <n v="529.4"/>
    <m/>
  </r>
  <r>
    <d v="2026-07-20T00:00:00"/>
    <x v="0"/>
    <d v="1899-12-30T09:45:00"/>
    <x v="0"/>
    <n v="974.87"/>
    <n v="1009"/>
    <n v="3.5000000000000003E-2"/>
    <n v="416.09"/>
    <n v="404.33"/>
    <n v="407968.97"/>
    <n v="0"/>
    <n v="-2.8199999999999999E-2"/>
    <n v="0.52"/>
    <n v="1"/>
    <n v="524.68000000000006"/>
    <n v="0.74890000000000001"/>
    <n v="4.2599999999999999E-2"/>
    <n v="73.05"/>
    <m/>
    <m/>
    <n v="590.21"/>
    <n v="572.88"/>
    <n v="532.27"/>
    <m/>
  </r>
  <r>
    <d v="2026-07-20T00:00:00"/>
    <x v="0"/>
    <d v="1899-12-30T10:00:00"/>
    <x v="0"/>
    <n v="1006.42"/>
    <n v="1016"/>
    <n v="9.4999999999999998E-3"/>
    <n v="421.71"/>
    <n v="415.1"/>
    <n v="421741.60000000003"/>
    <n v="0"/>
    <n v="-1.5699999999999999E-2"/>
    <n v="0.48"/>
    <n v="1"/>
    <n v="487.68"/>
    <n v="0.75539999999999996"/>
    <n v="3.7400000000000003E-2"/>
    <n v="68.13"/>
    <m/>
    <m/>
    <n v="614.79"/>
    <n v="592.66"/>
    <n v="558.66999999999996"/>
    <m/>
  </r>
  <r>
    <d v="2026-07-20T00:00:00"/>
    <x v="0"/>
    <d v="1899-12-30T10:15:00"/>
    <x v="0"/>
    <n v="1017.08"/>
    <n v="1058"/>
    <n v="4.02E-2"/>
    <n v="427.96"/>
    <n v="424.92"/>
    <n v="449565.36000000004"/>
    <n v="0"/>
    <n v="-7.1000000000000004E-3"/>
    <n v="0.41"/>
    <n v="1"/>
    <n v="433.78"/>
    <n v="0.71709999999999996"/>
    <n v="5.3900000000000003E-2"/>
    <n v="105.83"/>
    <m/>
    <m/>
    <n v="628.07000000000005"/>
    <n v="626.84"/>
    <n v="557.47"/>
    <m/>
  </r>
  <r>
    <d v="2026-07-20T00:00:00"/>
    <x v="0"/>
    <d v="1899-12-30T10:30:00"/>
    <x v="0"/>
    <n v="1031.52"/>
    <n v="1019"/>
    <n v="-1.21E-2"/>
    <n v="431.69"/>
    <n v="435.81"/>
    <n v="444090.39"/>
    <n v="1"/>
    <n v="9.4999999999999998E-3"/>
    <n v="0.52"/>
    <n v="1"/>
    <n v="529.88"/>
    <n v="0.79410000000000003"/>
    <n v="3.3399999999999999E-2"/>
    <n v="77.83"/>
    <m/>
    <m/>
    <n v="641.21"/>
    <n v="616.89"/>
    <n v="596.73"/>
    <m/>
  </r>
  <r>
    <d v="2026-07-20T00:00:00"/>
    <x v="0"/>
    <d v="1899-12-30T10:45:00"/>
    <x v="0"/>
    <n v="1024.6199999999999"/>
    <n v="1041"/>
    <n v="1.6E-2"/>
    <n v="433.61"/>
    <n v="411.11"/>
    <n v="427965.51"/>
    <n v="0"/>
    <n v="-5.1900000000000002E-2"/>
    <n v="0.5"/>
    <n v="1"/>
    <n v="520.5"/>
    <n v="0.80210000000000004"/>
    <n v="3.6499999999999998E-2"/>
    <n v="70.510000000000005"/>
    <m/>
    <m/>
    <n v="640.07000000000005"/>
    <n v="593.89"/>
    <n v="594.4"/>
    <m/>
  </r>
  <r>
    <d v="2026-07-20T00:00:00"/>
    <x v="0"/>
    <d v="1899-12-30T11:00:00"/>
    <x v="0"/>
    <n v="1027.8"/>
    <n v="1013"/>
    <n v="-1.44E-2"/>
    <n v="438.04"/>
    <n v="439.71"/>
    <n v="445426.23"/>
    <n v="1"/>
    <n v="3.8E-3"/>
    <n v="0.44"/>
    <n v="1"/>
    <n v="445.72"/>
    <n v="0.79339999999999999"/>
    <n v="3.85E-2"/>
    <n v="89.72"/>
    <m/>
    <m/>
    <n v="648.08000000000004"/>
    <n v="616.25"/>
    <n v="605.47"/>
    <m/>
  </r>
  <r>
    <d v="2026-07-20T00:00:00"/>
    <x v="0"/>
    <d v="1899-12-30T11:15:00"/>
    <x v="0"/>
    <n v="1013.66"/>
    <n v="1063"/>
    <n v="4.87E-2"/>
    <n v="440.74"/>
    <n v="434.82"/>
    <n v="462213.66"/>
    <n v="0"/>
    <n v="-1.34E-2"/>
    <n v="0.56999999999999995"/>
    <n v="1"/>
    <n v="605.91"/>
    <n v="0.79949999999999999"/>
    <n v="4.2299999999999997E-2"/>
    <n v="62.59"/>
    <m/>
    <m/>
    <n v="642.9"/>
    <n v="650.58000000000004"/>
    <n v="603.07000000000005"/>
    <m/>
  </r>
  <r>
    <d v="2026-07-20T00:00:00"/>
    <x v="0"/>
    <d v="1899-12-30T11:30:00"/>
    <x v="0"/>
    <n v="1008.05"/>
    <n v="1094"/>
    <n v="8.5300000000000001E-2"/>
    <n v="440.85"/>
    <n v="443.11"/>
    <n v="484762.34"/>
    <n v="1"/>
    <n v="5.1000000000000004E-3"/>
    <n v="0.39"/>
    <n v="1"/>
    <n v="426.66"/>
    <n v="0.79700000000000004"/>
    <n v="4.7500000000000001E-2"/>
    <n v="74.67"/>
    <m/>
    <m/>
    <n v="640.22"/>
    <n v="666.56"/>
    <n v="595.13"/>
    <m/>
  </r>
  <r>
    <d v="2026-07-20T00:00:00"/>
    <x v="0"/>
    <d v="1899-12-30T11:45:00"/>
    <x v="0"/>
    <n v="996.97"/>
    <n v="1031"/>
    <n v="3.4099999999999998E-2"/>
    <n v="443.02"/>
    <n v="438.8"/>
    <n v="452402.8"/>
    <n v="0"/>
    <n v="-9.4999999999999998E-3"/>
    <n v="0.42"/>
    <n v="1"/>
    <n v="433.02"/>
    <n v="0.79730000000000001"/>
    <n v="5.33E-2"/>
    <n v="74.37"/>
    <m/>
    <m/>
    <n v="637.21"/>
    <n v="627.46"/>
    <n v="599.79999999999995"/>
    <m/>
  </r>
  <r>
    <d v="2026-07-20T00:00:00"/>
    <x v="0"/>
    <d v="1899-12-30T12:00:00"/>
    <x v="1"/>
    <n v="980.42"/>
    <n v="1021"/>
    <n v="4.1399999999999999E-2"/>
    <n v="444.79"/>
    <n v="455.81"/>
    <n v="465382.01"/>
    <n v="1"/>
    <n v="2.4799999999999999E-2"/>
    <n v="0.49"/>
    <n v="1"/>
    <n v="500.28999999999996"/>
    <n v="0.7974"/>
    <n v="3.5299999999999998E-2"/>
    <n v="72.37"/>
    <m/>
    <m/>
    <n v="632.25"/>
    <n v="640.99"/>
    <n v="589.79999999999995"/>
    <m/>
  </r>
  <r>
    <d v="2026-07-20T00:00:00"/>
    <x v="0"/>
    <d v="1899-12-30T12:15:00"/>
    <x v="1"/>
    <n v="962.84"/>
    <n v="1022"/>
    <n v="6.1400000000000003E-2"/>
    <n v="446.04"/>
    <n v="457.04"/>
    <n v="467094.88"/>
    <n v="1"/>
    <n v="2.46E-2"/>
    <n v="0.35"/>
    <n v="1"/>
    <n v="357.7"/>
    <n v="0.80089999999999995"/>
    <n v="5.5800000000000002E-2"/>
    <n v="90.59"/>
    <m/>
    <m/>
    <n v="621.80999999999995"/>
    <n v="644.29999999999995"/>
    <n v="574.27"/>
    <m/>
  </r>
  <r>
    <d v="2026-07-20T00:00:00"/>
    <x v="0"/>
    <d v="1899-12-30T12:30:00"/>
    <x v="1"/>
    <n v="940.55"/>
    <n v="935"/>
    <n v="-5.8999999999999999E-3"/>
    <n v="446.34"/>
    <n v="436.01"/>
    <n v="407669.35"/>
    <n v="0"/>
    <n v="-2.3199999999999998E-2"/>
    <n v="0.44"/>
    <n v="1"/>
    <n v="411.4"/>
    <n v="0.80469999999999997"/>
    <n v="4.3900000000000002E-2"/>
    <n v="73.12"/>
    <m/>
    <m/>
    <n v="607.49"/>
    <n v="569.46"/>
    <n v="568.92999999999995"/>
    <m/>
  </r>
  <r>
    <d v="2026-07-20T00:00:00"/>
    <x v="0"/>
    <d v="1899-12-30T12:45:00"/>
    <x v="1"/>
    <n v="921.44"/>
    <n v="912"/>
    <n v="-1.0200000000000001E-2"/>
    <n v="445.14"/>
    <n v="449.34"/>
    <n v="409798.07999999996"/>
    <n v="1"/>
    <n v="9.4000000000000004E-3"/>
    <n v="0.47"/>
    <n v="1"/>
    <n v="428.64"/>
    <n v="0.8206"/>
    <n v="3.6200000000000003E-2"/>
    <n v="49.65"/>
    <m/>
    <m/>
    <n v="592.66"/>
    <n v="570.61"/>
    <n v="561.47"/>
    <m/>
  </r>
  <r>
    <d v="2026-07-20T00:00:00"/>
    <x v="0"/>
    <d v="1899-12-30T13:00:00"/>
    <x v="1"/>
    <n v="915.43"/>
    <n v="960"/>
    <n v="4.87E-2"/>
    <n v="445.04"/>
    <n v="455.14"/>
    <n v="436934.39999999997"/>
    <n v="1"/>
    <n v="2.2700000000000001E-2"/>
    <n v="0.41"/>
    <n v="1"/>
    <n v="393.59999999999997"/>
    <n v="0.80620000000000003"/>
    <n v="3.7499999999999999E-2"/>
    <n v="69.599999999999994"/>
    <m/>
    <m/>
    <n v="590.19000000000005"/>
    <n v="606.82000000000005"/>
    <n v="553.20000000000005"/>
    <m/>
  </r>
  <r>
    <d v="2026-07-20T00:00:00"/>
    <x v="0"/>
    <d v="1899-12-30T13:15:00"/>
    <x v="1"/>
    <n v="918.07"/>
    <n v="956"/>
    <n v="4.1300000000000003E-2"/>
    <n v="449.16"/>
    <n v="432.69"/>
    <n v="413651.64"/>
    <n v="0"/>
    <n v="-3.6700000000000003E-2"/>
    <n v="0.44"/>
    <n v="1"/>
    <n v="420.64"/>
    <n v="0.78390000000000004"/>
    <n v="3.6600000000000001E-2"/>
    <n v="75.16"/>
    <m/>
    <m/>
    <n v="598.17999999999995"/>
    <n v="578.69000000000005"/>
    <n v="549.53"/>
    <m/>
  </r>
  <r>
    <d v="2026-07-20T00:00:00"/>
    <x v="0"/>
    <d v="1899-12-30T13:30:00"/>
    <x v="1"/>
    <n v="917.72"/>
    <n v="999"/>
    <n v="8.8599999999999998E-2"/>
    <n v="449.07"/>
    <n v="447.5"/>
    <n v="447052.5"/>
    <n v="0"/>
    <n v="-3.5000000000000001E-3"/>
    <n v="0.43"/>
    <n v="1"/>
    <n v="429.57"/>
    <n v="0.78380000000000005"/>
    <n v="4.1000000000000002E-2"/>
    <n v="83.22"/>
    <m/>
    <m/>
    <n v="598.53"/>
    <n v="619.88"/>
    <n v="544.27"/>
    <m/>
  </r>
  <r>
    <d v="2026-07-20T00:00:00"/>
    <x v="0"/>
    <d v="1899-12-30T13:45:00"/>
    <x v="1"/>
    <n v="911.11"/>
    <n v="952"/>
    <n v="4.4900000000000002E-2"/>
    <n v="449.49"/>
    <n v="439.24"/>
    <n v="418156.48"/>
    <n v="0"/>
    <n v="-2.2800000000000001E-2"/>
    <n v="0.39"/>
    <n v="1"/>
    <n v="371.28000000000003"/>
    <n v="0.80549999999999999"/>
    <n v="4.7300000000000002E-2"/>
    <n v="82"/>
    <m/>
    <m/>
    <n v="594.19000000000005"/>
    <n v="585.05999999999995"/>
    <n v="554.47"/>
    <m/>
  </r>
  <r>
    <d v="2026-07-20T00:00:00"/>
    <x v="0"/>
    <d v="1899-12-30T14:00:00"/>
    <x v="1"/>
    <n v="906.39"/>
    <n v="935"/>
    <n v="3.1600000000000003E-2"/>
    <n v="449.59"/>
    <n v="459.33"/>
    <n v="429473.55"/>
    <n v="1"/>
    <n v="2.1700000000000001E-2"/>
    <n v="0.39"/>
    <n v="1"/>
    <n v="364.65000000000003"/>
    <n v="0.8165"/>
    <n v="4.8099999999999997E-2"/>
    <n v="78.25"/>
    <m/>
    <m/>
    <n v="591.16"/>
    <n v="596.98"/>
    <n v="548.73"/>
    <m/>
  </r>
  <r>
    <d v="2026-07-20T00:00:00"/>
    <x v="0"/>
    <d v="1899-12-30T14:15:00"/>
    <x v="1"/>
    <n v="903.89"/>
    <n v="1025"/>
    <n v="0.13400000000000001"/>
    <n v="454.8"/>
    <n v="447.02"/>
    <n v="458195.5"/>
    <n v="0"/>
    <n v="-1.7100000000000001E-2"/>
    <n v="0.33"/>
    <n v="1"/>
    <n v="338.25"/>
    <n v="0.80210000000000004"/>
    <n v="4.2000000000000003E-2"/>
    <n v="88.12"/>
    <m/>
    <m/>
    <n v="596.20000000000005"/>
    <n v="635.04"/>
    <n v="554.79999999999995"/>
    <m/>
  </r>
  <r>
    <d v="2026-07-20T00:00:00"/>
    <x v="0"/>
    <d v="1899-12-30T14:30:00"/>
    <x v="1"/>
    <n v="885.64"/>
    <n v="958"/>
    <n v="8.1699999999999995E-2"/>
    <n v="456.51"/>
    <n v="457.63"/>
    <n v="438409.54"/>
    <n v="1"/>
    <n v="2.5000000000000001E-3"/>
    <n v="0.43"/>
    <n v="1"/>
    <n v="411.94"/>
    <n v="0.81230000000000002"/>
    <n v="5.0099999999999999E-2"/>
    <n v="81.72"/>
    <m/>
    <m/>
    <n v="587.73"/>
    <n v="607.49"/>
    <n v="548.87"/>
    <m/>
  </r>
  <r>
    <d v="2026-07-20T00:00:00"/>
    <x v="0"/>
    <d v="1899-12-30T14:45:00"/>
    <x v="1"/>
    <n v="877.99"/>
    <n v="927"/>
    <n v="5.5800000000000002E-2"/>
    <n v="458.24"/>
    <n v="462.05"/>
    <n v="428320.35000000003"/>
    <n v="1"/>
    <n v="8.3000000000000001E-3"/>
    <n v="0.49"/>
    <n v="1"/>
    <n v="454.23"/>
    <n v="0.83460000000000001"/>
    <n v="6.6900000000000001E-2"/>
    <n v="84.47"/>
    <m/>
    <m/>
    <n v="584.77"/>
    <n v="594.94000000000005"/>
    <n v="557.79999999999995"/>
    <m/>
  </r>
  <r>
    <d v="2026-07-20T00:00:00"/>
    <x v="0"/>
    <d v="1899-12-30T15:00:00"/>
    <x v="2"/>
    <n v="867.64"/>
    <n v="900"/>
    <n v="3.73E-2"/>
    <n v="457.18"/>
    <n v="423.98"/>
    <n v="381582"/>
    <n v="0"/>
    <n v="-7.2599999999999998E-2"/>
    <n v="0.56000000000000005"/>
    <n v="1"/>
    <n v="504.00000000000006"/>
    <n v="0.80569999999999997"/>
    <n v="4.4400000000000002E-2"/>
    <n v="67.72"/>
    <m/>
    <m/>
    <n v="576.28"/>
    <n v="534.58000000000004"/>
    <n v="537.92999999999995"/>
    <m/>
  </r>
  <r>
    <d v="2026-07-20T00:00:00"/>
    <x v="0"/>
    <d v="1899-12-30T15:15:00"/>
    <x v="2"/>
    <n v="871.4"/>
    <n v="911"/>
    <n v="4.5400000000000003E-2"/>
    <n v="460.36"/>
    <n v="458.88"/>
    <n v="418039.68"/>
    <n v="0"/>
    <n v="-3.2000000000000002E-3"/>
    <n v="0.47"/>
    <n v="1"/>
    <n v="428.16999999999996"/>
    <n v="0.83819999999999995"/>
    <n v="2.8500000000000001E-2"/>
    <n v="57.67"/>
    <m/>
    <m/>
    <n v="581.84"/>
    <n v="580.88"/>
    <n v="554.4"/>
    <m/>
  </r>
  <r>
    <d v="2026-07-20T00:00:00"/>
    <x v="0"/>
    <d v="1899-12-30T15:30:00"/>
    <x v="2"/>
    <n v="860"/>
    <n v="869"/>
    <n v="1.0500000000000001E-2"/>
    <n v="461.6"/>
    <n v="472.2"/>
    <n v="410341.8"/>
    <n v="1"/>
    <n v="2.3E-2"/>
    <n v="0.53"/>
    <n v="1"/>
    <n v="460.57000000000005"/>
    <n v="0.80449999999999999"/>
    <n v="3.6799999999999999E-2"/>
    <n v="62.37"/>
    <m/>
    <m/>
    <n v="576.25"/>
    <n v="575.49"/>
    <n v="532.53"/>
    <m/>
  </r>
  <r>
    <d v="2026-07-20T00:00:00"/>
    <x v="0"/>
    <d v="1899-12-30T15:45:00"/>
    <x v="2"/>
    <n v="831.11"/>
    <n v="841"/>
    <n v="1.1900000000000001E-2"/>
    <n v="464.2"/>
    <n v="449.12"/>
    <n v="377709.92"/>
    <n v="0"/>
    <n v="-3.2500000000000001E-2"/>
    <n v="0.51"/>
    <n v="1"/>
    <n v="428.91"/>
    <n v="0.82520000000000004"/>
    <n v="3.5700000000000003E-2"/>
    <n v="75.3"/>
    <m/>
    <m/>
    <n v="561.34"/>
    <n v="535.25"/>
    <n v="531.13"/>
    <m/>
  </r>
  <r>
    <d v="2026-07-20T00:00:00"/>
    <x v="0"/>
    <d v="1899-12-30T16:00:00"/>
    <x v="2"/>
    <n v="795.99"/>
    <n v="780"/>
    <n v="-2.01E-2"/>
    <n v="464.65"/>
    <n v="474.22"/>
    <n v="369891.60000000003"/>
    <n v="1"/>
    <n v="2.06E-2"/>
    <n v="0.53"/>
    <n v="1"/>
    <n v="413.40000000000003"/>
    <n v="0.82789999999999997"/>
    <n v="2.69E-2"/>
    <n v="51.51"/>
    <m/>
    <m/>
    <n v="539.54999999999995"/>
    <n v="519.33000000000004"/>
    <n v="516.4"/>
    <m/>
  </r>
  <r>
    <d v="2026-07-20T00:00:00"/>
    <x v="0"/>
    <d v="1899-12-30T16:15:00"/>
    <x v="2"/>
    <n v="737.06"/>
    <n v="819"/>
    <n v="0.11119999999999999"/>
    <n v="467.38"/>
    <n v="468.43"/>
    <n v="383644.17"/>
    <n v="1"/>
    <n v="2.2000000000000001E-3"/>
    <n v="0.48"/>
    <n v="1"/>
    <n v="393.12"/>
    <n v="0.85950000000000004"/>
    <n v="2.3199999999999998E-2"/>
    <n v="55.88"/>
    <m/>
    <m/>
    <n v="505.87"/>
    <n v="533.05999999999995"/>
    <n v="495.13"/>
    <m/>
  </r>
  <r>
    <d v="2026-07-20T00:00:00"/>
    <x v="0"/>
    <d v="1899-12-30T16:30:00"/>
    <x v="2"/>
    <n v="665.18"/>
    <n v="657"/>
    <n v="-1.23E-2"/>
    <n v="465.77"/>
    <n v="499.02"/>
    <n v="327856.14"/>
    <n v="1"/>
    <n v="7.1400000000000005E-2"/>
    <n v="0.53"/>
    <n v="1"/>
    <n v="348.21000000000004"/>
    <n v="0.85009999999999997"/>
    <n v="2.5899999999999999E-2"/>
    <n v="60.92"/>
    <m/>
    <m/>
    <n v="459.53"/>
    <n v="466.62"/>
    <n v="434.47"/>
    <m/>
  </r>
  <r>
    <d v="2026-07-20T00:00:00"/>
    <x v="0"/>
    <d v="1899-12-30T16:45:00"/>
    <x v="2"/>
    <n v="551.75"/>
    <n v="520"/>
    <n v="-5.7500000000000002E-2"/>
    <n v="466.68"/>
    <n v="468.31"/>
    <n v="243521.2"/>
    <n v="1"/>
    <n v="3.5000000000000001E-3"/>
    <n v="0.61"/>
    <n v="1"/>
    <n v="317.2"/>
    <n v="0.89490000000000003"/>
    <n v="3.4599999999999999E-2"/>
    <n v="62.14"/>
    <m/>
    <m/>
    <n v="389.61"/>
    <n v="361.82"/>
    <n v="402.67"/>
    <m/>
  </r>
  <r>
    <d v="2026-07-20T00:00:00"/>
    <x v="0"/>
    <d v="1899-12-30T17:00:00"/>
    <x v="2"/>
    <n v="431.5"/>
    <n v="416"/>
    <n v="-3.5900000000000001E-2"/>
    <n v="468.7"/>
    <n v="496.65"/>
    <n v="206606.4"/>
    <n v="1"/>
    <n v="5.96E-2"/>
    <n v="0.7"/>
    <n v="1"/>
    <n v="291.2"/>
    <n v="0.88529999999999998"/>
    <n v="5.0500000000000003E-2"/>
    <n v="75.47"/>
    <m/>
    <m/>
    <n v="313.07"/>
    <n v="310.37"/>
    <n v="315.27"/>
    <m/>
  </r>
  <r>
    <d v="2026-07-20T00:00:00"/>
    <x v="0"/>
    <d v="1899-12-30T17:15:00"/>
    <x v="2"/>
    <n v="332.69"/>
    <n v="330"/>
    <n v="-8.0999999999999996E-3"/>
    <n v="467.76"/>
    <n v="444.9"/>
    <n v="146817"/>
    <n v="0"/>
    <n v="-4.8899999999999999E-2"/>
    <n v="0.9"/>
    <n v="0"/>
    <n v="297"/>
    <n v="0.90229999999999999"/>
    <n v="3.6400000000000002E-2"/>
    <n v="26.37"/>
    <m/>
    <m/>
    <n v="250.58"/>
    <n v="226.04"/>
    <n v="299.60000000000002"/>
    <m/>
  </r>
  <r>
    <d v="2026-07-20T00:00:00"/>
    <x v="0"/>
    <d v="1899-12-30T17:30:00"/>
    <x v="2"/>
    <n v="254.49"/>
    <n v="248"/>
    <n v="-2.5499999999999998E-2"/>
    <n v="466.44"/>
    <n v="468.19"/>
    <n v="116111.12"/>
    <n v="1"/>
    <n v="3.8E-3"/>
    <n v="0.8"/>
    <n v="0"/>
    <n v="198.4"/>
    <n v="0.87380000000000002"/>
    <n v="4.0300000000000002E-2"/>
    <n v="51.84"/>
    <m/>
    <m/>
    <n v="191.98"/>
    <n v="181.32"/>
    <n v="187.13"/>
    <m/>
  </r>
  <r>
    <d v="2026-07-20T00:00:00"/>
    <x v="0"/>
    <d v="1899-12-30T17:45:00"/>
    <x v="2"/>
    <n v="199.81"/>
    <n v="218"/>
    <n v="9.0999999999999998E-2"/>
    <n v="459.16"/>
    <n v="488.75"/>
    <n v="106547.5"/>
    <n v="1"/>
    <n v="6.4399999999999999E-2"/>
    <n v="0.81"/>
    <n v="0"/>
    <n v="176.58"/>
    <n v="0.94710000000000005"/>
    <n v="4.5900000000000003E-2"/>
    <n v="37.17"/>
    <m/>
    <m/>
    <n v="155.43"/>
    <n v="165.73"/>
    <n v="215.47"/>
    <m/>
  </r>
  <r>
    <d v="2026-07-20T00:00:00"/>
    <x v="0"/>
    <d v="1899-12-30T18:00:00"/>
    <x v="2"/>
    <n v="161.12"/>
    <n v="186"/>
    <n v="0.15440000000000001"/>
    <n v="451.03"/>
    <n v="434.74"/>
    <n v="80861.64"/>
    <n v="0"/>
    <n v="-3.61E-2"/>
    <n v="0.77"/>
    <n v="1"/>
    <n v="143.22"/>
    <n v="0.94220000000000004"/>
    <n v="2.69E-2"/>
    <n v="82.75"/>
    <m/>
    <m/>
    <n v="125.9"/>
    <n v="131.18"/>
    <n v="163"/>
    <m/>
  </r>
  <r>
    <d v="2026-07-20T00:00:00"/>
    <x v="0"/>
    <d v="1899-12-30T18:15:00"/>
    <x v="2"/>
    <n v="128.52000000000001"/>
    <n v="108"/>
    <n v="-0.15959999999999999"/>
    <n v="448.62"/>
    <n v="524.42999999999995"/>
    <n v="56638.439999999995"/>
    <n v="1"/>
    <n v="0.16900000000000001"/>
    <n v="0.85"/>
    <n v="0"/>
    <n v="91.8"/>
    <n v="0.96040000000000003"/>
    <n v="2.7799999999999998E-2"/>
    <n v="36.35"/>
    <m/>
    <m/>
    <n v="104.07"/>
    <n v="93.64"/>
    <n v="163.6"/>
    <m/>
  </r>
  <r>
    <d v="2026-07-20T00:00:00"/>
    <x v="0"/>
    <d v="1899-12-30T18:30:00"/>
    <x v="2"/>
    <n v="109.4"/>
    <n v="82"/>
    <n v="-0.2505"/>
    <n v="444.99"/>
    <n v="512.15"/>
    <n v="41996.299999999996"/>
    <n v="1"/>
    <n v="0.15090000000000001"/>
    <n v="0.87"/>
    <n v="0"/>
    <n v="71.34"/>
    <n v="0.91449999999999998"/>
    <n v="3.6600000000000001E-2"/>
    <n v="25.86"/>
    <m/>
    <m/>
    <n v="90.2"/>
    <n v="76.540000000000006"/>
    <n v="113.13"/>
    <m/>
  </r>
  <r>
    <d v="2026-07-20T00:00:00"/>
    <x v="0"/>
    <d v="1899-12-30T18:45:00"/>
    <x v="2"/>
    <n v="97.5"/>
    <n v="85"/>
    <n v="-0.12820000000000001"/>
    <n v="438.79"/>
    <n v="496.13"/>
    <n v="42171.05"/>
    <n v="1"/>
    <n v="0.13070000000000001"/>
    <n v="0.9"/>
    <n v="0"/>
    <n v="76.5"/>
    <n v="0.93369999999999997"/>
    <n v="1.18E-2"/>
    <n v="13.5"/>
    <m/>
    <m/>
    <n v="81.02"/>
    <n v="77.91"/>
    <n v="113"/>
    <m/>
  </r>
  <r>
    <d v="2026-07-21T00:00:00"/>
    <x v="1"/>
    <d v="1899-12-30T07:00:00"/>
    <x v="0"/>
    <n v="72.78"/>
    <n v="49"/>
    <n v="-0.32679999999999998"/>
    <n v="343.27"/>
    <n v="328.39"/>
    <n v="16091.109999999999"/>
    <n v="0"/>
    <n v="-4.3299999999999998E-2"/>
    <n v="0.93"/>
    <n v="0"/>
    <n v="45.57"/>
    <n v="0.94499999999999995"/>
    <n v="0"/>
    <n v="11.73"/>
    <m/>
    <m/>
    <n v="55.99"/>
    <n v="36.630000000000003"/>
    <n v="81.33"/>
    <m/>
  </r>
  <r>
    <d v="2026-07-21T00:00:00"/>
    <x v="1"/>
    <d v="1899-12-30T07:15:00"/>
    <x v="0"/>
    <n v="88.79"/>
    <n v="65"/>
    <n v="-0.26800000000000002"/>
    <n v="357.35"/>
    <n v="362.95"/>
    <n v="23591.75"/>
    <n v="1"/>
    <n v="1.5699999999999999E-2"/>
    <n v="0.95"/>
    <n v="0"/>
    <n v="61.75"/>
    <n v="0.92530000000000001"/>
    <n v="0"/>
    <n v="12.31"/>
    <m/>
    <m/>
    <n v="68.17"/>
    <n v="48.51"/>
    <n v="86.4"/>
    <m/>
  </r>
  <r>
    <d v="2026-07-21T00:00:00"/>
    <x v="1"/>
    <d v="1899-12-30T07:30:00"/>
    <x v="0"/>
    <n v="119.85"/>
    <n v="96"/>
    <n v="-0.19900000000000001"/>
    <n v="358.02"/>
    <n v="335.97"/>
    <n v="32253.120000000003"/>
    <n v="0"/>
    <n v="-6.1600000000000002E-2"/>
    <n v="0.94"/>
    <n v="0"/>
    <n v="90.24"/>
    <n v="0.94440000000000002"/>
    <n v="0"/>
    <n v="17.82"/>
    <m/>
    <m/>
    <n v="88.64"/>
    <n v="65.989999999999995"/>
    <n v="132"/>
    <m/>
  </r>
  <r>
    <d v="2026-07-21T00:00:00"/>
    <x v="1"/>
    <d v="1899-12-30T07:45:00"/>
    <x v="0"/>
    <n v="198.41"/>
    <n v="142"/>
    <n v="-0.2843"/>
    <n v="359.32"/>
    <n v="322.94"/>
    <n v="45857.48"/>
    <n v="0"/>
    <n v="-0.1012"/>
    <n v="0.88"/>
    <n v="0"/>
    <n v="124.96"/>
    <n v="0.86299999999999999"/>
    <n v="7.0000000000000001E-3"/>
    <n v="24.54"/>
    <m/>
    <m/>
    <n v="135.34"/>
    <n v="92.1"/>
    <n v="145.87"/>
    <m/>
  </r>
  <r>
    <d v="2026-07-21T00:00:00"/>
    <x v="1"/>
    <d v="1899-12-30T08:00:00"/>
    <x v="0"/>
    <n v="303.62"/>
    <n v="292"/>
    <n v="-3.8300000000000001E-2"/>
    <n v="362.89"/>
    <n v="352.19"/>
    <n v="102839.48"/>
    <n v="0"/>
    <n v="-2.9499999999999998E-2"/>
    <n v="0.92"/>
    <n v="0"/>
    <n v="268.64"/>
    <n v="0.9849"/>
    <n v="1.37E-2"/>
    <n v="20.49"/>
    <m/>
    <m/>
    <n v="193.38"/>
    <n v="173.74"/>
    <n v="312.07"/>
    <m/>
  </r>
  <r>
    <d v="2026-07-21T00:00:00"/>
    <x v="1"/>
    <d v="1899-12-30T08:15:00"/>
    <x v="0"/>
    <n v="434.99"/>
    <n v="416"/>
    <n v="-4.3700000000000003E-2"/>
    <n v="375.29"/>
    <n v="373.33"/>
    <n v="155305.28"/>
    <n v="0"/>
    <n v="-5.1999999999999998E-3"/>
    <n v="0.9"/>
    <n v="0"/>
    <n v="374.40000000000003"/>
    <n v="0.9123"/>
    <n v="7.1999999999999998E-3"/>
    <n v="18.63"/>
    <m/>
    <m/>
    <n v="267.33999999999997"/>
    <n v="250.14"/>
    <n v="314.73"/>
    <m/>
  </r>
  <r>
    <d v="2026-07-21T00:00:00"/>
    <x v="1"/>
    <d v="1899-12-30T08:30:00"/>
    <x v="0"/>
    <n v="524.24"/>
    <n v="468"/>
    <n v="-0.10730000000000001"/>
    <n v="383.97"/>
    <n v="364.59"/>
    <n v="170628.12"/>
    <n v="0"/>
    <n v="-5.0500000000000003E-2"/>
    <n v="0.93"/>
    <n v="0"/>
    <n v="435.24"/>
    <n v="0.91979999999999995"/>
    <n v="0"/>
    <n v="13.14"/>
    <m/>
    <m/>
    <n v="320.66000000000003"/>
    <n v="269.7"/>
    <n v="390.87"/>
    <m/>
  </r>
  <r>
    <d v="2026-07-21T00:00:00"/>
    <x v="1"/>
    <d v="1899-12-30T08:45:00"/>
    <x v="0"/>
    <n v="604.5"/>
    <n v="615"/>
    <n v="1.7399999999999999E-2"/>
    <n v="393.28"/>
    <n v="378.88"/>
    <n v="233011.20000000001"/>
    <n v="0"/>
    <n v="-3.6600000000000001E-2"/>
    <n v="0.92"/>
    <n v="0"/>
    <n v="565.80000000000007"/>
    <n v="0.88649999999999995"/>
    <n v="6.4999999999999997E-3"/>
    <n v="13.88"/>
    <m/>
    <m/>
    <n v="369.37"/>
    <n v="348.31"/>
    <n v="400.4"/>
    <m/>
  </r>
  <r>
    <d v="2026-07-21T00:00:00"/>
    <x v="1"/>
    <d v="1899-12-30T09:00:00"/>
    <x v="0"/>
    <n v="691.58"/>
    <n v="658"/>
    <n v="-4.8599999999999997E-2"/>
    <n v="397.59"/>
    <n v="388.05"/>
    <n v="255336.9"/>
    <n v="0"/>
    <n v="-2.4E-2"/>
    <n v="0.89"/>
    <n v="0"/>
    <n v="585.62"/>
    <n v="0.88500000000000001"/>
    <n v="4.5999999999999999E-3"/>
    <n v="20.23"/>
    <m/>
    <m/>
    <n v="418.1"/>
    <n v="378.3"/>
    <n v="459.33"/>
    <m/>
  </r>
  <r>
    <d v="2026-07-21T00:00:00"/>
    <x v="1"/>
    <d v="1899-12-30T09:15:00"/>
    <x v="0"/>
    <n v="771"/>
    <n v="770"/>
    <n v="-1.2999999999999999E-3"/>
    <n v="403.88"/>
    <n v="390.06"/>
    <n v="300346.2"/>
    <n v="0"/>
    <n v="-3.4200000000000001E-2"/>
    <n v="0.79"/>
    <n v="1"/>
    <n v="608.30000000000007"/>
    <n v="0.88109999999999999"/>
    <n v="1.04E-2"/>
    <n v="26.22"/>
    <m/>
    <m/>
    <n v="465.84"/>
    <n v="435.28"/>
    <n v="481.4"/>
    <m/>
  </r>
  <r>
    <d v="2026-07-21T00:00:00"/>
    <x v="1"/>
    <d v="1899-12-30T09:30:00"/>
    <x v="0"/>
    <n v="832.57"/>
    <n v="805"/>
    <n v="-3.3099999999999997E-2"/>
    <n v="410.83"/>
    <n v="400.55"/>
    <n v="322442.75"/>
    <n v="0"/>
    <n v="-2.5000000000000001E-2"/>
    <n v="0.86"/>
    <n v="0"/>
    <n v="692.3"/>
    <n v="0.88300000000000001"/>
    <n v="1.12E-2"/>
    <n v="28.62"/>
    <m/>
    <m/>
    <n v="504.21"/>
    <n v="467.08"/>
    <n v="533.79999999999995"/>
    <m/>
  </r>
  <r>
    <d v="2026-07-21T00:00:00"/>
    <x v="1"/>
    <d v="1899-12-30T09:45:00"/>
    <x v="0"/>
    <n v="867.69"/>
    <n v="793"/>
    <n v="-8.6099999999999996E-2"/>
    <n v="418.16"/>
    <n v="411.53"/>
    <n v="326343.28999999998"/>
    <n v="0"/>
    <n v="-1.5800000000000002E-2"/>
    <n v="0.91"/>
    <n v="0"/>
    <n v="721.63"/>
    <n v="0.84819999999999995"/>
    <n v="8.8000000000000005E-3"/>
    <n v="17.28"/>
    <m/>
    <m/>
    <n v="531.75"/>
    <n v="464.26"/>
    <n v="533.73"/>
    <m/>
  </r>
  <r>
    <d v="2026-07-21T00:00:00"/>
    <x v="1"/>
    <d v="1899-12-30T10:00:00"/>
    <x v="0"/>
    <n v="893.75"/>
    <n v="830"/>
    <n v="-7.1300000000000002E-2"/>
    <n v="422.15"/>
    <n v="412.16"/>
    <n v="342092.80000000005"/>
    <n v="0"/>
    <n v="-2.3699999999999999E-2"/>
    <n v="0.91"/>
    <n v="0"/>
    <n v="755.30000000000007"/>
    <n v="0.87339999999999995"/>
    <n v="8.3999999999999995E-3"/>
    <n v="18.91"/>
    <m/>
    <m/>
    <n v="549.88"/>
    <n v="484.69"/>
    <n v="559.53"/>
    <m/>
  </r>
  <r>
    <d v="2026-07-21T00:00:00"/>
    <x v="1"/>
    <d v="1899-12-30T10:15:00"/>
    <x v="0"/>
    <n v="909.16"/>
    <n v="910"/>
    <n v="8.9999999999999998E-4"/>
    <n v="426.98"/>
    <n v="417.6"/>
    <n v="380016"/>
    <n v="0"/>
    <n v="-2.1999999999999999E-2"/>
    <n v="0.88"/>
    <n v="0"/>
    <n v="800.8"/>
    <n v="0.85599999999999998"/>
    <n v="9.9000000000000008E-3"/>
    <n v="21.3"/>
    <m/>
    <m/>
    <n v="566.41"/>
    <n v="535.17999999999995"/>
    <n v="571.79999999999995"/>
    <m/>
  </r>
  <r>
    <d v="2026-07-21T00:00:00"/>
    <x v="1"/>
    <d v="1899-12-30T10:30:00"/>
    <x v="0"/>
    <n v="914.51"/>
    <n v="954"/>
    <n v="4.3200000000000002E-2"/>
    <n v="431.79"/>
    <n v="421.5"/>
    <n v="402111"/>
    <n v="0"/>
    <n v="-2.3800000000000002E-2"/>
    <n v="0.87"/>
    <n v="0"/>
    <n v="829.98"/>
    <n v="0.8992"/>
    <n v="1.0500000000000001E-2"/>
    <n v="23.1"/>
    <m/>
    <m/>
    <n v="577.17999999999995"/>
    <n v="563.01"/>
    <n v="602.87"/>
    <m/>
  </r>
  <r>
    <d v="2026-07-21T00:00:00"/>
    <x v="1"/>
    <d v="1899-12-30T10:45:00"/>
    <x v="0"/>
    <n v="933.25"/>
    <n v="893"/>
    <n v="-4.3099999999999999E-2"/>
    <n v="432.55"/>
    <n v="430.21"/>
    <n v="384177.52999999997"/>
    <n v="0"/>
    <n v="-5.4000000000000003E-3"/>
    <n v="0.88"/>
    <n v="0"/>
    <n v="785.84"/>
    <n v="0.88400000000000001"/>
    <n v="1.12E-2"/>
    <n v="24.96"/>
    <m/>
    <m/>
    <n v="589.41"/>
    <n v="541.37"/>
    <n v="615.20000000000005"/>
    <m/>
  </r>
  <r>
    <d v="2026-07-21T00:00:00"/>
    <x v="1"/>
    <d v="1899-12-30T11:00:00"/>
    <x v="0"/>
    <n v="947.72"/>
    <n v="891"/>
    <n v="-5.9900000000000002E-2"/>
    <n v="435.24"/>
    <n v="433.02"/>
    <n v="385820.82"/>
    <n v="0"/>
    <n v="-5.1000000000000004E-3"/>
    <n v="0.89"/>
    <n v="0"/>
    <n v="792.99"/>
    <n v="0.87870000000000004"/>
    <n v="1.9099999999999999E-2"/>
    <n v="26.22"/>
    <m/>
    <m/>
    <n v="599.66999999999996"/>
    <n v="543.73"/>
    <n v="629.20000000000005"/>
    <m/>
  </r>
  <r>
    <d v="2026-07-21T00:00:00"/>
    <x v="1"/>
    <d v="1899-12-30T11:15:00"/>
    <x v="0"/>
    <n v="943.85"/>
    <n v="925"/>
    <n v="-0.02"/>
    <n v="436.48"/>
    <n v="454.17"/>
    <n v="420107.25"/>
    <n v="1"/>
    <n v="4.0500000000000001E-2"/>
    <n v="0.87"/>
    <n v="0"/>
    <n v="804.75"/>
    <n v="0.88629999999999998"/>
    <n v="1.6199999999999999E-2"/>
    <n v="22.77"/>
    <m/>
    <m/>
    <n v="596.80999999999995"/>
    <n v="585.49"/>
    <n v="626.66999999999996"/>
    <m/>
  </r>
  <r>
    <d v="2026-07-21T00:00:00"/>
    <x v="1"/>
    <d v="1899-12-30T11:30:00"/>
    <x v="0"/>
    <n v="928.79"/>
    <n v="947"/>
    <n v="1.9599999999999999E-2"/>
    <n v="438.18"/>
    <n v="419.03"/>
    <n v="396821.41"/>
    <n v="0"/>
    <n v="-4.3700000000000003E-2"/>
    <n v="0.79"/>
    <n v="1"/>
    <n v="748.13"/>
    <n v="0.87709999999999999"/>
    <n v="1.2699999999999999E-2"/>
    <n v="29.33"/>
    <m/>
    <m/>
    <n v="590.23"/>
    <n v="556.5"/>
    <n v="615.07000000000005"/>
    <m/>
  </r>
  <r>
    <d v="2026-07-21T00:00:00"/>
    <x v="1"/>
    <d v="1899-12-30T11:45:00"/>
    <x v="0"/>
    <n v="908.05"/>
    <n v="882"/>
    <n v="-2.87E-2"/>
    <n v="439.58"/>
    <n v="444.56"/>
    <n v="392101.92"/>
    <n v="1"/>
    <n v="1.1299999999999999E-2"/>
    <n v="0.79"/>
    <n v="1"/>
    <n v="696.78000000000009"/>
    <n v="0.88390000000000002"/>
    <n v="2.0400000000000001E-2"/>
    <n v="28.77"/>
    <m/>
    <m/>
    <n v="580.1"/>
    <n v="547.12"/>
    <n v="599.6"/>
    <m/>
  </r>
  <r>
    <d v="2026-07-21T00:00:00"/>
    <x v="1"/>
    <d v="1899-12-30T12:00:00"/>
    <x v="1"/>
    <n v="888.05"/>
    <n v="914"/>
    <n v="2.92E-2"/>
    <n v="443.03"/>
    <n v="439.11"/>
    <n v="401346.54000000004"/>
    <n v="0"/>
    <n v="-8.8000000000000005E-3"/>
    <n v="0.75"/>
    <n v="1"/>
    <n v="685.5"/>
    <n v="0.877"/>
    <n v="2.0799999999999999E-2"/>
    <n v="25.15"/>
    <m/>
    <m/>
    <n v="572.01"/>
    <n v="559.01"/>
    <n v="590.20000000000005"/>
    <m/>
  </r>
  <r>
    <d v="2026-07-21T00:00:00"/>
    <x v="1"/>
    <d v="1899-12-30T12:15:00"/>
    <x v="1"/>
    <n v="869.08"/>
    <n v="875"/>
    <n v="6.7999999999999996E-3"/>
    <n v="444.5"/>
    <n v="434.2"/>
    <n v="379925"/>
    <n v="0"/>
    <n v="-2.3199999999999998E-2"/>
    <n v="0.87"/>
    <n v="0"/>
    <n v="761.25"/>
    <n v="0.89029999999999998"/>
    <n v="1.03E-2"/>
    <n v="28.82"/>
    <m/>
    <m/>
    <n v="562.30999999999995"/>
    <n v="529.30999999999995"/>
    <n v="597.13"/>
    <m/>
  </r>
  <r>
    <d v="2026-07-21T00:00:00"/>
    <x v="1"/>
    <d v="1899-12-30T12:30:00"/>
    <x v="1"/>
    <n v="834.21"/>
    <n v="843"/>
    <n v="1.0500000000000001E-2"/>
    <n v="445.84"/>
    <n v="427.08"/>
    <n v="360028.44"/>
    <n v="0"/>
    <n v="-4.2099999999999999E-2"/>
    <n v="0.83"/>
    <n v="0"/>
    <n v="699.68999999999994"/>
    <n v="0.88460000000000005"/>
    <n v="9.4999999999999998E-3"/>
    <n v="24.44"/>
    <m/>
    <m/>
    <n v="544.25"/>
    <n v="507.1"/>
    <n v="572.20000000000005"/>
    <m/>
  </r>
  <r>
    <d v="2026-07-21T00:00:00"/>
    <x v="1"/>
    <d v="1899-12-30T12:45:00"/>
    <x v="1"/>
    <n v="822.8"/>
    <n v="786"/>
    <n v="-4.4699999999999997E-2"/>
    <n v="443.87"/>
    <n v="435.17"/>
    <n v="342043.62"/>
    <n v="0"/>
    <n v="-1.9599999999999999E-2"/>
    <n v="0.8"/>
    <n v="0"/>
    <n v="628.80000000000007"/>
    <n v="0.89380000000000004"/>
    <n v="1.6500000000000001E-2"/>
    <n v="25.1"/>
    <m/>
    <m/>
    <n v="536.84"/>
    <n v="481.77"/>
    <n v="561.87"/>
    <m/>
  </r>
  <r>
    <d v="2026-07-21T00:00:00"/>
    <x v="1"/>
    <d v="1899-12-30T13:00:00"/>
    <x v="1"/>
    <n v="815.81"/>
    <n v="818"/>
    <n v="2.7000000000000001E-3"/>
    <n v="442.95"/>
    <n v="438.15"/>
    <n v="358406.69999999995"/>
    <n v="0"/>
    <n v="-1.0800000000000001E-2"/>
    <n v="0.89"/>
    <n v="0"/>
    <n v="728.02"/>
    <n v="0.88800000000000001"/>
    <n v="4.8999999999999998E-3"/>
    <n v="14.78"/>
    <m/>
    <m/>
    <n v="532.29999999999995"/>
    <n v="509.79"/>
    <n v="559.33000000000004"/>
    <m/>
  </r>
  <r>
    <d v="2026-07-21T00:00:00"/>
    <x v="1"/>
    <d v="1899-12-30T13:15:00"/>
    <x v="1"/>
    <n v="823.84"/>
    <n v="861"/>
    <n v="4.5100000000000001E-2"/>
    <n v="443.98"/>
    <n v="433.47"/>
    <n v="373217.67000000004"/>
    <n v="0"/>
    <n v="-2.3699999999999999E-2"/>
    <n v="0.85"/>
    <n v="0"/>
    <n v="731.85"/>
    <n v="0.88100000000000001"/>
    <n v="1.1599999999999999E-2"/>
    <n v="22.7"/>
    <m/>
    <m/>
    <n v="537.29999999999995"/>
    <n v="531.61"/>
    <n v="565.53"/>
    <m/>
  </r>
  <r>
    <d v="2026-07-21T00:00:00"/>
    <x v="1"/>
    <d v="1899-12-30T13:30:00"/>
    <x v="1"/>
    <n v="825.54"/>
    <n v="911"/>
    <n v="0.10349999999999999"/>
    <n v="445.16"/>
    <n v="471.46"/>
    <n v="429500.06"/>
    <n v="1"/>
    <n v="5.91E-2"/>
    <n v="0.73"/>
    <n v="1"/>
    <n v="665.03"/>
    <n v="0.874"/>
    <n v="1.6500000000000001E-2"/>
    <n v="44.4"/>
    <m/>
    <m/>
    <n v="540.08000000000004"/>
    <n v="594.69000000000005"/>
    <n v="567.13"/>
    <m/>
  </r>
  <r>
    <d v="2026-07-21T00:00:00"/>
    <x v="1"/>
    <d v="1899-12-30T13:45:00"/>
    <x v="1"/>
    <n v="816.98"/>
    <n v="908"/>
    <n v="0.1114"/>
    <n v="445.56"/>
    <n v="451.17"/>
    <n v="409662.36"/>
    <n v="1"/>
    <n v="1.26E-2"/>
    <n v="0.69"/>
    <n v="1"/>
    <n v="626.52"/>
    <n v="0.87490000000000001"/>
    <n v="2.75E-2"/>
    <n v="50.82"/>
    <m/>
    <m/>
    <n v="535.79"/>
    <n v="576.4"/>
    <n v="568.53"/>
    <m/>
  </r>
  <r>
    <d v="2026-07-21T00:00:00"/>
    <x v="1"/>
    <d v="1899-12-30T14:00:00"/>
    <x v="1"/>
    <n v="820.71"/>
    <n v="915"/>
    <n v="0.1149"/>
    <n v="444.64"/>
    <n v="451.27"/>
    <n v="412912.05"/>
    <n v="1"/>
    <n v="1.49E-2"/>
    <n v="0.49"/>
    <n v="1"/>
    <n v="448.34999999999997"/>
    <n v="0.87990000000000002"/>
    <n v="3.61E-2"/>
    <n v="65.64"/>
    <m/>
    <m/>
    <n v="538.21"/>
    <n v="579.55999999999995"/>
    <n v="560.33000000000004"/>
    <m/>
  </r>
  <r>
    <d v="2026-07-21T00:00:00"/>
    <x v="1"/>
    <d v="1899-12-30T14:15:00"/>
    <x v="1"/>
    <n v="822.1"/>
    <n v="841"/>
    <n v="2.3E-2"/>
    <n v="446.29"/>
    <n v="446.36"/>
    <n v="375388.76"/>
    <n v="1"/>
    <n v="2.0000000000000001E-4"/>
    <n v="0.57999999999999996"/>
    <n v="1"/>
    <n v="487.78"/>
    <n v="0.88460000000000005"/>
    <n v="3.4500000000000003E-2"/>
    <n v="55.66"/>
    <m/>
    <m/>
    <n v="539.62"/>
    <n v="531.47"/>
    <n v="564.33000000000004"/>
    <m/>
  </r>
  <r>
    <d v="2026-07-21T00:00:00"/>
    <x v="1"/>
    <d v="1899-12-30T14:30:00"/>
    <x v="1"/>
    <n v="828.38"/>
    <n v="826"/>
    <n v="-2.8999999999999998E-3"/>
    <n v="448.47"/>
    <n v="455.01"/>
    <n v="375838.26"/>
    <n v="1"/>
    <n v="1.46E-2"/>
    <n v="0.75"/>
    <n v="1"/>
    <n v="619.5"/>
    <n v="0.89039999999999997"/>
    <n v="1.21E-2"/>
    <n v="33.06"/>
    <m/>
    <m/>
    <n v="544.35"/>
    <n v="529"/>
    <n v="564.4"/>
    <m/>
  </r>
  <r>
    <d v="2026-07-21T00:00:00"/>
    <x v="1"/>
    <d v="1899-12-30T14:45:00"/>
    <x v="1"/>
    <n v="832.84"/>
    <n v="840"/>
    <n v="8.6E-3"/>
    <n v="451.76"/>
    <n v="465.37"/>
    <n v="390910.8"/>
    <n v="1"/>
    <n v="3.0099999999999998E-2"/>
    <n v="0.78"/>
    <n v="1"/>
    <n v="655.20000000000005"/>
    <n v="0.88649999999999995"/>
    <n v="8.3000000000000001E-3"/>
    <n v="30.34"/>
    <m/>
    <m/>
    <n v="549.92999999999995"/>
    <n v="552.9"/>
    <n v="569.53"/>
    <m/>
  </r>
  <r>
    <d v="2026-07-21T00:00:00"/>
    <x v="1"/>
    <d v="1899-12-30T15:00:00"/>
    <x v="2"/>
    <n v="829.32"/>
    <n v="828"/>
    <n v="-1.6000000000000001E-3"/>
    <n v="453.02"/>
    <n v="462.46"/>
    <n v="382916.88"/>
    <n v="1"/>
    <n v="2.0799999999999999E-2"/>
    <n v="0.82"/>
    <n v="0"/>
    <n v="678.95999999999992"/>
    <n v="0.88119999999999998"/>
    <n v="1.5699999999999999E-2"/>
    <n v="27.48"/>
    <m/>
    <m/>
    <n v="549.36"/>
    <n v="539.08000000000004"/>
    <n v="571.27"/>
    <m/>
  </r>
  <r>
    <d v="2026-07-21T00:00:00"/>
    <x v="1"/>
    <d v="1899-12-30T15:15:00"/>
    <x v="2"/>
    <n v="823.24"/>
    <n v="790"/>
    <n v="-4.0399999999999998E-2"/>
    <n v="455.15"/>
    <n v="442.96"/>
    <n v="349938.39999999997"/>
    <n v="0"/>
    <n v="-2.6800000000000001E-2"/>
    <n v="0.8"/>
    <n v="0"/>
    <n v="632"/>
    <n v="0.87690000000000001"/>
    <n v="1.6500000000000001E-2"/>
    <n v="26.32"/>
    <m/>
    <m/>
    <n v="548.79"/>
    <n v="498.41"/>
    <n v="573.07000000000005"/>
    <m/>
  </r>
  <r>
    <d v="2026-07-21T00:00:00"/>
    <x v="1"/>
    <d v="1899-12-30T15:30:00"/>
    <x v="2"/>
    <n v="804.49"/>
    <n v="871"/>
    <n v="8.2699999999999996E-2"/>
    <n v="454.66"/>
    <n v="454.57"/>
    <n v="395930.47"/>
    <n v="0"/>
    <n v="-2.0000000000000001E-4"/>
    <n v="0.78"/>
    <n v="1"/>
    <n v="679.38"/>
    <n v="0.86470000000000002"/>
    <n v="1.26E-2"/>
    <n v="26.24"/>
    <m/>
    <m/>
    <n v="537.42999999999995"/>
    <n v="555.66"/>
    <n v="550.33000000000004"/>
    <m/>
  </r>
  <r>
    <d v="2026-07-21T00:00:00"/>
    <x v="1"/>
    <d v="1899-12-30T15:45:00"/>
    <x v="2"/>
    <n v="787.47"/>
    <n v="826"/>
    <n v="4.8899999999999999E-2"/>
    <n v="457.68"/>
    <n v="457.65"/>
    <n v="378018.89999999997"/>
    <n v="0"/>
    <n v="-1E-4"/>
    <n v="0.69"/>
    <n v="1"/>
    <n v="569.93999999999994"/>
    <n v="0.87780000000000002"/>
    <n v="3.39E-2"/>
    <n v="45.85"/>
    <m/>
    <m/>
    <n v="530.41"/>
    <n v="529.75"/>
    <n v="548.13"/>
    <m/>
  </r>
  <r>
    <d v="2026-07-21T00:00:00"/>
    <x v="1"/>
    <d v="1899-12-30T16:00:00"/>
    <x v="2"/>
    <n v="756.69"/>
    <n v="696"/>
    <n v="-8.0199999999999994E-2"/>
    <n v="458.37"/>
    <n v="457.24"/>
    <n v="318239.03999999998"/>
    <n v="0"/>
    <n v="-2.5000000000000001E-3"/>
    <n v="0.75"/>
    <n v="1"/>
    <n v="522"/>
    <n v="0.86950000000000005"/>
    <n v="2.01E-2"/>
    <n v="44.25"/>
    <m/>
    <m/>
    <n v="512.09"/>
    <n v="453.8"/>
    <n v="525.07000000000005"/>
    <m/>
  </r>
  <r>
    <d v="2026-07-21T00:00:00"/>
    <x v="1"/>
    <d v="1899-12-30T16:15:00"/>
    <x v="2"/>
    <n v="702.79"/>
    <n v="688"/>
    <n v="-2.1000000000000001E-2"/>
    <n v="461.94"/>
    <n v="454.37"/>
    <n v="312606.56"/>
    <n v="0"/>
    <n v="-1.6400000000000001E-2"/>
    <n v="0.82"/>
    <n v="0"/>
    <n v="564.16"/>
    <n v="0.89939999999999998"/>
    <n v="2.47E-2"/>
    <n v="31.73"/>
    <m/>
    <m/>
    <n v="483.37"/>
    <n v="446.49"/>
    <n v="520.33000000000004"/>
    <m/>
  </r>
  <r>
    <d v="2026-07-21T00:00:00"/>
    <x v="1"/>
    <d v="1899-12-30T16:30:00"/>
    <x v="2"/>
    <n v="622.84"/>
    <n v="601"/>
    <n v="-3.5099999999999999E-2"/>
    <n v="464.52"/>
    <n v="466.68"/>
    <n v="280474.68"/>
    <n v="1"/>
    <n v="4.7000000000000002E-3"/>
    <n v="0.81"/>
    <n v="0"/>
    <n v="486.81000000000006"/>
    <n v="0.878"/>
    <n v="0.02"/>
    <n v="34.72"/>
    <m/>
    <m/>
    <n v="435.89"/>
    <n v="406.72"/>
    <n v="447.13"/>
    <m/>
  </r>
  <r>
    <d v="2026-07-21T00:00:00"/>
    <x v="1"/>
    <d v="1899-12-30T16:45:00"/>
    <x v="2"/>
    <n v="522.20000000000005"/>
    <n v="543"/>
    <n v="3.9800000000000002E-2"/>
    <n v="463.68"/>
    <n v="435.11"/>
    <n v="236264.73"/>
    <n v="0"/>
    <n v="-6.1600000000000002E-2"/>
    <n v="0.9"/>
    <n v="0"/>
    <n v="488.7"/>
    <n v="0.91579999999999995"/>
    <n v="1.84E-2"/>
    <n v="28.19"/>
    <m/>
    <m/>
    <n v="373.24"/>
    <n v="344.45"/>
    <n v="415"/>
    <m/>
  </r>
  <r>
    <d v="2026-07-21T00:00:00"/>
    <x v="1"/>
    <d v="1899-12-30T17:00:00"/>
    <x v="2"/>
    <n v="411.28"/>
    <n v="391"/>
    <n v="-4.9299999999999997E-2"/>
    <n v="468.78"/>
    <n v="463.48"/>
    <n v="181220.68"/>
    <n v="0"/>
    <n v="-1.1299999999999999E-2"/>
    <n v="0.89"/>
    <n v="0"/>
    <n v="347.99"/>
    <n v="0.89470000000000005"/>
    <n v="1.2800000000000001E-2"/>
    <n v="30.47"/>
    <m/>
    <m/>
    <n v="303.18"/>
    <n v="270.23"/>
    <n v="319.67"/>
    <m/>
  </r>
  <r>
    <d v="2026-07-21T00:00:00"/>
    <x v="1"/>
    <d v="1899-12-30T17:15:00"/>
    <x v="2"/>
    <n v="329.99"/>
    <n v="280"/>
    <n v="-0.1515"/>
    <n v="471.23"/>
    <n v="462.9"/>
    <n v="129612"/>
    <n v="0"/>
    <n v="-1.77E-2"/>
    <n v="0.9"/>
    <n v="0"/>
    <n v="252"/>
    <n v="0.90629999999999999"/>
    <n v="7.1000000000000004E-3"/>
    <n v="20.63"/>
    <m/>
    <m/>
    <n v="253.32"/>
    <n v="203.49"/>
    <n v="283.60000000000002"/>
    <m/>
  </r>
  <r>
    <d v="2026-07-21T00:00:00"/>
    <x v="1"/>
    <d v="1899-12-30T17:30:00"/>
    <x v="2"/>
    <n v="248.81"/>
    <n v="185"/>
    <n v="-0.25650000000000001"/>
    <n v="475.12"/>
    <n v="511.83"/>
    <n v="94688.55"/>
    <n v="1"/>
    <n v="7.7299999999999994E-2"/>
    <n v="0.92"/>
    <n v="0"/>
    <n v="170.20000000000002"/>
    <n v="0.88270000000000004"/>
    <n v="0"/>
    <n v="12.17"/>
    <m/>
    <m/>
    <n v="193.29"/>
    <n v="150.32"/>
    <n v="199.6"/>
    <m/>
  </r>
  <r>
    <d v="2026-07-21T00:00:00"/>
    <x v="1"/>
    <d v="1899-12-30T17:45:00"/>
    <x v="2"/>
    <n v="201.12"/>
    <n v="172"/>
    <n v="-0.14480000000000001"/>
    <n v="471.28"/>
    <n v="452.99"/>
    <n v="77914.28"/>
    <n v="0"/>
    <n v="-3.8800000000000001E-2"/>
    <n v="0.94"/>
    <n v="0"/>
    <n v="161.67999999999998"/>
    <n v="0.93540000000000001"/>
    <n v="1.7399999999999999E-2"/>
    <n v="13.16"/>
    <m/>
    <m/>
    <n v="159.47"/>
    <n v="128.72"/>
    <n v="218.07"/>
    <m/>
  </r>
  <r>
    <d v="2026-07-21T00:00:00"/>
    <x v="1"/>
    <d v="1899-12-30T18:00:00"/>
    <x v="2"/>
    <n v="152.55000000000001"/>
    <n v="141"/>
    <n v="-7.5700000000000003E-2"/>
    <n v="462.48"/>
    <n v="496.58"/>
    <n v="70017.78"/>
    <n v="1"/>
    <n v="7.3700000000000002E-2"/>
    <n v="0.88"/>
    <n v="0"/>
    <n v="124.08"/>
    <n v="0.92349999999999999"/>
    <n v="1.4200000000000001E-2"/>
    <n v="29.69"/>
    <m/>
    <m/>
    <n v="122.64"/>
    <n v="114.92"/>
    <n v="166.93"/>
    <m/>
  </r>
  <r>
    <d v="2026-07-21T00:00:00"/>
    <x v="1"/>
    <d v="1899-12-30T18:15:00"/>
    <x v="2"/>
    <n v="121.05"/>
    <n v="103"/>
    <n v="-0.14910000000000001"/>
    <n v="460.1"/>
    <n v="567.79999999999995"/>
    <n v="58483.399999999994"/>
    <n v="1"/>
    <n v="0.2341"/>
    <n v="0.94"/>
    <n v="0"/>
    <n v="96.82"/>
    <n v="0.93610000000000004"/>
    <n v="0"/>
    <n v="47.72"/>
    <m/>
    <m/>
    <n v="100.99"/>
    <n v="96.64"/>
    <n v="163.53"/>
    <m/>
  </r>
  <r>
    <d v="2026-07-21T00:00:00"/>
    <x v="1"/>
    <d v="1899-12-30T18:30:00"/>
    <x v="2"/>
    <n v="100.47"/>
    <n v="89"/>
    <n v="-0.11409999999999999"/>
    <n v="459.24"/>
    <n v="485.53"/>
    <n v="43212.17"/>
    <n v="1"/>
    <n v="5.7200000000000001E-2"/>
    <n v="0.96"/>
    <n v="0"/>
    <n v="85.44"/>
    <n v="0.90869999999999995"/>
    <n v="0"/>
    <n v="18.010000000000002"/>
    <m/>
    <m/>
    <n v="87.33"/>
    <n v="76.040000000000006"/>
    <n v="116.33"/>
    <m/>
  </r>
  <r>
    <d v="2026-07-21T00:00:00"/>
    <x v="1"/>
    <d v="1899-12-30T18:45:00"/>
    <x v="2"/>
    <n v="90.56"/>
    <n v="79"/>
    <n v="-0.12770000000000001"/>
    <n v="454.37"/>
    <n v="447.32"/>
    <n v="35338.28"/>
    <n v="0"/>
    <n v="-1.55E-2"/>
    <n v="0.79"/>
    <n v="1"/>
    <n v="62.410000000000004"/>
    <n v="0.91920000000000002"/>
    <n v="3.7999999999999999E-2"/>
    <n v="73.790000000000006"/>
    <m/>
    <m/>
    <n v="80.94"/>
    <n v="67.819999999999993"/>
    <n v="117"/>
    <m/>
  </r>
  <r>
    <d v="2026-07-22T00:00:00"/>
    <x v="2"/>
    <d v="1899-12-30T07:00:00"/>
    <x v="0"/>
    <n v="59.13"/>
    <n v="48"/>
    <n v="-0.18820000000000001"/>
    <n v="350.06"/>
    <n v="354.26"/>
    <n v="17004.48"/>
    <n v="1"/>
    <n v="1.2E-2"/>
    <n v="0.85"/>
    <n v="0"/>
    <n v="40.799999999999997"/>
    <n v="0.9546"/>
    <n v="4.1700000000000001E-2"/>
    <n v="17.04"/>
    <m/>
    <m/>
    <n v="47.39"/>
    <n v="39.99"/>
    <n v="75"/>
    <m/>
  </r>
  <r>
    <d v="2026-07-22T00:00:00"/>
    <x v="2"/>
    <d v="1899-12-30T07:15:00"/>
    <x v="0"/>
    <n v="73.03"/>
    <n v="58"/>
    <n v="-0.20580000000000001"/>
    <n v="356.77"/>
    <n v="327"/>
    <n v="18966"/>
    <n v="0"/>
    <n v="-8.3400000000000002E-2"/>
    <n v="0.96"/>
    <n v="0"/>
    <n v="55.68"/>
    <n v="0.93079999999999996"/>
    <n v="1.72E-2"/>
    <n v="16.93"/>
    <m/>
    <m/>
    <n v="57"/>
    <n v="41.06"/>
    <n v="78.8"/>
    <m/>
  </r>
  <r>
    <d v="2026-07-22T00:00:00"/>
    <x v="2"/>
    <d v="1899-12-30T07:30:00"/>
    <x v="0"/>
    <n v="102.86"/>
    <n v="104"/>
    <n v="1.0999999999999999E-2"/>
    <n v="358.01"/>
    <n v="342.66"/>
    <n v="35636.639999999999"/>
    <n v="0"/>
    <n v="-4.2900000000000001E-2"/>
    <n v="0.88"/>
    <n v="0"/>
    <n v="91.52"/>
    <n v="0.94720000000000004"/>
    <n v="0"/>
    <n v="35.4"/>
    <m/>
    <m/>
    <n v="76.400000000000006"/>
    <n v="69.75"/>
    <n v="120.2"/>
    <m/>
  </r>
  <r>
    <d v="2026-07-22T00:00:00"/>
    <x v="2"/>
    <d v="1899-12-30T07:45:00"/>
    <x v="0"/>
    <n v="174.59"/>
    <n v="144"/>
    <n v="-0.17519999999999999"/>
    <n v="360.79"/>
    <n v="357.78"/>
    <n v="51520.319999999992"/>
    <n v="0"/>
    <n v="-8.3999999999999995E-3"/>
    <n v="0.88"/>
    <n v="0"/>
    <n v="126.72"/>
    <n v="0.87390000000000001"/>
    <n v="1.3899999999999999E-2"/>
    <n v="22.01"/>
    <m/>
    <m/>
    <n v="118.64"/>
    <n v="101.2"/>
    <n v="135.13"/>
    <m/>
  </r>
  <r>
    <d v="2026-07-22T00:00:00"/>
    <x v="2"/>
    <d v="1899-12-30T08:00:00"/>
    <x v="0"/>
    <n v="272.31"/>
    <n v="298"/>
    <n v="9.4399999999999998E-2"/>
    <n v="369.5"/>
    <n v="364.79"/>
    <n v="108707.42000000001"/>
    <n v="0"/>
    <n v="-1.2800000000000001E-2"/>
    <n v="0.95"/>
    <n v="0"/>
    <n v="283.09999999999997"/>
    <n v="0.98560000000000003"/>
    <n v="6.7000000000000002E-3"/>
    <n v="12.04"/>
    <m/>
    <m/>
    <n v="173.29"/>
    <n v="185.34"/>
    <n v="277.2"/>
    <m/>
  </r>
  <r>
    <d v="2026-07-22T00:00:00"/>
    <x v="2"/>
    <d v="1899-12-30T08:15:00"/>
    <x v="0"/>
    <n v="390.12"/>
    <n v="394"/>
    <n v="0.01"/>
    <n v="379.37"/>
    <n v="360.62"/>
    <n v="142084.28"/>
    <n v="0"/>
    <n v="-4.9399999999999999E-2"/>
    <n v="0.89"/>
    <n v="0"/>
    <n v="350.66"/>
    <n v="0.93530000000000002"/>
    <n v="7.6E-3"/>
    <n v="15.4"/>
    <m/>
    <m/>
    <n v="238.42"/>
    <n v="229.69"/>
    <n v="280.8"/>
    <m/>
  </r>
  <r>
    <d v="2026-07-22T00:00:00"/>
    <x v="2"/>
    <d v="1899-12-30T08:30:00"/>
    <x v="0"/>
    <n v="477.45"/>
    <n v="507"/>
    <n v="6.1899999999999997E-2"/>
    <n v="386.04"/>
    <n v="391.45"/>
    <n v="198465.15"/>
    <n v="1"/>
    <n v="1.4E-2"/>
    <n v="0.94"/>
    <n v="0"/>
    <n v="476.58"/>
    <n v="0.95230000000000004"/>
    <n v="2E-3"/>
    <n v="10.8"/>
    <m/>
    <m/>
    <n v="286.95999999999998"/>
    <n v="303.67"/>
    <n v="358.2"/>
    <m/>
  </r>
  <r>
    <d v="2026-07-22T00:00:00"/>
    <x v="2"/>
    <d v="1899-12-30T08:45:00"/>
    <x v="0"/>
    <n v="563.46"/>
    <n v="577"/>
    <n v="2.4E-2"/>
    <n v="394.73"/>
    <n v="414.23"/>
    <n v="239010.71000000002"/>
    <n v="1"/>
    <n v="4.9399999999999999E-2"/>
    <n v="0.86"/>
    <n v="0"/>
    <n v="496.21999999999997"/>
    <n v="0.91379999999999995"/>
    <n v="1.9099999999999999E-2"/>
    <n v="24.2"/>
    <m/>
    <m/>
    <n v="337.3"/>
    <n v="357.78"/>
    <n v="371.73"/>
    <m/>
  </r>
  <r>
    <d v="2026-07-22T00:00:00"/>
    <x v="2"/>
    <d v="1899-12-30T09:00:00"/>
    <x v="0"/>
    <n v="645.66999999999996"/>
    <n v="670"/>
    <n v="3.7699999999999997E-2"/>
    <n v="398.69"/>
    <n v="397.37"/>
    <n v="266237.90000000002"/>
    <n v="0"/>
    <n v="-3.3E-3"/>
    <n v="0.9"/>
    <n v="0"/>
    <n v="603"/>
    <n v="0.92989999999999995"/>
    <n v="4.4999999999999997E-3"/>
    <n v="17.11"/>
    <m/>
    <m/>
    <n v="382.51"/>
    <n v="390.81"/>
    <n v="431.2"/>
    <m/>
  </r>
  <r>
    <d v="2026-07-22T00:00:00"/>
    <x v="2"/>
    <d v="1899-12-30T09:15:00"/>
    <x v="0"/>
    <n v="727.65"/>
    <n v="772"/>
    <n v="6.0999999999999999E-2"/>
    <n v="404.3"/>
    <n v="408.81"/>
    <n v="315601.32"/>
    <n v="1"/>
    <n v="1.12E-2"/>
    <n v="0.67"/>
    <n v="1"/>
    <n v="517.24"/>
    <n v="0.89870000000000005"/>
    <n v="2.1999999999999999E-2"/>
    <n v="29.8"/>
    <m/>
    <m/>
    <n v="428.36"/>
    <n v="449.69"/>
    <n v="449.8"/>
    <m/>
  </r>
  <r>
    <d v="2026-07-22T00:00:00"/>
    <x v="2"/>
    <d v="1899-12-30T09:30:00"/>
    <x v="0"/>
    <n v="776.63"/>
    <n v="815"/>
    <n v="4.9399999999999999E-2"/>
    <n v="409.58"/>
    <n v="377.87"/>
    <n v="307964.05"/>
    <n v="0"/>
    <n v="-7.7399999999999997E-2"/>
    <n v="0.75"/>
    <n v="1"/>
    <n v="611.25"/>
    <n v="0.9133"/>
    <n v="8.6E-3"/>
    <n v="30.24"/>
    <m/>
    <m/>
    <n v="458.74"/>
    <n v="441.15"/>
    <n v="492.87"/>
    <m/>
  </r>
  <r>
    <d v="2026-07-22T00:00:00"/>
    <x v="2"/>
    <d v="1899-12-30T09:45:00"/>
    <x v="0"/>
    <n v="809.95"/>
    <n v="814"/>
    <n v="5.0000000000000001E-3"/>
    <n v="417.68"/>
    <n v="434.53"/>
    <n v="353707.42"/>
    <n v="1"/>
    <n v="4.0300000000000002E-2"/>
    <n v="0.82"/>
    <n v="0"/>
    <n v="667.4799999999999"/>
    <n v="0.88049999999999995"/>
    <n v="1.72E-2"/>
    <n v="23.76"/>
    <m/>
    <m/>
    <n v="484.15"/>
    <n v="503.1"/>
    <n v="502.87"/>
    <m/>
  </r>
  <r>
    <d v="2026-07-22T00:00:00"/>
    <x v="2"/>
    <d v="1899-12-30T10:00:00"/>
    <x v="0"/>
    <n v="830.99"/>
    <n v="926"/>
    <n v="0.1143"/>
    <n v="422.68"/>
    <n v="420.74"/>
    <n v="389605.24"/>
    <n v="0"/>
    <n v="-4.5999999999999999E-3"/>
    <n v="0.72"/>
    <n v="1"/>
    <n v="666.72"/>
    <n v="0.89580000000000004"/>
    <n v="1.2999999999999999E-2"/>
    <n v="24.77"/>
    <m/>
    <m/>
    <n v="500.41"/>
    <n v="547.54"/>
    <n v="530.66999999999996"/>
    <m/>
  </r>
  <r>
    <d v="2026-07-22T00:00:00"/>
    <x v="2"/>
    <d v="1899-12-30T10:15:00"/>
    <x v="0"/>
    <n v="856.07"/>
    <n v="871"/>
    <n v="1.7399999999999999E-2"/>
    <n v="427.75"/>
    <n v="408.35"/>
    <n v="355672.85000000003"/>
    <n v="0"/>
    <n v="-4.53E-2"/>
    <n v="0.59"/>
    <n v="1"/>
    <n v="513.89"/>
    <n v="0.87509999999999999"/>
    <n v="1.26E-2"/>
    <n v="31.47"/>
    <m/>
    <m/>
    <n v="520.71"/>
    <n v="501.27"/>
    <n v="537.07000000000005"/>
    <m/>
  </r>
  <r>
    <d v="2026-07-22T00:00:00"/>
    <x v="2"/>
    <d v="1899-12-30T10:30:00"/>
    <x v="0"/>
    <n v="876.11"/>
    <n v="955"/>
    <n v="0.09"/>
    <n v="431.81"/>
    <n v="437.27"/>
    <n v="417592.85"/>
    <n v="1"/>
    <n v="1.26E-2"/>
    <n v="0.71"/>
    <n v="1"/>
    <n v="678.05"/>
    <n v="0.89659999999999995"/>
    <n v="7.3000000000000001E-3"/>
    <n v="29.92"/>
    <m/>
    <m/>
    <n v="535.85"/>
    <n v="582.61"/>
    <n v="568.07000000000005"/>
    <m/>
  </r>
  <r>
    <d v="2026-07-22T00:00:00"/>
    <x v="2"/>
    <d v="1899-12-30T10:45:00"/>
    <x v="0"/>
    <n v="888.34"/>
    <n v="1005"/>
    <n v="0.1313"/>
    <n v="435.46"/>
    <n v="412.61"/>
    <n v="414673.05"/>
    <n v="0"/>
    <n v="-5.2499999999999998E-2"/>
    <n v="0.64"/>
    <n v="1"/>
    <n v="643.20000000000005"/>
    <n v="0.90639999999999998"/>
    <n v="2.0899999999999998E-2"/>
    <n v="36.71"/>
    <m/>
    <m/>
    <n v="547.41999999999996"/>
    <n v="577.99"/>
    <n v="583.47"/>
    <m/>
  </r>
  <r>
    <d v="2026-07-22T00:00:00"/>
    <x v="2"/>
    <d v="1899-12-30T11:00:00"/>
    <x v="0"/>
    <n v="896.39"/>
    <n v="911"/>
    <n v="1.6299999999999999E-2"/>
    <n v="437.35"/>
    <n v="462.24"/>
    <n v="421100.64"/>
    <n v="1"/>
    <n v="5.6899999999999999E-2"/>
    <n v="0.75"/>
    <n v="1"/>
    <n v="683.25"/>
    <n v="0.90100000000000002"/>
    <n v="1.7600000000000001E-2"/>
    <n v="26.01"/>
    <m/>
    <m/>
    <n v="553.64"/>
    <n v="584.37"/>
    <n v="587.33000000000004"/>
    <m/>
  </r>
  <r>
    <d v="2026-07-22T00:00:00"/>
    <x v="2"/>
    <d v="1899-12-30T11:15:00"/>
    <x v="0"/>
    <n v="890.2"/>
    <n v="809"/>
    <n v="-9.1200000000000003E-2"/>
    <n v="437.74"/>
    <n v="415.87"/>
    <n v="336438.83"/>
    <n v="0"/>
    <n v="-0.05"/>
    <n v="0.68"/>
    <n v="1"/>
    <n v="550.12"/>
    <n v="0.89849999999999997"/>
    <n v="2.1000000000000001E-2"/>
    <n v="32.51"/>
    <m/>
    <m/>
    <n v="550.19000000000005"/>
    <n v="477.43"/>
    <n v="579.27"/>
    <m/>
  </r>
  <r>
    <d v="2026-07-22T00:00:00"/>
    <x v="2"/>
    <d v="1899-12-30T11:30:00"/>
    <x v="0"/>
    <n v="878.46"/>
    <n v="937"/>
    <n v="6.6600000000000006E-2"/>
    <n v="438.57"/>
    <n v="404.85"/>
    <n v="379344.45"/>
    <n v="0"/>
    <n v="-7.6899999999999996E-2"/>
    <n v="0.48"/>
    <n v="1"/>
    <n v="449.76"/>
    <n v="0.90290000000000004"/>
    <n v="3.8399999999999997E-2"/>
    <n v="64.98"/>
    <m/>
    <m/>
    <n v="544.79"/>
    <n v="527.67999999999995"/>
    <n v="577.47"/>
    <m/>
  </r>
  <r>
    <d v="2026-07-22T00:00:00"/>
    <x v="2"/>
    <d v="1899-12-30T11:45:00"/>
    <x v="0"/>
    <n v="856.61"/>
    <n v="907"/>
    <n v="5.8799999999999998E-2"/>
    <n v="440.09"/>
    <n v="418.3"/>
    <n v="379398.10000000003"/>
    <n v="0"/>
    <n v="-4.9500000000000002E-2"/>
    <n v="0.67"/>
    <n v="1"/>
    <n v="607.69000000000005"/>
    <n v="0.90449999999999997"/>
    <n v="3.2000000000000001E-2"/>
    <n v="46.28"/>
    <m/>
    <m/>
    <n v="533.59"/>
    <n v="534.44000000000005"/>
    <n v="561"/>
    <m/>
  </r>
  <r>
    <d v="2026-07-22T00:00:00"/>
    <x v="2"/>
    <d v="1899-12-30T12:00:00"/>
    <x v="1"/>
    <n v="839.11"/>
    <n v="833"/>
    <n v="-7.3000000000000001E-3"/>
    <n v="441.29"/>
    <n v="447.42"/>
    <n v="372700.86"/>
    <n v="1"/>
    <n v="1.3899999999999999E-2"/>
    <n v="0.84"/>
    <n v="0"/>
    <n v="699.72"/>
    <n v="0.91739999999999999"/>
    <n v="1.44E-2"/>
    <n v="19.84"/>
    <m/>
    <m/>
    <n v="524.30999999999995"/>
    <n v="520.75"/>
    <n v="563"/>
    <m/>
  </r>
  <r>
    <d v="2026-07-22T00:00:00"/>
    <x v="2"/>
    <d v="1899-12-30T12:15:00"/>
    <x v="1"/>
    <n v="819.13"/>
    <n v="867"/>
    <n v="5.8400000000000001E-2"/>
    <n v="443.67"/>
    <n v="437.22"/>
    <n v="379069.74000000005"/>
    <n v="0"/>
    <n v="-1.4500000000000001E-2"/>
    <n v="0.76"/>
    <n v="1"/>
    <n v="658.92"/>
    <n v="0.91979999999999995"/>
    <n v="1.15E-2"/>
    <n v="28.31"/>
    <m/>
    <m/>
    <n v="514.66"/>
    <n v="530.29"/>
    <n v="563.73"/>
    <m/>
  </r>
  <r>
    <d v="2026-07-22T00:00:00"/>
    <x v="2"/>
    <d v="1899-12-30T12:30:00"/>
    <x v="1"/>
    <n v="802.96"/>
    <n v="836"/>
    <n v="4.1099999999999998E-2"/>
    <n v="442.88"/>
    <n v="452.66"/>
    <n v="378423.76"/>
    <n v="1"/>
    <n v="2.2100000000000002E-2"/>
    <n v="0.63"/>
    <n v="1"/>
    <n v="526.67999999999995"/>
    <n v="0.91139999999999999"/>
    <n v="1.44E-2"/>
    <n v="33.15"/>
    <m/>
    <m/>
    <n v="504.29"/>
    <n v="530.52"/>
    <n v="541.53"/>
    <m/>
  </r>
  <r>
    <d v="2026-07-22T00:00:00"/>
    <x v="2"/>
    <d v="1899-12-30T12:45:00"/>
    <x v="1"/>
    <n v="783.53"/>
    <n v="801"/>
    <n v="2.23E-2"/>
    <n v="443.31"/>
    <n v="426.36"/>
    <n v="341514.36"/>
    <n v="0"/>
    <n v="-3.8199999999999998E-2"/>
    <n v="0.85"/>
    <n v="0"/>
    <n v="680.85"/>
    <n v="0.91400000000000003"/>
    <n v="0.02"/>
    <n v="37.54"/>
    <m/>
    <m/>
    <n v="494.4"/>
    <n v="483.83"/>
    <n v="527.87"/>
    <m/>
  </r>
  <r>
    <d v="2026-07-22T00:00:00"/>
    <x v="2"/>
    <d v="1899-12-30T13:00:00"/>
    <x v="1"/>
    <n v="780.55"/>
    <n v="865"/>
    <n v="0.1082"/>
    <n v="444.28"/>
    <n v="422.43"/>
    <n v="365401.95"/>
    <n v="0"/>
    <n v="-4.9200000000000001E-2"/>
    <n v="0.78"/>
    <n v="1"/>
    <n v="674.7"/>
    <n v="0.90429999999999999"/>
    <n v="2.8899999999999999E-2"/>
    <n v="48.72"/>
    <m/>
    <m/>
    <n v="494.04"/>
    <n v="517.57000000000005"/>
    <n v="521.47"/>
    <m/>
  </r>
  <r>
    <d v="2026-07-22T00:00:00"/>
    <x v="2"/>
    <d v="1899-12-30T13:15:00"/>
    <x v="1"/>
    <n v="785.67"/>
    <n v="884"/>
    <n v="0.12520000000000001"/>
    <n v="444.1"/>
    <n v="411.49"/>
    <n v="363757.16000000003"/>
    <n v="0"/>
    <n v="-7.3400000000000007E-2"/>
    <n v="0.75"/>
    <n v="1"/>
    <n v="663"/>
    <n v="0.91600000000000004"/>
    <n v="2.8299999999999999E-2"/>
    <n v="39.590000000000003"/>
    <m/>
    <m/>
    <n v="496.82"/>
    <n v="515.78"/>
    <n v="528"/>
    <m/>
  </r>
  <r>
    <d v="2026-07-22T00:00:00"/>
    <x v="2"/>
    <d v="1899-12-30T13:30:00"/>
    <x v="1"/>
    <n v="793.43"/>
    <n v="849"/>
    <n v="7.0000000000000007E-2"/>
    <n v="446.92"/>
    <n v="458.47"/>
    <n v="389241.03"/>
    <n v="1"/>
    <n v="2.58E-2"/>
    <n v="0.77"/>
    <n v="1"/>
    <n v="653.73"/>
    <n v="0.90210000000000001"/>
    <n v="2.12E-2"/>
    <n v="42.84"/>
    <m/>
    <m/>
    <n v="504.44"/>
    <n v="548.82000000000005"/>
    <n v="526.66999999999996"/>
    <m/>
  </r>
  <r>
    <d v="2026-07-22T00:00:00"/>
    <x v="2"/>
    <d v="1899-12-30T13:45:00"/>
    <x v="1"/>
    <n v="797.35"/>
    <n v="822"/>
    <n v="3.09E-2"/>
    <n v="446.9"/>
    <n v="417.71"/>
    <n v="343357.62"/>
    <n v="0"/>
    <n v="-6.5299999999999997E-2"/>
    <n v="0.76"/>
    <n v="1"/>
    <n v="624.72"/>
    <n v="0.90310000000000001"/>
    <n v="2.92E-2"/>
    <n v="40.54"/>
    <m/>
    <m/>
    <n v="507.07"/>
    <n v="488.96"/>
    <n v="531.47"/>
    <m/>
  </r>
  <r>
    <d v="2026-07-22T00:00:00"/>
    <x v="2"/>
    <d v="1899-12-30T14:00:00"/>
    <x v="1"/>
    <n v="792.58"/>
    <n v="847"/>
    <n v="6.8699999999999997E-2"/>
    <n v="446.92"/>
    <n v="449.9"/>
    <n v="381065.3"/>
    <n v="1"/>
    <n v="6.7000000000000002E-3"/>
    <n v="0.79"/>
    <n v="1"/>
    <n v="669.13"/>
    <n v="0.91520000000000001"/>
    <n v="2.8299999999999999E-2"/>
    <n v="29.53"/>
    <m/>
    <m/>
    <n v="504.46"/>
    <n v="535.09"/>
    <n v="534.20000000000005"/>
    <m/>
  </r>
  <r>
    <d v="2026-07-22T00:00:00"/>
    <x v="2"/>
    <d v="1899-12-30T14:15:00"/>
    <x v="1"/>
    <n v="789.61"/>
    <n v="871"/>
    <n v="0.1031"/>
    <n v="449.27"/>
    <n v="421.87"/>
    <n v="367448.77"/>
    <n v="0"/>
    <n v="-6.0999999999999999E-2"/>
    <n v="0.76"/>
    <n v="1"/>
    <n v="661.96"/>
    <n v="0.91700000000000004"/>
    <n v="1.26E-2"/>
    <n v="31.36"/>
    <m/>
    <m/>
    <n v="505.05"/>
    <n v="518.07000000000005"/>
    <n v="535.53"/>
    <m/>
  </r>
  <r>
    <d v="2026-07-22T00:00:00"/>
    <x v="2"/>
    <d v="1899-12-30T14:30:00"/>
    <x v="1"/>
    <n v="780.15"/>
    <n v="872"/>
    <n v="0.1177"/>
    <n v="451.31"/>
    <n v="452.76"/>
    <n v="394806.72"/>
    <n v="1"/>
    <n v="3.2000000000000002E-3"/>
    <n v="0.5"/>
    <n v="1"/>
    <n v="436"/>
    <n v="0.89829999999999999"/>
    <n v="3.1E-2"/>
    <n v="49.17"/>
    <m/>
    <m/>
    <n v="501.11"/>
    <n v="554.01"/>
    <n v="518.53"/>
    <m/>
  </r>
  <r>
    <d v="2026-07-22T00:00:00"/>
    <x v="2"/>
    <d v="1899-12-30T14:45:00"/>
    <x v="1"/>
    <n v="774.56"/>
    <n v="849"/>
    <n v="9.6100000000000005E-2"/>
    <n v="453.52"/>
    <n v="443.15"/>
    <n v="376234.35"/>
    <n v="0"/>
    <n v="-2.29E-2"/>
    <n v="0.65"/>
    <n v="1"/>
    <n v="551.85"/>
    <n v="0.91010000000000002"/>
    <n v="3.0599999999999999E-2"/>
    <n v="50.8"/>
    <m/>
    <m/>
    <n v="500.84"/>
    <n v="523.63"/>
    <n v="532.20000000000005"/>
    <m/>
  </r>
  <r>
    <d v="2026-07-22T00:00:00"/>
    <x v="2"/>
    <d v="1899-12-30T15:00:00"/>
    <x v="2"/>
    <n v="777.74"/>
    <n v="791"/>
    <n v="1.7000000000000001E-2"/>
    <n v="454.33"/>
    <n v="448.93"/>
    <n v="355103.63"/>
    <n v="0"/>
    <n v="-1.1900000000000001E-2"/>
    <n v="0.67"/>
    <n v="1"/>
    <n v="529.97"/>
    <n v="0.90529999999999999"/>
    <n v="2.2800000000000001E-2"/>
    <n v="51.51"/>
    <m/>
    <m/>
    <n v="503.11"/>
    <n v="506.53"/>
    <n v="535.79999999999995"/>
    <m/>
  </r>
  <r>
    <d v="2026-07-22T00:00:00"/>
    <x v="2"/>
    <d v="1899-12-30T15:15:00"/>
    <x v="2"/>
    <n v="785.7"/>
    <n v="795"/>
    <n v="1.18E-2"/>
    <n v="455.65"/>
    <n v="444.97"/>
    <n v="353751.15"/>
    <n v="0"/>
    <n v="-2.3400000000000001E-2"/>
    <n v="0.75"/>
    <n v="1"/>
    <n v="596.25"/>
    <n v="0.90259999999999996"/>
    <n v="2.52E-2"/>
    <n v="40.29"/>
    <m/>
    <m/>
    <n v="509.08"/>
    <n v="501.63"/>
    <n v="535.87"/>
    <m/>
  </r>
  <r>
    <d v="2026-07-22T00:00:00"/>
    <x v="2"/>
    <d v="1899-12-30T15:30:00"/>
    <x v="2"/>
    <n v="783.95"/>
    <n v="832"/>
    <n v="6.13E-2"/>
    <n v="457.25"/>
    <n v="460.58"/>
    <n v="383202.56"/>
    <n v="1"/>
    <n v="7.3000000000000001E-3"/>
    <n v="0.79"/>
    <n v="1"/>
    <n v="657.28"/>
    <n v="0.90329999999999999"/>
    <n v="0.03"/>
    <n v="36.19"/>
    <m/>
    <m/>
    <n v="508.78"/>
    <n v="537.55999999999995"/>
    <n v="537.07000000000005"/>
    <m/>
  </r>
  <r>
    <d v="2026-07-22T00:00:00"/>
    <x v="2"/>
    <d v="1899-12-30T15:45:00"/>
    <x v="2"/>
    <n v="760.21"/>
    <n v="776"/>
    <n v="2.0799999999999999E-2"/>
    <n v="460.09"/>
    <n v="436.34"/>
    <n v="338599.83999999997"/>
    <n v="0"/>
    <n v="-5.16E-2"/>
    <n v="0.81"/>
    <n v="0"/>
    <n v="628.56000000000006"/>
    <n v="0.91439999999999999"/>
    <n v="1.55E-2"/>
    <n v="23.33"/>
    <m/>
    <m/>
    <n v="497.63"/>
    <n v="480.02"/>
    <n v="536.92999999999995"/>
    <m/>
  </r>
  <r>
    <d v="2026-07-22T00:00:00"/>
    <x v="2"/>
    <d v="1899-12-30T16:00:00"/>
    <x v="2"/>
    <n v="720.98"/>
    <n v="702"/>
    <n v="-2.63E-2"/>
    <n v="463.78"/>
    <n v="475.33"/>
    <n v="333681.65999999997"/>
    <n v="1"/>
    <n v="2.4899999999999999E-2"/>
    <n v="0.74"/>
    <n v="1"/>
    <n v="519.48"/>
    <n v="0.89400000000000002"/>
    <n v="1.4200000000000001E-2"/>
    <n v="23.84"/>
    <m/>
    <m/>
    <n v="477.39"/>
    <n v="469.75"/>
    <n v="500.33"/>
    <m/>
  </r>
  <r>
    <d v="2026-07-22T00:00:00"/>
    <x v="2"/>
    <d v="1899-12-30T16:15:00"/>
    <x v="2"/>
    <n v="658.78"/>
    <n v="710"/>
    <n v="7.7700000000000005E-2"/>
    <n v="466.69"/>
    <n v="453.67"/>
    <n v="322105.7"/>
    <n v="0"/>
    <n v="-2.7900000000000001E-2"/>
    <n v="0.77"/>
    <n v="1"/>
    <n v="546.70000000000005"/>
    <n v="0.90459999999999996"/>
    <n v="1.2699999999999999E-2"/>
    <n v="26.44"/>
    <m/>
    <m/>
    <n v="441.53"/>
    <n v="458.65"/>
    <n v="476.33"/>
    <m/>
  </r>
  <r>
    <d v="2026-07-22T00:00:00"/>
    <x v="2"/>
    <d v="1899-12-30T16:30:00"/>
    <x v="2"/>
    <n v="583.27"/>
    <n v="621"/>
    <n v="6.4699999999999994E-2"/>
    <n v="465.86"/>
    <n v="466.43"/>
    <n v="289653.03000000003"/>
    <n v="1"/>
    <n v="1.1999999999999999E-3"/>
    <n v="0.51"/>
    <n v="1"/>
    <n v="316.70999999999998"/>
    <n v="0.89100000000000001"/>
    <n v="2.7400000000000001E-2"/>
    <n v="49.25"/>
    <m/>
    <m/>
    <n v="394.78"/>
    <n v="416.32"/>
    <n v="416.2"/>
    <m/>
  </r>
  <r>
    <d v="2026-07-22T00:00:00"/>
    <x v="2"/>
    <d v="1899-12-30T16:45:00"/>
    <x v="2"/>
    <n v="482.89"/>
    <n v="546"/>
    <n v="0.13070000000000001"/>
    <n v="467.5"/>
    <n v="474.56"/>
    <n v="259109.76000000001"/>
    <n v="1"/>
    <n v="1.5100000000000001E-2"/>
    <n v="0.54"/>
    <n v="1"/>
    <n v="294.84000000000003"/>
    <n v="0.9173"/>
    <n v="3.3000000000000002E-2"/>
    <n v="63.12"/>
    <m/>
    <m/>
    <n v="335.37"/>
    <n v="376.13"/>
    <n v="380.33"/>
    <m/>
  </r>
  <r>
    <d v="2026-07-22T00:00:00"/>
    <x v="2"/>
    <d v="1899-12-30T17:00:00"/>
    <x v="2"/>
    <n v="375.93"/>
    <n v="398"/>
    <n v="5.8700000000000002E-2"/>
    <n v="468.89"/>
    <n v="443.29"/>
    <n v="176429.42"/>
    <n v="0"/>
    <n v="-5.4600000000000003E-2"/>
    <n v="0.53"/>
    <n v="1"/>
    <n v="210.94"/>
    <n v="0.90459999999999996"/>
    <n v="6.2799999999999995E-2"/>
    <n v="71.709999999999994"/>
    <m/>
    <m/>
    <n v="268.27"/>
    <n v="271.27999999999997"/>
    <n v="283.52999999999997"/>
    <m/>
  </r>
  <r>
    <d v="2026-07-22T00:00:00"/>
    <x v="2"/>
    <d v="1899-12-30T17:15:00"/>
    <x v="2"/>
    <n v="294.27"/>
    <n v="328"/>
    <n v="0.11459999999999999"/>
    <n v="469.34"/>
    <n v="517.12"/>
    <n v="169615.36000000002"/>
    <n v="1"/>
    <n v="0.1018"/>
    <n v="0.81"/>
    <n v="0"/>
    <n v="265.68"/>
    <n v="0.92949999999999999"/>
    <n v="2.7400000000000001E-2"/>
    <n v="34.65"/>
    <m/>
    <m/>
    <n v="218.55"/>
    <n v="255.98"/>
    <n v="253.93"/>
    <m/>
  </r>
  <r>
    <d v="2026-07-22T00:00:00"/>
    <x v="2"/>
    <d v="1899-12-30T17:30:00"/>
    <x v="2"/>
    <n v="220.6"/>
    <n v="265"/>
    <n v="0.20130000000000001"/>
    <n v="475.68"/>
    <n v="454.44"/>
    <n v="120426.6"/>
    <n v="0"/>
    <n v="-4.4600000000000001E-2"/>
    <n v="0.78"/>
    <n v="1"/>
    <n v="206.70000000000002"/>
    <n v="0.93220000000000003"/>
    <n v="5.6599999999999998E-2"/>
    <n v="43.15"/>
    <m/>
    <m/>
    <n v="165.07"/>
    <n v="181.53"/>
    <n v="184.4"/>
    <m/>
  </r>
  <r>
    <d v="2026-07-22T00:00:00"/>
    <x v="2"/>
    <d v="1899-12-30T17:45:00"/>
    <x v="2"/>
    <n v="180.62"/>
    <n v="204"/>
    <n v="0.12939999999999999"/>
    <n v="473.72"/>
    <n v="502.31"/>
    <n v="102471.24"/>
    <n v="1"/>
    <n v="6.0299999999999999E-2"/>
    <n v="0.89"/>
    <n v="0"/>
    <n v="181.56"/>
    <n v="0.96779999999999999"/>
    <n v="1.47E-2"/>
    <n v="21.98"/>
    <m/>
    <m/>
    <n v="139.19999999999999"/>
    <n v="159.97999999999999"/>
    <n v="212.87"/>
    <m/>
  </r>
  <r>
    <d v="2026-07-22T00:00:00"/>
    <x v="2"/>
    <d v="1899-12-30T18:00:00"/>
    <x v="2"/>
    <n v="143.38"/>
    <n v="136"/>
    <n v="-5.1499999999999997E-2"/>
    <n v="465.78"/>
    <n v="531.33000000000004"/>
    <n v="72260.88"/>
    <n v="1"/>
    <n v="0.14069999999999999"/>
    <n v="0.92"/>
    <n v="0"/>
    <n v="125.12"/>
    <n v="0.94869999999999999"/>
    <n v="2.9399999999999999E-2"/>
    <n v="29.95"/>
    <m/>
    <m/>
    <n v="111.8"/>
    <n v="119.92"/>
    <n v="164.67"/>
    <m/>
  </r>
  <r>
    <d v="2026-07-22T00:00:00"/>
    <x v="2"/>
    <d v="1899-12-30T18:15:00"/>
    <x v="2"/>
    <n v="117.24"/>
    <n v="114"/>
    <n v="-2.7699999999999999E-2"/>
    <n v="468.46"/>
    <n v="484.71"/>
    <n v="55256.939999999995"/>
    <n v="1"/>
    <n v="3.4700000000000002E-2"/>
    <n v="0.9"/>
    <n v="0"/>
    <n v="102.60000000000001"/>
    <n v="0.95240000000000002"/>
    <n v="3.5099999999999999E-2"/>
    <n v="15.49"/>
    <m/>
    <m/>
    <n v="95.5"/>
    <n v="97.21"/>
    <n v="162.47"/>
    <m/>
  </r>
  <r>
    <d v="2026-07-22T00:00:00"/>
    <x v="2"/>
    <d v="1899-12-30T18:30:00"/>
    <x v="2"/>
    <n v="97.41"/>
    <n v="87"/>
    <n v="-0.1069"/>
    <n v="464.8"/>
    <n v="443.08"/>
    <n v="38547.96"/>
    <n v="0"/>
    <n v="-4.6699999999999998E-2"/>
    <n v="0.93"/>
    <n v="0"/>
    <n v="80.910000000000011"/>
    <n v="0.90810000000000002"/>
    <n v="2.3E-2"/>
    <n v="14.55"/>
    <m/>
    <m/>
    <n v="81.45"/>
    <n v="70.040000000000006"/>
    <n v="114"/>
    <m/>
  </r>
  <r>
    <d v="2026-07-22T00:00:00"/>
    <x v="2"/>
    <d v="1899-12-30T18:45:00"/>
    <x v="2"/>
    <n v="87.84"/>
    <n v="90"/>
    <n v="2.46E-2"/>
    <n v="461.76"/>
    <n v="399.06"/>
    <n v="35915.4"/>
    <n v="0"/>
    <n v="-0.1358"/>
    <n v="0.86"/>
    <n v="0"/>
    <n v="77.400000000000006"/>
    <n v="0.93010000000000004"/>
    <n v="5.5599999999999997E-2"/>
    <n v="40.04"/>
    <m/>
    <m/>
    <n v="74.78"/>
    <n v="71.11"/>
    <n v="114"/>
    <m/>
  </r>
  <r>
    <d v="2026-07-23T00:00:00"/>
    <x v="3"/>
    <d v="1899-12-30T07:00:00"/>
    <x v="0"/>
    <n v="63.32"/>
    <n v="58"/>
    <n v="-8.4000000000000005E-2"/>
    <n v="341.32"/>
    <n v="453.22"/>
    <n v="26286.760000000002"/>
    <n v="1"/>
    <n v="0.32779999999999998"/>
    <n v="0.87"/>
    <n v="0"/>
    <n v="50.46"/>
    <n v="0.95689999999999997"/>
    <n v="0"/>
    <n v="15.79"/>
    <m/>
    <m/>
    <n v="50.88"/>
    <n v="53.58"/>
    <n v="75"/>
    <m/>
  </r>
  <r>
    <d v="2026-07-23T00:00:00"/>
    <x v="3"/>
    <d v="1899-12-30T07:15:00"/>
    <x v="0"/>
    <n v="74.12"/>
    <n v="64"/>
    <n v="-0.13650000000000001"/>
    <n v="350.28"/>
    <n v="323.02"/>
    <n v="20673.28"/>
    <n v="0"/>
    <n v="-7.7799999999999994E-2"/>
    <n v="0.89"/>
    <n v="0"/>
    <n v="56.96"/>
    <n v="0.93149999999999999"/>
    <n v="1.5599999999999999E-2"/>
    <n v="16.760000000000002"/>
    <m/>
    <m/>
    <n v="59.4"/>
    <n v="45.6"/>
    <n v="76.930000000000007"/>
    <m/>
  </r>
  <r>
    <d v="2026-07-23T00:00:00"/>
    <x v="3"/>
    <d v="1899-12-30T07:30:00"/>
    <x v="0"/>
    <n v="100.97"/>
    <n v="91"/>
    <n v="-9.8799999999999999E-2"/>
    <n v="358.65"/>
    <n v="363.12"/>
    <n v="33043.919999999998"/>
    <n v="1"/>
    <n v="1.2500000000000001E-2"/>
    <n v="0.92"/>
    <n v="0"/>
    <n v="83.72"/>
    <n v="0.95220000000000005"/>
    <n v="0"/>
    <n v="13.53"/>
    <m/>
    <m/>
    <n v="78.59"/>
    <n v="67.7"/>
    <n v="119"/>
    <m/>
  </r>
  <r>
    <d v="2026-07-23T00:00:00"/>
    <x v="3"/>
    <d v="1899-12-30T07:45:00"/>
    <x v="0"/>
    <n v="168.85"/>
    <n v="147"/>
    <n v="-0.12939999999999999"/>
    <n v="363.32"/>
    <n v="366.67"/>
    <n v="53900.490000000005"/>
    <n v="1"/>
    <n v="9.1999999999999998E-3"/>
    <n v="0.85"/>
    <n v="0"/>
    <n v="124.95"/>
    <n v="0.87209999999999999"/>
    <n v="0"/>
    <n v="31.42"/>
    <m/>
    <m/>
    <n v="121.05"/>
    <n v="98.35"/>
    <n v="132"/>
    <m/>
  </r>
  <r>
    <d v="2026-07-23T00:00:00"/>
    <x v="3"/>
    <d v="1899-12-30T08:00:00"/>
    <x v="0"/>
    <n v="258.25"/>
    <n v="241"/>
    <n v="-6.6799999999999998E-2"/>
    <n v="365.29"/>
    <n v="355.11"/>
    <n v="85581.510000000009"/>
    <n v="0"/>
    <n v="-2.7900000000000001E-2"/>
    <n v="0.94"/>
    <n v="0"/>
    <n v="226.54"/>
    <n v="0.9778"/>
    <n v="0"/>
    <n v="11.3"/>
    <m/>
    <m/>
    <n v="171.29"/>
    <n v="151.91999999999999"/>
    <n v="259.93"/>
    <m/>
  </r>
  <r>
    <d v="2026-07-23T00:00:00"/>
    <x v="3"/>
    <d v="1899-12-30T08:15:00"/>
    <x v="0"/>
    <n v="364.53"/>
    <n v="384"/>
    <n v="5.3400000000000003E-2"/>
    <n v="376.46"/>
    <n v="423.71"/>
    <n v="162704.63999999998"/>
    <n v="1"/>
    <n v="0.1255"/>
    <n v="0.74"/>
    <n v="1"/>
    <n v="284.15999999999997"/>
    <n v="0.86680000000000001"/>
    <n v="1.2999999999999999E-2"/>
    <n v="26.41"/>
    <m/>
    <m/>
    <n v="232.53"/>
    <n v="253.46"/>
    <n v="258.27"/>
    <m/>
  </r>
  <r>
    <d v="2026-07-23T00:00:00"/>
    <x v="3"/>
    <d v="1899-12-30T08:30:00"/>
    <x v="0"/>
    <n v="448.54"/>
    <n v="459"/>
    <n v="2.3300000000000001E-2"/>
    <n v="385.53"/>
    <n v="383.85"/>
    <n v="176187.15000000002"/>
    <n v="0"/>
    <n v="-4.4000000000000003E-3"/>
    <n v="0.91"/>
    <n v="0"/>
    <n v="417.69"/>
    <n v="0.93330000000000002"/>
    <n v="2.2000000000000001E-3"/>
    <n v="15.81"/>
    <m/>
    <m/>
    <n v="282.55"/>
    <n v="276.12"/>
    <n v="333.6"/>
    <m/>
  </r>
  <r>
    <d v="2026-07-23T00:00:00"/>
    <x v="3"/>
    <d v="1899-12-30T08:45:00"/>
    <x v="0"/>
    <n v="528.63"/>
    <n v="539"/>
    <n v="1.9599999999999999E-2"/>
    <n v="394.96"/>
    <n v="386.79"/>
    <n v="208479.81"/>
    <n v="0"/>
    <n v="-2.07E-2"/>
    <n v="0.87"/>
    <n v="0"/>
    <n v="468.93"/>
    <n v="0.86439999999999995"/>
    <n v="3.7000000000000002E-3"/>
    <n v="14.19"/>
    <m/>
    <m/>
    <n v="329.75"/>
    <n v="322.43"/>
    <n v="344.33"/>
    <m/>
  </r>
  <r>
    <d v="2026-07-23T00:00:00"/>
    <x v="3"/>
    <d v="1899-12-30T09:00:00"/>
    <x v="0"/>
    <n v="622.53"/>
    <n v="648"/>
    <n v="4.0899999999999999E-2"/>
    <n v="400.78"/>
    <n v="403.9"/>
    <n v="261727.19999999998"/>
    <n v="1"/>
    <n v="7.7999999999999996E-3"/>
    <n v="0.92"/>
    <n v="0"/>
    <n v="596.16000000000008"/>
    <n v="0.89080000000000004"/>
    <n v="3.0999999999999999E-3"/>
    <n v="12.24"/>
    <m/>
    <m/>
    <n v="383.57"/>
    <n v="386.22"/>
    <n v="409.73"/>
    <m/>
  </r>
  <r>
    <d v="2026-07-23T00:00:00"/>
    <x v="3"/>
    <d v="1899-12-30T09:15:00"/>
    <x v="0"/>
    <n v="702.48"/>
    <n v="695"/>
    <n v="-1.0699999999999999E-2"/>
    <n v="405"/>
    <n v="407.25"/>
    <n v="283038.75"/>
    <n v="1"/>
    <n v="5.5999999999999999E-3"/>
    <n v="0.79"/>
    <n v="1"/>
    <n v="549.05000000000007"/>
    <n v="0.85299999999999998"/>
    <n v="8.6E-3"/>
    <n v="22.32"/>
    <m/>
    <m/>
    <n v="429.79"/>
    <n v="413.97"/>
    <n v="417.13"/>
    <m/>
  </r>
  <r>
    <d v="2026-07-23T00:00:00"/>
    <x v="3"/>
    <d v="1899-12-30T09:30:00"/>
    <x v="0"/>
    <n v="757.75"/>
    <n v="761"/>
    <n v="4.3E-3"/>
    <n v="409.09"/>
    <n v="395.52"/>
    <n v="300990.71999999997"/>
    <n v="0"/>
    <n v="-3.32E-2"/>
    <n v="0.68"/>
    <n v="1"/>
    <n v="517.48"/>
    <n v="0.8599"/>
    <n v="1.4500000000000001E-2"/>
    <n v="26.52"/>
    <m/>
    <m/>
    <n v="462.86"/>
    <n v="435.4"/>
    <n v="466.67"/>
    <m/>
  </r>
  <r>
    <d v="2026-07-23T00:00:00"/>
    <x v="3"/>
    <d v="1899-12-30T09:45:00"/>
    <x v="0"/>
    <n v="782.01"/>
    <n v="781"/>
    <n v="-1.2999999999999999E-3"/>
    <n v="414.63"/>
    <n v="405.69"/>
    <n v="316843.89"/>
    <n v="0"/>
    <n v="-2.1499999999999998E-2"/>
    <n v="0.63"/>
    <n v="1"/>
    <n v="492.03000000000003"/>
    <n v="0.83540000000000003"/>
    <n v="1.41E-2"/>
    <n v="39.51"/>
    <m/>
    <m/>
    <n v="482.56"/>
    <n v="454.86"/>
    <n v="474.6"/>
    <m/>
  </r>
  <r>
    <d v="2026-07-23T00:00:00"/>
    <x v="3"/>
    <d v="1899-12-30T10:00:00"/>
    <x v="0"/>
    <n v="808.58"/>
    <n v="770"/>
    <n v="-4.7699999999999999E-2"/>
    <n v="417.65"/>
    <n v="412.75"/>
    <n v="317817.5"/>
    <n v="0"/>
    <n v="-1.17E-2"/>
    <n v="0.73"/>
    <n v="1"/>
    <n v="562.1"/>
    <n v="0.87080000000000002"/>
    <n v="1.17E-2"/>
    <n v="26.33"/>
    <m/>
    <m/>
    <n v="501.21"/>
    <n v="457.69"/>
    <n v="497.47"/>
    <m/>
  </r>
  <r>
    <d v="2026-07-23T00:00:00"/>
    <x v="3"/>
    <d v="1899-12-30T10:15:00"/>
    <x v="0"/>
    <n v="839.14"/>
    <n v="836"/>
    <n v="-3.7000000000000002E-3"/>
    <n v="422.46"/>
    <n v="400.31"/>
    <n v="334659.15999999997"/>
    <n v="0"/>
    <n v="-5.2400000000000002E-2"/>
    <n v="0.71"/>
    <n v="1"/>
    <n v="593.55999999999995"/>
    <n v="0.84450000000000003"/>
    <n v="1.5599999999999999E-2"/>
    <n v="24.5"/>
    <m/>
    <m/>
    <n v="522.63"/>
    <n v="477.72"/>
    <n v="511.47"/>
    <m/>
  </r>
  <r>
    <d v="2026-07-23T00:00:00"/>
    <x v="3"/>
    <d v="1899-12-30T10:30:00"/>
    <x v="0"/>
    <n v="857.45"/>
    <n v="832"/>
    <n v="-2.9700000000000001E-2"/>
    <n v="426.43"/>
    <n v="435.77"/>
    <n v="362560.64"/>
    <n v="1"/>
    <n v="2.1899999999999999E-2"/>
    <n v="0.95"/>
    <n v="0"/>
    <n v="790.4"/>
    <n v="0.92290000000000005"/>
    <n v="2.3999999999999998E-3"/>
    <n v="11.05"/>
    <m/>
    <m/>
    <n v="536.38"/>
    <n v="516.19000000000005"/>
    <n v="553.79999999999995"/>
    <m/>
  </r>
  <r>
    <d v="2026-07-23T00:00:00"/>
    <x v="3"/>
    <d v="1899-12-30T10:45:00"/>
    <x v="0"/>
    <n v="860.98"/>
    <n v="891"/>
    <n v="3.49E-2"/>
    <n v="430.85"/>
    <n v="444.48"/>
    <n v="396031.68"/>
    <n v="1"/>
    <n v="3.1600000000000003E-2"/>
    <n v="0.83"/>
    <n v="0"/>
    <n v="739.53"/>
    <n v="0.91969999999999996"/>
    <n v="6.7000000000000002E-3"/>
    <n v="18.45"/>
    <m/>
    <m/>
    <n v="542.37"/>
    <n v="552.87"/>
    <n v="565.13"/>
    <m/>
  </r>
  <r>
    <d v="2026-07-23T00:00:00"/>
    <x v="3"/>
    <d v="1899-12-30T11:00:00"/>
    <x v="0"/>
    <n v="854.32"/>
    <n v="881"/>
    <n v="3.1199999999999999E-2"/>
    <n v="434.34"/>
    <n v="445.04"/>
    <n v="392080.24"/>
    <n v="1"/>
    <n v="2.46E-2"/>
    <n v="0.8"/>
    <n v="0"/>
    <n v="704.80000000000007"/>
    <n v="0.88439999999999996"/>
    <n v="1.14E-2"/>
    <n v="25.65"/>
    <m/>
    <m/>
    <n v="542.94000000000005"/>
    <n v="550.14"/>
    <n v="551.73"/>
    <m/>
  </r>
  <r>
    <d v="2026-07-23T00:00:00"/>
    <x v="3"/>
    <d v="1899-12-30T11:15:00"/>
    <x v="0"/>
    <n v="854.88"/>
    <n v="877"/>
    <n v="2.5899999999999999E-2"/>
    <n v="436.73"/>
    <n v="428.83"/>
    <n v="376083.91"/>
    <n v="0"/>
    <n v="-1.8100000000000002E-2"/>
    <n v="0.67"/>
    <n v="1"/>
    <n v="587.59"/>
    <n v="0.89510000000000001"/>
    <n v="1.2500000000000001E-2"/>
    <n v="34.6"/>
    <m/>
    <m/>
    <n v="545.45000000000005"/>
    <n v="524.62"/>
    <n v="560"/>
    <m/>
  </r>
  <r>
    <d v="2026-07-23T00:00:00"/>
    <x v="3"/>
    <d v="1899-12-30T11:30:00"/>
    <x v="0"/>
    <n v="849.97"/>
    <n v="876"/>
    <n v="3.0599999999999999E-2"/>
    <n v="439.75"/>
    <n v="425.97"/>
    <n v="373149.72000000003"/>
    <n v="0"/>
    <n v="-3.1300000000000001E-2"/>
    <n v="0.68"/>
    <n v="1"/>
    <n v="595.68000000000006"/>
    <n v="0.89580000000000004"/>
    <n v="1.83E-2"/>
    <n v="35.81"/>
    <m/>
    <m/>
    <n v="546.75"/>
    <n v="520.66"/>
    <n v="561.4"/>
    <m/>
  </r>
  <r>
    <d v="2026-07-23T00:00:00"/>
    <x v="3"/>
    <d v="1899-12-30T11:45:00"/>
    <x v="0"/>
    <n v="831.41"/>
    <n v="856"/>
    <n v="2.9600000000000001E-2"/>
    <n v="443.27"/>
    <n v="409.7"/>
    <n v="350703.2"/>
    <n v="0"/>
    <n v="-7.5700000000000003E-2"/>
    <n v="0.81"/>
    <n v="0"/>
    <n v="693.36"/>
    <n v="0.90839999999999999"/>
    <n v="1.17E-2"/>
    <n v="24.76"/>
    <m/>
    <m/>
    <n v="539.86"/>
    <n v="499.18"/>
    <n v="562.66999999999996"/>
    <m/>
  </r>
  <r>
    <d v="2026-07-23T00:00:00"/>
    <x v="3"/>
    <d v="1899-12-30T12:00:00"/>
    <x v="1"/>
    <n v="802.75"/>
    <n v="761"/>
    <n v="-5.1999999999999998E-2"/>
    <n v="444.4"/>
    <n v="432.2"/>
    <n v="328904.2"/>
    <n v="0"/>
    <n v="-2.7400000000000001E-2"/>
    <n v="0.89"/>
    <n v="0"/>
    <n v="677.29"/>
    <n v="0.91539999999999999"/>
    <n v="2.5999999999999999E-3"/>
    <n v="16.2"/>
    <m/>
    <m/>
    <n v="525.75"/>
    <n v="465.64"/>
    <n v="538.07000000000005"/>
    <m/>
  </r>
  <r>
    <d v="2026-07-23T00:00:00"/>
    <x v="3"/>
    <d v="1899-12-30T12:15:00"/>
    <x v="1"/>
    <n v="772.86"/>
    <n v="758"/>
    <n v="-1.9199999999999998E-2"/>
    <n v="446.03"/>
    <n v="448.46"/>
    <n v="339932.68"/>
    <n v="1"/>
    <n v="5.4000000000000003E-3"/>
    <n v="0.93"/>
    <n v="0"/>
    <n v="704.94"/>
    <n v="0.91300000000000003"/>
    <n v="4.0000000000000001E-3"/>
    <n v="12.77"/>
    <m/>
    <m/>
    <n v="509.37"/>
    <n v="485.76"/>
    <n v="527"/>
    <m/>
  </r>
  <r>
    <d v="2026-07-23T00:00:00"/>
    <x v="3"/>
    <d v="1899-12-30T12:30:00"/>
    <x v="1"/>
    <n v="753.1"/>
    <n v="790"/>
    <n v="4.9000000000000002E-2"/>
    <n v="446.56"/>
    <n v="430.83"/>
    <n v="340355.7"/>
    <n v="0"/>
    <n v="-3.5200000000000002E-2"/>
    <n v="0.88"/>
    <n v="0"/>
    <n v="695.2"/>
    <n v="0.90239999999999998"/>
    <n v="7.6E-3"/>
    <n v="17.3"/>
    <m/>
    <m/>
    <n v="497.83"/>
    <n v="478.28"/>
    <n v="503.6"/>
    <m/>
  </r>
  <r>
    <d v="2026-07-23T00:00:00"/>
    <x v="3"/>
    <d v="1899-12-30T12:45:00"/>
    <x v="1"/>
    <n v="738.39"/>
    <n v="736"/>
    <n v="-3.2000000000000002E-3"/>
    <n v="446.74"/>
    <n v="444.56"/>
    <n v="327196.15999999997"/>
    <n v="0"/>
    <n v="-4.8999999999999998E-3"/>
    <n v="0.83"/>
    <n v="0"/>
    <n v="610.88"/>
    <n v="0.8972"/>
    <n v="8.2000000000000007E-3"/>
    <n v="20.98"/>
    <m/>
    <m/>
    <n v="489.56"/>
    <n v="465.95"/>
    <n v="496.47"/>
    <m/>
  </r>
  <r>
    <d v="2026-07-23T00:00:00"/>
    <x v="3"/>
    <d v="1899-12-30T13:00:00"/>
    <x v="1"/>
    <n v="744.9"/>
    <n v="727"/>
    <n v="-2.4E-2"/>
    <n v="449.33"/>
    <n v="470.71"/>
    <n v="342206.17"/>
    <n v="1"/>
    <n v="4.7600000000000003E-2"/>
    <n v="0.85"/>
    <n v="0"/>
    <n v="617.94999999999993"/>
    <n v="0.8992"/>
    <n v="6.8999999999999999E-3"/>
    <n v="17.28"/>
    <m/>
    <m/>
    <n v="496.53"/>
    <n v="484.06"/>
    <n v="515.73"/>
    <m/>
  </r>
  <r>
    <d v="2026-07-23T00:00:00"/>
    <x v="3"/>
    <d v="1899-12-30T13:15:00"/>
    <x v="1"/>
    <n v="750.47"/>
    <n v="743"/>
    <n v="-0.01"/>
    <n v="448.29"/>
    <n v="429.89"/>
    <n v="319408.27"/>
    <n v="0"/>
    <n v="-4.1000000000000002E-2"/>
    <n v="0.84"/>
    <n v="0"/>
    <n v="624.12"/>
    <n v="0.91520000000000001"/>
    <n v="9.4000000000000004E-3"/>
    <n v="19.239999999999998"/>
    <m/>
    <m/>
    <n v="498.4"/>
    <n v="455.47"/>
    <n v="530.33000000000004"/>
    <m/>
  </r>
  <r>
    <d v="2026-07-23T00:00:00"/>
    <x v="3"/>
    <d v="1899-12-30T13:30:00"/>
    <x v="1"/>
    <n v="753.89"/>
    <n v="793"/>
    <n v="5.1900000000000002E-2"/>
    <n v="448.09"/>
    <n v="416.56"/>
    <n v="330332.08"/>
    <n v="0"/>
    <n v="-7.0400000000000004E-2"/>
    <n v="0.87"/>
    <n v="0"/>
    <n v="689.91"/>
    <n v="0.90290000000000004"/>
    <n v="5.0000000000000001E-3"/>
    <n v="14.74"/>
    <m/>
    <m/>
    <n v="500.04"/>
    <n v="469.39"/>
    <n v="515.53"/>
    <m/>
  </r>
  <r>
    <d v="2026-07-23T00:00:00"/>
    <x v="3"/>
    <d v="1899-12-30T13:45:00"/>
    <x v="1"/>
    <n v="752.08"/>
    <n v="760"/>
    <n v="1.0500000000000001E-2"/>
    <n v="450.46"/>
    <n v="437.93"/>
    <n v="332826.8"/>
    <n v="0"/>
    <n v="-2.7799999999999998E-2"/>
    <n v="0.82"/>
    <n v="0"/>
    <n v="623.19999999999993"/>
    <n v="0.90359999999999996"/>
    <n v="6.6E-3"/>
    <n v="22.74"/>
    <m/>
    <m/>
    <n v="500.51"/>
    <n v="476.98"/>
    <n v="516.66999999999996"/>
    <m/>
  </r>
  <r>
    <d v="2026-07-23T00:00:00"/>
    <x v="3"/>
    <d v="1899-12-30T14:00:00"/>
    <x v="1"/>
    <n v="748.39"/>
    <n v="777"/>
    <n v="3.8199999999999998E-2"/>
    <n v="451.07"/>
    <n v="446.95"/>
    <n v="347280.14999999997"/>
    <n v="0"/>
    <n v="-9.1000000000000004E-3"/>
    <n v="0.7"/>
    <n v="1"/>
    <n v="543.9"/>
    <n v="0.90920000000000001"/>
    <n v="8.9999999999999993E-3"/>
    <n v="31"/>
    <m/>
    <m/>
    <n v="499.62"/>
    <n v="492.72"/>
    <n v="513.66999999999996"/>
    <m/>
  </r>
  <r>
    <d v="2026-07-23T00:00:00"/>
    <x v="3"/>
    <d v="1899-12-30T14:15:00"/>
    <x v="1"/>
    <n v="756.41"/>
    <n v="762"/>
    <n v="7.4000000000000003E-3"/>
    <n v="452.81"/>
    <n v="438.35"/>
    <n v="334022.7"/>
    <n v="0"/>
    <n v="-3.1899999999999998E-2"/>
    <n v="0.86"/>
    <n v="0"/>
    <n v="655.31999999999994"/>
    <n v="0.90229999999999999"/>
    <n v="3.8999999999999998E-3"/>
    <n v="21.7"/>
    <m/>
    <m/>
    <n v="506.14"/>
    <n v="477.69"/>
    <n v="511.53"/>
    <m/>
  </r>
  <r>
    <d v="2026-07-23T00:00:00"/>
    <x v="3"/>
    <d v="1899-12-30T14:30:00"/>
    <x v="1"/>
    <n v="756.79"/>
    <n v="802"/>
    <n v="5.9700000000000003E-2"/>
    <n v="452.15"/>
    <n v="429.77"/>
    <n v="344675.54"/>
    <n v="0"/>
    <n v="-4.9500000000000002E-2"/>
    <n v="0.79"/>
    <n v="1"/>
    <n v="633.58000000000004"/>
    <n v="0.89019999999999999"/>
    <n v="0.01"/>
    <n v="21.22"/>
    <m/>
    <m/>
    <n v="506.62"/>
    <n v="491.02"/>
    <n v="510.6"/>
    <m/>
  </r>
  <r>
    <d v="2026-07-23T00:00:00"/>
    <x v="3"/>
    <d v="1899-12-30T14:45:00"/>
    <x v="1"/>
    <n v="763.5"/>
    <n v="747"/>
    <n v="-2.1600000000000001E-2"/>
    <n v="452.15"/>
    <n v="445.58"/>
    <n v="332848.26"/>
    <n v="0"/>
    <n v="-1.4500000000000001E-2"/>
    <n v="0.81"/>
    <n v="0"/>
    <n v="605.07000000000005"/>
    <n v="0.90649999999999997"/>
    <n v="6.7000000000000002E-3"/>
    <n v="22.68"/>
    <m/>
    <m/>
    <n v="510.46"/>
    <n v="470.97"/>
    <n v="527.20000000000005"/>
    <m/>
  </r>
  <r>
    <d v="2026-07-23T00:00:00"/>
    <x v="3"/>
    <d v="1899-12-30T15:00:00"/>
    <x v="2"/>
    <n v="751.07"/>
    <n v="747"/>
    <n v="-5.4000000000000003E-3"/>
    <n v="455.04"/>
    <n v="433.68"/>
    <n v="323958.96000000002"/>
    <n v="0"/>
    <n v="-4.6899999999999997E-2"/>
    <n v="0.9"/>
    <n v="0"/>
    <n v="672.30000000000007"/>
    <n v="0.89529999999999998"/>
    <n v="6.7000000000000002E-3"/>
    <n v="16.12"/>
    <m/>
    <m/>
    <n v="506.14"/>
    <n v="463.67"/>
    <n v="516.4"/>
    <m/>
  </r>
  <r>
    <d v="2026-07-23T00:00:00"/>
    <x v="3"/>
    <d v="1899-12-30T15:15:00"/>
    <x v="2"/>
    <n v="740.91"/>
    <n v="753"/>
    <n v="1.6299999999999999E-2"/>
    <n v="458.95"/>
    <n v="442.3"/>
    <n v="333051.90000000002"/>
    <n v="0"/>
    <n v="-3.6299999999999999E-2"/>
    <n v="0.92"/>
    <n v="0"/>
    <n v="692.76"/>
    <n v="0.90339999999999998"/>
    <n v="8.0000000000000002E-3"/>
    <n v="22.92"/>
    <m/>
    <m/>
    <n v="503.28"/>
    <n v="476.66"/>
    <n v="518"/>
    <m/>
  </r>
  <r>
    <d v="2026-07-23T00:00:00"/>
    <x v="3"/>
    <d v="1899-12-30T15:30:00"/>
    <x v="2"/>
    <n v="726.05"/>
    <n v="778"/>
    <n v="7.1499999999999994E-2"/>
    <n v="460.7"/>
    <n v="446.83"/>
    <n v="347633.74"/>
    <n v="0"/>
    <n v="-3.0099999999999998E-2"/>
    <n v="0.73"/>
    <n v="1"/>
    <n v="567.93999999999994"/>
    <n v="0.85060000000000002"/>
    <n v="1.7999999999999999E-2"/>
    <n v="31.63"/>
    <m/>
    <m/>
    <n v="496.97"/>
    <n v="494.17"/>
    <n v="489.6"/>
    <m/>
  </r>
  <r>
    <d v="2026-07-23T00:00:00"/>
    <x v="3"/>
    <d v="1899-12-30T15:45:00"/>
    <x v="2"/>
    <n v="706.54"/>
    <n v="695"/>
    <n v="-1.6299999999999999E-2"/>
    <n v="465.64"/>
    <n v="416"/>
    <n v="289120"/>
    <n v="0"/>
    <n v="-0.1066"/>
    <n v="0.82"/>
    <n v="0"/>
    <n v="569.9"/>
    <n v="0.86650000000000005"/>
    <n v="2.3E-2"/>
    <n v="40.909999999999997"/>
    <m/>
    <m/>
    <n v="489.96"/>
    <n v="416.57"/>
    <n v="493.6"/>
    <m/>
  </r>
  <r>
    <d v="2026-07-23T00:00:00"/>
    <x v="3"/>
    <d v="1899-12-30T16:00:00"/>
    <x v="2"/>
    <n v="677.15"/>
    <n v="681"/>
    <n v="5.7000000000000002E-3"/>
    <n v="466.88"/>
    <n v="466.4"/>
    <n v="317618.39999999997"/>
    <n v="0"/>
    <n v="-1E-3"/>
    <n v="0.8"/>
    <n v="0"/>
    <n v="544.80000000000007"/>
    <n v="0.88229999999999997"/>
    <n v="1.47E-2"/>
    <n v="35.450000000000003"/>
    <m/>
    <m/>
    <n v="472.38"/>
    <n v="459.44"/>
    <n v="478.67"/>
    <m/>
  </r>
  <r>
    <d v="2026-07-23T00:00:00"/>
    <x v="3"/>
    <d v="1899-12-30T16:15:00"/>
    <x v="2"/>
    <n v="621.95000000000005"/>
    <n v="660"/>
    <n v="6.1199999999999997E-2"/>
    <n v="470.82"/>
    <n v="483.07"/>
    <n v="318826.2"/>
    <n v="1"/>
    <n v="2.5999999999999999E-2"/>
    <n v="0.86"/>
    <n v="0"/>
    <n v="567.6"/>
    <n v="0.89180000000000004"/>
    <n v="2.4199999999999999E-2"/>
    <n v="28.36"/>
    <m/>
    <m/>
    <n v="439.88"/>
    <n v="457.03"/>
    <n v="463.93"/>
    <m/>
  </r>
  <r>
    <d v="2026-07-23T00:00:00"/>
    <x v="3"/>
    <d v="1899-12-30T16:30:00"/>
    <x v="2"/>
    <n v="555.19000000000005"/>
    <n v="574"/>
    <n v="3.39E-2"/>
    <n v="470.66"/>
    <n v="451.91"/>
    <n v="259396.34000000003"/>
    <n v="0"/>
    <n v="-3.9800000000000002E-2"/>
    <n v="0.71"/>
    <n v="1"/>
    <n v="407.53999999999996"/>
    <n v="0.9012"/>
    <n v="2.6100000000000002E-2"/>
    <n v="27.99"/>
    <m/>
    <m/>
    <n v="397.01"/>
    <n v="377.11"/>
    <n v="413.2"/>
    <m/>
  </r>
  <r>
    <d v="2026-07-23T00:00:00"/>
    <x v="3"/>
    <d v="1899-12-30T16:45:00"/>
    <x v="2"/>
    <n v="455.72"/>
    <n v="523"/>
    <n v="0.14760000000000001"/>
    <n v="470.9"/>
    <n v="461.2"/>
    <n v="241207.6"/>
    <n v="0"/>
    <n v="-2.06E-2"/>
    <n v="0.75"/>
    <n v="1"/>
    <n v="392.25"/>
    <n v="0.93410000000000004"/>
    <n v="1.15E-2"/>
    <n v="23.87"/>
    <m/>
    <m/>
    <n v="335.34"/>
    <n v="350.16"/>
    <n v="384.53"/>
    <m/>
  </r>
  <r>
    <d v="2026-07-23T00:00:00"/>
    <x v="3"/>
    <d v="1899-12-30T17:00:00"/>
    <x v="2"/>
    <n v="352.07"/>
    <n v="349"/>
    <n v="-8.6999999999999994E-3"/>
    <n v="476.72"/>
    <n v="446.61"/>
    <n v="155866.89000000001"/>
    <n v="0"/>
    <n v="-6.3100000000000003E-2"/>
    <n v="0.73"/>
    <n v="1"/>
    <n v="254.76999999999998"/>
    <n v="0.91180000000000005"/>
    <n v="2.8999999999999998E-3"/>
    <n v="29.66"/>
    <m/>
    <m/>
    <n v="267.68"/>
    <n v="240.55"/>
    <n v="289.2"/>
    <m/>
  </r>
  <r>
    <d v="2026-07-23T00:00:00"/>
    <x v="3"/>
    <d v="1899-12-30T17:15:00"/>
    <x v="2"/>
    <n v="271.3"/>
    <n v="285"/>
    <n v="5.0500000000000003E-2"/>
    <n v="478.59"/>
    <n v="430.93"/>
    <n v="122815.05"/>
    <n v="0"/>
    <n v="-9.9599999999999994E-2"/>
    <n v="0.81"/>
    <n v="0"/>
    <n v="230.85000000000002"/>
    <n v="0.93600000000000005"/>
    <n v="0"/>
    <n v="18.579999999999998"/>
    <m/>
    <m/>
    <n v="215.69"/>
    <n v="192.95"/>
    <n v="252"/>
    <m/>
  </r>
  <r>
    <d v="2026-07-23T00:00:00"/>
    <x v="3"/>
    <d v="1899-12-30T17:30:00"/>
    <x v="2"/>
    <n v="208.15"/>
    <n v="195"/>
    <n v="-6.3200000000000006E-2"/>
    <n v="472.78"/>
    <n v="463.27"/>
    <n v="90337.65"/>
    <n v="0"/>
    <n v="-2.01E-2"/>
    <n v="0.88"/>
    <n v="0"/>
    <n v="171.6"/>
    <n v="0.94540000000000002"/>
    <n v="1.54E-2"/>
    <n v="18.96"/>
    <m/>
    <m/>
    <n v="164.1"/>
    <n v="145.75"/>
    <n v="191.87"/>
    <m/>
  </r>
  <r>
    <d v="2026-07-23T00:00:00"/>
    <x v="3"/>
    <d v="1899-12-30T17:45:00"/>
    <x v="2"/>
    <n v="169.45"/>
    <n v="182"/>
    <n v="7.3999999999999996E-2"/>
    <n v="472.93"/>
    <n v="446.69"/>
    <n v="81297.58"/>
    <n v="0"/>
    <n v="-5.5500000000000001E-2"/>
    <n v="0.92"/>
    <n v="0"/>
    <n v="167.44"/>
    <n v="0.95740000000000003"/>
    <n v="0"/>
    <n v="16.399999999999999"/>
    <m/>
    <m/>
    <n v="138.13"/>
    <n v="130.53"/>
    <n v="185"/>
    <m/>
  </r>
  <r>
    <d v="2026-07-23T00:00:00"/>
    <x v="3"/>
    <d v="1899-12-30T18:00:00"/>
    <x v="2"/>
    <n v="133.78"/>
    <n v="123"/>
    <n v="-8.0600000000000005E-2"/>
    <n v="470.3"/>
    <n v="505.37"/>
    <n v="62160.51"/>
    <n v="1"/>
    <n v="7.46E-2"/>
    <n v="0.93"/>
    <n v="0"/>
    <n v="114.39"/>
    <n v="0.93689999999999996"/>
    <n v="0"/>
    <n v="20.63"/>
    <m/>
    <m/>
    <n v="111.82"/>
    <n v="104.83"/>
    <n v="159.13"/>
    <m/>
  </r>
  <r>
    <d v="2026-07-23T00:00:00"/>
    <x v="3"/>
    <d v="1899-12-30T18:15:00"/>
    <x v="2"/>
    <n v="105.77"/>
    <n v="94"/>
    <n v="-0.11119999999999999"/>
    <n v="472.22"/>
    <n v="472.82"/>
    <n v="44445.08"/>
    <n v="1"/>
    <n v="1.2999999999999999E-3"/>
    <n v="0.92"/>
    <n v="0"/>
    <n v="86.48"/>
    <n v="0.94569999999999999"/>
    <n v="4.2599999999999999E-2"/>
    <n v="20.8"/>
    <m/>
    <m/>
    <n v="92.09"/>
    <n v="77.75"/>
    <n v="159.87"/>
    <m/>
  </r>
  <r>
    <d v="2026-07-23T00:00:00"/>
    <x v="3"/>
    <d v="1899-12-30T18:30:00"/>
    <x v="2"/>
    <n v="85.92"/>
    <n v="82"/>
    <n v="-4.5600000000000002E-2"/>
    <n v="471.49"/>
    <n v="478.22"/>
    <n v="39214.04"/>
    <n v="1"/>
    <n v="1.43E-2"/>
    <n v="0.89"/>
    <n v="0"/>
    <n v="72.98"/>
    <n v="0.91620000000000001"/>
    <n v="4.8800000000000003E-2"/>
    <n v="27.86"/>
    <m/>
    <m/>
    <n v="77.08"/>
    <n v="72.319999999999993"/>
    <n v="116.13"/>
    <m/>
  </r>
  <r>
    <d v="2026-07-23T00:00:00"/>
    <x v="3"/>
    <d v="1899-12-30T18:45:00"/>
    <x v="2"/>
    <n v="79.02"/>
    <n v="72"/>
    <n v="-8.8900000000000007E-2"/>
    <n v="462.09"/>
    <n v="471.28"/>
    <n v="33932.159999999996"/>
    <n v="1"/>
    <n v="1.9900000000000001E-2"/>
    <n v="0.93"/>
    <n v="0"/>
    <n v="66.960000000000008"/>
    <n v="0.90839999999999999"/>
    <n v="1.3899999999999999E-2"/>
    <n v="22.08"/>
    <m/>
    <m/>
    <n v="70.930000000000007"/>
    <n v="61.11"/>
    <n v="116"/>
    <m/>
  </r>
  <r>
    <d v="2026-07-24T00:00:00"/>
    <x v="4"/>
    <d v="1899-12-30T07:00:00"/>
    <x v="0"/>
    <n v="63.5"/>
    <n v="53"/>
    <n v="-0.16539999999999999"/>
    <n v="352.61"/>
    <n v="355.34"/>
    <n v="18833.02"/>
    <n v="1"/>
    <n v="7.7999999999999996E-3"/>
    <n v="0.92"/>
    <n v="0"/>
    <n v="48.760000000000005"/>
    <n v="0.91379999999999995"/>
    <n v="0"/>
    <n v="16.11"/>
    <m/>
    <m/>
    <n v="50.14"/>
    <n v="38.9"/>
    <n v="67.930000000000007"/>
    <m/>
  </r>
  <r>
    <d v="2026-07-24T00:00:00"/>
    <x v="4"/>
    <d v="1899-12-30T07:15:00"/>
    <x v="0"/>
    <n v="68.56"/>
    <n v="57"/>
    <n v="-0.1686"/>
    <n v="354.95"/>
    <n v="392.18"/>
    <n v="22354.260000000002"/>
    <n v="1"/>
    <n v="0.10489999999999999"/>
    <n v="0.84"/>
    <n v="0"/>
    <n v="47.879999999999995"/>
    <n v="0.91069999999999995"/>
    <n v="0"/>
    <n v="13.21"/>
    <m/>
    <m/>
    <n v="54.12"/>
    <n v="43.46"/>
    <n v="72.400000000000006"/>
    <m/>
  </r>
  <r>
    <d v="2026-07-24T00:00:00"/>
    <x v="4"/>
    <d v="1899-12-30T07:30:00"/>
    <x v="0"/>
    <n v="91.17"/>
    <n v="90"/>
    <n v="-1.2800000000000001E-2"/>
    <n v="358.93"/>
    <n v="287.43"/>
    <n v="25868.7"/>
    <n v="0"/>
    <n v="-0.19919999999999999"/>
    <n v="0.93"/>
    <n v="0"/>
    <n v="83.7"/>
    <n v="0.92589999999999995"/>
    <n v="0"/>
    <n v="12.89"/>
    <m/>
    <m/>
    <n v="69.37"/>
    <n v="56.1"/>
    <n v="112.2"/>
    <m/>
  </r>
  <r>
    <d v="2026-07-24T00:00:00"/>
    <x v="4"/>
    <d v="1899-12-30T07:45:00"/>
    <x v="0"/>
    <n v="159.44"/>
    <n v="118"/>
    <n v="-0.25990000000000002"/>
    <n v="364.82"/>
    <n v="357.27"/>
    <n v="42157.86"/>
    <n v="0"/>
    <n v="-2.07E-2"/>
    <n v="0.96"/>
    <n v="0"/>
    <n v="113.28"/>
    <n v="0.80549999999999999"/>
    <n v="8.5000000000000006E-3"/>
    <n v="10.42"/>
    <m/>
    <m/>
    <n v="111.57"/>
    <n v="82.57"/>
    <n v="128.07"/>
    <m/>
  </r>
  <r>
    <d v="2026-07-24T00:00:00"/>
    <x v="4"/>
    <d v="1899-12-30T08:00:00"/>
    <x v="0"/>
    <n v="254.71"/>
    <n v="265"/>
    <n v="4.0399999999999998E-2"/>
    <n v="371.65"/>
    <n v="352.85"/>
    <n v="93505.25"/>
    <n v="0"/>
    <n v="-5.0599999999999999E-2"/>
    <n v="0.94"/>
    <n v="0"/>
    <n v="249.1"/>
    <n v="0.98060000000000003"/>
    <n v="7.4999999999999997E-3"/>
    <n v="11.25"/>
    <m/>
    <m/>
    <n v="166.15"/>
    <n v="162.79"/>
    <n v="254.8"/>
    <m/>
  </r>
  <r>
    <d v="2026-07-24T00:00:00"/>
    <x v="4"/>
    <d v="1899-12-30T08:15:00"/>
    <x v="0"/>
    <n v="360.31"/>
    <n v="343"/>
    <n v="-4.8000000000000001E-2"/>
    <n v="378.92"/>
    <n v="393.91"/>
    <n v="135111.13"/>
    <n v="1"/>
    <n v="3.9600000000000003E-2"/>
    <n v="0.91"/>
    <n v="0"/>
    <n v="312.13"/>
    <n v="0.90969999999999995"/>
    <n v="0"/>
    <n v="14.45"/>
    <m/>
    <m/>
    <n v="223.84"/>
    <n v="217.42"/>
    <n v="260.67"/>
    <m/>
  </r>
  <r>
    <d v="2026-07-24T00:00:00"/>
    <x v="4"/>
    <d v="1899-12-30T08:30:00"/>
    <x v="0"/>
    <n v="437.98"/>
    <n v="430"/>
    <n v="-1.8200000000000001E-2"/>
    <n v="390"/>
    <n v="378.46"/>
    <n v="162737.79999999999"/>
    <n v="0"/>
    <n v="-2.9600000000000001E-2"/>
    <n v="0.91"/>
    <n v="0"/>
    <n v="391.3"/>
    <n v="0.93840000000000001"/>
    <n v="2.3E-3"/>
    <n v="13.61"/>
    <m/>
    <m/>
    <n v="270.75"/>
    <n v="256.83"/>
    <n v="331.67"/>
    <m/>
  </r>
  <r>
    <d v="2026-07-24T00:00:00"/>
    <x v="4"/>
    <d v="1899-12-30T08:45:00"/>
    <x v="0"/>
    <n v="509.77"/>
    <n v="452"/>
    <n v="-0.1133"/>
    <n v="402.03"/>
    <n v="362.77"/>
    <n v="163972.03999999998"/>
    <n v="0"/>
    <n v="-9.7699999999999995E-2"/>
    <n v="0.93"/>
    <n v="0"/>
    <n v="420.36"/>
    <n v="0.89319999999999999"/>
    <n v="6.6E-3"/>
    <n v="12.54"/>
    <m/>
    <m/>
    <n v="315.63"/>
    <n v="259.05"/>
    <n v="348.27"/>
    <m/>
  </r>
  <r>
    <d v="2026-07-24T00:00:00"/>
    <x v="4"/>
    <d v="1899-12-30T09:00:00"/>
    <x v="0"/>
    <n v="592.63"/>
    <n v="610"/>
    <n v="2.93E-2"/>
    <n v="409.3"/>
    <n v="408.24"/>
    <n v="249026.4"/>
    <n v="0"/>
    <n v="-2.5999999999999999E-3"/>
    <n v="0.94"/>
    <n v="0"/>
    <n v="573.4"/>
    <n v="0.91539999999999999"/>
    <n v="4.8999999999999998E-3"/>
    <n v="10.96"/>
    <m/>
    <m/>
    <n v="363.85"/>
    <n v="367.78"/>
    <n v="409.53"/>
    <m/>
  </r>
  <r>
    <d v="2026-07-24T00:00:00"/>
    <x v="4"/>
    <d v="1899-12-30T09:15:00"/>
    <x v="0"/>
    <n v="670.03"/>
    <n v="688"/>
    <n v="2.6800000000000001E-2"/>
    <n v="415.43"/>
    <n v="384.14"/>
    <n v="264288.32"/>
    <n v="0"/>
    <n v="-7.5300000000000006E-2"/>
    <n v="0.86"/>
    <n v="0"/>
    <n v="591.67999999999995"/>
    <n v="0.86919999999999997"/>
    <n v="4.4000000000000003E-3"/>
    <n v="17.72"/>
    <m/>
    <m/>
    <n v="408.65"/>
    <n v="384.45"/>
    <n v="420.8"/>
    <m/>
  </r>
  <r>
    <d v="2026-07-24T00:00:00"/>
    <x v="4"/>
    <d v="1899-12-30T09:30:00"/>
    <x v="0"/>
    <n v="726.5"/>
    <n v="751"/>
    <n v="3.3700000000000001E-2"/>
    <n v="421.36"/>
    <n v="405.07"/>
    <n v="304207.57"/>
    <n v="0"/>
    <n v="-3.8699999999999998E-2"/>
    <n v="0.82"/>
    <n v="0"/>
    <n v="615.81999999999994"/>
    <n v="0.86760000000000004"/>
    <n v="1.0699999999999999E-2"/>
    <n v="26.6"/>
    <m/>
    <m/>
    <n v="443.39"/>
    <n v="440"/>
    <n v="464.6"/>
    <m/>
  </r>
  <r>
    <d v="2026-07-24T00:00:00"/>
    <x v="4"/>
    <d v="1899-12-30T09:45:00"/>
    <x v="0"/>
    <n v="749.85"/>
    <n v="753"/>
    <n v="4.1999999999999997E-3"/>
    <n v="427.78"/>
    <n v="399.8"/>
    <n v="301049.40000000002"/>
    <n v="0"/>
    <n v="-6.54E-2"/>
    <n v="0.69"/>
    <n v="1"/>
    <n v="519.56999999999994"/>
    <n v="0.82520000000000004"/>
    <n v="1.8599999999999998E-2"/>
    <n v="37.44"/>
    <m/>
    <m/>
    <n v="461.76"/>
    <n v="432.14"/>
    <n v="460.07"/>
    <m/>
  </r>
  <r>
    <d v="2026-07-24T00:00:00"/>
    <x v="4"/>
    <d v="1899-12-30T10:00:00"/>
    <x v="0"/>
    <n v="776.32"/>
    <n v="813"/>
    <n v="4.7199999999999999E-2"/>
    <n v="431.26"/>
    <n v="375.29"/>
    <n v="305110.77"/>
    <n v="0"/>
    <n v="-0.1298"/>
    <n v="0.73"/>
    <n v="1"/>
    <n v="593.49"/>
    <n v="0.80869999999999997"/>
    <n v="1.4800000000000001E-2"/>
    <n v="28.62"/>
    <m/>
    <m/>
    <n v="480.19"/>
    <n v="438.26"/>
    <n v="483.07"/>
    <m/>
  </r>
  <r>
    <d v="2026-07-24T00:00:00"/>
    <x v="4"/>
    <d v="1899-12-30T10:15:00"/>
    <x v="0"/>
    <n v="793.33"/>
    <n v="753"/>
    <n v="-5.0799999999999998E-2"/>
    <n v="435.08"/>
    <n v="423.93"/>
    <n v="319219.28999999998"/>
    <n v="0"/>
    <n v="-2.5600000000000001E-2"/>
    <n v="0.81"/>
    <n v="0"/>
    <n v="609.93000000000006"/>
    <n v="0.81079999999999997"/>
    <n v="1.2E-2"/>
    <n v="21.07"/>
    <m/>
    <m/>
    <n v="492.57"/>
    <n v="456.31"/>
    <n v="498.53"/>
    <m/>
  </r>
  <r>
    <d v="2026-07-24T00:00:00"/>
    <x v="4"/>
    <d v="1899-12-30T10:30:00"/>
    <x v="0"/>
    <n v="815.6"/>
    <n v="781"/>
    <n v="-4.24E-2"/>
    <n v="438.3"/>
    <n v="438.43"/>
    <n v="342413.83"/>
    <n v="1"/>
    <n v="2.9999999999999997E-4"/>
    <n v="0.82"/>
    <n v="0"/>
    <n v="640.41999999999996"/>
    <n v="0.88270000000000004"/>
    <n v="1.2800000000000001E-2"/>
    <n v="26.94"/>
    <m/>
    <m/>
    <n v="508.39"/>
    <n v="483.49"/>
    <n v="537.73"/>
    <m/>
  </r>
  <r>
    <d v="2026-07-24T00:00:00"/>
    <x v="4"/>
    <d v="1899-12-30T10:45:00"/>
    <x v="0"/>
    <n v="811.25"/>
    <n v="812"/>
    <n v="8.9999999999999998E-4"/>
    <n v="439.06"/>
    <n v="443.37"/>
    <n v="360016.44"/>
    <n v="1"/>
    <n v="9.7999999999999997E-3"/>
    <n v="0.69"/>
    <n v="1"/>
    <n v="560.28"/>
    <n v="0.8841"/>
    <n v="1.4800000000000001E-2"/>
    <n v="33.51"/>
    <m/>
    <m/>
    <n v="506.64"/>
    <n v="506.74"/>
    <n v="542.92999999999995"/>
    <m/>
  </r>
  <r>
    <d v="2026-07-24T00:00:00"/>
    <x v="4"/>
    <d v="1899-12-30T11:00:00"/>
    <x v="0"/>
    <n v="814.67"/>
    <n v="871"/>
    <n v="6.9099999999999995E-2"/>
    <n v="440.74"/>
    <n v="444.52"/>
    <n v="387176.92"/>
    <n v="1"/>
    <n v="8.6E-3"/>
    <n v="0.72"/>
    <n v="1"/>
    <n v="627.12"/>
    <n v="0.87560000000000004"/>
    <n v="1.84E-2"/>
    <n v="37.770000000000003"/>
    <m/>
    <m/>
    <n v="510.7"/>
    <n v="542.09"/>
    <n v="539.33000000000004"/>
    <m/>
  </r>
  <r>
    <d v="2026-07-24T00:00:00"/>
    <x v="4"/>
    <d v="1899-12-30T11:15:00"/>
    <x v="0"/>
    <n v="810.26"/>
    <n v="864"/>
    <n v="6.6299999999999998E-2"/>
    <n v="441.65"/>
    <n v="437.87"/>
    <n v="378319.68"/>
    <n v="0"/>
    <n v="-8.5000000000000006E-3"/>
    <n v="0.71"/>
    <n v="1"/>
    <n v="613.43999999999994"/>
    <n v="0.88460000000000005"/>
    <n v="1.6199999999999999E-2"/>
    <n v="31.68"/>
    <m/>
    <m/>
    <n v="509.16"/>
    <n v="531.61"/>
    <n v="544.47"/>
    <m/>
  </r>
  <r>
    <d v="2026-07-24T00:00:00"/>
    <x v="4"/>
    <d v="1899-12-30T11:30:00"/>
    <x v="0"/>
    <n v="814.18"/>
    <n v="863"/>
    <n v="0.06"/>
    <n v="441.07"/>
    <n v="439.22"/>
    <n v="379046.86000000004"/>
    <n v="0"/>
    <n v="-4.1999999999999997E-3"/>
    <n v="0.8"/>
    <n v="0"/>
    <n v="690.40000000000009"/>
    <n v="0.88649999999999995"/>
    <n v="7.0000000000000001E-3"/>
    <n v="31.98"/>
    <m/>
    <m/>
    <n v="510.54"/>
    <n v="531.64"/>
    <n v="549.79999999999995"/>
    <m/>
  </r>
  <r>
    <d v="2026-07-24T00:00:00"/>
    <x v="4"/>
    <d v="1899-12-30T11:45:00"/>
    <x v="0"/>
    <n v="793.4"/>
    <n v="847"/>
    <n v="6.7599999999999993E-2"/>
    <n v="443.48"/>
    <n v="401.62"/>
    <n v="340172.14"/>
    <n v="0"/>
    <n v="-9.4399999999999998E-2"/>
    <n v="0.75"/>
    <n v="1"/>
    <n v="635.25"/>
    <n v="0.8871"/>
    <n v="2.4799999999999999E-2"/>
    <n v="44.75"/>
    <m/>
    <m/>
    <n v="501.09"/>
    <n v="479.26"/>
    <n v="540.07000000000005"/>
    <m/>
  </r>
  <r>
    <d v="2026-07-24T00:00:00"/>
    <x v="4"/>
    <d v="1899-12-30T12:00:00"/>
    <x v="1"/>
    <n v="772.77"/>
    <n v="810"/>
    <n v="4.82E-2"/>
    <n v="444.35"/>
    <n v="433.3"/>
    <n v="350973"/>
    <n v="0"/>
    <n v="-2.4899999999999999E-2"/>
    <n v="0.76"/>
    <n v="1"/>
    <n v="615.6"/>
    <n v="0.88859999999999995"/>
    <n v="2.1000000000000001E-2"/>
    <n v="37.96"/>
    <m/>
    <m/>
    <n v="489.27"/>
    <n v="498.63"/>
    <n v="528.27"/>
    <m/>
  </r>
  <r>
    <d v="2026-07-24T00:00:00"/>
    <x v="4"/>
    <d v="1899-12-30T12:15:00"/>
    <x v="1"/>
    <n v="741.99"/>
    <n v="748"/>
    <n v="8.0999999999999996E-3"/>
    <n v="445.61"/>
    <n v="429.44"/>
    <n v="321221.12"/>
    <n v="0"/>
    <n v="-3.6299999999999999E-2"/>
    <n v="0.64"/>
    <n v="1"/>
    <n v="478.72"/>
    <n v="0.8861"/>
    <n v="2.81E-2"/>
    <n v="44.01"/>
    <m/>
    <m/>
    <n v="472.57"/>
    <n v="460.31"/>
    <n v="514.33000000000004"/>
    <m/>
  </r>
  <r>
    <d v="2026-07-24T00:00:00"/>
    <x v="4"/>
    <d v="1899-12-30T12:30:00"/>
    <x v="1"/>
    <n v="729.07"/>
    <n v="751"/>
    <n v="3.0099999999999998E-2"/>
    <n v="447.53"/>
    <n v="432.17"/>
    <n v="324559.67"/>
    <n v="0"/>
    <n v="-3.4299999999999997E-2"/>
    <n v="0.8"/>
    <n v="0"/>
    <n v="600.80000000000007"/>
    <n v="0.88870000000000005"/>
    <n v="0.02"/>
    <n v="28.25"/>
    <m/>
    <m/>
    <n v="466.71"/>
    <n v="465.59"/>
    <n v="502.33"/>
    <m/>
  </r>
  <r>
    <d v="2026-07-24T00:00:00"/>
    <x v="4"/>
    <d v="1899-12-30T12:45:00"/>
    <x v="1"/>
    <n v="708.03"/>
    <n v="738"/>
    <n v="4.2299999999999997E-2"/>
    <n v="446.66"/>
    <n v="435.29"/>
    <n v="321244.02"/>
    <n v="0"/>
    <n v="-2.5499999999999998E-2"/>
    <n v="0.66"/>
    <n v="1"/>
    <n v="487.08000000000004"/>
    <n v="0.89390000000000003"/>
    <n v="2.0299999999999999E-2"/>
    <n v="41.27"/>
    <m/>
    <m/>
    <n v="454.1"/>
    <n v="456.23"/>
    <n v="488.87"/>
    <m/>
  </r>
  <r>
    <d v="2026-07-24T00:00:00"/>
    <x v="4"/>
    <d v="1899-12-30T13:00:00"/>
    <x v="1"/>
    <n v="709.69"/>
    <n v="758"/>
    <n v="6.8099999999999994E-2"/>
    <n v="448.37"/>
    <n v="429.44"/>
    <n v="325515.52000000002"/>
    <n v="0"/>
    <n v="-4.2200000000000001E-2"/>
    <n v="0.82"/>
    <n v="0"/>
    <n v="621.55999999999995"/>
    <n v="0.9042"/>
    <n v="6.6E-3"/>
    <n v="31.85"/>
    <m/>
    <m/>
    <n v="457.18"/>
    <n v="463.58"/>
    <n v="493.13"/>
    <m/>
  </r>
  <r>
    <d v="2026-07-24T00:00:00"/>
    <x v="4"/>
    <d v="1899-12-30T13:15:00"/>
    <x v="1"/>
    <n v="707.24"/>
    <n v="765"/>
    <n v="8.1699999999999995E-2"/>
    <n v="447.75"/>
    <n v="431.37"/>
    <n v="329998.05"/>
    <n v="0"/>
    <n v="-3.6600000000000001E-2"/>
    <n v="0.81"/>
    <n v="0"/>
    <n v="619.65000000000009"/>
    <n v="0.90059999999999996"/>
    <n v="1.0500000000000001E-2"/>
    <n v="24.49"/>
    <m/>
    <m/>
    <n v="456.09"/>
    <n v="471.98"/>
    <n v="497.4"/>
    <m/>
  </r>
  <r>
    <d v="2026-07-24T00:00:00"/>
    <x v="4"/>
    <d v="1899-12-30T13:30:00"/>
    <x v="1"/>
    <n v="715.92"/>
    <n v="753"/>
    <n v="5.1799999999999999E-2"/>
    <n v="447.89"/>
    <n v="431.18"/>
    <n v="324678.53999999998"/>
    <n v="0"/>
    <n v="-3.73E-2"/>
    <n v="0.77"/>
    <n v="1"/>
    <n v="579.81000000000006"/>
    <n v="0.89610000000000001"/>
    <n v="9.2999999999999992E-3"/>
    <n v="24.14"/>
    <m/>
    <m/>
    <n v="461.45"/>
    <n v="465.84"/>
    <n v="498.07"/>
    <m/>
  </r>
  <r>
    <d v="2026-07-24T00:00:00"/>
    <x v="4"/>
    <d v="1899-12-30T13:45:00"/>
    <x v="1"/>
    <n v="705.21"/>
    <n v="744"/>
    <n v="5.5E-2"/>
    <n v="449.58"/>
    <n v="441.18"/>
    <n v="328237.92"/>
    <n v="0"/>
    <n v="-1.8700000000000001E-2"/>
    <n v="0.84"/>
    <n v="0"/>
    <n v="624.95999999999992"/>
    <n v="0.89380000000000004"/>
    <n v="1.0800000000000001E-2"/>
    <n v="20.170000000000002"/>
    <m/>
    <m/>
    <n v="457.22"/>
    <n v="468.28"/>
    <n v="496.53"/>
    <m/>
  </r>
  <r>
    <d v="2026-07-24T00:00:00"/>
    <x v="4"/>
    <d v="1899-12-30T14:00:00"/>
    <x v="1"/>
    <n v="715.48"/>
    <n v="779"/>
    <n v="8.8800000000000004E-2"/>
    <n v="448.34"/>
    <n v="422.3"/>
    <n v="328971.7"/>
    <n v="0"/>
    <n v="-5.8099999999999999E-2"/>
    <n v="0.67"/>
    <n v="1"/>
    <n v="521.93000000000006"/>
    <n v="0.89129999999999998"/>
    <n v="1.9300000000000001E-2"/>
    <n v="38.9"/>
    <m/>
    <m/>
    <n v="462.07"/>
    <n v="465.81"/>
    <n v="503"/>
    <m/>
  </r>
  <r>
    <d v="2026-07-24T00:00:00"/>
    <x v="4"/>
    <d v="1899-12-30T14:15:00"/>
    <x v="1"/>
    <n v="711.35"/>
    <n v="720"/>
    <n v="1.2200000000000001E-2"/>
    <n v="449.92"/>
    <n v="455.45"/>
    <n v="327924"/>
    <n v="1"/>
    <n v="1.23E-2"/>
    <n v="0.67"/>
    <n v="1"/>
    <n v="482.40000000000003"/>
    <n v="0.89300000000000002"/>
    <n v="1.3899999999999999E-2"/>
    <n v="30.87"/>
    <m/>
    <m/>
    <n v="460.7"/>
    <n v="464.36"/>
    <n v="495.07"/>
    <m/>
  </r>
  <r>
    <d v="2026-07-24T00:00:00"/>
    <x v="4"/>
    <d v="1899-12-30T14:30:00"/>
    <x v="1"/>
    <n v="723.29"/>
    <n v="715"/>
    <n v="-1.15E-2"/>
    <n v="451.08"/>
    <n v="415.14"/>
    <n v="296825.09999999998"/>
    <n v="0"/>
    <n v="-7.9699999999999993E-2"/>
    <n v="0.87"/>
    <n v="0"/>
    <n v="622.04999999999995"/>
    <n v="0.90710000000000002"/>
    <n v="8.3999999999999995E-3"/>
    <n v="20.309999999999999"/>
    <m/>
    <m/>
    <n v="468.54"/>
    <n v="423.89"/>
    <n v="507.2"/>
    <m/>
  </r>
  <r>
    <d v="2026-07-24T00:00:00"/>
    <x v="4"/>
    <d v="1899-12-30T14:45:00"/>
    <x v="1"/>
    <n v="706.82"/>
    <n v="724"/>
    <n v="2.4299999999999999E-2"/>
    <n v="450.08"/>
    <n v="444.62"/>
    <n v="321904.88"/>
    <n v="0"/>
    <n v="-1.21E-2"/>
    <n v="0.81"/>
    <n v="0"/>
    <n v="586.44000000000005"/>
    <n v="0.89139999999999997"/>
    <n v="4.1000000000000003E-3"/>
    <n v="26.11"/>
    <m/>
    <m/>
    <n v="457.9"/>
    <n v="458.9"/>
    <n v="498.07"/>
    <m/>
  </r>
  <r>
    <d v="2026-07-24T00:00:00"/>
    <x v="4"/>
    <d v="1899-12-30T15:00:00"/>
    <x v="2"/>
    <n v="695.16"/>
    <n v="724"/>
    <n v="4.1500000000000002E-2"/>
    <n v="453.7"/>
    <n v="438.41"/>
    <n v="317408.84000000003"/>
    <n v="0"/>
    <n v="-3.3700000000000001E-2"/>
    <n v="0.65"/>
    <n v="1"/>
    <n v="470.6"/>
    <n v="0.90359999999999996"/>
    <n v="1.9300000000000001E-2"/>
    <n v="38.5"/>
    <m/>
    <m/>
    <n v="454.14"/>
    <n v="450.73"/>
    <n v="493.93"/>
    <m/>
  </r>
  <r>
    <d v="2026-07-24T00:00:00"/>
    <x v="4"/>
    <d v="1899-12-30T15:15:00"/>
    <x v="2"/>
    <n v="672.05"/>
    <n v="709"/>
    <n v="5.5E-2"/>
    <n v="455.92"/>
    <n v="439.35"/>
    <n v="311499.15000000002"/>
    <n v="0"/>
    <n v="-3.6299999999999999E-2"/>
    <n v="0.78"/>
    <n v="1"/>
    <n v="553.02"/>
    <n v="0.9163"/>
    <n v="7.1000000000000004E-3"/>
    <n v="21.19"/>
    <m/>
    <m/>
    <n v="442.43"/>
    <n v="445.69"/>
    <n v="492.53"/>
    <m/>
  </r>
  <r>
    <d v="2026-07-24T00:00:00"/>
    <x v="4"/>
    <d v="1899-12-30T15:30:00"/>
    <x v="2"/>
    <n v="660.61"/>
    <n v="649"/>
    <n v="-1.7600000000000001E-2"/>
    <n v="461.91"/>
    <n v="457.48"/>
    <n v="296904.52"/>
    <n v="0"/>
    <n v="-9.5999999999999992E-3"/>
    <n v="0.87"/>
    <n v="0"/>
    <n v="564.63"/>
    <n v="0.86050000000000004"/>
    <n v="1.5E-3"/>
    <n v="17.71"/>
    <m/>
    <m/>
    <n v="440.1"/>
    <n v="424.63"/>
    <n v="467.73"/>
    <m/>
  </r>
  <r>
    <d v="2026-07-24T00:00:00"/>
    <x v="4"/>
    <d v="1899-12-30T15:45:00"/>
    <x v="2"/>
    <n v="642.13"/>
    <n v="638"/>
    <n v="-6.4000000000000003E-3"/>
    <n v="464.83"/>
    <n v="444.41"/>
    <n v="283533.58"/>
    <n v="0"/>
    <n v="-4.3900000000000002E-2"/>
    <n v="0.9"/>
    <n v="0"/>
    <n v="574.20000000000005"/>
    <n v="0.88280000000000003"/>
    <n v="1.0999999999999999E-2"/>
    <n v="21.03"/>
    <m/>
    <m/>
    <n v="431.49"/>
    <n v="410.65"/>
    <n v="466.67"/>
    <m/>
  </r>
  <r>
    <d v="2026-07-24T00:00:00"/>
    <x v="4"/>
    <d v="1899-12-30T16:00:00"/>
    <x v="2"/>
    <n v="602.04999999999995"/>
    <n v="640"/>
    <n v="6.3E-2"/>
    <n v="467.88"/>
    <n v="438.02"/>
    <n v="280332.79999999999"/>
    <n v="0"/>
    <n v="-6.3799999999999996E-2"/>
    <n v="0.85"/>
    <n v="0"/>
    <n v="544"/>
    <n v="0.91180000000000005"/>
    <n v="9.4000000000000004E-3"/>
    <n v="18.04"/>
    <m/>
    <m/>
    <n v="409.59"/>
    <n v="408.28"/>
    <n v="460.73"/>
    <m/>
  </r>
  <r>
    <d v="2026-07-24T00:00:00"/>
    <x v="4"/>
    <d v="1899-12-30T16:15:00"/>
    <x v="2"/>
    <n v="544.62"/>
    <n v="540"/>
    <n v="-8.5000000000000006E-3"/>
    <n v="470.42"/>
    <n v="460.04"/>
    <n v="248421.6"/>
    <n v="0"/>
    <n v="-2.2100000000000002E-2"/>
    <n v="0.82"/>
    <n v="0"/>
    <n v="442.79999999999995"/>
    <n v="0.92100000000000004"/>
    <n v="1.67E-2"/>
    <n v="29.42"/>
    <m/>
    <m/>
    <n v="376.07"/>
    <n v="358.9"/>
    <n v="429.47"/>
    <m/>
  </r>
  <r>
    <d v="2026-07-24T00:00:00"/>
    <x v="4"/>
    <d v="1899-12-30T16:30:00"/>
    <x v="2"/>
    <n v="466.36"/>
    <n v="476"/>
    <n v="2.07E-2"/>
    <n v="474.06"/>
    <n v="469.78"/>
    <n v="223615.28"/>
    <n v="0"/>
    <n v="-8.9999999999999993E-3"/>
    <n v="0.81"/>
    <n v="0"/>
    <n v="385.56"/>
    <n v="0.91669999999999996"/>
    <n v="2.52E-2"/>
    <n v="34.82"/>
    <m/>
    <m/>
    <n v="329.91"/>
    <n v="328.85"/>
    <n v="373.27"/>
    <m/>
  </r>
  <r>
    <d v="2026-07-24T00:00:00"/>
    <x v="4"/>
    <d v="1899-12-30T16:45:00"/>
    <x v="2"/>
    <n v="378.38"/>
    <n v="430"/>
    <n v="0.13639999999999999"/>
    <n v="472.71"/>
    <n v="472.48"/>
    <n v="203166.4"/>
    <n v="0"/>
    <n v="-5.0000000000000001E-4"/>
    <n v="0.72"/>
    <n v="1"/>
    <n v="309.59999999999997"/>
    <n v="0.94510000000000005"/>
    <n v="2.3300000000000001E-2"/>
    <n v="39.950000000000003"/>
    <m/>
    <m/>
    <n v="275.06"/>
    <n v="296.68"/>
    <n v="352.73"/>
    <m/>
  </r>
  <r>
    <d v="2026-07-24T00:00:00"/>
    <x v="4"/>
    <d v="1899-12-30T17:00:00"/>
    <x v="2"/>
    <n v="273.63"/>
    <n v="266"/>
    <n v="-2.7900000000000001E-2"/>
    <n v="475.93"/>
    <n v="496.27"/>
    <n v="132007.82"/>
    <n v="1"/>
    <n v="4.2700000000000002E-2"/>
    <n v="0.78"/>
    <n v="1"/>
    <n v="207.48000000000002"/>
    <n v="0.88970000000000005"/>
    <n v="1.4999999999999999E-2"/>
    <n v="25.41"/>
    <m/>
    <m/>
    <n v="207.47"/>
    <n v="208.77"/>
    <n v="243.93"/>
    <m/>
  </r>
  <r>
    <d v="2026-07-24T00:00:00"/>
    <x v="4"/>
    <d v="1899-12-30T17:15:00"/>
    <x v="2"/>
    <n v="207.34"/>
    <n v="221"/>
    <n v="6.59E-2"/>
    <n v="479.31"/>
    <n v="477.47"/>
    <n v="105520.87000000001"/>
    <n v="0"/>
    <n v="-3.8E-3"/>
    <n v="0.88"/>
    <n v="0"/>
    <n v="194.48"/>
    <n v="0.92569999999999997"/>
    <n v="8.9999999999999993E-3"/>
    <n v="18.34"/>
    <m/>
    <m/>
    <n v="165.36"/>
    <n v="163.81"/>
    <n v="227.2"/>
    <m/>
  </r>
  <r>
    <d v="2026-07-24T00:00:00"/>
    <x v="4"/>
    <d v="1899-12-30T17:30:00"/>
    <x v="2"/>
    <n v="153.79"/>
    <n v="184"/>
    <n v="0.19639999999999999"/>
    <n v="481.21"/>
    <n v="491.37"/>
    <n v="90412.08"/>
    <n v="1"/>
    <n v="2.1100000000000001E-2"/>
    <n v="0.88"/>
    <n v="0"/>
    <n v="161.91999999999999"/>
    <n v="0.9365"/>
    <n v="1.09E-2"/>
    <n v="23.02"/>
    <m/>
    <m/>
    <n v="123.68"/>
    <n v="146.61000000000001"/>
    <n v="160.6"/>
    <m/>
  </r>
  <r>
    <d v="2026-07-24T00:00:00"/>
    <x v="4"/>
    <d v="1899-12-30T17:45:00"/>
    <x v="2"/>
    <n v="129.18"/>
    <n v="123"/>
    <n v="-4.7800000000000002E-2"/>
    <n v="480.64"/>
    <n v="512.36"/>
    <n v="63020.28"/>
    <n v="1"/>
    <n v="6.6000000000000003E-2"/>
    <n v="0.91"/>
    <n v="0"/>
    <n v="111.93"/>
    <n v="0.93820000000000003"/>
    <n v="8.0999999999999996E-3"/>
    <n v="27.85"/>
    <m/>
    <m/>
    <n v="106.91"/>
    <n v="104.62"/>
    <n v="160.80000000000001"/>
    <m/>
  </r>
  <r>
    <d v="2026-07-24T00:00:00"/>
    <x v="4"/>
    <d v="1899-12-30T18:00:00"/>
    <x v="2"/>
    <n v="100.87"/>
    <n v="88"/>
    <n v="-0.12759999999999999"/>
    <n v="481.16"/>
    <n v="519.22"/>
    <n v="45691.360000000001"/>
    <n v="1"/>
    <n v="7.9100000000000004E-2"/>
    <n v="0.85"/>
    <n v="0"/>
    <n v="74.8"/>
    <n v="0.93069999999999997"/>
    <n v="3.4099999999999998E-2"/>
    <n v="49.88"/>
    <m/>
    <m/>
    <n v="86.47"/>
    <n v="83.96"/>
    <n v="145"/>
    <m/>
  </r>
  <r>
    <d v="2026-07-24T00:00:00"/>
    <x v="4"/>
    <d v="1899-12-30T18:15:00"/>
    <x v="2"/>
    <n v="78.09"/>
    <n v="99"/>
    <n v="0.26769999999999999"/>
    <n v="480.5"/>
    <n v="553.62"/>
    <n v="54808.38"/>
    <n v="1"/>
    <n v="0.1522"/>
    <n v="0.82"/>
    <n v="0"/>
    <n v="81.179999999999993"/>
    <n v="0.94569999999999999"/>
    <n v="9.0899999999999995E-2"/>
    <n v="71.2"/>
    <m/>
    <m/>
    <n v="69.91"/>
    <n v="106.02"/>
    <n v="144"/>
    <m/>
  </r>
  <r>
    <d v="2026-07-24T00:00:00"/>
    <x v="4"/>
    <d v="1899-12-30T18:30:00"/>
    <x v="2"/>
    <n v="61.81"/>
    <n v="65"/>
    <n v="5.1700000000000003E-2"/>
    <n v="479.96"/>
    <n v="512.11"/>
    <n v="33287.15"/>
    <n v="1"/>
    <n v="6.7000000000000004E-2"/>
    <n v="0.92"/>
    <n v="0"/>
    <n v="59.800000000000004"/>
    <n v="0.9294"/>
    <n v="6.1499999999999999E-2"/>
    <n v="9.98"/>
    <m/>
    <m/>
    <n v="57.8"/>
    <n v="61.42"/>
    <n v="104"/>
    <m/>
  </r>
  <r>
    <d v="2026-07-24T00:00:00"/>
    <x v="4"/>
    <d v="1899-12-30T18:45:00"/>
    <x v="2"/>
    <n v="52.73"/>
    <n v="40"/>
    <n v="-0.2414"/>
    <n v="477.43"/>
    <n v="477.83"/>
    <n v="19113.2"/>
    <n v="1"/>
    <n v="8.0000000000000004E-4"/>
    <n v="0.85"/>
    <n v="0"/>
    <n v="34"/>
    <n v="0.93130000000000002"/>
    <n v="0"/>
    <n v="46.65"/>
    <m/>
    <m/>
    <n v="50.86"/>
    <n v="33.74"/>
    <n v="103"/>
    <m/>
  </r>
  <r>
    <d v="2026-07-25T00:00:00"/>
    <x v="5"/>
    <d v="1899-12-30T08:00:00"/>
    <x v="0"/>
    <n v="70.62"/>
    <n v="58"/>
    <n v="-0.1787"/>
    <n v="407.36"/>
    <n v="397.47"/>
    <n v="23053.260000000002"/>
    <n v="0"/>
    <n v="-2.4299999999999999E-2"/>
    <n v="0.94"/>
    <n v="0"/>
    <n v="54.519999999999996"/>
    <n v="0.95979999999999999"/>
    <n v="1.72E-2"/>
    <n v="9.44"/>
    <m/>
    <m/>
    <n v="61.51"/>
    <n v="46.82"/>
    <n v="109"/>
    <m/>
  </r>
  <r>
    <d v="2026-07-25T00:00:00"/>
    <x v="5"/>
    <d v="1899-12-30T08:15:00"/>
    <x v="0"/>
    <n v="72.010000000000005"/>
    <n v="65"/>
    <n v="-9.74E-2"/>
    <n v="400.86"/>
    <n v="398.63"/>
    <n v="25910.95"/>
    <n v="0"/>
    <n v="-5.5999999999999999E-3"/>
    <n v="0.89"/>
    <n v="0"/>
    <n v="57.85"/>
    <n v="0.96030000000000004"/>
    <n v="0"/>
    <n v="36.54"/>
    <m/>
    <m/>
    <n v="62"/>
    <n v="51.85"/>
    <n v="111.4"/>
    <m/>
  </r>
  <r>
    <d v="2026-07-25T00:00:00"/>
    <x v="5"/>
    <d v="1899-12-30T08:30:00"/>
    <x v="0"/>
    <n v="76.42"/>
    <n v="73"/>
    <n v="-4.4699999999999997E-2"/>
    <n v="400.84"/>
    <n v="302.23"/>
    <n v="22062.79"/>
    <n v="0"/>
    <n v="-0.246"/>
    <n v="0.94"/>
    <n v="0"/>
    <n v="68.61999999999999"/>
    <n v="0.95650000000000002"/>
    <n v="0"/>
    <n v="11.96"/>
    <m/>
    <m/>
    <n v="64.94"/>
    <n v="45.05"/>
    <n v="113.2"/>
    <m/>
  </r>
  <r>
    <d v="2026-07-25T00:00:00"/>
    <x v="5"/>
    <d v="1899-12-30T08:45:00"/>
    <x v="0"/>
    <n v="82.13"/>
    <n v="71"/>
    <n v="-0.13550000000000001"/>
    <n v="398.02"/>
    <n v="279.72000000000003"/>
    <n v="19860.120000000003"/>
    <n v="0"/>
    <n v="-0.29720000000000002"/>
    <n v="0.97"/>
    <n v="0"/>
    <n v="68.87"/>
    <n v="0.93620000000000003"/>
    <n v="0"/>
    <n v="10.18"/>
    <m/>
    <m/>
    <n v="68.010000000000005"/>
    <n v="44.27"/>
    <n v="103.87"/>
    <m/>
  </r>
  <r>
    <d v="2026-07-25T00:00:00"/>
    <x v="5"/>
    <d v="1899-12-30T09:00:00"/>
    <x v="0"/>
    <n v="92.86"/>
    <n v="104"/>
    <n v="0.12"/>
    <n v="398.77"/>
    <n v="358.23"/>
    <n v="37255.919999999998"/>
    <n v="0"/>
    <n v="-0.1017"/>
    <n v="0.95"/>
    <n v="0"/>
    <n v="98.8"/>
    <n v="0.89449999999999996"/>
    <n v="0"/>
    <n v="12.48"/>
    <m/>
    <m/>
    <n v="74.290000000000006"/>
    <n v="67.849999999999994"/>
    <n v="109.53"/>
    <m/>
  </r>
  <r>
    <d v="2026-07-25T00:00:00"/>
    <x v="5"/>
    <d v="1899-12-30T09:15:00"/>
    <x v="0"/>
    <n v="103.3"/>
    <n v="109"/>
    <n v="5.5100000000000003E-2"/>
    <n v="400.21"/>
    <n v="374.27"/>
    <n v="40795.43"/>
    <n v="0"/>
    <n v="-6.4799999999999996E-2"/>
    <n v="0.94"/>
    <n v="0"/>
    <n v="102.46"/>
    <n v="0.83209999999999995"/>
    <n v="0"/>
    <n v="10.31"/>
    <m/>
    <m/>
    <n v="80.180000000000007"/>
    <n v="75.06"/>
    <n v="96.2"/>
    <m/>
  </r>
  <r>
    <d v="2026-07-25T00:00:00"/>
    <x v="5"/>
    <d v="1899-12-30T09:30:00"/>
    <x v="0"/>
    <n v="110.17"/>
    <n v="107"/>
    <n v="-2.8799999999999999E-2"/>
    <n v="401.24"/>
    <n v="373.67"/>
    <n v="39982.69"/>
    <n v="0"/>
    <n v="-6.8699999999999997E-2"/>
    <n v="0.93"/>
    <n v="0"/>
    <n v="99.51"/>
    <n v="0.83009999999999995"/>
    <n v="9.2999999999999992E-3"/>
    <n v="9.7799999999999994"/>
    <m/>
    <m/>
    <n v="84.05"/>
    <n v="71.069999999999993"/>
    <n v="101"/>
    <m/>
  </r>
  <r>
    <d v="2026-07-25T00:00:00"/>
    <x v="5"/>
    <d v="1899-12-30T09:45:00"/>
    <x v="0"/>
    <n v="113.84"/>
    <n v="109"/>
    <n v="-4.2500000000000003E-2"/>
    <n v="403.11"/>
    <n v="395.78"/>
    <n v="43140.02"/>
    <n v="0"/>
    <n v="-1.8200000000000001E-2"/>
    <n v="0.84"/>
    <n v="0"/>
    <n v="91.56"/>
    <n v="0.80389999999999995"/>
    <n v="1.83E-2"/>
    <n v="30.66"/>
    <m/>
    <m/>
    <n v="86.18"/>
    <n v="73.23"/>
    <n v="100.47"/>
    <m/>
  </r>
  <r>
    <d v="2026-07-25T00:00:00"/>
    <x v="5"/>
    <d v="1899-12-30T10:00:00"/>
    <x v="0"/>
    <n v="118.09"/>
    <n v="144"/>
    <n v="0.21940000000000001"/>
    <n v="409.91"/>
    <n v="398.85"/>
    <n v="57434.400000000001"/>
    <n v="0"/>
    <n v="-2.7E-2"/>
    <n v="0.79"/>
    <n v="1"/>
    <n v="113.76"/>
    <n v="0.81799999999999995"/>
    <n v="6.8999999999999999E-3"/>
    <n v="77.040000000000006"/>
    <m/>
    <m/>
    <n v="89.49"/>
    <n v="104.5"/>
    <n v="103"/>
    <m/>
  </r>
  <r>
    <d v="2026-07-25T00:00:00"/>
    <x v="5"/>
    <d v="1899-12-30T10:15:00"/>
    <x v="0"/>
    <n v="119.22"/>
    <n v="118"/>
    <n v="-1.0200000000000001E-2"/>
    <n v="405.21"/>
    <n v="452.14"/>
    <n v="53352.52"/>
    <n v="1"/>
    <n v="0.1158"/>
    <n v="0.79"/>
    <n v="1"/>
    <n v="93.22"/>
    <n v="0.83420000000000005"/>
    <n v="8.5000000000000006E-3"/>
    <n v="58.44"/>
    <m/>
    <m/>
    <n v="89.02"/>
    <n v="95.29"/>
    <n v="102"/>
    <m/>
  </r>
  <r>
    <d v="2026-07-25T00:00:00"/>
    <x v="5"/>
    <d v="1899-12-30T10:30:00"/>
    <x v="0"/>
    <n v="122.11"/>
    <n v="125"/>
    <n v="2.3699999999999999E-2"/>
    <n v="412.09"/>
    <n v="500.68"/>
    <n v="62585"/>
    <n v="1"/>
    <n v="0.215"/>
    <n v="0.72"/>
    <n v="1"/>
    <n v="90"/>
    <n v="0.83499999999999996"/>
    <n v="9.6000000000000002E-2"/>
    <n v="64.099999999999994"/>
    <m/>
    <m/>
    <n v="92.03"/>
    <n v="104.86"/>
    <n v="106"/>
    <m/>
  </r>
  <r>
    <d v="2026-07-25T00:00:00"/>
    <x v="5"/>
    <d v="1899-12-30T10:45:00"/>
    <x v="0"/>
    <n v="121.35"/>
    <n v="144"/>
    <n v="0.1867"/>
    <n v="410.87"/>
    <n v="542.54999999999995"/>
    <n v="78127.199999999997"/>
    <n v="1"/>
    <n v="0.32050000000000001"/>
    <n v="0.55000000000000004"/>
    <n v="1"/>
    <n v="79.2"/>
    <n v="0.8458"/>
    <n v="0.13189999999999999"/>
    <n v="92.89"/>
    <m/>
    <m/>
    <n v="91.46"/>
    <n v="130.13"/>
    <n v="109.53"/>
    <m/>
  </r>
  <r>
    <d v="2026-07-25T00:00:00"/>
    <x v="5"/>
    <d v="1899-12-30T11:00:00"/>
    <x v="0"/>
    <n v="119.45"/>
    <n v="139"/>
    <n v="0.16370000000000001"/>
    <n v="410.01"/>
    <n v="436.39"/>
    <n v="60658.21"/>
    <n v="1"/>
    <n v="6.4399999999999999E-2"/>
    <n v="0.54"/>
    <n v="1"/>
    <n v="75.06"/>
    <n v="0.85609999999999997"/>
    <n v="7.9100000000000004E-2"/>
    <n v="56.46"/>
    <m/>
    <m/>
    <n v="90.29"/>
    <n v="103.83"/>
    <n v="111"/>
    <m/>
  </r>
  <r>
    <d v="2026-07-25T00:00:00"/>
    <x v="5"/>
    <d v="1899-12-30T11:15:00"/>
    <x v="0"/>
    <n v="115.78"/>
    <n v="129"/>
    <n v="0.11409999999999999"/>
    <n v="410.56"/>
    <n v="429.36"/>
    <n v="55387.44"/>
    <n v="1"/>
    <n v="4.58E-2"/>
    <n v="0.79"/>
    <n v="1"/>
    <n v="101.91000000000001"/>
    <n v="0.85089999999999999"/>
    <n v="1.55E-2"/>
    <n v="31.71"/>
    <m/>
    <m/>
    <n v="88.28"/>
    <n v="98.88"/>
    <n v="114.47"/>
    <m/>
  </r>
  <r>
    <d v="2026-07-25T00:00:00"/>
    <x v="5"/>
    <d v="1899-12-30T11:30:00"/>
    <x v="0"/>
    <n v="113.54"/>
    <n v="117"/>
    <n v="3.0499999999999999E-2"/>
    <n v="404.4"/>
    <n v="418.83"/>
    <n v="49003.11"/>
    <n v="1"/>
    <n v="3.5700000000000003E-2"/>
    <n v="0.83"/>
    <n v="0"/>
    <n v="97.11"/>
    <n v="0.84530000000000005"/>
    <n v="2.5600000000000001E-2"/>
    <n v="28.19"/>
    <m/>
    <m/>
    <n v="86.04"/>
    <n v="82.31"/>
    <n v="106"/>
    <m/>
  </r>
  <r>
    <d v="2026-07-25T00:00:00"/>
    <x v="5"/>
    <d v="1899-12-30T11:45:00"/>
    <x v="0"/>
    <n v="111.25"/>
    <n v="121"/>
    <n v="8.7599999999999997E-2"/>
    <n v="406.09"/>
    <n v="427.57"/>
    <n v="51735.97"/>
    <n v="1"/>
    <n v="5.2900000000000003E-2"/>
    <n v="0.77"/>
    <n v="1"/>
    <n v="93.17"/>
    <n v="0.77180000000000004"/>
    <n v="3.3099999999999997E-2"/>
    <n v="34.590000000000003"/>
    <m/>
    <m/>
    <n v="84.59"/>
    <n v="90.16"/>
    <n v="101"/>
    <m/>
  </r>
  <r>
    <d v="2026-07-25T00:00:00"/>
    <x v="5"/>
    <d v="1899-12-30T12:00:00"/>
    <x v="1"/>
    <n v="105.19"/>
    <n v="112"/>
    <n v="6.4699999999999994E-2"/>
    <n v="410.95"/>
    <n v="438.86"/>
    <n v="49152.32"/>
    <n v="1"/>
    <n v="6.7900000000000002E-2"/>
    <n v="0.84"/>
    <n v="0"/>
    <n v="94.08"/>
    <n v="0.80869999999999997"/>
    <n v="3.5700000000000003E-2"/>
    <n v="24.78"/>
    <m/>
    <m/>
    <n v="80.260000000000005"/>
    <n v="85.43"/>
    <n v="96"/>
    <m/>
  </r>
  <r>
    <d v="2026-07-25T00:00:00"/>
    <x v="5"/>
    <d v="1899-12-30T12:15:00"/>
    <x v="1"/>
    <n v="101.9"/>
    <n v="111"/>
    <n v="8.9300000000000004E-2"/>
    <n v="410.66"/>
    <n v="412.28"/>
    <n v="45763.079999999994"/>
    <n v="1"/>
    <n v="3.8999999999999998E-3"/>
    <n v="0.96"/>
    <n v="0"/>
    <n v="106.56"/>
    <n v="0.8387"/>
    <n v="0"/>
    <n v="9.6300000000000008"/>
    <m/>
    <m/>
    <n v="78.19"/>
    <n v="79.22"/>
    <n v="91"/>
    <m/>
  </r>
  <r>
    <d v="2026-07-25T00:00:00"/>
    <x v="5"/>
    <d v="1899-12-30T12:30:00"/>
    <x v="1"/>
    <n v="99.09"/>
    <n v="81"/>
    <n v="-0.18260000000000001"/>
    <n v="412.11"/>
    <n v="456.89"/>
    <n v="37008.089999999997"/>
    <n v="1"/>
    <n v="0.1087"/>
    <n v="0.74"/>
    <n v="1"/>
    <n v="59.94"/>
    <n v="0.83599999999999997"/>
    <n v="6.1699999999999998E-2"/>
    <n v="49.43"/>
    <m/>
    <m/>
    <n v="76.760000000000005"/>
    <n v="67.430000000000007"/>
    <n v="91"/>
    <m/>
  </r>
  <r>
    <d v="2026-07-25T00:00:00"/>
    <x v="5"/>
    <d v="1899-12-30T12:45:00"/>
    <x v="1"/>
    <n v="93.47"/>
    <n v="76"/>
    <n v="-0.18690000000000001"/>
    <n v="415.81"/>
    <n v="426.49"/>
    <n v="32413.24"/>
    <n v="1"/>
    <n v="2.5700000000000001E-2"/>
    <n v="0.92"/>
    <n v="0"/>
    <n v="69.92"/>
    <n v="0.79039999999999999"/>
    <n v="2.63E-2"/>
    <n v="11.99"/>
    <m/>
    <m/>
    <n v="74.2"/>
    <n v="62.57"/>
    <n v="82"/>
    <m/>
  </r>
  <r>
    <d v="2026-07-25T00:00:00"/>
    <x v="5"/>
    <d v="1899-12-30T13:00:00"/>
    <x v="1"/>
    <n v="87.82"/>
    <n v="109"/>
    <n v="0.2412"/>
    <n v="417.12"/>
    <n v="426.81"/>
    <n v="46522.29"/>
    <n v="1"/>
    <n v="2.3199999999999998E-2"/>
    <n v="0.73"/>
    <n v="1"/>
    <n v="79.569999999999993"/>
    <n v="0.75219999999999998"/>
    <n v="2.75E-2"/>
    <n v="23.94"/>
    <m/>
    <m/>
    <n v="71.28"/>
    <n v="87.06"/>
    <n v="77"/>
    <m/>
  </r>
  <r>
    <d v="2026-07-25T00:00:00"/>
    <x v="5"/>
    <d v="1899-12-30T13:15:00"/>
    <x v="1"/>
    <n v="83.66"/>
    <n v="100"/>
    <n v="0.19539999999999999"/>
    <n v="420.35"/>
    <n v="397.5"/>
    <n v="39750"/>
    <n v="0"/>
    <n v="-5.4399999999999997E-2"/>
    <n v="0.84"/>
    <n v="0"/>
    <n v="84"/>
    <n v="0.81879999999999997"/>
    <n v="0"/>
    <n v="21.59"/>
    <m/>
    <m/>
    <n v="69.44"/>
    <n v="68.040000000000006"/>
    <n v="85"/>
    <m/>
  </r>
  <r>
    <d v="2026-07-25T00:00:00"/>
    <x v="5"/>
    <d v="1899-12-30T13:30:00"/>
    <x v="1"/>
    <n v="80.459999999999994"/>
    <n v="84"/>
    <n v="4.3900000000000002E-2"/>
    <n v="425.68"/>
    <n v="421.67"/>
    <n v="35420.28"/>
    <n v="0"/>
    <n v="-9.4000000000000004E-3"/>
    <n v="0.8"/>
    <n v="0"/>
    <n v="67.2"/>
    <n v="0.84940000000000004"/>
    <n v="0"/>
    <n v="24.01"/>
    <m/>
    <m/>
    <n v="67.55"/>
    <n v="66.87"/>
    <n v="99.67"/>
    <m/>
  </r>
  <r>
    <d v="2026-07-25T00:00:00"/>
    <x v="5"/>
    <d v="1899-12-30T13:45:00"/>
    <x v="1"/>
    <n v="74.239999999999995"/>
    <n v="80"/>
    <n v="7.7600000000000002E-2"/>
    <n v="421.11"/>
    <n v="404.79"/>
    <n v="32383.200000000001"/>
    <n v="0"/>
    <n v="-3.8800000000000001E-2"/>
    <n v="0.96"/>
    <n v="0"/>
    <n v="76.8"/>
    <n v="0.91459999999999997"/>
    <n v="0"/>
    <n v="10.88"/>
    <m/>
    <m/>
    <n v="63.3"/>
    <n v="62.69"/>
    <n v="106"/>
    <m/>
  </r>
  <r>
    <d v="2026-07-25T00:00:00"/>
    <x v="5"/>
    <d v="1899-12-30T14:00:00"/>
    <x v="1"/>
    <n v="67.95"/>
    <n v="65"/>
    <n v="-4.3499999999999997E-2"/>
    <n v="422.35"/>
    <n v="453.86"/>
    <n v="29500.9"/>
    <n v="1"/>
    <n v="7.46E-2"/>
    <n v="0.92"/>
    <n v="0"/>
    <n v="59.800000000000004"/>
    <n v="0.92759999999999998"/>
    <n v="0"/>
    <n v="11.26"/>
    <m/>
    <m/>
    <n v="59.7"/>
    <n v="56.96"/>
    <n v="101"/>
    <m/>
  </r>
  <r>
    <d v="2026-07-25T00:00:00"/>
    <x v="5"/>
    <d v="1899-12-30T14:15:00"/>
    <x v="1"/>
    <n v="63.54"/>
    <n v="69"/>
    <n v="8.5900000000000004E-2"/>
    <n v="427.99"/>
    <n v="406.46"/>
    <n v="28045.739999999998"/>
    <n v="0"/>
    <n v="-5.0299999999999997E-2"/>
    <n v="0.91"/>
    <n v="0"/>
    <n v="62.79"/>
    <n v="0.91969999999999996"/>
    <n v="0"/>
    <n v="11.16"/>
    <m/>
    <m/>
    <n v="57.73"/>
    <n v="61.7"/>
    <n v="93"/>
    <m/>
  </r>
  <r>
    <d v="2026-07-25T00:00:00"/>
    <x v="5"/>
    <d v="1899-12-30T14:30:00"/>
    <x v="1"/>
    <n v="58.73"/>
    <n v="65"/>
    <n v="0.10680000000000001"/>
    <n v="433"/>
    <n v="430.41"/>
    <n v="27976.65"/>
    <n v="0"/>
    <n v="-6.0000000000000001E-3"/>
    <n v="0.93"/>
    <n v="0"/>
    <n v="60.45"/>
    <n v="0.92630000000000001"/>
    <n v="1.54E-2"/>
    <n v="9.14"/>
    <m/>
    <m/>
    <n v="55.17"/>
    <n v="48.87"/>
    <n v="98"/>
    <m/>
  </r>
  <r>
    <d v="2026-07-25T00:00:00"/>
    <x v="5"/>
    <d v="1899-12-30T14:45:00"/>
    <x v="1"/>
    <n v="55.83"/>
    <n v="54"/>
    <n v="-3.2800000000000003E-2"/>
    <n v="431.95"/>
    <n v="472.26"/>
    <n v="25502.04"/>
    <n v="1"/>
    <n v="9.3299999999999994E-2"/>
    <n v="0.92"/>
    <n v="0"/>
    <n v="49.68"/>
    <n v="0.92079999999999995"/>
    <n v="0"/>
    <n v="12.52"/>
    <m/>
    <m/>
    <n v="53.45"/>
    <n v="50.4"/>
    <n v="97"/>
    <m/>
  </r>
  <r>
    <d v="2026-07-25T00:00:00"/>
    <x v="5"/>
    <d v="1899-12-30T15:00:00"/>
    <x v="2"/>
    <n v="54.12"/>
    <n v="57"/>
    <n v="5.3199999999999997E-2"/>
    <n v="430.62"/>
    <n v="408.14"/>
    <n v="23263.98"/>
    <n v="0"/>
    <n v="-5.2200000000000003E-2"/>
    <n v="0.96"/>
    <n v="0"/>
    <n v="54.72"/>
    <n v="0.92649999999999999"/>
    <n v="0"/>
    <n v="12.49"/>
    <m/>
    <m/>
    <n v="52.29"/>
    <n v="47.38"/>
    <n v="97"/>
    <m/>
  </r>
  <r>
    <d v="2026-07-25T00:00:00"/>
    <x v="5"/>
    <d v="1899-12-30T15:15:00"/>
    <x v="2"/>
    <n v="49.95"/>
    <n v="41"/>
    <n v="-0.1792"/>
    <n v="431.55"/>
    <n v="545.78"/>
    <n v="22376.98"/>
    <n v="1"/>
    <n v="0.26469999999999999"/>
    <n v="0.95"/>
    <n v="0"/>
    <n v="38.949999999999996"/>
    <n v="0.93359999999999999"/>
    <n v="0"/>
    <n v="12.29"/>
    <m/>
    <m/>
    <n v="49.61"/>
    <n v="43.66"/>
    <n v="97"/>
    <m/>
  </r>
  <r>
    <d v="2026-07-25T00:00:00"/>
    <x v="5"/>
    <d v="1899-12-30T15:30:00"/>
    <x v="2"/>
    <n v="44.35"/>
    <n v="54"/>
    <n v="0.2175"/>
    <n v="427.09"/>
    <n v="424.21"/>
    <n v="22907.34"/>
    <n v="0"/>
    <n v="-6.7000000000000002E-3"/>
    <n v="0.94"/>
    <n v="0"/>
    <n v="50.76"/>
    <n v="0.92669999999999997"/>
    <n v="1.8499999999999999E-2"/>
    <n v="12.6"/>
    <m/>
    <m/>
    <n v="44.93"/>
    <n v="50.12"/>
    <n v="105"/>
    <m/>
  </r>
  <r>
    <d v="2026-07-25T00:00:00"/>
    <x v="5"/>
    <d v="1899-12-30T15:45:00"/>
    <x v="2"/>
    <n v="39.39"/>
    <n v="38"/>
    <n v="-3.5200000000000002E-2"/>
    <n v="424.64"/>
    <n v="417.45"/>
    <n v="15863.1"/>
    <n v="0"/>
    <n v="-1.6899999999999998E-2"/>
    <n v="0.94"/>
    <n v="0"/>
    <n v="35.72"/>
    <n v="0.92200000000000004"/>
    <n v="0"/>
    <n v="9.08"/>
    <m/>
    <m/>
    <n v="41.2"/>
    <n v="31.32"/>
    <n v="116"/>
    <m/>
  </r>
  <r>
    <d v="2026-07-25T00:00:00"/>
    <x v="5"/>
    <d v="1899-12-30T16:00:00"/>
    <x v="2"/>
    <n v="35.82"/>
    <n v="33"/>
    <n v="-7.8700000000000006E-2"/>
    <n v="418.84"/>
    <n v="436.15"/>
    <n v="14392.949999999999"/>
    <n v="1"/>
    <n v="4.1300000000000003E-2"/>
    <n v="0.96"/>
    <n v="0"/>
    <n v="31.68"/>
    <n v="0.92779999999999996"/>
    <n v="0"/>
    <n v="11.91"/>
    <m/>
    <m/>
    <n v="38.01"/>
    <n v="30.33"/>
    <n v="115"/>
    <m/>
  </r>
  <r>
    <d v="2026-07-25T00:00:00"/>
    <x v="5"/>
    <d v="1899-12-30T16:15:00"/>
    <x v="2"/>
    <n v="34.380000000000003"/>
    <n v="28"/>
    <n v="-0.1855"/>
    <n v="419.66"/>
    <n v="408.57"/>
    <n v="11439.96"/>
    <n v="0"/>
    <n v="-2.64E-2"/>
    <n v="0.85"/>
    <n v="0"/>
    <n v="23.8"/>
    <n v="0.93179999999999996"/>
    <n v="0"/>
    <n v="13.21"/>
    <m/>
    <m/>
    <n v="37.130000000000003"/>
    <n v="22.52"/>
    <n v="115"/>
    <m/>
  </r>
  <r>
    <d v="2026-07-25T00:00:00"/>
    <x v="5"/>
    <d v="1899-12-30T16:30:00"/>
    <x v="2"/>
    <n v="0.47"/>
    <m/>
    <n v="0"/>
    <n v="80.7"/>
    <m/>
    <n v="0"/>
    <n v="0"/>
    <n v="0"/>
    <m/>
    <n v="0"/>
    <n v="0"/>
    <n v="0"/>
    <m/>
    <m/>
    <m/>
    <m/>
    <n v="0.09"/>
    <n v="0"/>
    <n v="0"/>
    <m/>
  </r>
  <r>
    <d v="2026-07-25T00:00:00"/>
    <x v="5"/>
    <d v="1899-12-30T16:45:00"/>
    <x v="2"/>
    <n v="0"/>
    <m/>
    <n v="0"/>
    <n v="0"/>
    <m/>
    <n v="0"/>
    <n v="0"/>
    <n v="0"/>
    <m/>
    <n v="0"/>
    <n v="0"/>
    <n v="0"/>
    <m/>
    <m/>
    <m/>
    <m/>
    <n v="0"/>
    <n v="0"/>
    <n v="0"/>
    <m/>
  </r>
  <r>
    <d v="2026-07-26T00:00:00"/>
    <x v="6"/>
    <d v="1899-12-30T08:00:00"/>
    <x v="0"/>
    <n v="5.47"/>
    <n v="2"/>
    <n v="-0.63449999999999995"/>
    <n v="427.74"/>
    <n v="501"/>
    <n v="1002"/>
    <n v="1"/>
    <n v="0.17130000000000001"/>
    <n v="1"/>
    <n v="0"/>
    <n v="2"/>
    <n v="0.4123"/>
    <n v="0"/>
    <n v="9.5"/>
    <m/>
    <m/>
    <n v="9.5399999999999991"/>
    <n v="2.08"/>
    <n v="33"/>
    <m/>
  </r>
  <r>
    <d v="2026-07-26T00:00:00"/>
    <x v="6"/>
    <d v="1899-12-30T08:15:00"/>
    <x v="0"/>
    <n v="5.57"/>
    <n v="2"/>
    <n v="-0.64100000000000001"/>
    <n v="423.51"/>
    <n v="458.5"/>
    <n v="917"/>
    <n v="1"/>
    <n v="8.2600000000000007E-2"/>
    <n v="1"/>
    <n v="0"/>
    <n v="2"/>
    <n v="0.41149999999999998"/>
    <n v="0"/>
    <n v="8"/>
    <m/>
    <m/>
    <n v="9.49"/>
    <n v="2.04"/>
    <n v="33.130000000000003"/>
    <m/>
  </r>
  <r>
    <d v="2026-07-26T00:00:00"/>
    <x v="6"/>
    <d v="1899-12-30T08:30:00"/>
    <x v="0"/>
    <n v="5.9"/>
    <n v="1"/>
    <n v="-0.83040000000000003"/>
    <n v="422.66"/>
    <n v="271"/>
    <n v="271"/>
    <n v="0"/>
    <n v="-0.35880000000000001"/>
    <n v="1"/>
    <n v="0"/>
    <n v="1"/>
    <n v="0.42780000000000001"/>
    <n v="0"/>
    <n v="14"/>
    <m/>
    <m/>
    <n v="9.6199999999999992"/>
    <n v="0.6"/>
    <n v="34"/>
    <m/>
  </r>
  <r>
    <d v="2026-07-26T00:00:00"/>
    <x v="6"/>
    <d v="1899-12-30T08:45:00"/>
    <x v="0"/>
    <n v="7.25"/>
    <n v="4"/>
    <n v="-0.44819999999999999"/>
    <n v="407.78"/>
    <n v="312.25"/>
    <n v="1249"/>
    <n v="0"/>
    <n v="-0.23430000000000001"/>
    <n v="1"/>
    <n v="0"/>
    <n v="4"/>
    <n v="0.5212"/>
    <n v="0"/>
    <n v="12"/>
    <m/>
    <m/>
    <n v="10.7"/>
    <n v="2.86"/>
    <n v="32.47"/>
    <m/>
  </r>
  <r>
    <d v="2026-07-26T00:00:00"/>
    <x v="6"/>
    <d v="1899-12-30T09:00:00"/>
    <x v="0"/>
    <n v="18.29"/>
    <n v="14"/>
    <n v="-0.2344"/>
    <n v="386.55"/>
    <n v="427"/>
    <n v="5978"/>
    <n v="1"/>
    <n v="0.1046"/>
    <n v="1"/>
    <n v="0"/>
    <n v="14"/>
    <n v="0.72489999999999999"/>
    <n v="0"/>
    <n v="7.36"/>
    <m/>
    <m/>
    <n v="27.01"/>
    <n v="17.11"/>
    <n v="44"/>
    <m/>
  </r>
  <r>
    <d v="2026-07-26T00:00:00"/>
    <x v="6"/>
    <d v="1899-12-30T09:15:00"/>
    <x v="0"/>
    <n v="20.73"/>
    <n v="21"/>
    <n v="1.3100000000000001E-2"/>
    <n v="392.63"/>
    <n v="423.19"/>
    <n v="8886.99"/>
    <n v="1"/>
    <n v="7.7799999999999994E-2"/>
    <n v="0.95"/>
    <n v="0"/>
    <n v="19.95"/>
    <n v="0.75309999999999999"/>
    <n v="0"/>
    <n v="11.05"/>
    <m/>
    <m/>
    <n v="29.65"/>
    <n v="23.61"/>
    <n v="42"/>
    <m/>
  </r>
  <r>
    <d v="2026-07-26T00:00:00"/>
    <x v="6"/>
    <d v="1899-12-30T09:30:00"/>
    <x v="0"/>
    <n v="22.87"/>
    <n v="18"/>
    <n v="-0.21310000000000001"/>
    <n v="388.04"/>
    <n v="296.94"/>
    <n v="5344.92"/>
    <n v="0"/>
    <n v="-0.23480000000000001"/>
    <n v="0.88"/>
    <n v="0"/>
    <n v="15.84"/>
    <n v="0.74829999999999997"/>
    <n v="0"/>
    <n v="10.56"/>
    <m/>
    <m/>
    <n v="31.18"/>
    <n v="19.13"/>
    <n v="40"/>
    <m/>
  </r>
  <r>
    <d v="2026-07-26T00:00:00"/>
    <x v="6"/>
    <d v="1899-12-30T09:45:00"/>
    <x v="0"/>
    <n v="22.66"/>
    <n v="19"/>
    <n v="-0.16159999999999999"/>
    <n v="389.35"/>
    <n v="426.79"/>
    <n v="8109.01"/>
    <n v="1"/>
    <n v="9.6199999999999994E-2"/>
    <n v="1"/>
    <n v="0"/>
    <n v="19"/>
    <n v="0.75180000000000002"/>
    <n v="0"/>
    <n v="5.84"/>
    <m/>
    <m/>
    <n v="31.16"/>
    <n v="20.87"/>
    <n v="40"/>
    <m/>
  </r>
  <r>
    <d v="2026-07-26T00:00:00"/>
    <x v="6"/>
    <d v="1899-12-30T10:00:00"/>
    <x v="0"/>
    <n v="23.97"/>
    <n v="18"/>
    <n v="-0.249"/>
    <n v="384.65"/>
    <n v="269.56"/>
    <n v="4852.08"/>
    <n v="0"/>
    <n v="-0.29920000000000002"/>
    <n v="1"/>
    <n v="0"/>
    <n v="18"/>
    <n v="0.74519999999999997"/>
    <n v="0"/>
    <n v="8.2200000000000006"/>
    <m/>
    <m/>
    <n v="31.87"/>
    <n v="17.59"/>
    <n v="40"/>
    <m/>
  </r>
  <r>
    <d v="2026-07-26T00:00:00"/>
    <x v="6"/>
    <d v="1899-12-30T10:15:00"/>
    <x v="0"/>
    <n v="24.52"/>
    <n v="23"/>
    <n v="-6.1800000000000001E-2"/>
    <n v="385.44"/>
    <n v="441.09"/>
    <n v="10145.07"/>
    <n v="1"/>
    <n v="0.1444"/>
    <n v="1"/>
    <n v="0"/>
    <n v="23"/>
    <n v="0.73140000000000005"/>
    <n v="0"/>
    <n v="9.39"/>
    <m/>
    <m/>
    <n v="32.26"/>
    <n v="21.86"/>
    <n v="42"/>
    <m/>
  </r>
  <r>
    <d v="2026-07-26T00:00:00"/>
    <x v="6"/>
    <d v="1899-12-30T10:30:00"/>
    <x v="0"/>
    <n v="25.23"/>
    <n v="26"/>
    <n v="3.0700000000000002E-2"/>
    <n v="377.6"/>
    <n v="351.73"/>
    <n v="9144.98"/>
    <n v="0"/>
    <n v="-6.8500000000000005E-2"/>
    <n v="0.96"/>
    <n v="0"/>
    <n v="24.96"/>
    <n v="0.74409999999999998"/>
    <n v="0"/>
    <n v="10"/>
    <m/>
    <m/>
    <n v="32.380000000000003"/>
    <n v="19.32"/>
    <n v="45"/>
    <m/>
  </r>
  <r>
    <d v="2026-07-26T00:00:00"/>
    <x v="6"/>
    <d v="1899-12-30T10:45:00"/>
    <x v="0"/>
    <n v="26.21"/>
    <n v="33"/>
    <n v="0.25900000000000001"/>
    <n v="369.52"/>
    <n v="419.61"/>
    <n v="13847.130000000001"/>
    <n v="1"/>
    <n v="0.13550000000000001"/>
    <n v="0.84"/>
    <n v="0"/>
    <n v="27.72"/>
    <n v="0.72"/>
    <n v="0"/>
    <n v="18.39"/>
    <m/>
    <m/>
    <n v="32.770000000000003"/>
    <n v="28.76"/>
    <n v="43"/>
    <m/>
  </r>
  <r>
    <d v="2026-07-26T00:00:00"/>
    <x v="6"/>
    <d v="1899-12-30T11:00:00"/>
    <x v="0"/>
    <n v="26.79"/>
    <n v="21"/>
    <n v="-0.2162"/>
    <n v="371.23"/>
    <n v="451.62"/>
    <n v="9484.02"/>
    <n v="1"/>
    <n v="0.2165"/>
    <n v="0.85"/>
    <n v="0"/>
    <n v="17.849999999999998"/>
    <n v="0.71860000000000002"/>
    <n v="0"/>
    <n v="15.05"/>
    <m/>
    <m/>
    <n v="33.020000000000003"/>
    <n v="22.61"/>
    <n v="41"/>
    <m/>
  </r>
  <r>
    <d v="2026-07-26T00:00:00"/>
    <x v="6"/>
    <d v="1899-12-30T11:15:00"/>
    <x v="0"/>
    <n v="26.54"/>
    <n v="19"/>
    <n v="-0.28399999999999997"/>
    <n v="375.1"/>
    <n v="354.53"/>
    <n v="6736.07"/>
    <n v="0"/>
    <n v="-5.4800000000000001E-2"/>
    <n v="0.84"/>
    <n v="0"/>
    <n v="15.959999999999999"/>
    <n v="0.74509999999999998"/>
    <n v="0"/>
    <n v="18.32"/>
    <m/>
    <m/>
    <n v="33.340000000000003"/>
    <n v="21.03"/>
    <n v="45"/>
    <m/>
  </r>
  <r>
    <d v="2026-07-26T00:00:00"/>
    <x v="6"/>
    <d v="1899-12-30T11:30:00"/>
    <x v="0"/>
    <n v="26.42"/>
    <n v="22"/>
    <n v="-0.16719999999999999"/>
    <n v="381.6"/>
    <n v="405"/>
    <n v="8910"/>
    <n v="1"/>
    <n v="6.13E-2"/>
    <n v="0.95"/>
    <n v="0"/>
    <n v="20.9"/>
    <n v="0.74250000000000005"/>
    <n v="0"/>
    <n v="6.59"/>
    <m/>
    <m/>
    <n v="33.69"/>
    <n v="26.67"/>
    <n v="42"/>
    <m/>
  </r>
  <r>
    <d v="2026-07-26T00:00:00"/>
    <x v="6"/>
    <d v="1899-12-30T11:45:00"/>
    <x v="0"/>
    <n v="25.73"/>
    <n v="17"/>
    <n v="-0.33929999999999999"/>
    <n v="384.83"/>
    <n v="375.82"/>
    <n v="6388.94"/>
    <n v="0"/>
    <n v="-2.3400000000000001E-2"/>
    <n v="1"/>
    <n v="0"/>
    <n v="17"/>
    <n v="0.72089999999999999"/>
    <n v="0"/>
    <n v="8.06"/>
    <m/>
    <m/>
    <n v="33.39"/>
    <n v="21.45"/>
    <n v="39"/>
    <m/>
  </r>
  <r>
    <d v="2026-07-26T00:00:00"/>
    <x v="6"/>
    <d v="1899-12-30T12:00:00"/>
    <x v="1"/>
    <n v="24.92"/>
    <n v="18"/>
    <n v="-0.2777"/>
    <n v="387.88"/>
    <n v="302.06"/>
    <n v="5437.08"/>
    <n v="0"/>
    <n v="-0.2213"/>
    <n v="1"/>
    <n v="0"/>
    <n v="18"/>
    <n v="0.73140000000000005"/>
    <n v="0"/>
    <n v="10.44"/>
    <m/>
    <m/>
    <n v="33.130000000000003"/>
    <n v="13.36"/>
    <n v="43"/>
    <m/>
  </r>
  <r>
    <d v="2026-07-26T00:00:00"/>
    <x v="6"/>
    <d v="1899-12-30T12:15:00"/>
    <x v="1"/>
    <n v="24.26"/>
    <n v="28"/>
    <n v="0.1542"/>
    <n v="399.16"/>
    <n v="330.89"/>
    <n v="9264.92"/>
    <n v="0"/>
    <n v="-0.17100000000000001"/>
    <n v="0.96"/>
    <n v="0"/>
    <n v="26.88"/>
    <n v="0.73919999999999997"/>
    <n v="0"/>
    <n v="9.89"/>
    <m/>
    <m/>
    <n v="33.43"/>
    <n v="27.5"/>
    <n v="44"/>
    <m/>
  </r>
  <r>
    <d v="2026-07-26T00:00:00"/>
    <x v="6"/>
    <d v="1899-12-30T12:30:00"/>
    <x v="1"/>
    <n v="23.91"/>
    <n v="31"/>
    <n v="0.29680000000000001"/>
    <n v="398.87"/>
    <n v="383.97"/>
    <n v="11903.070000000002"/>
    <n v="0"/>
    <n v="-3.7400000000000003E-2"/>
    <n v="0.96"/>
    <n v="0"/>
    <n v="29.759999999999998"/>
    <n v="0.75739999999999996"/>
    <n v="0"/>
    <n v="15.9"/>
    <m/>
    <m/>
    <n v="33.369999999999997"/>
    <n v="30.8"/>
    <n v="41"/>
    <m/>
  </r>
  <r>
    <d v="2026-07-26T00:00:00"/>
    <x v="6"/>
    <d v="1899-12-30T12:45:00"/>
    <x v="1"/>
    <n v="23.56"/>
    <n v="33"/>
    <n v="0.40060000000000001"/>
    <n v="402.29"/>
    <n v="355.03"/>
    <n v="11715.99"/>
    <n v="0"/>
    <n v="-0.11749999999999999"/>
    <n v="1"/>
    <n v="0"/>
    <n v="33"/>
    <n v="0.76649999999999996"/>
    <n v="0"/>
    <n v="10.15"/>
    <m/>
    <m/>
    <n v="33.229999999999997"/>
    <n v="29.8"/>
    <n v="44"/>
    <m/>
  </r>
  <r>
    <d v="2026-07-26T00:00:00"/>
    <x v="6"/>
    <d v="1899-12-30T13:00:00"/>
    <x v="1"/>
    <n v="23.01"/>
    <n v="14"/>
    <n v="-0.39169999999999999"/>
    <n v="405.13"/>
    <n v="532.71"/>
    <n v="7457.9400000000005"/>
    <n v="1"/>
    <n v="0.31490000000000001"/>
    <n v="1"/>
    <n v="0"/>
    <n v="14"/>
    <n v="0.76980000000000004"/>
    <n v="0"/>
    <n v="9.2899999999999991"/>
    <m/>
    <m/>
    <n v="30"/>
    <n v="15.91"/>
    <n v="43"/>
    <m/>
  </r>
  <r>
    <d v="2026-07-26T00:00:00"/>
    <x v="6"/>
    <d v="1899-12-30T13:15:00"/>
    <x v="1"/>
    <n v="23.21"/>
    <n v="17"/>
    <n v="-0.26740000000000003"/>
    <n v="401.59"/>
    <n v="491.12"/>
    <n v="8349.0400000000009"/>
    <n v="1"/>
    <n v="0.22289999999999999"/>
    <n v="0.88"/>
    <n v="0"/>
    <n v="14.96"/>
    <n v="0.76839999999999997"/>
    <n v="0"/>
    <n v="12.12"/>
    <m/>
    <m/>
    <n v="29.74"/>
    <n v="17.309999999999999"/>
    <n v="45"/>
    <m/>
  </r>
  <r>
    <d v="2026-07-26T00:00:00"/>
    <x v="6"/>
    <d v="1899-12-30T13:30:00"/>
    <x v="1"/>
    <n v="24.02"/>
    <n v="15"/>
    <n v="-0.3755"/>
    <n v="398.89"/>
    <n v="362.43"/>
    <n v="5436.45"/>
    <n v="0"/>
    <n v="-9.1399999999999995E-2"/>
    <n v="0.8"/>
    <n v="0"/>
    <n v="12"/>
    <n v="0.77800000000000002"/>
    <n v="6.6699999999999995E-2"/>
    <n v="35.71"/>
    <m/>
    <m/>
    <n v="29.76"/>
    <n v="15.14"/>
    <n v="46"/>
    <m/>
  </r>
  <r>
    <d v="2026-07-26T00:00:00"/>
    <x v="6"/>
    <d v="1899-12-30T13:45:00"/>
    <x v="1"/>
    <n v="23.43"/>
    <n v="22"/>
    <n v="-6.1100000000000002E-2"/>
    <n v="389.61"/>
    <n v="350.82"/>
    <n v="7718.04"/>
    <n v="0"/>
    <n v="-9.9599999999999994E-2"/>
    <n v="1"/>
    <n v="0"/>
    <n v="22"/>
    <n v="0.77270000000000005"/>
    <n v="0"/>
    <n v="9.32"/>
    <m/>
    <m/>
    <n v="29.02"/>
    <n v="19.57"/>
    <n v="41"/>
    <m/>
  </r>
  <r>
    <d v="2026-07-26T00:00:00"/>
    <x v="6"/>
    <d v="1899-12-30T14:00:00"/>
    <x v="1"/>
    <n v="22.78"/>
    <n v="34"/>
    <n v="0.49280000000000002"/>
    <n v="395.51"/>
    <n v="431.41"/>
    <n v="14667.94"/>
    <n v="1"/>
    <n v="9.0800000000000006E-2"/>
    <n v="0.85"/>
    <n v="0"/>
    <n v="28.9"/>
    <n v="0.75039999999999996"/>
    <n v="0"/>
    <n v="16.440000000000001"/>
    <m/>
    <m/>
    <n v="29.11"/>
    <n v="35.92"/>
    <n v="39"/>
    <m/>
  </r>
  <r>
    <d v="2026-07-26T00:00:00"/>
    <x v="6"/>
    <d v="1899-12-30T14:15:00"/>
    <x v="1"/>
    <n v="21.66"/>
    <n v="19"/>
    <n v="-0.1227"/>
    <n v="400.03"/>
    <n v="379.11"/>
    <n v="7203.09"/>
    <n v="0"/>
    <n v="-5.2299999999999999E-2"/>
    <n v="0.89"/>
    <n v="0"/>
    <n v="16.91"/>
    <n v="0.76359999999999995"/>
    <n v="0"/>
    <n v="14.58"/>
    <m/>
    <m/>
    <n v="28.83"/>
    <n v="17.670000000000002"/>
    <n v="40"/>
    <m/>
  </r>
  <r>
    <d v="2026-07-26T00:00:00"/>
    <x v="6"/>
    <d v="1899-12-30T14:30:00"/>
    <x v="1"/>
    <n v="21.62"/>
    <n v="16"/>
    <n v="-0.25990000000000002"/>
    <n v="403.93"/>
    <n v="401.06"/>
    <n v="6416.96"/>
    <n v="0"/>
    <n v="-7.1000000000000004E-3"/>
    <n v="1"/>
    <n v="0"/>
    <n v="16"/>
    <n v="0.77700000000000002"/>
    <n v="0"/>
    <n v="10.94"/>
    <m/>
    <m/>
    <n v="28.94"/>
    <n v="16.88"/>
    <n v="38"/>
    <m/>
  </r>
  <r>
    <d v="2026-07-26T00:00:00"/>
    <x v="6"/>
    <d v="1899-12-30T14:45:00"/>
    <x v="1"/>
    <n v="19.28"/>
    <n v="15"/>
    <n v="-0.22209999999999999"/>
    <n v="396.93"/>
    <n v="271.14"/>
    <n v="4067.1"/>
    <n v="0"/>
    <n v="-0.31690000000000002"/>
    <n v="0.73"/>
    <n v="1"/>
    <n v="10.95"/>
    <n v="0.77629999999999999"/>
    <n v="6.6699999999999995E-2"/>
    <n v="29.64"/>
    <m/>
    <m/>
    <n v="26.84"/>
    <n v="13.91"/>
    <n v="43"/>
    <m/>
  </r>
  <r>
    <d v="2026-07-26T00:00:00"/>
    <x v="6"/>
    <d v="1899-12-30T15:00:00"/>
    <x v="2"/>
    <n v="9.4499999999999993"/>
    <n v="6"/>
    <n v="-0.36530000000000001"/>
    <n v="418.6"/>
    <n v="475.83"/>
    <n v="2854.98"/>
    <n v="1"/>
    <n v="0.13669999999999999"/>
    <n v="1"/>
    <n v="0"/>
    <n v="6"/>
    <n v="0.63480000000000003"/>
    <n v="0"/>
    <n v="4.5"/>
    <m/>
    <m/>
    <n v="13.03"/>
    <n v="7.71"/>
    <n v="29"/>
    <m/>
  </r>
  <r>
    <d v="2026-07-26T00:00:00"/>
    <x v="6"/>
    <d v="1899-12-30T15:15:00"/>
    <x v="2"/>
    <n v="6.89"/>
    <n v="5"/>
    <n v="-0.27379999999999999"/>
    <n v="432.11"/>
    <n v="416.8"/>
    <n v="2084"/>
    <n v="0"/>
    <n v="-3.5400000000000001E-2"/>
    <n v="0.8"/>
    <n v="0"/>
    <n v="4"/>
    <n v="0.51429999999999998"/>
    <n v="0"/>
    <n v="38.200000000000003"/>
    <m/>
    <m/>
    <n v="10.82"/>
    <n v="4.41"/>
    <n v="29"/>
    <m/>
  </r>
  <r>
    <d v="2026-07-26T00:00:00"/>
    <x v="6"/>
    <d v="1899-12-30T15:30:00"/>
    <x v="2"/>
    <n v="6.21"/>
    <n v="4"/>
    <n v="-0.35560000000000003"/>
    <n v="443.26"/>
    <n v="610.25"/>
    <n v="2441"/>
    <n v="1"/>
    <n v="0.37669999999999998"/>
    <n v="1"/>
    <n v="0"/>
    <n v="4"/>
    <n v="0.46929999999999999"/>
    <n v="0"/>
    <n v="9.25"/>
    <m/>
    <m/>
    <n v="10.36"/>
    <n v="4.9400000000000004"/>
    <n v="32"/>
    <m/>
  </r>
  <r>
    <d v="2026-07-26T00:00:00"/>
    <x v="6"/>
    <d v="1899-12-30T15:45:00"/>
    <x v="2"/>
    <n v="6.19"/>
    <n v="2"/>
    <n v="-0.67700000000000005"/>
    <n v="439.88"/>
    <n v="159.5"/>
    <n v="319"/>
    <n v="0"/>
    <n v="-0.63739999999999997"/>
    <n v="1"/>
    <n v="0"/>
    <n v="2"/>
    <n v="0.45910000000000001"/>
    <n v="0"/>
    <n v="10.5"/>
    <m/>
    <m/>
    <n v="10.220000000000001"/>
    <n v="2.35"/>
    <n v="35"/>
    <m/>
  </r>
  <r>
    <d v="2026-07-26T00:00:00"/>
    <x v="6"/>
    <d v="1899-12-30T16:00:00"/>
    <x v="2"/>
    <n v="5.7"/>
    <n v="3"/>
    <n v="-0.47370000000000001"/>
    <n v="439.31"/>
    <n v="205"/>
    <n v="615"/>
    <n v="0"/>
    <n v="-0.53339999999999999"/>
    <n v="1"/>
    <n v="0"/>
    <n v="3"/>
    <n v="0.42599999999999999"/>
    <n v="0"/>
    <n v="4.67"/>
    <m/>
    <m/>
    <n v="9.7799999999999994"/>
    <n v="2.64"/>
    <n v="35"/>
    <m/>
  </r>
  <r>
    <d v="2026-07-26T00:00:00"/>
    <x v="6"/>
    <d v="1899-12-30T16:15:00"/>
    <x v="2"/>
    <n v="5.91"/>
    <n v="3"/>
    <n v="-0.49249999999999999"/>
    <n v="431.26"/>
    <n v="291.33"/>
    <n v="873.99"/>
    <n v="0"/>
    <n v="-0.32450000000000001"/>
    <n v="1"/>
    <n v="0"/>
    <n v="3"/>
    <n v="0.43680000000000002"/>
    <n v="0"/>
    <n v="6.67"/>
    <m/>
    <m/>
    <n v="9.82"/>
    <n v="2.5299999999999998"/>
    <n v="3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05F71-4DD6-4AE9-B5FC-A5F714AA83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8" firstHeaderRow="1" firstDataRow="2" firstDataCol="1"/>
  <pivotFields count="26">
    <pivotField numFmtId="14"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  <pivotField numFmtId="20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0" showAll="0"/>
    <pivotField showAll="0"/>
    <pivotField showAll="0"/>
    <pivotField numFmtId="164" showAll="0"/>
    <pivotField showAll="0"/>
    <pivotField numFmtId="10" showAll="0"/>
    <pivotField showAll="0"/>
    <pivotField numFmtId="1" showAll="0"/>
    <pivotField numFmtId="1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ctual volum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128F-0FDE-4FD0-A257-E54DE9A0AC43}">
  <dimension ref="B2:L70"/>
  <sheetViews>
    <sheetView showGridLines="0" tabSelected="1" topLeftCell="A59" zoomScale="90" zoomScaleNormal="90" workbookViewId="0">
      <selection activeCell="D69" sqref="D69"/>
    </sheetView>
  </sheetViews>
  <sheetFormatPr defaultRowHeight="14.5" x14ac:dyDescent="0.35"/>
  <cols>
    <col min="1" max="1" width="8.7265625" style="1"/>
    <col min="2" max="2" width="30.36328125" style="1" bestFit="1" customWidth="1"/>
    <col min="3" max="3" width="6.54296875" style="5" bestFit="1" customWidth="1"/>
    <col min="4" max="8" width="7.90625" style="5" bestFit="1" customWidth="1"/>
    <col min="9" max="9" width="6.90625" style="5" bestFit="1" customWidth="1"/>
    <col min="10" max="10" width="9" style="5" bestFit="1" customWidth="1"/>
    <col min="11" max="11" width="8.6328125" style="5" bestFit="1" customWidth="1"/>
    <col min="12" max="12" width="6.81640625" style="5" customWidth="1"/>
    <col min="13" max="16384" width="8.7265625" style="1"/>
  </cols>
  <sheetData>
    <row r="2" spans="2:11" ht="15" thickBot="1" x14ac:dyDescent="0.4"/>
    <row r="3" spans="2:11" x14ac:dyDescent="0.35">
      <c r="B3" s="31" t="s">
        <v>0</v>
      </c>
      <c r="C3" s="32" t="s">
        <v>18</v>
      </c>
      <c r="D3" s="32" t="s">
        <v>19</v>
      </c>
      <c r="E3" s="32" t="s">
        <v>20</v>
      </c>
      <c r="F3" s="32" t="s">
        <v>21</v>
      </c>
      <c r="G3" s="32" t="s">
        <v>22</v>
      </c>
      <c r="H3" s="32" t="s">
        <v>23</v>
      </c>
      <c r="I3" s="26" t="s">
        <v>24</v>
      </c>
      <c r="J3" s="25" t="s">
        <v>27</v>
      </c>
      <c r="K3" s="26" t="s">
        <v>28</v>
      </c>
    </row>
    <row r="4" spans="2:11" x14ac:dyDescent="0.35">
      <c r="B4" s="33">
        <v>0.29166666666666669</v>
      </c>
      <c r="C4" s="34"/>
      <c r="D4" s="34">
        <v>98.91</v>
      </c>
      <c r="E4" s="34">
        <v>72.78</v>
      </c>
      <c r="F4" s="34">
        <v>59.13</v>
      </c>
      <c r="G4" s="34">
        <v>63.32</v>
      </c>
      <c r="H4" s="34">
        <v>63.5</v>
      </c>
      <c r="I4" s="28"/>
      <c r="J4" s="27">
        <f>AVERAGE(D4:H4)</f>
        <v>71.527999999999992</v>
      </c>
      <c r="K4" s="28">
        <v>0</v>
      </c>
    </row>
    <row r="5" spans="2:11" x14ac:dyDescent="0.35">
      <c r="B5" s="33">
        <v>0.30208333333333331</v>
      </c>
      <c r="C5" s="34"/>
      <c r="D5" s="34">
        <v>112.39</v>
      </c>
      <c r="E5" s="34">
        <v>88.79</v>
      </c>
      <c r="F5" s="34">
        <v>73.03</v>
      </c>
      <c r="G5" s="34">
        <v>74.12</v>
      </c>
      <c r="H5" s="34">
        <v>68.56</v>
      </c>
      <c r="I5" s="28"/>
      <c r="J5" s="27">
        <f t="shared" ref="J5:J51" si="0">AVERAGE(D5:H5)</f>
        <v>83.378000000000014</v>
      </c>
      <c r="K5" s="28">
        <v>0</v>
      </c>
    </row>
    <row r="6" spans="2:11" x14ac:dyDescent="0.35">
      <c r="B6" s="33">
        <v>0.3125</v>
      </c>
      <c r="C6" s="34"/>
      <c r="D6" s="34">
        <v>145.75</v>
      </c>
      <c r="E6" s="34">
        <v>119.85</v>
      </c>
      <c r="F6" s="34">
        <v>102.86</v>
      </c>
      <c r="G6" s="34">
        <v>100.97</v>
      </c>
      <c r="H6" s="34">
        <v>91.17</v>
      </c>
      <c r="I6" s="28"/>
      <c r="J6" s="27">
        <f t="shared" si="0"/>
        <v>112.12</v>
      </c>
      <c r="K6" s="28">
        <v>0</v>
      </c>
    </row>
    <row r="7" spans="2:11" x14ac:dyDescent="0.35">
      <c r="B7" s="33">
        <v>0.32291666666666669</v>
      </c>
      <c r="C7" s="34"/>
      <c r="D7" s="34">
        <v>243.2</v>
      </c>
      <c r="E7" s="34">
        <v>198.41</v>
      </c>
      <c r="F7" s="34">
        <v>174.59</v>
      </c>
      <c r="G7" s="34">
        <v>168.85</v>
      </c>
      <c r="H7" s="34">
        <v>159.44</v>
      </c>
      <c r="I7" s="28"/>
      <c r="J7" s="27">
        <f t="shared" si="0"/>
        <v>188.898</v>
      </c>
      <c r="K7" s="28">
        <v>0</v>
      </c>
    </row>
    <row r="8" spans="2:11" x14ac:dyDescent="0.35">
      <c r="B8" s="33">
        <v>0.33333333333333331</v>
      </c>
      <c r="C8" s="34">
        <v>5.47</v>
      </c>
      <c r="D8" s="34">
        <v>368.06</v>
      </c>
      <c r="E8" s="34">
        <v>303.62</v>
      </c>
      <c r="F8" s="34">
        <v>272.31</v>
      </c>
      <c r="G8" s="34">
        <v>258.25</v>
      </c>
      <c r="H8" s="34">
        <v>254.71</v>
      </c>
      <c r="I8" s="28">
        <v>70.62</v>
      </c>
      <c r="J8" s="27">
        <f t="shared" si="0"/>
        <v>291.39</v>
      </c>
      <c r="K8" s="28">
        <f t="shared" ref="K8:K43" si="1">AVERAGE(I8,C8)</f>
        <v>38.045000000000002</v>
      </c>
    </row>
    <row r="9" spans="2:11" x14ac:dyDescent="0.35">
      <c r="B9" s="33">
        <v>0.34375</v>
      </c>
      <c r="C9" s="34">
        <v>5.57</v>
      </c>
      <c r="D9" s="34">
        <v>517.22</v>
      </c>
      <c r="E9" s="34">
        <v>434.99</v>
      </c>
      <c r="F9" s="34">
        <v>390.12</v>
      </c>
      <c r="G9" s="34">
        <v>364.53</v>
      </c>
      <c r="H9" s="34">
        <v>360.31</v>
      </c>
      <c r="I9" s="28">
        <v>72.010000000000005</v>
      </c>
      <c r="J9" s="27">
        <f t="shared" si="0"/>
        <v>413.43400000000003</v>
      </c>
      <c r="K9" s="28">
        <f t="shared" si="1"/>
        <v>38.790000000000006</v>
      </c>
    </row>
    <row r="10" spans="2:11" x14ac:dyDescent="0.35">
      <c r="B10" s="33">
        <v>0.35416666666666669</v>
      </c>
      <c r="C10" s="34">
        <v>5.9</v>
      </c>
      <c r="D10" s="34">
        <v>610.98</v>
      </c>
      <c r="E10" s="34">
        <v>524.24</v>
      </c>
      <c r="F10" s="34">
        <v>477.45</v>
      </c>
      <c r="G10" s="34">
        <v>448.54</v>
      </c>
      <c r="H10" s="34">
        <v>437.98</v>
      </c>
      <c r="I10" s="28">
        <v>76.42</v>
      </c>
      <c r="J10" s="27">
        <f t="shared" si="0"/>
        <v>499.83800000000002</v>
      </c>
      <c r="K10" s="28">
        <f t="shared" si="1"/>
        <v>41.160000000000004</v>
      </c>
    </row>
    <row r="11" spans="2:11" x14ac:dyDescent="0.35">
      <c r="B11" s="33">
        <v>0.36458333333333331</v>
      </c>
      <c r="C11" s="34">
        <v>7.25</v>
      </c>
      <c r="D11" s="34">
        <v>704.66</v>
      </c>
      <c r="E11" s="34">
        <v>604.5</v>
      </c>
      <c r="F11" s="34">
        <v>563.46</v>
      </c>
      <c r="G11" s="34">
        <v>528.63</v>
      </c>
      <c r="H11" s="34">
        <v>509.77</v>
      </c>
      <c r="I11" s="28">
        <v>82.13</v>
      </c>
      <c r="J11" s="27">
        <f t="shared" si="0"/>
        <v>582.20399999999995</v>
      </c>
      <c r="K11" s="28">
        <f t="shared" si="1"/>
        <v>44.69</v>
      </c>
    </row>
    <row r="12" spans="2:11" x14ac:dyDescent="0.35">
      <c r="B12" s="33">
        <v>0.375</v>
      </c>
      <c r="C12" s="34">
        <v>18.29</v>
      </c>
      <c r="D12" s="34">
        <v>804.16</v>
      </c>
      <c r="E12" s="34">
        <v>691.58</v>
      </c>
      <c r="F12" s="34">
        <v>645.66999999999996</v>
      </c>
      <c r="G12" s="34">
        <v>622.53</v>
      </c>
      <c r="H12" s="34">
        <v>592.63</v>
      </c>
      <c r="I12" s="28">
        <v>92.86</v>
      </c>
      <c r="J12" s="27">
        <f t="shared" si="0"/>
        <v>671.31399999999996</v>
      </c>
      <c r="K12" s="28">
        <f t="shared" si="1"/>
        <v>55.575000000000003</v>
      </c>
    </row>
    <row r="13" spans="2:11" x14ac:dyDescent="0.35">
      <c r="B13" s="33">
        <v>0.38541666666666669</v>
      </c>
      <c r="C13" s="34">
        <v>20.73</v>
      </c>
      <c r="D13" s="34">
        <v>892.88</v>
      </c>
      <c r="E13" s="34">
        <v>771</v>
      </c>
      <c r="F13" s="34">
        <v>727.65</v>
      </c>
      <c r="G13" s="34">
        <v>702.48</v>
      </c>
      <c r="H13" s="34">
        <v>670.03</v>
      </c>
      <c r="I13" s="28">
        <v>103.3</v>
      </c>
      <c r="J13" s="27">
        <f t="shared" si="0"/>
        <v>752.80799999999999</v>
      </c>
      <c r="K13" s="28">
        <f t="shared" si="1"/>
        <v>62.015000000000001</v>
      </c>
    </row>
    <row r="14" spans="2:11" x14ac:dyDescent="0.35">
      <c r="B14" s="33">
        <v>0.39583333333333331</v>
      </c>
      <c r="C14" s="34">
        <v>22.87</v>
      </c>
      <c r="D14" s="34">
        <v>948.58</v>
      </c>
      <c r="E14" s="34">
        <v>832.57</v>
      </c>
      <c r="F14" s="34">
        <v>776.63</v>
      </c>
      <c r="G14" s="34">
        <v>757.75</v>
      </c>
      <c r="H14" s="34">
        <v>726.5</v>
      </c>
      <c r="I14" s="28">
        <v>110.17</v>
      </c>
      <c r="J14" s="27">
        <f t="shared" si="0"/>
        <v>808.40600000000006</v>
      </c>
      <c r="K14" s="28">
        <f t="shared" si="1"/>
        <v>66.52</v>
      </c>
    </row>
    <row r="15" spans="2:11" x14ac:dyDescent="0.35">
      <c r="B15" s="33">
        <v>0.40625</v>
      </c>
      <c r="C15" s="34">
        <v>22.66</v>
      </c>
      <c r="D15" s="34">
        <v>974.87</v>
      </c>
      <c r="E15" s="34">
        <v>867.69</v>
      </c>
      <c r="F15" s="34">
        <v>809.95</v>
      </c>
      <c r="G15" s="34">
        <v>782.01</v>
      </c>
      <c r="H15" s="34">
        <v>749.85</v>
      </c>
      <c r="I15" s="28">
        <v>113.84</v>
      </c>
      <c r="J15" s="27">
        <f t="shared" si="0"/>
        <v>836.87400000000014</v>
      </c>
      <c r="K15" s="28">
        <f t="shared" si="1"/>
        <v>68.25</v>
      </c>
    </row>
    <row r="16" spans="2:11" x14ac:dyDescent="0.35">
      <c r="B16" s="33">
        <v>0.41666666666666669</v>
      </c>
      <c r="C16" s="34">
        <v>23.97</v>
      </c>
      <c r="D16" s="34">
        <v>1006.42</v>
      </c>
      <c r="E16" s="34">
        <v>893.75</v>
      </c>
      <c r="F16" s="34">
        <v>830.99</v>
      </c>
      <c r="G16" s="34">
        <v>808.58</v>
      </c>
      <c r="H16" s="34">
        <v>776.32</v>
      </c>
      <c r="I16" s="28">
        <v>118.09</v>
      </c>
      <c r="J16" s="27">
        <f t="shared" si="0"/>
        <v>863.21199999999988</v>
      </c>
      <c r="K16" s="28">
        <f t="shared" si="1"/>
        <v>71.03</v>
      </c>
    </row>
    <row r="17" spans="2:11" x14ac:dyDescent="0.35">
      <c r="B17" s="33">
        <v>0.42708333333333331</v>
      </c>
      <c r="C17" s="34">
        <v>24.52</v>
      </c>
      <c r="D17" s="34">
        <v>1017.08</v>
      </c>
      <c r="E17" s="34">
        <v>909.16</v>
      </c>
      <c r="F17" s="34">
        <v>856.07</v>
      </c>
      <c r="G17" s="34">
        <v>839.14</v>
      </c>
      <c r="H17" s="34">
        <v>793.33</v>
      </c>
      <c r="I17" s="28">
        <v>119.22</v>
      </c>
      <c r="J17" s="27">
        <f t="shared" si="0"/>
        <v>882.9559999999999</v>
      </c>
      <c r="K17" s="28">
        <f t="shared" si="1"/>
        <v>71.87</v>
      </c>
    </row>
    <row r="18" spans="2:11" x14ac:dyDescent="0.35">
      <c r="B18" s="33">
        <v>0.4375</v>
      </c>
      <c r="C18" s="34">
        <v>25.23</v>
      </c>
      <c r="D18" s="34">
        <v>1031.52</v>
      </c>
      <c r="E18" s="34">
        <v>914.51</v>
      </c>
      <c r="F18" s="34">
        <v>876.11</v>
      </c>
      <c r="G18" s="34">
        <v>857.45</v>
      </c>
      <c r="H18" s="34">
        <v>815.6</v>
      </c>
      <c r="I18" s="28">
        <v>122.11</v>
      </c>
      <c r="J18" s="27">
        <f t="shared" si="0"/>
        <v>899.03800000000012</v>
      </c>
      <c r="K18" s="28">
        <f t="shared" si="1"/>
        <v>73.67</v>
      </c>
    </row>
    <row r="19" spans="2:11" x14ac:dyDescent="0.35">
      <c r="B19" s="33">
        <v>0.44791666666666669</v>
      </c>
      <c r="C19" s="34">
        <v>26.21</v>
      </c>
      <c r="D19" s="34">
        <v>1024.6199999999999</v>
      </c>
      <c r="E19" s="34">
        <v>933.25</v>
      </c>
      <c r="F19" s="34">
        <v>888.34</v>
      </c>
      <c r="G19" s="34">
        <v>860.98</v>
      </c>
      <c r="H19" s="34">
        <v>811.25</v>
      </c>
      <c r="I19" s="28">
        <v>121.35</v>
      </c>
      <c r="J19" s="27">
        <f t="shared" si="0"/>
        <v>903.6880000000001</v>
      </c>
      <c r="K19" s="28">
        <f t="shared" si="1"/>
        <v>73.78</v>
      </c>
    </row>
    <row r="20" spans="2:11" x14ac:dyDescent="0.35">
      <c r="B20" s="33">
        <v>0.45833333333333331</v>
      </c>
      <c r="C20" s="34">
        <v>26.79</v>
      </c>
      <c r="D20" s="34">
        <v>1027.8</v>
      </c>
      <c r="E20" s="34">
        <v>947.72</v>
      </c>
      <c r="F20" s="34">
        <v>896.39</v>
      </c>
      <c r="G20" s="34">
        <v>854.32</v>
      </c>
      <c r="H20" s="34">
        <v>814.67</v>
      </c>
      <c r="I20" s="28">
        <v>119.45</v>
      </c>
      <c r="J20" s="27">
        <f t="shared" si="0"/>
        <v>908.18</v>
      </c>
      <c r="K20" s="28">
        <f t="shared" si="1"/>
        <v>73.12</v>
      </c>
    </row>
    <row r="21" spans="2:11" x14ac:dyDescent="0.35">
      <c r="B21" s="33">
        <v>0.46875</v>
      </c>
      <c r="C21" s="34">
        <v>26.54</v>
      </c>
      <c r="D21" s="34">
        <v>1013.66</v>
      </c>
      <c r="E21" s="34">
        <v>943.85</v>
      </c>
      <c r="F21" s="34">
        <v>890.2</v>
      </c>
      <c r="G21" s="34">
        <v>854.88</v>
      </c>
      <c r="H21" s="34">
        <v>810.26</v>
      </c>
      <c r="I21" s="28">
        <v>115.78</v>
      </c>
      <c r="J21" s="27">
        <f t="shared" si="0"/>
        <v>902.57</v>
      </c>
      <c r="K21" s="28">
        <f t="shared" si="1"/>
        <v>71.16</v>
      </c>
    </row>
    <row r="22" spans="2:11" x14ac:dyDescent="0.35">
      <c r="B22" s="33">
        <v>0.47916666666666669</v>
      </c>
      <c r="C22" s="34">
        <v>26.42</v>
      </c>
      <c r="D22" s="34">
        <v>1008.05</v>
      </c>
      <c r="E22" s="34">
        <v>928.79</v>
      </c>
      <c r="F22" s="34">
        <v>878.46</v>
      </c>
      <c r="G22" s="34">
        <v>849.97</v>
      </c>
      <c r="H22" s="34">
        <v>814.18</v>
      </c>
      <c r="I22" s="28">
        <v>113.54</v>
      </c>
      <c r="J22" s="27">
        <f t="shared" si="0"/>
        <v>895.8900000000001</v>
      </c>
      <c r="K22" s="28">
        <f t="shared" si="1"/>
        <v>69.98</v>
      </c>
    </row>
    <row r="23" spans="2:11" x14ac:dyDescent="0.35">
      <c r="B23" s="33">
        <v>0.48958333333333331</v>
      </c>
      <c r="C23" s="34">
        <v>25.73</v>
      </c>
      <c r="D23" s="34">
        <v>996.97</v>
      </c>
      <c r="E23" s="34">
        <v>908.05</v>
      </c>
      <c r="F23" s="34">
        <v>856.61</v>
      </c>
      <c r="G23" s="34">
        <v>831.41</v>
      </c>
      <c r="H23" s="34">
        <v>793.4</v>
      </c>
      <c r="I23" s="28">
        <v>111.25</v>
      </c>
      <c r="J23" s="27">
        <f t="shared" si="0"/>
        <v>877.2879999999999</v>
      </c>
      <c r="K23" s="28">
        <f t="shared" si="1"/>
        <v>68.489999999999995</v>
      </c>
    </row>
    <row r="24" spans="2:11" x14ac:dyDescent="0.35">
      <c r="B24" s="33">
        <v>0.5</v>
      </c>
      <c r="C24" s="34">
        <v>24.92</v>
      </c>
      <c r="D24" s="34">
        <v>980.42</v>
      </c>
      <c r="E24" s="34">
        <v>888.05</v>
      </c>
      <c r="F24" s="34">
        <v>839.11</v>
      </c>
      <c r="G24" s="34">
        <v>802.75</v>
      </c>
      <c r="H24" s="34">
        <v>772.77</v>
      </c>
      <c r="I24" s="28">
        <v>105.19</v>
      </c>
      <c r="J24" s="27">
        <f t="shared" si="0"/>
        <v>856.62000000000012</v>
      </c>
      <c r="K24" s="28">
        <f t="shared" si="1"/>
        <v>65.055000000000007</v>
      </c>
    </row>
    <row r="25" spans="2:11" x14ac:dyDescent="0.35">
      <c r="B25" s="33">
        <v>0.51041666666666663</v>
      </c>
      <c r="C25" s="34">
        <v>24.26</v>
      </c>
      <c r="D25" s="34">
        <v>962.84</v>
      </c>
      <c r="E25" s="34">
        <v>869.08</v>
      </c>
      <c r="F25" s="34">
        <v>819.13</v>
      </c>
      <c r="G25" s="34">
        <v>772.86</v>
      </c>
      <c r="H25" s="34">
        <v>741.99</v>
      </c>
      <c r="I25" s="28">
        <v>101.9</v>
      </c>
      <c r="J25" s="27">
        <f t="shared" si="0"/>
        <v>833.18000000000006</v>
      </c>
      <c r="K25" s="28">
        <f t="shared" si="1"/>
        <v>63.080000000000005</v>
      </c>
    </row>
    <row r="26" spans="2:11" x14ac:dyDescent="0.35">
      <c r="B26" s="33">
        <v>0.52083333333333337</v>
      </c>
      <c r="C26" s="34">
        <v>23.91</v>
      </c>
      <c r="D26" s="34">
        <v>940.55</v>
      </c>
      <c r="E26" s="34">
        <v>834.21</v>
      </c>
      <c r="F26" s="34">
        <v>802.96</v>
      </c>
      <c r="G26" s="34">
        <v>753.1</v>
      </c>
      <c r="H26" s="34">
        <v>729.07</v>
      </c>
      <c r="I26" s="28">
        <v>99.09</v>
      </c>
      <c r="J26" s="27">
        <f t="shared" si="0"/>
        <v>811.97800000000007</v>
      </c>
      <c r="K26" s="28">
        <f t="shared" si="1"/>
        <v>61.5</v>
      </c>
    </row>
    <row r="27" spans="2:11" x14ac:dyDescent="0.35">
      <c r="B27" s="33">
        <v>0.53125</v>
      </c>
      <c r="C27" s="34">
        <v>23.56</v>
      </c>
      <c r="D27" s="34">
        <v>921.44</v>
      </c>
      <c r="E27" s="34">
        <v>822.8</v>
      </c>
      <c r="F27" s="34">
        <v>783.53</v>
      </c>
      <c r="G27" s="34">
        <v>738.39</v>
      </c>
      <c r="H27" s="34">
        <v>708.03</v>
      </c>
      <c r="I27" s="28">
        <v>93.47</v>
      </c>
      <c r="J27" s="27">
        <f t="shared" si="0"/>
        <v>794.83799999999997</v>
      </c>
      <c r="K27" s="28">
        <f t="shared" si="1"/>
        <v>58.515000000000001</v>
      </c>
    </row>
    <row r="28" spans="2:11" x14ac:dyDescent="0.35">
      <c r="B28" s="33">
        <v>0.54166666666666663</v>
      </c>
      <c r="C28" s="34">
        <v>23.01</v>
      </c>
      <c r="D28" s="34">
        <v>915.43</v>
      </c>
      <c r="E28" s="34">
        <v>815.81</v>
      </c>
      <c r="F28" s="34">
        <v>780.55</v>
      </c>
      <c r="G28" s="34">
        <v>744.9</v>
      </c>
      <c r="H28" s="34">
        <v>709.69</v>
      </c>
      <c r="I28" s="28">
        <v>87.82</v>
      </c>
      <c r="J28" s="27">
        <f t="shared" si="0"/>
        <v>793.27600000000007</v>
      </c>
      <c r="K28" s="28">
        <f t="shared" si="1"/>
        <v>55.414999999999999</v>
      </c>
    </row>
    <row r="29" spans="2:11" x14ac:dyDescent="0.35">
      <c r="B29" s="33">
        <v>0.55208333333333337</v>
      </c>
      <c r="C29" s="34">
        <v>23.21</v>
      </c>
      <c r="D29" s="34">
        <v>918.07</v>
      </c>
      <c r="E29" s="34">
        <v>823.84</v>
      </c>
      <c r="F29" s="34">
        <v>785.67</v>
      </c>
      <c r="G29" s="34">
        <v>750.47</v>
      </c>
      <c r="H29" s="34">
        <v>707.24</v>
      </c>
      <c r="I29" s="28">
        <v>83.66</v>
      </c>
      <c r="J29" s="27">
        <f t="shared" si="0"/>
        <v>797.05799999999999</v>
      </c>
      <c r="K29" s="28">
        <f t="shared" si="1"/>
        <v>53.435000000000002</v>
      </c>
    </row>
    <row r="30" spans="2:11" x14ac:dyDescent="0.35">
      <c r="B30" s="33">
        <v>0.5625</v>
      </c>
      <c r="C30" s="34">
        <v>24.02</v>
      </c>
      <c r="D30" s="34">
        <v>917.72</v>
      </c>
      <c r="E30" s="34">
        <v>825.54</v>
      </c>
      <c r="F30" s="34">
        <v>793.43</v>
      </c>
      <c r="G30" s="34">
        <v>753.89</v>
      </c>
      <c r="H30" s="34">
        <v>715.92</v>
      </c>
      <c r="I30" s="28">
        <v>80.459999999999994</v>
      </c>
      <c r="J30" s="27">
        <f t="shared" si="0"/>
        <v>801.3</v>
      </c>
      <c r="K30" s="28">
        <f t="shared" si="1"/>
        <v>52.239999999999995</v>
      </c>
    </row>
    <row r="31" spans="2:11" x14ac:dyDescent="0.35">
      <c r="B31" s="33">
        <v>0.57291666666666663</v>
      </c>
      <c r="C31" s="34">
        <v>23.43</v>
      </c>
      <c r="D31" s="34">
        <v>911.11</v>
      </c>
      <c r="E31" s="34">
        <v>816.98</v>
      </c>
      <c r="F31" s="34">
        <v>797.35</v>
      </c>
      <c r="G31" s="34">
        <v>752.08</v>
      </c>
      <c r="H31" s="34">
        <v>705.21</v>
      </c>
      <c r="I31" s="28">
        <v>74.239999999999995</v>
      </c>
      <c r="J31" s="27">
        <f t="shared" si="0"/>
        <v>796.54600000000005</v>
      </c>
      <c r="K31" s="28">
        <f t="shared" si="1"/>
        <v>48.834999999999994</v>
      </c>
    </row>
    <row r="32" spans="2:11" x14ac:dyDescent="0.35">
      <c r="B32" s="33">
        <v>0.58333333333333337</v>
      </c>
      <c r="C32" s="34">
        <v>22.78</v>
      </c>
      <c r="D32" s="34">
        <v>906.39</v>
      </c>
      <c r="E32" s="34">
        <v>820.71</v>
      </c>
      <c r="F32" s="34">
        <v>792.58</v>
      </c>
      <c r="G32" s="34">
        <v>748.39</v>
      </c>
      <c r="H32" s="34">
        <v>715.48</v>
      </c>
      <c r="I32" s="28">
        <v>67.95</v>
      </c>
      <c r="J32" s="27">
        <f t="shared" si="0"/>
        <v>796.70999999999992</v>
      </c>
      <c r="K32" s="28">
        <f t="shared" si="1"/>
        <v>45.365000000000002</v>
      </c>
    </row>
    <row r="33" spans="2:11" x14ac:dyDescent="0.35">
      <c r="B33" s="33">
        <v>0.59375</v>
      </c>
      <c r="C33" s="34">
        <v>21.66</v>
      </c>
      <c r="D33" s="34">
        <v>903.89</v>
      </c>
      <c r="E33" s="34">
        <v>822.1</v>
      </c>
      <c r="F33" s="34">
        <v>789.61</v>
      </c>
      <c r="G33" s="34">
        <v>756.41</v>
      </c>
      <c r="H33" s="34">
        <v>711.35</v>
      </c>
      <c r="I33" s="28">
        <v>63.54</v>
      </c>
      <c r="J33" s="27">
        <f t="shared" si="0"/>
        <v>796.67199999999991</v>
      </c>
      <c r="K33" s="28">
        <f t="shared" si="1"/>
        <v>42.6</v>
      </c>
    </row>
    <row r="34" spans="2:11" x14ac:dyDescent="0.35">
      <c r="B34" s="33">
        <v>0.60416666666666663</v>
      </c>
      <c r="C34" s="34">
        <v>21.62</v>
      </c>
      <c r="D34" s="34">
        <v>885.64</v>
      </c>
      <c r="E34" s="34">
        <v>828.38</v>
      </c>
      <c r="F34" s="34">
        <v>780.15</v>
      </c>
      <c r="G34" s="34">
        <v>756.79</v>
      </c>
      <c r="H34" s="34">
        <v>723.29</v>
      </c>
      <c r="I34" s="28">
        <v>58.73</v>
      </c>
      <c r="J34" s="27">
        <f t="shared" si="0"/>
        <v>794.85</v>
      </c>
      <c r="K34" s="28">
        <f t="shared" si="1"/>
        <v>40.174999999999997</v>
      </c>
    </row>
    <row r="35" spans="2:11" x14ac:dyDescent="0.35">
      <c r="B35" s="33">
        <v>0.61458333333333337</v>
      </c>
      <c r="C35" s="34">
        <v>19.28</v>
      </c>
      <c r="D35" s="34">
        <v>877.99</v>
      </c>
      <c r="E35" s="34">
        <v>832.84</v>
      </c>
      <c r="F35" s="34">
        <v>774.56</v>
      </c>
      <c r="G35" s="34">
        <v>763.5</v>
      </c>
      <c r="H35" s="34">
        <v>706.82</v>
      </c>
      <c r="I35" s="28">
        <v>55.83</v>
      </c>
      <c r="J35" s="27">
        <f t="shared" si="0"/>
        <v>791.14200000000005</v>
      </c>
      <c r="K35" s="28">
        <f t="shared" si="1"/>
        <v>37.555</v>
      </c>
    </row>
    <row r="36" spans="2:11" x14ac:dyDescent="0.35">
      <c r="B36" s="33">
        <v>0.625</v>
      </c>
      <c r="C36" s="34">
        <v>9.4499999999999993</v>
      </c>
      <c r="D36" s="34">
        <v>867.64</v>
      </c>
      <c r="E36" s="34">
        <v>829.32</v>
      </c>
      <c r="F36" s="34">
        <v>777.74</v>
      </c>
      <c r="G36" s="34">
        <v>751.07</v>
      </c>
      <c r="H36" s="34">
        <v>695.16</v>
      </c>
      <c r="I36" s="28">
        <v>54.12</v>
      </c>
      <c r="J36" s="27">
        <f t="shared" si="0"/>
        <v>784.18599999999992</v>
      </c>
      <c r="K36" s="28">
        <f t="shared" si="1"/>
        <v>31.784999999999997</v>
      </c>
    </row>
    <row r="37" spans="2:11" x14ac:dyDescent="0.35">
      <c r="B37" s="33">
        <v>0.63541666666666663</v>
      </c>
      <c r="C37" s="34">
        <v>6.89</v>
      </c>
      <c r="D37" s="34">
        <v>871.4</v>
      </c>
      <c r="E37" s="34">
        <v>823.24</v>
      </c>
      <c r="F37" s="34">
        <v>785.7</v>
      </c>
      <c r="G37" s="34">
        <v>740.91</v>
      </c>
      <c r="H37" s="34">
        <v>672.05</v>
      </c>
      <c r="I37" s="28">
        <v>49.95</v>
      </c>
      <c r="J37" s="27">
        <f t="shared" si="0"/>
        <v>778.66000000000008</v>
      </c>
      <c r="K37" s="28">
        <f t="shared" si="1"/>
        <v>28.42</v>
      </c>
    </row>
    <row r="38" spans="2:11" x14ac:dyDescent="0.35">
      <c r="B38" s="33">
        <v>0.64583333333333337</v>
      </c>
      <c r="C38" s="34">
        <v>6.21</v>
      </c>
      <c r="D38" s="34">
        <v>860</v>
      </c>
      <c r="E38" s="34">
        <v>804.49</v>
      </c>
      <c r="F38" s="34">
        <v>783.95</v>
      </c>
      <c r="G38" s="34">
        <v>726.05</v>
      </c>
      <c r="H38" s="34">
        <v>660.61</v>
      </c>
      <c r="I38" s="28">
        <v>44.35</v>
      </c>
      <c r="J38" s="27">
        <f t="shared" si="0"/>
        <v>767.02</v>
      </c>
      <c r="K38" s="28">
        <f t="shared" si="1"/>
        <v>25.28</v>
      </c>
    </row>
    <row r="39" spans="2:11" x14ac:dyDescent="0.35">
      <c r="B39" s="33">
        <v>0.65625</v>
      </c>
      <c r="C39" s="34">
        <v>6.19</v>
      </c>
      <c r="D39" s="34">
        <v>831.11</v>
      </c>
      <c r="E39" s="34">
        <v>787.47</v>
      </c>
      <c r="F39" s="34">
        <v>760.21</v>
      </c>
      <c r="G39" s="34">
        <v>706.54</v>
      </c>
      <c r="H39" s="34">
        <v>642.13</v>
      </c>
      <c r="I39" s="28">
        <v>39.39</v>
      </c>
      <c r="J39" s="27">
        <f t="shared" si="0"/>
        <v>745.49199999999996</v>
      </c>
      <c r="K39" s="28">
        <f t="shared" si="1"/>
        <v>22.79</v>
      </c>
    </row>
    <row r="40" spans="2:11" x14ac:dyDescent="0.35">
      <c r="B40" s="33">
        <v>0.66666666666666663</v>
      </c>
      <c r="C40" s="34">
        <v>5.7</v>
      </c>
      <c r="D40" s="34">
        <v>795.99</v>
      </c>
      <c r="E40" s="34">
        <v>756.69</v>
      </c>
      <c r="F40" s="34">
        <v>720.98</v>
      </c>
      <c r="G40" s="34">
        <v>677.15</v>
      </c>
      <c r="H40" s="34">
        <v>602.04999999999995</v>
      </c>
      <c r="I40" s="28">
        <v>35.82</v>
      </c>
      <c r="J40" s="27">
        <f t="shared" si="0"/>
        <v>710.57199999999989</v>
      </c>
      <c r="K40" s="28">
        <f t="shared" si="1"/>
        <v>20.76</v>
      </c>
    </row>
    <row r="41" spans="2:11" x14ac:dyDescent="0.35">
      <c r="B41" s="33">
        <v>0.67708333333333337</v>
      </c>
      <c r="C41" s="34">
        <v>5.91</v>
      </c>
      <c r="D41" s="34">
        <v>737.06</v>
      </c>
      <c r="E41" s="34">
        <v>702.79</v>
      </c>
      <c r="F41" s="34">
        <v>658.78</v>
      </c>
      <c r="G41" s="34">
        <v>621.95000000000005</v>
      </c>
      <c r="H41" s="34">
        <v>544.62</v>
      </c>
      <c r="I41" s="28">
        <v>34.380000000000003</v>
      </c>
      <c r="J41" s="27">
        <f t="shared" si="0"/>
        <v>653.04</v>
      </c>
      <c r="K41" s="28">
        <f t="shared" si="1"/>
        <v>20.145000000000003</v>
      </c>
    </row>
    <row r="42" spans="2:11" x14ac:dyDescent="0.35">
      <c r="B42" s="33">
        <v>0.6875</v>
      </c>
      <c r="C42" s="34"/>
      <c r="D42" s="34">
        <v>665.18</v>
      </c>
      <c r="E42" s="34">
        <v>622.84</v>
      </c>
      <c r="F42" s="34">
        <v>583.27</v>
      </c>
      <c r="G42" s="34">
        <v>555.19000000000005</v>
      </c>
      <c r="H42" s="34">
        <v>466.36</v>
      </c>
      <c r="I42" s="28">
        <v>0.47</v>
      </c>
      <c r="J42" s="27">
        <f t="shared" si="0"/>
        <v>578.56799999999998</v>
      </c>
      <c r="K42" s="28">
        <f t="shared" si="1"/>
        <v>0.47</v>
      </c>
    </row>
    <row r="43" spans="2:11" x14ac:dyDescent="0.35">
      <c r="B43" s="33">
        <v>0.69791666666666663</v>
      </c>
      <c r="C43" s="34"/>
      <c r="D43" s="34">
        <v>551.75</v>
      </c>
      <c r="E43" s="34">
        <v>522.20000000000005</v>
      </c>
      <c r="F43" s="34">
        <v>482.89</v>
      </c>
      <c r="G43" s="34">
        <v>455.72</v>
      </c>
      <c r="H43" s="34">
        <v>378.38</v>
      </c>
      <c r="I43" s="28">
        <v>0</v>
      </c>
      <c r="J43" s="27">
        <f t="shared" si="0"/>
        <v>478.18799999999999</v>
      </c>
      <c r="K43" s="28">
        <f t="shared" si="1"/>
        <v>0</v>
      </c>
    </row>
    <row r="44" spans="2:11" x14ac:dyDescent="0.35">
      <c r="B44" s="33">
        <v>0.70833333333333337</v>
      </c>
      <c r="C44" s="34"/>
      <c r="D44" s="34">
        <v>431.5</v>
      </c>
      <c r="E44" s="34">
        <v>411.28</v>
      </c>
      <c r="F44" s="34">
        <v>375.93</v>
      </c>
      <c r="G44" s="34">
        <v>352.07</v>
      </c>
      <c r="H44" s="34">
        <v>273.63</v>
      </c>
      <c r="I44" s="28"/>
      <c r="J44" s="27">
        <f t="shared" si="0"/>
        <v>368.88199999999995</v>
      </c>
      <c r="K44" s="28">
        <v>0</v>
      </c>
    </row>
    <row r="45" spans="2:11" x14ac:dyDescent="0.35">
      <c r="B45" s="33">
        <v>0.71875</v>
      </c>
      <c r="C45" s="34"/>
      <c r="D45" s="34">
        <v>332.69</v>
      </c>
      <c r="E45" s="34">
        <v>329.99</v>
      </c>
      <c r="F45" s="34">
        <v>294.27</v>
      </c>
      <c r="G45" s="34">
        <v>271.3</v>
      </c>
      <c r="H45" s="34">
        <v>207.34</v>
      </c>
      <c r="I45" s="28"/>
      <c r="J45" s="27">
        <f t="shared" si="0"/>
        <v>287.11799999999999</v>
      </c>
      <c r="K45" s="28">
        <v>0</v>
      </c>
    </row>
    <row r="46" spans="2:11" x14ac:dyDescent="0.35">
      <c r="B46" s="33">
        <v>0.72916666666666663</v>
      </c>
      <c r="C46" s="34"/>
      <c r="D46" s="34">
        <v>254.49</v>
      </c>
      <c r="E46" s="34">
        <v>248.81</v>
      </c>
      <c r="F46" s="34">
        <v>220.6</v>
      </c>
      <c r="G46" s="34">
        <v>208.15</v>
      </c>
      <c r="H46" s="34">
        <v>153.79</v>
      </c>
      <c r="I46" s="28"/>
      <c r="J46" s="27">
        <f t="shared" si="0"/>
        <v>217.16799999999998</v>
      </c>
      <c r="K46" s="28">
        <v>0</v>
      </c>
    </row>
    <row r="47" spans="2:11" x14ac:dyDescent="0.35">
      <c r="B47" s="33">
        <v>0.73958333333333337</v>
      </c>
      <c r="C47" s="34"/>
      <c r="D47" s="34">
        <v>199.81</v>
      </c>
      <c r="E47" s="34">
        <v>201.12</v>
      </c>
      <c r="F47" s="34">
        <v>180.62</v>
      </c>
      <c r="G47" s="34">
        <v>169.45</v>
      </c>
      <c r="H47" s="34">
        <v>129.18</v>
      </c>
      <c r="I47" s="28"/>
      <c r="J47" s="27">
        <f t="shared" si="0"/>
        <v>176.036</v>
      </c>
      <c r="K47" s="28">
        <v>0</v>
      </c>
    </row>
    <row r="48" spans="2:11" x14ac:dyDescent="0.35">
      <c r="B48" s="33">
        <v>0.75</v>
      </c>
      <c r="C48" s="34"/>
      <c r="D48" s="34">
        <v>161.12</v>
      </c>
      <c r="E48" s="34">
        <v>152.55000000000001</v>
      </c>
      <c r="F48" s="34">
        <v>143.38</v>
      </c>
      <c r="G48" s="34">
        <v>133.78</v>
      </c>
      <c r="H48" s="34">
        <v>100.87</v>
      </c>
      <c r="I48" s="28"/>
      <c r="J48" s="27">
        <f t="shared" si="0"/>
        <v>138.34</v>
      </c>
      <c r="K48" s="28">
        <v>0</v>
      </c>
    </row>
    <row r="49" spans="2:11" x14ac:dyDescent="0.35">
      <c r="B49" s="33">
        <v>0.76041666666666663</v>
      </c>
      <c r="C49" s="34"/>
      <c r="D49" s="34">
        <v>128.52000000000001</v>
      </c>
      <c r="E49" s="34">
        <v>121.05</v>
      </c>
      <c r="F49" s="34">
        <v>117.24</v>
      </c>
      <c r="G49" s="34">
        <v>105.77</v>
      </c>
      <c r="H49" s="34">
        <v>78.09</v>
      </c>
      <c r="I49" s="28"/>
      <c r="J49" s="27">
        <f t="shared" si="0"/>
        <v>110.13399999999999</v>
      </c>
      <c r="K49" s="28">
        <v>0</v>
      </c>
    </row>
    <row r="50" spans="2:11" x14ac:dyDescent="0.35">
      <c r="B50" s="33">
        <v>0.77083333333333337</v>
      </c>
      <c r="C50" s="34"/>
      <c r="D50" s="34">
        <v>109.4</v>
      </c>
      <c r="E50" s="34">
        <v>100.47</v>
      </c>
      <c r="F50" s="34">
        <v>97.41</v>
      </c>
      <c r="G50" s="34">
        <v>85.92</v>
      </c>
      <c r="H50" s="34">
        <v>61.81</v>
      </c>
      <c r="I50" s="28"/>
      <c r="J50" s="27">
        <f t="shared" si="0"/>
        <v>91.001999999999995</v>
      </c>
      <c r="K50" s="28">
        <v>0</v>
      </c>
    </row>
    <row r="51" spans="2:11" ht="15" thickBot="1" x14ac:dyDescent="0.4">
      <c r="B51" s="35">
        <v>0.78125</v>
      </c>
      <c r="C51" s="36"/>
      <c r="D51" s="36">
        <v>97.5</v>
      </c>
      <c r="E51" s="36">
        <v>90.56</v>
      </c>
      <c r="F51" s="36">
        <v>87.84</v>
      </c>
      <c r="G51" s="36">
        <v>79.02</v>
      </c>
      <c r="H51" s="36">
        <v>52.73</v>
      </c>
      <c r="I51" s="30"/>
      <c r="J51" s="29">
        <f t="shared" si="0"/>
        <v>81.53</v>
      </c>
      <c r="K51" s="30">
        <v>0</v>
      </c>
    </row>
    <row r="52" spans="2:11" ht="15" thickBot="1" x14ac:dyDescent="0.4"/>
    <row r="53" spans="2:11" x14ac:dyDescent="0.35">
      <c r="B53" s="37" t="s">
        <v>37</v>
      </c>
      <c r="C53" s="38" t="s">
        <v>18</v>
      </c>
      <c r="D53" s="38" t="s">
        <v>19</v>
      </c>
      <c r="E53" s="38" t="s">
        <v>20</v>
      </c>
      <c r="F53" s="38" t="s">
        <v>21</v>
      </c>
      <c r="G53" s="38" t="s">
        <v>22</v>
      </c>
      <c r="H53" s="38" t="s">
        <v>23</v>
      </c>
      <c r="I53" s="39" t="s">
        <v>24</v>
      </c>
    </row>
    <row r="54" spans="2:11" x14ac:dyDescent="0.35">
      <c r="B54" s="40" t="s">
        <v>39</v>
      </c>
      <c r="C54" s="41">
        <v>0.93530769230769228</v>
      </c>
      <c r="D54" s="41">
        <v>0.50854555248804789</v>
      </c>
      <c r="E54" s="41">
        <v>0.87001209579872596</v>
      </c>
      <c r="F54" s="41">
        <v>0.72775355374540807</v>
      </c>
      <c r="G54" s="41">
        <v>0.78165055189526833</v>
      </c>
      <c r="H54" s="41">
        <v>0.79697788478687348</v>
      </c>
      <c r="I54" s="42">
        <v>0.79954991344489335</v>
      </c>
    </row>
    <row r="55" spans="2:11" x14ac:dyDescent="0.35">
      <c r="B55" s="40" t="s">
        <v>40</v>
      </c>
      <c r="C55" s="41">
        <v>0.92885496183206107</v>
      </c>
      <c r="D55" s="41">
        <v>0.42080589553525261</v>
      </c>
      <c r="E55" s="41">
        <v>0.74845134455407236</v>
      </c>
      <c r="F55" s="41">
        <v>0.73570615927814842</v>
      </c>
      <c r="G55" s="41">
        <v>0.83894276976845772</v>
      </c>
      <c r="H55" s="41">
        <v>0.75968906163242644</v>
      </c>
      <c r="I55" s="42">
        <v>0.86559642147117277</v>
      </c>
    </row>
    <row r="56" spans="2:11" x14ac:dyDescent="0.35">
      <c r="B56" s="40" t="s">
        <v>41</v>
      </c>
      <c r="C56" s="41">
        <v>0.95652173913043481</v>
      </c>
      <c r="D56" s="41">
        <v>0.58213550815558357</v>
      </c>
      <c r="E56" s="41">
        <v>0.81320472332829863</v>
      </c>
      <c r="F56" s="41">
        <v>0.72220419202163622</v>
      </c>
      <c r="G56" s="41">
        <v>0.82151626674517897</v>
      </c>
      <c r="H56" s="41">
        <v>0.80957230142566206</v>
      </c>
      <c r="I56" s="42">
        <v>0.93876494023904378</v>
      </c>
    </row>
    <row r="57" spans="2:11" ht="15" thickBot="1" x14ac:dyDescent="0.4">
      <c r="B57" s="43" t="s">
        <v>25</v>
      </c>
      <c r="C57" s="44">
        <v>0.93310091743119261</v>
      </c>
      <c r="D57" s="44">
        <v>0.49601196874182973</v>
      </c>
      <c r="E57" s="44">
        <v>0.81437212710678852</v>
      </c>
      <c r="F57" s="44">
        <v>0.72908345232955862</v>
      </c>
      <c r="G57" s="44">
        <v>0.81043095961788958</v>
      </c>
      <c r="H57" s="44">
        <v>0.78695990195702936</v>
      </c>
      <c r="I57" s="45">
        <v>0.83345819397993293</v>
      </c>
    </row>
    <row r="58" spans="2:11" ht="15" thickBot="1" x14ac:dyDescent="0.4"/>
    <row r="59" spans="2:11" x14ac:dyDescent="0.35">
      <c r="B59" s="37" t="s">
        <v>38</v>
      </c>
      <c r="C59" s="48" t="s">
        <v>18</v>
      </c>
      <c r="D59" s="48" t="s">
        <v>19</v>
      </c>
      <c r="E59" s="48" t="s">
        <v>20</v>
      </c>
      <c r="F59" s="48" t="s">
        <v>21</v>
      </c>
      <c r="G59" s="48" t="s">
        <v>22</v>
      </c>
      <c r="H59" s="48" t="s">
        <v>23</v>
      </c>
      <c r="I59" s="49" t="s">
        <v>24</v>
      </c>
    </row>
    <row r="60" spans="2:11" x14ac:dyDescent="0.35">
      <c r="B60" s="40" t="s">
        <v>39</v>
      </c>
      <c r="C60" s="41">
        <v>0.47706422018348627</v>
      </c>
      <c r="D60" s="41">
        <v>0.43142666240594951</v>
      </c>
      <c r="E60" s="41">
        <v>0.4130637532476184</v>
      </c>
      <c r="F60" s="41">
        <v>0.41583369308936341</v>
      </c>
      <c r="G60" s="41">
        <v>0.42289043276885224</v>
      </c>
      <c r="H60" s="41">
        <v>0.4294741679751829</v>
      </c>
      <c r="I60" s="42">
        <v>0.5795986622073579</v>
      </c>
    </row>
    <row r="61" spans="2:11" x14ac:dyDescent="0.35">
      <c r="B61" s="40" t="s">
        <v>40</v>
      </c>
      <c r="C61" s="41">
        <v>0.48073394495412847</v>
      </c>
      <c r="D61" s="41">
        <v>0.33704209394881329</v>
      </c>
      <c r="E61" s="41">
        <v>0.34434747851575509</v>
      </c>
      <c r="F61" s="41">
        <v>0.33859130608043037</v>
      </c>
      <c r="G61" s="41">
        <v>0.33130699088145898</v>
      </c>
      <c r="H61" s="41">
        <v>0.34487380797365097</v>
      </c>
      <c r="I61" s="42">
        <v>0.33645484949832777</v>
      </c>
    </row>
    <row r="62" spans="2:11" x14ac:dyDescent="0.35">
      <c r="B62" s="40" t="s">
        <v>41</v>
      </c>
      <c r="C62" s="41">
        <v>4.2201834862385323E-2</v>
      </c>
      <c r="D62" s="41">
        <v>0.23153124364523719</v>
      </c>
      <c r="E62" s="41">
        <v>0.24258876823662648</v>
      </c>
      <c r="F62" s="41">
        <v>0.24557500083020622</v>
      </c>
      <c r="G62" s="41">
        <v>0.2458025763496888</v>
      </c>
      <c r="H62" s="41">
        <v>0.22565202405116619</v>
      </c>
      <c r="I62" s="42">
        <v>8.3946488294314378E-2</v>
      </c>
    </row>
    <row r="63" spans="2:11" ht="15" thickBot="1" x14ac:dyDescent="0.4">
      <c r="B63" s="43" t="s">
        <v>36</v>
      </c>
      <c r="C63" s="44">
        <v>3.589304531085353E-3</v>
      </c>
      <c r="D63" s="44">
        <v>0.22670574288724973</v>
      </c>
      <c r="E63" s="44">
        <v>0.19772128556375132</v>
      </c>
      <c r="F63" s="44">
        <v>0.19832060063224446</v>
      </c>
      <c r="G63" s="44">
        <v>0.18200737618545837</v>
      </c>
      <c r="H63" s="44">
        <v>0.17196390937829295</v>
      </c>
      <c r="I63" s="45">
        <v>1.9691780821917807E-2</v>
      </c>
    </row>
    <row r="64" spans="2:11" ht="15" thickBot="1" x14ac:dyDescent="0.4"/>
    <row r="65" spans="2:9" x14ac:dyDescent="0.35">
      <c r="B65" s="37" t="s">
        <v>42</v>
      </c>
      <c r="C65" s="48" t="s">
        <v>18</v>
      </c>
      <c r="D65" s="48" t="s">
        <v>19</v>
      </c>
      <c r="E65" s="48" t="s">
        <v>20</v>
      </c>
      <c r="F65" s="48" t="s">
        <v>21</v>
      </c>
      <c r="G65" s="48" t="s">
        <v>22</v>
      </c>
      <c r="H65" s="48" t="s">
        <v>23</v>
      </c>
      <c r="I65" s="49" t="s">
        <v>24</v>
      </c>
    </row>
    <row r="66" spans="2:9" x14ac:dyDescent="0.35">
      <c r="B66" s="40" t="s">
        <v>31</v>
      </c>
      <c r="C66" s="50">
        <v>260</v>
      </c>
      <c r="D66" s="50">
        <v>14851</v>
      </c>
      <c r="E66" s="50">
        <v>12401</v>
      </c>
      <c r="F66" s="50">
        <v>12522</v>
      </c>
      <c r="G66" s="50">
        <v>11687</v>
      </c>
      <c r="H66" s="50">
        <v>11214</v>
      </c>
      <c r="I66" s="51">
        <v>1733</v>
      </c>
    </row>
    <row r="67" spans="2:9" x14ac:dyDescent="0.35">
      <c r="B67" s="40" t="s">
        <v>32</v>
      </c>
      <c r="C67" s="50">
        <v>262</v>
      </c>
      <c r="D67" s="50">
        <v>11602</v>
      </c>
      <c r="E67" s="50">
        <v>10338</v>
      </c>
      <c r="F67" s="50">
        <v>10196</v>
      </c>
      <c r="G67" s="50">
        <v>9156</v>
      </c>
      <c r="H67" s="50">
        <v>9005</v>
      </c>
      <c r="I67" s="51">
        <v>1006</v>
      </c>
    </row>
    <row r="68" spans="2:9" x14ac:dyDescent="0.35">
      <c r="B68" s="40" t="s">
        <v>33</v>
      </c>
      <c r="C68" s="50">
        <v>23</v>
      </c>
      <c r="D68" s="50">
        <v>7970</v>
      </c>
      <c r="E68" s="50">
        <v>7283</v>
      </c>
      <c r="F68" s="50">
        <v>7395</v>
      </c>
      <c r="G68" s="50">
        <v>6793</v>
      </c>
      <c r="H68" s="50">
        <v>5892</v>
      </c>
      <c r="I68" s="51">
        <v>251</v>
      </c>
    </row>
    <row r="69" spans="2:9" ht="15" thickBot="1" x14ac:dyDescent="0.4">
      <c r="B69" s="43" t="s">
        <v>25</v>
      </c>
      <c r="C69" s="52">
        <v>545</v>
      </c>
      <c r="D69" s="52">
        <v>34423</v>
      </c>
      <c r="E69" s="52">
        <v>30022</v>
      </c>
      <c r="F69" s="52">
        <v>30113</v>
      </c>
      <c r="G69" s="52">
        <v>27636</v>
      </c>
      <c r="H69" s="52">
        <v>26111</v>
      </c>
      <c r="I69" s="53">
        <v>2990</v>
      </c>
    </row>
    <row r="70" spans="2:9" x14ac:dyDescent="0.35">
      <c r="D70" s="6">
        <f>D69/AVERAGE(E69:H69)-1</f>
        <v>0.20907606118613997</v>
      </c>
    </row>
  </sheetData>
  <conditionalFormatting sqref="C54:I57">
    <cfRule type="iconSet" priority="5">
      <iconSet>
        <cfvo type="percent" val="0"/>
        <cfvo type="percent" val="33"/>
        <cfvo type="percent" val="67"/>
      </iconSet>
    </cfRule>
  </conditionalFormatting>
  <conditionalFormatting sqref="C63:I6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69:I6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J4:J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J8:K5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4008-F2D9-449C-A3A6-7BD5531C299E}">
  <dimension ref="B3:J37"/>
  <sheetViews>
    <sheetView showGridLines="0" topLeftCell="A3" workbookViewId="0">
      <selection activeCell="B4" sqref="B4:J8"/>
    </sheetView>
  </sheetViews>
  <sheetFormatPr defaultRowHeight="14.5" x14ac:dyDescent="0.35"/>
  <cols>
    <col min="2" max="2" width="19.08984375" bestFit="1" customWidth="1"/>
    <col min="3" max="3" width="15.6328125" style="23" bestFit="1" customWidth="1"/>
    <col min="4" max="8" width="5.81640625" style="23" bestFit="1" customWidth="1"/>
    <col min="9" max="9" width="4.81640625" style="23" bestFit="1" customWidth="1"/>
    <col min="10" max="10" width="10.36328125" style="23" bestFit="1" customWidth="1"/>
    <col min="11" max="11" width="23.08984375" bestFit="1" customWidth="1"/>
    <col min="12" max="12" width="19.08984375" bestFit="1" customWidth="1"/>
    <col min="13" max="13" width="23.08984375" bestFit="1" customWidth="1"/>
    <col min="14" max="14" width="19.08984375" bestFit="1" customWidth="1"/>
    <col min="15" max="15" width="23.08984375" bestFit="1" customWidth="1"/>
    <col min="16" max="16" width="19.08984375" bestFit="1" customWidth="1"/>
    <col min="17" max="17" width="27.6328125" bestFit="1" customWidth="1"/>
    <col min="18" max="18" width="23.6328125" bestFit="1" customWidth="1"/>
  </cols>
  <sheetData>
    <row r="3" spans="2:10" x14ac:dyDescent="0.35">
      <c r="B3" s="2" t="s">
        <v>35</v>
      </c>
      <c r="C3" s="2" t="s">
        <v>26</v>
      </c>
      <c r="D3"/>
      <c r="E3"/>
      <c r="F3"/>
      <c r="G3"/>
      <c r="H3"/>
      <c r="I3"/>
      <c r="J3"/>
    </row>
    <row r="4" spans="2:10" x14ac:dyDescent="0.35">
      <c r="B4" s="2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2:10" x14ac:dyDescent="0.35">
      <c r="B5" s="3" t="s">
        <v>31</v>
      </c>
      <c r="C5">
        <v>260</v>
      </c>
      <c r="D5">
        <v>14851</v>
      </c>
      <c r="E5">
        <v>12401</v>
      </c>
      <c r="F5">
        <v>12522</v>
      </c>
      <c r="G5">
        <v>11687</v>
      </c>
      <c r="H5">
        <v>11214</v>
      </c>
      <c r="I5">
        <v>1733</v>
      </c>
      <c r="J5">
        <v>64668</v>
      </c>
    </row>
    <row r="6" spans="2:10" x14ac:dyDescent="0.35">
      <c r="B6" s="3" t="s">
        <v>32</v>
      </c>
      <c r="C6">
        <v>262</v>
      </c>
      <c r="D6">
        <v>11602</v>
      </c>
      <c r="E6">
        <v>10338</v>
      </c>
      <c r="F6">
        <v>10196</v>
      </c>
      <c r="G6">
        <v>9156</v>
      </c>
      <c r="H6">
        <v>9005</v>
      </c>
      <c r="I6">
        <v>1006</v>
      </c>
      <c r="J6">
        <v>51565</v>
      </c>
    </row>
    <row r="7" spans="2:10" x14ac:dyDescent="0.35">
      <c r="B7" s="3" t="s">
        <v>33</v>
      </c>
      <c r="C7">
        <v>23</v>
      </c>
      <c r="D7">
        <v>7970</v>
      </c>
      <c r="E7">
        <v>7283</v>
      </c>
      <c r="F7">
        <v>7395</v>
      </c>
      <c r="G7">
        <v>6793</v>
      </c>
      <c r="H7">
        <v>5892</v>
      </c>
      <c r="I7">
        <v>251</v>
      </c>
      <c r="J7">
        <v>35607</v>
      </c>
    </row>
    <row r="8" spans="2:10" x14ac:dyDescent="0.35">
      <c r="B8" s="3" t="s">
        <v>25</v>
      </c>
      <c r="C8">
        <v>545</v>
      </c>
      <c r="D8">
        <v>34423</v>
      </c>
      <c r="E8">
        <v>30022</v>
      </c>
      <c r="F8">
        <v>30113</v>
      </c>
      <c r="G8">
        <v>27636</v>
      </c>
      <c r="H8">
        <v>26111</v>
      </c>
      <c r="I8">
        <v>2990</v>
      </c>
      <c r="J8">
        <v>151840</v>
      </c>
    </row>
    <row r="9" spans="2:10" x14ac:dyDescent="0.35">
      <c r="C9"/>
      <c r="D9"/>
      <c r="E9"/>
      <c r="F9"/>
      <c r="G9"/>
      <c r="H9"/>
      <c r="I9"/>
      <c r="J9"/>
    </row>
    <row r="11" spans="2:10" x14ac:dyDescent="0.35">
      <c r="B11" s="4" t="s">
        <v>44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2:10" x14ac:dyDescent="0.35">
      <c r="B12" s="3" t="s">
        <v>31</v>
      </c>
      <c r="C12">
        <v>314.15000000000003</v>
      </c>
      <c r="D12">
        <v>14547.779999999997</v>
      </c>
      <c r="E12">
        <v>12889.099999999999</v>
      </c>
      <c r="F12">
        <v>12046.02</v>
      </c>
      <c r="G12">
        <v>11628.709999999997</v>
      </c>
      <c r="H12">
        <v>11113.460000000001</v>
      </c>
      <c r="I12">
        <v>1662.1399999999999</v>
      </c>
      <c r="J12">
        <v>64201.359999999993</v>
      </c>
    </row>
    <row r="13" spans="2:10" x14ac:dyDescent="0.35">
      <c r="B13" s="3" t="s">
        <v>32</v>
      </c>
      <c r="C13">
        <v>275.65999999999997</v>
      </c>
      <c r="D13">
        <v>11041.489999999998</v>
      </c>
      <c r="E13">
        <v>10000.34</v>
      </c>
      <c r="F13">
        <v>9538.6299999999992</v>
      </c>
      <c r="G13">
        <v>9093.5300000000007</v>
      </c>
      <c r="H13">
        <v>8646.86</v>
      </c>
      <c r="I13">
        <v>971.88000000000011</v>
      </c>
      <c r="J13">
        <v>49568.389999999992</v>
      </c>
    </row>
    <row r="14" spans="2:10" x14ac:dyDescent="0.35">
      <c r="B14" s="3" t="s">
        <v>33</v>
      </c>
      <c r="C14">
        <v>40.350000000000009</v>
      </c>
      <c r="D14">
        <v>7895.1600000000008</v>
      </c>
      <c r="E14">
        <v>7504.8700000000008</v>
      </c>
      <c r="F14">
        <v>7070.8100000000013</v>
      </c>
      <c r="G14">
        <v>6640.0400000000009</v>
      </c>
      <c r="H14">
        <v>5718.8</v>
      </c>
      <c r="I14">
        <v>258.48</v>
      </c>
      <c r="J14">
        <v>35128.510000000009</v>
      </c>
    </row>
    <row r="15" spans="2:10" x14ac:dyDescent="0.35">
      <c r="B15" s="24" t="s">
        <v>25</v>
      </c>
      <c r="C15" s="46">
        <v>630.16</v>
      </c>
      <c r="D15" s="46">
        <v>33484.43</v>
      </c>
      <c r="E15" s="46">
        <v>30394.309999999998</v>
      </c>
      <c r="F15" s="46">
        <v>28655.460000000003</v>
      </c>
      <c r="G15" s="46">
        <v>27362.28</v>
      </c>
      <c r="H15" s="46">
        <v>25479.119999999999</v>
      </c>
      <c r="I15" s="46">
        <v>2892.5</v>
      </c>
      <c r="J15" s="46">
        <v>148898.26</v>
      </c>
    </row>
    <row r="16" spans="2:10" x14ac:dyDescent="0.35">
      <c r="C16"/>
      <c r="D16"/>
      <c r="E16"/>
      <c r="F16"/>
      <c r="G16"/>
      <c r="H16"/>
      <c r="I16"/>
      <c r="J16"/>
    </row>
    <row r="17" spans="2:10" x14ac:dyDescent="0.35">
      <c r="C17"/>
      <c r="D17"/>
      <c r="E17"/>
      <c r="F17"/>
      <c r="G17"/>
      <c r="H17"/>
      <c r="I17"/>
      <c r="J17"/>
    </row>
    <row r="18" spans="2:10" x14ac:dyDescent="0.35">
      <c r="C18"/>
      <c r="D18"/>
      <c r="E18"/>
      <c r="F18"/>
      <c r="G18"/>
      <c r="H18"/>
      <c r="I18"/>
      <c r="J18"/>
    </row>
    <row r="19" spans="2:10" x14ac:dyDescent="0.35">
      <c r="C19"/>
      <c r="D19"/>
      <c r="E19"/>
      <c r="F19"/>
      <c r="G19"/>
      <c r="H19"/>
      <c r="I19"/>
      <c r="J19"/>
    </row>
    <row r="20" spans="2:10" x14ac:dyDescent="0.35">
      <c r="C20"/>
      <c r="D20"/>
      <c r="E20"/>
      <c r="F20"/>
      <c r="G20"/>
      <c r="H20"/>
      <c r="I20"/>
      <c r="J20"/>
    </row>
    <row r="21" spans="2:10" x14ac:dyDescent="0.35">
      <c r="C21"/>
      <c r="D21"/>
      <c r="E21"/>
      <c r="F21"/>
      <c r="G21"/>
      <c r="H21"/>
      <c r="I21"/>
      <c r="J21"/>
    </row>
    <row r="22" spans="2:10" x14ac:dyDescent="0.35">
      <c r="C22"/>
      <c r="D22"/>
      <c r="E22"/>
      <c r="F22"/>
      <c r="G22"/>
      <c r="H22"/>
      <c r="I22"/>
      <c r="J22"/>
    </row>
    <row r="23" spans="2:10" x14ac:dyDescent="0.35">
      <c r="C23"/>
      <c r="D23"/>
      <c r="E23"/>
      <c r="F23"/>
      <c r="G23"/>
      <c r="H23"/>
      <c r="I23"/>
      <c r="J23"/>
    </row>
    <row r="24" spans="2:10" x14ac:dyDescent="0.35">
      <c r="C24"/>
      <c r="D24"/>
      <c r="E24"/>
      <c r="F24"/>
      <c r="G24"/>
      <c r="H24"/>
      <c r="I24"/>
      <c r="J24"/>
    </row>
    <row r="25" spans="2:10" x14ac:dyDescent="0.35"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4" t="s">
        <v>22</v>
      </c>
      <c r="H25" s="4" t="s">
        <v>23</v>
      </c>
      <c r="I25" s="4" t="s">
        <v>24</v>
      </c>
    </row>
    <row r="26" spans="2:10" x14ac:dyDescent="0.35">
      <c r="B26" s="3" t="s">
        <v>31</v>
      </c>
      <c r="C26">
        <v>260</v>
      </c>
      <c r="D26">
        <v>14851</v>
      </c>
      <c r="E26">
        <v>12401</v>
      </c>
      <c r="F26">
        <v>12522</v>
      </c>
      <c r="G26">
        <v>11687</v>
      </c>
      <c r="H26">
        <v>11214</v>
      </c>
      <c r="I26">
        <v>1733</v>
      </c>
    </row>
    <row r="27" spans="2:10" x14ac:dyDescent="0.35">
      <c r="B27" s="3" t="s">
        <v>32</v>
      </c>
      <c r="C27">
        <v>262</v>
      </c>
      <c r="D27">
        <v>11602</v>
      </c>
      <c r="E27">
        <v>10338</v>
      </c>
      <c r="F27">
        <v>10196</v>
      </c>
      <c r="G27">
        <v>9156</v>
      </c>
      <c r="H27">
        <v>9005</v>
      </c>
      <c r="I27">
        <v>1006</v>
      </c>
    </row>
    <row r="28" spans="2:10" x14ac:dyDescent="0.35">
      <c r="B28" s="3" t="s">
        <v>33</v>
      </c>
      <c r="C28">
        <v>23</v>
      </c>
      <c r="D28">
        <v>7970</v>
      </c>
      <c r="E28">
        <v>7283</v>
      </c>
      <c r="F28">
        <v>7395</v>
      </c>
      <c r="G28">
        <v>6793</v>
      </c>
      <c r="H28">
        <v>5892</v>
      </c>
      <c r="I28">
        <v>251</v>
      </c>
    </row>
    <row r="29" spans="2:10" x14ac:dyDescent="0.35">
      <c r="B29" s="24" t="s">
        <v>25</v>
      </c>
      <c r="C29" s="46">
        <v>545</v>
      </c>
      <c r="D29" s="46">
        <v>34423</v>
      </c>
      <c r="E29" s="46">
        <v>30022</v>
      </c>
      <c r="F29" s="46">
        <v>30113</v>
      </c>
      <c r="G29" s="46">
        <v>27636</v>
      </c>
      <c r="H29" s="46">
        <v>26111</v>
      </c>
      <c r="I29" s="46">
        <v>2990</v>
      </c>
    </row>
    <row r="31" spans="2:10" x14ac:dyDescent="0.35">
      <c r="C31" s="23">
        <f>C29/SUM($C$29:$I$29)</f>
        <v>3.589304531085353E-3</v>
      </c>
      <c r="D31" s="23">
        <f t="shared" ref="D31:I31" si="0">D29/SUM($C$29:$I$29)</f>
        <v>0.22670574288724973</v>
      </c>
      <c r="E31" s="23">
        <f t="shared" si="0"/>
        <v>0.19772128556375132</v>
      </c>
      <c r="F31" s="23">
        <f t="shared" si="0"/>
        <v>0.19832060063224446</v>
      </c>
      <c r="G31" s="23">
        <f t="shared" si="0"/>
        <v>0.18200737618545837</v>
      </c>
      <c r="H31" s="23">
        <f t="shared" si="0"/>
        <v>0.17196390937829295</v>
      </c>
      <c r="I31" s="23">
        <f t="shared" si="0"/>
        <v>1.9691780821917807E-2</v>
      </c>
    </row>
    <row r="33" spans="2:9" x14ac:dyDescent="0.35">
      <c r="B33" s="4" t="s">
        <v>17</v>
      </c>
      <c r="C33" s="4" t="s">
        <v>18</v>
      </c>
      <c r="D33" s="4" t="s">
        <v>19</v>
      </c>
      <c r="E33" s="4" t="s">
        <v>20</v>
      </c>
      <c r="F33" s="4" t="s">
        <v>21</v>
      </c>
      <c r="G33" s="4" t="s">
        <v>22</v>
      </c>
      <c r="H33" s="4" t="s">
        <v>23</v>
      </c>
      <c r="I33" s="4" t="s">
        <v>24</v>
      </c>
    </row>
    <row r="34" spans="2:9" x14ac:dyDescent="0.35">
      <c r="B34" s="3" t="s">
        <v>31</v>
      </c>
      <c r="C34" s="23">
        <f>C26/C$29</f>
        <v>0.47706422018348627</v>
      </c>
      <c r="D34" s="23">
        <f t="shared" ref="D34:I34" si="1">D26/D$29</f>
        <v>0.43142666240594951</v>
      </c>
      <c r="E34" s="23">
        <f t="shared" si="1"/>
        <v>0.4130637532476184</v>
      </c>
      <c r="F34" s="23">
        <f t="shared" si="1"/>
        <v>0.41583369308936341</v>
      </c>
      <c r="G34" s="23">
        <f t="shared" si="1"/>
        <v>0.42289043276885224</v>
      </c>
      <c r="H34" s="23">
        <f t="shared" si="1"/>
        <v>0.4294741679751829</v>
      </c>
      <c r="I34" s="23">
        <f t="shared" si="1"/>
        <v>0.5795986622073579</v>
      </c>
    </row>
    <row r="35" spans="2:9" x14ac:dyDescent="0.35">
      <c r="B35" s="3" t="s">
        <v>32</v>
      </c>
      <c r="C35" s="23">
        <f t="shared" ref="C35:I35" si="2">C27/C$29</f>
        <v>0.48073394495412847</v>
      </c>
      <c r="D35" s="23">
        <f t="shared" si="2"/>
        <v>0.33704209394881329</v>
      </c>
      <c r="E35" s="23">
        <f t="shared" si="2"/>
        <v>0.34434747851575509</v>
      </c>
      <c r="F35" s="23">
        <f t="shared" si="2"/>
        <v>0.33859130608043037</v>
      </c>
      <c r="G35" s="23">
        <f t="shared" si="2"/>
        <v>0.33130699088145898</v>
      </c>
      <c r="H35" s="23">
        <f t="shared" si="2"/>
        <v>0.34487380797365097</v>
      </c>
      <c r="I35" s="23">
        <f t="shared" si="2"/>
        <v>0.33645484949832777</v>
      </c>
    </row>
    <row r="36" spans="2:9" x14ac:dyDescent="0.35">
      <c r="B36" s="3" t="s">
        <v>33</v>
      </c>
      <c r="C36" s="23">
        <f t="shared" ref="C36:I36" si="3">C28/C$29</f>
        <v>4.2201834862385323E-2</v>
      </c>
      <c r="D36" s="23">
        <f t="shared" si="3"/>
        <v>0.23153124364523719</v>
      </c>
      <c r="E36" s="23">
        <f t="shared" si="3"/>
        <v>0.24258876823662648</v>
      </c>
      <c r="F36" s="23">
        <f t="shared" si="3"/>
        <v>0.24557500083020622</v>
      </c>
      <c r="G36" s="23">
        <f t="shared" si="3"/>
        <v>0.2458025763496888</v>
      </c>
      <c r="H36" s="23">
        <f t="shared" si="3"/>
        <v>0.22565202405116619</v>
      </c>
      <c r="I36" s="23">
        <f t="shared" si="3"/>
        <v>8.3946488294314378E-2</v>
      </c>
    </row>
    <row r="37" spans="2:9" x14ac:dyDescent="0.35">
      <c r="B37" s="24" t="s">
        <v>36</v>
      </c>
      <c r="C37" s="47">
        <f>C29/SUM($C$29:$I$29)</f>
        <v>3.589304531085353E-3</v>
      </c>
      <c r="D37" s="47">
        <f t="shared" ref="D37:I37" si="4">D29/SUM($C$29:$I$29)</f>
        <v>0.22670574288724973</v>
      </c>
      <c r="E37" s="47">
        <f t="shared" si="4"/>
        <v>0.19772128556375132</v>
      </c>
      <c r="F37" s="47">
        <f t="shared" si="4"/>
        <v>0.19832060063224446</v>
      </c>
      <c r="G37" s="47">
        <f t="shared" si="4"/>
        <v>0.18200737618545837</v>
      </c>
      <c r="H37" s="47">
        <f t="shared" si="4"/>
        <v>0.17196390937829295</v>
      </c>
      <c r="I37" s="47">
        <f t="shared" si="4"/>
        <v>1.9691780821917807E-2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D6C6-8109-4415-86C4-A87473497DA1}">
  <dimension ref="B1:Y317"/>
  <sheetViews>
    <sheetView showGridLines="0" topLeftCell="N1" workbookViewId="0">
      <pane ySplit="4" topLeftCell="A5" activePane="bottomLeft" state="frozen"/>
      <selection pane="bottomLeft" activeCell="Y4" sqref="Y4"/>
    </sheetView>
  </sheetViews>
  <sheetFormatPr defaultRowHeight="14.5" x14ac:dyDescent="0.35"/>
  <cols>
    <col min="1" max="1" width="8.7265625" style="7"/>
    <col min="2" max="2" width="9.08984375" style="7" bestFit="1" customWidth="1"/>
    <col min="3" max="3" width="9.08984375" style="7" customWidth="1"/>
    <col min="4" max="4" width="8.7265625" style="7"/>
    <col min="5" max="5" width="17.1796875" style="7" bestFit="1" customWidth="1"/>
    <col min="6" max="6" width="8.7265625" style="7"/>
    <col min="7" max="7" width="7" style="7" bestFit="1" customWidth="1"/>
    <col min="8" max="8" width="9.453125" style="7" bestFit="1" customWidth="1"/>
    <col min="9" max="10" width="8.7265625" style="7"/>
    <col min="11" max="11" width="10.08984375" style="7" customWidth="1"/>
    <col min="12" max="12" width="8.7265625" style="7"/>
    <col min="13" max="13" width="15" style="7" customWidth="1"/>
    <col min="14" max="14" width="16.90625" style="7" customWidth="1"/>
    <col min="15" max="15" width="8.7265625" style="9"/>
    <col min="16" max="16" width="14.26953125" style="9" customWidth="1"/>
    <col min="17" max="17" width="8.7265625" style="7"/>
    <col min="18" max="18" width="18.26953125" style="7" customWidth="1"/>
    <col min="19" max="19" width="20.7265625" style="7" customWidth="1"/>
    <col min="20" max="20" width="12.36328125" style="7" customWidth="1"/>
    <col min="21" max="21" width="8.7265625" style="7"/>
    <col min="22" max="22" width="14.7265625" style="7" customWidth="1"/>
    <col min="23" max="23" width="8.7265625" style="7"/>
    <col min="24" max="24" width="14.1796875" style="7" customWidth="1"/>
    <col min="25" max="25" width="13.26953125" style="7" customWidth="1"/>
    <col min="26" max="16384" width="8.7265625" style="7"/>
  </cols>
  <sheetData>
    <row r="1" spans="2:25" x14ac:dyDescent="0.35">
      <c r="G1" s="8">
        <f>(F5*I5)/900</f>
        <v>35.650460999999993</v>
      </c>
      <c r="H1" s="8">
        <f>G1*2</f>
        <v>71.300921999999986</v>
      </c>
    </row>
    <row r="2" spans="2:25" x14ac:dyDescent="0.35">
      <c r="G2" s="8">
        <f t="shared" ref="G2:G3" si="0">(F6*I6)/900</f>
        <v>41.782855666666663</v>
      </c>
      <c r="H2" s="8">
        <f t="shared" ref="H2:H3" si="1">G2*2</f>
        <v>83.565711333333326</v>
      </c>
    </row>
    <row r="3" spans="2:25" x14ac:dyDescent="0.35">
      <c r="G3" s="8">
        <f t="shared" si="0"/>
        <v>54.874875000000003</v>
      </c>
      <c r="H3" s="8">
        <f t="shared" si="1"/>
        <v>109.74975000000001</v>
      </c>
    </row>
    <row r="4" spans="2:25" ht="72.5" x14ac:dyDescent="0.35">
      <c r="B4" s="54" t="s">
        <v>15</v>
      </c>
      <c r="C4" s="54" t="s">
        <v>16</v>
      </c>
      <c r="D4" s="10" t="s">
        <v>0</v>
      </c>
      <c r="E4" s="11" t="s">
        <v>0</v>
      </c>
      <c r="F4" s="10" t="s">
        <v>1</v>
      </c>
      <c r="G4" s="10" t="s">
        <v>2</v>
      </c>
      <c r="H4" s="10" t="s">
        <v>3</v>
      </c>
      <c r="I4" s="10" t="s">
        <v>4</v>
      </c>
      <c r="J4" s="10" t="s">
        <v>5</v>
      </c>
      <c r="K4" s="10" t="s">
        <v>43</v>
      </c>
      <c r="L4" s="11" t="s">
        <v>29</v>
      </c>
      <c r="M4" s="10" t="s">
        <v>3</v>
      </c>
      <c r="N4" s="10" t="s">
        <v>6</v>
      </c>
      <c r="O4" s="12" t="s">
        <v>30</v>
      </c>
      <c r="P4" s="12" t="s">
        <v>34</v>
      </c>
      <c r="Q4" s="10" t="s">
        <v>7</v>
      </c>
      <c r="R4" s="10" t="s">
        <v>8</v>
      </c>
      <c r="S4" s="10" t="s">
        <v>9</v>
      </c>
      <c r="T4" s="10" t="s">
        <v>10</v>
      </c>
      <c r="U4" s="10"/>
      <c r="V4" s="10" t="s">
        <v>11</v>
      </c>
      <c r="W4" s="10" t="s">
        <v>12</v>
      </c>
      <c r="X4" s="10" t="s">
        <v>13</v>
      </c>
      <c r="Y4" s="10" t="s">
        <v>14</v>
      </c>
    </row>
    <row r="5" spans="2:25" x14ac:dyDescent="0.35">
      <c r="B5" s="13">
        <v>46223</v>
      </c>
      <c r="C5" s="13" t="str">
        <f>TEXT(B5,"DDD")</f>
        <v>Mon</v>
      </c>
      <c r="D5" s="14">
        <v>0.29166666666666669</v>
      </c>
      <c r="E5" s="14" t="s">
        <v>31</v>
      </c>
      <c r="F5" s="15">
        <v>98.91</v>
      </c>
      <c r="G5" s="15">
        <v>77</v>
      </c>
      <c r="H5" s="16">
        <v>-0.2215</v>
      </c>
      <c r="I5" s="17">
        <v>324.39</v>
      </c>
      <c r="J5" s="17">
        <v>352.21</v>
      </c>
      <c r="K5" s="17">
        <f>J5*G5</f>
        <v>27120.17</v>
      </c>
      <c r="L5" s="15">
        <f>IF(J5&gt;I5,1,0)</f>
        <v>1</v>
      </c>
      <c r="M5" s="16">
        <v>8.5800000000000001E-2</v>
      </c>
      <c r="N5" s="16">
        <v>0.85</v>
      </c>
      <c r="O5" s="18">
        <v>0</v>
      </c>
      <c r="P5" s="18">
        <f>N5*G5</f>
        <v>65.45</v>
      </c>
      <c r="Q5" s="16">
        <v>0.88580000000000003</v>
      </c>
      <c r="R5" s="16">
        <v>1.2999999999999999E-2</v>
      </c>
      <c r="S5" s="15">
        <v>18.97</v>
      </c>
      <c r="T5" s="15"/>
      <c r="U5" s="15"/>
      <c r="V5" s="15">
        <v>70.58</v>
      </c>
      <c r="W5" s="15">
        <v>58.54</v>
      </c>
      <c r="X5" s="15">
        <v>77.53</v>
      </c>
      <c r="Y5" s="15"/>
    </row>
    <row r="6" spans="2:25" x14ac:dyDescent="0.35">
      <c r="B6" s="13">
        <v>46223</v>
      </c>
      <c r="C6" s="13" t="str">
        <f t="shared" ref="C6:C69" si="2">TEXT(B6,"DDD")</f>
        <v>Mon</v>
      </c>
      <c r="D6" s="14">
        <v>0.30208333333333331</v>
      </c>
      <c r="E6" s="14" t="s">
        <v>31</v>
      </c>
      <c r="F6" s="15">
        <v>112.39</v>
      </c>
      <c r="G6" s="15">
        <v>97</v>
      </c>
      <c r="H6" s="16">
        <v>-0.13700000000000001</v>
      </c>
      <c r="I6" s="17">
        <v>334.59</v>
      </c>
      <c r="J6" s="17">
        <v>315.20999999999998</v>
      </c>
      <c r="K6" s="17">
        <f t="shared" ref="K6:K69" si="3">J6*G6</f>
        <v>30575.37</v>
      </c>
      <c r="L6" s="15">
        <f t="shared" ref="L6:L69" si="4">IF(J6&gt;I6,1,0)</f>
        <v>0</v>
      </c>
      <c r="M6" s="16">
        <v>-5.79E-2</v>
      </c>
      <c r="N6" s="16">
        <v>0.86</v>
      </c>
      <c r="O6" s="18">
        <v>0</v>
      </c>
      <c r="P6" s="18">
        <f t="shared" ref="P6:P69" si="5">N6*G6</f>
        <v>83.42</v>
      </c>
      <c r="Q6" s="16">
        <v>0.84560000000000002</v>
      </c>
      <c r="R6" s="16">
        <v>0</v>
      </c>
      <c r="S6" s="15">
        <v>34</v>
      </c>
      <c r="T6" s="15"/>
      <c r="U6" s="15"/>
      <c r="V6" s="15">
        <v>79.42</v>
      </c>
      <c r="W6" s="15">
        <v>65.430000000000007</v>
      </c>
      <c r="X6" s="15">
        <v>81.93</v>
      </c>
      <c r="Y6" s="15"/>
    </row>
    <row r="7" spans="2:25" x14ac:dyDescent="0.35">
      <c r="B7" s="13">
        <v>46223</v>
      </c>
      <c r="C7" s="13" t="str">
        <f t="shared" si="2"/>
        <v>Mon</v>
      </c>
      <c r="D7" s="14">
        <v>0.3125</v>
      </c>
      <c r="E7" s="14" t="s">
        <v>31</v>
      </c>
      <c r="F7" s="15">
        <v>145.75</v>
      </c>
      <c r="G7" s="15">
        <v>145</v>
      </c>
      <c r="H7" s="16">
        <v>-5.1999999999999998E-3</v>
      </c>
      <c r="I7" s="17">
        <v>338.85</v>
      </c>
      <c r="J7" s="17">
        <v>346.18</v>
      </c>
      <c r="K7" s="17">
        <f t="shared" si="3"/>
        <v>50196.1</v>
      </c>
      <c r="L7" s="15">
        <f t="shared" si="4"/>
        <v>1</v>
      </c>
      <c r="M7" s="16">
        <v>2.1600000000000001E-2</v>
      </c>
      <c r="N7" s="16">
        <v>0.89</v>
      </c>
      <c r="O7" s="18">
        <v>0</v>
      </c>
      <c r="P7" s="18">
        <f t="shared" si="5"/>
        <v>129.05000000000001</v>
      </c>
      <c r="Q7" s="16">
        <v>0.88200000000000001</v>
      </c>
      <c r="R7" s="16">
        <v>0</v>
      </c>
      <c r="S7" s="15">
        <v>15.97</v>
      </c>
      <c r="T7" s="15"/>
      <c r="U7" s="15"/>
      <c r="V7" s="15">
        <v>99.02</v>
      </c>
      <c r="W7" s="15">
        <v>97.9</v>
      </c>
      <c r="X7" s="15">
        <v>123.8</v>
      </c>
      <c r="Y7" s="15"/>
    </row>
    <row r="8" spans="2:25" x14ac:dyDescent="0.35">
      <c r="B8" s="13">
        <v>46223</v>
      </c>
      <c r="C8" s="13" t="str">
        <f t="shared" si="2"/>
        <v>Mon</v>
      </c>
      <c r="D8" s="14">
        <v>0.32291666666666669</v>
      </c>
      <c r="E8" s="14" t="s">
        <v>31</v>
      </c>
      <c r="F8" s="15">
        <v>243.2</v>
      </c>
      <c r="G8" s="15">
        <v>188</v>
      </c>
      <c r="H8" s="16">
        <v>-0.22700000000000001</v>
      </c>
      <c r="I8" s="17">
        <v>342.72</v>
      </c>
      <c r="J8" s="17">
        <v>334.75</v>
      </c>
      <c r="K8" s="17">
        <f t="shared" si="3"/>
        <v>62933</v>
      </c>
      <c r="L8" s="15">
        <f t="shared" si="4"/>
        <v>0</v>
      </c>
      <c r="M8" s="16">
        <v>-2.3300000000000001E-2</v>
      </c>
      <c r="N8" s="16">
        <v>0.89</v>
      </c>
      <c r="O8" s="18">
        <v>0</v>
      </c>
      <c r="P8" s="18">
        <f t="shared" si="5"/>
        <v>167.32</v>
      </c>
      <c r="Q8" s="16">
        <v>0.75819999999999999</v>
      </c>
      <c r="R8" s="16">
        <v>5.3E-3</v>
      </c>
      <c r="S8" s="15">
        <v>19.82</v>
      </c>
      <c r="T8" s="15"/>
      <c r="U8" s="15"/>
      <c r="V8" s="15">
        <v>153.33000000000001</v>
      </c>
      <c r="W8" s="15">
        <v>116.27</v>
      </c>
      <c r="X8" s="15">
        <v>140.66999999999999</v>
      </c>
      <c r="Y8" s="15"/>
    </row>
    <row r="9" spans="2:25" x14ac:dyDescent="0.35">
      <c r="B9" s="13">
        <v>46223</v>
      </c>
      <c r="C9" s="13" t="str">
        <f t="shared" si="2"/>
        <v>Mon</v>
      </c>
      <c r="D9" s="14">
        <v>0.33333333333333331</v>
      </c>
      <c r="E9" s="14" t="s">
        <v>31</v>
      </c>
      <c r="F9" s="15">
        <v>368.06</v>
      </c>
      <c r="G9" s="15">
        <v>393</v>
      </c>
      <c r="H9" s="16">
        <v>6.7699999999999996E-2</v>
      </c>
      <c r="I9" s="17">
        <v>348.97</v>
      </c>
      <c r="J9" s="17">
        <v>375.37</v>
      </c>
      <c r="K9" s="17">
        <f t="shared" si="3"/>
        <v>147520.41</v>
      </c>
      <c r="L9" s="15">
        <f t="shared" si="4"/>
        <v>1</v>
      </c>
      <c r="M9" s="16">
        <v>7.5700000000000003E-2</v>
      </c>
      <c r="N9" s="16">
        <v>0.84</v>
      </c>
      <c r="O9" s="18">
        <v>0</v>
      </c>
      <c r="P9" s="18">
        <f t="shared" si="5"/>
        <v>330.12</v>
      </c>
      <c r="Q9" s="16">
        <v>0.93859999999999999</v>
      </c>
      <c r="R9" s="16">
        <v>1.0200000000000001E-2</v>
      </c>
      <c r="S9" s="15">
        <v>21.04</v>
      </c>
      <c r="T9" s="15"/>
      <c r="U9" s="15"/>
      <c r="V9" s="15">
        <v>218.59</v>
      </c>
      <c r="W9" s="15">
        <v>234.12</v>
      </c>
      <c r="X9" s="15">
        <v>297.47000000000003</v>
      </c>
      <c r="Y9" s="15"/>
    </row>
    <row r="10" spans="2:25" x14ac:dyDescent="0.35">
      <c r="B10" s="13">
        <v>46223</v>
      </c>
      <c r="C10" s="13" t="str">
        <f t="shared" si="2"/>
        <v>Mon</v>
      </c>
      <c r="D10" s="14">
        <v>0.34375</v>
      </c>
      <c r="E10" s="14" t="s">
        <v>31</v>
      </c>
      <c r="F10" s="15">
        <v>517.22</v>
      </c>
      <c r="G10" s="15">
        <v>526</v>
      </c>
      <c r="H10" s="16">
        <v>1.7000000000000001E-2</v>
      </c>
      <c r="I10" s="17">
        <v>362.67</v>
      </c>
      <c r="J10" s="17">
        <v>414.77</v>
      </c>
      <c r="K10" s="17">
        <f t="shared" si="3"/>
        <v>218169.02</v>
      </c>
      <c r="L10" s="15">
        <f t="shared" si="4"/>
        <v>1</v>
      </c>
      <c r="M10" s="16">
        <v>0.14369999999999999</v>
      </c>
      <c r="N10" s="16">
        <v>0.64</v>
      </c>
      <c r="O10" s="18">
        <v>1</v>
      </c>
      <c r="P10" s="18">
        <f t="shared" si="5"/>
        <v>336.64</v>
      </c>
      <c r="Q10" s="16">
        <v>0.82640000000000002</v>
      </c>
      <c r="R10" s="16">
        <v>2.8500000000000001E-2</v>
      </c>
      <c r="S10" s="15">
        <v>60.98</v>
      </c>
      <c r="T10" s="15"/>
      <c r="U10" s="15"/>
      <c r="V10" s="15">
        <v>300.47000000000003</v>
      </c>
      <c r="W10" s="15">
        <v>332.68</v>
      </c>
      <c r="X10" s="15">
        <v>301.73</v>
      </c>
      <c r="Y10" s="15"/>
    </row>
    <row r="11" spans="2:25" x14ac:dyDescent="0.35">
      <c r="B11" s="13">
        <v>46223</v>
      </c>
      <c r="C11" s="13" t="str">
        <f t="shared" si="2"/>
        <v>Mon</v>
      </c>
      <c r="D11" s="14">
        <v>0.35416666666666669</v>
      </c>
      <c r="E11" s="14" t="s">
        <v>31</v>
      </c>
      <c r="F11" s="15">
        <v>610.98</v>
      </c>
      <c r="G11" s="15">
        <v>580</v>
      </c>
      <c r="H11" s="16">
        <v>-5.0700000000000002E-2</v>
      </c>
      <c r="I11" s="17">
        <v>375.06</v>
      </c>
      <c r="J11" s="17">
        <v>381.67</v>
      </c>
      <c r="K11" s="17">
        <f t="shared" si="3"/>
        <v>221368.6</v>
      </c>
      <c r="L11" s="15">
        <f t="shared" si="4"/>
        <v>1</v>
      </c>
      <c r="M11" s="16">
        <v>1.7600000000000001E-2</v>
      </c>
      <c r="N11" s="16">
        <v>0.49</v>
      </c>
      <c r="O11" s="18">
        <v>1</v>
      </c>
      <c r="P11" s="18">
        <f t="shared" si="5"/>
        <v>284.2</v>
      </c>
      <c r="Q11" s="16">
        <v>0.85</v>
      </c>
      <c r="R11" s="16">
        <v>0.11550000000000001</v>
      </c>
      <c r="S11" s="15">
        <v>110.75</v>
      </c>
      <c r="T11" s="15"/>
      <c r="U11" s="15"/>
      <c r="V11" s="15">
        <v>355.57</v>
      </c>
      <c r="W11" s="15">
        <v>334.19</v>
      </c>
      <c r="X11" s="15">
        <v>369.47</v>
      </c>
      <c r="Y11" s="15"/>
    </row>
    <row r="12" spans="2:25" x14ac:dyDescent="0.35">
      <c r="B12" s="13">
        <v>46223</v>
      </c>
      <c r="C12" s="13" t="str">
        <f t="shared" si="2"/>
        <v>Mon</v>
      </c>
      <c r="D12" s="14">
        <v>0.36458333333333331</v>
      </c>
      <c r="E12" s="14" t="s">
        <v>31</v>
      </c>
      <c r="F12" s="15">
        <v>704.66</v>
      </c>
      <c r="G12" s="15">
        <v>704</v>
      </c>
      <c r="H12" s="16">
        <v>-8.9999999999999998E-4</v>
      </c>
      <c r="I12" s="17">
        <v>387.41</v>
      </c>
      <c r="J12" s="17">
        <v>341.68</v>
      </c>
      <c r="K12" s="17">
        <f t="shared" si="3"/>
        <v>240542.72</v>
      </c>
      <c r="L12" s="15">
        <f t="shared" si="4"/>
        <v>0</v>
      </c>
      <c r="M12" s="16">
        <v>-0.1181</v>
      </c>
      <c r="N12" s="16">
        <v>0.39</v>
      </c>
      <c r="O12" s="18">
        <v>1</v>
      </c>
      <c r="P12" s="18">
        <f t="shared" si="5"/>
        <v>274.56</v>
      </c>
      <c r="Q12" s="16">
        <v>0.75</v>
      </c>
      <c r="R12" s="16">
        <v>9.9400000000000002E-2</v>
      </c>
      <c r="S12" s="15">
        <v>148.59</v>
      </c>
      <c r="T12" s="15"/>
      <c r="U12" s="15"/>
      <c r="V12" s="15">
        <v>412.85</v>
      </c>
      <c r="W12" s="15">
        <v>354.09</v>
      </c>
      <c r="X12" s="15">
        <v>372.93</v>
      </c>
      <c r="Y12" s="15"/>
    </row>
    <row r="13" spans="2:25" x14ac:dyDescent="0.35">
      <c r="B13" s="13">
        <v>46223</v>
      </c>
      <c r="C13" s="13" t="str">
        <f t="shared" si="2"/>
        <v>Mon</v>
      </c>
      <c r="D13" s="14">
        <v>0.375</v>
      </c>
      <c r="E13" s="14" t="s">
        <v>31</v>
      </c>
      <c r="F13" s="15">
        <v>804.16</v>
      </c>
      <c r="G13" s="15">
        <v>838</v>
      </c>
      <c r="H13" s="16">
        <v>4.2099999999999999E-2</v>
      </c>
      <c r="I13" s="17">
        <v>396.26</v>
      </c>
      <c r="J13" s="17">
        <v>302.94</v>
      </c>
      <c r="K13" s="17">
        <f t="shared" si="3"/>
        <v>253863.72</v>
      </c>
      <c r="L13" s="15">
        <f t="shared" si="4"/>
        <v>0</v>
      </c>
      <c r="M13" s="16">
        <v>-0.23549999999999999</v>
      </c>
      <c r="N13" s="16">
        <v>0.36</v>
      </c>
      <c r="O13" s="18">
        <v>1</v>
      </c>
      <c r="P13" s="18">
        <f t="shared" si="5"/>
        <v>301.68</v>
      </c>
      <c r="Q13" s="16">
        <v>0.75749999999999995</v>
      </c>
      <c r="R13" s="16">
        <v>7.8799999999999995E-2</v>
      </c>
      <c r="S13" s="15">
        <v>122.12</v>
      </c>
      <c r="T13" s="15"/>
      <c r="U13" s="15"/>
      <c r="V13" s="15">
        <v>472.63</v>
      </c>
      <c r="W13" s="15">
        <v>378.03</v>
      </c>
      <c r="X13" s="15">
        <v>441.13</v>
      </c>
      <c r="Y13" s="15"/>
    </row>
    <row r="14" spans="2:25" x14ac:dyDescent="0.35">
      <c r="B14" s="13">
        <v>46223</v>
      </c>
      <c r="C14" s="13" t="str">
        <f t="shared" si="2"/>
        <v>Mon</v>
      </c>
      <c r="D14" s="14">
        <v>0.38541666666666669</v>
      </c>
      <c r="E14" s="14" t="s">
        <v>31</v>
      </c>
      <c r="F14" s="15">
        <v>892.88</v>
      </c>
      <c r="G14" s="15">
        <v>898</v>
      </c>
      <c r="H14" s="16">
        <v>5.7000000000000002E-3</v>
      </c>
      <c r="I14" s="17">
        <v>401.75</v>
      </c>
      <c r="J14" s="17">
        <v>314.10000000000002</v>
      </c>
      <c r="K14" s="17">
        <f t="shared" si="3"/>
        <v>282061.80000000005</v>
      </c>
      <c r="L14" s="15">
        <f t="shared" si="4"/>
        <v>0</v>
      </c>
      <c r="M14" s="16">
        <v>-0.21820000000000001</v>
      </c>
      <c r="N14" s="16">
        <v>0.62</v>
      </c>
      <c r="O14" s="18">
        <v>1</v>
      </c>
      <c r="P14" s="18">
        <f t="shared" si="5"/>
        <v>556.76</v>
      </c>
      <c r="Q14" s="16">
        <v>0.75870000000000004</v>
      </c>
      <c r="R14" s="16">
        <v>5.6800000000000003E-2</v>
      </c>
      <c r="S14" s="15">
        <v>66.59</v>
      </c>
      <c r="T14" s="15"/>
      <c r="U14" s="15"/>
      <c r="V14" s="15">
        <v>526.83000000000004</v>
      </c>
      <c r="W14" s="15">
        <v>420.2</v>
      </c>
      <c r="X14" s="15">
        <v>474.33</v>
      </c>
      <c r="Y14" s="15"/>
    </row>
    <row r="15" spans="2:25" x14ac:dyDescent="0.35">
      <c r="B15" s="13">
        <v>46223</v>
      </c>
      <c r="C15" s="13" t="str">
        <f t="shared" si="2"/>
        <v>Mon</v>
      </c>
      <c r="D15" s="14">
        <v>0.39583333333333331</v>
      </c>
      <c r="E15" s="14" t="s">
        <v>31</v>
      </c>
      <c r="F15" s="15">
        <v>948.58</v>
      </c>
      <c r="G15" s="15">
        <v>1061</v>
      </c>
      <c r="H15" s="16">
        <v>0.11849999999999999</v>
      </c>
      <c r="I15" s="17">
        <v>408.48</v>
      </c>
      <c r="J15" s="17">
        <v>351.96</v>
      </c>
      <c r="K15" s="17">
        <f t="shared" si="3"/>
        <v>373429.56</v>
      </c>
      <c r="L15" s="15">
        <f t="shared" si="4"/>
        <v>0</v>
      </c>
      <c r="M15" s="16">
        <v>-0.1384</v>
      </c>
      <c r="N15" s="16">
        <v>0.57999999999999996</v>
      </c>
      <c r="O15" s="18">
        <v>1</v>
      </c>
      <c r="P15" s="18">
        <f t="shared" si="5"/>
        <v>615.38</v>
      </c>
      <c r="Q15" s="16">
        <v>0.77380000000000004</v>
      </c>
      <c r="R15" s="16">
        <v>2.2599999999999999E-2</v>
      </c>
      <c r="S15" s="15">
        <v>59.11</v>
      </c>
      <c r="T15" s="15"/>
      <c r="U15" s="15"/>
      <c r="V15" s="15">
        <v>565.87</v>
      </c>
      <c r="W15" s="15">
        <v>530.21</v>
      </c>
      <c r="X15" s="15">
        <v>529.4</v>
      </c>
      <c r="Y15" s="15"/>
    </row>
    <row r="16" spans="2:25" x14ac:dyDescent="0.35">
      <c r="B16" s="13">
        <v>46223</v>
      </c>
      <c r="C16" s="13" t="str">
        <f t="shared" si="2"/>
        <v>Mon</v>
      </c>
      <c r="D16" s="14">
        <v>0.40625</v>
      </c>
      <c r="E16" s="14" t="s">
        <v>31</v>
      </c>
      <c r="F16" s="15">
        <v>974.87</v>
      </c>
      <c r="G16" s="15">
        <v>1009</v>
      </c>
      <c r="H16" s="16">
        <v>3.5000000000000003E-2</v>
      </c>
      <c r="I16" s="17">
        <v>416.09</v>
      </c>
      <c r="J16" s="17">
        <v>404.33</v>
      </c>
      <c r="K16" s="17">
        <f t="shared" si="3"/>
        <v>407968.97</v>
      </c>
      <c r="L16" s="15">
        <f t="shared" si="4"/>
        <v>0</v>
      </c>
      <c r="M16" s="16">
        <v>-2.8199999999999999E-2</v>
      </c>
      <c r="N16" s="16">
        <v>0.52</v>
      </c>
      <c r="O16" s="18">
        <v>1</v>
      </c>
      <c r="P16" s="18">
        <f t="shared" si="5"/>
        <v>524.68000000000006</v>
      </c>
      <c r="Q16" s="16">
        <v>0.74890000000000001</v>
      </c>
      <c r="R16" s="16">
        <v>4.2599999999999999E-2</v>
      </c>
      <c r="S16" s="15">
        <v>73.05</v>
      </c>
      <c r="T16" s="15"/>
      <c r="U16" s="15"/>
      <c r="V16" s="15">
        <v>590.21</v>
      </c>
      <c r="W16" s="15">
        <v>572.88</v>
      </c>
      <c r="X16" s="15">
        <v>532.27</v>
      </c>
      <c r="Y16" s="15"/>
    </row>
    <row r="17" spans="2:25" x14ac:dyDescent="0.35">
      <c r="B17" s="13">
        <v>46223</v>
      </c>
      <c r="C17" s="13" t="str">
        <f t="shared" si="2"/>
        <v>Mon</v>
      </c>
      <c r="D17" s="14">
        <v>0.41666666666666669</v>
      </c>
      <c r="E17" s="14" t="s">
        <v>31</v>
      </c>
      <c r="F17" s="15">
        <v>1006.42</v>
      </c>
      <c r="G17" s="15">
        <v>1016</v>
      </c>
      <c r="H17" s="16">
        <v>9.4999999999999998E-3</v>
      </c>
      <c r="I17" s="17">
        <v>421.71</v>
      </c>
      <c r="J17" s="17">
        <v>415.1</v>
      </c>
      <c r="K17" s="17">
        <f t="shared" si="3"/>
        <v>421741.60000000003</v>
      </c>
      <c r="L17" s="15">
        <f t="shared" si="4"/>
        <v>0</v>
      </c>
      <c r="M17" s="16">
        <v>-1.5699999999999999E-2</v>
      </c>
      <c r="N17" s="16">
        <v>0.48</v>
      </c>
      <c r="O17" s="18">
        <v>1</v>
      </c>
      <c r="P17" s="18">
        <f t="shared" si="5"/>
        <v>487.68</v>
      </c>
      <c r="Q17" s="16">
        <v>0.75539999999999996</v>
      </c>
      <c r="R17" s="16">
        <v>3.7400000000000003E-2</v>
      </c>
      <c r="S17" s="15">
        <v>68.13</v>
      </c>
      <c r="T17" s="15"/>
      <c r="U17" s="15"/>
      <c r="V17" s="15">
        <v>614.79</v>
      </c>
      <c r="W17" s="15">
        <v>592.66</v>
      </c>
      <c r="X17" s="15">
        <v>558.66999999999996</v>
      </c>
      <c r="Y17" s="15"/>
    </row>
    <row r="18" spans="2:25" x14ac:dyDescent="0.35">
      <c r="B18" s="13">
        <v>46223</v>
      </c>
      <c r="C18" s="13" t="str">
        <f t="shared" si="2"/>
        <v>Mon</v>
      </c>
      <c r="D18" s="14">
        <v>0.42708333333333331</v>
      </c>
      <c r="E18" s="14" t="s">
        <v>31</v>
      </c>
      <c r="F18" s="15">
        <v>1017.08</v>
      </c>
      <c r="G18" s="15">
        <v>1058</v>
      </c>
      <c r="H18" s="16">
        <v>4.02E-2</v>
      </c>
      <c r="I18" s="17">
        <v>427.96</v>
      </c>
      <c r="J18" s="17">
        <v>424.92</v>
      </c>
      <c r="K18" s="17">
        <f t="shared" si="3"/>
        <v>449565.36000000004</v>
      </c>
      <c r="L18" s="15">
        <f t="shared" si="4"/>
        <v>0</v>
      </c>
      <c r="M18" s="16">
        <v>-7.1000000000000004E-3</v>
      </c>
      <c r="N18" s="16">
        <v>0.41</v>
      </c>
      <c r="O18" s="18">
        <v>1</v>
      </c>
      <c r="P18" s="18">
        <f t="shared" si="5"/>
        <v>433.78</v>
      </c>
      <c r="Q18" s="16">
        <v>0.71709999999999996</v>
      </c>
      <c r="R18" s="16">
        <v>5.3900000000000003E-2</v>
      </c>
      <c r="S18" s="15">
        <v>105.83</v>
      </c>
      <c r="T18" s="15"/>
      <c r="U18" s="15"/>
      <c r="V18" s="15">
        <v>628.07000000000005</v>
      </c>
      <c r="W18" s="15">
        <v>626.84</v>
      </c>
      <c r="X18" s="15">
        <v>557.47</v>
      </c>
      <c r="Y18" s="15"/>
    </row>
    <row r="19" spans="2:25" x14ac:dyDescent="0.35">
      <c r="B19" s="13">
        <v>46223</v>
      </c>
      <c r="C19" s="13" t="str">
        <f t="shared" si="2"/>
        <v>Mon</v>
      </c>
      <c r="D19" s="14">
        <v>0.4375</v>
      </c>
      <c r="E19" s="14" t="s">
        <v>31</v>
      </c>
      <c r="F19" s="15">
        <v>1031.52</v>
      </c>
      <c r="G19" s="15">
        <v>1019</v>
      </c>
      <c r="H19" s="16">
        <v>-1.21E-2</v>
      </c>
      <c r="I19" s="17">
        <v>431.69</v>
      </c>
      <c r="J19" s="17">
        <v>435.81</v>
      </c>
      <c r="K19" s="17">
        <f t="shared" si="3"/>
        <v>444090.39</v>
      </c>
      <c r="L19" s="15">
        <f t="shared" si="4"/>
        <v>1</v>
      </c>
      <c r="M19" s="16">
        <v>9.4999999999999998E-3</v>
      </c>
      <c r="N19" s="16">
        <v>0.52</v>
      </c>
      <c r="O19" s="18">
        <v>1</v>
      </c>
      <c r="P19" s="18">
        <f t="shared" si="5"/>
        <v>529.88</v>
      </c>
      <c r="Q19" s="16">
        <v>0.79410000000000003</v>
      </c>
      <c r="R19" s="16">
        <v>3.3399999999999999E-2</v>
      </c>
      <c r="S19" s="15">
        <v>77.83</v>
      </c>
      <c r="T19" s="15"/>
      <c r="U19" s="15"/>
      <c r="V19" s="15">
        <v>641.21</v>
      </c>
      <c r="W19" s="15">
        <v>616.89</v>
      </c>
      <c r="X19" s="15">
        <v>596.73</v>
      </c>
      <c r="Y19" s="15"/>
    </row>
    <row r="20" spans="2:25" x14ac:dyDescent="0.35">
      <c r="B20" s="13">
        <v>46223</v>
      </c>
      <c r="C20" s="13" t="str">
        <f t="shared" si="2"/>
        <v>Mon</v>
      </c>
      <c r="D20" s="14">
        <v>0.44791666666666669</v>
      </c>
      <c r="E20" s="14" t="s">
        <v>31</v>
      </c>
      <c r="F20" s="15">
        <v>1024.6199999999999</v>
      </c>
      <c r="G20" s="15">
        <v>1041</v>
      </c>
      <c r="H20" s="16">
        <v>1.6E-2</v>
      </c>
      <c r="I20" s="17">
        <v>433.61</v>
      </c>
      <c r="J20" s="17">
        <v>411.11</v>
      </c>
      <c r="K20" s="17">
        <f t="shared" si="3"/>
        <v>427965.51</v>
      </c>
      <c r="L20" s="15">
        <f t="shared" si="4"/>
        <v>0</v>
      </c>
      <c r="M20" s="16">
        <v>-5.1900000000000002E-2</v>
      </c>
      <c r="N20" s="16">
        <v>0.5</v>
      </c>
      <c r="O20" s="18">
        <v>1</v>
      </c>
      <c r="P20" s="18">
        <f t="shared" si="5"/>
        <v>520.5</v>
      </c>
      <c r="Q20" s="16">
        <v>0.80210000000000004</v>
      </c>
      <c r="R20" s="16">
        <v>3.6499999999999998E-2</v>
      </c>
      <c r="S20" s="15">
        <v>70.510000000000005</v>
      </c>
      <c r="T20" s="15"/>
      <c r="U20" s="15"/>
      <c r="V20" s="15">
        <v>640.07000000000005</v>
      </c>
      <c r="W20" s="15">
        <v>593.89</v>
      </c>
      <c r="X20" s="15">
        <v>594.4</v>
      </c>
      <c r="Y20" s="15"/>
    </row>
    <row r="21" spans="2:25" x14ac:dyDescent="0.35">
      <c r="B21" s="13">
        <v>46223</v>
      </c>
      <c r="C21" s="13" t="str">
        <f t="shared" si="2"/>
        <v>Mon</v>
      </c>
      <c r="D21" s="14">
        <v>0.45833333333333331</v>
      </c>
      <c r="E21" s="14" t="s">
        <v>31</v>
      </c>
      <c r="F21" s="15">
        <v>1027.8</v>
      </c>
      <c r="G21" s="15">
        <v>1013</v>
      </c>
      <c r="H21" s="16">
        <v>-1.44E-2</v>
      </c>
      <c r="I21" s="17">
        <v>438.04</v>
      </c>
      <c r="J21" s="17">
        <v>439.71</v>
      </c>
      <c r="K21" s="17">
        <f t="shared" si="3"/>
        <v>445426.23</v>
      </c>
      <c r="L21" s="15">
        <f t="shared" si="4"/>
        <v>1</v>
      </c>
      <c r="M21" s="16">
        <v>3.8E-3</v>
      </c>
      <c r="N21" s="16">
        <v>0.44</v>
      </c>
      <c r="O21" s="18">
        <v>1</v>
      </c>
      <c r="P21" s="18">
        <f t="shared" si="5"/>
        <v>445.72</v>
      </c>
      <c r="Q21" s="16">
        <v>0.79339999999999999</v>
      </c>
      <c r="R21" s="16">
        <v>3.85E-2</v>
      </c>
      <c r="S21" s="15">
        <v>89.72</v>
      </c>
      <c r="T21" s="15"/>
      <c r="U21" s="15"/>
      <c r="V21" s="15">
        <v>648.08000000000004</v>
      </c>
      <c r="W21" s="15">
        <v>616.25</v>
      </c>
      <c r="X21" s="15">
        <v>605.47</v>
      </c>
      <c r="Y21" s="15"/>
    </row>
    <row r="22" spans="2:25" x14ac:dyDescent="0.35">
      <c r="B22" s="13">
        <v>46223</v>
      </c>
      <c r="C22" s="13" t="str">
        <f t="shared" si="2"/>
        <v>Mon</v>
      </c>
      <c r="D22" s="14">
        <v>0.46875</v>
      </c>
      <c r="E22" s="14" t="s">
        <v>31</v>
      </c>
      <c r="F22" s="15">
        <v>1013.66</v>
      </c>
      <c r="G22" s="15">
        <v>1063</v>
      </c>
      <c r="H22" s="16">
        <v>4.87E-2</v>
      </c>
      <c r="I22" s="17">
        <v>440.74</v>
      </c>
      <c r="J22" s="17">
        <v>434.82</v>
      </c>
      <c r="K22" s="17">
        <f t="shared" si="3"/>
        <v>462213.66</v>
      </c>
      <c r="L22" s="15">
        <f t="shared" si="4"/>
        <v>0</v>
      </c>
      <c r="M22" s="16">
        <v>-1.34E-2</v>
      </c>
      <c r="N22" s="16">
        <v>0.56999999999999995</v>
      </c>
      <c r="O22" s="18">
        <v>1</v>
      </c>
      <c r="P22" s="18">
        <f t="shared" si="5"/>
        <v>605.91</v>
      </c>
      <c r="Q22" s="16">
        <v>0.79949999999999999</v>
      </c>
      <c r="R22" s="16">
        <v>4.2299999999999997E-2</v>
      </c>
      <c r="S22" s="15">
        <v>62.59</v>
      </c>
      <c r="T22" s="15"/>
      <c r="U22" s="15"/>
      <c r="V22" s="15">
        <v>642.9</v>
      </c>
      <c r="W22" s="15">
        <v>650.58000000000004</v>
      </c>
      <c r="X22" s="15">
        <v>603.07000000000005</v>
      </c>
      <c r="Y22" s="15"/>
    </row>
    <row r="23" spans="2:25" x14ac:dyDescent="0.35">
      <c r="B23" s="13">
        <v>46223</v>
      </c>
      <c r="C23" s="13" t="str">
        <f t="shared" si="2"/>
        <v>Mon</v>
      </c>
      <c r="D23" s="14">
        <v>0.47916666666666669</v>
      </c>
      <c r="E23" s="14" t="s">
        <v>31</v>
      </c>
      <c r="F23" s="15">
        <v>1008.05</v>
      </c>
      <c r="G23" s="15">
        <v>1094</v>
      </c>
      <c r="H23" s="16">
        <v>8.5300000000000001E-2</v>
      </c>
      <c r="I23" s="17">
        <v>440.85</v>
      </c>
      <c r="J23" s="17">
        <v>443.11</v>
      </c>
      <c r="K23" s="17">
        <f t="shared" si="3"/>
        <v>484762.34</v>
      </c>
      <c r="L23" s="15">
        <f t="shared" si="4"/>
        <v>1</v>
      </c>
      <c r="M23" s="16">
        <v>5.1000000000000004E-3</v>
      </c>
      <c r="N23" s="16">
        <v>0.39</v>
      </c>
      <c r="O23" s="18">
        <v>1</v>
      </c>
      <c r="P23" s="18">
        <f t="shared" si="5"/>
        <v>426.66</v>
      </c>
      <c r="Q23" s="16">
        <v>0.79700000000000004</v>
      </c>
      <c r="R23" s="16">
        <v>4.7500000000000001E-2</v>
      </c>
      <c r="S23" s="15">
        <v>74.67</v>
      </c>
      <c r="T23" s="15"/>
      <c r="U23" s="15"/>
      <c r="V23" s="15">
        <v>640.22</v>
      </c>
      <c r="W23" s="15">
        <v>666.56</v>
      </c>
      <c r="X23" s="15">
        <v>595.13</v>
      </c>
      <c r="Y23" s="15"/>
    </row>
    <row r="24" spans="2:25" x14ac:dyDescent="0.35">
      <c r="B24" s="13">
        <v>46223</v>
      </c>
      <c r="C24" s="13" t="str">
        <f t="shared" si="2"/>
        <v>Mon</v>
      </c>
      <c r="D24" s="14">
        <v>0.48958333333333331</v>
      </c>
      <c r="E24" s="14" t="s">
        <v>31</v>
      </c>
      <c r="F24" s="15">
        <v>996.97</v>
      </c>
      <c r="G24" s="15">
        <v>1031</v>
      </c>
      <c r="H24" s="16">
        <v>3.4099999999999998E-2</v>
      </c>
      <c r="I24" s="17">
        <v>443.02</v>
      </c>
      <c r="J24" s="17">
        <v>438.8</v>
      </c>
      <c r="K24" s="17">
        <f t="shared" si="3"/>
        <v>452402.8</v>
      </c>
      <c r="L24" s="15">
        <f t="shared" si="4"/>
        <v>0</v>
      </c>
      <c r="M24" s="16">
        <v>-9.4999999999999998E-3</v>
      </c>
      <c r="N24" s="16">
        <v>0.42</v>
      </c>
      <c r="O24" s="18">
        <v>1</v>
      </c>
      <c r="P24" s="18">
        <f t="shared" si="5"/>
        <v>433.02</v>
      </c>
      <c r="Q24" s="16">
        <v>0.79730000000000001</v>
      </c>
      <c r="R24" s="16">
        <v>5.33E-2</v>
      </c>
      <c r="S24" s="15">
        <v>74.37</v>
      </c>
      <c r="T24" s="15"/>
      <c r="U24" s="15"/>
      <c r="V24" s="15">
        <v>637.21</v>
      </c>
      <c r="W24" s="15">
        <v>627.46</v>
      </c>
      <c r="X24" s="15">
        <v>599.79999999999995</v>
      </c>
      <c r="Y24" s="15"/>
    </row>
    <row r="25" spans="2:25" x14ac:dyDescent="0.35">
      <c r="B25" s="13">
        <v>46223</v>
      </c>
      <c r="C25" s="13" t="str">
        <f t="shared" si="2"/>
        <v>Mon</v>
      </c>
      <c r="D25" s="14">
        <v>0.5</v>
      </c>
      <c r="E25" s="14" t="s">
        <v>32</v>
      </c>
      <c r="F25" s="15">
        <v>980.42</v>
      </c>
      <c r="G25" s="15">
        <v>1021</v>
      </c>
      <c r="H25" s="16">
        <v>4.1399999999999999E-2</v>
      </c>
      <c r="I25" s="17">
        <v>444.79</v>
      </c>
      <c r="J25" s="17">
        <v>455.81</v>
      </c>
      <c r="K25" s="17">
        <f t="shared" si="3"/>
        <v>465382.01</v>
      </c>
      <c r="L25" s="15">
        <f t="shared" si="4"/>
        <v>1</v>
      </c>
      <c r="M25" s="16">
        <v>2.4799999999999999E-2</v>
      </c>
      <c r="N25" s="16">
        <v>0.49</v>
      </c>
      <c r="O25" s="18">
        <v>1</v>
      </c>
      <c r="P25" s="18">
        <f t="shared" si="5"/>
        <v>500.28999999999996</v>
      </c>
      <c r="Q25" s="16">
        <v>0.7974</v>
      </c>
      <c r="R25" s="16">
        <v>3.5299999999999998E-2</v>
      </c>
      <c r="S25" s="15">
        <v>72.37</v>
      </c>
      <c r="T25" s="15"/>
      <c r="U25" s="15"/>
      <c r="V25" s="15">
        <v>632.25</v>
      </c>
      <c r="W25" s="15">
        <v>640.99</v>
      </c>
      <c r="X25" s="15">
        <v>589.79999999999995</v>
      </c>
      <c r="Y25" s="15"/>
    </row>
    <row r="26" spans="2:25" x14ac:dyDescent="0.35">
      <c r="B26" s="13">
        <v>46223</v>
      </c>
      <c r="C26" s="13" t="str">
        <f t="shared" si="2"/>
        <v>Mon</v>
      </c>
      <c r="D26" s="14">
        <v>0.51041666666666663</v>
      </c>
      <c r="E26" s="14" t="s">
        <v>32</v>
      </c>
      <c r="F26" s="15">
        <v>962.84</v>
      </c>
      <c r="G26" s="15">
        <v>1022</v>
      </c>
      <c r="H26" s="16">
        <v>6.1400000000000003E-2</v>
      </c>
      <c r="I26" s="17">
        <v>446.04</v>
      </c>
      <c r="J26" s="17">
        <v>457.04</v>
      </c>
      <c r="K26" s="17">
        <f t="shared" si="3"/>
        <v>467094.88</v>
      </c>
      <c r="L26" s="15">
        <f t="shared" si="4"/>
        <v>1</v>
      </c>
      <c r="M26" s="16">
        <v>2.46E-2</v>
      </c>
      <c r="N26" s="16">
        <v>0.35</v>
      </c>
      <c r="O26" s="18">
        <v>1</v>
      </c>
      <c r="P26" s="18">
        <f t="shared" si="5"/>
        <v>357.7</v>
      </c>
      <c r="Q26" s="16">
        <v>0.80089999999999995</v>
      </c>
      <c r="R26" s="16">
        <v>5.5800000000000002E-2</v>
      </c>
      <c r="S26" s="15">
        <v>90.59</v>
      </c>
      <c r="T26" s="15"/>
      <c r="U26" s="15"/>
      <c r="V26" s="15">
        <v>621.80999999999995</v>
      </c>
      <c r="W26" s="15">
        <v>644.29999999999995</v>
      </c>
      <c r="X26" s="15">
        <v>574.27</v>
      </c>
      <c r="Y26" s="15"/>
    </row>
    <row r="27" spans="2:25" x14ac:dyDescent="0.35">
      <c r="B27" s="13">
        <v>46223</v>
      </c>
      <c r="C27" s="13" t="str">
        <f t="shared" si="2"/>
        <v>Mon</v>
      </c>
      <c r="D27" s="14">
        <v>0.52083333333333337</v>
      </c>
      <c r="E27" s="14" t="s">
        <v>32</v>
      </c>
      <c r="F27" s="15">
        <v>940.55</v>
      </c>
      <c r="G27" s="15">
        <v>935</v>
      </c>
      <c r="H27" s="16">
        <v>-5.8999999999999999E-3</v>
      </c>
      <c r="I27" s="17">
        <v>446.34</v>
      </c>
      <c r="J27" s="17">
        <v>436.01</v>
      </c>
      <c r="K27" s="17">
        <f t="shared" si="3"/>
        <v>407669.35</v>
      </c>
      <c r="L27" s="15">
        <f t="shared" si="4"/>
        <v>0</v>
      </c>
      <c r="M27" s="16">
        <v>-2.3199999999999998E-2</v>
      </c>
      <c r="N27" s="16">
        <v>0.44</v>
      </c>
      <c r="O27" s="18">
        <v>1</v>
      </c>
      <c r="P27" s="18">
        <f t="shared" si="5"/>
        <v>411.4</v>
      </c>
      <c r="Q27" s="16">
        <v>0.80469999999999997</v>
      </c>
      <c r="R27" s="16">
        <v>4.3900000000000002E-2</v>
      </c>
      <c r="S27" s="15">
        <v>73.12</v>
      </c>
      <c r="T27" s="15"/>
      <c r="U27" s="15"/>
      <c r="V27" s="15">
        <v>607.49</v>
      </c>
      <c r="W27" s="15">
        <v>569.46</v>
      </c>
      <c r="X27" s="15">
        <v>568.92999999999995</v>
      </c>
      <c r="Y27" s="15"/>
    </row>
    <row r="28" spans="2:25" x14ac:dyDescent="0.35">
      <c r="B28" s="13">
        <v>46223</v>
      </c>
      <c r="C28" s="13" t="str">
        <f t="shared" si="2"/>
        <v>Mon</v>
      </c>
      <c r="D28" s="14">
        <v>0.53125</v>
      </c>
      <c r="E28" s="14" t="s">
        <v>32</v>
      </c>
      <c r="F28" s="15">
        <v>921.44</v>
      </c>
      <c r="G28" s="15">
        <v>912</v>
      </c>
      <c r="H28" s="16">
        <v>-1.0200000000000001E-2</v>
      </c>
      <c r="I28" s="17">
        <v>445.14</v>
      </c>
      <c r="J28" s="17">
        <v>449.34</v>
      </c>
      <c r="K28" s="17">
        <f t="shared" si="3"/>
        <v>409798.07999999996</v>
      </c>
      <c r="L28" s="15">
        <f t="shared" si="4"/>
        <v>1</v>
      </c>
      <c r="M28" s="16">
        <v>9.4000000000000004E-3</v>
      </c>
      <c r="N28" s="16">
        <v>0.47</v>
      </c>
      <c r="O28" s="18">
        <v>1</v>
      </c>
      <c r="P28" s="18">
        <f t="shared" si="5"/>
        <v>428.64</v>
      </c>
      <c r="Q28" s="16">
        <v>0.8206</v>
      </c>
      <c r="R28" s="16">
        <v>3.6200000000000003E-2</v>
      </c>
      <c r="S28" s="15">
        <v>49.65</v>
      </c>
      <c r="T28" s="15"/>
      <c r="U28" s="15"/>
      <c r="V28" s="15">
        <v>592.66</v>
      </c>
      <c r="W28" s="15">
        <v>570.61</v>
      </c>
      <c r="X28" s="15">
        <v>561.47</v>
      </c>
      <c r="Y28" s="15"/>
    </row>
    <row r="29" spans="2:25" x14ac:dyDescent="0.35">
      <c r="B29" s="13">
        <v>46223</v>
      </c>
      <c r="C29" s="13" t="str">
        <f t="shared" si="2"/>
        <v>Mon</v>
      </c>
      <c r="D29" s="14">
        <v>0.54166666666666663</v>
      </c>
      <c r="E29" s="14" t="s">
        <v>32</v>
      </c>
      <c r="F29" s="15">
        <v>915.43</v>
      </c>
      <c r="G29" s="15">
        <v>960</v>
      </c>
      <c r="H29" s="16">
        <v>4.87E-2</v>
      </c>
      <c r="I29" s="17">
        <v>445.04</v>
      </c>
      <c r="J29" s="17">
        <v>455.14</v>
      </c>
      <c r="K29" s="17">
        <f t="shared" si="3"/>
        <v>436934.39999999997</v>
      </c>
      <c r="L29" s="15">
        <f t="shared" si="4"/>
        <v>1</v>
      </c>
      <c r="M29" s="16">
        <v>2.2700000000000001E-2</v>
      </c>
      <c r="N29" s="16">
        <v>0.41</v>
      </c>
      <c r="O29" s="18">
        <v>1</v>
      </c>
      <c r="P29" s="18">
        <f t="shared" si="5"/>
        <v>393.59999999999997</v>
      </c>
      <c r="Q29" s="16">
        <v>0.80620000000000003</v>
      </c>
      <c r="R29" s="16">
        <v>3.7499999999999999E-2</v>
      </c>
      <c r="S29" s="15">
        <v>69.599999999999994</v>
      </c>
      <c r="T29" s="15"/>
      <c r="U29" s="15"/>
      <c r="V29" s="15">
        <v>590.19000000000005</v>
      </c>
      <c r="W29" s="15">
        <v>606.82000000000005</v>
      </c>
      <c r="X29" s="15">
        <v>553.20000000000005</v>
      </c>
      <c r="Y29" s="15"/>
    </row>
    <row r="30" spans="2:25" x14ac:dyDescent="0.35">
      <c r="B30" s="13">
        <v>46223</v>
      </c>
      <c r="C30" s="13" t="str">
        <f t="shared" si="2"/>
        <v>Mon</v>
      </c>
      <c r="D30" s="14">
        <v>0.55208333333333337</v>
      </c>
      <c r="E30" s="14" t="s">
        <v>32</v>
      </c>
      <c r="F30" s="15">
        <v>918.07</v>
      </c>
      <c r="G30" s="15">
        <v>956</v>
      </c>
      <c r="H30" s="16">
        <v>4.1300000000000003E-2</v>
      </c>
      <c r="I30" s="17">
        <v>449.16</v>
      </c>
      <c r="J30" s="17">
        <v>432.69</v>
      </c>
      <c r="K30" s="17">
        <f t="shared" si="3"/>
        <v>413651.64</v>
      </c>
      <c r="L30" s="15">
        <f t="shared" si="4"/>
        <v>0</v>
      </c>
      <c r="M30" s="16">
        <v>-3.6700000000000003E-2</v>
      </c>
      <c r="N30" s="16">
        <v>0.44</v>
      </c>
      <c r="O30" s="18">
        <v>1</v>
      </c>
      <c r="P30" s="18">
        <f t="shared" si="5"/>
        <v>420.64</v>
      </c>
      <c r="Q30" s="16">
        <v>0.78390000000000004</v>
      </c>
      <c r="R30" s="16">
        <v>3.6600000000000001E-2</v>
      </c>
      <c r="S30" s="15">
        <v>75.16</v>
      </c>
      <c r="T30" s="15"/>
      <c r="U30" s="15"/>
      <c r="V30" s="15">
        <v>598.17999999999995</v>
      </c>
      <c r="W30" s="15">
        <v>578.69000000000005</v>
      </c>
      <c r="X30" s="15">
        <v>549.53</v>
      </c>
      <c r="Y30" s="15"/>
    </row>
    <row r="31" spans="2:25" x14ac:dyDescent="0.35">
      <c r="B31" s="13">
        <v>46223</v>
      </c>
      <c r="C31" s="13" t="str">
        <f t="shared" si="2"/>
        <v>Mon</v>
      </c>
      <c r="D31" s="14">
        <v>0.5625</v>
      </c>
      <c r="E31" s="14" t="s">
        <v>32</v>
      </c>
      <c r="F31" s="15">
        <v>917.72</v>
      </c>
      <c r="G31" s="15">
        <v>999</v>
      </c>
      <c r="H31" s="16">
        <v>8.8599999999999998E-2</v>
      </c>
      <c r="I31" s="17">
        <v>449.07</v>
      </c>
      <c r="J31" s="17">
        <v>447.5</v>
      </c>
      <c r="K31" s="17">
        <f t="shared" si="3"/>
        <v>447052.5</v>
      </c>
      <c r="L31" s="15">
        <f t="shared" si="4"/>
        <v>0</v>
      </c>
      <c r="M31" s="16">
        <v>-3.5000000000000001E-3</v>
      </c>
      <c r="N31" s="16">
        <v>0.43</v>
      </c>
      <c r="O31" s="18">
        <v>1</v>
      </c>
      <c r="P31" s="18">
        <f t="shared" si="5"/>
        <v>429.57</v>
      </c>
      <c r="Q31" s="16">
        <v>0.78380000000000005</v>
      </c>
      <c r="R31" s="16">
        <v>4.1000000000000002E-2</v>
      </c>
      <c r="S31" s="15">
        <v>83.22</v>
      </c>
      <c r="T31" s="15"/>
      <c r="U31" s="15"/>
      <c r="V31" s="15">
        <v>598.53</v>
      </c>
      <c r="W31" s="15">
        <v>619.88</v>
      </c>
      <c r="X31" s="15">
        <v>544.27</v>
      </c>
      <c r="Y31" s="15"/>
    </row>
    <row r="32" spans="2:25" x14ac:dyDescent="0.35">
      <c r="B32" s="13">
        <v>46223</v>
      </c>
      <c r="C32" s="13" t="str">
        <f t="shared" si="2"/>
        <v>Mon</v>
      </c>
      <c r="D32" s="14">
        <v>0.57291666666666663</v>
      </c>
      <c r="E32" s="14" t="s">
        <v>32</v>
      </c>
      <c r="F32" s="15">
        <v>911.11</v>
      </c>
      <c r="G32" s="15">
        <v>952</v>
      </c>
      <c r="H32" s="16">
        <v>4.4900000000000002E-2</v>
      </c>
      <c r="I32" s="17">
        <v>449.49</v>
      </c>
      <c r="J32" s="17">
        <v>439.24</v>
      </c>
      <c r="K32" s="17">
        <f t="shared" si="3"/>
        <v>418156.48</v>
      </c>
      <c r="L32" s="15">
        <f t="shared" si="4"/>
        <v>0</v>
      </c>
      <c r="M32" s="16">
        <v>-2.2800000000000001E-2</v>
      </c>
      <c r="N32" s="16">
        <v>0.39</v>
      </c>
      <c r="O32" s="18">
        <v>1</v>
      </c>
      <c r="P32" s="18">
        <f t="shared" si="5"/>
        <v>371.28000000000003</v>
      </c>
      <c r="Q32" s="16">
        <v>0.80549999999999999</v>
      </c>
      <c r="R32" s="16">
        <v>4.7300000000000002E-2</v>
      </c>
      <c r="S32" s="15">
        <v>82</v>
      </c>
      <c r="T32" s="15"/>
      <c r="U32" s="15"/>
      <c r="V32" s="15">
        <v>594.19000000000005</v>
      </c>
      <c r="W32" s="15">
        <v>585.05999999999995</v>
      </c>
      <c r="X32" s="15">
        <v>554.47</v>
      </c>
      <c r="Y32" s="15"/>
    </row>
    <row r="33" spans="2:25" x14ac:dyDescent="0.35">
      <c r="B33" s="13">
        <v>46223</v>
      </c>
      <c r="C33" s="13" t="str">
        <f t="shared" si="2"/>
        <v>Mon</v>
      </c>
      <c r="D33" s="14">
        <v>0.58333333333333337</v>
      </c>
      <c r="E33" s="14" t="s">
        <v>32</v>
      </c>
      <c r="F33" s="15">
        <v>906.39</v>
      </c>
      <c r="G33" s="15">
        <v>935</v>
      </c>
      <c r="H33" s="16">
        <v>3.1600000000000003E-2</v>
      </c>
      <c r="I33" s="17">
        <v>449.59</v>
      </c>
      <c r="J33" s="17">
        <v>459.33</v>
      </c>
      <c r="K33" s="17">
        <f t="shared" si="3"/>
        <v>429473.55</v>
      </c>
      <c r="L33" s="15">
        <f t="shared" si="4"/>
        <v>1</v>
      </c>
      <c r="M33" s="16">
        <v>2.1700000000000001E-2</v>
      </c>
      <c r="N33" s="16">
        <v>0.39</v>
      </c>
      <c r="O33" s="18">
        <v>1</v>
      </c>
      <c r="P33" s="18">
        <f t="shared" si="5"/>
        <v>364.65000000000003</v>
      </c>
      <c r="Q33" s="16">
        <v>0.8165</v>
      </c>
      <c r="R33" s="16">
        <v>4.8099999999999997E-2</v>
      </c>
      <c r="S33" s="15">
        <v>78.25</v>
      </c>
      <c r="T33" s="15"/>
      <c r="U33" s="15"/>
      <c r="V33" s="15">
        <v>591.16</v>
      </c>
      <c r="W33" s="15">
        <v>596.98</v>
      </c>
      <c r="X33" s="15">
        <v>548.73</v>
      </c>
      <c r="Y33" s="15"/>
    </row>
    <row r="34" spans="2:25" x14ac:dyDescent="0.35">
      <c r="B34" s="13">
        <v>46223</v>
      </c>
      <c r="C34" s="13" t="str">
        <f t="shared" si="2"/>
        <v>Mon</v>
      </c>
      <c r="D34" s="14">
        <v>0.59375</v>
      </c>
      <c r="E34" s="14" t="s">
        <v>32</v>
      </c>
      <c r="F34" s="15">
        <v>903.89</v>
      </c>
      <c r="G34" s="15">
        <v>1025</v>
      </c>
      <c r="H34" s="16">
        <v>0.13400000000000001</v>
      </c>
      <c r="I34" s="17">
        <v>454.8</v>
      </c>
      <c r="J34" s="17">
        <v>447.02</v>
      </c>
      <c r="K34" s="17">
        <f t="shared" si="3"/>
        <v>458195.5</v>
      </c>
      <c r="L34" s="15">
        <f t="shared" si="4"/>
        <v>0</v>
      </c>
      <c r="M34" s="16">
        <v>-1.7100000000000001E-2</v>
      </c>
      <c r="N34" s="16">
        <v>0.33</v>
      </c>
      <c r="O34" s="18">
        <v>1</v>
      </c>
      <c r="P34" s="18">
        <f t="shared" si="5"/>
        <v>338.25</v>
      </c>
      <c r="Q34" s="16">
        <v>0.80210000000000004</v>
      </c>
      <c r="R34" s="16">
        <v>4.2000000000000003E-2</v>
      </c>
      <c r="S34" s="15">
        <v>88.12</v>
      </c>
      <c r="T34" s="15"/>
      <c r="U34" s="15"/>
      <c r="V34" s="15">
        <v>596.20000000000005</v>
      </c>
      <c r="W34" s="15">
        <v>635.04</v>
      </c>
      <c r="X34" s="15">
        <v>554.79999999999995</v>
      </c>
      <c r="Y34" s="15"/>
    </row>
    <row r="35" spans="2:25" x14ac:dyDescent="0.35">
      <c r="B35" s="13">
        <v>46223</v>
      </c>
      <c r="C35" s="13" t="str">
        <f t="shared" si="2"/>
        <v>Mon</v>
      </c>
      <c r="D35" s="14">
        <v>0.60416666666666663</v>
      </c>
      <c r="E35" s="14" t="s">
        <v>32</v>
      </c>
      <c r="F35" s="15">
        <v>885.64</v>
      </c>
      <c r="G35" s="15">
        <v>958</v>
      </c>
      <c r="H35" s="16">
        <v>8.1699999999999995E-2</v>
      </c>
      <c r="I35" s="17">
        <v>456.51</v>
      </c>
      <c r="J35" s="17">
        <v>457.63</v>
      </c>
      <c r="K35" s="17">
        <f t="shared" si="3"/>
        <v>438409.54</v>
      </c>
      <c r="L35" s="15">
        <f t="shared" si="4"/>
        <v>1</v>
      </c>
      <c r="M35" s="16">
        <v>2.5000000000000001E-3</v>
      </c>
      <c r="N35" s="16">
        <v>0.43</v>
      </c>
      <c r="O35" s="18">
        <v>1</v>
      </c>
      <c r="P35" s="18">
        <f t="shared" si="5"/>
        <v>411.94</v>
      </c>
      <c r="Q35" s="16">
        <v>0.81230000000000002</v>
      </c>
      <c r="R35" s="16">
        <v>5.0099999999999999E-2</v>
      </c>
      <c r="S35" s="15">
        <v>81.72</v>
      </c>
      <c r="T35" s="15"/>
      <c r="U35" s="15"/>
      <c r="V35" s="15">
        <v>587.73</v>
      </c>
      <c r="W35" s="15">
        <v>607.49</v>
      </c>
      <c r="X35" s="15">
        <v>548.87</v>
      </c>
      <c r="Y35" s="15"/>
    </row>
    <row r="36" spans="2:25" x14ac:dyDescent="0.35">
      <c r="B36" s="13">
        <v>46223</v>
      </c>
      <c r="C36" s="13" t="str">
        <f t="shared" si="2"/>
        <v>Mon</v>
      </c>
      <c r="D36" s="14">
        <v>0.61458333333333337</v>
      </c>
      <c r="E36" s="14" t="s">
        <v>32</v>
      </c>
      <c r="F36" s="15">
        <v>877.99</v>
      </c>
      <c r="G36" s="15">
        <v>927</v>
      </c>
      <c r="H36" s="16">
        <v>5.5800000000000002E-2</v>
      </c>
      <c r="I36" s="17">
        <v>458.24</v>
      </c>
      <c r="J36" s="17">
        <v>462.05</v>
      </c>
      <c r="K36" s="17">
        <f t="shared" si="3"/>
        <v>428320.35000000003</v>
      </c>
      <c r="L36" s="15">
        <f t="shared" si="4"/>
        <v>1</v>
      </c>
      <c r="M36" s="16">
        <v>8.3000000000000001E-3</v>
      </c>
      <c r="N36" s="16">
        <v>0.49</v>
      </c>
      <c r="O36" s="18">
        <v>1</v>
      </c>
      <c r="P36" s="18">
        <f t="shared" si="5"/>
        <v>454.23</v>
      </c>
      <c r="Q36" s="16">
        <v>0.83460000000000001</v>
      </c>
      <c r="R36" s="16">
        <v>6.6900000000000001E-2</v>
      </c>
      <c r="S36" s="15">
        <v>84.47</v>
      </c>
      <c r="T36" s="15"/>
      <c r="U36" s="15"/>
      <c r="V36" s="15">
        <v>584.77</v>
      </c>
      <c r="W36" s="15">
        <v>594.94000000000005</v>
      </c>
      <c r="X36" s="15">
        <v>557.79999999999995</v>
      </c>
      <c r="Y36" s="15"/>
    </row>
    <row r="37" spans="2:25" x14ac:dyDescent="0.35">
      <c r="B37" s="13">
        <v>46223</v>
      </c>
      <c r="C37" s="13" t="str">
        <f t="shared" si="2"/>
        <v>Mon</v>
      </c>
      <c r="D37" s="14">
        <v>0.625</v>
      </c>
      <c r="E37" s="14" t="s">
        <v>33</v>
      </c>
      <c r="F37" s="15">
        <v>867.64</v>
      </c>
      <c r="G37" s="15">
        <v>900</v>
      </c>
      <c r="H37" s="16">
        <v>3.73E-2</v>
      </c>
      <c r="I37" s="17">
        <v>457.18</v>
      </c>
      <c r="J37" s="17">
        <v>423.98</v>
      </c>
      <c r="K37" s="17">
        <f t="shared" si="3"/>
        <v>381582</v>
      </c>
      <c r="L37" s="15">
        <f t="shared" si="4"/>
        <v>0</v>
      </c>
      <c r="M37" s="16">
        <v>-7.2599999999999998E-2</v>
      </c>
      <c r="N37" s="16">
        <v>0.56000000000000005</v>
      </c>
      <c r="O37" s="18">
        <v>1</v>
      </c>
      <c r="P37" s="18">
        <f t="shared" si="5"/>
        <v>504.00000000000006</v>
      </c>
      <c r="Q37" s="16">
        <v>0.80569999999999997</v>
      </c>
      <c r="R37" s="16">
        <v>4.4400000000000002E-2</v>
      </c>
      <c r="S37" s="15">
        <v>67.72</v>
      </c>
      <c r="T37" s="15"/>
      <c r="U37" s="15"/>
      <c r="V37" s="15">
        <v>576.28</v>
      </c>
      <c r="W37" s="15">
        <v>534.58000000000004</v>
      </c>
      <c r="X37" s="15">
        <v>537.92999999999995</v>
      </c>
      <c r="Y37" s="15"/>
    </row>
    <row r="38" spans="2:25" x14ac:dyDescent="0.35">
      <c r="B38" s="13">
        <v>46223</v>
      </c>
      <c r="C38" s="13" t="str">
        <f t="shared" si="2"/>
        <v>Mon</v>
      </c>
      <c r="D38" s="14">
        <v>0.63541666666666663</v>
      </c>
      <c r="E38" s="14" t="s">
        <v>33</v>
      </c>
      <c r="F38" s="15">
        <v>871.4</v>
      </c>
      <c r="G38" s="15">
        <v>911</v>
      </c>
      <c r="H38" s="16">
        <v>4.5400000000000003E-2</v>
      </c>
      <c r="I38" s="17">
        <v>460.36</v>
      </c>
      <c r="J38" s="17">
        <v>458.88</v>
      </c>
      <c r="K38" s="17">
        <f t="shared" si="3"/>
        <v>418039.68</v>
      </c>
      <c r="L38" s="15">
        <f t="shared" si="4"/>
        <v>0</v>
      </c>
      <c r="M38" s="16">
        <v>-3.2000000000000002E-3</v>
      </c>
      <c r="N38" s="16">
        <v>0.47</v>
      </c>
      <c r="O38" s="18">
        <v>1</v>
      </c>
      <c r="P38" s="18">
        <f t="shared" si="5"/>
        <v>428.16999999999996</v>
      </c>
      <c r="Q38" s="16">
        <v>0.83819999999999995</v>
      </c>
      <c r="R38" s="16">
        <v>2.8500000000000001E-2</v>
      </c>
      <c r="S38" s="15">
        <v>57.67</v>
      </c>
      <c r="T38" s="15"/>
      <c r="U38" s="15"/>
      <c r="V38" s="15">
        <v>581.84</v>
      </c>
      <c r="W38" s="15">
        <v>580.88</v>
      </c>
      <c r="X38" s="15">
        <v>554.4</v>
      </c>
      <c r="Y38" s="15"/>
    </row>
    <row r="39" spans="2:25" x14ac:dyDescent="0.35">
      <c r="B39" s="13">
        <v>46223</v>
      </c>
      <c r="C39" s="13" t="str">
        <f t="shared" si="2"/>
        <v>Mon</v>
      </c>
      <c r="D39" s="14">
        <v>0.64583333333333337</v>
      </c>
      <c r="E39" s="14" t="s">
        <v>33</v>
      </c>
      <c r="F39" s="15">
        <v>860</v>
      </c>
      <c r="G39" s="15">
        <v>869</v>
      </c>
      <c r="H39" s="16">
        <v>1.0500000000000001E-2</v>
      </c>
      <c r="I39" s="17">
        <v>461.6</v>
      </c>
      <c r="J39" s="17">
        <v>472.2</v>
      </c>
      <c r="K39" s="17">
        <f t="shared" si="3"/>
        <v>410341.8</v>
      </c>
      <c r="L39" s="15">
        <f t="shared" si="4"/>
        <v>1</v>
      </c>
      <c r="M39" s="16">
        <v>2.3E-2</v>
      </c>
      <c r="N39" s="16">
        <v>0.53</v>
      </c>
      <c r="O39" s="18">
        <v>1</v>
      </c>
      <c r="P39" s="18">
        <f t="shared" si="5"/>
        <v>460.57000000000005</v>
      </c>
      <c r="Q39" s="16">
        <v>0.80449999999999999</v>
      </c>
      <c r="R39" s="16">
        <v>3.6799999999999999E-2</v>
      </c>
      <c r="S39" s="15">
        <v>62.37</v>
      </c>
      <c r="T39" s="15"/>
      <c r="U39" s="15"/>
      <c r="V39" s="15">
        <v>576.25</v>
      </c>
      <c r="W39" s="15">
        <v>575.49</v>
      </c>
      <c r="X39" s="15">
        <v>532.53</v>
      </c>
      <c r="Y39" s="15"/>
    </row>
    <row r="40" spans="2:25" x14ac:dyDescent="0.35">
      <c r="B40" s="13">
        <v>46223</v>
      </c>
      <c r="C40" s="13" t="str">
        <f t="shared" si="2"/>
        <v>Mon</v>
      </c>
      <c r="D40" s="14">
        <v>0.65625</v>
      </c>
      <c r="E40" s="14" t="s">
        <v>33</v>
      </c>
      <c r="F40" s="15">
        <v>831.11</v>
      </c>
      <c r="G40" s="15">
        <v>841</v>
      </c>
      <c r="H40" s="16">
        <v>1.1900000000000001E-2</v>
      </c>
      <c r="I40" s="17">
        <v>464.2</v>
      </c>
      <c r="J40" s="17">
        <v>449.12</v>
      </c>
      <c r="K40" s="17">
        <f t="shared" si="3"/>
        <v>377709.92</v>
      </c>
      <c r="L40" s="15">
        <f t="shared" si="4"/>
        <v>0</v>
      </c>
      <c r="M40" s="16">
        <v>-3.2500000000000001E-2</v>
      </c>
      <c r="N40" s="16">
        <v>0.51</v>
      </c>
      <c r="O40" s="18">
        <v>1</v>
      </c>
      <c r="P40" s="18">
        <f t="shared" si="5"/>
        <v>428.91</v>
      </c>
      <c r="Q40" s="16">
        <v>0.82520000000000004</v>
      </c>
      <c r="R40" s="16">
        <v>3.5700000000000003E-2</v>
      </c>
      <c r="S40" s="15">
        <v>75.3</v>
      </c>
      <c r="T40" s="15"/>
      <c r="U40" s="15"/>
      <c r="V40" s="15">
        <v>561.34</v>
      </c>
      <c r="W40" s="15">
        <v>535.25</v>
      </c>
      <c r="X40" s="15">
        <v>531.13</v>
      </c>
      <c r="Y40" s="15"/>
    </row>
    <row r="41" spans="2:25" x14ac:dyDescent="0.35">
      <c r="B41" s="13">
        <v>46223</v>
      </c>
      <c r="C41" s="13" t="str">
        <f t="shared" si="2"/>
        <v>Mon</v>
      </c>
      <c r="D41" s="14">
        <v>0.66666666666666663</v>
      </c>
      <c r="E41" s="14" t="s">
        <v>33</v>
      </c>
      <c r="F41" s="15">
        <v>795.99</v>
      </c>
      <c r="G41" s="15">
        <v>780</v>
      </c>
      <c r="H41" s="16">
        <v>-2.01E-2</v>
      </c>
      <c r="I41" s="17">
        <v>464.65</v>
      </c>
      <c r="J41" s="17">
        <v>474.22</v>
      </c>
      <c r="K41" s="17">
        <f t="shared" si="3"/>
        <v>369891.60000000003</v>
      </c>
      <c r="L41" s="15">
        <f t="shared" si="4"/>
        <v>1</v>
      </c>
      <c r="M41" s="16">
        <v>2.06E-2</v>
      </c>
      <c r="N41" s="16">
        <v>0.53</v>
      </c>
      <c r="O41" s="18">
        <v>1</v>
      </c>
      <c r="P41" s="18">
        <f t="shared" si="5"/>
        <v>413.40000000000003</v>
      </c>
      <c r="Q41" s="16">
        <v>0.82789999999999997</v>
      </c>
      <c r="R41" s="16">
        <v>2.69E-2</v>
      </c>
      <c r="S41" s="15">
        <v>51.51</v>
      </c>
      <c r="T41" s="15"/>
      <c r="U41" s="15"/>
      <c r="V41" s="15">
        <v>539.54999999999995</v>
      </c>
      <c r="W41" s="15">
        <v>519.33000000000004</v>
      </c>
      <c r="X41" s="15">
        <v>516.4</v>
      </c>
      <c r="Y41" s="15"/>
    </row>
    <row r="42" spans="2:25" x14ac:dyDescent="0.35">
      <c r="B42" s="13">
        <v>46223</v>
      </c>
      <c r="C42" s="13" t="str">
        <f t="shared" si="2"/>
        <v>Mon</v>
      </c>
      <c r="D42" s="14">
        <v>0.67708333333333337</v>
      </c>
      <c r="E42" s="14" t="s">
        <v>33</v>
      </c>
      <c r="F42" s="15">
        <v>737.06</v>
      </c>
      <c r="G42" s="15">
        <v>819</v>
      </c>
      <c r="H42" s="16">
        <v>0.11119999999999999</v>
      </c>
      <c r="I42" s="17">
        <v>467.38</v>
      </c>
      <c r="J42" s="17">
        <v>468.43</v>
      </c>
      <c r="K42" s="17">
        <f t="shared" si="3"/>
        <v>383644.17</v>
      </c>
      <c r="L42" s="15">
        <f t="shared" si="4"/>
        <v>1</v>
      </c>
      <c r="M42" s="16">
        <v>2.2000000000000001E-3</v>
      </c>
      <c r="N42" s="16">
        <v>0.48</v>
      </c>
      <c r="O42" s="18">
        <v>1</v>
      </c>
      <c r="P42" s="18">
        <f t="shared" si="5"/>
        <v>393.12</v>
      </c>
      <c r="Q42" s="16">
        <v>0.85950000000000004</v>
      </c>
      <c r="R42" s="16">
        <v>2.3199999999999998E-2</v>
      </c>
      <c r="S42" s="15">
        <v>55.88</v>
      </c>
      <c r="T42" s="15"/>
      <c r="U42" s="15"/>
      <c r="V42" s="15">
        <v>505.87</v>
      </c>
      <c r="W42" s="15">
        <v>533.05999999999995</v>
      </c>
      <c r="X42" s="15">
        <v>495.13</v>
      </c>
      <c r="Y42" s="15"/>
    </row>
    <row r="43" spans="2:25" x14ac:dyDescent="0.35">
      <c r="B43" s="13">
        <v>46223</v>
      </c>
      <c r="C43" s="13" t="str">
        <f t="shared" si="2"/>
        <v>Mon</v>
      </c>
      <c r="D43" s="14">
        <v>0.6875</v>
      </c>
      <c r="E43" s="14" t="s">
        <v>33</v>
      </c>
      <c r="F43" s="15">
        <v>665.18</v>
      </c>
      <c r="G43" s="15">
        <v>657</v>
      </c>
      <c r="H43" s="16">
        <v>-1.23E-2</v>
      </c>
      <c r="I43" s="17">
        <v>465.77</v>
      </c>
      <c r="J43" s="17">
        <v>499.02</v>
      </c>
      <c r="K43" s="17">
        <f t="shared" si="3"/>
        <v>327856.14</v>
      </c>
      <c r="L43" s="15">
        <f t="shared" si="4"/>
        <v>1</v>
      </c>
      <c r="M43" s="16">
        <v>7.1400000000000005E-2</v>
      </c>
      <c r="N43" s="16">
        <v>0.53</v>
      </c>
      <c r="O43" s="18">
        <v>1</v>
      </c>
      <c r="P43" s="18">
        <f t="shared" si="5"/>
        <v>348.21000000000004</v>
      </c>
      <c r="Q43" s="16">
        <v>0.85009999999999997</v>
      </c>
      <c r="R43" s="16">
        <v>2.5899999999999999E-2</v>
      </c>
      <c r="S43" s="15">
        <v>60.92</v>
      </c>
      <c r="T43" s="15"/>
      <c r="U43" s="15"/>
      <c r="V43" s="15">
        <v>459.53</v>
      </c>
      <c r="W43" s="15">
        <v>466.62</v>
      </c>
      <c r="X43" s="15">
        <v>434.47</v>
      </c>
      <c r="Y43" s="15"/>
    </row>
    <row r="44" spans="2:25" x14ac:dyDescent="0.35">
      <c r="B44" s="13">
        <v>46223</v>
      </c>
      <c r="C44" s="13" t="str">
        <f t="shared" si="2"/>
        <v>Mon</v>
      </c>
      <c r="D44" s="14">
        <v>0.69791666666666663</v>
      </c>
      <c r="E44" s="14" t="s">
        <v>33</v>
      </c>
      <c r="F44" s="15">
        <v>551.75</v>
      </c>
      <c r="G44" s="15">
        <v>520</v>
      </c>
      <c r="H44" s="16">
        <v>-5.7500000000000002E-2</v>
      </c>
      <c r="I44" s="17">
        <v>466.68</v>
      </c>
      <c r="J44" s="17">
        <v>468.31</v>
      </c>
      <c r="K44" s="17">
        <f t="shared" si="3"/>
        <v>243521.2</v>
      </c>
      <c r="L44" s="15">
        <f t="shared" si="4"/>
        <v>1</v>
      </c>
      <c r="M44" s="16">
        <v>3.5000000000000001E-3</v>
      </c>
      <c r="N44" s="16">
        <v>0.61</v>
      </c>
      <c r="O44" s="18">
        <v>1</v>
      </c>
      <c r="P44" s="18">
        <f t="shared" si="5"/>
        <v>317.2</v>
      </c>
      <c r="Q44" s="16">
        <v>0.89490000000000003</v>
      </c>
      <c r="R44" s="16">
        <v>3.4599999999999999E-2</v>
      </c>
      <c r="S44" s="15">
        <v>62.14</v>
      </c>
      <c r="T44" s="15"/>
      <c r="U44" s="15"/>
      <c r="V44" s="15">
        <v>389.61</v>
      </c>
      <c r="W44" s="15">
        <v>361.82</v>
      </c>
      <c r="X44" s="15">
        <v>402.67</v>
      </c>
      <c r="Y44" s="15"/>
    </row>
    <row r="45" spans="2:25" x14ac:dyDescent="0.35">
      <c r="B45" s="13">
        <v>46223</v>
      </c>
      <c r="C45" s="13" t="str">
        <f t="shared" si="2"/>
        <v>Mon</v>
      </c>
      <c r="D45" s="14">
        <v>0.70833333333333337</v>
      </c>
      <c r="E45" s="14" t="s">
        <v>33</v>
      </c>
      <c r="F45" s="15">
        <v>431.5</v>
      </c>
      <c r="G45" s="15">
        <v>416</v>
      </c>
      <c r="H45" s="16">
        <v>-3.5900000000000001E-2</v>
      </c>
      <c r="I45" s="17">
        <v>468.7</v>
      </c>
      <c r="J45" s="17">
        <v>496.65</v>
      </c>
      <c r="K45" s="17">
        <f t="shared" si="3"/>
        <v>206606.4</v>
      </c>
      <c r="L45" s="15">
        <f t="shared" si="4"/>
        <v>1</v>
      </c>
      <c r="M45" s="16">
        <v>5.96E-2</v>
      </c>
      <c r="N45" s="16">
        <v>0.7</v>
      </c>
      <c r="O45" s="18">
        <v>1</v>
      </c>
      <c r="P45" s="18">
        <f t="shared" si="5"/>
        <v>291.2</v>
      </c>
      <c r="Q45" s="16">
        <v>0.88529999999999998</v>
      </c>
      <c r="R45" s="16">
        <v>5.0500000000000003E-2</v>
      </c>
      <c r="S45" s="15">
        <v>75.47</v>
      </c>
      <c r="T45" s="15"/>
      <c r="U45" s="15"/>
      <c r="V45" s="15">
        <v>313.07</v>
      </c>
      <c r="W45" s="15">
        <v>310.37</v>
      </c>
      <c r="X45" s="15">
        <v>315.27</v>
      </c>
      <c r="Y45" s="15"/>
    </row>
    <row r="46" spans="2:25" x14ac:dyDescent="0.35">
      <c r="B46" s="13">
        <v>46223</v>
      </c>
      <c r="C46" s="13" t="str">
        <f t="shared" si="2"/>
        <v>Mon</v>
      </c>
      <c r="D46" s="14">
        <v>0.71875</v>
      </c>
      <c r="E46" s="14" t="s">
        <v>33</v>
      </c>
      <c r="F46" s="15">
        <v>332.69</v>
      </c>
      <c r="G46" s="15">
        <v>330</v>
      </c>
      <c r="H46" s="16">
        <v>-8.0999999999999996E-3</v>
      </c>
      <c r="I46" s="17">
        <v>467.76</v>
      </c>
      <c r="J46" s="17">
        <v>444.9</v>
      </c>
      <c r="K46" s="17">
        <f t="shared" si="3"/>
        <v>146817</v>
      </c>
      <c r="L46" s="15">
        <f t="shared" si="4"/>
        <v>0</v>
      </c>
      <c r="M46" s="16">
        <v>-4.8899999999999999E-2</v>
      </c>
      <c r="N46" s="16">
        <v>0.9</v>
      </c>
      <c r="O46" s="18">
        <v>0</v>
      </c>
      <c r="P46" s="18">
        <f t="shared" si="5"/>
        <v>297</v>
      </c>
      <c r="Q46" s="16">
        <v>0.90229999999999999</v>
      </c>
      <c r="R46" s="16">
        <v>3.6400000000000002E-2</v>
      </c>
      <c r="S46" s="15">
        <v>26.37</v>
      </c>
      <c r="T46" s="15"/>
      <c r="U46" s="15"/>
      <c r="V46" s="15">
        <v>250.58</v>
      </c>
      <c r="W46" s="15">
        <v>226.04</v>
      </c>
      <c r="X46" s="15">
        <v>299.60000000000002</v>
      </c>
      <c r="Y46" s="15"/>
    </row>
    <row r="47" spans="2:25" x14ac:dyDescent="0.35">
      <c r="B47" s="13">
        <v>46223</v>
      </c>
      <c r="C47" s="13" t="str">
        <f t="shared" si="2"/>
        <v>Mon</v>
      </c>
      <c r="D47" s="14">
        <v>0.72916666666666663</v>
      </c>
      <c r="E47" s="14" t="s">
        <v>33</v>
      </c>
      <c r="F47" s="15">
        <v>254.49</v>
      </c>
      <c r="G47" s="15">
        <v>248</v>
      </c>
      <c r="H47" s="16">
        <v>-2.5499999999999998E-2</v>
      </c>
      <c r="I47" s="17">
        <v>466.44</v>
      </c>
      <c r="J47" s="17">
        <v>468.19</v>
      </c>
      <c r="K47" s="17">
        <f t="shared" si="3"/>
        <v>116111.12</v>
      </c>
      <c r="L47" s="15">
        <f t="shared" si="4"/>
        <v>1</v>
      </c>
      <c r="M47" s="16">
        <v>3.8E-3</v>
      </c>
      <c r="N47" s="16">
        <v>0.8</v>
      </c>
      <c r="O47" s="18">
        <v>0</v>
      </c>
      <c r="P47" s="18">
        <f t="shared" si="5"/>
        <v>198.4</v>
      </c>
      <c r="Q47" s="16">
        <v>0.87380000000000002</v>
      </c>
      <c r="R47" s="16">
        <v>4.0300000000000002E-2</v>
      </c>
      <c r="S47" s="15">
        <v>51.84</v>
      </c>
      <c r="T47" s="15"/>
      <c r="U47" s="15"/>
      <c r="V47" s="15">
        <v>191.98</v>
      </c>
      <c r="W47" s="15">
        <v>181.32</v>
      </c>
      <c r="X47" s="15">
        <v>187.13</v>
      </c>
      <c r="Y47" s="15"/>
    </row>
    <row r="48" spans="2:25" x14ac:dyDescent="0.35">
      <c r="B48" s="13">
        <v>46223</v>
      </c>
      <c r="C48" s="13" t="str">
        <f t="shared" si="2"/>
        <v>Mon</v>
      </c>
      <c r="D48" s="14">
        <v>0.73958333333333337</v>
      </c>
      <c r="E48" s="14" t="s">
        <v>33</v>
      </c>
      <c r="F48" s="15">
        <v>199.81</v>
      </c>
      <c r="G48" s="15">
        <v>218</v>
      </c>
      <c r="H48" s="16">
        <v>9.0999999999999998E-2</v>
      </c>
      <c r="I48" s="17">
        <v>459.16</v>
      </c>
      <c r="J48" s="17">
        <v>488.75</v>
      </c>
      <c r="K48" s="17">
        <f t="shared" si="3"/>
        <v>106547.5</v>
      </c>
      <c r="L48" s="15">
        <f t="shared" si="4"/>
        <v>1</v>
      </c>
      <c r="M48" s="16">
        <v>6.4399999999999999E-2</v>
      </c>
      <c r="N48" s="16">
        <v>0.81</v>
      </c>
      <c r="O48" s="18">
        <v>0</v>
      </c>
      <c r="P48" s="18">
        <f t="shared" si="5"/>
        <v>176.58</v>
      </c>
      <c r="Q48" s="16">
        <v>0.94710000000000005</v>
      </c>
      <c r="R48" s="16">
        <v>4.5900000000000003E-2</v>
      </c>
      <c r="S48" s="15">
        <v>37.17</v>
      </c>
      <c r="T48" s="15"/>
      <c r="U48" s="15"/>
      <c r="V48" s="15">
        <v>155.43</v>
      </c>
      <c r="W48" s="15">
        <v>165.73</v>
      </c>
      <c r="X48" s="15">
        <v>215.47</v>
      </c>
      <c r="Y48" s="15"/>
    </row>
    <row r="49" spans="2:25" x14ac:dyDescent="0.35">
      <c r="B49" s="13">
        <v>46223</v>
      </c>
      <c r="C49" s="13" t="str">
        <f t="shared" si="2"/>
        <v>Mon</v>
      </c>
      <c r="D49" s="14">
        <v>0.75</v>
      </c>
      <c r="E49" s="14" t="s">
        <v>33</v>
      </c>
      <c r="F49" s="15">
        <v>161.12</v>
      </c>
      <c r="G49" s="15">
        <v>186</v>
      </c>
      <c r="H49" s="16">
        <v>0.15440000000000001</v>
      </c>
      <c r="I49" s="17">
        <v>451.03</v>
      </c>
      <c r="J49" s="17">
        <v>434.74</v>
      </c>
      <c r="K49" s="17">
        <f t="shared" si="3"/>
        <v>80861.64</v>
      </c>
      <c r="L49" s="15">
        <f t="shared" si="4"/>
        <v>0</v>
      </c>
      <c r="M49" s="16">
        <v>-3.61E-2</v>
      </c>
      <c r="N49" s="16">
        <v>0.77</v>
      </c>
      <c r="O49" s="18">
        <v>1</v>
      </c>
      <c r="P49" s="18">
        <f t="shared" si="5"/>
        <v>143.22</v>
      </c>
      <c r="Q49" s="16">
        <v>0.94220000000000004</v>
      </c>
      <c r="R49" s="16">
        <v>2.69E-2</v>
      </c>
      <c r="S49" s="15">
        <v>82.75</v>
      </c>
      <c r="T49" s="15"/>
      <c r="U49" s="15"/>
      <c r="V49" s="15">
        <v>125.9</v>
      </c>
      <c r="W49" s="15">
        <v>131.18</v>
      </c>
      <c r="X49" s="15">
        <v>163</v>
      </c>
      <c r="Y49" s="15"/>
    </row>
    <row r="50" spans="2:25" x14ac:dyDescent="0.35">
      <c r="B50" s="13">
        <v>46223</v>
      </c>
      <c r="C50" s="13" t="str">
        <f t="shared" si="2"/>
        <v>Mon</v>
      </c>
      <c r="D50" s="14">
        <v>0.76041666666666663</v>
      </c>
      <c r="E50" s="14" t="s">
        <v>33</v>
      </c>
      <c r="F50" s="15">
        <v>128.52000000000001</v>
      </c>
      <c r="G50" s="15">
        <v>108</v>
      </c>
      <c r="H50" s="16">
        <v>-0.15959999999999999</v>
      </c>
      <c r="I50" s="17">
        <v>448.62</v>
      </c>
      <c r="J50" s="17">
        <v>524.42999999999995</v>
      </c>
      <c r="K50" s="17">
        <f t="shared" si="3"/>
        <v>56638.439999999995</v>
      </c>
      <c r="L50" s="15">
        <f t="shared" si="4"/>
        <v>1</v>
      </c>
      <c r="M50" s="16">
        <v>0.16900000000000001</v>
      </c>
      <c r="N50" s="16">
        <v>0.85</v>
      </c>
      <c r="O50" s="18">
        <v>0</v>
      </c>
      <c r="P50" s="18">
        <f t="shared" si="5"/>
        <v>91.8</v>
      </c>
      <c r="Q50" s="16">
        <v>0.96040000000000003</v>
      </c>
      <c r="R50" s="16">
        <v>2.7799999999999998E-2</v>
      </c>
      <c r="S50" s="15">
        <v>36.35</v>
      </c>
      <c r="T50" s="15"/>
      <c r="U50" s="15"/>
      <c r="V50" s="15">
        <v>104.07</v>
      </c>
      <c r="W50" s="15">
        <v>93.64</v>
      </c>
      <c r="X50" s="15">
        <v>163.6</v>
      </c>
      <c r="Y50" s="15"/>
    </row>
    <row r="51" spans="2:25" x14ac:dyDescent="0.35">
      <c r="B51" s="13">
        <v>46223</v>
      </c>
      <c r="C51" s="13" t="str">
        <f t="shared" si="2"/>
        <v>Mon</v>
      </c>
      <c r="D51" s="14">
        <v>0.77083333333333337</v>
      </c>
      <c r="E51" s="14" t="s">
        <v>33</v>
      </c>
      <c r="F51" s="15">
        <v>109.4</v>
      </c>
      <c r="G51" s="15">
        <v>82</v>
      </c>
      <c r="H51" s="16">
        <v>-0.2505</v>
      </c>
      <c r="I51" s="17">
        <v>444.99</v>
      </c>
      <c r="J51" s="17">
        <v>512.15</v>
      </c>
      <c r="K51" s="17">
        <f t="shared" si="3"/>
        <v>41996.299999999996</v>
      </c>
      <c r="L51" s="15">
        <f t="shared" si="4"/>
        <v>1</v>
      </c>
      <c r="M51" s="16">
        <v>0.15090000000000001</v>
      </c>
      <c r="N51" s="16">
        <v>0.87</v>
      </c>
      <c r="O51" s="18">
        <v>0</v>
      </c>
      <c r="P51" s="18">
        <f t="shared" si="5"/>
        <v>71.34</v>
      </c>
      <c r="Q51" s="16">
        <v>0.91449999999999998</v>
      </c>
      <c r="R51" s="16">
        <v>3.6600000000000001E-2</v>
      </c>
      <c r="S51" s="15">
        <v>25.86</v>
      </c>
      <c r="T51" s="15"/>
      <c r="U51" s="15"/>
      <c r="V51" s="15">
        <v>90.2</v>
      </c>
      <c r="W51" s="15">
        <v>76.540000000000006</v>
      </c>
      <c r="X51" s="15">
        <v>113.13</v>
      </c>
      <c r="Y51" s="15"/>
    </row>
    <row r="52" spans="2:25" x14ac:dyDescent="0.35">
      <c r="B52" s="13">
        <v>46223</v>
      </c>
      <c r="C52" s="13" t="str">
        <f t="shared" si="2"/>
        <v>Mon</v>
      </c>
      <c r="D52" s="14">
        <v>0.78125</v>
      </c>
      <c r="E52" s="14" t="s">
        <v>33</v>
      </c>
      <c r="F52" s="15">
        <v>97.5</v>
      </c>
      <c r="G52" s="15">
        <v>85</v>
      </c>
      <c r="H52" s="16">
        <v>-0.12820000000000001</v>
      </c>
      <c r="I52" s="17">
        <v>438.79</v>
      </c>
      <c r="J52" s="17">
        <v>496.13</v>
      </c>
      <c r="K52" s="17">
        <f t="shared" si="3"/>
        <v>42171.05</v>
      </c>
      <c r="L52" s="15">
        <f t="shared" si="4"/>
        <v>1</v>
      </c>
      <c r="M52" s="16">
        <v>0.13070000000000001</v>
      </c>
      <c r="N52" s="16">
        <v>0.9</v>
      </c>
      <c r="O52" s="18">
        <v>0</v>
      </c>
      <c r="P52" s="18">
        <f t="shared" si="5"/>
        <v>76.5</v>
      </c>
      <c r="Q52" s="16">
        <v>0.93369999999999997</v>
      </c>
      <c r="R52" s="16">
        <v>1.18E-2</v>
      </c>
      <c r="S52" s="15">
        <v>13.5</v>
      </c>
      <c r="T52" s="15"/>
      <c r="U52" s="15"/>
      <c r="V52" s="15">
        <v>81.02</v>
      </c>
      <c r="W52" s="15">
        <v>77.91</v>
      </c>
      <c r="X52" s="15">
        <v>113</v>
      </c>
      <c r="Y52" s="15"/>
    </row>
    <row r="53" spans="2:25" x14ac:dyDescent="0.35">
      <c r="B53" s="13">
        <v>46224</v>
      </c>
      <c r="C53" s="13" t="str">
        <f t="shared" si="2"/>
        <v>Tue</v>
      </c>
      <c r="D53" s="14">
        <v>0.29166666666666669</v>
      </c>
      <c r="E53" s="14" t="s">
        <v>31</v>
      </c>
      <c r="F53" s="15">
        <v>72.78</v>
      </c>
      <c r="G53" s="15">
        <v>49</v>
      </c>
      <c r="H53" s="16">
        <v>-0.32679999999999998</v>
      </c>
      <c r="I53" s="17">
        <v>343.27</v>
      </c>
      <c r="J53" s="17">
        <v>328.39</v>
      </c>
      <c r="K53" s="17">
        <f t="shared" si="3"/>
        <v>16091.109999999999</v>
      </c>
      <c r="L53" s="15">
        <f t="shared" si="4"/>
        <v>0</v>
      </c>
      <c r="M53" s="16">
        <v>-4.3299999999999998E-2</v>
      </c>
      <c r="N53" s="16">
        <v>0.93</v>
      </c>
      <c r="O53" s="18">
        <v>0</v>
      </c>
      <c r="P53" s="18">
        <f t="shared" si="5"/>
        <v>45.57</v>
      </c>
      <c r="Q53" s="16">
        <v>0.94499999999999995</v>
      </c>
      <c r="R53" s="16">
        <v>0</v>
      </c>
      <c r="S53" s="15">
        <v>11.73</v>
      </c>
      <c r="T53" s="15"/>
      <c r="U53" s="15"/>
      <c r="V53" s="15">
        <v>55.99</v>
      </c>
      <c r="W53" s="15">
        <v>36.630000000000003</v>
      </c>
      <c r="X53" s="15">
        <v>81.33</v>
      </c>
      <c r="Y53" s="15"/>
    </row>
    <row r="54" spans="2:25" x14ac:dyDescent="0.35">
      <c r="B54" s="13">
        <v>46224</v>
      </c>
      <c r="C54" s="13" t="str">
        <f t="shared" si="2"/>
        <v>Tue</v>
      </c>
      <c r="D54" s="14">
        <v>0.30208333333333331</v>
      </c>
      <c r="E54" s="14" t="s">
        <v>31</v>
      </c>
      <c r="F54" s="15">
        <v>88.79</v>
      </c>
      <c r="G54" s="15">
        <v>65</v>
      </c>
      <c r="H54" s="16">
        <v>-0.26800000000000002</v>
      </c>
      <c r="I54" s="17">
        <v>357.35</v>
      </c>
      <c r="J54" s="17">
        <v>362.95</v>
      </c>
      <c r="K54" s="17">
        <f t="shared" si="3"/>
        <v>23591.75</v>
      </c>
      <c r="L54" s="15">
        <f t="shared" si="4"/>
        <v>1</v>
      </c>
      <c r="M54" s="16">
        <v>1.5699999999999999E-2</v>
      </c>
      <c r="N54" s="16">
        <v>0.95</v>
      </c>
      <c r="O54" s="18">
        <v>0</v>
      </c>
      <c r="P54" s="18">
        <f t="shared" si="5"/>
        <v>61.75</v>
      </c>
      <c r="Q54" s="16">
        <v>0.92530000000000001</v>
      </c>
      <c r="R54" s="16">
        <v>0</v>
      </c>
      <c r="S54" s="15">
        <v>12.31</v>
      </c>
      <c r="T54" s="15"/>
      <c r="U54" s="15"/>
      <c r="V54" s="15">
        <v>68.17</v>
      </c>
      <c r="W54" s="15">
        <v>48.51</v>
      </c>
      <c r="X54" s="15">
        <v>86.4</v>
      </c>
      <c r="Y54" s="15"/>
    </row>
    <row r="55" spans="2:25" x14ac:dyDescent="0.35">
      <c r="B55" s="13">
        <v>46224</v>
      </c>
      <c r="C55" s="13" t="str">
        <f t="shared" si="2"/>
        <v>Tue</v>
      </c>
      <c r="D55" s="14">
        <v>0.3125</v>
      </c>
      <c r="E55" s="14" t="s">
        <v>31</v>
      </c>
      <c r="F55" s="15">
        <v>119.85</v>
      </c>
      <c r="G55" s="15">
        <v>96</v>
      </c>
      <c r="H55" s="16">
        <v>-0.19900000000000001</v>
      </c>
      <c r="I55" s="17">
        <v>358.02</v>
      </c>
      <c r="J55" s="17">
        <v>335.97</v>
      </c>
      <c r="K55" s="17">
        <f t="shared" si="3"/>
        <v>32253.120000000003</v>
      </c>
      <c r="L55" s="15">
        <f t="shared" si="4"/>
        <v>0</v>
      </c>
      <c r="M55" s="16">
        <v>-6.1600000000000002E-2</v>
      </c>
      <c r="N55" s="16">
        <v>0.94</v>
      </c>
      <c r="O55" s="18">
        <v>0</v>
      </c>
      <c r="P55" s="18">
        <f t="shared" si="5"/>
        <v>90.24</v>
      </c>
      <c r="Q55" s="16">
        <v>0.94440000000000002</v>
      </c>
      <c r="R55" s="16">
        <v>0</v>
      </c>
      <c r="S55" s="15">
        <v>17.82</v>
      </c>
      <c r="T55" s="15"/>
      <c r="U55" s="15"/>
      <c r="V55" s="15">
        <v>88.64</v>
      </c>
      <c r="W55" s="15">
        <v>65.989999999999995</v>
      </c>
      <c r="X55" s="15">
        <v>132</v>
      </c>
      <c r="Y55" s="15"/>
    </row>
    <row r="56" spans="2:25" x14ac:dyDescent="0.35">
      <c r="B56" s="13">
        <v>46224</v>
      </c>
      <c r="C56" s="13" t="str">
        <f t="shared" si="2"/>
        <v>Tue</v>
      </c>
      <c r="D56" s="14">
        <v>0.32291666666666669</v>
      </c>
      <c r="E56" s="14" t="s">
        <v>31</v>
      </c>
      <c r="F56" s="15">
        <v>198.41</v>
      </c>
      <c r="G56" s="15">
        <v>142</v>
      </c>
      <c r="H56" s="16">
        <v>-0.2843</v>
      </c>
      <c r="I56" s="17">
        <v>359.32</v>
      </c>
      <c r="J56" s="17">
        <v>322.94</v>
      </c>
      <c r="K56" s="17">
        <f t="shared" si="3"/>
        <v>45857.48</v>
      </c>
      <c r="L56" s="15">
        <f t="shared" si="4"/>
        <v>0</v>
      </c>
      <c r="M56" s="16">
        <v>-0.1012</v>
      </c>
      <c r="N56" s="16">
        <v>0.88</v>
      </c>
      <c r="O56" s="18">
        <v>0</v>
      </c>
      <c r="P56" s="18">
        <f t="shared" si="5"/>
        <v>124.96</v>
      </c>
      <c r="Q56" s="16">
        <v>0.86299999999999999</v>
      </c>
      <c r="R56" s="16">
        <v>7.0000000000000001E-3</v>
      </c>
      <c r="S56" s="15">
        <v>24.54</v>
      </c>
      <c r="T56" s="15"/>
      <c r="U56" s="15"/>
      <c r="V56" s="15">
        <v>135.34</v>
      </c>
      <c r="W56" s="15">
        <v>92.1</v>
      </c>
      <c r="X56" s="15">
        <v>145.87</v>
      </c>
      <c r="Y56" s="15"/>
    </row>
    <row r="57" spans="2:25" x14ac:dyDescent="0.35">
      <c r="B57" s="13">
        <v>46224</v>
      </c>
      <c r="C57" s="13" t="str">
        <f t="shared" si="2"/>
        <v>Tue</v>
      </c>
      <c r="D57" s="14">
        <v>0.33333333333333331</v>
      </c>
      <c r="E57" s="14" t="s">
        <v>31</v>
      </c>
      <c r="F57" s="15">
        <v>303.62</v>
      </c>
      <c r="G57" s="15">
        <v>292</v>
      </c>
      <c r="H57" s="16">
        <v>-3.8300000000000001E-2</v>
      </c>
      <c r="I57" s="17">
        <v>362.89</v>
      </c>
      <c r="J57" s="17">
        <v>352.19</v>
      </c>
      <c r="K57" s="17">
        <f t="shared" si="3"/>
        <v>102839.48</v>
      </c>
      <c r="L57" s="15">
        <f t="shared" si="4"/>
        <v>0</v>
      </c>
      <c r="M57" s="16">
        <v>-2.9499999999999998E-2</v>
      </c>
      <c r="N57" s="16">
        <v>0.92</v>
      </c>
      <c r="O57" s="18">
        <v>0</v>
      </c>
      <c r="P57" s="18">
        <f t="shared" si="5"/>
        <v>268.64</v>
      </c>
      <c r="Q57" s="16">
        <v>0.9849</v>
      </c>
      <c r="R57" s="16">
        <v>1.37E-2</v>
      </c>
      <c r="S57" s="15">
        <v>20.49</v>
      </c>
      <c r="T57" s="15"/>
      <c r="U57" s="15"/>
      <c r="V57" s="15">
        <v>193.38</v>
      </c>
      <c r="W57" s="15">
        <v>173.74</v>
      </c>
      <c r="X57" s="15">
        <v>312.07</v>
      </c>
      <c r="Y57" s="15"/>
    </row>
    <row r="58" spans="2:25" x14ac:dyDescent="0.35">
      <c r="B58" s="13">
        <v>46224</v>
      </c>
      <c r="C58" s="13" t="str">
        <f t="shared" si="2"/>
        <v>Tue</v>
      </c>
      <c r="D58" s="14">
        <v>0.34375</v>
      </c>
      <c r="E58" s="14" t="s">
        <v>31</v>
      </c>
      <c r="F58" s="15">
        <v>434.99</v>
      </c>
      <c r="G58" s="15">
        <v>416</v>
      </c>
      <c r="H58" s="16">
        <v>-4.3700000000000003E-2</v>
      </c>
      <c r="I58" s="17">
        <v>375.29</v>
      </c>
      <c r="J58" s="17">
        <v>373.33</v>
      </c>
      <c r="K58" s="17">
        <f t="shared" si="3"/>
        <v>155305.28</v>
      </c>
      <c r="L58" s="15">
        <f t="shared" si="4"/>
        <v>0</v>
      </c>
      <c r="M58" s="16">
        <v>-5.1999999999999998E-3</v>
      </c>
      <c r="N58" s="16">
        <v>0.9</v>
      </c>
      <c r="O58" s="18">
        <v>0</v>
      </c>
      <c r="P58" s="18">
        <f t="shared" si="5"/>
        <v>374.40000000000003</v>
      </c>
      <c r="Q58" s="16">
        <v>0.9123</v>
      </c>
      <c r="R58" s="16">
        <v>7.1999999999999998E-3</v>
      </c>
      <c r="S58" s="15">
        <v>18.63</v>
      </c>
      <c r="T58" s="15"/>
      <c r="U58" s="15"/>
      <c r="V58" s="15">
        <v>267.33999999999997</v>
      </c>
      <c r="W58" s="15">
        <v>250.14</v>
      </c>
      <c r="X58" s="15">
        <v>314.73</v>
      </c>
      <c r="Y58" s="15"/>
    </row>
    <row r="59" spans="2:25" x14ac:dyDescent="0.35">
      <c r="B59" s="13">
        <v>46224</v>
      </c>
      <c r="C59" s="13" t="str">
        <f t="shared" si="2"/>
        <v>Tue</v>
      </c>
      <c r="D59" s="14">
        <v>0.35416666666666669</v>
      </c>
      <c r="E59" s="14" t="s">
        <v>31</v>
      </c>
      <c r="F59" s="15">
        <v>524.24</v>
      </c>
      <c r="G59" s="15">
        <v>468</v>
      </c>
      <c r="H59" s="16">
        <v>-0.10730000000000001</v>
      </c>
      <c r="I59" s="17">
        <v>383.97</v>
      </c>
      <c r="J59" s="17">
        <v>364.59</v>
      </c>
      <c r="K59" s="17">
        <f t="shared" si="3"/>
        <v>170628.12</v>
      </c>
      <c r="L59" s="15">
        <f t="shared" si="4"/>
        <v>0</v>
      </c>
      <c r="M59" s="16">
        <v>-5.0500000000000003E-2</v>
      </c>
      <c r="N59" s="16">
        <v>0.93</v>
      </c>
      <c r="O59" s="18">
        <v>0</v>
      </c>
      <c r="P59" s="18">
        <f t="shared" si="5"/>
        <v>435.24</v>
      </c>
      <c r="Q59" s="16">
        <v>0.91979999999999995</v>
      </c>
      <c r="R59" s="16">
        <v>0</v>
      </c>
      <c r="S59" s="15">
        <v>13.14</v>
      </c>
      <c r="T59" s="15"/>
      <c r="U59" s="15"/>
      <c r="V59" s="15">
        <v>320.66000000000003</v>
      </c>
      <c r="W59" s="15">
        <v>269.7</v>
      </c>
      <c r="X59" s="15">
        <v>390.87</v>
      </c>
      <c r="Y59" s="15"/>
    </row>
    <row r="60" spans="2:25" x14ac:dyDescent="0.35">
      <c r="B60" s="13">
        <v>46224</v>
      </c>
      <c r="C60" s="13" t="str">
        <f t="shared" si="2"/>
        <v>Tue</v>
      </c>
      <c r="D60" s="14">
        <v>0.36458333333333331</v>
      </c>
      <c r="E60" s="14" t="s">
        <v>31</v>
      </c>
      <c r="F60" s="15">
        <v>604.5</v>
      </c>
      <c r="G60" s="15">
        <v>615</v>
      </c>
      <c r="H60" s="16">
        <v>1.7399999999999999E-2</v>
      </c>
      <c r="I60" s="17">
        <v>393.28</v>
      </c>
      <c r="J60" s="17">
        <v>378.88</v>
      </c>
      <c r="K60" s="17">
        <f t="shared" si="3"/>
        <v>233011.20000000001</v>
      </c>
      <c r="L60" s="15">
        <f t="shared" si="4"/>
        <v>0</v>
      </c>
      <c r="M60" s="16">
        <v>-3.6600000000000001E-2</v>
      </c>
      <c r="N60" s="16">
        <v>0.92</v>
      </c>
      <c r="O60" s="18">
        <v>0</v>
      </c>
      <c r="P60" s="18">
        <f t="shared" si="5"/>
        <v>565.80000000000007</v>
      </c>
      <c r="Q60" s="16">
        <v>0.88649999999999995</v>
      </c>
      <c r="R60" s="16">
        <v>6.4999999999999997E-3</v>
      </c>
      <c r="S60" s="15">
        <v>13.88</v>
      </c>
      <c r="T60" s="15"/>
      <c r="U60" s="15"/>
      <c r="V60" s="15">
        <v>369.37</v>
      </c>
      <c r="W60" s="15">
        <v>348.31</v>
      </c>
      <c r="X60" s="15">
        <v>400.4</v>
      </c>
      <c r="Y60" s="15"/>
    </row>
    <row r="61" spans="2:25" x14ac:dyDescent="0.35">
      <c r="B61" s="13">
        <v>46224</v>
      </c>
      <c r="C61" s="13" t="str">
        <f t="shared" si="2"/>
        <v>Tue</v>
      </c>
      <c r="D61" s="14">
        <v>0.375</v>
      </c>
      <c r="E61" s="14" t="s">
        <v>31</v>
      </c>
      <c r="F61" s="15">
        <v>691.58</v>
      </c>
      <c r="G61" s="15">
        <v>658</v>
      </c>
      <c r="H61" s="16">
        <v>-4.8599999999999997E-2</v>
      </c>
      <c r="I61" s="17">
        <v>397.59</v>
      </c>
      <c r="J61" s="17">
        <v>388.05</v>
      </c>
      <c r="K61" s="17">
        <f t="shared" si="3"/>
        <v>255336.9</v>
      </c>
      <c r="L61" s="15">
        <f t="shared" si="4"/>
        <v>0</v>
      </c>
      <c r="M61" s="16">
        <v>-2.4E-2</v>
      </c>
      <c r="N61" s="16">
        <v>0.89</v>
      </c>
      <c r="O61" s="18">
        <v>0</v>
      </c>
      <c r="P61" s="18">
        <f t="shared" si="5"/>
        <v>585.62</v>
      </c>
      <c r="Q61" s="16">
        <v>0.88500000000000001</v>
      </c>
      <c r="R61" s="16">
        <v>4.5999999999999999E-3</v>
      </c>
      <c r="S61" s="15">
        <v>20.23</v>
      </c>
      <c r="T61" s="15"/>
      <c r="U61" s="15"/>
      <c r="V61" s="15">
        <v>418.1</v>
      </c>
      <c r="W61" s="15">
        <v>378.3</v>
      </c>
      <c r="X61" s="15">
        <v>459.33</v>
      </c>
      <c r="Y61" s="15"/>
    </row>
    <row r="62" spans="2:25" x14ac:dyDescent="0.35">
      <c r="B62" s="13">
        <v>46224</v>
      </c>
      <c r="C62" s="13" t="str">
        <f t="shared" si="2"/>
        <v>Tue</v>
      </c>
      <c r="D62" s="14">
        <v>0.38541666666666669</v>
      </c>
      <c r="E62" s="14" t="s">
        <v>31</v>
      </c>
      <c r="F62" s="15">
        <v>771</v>
      </c>
      <c r="G62" s="15">
        <v>770</v>
      </c>
      <c r="H62" s="16">
        <v>-1.2999999999999999E-3</v>
      </c>
      <c r="I62" s="17">
        <v>403.88</v>
      </c>
      <c r="J62" s="17">
        <v>390.06</v>
      </c>
      <c r="K62" s="17">
        <f t="shared" si="3"/>
        <v>300346.2</v>
      </c>
      <c r="L62" s="15">
        <f t="shared" si="4"/>
        <v>0</v>
      </c>
      <c r="M62" s="16">
        <v>-3.4200000000000001E-2</v>
      </c>
      <c r="N62" s="16">
        <v>0.79</v>
      </c>
      <c r="O62" s="18">
        <v>1</v>
      </c>
      <c r="P62" s="18">
        <f t="shared" si="5"/>
        <v>608.30000000000007</v>
      </c>
      <c r="Q62" s="16">
        <v>0.88109999999999999</v>
      </c>
      <c r="R62" s="16">
        <v>1.04E-2</v>
      </c>
      <c r="S62" s="15">
        <v>26.22</v>
      </c>
      <c r="T62" s="15"/>
      <c r="U62" s="15"/>
      <c r="V62" s="15">
        <v>465.84</v>
      </c>
      <c r="W62" s="15">
        <v>435.28</v>
      </c>
      <c r="X62" s="15">
        <v>481.4</v>
      </c>
      <c r="Y62" s="15"/>
    </row>
    <row r="63" spans="2:25" x14ac:dyDescent="0.35">
      <c r="B63" s="13">
        <v>46224</v>
      </c>
      <c r="C63" s="13" t="str">
        <f t="shared" si="2"/>
        <v>Tue</v>
      </c>
      <c r="D63" s="14">
        <v>0.39583333333333331</v>
      </c>
      <c r="E63" s="14" t="s">
        <v>31</v>
      </c>
      <c r="F63" s="15">
        <v>832.57</v>
      </c>
      <c r="G63" s="15">
        <v>805</v>
      </c>
      <c r="H63" s="16">
        <v>-3.3099999999999997E-2</v>
      </c>
      <c r="I63" s="17">
        <v>410.83</v>
      </c>
      <c r="J63" s="17">
        <v>400.55</v>
      </c>
      <c r="K63" s="17">
        <f t="shared" si="3"/>
        <v>322442.75</v>
      </c>
      <c r="L63" s="15">
        <f t="shared" si="4"/>
        <v>0</v>
      </c>
      <c r="M63" s="16">
        <v>-2.5000000000000001E-2</v>
      </c>
      <c r="N63" s="16">
        <v>0.86</v>
      </c>
      <c r="O63" s="18">
        <v>0</v>
      </c>
      <c r="P63" s="18">
        <f t="shared" si="5"/>
        <v>692.3</v>
      </c>
      <c r="Q63" s="16">
        <v>0.88300000000000001</v>
      </c>
      <c r="R63" s="16">
        <v>1.12E-2</v>
      </c>
      <c r="S63" s="15">
        <v>28.62</v>
      </c>
      <c r="T63" s="15"/>
      <c r="U63" s="15"/>
      <c r="V63" s="15">
        <v>504.21</v>
      </c>
      <c r="W63" s="15">
        <v>467.08</v>
      </c>
      <c r="X63" s="15">
        <v>533.79999999999995</v>
      </c>
      <c r="Y63" s="15"/>
    </row>
    <row r="64" spans="2:25" x14ac:dyDescent="0.35">
      <c r="B64" s="13">
        <v>46224</v>
      </c>
      <c r="C64" s="13" t="str">
        <f t="shared" si="2"/>
        <v>Tue</v>
      </c>
      <c r="D64" s="14">
        <v>0.40625</v>
      </c>
      <c r="E64" s="14" t="s">
        <v>31</v>
      </c>
      <c r="F64" s="15">
        <v>867.69</v>
      </c>
      <c r="G64" s="15">
        <v>793</v>
      </c>
      <c r="H64" s="16">
        <v>-8.6099999999999996E-2</v>
      </c>
      <c r="I64" s="17">
        <v>418.16</v>
      </c>
      <c r="J64" s="17">
        <v>411.53</v>
      </c>
      <c r="K64" s="17">
        <f t="shared" si="3"/>
        <v>326343.28999999998</v>
      </c>
      <c r="L64" s="15">
        <f t="shared" si="4"/>
        <v>0</v>
      </c>
      <c r="M64" s="16">
        <v>-1.5800000000000002E-2</v>
      </c>
      <c r="N64" s="16">
        <v>0.91</v>
      </c>
      <c r="O64" s="18">
        <v>0</v>
      </c>
      <c r="P64" s="18">
        <f t="shared" si="5"/>
        <v>721.63</v>
      </c>
      <c r="Q64" s="16">
        <v>0.84819999999999995</v>
      </c>
      <c r="R64" s="16">
        <v>8.8000000000000005E-3</v>
      </c>
      <c r="S64" s="15">
        <v>17.28</v>
      </c>
      <c r="T64" s="15"/>
      <c r="U64" s="15"/>
      <c r="V64" s="15">
        <v>531.75</v>
      </c>
      <c r="W64" s="15">
        <v>464.26</v>
      </c>
      <c r="X64" s="15">
        <v>533.73</v>
      </c>
      <c r="Y64" s="15"/>
    </row>
    <row r="65" spans="2:25" x14ac:dyDescent="0.35">
      <c r="B65" s="13">
        <v>46224</v>
      </c>
      <c r="C65" s="13" t="str">
        <f t="shared" si="2"/>
        <v>Tue</v>
      </c>
      <c r="D65" s="14">
        <v>0.41666666666666669</v>
      </c>
      <c r="E65" s="14" t="s">
        <v>31</v>
      </c>
      <c r="F65" s="15">
        <v>893.75</v>
      </c>
      <c r="G65" s="15">
        <v>830</v>
      </c>
      <c r="H65" s="16">
        <v>-7.1300000000000002E-2</v>
      </c>
      <c r="I65" s="17">
        <v>422.15</v>
      </c>
      <c r="J65" s="17">
        <v>412.16</v>
      </c>
      <c r="K65" s="17">
        <f t="shared" si="3"/>
        <v>342092.80000000005</v>
      </c>
      <c r="L65" s="15">
        <f t="shared" si="4"/>
        <v>0</v>
      </c>
      <c r="M65" s="16">
        <v>-2.3699999999999999E-2</v>
      </c>
      <c r="N65" s="16">
        <v>0.91</v>
      </c>
      <c r="O65" s="18">
        <v>0</v>
      </c>
      <c r="P65" s="18">
        <f t="shared" si="5"/>
        <v>755.30000000000007</v>
      </c>
      <c r="Q65" s="16">
        <v>0.87339999999999995</v>
      </c>
      <c r="R65" s="16">
        <v>8.3999999999999995E-3</v>
      </c>
      <c r="S65" s="15">
        <v>18.91</v>
      </c>
      <c r="T65" s="15"/>
      <c r="U65" s="15"/>
      <c r="V65" s="15">
        <v>549.88</v>
      </c>
      <c r="W65" s="15">
        <v>484.69</v>
      </c>
      <c r="X65" s="15">
        <v>559.53</v>
      </c>
      <c r="Y65" s="15"/>
    </row>
    <row r="66" spans="2:25" x14ac:dyDescent="0.35">
      <c r="B66" s="13">
        <v>46224</v>
      </c>
      <c r="C66" s="13" t="str">
        <f t="shared" si="2"/>
        <v>Tue</v>
      </c>
      <c r="D66" s="14">
        <v>0.42708333333333331</v>
      </c>
      <c r="E66" s="14" t="s">
        <v>31</v>
      </c>
      <c r="F66" s="15">
        <v>909.16</v>
      </c>
      <c r="G66" s="15">
        <v>910</v>
      </c>
      <c r="H66" s="16">
        <v>8.9999999999999998E-4</v>
      </c>
      <c r="I66" s="17">
        <v>426.98</v>
      </c>
      <c r="J66" s="17">
        <v>417.6</v>
      </c>
      <c r="K66" s="17">
        <f t="shared" si="3"/>
        <v>380016</v>
      </c>
      <c r="L66" s="15">
        <f t="shared" si="4"/>
        <v>0</v>
      </c>
      <c r="M66" s="16">
        <v>-2.1999999999999999E-2</v>
      </c>
      <c r="N66" s="16">
        <v>0.88</v>
      </c>
      <c r="O66" s="18">
        <v>0</v>
      </c>
      <c r="P66" s="18">
        <f t="shared" si="5"/>
        <v>800.8</v>
      </c>
      <c r="Q66" s="16">
        <v>0.85599999999999998</v>
      </c>
      <c r="R66" s="16">
        <v>9.9000000000000008E-3</v>
      </c>
      <c r="S66" s="15">
        <v>21.3</v>
      </c>
      <c r="T66" s="15"/>
      <c r="U66" s="15"/>
      <c r="V66" s="15">
        <v>566.41</v>
      </c>
      <c r="W66" s="15">
        <v>535.17999999999995</v>
      </c>
      <c r="X66" s="15">
        <v>571.79999999999995</v>
      </c>
      <c r="Y66" s="15"/>
    </row>
    <row r="67" spans="2:25" x14ac:dyDescent="0.35">
      <c r="B67" s="13">
        <v>46224</v>
      </c>
      <c r="C67" s="13" t="str">
        <f t="shared" si="2"/>
        <v>Tue</v>
      </c>
      <c r="D67" s="14">
        <v>0.4375</v>
      </c>
      <c r="E67" s="14" t="s">
        <v>31</v>
      </c>
      <c r="F67" s="15">
        <v>914.51</v>
      </c>
      <c r="G67" s="15">
        <v>954</v>
      </c>
      <c r="H67" s="16">
        <v>4.3200000000000002E-2</v>
      </c>
      <c r="I67" s="17">
        <v>431.79</v>
      </c>
      <c r="J67" s="17">
        <v>421.5</v>
      </c>
      <c r="K67" s="17">
        <f t="shared" si="3"/>
        <v>402111</v>
      </c>
      <c r="L67" s="15">
        <f t="shared" si="4"/>
        <v>0</v>
      </c>
      <c r="M67" s="16">
        <v>-2.3800000000000002E-2</v>
      </c>
      <c r="N67" s="16">
        <v>0.87</v>
      </c>
      <c r="O67" s="18">
        <v>0</v>
      </c>
      <c r="P67" s="18">
        <f t="shared" si="5"/>
        <v>829.98</v>
      </c>
      <c r="Q67" s="16">
        <v>0.8992</v>
      </c>
      <c r="R67" s="16">
        <v>1.0500000000000001E-2</v>
      </c>
      <c r="S67" s="15">
        <v>23.1</v>
      </c>
      <c r="T67" s="15"/>
      <c r="U67" s="15"/>
      <c r="V67" s="15">
        <v>577.17999999999995</v>
      </c>
      <c r="W67" s="15">
        <v>563.01</v>
      </c>
      <c r="X67" s="15">
        <v>602.87</v>
      </c>
      <c r="Y67" s="15"/>
    </row>
    <row r="68" spans="2:25" x14ac:dyDescent="0.35">
      <c r="B68" s="13">
        <v>46224</v>
      </c>
      <c r="C68" s="13" t="str">
        <f t="shared" si="2"/>
        <v>Tue</v>
      </c>
      <c r="D68" s="14">
        <v>0.44791666666666669</v>
      </c>
      <c r="E68" s="14" t="s">
        <v>31</v>
      </c>
      <c r="F68" s="15">
        <v>933.25</v>
      </c>
      <c r="G68" s="15">
        <v>893</v>
      </c>
      <c r="H68" s="16">
        <v>-4.3099999999999999E-2</v>
      </c>
      <c r="I68" s="17">
        <v>432.55</v>
      </c>
      <c r="J68" s="17">
        <v>430.21</v>
      </c>
      <c r="K68" s="17">
        <f t="shared" si="3"/>
        <v>384177.52999999997</v>
      </c>
      <c r="L68" s="15">
        <f t="shared" si="4"/>
        <v>0</v>
      </c>
      <c r="M68" s="16">
        <v>-5.4000000000000003E-3</v>
      </c>
      <c r="N68" s="16">
        <v>0.88</v>
      </c>
      <c r="O68" s="18">
        <v>0</v>
      </c>
      <c r="P68" s="18">
        <f t="shared" si="5"/>
        <v>785.84</v>
      </c>
      <c r="Q68" s="16">
        <v>0.88400000000000001</v>
      </c>
      <c r="R68" s="16">
        <v>1.12E-2</v>
      </c>
      <c r="S68" s="15">
        <v>24.96</v>
      </c>
      <c r="T68" s="15"/>
      <c r="U68" s="15"/>
      <c r="V68" s="15">
        <v>589.41</v>
      </c>
      <c r="W68" s="15">
        <v>541.37</v>
      </c>
      <c r="X68" s="15">
        <v>615.20000000000005</v>
      </c>
      <c r="Y68" s="15"/>
    </row>
    <row r="69" spans="2:25" x14ac:dyDescent="0.35">
      <c r="B69" s="13">
        <v>46224</v>
      </c>
      <c r="C69" s="13" t="str">
        <f t="shared" si="2"/>
        <v>Tue</v>
      </c>
      <c r="D69" s="14">
        <v>0.45833333333333331</v>
      </c>
      <c r="E69" s="14" t="s">
        <v>31</v>
      </c>
      <c r="F69" s="15">
        <v>947.72</v>
      </c>
      <c r="G69" s="15">
        <v>891</v>
      </c>
      <c r="H69" s="16">
        <v>-5.9900000000000002E-2</v>
      </c>
      <c r="I69" s="17">
        <v>435.24</v>
      </c>
      <c r="J69" s="17">
        <v>433.02</v>
      </c>
      <c r="K69" s="17">
        <f t="shared" si="3"/>
        <v>385820.82</v>
      </c>
      <c r="L69" s="15">
        <f t="shared" si="4"/>
        <v>0</v>
      </c>
      <c r="M69" s="16">
        <v>-5.1000000000000004E-3</v>
      </c>
      <c r="N69" s="16">
        <v>0.89</v>
      </c>
      <c r="O69" s="18">
        <v>0</v>
      </c>
      <c r="P69" s="18">
        <f t="shared" si="5"/>
        <v>792.99</v>
      </c>
      <c r="Q69" s="16">
        <v>0.87870000000000004</v>
      </c>
      <c r="R69" s="16">
        <v>1.9099999999999999E-2</v>
      </c>
      <c r="S69" s="15">
        <v>26.22</v>
      </c>
      <c r="T69" s="15"/>
      <c r="U69" s="15"/>
      <c r="V69" s="15">
        <v>599.66999999999996</v>
      </c>
      <c r="W69" s="15">
        <v>543.73</v>
      </c>
      <c r="X69" s="15">
        <v>629.20000000000005</v>
      </c>
      <c r="Y69" s="15"/>
    </row>
    <row r="70" spans="2:25" x14ac:dyDescent="0.35">
      <c r="B70" s="13">
        <v>46224</v>
      </c>
      <c r="C70" s="13" t="str">
        <f t="shared" ref="C70:C133" si="6">TEXT(B70,"DDD")</f>
        <v>Tue</v>
      </c>
      <c r="D70" s="14">
        <v>0.46875</v>
      </c>
      <c r="E70" s="14" t="s">
        <v>31</v>
      </c>
      <c r="F70" s="15">
        <v>943.85</v>
      </c>
      <c r="G70" s="15">
        <v>925</v>
      </c>
      <c r="H70" s="16">
        <v>-0.02</v>
      </c>
      <c r="I70" s="17">
        <v>436.48</v>
      </c>
      <c r="J70" s="17">
        <v>454.17</v>
      </c>
      <c r="K70" s="17">
        <f t="shared" ref="K70:K133" si="7">J70*G70</f>
        <v>420107.25</v>
      </c>
      <c r="L70" s="15">
        <f t="shared" ref="L70:L133" si="8">IF(J70&gt;I70,1,0)</f>
        <v>1</v>
      </c>
      <c r="M70" s="16">
        <v>4.0500000000000001E-2</v>
      </c>
      <c r="N70" s="16">
        <v>0.87</v>
      </c>
      <c r="O70" s="18">
        <v>0</v>
      </c>
      <c r="P70" s="18">
        <f t="shared" ref="P70:P133" si="9">N70*G70</f>
        <v>804.75</v>
      </c>
      <c r="Q70" s="16">
        <v>0.88629999999999998</v>
      </c>
      <c r="R70" s="16">
        <v>1.6199999999999999E-2</v>
      </c>
      <c r="S70" s="15">
        <v>22.77</v>
      </c>
      <c r="T70" s="15"/>
      <c r="U70" s="15"/>
      <c r="V70" s="15">
        <v>596.80999999999995</v>
      </c>
      <c r="W70" s="15">
        <v>585.49</v>
      </c>
      <c r="X70" s="15">
        <v>626.66999999999996</v>
      </c>
      <c r="Y70" s="15"/>
    </row>
    <row r="71" spans="2:25" x14ac:dyDescent="0.35">
      <c r="B71" s="13">
        <v>46224</v>
      </c>
      <c r="C71" s="13" t="str">
        <f t="shared" si="6"/>
        <v>Tue</v>
      </c>
      <c r="D71" s="14">
        <v>0.47916666666666669</v>
      </c>
      <c r="E71" s="14" t="s">
        <v>31</v>
      </c>
      <c r="F71" s="15">
        <v>928.79</v>
      </c>
      <c r="G71" s="15">
        <v>947</v>
      </c>
      <c r="H71" s="16">
        <v>1.9599999999999999E-2</v>
      </c>
      <c r="I71" s="17">
        <v>438.18</v>
      </c>
      <c r="J71" s="17">
        <v>419.03</v>
      </c>
      <c r="K71" s="17">
        <f t="shared" si="7"/>
        <v>396821.41</v>
      </c>
      <c r="L71" s="15">
        <f t="shared" si="8"/>
        <v>0</v>
      </c>
      <c r="M71" s="16">
        <v>-4.3700000000000003E-2</v>
      </c>
      <c r="N71" s="16">
        <v>0.79</v>
      </c>
      <c r="O71" s="18">
        <v>1</v>
      </c>
      <c r="P71" s="18">
        <f t="shared" si="9"/>
        <v>748.13</v>
      </c>
      <c r="Q71" s="16">
        <v>0.87709999999999999</v>
      </c>
      <c r="R71" s="16">
        <v>1.2699999999999999E-2</v>
      </c>
      <c r="S71" s="15">
        <v>29.33</v>
      </c>
      <c r="T71" s="15"/>
      <c r="U71" s="15"/>
      <c r="V71" s="15">
        <v>590.23</v>
      </c>
      <c r="W71" s="15">
        <v>556.5</v>
      </c>
      <c r="X71" s="15">
        <v>615.07000000000005</v>
      </c>
      <c r="Y71" s="15"/>
    </row>
    <row r="72" spans="2:25" x14ac:dyDescent="0.35">
      <c r="B72" s="13">
        <v>46224</v>
      </c>
      <c r="C72" s="13" t="str">
        <f t="shared" si="6"/>
        <v>Tue</v>
      </c>
      <c r="D72" s="14">
        <v>0.48958333333333331</v>
      </c>
      <c r="E72" s="14" t="s">
        <v>31</v>
      </c>
      <c r="F72" s="15">
        <v>908.05</v>
      </c>
      <c r="G72" s="15">
        <v>882</v>
      </c>
      <c r="H72" s="16">
        <v>-2.87E-2</v>
      </c>
      <c r="I72" s="17">
        <v>439.58</v>
      </c>
      <c r="J72" s="17">
        <v>444.56</v>
      </c>
      <c r="K72" s="17">
        <f t="shared" si="7"/>
        <v>392101.92</v>
      </c>
      <c r="L72" s="15">
        <f t="shared" si="8"/>
        <v>1</v>
      </c>
      <c r="M72" s="16">
        <v>1.1299999999999999E-2</v>
      </c>
      <c r="N72" s="16">
        <v>0.79</v>
      </c>
      <c r="O72" s="18">
        <v>1</v>
      </c>
      <c r="P72" s="18">
        <f t="shared" si="9"/>
        <v>696.78000000000009</v>
      </c>
      <c r="Q72" s="16">
        <v>0.88390000000000002</v>
      </c>
      <c r="R72" s="16">
        <v>2.0400000000000001E-2</v>
      </c>
      <c r="S72" s="15">
        <v>28.77</v>
      </c>
      <c r="T72" s="15"/>
      <c r="U72" s="15"/>
      <c r="V72" s="15">
        <v>580.1</v>
      </c>
      <c r="W72" s="15">
        <v>547.12</v>
      </c>
      <c r="X72" s="15">
        <v>599.6</v>
      </c>
      <c r="Y72" s="15"/>
    </row>
    <row r="73" spans="2:25" x14ac:dyDescent="0.35">
      <c r="B73" s="13">
        <v>46224</v>
      </c>
      <c r="C73" s="13" t="str">
        <f t="shared" si="6"/>
        <v>Tue</v>
      </c>
      <c r="D73" s="14">
        <v>0.5</v>
      </c>
      <c r="E73" s="14" t="s">
        <v>32</v>
      </c>
      <c r="F73" s="15">
        <v>888.05</v>
      </c>
      <c r="G73" s="15">
        <v>914</v>
      </c>
      <c r="H73" s="16">
        <v>2.92E-2</v>
      </c>
      <c r="I73" s="17">
        <v>443.03</v>
      </c>
      <c r="J73" s="17">
        <v>439.11</v>
      </c>
      <c r="K73" s="17">
        <f t="shared" si="7"/>
        <v>401346.54000000004</v>
      </c>
      <c r="L73" s="15">
        <f t="shared" si="8"/>
        <v>0</v>
      </c>
      <c r="M73" s="16">
        <v>-8.8000000000000005E-3</v>
      </c>
      <c r="N73" s="16">
        <v>0.75</v>
      </c>
      <c r="O73" s="18">
        <v>1</v>
      </c>
      <c r="P73" s="18">
        <f t="shared" si="9"/>
        <v>685.5</v>
      </c>
      <c r="Q73" s="16">
        <v>0.877</v>
      </c>
      <c r="R73" s="16">
        <v>2.0799999999999999E-2</v>
      </c>
      <c r="S73" s="15">
        <v>25.15</v>
      </c>
      <c r="T73" s="15"/>
      <c r="U73" s="15"/>
      <c r="V73" s="15">
        <v>572.01</v>
      </c>
      <c r="W73" s="15">
        <v>559.01</v>
      </c>
      <c r="X73" s="15">
        <v>590.20000000000005</v>
      </c>
      <c r="Y73" s="15"/>
    </row>
    <row r="74" spans="2:25" x14ac:dyDescent="0.35">
      <c r="B74" s="13">
        <v>46224</v>
      </c>
      <c r="C74" s="13" t="str">
        <f t="shared" si="6"/>
        <v>Tue</v>
      </c>
      <c r="D74" s="14">
        <v>0.51041666666666663</v>
      </c>
      <c r="E74" s="14" t="s">
        <v>32</v>
      </c>
      <c r="F74" s="15">
        <v>869.08</v>
      </c>
      <c r="G74" s="15">
        <v>875</v>
      </c>
      <c r="H74" s="16">
        <v>6.7999999999999996E-3</v>
      </c>
      <c r="I74" s="17">
        <v>444.5</v>
      </c>
      <c r="J74" s="17">
        <v>434.2</v>
      </c>
      <c r="K74" s="17">
        <f t="shared" si="7"/>
        <v>379925</v>
      </c>
      <c r="L74" s="15">
        <f t="shared" si="8"/>
        <v>0</v>
      </c>
      <c r="M74" s="16">
        <v>-2.3199999999999998E-2</v>
      </c>
      <c r="N74" s="16">
        <v>0.87</v>
      </c>
      <c r="O74" s="18">
        <v>0</v>
      </c>
      <c r="P74" s="18">
        <f t="shared" si="9"/>
        <v>761.25</v>
      </c>
      <c r="Q74" s="16">
        <v>0.89029999999999998</v>
      </c>
      <c r="R74" s="16">
        <v>1.03E-2</v>
      </c>
      <c r="S74" s="15">
        <v>28.82</v>
      </c>
      <c r="T74" s="15"/>
      <c r="U74" s="15"/>
      <c r="V74" s="15">
        <v>562.30999999999995</v>
      </c>
      <c r="W74" s="15">
        <v>529.30999999999995</v>
      </c>
      <c r="X74" s="15">
        <v>597.13</v>
      </c>
      <c r="Y74" s="15"/>
    </row>
    <row r="75" spans="2:25" x14ac:dyDescent="0.35">
      <c r="B75" s="13">
        <v>46224</v>
      </c>
      <c r="C75" s="13" t="str">
        <f t="shared" si="6"/>
        <v>Tue</v>
      </c>
      <c r="D75" s="14">
        <v>0.52083333333333337</v>
      </c>
      <c r="E75" s="14" t="s">
        <v>32</v>
      </c>
      <c r="F75" s="15">
        <v>834.21</v>
      </c>
      <c r="G75" s="15">
        <v>843</v>
      </c>
      <c r="H75" s="16">
        <v>1.0500000000000001E-2</v>
      </c>
      <c r="I75" s="17">
        <v>445.84</v>
      </c>
      <c r="J75" s="17">
        <v>427.08</v>
      </c>
      <c r="K75" s="17">
        <f t="shared" si="7"/>
        <v>360028.44</v>
      </c>
      <c r="L75" s="15">
        <f t="shared" si="8"/>
        <v>0</v>
      </c>
      <c r="M75" s="16">
        <v>-4.2099999999999999E-2</v>
      </c>
      <c r="N75" s="16">
        <v>0.83</v>
      </c>
      <c r="O75" s="18">
        <v>0</v>
      </c>
      <c r="P75" s="18">
        <f t="shared" si="9"/>
        <v>699.68999999999994</v>
      </c>
      <c r="Q75" s="16">
        <v>0.88460000000000005</v>
      </c>
      <c r="R75" s="16">
        <v>9.4999999999999998E-3</v>
      </c>
      <c r="S75" s="15">
        <v>24.44</v>
      </c>
      <c r="T75" s="15"/>
      <c r="U75" s="15"/>
      <c r="V75" s="15">
        <v>544.25</v>
      </c>
      <c r="W75" s="15">
        <v>507.1</v>
      </c>
      <c r="X75" s="15">
        <v>572.20000000000005</v>
      </c>
      <c r="Y75" s="15"/>
    </row>
    <row r="76" spans="2:25" x14ac:dyDescent="0.35">
      <c r="B76" s="13">
        <v>46224</v>
      </c>
      <c r="C76" s="13" t="str">
        <f t="shared" si="6"/>
        <v>Tue</v>
      </c>
      <c r="D76" s="14">
        <v>0.53125</v>
      </c>
      <c r="E76" s="14" t="s">
        <v>32</v>
      </c>
      <c r="F76" s="15">
        <v>822.8</v>
      </c>
      <c r="G76" s="15">
        <v>786</v>
      </c>
      <c r="H76" s="16">
        <v>-4.4699999999999997E-2</v>
      </c>
      <c r="I76" s="17">
        <v>443.87</v>
      </c>
      <c r="J76" s="17">
        <v>435.17</v>
      </c>
      <c r="K76" s="17">
        <f t="shared" si="7"/>
        <v>342043.62</v>
      </c>
      <c r="L76" s="15">
        <f t="shared" si="8"/>
        <v>0</v>
      </c>
      <c r="M76" s="16">
        <v>-1.9599999999999999E-2</v>
      </c>
      <c r="N76" s="16">
        <v>0.8</v>
      </c>
      <c r="O76" s="18">
        <v>0</v>
      </c>
      <c r="P76" s="18">
        <f t="shared" si="9"/>
        <v>628.80000000000007</v>
      </c>
      <c r="Q76" s="16">
        <v>0.89380000000000004</v>
      </c>
      <c r="R76" s="16">
        <v>1.6500000000000001E-2</v>
      </c>
      <c r="S76" s="15">
        <v>25.1</v>
      </c>
      <c r="T76" s="15"/>
      <c r="U76" s="15"/>
      <c r="V76" s="15">
        <v>536.84</v>
      </c>
      <c r="W76" s="15">
        <v>481.77</v>
      </c>
      <c r="X76" s="15">
        <v>561.87</v>
      </c>
      <c r="Y76" s="15"/>
    </row>
    <row r="77" spans="2:25" x14ac:dyDescent="0.35">
      <c r="B77" s="13">
        <v>46224</v>
      </c>
      <c r="C77" s="13" t="str">
        <f t="shared" si="6"/>
        <v>Tue</v>
      </c>
      <c r="D77" s="14">
        <v>0.54166666666666663</v>
      </c>
      <c r="E77" s="14" t="s">
        <v>32</v>
      </c>
      <c r="F77" s="15">
        <v>815.81</v>
      </c>
      <c r="G77" s="15">
        <v>818</v>
      </c>
      <c r="H77" s="16">
        <v>2.7000000000000001E-3</v>
      </c>
      <c r="I77" s="17">
        <v>442.95</v>
      </c>
      <c r="J77" s="17">
        <v>438.15</v>
      </c>
      <c r="K77" s="17">
        <f t="shared" si="7"/>
        <v>358406.69999999995</v>
      </c>
      <c r="L77" s="15">
        <f t="shared" si="8"/>
        <v>0</v>
      </c>
      <c r="M77" s="16">
        <v>-1.0800000000000001E-2</v>
      </c>
      <c r="N77" s="16">
        <v>0.89</v>
      </c>
      <c r="O77" s="18">
        <v>0</v>
      </c>
      <c r="P77" s="18">
        <f t="shared" si="9"/>
        <v>728.02</v>
      </c>
      <c r="Q77" s="16">
        <v>0.88800000000000001</v>
      </c>
      <c r="R77" s="16">
        <v>4.8999999999999998E-3</v>
      </c>
      <c r="S77" s="15">
        <v>14.78</v>
      </c>
      <c r="T77" s="15"/>
      <c r="U77" s="15"/>
      <c r="V77" s="15">
        <v>532.29999999999995</v>
      </c>
      <c r="W77" s="15">
        <v>509.79</v>
      </c>
      <c r="X77" s="15">
        <v>559.33000000000004</v>
      </c>
      <c r="Y77" s="15"/>
    </row>
    <row r="78" spans="2:25" x14ac:dyDescent="0.35">
      <c r="B78" s="13">
        <v>46224</v>
      </c>
      <c r="C78" s="13" t="str">
        <f t="shared" si="6"/>
        <v>Tue</v>
      </c>
      <c r="D78" s="14">
        <v>0.55208333333333337</v>
      </c>
      <c r="E78" s="14" t="s">
        <v>32</v>
      </c>
      <c r="F78" s="15">
        <v>823.84</v>
      </c>
      <c r="G78" s="15">
        <v>861</v>
      </c>
      <c r="H78" s="16">
        <v>4.5100000000000001E-2</v>
      </c>
      <c r="I78" s="17">
        <v>443.98</v>
      </c>
      <c r="J78" s="17">
        <v>433.47</v>
      </c>
      <c r="K78" s="17">
        <f t="shared" si="7"/>
        <v>373217.67000000004</v>
      </c>
      <c r="L78" s="15">
        <f t="shared" si="8"/>
        <v>0</v>
      </c>
      <c r="M78" s="16">
        <v>-2.3699999999999999E-2</v>
      </c>
      <c r="N78" s="16">
        <v>0.85</v>
      </c>
      <c r="O78" s="18">
        <v>0</v>
      </c>
      <c r="P78" s="18">
        <f t="shared" si="9"/>
        <v>731.85</v>
      </c>
      <c r="Q78" s="16">
        <v>0.88100000000000001</v>
      </c>
      <c r="R78" s="16">
        <v>1.1599999999999999E-2</v>
      </c>
      <c r="S78" s="15">
        <v>22.7</v>
      </c>
      <c r="T78" s="15"/>
      <c r="U78" s="15"/>
      <c r="V78" s="15">
        <v>537.29999999999995</v>
      </c>
      <c r="W78" s="15">
        <v>531.61</v>
      </c>
      <c r="X78" s="15">
        <v>565.53</v>
      </c>
      <c r="Y78" s="15"/>
    </row>
    <row r="79" spans="2:25" x14ac:dyDescent="0.35">
      <c r="B79" s="13">
        <v>46224</v>
      </c>
      <c r="C79" s="13" t="str">
        <f t="shared" si="6"/>
        <v>Tue</v>
      </c>
      <c r="D79" s="14">
        <v>0.5625</v>
      </c>
      <c r="E79" s="14" t="s">
        <v>32</v>
      </c>
      <c r="F79" s="15">
        <v>825.54</v>
      </c>
      <c r="G79" s="15">
        <v>911</v>
      </c>
      <c r="H79" s="16">
        <v>0.10349999999999999</v>
      </c>
      <c r="I79" s="17">
        <v>445.16</v>
      </c>
      <c r="J79" s="17">
        <v>471.46</v>
      </c>
      <c r="K79" s="17">
        <f t="shared" si="7"/>
        <v>429500.06</v>
      </c>
      <c r="L79" s="15">
        <f t="shared" si="8"/>
        <v>1</v>
      </c>
      <c r="M79" s="16">
        <v>5.91E-2</v>
      </c>
      <c r="N79" s="16">
        <v>0.73</v>
      </c>
      <c r="O79" s="18">
        <v>1</v>
      </c>
      <c r="P79" s="18">
        <f t="shared" si="9"/>
        <v>665.03</v>
      </c>
      <c r="Q79" s="16">
        <v>0.874</v>
      </c>
      <c r="R79" s="16">
        <v>1.6500000000000001E-2</v>
      </c>
      <c r="S79" s="15">
        <v>44.4</v>
      </c>
      <c r="T79" s="15"/>
      <c r="U79" s="15"/>
      <c r="V79" s="15">
        <v>540.08000000000004</v>
      </c>
      <c r="W79" s="15">
        <v>594.69000000000005</v>
      </c>
      <c r="X79" s="15">
        <v>567.13</v>
      </c>
      <c r="Y79" s="15"/>
    </row>
    <row r="80" spans="2:25" x14ac:dyDescent="0.35">
      <c r="B80" s="13">
        <v>46224</v>
      </c>
      <c r="C80" s="13" t="str">
        <f t="shared" si="6"/>
        <v>Tue</v>
      </c>
      <c r="D80" s="14">
        <v>0.57291666666666663</v>
      </c>
      <c r="E80" s="14" t="s">
        <v>32</v>
      </c>
      <c r="F80" s="15">
        <v>816.98</v>
      </c>
      <c r="G80" s="15">
        <v>908</v>
      </c>
      <c r="H80" s="16">
        <v>0.1114</v>
      </c>
      <c r="I80" s="17">
        <v>445.56</v>
      </c>
      <c r="J80" s="17">
        <v>451.17</v>
      </c>
      <c r="K80" s="17">
        <f t="shared" si="7"/>
        <v>409662.36</v>
      </c>
      <c r="L80" s="15">
        <f t="shared" si="8"/>
        <v>1</v>
      </c>
      <c r="M80" s="16">
        <v>1.26E-2</v>
      </c>
      <c r="N80" s="16">
        <v>0.69</v>
      </c>
      <c r="O80" s="18">
        <v>1</v>
      </c>
      <c r="P80" s="18">
        <f t="shared" si="9"/>
        <v>626.52</v>
      </c>
      <c r="Q80" s="16">
        <v>0.87490000000000001</v>
      </c>
      <c r="R80" s="16">
        <v>2.75E-2</v>
      </c>
      <c r="S80" s="15">
        <v>50.82</v>
      </c>
      <c r="T80" s="15"/>
      <c r="U80" s="15"/>
      <c r="V80" s="15">
        <v>535.79</v>
      </c>
      <c r="W80" s="15">
        <v>576.4</v>
      </c>
      <c r="X80" s="15">
        <v>568.53</v>
      </c>
      <c r="Y80" s="15"/>
    </row>
    <row r="81" spans="2:25" x14ac:dyDescent="0.35">
      <c r="B81" s="13">
        <v>46224</v>
      </c>
      <c r="C81" s="13" t="str">
        <f t="shared" si="6"/>
        <v>Tue</v>
      </c>
      <c r="D81" s="14">
        <v>0.58333333333333337</v>
      </c>
      <c r="E81" s="14" t="s">
        <v>32</v>
      </c>
      <c r="F81" s="15">
        <v>820.71</v>
      </c>
      <c r="G81" s="15">
        <v>915</v>
      </c>
      <c r="H81" s="16">
        <v>0.1149</v>
      </c>
      <c r="I81" s="17">
        <v>444.64</v>
      </c>
      <c r="J81" s="17">
        <v>451.27</v>
      </c>
      <c r="K81" s="17">
        <f t="shared" si="7"/>
        <v>412912.05</v>
      </c>
      <c r="L81" s="15">
        <f t="shared" si="8"/>
        <v>1</v>
      </c>
      <c r="M81" s="16">
        <v>1.49E-2</v>
      </c>
      <c r="N81" s="16">
        <v>0.49</v>
      </c>
      <c r="O81" s="18">
        <v>1</v>
      </c>
      <c r="P81" s="18">
        <f t="shared" si="9"/>
        <v>448.34999999999997</v>
      </c>
      <c r="Q81" s="16">
        <v>0.87990000000000002</v>
      </c>
      <c r="R81" s="16">
        <v>3.61E-2</v>
      </c>
      <c r="S81" s="15">
        <v>65.64</v>
      </c>
      <c r="T81" s="15"/>
      <c r="U81" s="15"/>
      <c r="V81" s="15">
        <v>538.21</v>
      </c>
      <c r="W81" s="15">
        <v>579.55999999999995</v>
      </c>
      <c r="X81" s="15">
        <v>560.33000000000004</v>
      </c>
      <c r="Y81" s="15"/>
    </row>
    <row r="82" spans="2:25" x14ac:dyDescent="0.35">
      <c r="B82" s="13">
        <v>46224</v>
      </c>
      <c r="C82" s="13" t="str">
        <f t="shared" si="6"/>
        <v>Tue</v>
      </c>
      <c r="D82" s="14">
        <v>0.59375</v>
      </c>
      <c r="E82" s="14" t="s">
        <v>32</v>
      </c>
      <c r="F82" s="15">
        <v>822.1</v>
      </c>
      <c r="G82" s="15">
        <v>841</v>
      </c>
      <c r="H82" s="16">
        <v>2.3E-2</v>
      </c>
      <c r="I82" s="17">
        <v>446.29</v>
      </c>
      <c r="J82" s="17">
        <v>446.36</v>
      </c>
      <c r="K82" s="17">
        <f t="shared" si="7"/>
        <v>375388.76</v>
      </c>
      <c r="L82" s="15">
        <f t="shared" si="8"/>
        <v>1</v>
      </c>
      <c r="M82" s="16">
        <v>2.0000000000000001E-4</v>
      </c>
      <c r="N82" s="16">
        <v>0.57999999999999996</v>
      </c>
      <c r="O82" s="18">
        <v>1</v>
      </c>
      <c r="P82" s="18">
        <f t="shared" si="9"/>
        <v>487.78</v>
      </c>
      <c r="Q82" s="16">
        <v>0.88460000000000005</v>
      </c>
      <c r="R82" s="16">
        <v>3.4500000000000003E-2</v>
      </c>
      <c r="S82" s="15">
        <v>55.66</v>
      </c>
      <c r="T82" s="15"/>
      <c r="U82" s="15"/>
      <c r="V82" s="15">
        <v>539.62</v>
      </c>
      <c r="W82" s="15">
        <v>531.47</v>
      </c>
      <c r="X82" s="15">
        <v>564.33000000000004</v>
      </c>
      <c r="Y82" s="15"/>
    </row>
    <row r="83" spans="2:25" x14ac:dyDescent="0.35">
      <c r="B83" s="13">
        <v>46224</v>
      </c>
      <c r="C83" s="13" t="str">
        <f t="shared" si="6"/>
        <v>Tue</v>
      </c>
      <c r="D83" s="14">
        <v>0.60416666666666663</v>
      </c>
      <c r="E83" s="14" t="s">
        <v>32</v>
      </c>
      <c r="F83" s="15">
        <v>828.38</v>
      </c>
      <c r="G83" s="15">
        <v>826</v>
      </c>
      <c r="H83" s="16">
        <v>-2.8999999999999998E-3</v>
      </c>
      <c r="I83" s="17">
        <v>448.47</v>
      </c>
      <c r="J83" s="17">
        <v>455.01</v>
      </c>
      <c r="K83" s="17">
        <f t="shared" si="7"/>
        <v>375838.26</v>
      </c>
      <c r="L83" s="15">
        <f t="shared" si="8"/>
        <v>1</v>
      </c>
      <c r="M83" s="16">
        <v>1.46E-2</v>
      </c>
      <c r="N83" s="16">
        <v>0.75</v>
      </c>
      <c r="O83" s="18">
        <v>1</v>
      </c>
      <c r="P83" s="18">
        <f t="shared" si="9"/>
        <v>619.5</v>
      </c>
      <c r="Q83" s="16">
        <v>0.89039999999999997</v>
      </c>
      <c r="R83" s="16">
        <v>1.21E-2</v>
      </c>
      <c r="S83" s="15">
        <v>33.06</v>
      </c>
      <c r="T83" s="15"/>
      <c r="U83" s="15"/>
      <c r="V83" s="15">
        <v>544.35</v>
      </c>
      <c r="W83" s="15">
        <v>529</v>
      </c>
      <c r="X83" s="15">
        <v>564.4</v>
      </c>
      <c r="Y83" s="15"/>
    </row>
    <row r="84" spans="2:25" x14ac:dyDescent="0.35">
      <c r="B84" s="13">
        <v>46224</v>
      </c>
      <c r="C84" s="13" t="str">
        <f t="shared" si="6"/>
        <v>Tue</v>
      </c>
      <c r="D84" s="14">
        <v>0.61458333333333337</v>
      </c>
      <c r="E84" s="14" t="s">
        <v>32</v>
      </c>
      <c r="F84" s="15">
        <v>832.84</v>
      </c>
      <c r="G84" s="15">
        <v>840</v>
      </c>
      <c r="H84" s="16">
        <v>8.6E-3</v>
      </c>
      <c r="I84" s="17">
        <v>451.76</v>
      </c>
      <c r="J84" s="17">
        <v>465.37</v>
      </c>
      <c r="K84" s="17">
        <f t="shared" si="7"/>
        <v>390910.8</v>
      </c>
      <c r="L84" s="15">
        <f t="shared" si="8"/>
        <v>1</v>
      </c>
      <c r="M84" s="16">
        <v>3.0099999999999998E-2</v>
      </c>
      <c r="N84" s="16">
        <v>0.78</v>
      </c>
      <c r="O84" s="18">
        <v>1</v>
      </c>
      <c r="P84" s="18">
        <f t="shared" si="9"/>
        <v>655.20000000000005</v>
      </c>
      <c r="Q84" s="16">
        <v>0.88649999999999995</v>
      </c>
      <c r="R84" s="16">
        <v>8.3000000000000001E-3</v>
      </c>
      <c r="S84" s="15">
        <v>30.34</v>
      </c>
      <c r="T84" s="15"/>
      <c r="U84" s="15"/>
      <c r="V84" s="15">
        <v>549.92999999999995</v>
      </c>
      <c r="W84" s="15">
        <v>552.9</v>
      </c>
      <c r="X84" s="15">
        <v>569.53</v>
      </c>
      <c r="Y84" s="15"/>
    </row>
    <row r="85" spans="2:25" x14ac:dyDescent="0.35">
      <c r="B85" s="13">
        <v>46224</v>
      </c>
      <c r="C85" s="13" t="str">
        <f t="shared" si="6"/>
        <v>Tue</v>
      </c>
      <c r="D85" s="14">
        <v>0.625</v>
      </c>
      <c r="E85" s="14" t="s">
        <v>33</v>
      </c>
      <c r="F85" s="15">
        <v>829.32</v>
      </c>
      <c r="G85" s="15">
        <v>828</v>
      </c>
      <c r="H85" s="16">
        <v>-1.6000000000000001E-3</v>
      </c>
      <c r="I85" s="17">
        <v>453.02</v>
      </c>
      <c r="J85" s="17">
        <v>462.46</v>
      </c>
      <c r="K85" s="17">
        <f t="shared" si="7"/>
        <v>382916.88</v>
      </c>
      <c r="L85" s="15">
        <f t="shared" si="8"/>
        <v>1</v>
      </c>
      <c r="M85" s="16">
        <v>2.0799999999999999E-2</v>
      </c>
      <c r="N85" s="16">
        <v>0.82</v>
      </c>
      <c r="O85" s="18">
        <v>0</v>
      </c>
      <c r="P85" s="18">
        <f t="shared" si="9"/>
        <v>678.95999999999992</v>
      </c>
      <c r="Q85" s="16">
        <v>0.88119999999999998</v>
      </c>
      <c r="R85" s="16">
        <v>1.5699999999999999E-2</v>
      </c>
      <c r="S85" s="15">
        <v>27.48</v>
      </c>
      <c r="T85" s="15"/>
      <c r="U85" s="15"/>
      <c r="V85" s="15">
        <v>549.36</v>
      </c>
      <c r="W85" s="15">
        <v>539.08000000000004</v>
      </c>
      <c r="X85" s="15">
        <v>571.27</v>
      </c>
      <c r="Y85" s="15"/>
    </row>
    <row r="86" spans="2:25" x14ac:dyDescent="0.35">
      <c r="B86" s="13">
        <v>46224</v>
      </c>
      <c r="C86" s="13" t="str">
        <f t="shared" si="6"/>
        <v>Tue</v>
      </c>
      <c r="D86" s="14">
        <v>0.63541666666666663</v>
      </c>
      <c r="E86" s="14" t="s">
        <v>33</v>
      </c>
      <c r="F86" s="15">
        <v>823.24</v>
      </c>
      <c r="G86" s="15">
        <v>790</v>
      </c>
      <c r="H86" s="16">
        <v>-4.0399999999999998E-2</v>
      </c>
      <c r="I86" s="17">
        <v>455.15</v>
      </c>
      <c r="J86" s="17">
        <v>442.96</v>
      </c>
      <c r="K86" s="17">
        <f t="shared" si="7"/>
        <v>349938.39999999997</v>
      </c>
      <c r="L86" s="15">
        <f t="shared" si="8"/>
        <v>0</v>
      </c>
      <c r="M86" s="16">
        <v>-2.6800000000000001E-2</v>
      </c>
      <c r="N86" s="16">
        <v>0.8</v>
      </c>
      <c r="O86" s="18">
        <v>0</v>
      </c>
      <c r="P86" s="18">
        <f t="shared" si="9"/>
        <v>632</v>
      </c>
      <c r="Q86" s="16">
        <v>0.87690000000000001</v>
      </c>
      <c r="R86" s="16">
        <v>1.6500000000000001E-2</v>
      </c>
      <c r="S86" s="15">
        <v>26.32</v>
      </c>
      <c r="T86" s="15"/>
      <c r="U86" s="15"/>
      <c r="V86" s="15">
        <v>548.79</v>
      </c>
      <c r="W86" s="15">
        <v>498.41</v>
      </c>
      <c r="X86" s="15">
        <v>573.07000000000005</v>
      </c>
      <c r="Y86" s="15"/>
    </row>
    <row r="87" spans="2:25" x14ac:dyDescent="0.35">
      <c r="B87" s="13">
        <v>46224</v>
      </c>
      <c r="C87" s="13" t="str">
        <f t="shared" si="6"/>
        <v>Tue</v>
      </c>
      <c r="D87" s="14">
        <v>0.64583333333333337</v>
      </c>
      <c r="E87" s="14" t="s">
        <v>33</v>
      </c>
      <c r="F87" s="15">
        <v>804.49</v>
      </c>
      <c r="G87" s="15">
        <v>871</v>
      </c>
      <c r="H87" s="16">
        <v>8.2699999999999996E-2</v>
      </c>
      <c r="I87" s="17">
        <v>454.66</v>
      </c>
      <c r="J87" s="17">
        <v>454.57</v>
      </c>
      <c r="K87" s="17">
        <f t="shared" si="7"/>
        <v>395930.47</v>
      </c>
      <c r="L87" s="15">
        <f t="shared" si="8"/>
        <v>0</v>
      </c>
      <c r="M87" s="16">
        <v>-2.0000000000000001E-4</v>
      </c>
      <c r="N87" s="16">
        <v>0.78</v>
      </c>
      <c r="O87" s="18">
        <v>1</v>
      </c>
      <c r="P87" s="18">
        <f t="shared" si="9"/>
        <v>679.38</v>
      </c>
      <c r="Q87" s="16">
        <v>0.86470000000000002</v>
      </c>
      <c r="R87" s="16">
        <v>1.26E-2</v>
      </c>
      <c r="S87" s="15">
        <v>26.24</v>
      </c>
      <c r="T87" s="15"/>
      <c r="U87" s="15"/>
      <c r="V87" s="15">
        <v>537.42999999999995</v>
      </c>
      <c r="W87" s="15">
        <v>555.66</v>
      </c>
      <c r="X87" s="15">
        <v>550.33000000000004</v>
      </c>
      <c r="Y87" s="15"/>
    </row>
    <row r="88" spans="2:25" x14ac:dyDescent="0.35">
      <c r="B88" s="13">
        <v>46224</v>
      </c>
      <c r="C88" s="13" t="str">
        <f t="shared" si="6"/>
        <v>Tue</v>
      </c>
      <c r="D88" s="14">
        <v>0.65625</v>
      </c>
      <c r="E88" s="14" t="s">
        <v>33</v>
      </c>
      <c r="F88" s="15">
        <v>787.47</v>
      </c>
      <c r="G88" s="15">
        <v>826</v>
      </c>
      <c r="H88" s="16">
        <v>4.8899999999999999E-2</v>
      </c>
      <c r="I88" s="17">
        <v>457.68</v>
      </c>
      <c r="J88" s="17">
        <v>457.65</v>
      </c>
      <c r="K88" s="17">
        <f t="shared" si="7"/>
        <v>378018.89999999997</v>
      </c>
      <c r="L88" s="15">
        <f t="shared" si="8"/>
        <v>0</v>
      </c>
      <c r="M88" s="16">
        <v>-1E-4</v>
      </c>
      <c r="N88" s="16">
        <v>0.69</v>
      </c>
      <c r="O88" s="18">
        <v>1</v>
      </c>
      <c r="P88" s="18">
        <f t="shared" si="9"/>
        <v>569.93999999999994</v>
      </c>
      <c r="Q88" s="16">
        <v>0.87780000000000002</v>
      </c>
      <c r="R88" s="16">
        <v>3.39E-2</v>
      </c>
      <c r="S88" s="15">
        <v>45.85</v>
      </c>
      <c r="T88" s="15"/>
      <c r="U88" s="15"/>
      <c r="V88" s="15">
        <v>530.41</v>
      </c>
      <c r="W88" s="15">
        <v>529.75</v>
      </c>
      <c r="X88" s="15">
        <v>548.13</v>
      </c>
      <c r="Y88" s="15"/>
    </row>
    <row r="89" spans="2:25" x14ac:dyDescent="0.35">
      <c r="B89" s="13">
        <v>46224</v>
      </c>
      <c r="C89" s="13" t="str">
        <f t="shared" si="6"/>
        <v>Tue</v>
      </c>
      <c r="D89" s="14">
        <v>0.66666666666666663</v>
      </c>
      <c r="E89" s="14" t="s">
        <v>33</v>
      </c>
      <c r="F89" s="15">
        <v>756.69</v>
      </c>
      <c r="G89" s="15">
        <v>696</v>
      </c>
      <c r="H89" s="16">
        <v>-8.0199999999999994E-2</v>
      </c>
      <c r="I89" s="17">
        <v>458.37</v>
      </c>
      <c r="J89" s="17">
        <v>457.24</v>
      </c>
      <c r="K89" s="17">
        <f t="shared" si="7"/>
        <v>318239.03999999998</v>
      </c>
      <c r="L89" s="15">
        <f t="shared" si="8"/>
        <v>0</v>
      </c>
      <c r="M89" s="16">
        <v>-2.5000000000000001E-3</v>
      </c>
      <c r="N89" s="16">
        <v>0.75</v>
      </c>
      <c r="O89" s="18">
        <v>1</v>
      </c>
      <c r="P89" s="18">
        <f t="shared" si="9"/>
        <v>522</v>
      </c>
      <c r="Q89" s="16">
        <v>0.86950000000000005</v>
      </c>
      <c r="R89" s="16">
        <v>2.01E-2</v>
      </c>
      <c r="S89" s="15">
        <v>44.25</v>
      </c>
      <c r="T89" s="15"/>
      <c r="U89" s="15"/>
      <c r="V89" s="15">
        <v>512.09</v>
      </c>
      <c r="W89" s="15">
        <v>453.8</v>
      </c>
      <c r="X89" s="15">
        <v>525.07000000000005</v>
      </c>
      <c r="Y89" s="15"/>
    </row>
    <row r="90" spans="2:25" x14ac:dyDescent="0.35">
      <c r="B90" s="13">
        <v>46224</v>
      </c>
      <c r="C90" s="13" t="str">
        <f t="shared" si="6"/>
        <v>Tue</v>
      </c>
      <c r="D90" s="14">
        <v>0.67708333333333337</v>
      </c>
      <c r="E90" s="14" t="s">
        <v>33</v>
      </c>
      <c r="F90" s="15">
        <v>702.79</v>
      </c>
      <c r="G90" s="15">
        <v>688</v>
      </c>
      <c r="H90" s="16">
        <v>-2.1000000000000001E-2</v>
      </c>
      <c r="I90" s="17">
        <v>461.94</v>
      </c>
      <c r="J90" s="17">
        <v>454.37</v>
      </c>
      <c r="K90" s="17">
        <f t="shared" si="7"/>
        <v>312606.56</v>
      </c>
      <c r="L90" s="15">
        <f t="shared" si="8"/>
        <v>0</v>
      </c>
      <c r="M90" s="16">
        <v>-1.6400000000000001E-2</v>
      </c>
      <c r="N90" s="16">
        <v>0.82</v>
      </c>
      <c r="O90" s="18">
        <v>0</v>
      </c>
      <c r="P90" s="18">
        <f t="shared" si="9"/>
        <v>564.16</v>
      </c>
      <c r="Q90" s="16">
        <v>0.89939999999999998</v>
      </c>
      <c r="R90" s="16">
        <v>2.47E-2</v>
      </c>
      <c r="S90" s="15">
        <v>31.73</v>
      </c>
      <c r="T90" s="15"/>
      <c r="U90" s="15"/>
      <c r="V90" s="15">
        <v>483.37</v>
      </c>
      <c r="W90" s="15">
        <v>446.49</v>
      </c>
      <c r="X90" s="15">
        <v>520.33000000000004</v>
      </c>
      <c r="Y90" s="15"/>
    </row>
    <row r="91" spans="2:25" x14ac:dyDescent="0.35">
      <c r="B91" s="13">
        <v>46224</v>
      </c>
      <c r="C91" s="13" t="str">
        <f t="shared" si="6"/>
        <v>Tue</v>
      </c>
      <c r="D91" s="14">
        <v>0.6875</v>
      </c>
      <c r="E91" s="14" t="s">
        <v>33</v>
      </c>
      <c r="F91" s="15">
        <v>622.84</v>
      </c>
      <c r="G91" s="15">
        <v>601</v>
      </c>
      <c r="H91" s="16">
        <v>-3.5099999999999999E-2</v>
      </c>
      <c r="I91" s="17">
        <v>464.52</v>
      </c>
      <c r="J91" s="17">
        <v>466.68</v>
      </c>
      <c r="K91" s="17">
        <f t="shared" si="7"/>
        <v>280474.68</v>
      </c>
      <c r="L91" s="15">
        <f t="shared" si="8"/>
        <v>1</v>
      </c>
      <c r="M91" s="16">
        <v>4.7000000000000002E-3</v>
      </c>
      <c r="N91" s="16">
        <v>0.81</v>
      </c>
      <c r="O91" s="18">
        <v>0</v>
      </c>
      <c r="P91" s="18">
        <f t="shared" si="9"/>
        <v>486.81000000000006</v>
      </c>
      <c r="Q91" s="16">
        <v>0.878</v>
      </c>
      <c r="R91" s="16">
        <v>0.02</v>
      </c>
      <c r="S91" s="15">
        <v>34.72</v>
      </c>
      <c r="T91" s="15"/>
      <c r="U91" s="15"/>
      <c r="V91" s="15">
        <v>435.89</v>
      </c>
      <c r="W91" s="15">
        <v>406.72</v>
      </c>
      <c r="X91" s="15">
        <v>447.13</v>
      </c>
      <c r="Y91" s="15"/>
    </row>
    <row r="92" spans="2:25" x14ac:dyDescent="0.35">
      <c r="B92" s="13">
        <v>46224</v>
      </c>
      <c r="C92" s="13" t="str">
        <f t="shared" si="6"/>
        <v>Tue</v>
      </c>
      <c r="D92" s="14">
        <v>0.69791666666666663</v>
      </c>
      <c r="E92" s="14" t="s">
        <v>33</v>
      </c>
      <c r="F92" s="15">
        <v>522.20000000000005</v>
      </c>
      <c r="G92" s="15">
        <v>543</v>
      </c>
      <c r="H92" s="16">
        <v>3.9800000000000002E-2</v>
      </c>
      <c r="I92" s="17">
        <v>463.68</v>
      </c>
      <c r="J92" s="17">
        <v>435.11</v>
      </c>
      <c r="K92" s="17">
        <f t="shared" si="7"/>
        <v>236264.73</v>
      </c>
      <c r="L92" s="15">
        <f t="shared" si="8"/>
        <v>0</v>
      </c>
      <c r="M92" s="16">
        <v>-6.1600000000000002E-2</v>
      </c>
      <c r="N92" s="16">
        <v>0.9</v>
      </c>
      <c r="O92" s="18">
        <v>0</v>
      </c>
      <c r="P92" s="18">
        <f t="shared" si="9"/>
        <v>488.7</v>
      </c>
      <c r="Q92" s="16">
        <v>0.91579999999999995</v>
      </c>
      <c r="R92" s="16">
        <v>1.84E-2</v>
      </c>
      <c r="S92" s="15">
        <v>28.19</v>
      </c>
      <c r="T92" s="15"/>
      <c r="U92" s="15"/>
      <c r="V92" s="15">
        <v>373.24</v>
      </c>
      <c r="W92" s="15">
        <v>344.45</v>
      </c>
      <c r="X92" s="15">
        <v>415</v>
      </c>
      <c r="Y92" s="15"/>
    </row>
    <row r="93" spans="2:25" x14ac:dyDescent="0.35">
      <c r="B93" s="13">
        <v>46224</v>
      </c>
      <c r="C93" s="13" t="str">
        <f t="shared" si="6"/>
        <v>Tue</v>
      </c>
      <c r="D93" s="14">
        <v>0.70833333333333337</v>
      </c>
      <c r="E93" s="14" t="s">
        <v>33</v>
      </c>
      <c r="F93" s="15">
        <v>411.28</v>
      </c>
      <c r="G93" s="15">
        <v>391</v>
      </c>
      <c r="H93" s="16">
        <v>-4.9299999999999997E-2</v>
      </c>
      <c r="I93" s="17">
        <v>468.78</v>
      </c>
      <c r="J93" s="17">
        <v>463.48</v>
      </c>
      <c r="K93" s="17">
        <f t="shared" si="7"/>
        <v>181220.68</v>
      </c>
      <c r="L93" s="15">
        <f t="shared" si="8"/>
        <v>0</v>
      </c>
      <c r="M93" s="16">
        <v>-1.1299999999999999E-2</v>
      </c>
      <c r="N93" s="16">
        <v>0.89</v>
      </c>
      <c r="O93" s="18">
        <v>0</v>
      </c>
      <c r="P93" s="18">
        <f t="shared" si="9"/>
        <v>347.99</v>
      </c>
      <c r="Q93" s="16">
        <v>0.89470000000000005</v>
      </c>
      <c r="R93" s="16">
        <v>1.2800000000000001E-2</v>
      </c>
      <c r="S93" s="15">
        <v>30.47</v>
      </c>
      <c r="T93" s="15"/>
      <c r="U93" s="15"/>
      <c r="V93" s="15">
        <v>303.18</v>
      </c>
      <c r="W93" s="15">
        <v>270.23</v>
      </c>
      <c r="X93" s="15">
        <v>319.67</v>
      </c>
      <c r="Y93" s="15"/>
    </row>
    <row r="94" spans="2:25" x14ac:dyDescent="0.35">
      <c r="B94" s="13">
        <v>46224</v>
      </c>
      <c r="C94" s="13" t="str">
        <f t="shared" si="6"/>
        <v>Tue</v>
      </c>
      <c r="D94" s="14">
        <v>0.71875</v>
      </c>
      <c r="E94" s="14" t="s">
        <v>33</v>
      </c>
      <c r="F94" s="15">
        <v>329.99</v>
      </c>
      <c r="G94" s="15">
        <v>280</v>
      </c>
      <c r="H94" s="16">
        <v>-0.1515</v>
      </c>
      <c r="I94" s="17">
        <v>471.23</v>
      </c>
      <c r="J94" s="17">
        <v>462.9</v>
      </c>
      <c r="K94" s="17">
        <f t="shared" si="7"/>
        <v>129612</v>
      </c>
      <c r="L94" s="15">
        <f t="shared" si="8"/>
        <v>0</v>
      </c>
      <c r="M94" s="16">
        <v>-1.77E-2</v>
      </c>
      <c r="N94" s="16">
        <v>0.9</v>
      </c>
      <c r="O94" s="18">
        <v>0</v>
      </c>
      <c r="P94" s="18">
        <f t="shared" si="9"/>
        <v>252</v>
      </c>
      <c r="Q94" s="16">
        <v>0.90629999999999999</v>
      </c>
      <c r="R94" s="16">
        <v>7.1000000000000004E-3</v>
      </c>
      <c r="S94" s="15">
        <v>20.63</v>
      </c>
      <c r="T94" s="15"/>
      <c r="U94" s="15"/>
      <c r="V94" s="15">
        <v>253.32</v>
      </c>
      <c r="W94" s="15">
        <v>203.49</v>
      </c>
      <c r="X94" s="15">
        <v>283.60000000000002</v>
      </c>
      <c r="Y94" s="15"/>
    </row>
    <row r="95" spans="2:25" x14ac:dyDescent="0.35">
      <c r="B95" s="13">
        <v>46224</v>
      </c>
      <c r="C95" s="13" t="str">
        <f t="shared" si="6"/>
        <v>Tue</v>
      </c>
      <c r="D95" s="14">
        <v>0.72916666666666663</v>
      </c>
      <c r="E95" s="14" t="s">
        <v>33</v>
      </c>
      <c r="F95" s="15">
        <v>248.81</v>
      </c>
      <c r="G95" s="15">
        <v>185</v>
      </c>
      <c r="H95" s="16">
        <v>-0.25650000000000001</v>
      </c>
      <c r="I95" s="17">
        <v>475.12</v>
      </c>
      <c r="J95" s="17">
        <v>511.83</v>
      </c>
      <c r="K95" s="17">
        <f t="shared" si="7"/>
        <v>94688.55</v>
      </c>
      <c r="L95" s="15">
        <f t="shared" si="8"/>
        <v>1</v>
      </c>
      <c r="M95" s="16">
        <v>7.7299999999999994E-2</v>
      </c>
      <c r="N95" s="16">
        <v>0.92</v>
      </c>
      <c r="O95" s="18">
        <v>0</v>
      </c>
      <c r="P95" s="18">
        <f t="shared" si="9"/>
        <v>170.20000000000002</v>
      </c>
      <c r="Q95" s="16">
        <v>0.88270000000000004</v>
      </c>
      <c r="R95" s="16">
        <v>0</v>
      </c>
      <c r="S95" s="15">
        <v>12.17</v>
      </c>
      <c r="T95" s="15"/>
      <c r="U95" s="15"/>
      <c r="V95" s="15">
        <v>193.29</v>
      </c>
      <c r="W95" s="15">
        <v>150.32</v>
      </c>
      <c r="X95" s="15">
        <v>199.6</v>
      </c>
      <c r="Y95" s="15"/>
    </row>
    <row r="96" spans="2:25" x14ac:dyDescent="0.35">
      <c r="B96" s="13">
        <v>46224</v>
      </c>
      <c r="C96" s="13" t="str">
        <f t="shared" si="6"/>
        <v>Tue</v>
      </c>
      <c r="D96" s="14">
        <v>0.73958333333333337</v>
      </c>
      <c r="E96" s="14" t="s">
        <v>33</v>
      </c>
      <c r="F96" s="15">
        <v>201.12</v>
      </c>
      <c r="G96" s="15">
        <v>172</v>
      </c>
      <c r="H96" s="16">
        <v>-0.14480000000000001</v>
      </c>
      <c r="I96" s="17">
        <v>471.28</v>
      </c>
      <c r="J96" s="17">
        <v>452.99</v>
      </c>
      <c r="K96" s="17">
        <f t="shared" si="7"/>
        <v>77914.28</v>
      </c>
      <c r="L96" s="15">
        <f t="shared" si="8"/>
        <v>0</v>
      </c>
      <c r="M96" s="16">
        <v>-3.8800000000000001E-2</v>
      </c>
      <c r="N96" s="16">
        <v>0.94</v>
      </c>
      <c r="O96" s="18">
        <v>0</v>
      </c>
      <c r="P96" s="18">
        <f t="shared" si="9"/>
        <v>161.67999999999998</v>
      </c>
      <c r="Q96" s="16">
        <v>0.93540000000000001</v>
      </c>
      <c r="R96" s="16">
        <v>1.7399999999999999E-2</v>
      </c>
      <c r="S96" s="15">
        <v>13.16</v>
      </c>
      <c r="T96" s="15"/>
      <c r="U96" s="15"/>
      <c r="V96" s="15">
        <v>159.47</v>
      </c>
      <c r="W96" s="15">
        <v>128.72</v>
      </c>
      <c r="X96" s="15">
        <v>218.07</v>
      </c>
      <c r="Y96" s="15"/>
    </row>
    <row r="97" spans="2:25" x14ac:dyDescent="0.35">
      <c r="B97" s="13">
        <v>46224</v>
      </c>
      <c r="C97" s="13" t="str">
        <f t="shared" si="6"/>
        <v>Tue</v>
      </c>
      <c r="D97" s="14">
        <v>0.75</v>
      </c>
      <c r="E97" s="14" t="s">
        <v>33</v>
      </c>
      <c r="F97" s="15">
        <v>152.55000000000001</v>
      </c>
      <c r="G97" s="15">
        <v>141</v>
      </c>
      <c r="H97" s="16">
        <v>-7.5700000000000003E-2</v>
      </c>
      <c r="I97" s="17">
        <v>462.48</v>
      </c>
      <c r="J97" s="17">
        <v>496.58</v>
      </c>
      <c r="K97" s="17">
        <f t="shared" si="7"/>
        <v>70017.78</v>
      </c>
      <c r="L97" s="15">
        <f t="shared" si="8"/>
        <v>1</v>
      </c>
      <c r="M97" s="16">
        <v>7.3700000000000002E-2</v>
      </c>
      <c r="N97" s="16">
        <v>0.88</v>
      </c>
      <c r="O97" s="18">
        <v>0</v>
      </c>
      <c r="P97" s="18">
        <f t="shared" si="9"/>
        <v>124.08</v>
      </c>
      <c r="Q97" s="16">
        <v>0.92349999999999999</v>
      </c>
      <c r="R97" s="16">
        <v>1.4200000000000001E-2</v>
      </c>
      <c r="S97" s="15">
        <v>29.69</v>
      </c>
      <c r="T97" s="15"/>
      <c r="U97" s="15"/>
      <c r="V97" s="15">
        <v>122.64</v>
      </c>
      <c r="W97" s="15">
        <v>114.92</v>
      </c>
      <c r="X97" s="15">
        <v>166.93</v>
      </c>
      <c r="Y97" s="15"/>
    </row>
    <row r="98" spans="2:25" x14ac:dyDescent="0.35">
      <c r="B98" s="13">
        <v>46224</v>
      </c>
      <c r="C98" s="13" t="str">
        <f t="shared" si="6"/>
        <v>Tue</v>
      </c>
      <c r="D98" s="14">
        <v>0.76041666666666663</v>
      </c>
      <c r="E98" s="14" t="s">
        <v>33</v>
      </c>
      <c r="F98" s="15">
        <v>121.05</v>
      </c>
      <c r="G98" s="15">
        <v>103</v>
      </c>
      <c r="H98" s="16">
        <v>-0.14910000000000001</v>
      </c>
      <c r="I98" s="17">
        <v>460.1</v>
      </c>
      <c r="J98" s="17">
        <v>567.79999999999995</v>
      </c>
      <c r="K98" s="17">
        <f t="shared" si="7"/>
        <v>58483.399999999994</v>
      </c>
      <c r="L98" s="15">
        <f t="shared" si="8"/>
        <v>1</v>
      </c>
      <c r="M98" s="16">
        <v>0.2341</v>
      </c>
      <c r="N98" s="16">
        <v>0.94</v>
      </c>
      <c r="O98" s="18">
        <v>0</v>
      </c>
      <c r="P98" s="18">
        <f t="shared" si="9"/>
        <v>96.82</v>
      </c>
      <c r="Q98" s="16">
        <v>0.93610000000000004</v>
      </c>
      <c r="R98" s="16">
        <v>0</v>
      </c>
      <c r="S98" s="15">
        <v>47.72</v>
      </c>
      <c r="T98" s="15"/>
      <c r="U98" s="15"/>
      <c r="V98" s="15">
        <v>100.99</v>
      </c>
      <c r="W98" s="15">
        <v>96.64</v>
      </c>
      <c r="X98" s="15">
        <v>163.53</v>
      </c>
      <c r="Y98" s="15"/>
    </row>
    <row r="99" spans="2:25" x14ac:dyDescent="0.35">
      <c r="B99" s="13">
        <v>46224</v>
      </c>
      <c r="C99" s="13" t="str">
        <f t="shared" si="6"/>
        <v>Tue</v>
      </c>
      <c r="D99" s="14">
        <v>0.77083333333333337</v>
      </c>
      <c r="E99" s="14" t="s">
        <v>33</v>
      </c>
      <c r="F99" s="15">
        <v>100.47</v>
      </c>
      <c r="G99" s="15">
        <v>89</v>
      </c>
      <c r="H99" s="16">
        <v>-0.11409999999999999</v>
      </c>
      <c r="I99" s="17">
        <v>459.24</v>
      </c>
      <c r="J99" s="17">
        <v>485.53</v>
      </c>
      <c r="K99" s="17">
        <f t="shared" si="7"/>
        <v>43212.17</v>
      </c>
      <c r="L99" s="15">
        <f t="shared" si="8"/>
        <v>1</v>
      </c>
      <c r="M99" s="16">
        <v>5.7200000000000001E-2</v>
      </c>
      <c r="N99" s="16">
        <v>0.96</v>
      </c>
      <c r="O99" s="18">
        <v>0</v>
      </c>
      <c r="P99" s="18">
        <f t="shared" si="9"/>
        <v>85.44</v>
      </c>
      <c r="Q99" s="16">
        <v>0.90869999999999995</v>
      </c>
      <c r="R99" s="16">
        <v>0</v>
      </c>
      <c r="S99" s="15">
        <v>18.010000000000002</v>
      </c>
      <c r="T99" s="15"/>
      <c r="U99" s="15"/>
      <c r="V99" s="15">
        <v>87.33</v>
      </c>
      <c r="W99" s="15">
        <v>76.040000000000006</v>
      </c>
      <c r="X99" s="15">
        <v>116.33</v>
      </c>
      <c r="Y99" s="15"/>
    </row>
    <row r="100" spans="2:25" x14ac:dyDescent="0.35">
      <c r="B100" s="13">
        <v>46224</v>
      </c>
      <c r="C100" s="13" t="str">
        <f t="shared" si="6"/>
        <v>Tue</v>
      </c>
      <c r="D100" s="14">
        <v>0.78125</v>
      </c>
      <c r="E100" s="14" t="s">
        <v>33</v>
      </c>
      <c r="F100" s="15">
        <v>90.56</v>
      </c>
      <c r="G100" s="15">
        <v>79</v>
      </c>
      <c r="H100" s="16">
        <v>-0.12770000000000001</v>
      </c>
      <c r="I100" s="17">
        <v>454.37</v>
      </c>
      <c r="J100" s="17">
        <v>447.32</v>
      </c>
      <c r="K100" s="17">
        <f t="shared" si="7"/>
        <v>35338.28</v>
      </c>
      <c r="L100" s="15">
        <f t="shared" si="8"/>
        <v>0</v>
      </c>
      <c r="M100" s="16">
        <v>-1.55E-2</v>
      </c>
      <c r="N100" s="16">
        <v>0.79</v>
      </c>
      <c r="O100" s="18">
        <v>1</v>
      </c>
      <c r="P100" s="18">
        <f t="shared" si="9"/>
        <v>62.410000000000004</v>
      </c>
      <c r="Q100" s="16">
        <v>0.91920000000000002</v>
      </c>
      <c r="R100" s="16">
        <v>3.7999999999999999E-2</v>
      </c>
      <c r="S100" s="15">
        <v>73.790000000000006</v>
      </c>
      <c r="T100" s="15"/>
      <c r="U100" s="15"/>
      <c r="V100" s="15">
        <v>80.94</v>
      </c>
      <c r="W100" s="15">
        <v>67.819999999999993</v>
      </c>
      <c r="X100" s="15">
        <v>117</v>
      </c>
      <c r="Y100" s="15"/>
    </row>
    <row r="101" spans="2:25" x14ac:dyDescent="0.35">
      <c r="B101" s="13">
        <v>46225</v>
      </c>
      <c r="C101" s="13" t="str">
        <f t="shared" si="6"/>
        <v>Wed</v>
      </c>
      <c r="D101" s="14">
        <v>0.29166666666666669</v>
      </c>
      <c r="E101" s="14" t="s">
        <v>31</v>
      </c>
      <c r="F101" s="15">
        <v>59.13</v>
      </c>
      <c r="G101" s="15">
        <v>48</v>
      </c>
      <c r="H101" s="16">
        <v>-0.18820000000000001</v>
      </c>
      <c r="I101" s="17">
        <v>350.06</v>
      </c>
      <c r="J101" s="17">
        <v>354.26</v>
      </c>
      <c r="K101" s="17">
        <f t="shared" si="7"/>
        <v>17004.48</v>
      </c>
      <c r="L101" s="15">
        <f t="shared" si="8"/>
        <v>1</v>
      </c>
      <c r="M101" s="16">
        <v>1.2E-2</v>
      </c>
      <c r="N101" s="16">
        <v>0.85</v>
      </c>
      <c r="O101" s="18">
        <v>0</v>
      </c>
      <c r="P101" s="18">
        <f t="shared" si="9"/>
        <v>40.799999999999997</v>
      </c>
      <c r="Q101" s="16">
        <v>0.9546</v>
      </c>
      <c r="R101" s="16">
        <v>4.1700000000000001E-2</v>
      </c>
      <c r="S101" s="15">
        <v>17.04</v>
      </c>
      <c r="T101" s="15"/>
      <c r="U101" s="15"/>
      <c r="V101" s="15">
        <v>47.39</v>
      </c>
      <c r="W101" s="15">
        <v>39.99</v>
      </c>
      <c r="X101" s="15">
        <v>75</v>
      </c>
      <c r="Y101" s="15"/>
    </row>
    <row r="102" spans="2:25" x14ac:dyDescent="0.35">
      <c r="B102" s="13">
        <v>46225</v>
      </c>
      <c r="C102" s="13" t="str">
        <f t="shared" si="6"/>
        <v>Wed</v>
      </c>
      <c r="D102" s="14">
        <v>0.30208333333333331</v>
      </c>
      <c r="E102" s="14" t="s">
        <v>31</v>
      </c>
      <c r="F102" s="15">
        <v>73.03</v>
      </c>
      <c r="G102" s="15">
        <v>58</v>
      </c>
      <c r="H102" s="16">
        <v>-0.20580000000000001</v>
      </c>
      <c r="I102" s="17">
        <v>356.77</v>
      </c>
      <c r="J102" s="17">
        <v>327</v>
      </c>
      <c r="K102" s="17">
        <f t="shared" si="7"/>
        <v>18966</v>
      </c>
      <c r="L102" s="15">
        <f t="shared" si="8"/>
        <v>0</v>
      </c>
      <c r="M102" s="16">
        <v>-8.3400000000000002E-2</v>
      </c>
      <c r="N102" s="16">
        <v>0.96</v>
      </c>
      <c r="O102" s="18">
        <v>0</v>
      </c>
      <c r="P102" s="18">
        <f t="shared" si="9"/>
        <v>55.68</v>
      </c>
      <c r="Q102" s="16">
        <v>0.93079999999999996</v>
      </c>
      <c r="R102" s="16">
        <v>1.72E-2</v>
      </c>
      <c r="S102" s="15">
        <v>16.93</v>
      </c>
      <c r="T102" s="15"/>
      <c r="U102" s="15"/>
      <c r="V102" s="15">
        <v>57</v>
      </c>
      <c r="W102" s="15">
        <v>41.06</v>
      </c>
      <c r="X102" s="15">
        <v>78.8</v>
      </c>
      <c r="Y102" s="15"/>
    </row>
    <row r="103" spans="2:25" x14ac:dyDescent="0.35">
      <c r="B103" s="13">
        <v>46225</v>
      </c>
      <c r="C103" s="13" t="str">
        <f t="shared" si="6"/>
        <v>Wed</v>
      </c>
      <c r="D103" s="14">
        <v>0.3125</v>
      </c>
      <c r="E103" s="14" t="s">
        <v>31</v>
      </c>
      <c r="F103" s="15">
        <v>102.86</v>
      </c>
      <c r="G103" s="15">
        <v>104</v>
      </c>
      <c r="H103" s="16">
        <v>1.0999999999999999E-2</v>
      </c>
      <c r="I103" s="17">
        <v>358.01</v>
      </c>
      <c r="J103" s="17">
        <v>342.66</v>
      </c>
      <c r="K103" s="17">
        <f t="shared" si="7"/>
        <v>35636.639999999999</v>
      </c>
      <c r="L103" s="15">
        <f t="shared" si="8"/>
        <v>0</v>
      </c>
      <c r="M103" s="16">
        <v>-4.2900000000000001E-2</v>
      </c>
      <c r="N103" s="16">
        <v>0.88</v>
      </c>
      <c r="O103" s="18">
        <v>0</v>
      </c>
      <c r="P103" s="18">
        <f t="shared" si="9"/>
        <v>91.52</v>
      </c>
      <c r="Q103" s="16">
        <v>0.94720000000000004</v>
      </c>
      <c r="R103" s="16">
        <v>0</v>
      </c>
      <c r="S103" s="15">
        <v>35.4</v>
      </c>
      <c r="T103" s="15"/>
      <c r="U103" s="15"/>
      <c r="V103" s="15">
        <v>76.400000000000006</v>
      </c>
      <c r="W103" s="15">
        <v>69.75</v>
      </c>
      <c r="X103" s="15">
        <v>120.2</v>
      </c>
      <c r="Y103" s="15"/>
    </row>
    <row r="104" spans="2:25" x14ac:dyDescent="0.35">
      <c r="B104" s="13">
        <v>46225</v>
      </c>
      <c r="C104" s="13" t="str">
        <f t="shared" si="6"/>
        <v>Wed</v>
      </c>
      <c r="D104" s="14">
        <v>0.32291666666666669</v>
      </c>
      <c r="E104" s="14" t="s">
        <v>31</v>
      </c>
      <c r="F104" s="15">
        <v>174.59</v>
      </c>
      <c r="G104" s="15">
        <v>144</v>
      </c>
      <c r="H104" s="16">
        <v>-0.17519999999999999</v>
      </c>
      <c r="I104" s="17">
        <v>360.79</v>
      </c>
      <c r="J104" s="17">
        <v>357.78</v>
      </c>
      <c r="K104" s="17">
        <f t="shared" si="7"/>
        <v>51520.319999999992</v>
      </c>
      <c r="L104" s="15">
        <f t="shared" si="8"/>
        <v>0</v>
      </c>
      <c r="M104" s="16">
        <v>-8.3999999999999995E-3</v>
      </c>
      <c r="N104" s="16">
        <v>0.88</v>
      </c>
      <c r="O104" s="18">
        <v>0</v>
      </c>
      <c r="P104" s="18">
        <f t="shared" si="9"/>
        <v>126.72</v>
      </c>
      <c r="Q104" s="16">
        <v>0.87390000000000001</v>
      </c>
      <c r="R104" s="16">
        <v>1.3899999999999999E-2</v>
      </c>
      <c r="S104" s="15">
        <v>22.01</v>
      </c>
      <c r="T104" s="15"/>
      <c r="U104" s="15"/>
      <c r="V104" s="15">
        <v>118.64</v>
      </c>
      <c r="W104" s="15">
        <v>101.2</v>
      </c>
      <c r="X104" s="15">
        <v>135.13</v>
      </c>
      <c r="Y104" s="15"/>
    </row>
    <row r="105" spans="2:25" x14ac:dyDescent="0.35">
      <c r="B105" s="13">
        <v>46225</v>
      </c>
      <c r="C105" s="13" t="str">
        <f t="shared" si="6"/>
        <v>Wed</v>
      </c>
      <c r="D105" s="14">
        <v>0.33333333333333331</v>
      </c>
      <c r="E105" s="14" t="s">
        <v>31</v>
      </c>
      <c r="F105" s="15">
        <v>272.31</v>
      </c>
      <c r="G105" s="15">
        <v>298</v>
      </c>
      <c r="H105" s="16">
        <v>9.4399999999999998E-2</v>
      </c>
      <c r="I105" s="17">
        <v>369.5</v>
      </c>
      <c r="J105" s="17">
        <v>364.79</v>
      </c>
      <c r="K105" s="17">
        <f t="shared" si="7"/>
        <v>108707.42000000001</v>
      </c>
      <c r="L105" s="15">
        <f t="shared" si="8"/>
        <v>0</v>
      </c>
      <c r="M105" s="16">
        <v>-1.2800000000000001E-2</v>
      </c>
      <c r="N105" s="16">
        <v>0.95</v>
      </c>
      <c r="O105" s="18">
        <v>0</v>
      </c>
      <c r="P105" s="18">
        <f t="shared" si="9"/>
        <v>283.09999999999997</v>
      </c>
      <c r="Q105" s="16">
        <v>0.98560000000000003</v>
      </c>
      <c r="R105" s="16">
        <v>6.7000000000000002E-3</v>
      </c>
      <c r="S105" s="15">
        <v>12.04</v>
      </c>
      <c r="T105" s="15"/>
      <c r="U105" s="15"/>
      <c r="V105" s="15">
        <v>173.29</v>
      </c>
      <c r="W105" s="15">
        <v>185.34</v>
      </c>
      <c r="X105" s="15">
        <v>277.2</v>
      </c>
      <c r="Y105" s="15"/>
    </row>
    <row r="106" spans="2:25" x14ac:dyDescent="0.35">
      <c r="B106" s="13">
        <v>46225</v>
      </c>
      <c r="C106" s="13" t="str">
        <f t="shared" si="6"/>
        <v>Wed</v>
      </c>
      <c r="D106" s="14">
        <v>0.34375</v>
      </c>
      <c r="E106" s="14" t="s">
        <v>31</v>
      </c>
      <c r="F106" s="15">
        <v>390.12</v>
      </c>
      <c r="G106" s="15">
        <v>394</v>
      </c>
      <c r="H106" s="16">
        <v>0.01</v>
      </c>
      <c r="I106" s="17">
        <v>379.37</v>
      </c>
      <c r="J106" s="17">
        <v>360.62</v>
      </c>
      <c r="K106" s="17">
        <f t="shared" si="7"/>
        <v>142084.28</v>
      </c>
      <c r="L106" s="15">
        <f t="shared" si="8"/>
        <v>0</v>
      </c>
      <c r="M106" s="16">
        <v>-4.9399999999999999E-2</v>
      </c>
      <c r="N106" s="16">
        <v>0.89</v>
      </c>
      <c r="O106" s="18">
        <v>0</v>
      </c>
      <c r="P106" s="18">
        <f t="shared" si="9"/>
        <v>350.66</v>
      </c>
      <c r="Q106" s="16">
        <v>0.93530000000000002</v>
      </c>
      <c r="R106" s="16">
        <v>7.6E-3</v>
      </c>
      <c r="S106" s="15">
        <v>15.4</v>
      </c>
      <c r="T106" s="15"/>
      <c r="U106" s="15"/>
      <c r="V106" s="15">
        <v>238.42</v>
      </c>
      <c r="W106" s="15">
        <v>229.69</v>
      </c>
      <c r="X106" s="15">
        <v>280.8</v>
      </c>
      <c r="Y106" s="15"/>
    </row>
    <row r="107" spans="2:25" x14ac:dyDescent="0.35">
      <c r="B107" s="13">
        <v>46225</v>
      </c>
      <c r="C107" s="13" t="str">
        <f t="shared" si="6"/>
        <v>Wed</v>
      </c>
      <c r="D107" s="14">
        <v>0.35416666666666669</v>
      </c>
      <c r="E107" s="14" t="s">
        <v>31</v>
      </c>
      <c r="F107" s="15">
        <v>477.45</v>
      </c>
      <c r="G107" s="15">
        <v>507</v>
      </c>
      <c r="H107" s="16">
        <v>6.1899999999999997E-2</v>
      </c>
      <c r="I107" s="17">
        <v>386.04</v>
      </c>
      <c r="J107" s="17">
        <v>391.45</v>
      </c>
      <c r="K107" s="17">
        <f t="shared" si="7"/>
        <v>198465.15</v>
      </c>
      <c r="L107" s="15">
        <f t="shared" si="8"/>
        <v>1</v>
      </c>
      <c r="M107" s="16">
        <v>1.4E-2</v>
      </c>
      <c r="N107" s="16">
        <v>0.94</v>
      </c>
      <c r="O107" s="18">
        <v>0</v>
      </c>
      <c r="P107" s="18">
        <f t="shared" si="9"/>
        <v>476.58</v>
      </c>
      <c r="Q107" s="16">
        <v>0.95230000000000004</v>
      </c>
      <c r="R107" s="16">
        <v>2E-3</v>
      </c>
      <c r="S107" s="15">
        <v>10.8</v>
      </c>
      <c r="T107" s="15"/>
      <c r="U107" s="15"/>
      <c r="V107" s="15">
        <v>286.95999999999998</v>
      </c>
      <c r="W107" s="15">
        <v>303.67</v>
      </c>
      <c r="X107" s="15">
        <v>358.2</v>
      </c>
      <c r="Y107" s="15"/>
    </row>
    <row r="108" spans="2:25" x14ac:dyDescent="0.35">
      <c r="B108" s="13">
        <v>46225</v>
      </c>
      <c r="C108" s="13" t="str">
        <f t="shared" si="6"/>
        <v>Wed</v>
      </c>
      <c r="D108" s="14">
        <v>0.36458333333333331</v>
      </c>
      <c r="E108" s="14" t="s">
        <v>31</v>
      </c>
      <c r="F108" s="15">
        <v>563.46</v>
      </c>
      <c r="G108" s="15">
        <v>577</v>
      </c>
      <c r="H108" s="16">
        <v>2.4E-2</v>
      </c>
      <c r="I108" s="17">
        <v>394.73</v>
      </c>
      <c r="J108" s="17">
        <v>414.23</v>
      </c>
      <c r="K108" s="17">
        <f t="shared" si="7"/>
        <v>239010.71000000002</v>
      </c>
      <c r="L108" s="15">
        <f t="shared" si="8"/>
        <v>1</v>
      </c>
      <c r="M108" s="16">
        <v>4.9399999999999999E-2</v>
      </c>
      <c r="N108" s="16">
        <v>0.86</v>
      </c>
      <c r="O108" s="18">
        <v>0</v>
      </c>
      <c r="P108" s="18">
        <f t="shared" si="9"/>
        <v>496.21999999999997</v>
      </c>
      <c r="Q108" s="16">
        <v>0.91379999999999995</v>
      </c>
      <c r="R108" s="16">
        <v>1.9099999999999999E-2</v>
      </c>
      <c r="S108" s="15">
        <v>24.2</v>
      </c>
      <c r="T108" s="15"/>
      <c r="U108" s="15"/>
      <c r="V108" s="15">
        <v>337.3</v>
      </c>
      <c r="W108" s="15">
        <v>357.78</v>
      </c>
      <c r="X108" s="15">
        <v>371.73</v>
      </c>
      <c r="Y108" s="15"/>
    </row>
    <row r="109" spans="2:25" x14ac:dyDescent="0.35">
      <c r="B109" s="13">
        <v>46225</v>
      </c>
      <c r="C109" s="13" t="str">
        <f t="shared" si="6"/>
        <v>Wed</v>
      </c>
      <c r="D109" s="14">
        <v>0.375</v>
      </c>
      <c r="E109" s="14" t="s">
        <v>31</v>
      </c>
      <c r="F109" s="15">
        <v>645.66999999999996</v>
      </c>
      <c r="G109" s="15">
        <v>670</v>
      </c>
      <c r="H109" s="16">
        <v>3.7699999999999997E-2</v>
      </c>
      <c r="I109" s="17">
        <v>398.69</v>
      </c>
      <c r="J109" s="17">
        <v>397.37</v>
      </c>
      <c r="K109" s="17">
        <f t="shared" si="7"/>
        <v>266237.90000000002</v>
      </c>
      <c r="L109" s="15">
        <f t="shared" si="8"/>
        <v>0</v>
      </c>
      <c r="M109" s="16">
        <v>-3.3E-3</v>
      </c>
      <c r="N109" s="16">
        <v>0.9</v>
      </c>
      <c r="O109" s="18">
        <v>0</v>
      </c>
      <c r="P109" s="18">
        <f t="shared" si="9"/>
        <v>603</v>
      </c>
      <c r="Q109" s="16">
        <v>0.92989999999999995</v>
      </c>
      <c r="R109" s="16">
        <v>4.4999999999999997E-3</v>
      </c>
      <c r="S109" s="15">
        <v>17.11</v>
      </c>
      <c r="T109" s="15"/>
      <c r="U109" s="15"/>
      <c r="V109" s="15">
        <v>382.51</v>
      </c>
      <c r="W109" s="15">
        <v>390.81</v>
      </c>
      <c r="X109" s="15">
        <v>431.2</v>
      </c>
      <c r="Y109" s="15"/>
    </row>
    <row r="110" spans="2:25" x14ac:dyDescent="0.35">
      <c r="B110" s="13">
        <v>46225</v>
      </c>
      <c r="C110" s="13" t="str">
        <f t="shared" si="6"/>
        <v>Wed</v>
      </c>
      <c r="D110" s="14">
        <v>0.38541666666666669</v>
      </c>
      <c r="E110" s="14" t="s">
        <v>31</v>
      </c>
      <c r="F110" s="15">
        <v>727.65</v>
      </c>
      <c r="G110" s="15">
        <v>772</v>
      </c>
      <c r="H110" s="16">
        <v>6.0999999999999999E-2</v>
      </c>
      <c r="I110" s="17">
        <v>404.3</v>
      </c>
      <c r="J110" s="17">
        <v>408.81</v>
      </c>
      <c r="K110" s="17">
        <f t="shared" si="7"/>
        <v>315601.32</v>
      </c>
      <c r="L110" s="15">
        <f t="shared" si="8"/>
        <v>1</v>
      </c>
      <c r="M110" s="16">
        <v>1.12E-2</v>
      </c>
      <c r="N110" s="16">
        <v>0.67</v>
      </c>
      <c r="O110" s="18">
        <v>1</v>
      </c>
      <c r="P110" s="18">
        <f t="shared" si="9"/>
        <v>517.24</v>
      </c>
      <c r="Q110" s="16">
        <v>0.89870000000000005</v>
      </c>
      <c r="R110" s="16">
        <v>2.1999999999999999E-2</v>
      </c>
      <c r="S110" s="15">
        <v>29.8</v>
      </c>
      <c r="T110" s="15"/>
      <c r="U110" s="15"/>
      <c r="V110" s="15">
        <v>428.36</v>
      </c>
      <c r="W110" s="15">
        <v>449.69</v>
      </c>
      <c r="X110" s="15">
        <v>449.8</v>
      </c>
      <c r="Y110" s="15"/>
    </row>
    <row r="111" spans="2:25" x14ac:dyDescent="0.35">
      <c r="B111" s="13">
        <v>46225</v>
      </c>
      <c r="C111" s="13" t="str">
        <f t="shared" si="6"/>
        <v>Wed</v>
      </c>
      <c r="D111" s="14">
        <v>0.39583333333333331</v>
      </c>
      <c r="E111" s="14" t="s">
        <v>31</v>
      </c>
      <c r="F111" s="15">
        <v>776.63</v>
      </c>
      <c r="G111" s="15">
        <v>815</v>
      </c>
      <c r="H111" s="16">
        <v>4.9399999999999999E-2</v>
      </c>
      <c r="I111" s="17">
        <v>409.58</v>
      </c>
      <c r="J111" s="17">
        <v>377.87</v>
      </c>
      <c r="K111" s="17">
        <f t="shared" si="7"/>
        <v>307964.05</v>
      </c>
      <c r="L111" s="15">
        <f t="shared" si="8"/>
        <v>0</v>
      </c>
      <c r="M111" s="16">
        <v>-7.7399999999999997E-2</v>
      </c>
      <c r="N111" s="16">
        <v>0.75</v>
      </c>
      <c r="O111" s="18">
        <v>1</v>
      </c>
      <c r="P111" s="18">
        <f t="shared" si="9"/>
        <v>611.25</v>
      </c>
      <c r="Q111" s="16">
        <v>0.9133</v>
      </c>
      <c r="R111" s="16">
        <v>8.6E-3</v>
      </c>
      <c r="S111" s="15">
        <v>30.24</v>
      </c>
      <c r="T111" s="15"/>
      <c r="U111" s="15"/>
      <c r="V111" s="15">
        <v>458.74</v>
      </c>
      <c r="W111" s="15">
        <v>441.15</v>
      </c>
      <c r="X111" s="15">
        <v>492.87</v>
      </c>
      <c r="Y111" s="15"/>
    </row>
    <row r="112" spans="2:25" x14ac:dyDescent="0.35">
      <c r="B112" s="13">
        <v>46225</v>
      </c>
      <c r="C112" s="13" t="str">
        <f t="shared" si="6"/>
        <v>Wed</v>
      </c>
      <c r="D112" s="14">
        <v>0.40625</v>
      </c>
      <c r="E112" s="14" t="s">
        <v>31</v>
      </c>
      <c r="F112" s="15">
        <v>809.95</v>
      </c>
      <c r="G112" s="15">
        <v>814</v>
      </c>
      <c r="H112" s="16">
        <v>5.0000000000000001E-3</v>
      </c>
      <c r="I112" s="17">
        <v>417.68</v>
      </c>
      <c r="J112" s="17">
        <v>434.53</v>
      </c>
      <c r="K112" s="17">
        <f t="shared" si="7"/>
        <v>353707.42</v>
      </c>
      <c r="L112" s="15">
        <f t="shared" si="8"/>
        <v>1</v>
      </c>
      <c r="M112" s="16">
        <v>4.0300000000000002E-2</v>
      </c>
      <c r="N112" s="16">
        <v>0.82</v>
      </c>
      <c r="O112" s="18">
        <v>0</v>
      </c>
      <c r="P112" s="18">
        <f t="shared" si="9"/>
        <v>667.4799999999999</v>
      </c>
      <c r="Q112" s="16">
        <v>0.88049999999999995</v>
      </c>
      <c r="R112" s="16">
        <v>1.72E-2</v>
      </c>
      <c r="S112" s="15">
        <v>23.76</v>
      </c>
      <c r="T112" s="15"/>
      <c r="U112" s="15"/>
      <c r="V112" s="15">
        <v>484.15</v>
      </c>
      <c r="W112" s="15">
        <v>503.1</v>
      </c>
      <c r="X112" s="15">
        <v>502.87</v>
      </c>
      <c r="Y112" s="15"/>
    </row>
    <row r="113" spans="2:25" x14ac:dyDescent="0.35">
      <c r="B113" s="13">
        <v>46225</v>
      </c>
      <c r="C113" s="13" t="str">
        <f t="shared" si="6"/>
        <v>Wed</v>
      </c>
      <c r="D113" s="14">
        <v>0.41666666666666669</v>
      </c>
      <c r="E113" s="14" t="s">
        <v>31</v>
      </c>
      <c r="F113" s="15">
        <v>830.99</v>
      </c>
      <c r="G113" s="15">
        <v>926</v>
      </c>
      <c r="H113" s="16">
        <v>0.1143</v>
      </c>
      <c r="I113" s="17">
        <v>422.68</v>
      </c>
      <c r="J113" s="17">
        <v>420.74</v>
      </c>
      <c r="K113" s="17">
        <f t="shared" si="7"/>
        <v>389605.24</v>
      </c>
      <c r="L113" s="15">
        <f t="shared" si="8"/>
        <v>0</v>
      </c>
      <c r="M113" s="16">
        <v>-4.5999999999999999E-3</v>
      </c>
      <c r="N113" s="16">
        <v>0.72</v>
      </c>
      <c r="O113" s="18">
        <v>1</v>
      </c>
      <c r="P113" s="18">
        <f t="shared" si="9"/>
        <v>666.72</v>
      </c>
      <c r="Q113" s="16">
        <v>0.89580000000000004</v>
      </c>
      <c r="R113" s="16">
        <v>1.2999999999999999E-2</v>
      </c>
      <c r="S113" s="15">
        <v>24.77</v>
      </c>
      <c r="T113" s="15"/>
      <c r="U113" s="15"/>
      <c r="V113" s="15">
        <v>500.41</v>
      </c>
      <c r="W113" s="15">
        <v>547.54</v>
      </c>
      <c r="X113" s="15">
        <v>530.66999999999996</v>
      </c>
      <c r="Y113" s="15"/>
    </row>
    <row r="114" spans="2:25" x14ac:dyDescent="0.35">
      <c r="B114" s="13">
        <v>46225</v>
      </c>
      <c r="C114" s="13" t="str">
        <f t="shared" si="6"/>
        <v>Wed</v>
      </c>
      <c r="D114" s="14">
        <v>0.42708333333333331</v>
      </c>
      <c r="E114" s="14" t="s">
        <v>31</v>
      </c>
      <c r="F114" s="15">
        <v>856.07</v>
      </c>
      <c r="G114" s="15">
        <v>871</v>
      </c>
      <c r="H114" s="16">
        <v>1.7399999999999999E-2</v>
      </c>
      <c r="I114" s="17">
        <v>427.75</v>
      </c>
      <c r="J114" s="17">
        <v>408.35</v>
      </c>
      <c r="K114" s="17">
        <f t="shared" si="7"/>
        <v>355672.85000000003</v>
      </c>
      <c r="L114" s="15">
        <f t="shared" si="8"/>
        <v>0</v>
      </c>
      <c r="M114" s="16">
        <v>-4.53E-2</v>
      </c>
      <c r="N114" s="16">
        <v>0.59</v>
      </c>
      <c r="O114" s="18">
        <v>1</v>
      </c>
      <c r="P114" s="18">
        <f t="shared" si="9"/>
        <v>513.89</v>
      </c>
      <c r="Q114" s="16">
        <v>0.87509999999999999</v>
      </c>
      <c r="R114" s="16">
        <v>1.26E-2</v>
      </c>
      <c r="S114" s="15">
        <v>31.47</v>
      </c>
      <c r="T114" s="15"/>
      <c r="U114" s="15"/>
      <c r="V114" s="15">
        <v>520.71</v>
      </c>
      <c r="W114" s="15">
        <v>501.27</v>
      </c>
      <c r="X114" s="15">
        <v>537.07000000000005</v>
      </c>
      <c r="Y114" s="15"/>
    </row>
    <row r="115" spans="2:25" x14ac:dyDescent="0.35">
      <c r="B115" s="13">
        <v>46225</v>
      </c>
      <c r="C115" s="13" t="str">
        <f t="shared" si="6"/>
        <v>Wed</v>
      </c>
      <c r="D115" s="14">
        <v>0.4375</v>
      </c>
      <c r="E115" s="14" t="s">
        <v>31</v>
      </c>
      <c r="F115" s="15">
        <v>876.11</v>
      </c>
      <c r="G115" s="15">
        <v>955</v>
      </c>
      <c r="H115" s="16">
        <v>0.09</v>
      </c>
      <c r="I115" s="17">
        <v>431.81</v>
      </c>
      <c r="J115" s="17">
        <v>437.27</v>
      </c>
      <c r="K115" s="17">
        <f t="shared" si="7"/>
        <v>417592.85</v>
      </c>
      <c r="L115" s="15">
        <f t="shared" si="8"/>
        <v>1</v>
      </c>
      <c r="M115" s="16">
        <v>1.26E-2</v>
      </c>
      <c r="N115" s="16">
        <v>0.71</v>
      </c>
      <c r="O115" s="18">
        <v>1</v>
      </c>
      <c r="P115" s="18">
        <f t="shared" si="9"/>
        <v>678.05</v>
      </c>
      <c r="Q115" s="16">
        <v>0.89659999999999995</v>
      </c>
      <c r="R115" s="16">
        <v>7.3000000000000001E-3</v>
      </c>
      <c r="S115" s="15">
        <v>29.92</v>
      </c>
      <c r="T115" s="15"/>
      <c r="U115" s="15"/>
      <c r="V115" s="15">
        <v>535.85</v>
      </c>
      <c r="W115" s="15">
        <v>582.61</v>
      </c>
      <c r="X115" s="15">
        <v>568.07000000000005</v>
      </c>
      <c r="Y115" s="15"/>
    </row>
    <row r="116" spans="2:25" x14ac:dyDescent="0.35">
      <c r="B116" s="13">
        <v>46225</v>
      </c>
      <c r="C116" s="13" t="str">
        <f t="shared" si="6"/>
        <v>Wed</v>
      </c>
      <c r="D116" s="14">
        <v>0.44791666666666669</v>
      </c>
      <c r="E116" s="14" t="s">
        <v>31</v>
      </c>
      <c r="F116" s="15">
        <v>888.34</v>
      </c>
      <c r="G116" s="15">
        <v>1005</v>
      </c>
      <c r="H116" s="16">
        <v>0.1313</v>
      </c>
      <c r="I116" s="17">
        <v>435.46</v>
      </c>
      <c r="J116" s="17">
        <v>412.61</v>
      </c>
      <c r="K116" s="17">
        <f t="shared" si="7"/>
        <v>414673.05</v>
      </c>
      <c r="L116" s="15">
        <f t="shared" si="8"/>
        <v>0</v>
      </c>
      <c r="M116" s="16">
        <v>-5.2499999999999998E-2</v>
      </c>
      <c r="N116" s="16">
        <v>0.64</v>
      </c>
      <c r="O116" s="18">
        <v>1</v>
      </c>
      <c r="P116" s="18">
        <f t="shared" si="9"/>
        <v>643.20000000000005</v>
      </c>
      <c r="Q116" s="16">
        <v>0.90639999999999998</v>
      </c>
      <c r="R116" s="16">
        <v>2.0899999999999998E-2</v>
      </c>
      <c r="S116" s="15">
        <v>36.71</v>
      </c>
      <c r="T116" s="15"/>
      <c r="U116" s="15"/>
      <c r="V116" s="15">
        <v>547.41999999999996</v>
      </c>
      <c r="W116" s="15">
        <v>577.99</v>
      </c>
      <c r="X116" s="15">
        <v>583.47</v>
      </c>
      <c r="Y116" s="15"/>
    </row>
    <row r="117" spans="2:25" x14ac:dyDescent="0.35">
      <c r="B117" s="13">
        <v>46225</v>
      </c>
      <c r="C117" s="13" t="str">
        <f t="shared" si="6"/>
        <v>Wed</v>
      </c>
      <c r="D117" s="14">
        <v>0.45833333333333331</v>
      </c>
      <c r="E117" s="14" t="s">
        <v>31</v>
      </c>
      <c r="F117" s="15">
        <v>896.39</v>
      </c>
      <c r="G117" s="15">
        <v>911</v>
      </c>
      <c r="H117" s="16">
        <v>1.6299999999999999E-2</v>
      </c>
      <c r="I117" s="17">
        <v>437.35</v>
      </c>
      <c r="J117" s="17">
        <v>462.24</v>
      </c>
      <c r="K117" s="17">
        <f t="shared" si="7"/>
        <v>421100.64</v>
      </c>
      <c r="L117" s="15">
        <f t="shared" si="8"/>
        <v>1</v>
      </c>
      <c r="M117" s="16">
        <v>5.6899999999999999E-2</v>
      </c>
      <c r="N117" s="16">
        <v>0.75</v>
      </c>
      <c r="O117" s="18">
        <v>1</v>
      </c>
      <c r="P117" s="18">
        <f t="shared" si="9"/>
        <v>683.25</v>
      </c>
      <c r="Q117" s="16">
        <v>0.90100000000000002</v>
      </c>
      <c r="R117" s="16">
        <v>1.7600000000000001E-2</v>
      </c>
      <c r="S117" s="15">
        <v>26.01</v>
      </c>
      <c r="T117" s="15"/>
      <c r="U117" s="15"/>
      <c r="V117" s="15">
        <v>553.64</v>
      </c>
      <c r="W117" s="15">
        <v>584.37</v>
      </c>
      <c r="X117" s="15">
        <v>587.33000000000004</v>
      </c>
      <c r="Y117" s="15"/>
    </row>
    <row r="118" spans="2:25" x14ac:dyDescent="0.35">
      <c r="B118" s="13">
        <v>46225</v>
      </c>
      <c r="C118" s="13" t="str">
        <f t="shared" si="6"/>
        <v>Wed</v>
      </c>
      <c r="D118" s="14">
        <v>0.46875</v>
      </c>
      <c r="E118" s="14" t="s">
        <v>31</v>
      </c>
      <c r="F118" s="15">
        <v>890.2</v>
      </c>
      <c r="G118" s="15">
        <v>809</v>
      </c>
      <c r="H118" s="16">
        <v>-9.1200000000000003E-2</v>
      </c>
      <c r="I118" s="17">
        <v>437.74</v>
      </c>
      <c r="J118" s="17">
        <v>415.87</v>
      </c>
      <c r="K118" s="17">
        <f t="shared" si="7"/>
        <v>336438.83</v>
      </c>
      <c r="L118" s="15">
        <f t="shared" si="8"/>
        <v>0</v>
      </c>
      <c r="M118" s="16">
        <v>-0.05</v>
      </c>
      <c r="N118" s="16">
        <v>0.68</v>
      </c>
      <c r="O118" s="18">
        <v>1</v>
      </c>
      <c r="P118" s="18">
        <f t="shared" si="9"/>
        <v>550.12</v>
      </c>
      <c r="Q118" s="16">
        <v>0.89849999999999997</v>
      </c>
      <c r="R118" s="16">
        <v>2.1000000000000001E-2</v>
      </c>
      <c r="S118" s="15">
        <v>32.51</v>
      </c>
      <c r="T118" s="15"/>
      <c r="U118" s="15"/>
      <c r="V118" s="15">
        <v>550.19000000000005</v>
      </c>
      <c r="W118" s="15">
        <v>477.43</v>
      </c>
      <c r="X118" s="15">
        <v>579.27</v>
      </c>
      <c r="Y118" s="15"/>
    </row>
    <row r="119" spans="2:25" x14ac:dyDescent="0.35">
      <c r="B119" s="13">
        <v>46225</v>
      </c>
      <c r="C119" s="13" t="str">
        <f t="shared" si="6"/>
        <v>Wed</v>
      </c>
      <c r="D119" s="14">
        <v>0.47916666666666669</v>
      </c>
      <c r="E119" s="14" t="s">
        <v>31</v>
      </c>
      <c r="F119" s="15">
        <v>878.46</v>
      </c>
      <c r="G119" s="15">
        <v>937</v>
      </c>
      <c r="H119" s="16">
        <v>6.6600000000000006E-2</v>
      </c>
      <c r="I119" s="17">
        <v>438.57</v>
      </c>
      <c r="J119" s="17">
        <v>404.85</v>
      </c>
      <c r="K119" s="17">
        <f t="shared" si="7"/>
        <v>379344.45</v>
      </c>
      <c r="L119" s="15">
        <f t="shared" si="8"/>
        <v>0</v>
      </c>
      <c r="M119" s="16">
        <v>-7.6899999999999996E-2</v>
      </c>
      <c r="N119" s="16">
        <v>0.48</v>
      </c>
      <c r="O119" s="18">
        <v>1</v>
      </c>
      <c r="P119" s="18">
        <f t="shared" si="9"/>
        <v>449.76</v>
      </c>
      <c r="Q119" s="16">
        <v>0.90290000000000004</v>
      </c>
      <c r="R119" s="16">
        <v>3.8399999999999997E-2</v>
      </c>
      <c r="S119" s="15">
        <v>64.98</v>
      </c>
      <c r="T119" s="15"/>
      <c r="U119" s="15"/>
      <c r="V119" s="15">
        <v>544.79</v>
      </c>
      <c r="W119" s="15">
        <v>527.67999999999995</v>
      </c>
      <c r="X119" s="15">
        <v>577.47</v>
      </c>
      <c r="Y119" s="15"/>
    </row>
    <row r="120" spans="2:25" x14ac:dyDescent="0.35">
      <c r="B120" s="13">
        <v>46225</v>
      </c>
      <c r="C120" s="13" t="str">
        <f t="shared" si="6"/>
        <v>Wed</v>
      </c>
      <c r="D120" s="14">
        <v>0.48958333333333331</v>
      </c>
      <c r="E120" s="14" t="s">
        <v>31</v>
      </c>
      <c r="F120" s="15">
        <v>856.61</v>
      </c>
      <c r="G120" s="15">
        <v>907</v>
      </c>
      <c r="H120" s="16">
        <v>5.8799999999999998E-2</v>
      </c>
      <c r="I120" s="17">
        <v>440.09</v>
      </c>
      <c r="J120" s="17">
        <v>418.3</v>
      </c>
      <c r="K120" s="17">
        <f t="shared" si="7"/>
        <v>379398.10000000003</v>
      </c>
      <c r="L120" s="15">
        <f t="shared" si="8"/>
        <v>0</v>
      </c>
      <c r="M120" s="16">
        <v>-4.9500000000000002E-2</v>
      </c>
      <c r="N120" s="16">
        <v>0.67</v>
      </c>
      <c r="O120" s="18">
        <v>1</v>
      </c>
      <c r="P120" s="18">
        <f t="shared" si="9"/>
        <v>607.69000000000005</v>
      </c>
      <c r="Q120" s="16">
        <v>0.90449999999999997</v>
      </c>
      <c r="R120" s="16">
        <v>3.2000000000000001E-2</v>
      </c>
      <c r="S120" s="15">
        <v>46.28</v>
      </c>
      <c r="T120" s="15"/>
      <c r="U120" s="15"/>
      <c r="V120" s="15">
        <v>533.59</v>
      </c>
      <c r="W120" s="15">
        <v>534.44000000000005</v>
      </c>
      <c r="X120" s="15">
        <v>561</v>
      </c>
      <c r="Y120" s="15"/>
    </row>
    <row r="121" spans="2:25" x14ac:dyDescent="0.35">
      <c r="B121" s="13">
        <v>46225</v>
      </c>
      <c r="C121" s="13" t="str">
        <f t="shared" si="6"/>
        <v>Wed</v>
      </c>
      <c r="D121" s="14">
        <v>0.5</v>
      </c>
      <c r="E121" s="14" t="s">
        <v>32</v>
      </c>
      <c r="F121" s="15">
        <v>839.11</v>
      </c>
      <c r="G121" s="15">
        <v>833</v>
      </c>
      <c r="H121" s="16">
        <v>-7.3000000000000001E-3</v>
      </c>
      <c r="I121" s="17">
        <v>441.29</v>
      </c>
      <c r="J121" s="17">
        <v>447.42</v>
      </c>
      <c r="K121" s="17">
        <f t="shared" si="7"/>
        <v>372700.86</v>
      </c>
      <c r="L121" s="15">
        <f t="shared" si="8"/>
        <v>1</v>
      </c>
      <c r="M121" s="16">
        <v>1.3899999999999999E-2</v>
      </c>
      <c r="N121" s="16">
        <v>0.84</v>
      </c>
      <c r="O121" s="18">
        <v>0</v>
      </c>
      <c r="P121" s="18">
        <f t="shared" si="9"/>
        <v>699.72</v>
      </c>
      <c r="Q121" s="16">
        <v>0.91739999999999999</v>
      </c>
      <c r="R121" s="16">
        <v>1.44E-2</v>
      </c>
      <c r="S121" s="15">
        <v>19.84</v>
      </c>
      <c r="T121" s="15"/>
      <c r="U121" s="15"/>
      <c r="V121" s="15">
        <v>524.30999999999995</v>
      </c>
      <c r="W121" s="15">
        <v>520.75</v>
      </c>
      <c r="X121" s="15">
        <v>563</v>
      </c>
      <c r="Y121" s="15"/>
    </row>
    <row r="122" spans="2:25" x14ac:dyDescent="0.35">
      <c r="B122" s="13">
        <v>46225</v>
      </c>
      <c r="C122" s="13" t="str">
        <f t="shared" si="6"/>
        <v>Wed</v>
      </c>
      <c r="D122" s="14">
        <v>0.51041666666666663</v>
      </c>
      <c r="E122" s="14" t="s">
        <v>32</v>
      </c>
      <c r="F122" s="15">
        <v>819.13</v>
      </c>
      <c r="G122" s="15">
        <v>867</v>
      </c>
      <c r="H122" s="16">
        <v>5.8400000000000001E-2</v>
      </c>
      <c r="I122" s="17">
        <v>443.67</v>
      </c>
      <c r="J122" s="17">
        <v>437.22</v>
      </c>
      <c r="K122" s="17">
        <f t="shared" si="7"/>
        <v>379069.74000000005</v>
      </c>
      <c r="L122" s="15">
        <f t="shared" si="8"/>
        <v>0</v>
      </c>
      <c r="M122" s="16">
        <v>-1.4500000000000001E-2</v>
      </c>
      <c r="N122" s="16">
        <v>0.76</v>
      </c>
      <c r="O122" s="18">
        <v>1</v>
      </c>
      <c r="P122" s="18">
        <f t="shared" si="9"/>
        <v>658.92</v>
      </c>
      <c r="Q122" s="16">
        <v>0.91979999999999995</v>
      </c>
      <c r="R122" s="16">
        <v>1.15E-2</v>
      </c>
      <c r="S122" s="15">
        <v>28.31</v>
      </c>
      <c r="T122" s="15"/>
      <c r="U122" s="15"/>
      <c r="V122" s="15">
        <v>514.66</v>
      </c>
      <c r="W122" s="15">
        <v>530.29</v>
      </c>
      <c r="X122" s="15">
        <v>563.73</v>
      </c>
      <c r="Y122" s="15"/>
    </row>
    <row r="123" spans="2:25" x14ac:dyDescent="0.35">
      <c r="B123" s="13">
        <v>46225</v>
      </c>
      <c r="C123" s="13" t="str">
        <f t="shared" si="6"/>
        <v>Wed</v>
      </c>
      <c r="D123" s="14">
        <v>0.52083333333333337</v>
      </c>
      <c r="E123" s="14" t="s">
        <v>32</v>
      </c>
      <c r="F123" s="15">
        <v>802.96</v>
      </c>
      <c r="G123" s="15">
        <v>836</v>
      </c>
      <c r="H123" s="16">
        <v>4.1099999999999998E-2</v>
      </c>
      <c r="I123" s="17">
        <v>442.88</v>
      </c>
      <c r="J123" s="17">
        <v>452.66</v>
      </c>
      <c r="K123" s="17">
        <f t="shared" si="7"/>
        <v>378423.76</v>
      </c>
      <c r="L123" s="15">
        <f t="shared" si="8"/>
        <v>1</v>
      </c>
      <c r="M123" s="16">
        <v>2.2100000000000002E-2</v>
      </c>
      <c r="N123" s="16">
        <v>0.63</v>
      </c>
      <c r="O123" s="18">
        <v>1</v>
      </c>
      <c r="P123" s="18">
        <f t="shared" si="9"/>
        <v>526.67999999999995</v>
      </c>
      <c r="Q123" s="16">
        <v>0.91139999999999999</v>
      </c>
      <c r="R123" s="16">
        <v>1.44E-2</v>
      </c>
      <c r="S123" s="15">
        <v>33.15</v>
      </c>
      <c r="T123" s="15"/>
      <c r="U123" s="15"/>
      <c r="V123" s="15">
        <v>504.29</v>
      </c>
      <c r="W123" s="15">
        <v>530.52</v>
      </c>
      <c r="X123" s="15">
        <v>541.53</v>
      </c>
      <c r="Y123" s="15"/>
    </row>
    <row r="124" spans="2:25" x14ac:dyDescent="0.35">
      <c r="B124" s="13">
        <v>46225</v>
      </c>
      <c r="C124" s="13" t="str">
        <f t="shared" si="6"/>
        <v>Wed</v>
      </c>
      <c r="D124" s="14">
        <v>0.53125</v>
      </c>
      <c r="E124" s="14" t="s">
        <v>32</v>
      </c>
      <c r="F124" s="15">
        <v>783.53</v>
      </c>
      <c r="G124" s="15">
        <v>801</v>
      </c>
      <c r="H124" s="16">
        <v>2.23E-2</v>
      </c>
      <c r="I124" s="17">
        <v>443.31</v>
      </c>
      <c r="J124" s="17">
        <v>426.36</v>
      </c>
      <c r="K124" s="17">
        <f t="shared" si="7"/>
        <v>341514.36</v>
      </c>
      <c r="L124" s="15">
        <f t="shared" si="8"/>
        <v>0</v>
      </c>
      <c r="M124" s="16">
        <v>-3.8199999999999998E-2</v>
      </c>
      <c r="N124" s="16">
        <v>0.85</v>
      </c>
      <c r="O124" s="18">
        <v>0</v>
      </c>
      <c r="P124" s="18">
        <f t="shared" si="9"/>
        <v>680.85</v>
      </c>
      <c r="Q124" s="16">
        <v>0.91400000000000003</v>
      </c>
      <c r="R124" s="16">
        <v>0.02</v>
      </c>
      <c r="S124" s="15">
        <v>37.54</v>
      </c>
      <c r="T124" s="15"/>
      <c r="U124" s="15"/>
      <c r="V124" s="15">
        <v>494.4</v>
      </c>
      <c r="W124" s="15">
        <v>483.83</v>
      </c>
      <c r="X124" s="15">
        <v>527.87</v>
      </c>
      <c r="Y124" s="15"/>
    </row>
    <row r="125" spans="2:25" x14ac:dyDescent="0.35">
      <c r="B125" s="13">
        <v>46225</v>
      </c>
      <c r="C125" s="13" t="str">
        <f t="shared" si="6"/>
        <v>Wed</v>
      </c>
      <c r="D125" s="14">
        <v>0.54166666666666663</v>
      </c>
      <c r="E125" s="14" t="s">
        <v>32</v>
      </c>
      <c r="F125" s="15">
        <v>780.55</v>
      </c>
      <c r="G125" s="15">
        <v>865</v>
      </c>
      <c r="H125" s="16">
        <v>0.1082</v>
      </c>
      <c r="I125" s="17">
        <v>444.28</v>
      </c>
      <c r="J125" s="17">
        <v>422.43</v>
      </c>
      <c r="K125" s="17">
        <f t="shared" si="7"/>
        <v>365401.95</v>
      </c>
      <c r="L125" s="15">
        <f t="shared" si="8"/>
        <v>0</v>
      </c>
      <c r="M125" s="16">
        <v>-4.9200000000000001E-2</v>
      </c>
      <c r="N125" s="16">
        <v>0.78</v>
      </c>
      <c r="O125" s="18">
        <v>1</v>
      </c>
      <c r="P125" s="18">
        <f t="shared" si="9"/>
        <v>674.7</v>
      </c>
      <c r="Q125" s="16">
        <v>0.90429999999999999</v>
      </c>
      <c r="R125" s="16">
        <v>2.8899999999999999E-2</v>
      </c>
      <c r="S125" s="15">
        <v>48.72</v>
      </c>
      <c r="T125" s="15"/>
      <c r="U125" s="15"/>
      <c r="V125" s="15">
        <v>494.04</v>
      </c>
      <c r="W125" s="15">
        <v>517.57000000000005</v>
      </c>
      <c r="X125" s="15">
        <v>521.47</v>
      </c>
      <c r="Y125" s="15"/>
    </row>
    <row r="126" spans="2:25" x14ac:dyDescent="0.35">
      <c r="B126" s="13">
        <v>46225</v>
      </c>
      <c r="C126" s="13" t="str">
        <f t="shared" si="6"/>
        <v>Wed</v>
      </c>
      <c r="D126" s="14">
        <v>0.55208333333333337</v>
      </c>
      <c r="E126" s="14" t="s">
        <v>32</v>
      </c>
      <c r="F126" s="15">
        <v>785.67</v>
      </c>
      <c r="G126" s="15">
        <v>884</v>
      </c>
      <c r="H126" s="16">
        <v>0.12520000000000001</v>
      </c>
      <c r="I126" s="17">
        <v>444.1</v>
      </c>
      <c r="J126" s="17">
        <v>411.49</v>
      </c>
      <c r="K126" s="17">
        <f t="shared" si="7"/>
        <v>363757.16000000003</v>
      </c>
      <c r="L126" s="15">
        <f t="shared" si="8"/>
        <v>0</v>
      </c>
      <c r="M126" s="16">
        <v>-7.3400000000000007E-2</v>
      </c>
      <c r="N126" s="16">
        <v>0.75</v>
      </c>
      <c r="O126" s="18">
        <v>1</v>
      </c>
      <c r="P126" s="18">
        <f t="shared" si="9"/>
        <v>663</v>
      </c>
      <c r="Q126" s="16">
        <v>0.91600000000000004</v>
      </c>
      <c r="R126" s="16">
        <v>2.8299999999999999E-2</v>
      </c>
      <c r="S126" s="15">
        <v>39.590000000000003</v>
      </c>
      <c r="T126" s="15"/>
      <c r="U126" s="15"/>
      <c r="V126" s="15">
        <v>496.82</v>
      </c>
      <c r="W126" s="15">
        <v>515.78</v>
      </c>
      <c r="X126" s="15">
        <v>528</v>
      </c>
      <c r="Y126" s="15"/>
    </row>
    <row r="127" spans="2:25" x14ac:dyDescent="0.35">
      <c r="B127" s="13">
        <v>46225</v>
      </c>
      <c r="C127" s="13" t="str">
        <f t="shared" si="6"/>
        <v>Wed</v>
      </c>
      <c r="D127" s="14">
        <v>0.5625</v>
      </c>
      <c r="E127" s="14" t="s">
        <v>32</v>
      </c>
      <c r="F127" s="15">
        <v>793.43</v>
      </c>
      <c r="G127" s="15">
        <v>849</v>
      </c>
      <c r="H127" s="16">
        <v>7.0000000000000007E-2</v>
      </c>
      <c r="I127" s="17">
        <v>446.92</v>
      </c>
      <c r="J127" s="17">
        <v>458.47</v>
      </c>
      <c r="K127" s="17">
        <f t="shared" si="7"/>
        <v>389241.03</v>
      </c>
      <c r="L127" s="15">
        <f t="shared" si="8"/>
        <v>1</v>
      </c>
      <c r="M127" s="16">
        <v>2.58E-2</v>
      </c>
      <c r="N127" s="16">
        <v>0.77</v>
      </c>
      <c r="O127" s="18">
        <v>1</v>
      </c>
      <c r="P127" s="18">
        <f t="shared" si="9"/>
        <v>653.73</v>
      </c>
      <c r="Q127" s="16">
        <v>0.90210000000000001</v>
      </c>
      <c r="R127" s="16">
        <v>2.12E-2</v>
      </c>
      <c r="S127" s="15">
        <v>42.84</v>
      </c>
      <c r="T127" s="15"/>
      <c r="U127" s="15"/>
      <c r="V127" s="15">
        <v>504.44</v>
      </c>
      <c r="W127" s="15">
        <v>548.82000000000005</v>
      </c>
      <c r="X127" s="15">
        <v>526.66999999999996</v>
      </c>
      <c r="Y127" s="15"/>
    </row>
    <row r="128" spans="2:25" x14ac:dyDescent="0.35">
      <c r="B128" s="13">
        <v>46225</v>
      </c>
      <c r="C128" s="13" t="str">
        <f t="shared" si="6"/>
        <v>Wed</v>
      </c>
      <c r="D128" s="14">
        <v>0.57291666666666663</v>
      </c>
      <c r="E128" s="14" t="s">
        <v>32</v>
      </c>
      <c r="F128" s="15">
        <v>797.35</v>
      </c>
      <c r="G128" s="15">
        <v>822</v>
      </c>
      <c r="H128" s="16">
        <v>3.09E-2</v>
      </c>
      <c r="I128" s="17">
        <v>446.9</v>
      </c>
      <c r="J128" s="17">
        <v>417.71</v>
      </c>
      <c r="K128" s="17">
        <f t="shared" si="7"/>
        <v>343357.62</v>
      </c>
      <c r="L128" s="15">
        <f t="shared" si="8"/>
        <v>0</v>
      </c>
      <c r="M128" s="16">
        <v>-6.5299999999999997E-2</v>
      </c>
      <c r="N128" s="16">
        <v>0.76</v>
      </c>
      <c r="O128" s="18">
        <v>1</v>
      </c>
      <c r="P128" s="18">
        <f t="shared" si="9"/>
        <v>624.72</v>
      </c>
      <c r="Q128" s="16">
        <v>0.90310000000000001</v>
      </c>
      <c r="R128" s="16">
        <v>2.92E-2</v>
      </c>
      <c r="S128" s="15">
        <v>40.54</v>
      </c>
      <c r="T128" s="15"/>
      <c r="U128" s="15"/>
      <c r="V128" s="15">
        <v>507.07</v>
      </c>
      <c r="W128" s="15">
        <v>488.96</v>
      </c>
      <c r="X128" s="15">
        <v>531.47</v>
      </c>
      <c r="Y128" s="15"/>
    </row>
    <row r="129" spans="2:25" x14ac:dyDescent="0.35">
      <c r="B129" s="13">
        <v>46225</v>
      </c>
      <c r="C129" s="13" t="str">
        <f t="shared" si="6"/>
        <v>Wed</v>
      </c>
      <c r="D129" s="14">
        <v>0.58333333333333337</v>
      </c>
      <c r="E129" s="14" t="s">
        <v>32</v>
      </c>
      <c r="F129" s="15">
        <v>792.58</v>
      </c>
      <c r="G129" s="15">
        <v>847</v>
      </c>
      <c r="H129" s="16">
        <v>6.8699999999999997E-2</v>
      </c>
      <c r="I129" s="17">
        <v>446.92</v>
      </c>
      <c r="J129" s="17">
        <v>449.9</v>
      </c>
      <c r="K129" s="17">
        <f t="shared" si="7"/>
        <v>381065.3</v>
      </c>
      <c r="L129" s="15">
        <f t="shared" si="8"/>
        <v>1</v>
      </c>
      <c r="M129" s="16">
        <v>6.7000000000000002E-3</v>
      </c>
      <c r="N129" s="16">
        <v>0.79</v>
      </c>
      <c r="O129" s="18">
        <v>1</v>
      </c>
      <c r="P129" s="18">
        <f t="shared" si="9"/>
        <v>669.13</v>
      </c>
      <c r="Q129" s="16">
        <v>0.91520000000000001</v>
      </c>
      <c r="R129" s="16">
        <v>2.8299999999999999E-2</v>
      </c>
      <c r="S129" s="15">
        <v>29.53</v>
      </c>
      <c r="T129" s="15"/>
      <c r="U129" s="15"/>
      <c r="V129" s="15">
        <v>504.46</v>
      </c>
      <c r="W129" s="15">
        <v>535.09</v>
      </c>
      <c r="X129" s="15">
        <v>534.20000000000005</v>
      </c>
      <c r="Y129" s="15"/>
    </row>
    <row r="130" spans="2:25" x14ac:dyDescent="0.35">
      <c r="B130" s="13">
        <v>46225</v>
      </c>
      <c r="C130" s="13" t="str">
        <f t="shared" si="6"/>
        <v>Wed</v>
      </c>
      <c r="D130" s="14">
        <v>0.59375</v>
      </c>
      <c r="E130" s="14" t="s">
        <v>32</v>
      </c>
      <c r="F130" s="15">
        <v>789.61</v>
      </c>
      <c r="G130" s="15">
        <v>871</v>
      </c>
      <c r="H130" s="16">
        <v>0.1031</v>
      </c>
      <c r="I130" s="17">
        <v>449.27</v>
      </c>
      <c r="J130" s="17">
        <v>421.87</v>
      </c>
      <c r="K130" s="17">
        <f t="shared" si="7"/>
        <v>367448.77</v>
      </c>
      <c r="L130" s="15">
        <f t="shared" si="8"/>
        <v>0</v>
      </c>
      <c r="M130" s="16">
        <v>-6.0999999999999999E-2</v>
      </c>
      <c r="N130" s="16">
        <v>0.76</v>
      </c>
      <c r="O130" s="18">
        <v>1</v>
      </c>
      <c r="P130" s="18">
        <f t="shared" si="9"/>
        <v>661.96</v>
      </c>
      <c r="Q130" s="16">
        <v>0.91700000000000004</v>
      </c>
      <c r="R130" s="16">
        <v>1.26E-2</v>
      </c>
      <c r="S130" s="15">
        <v>31.36</v>
      </c>
      <c r="T130" s="15"/>
      <c r="U130" s="15"/>
      <c r="V130" s="15">
        <v>505.05</v>
      </c>
      <c r="W130" s="15">
        <v>518.07000000000005</v>
      </c>
      <c r="X130" s="15">
        <v>535.53</v>
      </c>
      <c r="Y130" s="15"/>
    </row>
    <row r="131" spans="2:25" x14ac:dyDescent="0.35">
      <c r="B131" s="13">
        <v>46225</v>
      </c>
      <c r="C131" s="13" t="str">
        <f t="shared" si="6"/>
        <v>Wed</v>
      </c>
      <c r="D131" s="14">
        <v>0.60416666666666663</v>
      </c>
      <c r="E131" s="14" t="s">
        <v>32</v>
      </c>
      <c r="F131" s="15">
        <v>780.15</v>
      </c>
      <c r="G131" s="15">
        <v>872</v>
      </c>
      <c r="H131" s="16">
        <v>0.1177</v>
      </c>
      <c r="I131" s="17">
        <v>451.31</v>
      </c>
      <c r="J131" s="17">
        <v>452.76</v>
      </c>
      <c r="K131" s="17">
        <f t="shared" si="7"/>
        <v>394806.72</v>
      </c>
      <c r="L131" s="15">
        <f t="shared" si="8"/>
        <v>1</v>
      </c>
      <c r="M131" s="16">
        <v>3.2000000000000002E-3</v>
      </c>
      <c r="N131" s="16">
        <v>0.5</v>
      </c>
      <c r="O131" s="18">
        <v>1</v>
      </c>
      <c r="P131" s="18">
        <f t="shared" si="9"/>
        <v>436</v>
      </c>
      <c r="Q131" s="16">
        <v>0.89829999999999999</v>
      </c>
      <c r="R131" s="16">
        <v>3.1E-2</v>
      </c>
      <c r="S131" s="15">
        <v>49.17</v>
      </c>
      <c r="T131" s="15"/>
      <c r="U131" s="15"/>
      <c r="V131" s="15">
        <v>501.11</v>
      </c>
      <c r="W131" s="15">
        <v>554.01</v>
      </c>
      <c r="X131" s="15">
        <v>518.53</v>
      </c>
      <c r="Y131" s="15"/>
    </row>
    <row r="132" spans="2:25" x14ac:dyDescent="0.35">
      <c r="B132" s="13">
        <v>46225</v>
      </c>
      <c r="C132" s="13" t="str">
        <f t="shared" si="6"/>
        <v>Wed</v>
      </c>
      <c r="D132" s="14">
        <v>0.61458333333333337</v>
      </c>
      <c r="E132" s="14" t="s">
        <v>32</v>
      </c>
      <c r="F132" s="15">
        <v>774.56</v>
      </c>
      <c r="G132" s="15">
        <v>849</v>
      </c>
      <c r="H132" s="16">
        <v>9.6100000000000005E-2</v>
      </c>
      <c r="I132" s="17">
        <v>453.52</v>
      </c>
      <c r="J132" s="17">
        <v>443.15</v>
      </c>
      <c r="K132" s="17">
        <f t="shared" si="7"/>
        <v>376234.35</v>
      </c>
      <c r="L132" s="15">
        <f t="shared" si="8"/>
        <v>0</v>
      </c>
      <c r="M132" s="16">
        <v>-2.29E-2</v>
      </c>
      <c r="N132" s="16">
        <v>0.65</v>
      </c>
      <c r="O132" s="18">
        <v>1</v>
      </c>
      <c r="P132" s="18">
        <f t="shared" si="9"/>
        <v>551.85</v>
      </c>
      <c r="Q132" s="16">
        <v>0.91010000000000002</v>
      </c>
      <c r="R132" s="16">
        <v>3.0599999999999999E-2</v>
      </c>
      <c r="S132" s="15">
        <v>50.8</v>
      </c>
      <c r="T132" s="15"/>
      <c r="U132" s="15"/>
      <c r="V132" s="15">
        <v>500.84</v>
      </c>
      <c r="W132" s="15">
        <v>523.63</v>
      </c>
      <c r="X132" s="15">
        <v>532.20000000000005</v>
      </c>
      <c r="Y132" s="15"/>
    </row>
    <row r="133" spans="2:25" x14ac:dyDescent="0.35">
      <c r="B133" s="13">
        <v>46225</v>
      </c>
      <c r="C133" s="13" t="str">
        <f t="shared" si="6"/>
        <v>Wed</v>
      </c>
      <c r="D133" s="14">
        <v>0.625</v>
      </c>
      <c r="E133" s="14" t="s">
        <v>33</v>
      </c>
      <c r="F133" s="15">
        <v>777.74</v>
      </c>
      <c r="G133" s="15">
        <v>791</v>
      </c>
      <c r="H133" s="16">
        <v>1.7000000000000001E-2</v>
      </c>
      <c r="I133" s="17">
        <v>454.33</v>
      </c>
      <c r="J133" s="17">
        <v>448.93</v>
      </c>
      <c r="K133" s="17">
        <f t="shared" si="7"/>
        <v>355103.63</v>
      </c>
      <c r="L133" s="15">
        <f t="shared" si="8"/>
        <v>0</v>
      </c>
      <c r="M133" s="16">
        <v>-1.1900000000000001E-2</v>
      </c>
      <c r="N133" s="16">
        <v>0.67</v>
      </c>
      <c r="O133" s="18">
        <v>1</v>
      </c>
      <c r="P133" s="18">
        <f t="shared" si="9"/>
        <v>529.97</v>
      </c>
      <c r="Q133" s="16">
        <v>0.90529999999999999</v>
      </c>
      <c r="R133" s="16">
        <v>2.2800000000000001E-2</v>
      </c>
      <c r="S133" s="15">
        <v>51.51</v>
      </c>
      <c r="T133" s="15"/>
      <c r="U133" s="15"/>
      <c r="V133" s="15">
        <v>503.11</v>
      </c>
      <c r="W133" s="15">
        <v>506.53</v>
      </c>
      <c r="X133" s="15">
        <v>535.79999999999995</v>
      </c>
      <c r="Y133" s="15"/>
    </row>
    <row r="134" spans="2:25" x14ac:dyDescent="0.35">
      <c r="B134" s="13">
        <v>46225</v>
      </c>
      <c r="C134" s="13" t="str">
        <f t="shared" ref="C134:C197" si="10">TEXT(B134,"DDD")</f>
        <v>Wed</v>
      </c>
      <c r="D134" s="14">
        <v>0.63541666666666663</v>
      </c>
      <c r="E134" s="14" t="s">
        <v>33</v>
      </c>
      <c r="F134" s="15">
        <v>785.7</v>
      </c>
      <c r="G134" s="15">
        <v>795</v>
      </c>
      <c r="H134" s="16">
        <v>1.18E-2</v>
      </c>
      <c r="I134" s="17">
        <v>455.65</v>
      </c>
      <c r="J134" s="17">
        <v>444.97</v>
      </c>
      <c r="K134" s="17">
        <f t="shared" ref="K134:K197" si="11">J134*G134</f>
        <v>353751.15</v>
      </c>
      <c r="L134" s="15">
        <f t="shared" ref="L134:L197" si="12">IF(J134&gt;I134,1,0)</f>
        <v>0</v>
      </c>
      <c r="M134" s="16">
        <v>-2.3400000000000001E-2</v>
      </c>
      <c r="N134" s="16">
        <v>0.75</v>
      </c>
      <c r="O134" s="18">
        <v>1</v>
      </c>
      <c r="P134" s="18">
        <f t="shared" ref="P134:P197" si="13">N134*G134</f>
        <v>596.25</v>
      </c>
      <c r="Q134" s="16">
        <v>0.90259999999999996</v>
      </c>
      <c r="R134" s="16">
        <v>2.52E-2</v>
      </c>
      <c r="S134" s="15">
        <v>40.29</v>
      </c>
      <c r="T134" s="15"/>
      <c r="U134" s="15"/>
      <c r="V134" s="15">
        <v>509.08</v>
      </c>
      <c r="W134" s="15">
        <v>501.63</v>
      </c>
      <c r="X134" s="15">
        <v>535.87</v>
      </c>
      <c r="Y134" s="15"/>
    </row>
    <row r="135" spans="2:25" x14ac:dyDescent="0.35">
      <c r="B135" s="13">
        <v>46225</v>
      </c>
      <c r="C135" s="13" t="str">
        <f t="shared" si="10"/>
        <v>Wed</v>
      </c>
      <c r="D135" s="14">
        <v>0.64583333333333337</v>
      </c>
      <c r="E135" s="14" t="s">
        <v>33</v>
      </c>
      <c r="F135" s="15">
        <v>783.95</v>
      </c>
      <c r="G135" s="15">
        <v>832</v>
      </c>
      <c r="H135" s="16">
        <v>6.13E-2</v>
      </c>
      <c r="I135" s="17">
        <v>457.25</v>
      </c>
      <c r="J135" s="17">
        <v>460.58</v>
      </c>
      <c r="K135" s="17">
        <f t="shared" si="11"/>
        <v>383202.56</v>
      </c>
      <c r="L135" s="15">
        <f t="shared" si="12"/>
        <v>1</v>
      </c>
      <c r="M135" s="16">
        <v>7.3000000000000001E-3</v>
      </c>
      <c r="N135" s="16">
        <v>0.79</v>
      </c>
      <c r="O135" s="18">
        <v>1</v>
      </c>
      <c r="P135" s="18">
        <f t="shared" si="13"/>
        <v>657.28</v>
      </c>
      <c r="Q135" s="16">
        <v>0.90329999999999999</v>
      </c>
      <c r="R135" s="16">
        <v>0.03</v>
      </c>
      <c r="S135" s="15">
        <v>36.19</v>
      </c>
      <c r="T135" s="15"/>
      <c r="U135" s="15"/>
      <c r="V135" s="15">
        <v>508.78</v>
      </c>
      <c r="W135" s="15">
        <v>537.55999999999995</v>
      </c>
      <c r="X135" s="15">
        <v>537.07000000000005</v>
      </c>
      <c r="Y135" s="15"/>
    </row>
    <row r="136" spans="2:25" x14ac:dyDescent="0.35">
      <c r="B136" s="13">
        <v>46225</v>
      </c>
      <c r="C136" s="13" t="str">
        <f t="shared" si="10"/>
        <v>Wed</v>
      </c>
      <c r="D136" s="14">
        <v>0.65625</v>
      </c>
      <c r="E136" s="14" t="s">
        <v>33</v>
      </c>
      <c r="F136" s="15">
        <v>760.21</v>
      </c>
      <c r="G136" s="15">
        <v>776</v>
      </c>
      <c r="H136" s="16">
        <v>2.0799999999999999E-2</v>
      </c>
      <c r="I136" s="17">
        <v>460.09</v>
      </c>
      <c r="J136" s="17">
        <v>436.34</v>
      </c>
      <c r="K136" s="17">
        <f t="shared" si="11"/>
        <v>338599.83999999997</v>
      </c>
      <c r="L136" s="15">
        <f t="shared" si="12"/>
        <v>0</v>
      </c>
      <c r="M136" s="16">
        <v>-5.16E-2</v>
      </c>
      <c r="N136" s="16">
        <v>0.81</v>
      </c>
      <c r="O136" s="18">
        <v>0</v>
      </c>
      <c r="P136" s="18">
        <f t="shared" si="13"/>
        <v>628.56000000000006</v>
      </c>
      <c r="Q136" s="16">
        <v>0.91439999999999999</v>
      </c>
      <c r="R136" s="16">
        <v>1.55E-2</v>
      </c>
      <c r="S136" s="15">
        <v>23.33</v>
      </c>
      <c r="T136" s="15"/>
      <c r="U136" s="15"/>
      <c r="V136" s="15">
        <v>497.63</v>
      </c>
      <c r="W136" s="15">
        <v>480.02</v>
      </c>
      <c r="X136" s="15">
        <v>536.92999999999995</v>
      </c>
      <c r="Y136" s="15"/>
    </row>
    <row r="137" spans="2:25" x14ac:dyDescent="0.35">
      <c r="B137" s="13">
        <v>46225</v>
      </c>
      <c r="C137" s="13" t="str">
        <f t="shared" si="10"/>
        <v>Wed</v>
      </c>
      <c r="D137" s="14">
        <v>0.66666666666666663</v>
      </c>
      <c r="E137" s="14" t="s">
        <v>33</v>
      </c>
      <c r="F137" s="15">
        <v>720.98</v>
      </c>
      <c r="G137" s="15">
        <v>702</v>
      </c>
      <c r="H137" s="16">
        <v>-2.63E-2</v>
      </c>
      <c r="I137" s="17">
        <v>463.78</v>
      </c>
      <c r="J137" s="17">
        <v>475.33</v>
      </c>
      <c r="K137" s="17">
        <f t="shared" si="11"/>
        <v>333681.65999999997</v>
      </c>
      <c r="L137" s="15">
        <f t="shared" si="12"/>
        <v>1</v>
      </c>
      <c r="M137" s="16">
        <v>2.4899999999999999E-2</v>
      </c>
      <c r="N137" s="16">
        <v>0.74</v>
      </c>
      <c r="O137" s="18">
        <v>1</v>
      </c>
      <c r="P137" s="18">
        <f t="shared" si="13"/>
        <v>519.48</v>
      </c>
      <c r="Q137" s="16">
        <v>0.89400000000000002</v>
      </c>
      <c r="R137" s="16">
        <v>1.4200000000000001E-2</v>
      </c>
      <c r="S137" s="15">
        <v>23.84</v>
      </c>
      <c r="T137" s="15"/>
      <c r="U137" s="15"/>
      <c r="V137" s="15">
        <v>477.39</v>
      </c>
      <c r="W137" s="15">
        <v>469.75</v>
      </c>
      <c r="X137" s="15">
        <v>500.33</v>
      </c>
      <c r="Y137" s="15"/>
    </row>
    <row r="138" spans="2:25" x14ac:dyDescent="0.35">
      <c r="B138" s="13">
        <v>46225</v>
      </c>
      <c r="C138" s="13" t="str">
        <f t="shared" si="10"/>
        <v>Wed</v>
      </c>
      <c r="D138" s="14">
        <v>0.67708333333333337</v>
      </c>
      <c r="E138" s="14" t="s">
        <v>33</v>
      </c>
      <c r="F138" s="15">
        <v>658.78</v>
      </c>
      <c r="G138" s="15">
        <v>710</v>
      </c>
      <c r="H138" s="16">
        <v>7.7700000000000005E-2</v>
      </c>
      <c r="I138" s="17">
        <v>466.69</v>
      </c>
      <c r="J138" s="17">
        <v>453.67</v>
      </c>
      <c r="K138" s="17">
        <f t="shared" si="11"/>
        <v>322105.7</v>
      </c>
      <c r="L138" s="15">
        <f t="shared" si="12"/>
        <v>0</v>
      </c>
      <c r="M138" s="16">
        <v>-2.7900000000000001E-2</v>
      </c>
      <c r="N138" s="16">
        <v>0.77</v>
      </c>
      <c r="O138" s="18">
        <v>1</v>
      </c>
      <c r="P138" s="18">
        <f t="shared" si="13"/>
        <v>546.70000000000005</v>
      </c>
      <c r="Q138" s="16">
        <v>0.90459999999999996</v>
      </c>
      <c r="R138" s="16">
        <v>1.2699999999999999E-2</v>
      </c>
      <c r="S138" s="15">
        <v>26.44</v>
      </c>
      <c r="T138" s="15"/>
      <c r="U138" s="15"/>
      <c r="V138" s="15">
        <v>441.53</v>
      </c>
      <c r="W138" s="15">
        <v>458.65</v>
      </c>
      <c r="X138" s="15">
        <v>476.33</v>
      </c>
      <c r="Y138" s="15"/>
    </row>
    <row r="139" spans="2:25" x14ac:dyDescent="0.35">
      <c r="B139" s="13">
        <v>46225</v>
      </c>
      <c r="C139" s="13" t="str">
        <f t="shared" si="10"/>
        <v>Wed</v>
      </c>
      <c r="D139" s="14">
        <v>0.6875</v>
      </c>
      <c r="E139" s="14" t="s">
        <v>33</v>
      </c>
      <c r="F139" s="15">
        <v>583.27</v>
      </c>
      <c r="G139" s="15">
        <v>621</v>
      </c>
      <c r="H139" s="16">
        <v>6.4699999999999994E-2</v>
      </c>
      <c r="I139" s="17">
        <v>465.86</v>
      </c>
      <c r="J139" s="17">
        <v>466.43</v>
      </c>
      <c r="K139" s="17">
        <f t="shared" si="11"/>
        <v>289653.03000000003</v>
      </c>
      <c r="L139" s="15">
        <f t="shared" si="12"/>
        <v>1</v>
      </c>
      <c r="M139" s="16">
        <v>1.1999999999999999E-3</v>
      </c>
      <c r="N139" s="16">
        <v>0.51</v>
      </c>
      <c r="O139" s="18">
        <v>1</v>
      </c>
      <c r="P139" s="18">
        <f t="shared" si="13"/>
        <v>316.70999999999998</v>
      </c>
      <c r="Q139" s="16">
        <v>0.89100000000000001</v>
      </c>
      <c r="R139" s="16">
        <v>2.7400000000000001E-2</v>
      </c>
      <c r="S139" s="15">
        <v>49.25</v>
      </c>
      <c r="T139" s="15"/>
      <c r="U139" s="15"/>
      <c r="V139" s="15">
        <v>394.78</v>
      </c>
      <c r="W139" s="15">
        <v>416.32</v>
      </c>
      <c r="X139" s="15">
        <v>416.2</v>
      </c>
      <c r="Y139" s="15"/>
    </row>
    <row r="140" spans="2:25" x14ac:dyDescent="0.35">
      <c r="B140" s="13">
        <v>46225</v>
      </c>
      <c r="C140" s="13" t="str">
        <f t="shared" si="10"/>
        <v>Wed</v>
      </c>
      <c r="D140" s="14">
        <v>0.69791666666666663</v>
      </c>
      <c r="E140" s="14" t="s">
        <v>33</v>
      </c>
      <c r="F140" s="15">
        <v>482.89</v>
      </c>
      <c r="G140" s="15">
        <v>546</v>
      </c>
      <c r="H140" s="16">
        <v>0.13070000000000001</v>
      </c>
      <c r="I140" s="17">
        <v>467.5</v>
      </c>
      <c r="J140" s="17">
        <v>474.56</v>
      </c>
      <c r="K140" s="17">
        <f t="shared" si="11"/>
        <v>259109.76000000001</v>
      </c>
      <c r="L140" s="15">
        <f t="shared" si="12"/>
        <v>1</v>
      </c>
      <c r="M140" s="16">
        <v>1.5100000000000001E-2</v>
      </c>
      <c r="N140" s="16">
        <v>0.54</v>
      </c>
      <c r="O140" s="18">
        <v>1</v>
      </c>
      <c r="P140" s="18">
        <f t="shared" si="13"/>
        <v>294.84000000000003</v>
      </c>
      <c r="Q140" s="16">
        <v>0.9173</v>
      </c>
      <c r="R140" s="16">
        <v>3.3000000000000002E-2</v>
      </c>
      <c r="S140" s="15">
        <v>63.12</v>
      </c>
      <c r="T140" s="15"/>
      <c r="U140" s="15"/>
      <c r="V140" s="15">
        <v>335.37</v>
      </c>
      <c r="W140" s="15">
        <v>376.13</v>
      </c>
      <c r="X140" s="15">
        <v>380.33</v>
      </c>
      <c r="Y140" s="15"/>
    </row>
    <row r="141" spans="2:25" x14ac:dyDescent="0.35">
      <c r="B141" s="13">
        <v>46225</v>
      </c>
      <c r="C141" s="13" t="str">
        <f t="shared" si="10"/>
        <v>Wed</v>
      </c>
      <c r="D141" s="14">
        <v>0.70833333333333337</v>
      </c>
      <c r="E141" s="14" t="s">
        <v>33</v>
      </c>
      <c r="F141" s="15">
        <v>375.93</v>
      </c>
      <c r="G141" s="15">
        <v>398</v>
      </c>
      <c r="H141" s="16">
        <v>5.8700000000000002E-2</v>
      </c>
      <c r="I141" s="17">
        <v>468.89</v>
      </c>
      <c r="J141" s="17">
        <v>443.29</v>
      </c>
      <c r="K141" s="17">
        <f t="shared" si="11"/>
        <v>176429.42</v>
      </c>
      <c r="L141" s="15">
        <f t="shared" si="12"/>
        <v>0</v>
      </c>
      <c r="M141" s="16">
        <v>-5.4600000000000003E-2</v>
      </c>
      <c r="N141" s="16">
        <v>0.53</v>
      </c>
      <c r="O141" s="18">
        <v>1</v>
      </c>
      <c r="P141" s="18">
        <f t="shared" si="13"/>
        <v>210.94</v>
      </c>
      <c r="Q141" s="16">
        <v>0.90459999999999996</v>
      </c>
      <c r="R141" s="16">
        <v>6.2799999999999995E-2</v>
      </c>
      <c r="S141" s="15">
        <v>71.709999999999994</v>
      </c>
      <c r="T141" s="15"/>
      <c r="U141" s="15"/>
      <c r="V141" s="15">
        <v>268.27</v>
      </c>
      <c r="W141" s="15">
        <v>271.27999999999997</v>
      </c>
      <c r="X141" s="15">
        <v>283.52999999999997</v>
      </c>
      <c r="Y141" s="15"/>
    </row>
    <row r="142" spans="2:25" x14ac:dyDescent="0.35">
      <c r="B142" s="13">
        <v>46225</v>
      </c>
      <c r="C142" s="13" t="str">
        <f t="shared" si="10"/>
        <v>Wed</v>
      </c>
      <c r="D142" s="14">
        <v>0.71875</v>
      </c>
      <c r="E142" s="14" t="s">
        <v>33</v>
      </c>
      <c r="F142" s="15">
        <v>294.27</v>
      </c>
      <c r="G142" s="15">
        <v>328</v>
      </c>
      <c r="H142" s="16">
        <v>0.11459999999999999</v>
      </c>
      <c r="I142" s="17">
        <v>469.34</v>
      </c>
      <c r="J142" s="17">
        <v>517.12</v>
      </c>
      <c r="K142" s="17">
        <f t="shared" si="11"/>
        <v>169615.36000000002</v>
      </c>
      <c r="L142" s="15">
        <f t="shared" si="12"/>
        <v>1</v>
      </c>
      <c r="M142" s="16">
        <v>0.1018</v>
      </c>
      <c r="N142" s="16">
        <v>0.81</v>
      </c>
      <c r="O142" s="18">
        <v>0</v>
      </c>
      <c r="P142" s="18">
        <f t="shared" si="13"/>
        <v>265.68</v>
      </c>
      <c r="Q142" s="16">
        <v>0.92949999999999999</v>
      </c>
      <c r="R142" s="16">
        <v>2.7400000000000001E-2</v>
      </c>
      <c r="S142" s="15">
        <v>34.65</v>
      </c>
      <c r="T142" s="15"/>
      <c r="U142" s="15"/>
      <c r="V142" s="15">
        <v>218.55</v>
      </c>
      <c r="W142" s="15">
        <v>255.98</v>
      </c>
      <c r="X142" s="15">
        <v>253.93</v>
      </c>
      <c r="Y142" s="15"/>
    </row>
    <row r="143" spans="2:25" x14ac:dyDescent="0.35">
      <c r="B143" s="13">
        <v>46225</v>
      </c>
      <c r="C143" s="13" t="str">
        <f t="shared" si="10"/>
        <v>Wed</v>
      </c>
      <c r="D143" s="14">
        <v>0.72916666666666663</v>
      </c>
      <c r="E143" s="14" t="s">
        <v>33</v>
      </c>
      <c r="F143" s="15">
        <v>220.6</v>
      </c>
      <c r="G143" s="15">
        <v>265</v>
      </c>
      <c r="H143" s="16">
        <v>0.20130000000000001</v>
      </c>
      <c r="I143" s="17">
        <v>475.68</v>
      </c>
      <c r="J143" s="17">
        <v>454.44</v>
      </c>
      <c r="K143" s="17">
        <f t="shared" si="11"/>
        <v>120426.6</v>
      </c>
      <c r="L143" s="15">
        <f t="shared" si="12"/>
        <v>0</v>
      </c>
      <c r="M143" s="16">
        <v>-4.4600000000000001E-2</v>
      </c>
      <c r="N143" s="16">
        <v>0.78</v>
      </c>
      <c r="O143" s="18">
        <v>1</v>
      </c>
      <c r="P143" s="18">
        <f t="shared" si="13"/>
        <v>206.70000000000002</v>
      </c>
      <c r="Q143" s="16">
        <v>0.93220000000000003</v>
      </c>
      <c r="R143" s="16">
        <v>5.6599999999999998E-2</v>
      </c>
      <c r="S143" s="15">
        <v>43.15</v>
      </c>
      <c r="T143" s="15"/>
      <c r="U143" s="15"/>
      <c r="V143" s="15">
        <v>165.07</v>
      </c>
      <c r="W143" s="15">
        <v>181.53</v>
      </c>
      <c r="X143" s="15">
        <v>184.4</v>
      </c>
      <c r="Y143" s="15"/>
    </row>
    <row r="144" spans="2:25" x14ac:dyDescent="0.35">
      <c r="B144" s="13">
        <v>46225</v>
      </c>
      <c r="C144" s="13" t="str">
        <f t="shared" si="10"/>
        <v>Wed</v>
      </c>
      <c r="D144" s="14">
        <v>0.73958333333333337</v>
      </c>
      <c r="E144" s="14" t="s">
        <v>33</v>
      </c>
      <c r="F144" s="15">
        <v>180.62</v>
      </c>
      <c r="G144" s="15">
        <v>204</v>
      </c>
      <c r="H144" s="16">
        <v>0.12939999999999999</v>
      </c>
      <c r="I144" s="17">
        <v>473.72</v>
      </c>
      <c r="J144" s="17">
        <v>502.31</v>
      </c>
      <c r="K144" s="17">
        <f t="shared" si="11"/>
        <v>102471.24</v>
      </c>
      <c r="L144" s="15">
        <f t="shared" si="12"/>
        <v>1</v>
      </c>
      <c r="M144" s="16">
        <v>6.0299999999999999E-2</v>
      </c>
      <c r="N144" s="16">
        <v>0.89</v>
      </c>
      <c r="O144" s="18">
        <v>0</v>
      </c>
      <c r="P144" s="18">
        <f t="shared" si="13"/>
        <v>181.56</v>
      </c>
      <c r="Q144" s="16">
        <v>0.96779999999999999</v>
      </c>
      <c r="R144" s="16">
        <v>1.47E-2</v>
      </c>
      <c r="S144" s="15">
        <v>21.98</v>
      </c>
      <c r="T144" s="15"/>
      <c r="U144" s="15"/>
      <c r="V144" s="15">
        <v>139.19999999999999</v>
      </c>
      <c r="W144" s="15">
        <v>159.97999999999999</v>
      </c>
      <c r="X144" s="15">
        <v>212.87</v>
      </c>
      <c r="Y144" s="15"/>
    </row>
    <row r="145" spans="2:25" x14ac:dyDescent="0.35">
      <c r="B145" s="13">
        <v>46225</v>
      </c>
      <c r="C145" s="13" t="str">
        <f t="shared" si="10"/>
        <v>Wed</v>
      </c>
      <c r="D145" s="14">
        <v>0.75</v>
      </c>
      <c r="E145" s="14" t="s">
        <v>33</v>
      </c>
      <c r="F145" s="15">
        <v>143.38</v>
      </c>
      <c r="G145" s="15">
        <v>136</v>
      </c>
      <c r="H145" s="16">
        <v>-5.1499999999999997E-2</v>
      </c>
      <c r="I145" s="17">
        <v>465.78</v>
      </c>
      <c r="J145" s="17">
        <v>531.33000000000004</v>
      </c>
      <c r="K145" s="17">
        <f t="shared" si="11"/>
        <v>72260.88</v>
      </c>
      <c r="L145" s="15">
        <f t="shared" si="12"/>
        <v>1</v>
      </c>
      <c r="M145" s="16">
        <v>0.14069999999999999</v>
      </c>
      <c r="N145" s="16">
        <v>0.92</v>
      </c>
      <c r="O145" s="18">
        <v>0</v>
      </c>
      <c r="P145" s="18">
        <f t="shared" si="13"/>
        <v>125.12</v>
      </c>
      <c r="Q145" s="16">
        <v>0.94869999999999999</v>
      </c>
      <c r="R145" s="16">
        <v>2.9399999999999999E-2</v>
      </c>
      <c r="S145" s="15">
        <v>29.95</v>
      </c>
      <c r="T145" s="15"/>
      <c r="U145" s="15"/>
      <c r="V145" s="15">
        <v>111.8</v>
      </c>
      <c r="W145" s="15">
        <v>119.92</v>
      </c>
      <c r="X145" s="15">
        <v>164.67</v>
      </c>
      <c r="Y145" s="15"/>
    </row>
    <row r="146" spans="2:25" x14ac:dyDescent="0.35">
      <c r="B146" s="13">
        <v>46225</v>
      </c>
      <c r="C146" s="13" t="str">
        <f t="shared" si="10"/>
        <v>Wed</v>
      </c>
      <c r="D146" s="14">
        <v>0.76041666666666663</v>
      </c>
      <c r="E146" s="14" t="s">
        <v>33</v>
      </c>
      <c r="F146" s="15">
        <v>117.24</v>
      </c>
      <c r="G146" s="15">
        <v>114</v>
      </c>
      <c r="H146" s="16">
        <v>-2.7699999999999999E-2</v>
      </c>
      <c r="I146" s="17">
        <v>468.46</v>
      </c>
      <c r="J146" s="17">
        <v>484.71</v>
      </c>
      <c r="K146" s="17">
        <f t="shared" si="11"/>
        <v>55256.939999999995</v>
      </c>
      <c r="L146" s="15">
        <f t="shared" si="12"/>
        <v>1</v>
      </c>
      <c r="M146" s="16">
        <v>3.4700000000000002E-2</v>
      </c>
      <c r="N146" s="16">
        <v>0.9</v>
      </c>
      <c r="O146" s="18">
        <v>0</v>
      </c>
      <c r="P146" s="18">
        <f t="shared" si="13"/>
        <v>102.60000000000001</v>
      </c>
      <c r="Q146" s="16">
        <v>0.95240000000000002</v>
      </c>
      <c r="R146" s="16">
        <v>3.5099999999999999E-2</v>
      </c>
      <c r="S146" s="15">
        <v>15.49</v>
      </c>
      <c r="T146" s="15"/>
      <c r="U146" s="15"/>
      <c r="V146" s="15">
        <v>95.5</v>
      </c>
      <c r="W146" s="15">
        <v>97.21</v>
      </c>
      <c r="X146" s="15">
        <v>162.47</v>
      </c>
      <c r="Y146" s="15"/>
    </row>
    <row r="147" spans="2:25" x14ac:dyDescent="0.35">
      <c r="B147" s="13">
        <v>46225</v>
      </c>
      <c r="C147" s="13" t="str">
        <f t="shared" si="10"/>
        <v>Wed</v>
      </c>
      <c r="D147" s="14">
        <v>0.77083333333333337</v>
      </c>
      <c r="E147" s="14" t="s">
        <v>33</v>
      </c>
      <c r="F147" s="15">
        <v>97.41</v>
      </c>
      <c r="G147" s="15">
        <v>87</v>
      </c>
      <c r="H147" s="16">
        <v>-0.1069</v>
      </c>
      <c r="I147" s="17">
        <v>464.8</v>
      </c>
      <c r="J147" s="17">
        <v>443.08</v>
      </c>
      <c r="K147" s="17">
        <f t="shared" si="11"/>
        <v>38547.96</v>
      </c>
      <c r="L147" s="15">
        <f t="shared" si="12"/>
        <v>0</v>
      </c>
      <c r="M147" s="16">
        <v>-4.6699999999999998E-2</v>
      </c>
      <c r="N147" s="16">
        <v>0.93</v>
      </c>
      <c r="O147" s="18">
        <v>0</v>
      </c>
      <c r="P147" s="18">
        <f t="shared" si="13"/>
        <v>80.910000000000011</v>
      </c>
      <c r="Q147" s="16">
        <v>0.90810000000000002</v>
      </c>
      <c r="R147" s="16">
        <v>2.3E-2</v>
      </c>
      <c r="S147" s="15">
        <v>14.55</v>
      </c>
      <c r="T147" s="15"/>
      <c r="U147" s="15"/>
      <c r="V147" s="15">
        <v>81.45</v>
      </c>
      <c r="W147" s="15">
        <v>70.040000000000006</v>
      </c>
      <c r="X147" s="15">
        <v>114</v>
      </c>
      <c r="Y147" s="15"/>
    </row>
    <row r="148" spans="2:25" x14ac:dyDescent="0.35">
      <c r="B148" s="13">
        <v>46225</v>
      </c>
      <c r="C148" s="13" t="str">
        <f t="shared" si="10"/>
        <v>Wed</v>
      </c>
      <c r="D148" s="14">
        <v>0.78125</v>
      </c>
      <c r="E148" s="14" t="s">
        <v>33</v>
      </c>
      <c r="F148" s="15">
        <v>87.84</v>
      </c>
      <c r="G148" s="15">
        <v>90</v>
      </c>
      <c r="H148" s="16">
        <v>2.46E-2</v>
      </c>
      <c r="I148" s="17">
        <v>461.76</v>
      </c>
      <c r="J148" s="17">
        <v>399.06</v>
      </c>
      <c r="K148" s="17">
        <f t="shared" si="11"/>
        <v>35915.4</v>
      </c>
      <c r="L148" s="15">
        <f t="shared" si="12"/>
        <v>0</v>
      </c>
      <c r="M148" s="16">
        <v>-0.1358</v>
      </c>
      <c r="N148" s="16">
        <v>0.86</v>
      </c>
      <c r="O148" s="18">
        <v>0</v>
      </c>
      <c r="P148" s="18">
        <f t="shared" si="13"/>
        <v>77.400000000000006</v>
      </c>
      <c r="Q148" s="16">
        <v>0.93010000000000004</v>
      </c>
      <c r="R148" s="16">
        <v>5.5599999999999997E-2</v>
      </c>
      <c r="S148" s="15">
        <v>40.04</v>
      </c>
      <c r="T148" s="15"/>
      <c r="U148" s="15"/>
      <c r="V148" s="15">
        <v>74.78</v>
      </c>
      <c r="W148" s="15">
        <v>71.11</v>
      </c>
      <c r="X148" s="15">
        <v>114</v>
      </c>
      <c r="Y148" s="15"/>
    </row>
    <row r="149" spans="2:25" x14ac:dyDescent="0.35">
      <c r="B149" s="13">
        <v>46226</v>
      </c>
      <c r="C149" s="13" t="str">
        <f t="shared" si="10"/>
        <v>Thu</v>
      </c>
      <c r="D149" s="14">
        <v>0.29166666666666669</v>
      </c>
      <c r="E149" s="14" t="s">
        <v>31</v>
      </c>
      <c r="F149" s="15">
        <v>63.32</v>
      </c>
      <c r="G149" s="15">
        <v>58</v>
      </c>
      <c r="H149" s="16">
        <v>-8.4000000000000005E-2</v>
      </c>
      <c r="I149" s="17">
        <v>341.32</v>
      </c>
      <c r="J149" s="17">
        <v>453.22</v>
      </c>
      <c r="K149" s="17">
        <f t="shared" si="11"/>
        <v>26286.760000000002</v>
      </c>
      <c r="L149" s="15">
        <f t="shared" si="12"/>
        <v>1</v>
      </c>
      <c r="M149" s="16">
        <v>0.32779999999999998</v>
      </c>
      <c r="N149" s="16">
        <v>0.87</v>
      </c>
      <c r="O149" s="18">
        <v>0</v>
      </c>
      <c r="P149" s="18">
        <f t="shared" si="13"/>
        <v>50.46</v>
      </c>
      <c r="Q149" s="16">
        <v>0.95689999999999997</v>
      </c>
      <c r="R149" s="16">
        <v>0</v>
      </c>
      <c r="S149" s="15">
        <v>15.79</v>
      </c>
      <c r="T149" s="15"/>
      <c r="U149" s="15"/>
      <c r="V149" s="15">
        <v>50.88</v>
      </c>
      <c r="W149" s="15">
        <v>53.58</v>
      </c>
      <c r="X149" s="15">
        <v>75</v>
      </c>
      <c r="Y149" s="15"/>
    </row>
    <row r="150" spans="2:25" x14ac:dyDescent="0.35">
      <c r="B150" s="13">
        <v>46226</v>
      </c>
      <c r="C150" s="13" t="str">
        <f t="shared" si="10"/>
        <v>Thu</v>
      </c>
      <c r="D150" s="14">
        <v>0.30208333333333331</v>
      </c>
      <c r="E150" s="14" t="s">
        <v>31</v>
      </c>
      <c r="F150" s="15">
        <v>74.12</v>
      </c>
      <c r="G150" s="15">
        <v>64</v>
      </c>
      <c r="H150" s="16">
        <v>-0.13650000000000001</v>
      </c>
      <c r="I150" s="17">
        <v>350.28</v>
      </c>
      <c r="J150" s="17">
        <v>323.02</v>
      </c>
      <c r="K150" s="17">
        <f t="shared" si="11"/>
        <v>20673.28</v>
      </c>
      <c r="L150" s="15">
        <f t="shared" si="12"/>
        <v>0</v>
      </c>
      <c r="M150" s="16">
        <v>-7.7799999999999994E-2</v>
      </c>
      <c r="N150" s="16">
        <v>0.89</v>
      </c>
      <c r="O150" s="18">
        <v>0</v>
      </c>
      <c r="P150" s="18">
        <f t="shared" si="13"/>
        <v>56.96</v>
      </c>
      <c r="Q150" s="16">
        <v>0.93149999999999999</v>
      </c>
      <c r="R150" s="16">
        <v>1.5599999999999999E-2</v>
      </c>
      <c r="S150" s="15">
        <v>16.760000000000002</v>
      </c>
      <c r="T150" s="15"/>
      <c r="U150" s="15"/>
      <c r="V150" s="15">
        <v>59.4</v>
      </c>
      <c r="W150" s="15">
        <v>45.6</v>
      </c>
      <c r="X150" s="15">
        <v>76.930000000000007</v>
      </c>
      <c r="Y150" s="15"/>
    </row>
    <row r="151" spans="2:25" x14ac:dyDescent="0.35">
      <c r="B151" s="13">
        <v>46226</v>
      </c>
      <c r="C151" s="13" t="str">
        <f t="shared" si="10"/>
        <v>Thu</v>
      </c>
      <c r="D151" s="14">
        <v>0.3125</v>
      </c>
      <c r="E151" s="14" t="s">
        <v>31</v>
      </c>
      <c r="F151" s="15">
        <v>100.97</v>
      </c>
      <c r="G151" s="15">
        <v>91</v>
      </c>
      <c r="H151" s="16">
        <v>-9.8799999999999999E-2</v>
      </c>
      <c r="I151" s="17">
        <v>358.65</v>
      </c>
      <c r="J151" s="17">
        <v>363.12</v>
      </c>
      <c r="K151" s="17">
        <f t="shared" si="11"/>
        <v>33043.919999999998</v>
      </c>
      <c r="L151" s="15">
        <f t="shared" si="12"/>
        <v>1</v>
      </c>
      <c r="M151" s="16">
        <v>1.2500000000000001E-2</v>
      </c>
      <c r="N151" s="16">
        <v>0.92</v>
      </c>
      <c r="O151" s="18">
        <v>0</v>
      </c>
      <c r="P151" s="18">
        <f t="shared" si="13"/>
        <v>83.72</v>
      </c>
      <c r="Q151" s="16">
        <v>0.95220000000000005</v>
      </c>
      <c r="R151" s="16">
        <v>0</v>
      </c>
      <c r="S151" s="15">
        <v>13.53</v>
      </c>
      <c r="T151" s="15"/>
      <c r="U151" s="15"/>
      <c r="V151" s="15">
        <v>78.59</v>
      </c>
      <c r="W151" s="15">
        <v>67.7</v>
      </c>
      <c r="X151" s="15">
        <v>119</v>
      </c>
      <c r="Y151" s="15"/>
    </row>
    <row r="152" spans="2:25" x14ac:dyDescent="0.35">
      <c r="B152" s="13">
        <v>46226</v>
      </c>
      <c r="C152" s="13" t="str">
        <f t="shared" si="10"/>
        <v>Thu</v>
      </c>
      <c r="D152" s="14">
        <v>0.32291666666666669</v>
      </c>
      <c r="E152" s="14" t="s">
        <v>31</v>
      </c>
      <c r="F152" s="15">
        <v>168.85</v>
      </c>
      <c r="G152" s="15">
        <v>147</v>
      </c>
      <c r="H152" s="16">
        <v>-0.12939999999999999</v>
      </c>
      <c r="I152" s="17">
        <v>363.32</v>
      </c>
      <c r="J152" s="17">
        <v>366.67</v>
      </c>
      <c r="K152" s="17">
        <f t="shared" si="11"/>
        <v>53900.490000000005</v>
      </c>
      <c r="L152" s="15">
        <f t="shared" si="12"/>
        <v>1</v>
      </c>
      <c r="M152" s="16">
        <v>9.1999999999999998E-3</v>
      </c>
      <c r="N152" s="16">
        <v>0.85</v>
      </c>
      <c r="O152" s="18">
        <v>0</v>
      </c>
      <c r="P152" s="18">
        <f t="shared" si="13"/>
        <v>124.95</v>
      </c>
      <c r="Q152" s="16">
        <v>0.87209999999999999</v>
      </c>
      <c r="R152" s="16">
        <v>0</v>
      </c>
      <c r="S152" s="15">
        <v>31.42</v>
      </c>
      <c r="T152" s="15"/>
      <c r="U152" s="15"/>
      <c r="V152" s="15">
        <v>121.05</v>
      </c>
      <c r="W152" s="15">
        <v>98.35</v>
      </c>
      <c r="X152" s="15">
        <v>132</v>
      </c>
      <c r="Y152" s="15"/>
    </row>
    <row r="153" spans="2:25" x14ac:dyDescent="0.35">
      <c r="B153" s="13">
        <v>46226</v>
      </c>
      <c r="C153" s="13" t="str">
        <f t="shared" si="10"/>
        <v>Thu</v>
      </c>
      <c r="D153" s="14">
        <v>0.33333333333333331</v>
      </c>
      <c r="E153" s="14" t="s">
        <v>31</v>
      </c>
      <c r="F153" s="15">
        <v>258.25</v>
      </c>
      <c r="G153" s="15">
        <v>241</v>
      </c>
      <c r="H153" s="16">
        <v>-6.6799999999999998E-2</v>
      </c>
      <c r="I153" s="17">
        <v>365.29</v>
      </c>
      <c r="J153" s="17">
        <v>355.11</v>
      </c>
      <c r="K153" s="17">
        <f t="shared" si="11"/>
        <v>85581.510000000009</v>
      </c>
      <c r="L153" s="15">
        <f t="shared" si="12"/>
        <v>0</v>
      </c>
      <c r="M153" s="16">
        <v>-2.7900000000000001E-2</v>
      </c>
      <c r="N153" s="16">
        <v>0.94</v>
      </c>
      <c r="O153" s="18">
        <v>0</v>
      </c>
      <c r="P153" s="18">
        <f t="shared" si="13"/>
        <v>226.54</v>
      </c>
      <c r="Q153" s="16">
        <v>0.9778</v>
      </c>
      <c r="R153" s="16">
        <v>0</v>
      </c>
      <c r="S153" s="15">
        <v>11.3</v>
      </c>
      <c r="T153" s="15"/>
      <c r="U153" s="15"/>
      <c r="V153" s="15">
        <v>171.29</v>
      </c>
      <c r="W153" s="15">
        <v>151.91999999999999</v>
      </c>
      <c r="X153" s="15">
        <v>259.93</v>
      </c>
      <c r="Y153" s="15"/>
    </row>
    <row r="154" spans="2:25" x14ac:dyDescent="0.35">
      <c r="B154" s="13">
        <v>46226</v>
      </c>
      <c r="C154" s="13" t="str">
        <f t="shared" si="10"/>
        <v>Thu</v>
      </c>
      <c r="D154" s="14">
        <v>0.34375</v>
      </c>
      <c r="E154" s="14" t="s">
        <v>31</v>
      </c>
      <c r="F154" s="15">
        <v>364.53</v>
      </c>
      <c r="G154" s="15">
        <v>384</v>
      </c>
      <c r="H154" s="16">
        <v>5.3400000000000003E-2</v>
      </c>
      <c r="I154" s="17">
        <v>376.46</v>
      </c>
      <c r="J154" s="17">
        <v>423.71</v>
      </c>
      <c r="K154" s="17">
        <f t="shared" si="11"/>
        <v>162704.63999999998</v>
      </c>
      <c r="L154" s="15">
        <f t="shared" si="12"/>
        <v>1</v>
      </c>
      <c r="M154" s="16">
        <v>0.1255</v>
      </c>
      <c r="N154" s="16">
        <v>0.74</v>
      </c>
      <c r="O154" s="18">
        <v>1</v>
      </c>
      <c r="P154" s="18">
        <f t="shared" si="13"/>
        <v>284.15999999999997</v>
      </c>
      <c r="Q154" s="16">
        <v>0.86680000000000001</v>
      </c>
      <c r="R154" s="16">
        <v>1.2999999999999999E-2</v>
      </c>
      <c r="S154" s="15">
        <v>26.41</v>
      </c>
      <c r="T154" s="15"/>
      <c r="U154" s="15"/>
      <c r="V154" s="15">
        <v>232.53</v>
      </c>
      <c r="W154" s="15">
        <v>253.46</v>
      </c>
      <c r="X154" s="15">
        <v>258.27</v>
      </c>
      <c r="Y154" s="15"/>
    </row>
    <row r="155" spans="2:25" x14ac:dyDescent="0.35">
      <c r="B155" s="13">
        <v>46226</v>
      </c>
      <c r="C155" s="13" t="str">
        <f t="shared" si="10"/>
        <v>Thu</v>
      </c>
      <c r="D155" s="14">
        <v>0.35416666666666669</v>
      </c>
      <c r="E155" s="14" t="s">
        <v>31</v>
      </c>
      <c r="F155" s="15">
        <v>448.54</v>
      </c>
      <c r="G155" s="15">
        <v>459</v>
      </c>
      <c r="H155" s="16">
        <v>2.3300000000000001E-2</v>
      </c>
      <c r="I155" s="17">
        <v>385.53</v>
      </c>
      <c r="J155" s="17">
        <v>383.85</v>
      </c>
      <c r="K155" s="17">
        <f t="shared" si="11"/>
        <v>176187.15000000002</v>
      </c>
      <c r="L155" s="15">
        <f t="shared" si="12"/>
        <v>0</v>
      </c>
      <c r="M155" s="16">
        <v>-4.4000000000000003E-3</v>
      </c>
      <c r="N155" s="16">
        <v>0.91</v>
      </c>
      <c r="O155" s="18">
        <v>0</v>
      </c>
      <c r="P155" s="18">
        <f t="shared" si="13"/>
        <v>417.69</v>
      </c>
      <c r="Q155" s="16">
        <v>0.93330000000000002</v>
      </c>
      <c r="R155" s="16">
        <v>2.2000000000000001E-3</v>
      </c>
      <c r="S155" s="15">
        <v>15.81</v>
      </c>
      <c r="T155" s="15"/>
      <c r="U155" s="15"/>
      <c r="V155" s="15">
        <v>282.55</v>
      </c>
      <c r="W155" s="15">
        <v>276.12</v>
      </c>
      <c r="X155" s="15">
        <v>333.6</v>
      </c>
      <c r="Y155" s="15"/>
    </row>
    <row r="156" spans="2:25" x14ac:dyDescent="0.35">
      <c r="B156" s="13">
        <v>46226</v>
      </c>
      <c r="C156" s="13" t="str">
        <f t="shared" si="10"/>
        <v>Thu</v>
      </c>
      <c r="D156" s="14">
        <v>0.36458333333333331</v>
      </c>
      <c r="E156" s="14" t="s">
        <v>31</v>
      </c>
      <c r="F156" s="15">
        <v>528.63</v>
      </c>
      <c r="G156" s="15">
        <v>539</v>
      </c>
      <c r="H156" s="16">
        <v>1.9599999999999999E-2</v>
      </c>
      <c r="I156" s="17">
        <v>394.96</v>
      </c>
      <c r="J156" s="17">
        <v>386.79</v>
      </c>
      <c r="K156" s="17">
        <f t="shared" si="11"/>
        <v>208479.81</v>
      </c>
      <c r="L156" s="15">
        <f t="shared" si="12"/>
        <v>0</v>
      </c>
      <c r="M156" s="16">
        <v>-2.07E-2</v>
      </c>
      <c r="N156" s="16">
        <v>0.87</v>
      </c>
      <c r="O156" s="18">
        <v>0</v>
      </c>
      <c r="P156" s="18">
        <f t="shared" si="13"/>
        <v>468.93</v>
      </c>
      <c r="Q156" s="16">
        <v>0.86439999999999995</v>
      </c>
      <c r="R156" s="16">
        <v>3.7000000000000002E-3</v>
      </c>
      <c r="S156" s="15">
        <v>14.19</v>
      </c>
      <c r="T156" s="15"/>
      <c r="U156" s="15"/>
      <c r="V156" s="15">
        <v>329.75</v>
      </c>
      <c r="W156" s="15">
        <v>322.43</v>
      </c>
      <c r="X156" s="15">
        <v>344.33</v>
      </c>
      <c r="Y156" s="15"/>
    </row>
    <row r="157" spans="2:25" x14ac:dyDescent="0.35">
      <c r="B157" s="13">
        <v>46226</v>
      </c>
      <c r="C157" s="13" t="str">
        <f t="shared" si="10"/>
        <v>Thu</v>
      </c>
      <c r="D157" s="14">
        <v>0.375</v>
      </c>
      <c r="E157" s="14" t="s">
        <v>31</v>
      </c>
      <c r="F157" s="15">
        <v>622.53</v>
      </c>
      <c r="G157" s="15">
        <v>648</v>
      </c>
      <c r="H157" s="16">
        <v>4.0899999999999999E-2</v>
      </c>
      <c r="I157" s="17">
        <v>400.78</v>
      </c>
      <c r="J157" s="17">
        <v>403.9</v>
      </c>
      <c r="K157" s="17">
        <f t="shared" si="11"/>
        <v>261727.19999999998</v>
      </c>
      <c r="L157" s="15">
        <f t="shared" si="12"/>
        <v>1</v>
      </c>
      <c r="M157" s="16">
        <v>7.7999999999999996E-3</v>
      </c>
      <c r="N157" s="16">
        <v>0.92</v>
      </c>
      <c r="O157" s="18">
        <v>0</v>
      </c>
      <c r="P157" s="18">
        <f t="shared" si="13"/>
        <v>596.16000000000008</v>
      </c>
      <c r="Q157" s="16">
        <v>0.89080000000000004</v>
      </c>
      <c r="R157" s="16">
        <v>3.0999999999999999E-3</v>
      </c>
      <c r="S157" s="15">
        <v>12.24</v>
      </c>
      <c r="T157" s="15"/>
      <c r="U157" s="15"/>
      <c r="V157" s="15">
        <v>383.57</v>
      </c>
      <c r="W157" s="15">
        <v>386.22</v>
      </c>
      <c r="X157" s="15">
        <v>409.73</v>
      </c>
      <c r="Y157" s="15"/>
    </row>
    <row r="158" spans="2:25" x14ac:dyDescent="0.35">
      <c r="B158" s="13">
        <v>46226</v>
      </c>
      <c r="C158" s="13" t="str">
        <f t="shared" si="10"/>
        <v>Thu</v>
      </c>
      <c r="D158" s="14">
        <v>0.38541666666666669</v>
      </c>
      <c r="E158" s="14" t="s">
        <v>31</v>
      </c>
      <c r="F158" s="15">
        <v>702.48</v>
      </c>
      <c r="G158" s="15">
        <v>695</v>
      </c>
      <c r="H158" s="16">
        <v>-1.0699999999999999E-2</v>
      </c>
      <c r="I158" s="17">
        <v>405</v>
      </c>
      <c r="J158" s="17">
        <v>407.25</v>
      </c>
      <c r="K158" s="17">
        <f t="shared" si="11"/>
        <v>283038.75</v>
      </c>
      <c r="L158" s="15">
        <f t="shared" si="12"/>
        <v>1</v>
      </c>
      <c r="M158" s="16">
        <v>5.5999999999999999E-3</v>
      </c>
      <c r="N158" s="16">
        <v>0.79</v>
      </c>
      <c r="O158" s="18">
        <v>1</v>
      </c>
      <c r="P158" s="18">
        <f t="shared" si="13"/>
        <v>549.05000000000007</v>
      </c>
      <c r="Q158" s="16">
        <v>0.85299999999999998</v>
      </c>
      <c r="R158" s="16">
        <v>8.6E-3</v>
      </c>
      <c r="S158" s="15">
        <v>22.32</v>
      </c>
      <c r="T158" s="15"/>
      <c r="U158" s="15"/>
      <c r="V158" s="15">
        <v>429.79</v>
      </c>
      <c r="W158" s="15">
        <v>413.97</v>
      </c>
      <c r="X158" s="15">
        <v>417.13</v>
      </c>
      <c r="Y158" s="15"/>
    </row>
    <row r="159" spans="2:25" x14ac:dyDescent="0.35">
      <c r="B159" s="13">
        <v>46226</v>
      </c>
      <c r="C159" s="13" t="str">
        <f t="shared" si="10"/>
        <v>Thu</v>
      </c>
      <c r="D159" s="14">
        <v>0.39583333333333331</v>
      </c>
      <c r="E159" s="14" t="s">
        <v>31</v>
      </c>
      <c r="F159" s="15">
        <v>757.75</v>
      </c>
      <c r="G159" s="15">
        <v>761</v>
      </c>
      <c r="H159" s="16">
        <v>4.3E-3</v>
      </c>
      <c r="I159" s="17">
        <v>409.09</v>
      </c>
      <c r="J159" s="17">
        <v>395.52</v>
      </c>
      <c r="K159" s="17">
        <f t="shared" si="11"/>
        <v>300990.71999999997</v>
      </c>
      <c r="L159" s="15">
        <f t="shared" si="12"/>
        <v>0</v>
      </c>
      <c r="M159" s="16">
        <v>-3.32E-2</v>
      </c>
      <c r="N159" s="16">
        <v>0.68</v>
      </c>
      <c r="O159" s="18">
        <v>1</v>
      </c>
      <c r="P159" s="18">
        <f t="shared" si="13"/>
        <v>517.48</v>
      </c>
      <c r="Q159" s="16">
        <v>0.8599</v>
      </c>
      <c r="R159" s="16">
        <v>1.4500000000000001E-2</v>
      </c>
      <c r="S159" s="15">
        <v>26.52</v>
      </c>
      <c r="T159" s="15"/>
      <c r="U159" s="15"/>
      <c r="V159" s="15">
        <v>462.86</v>
      </c>
      <c r="W159" s="15">
        <v>435.4</v>
      </c>
      <c r="X159" s="15">
        <v>466.67</v>
      </c>
      <c r="Y159" s="15"/>
    </row>
    <row r="160" spans="2:25" x14ac:dyDescent="0.35">
      <c r="B160" s="13">
        <v>46226</v>
      </c>
      <c r="C160" s="13" t="str">
        <f t="shared" si="10"/>
        <v>Thu</v>
      </c>
      <c r="D160" s="14">
        <v>0.40625</v>
      </c>
      <c r="E160" s="14" t="s">
        <v>31</v>
      </c>
      <c r="F160" s="15">
        <v>782.01</v>
      </c>
      <c r="G160" s="15">
        <v>781</v>
      </c>
      <c r="H160" s="16">
        <v>-1.2999999999999999E-3</v>
      </c>
      <c r="I160" s="17">
        <v>414.63</v>
      </c>
      <c r="J160" s="17">
        <v>405.69</v>
      </c>
      <c r="K160" s="17">
        <f t="shared" si="11"/>
        <v>316843.89</v>
      </c>
      <c r="L160" s="15">
        <f t="shared" si="12"/>
        <v>0</v>
      </c>
      <c r="M160" s="16">
        <v>-2.1499999999999998E-2</v>
      </c>
      <c r="N160" s="16">
        <v>0.63</v>
      </c>
      <c r="O160" s="18">
        <v>1</v>
      </c>
      <c r="P160" s="18">
        <f t="shared" si="13"/>
        <v>492.03000000000003</v>
      </c>
      <c r="Q160" s="16">
        <v>0.83540000000000003</v>
      </c>
      <c r="R160" s="16">
        <v>1.41E-2</v>
      </c>
      <c r="S160" s="15">
        <v>39.51</v>
      </c>
      <c r="T160" s="15"/>
      <c r="U160" s="15"/>
      <c r="V160" s="15">
        <v>482.56</v>
      </c>
      <c r="W160" s="15">
        <v>454.86</v>
      </c>
      <c r="X160" s="15">
        <v>474.6</v>
      </c>
      <c r="Y160" s="15"/>
    </row>
    <row r="161" spans="2:25" x14ac:dyDescent="0.35">
      <c r="B161" s="13">
        <v>46226</v>
      </c>
      <c r="C161" s="13" t="str">
        <f t="shared" si="10"/>
        <v>Thu</v>
      </c>
      <c r="D161" s="14">
        <v>0.41666666666666669</v>
      </c>
      <c r="E161" s="14" t="s">
        <v>31</v>
      </c>
      <c r="F161" s="15">
        <v>808.58</v>
      </c>
      <c r="G161" s="15">
        <v>770</v>
      </c>
      <c r="H161" s="16">
        <v>-4.7699999999999999E-2</v>
      </c>
      <c r="I161" s="17">
        <v>417.65</v>
      </c>
      <c r="J161" s="17">
        <v>412.75</v>
      </c>
      <c r="K161" s="17">
        <f t="shared" si="11"/>
        <v>317817.5</v>
      </c>
      <c r="L161" s="15">
        <f t="shared" si="12"/>
        <v>0</v>
      </c>
      <c r="M161" s="16">
        <v>-1.17E-2</v>
      </c>
      <c r="N161" s="16">
        <v>0.73</v>
      </c>
      <c r="O161" s="18">
        <v>1</v>
      </c>
      <c r="P161" s="18">
        <f t="shared" si="13"/>
        <v>562.1</v>
      </c>
      <c r="Q161" s="16">
        <v>0.87080000000000002</v>
      </c>
      <c r="R161" s="16">
        <v>1.17E-2</v>
      </c>
      <c r="S161" s="15">
        <v>26.33</v>
      </c>
      <c r="T161" s="15"/>
      <c r="U161" s="15"/>
      <c r="V161" s="15">
        <v>501.21</v>
      </c>
      <c r="W161" s="15">
        <v>457.69</v>
      </c>
      <c r="X161" s="15">
        <v>497.47</v>
      </c>
      <c r="Y161" s="15"/>
    </row>
    <row r="162" spans="2:25" x14ac:dyDescent="0.35">
      <c r="B162" s="13">
        <v>46226</v>
      </c>
      <c r="C162" s="13" t="str">
        <f t="shared" si="10"/>
        <v>Thu</v>
      </c>
      <c r="D162" s="14">
        <v>0.42708333333333331</v>
      </c>
      <c r="E162" s="14" t="s">
        <v>31</v>
      </c>
      <c r="F162" s="15">
        <v>839.14</v>
      </c>
      <c r="G162" s="15">
        <v>836</v>
      </c>
      <c r="H162" s="16">
        <v>-3.7000000000000002E-3</v>
      </c>
      <c r="I162" s="17">
        <v>422.46</v>
      </c>
      <c r="J162" s="17">
        <v>400.31</v>
      </c>
      <c r="K162" s="17">
        <f t="shared" si="11"/>
        <v>334659.15999999997</v>
      </c>
      <c r="L162" s="15">
        <f t="shared" si="12"/>
        <v>0</v>
      </c>
      <c r="M162" s="16">
        <v>-5.2400000000000002E-2</v>
      </c>
      <c r="N162" s="16">
        <v>0.71</v>
      </c>
      <c r="O162" s="18">
        <v>1</v>
      </c>
      <c r="P162" s="18">
        <f t="shared" si="13"/>
        <v>593.55999999999995</v>
      </c>
      <c r="Q162" s="16">
        <v>0.84450000000000003</v>
      </c>
      <c r="R162" s="16">
        <v>1.5599999999999999E-2</v>
      </c>
      <c r="S162" s="15">
        <v>24.5</v>
      </c>
      <c r="T162" s="15"/>
      <c r="U162" s="15"/>
      <c r="V162" s="15">
        <v>522.63</v>
      </c>
      <c r="W162" s="15">
        <v>477.72</v>
      </c>
      <c r="X162" s="15">
        <v>511.47</v>
      </c>
      <c r="Y162" s="15"/>
    </row>
    <row r="163" spans="2:25" x14ac:dyDescent="0.35">
      <c r="B163" s="13">
        <v>46226</v>
      </c>
      <c r="C163" s="13" t="str">
        <f t="shared" si="10"/>
        <v>Thu</v>
      </c>
      <c r="D163" s="14">
        <v>0.4375</v>
      </c>
      <c r="E163" s="14" t="s">
        <v>31</v>
      </c>
      <c r="F163" s="15">
        <v>857.45</v>
      </c>
      <c r="G163" s="15">
        <v>832</v>
      </c>
      <c r="H163" s="16">
        <v>-2.9700000000000001E-2</v>
      </c>
      <c r="I163" s="17">
        <v>426.43</v>
      </c>
      <c r="J163" s="17">
        <v>435.77</v>
      </c>
      <c r="K163" s="17">
        <f t="shared" si="11"/>
        <v>362560.64</v>
      </c>
      <c r="L163" s="15">
        <f t="shared" si="12"/>
        <v>1</v>
      </c>
      <c r="M163" s="16">
        <v>2.1899999999999999E-2</v>
      </c>
      <c r="N163" s="16">
        <v>0.95</v>
      </c>
      <c r="O163" s="18">
        <v>0</v>
      </c>
      <c r="P163" s="18">
        <f t="shared" si="13"/>
        <v>790.4</v>
      </c>
      <c r="Q163" s="16">
        <v>0.92290000000000005</v>
      </c>
      <c r="R163" s="16">
        <v>2.3999999999999998E-3</v>
      </c>
      <c r="S163" s="15">
        <v>11.05</v>
      </c>
      <c r="T163" s="15"/>
      <c r="U163" s="15"/>
      <c r="V163" s="15">
        <v>536.38</v>
      </c>
      <c r="W163" s="15">
        <v>516.19000000000005</v>
      </c>
      <c r="X163" s="15">
        <v>553.79999999999995</v>
      </c>
      <c r="Y163" s="15"/>
    </row>
    <row r="164" spans="2:25" x14ac:dyDescent="0.35">
      <c r="B164" s="13">
        <v>46226</v>
      </c>
      <c r="C164" s="13" t="str">
        <f t="shared" si="10"/>
        <v>Thu</v>
      </c>
      <c r="D164" s="14">
        <v>0.44791666666666669</v>
      </c>
      <c r="E164" s="14" t="s">
        <v>31</v>
      </c>
      <c r="F164" s="15">
        <v>860.98</v>
      </c>
      <c r="G164" s="15">
        <v>891</v>
      </c>
      <c r="H164" s="16">
        <v>3.49E-2</v>
      </c>
      <c r="I164" s="17">
        <v>430.85</v>
      </c>
      <c r="J164" s="17">
        <v>444.48</v>
      </c>
      <c r="K164" s="17">
        <f t="shared" si="11"/>
        <v>396031.68</v>
      </c>
      <c r="L164" s="15">
        <f t="shared" si="12"/>
        <v>1</v>
      </c>
      <c r="M164" s="16">
        <v>3.1600000000000003E-2</v>
      </c>
      <c r="N164" s="16">
        <v>0.83</v>
      </c>
      <c r="O164" s="18">
        <v>0</v>
      </c>
      <c r="P164" s="18">
        <f t="shared" si="13"/>
        <v>739.53</v>
      </c>
      <c r="Q164" s="16">
        <v>0.91969999999999996</v>
      </c>
      <c r="R164" s="16">
        <v>6.7000000000000002E-3</v>
      </c>
      <c r="S164" s="15">
        <v>18.45</v>
      </c>
      <c r="T164" s="15"/>
      <c r="U164" s="15"/>
      <c r="V164" s="15">
        <v>542.37</v>
      </c>
      <c r="W164" s="15">
        <v>552.87</v>
      </c>
      <c r="X164" s="15">
        <v>565.13</v>
      </c>
      <c r="Y164" s="15"/>
    </row>
    <row r="165" spans="2:25" x14ac:dyDescent="0.35">
      <c r="B165" s="13">
        <v>46226</v>
      </c>
      <c r="C165" s="13" t="str">
        <f t="shared" si="10"/>
        <v>Thu</v>
      </c>
      <c r="D165" s="14">
        <v>0.45833333333333331</v>
      </c>
      <c r="E165" s="14" t="s">
        <v>31</v>
      </c>
      <c r="F165" s="15">
        <v>854.32</v>
      </c>
      <c r="G165" s="15">
        <v>881</v>
      </c>
      <c r="H165" s="16">
        <v>3.1199999999999999E-2</v>
      </c>
      <c r="I165" s="17">
        <v>434.34</v>
      </c>
      <c r="J165" s="17">
        <v>445.04</v>
      </c>
      <c r="K165" s="17">
        <f t="shared" si="11"/>
        <v>392080.24</v>
      </c>
      <c r="L165" s="15">
        <f t="shared" si="12"/>
        <v>1</v>
      </c>
      <c r="M165" s="16">
        <v>2.46E-2</v>
      </c>
      <c r="N165" s="16">
        <v>0.8</v>
      </c>
      <c r="O165" s="18">
        <v>0</v>
      </c>
      <c r="P165" s="18">
        <f t="shared" si="13"/>
        <v>704.80000000000007</v>
      </c>
      <c r="Q165" s="16">
        <v>0.88439999999999996</v>
      </c>
      <c r="R165" s="16">
        <v>1.14E-2</v>
      </c>
      <c r="S165" s="15">
        <v>25.65</v>
      </c>
      <c r="T165" s="15"/>
      <c r="U165" s="15"/>
      <c r="V165" s="15">
        <v>542.94000000000005</v>
      </c>
      <c r="W165" s="15">
        <v>550.14</v>
      </c>
      <c r="X165" s="15">
        <v>551.73</v>
      </c>
      <c r="Y165" s="15"/>
    </row>
    <row r="166" spans="2:25" x14ac:dyDescent="0.35">
      <c r="B166" s="13">
        <v>46226</v>
      </c>
      <c r="C166" s="13" t="str">
        <f t="shared" si="10"/>
        <v>Thu</v>
      </c>
      <c r="D166" s="14">
        <v>0.46875</v>
      </c>
      <c r="E166" s="14" t="s">
        <v>31</v>
      </c>
      <c r="F166" s="15">
        <v>854.88</v>
      </c>
      <c r="G166" s="15">
        <v>877</v>
      </c>
      <c r="H166" s="16">
        <v>2.5899999999999999E-2</v>
      </c>
      <c r="I166" s="17">
        <v>436.73</v>
      </c>
      <c r="J166" s="17">
        <v>428.83</v>
      </c>
      <c r="K166" s="17">
        <f t="shared" si="11"/>
        <v>376083.91</v>
      </c>
      <c r="L166" s="15">
        <f t="shared" si="12"/>
        <v>0</v>
      </c>
      <c r="M166" s="16">
        <v>-1.8100000000000002E-2</v>
      </c>
      <c r="N166" s="16">
        <v>0.67</v>
      </c>
      <c r="O166" s="18">
        <v>1</v>
      </c>
      <c r="P166" s="18">
        <f t="shared" si="13"/>
        <v>587.59</v>
      </c>
      <c r="Q166" s="16">
        <v>0.89510000000000001</v>
      </c>
      <c r="R166" s="16">
        <v>1.2500000000000001E-2</v>
      </c>
      <c r="S166" s="15">
        <v>34.6</v>
      </c>
      <c r="T166" s="15"/>
      <c r="U166" s="15"/>
      <c r="V166" s="15">
        <v>545.45000000000005</v>
      </c>
      <c r="W166" s="15">
        <v>524.62</v>
      </c>
      <c r="X166" s="15">
        <v>560</v>
      </c>
      <c r="Y166" s="15"/>
    </row>
    <row r="167" spans="2:25" x14ac:dyDescent="0.35">
      <c r="B167" s="13">
        <v>46226</v>
      </c>
      <c r="C167" s="13" t="str">
        <f t="shared" si="10"/>
        <v>Thu</v>
      </c>
      <c r="D167" s="14">
        <v>0.47916666666666669</v>
      </c>
      <c r="E167" s="14" t="s">
        <v>31</v>
      </c>
      <c r="F167" s="15">
        <v>849.97</v>
      </c>
      <c r="G167" s="15">
        <v>876</v>
      </c>
      <c r="H167" s="16">
        <v>3.0599999999999999E-2</v>
      </c>
      <c r="I167" s="17">
        <v>439.75</v>
      </c>
      <c r="J167" s="17">
        <v>425.97</v>
      </c>
      <c r="K167" s="17">
        <f t="shared" si="11"/>
        <v>373149.72000000003</v>
      </c>
      <c r="L167" s="15">
        <f t="shared" si="12"/>
        <v>0</v>
      </c>
      <c r="M167" s="16">
        <v>-3.1300000000000001E-2</v>
      </c>
      <c r="N167" s="16">
        <v>0.68</v>
      </c>
      <c r="O167" s="18">
        <v>1</v>
      </c>
      <c r="P167" s="18">
        <f t="shared" si="13"/>
        <v>595.68000000000006</v>
      </c>
      <c r="Q167" s="16">
        <v>0.89580000000000004</v>
      </c>
      <c r="R167" s="16">
        <v>1.83E-2</v>
      </c>
      <c r="S167" s="15">
        <v>35.81</v>
      </c>
      <c r="T167" s="15"/>
      <c r="U167" s="15"/>
      <c r="V167" s="15">
        <v>546.75</v>
      </c>
      <c r="W167" s="15">
        <v>520.66</v>
      </c>
      <c r="X167" s="15">
        <v>561.4</v>
      </c>
      <c r="Y167" s="15"/>
    </row>
    <row r="168" spans="2:25" x14ac:dyDescent="0.35">
      <c r="B168" s="13">
        <v>46226</v>
      </c>
      <c r="C168" s="13" t="str">
        <f t="shared" si="10"/>
        <v>Thu</v>
      </c>
      <c r="D168" s="14">
        <v>0.48958333333333331</v>
      </c>
      <c r="E168" s="14" t="s">
        <v>31</v>
      </c>
      <c r="F168" s="15">
        <v>831.41</v>
      </c>
      <c r="G168" s="15">
        <v>856</v>
      </c>
      <c r="H168" s="16">
        <v>2.9600000000000001E-2</v>
      </c>
      <c r="I168" s="17">
        <v>443.27</v>
      </c>
      <c r="J168" s="17">
        <v>409.7</v>
      </c>
      <c r="K168" s="17">
        <f t="shared" si="11"/>
        <v>350703.2</v>
      </c>
      <c r="L168" s="15">
        <f t="shared" si="12"/>
        <v>0</v>
      </c>
      <c r="M168" s="16">
        <v>-7.5700000000000003E-2</v>
      </c>
      <c r="N168" s="16">
        <v>0.81</v>
      </c>
      <c r="O168" s="18">
        <v>0</v>
      </c>
      <c r="P168" s="18">
        <f t="shared" si="13"/>
        <v>693.36</v>
      </c>
      <c r="Q168" s="16">
        <v>0.90839999999999999</v>
      </c>
      <c r="R168" s="16">
        <v>1.17E-2</v>
      </c>
      <c r="S168" s="15">
        <v>24.76</v>
      </c>
      <c r="T168" s="15"/>
      <c r="U168" s="15"/>
      <c r="V168" s="15">
        <v>539.86</v>
      </c>
      <c r="W168" s="15">
        <v>499.18</v>
      </c>
      <c r="X168" s="15">
        <v>562.66999999999996</v>
      </c>
      <c r="Y168" s="15"/>
    </row>
    <row r="169" spans="2:25" x14ac:dyDescent="0.35">
      <c r="B169" s="13">
        <v>46226</v>
      </c>
      <c r="C169" s="13" t="str">
        <f t="shared" si="10"/>
        <v>Thu</v>
      </c>
      <c r="D169" s="14">
        <v>0.5</v>
      </c>
      <c r="E169" s="14" t="s">
        <v>32</v>
      </c>
      <c r="F169" s="15">
        <v>802.75</v>
      </c>
      <c r="G169" s="15">
        <v>761</v>
      </c>
      <c r="H169" s="16">
        <v>-5.1999999999999998E-2</v>
      </c>
      <c r="I169" s="17">
        <v>444.4</v>
      </c>
      <c r="J169" s="17">
        <v>432.2</v>
      </c>
      <c r="K169" s="17">
        <f t="shared" si="11"/>
        <v>328904.2</v>
      </c>
      <c r="L169" s="15">
        <f t="shared" si="12"/>
        <v>0</v>
      </c>
      <c r="M169" s="16">
        <v>-2.7400000000000001E-2</v>
      </c>
      <c r="N169" s="16">
        <v>0.89</v>
      </c>
      <c r="O169" s="18">
        <v>0</v>
      </c>
      <c r="P169" s="18">
        <f t="shared" si="13"/>
        <v>677.29</v>
      </c>
      <c r="Q169" s="16">
        <v>0.91539999999999999</v>
      </c>
      <c r="R169" s="16">
        <v>2.5999999999999999E-3</v>
      </c>
      <c r="S169" s="15">
        <v>16.2</v>
      </c>
      <c r="T169" s="15"/>
      <c r="U169" s="15"/>
      <c r="V169" s="15">
        <v>525.75</v>
      </c>
      <c r="W169" s="15">
        <v>465.64</v>
      </c>
      <c r="X169" s="15">
        <v>538.07000000000005</v>
      </c>
      <c r="Y169" s="15"/>
    </row>
    <row r="170" spans="2:25" x14ac:dyDescent="0.35">
      <c r="B170" s="13">
        <v>46226</v>
      </c>
      <c r="C170" s="13" t="str">
        <f t="shared" si="10"/>
        <v>Thu</v>
      </c>
      <c r="D170" s="14">
        <v>0.51041666666666663</v>
      </c>
      <c r="E170" s="14" t="s">
        <v>32</v>
      </c>
      <c r="F170" s="15">
        <v>772.86</v>
      </c>
      <c r="G170" s="15">
        <v>758</v>
      </c>
      <c r="H170" s="16">
        <v>-1.9199999999999998E-2</v>
      </c>
      <c r="I170" s="17">
        <v>446.03</v>
      </c>
      <c r="J170" s="17">
        <v>448.46</v>
      </c>
      <c r="K170" s="17">
        <f t="shared" si="11"/>
        <v>339932.68</v>
      </c>
      <c r="L170" s="15">
        <f t="shared" si="12"/>
        <v>1</v>
      </c>
      <c r="M170" s="16">
        <v>5.4000000000000003E-3</v>
      </c>
      <c r="N170" s="16">
        <v>0.93</v>
      </c>
      <c r="O170" s="18">
        <v>0</v>
      </c>
      <c r="P170" s="18">
        <f t="shared" si="13"/>
        <v>704.94</v>
      </c>
      <c r="Q170" s="16">
        <v>0.91300000000000003</v>
      </c>
      <c r="R170" s="16">
        <v>4.0000000000000001E-3</v>
      </c>
      <c r="S170" s="15">
        <v>12.77</v>
      </c>
      <c r="T170" s="15"/>
      <c r="U170" s="15"/>
      <c r="V170" s="15">
        <v>509.37</v>
      </c>
      <c r="W170" s="15">
        <v>485.76</v>
      </c>
      <c r="X170" s="15">
        <v>527</v>
      </c>
      <c r="Y170" s="15"/>
    </row>
    <row r="171" spans="2:25" x14ac:dyDescent="0.35">
      <c r="B171" s="13">
        <v>46226</v>
      </c>
      <c r="C171" s="13" t="str">
        <f t="shared" si="10"/>
        <v>Thu</v>
      </c>
      <c r="D171" s="14">
        <v>0.52083333333333337</v>
      </c>
      <c r="E171" s="14" t="s">
        <v>32</v>
      </c>
      <c r="F171" s="15">
        <v>753.1</v>
      </c>
      <c r="G171" s="15">
        <v>790</v>
      </c>
      <c r="H171" s="16">
        <v>4.9000000000000002E-2</v>
      </c>
      <c r="I171" s="17">
        <v>446.56</v>
      </c>
      <c r="J171" s="17">
        <v>430.83</v>
      </c>
      <c r="K171" s="17">
        <f t="shared" si="11"/>
        <v>340355.7</v>
      </c>
      <c r="L171" s="15">
        <f t="shared" si="12"/>
        <v>0</v>
      </c>
      <c r="M171" s="16">
        <v>-3.5200000000000002E-2</v>
      </c>
      <c r="N171" s="16">
        <v>0.88</v>
      </c>
      <c r="O171" s="18">
        <v>0</v>
      </c>
      <c r="P171" s="18">
        <f t="shared" si="13"/>
        <v>695.2</v>
      </c>
      <c r="Q171" s="16">
        <v>0.90239999999999998</v>
      </c>
      <c r="R171" s="16">
        <v>7.6E-3</v>
      </c>
      <c r="S171" s="15">
        <v>17.3</v>
      </c>
      <c r="T171" s="15"/>
      <c r="U171" s="15"/>
      <c r="V171" s="15">
        <v>497.83</v>
      </c>
      <c r="W171" s="15">
        <v>478.28</v>
      </c>
      <c r="X171" s="15">
        <v>503.6</v>
      </c>
      <c r="Y171" s="15"/>
    </row>
    <row r="172" spans="2:25" x14ac:dyDescent="0.35">
      <c r="B172" s="13">
        <v>46226</v>
      </c>
      <c r="C172" s="13" t="str">
        <f t="shared" si="10"/>
        <v>Thu</v>
      </c>
      <c r="D172" s="14">
        <v>0.53125</v>
      </c>
      <c r="E172" s="14" t="s">
        <v>32</v>
      </c>
      <c r="F172" s="15">
        <v>738.39</v>
      </c>
      <c r="G172" s="15">
        <v>736</v>
      </c>
      <c r="H172" s="16">
        <v>-3.2000000000000002E-3</v>
      </c>
      <c r="I172" s="17">
        <v>446.74</v>
      </c>
      <c r="J172" s="17">
        <v>444.56</v>
      </c>
      <c r="K172" s="17">
        <f t="shared" si="11"/>
        <v>327196.15999999997</v>
      </c>
      <c r="L172" s="15">
        <f t="shared" si="12"/>
        <v>0</v>
      </c>
      <c r="M172" s="16">
        <v>-4.8999999999999998E-3</v>
      </c>
      <c r="N172" s="16">
        <v>0.83</v>
      </c>
      <c r="O172" s="18">
        <v>0</v>
      </c>
      <c r="P172" s="18">
        <f t="shared" si="13"/>
        <v>610.88</v>
      </c>
      <c r="Q172" s="16">
        <v>0.8972</v>
      </c>
      <c r="R172" s="16">
        <v>8.2000000000000007E-3</v>
      </c>
      <c r="S172" s="15">
        <v>20.98</v>
      </c>
      <c r="T172" s="15"/>
      <c r="U172" s="15"/>
      <c r="V172" s="15">
        <v>489.56</v>
      </c>
      <c r="W172" s="15">
        <v>465.95</v>
      </c>
      <c r="X172" s="15">
        <v>496.47</v>
      </c>
      <c r="Y172" s="15"/>
    </row>
    <row r="173" spans="2:25" x14ac:dyDescent="0.35">
      <c r="B173" s="13">
        <v>46226</v>
      </c>
      <c r="C173" s="13" t="str">
        <f t="shared" si="10"/>
        <v>Thu</v>
      </c>
      <c r="D173" s="14">
        <v>0.54166666666666663</v>
      </c>
      <c r="E173" s="14" t="s">
        <v>32</v>
      </c>
      <c r="F173" s="15">
        <v>744.9</v>
      </c>
      <c r="G173" s="15">
        <v>727</v>
      </c>
      <c r="H173" s="16">
        <v>-2.4E-2</v>
      </c>
      <c r="I173" s="17">
        <v>449.33</v>
      </c>
      <c r="J173" s="17">
        <v>470.71</v>
      </c>
      <c r="K173" s="17">
        <f t="shared" si="11"/>
        <v>342206.17</v>
      </c>
      <c r="L173" s="15">
        <f t="shared" si="12"/>
        <v>1</v>
      </c>
      <c r="M173" s="16">
        <v>4.7600000000000003E-2</v>
      </c>
      <c r="N173" s="16">
        <v>0.85</v>
      </c>
      <c r="O173" s="18">
        <v>0</v>
      </c>
      <c r="P173" s="18">
        <f t="shared" si="13"/>
        <v>617.94999999999993</v>
      </c>
      <c r="Q173" s="16">
        <v>0.8992</v>
      </c>
      <c r="R173" s="16">
        <v>6.8999999999999999E-3</v>
      </c>
      <c r="S173" s="15">
        <v>17.28</v>
      </c>
      <c r="T173" s="15"/>
      <c r="U173" s="15"/>
      <c r="V173" s="15">
        <v>496.53</v>
      </c>
      <c r="W173" s="15">
        <v>484.06</v>
      </c>
      <c r="X173" s="15">
        <v>515.73</v>
      </c>
      <c r="Y173" s="15"/>
    </row>
    <row r="174" spans="2:25" x14ac:dyDescent="0.35">
      <c r="B174" s="13">
        <v>46226</v>
      </c>
      <c r="C174" s="13" t="str">
        <f t="shared" si="10"/>
        <v>Thu</v>
      </c>
      <c r="D174" s="14">
        <v>0.55208333333333337</v>
      </c>
      <c r="E174" s="14" t="s">
        <v>32</v>
      </c>
      <c r="F174" s="15">
        <v>750.47</v>
      </c>
      <c r="G174" s="15">
        <v>743</v>
      </c>
      <c r="H174" s="16">
        <v>-0.01</v>
      </c>
      <c r="I174" s="17">
        <v>448.29</v>
      </c>
      <c r="J174" s="17">
        <v>429.89</v>
      </c>
      <c r="K174" s="17">
        <f t="shared" si="11"/>
        <v>319408.27</v>
      </c>
      <c r="L174" s="15">
        <f t="shared" si="12"/>
        <v>0</v>
      </c>
      <c r="M174" s="16">
        <v>-4.1000000000000002E-2</v>
      </c>
      <c r="N174" s="16">
        <v>0.84</v>
      </c>
      <c r="O174" s="18">
        <v>0</v>
      </c>
      <c r="P174" s="18">
        <f t="shared" si="13"/>
        <v>624.12</v>
      </c>
      <c r="Q174" s="16">
        <v>0.91520000000000001</v>
      </c>
      <c r="R174" s="16">
        <v>9.4000000000000004E-3</v>
      </c>
      <c r="S174" s="15">
        <v>19.239999999999998</v>
      </c>
      <c r="T174" s="15"/>
      <c r="U174" s="15"/>
      <c r="V174" s="15">
        <v>498.4</v>
      </c>
      <c r="W174" s="15">
        <v>455.47</v>
      </c>
      <c r="X174" s="15">
        <v>530.33000000000004</v>
      </c>
      <c r="Y174" s="15"/>
    </row>
    <row r="175" spans="2:25" x14ac:dyDescent="0.35">
      <c r="B175" s="13">
        <v>46226</v>
      </c>
      <c r="C175" s="13" t="str">
        <f t="shared" si="10"/>
        <v>Thu</v>
      </c>
      <c r="D175" s="14">
        <v>0.5625</v>
      </c>
      <c r="E175" s="14" t="s">
        <v>32</v>
      </c>
      <c r="F175" s="15">
        <v>753.89</v>
      </c>
      <c r="G175" s="15">
        <v>793</v>
      </c>
      <c r="H175" s="16">
        <v>5.1900000000000002E-2</v>
      </c>
      <c r="I175" s="17">
        <v>448.09</v>
      </c>
      <c r="J175" s="17">
        <v>416.56</v>
      </c>
      <c r="K175" s="17">
        <f t="shared" si="11"/>
        <v>330332.08</v>
      </c>
      <c r="L175" s="15">
        <f t="shared" si="12"/>
        <v>0</v>
      </c>
      <c r="M175" s="16">
        <v>-7.0400000000000004E-2</v>
      </c>
      <c r="N175" s="16">
        <v>0.87</v>
      </c>
      <c r="O175" s="18">
        <v>0</v>
      </c>
      <c r="P175" s="18">
        <f t="shared" si="13"/>
        <v>689.91</v>
      </c>
      <c r="Q175" s="16">
        <v>0.90290000000000004</v>
      </c>
      <c r="R175" s="16">
        <v>5.0000000000000001E-3</v>
      </c>
      <c r="S175" s="15">
        <v>14.74</v>
      </c>
      <c r="T175" s="15"/>
      <c r="U175" s="15"/>
      <c r="V175" s="15">
        <v>500.04</v>
      </c>
      <c r="W175" s="15">
        <v>469.39</v>
      </c>
      <c r="X175" s="15">
        <v>515.53</v>
      </c>
      <c r="Y175" s="15"/>
    </row>
    <row r="176" spans="2:25" x14ac:dyDescent="0.35">
      <c r="B176" s="13">
        <v>46226</v>
      </c>
      <c r="C176" s="13" t="str">
        <f t="shared" si="10"/>
        <v>Thu</v>
      </c>
      <c r="D176" s="14">
        <v>0.57291666666666663</v>
      </c>
      <c r="E176" s="14" t="s">
        <v>32</v>
      </c>
      <c r="F176" s="15">
        <v>752.08</v>
      </c>
      <c r="G176" s="15">
        <v>760</v>
      </c>
      <c r="H176" s="16">
        <v>1.0500000000000001E-2</v>
      </c>
      <c r="I176" s="17">
        <v>450.46</v>
      </c>
      <c r="J176" s="17">
        <v>437.93</v>
      </c>
      <c r="K176" s="17">
        <f t="shared" si="11"/>
        <v>332826.8</v>
      </c>
      <c r="L176" s="15">
        <f t="shared" si="12"/>
        <v>0</v>
      </c>
      <c r="M176" s="16">
        <v>-2.7799999999999998E-2</v>
      </c>
      <c r="N176" s="16">
        <v>0.82</v>
      </c>
      <c r="O176" s="18">
        <v>0</v>
      </c>
      <c r="P176" s="18">
        <f t="shared" si="13"/>
        <v>623.19999999999993</v>
      </c>
      <c r="Q176" s="16">
        <v>0.90359999999999996</v>
      </c>
      <c r="R176" s="16">
        <v>6.6E-3</v>
      </c>
      <c r="S176" s="15">
        <v>22.74</v>
      </c>
      <c r="T176" s="15"/>
      <c r="U176" s="15"/>
      <c r="V176" s="15">
        <v>500.51</v>
      </c>
      <c r="W176" s="15">
        <v>476.98</v>
      </c>
      <c r="X176" s="15">
        <v>516.66999999999996</v>
      </c>
      <c r="Y176" s="15"/>
    </row>
    <row r="177" spans="2:25" x14ac:dyDescent="0.35">
      <c r="B177" s="13">
        <v>46226</v>
      </c>
      <c r="C177" s="13" t="str">
        <f t="shared" si="10"/>
        <v>Thu</v>
      </c>
      <c r="D177" s="14">
        <v>0.58333333333333337</v>
      </c>
      <c r="E177" s="14" t="s">
        <v>32</v>
      </c>
      <c r="F177" s="15">
        <v>748.39</v>
      </c>
      <c r="G177" s="15">
        <v>777</v>
      </c>
      <c r="H177" s="16">
        <v>3.8199999999999998E-2</v>
      </c>
      <c r="I177" s="17">
        <v>451.07</v>
      </c>
      <c r="J177" s="17">
        <v>446.95</v>
      </c>
      <c r="K177" s="17">
        <f t="shared" si="11"/>
        <v>347280.14999999997</v>
      </c>
      <c r="L177" s="15">
        <f t="shared" si="12"/>
        <v>0</v>
      </c>
      <c r="M177" s="16">
        <v>-9.1000000000000004E-3</v>
      </c>
      <c r="N177" s="16">
        <v>0.7</v>
      </c>
      <c r="O177" s="18">
        <v>1</v>
      </c>
      <c r="P177" s="18">
        <f t="shared" si="13"/>
        <v>543.9</v>
      </c>
      <c r="Q177" s="16">
        <v>0.90920000000000001</v>
      </c>
      <c r="R177" s="16">
        <v>8.9999999999999993E-3</v>
      </c>
      <c r="S177" s="15">
        <v>31</v>
      </c>
      <c r="T177" s="15"/>
      <c r="U177" s="15"/>
      <c r="V177" s="15">
        <v>499.62</v>
      </c>
      <c r="W177" s="15">
        <v>492.72</v>
      </c>
      <c r="X177" s="15">
        <v>513.66999999999996</v>
      </c>
      <c r="Y177" s="15"/>
    </row>
    <row r="178" spans="2:25" x14ac:dyDescent="0.35">
      <c r="B178" s="13">
        <v>46226</v>
      </c>
      <c r="C178" s="13" t="str">
        <f t="shared" si="10"/>
        <v>Thu</v>
      </c>
      <c r="D178" s="14">
        <v>0.59375</v>
      </c>
      <c r="E178" s="14" t="s">
        <v>32</v>
      </c>
      <c r="F178" s="15">
        <v>756.41</v>
      </c>
      <c r="G178" s="15">
        <v>762</v>
      </c>
      <c r="H178" s="16">
        <v>7.4000000000000003E-3</v>
      </c>
      <c r="I178" s="17">
        <v>452.81</v>
      </c>
      <c r="J178" s="17">
        <v>438.35</v>
      </c>
      <c r="K178" s="17">
        <f t="shared" si="11"/>
        <v>334022.7</v>
      </c>
      <c r="L178" s="15">
        <f t="shared" si="12"/>
        <v>0</v>
      </c>
      <c r="M178" s="16">
        <v>-3.1899999999999998E-2</v>
      </c>
      <c r="N178" s="16">
        <v>0.86</v>
      </c>
      <c r="O178" s="18">
        <v>0</v>
      </c>
      <c r="P178" s="18">
        <f t="shared" si="13"/>
        <v>655.31999999999994</v>
      </c>
      <c r="Q178" s="16">
        <v>0.90229999999999999</v>
      </c>
      <c r="R178" s="16">
        <v>3.8999999999999998E-3</v>
      </c>
      <c r="S178" s="15">
        <v>21.7</v>
      </c>
      <c r="T178" s="15"/>
      <c r="U178" s="15"/>
      <c r="V178" s="15">
        <v>506.14</v>
      </c>
      <c r="W178" s="15">
        <v>477.69</v>
      </c>
      <c r="X178" s="15">
        <v>511.53</v>
      </c>
      <c r="Y178" s="15"/>
    </row>
    <row r="179" spans="2:25" x14ac:dyDescent="0.35">
      <c r="B179" s="13">
        <v>46226</v>
      </c>
      <c r="C179" s="13" t="str">
        <f t="shared" si="10"/>
        <v>Thu</v>
      </c>
      <c r="D179" s="14">
        <v>0.60416666666666663</v>
      </c>
      <c r="E179" s="14" t="s">
        <v>32</v>
      </c>
      <c r="F179" s="15">
        <v>756.79</v>
      </c>
      <c r="G179" s="15">
        <v>802</v>
      </c>
      <c r="H179" s="16">
        <v>5.9700000000000003E-2</v>
      </c>
      <c r="I179" s="17">
        <v>452.15</v>
      </c>
      <c r="J179" s="17">
        <v>429.77</v>
      </c>
      <c r="K179" s="17">
        <f t="shared" si="11"/>
        <v>344675.54</v>
      </c>
      <c r="L179" s="15">
        <f t="shared" si="12"/>
        <v>0</v>
      </c>
      <c r="M179" s="16">
        <v>-4.9500000000000002E-2</v>
      </c>
      <c r="N179" s="16">
        <v>0.79</v>
      </c>
      <c r="O179" s="18">
        <v>1</v>
      </c>
      <c r="P179" s="18">
        <f t="shared" si="13"/>
        <v>633.58000000000004</v>
      </c>
      <c r="Q179" s="16">
        <v>0.89019999999999999</v>
      </c>
      <c r="R179" s="16">
        <v>0.01</v>
      </c>
      <c r="S179" s="15">
        <v>21.22</v>
      </c>
      <c r="T179" s="15"/>
      <c r="U179" s="15"/>
      <c r="V179" s="15">
        <v>506.62</v>
      </c>
      <c r="W179" s="15">
        <v>491.02</v>
      </c>
      <c r="X179" s="15">
        <v>510.6</v>
      </c>
      <c r="Y179" s="15"/>
    </row>
    <row r="180" spans="2:25" x14ac:dyDescent="0.35">
      <c r="B180" s="13">
        <v>46226</v>
      </c>
      <c r="C180" s="13" t="str">
        <f t="shared" si="10"/>
        <v>Thu</v>
      </c>
      <c r="D180" s="14">
        <v>0.61458333333333337</v>
      </c>
      <c r="E180" s="14" t="s">
        <v>32</v>
      </c>
      <c r="F180" s="15">
        <v>763.5</v>
      </c>
      <c r="G180" s="15">
        <v>747</v>
      </c>
      <c r="H180" s="16">
        <v>-2.1600000000000001E-2</v>
      </c>
      <c r="I180" s="17">
        <v>452.15</v>
      </c>
      <c r="J180" s="17">
        <v>445.58</v>
      </c>
      <c r="K180" s="17">
        <f t="shared" si="11"/>
        <v>332848.26</v>
      </c>
      <c r="L180" s="15">
        <f t="shared" si="12"/>
        <v>0</v>
      </c>
      <c r="M180" s="16">
        <v>-1.4500000000000001E-2</v>
      </c>
      <c r="N180" s="16">
        <v>0.81</v>
      </c>
      <c r="O180" s="18">
        <v>0</v>
      </c>
      <c r="P180" s="18">
        <f t="shared" si="13"/>
        <v>605.07000000000005</v>
      </c>
      <c r="Q180" s="16">
        <v>0.90649999999999997</v>
      </c>
      <c r="R180" s="16">
        <v>6.7000000000000002E-3</v>
      </c>
      <c r="S180" s="15">
        <v>22.68</v>
      </c>
      <c r="T180" s="15"/>
      <c r="U180" s="15"/>
      <c r="V180" s="15">
        <v>510.46</v>
      </c>
      <c r="W180" s="15">
        <v>470.97</v>
      </c>
      <c r="X180" s="15">
        <v>527.20000000000005</v>
      </c>
      <c r="Y180" s="15"/>
    </row>
    <row r="181" spans="2:25" x14ac:dyDescent="0.35">
      <c r="B181" s="13">
        <v>46226</v>
      </c>
      <c r="C181" s="13" t="str">
        <f t="shared" si="10"/>
        <v>Thu</v>
      </c>
      <c r="D181" s="14">
        <v>0.625</v>
      </c>
      <c r="E181" s="14" t="s">
        <v>33</v>
      </c>
      <c r="F181" s="15">
        <v>751.07</v>
      </c>
      <c r="G181" s="15">
        <v>747</v>
      </c>
      <c r="H181" s="16">
        <v>-5.4000000000000003E-3</v>
      </c>
      <c r="I181" s="17">
        <v>455.04</v>
      </c>
      <c r="J181" s="17">
        <v>433.68</v>
      </c>
      <c r="K181" s="17">
        <f t="shared" si="11"/>
        <v>323958.96000000002</v>
      </c>
      <c r="L181" s="15">
        <f t="shared" si="12"/>
        <v>0</v>
      </c>
      <c r="M181" s="16">
        <v>-4.6899999999999997E-2</v>
      </c>
      <c r="N181" s="16">
        <v>0.9</v>
      </c>
      <c r="O181" s="18">
        <v>0</v>
      </c>
      <c r="P181" s="18">
        <f t="shared" si="13"/>
        <v>672.30000000000007</v>
      </c>
      <c r="Q181" s="16">
        <v>0.89529999999999998</v>
      </c>
      <c r="R181" s="16">
        <v>6.7000000000000002E-3</v>
      </c>
      <c r="S181" s="15">
        <v>16.12</v>
      </c>
      <c r="T181" s="15"/>
      <c r="U181" s="15"/>
      <c r="V181" s="15">
        <v>506.14</v>
      </c>
      <c r="W181" s="15">
        <v>463.67</v>
      </c>
      <c r="X181" s="15">
        <v>516.4</v>
      </c>
      <c r="Y181" s="15"/>
    </row>
    <row r="182" spans="2:25" x14ac:dyDescent="0.35">
      <c r="B182" s="13">
        <v>46226</v>
      </c>
      <c r="C182" s="13" t="str">
        <f t="shared" si="10"/>
        <v>Thu</v>
      </c>
      <c r="D182" s="14">
        <v>0.63541666666666663</v>
      </c>
      <c r="E182" s="14" t="s">
        <v>33</v>
      </c>
      <c r="F182" s="15">
        <v>740.91</v>
      </c>
      <c r="G182" s="15">
        <v>753</v>
      </c>
      <c r="H182" s="16">
        <v>1.6299999999999999E-2</v>
      </c>
      <c r="I182" s="17">
        <v>458.95</v>
      </c>
      <c r="J182" s="17">
        <v>442.3</v>
      </c>
      <c r="K182" s="17">
        <f t="shared" si="11"/>
        <v>333051.90000000002</v>
      </c>
      <c r="L182" s="15">
        <f t="shared" si="12"/>
        <v>0</v>
      </c>
      <c r="M182" s="16">
        <v>-3.6299999999999999E-2</v>
      </c>
      <c r="N182" s="16">
        <v>0.92</v>
      </c>
      <c r="O182" s="18">
        <v>0</v>
      </c>
      <c r="P182" s="18">
        <f t="shared" si="13"/>
        <v>692.76</v>
      </c>
      <c r="Q182" s="16">
        <v>0.90339999999999998</v>
      </c>
      <c r="R182" s="16">
        <v>8.0000000000000002E-3</v>
      </c>
      <c r="S182" s="15">
        <v>22.92</v>
      </c>
      <c r="T182" s="15"/>
      <c r="U182" s="15"/>
      <c r="V182" s="15">
        <v>503.28</v>
      </c>
      <c r="W182" s="15">
        <v>476.66</v>
      </c>
      <c r="X182" s="15">
        <v>518</v>
      </c>
      <c r="Y182" s="15"/>
    </row>
    <row r="183" spans="2:25" x14ac:dyDescent="0.35">
      <c r="B183" s="13">
        <v>46226</v>
      </c>
      <c r="C183" s="13" t="str">
        <f t="shared" si="10"/>
        <v>Thu</v>
      </c>
      <c r="D183" s="14">
        <v>0.64583333333333337</v>
      </c>
      <c r="E183" s="14" t="s">
        <v>33</v>
      </c>
      <c r="F183" s="15">
        <v>726.05</v>
      </c>
      <c r="G183" s="15">
        <v>778</v>
      </c>
      <c r="H183" s="16">
        <v>7.1499999999999994E-2</v>
      </c>
      <c r="I183" s="17">
        <v>460.7</v>
      </c>
      <c r="J183" s="17">
        <v>446.83</v>
      </c>
      <c r="K183" s="17">
        <f t="shared" si="11"/>
        <v>347633.74</v>
      </c>
      <c r="L183" s="15">
        <f t="shared" si="12"/>
        <v>0</v>
      </c>
      <c r="M183" s="16">
        <v>-3.0099999999999998E-2</v>
      </c>
      <c r="N183" s="16">
        <v>0.73</v>
      </c>
      <c r="O183" s="18">
        <v>1</v>
      </c>
      <c r="P183" s="18">
        <f t="shared" si="13"/>
        <v>567.93999999999994</v>
      </c>
      <c r="Q183" s="16">
        <v>0.85060000000000002</v>
      </c>
      <c r="R183" s="16">
        <v>1.7999999999999999E-2</v>
      </c>
      <c r="S183" s="15">
        <v>31.63</v>
      </c>
      <c r="T183" s="15"/>
      <c r="U183" s="15"/>
      <c r="V183" s="15">
        <v>496.97</v>
      </c>
      <c r="W183" s="15">
        <v>494.17</v>
      </c>
      <c r="X183" s="15">
        <v>489.6</v>
      </c>
      <c r="Y183" s="15"/>
    </row>
    <row r="184" spans="2:25" x14ac:dyDescent="0.35">
      <c r="B184" s="13">
        <v>46226</v>
      </c>
      <c r="C184" s="13" t="str">
        <f t="shared" si="10"/>
        <v>Thu</v>
      </c>
      <c r="D184" s="14">
        <v>0.65625</v>
      </c>
      <c r="E184" s="14" t="s">
        <v>33</v>
      </c>
      <c r="F184" s="15">
        <v>706.54</v>
      </c>
      <c r="G184" s="15">
        <v>695</v>
      </c>
      <c r="H184" s="16">
        <v>-1.6299999999999999E-2</v>
      </c>
      <c r="I184" s="17">
        <v>465.64</v>
      </c>
      <c r="J184" s="17">
        <v>416</v>
      </c>
      <c r="K184" s="17">
        <f t="shared" si="11"/>
        <v>289120</v>
      </c>
      <c r="L184" s="15">
        <f t="shared" si="12"/>
        <v>0</v>
      </c>
      <c r="M184" s="16">
        <v>-0.1066</v>
      </c>
      <c r="N184" s="16">
        <v>0.82</v>
      </c>
      <c r="O184" s="18">
        <v>0</v>
      </c>
      <c r="P184" s="18">
        <f t="shared" si="13"/>
        <v>569.9</v>
      </c>
      <c r="Q184" s="16">
        <v>0.86650000000000005</v>
      </c>
      <c r="R184" s="16">
        <v>2.3E-2</v>
      </c>
      <c r="S184" s="15">
        <v>40.909999999999997</v>
      </c>
      <c r="T184" s="15"/>
      <c r="U184" s="15"/>
      <c r="V184" s="15">
        <v>489.96</v>
      </c>
      <c r="W184" s="15">
        <v>416.57</v>
      </c>
      <c r="X184" s="15">
        <v>493.6</v>
      </c>
      <c r="Y184" s="15"/>
    </row>
    <row r="185" spans="2:25" x14ac:dyDescent="0.35">
      <c r="B185" s="13">
        <v>46226</v>
      </c>
      <c r="C185" s="13" t="str">
        <f t="shared" si="10"/>
        <v>Thu</v>
      </c>
      <c r="D185" s="14">
        <v>0.66666666666666663</v>
      </c>
      <c r="E185" s="14" t="s">
        <v>33</v>
      </c>
      <c r="F185" s="15">
        <v>677.15</v>
      </c>
      <c r="G185" s="15">
        <v>681</v>
      </c>
      <c r="H185" s="16">
        <v>5.7000000000000002E-3</v>
      </c>
      <c r="I185" s="17">
        <v>466.88</v>
      </c>
      <c r="J185" s="17">
        <v>466.4</v>
      </c>
      <c r="K185" s="17">
        <f t="shared" si="11"/>
        <v>317618.39999999997</v>
      </c>
      <c r="L185" s="15">
        <f t="shared" si="12"/>
        <v>0</v>
      </c>
      <c r="M185" s="16">
        <v>-1E-3</v>
      </c>
      <c r="N185" s="16">
        <v>0.8</v>
      </c>
      <c r="O185" s="18">
        <v>0</v>
      </c>
      <c r="P185" s="18">
        <f t="shared" si="13"/>
        <v>544.80000000000007</v>
      </c>
      <c r="Q185" s="16">
        <v>0.88229999999999997</v>
      </c>
      <c r="R185" s="16">
        <v>1.47E-2</v>
      </c>
      <c r="S185" s="15">
        <v>35.450000000000003</v>
      </c>
      <c r="T185" s="15"/>
      <c r="U185" s="15"/>
      <c r="V185" s="15">
        <v>472.38</v>
      </c>
      <c r="W185" s="15">
        <v>459.44</v>
      </c>
      <c r="X185" s="15">
        <v>478.67</v>
      </c>
      <c r="Y185" s="15"/>
    </row>
    <row r="186" spans="2:25" x14ac:dyDescent="0.35">
      <c r="B186" s="13">
        <v>46226</v>
      </c>
      <c r="C186" s="13" t="str">
        <f t="shared" si="10"/>
        <v>Thu</v>
      </c>
      <c r="D186" s="14">
        <v>0.67708333333333337</v>
      </c>
      <c r="E186" s="14" t="s">
        <v>33</v>
      </c>
      <c r="F186" s="15">
        <v>621.95000000000005</v>
      </c>
      <c r="G186" s="15">
        <v>660</v>
      </c>
      <c r="H186" s="16">
        <v>6.1199999999999997E-2</v>
      </c>
      <c r="I186" s="17">
        <v>470.82</v>
      </c>
      <c r="J186" s="17">
        <v>483.07</v>
      </c>
      <c r="K186" s="17">
        <f t="shared" si="11"/>
        <v>318826.2</v>
      </c>
      <c r="L186" s="15">
        <f t="shared" si="12"/>
        <v>1</v>
      </c>
      <c r="M186" s="16">
        <v>2.5999999999999999E-2</v>
      </c>
      <c r="N186" s="16">
        <v>0.86</v>
      </c>
      <c r="O186" s="18">
        <v>0</v>
      </c>
      <c r="P186" s="18">
        <f t="shared" si="13"/>
        <v>567.6</v>
      </c>
      <c r="Q186" s="16">
        <v>0.89180000000000004</v>
      </c>
      <c r="R186" s="16">
        <v>2.4199999999999999E-2</v>
      </c>
      <c r="S186" s="15">
        <v>28.36</v>
      </c>
      <c r="T186" s="15"/>
      <c r="U186" s="15"/>
      <c r="V186" s="15">
        <v>439.88</v>
      </c>
      <c r="W186" s="15">
        <v>457.03</v>
      </c>
      <c r="X186" s="15">
        <v>463.93</v>
      </c>
      <c r="Y186" s="15"/>
    </row>
    <row r="187" spans="2:25" x14ac:dyDescent="0.35">
      <c r="B187" s="13">
        <v>46226</v>
      </c>
      <c r="C187" s="13" t="str">
        <f t="shared" si="10"/>
        <v>Thu</v>
      </c>
      <c r="D187" s="14">
        <v>0.6875</v>
      </c>
      <c r="E187" s="14" t="s">
        <v>33</v>
      </c>
      <c r="F187" s="15">
        <v>555.19000000000005</v>
      </c>
      <c r="G187" s="15">
        <v>574</v>
      </c>
      <c r="H187" s="16">
        <v>3.39E-2</v>
      </c>
      <c r="I187" s="17">
        <v>470.66</v>
      </c>
      <c r="J187" s="17">
        <v>451.91</v>
      </c>
      <c r="K187" s="17">
        <f t="shared" si="11"/>
        <v>259396.34000000003</v>
      </c>
      <c r="L187" s="15">
        <f t="shared" si="12"/>
        <v>0</v>
      </c>
      <c r="M187" s="16">
        <v>-3.9800000000000002E-2</v>
      </c>
      <c r="N187" s="16">
        <v>0.71</v>
      </c>
      <c r="O187" s="18">
        <v>1</v>
      </c>
      <c r="P187" s="18">
        <f t="shared" si="13"/>
        <v>407.53999999999996</v>
      </c>
      <c r="Q187" s="16">
        <v>0.9012</v>
      </c>
      <c r="R187" s="16">
        <v>2.6100000000000002E-2</v>
      </c>
      <c r="S187" s="15">
        <v>27.99</v>
      </c>
      <c r="T187" s="15"/>
      <c r="U187" s="15"/>
      <c r="V187" s="15">
        <v>397.01</v>
      </c>
      <c r="W187" s="15">
        <v>377.11</v>
      </c>
      <c r="X187" s="15">
        <v>413.2</v>
      </c>
      <c r="Y187" s="15"/>
    </row>
    <row r="188" spans="2:25" x14ac:dyDescent="0.35">
      <c r="B188" s="13">
        <v>46226</v>
      </c>
      <c r="C188" s="13" t="str">
        <f t="shared" si="10"/>
        <v>Thu</v>
      </c>
      <c r="D188" s="14">
        <v>0.69791666666666663</v>
      </c>
      <c r="E188" s="14" t="s">
        <v>33</v>
      </c>
      <c r="F188" s="15">
        <v>455.72</v>
      </c>
      <c r="G188" s="15">
        <v>523</v>
      </c>
      <c r="H188" s="16">
        <v>0.14760000000000001</v>
      </c>
      <c r="I188" s="17">
        <v>470.9</v>
      </c>
      <c r="J188" s="17">
        <v>461.2</v>
      </c>
      <c r="K188" s="17">
        <f t="shared" si="11"/>
        <v>241207.6</v>
      </c>
      <c r="L188" s="15">
        <f t="shared" si="12"/>
        <v>0</v>
      </c>
      <c r="M188" s="16">
        <v>-2.06E-2</v>
      </c>
      <c r="N188" s="16">
        <v>0.75</v>
      </c>
      <c r="O188" s="18">
        <v>1</v>
      </c>
      <c r="P188" s="18">
        <f t="shared" si="13"/>
        <v>392.25</v>
      </c>
      <c r="Q188" s="16">
        <v>0.93410000000000004</v>
      </c>
      <c r="R188" s="16">
        <v>1.15E-2</v>
      </c>
      <c r="S188" s="15">
        <v>23.87</v>
      </c>
      <c r="T188" s="15"/>
      <c r="U188" s="15"/>
      <c r="V188" s="15">
        <v>335.34</v>
      </c>
      <c r="W188" s="15">
        <v>350.16</v>
      </c>
      <c r="X188" s="15">
        <v>384.53</v>
      </c>
      <c r="Y188" s="15"/>
    </row>
    <row r="189" spans="2:25" x14ac:dyDescent="0.35">
      <c r="B189" s="13">
        <v>46226</v>
      </c>
      <c r="C189" s="13" t="str">
        <f t="shared" si="10"/>
        <v>Thu</v>
      </c>
      <c r="D189" s="14">
        <v>0.70833333333333337</v>
      </c>
      <c r="E189" s="14" t="s">
        <v>33</v>
      </c>
      <c r="F189" s="15">
        <v>352.07</v>
      </c>
      <c r="G189" s="15">
        <v>349</v>
      </c>
      <c r="H189" s="16">
        <v>-8.6999999999999994E-3</v>
      </c>
      <c r="I189" s="17">
        <v>476.72</v>
      </c>
      <c r="J189" s="17">
        <v>446.61</v>
      </c>
      <c r="K189" s="17">
        <f t="shared" si="11"/>
        <v>155866.89000000001</v>
      </c>
      <c r="L189" s="15">
        <f t="shared" si="12"/>
        <v>0</v>
      </c>
      <c r="M189" s="16">
        <v>-6.3100000000000003E-2</v>
      </c>
      <c r="N189" s="16">
        <v>0.73</v>
      </c>
      <c r="O189" s="18">
        <v>1</v>
      </c>
      <c r="P189" s="18">
        <f t="shared" si="13"/>
        <v>254.76999999999998</v>
      </c>
      <c r="Q189" s="16">
        <v>0.91180000000000005</v>
      </c>
      <c r="R189" s="16">
        <v>2.8999999999999998E-3</v>
      </c>
      <c r="S189" s="15">
        <v>29.66</v>
      </c>
      <c r="T189" s="15"/>
      <c r="U189" s="15"/>
      <c r="V189" s="15">
        <v>267.68</v>
      </c>
      <c r="W189" s="15">
        <v>240.55</v>
      </c>
      <c r="X189" s="15">
        <v>289.2</v>
      </c>
      <c r="Y189" s="15"/>
    </row>
    <row r="190" spans="2:25" x14ac:dyDescent="0.35">
      <c r="B190" s="13">
        <v>46226</v>
      </c>
      <c r="C190" s="13" t="str">
        <f t="shared" si="10"/>
        <v>Thu</v>
      </c>
      <c r="D190" s="14">
        <v>0.71875</v>
      </c>
      <c r="E190" s="14" t="s">
        <v>33</v>
      </c>
      <c r="F190" s="15">
        <v>271.3</v>
      </c>
      <c r="G190" s="15">
        <v>285</v>
      </c>
      <c r="H190" s="16">
        <v>5.0500000000000003E-2</v>
      </c>
      <c r="I190" s="17">
        <v>478.59</v>
      </c>
      <c r="J190" s="17">
        <v>430.93</v>
      </c>
      <c r="K190" s="17">
        <f t="shared" si="11"/>
        <v>122815.05</v>
      </c>
      <c r="L190" s="15">
        <f t="shared" si="12"/>
        <v>0</v>
      </c>
      <c r="M190" s="16">
        <v>-9.9599999999999994E-2</v>
      </c>
      <c r="N190" s="16">
        <v>0.81</v>
      </c>
      <c r="O190" s="18">
        <v>0</v>
      </c>
      <c r="P190" s="18">
        <f t="shared" si="13"/>
        <v>230.85000000000002</v>
      </c>
      <c r="Q190" s="16">
        <v>0.93600000000000005</v>
      </c>
      <c r="R190" s="16">
        <v>0</v>
      </c>
      <c r="S190" s="15">
        <v>18.579999999999998</v>
      </c>
      <c r="T190" s="15"/>
      <c r="U190" s="15"/>
      <c r="V190" s="15">
        <v>215.69</v>
      </c>
      <c r="W190" s="15">
        <v>192.95</v>
      </c>
      <c r="X190" s="15">
        <v>252</v>
      </c>
      <c r="Y190" s="15"/>
    </row>
    <row r="191" spans="2:25" x14ac:dyDescent="0.35">
      <c r="B191" s="13">
        <v>46226</v>
      </c>
      <c r="C191" s="13" t="str">
        <f t="shared" si="10"/>
        <v>Thu</v>
      </c>
      <c r="D191" s="14">
        <v>0.72916666666666663</v>
      </c>
      <c r="E191" s="14" t="s">
        <v>33</v>
      </c>
      <c r="F191" s="15">
        <v>208.15</v>
      </c>
      <c r="G191" s="15">
        <v>195</v>
      </c>
      <c r="H191" s="16">
        <v>-6.3200000000000006E-2</v>
      </c>
      <c r="I191" s="17">
        <v>472.78</v>
      </c>
      <c r="J191" s="17">
        <v>463.27</v>
      </c>
      <c r="K191" s="17">
        <f t="shared" si="11"/>
        <v>90337.65</v>
      </c>
      <c r="L191" s="15">
        <f t="shared" si="12"/>
        <v>0</v>
      </c>
      <c r="M191" s="16">
        <v>-2.01E-2</v>
      </c>
      <c r="N191" s="16">
        <v>0.88</v>
      </c>
      <c r="O191" s="18">
        <v>0</v>
      </c>
      <c r="P191" s="18">
        <f t="shared" si="13"/>
        <v>171.6</v>
      </c>
      <c r="Q191" s="16">
        <v>0.94540000000000002</v>
      </c>
      <c r="R191" s="16">
        <v>1.54E-2</v>
      </c>
      <c r="S191" s="15">
        <v>18.96</v>
      </c>
      <c r="T191" s="15"/>
      <c r="U191" s="15"/>
      <c r="V191" s="15">
        <v>164.1</v>
      </c>
      <c r="W191" s="15">
        <v>145.75</v>
      </c>
      <c r="X191" s="15">
        <v>191.87</v>
      </c>
      <c r="Y191" s="15"/>
    </row>
    <row r="192" spans="2:25" x14ac:dyDescent="0.35">
      <c r="B192" s="13">
        <v>46226</v>
      </c>
      <c r="C192" s="13" t="str">
        <f t="shared" si="10"/>
        <v>Thu</v>
      </c>
      <c r="D192" s="14">
        <v>0.73958333333333337</v>
      </c>
      <c r="E192" s="14" t="s">
        <v>33</v>
      </c>
      <c r="F192" s="15">
        <v>169.45</v>
      </c>
      <c r="G192" s="15">
        <v>182</v>
      </c>
      <c r="H192" s="16">
        <v>7.3999999999999996E-2</v>
      </c>
      <c r="I192" s="17">
        <v>472.93</v>
      </c>
      <c r="J192" s="17">
        <v>446.69</v>
      </c>
      <c r="K192" s="17">
        <f t="shared" si="11"/>
        <v>81297.58</v>
      </c>
      <c r="L192" s="15">
        <f t="shared" si="12"/>
        <v>0</v>
      </c>
      <c r="M192" s="16">
        <v>-5.5500000000000001E-2</v>
      </c>
      <c r="N192" s="16">
        <v>0.92</v>
      </c>
      <c r="O192" s="18">
        <v>0</v>
      </c>
      <c r="P192" s="18">
        <f t="shared" si="13"/>
        <v>167.44</v>
      </c>
      <c r="Q192" s="16">
        <v>0.95740000000000003</v>
      </c>
      <c r="R192" s="16">
        <v>0</v>
      </c>
      <c r="S192" s="15">
        <v>16.399999999999999</v>
      </c>
      <c r="T192" s="15"/>
      <c r="U192" s="15"/>
      <c r="V192" s="15">
        <v>138.13</v>
      </c>
      <c r="W192" s="15">
        <v>130.53</v>
      </c>
      <c r="X192" s="15">
        <v>185</v>
      </c>
      <c r="Y192" s="15"/>
    </row>
    <row r="193" spans="2:25" x14ac:dyDescent="0.35">
      <c r="B193" s="13">
        <v>46226</v>
      </c>
      <c r="C193" s="13" t="str">
        <f t="shared" si="10"/>
        <v>Thu</v>
      </c>
      <c r="D193" s="14">
        <v>0.75</v>
      </c>
      <c r="E193" s="14" t="s">
        <v>33</v>
      </c>
      <c r="F193" s="15">
        <v>133.78</v>
      </c>
      <c r="G193" s="15">
        <v>123</v>
      </c>
      <c r="H193" s="16">
        <v>-8.0600000000000005E-2</v>
      </c>
      <c r="I193" s="17">
        <v>470.3</v>
      </c>
      <c r="J193" s="17">
        <v>505.37</v>
      </c>
      <c r="K193" s="17">
        <f t="shared" si="11"/>
        <v>62160.51</v>
      </c>
      <c r="L193" s="15">
        <f t="shared" si="12"/>
        <v>1</v>
      </c>
      <c r="M193" s="16">
        <v>7.46E-2</v>
      </c>
      <c r="N193" s="16">
        <v>0.93</v>
      </c>
      <c r="O193" s="18">
        <v>0</v>
      </c>
      <c r="P193" s="18">
        <f t="shared" si="13"/>
        <v>114.39</v>
      </c>
      <c r="Q193" s="16">
        <v>0.93689999999999996</v>
      </c>
      <c r="R193" s="16">
        <v>0</v>
      </c>
      <c r="S193" s="15">
        <v>20.63</v>
      </c>
      <c r="T193" s="15"/>
      <c r="U193" s="15"/>
      <c r="V193" s="15">
        <v>111.82</v>
      </c>
      <c r="W193" s="15">
        <v>104.83</v>
      </c>
      <c r="X193" s="15">
        <v>159.13</v>
      </c>
      <c r="Y193" s="15"/>
    </row>
    <row r="194" spans="2:25" x14ac:dyDescent="0.35">
      <c r="B194" s="13">
        <v>46226</v>
      </c>
      <c r="C194" s="13" t="str">
        <f t="shared" si="10"/>
        <v>Thu</v>
      </c>
      <c r="D194" s="14">
        <v>0.76041666666666663</v>
      </c>
      <c r="E194" s="14" t="s">
        <v>33</v>
      </c>
      <c r="F194" s="15">
        <v>105.77</v>
      </c>
      <c r="G194" s="15">
        <v>94</v>
      </c>
      <c r="H194" s="16">
        <v>-0.11119999999999999</v>
      </c>
      <c r="I194" s="17">
        <v>472.22</v>
      </c>
      <c r="J194" s="17">
        <v>472.82</v>
      </c>
      <c r="K194" s="17">
        <f t="shared" si="11"/>
        <v>44445.08</v>
      </c>
      <c r="L194" s="15">
        <f t="shared" si="12"/>
        <v>1</v>
      </c>
      <c r="M194" s="16">
        <v>1.2999999999999999E-3</v>
      </c>
      <c r="N194" s="16">
        <v>0.92</v>
      </c>
      <c r="O194" s="18">
        <v>0</v>
      </c>
      <c r="P194" s="18">
        <f t="shared" si="13"/>
        <v>86.48</v>
      </c>
      <c r="Q194" s="16">
        <v>0.94569999999999999</v>
      </c>
      <c r="R194" s="16">
        <v>4.2599999999999999E-2</v>
      </c>
      <c r="S194" s="15">
        <v>20.8</v>
      </c>
      <c r="T194" s="15"/>
      <c r="U194" s="15"/>
      <c r="V194" s="15">
        <v>92.09</v>
      </c>
      <c r="W194" s="15">
        <v>77.75</v>
      </c>
      <c r="X194" s="15">
        <v>159.87</v>
      </c>
      <c r="Y194" s="15"/>
    </row>
    <row r="195" spans="2:25" x14ac:dyDescent="0.35">
      <c r="B195" s="13">
        <v>46226</v>
      </c>
      <c r="C195" s="13" t="str">
        <f t="shared" si="10"/>
        <v>Thu</v>
      </c>
      <c r="D195" s="14">
        <v>0.77083333333333337</v>
      </c>
      <c r="E195" s="14" t="s">
        <v>33</v>
      </c>
      <c r="F195" s="15">
        <v>85.92</v>
      </c>
      <c r="G195" s="15">
        <v>82</v>
      </c>
      <c r="H195" s="16">
        <v>-4.5600000000000002E-2</v>
      </c>
      <c r="I195" s="17">
        <v>471.49</v>
      </c>
      <c r="J195" s="17">
        <v>478.22</v>
      </c>
      <c r="K195" s="17">
        <f t="shared" si="11"/>
        <v>39214.04</v>
      </c>
      <c r="L195" s="15">
        <f t="shared" si="12"/>
        <v>1</v>
      </c>
      <c r="M195" s="16">
        <v>1.43E-2</v>
      </c>
      <c r="N195" s="16">
        <v>0.89</v>
      </c>
      <c r="O195" s="18">
        <v>0</v>
      </c>
      <c r="P195" s="18">
        <f t="shared" si="13"/>
        <v>72.98</v>
      </c>
      <c r="Q195" s="16">
        <v>0.91620000000000001</v>
      </c>
      <c r="R195" s="16">
        <v>4.8800000000000003E-2</v>
      </c>
      <c r="S195" s="15">
        <v>27.86</v>
      </c>
      <c r="T195" s="15"/>
      <c r="U195" s="15"/>
      <c r="V195" s="15">
        <v>77.08</v>
      </c>
      <c r="W195" s="15">
        <v>72.319999999999993</v>
      </c>
      <c r="X195" s="15">
        <v>116.13</v>
      </c>
      <c r="Y195" s="15"/>
    </row>
    <row r="196" spans="2:25" x14ac:dyDescent="0.35">
      <c r="B196" s="13">
        <v>46226</v>
      </c>
      <c r="C196" s="13" t="str">
        <f t="shared" si="10"/>
        <v>Thu</v>
      </c>
      <c r="D196" s="14">
        <v>0.78125</v>
      </c>
      <c r="E196" s="14" t="s">
        <v>33</v>
      </c>
      <c r="F196" s="15">
        <v>79.02</v>
      </c>
      <c r="G196" s="15">
        <v>72</v>
      </c>
      <c r="H196" s="16">
        <v>-8.8900000000000007E-2</v>
      </c>
      <c r="I196" s="17">
        <v>462.09</v>
      </c>
      <c r="J196" s="17">
        <v>471.28</v>
      </c>
      <c r="K196" s="17">
        <f t="shared" si="11"/>
        <v>33932.159999999996</v>
      </c>
      <c r="L196" s="15">
        <f t="shared" si="12"/>
        <v>1</v>
      </c>
      <c r="M196" s="16">
        <v>1.9900000000000001E-2</v>
      </c>
      <c r="N196" s="16">
        <v>0.93</v>
      </c>
      <c r="O196" s="18">
        <v>0</v>
      </c>
      <c r="P196" s="18">
        <f t="shared" si="13"/>
        <v>66.960000000000008</v>
      </c>
      <c r="Q196" s="16">
        <v>0.90839999999999999</v>
      </c>
      <c r="R196" s="16">
        <v>1.3899999999999999E-2</v>
      </c>
      <c r="S196" s="15">
        <v>22.08</v>
      </c>
      <c r="T196" s="15"/>
      <c r="U196" s="15"/>
      <c r="V196" s="15">
        <v>70.930000000000007</v>
      </c>
      <c r="W196" s="15">
        <v>61.11</v>
      </c>
      <c r="X196" s="15">
        <v>116</v>
      </c>
      <c r="Y196" s="15"/>
    </row>
    <row r="197" spans="2:25" x14ac:dyDescent="0.35">
      <c r="B197" s="13">
        <v>46227</v>
      </c>
      <c r="C197" s="13" t="str">
        <f t="shared" si="10"/>
        <v>Fri</v>
      </c>
      <c r="D197" s="14">
        <v>0.29166666666666669</v>
      </c>
      <c r="E197" s="14" t="s">
        <v>31</v>
      </c>
      <c r="F197" s="15">
        <v>63.5</v>
      </c>
      <c r="G197" s="15">
        <v>53</v>
      </c>
      <c r="H197" s="16">
        <v>-0.16539999999999999</v>
      </c>
      <c r="I197" s="17">
        <v>352.61</v>
      </c>
      <c r="J197" s="17">
        <v>355.34</v>
      </c>
      <c r="K197" s="17">
        <f t="shared" si="11"/>
        <v>18833.02</v>
      </c>
      <c r="L197" s="15">
        <f t="shared" si="12"/>
        <v>1</v>
      </c>
      <c r="M197" s="16">
        <v>7.7999999999999996E-3</v>
      </c>
      <c r="N197" s="16">
        <v>0.92</v>
      </c>
      <c r="O197" s="18">
        <v>0</v>
      </c>
      <c r="P197" s="18">
        <f t="shared" si="13"/>
        <v>48.760000000000005</v>
      </c>
      <c r="Q197" s="16">
        <v>0.91379999999999995</v>
      </c>
      <c r="R197" s="16">
        <v>0</v>
      </c>
      <c r="S197" s="15">
        <v>16.11</v>
      </c>
      <c r="T197" s="15"/>
      <c r="U197" s="15"/>
      <c r="V197" s="15">
        <v>50.14</v>
      </c>
      <c r="W197" s="15">
        <v>38.9</v>
      </c>
      <c r="X197" s="15">
        <v>67.930000000000007</v>
      </c>
      <c r="Y197" s="15"/>
    </row>
    <row r="198" spans="2:25" x14ac:dyDescent="0.35">
      <c r="B198" s="13">
        <v>46227</v>
      </c>
      <c r="C198" s="13" t="str">
        <f t="shared" ref="C198:C261" si="14">TEXT(B198,"DDD")</f>
        <v>Fri</v>
      </c>
      <c r="D198" s="14">
        <v>0.30208333333333331</v>
      </c>
      <c r="E198" s="14" t="s">
        <v>31</v>
      </c>
      <c r="F198" s="15">
        <v>68.56</v>
      </c>
      <c r="G198" s="15">
        <v>57</v>
      </c>
      <c r="H198" s="16">
        <v>-0.1686</v>
      </c>
      <c r="I198" s="17">
        <v>354.95</v>
      </c>
      <c r="J198" s="17">
        <v>392.18</v>
      </c>
      <c r="K198" s="17">
        <f t="shared" ref="K198:K261" si="15">J198*G198</f>
        <v>22354.260000000002</v>
      </c>
      <c r="L198" s="15">
        <f t="shared" ref="L198:L261" si="16">IF(J198&gt;I198,1,0)</f>
        <v>1</v>
      </c>
      <c r="M198" s="16">
        <v>0.10489999999999999</v>
      </c>
      <c r="N198" s="16">
        <v>0.84</v>
      </c>
      <c r="O198" s="18">
        <v>0</v>
      </c>
      <c r="P198" s="18">
        <f t="shared" ref="P198:P261" si="17">N198*G198</f>
        <v>47.879999999999995</v>
      </c>
      <c r="Q198" s="16">
        <v>0.91069999999999995</v>
      </c>
      <c r="R198" s="16">
        <v>0</v>
      </c>
      <c r="S198" s="15">
        <v>13.21</v>
      </c>
      <c r="T198" s="15"/>
      <c r="U198" s="15"/>
      <c r="V198" s="15">
        <v>54.12</v>
      </c>
      <c r="W198" s="15">
        <v>43.46</v>
      </c>
      <c r="X198" s="15">
        <v>72.400000000000006</v>
      </c>
      <c r="Y198" s="15"/>
    </row>
    <row r="199" spans="2:25" x14ac:dyDescent="0.35">
      <c r="B199" s="13">
        <v>46227</v>
      </c>
      <c r="C199" s="13" t="str">
        <f t="shared" si="14"/>
        <v>Fri</v>
      </c>
      <c r="D199" s="14">
        <v>0.3125</v>
      </c>
      <c r="E199" s="14" t="s">
        <v>31</v>
      </c>
      <c r="F199" s="15">
        <v>91.17</v>
      </c>
      <c r="G199" s="15">
        <v>90</v>
      </c>
      <c r="H199" s="16">
        <v>-1.2800000000000001E-2</v>
      </c>
      <c r="I199" s="17">
        <v>358.93</v>
      </c>
      <c r="J199" s="17">
        <v>287.43</v>
      </c>
      <c r="K199" s="17">
        <f t="shared" si="15"/>
        <v>25868.7</v>
      </c>
      <c r="L199" s="15">
        <f t="shared" si="16"/>
        <v>0</v>
      </c>
      <c r="M199" s="16">
        <v>-0.19919999999999999</v>
      </c>
      <c r="N199" s="16">
        <v>0.93</v>
      </c>
      <c r="O199" s="18">
        <v>0</v>
      </c>
      <c r="P199" s="18">
        <f t="shared" si="17"/>
        <v>83.7</v>
      </c>
      <c r="Q199" s="16">
        <v>0.92589999999999995</v>
      </c>
      <c r="R199" s="16">
        <v>0</v>
      </c>
      <c r="S199" s="15">
        <v>12.89</v>
      </c>
      <c r="T199" s="15"/>
      <c r="U199" s="15"/>
      <c r="V199" s="15">
        <v>69.37</v>
      </c>
      <c r="W199" s="15">
        <v>56.1</v>
      </c>
      <c r="X199" s="15">
        <v>112.2</v>
      </c>
      <c r="Y199" s="15"/>
    </row>
    <row r="200" spans="2:25" x14ac:dyDescent="0.35">
      <c r="B200" s="13">
        <v>46227</v>
      </c>
      <c r="C200" s="13" t="str">
        <f t="shared" si="14"/>
        <v>Fri</v>
      </c>
      <c r="D200" s="14">
        <v>0.32291666666666669</v>
      </c>
      <c r="E200" s="14" t="s">
        <v>31</v>
      </c>
      <c r="F200" s="15">
        <v>159.44</v>
      </c>
      <c r="G200" s="15">
        <v>118</v>
      </c>
      <c r="H200" s="16">
        <v>-0.25990000000000002</v>
      </c>
      <c r="I200" s="17">
        <v>364.82</v>
      </c>
      <c r="J200" s="17">
        <v>357.27</v>
      </c>
      <c r="K200" s="17">
        <f t="shared" si="15"/>
        <v>42157.86</v>
      </c>
      <c r="L200" s="15">
        <f t="shared" si="16"/>
        <v>0</v>
      </c>
      <c r="M200" s="16">
        <v>-2.07E-2</v>
      </c>
      <c r="N200" s="16">
        <v>0.96</v>
      </c>
      <c r="O200" s="18">
        <v>0</v>
      </c>
      <c r="P200" s="18">
        <f t="shared" si="17"/>
        <v>113.28</v>
      </c>
      <c r="Q200" s="16">
        <v>0.80549999999999999</v>
      </c>
      <c r="R200" s="16">
        <v>8.5000000000000006E-3</v>
      </c>
      <c r="S200" s="15">
        <v>10.42</v>
      </c>
      <c r="T200" s="15"/>
      <c r="U200" s="15"/>
      <c r="V200" s="15">
        <v>111.57</v>
      </c>
      <c r="W200" s="15">
        <v>82.57</v>
      </c>
      <c r="X200" s="15">
        <v>128.07</v>
      </c>
      <c r="Y200" s="15"/>
    </row>
    <row r="201" spans="2:25" x14ac:dyDescent="0.35">
      <c r="B201" s="13">
        <v>46227</v>
      </c>
      <c r="C201" s="13" t="str">
        <f t="shared" si="14"/>
        <v>Fri</v>
      </c>
      <c r="D201" s="14">
        <v>0.33333333333333331</v>
      </c>
      <c r="E201" s="14" t="s">
        <v>31</v>
      </c>
      <c r="F201" s="15">
        <v>254.71</v>
      </c>
      <c r="G201" s="15">
        <v>265</v>
      </c>
      <c r="H201" s="16">
        <v>4.0399999999999998E-2</v>
      </c>
      <c r="I201" s="17">
        <v>371.65</v>
      </c>
      <c r="J201" s="17">
        <v>352.85</v>
      </c>
      <c r="K201" s="17">
        <f t="shared" si="15"/>
        <v>93505.25</v>
      </c>
      <c r="L201" s="15">
        <f t="shared" si="16"/>
        <v>0</v>
      </c>
      <c r="M201" s="16">
        <v>-5.0599999999999999E-2</v>
      </c>
      <c r="N201" s="16">
        <v>0.94</v>
      </c>
      <c r="O201" s="18">
        <v>0</v>
      </c>
      <c r="P201" s="18">
        <f t="shared" si="17"/>
        <v>249.1</v>
      </c>
      <c r="Q201" s="16">
        <v>0.98060000000000003</v>
      </c>
      <c r="R201" s="16">
        <v>7.4999999999999997E-3</v>
      </c>
      <c r="S201" s="15">
        <v>11.25</v>
      </c>
      <c r="T201" s="15"/>
      <c r="U201" s="15"/>
      <c r="V201" s="15">
        <v>166.15</v>
      </c>
      <c r="W201" s="15">
        <v>162.79</v>
      </c>
      <c r="X201" s="15">
        <v>254.8</v>
      </c>
      <c r="Y201" s="15"/>
    </row>
    <row r="202" spans="2:25" x14ac:dyDescent="0.35">
      <c r="B202" s="13">
        <v>46227</v>
      </c>
      <c r="C202" s="13" t="str">
        <f t="shared" si="14"/>
        <v>Fri</v>
      </c>
      <c r="D202" s="14">
        <v>0.34375</v>
      </c>
      <c r="E202" s="14" t="s">
        <v>31</v>
      </c>
      <c r="F202" s="15">
        <v>360.31</v>
      </c>
      <c r="G202" s="15">
        <v>343</v>
      </c>
      <c r="H202" s="16">
        <v>-4.8000000000000001E-2</v>
      </c>
      <c r="I202" s="17">
        <v>378.92</v>
      </c>
      <c r="J202" s="17">
        <v>393.91</v>
      </c>
      <c r="K202" s="17">
        <f t="shared" si="15"/>
        <v>135111.13</v>
      </c>
      <c r="L202" s="15">
        <f t="shared" si="16"/>
        <v>1</v>
      </c>
      <c r="M202" s="16">
        <v>3.9600000000000003E-2</v>
      </c>
      <c r="N202" s="16">
        <v>0.91</v>
      </c>
      <c r="O202" s="18">
        <v>0</v>
      </c>
      <c r="P202" s="18">
        <f t="shared" si="17"/>
        <v>312.13</v>
      </c>
      <c r="Q202" s="16">
        <v>0.90969999999999995</v>
      </c>
      <c r="R202" s="16">
        <v>0</v>
      </c>
      <c r="S202" s="15">
        <v>14.45</v>
      </c>
      <c r="T202" s="15"/>
      <c r="U202" s="15"/>
      <c r="V202" s="15">
        <v>223.84</v>
      </c>
      <c r="W202" s="15">
        <v>217.42</v>
      </c>
      <c r="X202" s="15">
        <v>260.67</v>
      </c>
      <c r="Y202" s="15"/>
    </row>
    <row r="203" spans="2:25" x14ac:dyDescent="0.35">
      <c r="B203" s="13">
        <v>46227</v>
      </c>
      <c r="C203" s="13" t="str">
        <f t="shared" si="14"/>
        <v>Fri</v>
      </c>
      <c r="D203" s="14">
        <v>0.35416666666666669</v>
      </c>
      <c r="E203" s="14" t="s">
        <v>31</v>
      </c>
      <c r="F203" s="15">
        <v>437.98</v>
      </c>
      <c r="G203" s="15">
        <v>430</v>
      </c>
      <c r="H203" s="16">
        <v>-1.8200000000000001E-2</v>
      </c>
      <c r="I203" s="17">
        <v>390</v>
      </c>
      <c r="J203" s="17">
        <v>378.46</v>
      </c>
      <c r="K203" s="17">
        <f t="shared" si="15"/>
        <v>162737.79999999999</v>
      </c>
      <c r="L203" s="15">
        <f t="shared" si="16"/>
        <v>0</v>
      </c>
      <c r="M203" s="16">
        <v>-2.9600000000000001E-2</v>
      </c>
      <c r="N203" s="16">
        <v>0.91</v>
      </c>
      <c r="O203" s="18">
        <v>0</v>
      </c>
      <c r="P203" s="18">
        <f t="shared" si="17"/>
        <v>391.3</v>
      </c>
      <c r="Q203" s="16">
        <v>0.93840000000000001</v>
      </c>
      <c r="R203" s="16">
        <v>2.3E-3</v>
      </c>
      <c r="S203" s="15">
        <v>13.61</v>
      </c>
      <c r="T203" s="15"/>
      <c r="U203" s="15"/>
      <c r="V203" s="15">
        <v>270.75</v>
      </c>
      <c r="W203" s="15">
        <v>256.83</v>
      </c>
      <c r="X203" s="15">
        <v>331.67</v>
      </c>
      <c r="Y203" s="15"/>
    </row>
    <row r="204" spans="2:25" x14ac:dyDescent="0.35">
      <c r="B204" s="13">
        <v>46227</v>
      </c>
      <c r="C204" s="13" t="str">
        <f t="shared" si="14"/>
        <v>Fri</v>
      </c>
      <c r="D204" s="14">
        <v>0.36458333333333331</v>
      </c>
      <c r="E204" s="14" t="s">
        <v>31</v>
      </c>
      <c r="F204" s="15">
        <v>509.77</v>
      </c>
      <c r="G204" s="15">
        <v>452</v>
      </c>
      <c r="H204" s="16">
        <v>-0.1133</v>
      </c>
      <c r="I204" s="17">
        <v>402.03</v>
      </c>
      <c r="J204" s="17">
        <v>362.77</v>
      </c>
      <c r="K204" s="17">
        <f t="shared" si="15"/>
        <v>163972.03999999998</v>
      </c>
      <c r="L204" s="15">
        <f t="shared" si="16"/>
        <v>0</v>
      </c>
      <c r="M204" s="16">
        <v>-9.7699999999999995E-2</v>
      </c>
      <c r="N204" s="16">
        <v>0.93</v>
      </c>
      <c r="O204" s="18">
        <v>0</v>
      </c>
      <c r="P204" s="18">
        <f t="shared" si="17"/>
        <v>420.36</v>
      </c>
      <c r="Q204" s="16">
        <v>0.89319999999999999</v>
      </c>
      <c r="R204" s="16">
        <v>6.6E-3</v>
      </c>
      <c r="S204" s="15">
        <v>12.54</v>
      </c>
      <c r="T204" s="15"/>
      <c r="U204" s="15"/>
      <c r="V204" s="15">
        <v>315.63</v>
      </c>
      <c r="W204" s="15">
        <v>259.05</v>
      </c>
      <c r="X204" s="15">
        <v>348.27</v>
      </c>
      <c r="Y204" s="15"/>
    </row>
    <row r="205" spans="2:25" x14ac:dyDescent="0.35">
      <c r="B205" s="13">
        <v>46227</v>
      </c>
      <c r="C205" s="13" t="str">
        <f t="shared" si="14"/>
        <v>Fri</v>
      </c>
      <c r="D205" s="14">
        <v>0.375</v>
      </c>
      <c r="E205" s="14" t="s">
        <v>31</v>
      </c>
      <c r="F205" s="15">
        <v>592.63</v>
      </c>
      <c r="G205" s="15">
        <v>610</v>
      </c>
      <c r="H205" s="16">
        <v>2.93E-2</v>
      </c>
      <c r="I205" s="17">
        <v>409.3</v>
      </c>
      <c r="J205" s="17">
        <v>408.24</v>
      </c>
      <c r="K205" s="17">
        <f t="shared" si="15"/>
        <v>249026.4</v>
      </c>
      <c r="L205" s="15">
        <f t="shared" si="16"/>
        <v>0</v>
      </c>
      <c r="M205" s="16">
        <v>-2.5999999999999999E-3</v>
      </c>
      <c r="N205" s="16">
        <v>0.94</v>
      </c>
      <c r="O205" s="18">
        <v>0</v>
      </c>
      <c r="P205" s="18">
        <f t="shared" si="17"/>
        <v>573.4</v>
      </c>
      <c r="Q205" s="16">
        <v>0.91539999999999999</v>
      </c>
      <c r="R205" s="16">
        <v>4.8999999999999998E-3</v>
      </c>
      <c r="S205" s="15">
        <v>10.96</v>
      </c>
      <c r="T205" s="15"/>
      <c r="U205" s="15"/>
      <c r="V205" s="15">
        <v>363.85</v>
      </c>
      <c r="W205" s="15">
        <v>367.78</v>
      </c>
      <c r="X205" s="15">
        <v>409.53</v>
      </c>
      <c r="Y205" s="15"/>
    </row>
    <row r="206" spans="2:25" x14ac:dyDescent="0.35">
      <c r="B206" s="13">
        <v>46227</v>
      </c>
      <c r="C206" s="13" t="str">
        <f t="shared" si="14"/>
        <v>Fri</v>
      </c>
      <c r="D206" s="14">
        <v>0.38541666666666669</v>
      </c>
      <c r="E206" s="14" t="s">
        <v>31</v>
      </c>
      <c r="F206" s="15">
        <v>670.03</v>
      </c>
      <c r="G206" s="15">
        <v>688</v>
      </c>
      <c r="H206" s="16">
        <v>2.6800000000000001E-2</v>
      </c>
      <c r="I206" s="17">
        <v>415.43</v>
      </c>
      <c r="J206" s="17">
        <v>384.14</v>
      </c>
      <c r="K206" s="17">
        <f t="shared" si="15"/>
        <v>264288.32</v>
      </c>
      <c r="L206" s="15">
        <f t="shared" si="16"/>
        <v>0</v>
      </c>
      <c r="M206" s="16">
        <v>-7.5300000000000006E-2</v>
      </c>
      <c r="N206" s="16">
        <v>0.86</v>
      </c>
      <c r="O206" s="18">
        <v>0</v>
      </c>
      <c r="P206" s="18">
        <f t="shared" si="17"/>
        <v>591.67999999999995</v>
      </c>
      <c r="Q206" s="16">
        <v>0.86919999999999997</v>
      </c>
      <c r="R206" s="16">
        <v>4.4000000000000003E-3</v>
      </c>
      <c r="S206" s="15">
        <v>17.72</v>
      </c>
      <c r="T206" s="15"/>
      <c r="U206" s="15"/>
      <c r="V206" s="15">
        <v>408.65</v>
      </c>
      <c r="W206" s="15">
        <v>384.45</v>
      </c>
      <c r="X206" s="15">
        <v>420.8</v>
      </c>
      <c r="Y206" s="15"/>
    </row>
    <row r="207" spans="2:25" x14ac:dyDescent="0.35">
      <c r="B207" s="13">
        <v>46227</v>
      </c>
      <c r="C207" s="13" t="str">
        <f t="shared" si="14"/>
        <v>Fri</v>
      </c>
      <c r="D207" s="14">
        <v>0.39583333333333331</v>
      </c>
      <c r="E207" s="14" t="s">
        <v>31</v>
      </c>
      <c r="F207" s="15">
        <v>726.5</v>
      </c>
      <c r="G207" s="15">
        <v>751</v>
      </c>
      <c r="H207" s="16">
        <v>3.3700000000000001E-2</v>
      </c>
      <c r="I207" s="17">
        <v>421.36</v>
      </c>
      <c r="J207" s="17">
        <v>405.07</v>
      </c>
      <c r="K207" s="17">
        <f t="shared" si="15"/>
        <v>304207.57</v>
      </c>
      <c r="L207" s="15">
        <f t="shared" si="16"/>
        <v>0</v>
      </c>
      <c r="M207" s="16">
        <v>-3.8699999999999998E-2</v>
      </c>
      <c r="N207" s="16">
        <v>0.82</v>
      </c>
      <c r="O207" s="18">
        <v>0</v>
      </c>
      <c r="P207" s="18">
        <f t="shared" si="17"/>
        <v>615.81999999999994</v>
      </c>
      <c r="Q207" s="16">
        <v>0.86760000000000004</v>
      </c>
      <c r="R207" s="16">
        <v>1.0699999999999999E-2</v>
      </c>
      <c r="S207" s="15">
        <v>26.6</v>
      </c>
      <c r="T207" s="15"/>
      <c r="U207" s="15"/>
      <c r="V207" s="15">
        <v>443.39</v>
      </c>
      <c r="W207" s="15">
        <v>440</v>
      </c>
      <c r="X207" s="15">
        <v>464.6</v>
      </c>
      <c r="Y207" s="15"/>
    </row>
    <row r="208" spans="2:25" x14ac:dyDescent="0.35">
      <c r="B208" s="13">
        <v>46227</v>
      </c>
      <c r="C208" s="13" t="str">
        <f t="shared" si="14"/>
        <v>Fri</v>
      </c>
      <c r="D208" s="14">
        <v>0.40625</v>
      </c>
      <c r="E208" s="14" t="s">
        <v>31</v>
      </c>
      <c r="F208" s="15">
        <v>749.85</v>
      </c>
      <c r="G208" s="15">
        <v>753</v>
      </c>
      <c r="H208" s="16">
        <v>4.1999999999999997E-3</v>
      </c>
      <c r="I208" s="17">
        <v>427.78</v>
      </c>
      <c r="J208" s="17">
        <v>399.8</v>
      </c>
      <c r="K208" s="17">
        <f t="shared" si="15"/>
        <v>301049.40000000002</v>
      </c>
      <c r="L208" s="15">
        <f t="shared" si="16"/>
        <v>0</v>
      </c>
      <c r="M208" s="16">
        <v>-6.54E-2</v>
      </c>
      <c r="N208" s="16">
        <v>0.69</v>
      </c>
      <c r="O208" s="18">
        <v>1</v>
      </c>
      <c r="P208" s="18">
        <f t="shared" si="17"/>
        <v>519.56999999999994</v>
      </c>
      <c r="Q208" s="16">
        <v>0.82520000000000004</v>
      </c>
      <c r="R208" s="16">
        <v>1.8599999999999998E-2</v>
      </c>
      <c r="S208" s="15">
        <v>37.44</v>
      </c>
      <c r="T208" s="15"/>
      <c r="U208" s="15"/>
      <c r="V208" s="15">
        <v>461.76</v>
      </c>
      <c r="W208" s="15">
        <v>432.14</v>
      </c>
      <c r="X208" s="15">
        <v>460.07</v>
      </c>
      <c r="Y208" s="15"/>
    </row>
    <row r="209" spans="2:25" x14ac:dyDescent="0.35">
      <c r="B209" s="13">
        <v>46227</v>
      </c>
      <c r="C209" s="13" t="str">
        <f t="shared" si="14"/>
        <v>Fri</v>
      </c>
      <c r="D209" s="14">
        <v>0.41666666666666669</v>
      </c>
      <c r="E209" s="14" t="s">
        <v>31</v>
      </c>
      <c r="F209" s="15">
        <v>776.32</v>
      </c>
      <c r="G209" s="15">
        <v>813</v>
      </c>
      <c r="H209" s="16">
        <v>4.7199999999999999E-2</v>
      </c>
      <c r="I209" s="17">
        <v>431.26</v>
      </c>
      <c r="J209" s="17">
        <v>375.29</v>
      </c>
      <c r="K209" s="17">
        <f t="shared" si="15"/>
        <v>305110.77</v>
      </c>
      <c r="L209" s="15">
        <f t="shared" si="16"/>
        <v>0</v>
      </c>
      <c r="M209" s="16">
        <v>-0.1298</v>
      </c>
      <c r="N209" s="16">
        <v>0.73</v>
      </c>
      <c r="O209" s="18">
        <v>1</v>
      </c>
      <c r="P209" s="18">
        <f t="shared" si="17"/>
        <v>593.49</v>
      </c>
      <c r="Q209" s="16">
        <v>0.80869999999999997</v>
      </c>
      <c r="R209" s="16">
        <v>1.4800000000000001E-2</v>
      </c>
      <c r="S209" s="15">
        <v>28.62</v>
      </c>
      <c r="T209" s="15"/>
      <c r="U209" s="15"/>
      <c r="V209" s="15">
        <v>480.19</v>
      </c>
      <c r="W209" s="15">
        <v>438.26</v>
      </c>
      <c r="X209" s="15">
        <v>483.07</v>
      </c>
      <c r="Y209" s="15"/>
    </row>
    <row r="210" spans="2:25" x14ac:dyDescent="0.35">
      <c r="B210" s="13">
        <v>46227</v>
      </c>
      <c r="C210" s="13" t="str">
        <f t="shared" si="14"/>
        <v>Fri</v>
      </c>
      <c r="D210" s="14">
        <v>0.42708333333333331</v>
      </c>
      <c r="E210" s="14" t="s">
        <v>31</v>
      </c>
      <c r="F210" s="15">
        <v>793.33</v>
      </c>
      <c r="G210" s="15">
        <v>753</v>
      </c>
      <c r="H210" s="16">
        <v>-5.0799999999999998E-2</v>
      </c>
      <c r="I210" s="17">
        <v>435.08</v>
      </c>
      <c r="J210" s="17">
        <v>423.93</v>
      </c>
      <c r="K210" s="17">
        <f t="shared" si="15"/>
        <v>319219.28999999998</v>
      </c>
      <c r="L210" s="15">
        <f t="shared" si="16"/>
        <v>0</v>
      </c>
      <c r="M210" s="16">
        <v>-2.5600000000000001E-2</v>
      </c>
      <c r="N210" s="16">
        <v>0.81</v>
      </c>
      <c r="O210" s="18">
        <v>0</v>
      </c>
      <c r="P210" s="18">
        <f t="shared" si="17"/>
        <v>609.93000000000006</v>
      </c>
      <c r="Q210" s="16">
        <v>0.81079999999999997</v>
      </c>
      <c r="R210" s="16">
        <v>1.2E-2</v>
      </c>
      <c r="S210" s="15">
        <v>21.07</v>
      </c>
      <c r="T210" s="15"/>
      <c r="U210" s="15"/>
      <c r="V210" s="15">
        <v>492.57</v>
      </c>
      <c r="W210" s="15">
        <v>456.31</v>
      </c>
      <c r="X210" s="15">
        <v>498.53</v>
      </c>
      <c r="Y210" s="15"/>
    </row>
    <row r="211" spans="2:25" x14ac:dyDescent="0.35">
      <c r="B211" s="13">
        <v>46227</v>
      </c>
      <c r="C211" s="13" t="str">
        <f t="shared" si="14"/>
        <v>Fri</v>
      </c>
      <c r="D211" s="14">
        <v>0.4375</v>
      </c>
      <c r="E211" s="14" t="s">
        <v>31</v>
      </c>
      <c r="F211" s="15">
        <v>815.6</v>
      </c>
      <c r="G211" s="15">
        <v>781</v>
      </c>
      <c r="H211" s="16">
        <v>-4.24E-2</v>
      </c>
      <c r="I211" s="17">
        <v>438.3</v>
      </c>
      <c r="J211" s="17">
        <v>438.43</v>
      </c>
      <c r="K211" s="17">
        <f t="shared" si="15"/>
        <v>342413.83</v>
      </c>
      <c r="L211" s="15">
        <f t="shared" si="16"/>
        <v>1</v>
      </c>
      <c r="M211" s="16">
        <v>2.9999999999999997E-4</v>
      </c>
      <c r="N211" s="16">
        <v>0.82</v>
      </c>
      <c r="O211" s="18">
        <v>0</v>
      </c>
      <c r="P211" s="18">
        <f t="shared" si="17"/>
        <v>640.41999999999996</v>
      </c>
      <c r="Q211" s="16">
        <v>0.88270000000000004</v>
      </c>
      <c r="R211" s="16">
        <v>1.2800000000000001E-2</v>
      </c>
      <c r="S211" s="15">
        <v>26.94</v>
      </c>
      <c r="T211" s="15"/>
      <c r="U211" s="15"/>
      <c r="V211" s="15">
        <v>508.39</v>
      </c>
      <c r="W211" s="15">
        <v>483.49</v>
      </c>
      <c r="X211" s="15">
        <v>537.73</v>
      </c>
      <c r="Y211" s="15"/>
    </row>
    <row r="212" spans="2:25" x14ac:dyDescent="0.35">
      <c r="B212" s="13">
        <v>46227</v>
      </c>
      <c r="C212" s="13" t="str">
        <f t="shared" si="14"/>
        <v>Fri</v>
      </c>
      <c r="D212" s="14">
        <v>0.44791666666666669</v>
      </c>
      <c r="E212" s="14" t="s">
        <v>31</v>
      </c>
      <c r="F212" s="15">
        <v>811.25</v>
      </c>
      <c r="G212" s="15">
        <v>812</v>
      </c>
      <c r="H212" s="16">
        <v>8.9999999999999998E-4</v>
      </c>
      <c r="I212" s="17">
        <v>439.06</v>
      </c>
      <c r="J212" s="17">
        <v>443.37</v>
      </c>
      <c r="K212" s="17">
        <f t="shared" si="15"/>
        <v>360016.44</v>
      </c>
      <c r="L212" s="15">
        <f t="shared" si="16"/>
        <v>1</v>
      </c>
      <c r="M212" s="16">
        <v>9.7999999999999997E-3</v>
      </c>
      <c r="N212" s="16">
        <v>0.69</v>
      </c>
      <c r="O212" s="18">
        <v>1</v>
      </c>
      <c r="P212" s="18">
        <f t="shared" si="17"/>
        <v>560.28</v>
      </c>
      <c r="Q212" s="16">
        <v>0.8841</v>
      </c>
      <c r="R212" s="16">
        <v>1.4800000000000001E-2</v>
      </c>
      <c r="S212" s="15">
        <v>33.51</v>
      </c>
      <c r="T212" s="15"/>
      <c r="U212" s="15"/>
      <c r="V212" s="15">
        <v>506.64</v>
      </c>
      <c r="W212" s="15">
        <v>506.74</v>
      </c>
      <c r="X212" s="15">
        <v>542.92999999999995</v>
      </c>
      <c r="Y212" s="15"/>
    </row>
    <row r="213" spans="2:25" x14ac:dyDescent="0.35">
      <c r="B213" s="13">
        <v>46227</v>
      </c>
      <c r="C213" s="13" t="str">
        <f t="shared" si="14"/>
        <v>Fri</v>
      </c>
      <c r="D213" s="14">
        <v>0.45833333333333331</v>
      </c>
      <c r="E213" s="14" t="s">
        <v>31</v>
      </c>
      <c r="F213" s="15">
        <v>814.67</v>
      </c>
      <c r="G213" s="15">
        <v>871</v>
      </c>
      <c r="H213" s="16">
        <v>6.9099999999999995E-2</v>
      </c>
      <c r="I213" s="17">
        <v>440.74</v>
      </c>
      <c r="J213" s="17">
        <v>444.52</v>
      </c>
      <c r="K213" s="17">
        <f t="shared" si="15"/>
        <v>387176.92</v>
      </c>
      <c r="L213" s="15">
        <f t="shared" si="16"/>
        <v>1</v>
      </c>
      <c r="M213" s="16">
        <v>8.6E-3</v>
      </c>
      <c r="N213" s="16">
        <v>0.72</v>
      </c>
      <c r="O213" s="18">
        <v>1</v>
      </c>
      <c r="P213" s="18">
        <f t="shared" si="17"/>
        <v>627.12</v>
      </c>
      <c r="Q213" s="16">
        <v>0.87560000000000004</v>
      </c>
      <c r="R213" s="16">
        <v>1.84E-2</v>
      </c>
      <c r="S213" s="15">
        <v>37.770000000000003</v>
      </c>
      <c r="T213" s="15"/>
      <c r="U213" s="15"/>
      <c r="V213" s="15">
        <v>510.7</v>
      </c>
      <c r="W213" s="15">
        <v>542.09</v>
      </c>
      <c r="X213" s="15">
        <v>539.33000000000004</v>
      </c>
      <c r="Y213" s="15"/>
    </row>
    <row r="214" spans="2:25" x14ac:dyDescent="0.35">
      <c r="B214" s="13">
        <v>46227</v>
      </c>
      <c r="C214" s="13" t="str">
        <f t="shared" si="14"/>
        <v>Fri</v>
      </c>
      <c r="D214" s="14">
        <v>0.46875</v>
      </c>
      <c r="E214" s="14" t="s">
        <v>31</v>
      </c>
      <c r="F214" s="15">
        <v>810.26</v>
      </c>
      <c r="G214" s="15">
        <v>864</v>
      </c>
      <c r="H214" s="16">
        <v>6.6299999999999998E-2</v>
      </c>
      <c r="I214" s="17">
        <v>441.65</v>
      </c>
      <c r="J214" s="17">
        <v>437.87</v>
      </c>
      <c r="K214" s="17">
        <f t="shared" si="15"/>
        <v>378319.68</v>
      </c>
      <c r="L214" s="15">
        <f t="shared" si="16"/>
        <v>0</v>
      </c>
      <c r="M214" s="16">
        <v>-8.5000000000000006E-3</v>
      </c>
      <c r="N214" s="16">
        <v>0.71</v>
      </c>
      <c r="O214" s="18">
        <v>1</v>
      </c>
      <c r="P214" s="18">
        <f t="shared" si="17"/>
        <v>613.43999999999994</v>
      </c>
      <c r="Q214" s="16">
        <v>0.88460000000000005</v>
      </c>
      <c r="R214" s="16">
        <v>1.6199999999999999E-2</v>
      </c>
      <c r="S214" s="15">
        <v>31.68</v>
      </c>
      <c r="T214" s="15"/>
      <c r="U214" s="15"/>
      <c r="V214" s="15">
        <v>509.16</v>
      </c>
      <c r="W214" s="15">
        <v>531.61</v>
      </c>
      <c r="X214" s="15">
        <v>544.47</v>
      </c>
      <c r="Y214" s="15"/>
    </row>
    <row r="215" spans="2:25" x14ac:dyDescent="0.35">
      <c r="B215" s="13">
        <v>46227</v>
      </c>
      <c r="C215" s="13" t="str">
        <f t="shared" si="14"/>
        <v>Fri</v>
      </c>
      <c r="D215" s="14">
        <v>0.47916666666666669</v>
      </c>
      <c r="E215" s="14" t="s">
        <v>31</v>
      </c>
      <c r="F215" s="15">
        <v>814.18</v>
      </c>
      <c r="G215" s="15">
        <v>863</v>
      </c>
      <c r="H215" s="16">
        <v>0.06</v>
      </c>
      <c r="I215" s="17">
        <v>441.07</v>
      </c>
      <c r="J215" s="17">
        <v>439.22</v>
      </c>
      <c r="K215" s="17">
        <f t="shared" si="15"/>
        <v>379046.86000000004</v>
      </c>
      <c r="L215" s="15">
        <f t="shared" si="16"/>
        <v>0</v>
      </c>
      <c r="M215" s="16">
        <v>-4.1999999999999997E-3</v>
      </c>
      <c r="N215" s="16">
        <v>0.8</v>
      </c>
      <c r="O215" s="18">
        <v>0</v>
      </c>
      <c r="P215" s="18">
        <f t="shared" si="17"/>
        <v>690.40000000000009</v>
      </c>
      <c r="Q215" s="16">
        <v>0.88649999999999995</v>
      </c>
      <c r="R215" s="16">
        <v>7.0000000000000001E-3</v>
      </c>
      <c r="S215" s="15">
        <v>31.98</v>
      </c>
      <c r="T215" s="15"/>
      <c r="U215" s="15"/>
      <c r="V215" s="15">
        <v>510.54</v>
      </c>
      <c r="W215" s="15">
        <v>531.64</v>
      </c>
      <c r="X215" s="15">
        <v>549.79999999999995</v>
      </c>
      <c r="Y215" s="15"/>
    </row>
    <row r="216" spans="2:25" x14ac:dyDescent="0.35">
      <c r="B216" s="13">
        <v>46227</v>
      </c>
      <c r="C216" s="13" t="str">
        <f t="shared" si="14"/>
        <v>Fri</v>
      </c>
      <c r="D216" s="14">
        <v>0.48958333333333331</v>
      </c>
      <c r="E216" s="14" t="s">
        <v>31</v>
      </c>
      <c r="F216" s="15">
        <v>793.4</v>
      </c>
      <c r="G216" s="15">
        <v>847</v>
      </c>
      <c r="H216" s="16">
        <v>6.7599999999999993E-2</v>
      </c>
      <c r="I216" s="17">
        <v>443.48</v>
      </c>
      <c r="J216" s="17">
        <v>401.62</v>
      </c>
      <c r="K216" s="17">
        <f t="shared" si="15"/>
        <v>340172.14</v>
      </c>
      <c r="L216" s="15">
        <f t="shared" si="16"/>
        <v>0</v>
      </c>
      <c r="M216" s="16">
        <v>-9.4399999999999998E-2</v>
      </c>
      <c r="N216" s="16">
        <v>0.75</v>
      </c>
      <c r="O216" s="18">
        <v>1</v>
      </c>
      <c r="P216" s="18">
        <f t="shared" si="17"/>
        <v>635.25</v>
      </c>
      <c r="Q216" s="16">
        <v>0.8871</v>
      </c>
      <c r="R216" s="16">
        <v>2.4799999999999999E-2</v>
      </c>
      <c r="S216" s="15">
        <v>44.75</v>
      </c>
      <c r="T216" s="15"/>
      <c r="U216" s="15"/>
      <c r="V216" s="15">
        <v>501.09</v>
      </c>
      <c r="W216" s="15">
        <v>479.26</v>
      </c>
      <c r="X216" s="15">
        <v>540.07000000000005</v>
      </c>
      <c r="Y216" s="15"/>
    </row>
    <row r="217" spans="2:25" x14ac:dyDescent="0.35">
      <c r="B217" s="13">
        <v>46227</v>
      </c>
      <c r="C217" s="13" t="str">
        <f t="shared" si="14"/>
        <v>Fri</v>
      </c>
      <c r="D217" s="14">
        <v>0.5</v>
      </c>
      <c r="E217" s="14" t="s">
        <v>32</v>
      </c>
      <c r="F217" s="15">
        <v>772.77</v>
      </c>
      <c r="G217" s="15">
        <v>810</v>
      </c>
      <c r="H217" s="16">
        <v>4.82E-2</v>
      </c>
      <c r="I217" s="17">
        <v>444.35</v>
      </c>
      <c r="J217" s="17">
        <v>433.3</v>
      </c>
      <c r="K217" s="17">
        <f t="shared" si="15"/>
        <v>350973</v>
      </c>
      <c r="L217" s="15">
        <f t="shared" si="16"/>
        <v>0</v>
      </c>
      <c r="M217" s="16">
        <v>-2.4899999999999999E-2</v>
      </c>
      <c r="N217" s="16">
        <v>0.76</v>
      </c>
      <c r="O217" s="18">
        <v>1</v>
      </c>
      <c r="P217" s="18">
        <f t="shared" si="17"/>
        <v>615.6</v>
      </c>
      <c r="Q217" s="16">
        <v>0.88859999999999995</v>
      </c>
      <c r="R217" s="16">
        <v>2.1000000000000001E-2</v>
      </c>
      <c r="S217" s="15">
        <v>37.96</v>
      </c>
      <c r="T217" s="15"/>
      <c r="U217" s="15"/>
      <c r="V217" s="15">
        <v>489.27</v>
      </c>
      <c r="W217" s="15">
        <v>498.63</v>
      </c>
      <c r="X217" s="15">
        <v>528.27</v>
      </c>
      <c r="Y217" s="15"/>
    </row>
    <row r="218" spans="2:25" x14ac:dyDescent="0.35">
      <c r="B218" s="13">
        <v>46227</v>
      </c>
      <c r="C218" s="13" t="str">
        <f t="shared" si="14"/>
        <v>Fri</v>
      </c>
      <c r="D218" s="14">
        <v>0.51041666666666663</v>
      </c>
      <c r="E218" s="14" t="s">
        <v>32</v>
      </c>
      <c r="F218" s="15">
        <v>741.99</v>
      </c>
      <c r="G218" s="15">
        <v>748</v>
      </c>
      <c r="H218" s="16">
        <v>8.0999999999999996E-3</v>
      </c>
      <c r="I218" s="17">
        <v>445.61</v>
      </c>
      <c r="J218" s="17">
        <v>429.44</v>
      </c>
      <c r="K218" s="17">
        <f t="shared" si="15"/>
        <v>321221.12</v>
      </c>
      <c r="L218" s="15">
        <f t="shared" si="16"/>
        <v>0</v>
      </c>
      <c r="M218" s="16">
        <v>-3.6299999999999999E-2</v>
      </c>
      <c r="N218" s="16">
        <v>0.64</v>
      </c>
      <c r="O218" s="18">
        <v>1</v>
      </c>
      <c r="P218" s="18">
        <f t="shared" si="17"/>
        <v>478.72</v>
      </c>
      <c r="Q218" s="16">
        <v>0.8861</v>
      </c>
      <c r="R218" s="16">
        <v>2.81E-2</v>
      </c>
      <c r="S218" s="15">
        <v>44.01</v>
      </c>
      <c r="T218" s="15"/>
      <c r="U218" s="15"/>
      <c r="V218" s="15">
        <v>472.57</v>
      </c>
      <c r="W218" s="15">
        <v>460.31</v>
      </c>
      <c r="X218" s="15">
        <v>514.33000000000004</v>
      </c>
      <c r="Y218" s="15"/>
    </row>
    <row r="219" spans="2:25" x14ac:dyDescent="0.35">
      <c r="B219" s="13">
        <v>46227</v>
      </c>
      <c r="C219" s="13" t="str">
        <f t="shared" si="14"/>
        <v>Fri</v>
      </c>
      <c r="D219" s="14">
        <v>0.52083333333333337</v>
      </c>
      <c r="E219" s="14" t="s">
        <v>32</v>
      </c>
      <c r="F219" s="15">
        <v>729.07</v>
      </c>
      <c r="G219" s="15">
        <v>751</v>
      </c>
      <c r="H219" s="16">
        <v>3.0099999999999998E-2</v>
      </c>
      <c r="I219" s="17">
        <v>447.53</v>
      </c>
      <c r="J219" s="17">
        <v>432.17</v>
      </c>
      <c r="K219" s="17">
        <f t="shared" si="15"/>
        <v>324559.67</v>
      </c>
      <c r="L219" s="15">
        <f t="shared" si="16"/>
        <v>0</v>
      </c>
      <c r="M219" s="16">
        <v>-3.4299999999999997E-2</v>
      </c>
      <c r="N219" s="16">
        <v>0.8</v>
      </c>
      <c r="O219" s="18">
        <v>0</v>
      </c>
      <c r="P219" s="18">
        <f t="shared" si="17"/>
        <v>600.80000000000007</v>
      </c>
      <c r="Q219" s="16">
        <v>0.88870000000000005</v>
      </c>
      <c r="R219" s="16">
        <v>0.02</v>
      </c>
      <c r="S219" s="15">
        <v>28.25</v>
      </c>
      <c r="T219" s="15"/>
      <c r="U219" s="15"/>
      <c r="V219" s="15">
        <v>466.71</v>
      </c>
      <c r="W219" s="15">
        <v>465.59</v>
      </c>
      <c r="X219" s="15">
        <v>502.33</v>
      </c>
      <c r="Y219" s="15"/>
    </row>
    <row r="220" spans="2:25" x14ac:dyDescent="0.35">
      <c r="B220" s="13">
        <v>46227</v>
      </c>
      <c r="C220" s="13" t="str">
        <f t="shared" si="14"/>
        <v>Fri</v>
      </c>
      <c r="D220" s="14">
        <v>0.53125</v>
      </c>
      <c r="E220" s="14" t="s">
        <v>32</v>
      </c>
      <c r="F220" s="15">
        <v>708.03</v>
      </c>
      <c r="G220" s="15">
        <v>738</v>
      </c>
      <c r="H220" s="16">
        <v>4.2299999999999997E-2</v>
      </c>
      <c r="I220" s="17">
        <v>446.66</v>
      </c>
      <c r="J220" s="17">
        <v>435.29</v>
      </c>
      <c r="K220" s="17">
        <f t="shared" si="15"/>
        <v>321244.02</v>
      </c>
      <c r="L220" s="15">
        <f t="shared" si="16"/>
        <v>0</v>
      </c>
      <c r="M220" s="16">
        <v>-2.5499999999999998E-2</v>
      </c>
      <c r="N220" s="16">
        <v>0.66</v>
      </c>
      <c r="O220" s="18">
        <v>1</v>
      </c>
      <c r="P220" s="18">
        <f t="shared" si="17"/>
        <v>487.08000000000004</v>
      </c>
      <c r="Q220" s="16">
        <v>0.89390000000000003</v>
      </c>
      <c r="R220" s="16">
        <v>2.0299999999999999E-2</v>
      </c>
      <c r="S220" s="15">
        <v>41.27</v>
      </c>
      <c r="T220" s="15"/>
      <c r="U220" s="15"/>
      <c r="V220" s="15">
        <v>454.1</v>
      </c>
      <c r="W220" s="15">
        <v>456.23</v>
      </c>
      <c r="X220" s="15">
        <v>488.87</v>
      </c>
      <c r="Y220" s="15"/>
    </row>
    <row r="221" spans="2:25" x14ac:dyDescent="0.35">
      <c r="B221" s="13">
        <v>46227</v>
      </c>
      <c r="C221" s="13" t="str">
        <f t="shared" si="14"/>
        <v>Fri</v>
      </c>
      <c r="D221" s="14">
        <v>0.54166666666666663</v>
      </c>
      <c r="E221" s="14" t="s">
        <v>32</v>
      </c>
      <c r="F221" s="15">
        <v>709.69</v>
      </c>
      <c r="G221" s="15">
        <v>758</v>
      </c>
      <c r="H221" s="16">
        <v>6.8099999999999994E-2</v>
      </c>
      <c r="I221" s="17">
        <v>448.37</v>
      </c>
      <c r="J221" s="17">
        <v>429.44</v>
      </c>
      <c r="K221" s="17">
        <f t="shared" si="15"/>
        <v>325515.52000000002</v>
      </c>
      <c r="L221" s="15">
        <f t="shared" si="16"/>
        <v>0</v>
      </c>
      <c r="M221" s="16">
        <v>-4.2200000000000001E-2</v>
      </c>
      <c r="N221" s="16">
        <v>0.82</v>
      </c>
      <c r="O221" s="18">
        <v>0</v>
      </c>
      <c r="P221" s="18">
        <f t="shared" si="17"/>
        <v>621.55999999999995</v>
      </c>
      <c r="Q221" s="16">
        <v>0.9042</v>
      </c>
      <c r="R221" s="16">
        <v>6.6E-3</v>
      </c>
      <c r="S221" s="15">
        <v>31.85</v>
      </c>
      <c r="T221" s="15"/>
      <c r="U221" s="15"/>
      <c r="V221" s="15">
        <v>457.18</v>
      </c>
      <c r="W221" s="15">
        <v>463.58</v>
      </c>
      <c r="X221" s="15">
        <v>493.13</v>
      </c>
      <c r="Y221" s="15"/>
    </row>
    <row r="222" spans="2:25" x14ac:dyDescent="0.35">
      <c r="B222" s="13">
        <v>46227</v>
      </c>
      <c r="C222" s="13" t="str">
        <f t="shared" si="14"/>
        <v>Fri</v>
      </c>
      <c r="D222" s="14">
        <v>0.55208333333333337</v>
      </c>
      <c r="E222" s="14" t="s">
        <v>32</v>
      </c>
      <c r="F222" s="15">
        <v>707.24</v>
      </c>
      <c r="G222" s="15">
        <v>765</v>
      </c>
      <c r="H222" s="16">
        <v>8.1699999999999995E-2</v>
      </c>
      <c r="I222" s="17">
        <v>447.75</v>
      </c>
      <c r="J222" s="17">
        <v>431.37</v>
      </c>
      <c r="K222" s="17">
        <f t="shared" si="15"/>
        <v>329998.05</v>
      </c>
      <c r="L222" s="15">
        <f t="shared" si="16"/>
        <v>0</v>
      </c>
      <c r="M222" s="16">
        <v>-3.6600000000000001E-2</v>
      </c>
      <c r="N222" s="16">
        <v>0.81</v>
      </c>
      <c r="O222" s="18">
        <v>0</v>
      </c>
      <c r="P222" s="18">
        <f t="shared" si="17"/>
        <v>619.65000000000009</v>
      </c>
      <c r="Q222" s="16">
        <v>0.90059999999999996</v>
      </c>
      <c r="R222" s="16">
        <v>1.0500000000000001E-2</v>
      </c>
      <c r="S222" s="15">
        <v>24.49</v>
      </c>
      <c r="T222" s="15"/>
      <c r="U222" s="15"/>
      <c r="V222" s="15">
        <v>456.09</v>
      </c>
      <c r="W222" s="15">
        <v>471.98</v>
      </c>
      <c r="X222" s="15">
        <v>497.4</v>
      </c>
      <c r="Y222" s="15"/>
    </row>
    <row r="223" spans="2:25" x14ac:dyDescent="0.35">
      <c r="B223" s="13">
        <v>46227</v>
      </c>
      <c r="C223" s="13" t="str">
        <f t="shared" si="14"/>
        <v>Fri</v>
      </c>
      <c r="D223" s="14">
        <v>0.5625</v>
      </c>
      <c r="E223" s="14" t="s">
        <v>32</v>
      </c>
      <c r="F223" s="15">
        <v>715.92</v>
      </c>
      <c r="G223" s="15">
        <v>753</v>
      </c>
      <c r="H223" s="16">
        <v>5.1799999999999999E-2</v>
      </c>
      <c r="I223" s="17">
        <v>447.89</v>
      </c>
      <c r="J223" s="17">
        <v>431.18</v>
      </c>
      <c r="K223" s="17">
        <f t="shared" si="15"/>
        <v>324678.53999999998</v>
      </c>
      <c r="L223" s="15">
        <f t="shared" si="16"/>
        <v>0</v>
      </c>
      <c r="M223" s="16">
        <v>-3.73E-2</v>
      </c>
      <c r="N223" s="16">
        <v>0.77</v>
      </c>
      <c r="O223" s="18">
        <v>1</v>
      </c>
      <c r="P223" s="18">
        <f t="shared" si="17"/>
        <v>579.81000000000006</v>
      </c>
      <c r="Q223" s="16">
        <v>0.89610000000000001</v>
      </c>
      <c r="R223" s="16">
        <v>9.2999999999999992E-3</v>
      </c>
      <c r="S223" s="15">
        <v>24.14</v>
      </c>
      <c r="T223" s="15"/>
      <c r="U223" s="15"/>
      <c r="V223" s="15">
        <v>461.45</v>
      </c>
      <c r="W223" s="15">
        <v>465.84</v>
      </c>
      <c r="X223" s="15">
        <v>498.07</v>
      </c>
      <c r="Y223" s="15"/>
    </row>
    <row r="224" spans="2:25" x14ac:dyDescent="0.35">
      <c r="B224" s="13">
        <v>46227</v>
      </c>
      <c r="C224" s="13" t="str">
        <f t="shared" si="14"/>
        <v>Fri</v>
      </c>
      <c r="D224" s="14">
        <v>0.57291666666666663</v>
      </c>
      <c r="E224" s="14" t="s">
        <v>32</v>
      </c>
      <c r="F224" s="15">
        <v>705.21</v>
      </c>
      <c r="G224" s="15">
        <v>744</v>
      </c>
      <c r="H224" s="16">
        <v>5.5E-2</v>
      </c>
      <c r="I224" s="17">
        <v>449.58</v>
      </c>
      <c r="J224" s="17">
        <v>441.18</v>
      </c>
      <c r="K224" s="17">
        <f t="shared" si="15"/>
        <v>328237.92</v>
      </c>
      <c r="L224" s="15">
        <f t="shared" si="16"/>
        <v>0</v>
      </c>
      <c r="M224" s="16">
        <v>-1.8700000000000001E-2</v>
      </c>
      <c r="N224" s="16">
        <v>0.84</v>
      </c>
      <c r="O224" s="18">
        <v>0</v>
      </c>
      <c r="P224" s="18">
        <f t="shared" si="17"/>
        <v>624.95999999999992</v>
      </c>
      <c r="Q224" s="16">
        <v>0.89380000000000004</v>
      </c>
      <c r="R224" s="16">
        <v>1.0800000000000001E-2</v>
      </c>
      <c r="S224" s="15">
        <v>20.170000000000002</v>
      </c>
      <c r="T224" s="15"/>
      <c r="U224" s="15"/>
      <c r="V224" s="15">
        <v>457.22</v>
      </c>
      <c r="W224" s="15">
        <v>468.28</v>
      </c>
      <c r="X224" s="15">
        <v>496.53</v>
      </c>
      <c r="Y224" s="15"/>
    </row>
    <row r="225" spans="2:25" x14ac:dyDescent="0.35">
      <c r="B225" s="13">
        <v>46227</v>
      </c>
      <c r="C225" s="13" t="str">
        <f t="shared" si="14"/>
        <v>Fri</v>
      </c>
      <c r="D225" s="14">
        <v>0.58333333333333337</v>
      </c>
      <c r="E225" s="14" t="s">
        <v>32</v>
      </c>
      <c r="F225" s="15">
        <v>715.48</v>
      </c>
      <c r="G225" s="15">
        <v>779</v>
      </c>
      <c r="H225" s="16">
        <v>8.8800000000000004E-2</v>
      </c>
      <c r="I225" s="17">
        <v>448.34</v>
      </c>
      <c r="J225" s="17">
        <v>422.3</v>
      </c>
      <c r="K225" s="17">
        <f t="shared" si="15"/>
        <v>328971.7</v>
      </c>
      <c r="L225" s="15">
        <f t="shared" si="16"/>
        <v>0</v>
      </c>
      <c r="M225" s="16">
        <v>-5.8099999999999999E-2</v>
      </c>
      <c r="N225" s="16">
        <v>0.67</v>
      </c>
      <c r="O225" s="18">
        <v>1</v>
      </c>
      <c r="P225" s="18">
        <f t="shared" si="17"/>
        <v>521.93000000000006</v>
      </c>
      <c r="Q225" s="16">
        <v>0.89129999999999998</v>
      </c>
      <c r="R225" s="16">
        <v>1.9300000000000001E-2</v>
      </c>
      <c r="S225" s="15">
        <v>38.9</v>
      </c>
      <c r="T225" s="15"/>
      <c r="U225" s="15"/>
      <c r="V225" s="15">
        <v>462.07</v>
      </c>
      <c r="W225" s="15">
        <v>465.81</v>
      </c>
      <c r="X225" s="15">
        <v>503</v>
      </c>
      <c r="Y225" s="15"/>
    </row>
    <row r="226" spans="2:25" x14ac:dyDescent="0.35">
      <c r="B226" s="13">
        <v>46227</v>
      </c>
      <c r="C226" s="13" t="str">
        <f t="shared" si="14"/>
        <v>Fri</v>
      </c>
      <c r="D226" s="14">
        <v>0.59375</v>
      </c>
      <c r="E226" s="14" t="s">
        <v>32</v>
      </c>
      <c r="F226" s="15">
        <v>711.35</v>
      </c>
      <c r="G226" s="15">
        <v>720</v>
      </c>
      <c r="H226" s="16">
        <v>1.2200000000000001E-2</v>
      </c>
      <c r="I226" s="17">
        <v>449.92</v>
      </c>
      <c r="J226" s="17">
        <v>455.45</v>
      </c>
      <c r="K226" s="17">
        <f t="shared" si="15"/>
        <v>327924</v>
      </c>
      <c r="L226" s="15">
        <f t="shared" si="16"/>
        <v>1</v>
      </c>
      <c r="M226" s="16">
        <v>1.23E-2</v>
      </c>
      <c r="N226" s="16">
        <v>0.67</v>
      </c>
      <c r="O226" s="18">
        <v>1</v>
      </c>
      <c r="P226" s="18">
        <f t="shared" si="17"/>
        <v>482.40000000000003</v>
      </c>
      <c r="Q226" s="16">
        <v>0.89300000000000002</v>
      </c>
      <c r="R226" s="16">
        <v>1.3899999999999999E-2</v>
      </c>
      <c r="S226" s="15">
        <v>30.87</v>
      </c>
      <c r="T226" s="15"/>
      <c r="U226" s="15"/>
      <c r="V226" s="15">
        <v>460.7</v>
      </c>
      <c r="W226" s="15">
        <v>464.36</v>
      </c>
      <c r="X226" s="15">
        <v>495.07</v>
      </c>
      <c r="Y226" s="15"/>
    </row>
    <row r="227" spans="2:25" x14ac:dyDescent="0.35">
      <c r="B227" s="13">
        <v>46227</v>
      </c>
      <c r="C227" s="13" t="str">
        <f t="shared" si="14"/>
        <v>Fri</v>
      </c>
      <c r="D227" s="14">
        <v>0.60416666666666663</v>
      </c>
      <c r="E227" s="14" t="s">
        <v>32</v>
      </c>
      <c r="F227" s="15">
        <v>723.29</v>
      </c>
      <c r="G227" s="15">
        <v>715</v>
      </c>
      <c r="H227" s="16">
        <v>-1.15E-2</v>
      </c>
      <c r="I227" s="17">
        <v>451.08</v>
      </c>
      <c r="J227" s="17">
        <v>415.14</v>
      </c>
      <c r="K227" s="17">
        <f t="shared" si="15"/>
        <v>296825.09999999998</v>
      </c>
      <c r="L227" s="15">
        <f t="shared" si="16"/>
        <v>0</v>
      </c>
      <c r="M227" s="16">
        <v>-7.9699999999999993E-2</v>
      </c>
      <c r="N227" s="16">
        <v>0.87</v>
      </c>
      <c r="O227" s="18">
        <v>0</v>
      </c>
      <c r="P227" s="18">
        <f t="shared" si="17"/>
        <v>622.04999999999995</v>
      </c>
      <c r="Q227" s="16">
        <v>0.90710000000000002</v>
      </c>
      <c r="R227" s="16">
        <v>8.3999999999999995E-3</v>
      </c>
      <c r="S227" s="15">
        <v>20.309999999999999</v>
      </c>
      <c r="T227" s="15"/>
      <c r="U227" s="15"/>
      <c r="V227" s="15">
        <v>468.54</v>
      </c>
      <c r="W227" s="15">
        <v>423.89</v>
      </c>
      <c r="X227" s="15">
        <v>507.2</v>
      </c>
      <c r="Y227" s="15"/>
    </row>
    <row r="228" spans="2:25" x14ac:dyDescent="0.35">
      <c r="B228" s="13">
        <v>46227</v>
      </c>
      <c r="C228" s="13" t="str">
        <f t="shared" si="14"/>
        <v>Fri</v>
      </c>
      <c r="D228" s="14">
        <v>0.61458333333333337</v>
      </c>
      <c r="E228" s="14" t="s">
        <v>32</v>
      </c>
      <c r="F228" s="15">
        <v>706.82</v>
      </c>
      <c r="G228" s="15">
        <v>724</v>
      </c>
      <c r="H228" s="16">
        <v>2.4299999999999999E-2</v>
      </c>
      <c r="I228" s="17">
        <v>450.08</v>
      </c>
      <c r="J228" s="17">
        <v>444.62</v>
      </c>
      <c r="K228" s="17">
        <f t="shared" si="15"/>
        <v>321904.88</v>
      </c>
      <c r="L228" s="15">
        <f t="shared" si="16"/>
        <v>0</v>
      </c>
      <c r="M228" s="16">
        <v>-1.21E-2</v>
      </c>
      <c r="N228" s="16">
        <v>0.81</v>
      </c>
      <c r="O228" s="18">
        <v>0</v>
      </c>
      <c r="P228" s="18">
        <f t="shared" si="17"/>
        <v>586.44000000000005</v>
      </c>
      <c r="Q228" s="16">
        <v>0.89139999999999997</v>
      </c>
      <c r="R228" s="16">
        <v>4.1000000000000003E-3</v>
      </c>
      <c r="S228" s="15">
        <v>26.11</v>
      </c>
      <c r="T228" s="15"/>
      <c r="U228" s="15"/>
      <c r="V228" s="15">
        <v>457.9</v>
      </c>
      <c r="W228" s="15">
        <v>458.9</v>
      </c>
      <c r="X228" s="15">
        <v>498.07</v>
      </c>
      <c r="Y228" s="15"/>
    </row>
    <row r="229" spans="2:25" x14ac:dyDescent="0.35">
      <c r="B229" s="13">
        <v>46227</v>
      </c>
      <c r="C229" s="13" t="str">
        <f t="shared" si="14"/>
        <v>Fri</v>
      </c>
      <c r="D229" s="14">
        <v>0.625</v>
      </c>
      <c r="E229" s="14" t="s">
        <v>33</v>
      </c>
      <c r="F229" s="15">
        <v>695.16</v>
      </c>
      <c r="G229" s="15">
        <v>724</v>
      </c>
      <c r="H229" s="16">
        <v>4.1500000000000002E-2</v>
      </c>
      <c r="I229" s="17">
        <v>453.7</v>
      </c>
      <c r="J229" s="17">
        <v>438.41</v>
      </c>
      <c r="K229" s="17">
        <f t="shared" si="15"/>
        <v>317408.84000000003</v>
      </c>
      <c r="L229" s="15">
        <f t="shared" si="16"/>
        <v>0</v>
      </c>
      <c r="M229" s="16">
        <v>-3.3700000000000001E-2</v>
      </c>
      <c r="N229" s="16">
        <v>0.65</v>
      </c>
      <c r="O229" s="18">
        <v>1</v>
      </c>
      <c r="P229" s="18">
        <f t="shared" si="17"/>
        <v>470.6</v>
      </c>
      <c r="Q229" s="16">
        <v>0.90359999999999996</v>
      </c>
      <c r="R229" s="16">
        <v>1.9300000000000001E-2</v>
      </c>
      <c r="S229" s="15">
        <v>38.5</v>
      </c>
      <c r="T229" s="15"/>
      <c r="U229" s="15"/>
      <c r="V229" s="15">
        <v>454.14</v>
      </c>
      <c r="W229" s="15">
        <v>450.73</v>
      </c>
      <c r="X229" s="15">
        <v>493.93</v>
      </c>
      <c r="Y229" s="15"/>
    </row>
    <row r="230" spans="2:25" x14ac:dyDescent="0.35">
      <c r="B230" s="13">
        <v>46227</v>
      </c>
      <c r="C230" s="13" t="str">
        <f t="shared" si="14"/>
        <v>Fri</v>
      </c>
      <c r="D230" s="14">
        <v>0.63541666666666663</v>
      </c>
      <c r="E230" s="14" t="s">
        <v>33</v>
      </c>
      <c r="F230" s="15">
        <v>672.05</v>
      </c>
      <c r="G230" s="15">
        <v>709</v>
      </c>
      <c r="H230" s="16">
        <v>5.5E-2</v>
      </c>
      <c r="I230" s="17">
        <v>455.92</v>
      </c>
      <c r="J230" s="17">
        <v>439.35</v>
      </c>
      <c r="K230" s="17">
        <f t="shared" si="15"/>
        <v>311499.15000000002</v>
      </c>
      <c r="L230" s="15">
        <f t="shared" si="16"/>
        <v>0</v>
      </c>
      <c r="M230" s="16">
        <v>-3.6299999999999999E-2</v>
      </c>
      <c r="N230" s="16">
        <v>0.78</v>
      </c>
      <c r="O230" s="18">
        <v>1</v>
      </c>
      <c r="P230" s="18">
        <f t="shared" si="17"/>
        <v>553.02</v>
      </c>
      <c r="Q230" s="16">
        <v>0.9163</v>
      </c>
      <c r="R230" s="16">
        <v>7.1000000000000004E-3</v>
      </c>
      <c r="S230" s="15">
        <v>21.19</v>
      </c>
      <c r="T230" s="15"/>
      <c r="U230" s="15"/>
      <c r="V230" s="15">
        <v>442.43</v>
      </c>
      <c r="W230" s="15">
        <v>445.69</v>
      </c>
      <c r="X230" s="15">
        <v>492.53</v>
      </c>
      <c r="Y230" s="15"/>
    </row>
    <row r="231" spans="2:25" x14ac:dyDescent="0.35">
      <c r="B231" s="13">
        <v>46227</v>
      </c>
      <c r="C231" s="13" t="str">
        <f t="shared" si="14"/>
        <v>Fri</v>
      </c>
      <c r="D231" s="14">
        <v>0.64583333333333337</v>
      </c>
      <c r="E231" s="14" t="s">
        <v>33</v>
      </c>
      <c r="F231" s="15">
        <v>660.61</v>
      </c>
      <c r="G231" s="15">
        <v>649</v>
      </c>
      <c r="H231" s="16">
        <v>-1.7600000000000001E-2</v>
      </c>
      <c r="I231" s="17">
        <v>461.91</v>
      </c>
      <c r="J231" s="17">
        <v>457.48</v>
      </c>
      <c r="K231" s="17">
        <f t="shared" si="15"/>
        <v>296904.52</v>
      </c>
      <c r="L231" s="15">
        <f t="shared" si="16"/>
        <v>0</v>
      </c>
      <c r="M231" s="16">
        <v>-9.5999999999999992E-3</v>
      </c>
      <c r="N231" s="16">
        <v>0.87</v>
      </c>
      <c r="O231" s="18">
        <v>0</v>
      </c>
      <c r="P231" s="18">
        <f t="shared" si="17"/>
        <v>564.63</v>
      </c>
      <c r="Q231" s="16">
        <v>0.86050000000000004</v>
      </c>
      <c r="R231" s="16">
        <v>1.5E-3</v>
      </c>
      <c r="S231" s="15">
        <v>17.71</v>
      </c>
      <c r="T231" s="15"/>
      <c r="U231" s="15"/>
      <c r="V231" s="15">
        <v>440.1</v>
      </c>
      <c r="W231" s="15">
        <v>424.63</v>
      </c>
      <c r="X231" s="15">
        <v>467.73</v>
      </c>
      <c r="Y231" s="15"/>
    </row>
    <row r="232" spans="2:25" x14ac:dyDescent="0.35">
      <c r="B232" s="13">
        <v>46227</v>
      </c>
      <c r="C232" s="13" t="str">
        <f t="shared" si="14"/>
        <v>Fri</v>
      </c>
      <c r="D232" s="14">
        <v>0.65625</v>
      </c>
      <c r="E232" s="14" t="s">
        <v>33</v>
      </c>
      <c r="F232" s="15">
        <v>642.13</v>
      </c>
      <c r="G232" s="15">
        <v>638</v>
      </c>
      <c r="H232" s="16">
        <v>-6.4000000000000003E-3</v>
      </c>
      <c r="I232" s="17">
        <v>464.83</v>
      </c>
      <c r="J232" s="17">
        <v>444.41</v>
      </c>
      <c r="K232" s="17">
        <f t="shared" si="15"/>
        <v>283533.58</v>
      </c>
      <c r="L232" s="15">
        <f t="shared" si="16"/>
        <v>0</v>
      </c>
      <c r="M232" s="16">
        <v>-4.3900000000000002E-2</v>
      </c>
      <c r="N232" s="16">
        <v>0.9</v>
      </c>
      <c r="O232" s="18">
        <v>0</v>
      </c>
      <c r="P232" s="18">
        <f t="shared" si="17"/>
        <v>574.20000000000005</v>
      </c>
      <c r="Q232" s="16">
        <v>0.88280000000000003</v>
      </c>
      <c r="R232" s="16">
        <v>1.0999999999999999E-2</v>
      </c>
      <c r="S232" s="15">
        <v>21.03</v>
      </c>
      <c r="T232" s="15"/>
      <c r="U232" s="15"/>
      <c r="V232" s="15">
        <v>431.49</v>
      </c>
      <c r="W232" s="15">
        <v>410.65</v>
      </c>
      <c r="X232" s="15">
        <v>466.67</v>
      </c>
      <c r="Y232" s="15"/>
    </row>
    <row r="233" spans="2:25" x14ac:dyDescent="0.35">
      <c r="B233" s="13">
        <v>46227</v>
      </c>
      <c r="C233" s="13" t="str">
        <f t="shared" si="14"/>
        <v>Fri</v>
      </c>
      <c r="D233" s="14">
        <v>0.66666666666666663</v>
      </c>
      <c r="E233" s="14" t="s">
        <v>33</v>
      </c>
      <c r="F233" s="15">
        <v>602.04999999999995</v>
      </c>
      <c r="G233" s="15">
        <v>640</v>
      </c>
      <c r="H233" s="16">
        <v>6.3E-2</v>
      </c>
      <c r="I233" s="17">
        <v>467.88</v>
      </c>
      <c r="J233" s="17">
        <v>438.02</v>
      </c>
      <c r="K233" s="17">
        <f t="shared" si="15"/>
        <v>280332.79999999999</v>
      </c>
      <c r="L233" s="15">
        <f t="shared" si="16"/>
        <v>0</v>
      </c>
      <c r="M233" s="16">
        <v>-6.3799999999999996E-2</v>
      </c>
      <c r="N233" s="16">
        <v>0.85</v>
      </c>
      <c r="O233" s="18">
        <v>0</v>
      </c>
      <c r="P233" s="18">
        <f t="shared" si="17"/>
        <v>544</v>
      </c>
      <c r="Q233" s="16">
        <v>0.91180000000000005</v>
      </c>
      <c r="R233" s="16">
        <v>9.4000000000000004E-3</v>
      </c>
      <c r="S233" s="15">
        <v>18.04</v>
      </c>
      <c r="T233" s="15"/>
      <c r="U233" s="15"/>
      <c r="V233" s="15">
        <v>409.59</v>
      </c>
      <c r="W233" s="15">
        <v>408.28</v>
      </c>
      <c r="X233" s="15">
        <v>460.73</v>
      </c>
      <c r="Y233" s="15"/>
    </row>
    <row r="234" spans="2:25" x14ac:dyDescent="0.35">
      <c r="B234" s="13">
        <v>46227</v>
      </c>
      <c r="C234" s="13" t="str">
        <f t="shared" si="14"/>
        <v>Fri</v>
      </c>
      <c r="D234" s="14">
        <v>0.67708333333333337</v>
      </c>
      <c r="E234" s="14" t="s">
        <v>33</v>
      </c>
      <c r="F234" s="15">
        <v>544.62</v>
      </c>
      <c r="G234" s="15">
        <v>540</v>
      </c>
      <c r="H234" s="16">
        <v>-8.5000000000000006E-3</v>
      </c>
      <c r="I234" s="17">
        <v>470.42</v>
      </c>
      <c r="J234" s="17">
        <v>460.04</v>
      </c>
      <c r="K234" s="17">
        <f t="shared" si="15"/>
        <v>248421.6</v>
      </c>
      <c r="L234" s="15">
        <f t="shared" si="16"/>
        <v>0</v>
      </c>
      <c r="M234" s="16">
        <v>-2.2100000000000002E-2</v>
      </c>
      <c r="N234" s="16">
        <v>0.82</v>
      </c>
      <c r="O234" s="18">
        <v>0</v>
      </c>
      <c r="P234" s="18">
        <f t="shared" si="17"/>
        <v>442.79999999999995</v>
      </c>
      <c r="Q234" s="16">
        <v>0.92100000000000004</v>
      </c>
      <c r="R234" s="16">
        <v>1.67E-2</v>
      </c>
      <c r="S234" s="15">
        <v>29.42</v>
      </c>
      <c r="T234" s="15"/>
      <c r="U234" s="15"/>
      <c r="V234" s="15">
        <v>376.07</v>
      </c>
      <c r="W234" s="15">
        <v>358.9</v>
      </c>
      <c r="X234" s="15">
        <v>429.47</v>
      </c>
      <c r="Y234" s="15"/>
    </row>
    <row r="235" spans="2:25" x14ac:dyDescent="0.35">
      <c r="B235" s="13">
        <v>46227</v>
      </c>
      <c r="C235" s="13" t="str">
        <f t="shared" si="14"/>
        <v>Fri</v>
      </c>
      <c r="D235" s="14">
        <v>0.6875</v>
      </c>
      <c r="E235" s="14" t="s">
        <v>33</v>
      </c>
      <c r="F235" s="15">
        <v>466.36</v>
      </c>
      <c r="G235" s="15">
        <v>476</v>
      </c>
      <c r="H235" s="16">
        <v>2.07E-2</v>
      </c>
      <c r="I235" s="17">
        <v>474.06</v>
      </c>
      <c r="J235" s="17">
        <v>469.78</v>
      </c>
      <c r="K235" s="17">
        <f t="shared" si="15"/>
        <v>223615.28</v>
      </c>
      <c r="L235" s="15">
        <f t="shared" si="16"/>
        <v>0</v>
      </c>
      <c r="M235" s="16">
        <v>-8.9999999999999993E-3</v>
      </c>
      <c r="N235" s="16">
        <v>0.81</v>
      </c>
      <c r="O235" s="18">
        <v>0</v>
      </c>
      <c r="P235" s="18">
        <f t="shared" si="17"/>
        <v>385.56</v>
      </c>
      <c r="Q235" s="16">
        <v>0.91669999999999996</v>
      </c>
      <c r="R235" s="16">
        <v>2.52E-2</v>
      </c>
      <c r="S235" s="15">
        <v>34.82</v>
      </c>
      <c r="T235" s="15"/>
      <c r="U235" s="15"/>
      <c r="V235" s="15">
        <v>329.91</v>
      </c>
      <c r="W235" s="15">
        <v>328.85</v>
      </c>
      <c r="X235" s="15">
        <v>373.27</v>
      </c>
      <c r="Y235" s="15"/>
    </row>
    <row r="236" spans="2:25" x14ac:dyDescent="0.35">
      <c r="B236" s="13">
        <v>46227</v>
      </c>
      <c r="C236" s="13" t="str">
        <f t="shared" si="14"/>
        <v>Fri</v>
      </c>
      <c r="D236" s="14">
        <v>0.69791666666666663</v>
      </c>
      <c r="E236" s="14" t="s">
        <v>33</v>
      </c>
      <c r="F236" s="15">
        <v>378.38</v>
      </c>
      <c r="G236" s="15">
        <v>430</v>
      </c>
      <c r="H236" s="16">
        <v>0.13639999999999999</v>
      </c>
      <c r="I236" s="17">
        <v>472.71</v>
      </c>
      <c r="J236" s="17">
        <v>472.48</v>
      </c>
      <c r="K236" s="17">
        <f t="shared" si="15"/>
        <v>203166.4</v>
      </c>
      <c r="L236" s="15">
        <f t="shared" si="16"/>
        <v>0</v>
      </c>
      <c r="M236" s="16">
        <v>-5.0000000000000001E-4</v>
      </c>
      <c r="N236" s="16">
        <v>0.72</v>
      </c>
      <c r="O236" s="18">
        <v>1</v>
      </c>
      <c r="P236" s="18">
        <f t="shared" si="17"/>
        <v>309.59999999999997</v>
      </c>
      <c r="Q236" s="16">
        <v>0.94510000000000005</v>
      </c>
      <c r="R236" s="16">
        <v>2.3300000000000001E-2</v>
      </c>
      <c r="S236" s="15">
        <v>39.950000000000003</v>
      </c>
      <c r="T236" s="15"/>
      <c r="U236" s="15"/>
      <c r="V236" s="15">
        <v>275.06</v>
      </c>
      <c r="W236" s="15">
        <v>296.68</v>
      </c>
      <c r="X236" s="15">
        <v>352.73</v>
      </c>
      <c r="Y236" s="15"/>
    </row>
    <row r="237" spans="2:25" x14ac:dyDescent="0.35">
      <c r="B237" s="13">
        <v>46227</v>
      </c>
      <c r="C237" s="13" t="str">
        <f t="shared" si="14"/>
        <v>Fri</v>
      </c>
      <c r="D237" s="14">
        <v>0.70833333333333337</v>
      </c>
      <c r="E237" s="14" t="s">
        <v>33</v>
      </c>
      <c r="F237" s="15">
        <v>273.63</v>
      </c>
      <c r="G237" s="15">
        <v>266</v>
      </c>
      <c r="H237" s="16">
        <v>-2.7900000000000001E-2</v>
      </c>
      <c r="I237" s="17">
        <v>475.93</v>
      </c>
      <c r="J237" s="17">
        <v>496.27</v>
      </c>
      <c r="K237" s="17">
        <f t="shared" si="15"/>
        <v>132007.82</v>
      </c>
      <c r="L237" s="15">
        <f t="shared" si="16"/>
        <v>1</v>
      </c>
      <c r="M237" s="16">
        <v>4.2700000000000002E-2</v>
      </c>
      <c r="N237" s="16">
        <v>0.78</v>
      </c>
      <c r="O237" s="18">
        <v>1</v>
      </c>
      <c r="P237" s="18">
        <f t="shared" si="17"/>
        <v>207.48000000000002</v>
      </c>
      <c r="Q237" s="16">
        <v>0.88970000000000005</v>
      </c>
      <c r="R237" s="16">
        <v>1.4999999999999999E-2</v>
      </c>
      <c r="S237" s="15">
        <v>25.41</v>
      </c>
      <c r="T237" s="15"/>
      <c r="U237" s="15"/>
      <c r="V237" s="15">
        <v>207.47</v>
      </c>
      <c r="W237" s="15">
        <v>208.77</v>
      </c>
      <c r="X237" s="15">
        <v>243.93</v>
      </c>
      <c r="Y237" s="15"/>
    </row>
    <row r="238" spans="2:25" x14ac:dyDescent="0.35">
      <c r="B238" s="13">
        <v>46227</v>
      </c>
      <c r="C238" s="13" t="str">
        <f t="shared" si="14"/>
        <v>Fri</v>
      </c>
      <c r="D238" s="14">
        <v>0.71875</v>
      </c>
      <c r="E238" s="14" t="s">
        <v>33</v>
      </c>
      <c r="F238" s="15">
        <v>207.34</v>
      </c>
      <c r="G238" s="15">
        <v>221</v>
      </c>
      <c r="H238" s="16">
        <v>6.59E-2</v>
      </c>
      <c r="I238" s="17">
        <v>479.31</v>
      </c>
      <c r="J238" s="17">
        <v>477.47</v>
      </c>
      <c r="K238" s="17">
        <f t="shared" si="15"/>
        <v>105520.87000000001</v>
      </c>
      <c r="L238" s="15">
        <f t="shared" si="16"/>
        <v>0</v>
      </c>
      <c r="M238" s="16">
        <v>-3.8E-3</v>
      </c>
      <c r="N238" s="16">
        <v>0.88</v>
      </c>
      <c r="O238" s="18">
        <v>0</v>
      </c>
      <c r="P238" s="18">
        <f t="shared" si="17"/>
        <v>194.48</v>
      </c>
      <c r="Q238" s="16">
        <v>0.92569999999999997</v>
      </c>
      <c r="R238" s="16">
        <v>8.9999999999999993E-3</v>
      </c>
      <c r="S238" s="15">
        <v>18.34</v>
      </c>
      <c r="T238" s="15"/>
      <c r="U238" s="15"/>
      <c r="V238" s="15">
        <v>165.36</v>
      </c>
      <c r="W238" s="15">
        <v>163.81</v>
      </c>
      <c r="X238" s="15">
        <v>227.2</v>
      </c>
      <c r="Y238" s="15"/>
    </row>
    <row r="239" spans="2:25" x14ac:dyDescent="0.35">
      <c r="B239" s="13">
        <v>46227</v>
      </c>
      <c r="C239" s="13" t="str">
        <f t="shared" si="14"/>
        <v>Fri</v>
      </c>
      <c r="D239" s="14">
        <v>0.72916666666666663</v>
      </c>
      <c r="E239" s="14" t="s">
        <v>33</v>
      </c>
      <c r="F239" s="15">
        <v>153.79</v>
      </c>
      <c r="G239" s="15">
        <v>184</v>
      </c>
      <c r="H239" s="16">
        <v>0.19639999999999999</v>
      </c>
      <c r="I239" s="17">
        <v>481.21</v>
      </c>
      <c r="J239" s="17">
        <v>491.37</v>
      </c>
      <c r="K239" s="17">
        <f t="shared" si="15"/>
        <v>90412.08</v>
      </c>
      <c r="L239" s="15">
        <f t="shared" si="16"/>
        <v>1</v>
      </c>
      <c r="M239" s="16">
        <v>2.1100000000000001E-2</v>
      </c>
      <c r="N239" s="16">
        <v>0.88</v>
      </c>
      <c r="O239" s="18">
        <v>0</v>
      </c>
      <c r="P239" s="18">
        <f t="shared" si="17"/>
        <v>161.91999999999999</v>
      </c>
      <c r="Q239" s="16">
        <v>0.9365</v>
      </c>
      <c r="R239" s="16">
        <v>1.09E-2</v>
      </c>
      <c r="S239" s="15">
        <v>23.02</v>
      </c>
      <c r="T239" s="15"/>
      <c r="U239" s="15"/>
      <c r="V239" s="15">
        <v>123.68</v>
      </c>
      <c r="W239" s="15">
        <v>146.61000000000001</v>
      </c>
      <c r="X239" s="15">
        <v>160.6</v>
      </c>
      <c r="Y239" s="15"/>
    </row>
    <row r="240" spans="2:25" x14ac:dyDescent="0.35">
      <c r="B240" s="13">
        <v>46227</v>
      </c>
      <c r="C240" s="13" t="str">
        <f t="shared" si="14"/>
        <v>Fri</v>
      </c>
      <c r="D240" s="14">
        <v>0.73958333333333337</v>
      </c>
      <c r="E240" s="14" t="s">
        <v>33</v>
      </c>
      <c r="F240" s="15">
        <v>129.18</v>
      </c>
      <c r="G240" s="15">
        <v>123</v>
      </c>
      <c r="H240" s="16">
        <v>-4.7800000000000002E-2</v>
      </c>
      <c r="I240" s="17">
        <v>480.64</v>
      </c>
      <c r="J240" s="17">
        <v>512.36</v>
      </c>
      <c r="K240" s="17">
        <f t="shared" si="15"/>
        <v>63020.28</v>
      </c>
      <c r="L240" s="15">
        <f t="shared" si="16"/>
        <v>1</v>
      </c>
      <c r="M240" s="16">
        <v>6.6000000000000003E-2</v>
      </c>
      <c r="N240" s="16">
        <v>0.91</v>
      </c>
      <c r="O240" s="18">
        <v>0</v>
      </c>
      <c r="P240" s="18">
        <f t="shared" si="17"/>
        <v>111.93</v>
      </c>
      <c r="Q240" s="16">
        <v>0.93820000000000003</v>
      </c>
      <c r="R240" s="16">
        <v>8.0999999999999996E-3</v>
      </c>
      <c r="S240" s="15">
        <v>27.85</v>
      </c>
      <c r="T240" s="15"/>
      <c r="U240" s="15"/>
      <c r="V240" s="15">
        <v>106.91</v>
      </c>
      <c r="W240" s="15">
        <v>104.62</v>
      </c>
      <c r="X240" s="15">
        <v>160.80000000000001</v>
      </c>
      <c r="Y240" s="15"/>
    </row>
    <row r="241" spans="2:25" x14ac:dyDescent="0.35">
      <c r="B241" s="13">
        <v>46227</v>
      </c>
      <c r="C241" s="13" t="str">
        <f t="shared" si="14"/>
        <v>Fri</v>
      </c>
      <c r="D241" s="14">
        <v>0.75</v>
      </c>
      <c r="E241" s="14" t="s">
        <v>33</v>
      </c>
      <c r="F241" s="15">
        <v>100.87</v>
      </c>
      <c r="G241" s="15">
        <v>88</v>
      </c>
      <c r="H241" s="16">
        <v>-0.12759999999999999</v>
      </c>
      <c r="I241" s="17">
        <v>481.16</v>
      </c>
      <c r="J241" s="17">
        <v>519.22</v>
      </c>
      <c r="K241" s="17">
        <f t="shared" si="15"/>
        <v>45691.360000000001</v>
      </c>
      <c r="L241" s="15">
        <f t="shared" si="16"/>
        <v>1</v>
      </c>
      <c r="M241" s="16">
        <v>7.9100000000000004E-2</v>
      </c>
      <c r="N241" s="16">
        <v>0.85</v>
      </c>
      <c r="O241" s="18">
        <v>0</v>
      </c>
      <c r="P241" s="18">
        <f t="shared" si="17"/>
        <v>74.8</v>
      </c>
      <c r="Q241" s="16">
        <v>0.93069999999999997</v>
      </c>
      <c r="R241" s="16">
        <v>3.4099999999999998E-2</v>
      </c>
      <c r="S241" s="15">
        <v>49.88</v>
      </c>
      <c r="T241" s="15"/>
      <c r="U241" s="15"/>
      <c r="V241" s="15">
        <v>86.47</v>
      </c>
      <c r="W241" s="15">
        <v>83.96</v>
      </c>
      <c r="X241" s="15">
        <v>145</v>
      </c>
      <c r="Y241" s="15"/>
    </row>
    <row r="242" spans="2:25" x14ac:dyDescent="0.35">
      <c r="B242" s="13">
        <v>46227</v>
      </c>
      <c r="C242" s="13" t="str">
        <f t="shared" si="14"/>
        <v>Fri</v>
      </c>
      <c r="D242" s="14">
        <v>0.76041666666666663</v>
      </c>
      <c r="E242" s="14" t="s">
        <v>33</v>
      </c>
      <c r="F242" s="15">
        <v>78.09</v>
      </c>
      <c r="G242" s="15">
        <v>99</v>
      </c>
      <c r="H242" s="16">
        <v>0.26769999999999999</v>
      </c>
      <c r="I242" s="17">
        <v>480.5</v>
      </c>
      <c r="J242" s="17">
        <v>553.62</v>
      </c>
      <c r="K242" s="17">
        <f t="shared" si="15"/>
        <v>54808.38</v>
      </c>
      <c r="L242" s="15">
        <f t="shared" si="16"/>
        <v>1</v>
      </c>
      <c r="M242" s="16">
        <v>0.1522</v>
      </c>
      <c r="N242" s="16">
        <v>0.82</v>
      </c>
      <c r="O242" s="18">
        <v>0</v>
      </c>
      <c r="P242" s="18">
        <f t="shared" si="17"/>
        <v>81.179999999999993</v>
      </c>
      <c r="Q242" s="16">
        <v>0.94569999999999999</v>
      </c>
      <c r="R242" s="16">
        <v>9.0899999999999995E-2</v>
      </c>
      <c r="S242" s="15">
        <v>71.2</v>
      </c>
      <c r="T242" s="15"/>
      <c r="U242" s="15"/>
      <c r="V242" s="15">
        <v>69.91</v>
      </c>
      <c r="W242" s="15">
        <v>106.02</v>
      </c>
      <c r="X242" s="15">
        <v>144</v>
      </c>
      <c r="Y242" s="15"/>
    </row>
    <row r="243" spans="2:25" x14ac:dyDescent="0.35">
      <c r="B243" s="13">
        <v>46227</v>
      </c>
      <c r="C243" s="13" t="str">
        <f t="shared" si="14"/>
        <v>Fri</v>
      </c>
      <c r="D243" s="14">
        <v>0.77083333333333337</v>
      </c>
      <c r="E243" s="14" t="s">
        <v>33</v>
      </c>
      <c r="F243" s="15">
        <v>61.81</v>
      </c>
      <c r="G243" s="15">
        <v>65</v>
      </c>
      <c r="H243" s="16">
        <v>5.1700000000000003E-2</v>
      </c>
      <c r="I243" s="17">
        <v>479.96</v>
      </c>
      <c r="J243" s="17">
        <v>512.11</v>
      </c>
      <c r="K243" s="17">
        <f t="shared" si="15"/>
        <v>33287.15</v>
      </c>
      <c r="L243" s="15">
        <f t="shared" si="16"/>
        <v>1</v>
      </c>
      <c r="M243" s="16">
        <v>6.7000000000000004E-2</v>
      </c>
      <c r="N243" s="16">
        <v>0.92</v>
      </c>
      <c r="O243" s="18">
        <v>0</v>
      </c>
      <c r="P243" s="18">
        <f t="shared" si="17"/>
        <v>59.800000000000004</v>
      </c>
      <c r="Q243" s="16">
        <v>0.9294</v>
      </c>
      <c r="R243" s="16">
        <v>6.1499999999999999E-2</v>
      </c>
      <c r="S243" s="15">
        <v>9.98</v>
      </c>
      <c r="T243" s="15"/>
      <c r="U243" s="15"/>
      <c r="V243" s="15">
        <v>57.8</v>
      </c>
      <c r="W243" s="15">
        <v>61.42</v>
      </c>
      <c r="X243" s="15">
        <v>104</v>
      </c>
      <c r="Y243" s="15"/>
    </row>
    <row r="244" spans="2:25" x14ac:dyDescent="0.35">
      <c r="B244" s="13">
        <v>46227</v>
      </c>
      <c r="C244" s="13" t="str">
        <f t="shared" si="14"/>
        <v>Fri</v>
      </c>
      <c r="D244" s="14">
        <v>0.78125</v>
      </c>
      <c r="E244" s="14" t="s">
        <v>33</v>
      </c>
      <c r="F244" s="15">
        <v>52.73</v>
      </c>
      <c r="G244" s="15">
        <v>40</v>
      </c>
      <c r="H244" s="16">
        <v>-0.2414</v>
      </c>
      <c r="I244" s="17">
        <v>477.43</v>
      </c>
      <c r="J244" s="17">
        <v>477.83</v>
      </c>
      <c r="K244" s="17">
        <f t="shared" si="15"/>
        <v>19113.2</v>
      </c>
      <c r="L244" s="15">
        <f t="shared" si="16"/>
        <v>1</v>
      </c>
      <c r="M244" s="16">
        <v>8.0000000000000004E-4</v>
      </c>
      <c r="N244" s="16">
        <v>0.85</v>
      </c>
      <c r="O244" s="18">
        <v>0</v>
      </c>
      <c r="P244" s="18">
        <f t="shared" si="17"/>
        <v>34</v>
      </c>
      <c r="Q244" s="16">
        <v>0.93130000000000002</v>
      </c>
      <c r="R244" s="16">
        <v>0</v>
      </c>
      <c r="S244" s="15">
        <v>46.65</v>
      </c>
      <c r="T244" s="15"/>
      <c r="U244" s="15"/>
      <c r="V244" s="15">
        <v>50.86</v>
      </c>
      <c r="W244" s="15">
        <v>33.74</v>
      </c>
      <c r="X244" s="15">
        <v>103</v>
      </c>
      <c r="Y244" s="15"/>
    </row>
    <row r="245" spans="2:25" x14ac:dyDescent="0.35">
      <c r="B245" s="13">
        <v>46228</v>
      </c>
      <c r="C245" s="13" t="str">
        <f t="shared" si="14"/>
        <v>Sat</v>
      </c>
      <c r="D245" s="14">
        <v>0.33333333333333331</v>
      </c>
      <c r="E245" s="14" t="s">
        <v>31</v>
      </c>
      <c r="F245" s="15">
        <v>70.62</v>
      </c>
      <c r="G245" s="15">
        <v>58</v>
      </c>
      <c r="H245" s="16">
        <v>-0.1787</v>
      </c>
      <c r="I245" s="17">
        <v>407.36</v>
      </c>
      <c r="J245" s="17">
        <v>397.47</v>
      </c>
      <c r="K245" s="17">
        <f t="shared" si="15"/>
        <v>23053.260000000002</v>
      </c>
      <c r="L245" s="15">
        <f t="shared" si="16"/>
        <v>0</v>
      </c>
      <c r="M245" s="16">
        <v>-2.4299999999999999E-2</v>
      </c>
      <c r="N245" s="16">
        <v>0.94</v>
      </c>
      <c r="O245" s="18">
        <v>0</v>
      </c>
      <c r="P245" s="18">
        <f t="shared" si="17"/>
        <v>54.519999999999996</v>
      </c>
      <c r="Q245" s="16">
        <v>0.95979999999999999</v>
      </c>
      <c r="R245" s="16">
        <v>1.72E-2</v>
      </c>
      <c r="S245" s="15">
        <v>9.44</v>
      </c>
      <c r="T245" s="15"/>
      <c r="U245" s="15"/>
      <c r="V245" s="15">
        <v>61.51</v>
      </c>
      <c r="W245" s="15">
        <v>46.82</v>
      </c>
      <c r="X245" s="15">
        <v>109</v>
      </c>
      <c r="Y245" s="15"/>
    </row>
    <row r="246" spans="2:25" x14ac:dyDescent="0.35">
      <c r="B246" s="13">
        <v>46228</v>
      </c>
      <c r="C246" s="13" t="str">
        <f t="shared" si="14"/>
        <v>Sat</v>
      </c>
      <c r="D246" s="14">
        <v>0.34375</v>
      </c>
      <c r="E246" s="14" t="s">
        <v>31</v>
      </c>
      <c r="F246" s="15">
        <v>72.010000000000005</v>
      </c>
      <c r="G246" s="15">
        <v>65</v>
      </c>
      <c r="H246" s="16">
        <v>-9.74E-2</v>
      </c>
      <c r="I246" s="17">
        <v>400.86</v>
      </c>
      <c r="J246" s="17">
        <v>398.63</v>
      </c>
      <c r="K246" s="17">
        <f t="shared" si="15"/>
        <v>25910.95</v>
      </c>
      <c r="L246" s="15">
        <f t="shared" si="16"/>
        <v>0</v>
      </c>
      <c r="M246" s="16">
        <v>-5.5999999999999999E-3</v>
      </c>
      <c r="N246" s="16">
        <v>0.89</v>
      </c>
      <c r="O246" s="18">
        <v>0</v>
      </c>
      <c r="P246" s="18">
        <f t="shared" si="17"/>
        <v>57.85</v>
      </c>
      <c r="Q246" s="16">
        <v>0.96030000000000004</v>
      </c>
      <c r="R246" s="16">
        <v>0</v>
      </c>
      <c r="S246" s="15">
        <v>36.54</v>
      </c>
      <c r="T246" s="15"/>
      <c r="U246" s="15"/>
      <c r="V246" s="15">
        <v>62</v>
      </c>
      <c r="W246" s="15">
        <v>51.85</v>
      </c>
      <c r="X246" s="15">
        <v>111.4</v>
      </c>
      <c r="Y246" s="15"/>
    </row>
    <row r="247" spans="2:25" x14ac:dyDescent="0.35">
      <c r="B247" s="13">
        <v>46228</v>
      </c>
      <c r="C247" s="13" t="str">
        <f t="shared" si="14"/>
        <v>Sat</v>
      </c>
      <c r="D247" s="14">
        <v>0.35416666666666669</v>
      </c>
      <c r="E247" s="14" t="s">
        <v>31</v>
      </c>
      <c r="F247" s="15">
        <v>76.42</v>
      </c>
      <c r="G247" s="15">
        <v>73</v>
      </c>
      <c r="H247" s="16">
        <v>-4.4699999999999997E-2</v>
      </c>
      <c r="I247" s="17">
        <v>400.84</v>
      </c>
      <c r="J247" s="17">
        <v>302.23</v>
      </c>
      <c r="K247" s="17">
        <f t="shared" si="15"/>
        <v>22062.79</v>
      </c>
      <c r="L247" s="15">
        <f t="shared" si="16"/>
        <v>0</v>
      </c>
      <c r="M247" s="16">
        <v>-0.246</v>
      </c>
      <c r="N247" s="16">
        <v>0.94</v>
      </c>
      <c r="O247" s="18">
        <v>0</v>
      </c>
      <c r="P247" s="18">
        <f t="shared" si="17"/>
        <v>68.61999999999999</v>
      </c>
      <c r="Q247" s="16">
        <v>0.95650000000000002</v>
      </c>
      <c r="R247" s="16">
        <v>0</v>
      </c>
      <c r="S247" s="15">
        <v>11.96</v>
      </c>
      <c r="T247" s="15"/>
      <c r="U247" s="15"/>
      <c r="V247" s="15">
        <v>64.94</v>
      </c>
      <c r="W247" s="15">
        <v>45.05</v>
      </c>
      <c r="X247" s="15">
        <v>113.2</v>
      </c>
      <c r="Y247" s="15"/>
    </row>
    <row r="248" spans="2:25" x14ac:dyDescent="0.35">
      <c r="B248" s="13">
        <v>46228</v>
      </c>
      <c r="C248" s="13" t="str">
        <f t="shared" si="14"/>
        <v>Sat</v>
      </c>
      <c r="D248" s="14">
        <v>0.36458333333333331</v>
      </c>
      <c r="E248" s="14" t="s">
        <v>31</v>
      </c>
      <c r="F248" s="15">
        <v>82.13</v>
      </c>
      <c r="G248" s="15">
        <v>71</v>
      </c>
      <c r="H248" s="16">
        <v>-0.13550000000000001</v>
      </c>
      <c r="I248" s="17">
        <v>398.02</v>
      </c>
      <c r="J248" s="17">
        <v>279.72000000000003</v>
      </c>
      <c r="K248" s="17">
        <f t="shared" si="15"/>
        <v>19860.120000000003</v>
      </c>
      <c r="L248" s="15">
        <f t="shared" si="16"/>
        <v>0</v>
      </c>
      <c r="M248" s="16">
        <v>-0.29720000000000002</v>
      </c>
      <c r="N248" s="16">
        <v>0.97</v>
      </c>
      <c r="O248" s="18">
        <v>0</v>
      </c>
      <c r="P248" s="18">
        <f t="shared" si="17"/>
        <v>68.87</v>
      </c>
      <c r="Q248" s="16">
        <v>0.93620000000000003</v>
      </c>
      <c r="R248" s="16">
        <v>0</v>
      </c>
      <c r="S248" s="15">
        <v>10.18</v>
      </c>
      <c r="T248" s="15"/>
      <c r="U248" s="15"/>
      <c r="V248" s="15">
        <v>68.010000000000005</v>
      </c>
      <c r="W248" s="15">
        <v>44.27</v>
      </c>
      <c r="X248" s="15">
        <v>103.87</v>
      </c>
      <c r="Y248" s="15"/>
    </row>
    <row r="249" spans="2:25" x14ac:dyDescent="0.35">
      <c r="B249" s="13">
        <v>46228</v>
      </c>
      <c r="C249" s="13" t="str">
        <f t="shared" si="14"/>
        <v>Sat</v>
      </c>
      <c r="D249" s="14">
        <v>0.375</v>
      </c>
      <c r="E249" s="14" t="s">
        <v>31</v>
      </c>
      <c r="F249" s="15">
        <v>92.86</v>
      </c>
      <c r="G249" s="15">
        <v>104</v>
      </c>
      <c r="H249" s="16">
        <v>0.12</v>
      </c>
      <c r="I249" s="17">
        <v>398.77</v>
      </c>
      <c r="J249" s="17">
        <v>358.23</v>
      </c>
      <c r="K249" s="17">
        <f t="shared" si="15"/>
        <v>37255.919999999998</v>
      </c>
      <c r="L249" s="15">
        <f t="shared" si="16"/>
        <v>0</v>
      </c>
      <c r="M249" s="16">
        <v>-0.1017</v>
      </c>
      <c r="N249" s="16">
        <v>0.95</v>
      </c>
      <c r="O249" s="18">
        <v>0</v>
      </c>
      <c r="P249" s="18">
        <f t="shared" si="17"/>
        <v>98.8</v>
      </c>
      <c r="Q249" s="16">
        <v>0.89449999999999996</v>
      </c>
      <c r="R249" s="16">
        <v>0</v>
      </c>
      <c r="S249" s="15">
        <v>12.48</v>
      </c>
      <c r="T249" s="15"/>
      <c r="U249" s="15"/>
      <c r="V249" s="15">
        <v>74.290000000000006</v>
      </c>
      <c r="W249" s="15">
        <v>67.849999999999994</v>
      </c>
      <c r="X249" s="15">
        <v>109.53</v>
      </c>
      <c r="Y249" s="15"/>
    </row>
    <row r="250" spans="2:25" x14ac:dyDescent="0.35">
      <c r="B250" s="13">
        <v>46228</v>
      </c>
      <c r="C250" s="13" t="str">
        <f t="shared" si="14"/>
        <v>Sat</v>
      </c>
      <c r="D250" s="14">
        <v>0.38541666666666669</v>
      </c>
      <c r="E250" s="14" t="s">
        <v>31</v>
      </c>
      <c r="F250" s="15">
        <v>103.3</v>
      </c>
      <c r="G250" s="15">
        <v>109</v>
      </c>
      <c r="H250" s="16">
        <v>5.5100000000000003E-2</v>
      </c>
      <c r="I250" s="17">
        <v>400.21</v>
      </c>
      <c r="J250" s="17">
        <v>374.27</v>
      </c>
      <c r="K250" s="17">
        <f t="shared" si="15"/>
        <v>40795.43</v>
      </c>
      <c r="L250" s="15">
        <f t="shared" si="16"/>
        <v>0</v>
      </c>
      <c r="M250" s="16">
        <v>-6.4799999999999996E-2</v>
      </c>
      <c r="N250" s="16">
        <v>0.94</v>
      </c>
      <c r="O250" s="18">
        <v>0</v>
      </c>
      <c r="P250" s="18">
        <f t="shared" si="17"/>
        <v>102.46</v>
      </c>
      <c r="Q250" s="16">
        <v>0.83209999999999995</v>
      </c>
      <c r="R250" s="16">
        <v>0</v>
      </c>
      <c r="S250" s="15">
        <v>10.31</v>
      </c>
      <c r="T250" s="15"/>
      <c r="U250" s="15"/>
      <c r="V250" s="15">
        <v>80.180000000000007</v>
      </c>
      <c r="W250" s="15">
        <v>75.06</v>
      </c>
      <c r="X250" s="15">
        <v>96.2</v>
      </c>
      <c r="Y250" s="15"/>
    </row>
    <row r="251" spans="2:25" x14ac:dyDescent="0.35">
      <c r="B251" s="13">
        <v>46228</v>
      </c>
      <c r="C251" s="13" t="str">
        <f t="shared" si="14"/>
        <v>Sat</v>
      </c>
      <c r="D251" s="14">
        <v>0.39583333333333331</v>
      </c>
      <c r="E251" s="14" t="s">
        <v>31</v>
      </c>
      <c r="F251" s="15">
        <v>110.17</v>
      </c>
      <c r="G251" s="15">
        <v>107</v>
      </c>
      <c r="H251" s="16">
        <v>-2.8799999999999999E-2</v>
      </c>
      <c r="I251" s="17">
        <v>401.24</v>
      </c>
      <c r="J251" s="17">
        <v>373.67</v>
      </c>
      <c r="K251" s="17">
        <f t="shared" si="15"/>
        <v>39982.69</v>
      </c>
      <c r="L251" s="15">
        <f t="shared" si="16"/>
        <v>0</v>
      </c>
      <c r="M251" s="16">
        <v>-6.8699999999999997E-2</v>
      </c>
      <c r="N251" s="16">
        <v>0.93</v>
      </c>
      <c r="O251" s="18">
        <v>0</v>
      </c>
      <c r="P251" s="18">
        <f t="shared" si="17"/>
        <v>99.51</v>
      </c>
      <c r="Q251" s="16">
        <v>0.83009999999999995</v>
      </c>
      <c r="R251" s="16">
        <v>9.2999999999999992E-3</v>
      </c>
      <c r="S251" s="15">
        <v>9.7799999999999994</v>
      </c>
      <c r="T251" s="15"/>
      <c r="U251" s="15"/>
      <c r="V251" s="15">
        <v>84.05</v>
      </c>
      <c r="W251" s="15">
        <v>71.069999999999993</v>
      </c>
      <c r="X251" s="15">
        <v>101</v>
      </c>
      <c r="Y251" s="15"/>
    </row>
    <row r="252" spans="2:25" x14ac:dyDescent="0.35">
      <c r="B252" s="13">
        <v>46228</v>
      </c>
      <c r="C252" s="13" t="str">
        <f t="shared" si="14"/>
        <v>Sat</v>
      </c>
      <c r="D252" s="14">
        <v>0.40625</v>
      </c>
      <c r="E252" s="14" t="s">
        <v>31</v>
      </c>
      <c r="F252" s="15">
        <v>113.84</v>
      </c>
      <c r="G252" s="15">
        <v>109</v>
      </c>
      <c r="H252" s="16">
        <v>-4.2500000000000003E-2</v>
      </c>
      <c r="I252" s="17">
        <v>403.11</v>
      </c>
      <c r="J252" s="17">
        <v>395.78</v>
      </c>
      <c r="K252" s="17">
        <f t="shared" si="15"/>
        <v>43140.02</v>
      </c>
      <c r="L252" s="15">
        <f t="shared" si="16"/>
        <v>0</v>
      </c>
      <c r="M252" s="16">
        <v>-1.8200000000000001E-2</v>
      </c>
      <c r="N252" s="16">
        <v>0.84</v>
      </c>
      <c r="O252" s="18">
        <v>0</v>
      </c>
      <c r="P252" s="18">
        <f t="shared" si="17"/>
        <v>91.56</v>
      </c>
      <c r="Q252" s="16">
        <v>0.80389999999999995</v>
      </c>
      <c r="R252" s="16">
        <v>1.83E-2</v>
      </c>
      <c r="S252" s="15">
        <v>30.66</v>
      </c>
      <c r="T252" s="15"/>
      <c r="U252" s="15"/>
      <c r="V252" s="15">
        <v>86.18</v>
      </c>
      <c r="W252" s="15">
        <v>73.23</v>
      </c>
      <c r="X252" s="15">
        <v>100.47</v>
      </c>
      <c r="Y252" s="15"/>
    </row>
    <row r="253" spans="2:25" x14ac:dyDescent="0.35">
      <c r="B253" s="13">
        <v>46228</v>
      </c>
      <c r="C253" s="13" t="str">
        <f t="shared" si="14"/>
        <v>Sat</v>
      </c>
      <c r="D253" s="14">
        <v>0.41666666666666669</v>
      </c>
      <c r="E253" s="14" t="s">
        <v>31</v>
      </c>
      <c r="F253" s="15">
        <v>118.09</v>
      </c>
      <c r="G253" s="15">
        <v>144</v>
      </c>
      <c r="H253" s="16">
        <v>0.21940000000000001</v>
      </c>
      <c r="I253" s="17">
        <v>409.91</v>
      </c>
      <c r="J253" s="17">
        <v>398.85</v>
      </c>
      <c r="K253" s="17">
        <f t="shared" si="15"/>
        <v>57434.400000000001</v>
      </c>
      <c r="L253" s="15">
        <f t="shared" si="16"/>
        <v>0</v>
      </c>
      <c r="M253" s="16">
        <v>-2.7E-2</v>
      </c>
      <c r="N253" s="16">
        <v>0.79</v>
      </c>
      <c r="O253" s="18">
        <v>1</v>
      </c>
      <c r="P253" s="18">
        <f t="shared" si="17"/>
        <v>113.76</v>
      </c>
      <c r="Q253" s="16">
        <v>0.81799999999999995</v>
      </c>
      <c r="R253" s="16">
        <v>6.8999999999999999E-3</v>
      </c>
      <c r="S253" s="15">
        <v>77.040000000000006</v>
      </c>
      <c r="T253" s="15"/>
      <c r="U253" s="15"/>
      <c r="V253" s="15">
        <v>89.49</v>
      </c>
      <c r="W253" s="15">
        <v>104.5</v>
      </c>
      <c r="X253" s="15">
        <v>103</v>
      </c>
      <c r="Y253" s="15"/>
    </row>
    <row r="254" spans="2:25" x14ac:dyDescent="0.35">
      <c r="B254" s="13">
        <v>46228</v>
      </c>
      <c r="C254" s="13" t="str">
        <f t="shared" si="14"/>
        <v>Sat</v>
      </c>
      <c r="D254" s="14">
        <v>0.42708333333333331</v>
      </c>
      <c r="E254" s="14" t="s">
        <v>31</v>
      </c>
      <c r="F254" s="15">
        <v>119.22</v>
      </c>
      <c r="G254" s="15">
        <v>118</v>
      </c>
      <c r="H254" s="16">
        <v>-1.0200000000000001E-2</v>
      </c>
      <c r="I254" s="17">
        <v>405.21</v>
      </c>
      <c r="J254" s="17">
        <v>452.14</v>
      </c>
      <c r="K254" s="17">
        <f t="shared" si="15"/>
        <v>53352.52</v>
      </c>
      <c r="L254" s="15">
        <f t="shared" si="16"/>
        <v>1</v>
      </c>
      <c r="M254" s="16">
        <v>0.1158</v>
      </c>
      <c r="N254" s="16">
        <v>0.79</v>
      </c>
      <c r="O254" s="18">
        <v>1</v>
      </c>
      <c r="P254" s="18">
        <f t="shared" si="17"/>
        <v>93.22</v>
      </c>
      <c r="Q254" s="16">
        <v>0.83420000000000005</v>
      </c>
      <c r="R254" s="16">
        <v>8.5000000000000006E-3</v>
      </c>
      <c r="S254" s="15">
        <v>58.44</v>
      </c>
      <c r="T254" s="15"/>
      <c r="U254" s="15"/>
      <c r="V254" s="15">
        <v>89.02</v>
      </c>
      <c r="W254" s="15">
        <v>95.29</v>
      </c>
      <c r="X254" s="15">
        <v>102</v>
      </c>
      <c r="Y254" s="15"/>
    </row>
    <row r="255" spans="2:25" x14ac:dyDescent="0.35">
      <c r="B255" s="13">
        <v>46228</v>
      </c>
      <c r="C255" s="13" t="str">
        <f t="shared" si="14"/>
        <v>Sat</v>
      </c>
      <c r="D255" s="14">
        <v>0.4375</v>
      </c>
      <c r="E255" s="14" t="s">
        <v>31</v>
      </c>
      <c r="F255" s="15">
        <v>122.11</v>
      </c>
      <c r="G255" s="15">
        <v>125</v>
      </c>
      <c r="H255" s="16">
        <v>2.3699999999999999E-2</v>
      </c>
      <c r="I255" s="17">
        <v>412.09</v>
      </c>
      <c r="J255" s="17">
        <v>500.68</v>
      </c>
      <c r="K255" s="17">
        <f t="shared" si="15"/>
        <v>62585</v>
      </c>
      <c r="L255" s="15">
        <f t="shared" si="16"/>
        <v>1</v>
      </c>
      <c r="M255" s="16">
        <v>0.215</v>
      </c>
      <c r="N255" s="16">
        <v>0.72</v>
      </c>
      <c r="O255" s="18">
        <v>1</v>
      </c>
      <c r="P255" s="18">
        <f t="shared" si="17"/>
        <v>90</v>
      </c>
      <c r="Q255" s="16">
        <v>0.83499999999999996</v>
      </c>
      <c r="R255" s="16">
        <v>9.6000000000000002E-2</v>
      </c>
      <c r="S255" s="15">
        <v>64.099999999999994</v>
      </c>
      <c r="T255" s="15"/>
      <c r="U255" s="15"/>
      <c r="V255" s="15">
        <v>92.03</v>
      </c>
      <c r="W255" s="15">
        <v>104.86</v>
      </c>
      <c r="X255" s="15">
        <v>106</v>
      </c>
      <c r="Y255" s="15"/>
    </row>
    <row r="256" spans="2:25" x14ac:dyDescent="0.35">
      <c r="B256" s="13">
        <v>46228</v>
      </c>
      <c r="C256" s="13" t="str">
        <f t="shared" si="14"/>
        <v>Sat</v>
      </c>
      <c r="D256" s="14">
        <v>0.44791666666666669</v>
      </c>
      <c r="E256" s="14" t="s">
        <v>31</v>
      </c>
      <c r="F256" s="15">
        <v>121.35</v>
      </c>
      <c r="G256" s="15">
        <v>144</v>
      </c>
      <c r="H256" s="16">
        <v>0.1867</v>
      </c>
      <c r="I256" s="17">
        <v>410.87</v>
      </c>
      <c r="J256" s="17">
        <v>542.54999999999995</v>
      </c>
      <c r="K256" s="17">
        <f t="shared" si="15"/>
        <v>78127.199999999997</v>
      </c>
      <c r="L256" s="15">
        <f t="shared" si="16"/>
        <v>1</v>
      </c>
      <c r="M256" s="16">
        <v>0.32050000000000001</v>
      </c>
      <c r="N256" s="16">
        <v>0.55000000000000004</v>
      </c>
      <c r="O256" s="18">
        <v>1</v>
      </c>
      <c r="P256" s="18">
        <f t="shared" si="17"/>
        <v>79.2</v>
      </c>
      <c r="Q256" s="16">
        <v>0.8458</v>
      </c>
      <c r="R256" s="16">
        <v>0.13189999999999999</v>
      </c>
      <c r="S256" s="15">
        <v>92.89</v>
      </c>
      <c r="T256" s="15"/>
      <c r="U256" s="15"/>
      <c r="V256" s="15">
        <v>91.46</v>
      </c>
      <c r="W256" s="15">
        <v>130.13</v>
      </c>
      <c r="X256" s="15">
        <v>109.53</v>
      </c>
      <c r="Y256" s="15"/>
    </row>
    <row r="257" spans="2:25" x14ac:dyDescent="0.35">
      <c r="B257" s="13">
        <v>46228</v>
      </c>
      <c r="C257" s="13" t="str">
        <f t="shared" si="14"/>
        <v>Sat</v>
      </c>
      <c r="D257" s="14">
        <v>0.45833333333333331</v>
      </c>
      <c r="E257" s="14" t="s">
        <v>31</v>
      </c>
      <c r="F257" s="15">
        <v>119.45</v>
      </c>
      <c r="G257" s="15">
        <v>139</v>
      </c>
      <c r="H257" s="16">
        <v>0.16370000000000001</v>
      </c>
      <c r="I257" s="17">
        <v>410.01</v>
      </c>
      <c r="J257" s="17">
        <v>436.39</v>
      </c>
      <c r="K257" s="17">
        <f t="shared" si="15"/>
        <v>60658.21</v>
      </c>
      <c r="L257" s="15">
        <f t="shared" si="16"/>
        <v>1</v>
      </c>
      <c r="M257" s="16">
        <v>6.4399999999999999E-2</v>
      </c>
      <c r="N257" s="16">
        <v>0.54</v>
      </c>
      <c r="O257" s="18">
        <v>1</v>
      </c>
      <c r="P257" s="18">
        <f t="shared" si="17"/>
        <v>75.06</v>
      </c>
      <c r="Q257" s="16">
        <v>0.85609999999999997</v>
      </c>
      <c r="R257" s="16">
        <v>7.9100000000000004E-2</v>
      </c>
      <c r="S257" s="15">
        <v>56.46</v>
      </c>
      <c r="T257" s="15"/>
      <c r="U257" s="15"/>
      <c r="V257" s="15">
        <v>90.29</v>
      </c>
      <c r="W257" s="15">
        <v>103.83</v>
      </c>
      <c r="X257" s="15">
        <v>111</v>
      </c>
      <c r="Y257" s="15"/>
    </row>
    <row r="258" spans="2:25" x14ac:dyDescent="0.35">
      <c r="B258" s="13">
        <v>46228</v>
      </c>
      <c r="C258" s="13" t="str">
        <f t="shared" si="14"/>
        <v>Sat</v>
      </c>
      <c r="D258" s="14">
        <v>0.46875</v>
      </c>
      <c r="E258" s="14" t="s">
        <v>31</v>
      </c>
      <c r="F258" s="15">
        <v>115.78</v>
      </c>
      <c r="G258" s="15">
        <v>129</v>
      </c>
      <c r="H258" s="16">
        <v>0.11409999999999999</v>
      </c>
      <c r="I258" s="17">
        <v>410.56</v>
      </c>
      <c r="J258" s="17">
        <v>429.36</v>
      </c>
      <c r="K258" s="17">
        <f t="shared" si="15"/>
        <v>55387.44</v>
      </c>
      <c r="L258" s="15">
        <f t="shared" si="16"/>
        <v>1</v>
      </c>
      <c r="M258" s="16">
        <v>4.58E-2</v>
      </c>
      <c r="N258" s="16">
        <v>0.79</v>
      </c>
      <c r="O258" s="18">
        <v>1</v>
      </c>
      <c r="P258" s="18">
        <f t="shared" si="17"/>
        <v>101.91000000000001</v>
      </c>
      <c r="Q258" s="16">
        <v>0.85089999999999999</v>
      </c>
      <c r="R258" s="16">
        <v>1.55E-2</v>
      </c>
      <c r="S258" s="15">
        <v>31.71</v>
      </c>
      <c r="T258" s="15"/>
      <c r="U258" s="15"/>
      <c r="V258" s="15">
        <v>88.28</v>
      </c>
      <c r="W258" s="15">
        <v>98.88</v>
      </c>
      <c r="X258" s="15">
        <v>114.47</v>
      </c>
      <c r="Y258" s="15"/>
    </row>
    <row r="259" spans="2:25" x14ac:dyDescent="0.35">
      <c r="B259" s="13">
        <v>46228</v>
      </c>
      <c r="C259" s="13" t="str">
        <f t="shared" si="14"/>
        <v>Sat</v>
      </c>
      <c r="D259" s="14">
        <v>0.47916666666666669</v>
      </c>
      <c r="E259" s="14" t="s">
        <v>31</v>
      </c>
      <c r="F259" s="15">
        <v>113.54</v>
      </c>
      <c r="G259" s="15">
        <v>117</v>
      </c>
      <c r="H259" s="16">
        <v>3.0499999999999999E-2</v>
      </c>
      <c r="I259" s="17">
        <v>404.4</v>
      </c>
      <c r="J259" s="17">
        <v>418.83</v>
      </c>
      <c r="K259" s="17">
        <f t="shared" si="15"/>
        <v>49003.11</v>
      </c>
      <c r="L259" s="15">
        <f t="shared" si="16"/>
        <v>1</v>
      </c>
      <c r="M259" s="16">
        <v>3.5700000000000003E-2</v>
      </c>
      <c r="N259" s="16">
        <v>0.83</v>
      </c>
      <c r="O259" s="18">
        <v>0</v>
      </c>
      <c r="P259" s="18">
        <f t="shared" si="17"/>
        <v>97.11</v>
      </c>
      <c r="Q259" s="16">
        <v>0.84530000000000005</v>
      </c>
      <c r="R259" s="16">
        <v>2.5600000000000001E-2</v>
      </c>
      <c r="S259" s="15">
        <v>28.19</v>
      </c>
      <c r="T259" s="15"/>
      <c r="U259" s="15"/>
      <c r="V259" s="15">
        <v>86.04</v>
      </c>
      <c r="W259" s="15">
        <v>82.31</v>
      </c>
      <c r="X259" s="15">
        <v>106</v>
      </c>
      <c r="Y259" s="15"/>
    </row>
    <row r="260" spans="2:25" x14ac:dyDescent="0.35">
      <c r="B260" s="13">
        <v>46228</v>
      </c>
      <c r="C260" s="13" t="str">
        <f t="shared" si="14"/>
        <v>Sat</v>
      </c>
      <c r="D260" s="14">
        <v>0.48958333333333331</v>
      </c>
      <c r="E260" s="14" t="s">
        <v>31</v>
      </c>
      <c r="F260" s="15">
        <v>111.25</v>
      </c>
      <c r="G260" s="15">
        <v>121</v>
      </c>
      <c r="H260" s="16">
        <v>8.7599999999999997E-2</v>
      </c>
      <c r="I260" s="17">
        <v>406.09</v>
      </c>
      <c r="J260" s="17">
        <v>427.57</v>
      </c>
      <c r="K260" s="17">
        <f t="shared" si="15"/>
        <v>51735.97</v>
      </c>
      <c r="L260" s="15">
        <f t="shared" si="16"/>
        <v>1</v>
      </c>
      <c r="M260" s="16">
        <v>5.2900000000000003E-2</v>
      </c>
      <c r="N260" s="16">
        <v>0.77</v>
      </c>
      <c r="O260" s="18">
        <v>1</v>
      </c>
      <c r="P260" s="18">
        <f t="shared" si="17"/>
        <v>93.17</v>
      </c>
      <c r="Q260" s="16">
        <v>0.77180000000000004</v>
      </c>
      <c r="R260" s="16">
        <v>3.3099999999999997E-2</v>
      </c>
      <c r="S260" s="15">
        <v>34.590000000000003</v>
      </c>
      <c r="T260" s="15"/>
      <c r="U260" s="15"/>
      <c r="V260" s="15">
        <v>84.59</v>
      </c>
      <c r="W260" s="15">
        <v>90.16</v>
      </c>
      <c r="X260" s="15">
        <v>101</v>
      </c>
      <c r="Y260" s="15"/>
    </row>
    <row r="261" spans="2:25" x14ac:dyDescent="0.35">
      <c r="B261" s="13">
        <v>46228</v>
      </c>
      <c r="C261" s="13" t="str">
        <f t="shared" si="14"/>
        <v>Sat</v>
      </c>
      <c r="D261" s="14">
        <v>0.5</v>
      </c>
      <c r="E261" s="14" t="s">
        <v>32</v>
      </c>
      <c r="F261" s="15">
        <v>105.19</v>
      </c>
      <c r="G261" s="15">
        <v>112</v>
      </c>
      <c r="H261" s="16">
        <v>6.4699999999999994E-2</v>
      </c>
      <c r="I261" s="17">
        <v>410.95</v>
      </c>
      <c r="J261" s="17">
        <v>438.86</v>
      </c>
      <c r="K261" s="17">
        <f t="shared" si="15"/>
        <v>49152.32</v>
      </c>
      <c r="L261" s="15">
        <f t="shared" si="16"/>
        <v>1</v>
      </c>
      <c r="M261" s="16">
        <v>6.7900000000000002E-2</v>
      </c>
      <c r="N261" s="16">
        <v>0.84</v>
      </c>
      <c r="O261" s="18">
        <v>0</v>
      </c>
      <c r="P261" s="18">
        <f t="shared" si="17"/>
        <v>94.08</v>
      </c>
      <c r="Q261" s="16">
        <v>0.80869999999999997</v>
      </c>
      <c r="R261" s="16">
        <v>3.5700000000000003E-2</v>
      </c>
      <c r="S261" s="15">
        <v>24.78</v>
      </c>
      <c r="T261" s="15"/>
      <c r="U261" s="15"/>
      <c r="V261" s="15">
        <v>80.260000000000005</v>
      </c>
      <c r="W261" s="15">
        <v>85.43</v>
      </c>
      <c r="X261" s="15">
        <v>96</v>
      </c>
      <c r="Y261" s="15"/>
    </row>
    <row r="262" spans="2:25" x14ac:dyDescent="0.35">
      <c r="B262" s="13">
        <v>46228</v>
      </c>
      <c r="C262" s="13" t="str">
        <f t="shared" ref="C262:C314" si="18">TEXT(B262,"DDD")</f>
        <v>Sat</v>
      </c>
      <c r="D262" s="14">
        <v>0.51041666666666663</v>
      </c>
      <c r="E262" s="14" t="s">
        <v>32</v>
      </c>
      <c r="F262" s="15">
        <v>101.9</v>
      </c>
      <c r="G262" s="15">
        <v>111</v>
      </c>
      <c r="H262" s="16">
        <v>8.9300000000000004E-2</v>
      </c>
      <c r="I262" s="17">
        <v>410.66</v>
      </c>
      <c r="J262" s="17">
        <v>412.28</v>
      </c>
      <c r="K262" s="17">
        <f t="shared" ref="K262:K314" si="19">J262*G262</f>
        <v>45763.079999999994</v>
      </c>
      <c r="L262" s="15">
        <f t="shared" ref="L262:L314" si="20">IF(J262&gt;I262,1,0)</f>
        <v>1</v>
      </c>
      <c r="M262" s="16">
        <v>3.8999999999999998E-3</v>
      </c>
      <c r="N262" s="16">
        <v>0.96</v>
      </c>
      <c r="O262" s="18">
        <v>0</v>
      </c>
      <c r="P262" s="18">
        <f t="shared" ref="P262:P314" si="21">N262*G262</f>
        <v>106.56</v>
      </c>
      <c r="Q262" s="16">
        <v>0.8387</v>
      </c>
      <c r="R262" s="16">
        <v>0</v>
      </c>
      <c r="S262" s="15">
        <v>9.6300000000000008</v>
      </c>
      <c r="T262" s="15"/>
      <c r="U262" s="15"/>
      <c r="V262" s="15">
        <v>78.19</v>
      </c>
      <c r="W262" s="15">
        <v>79.22</v>
      </c>
      <c r="X262" s="15">
        <v>91</v>
      </c>
      <c r="Y262" s="15"/>
    </row>
    <row r="263" spans="2:25" x14ac:dyDescent="0.35">
      <c r="B263" s="13">
        <v>46228</v>
      </c>
      <c r="C263" s="13" t="str">
        <f t="shared" si="18"/>
        <v>Sat</v>
      </c>
      <c r="D263" s="14">
        <v>0.52083333333333337</v>
      </c>
      <c r="E263" s="14" t="s">
        <v>32</v>
      </c>
      <c r="F263" s="15">
        <v>99.09</v>
      </c>
      <c r="G263" s="15">
        <v>81</v>
      </c>
      <c r="H263" s="16">
        <v>-0.18260000000000001</v>
      </c>
      <c r="I263" s="17">
        <v>412.11</v>
      </c>
      <c r="J263" s="17">
        <v>456.89</v>
      </c>
      <c r="K263" s="17">
        <f t="shared" si="19"/>
        <v>37008.089999999997</v>
      </c>
      <c r="L263" s="15">
        <f t="shared" si="20"/>
        <v>1</v>
      </c>
      <c r="M263" s="16">
        <v>0.1087</v>
      </c>
      <c r="N263" s="16">
        <v>0.74</v>
      </c>
      <c r="O263" s="18">
        <v>1</v>
      </c>
      <c r="P263" s="18">
        <f t="shared" si="21"/>
        <v>59.94</v>
      </c>
      <c r="Q263" s="16">
        <v>0.83599999999999997</v>
      </c>
      <c r="R263" s="16">
        <v>6.1699999999999998E-2</v>
      </c>
      <c r="S263" s="15">
        <v>49.43</v>
      </c>
      <c r="T263" s="15"/>
      <c r="U263" s="15"/>
      <c r="V263" s="15">
        <v>76.760000000000005</v>
      </c>
      <c r="W263" s="15">
        <v>67.430000000000007</v>
      </c>
      <c r="X263" s="15">
        <v>91</v>
      </c>
      <c r="Y263" s="15"/>
    </row>
    <row r="264" spans="2:25" x14ac:dyDescent="0.35">
      <c r="B264" s="13">
        <v>46228</v>
      </c>
      <c r="C264" s="13" t="str">
        <f t="shared" si="18"/>
        <v>Sat</v>
      </c>
      <c r="D264" s="14">
        <v>0.53125</v>
      </c>
      <c r="E264" s="14" t="s">
        <v>32</v>
      </c>
      <c r="F264" s="15">
        <v>93.47</v>
      </c>
      <c r="G264" s="15">
        <v>76</v>
      </c>
      <c r="H264" s="16">
        <v>-0.18690000000000001</v>
      </c>
      <c r="I264" s="17">
        <v>415.81</v>
      </c>
      <c r="J264" s="17">
        <v>426.49</v>
      </c>
      <c r="K264" s="17">
        <f t="shared" si="19"/>
        <v>32413.24</v>
      </c>
      <c r="L264" s="15">
        <f t="shared" si="20"/>
        <v>1</v>
      </c>
      <c r="M264" s="16">
        <v>2.5700000000000001E-2</v>
      </c>
      <c r="N264" s="16">
        <v>0.92</v>
      </c>
      <c r="O264" s="18">
        <v>0</v>
      </c>
      <c r="P264" s="18">
        <f t="shared" si="21"/>
        <v>69.92</v>
      </c>
      <c r="Q264" s="16">
        <v>0.79039999999999999</v>
      </c>
      <c r="R264" s="16">
        <v>2.63E-2</v>
      </c>
      <c r="S264" s="15">
        <v>11.99</v>
      </c>
      <c r="T264" s="15"/>
      <c r="U264" s="15"/>
      <c r="V264" s="15">
        <v>74.2</v>
      </c>
      <c r="W264" s="15">
        <v>62.57</v>
      </c>
      <c r="X264" s="15">
        <v>82</v>
      </c>
      <c r="Y264" s="15"/>
    </row>
    <row r="265" spans="2:25" x14ac:dyDescent="0.35">
      <c r="B265" s="13">
        <v>46228</v>
      </c>
      <c r="C265" s="13" t="str">
        <f t="shared" si="18"/>
        <v>Sat</v>
      </c>
      <c r="D265" s="14">
        <v>0.54166666666666663</v>
      </c>
      <c r="E265" s="14" t="s">
        <v>32</v>
      </c>
      <c r="F265" s="15">
        <v>87.82</v>
      </c>
      <c r="G265" s="15">
        <v>109</v>
      </c>
      <c r="H265" s="16">
        <v>0.2412</v>
      </c>
      <c r="I265" s="17">
        <v>417.12</v>
      </c>
      <c r="J265" s="17">
        <v>426.81</v>
      </c>
      <c r="K265" s="17">
        <f t="shared" si="19"/>
        <v>46522.29</v>
      </c>
      <c r="L265" s="15">
        <f t="shared" si="20"/>
        <v>1</v>
      </c>
      <c r="M265" s="16">
        <v>2.3199999999999998E-2</v>
      </c>
      <c r="N265" s="16">
        <v>0.73</v>
      </c>
      <c r="O265" s="18">
        <v>1</v>
      </c>
      <c r="P265" s="18">
        <f t="shared" si="21"/>
        <v>79.569999999999993</v>
      </c>
      <c r="Q265" s="16">
        <v>0.75219999999999998</v>
      </c>
      <c r="R265" s="16">
        <v>2.75E-2</v>
      </c>
      <c r="S265" s="15">
        <v>23.94</v>
      </c>
      <c r="T265" s="15"/>
      <c r="U265" s="15"/>
      <c r="V265" s="15">
        <v>71.28</v>
      </c>
      <c r="W265" s="15">
        <v>87.06</v>
      </c>
      <c r="X265" s="15">
        <v>77</v>
      </c>
      <c r="Y265" s="15"/>
    </row>
    <row r="266" spans="2:25" x14ac:dyDescent="0.35">
      <c r="B266" s="13">
        <v>46228</v>
      </c>
      <c r="C266" s="13" t="str">
        <f t="shared" si="18"/>
        <v>Sat</v>
      </c>
      <c r="D266" s="14">
        <v>0.55208333333333337</v>
      </c>
      <c r="E266" s="14" t="s">
        <v>32</v>
      </c>
      <c r="F266" s="15">
        <v>83.66</v>
      </c>
      <c r="G266" s="15">
        <v>100</v>
      </c>
      <c r="H266" s="16">
        <v>0.19539999999999999</v>
      </c>
      <c r="I266" s="17">
        <v>420.35</v>
      </c>
      <c r="J266" s="17">
        <v>397.5</v>
      </c>
      <c r="K266" s="17">
        <f t="shared" si="19"/>
        <v>39750</v>
      </c>
      <c r="L266" s="15">
        <f t="shared" si="20"/>
        <v>0</v>
      </c>
      <c r="M266" s="16">
        <v>-5.4399999999999997E-2</v>
      </c>
      <c r="N266" s="16">
        <v>0.84</v>
      </c>
      <c r="O266" s="18">
        <v>0</v>
      </c>
      <c r="P266" s="18">
        <f t="shared" si="21"/>
        <v>84</v>
      </c>
      <c r="Q266" s="16">
        <v>0.81879999999999997</v>
      </c>
      <c r="R266" s="16">
        <v>0</v>
      </c>
      <c r="S266" s="15">
        <v>21.59</v>
      </c>
      <c r="T266" s="15"/>
      <c r="U266" s="15"/>
      <c r="V266" s="15">
        <v>69.44</v>
      </c>
      <c r="W266" s="15">
        <v>68.040000000000006</v>
      </c>
      <c r="X266" s="15">
        <v>85</v>
      </c>
      <c r="Y266" s="15"/>
    </row>
    <row r="267" spans="2:25" x14ac:dyDescent="0.35">
      <c r="B267" s="13">
        <v>46228</v>
      </c>
      <c r="C267" s="13" t="str">
        <f t="shared" si="18"/>
        <v>Sat</v>
      </c>
      <c r="D267" s="14">
        <v>0.5625</v>
      </c>
      <c r="E267" s="14" t="s">
        <v>32</v>
      </c>
      <c r="F267" s="15">
        <v>80.459999999999994</v>
      </c>
      <c r="G267" s="15">
        <v>84</v>
      </c>
      <c r="H267" s="16">
        <v>4.3900000000000002E-2</v>
      </c>
      <c r="I267" s="17">
        <v>425.68</v>
      </c>
      <c r="J267" s="17">
        <v>421.67</v>
      </c>
      <c r="K267" s="17">
        <f t="shared" si="19"/>
        <v>35420.28</v>
      </c>
      <c r="L267" s="15">
        <f t="shared" si="20"/>
        <v>0</v>
      </c>
      <c r="M267" s="16">
        <v>-9.4000000000000004E-3</v>
      </c>
      <c r="N267" s="16">
        <v>0.8</v>
      </c>
      <c r="O267" s="18">
        <v>0</v>
      </c>
      <c r="P267" s="18">
        <f t="shared" si="21"/>
        <v>67.2</v>
      </c>
      <c r="Q267" s="16">
        <v>0.84940000000000004</v>
      </c>
      <c r="R267" s="16">
        <v>0</v>
      </c>
      <c r="S267" s="15">
        <v>24.01</v>
      </c>
      <c r="T267" s="15"/>
      <c r="U267" s="15"/>
      <c r="V267" s="15">
        <v>67.55</v>
      </c>
      <c r="W267" s="15">
        <v>66.87</v>
      </c>
      <c r="X267" s="15">
        <v>99.67</v>
      </c>
      <c r="Y267" s="15"/>
    </row>
    <row r="268" spans="2:25" x14ac:dyDescent="0.35">
      <c r="B268" s="13">
        <v>46228</v>
      </c>
      <c r="C268" s="13" t="str">
        <f t="shared" si="18"/>
        <v>Sat</v>
      </c>
      <c r="D268" s="14">
        <v>0.57291666666666663</v>
      </c>
      <c r="E268" s="14" t="s">
        <v>32</v>
      </c>
      <c r="F268" s="15">
        <v>74.239999999999995</v>
      </c>
      <c r="G268" s="15">
        <v>80</v>
      </c>
      <c r="H268" s="16">
        <v>7.7600000000000002E-2</v>
      </c>
      <c r="I268" s="17">
        <v>421.11</v>
      </c>
      <c r="J268" s="17">
        <v>404.79</v>
      </c>
      <c r="K268" s="17">
        <f t="shared" si="19"/>
        <v>32383.200000000001</v>
      </c>
      <c r="L268" s="15">
        <f t="shared" si="20"/>
        <v>0</v>
      </c>
      <c r="M268" s="16">
        <v>-3.8800000000000001E-2</v>
      </c>
      <c r="N268" s="16">
        <v>0.96</v>
      </c>
      <c r="O268" s="18">
        <v>0</v>
      </c>
      <c r="P268" s="18">
        <f t="shared" si="21"/>
        <v>76.8</v>
      </c>
      <c r="Q268" s="16">
        <v>0.91459999999999997</v>
      </c>
      <c r="R268" s="16">
        <v>0</v>
      </c>
      <c r="S268" s="15">
        <v>10.88</v>
      </c>
      <c r="T268" s="15"/>
      <c r="U268" s="15"/>
      <c r="V268" s="15">
        <v>63.3</v>
      </c>
      <c r="W268" s="15">
        <v>62.69</v>
      </c>
      <c r="X268" s="15">
        <v>106</v>
      </c>
      <c r="Y268" s="15"/>
    </row>
    <row r="269" spans="2:25" x14ac:dyDescent="0.35">
      <c r="B269" s="13">
        <v>46228</v>
      </c>
      <c r="C269" s="13" t="str">
        <f t="shared" si="18"/>
        <v>Sat</v>
      </c>
      <c r="D269" s="14">
        <v>0.58333333333333337</v>
      </c>
      <c r="E269" s="14" t="s">
        <v>32</v>
      </c>
      <c r="F269" s="15">
        <v>67.95</v>
      </c>
      <c r="G269" s="15">
        <v>65</v>
      </c>
      <c r="H269" s="16">
        <v>-4.3499999999999997E-2</v>
      </c>
      <c r="I269" s="17">
        <v>422.35</v>
      </c>
      <c r="J269" s="17">
        <v>453.86</v>
      </c>
      <c r="K269" s="17">
        <f t="shared" si="19"/>
        <v>29500.9</v>
      </c>
      <c r="L269" s="15">
        <f t="shared" si="20"/>
        <v>1</v>
      </c>
      <c r="M269" s="16">
        <v>7.46E-2</v>
      </c>
      <c r="N269" s="16">
        <v>0.92</v>
      </c>
      <c r="O269" s="18">
        <v>0</v>
      </c>
      <c r="P269" s="18">
        <f t="shared" si="21"/>
        <v>59.800000000000004</v>
      </c>
      <c r="Q269" s="16">
        <v>0.92759999999999998</v>
      </c>
      <c r="R269" s="16">
        <v>0</v>
      </c>
      <c r="S269" s="15">
        <v>11.26</v>
      </c>
      <c r="T269" s="15"/>
      <c r="U269" s="15"/>
      <c r="V269" s="15">
        <v>59.7</v>
      </c>
      <c r="W269" s="15">
        <v>56.96</v>
      </c>
      <c r="X269" s="15">
        <v>101</v>
      </c>
      <c r="Y269" s="15"/>
    </row>
    <row r="270" spans="2:25" x14ac:dyDescent="0.35">
      <c r="B270" s="13">
        <v>46228</v>
      </c>
      <c r="C270" s="13" t="str">
        <f t="shared" si="18"/>
        <v>Sat</v>
      </c>
      <c r="D270" s="14">
        <v>0.59375</v>
      </c>
      <c r="E270" s="14" t="s">
        <v>32</v>
      </c>
      <c r="F270" s="15">
        <v>63.54</v>
      </c>
      <c r="G270" s="15">
        <v>69</v>
      </c>
      <c r="H270" s="16">
        <v>8.5900000000000004E-2</v>
      </c>
      <c r="I270" s="17">
        <v>427.99</v>
      </c>
      <c r="J270" s="17">
        <v>406.46</v>
      </c>
      <c r="K270" s="17">
        <f t="shared" si="19"/>
        <v>28045.739999999998</v>
      </c>
      <c r="L270" s="15">
        <f t="shared" si="20"/>
        <v>0</v>
      </c>
      <c r="M270" s="16">
        <v>-5.0299999999999997E-2</v>
      </c>
      <c r="N270" s="16">
        <v>0.91</v>
      </c>
      <c r="O270" s="18">
        <v>0</v>
      </c>
      <c r="P270" s="18">
        <f t="shared" si="21"/>
        <v>62.79</v>
      </c>
      <c r="Q270" s="16">
        <v>0.91969999999999996</v>
      </c>
      <c r="R270" s="16">
        <v>0</v>
      </c>
      <c r="S270" s="15">
        <v>11.16</v>
      </c>
      <c r="T270" s="15"/>
      <c r="U270" s="15"/>
      <c r="V270" s="15">
        <v>57.73</v>
      </c>
      <c r="W270" s="15">
        <v>61.7</v>
      </c>
      <c r="X270" s="15">
        <v>93</v>
      </c>
      <c r="Y270" s="15"/>
    </row>
    <row r="271" spans="2:25" x14ac:dyDescent="0.35">
      <c r="B271" s="13">
        <v>46228</v>
      </c>
      <c r="C271" s="13" t="str">
        <f t="shared" si="18"/>
        <v>Sat</v>
      </c>
      <c r="D271" s="14">
        <v>0.60416666666666663</v>
      </c>
      <c r="E271" s="14" t="s">
        <v>32</v>
      </c>
      <c r="F271" s="15">
        <v>58.73</v>
      </c>
      <c r="G271" s="15">
        <v>65</v>
      </c>
      <c r="H271" s="16">
        <v>0.10680000000000001</v>
      </c>
      <c r="I271" s="17">
        <v>433</v>
      </c>
      <c r="J271" s="17">
        <v>430.41</v>
      </c>
      <c r="K271" s="17">
        <f t="shared" si="19"/>
        <v>27976.65</v>
      </c>
      <c r="L271" s="15">
        <f t="shared" si="20"/>
        <v>0</v>
      </c>
      <c r="M271" s="16">
        <v>-6.0000000000000001E-3</v>
      </c>
      <c r="N271" s="16">
        <v>0.93</v>
      </c>
      <c r="O271" s="18">
        <v>0</v>
      </c>
      <c r="P271" s="18">
        <f t="shared" si="21"/>
        <v>60.45</v>
      </c>
      <c r="Q271" s="16">
        <v>0.92630000000000001</v>
      </c>
      <c r="R271" s="16">
        <v>1.54E-2</v>
      </c>
      <c r="S271" s="15">
        <v>9.14</v>
      </c>
      <c r="T271" s="15"/>
      <c r="U271" s="15"/>
      <c r="V271" s="15">
        <v>55.17</v>
      </c>
      <c r="W271" s="15">
        <v>48.87</v>
      </c>
      <c r="X271" s="15">
        <v>98</v>
      </c>
      <c r="Y271" s="15"/>
    </row>
    <row r="272" spans="2:25" x14ac:dyDescent="0.35">
      <c r="B272" s="13">
        <v>46228</v>
      </c>
      <c r="C272" s="13" t="str">
        <f t="shared" si="18"/>
        <v>Sat</v>
      </c>
      <c r="D272" s="14">
        <v>0.61458333333333337</v>
      </c>
      <c r="E272" s="14" t="s">
        <v>32</v>
      </c>
      <c r="F272" s="15">
        <v>55.83</v>
      </c>
      <c r="G272" s="15">
        <v>54</v>
      </c>
      <c r="H272" s="16">
        <v>-3.2800000000000003E-2</v>
      </c>
      <c r="I272" s="17">
        <v>431.95</v>
      </c>
      <c r="J272" s="17">
        <v>472.26</v>
      </c>
      <c r="K272" s="17">
        <f t="shared" si="19"/>
        <v>25502.04</v>
      </c>
      <c r="L272" s="15">
        <f t="shared" si="20"/>
        <v>1</v>
      </c>
      <c r="M272" s="16">
        <v>9.3299999999999994E-2</v>
      </c>
      <c r="N272" s="16">
        <v>0.92</v>
      </c>
      <c r="O272" s="18">
        <v>0</v>
      </c>
      <c r="P272" s="18">
        <f t="shared" si="21"/>
        <v>49.68</v>
      </c>
      <c r="Q272" s="16">
        <v>0.92079999999999995</v>
      </c>
      <c r="R272" s="16">
        <v>0</v>
      </c>
      <c r="S272" s="15">
        <v>12.52</v>
      </c>
      <c r="T272" s="15"/>
      <c r="U272" s="15"/>
      <c r="V272" s="15">
        <v>53.45</v>
      </c>
      <c r="W272" s="15">
        <v>50.4</v>
      </c>
      <c r="X272" s="15">
        <v>97</v>
      </c>
      <c r="Y272" s="15"/>
    </row>
    <row r="273" spans="2:25" x14ac:dyDescent="0.35">
      <c r="B273" s="13">
        <v>46228</v>
      </c>
      <c r="C273" s="13" t="str">
        <f t="shared" si="18"/>
        <v>Sat</v>
      </c>
      <c r="D273" s="14">
        <v>0.625</v>
      </c>
      <c r="E273" s="14" t="s">
        <v>33</v>
      </c>
      <c r="F273" s="15">
        <v>54.12</v>
      </c>
      <c r="G273" s="15">
        <v>57</v>
      </c>
      <c r="H273" s="16">
        <v>5.3199999999999997E-2</v>
      </c>
      <c r="I273" s="17">
        <v>430.62</v>
      </c>
      <c r="J273" s="17">
        <v>408.14</v>
      </c>
      <c r="K273" s="17">
        <f t="shared" si="19"/>
        <v>23263.98</v>
      </c>
      <c r="L273" s="15">
        <f t="shared" si="20"/>
        <v>0</v>
      </c>
      <c r="M273" s="16">
        <v>-5.2200000000000003E-2</v>
      </c>
      <c r="N273" s="16">
        <v>0.96</v>
      </c>
      <c r="O273" s="18">
        <v>0</v>
      </c>
      <c r="P273" s="18">
        <f t="shared" si="21"/>
        <v>54.72</v>
      </c>
      <c r="Q273" s="16">
        <v>0.92649999999999999</v>
      </c>
      <c r="R273" s="16">
        <v>0</v>
      </c>
      <c r="S273" s="15">
        <v>12.49</v>
      </c>
      <c r="T273" s="15"/>
      <c r="U273" s="15"/>
      <c r="V273" s="15">
        <v>52.29</v>
      </c>
      <c r="W273" s="15">
        <v>47.38</v>
      </c>
      <c r="X273" s="15">
        <v>97</v>
      </c>
      <c r="Y273" s="15"/>
    </row>
    <row r="274" spans="2:25" x14ac:dyDescent="0.35">
      <c r="B274" s="13">
        <v>46228</v>
      </c>
      <c r="C274" s="13" t="str">
        <f t="shared" si="18"/>
        <v>Sat</v>
      </c>
      <c r="D274" s="14">
        <v>0.63541666666666663</v>
      </c>
      <c r="E274" s="14" t="s">
        <v>33</v>
      </c>
      <c r="F274" s="15">
        <v>49.95</v>
      </c>
      <c r="G274" s="15">
        <v>41</v>
      </c>
      <c r="H274" s="16">
        <v>-0.1792</v>
      </c>
      <c r="I274" s="17">
        <v>431.55</v>
      </c>
      <c r="J274" s="17">
        <v>545.78</v>
      </c>
      <c r="K274" s="17">
        <f t="shared" si="19"/>
        <v>22376.98</v>
      </c>
      <c r="L274" s="15">
        <f t="shared" si="20"/>
        <v>1</v>
      </c>
      <c r="M274" s="16">
        <v>0.26469999999999999</v>
      </c>
      <c r="N274" s="16">
        <v>0.95</v>
      </c>
      <c r="O274" s="18">
        <v>0</v>
      </c>
      <c r="P274" s="18">
        <f t="shared" si="21"/>
        <v>38.949999999999996</v>
      </c>
      <c r="Q274" s="16">
        <v>0.93359999999999999</v>
      </c>
      <c r="R274" s="16">
        <v>0</v>
      </c>
      <c r="S274" s="15">
        <v>12.29</v>
      </c>
      <c r="T274" s="15"/>
      <c r="U274" s="15"/>
      <c r="V274" s="15">
        <v>49.61</v>
      </c>
      <c r="W274" s="15">
        <v>43.66</v>
      </c>
      <c r="X274" s="15">
        <v>97</v>
      </c>
      <c r="Y274" s="15"/>
    </row>
    <row r="275" spans="2:25" x14ac:dyDescent="0.35">
      <c r="B275" s="13">
        <v>46228</v>
      </c>
      <c r="C275" s="13" t="str">
        <f t="shared" si="18"/>
        <v>Sat</v>
      </c>
      <c r="D275" s="14">
        <v>0.64583333333333337</v>
      </c>
      <c r="E275" s="14" t="s">
        <v>33</v>
      </c>
      <c r="F275" s="15">
        <v>44.35</v>
      </c>
      <c r="G275" s="15">
        <v>54</v>
      </c>
      <c r="H275" s="16">
        <v>0.2175</v>
      </c>
      <c r="I275" s="17">
        <v>427.09</v>
      </c>
      <c r="J275" s="17">
        <v>424.21</v>
      </c>
      <c r="K275" s="17">
        <f t="shared" si="19"/>
        <v>22907.34</v>
      </c>
      <c r="L275" s="15">
        <f t="shared" si="20"/>
        <v>0</v>
      </c>
      <c r="M275" s="16">
        <v>-6.7000000000000002E-3</v>
      </c>
      <c r="N275" s="16">
        <v>0.94</v>
      </c>
      <c r="O275" s="18">
        <v>0</v>
      </c>
      <c r="P275" s="18">
        <f t="shared" si="21"/>
        <v>50.76</v>
      </c>
      <c r="Q275" s="16">
        <v>0.92669999999999997</v>
      </c>
      <c r="R275" s="16">
        <v>1.8499999999999999E-2</v>
      </c>
      <c r="S275" s="15">
        <v>12.6</v>
      </c>
      <c r="T275" s="15"/>
      <c r="U275" s="15"/>
      <c r="V275" s="15">
        <v>44.93</v>
      </c>
      <c r="W275" s="15">
        <v>50.12</v>
      </c>
      <c r="X275" s="15">
        <v>105</v>
      </c>
      <c r="Y275" s="15"/>
    </row>
    <row r="276" spans="2:25" x14ac:dyDescent="0.35">
      <c r="B276" s="13">
        <v>46228</v>
      </c>
      <c r="C276" s="13" t="str">
        <f t="shared" si="18"/>
        <v>Sat</v>
      </c>
      <c r="D276" s="14">
        <v>0.65625</v>
      </c>
      <c r="E276" s="14" t="s">
        <v>33</v>
      </c>
      <c r="F276" s="15">
        <v>39.39</v>
      </c>
      <c r="G276" s="15">
        <v>38</v>
      </c>
      <c r="H276" s="16">
        <v>-3.5200000000000002E-2</v>
      </c>
      <c r="I276" s="17">
        <v>424.64</v>
      </c>
      <c r="J276" s="17">
        <v>417.45</v>
      </c>
      <c r="K276" s="17">
        <f t="shared" si="19"/>
        <v>15863.1</v>
      </c>
      <c r="L276" s="15">
        <f t="shared" si="20"/>
        <v>0</v>
      </c>
      <c r="M276" s="16">
        <v>-1.6899999999999998E-2</v>
      </c>
      <c r="N276" s="16">
        <v>0.94</v>
      </c>
      <c r="O276" s="18">
        <v>0</v>
      </c>
      <c r="P276" s="18">
        <f t="shared" si="21"/>
        <v>35.72</v>
      </c>
      <c r="Q276" s="16">
        <v>0.92200000000000004</v>
      </c>
      <c r="R276" s="16">
        <v>0</v>
      </c>
      <c r="S276" s="15">
        <v>9.08</v>
      </c>
      <c r="T276" s="15"/>
      <c r="U276" s="15"/>
      <c r="V276" s="15">
        <v>41.2</v>
      </c>
      <c r="W276" s="15">
        <v>31.32</v>
      </c>
      <c r="X276" s="15">
        <v>116</v>
      </c>
      <c r="Y276" s="15"/>
    </row>
    <row r="277" spans="2:25" x14ac:dyDescent="0.35">
      <c r="B277" s="13">
        <v>46228</v>
      </c>
      <c r="C277" s="13" t="str">
        <f t="shared" si="18"/>
        <v>Sat</v>
      </c>
      <c r="D277" s="14">
        <v>0.66666666666666663</v>
      </c>
      <c r="E277" s="14" t="s">
        <v>33</v>
      </c>
      <c r="F277" s="15">
        <v>35.82</v>
      </c>
      <c r="G277" s="15">
        <v>33</v>
      </c>
      <c r="H277" s="16">
        <v>-7.8700000000000006E-2</v>
      </c>
      <c r="I277" s="17">
        <v>418.84</v>
      </c>
      <c r="J277" s="17">
        <v>436.15</v>
      </c>
      <c r="K277" s="17">
        <f t="shared" si="19"/>
        <v>14392.949999999999</v>
      </c>
      <c r="L277" s="15">
        <f t="shared" si="20"/>
        <v>1</v>
      </c>
      <c r="M277" s="16">
        <v>4.1300000000000003E-2</v>
      </c>
      <c r="N277" s="16">
        <v>0.96</v>
      </c>
      <c r="O277" s="18">
        <v>0</v>
      </c>
      <c r="P277" s="18">
        <f t="shared" si="21"/>
        <v>31.68</v>
      </c>
      <c r="Q277" s="16">
        <v>0.92779999999999996</v>
      </c>
      <c r="R277" s="16">
        <v>0</v>
      </c>
      <c r="S277" s="15">
        <v>11.91</v>
      </c>
      <c r="T277" s="15"/>
      <c r="U277" s="15"/>
      <c r="V277" s="15">
        <v>38.01</v>
      </c>
      <c r="W277" s="15">
        <v>30.33</v>
      </c>
      <c r="X277" s="15">
        <v>115</v>
      </c>
      <c r="Y277" s="15"/>
    </row>
    <row r="278" spans="2:25" x14ac:dyDescent="0.35">
      <c r="B278" s="13">
        <v>46228</v>
      </c>
      <c r="C278" s="13" t="str">
        <f t="shared" si="18"/>
        <v>Sat</v>
      </c>
      <c r="D278" s="14">
        <v>0.67708333333333337</v>
      </c>
      <c r="E278" s="14" t="s">
        <v>33</v>
      </c>
      <c r="F278" s="15">
        <v>34.380000000000003</v>
      </c>
      <c r="G278" s="15">
        <v>28</v>
      </c>
      <c r="H278" s="16">
        <v>-0.1855</v>
      </c>
      <c r="I278" s="17">
        <v>419.66</v>
      </c>
      <c r="J278" s="17">
        <v>408.57</v>
      </c>
      <c r="K278" s="17">
        <f t="shared" si="19"/>
        <v>11439.96</v>
      </c>
      <c r="L278" s="15">
        <f t="shared" si="20"/>
        <v>0</v>
      </c>
      <c r="M278" s="16">
        <v>-2.64E-2</v>
      </c>
      <c r="N278" s="16">
        <v>0.85</v>
      </c>
      <c r="O278" s="18">
        <v>0</v>
      </c>
      <c r="P278" s="18">
        <f t="shared" si="21"/>
        <v>23.8</v>
      </c>
      <c r="Q278" s="16">
        <v>0.93179999999999996</v>
      </c>
      <c r="R278" s="16">
        <v>0</v>
      </c>
      <c r="S278" s="15">
        <v>13.21</v>
      </c>
      <c r="T278" s="15"/>
      <c r="U278" s="15"/>
      <c r="V278" s="15">
        <v>37.130000000000003</v>
      </c>
      <c r="W278" s="15">
        <v>22.52</v>
      </c>
      <c r="X278" s="15">
        <v>115</v>
      </c>
      <c r="Y278" s="15"/>
    </row>
    <row r="279" spans="2:25" x14ac:dyDescent="0.35">
      <c r="B279" s="13">
        <v>46228</v>
      </c>
      <c r="C279" s="13" t="str">
        <f t="shared" si="18"/>
        <v>Sat</v>
      </c>
      <c r="D279" s="14">
        <v>0.6875</v>
      </c>
      <c r="E279" s="14" t="s">
        <v>33</v>
      </c>
      <c r="F279" s="15">
        <v>0.47</v>
      </c>
      <c r="G279" s="15"/>
      <c r="H279" s="16">
        <v>0</v>
      </c>
      <c r="I279" s="17">
        <v>80.7</v>
      </c>
      <c r="J279" s="17"/>
      <c r="K279" s="17">
        <f t="shared" si="19"/>
        <v>0</v>
      </c>
      <c r="L279" s="15">
        <f t="shared" si="20"/>
        <v>0</v>
      </c>
      <c r="M279" s="16">
        <v>0</v>
      </c>
      <c r="N279" s="15"/>
      <c r="O279" s="18">
        <v>0</v>
      </c>
      <c r="P279" s="18">
        <f t="shared" si="21"/>
        <v>0</v>
      </c>
      <c r="Q279" s="16">
        <v>0</v>
      </c>
      <c r="R279" s="15"/>
      <c r="S279" s="15"/>
      <c r="T279" s="15"/>
      <c r="U279" s="15"/>
      <c r="V279" s="15">
        <v>0.09</v>
      </c>
      <c r="W279" s="15">
        <v>0</v>
      </c>
      <c r="X279" s="15">
        <v>0</v>
      </c>
      <c r="Y279" s="15"/>
    </row>
    <row r="280" spans="2:25" x14ac:dyDescent="0.35">
      <c r="B280" s="13">
        <v>46228</v>
      </c>
      <c r="C280" s="13" t="str">
        <f t="shared" si="18"/>
        <v>Sat</v>
      </c>
      <c r="D280" s="14">
        <v>0.69791666666666663</v>
      </c>
      <c r="E280" s="14" t="s">
        <v>33</v>
      </c>
      <c r="F280" s="15">
        <v>0</v>
      </c>
      <c r="G280" s="15"/>
      <c r="H280" s="16">
        <v>0</v>
      </c>
      <c r="I280" s="17">
        <v>0</v>
      </c>
      <c r="J280" s="17"/>
      <c r="K280" s="17">
        <f t="shared" si="19"/>
        <v>0</v>
      </c>
      <c r="L280" s="15">
        <f t="shared" si="20"/>
        <v>0</v>
      </c>
      <c r="M280" s="16">
        <v>0</v>
      </c>
      <c r="N280" s="15"/>
      <c r="O280" s="18">
        <v>0</v>
      </c>
      <c r="P280" s="18">
        <f t="shared" si="21"/>
        <v>0</v>
      </c>
      <c r="Q280" s="16">
        <v>0</v>
      </c>
      <c r="R280" s="15"/>
      <c r="S280" s="15"/>
      <c r="T280" s="15"/>
      <c r="U280" s="15"/>
      <c r="V280" s="15">
        <v>0</v>
      </c>
      <c r="W280" s="15">
        <v>0</v>
      </c>
      <c r="X280" s="15">
        <v>0</v>
      </c>
      <c r="Y280" s="15"/>
    </row>
    <row r="281" spans="2:25" x14ac:dyDescent="0.35">
      <c r="B281" s="13">
        <v>46229</v>
      </c>
      <c r="C281" s="13" t="str">
        <f t="shared" si="18"/>
        <v>Sun</v>
      </c>
      <c r="D281" s="14">
        <v>0.33333333333333331</v>
      </c>
      <c r="E281" s="14" t="s">
        <v>31</v>
      </c>
      <c r="F281" s="15">
        <v>5.47</v>
      </c>
      <c r="G281" s="15">
        <v>2</v>
      </c>
      <c r="H281" s="16">
        <v>-0.63449999999999995</v>
      </c>
      <c r="I281" s="17">
        <v>427.74</v>
      </c>
      <c r="J281" s="17">
        <v>501</v>
      </c>
      <c r="K281" s="17">
        <f t="shared" si="19"/>
        <v>1002</v>
      </c>
      <c r="L281" s="15">
        <f t="shared" si="20"/>
        <v>1</v>
      </c>
      <c r="M281" s="16">
        <v>0.17130000000000001</v>
      </c>
      <c r="N281" s="16">
        <v>1</v>
      </c>
      <c r="O281" s="18">
        <v>0</v>
      </c>
      <c r="P281" s="18">
        <f t="shared" si="21"/>
        <v>2</v>
      </c>
      <c r="Q281" s="16">
        <v>0.4123</v>
      </c>
      <c r="R281" s="16">
        <v>0</v>
      </c>
      <c r="S281" s="15">
        <v>9.5</v>
      </c>
      <c r="T281" s="15"/>
      <c r="U281" s="15"/>
      <c r="V281" s="15">
        <v>9.5399999999999991</v>
      </c>
      <c r="W281" s="15">
        <v>2.08</v>
      </c>
      <c r="X281" s="15">
        <v>33</v>
      </c>
      <c r="Y281" s="15"/>
    </row>
    <row r="282" spans="2:25" x14ac:dyDescent="0.35">
      <c r="B282" s="13">
        <v>46229</v>
      </c>
      <c r="C282" s="13" t="str">
        <f t="shared" si="18"/>
        <v>Sun</v>
      </c>
      <c r="D282" s="14">
        <v>0.34375</v>
      </c>
      <c r="E282" s="14" t="s">
        <v>31</v>
      </c>
      <c r="F282" s="15">
        <v>5.57</v>
      </c>
      <c r="G282" s="15">
        <v>2</v>
      </c>
      <c r="H282" s="16">
        <v>-0.64100000000000001</v>
      </c>
      <c r="I282" s="17">
        <v>423.51</v>
      </c>
      <c r="J282" s="17">
        <v>458.5</v>
      </c>
      <c r="K282" s="17">
        <f t="shared" si="19"/>
        <v>917</v>
      </c>
      <c r="L282" s="15">
        <f t="shared" si="20"/>
        <v>1</v>
      </c>
      <c r="M282" s="16">
        <v>8.2600000000000007E-2</v>
      </c>
      <c r="N282" s="16">
        <v>1</v>
      </c>
      <c r="O282" s="18">
        <v>0</v>
      </c>
      <c r="P282" s="18">
        <f t="shared" si="21"/>
        <v>2</v>
      </c>
      <c r="Q282" s="16">
        <v>0.41149999999999998</v>
      </c>
      <c r="R282" s="16">
        <v>0</v>
      </c>
      <c r="S282" s="15">
        <v>8</v>
      </c>
      <c r="T282" s="15"/>
      <c r="U282" s="15"/>
      <c r="V282" s="15">
        <v>9.49</v>
      </c>
      <c r="W282" s="15">
        <v>2.04</v>
      </c>
      <c r="X282" s="15">
        <v>33.130000000000003</v>
      </c>
      <c r="Y282" s="15"/>
    </row>
    <row r="283" spans="2:25" x14ac:dyDescent="0.35">
      <c r="B283" s="13">
        <v>46229</v>
      </c>
      <c r="C283" s="13" t="str">
        <f t="shared" si="18"/>
        <v>Sun</v>
      </c>
      <c r="D283" s="14">
        <v>0.35416666666666669</v>
      </c>
      <c r="E283" s="14" t="s">
        <v>31</v>
      </c>
      <c r="F283" s="15">
        <v>5.9</v>
      </c>
      <c r="G283" s="15">
        <v>1</v>
      </c>
      <c r="H283" s="16">
        <v>-0.83040000000000003</v>
      </c>
      <c r="I283" s="17">
        <v>422.66</v>
      </c>
      <c r="J283" s="17">
        <v>271</v>
      </c>
      <c r="K283" s="17">
        <f t="shared" si="19"/>
        <v>271</v>
      </c>
      <c r="L283" s="15">
        <f t="shared" si="20"/>
        <v>0</v>
      </c>
      <c r="M283" s="16">
        <v>-0.35880000000000001</v>
      </c>
      <c r="N283" s="16">
        <v>1</v>
      </c>
      <c r="O283" s="18">
        <v>0</v>
      </c>
      <c r="P283" s="18">
        <f t="shared" si="21"/>
        <v>1</v>
      </c>
      <c r="Q283" s="16">
        <v>0.42780000000000001</v>
      </c>
      <c r="R283" s="16">
        <v>0</v>
      </c>
      <c r="S283" s="15">
        <v>14</v>
      </c>
      <c r="T283" s="15"/>
      <c r="U283" s="15"/>
      <c r="V283" s="15">
        <v>9.6199999999999992</v>
      </c>
      <c r="W283" s="15">
        <v>0.6</v>
      </c>
      <c r="X283" s="15">
        <v>34</v>
      </c>
      <c r="Y283" s="15"/>
    </row>
    <row r="284" spans="2:25" x14ac:dyDescent="0.35">
      <c r="B284" s="13">
        <v>46229</v>
      </c>
      <c r="C284" s="13" t="str">
        <f t="shared" si="18"/>
        <v>Sun</v>
      </c>
      <c r="D284" s="14">
        <v>0.36458333333333331</v>
      </c>
      <c r="E284" s="14" t="s">
        <v>31</v>
      </c>
      <c r="F284" s="15">
        <v>7.25</v>
      </c>
      <c r="G284" s="15">
        <v>4</v>
      </c>
      <c r="H284" s="16">
        <v>-0.44819999999999999</v>
      </c>
      <c r="I284" s="17">
        <v>407.78</v>
      </c>
      <c r="J284" s="17">
        <v>312.25</v>
      </c>
      <c r="K284" s="17">
        <f t="shared" si="19"/>
        <v>1249</v>
      </c>
      <c r="L284" s="15">
        <f t="shared" si="20"/>
        <v>0</v>
      </c>
      <c r="M284" s="16">
        <v>-0.23430000000000001</v>
      </c>
      <c r="N284" s="16">
        <v>1</v>
      </c>
      <c r="O284" s="18">
        <v>0</v>
      </c>
      <c r="P284" s="18">
        <f t="shared" si="21"/>
        <v>4</v>
      </c>
      <c r="Q284" s="16">
        <v>0.5212</v>
      </c>
      <c r="R284" s="16">
        <v>0</v>
      </c>
      <c r="S284" s="15">
        <v>12</v>
      </c>
      <c r="T284" s="15"/>
      <c r="U284" s="15"/>
      <c r="V284" s="15">
        <v>10.7</v>
      </c>
      <c r="W284" s="15">
        <v>2.86</v>
      </c>
      <c r="X284" s="15">
        <v>32.47</v>
      </c>
      <c r="Y284" s="15"/>
    </row>
    <row r="285" spans="2:25" x14ac:dyDescent="0.35">
      <c r="B285" s="13">
        <v>46229</v>
      </c>
      <c r="C285" s="13" t="str">
        <f t="shared" si="18"/>
        <v>Sun</v>
      </c>
      <c r="D285" s="14">
        <v>0.375</v>
      </c>
      <c r="E285" s="14" t="s">
        <v>31</v>
      </c>
      <c r="F285" s="15">
        <v>18.29</v>
      </c>
      <c r="G285" s="15">
        <v>14</v>
      </c>
      <c r="H285" s="16">
        <v>-0.2344</v>
      </c>
      <c r="I285" s="17">
        <v>386.55</v>
      </c>
      <c r="J285" s="17">
        <v>427</v>
      </c>
      <c r="K285" s="17">
        <f t="shared" si="19"/>
        <v>5978</v>
      </c>
      <c r="L285" s="15">
        <f t="shared" si="20"/>
        <v>1</v>
      </c>
      <c r="M285" s="16">
        <v>0.1046</v>
      </c>
      <c r="N285" s="16">
        <v>1</v>
      </c>
      <c r="O285" s="18">
        <v>0</v>
      </c>
      <c r="P285" s="18">
        <f t="shared" si="21"/>
        <v>14</v>
      </c>
      <c r="Q285" s="16">
        <v>0.72489999999999999</v>
      </c>
      <c r="R285" s="16">
        <v>0</v>
      </c>
      <c r="S285" s="15">
        <v>7.36</v>
      </c>
      <c r="T285" s="15"/>
      <c r="U285" s="15"/>
      <c r="V285" s="15">
        <v>27.01</v>
      </c>
      <c r="W285" s="15">
        <v>17.11</v>
      </c>
      <c r="X285" s="15">
        <v>44</v>
      </c>
      <c r="Y285" s="15"/>
    </row>
    <row r="286" spans="2:25" x14ac:dyDescent="0.35">
      <c r="B286" s="13">
        <v>46229</v>
      </c>
      <c r="C286" s="13" t="str">
        <f t="shared" si="18"/>
        <v>Sun</v>
      </c>
      <c r="D286" s="14">
        <v>0.38541666666666669</v>
      </c>
      <c r="E286" s="14" t="s">
        <v>31</v>
      </c>
      <c r="F286" s="15">
        <v>20.73</v>
      </c>
      <c r="G286" s="15">
        <v>21</v>
      </c>
      <c r="H286" s="16">
        <v>1.3100000000000001E-2</v>
      </c>
      <c r="I286" s="17">
        <v>392.63</v>
      </c>
      <c r="J286" s="17">
        <v>423.19</v>
      </c>
      <c r="K286" s="17">
        <f t="shared" si="19"/>
        <v>8886.99</v>
      </c>
      <c r="L286" s="15">
        <f t="shared" si="20"/>
        <v>1</v>
      </c>
      <c r="M286" s="16">
        <v>7.7799999999999994E-2</v>
      </c>
      <c r="N286" s="16">
        <v>0.95</v>
      </c>
      <c r="O286" s="18">
        <v>0</v>
      </c>
      <c r="P286" s="18">
        <f t="shared" si="21"/>
        <v>19.95</v>
      </c>
      <c r="Q286" s="16">
        <v>0.75309999999999999</v>
      </c>
      <c r="R286" s="16">
        <v>0</v>
      </c>
      <c r="S286" s="15">
        <v>11.05</v>
      </c>
      <c r="T286" s="15"/>
      <c r="U286" s="15"/>
      <c r="V286" s="15">
        <v>29.65</v>
      </c>
      <c r="W286" s="15">
        <v>23.61</v>
      </c>
      <c r="X286" s="15">
        <v>42</v>
      </c>
      <c r="Y286" s="15"/>
    </row>
    <row r="287" spans="2:25" x14ac:dyDescent="0.35">
      <c r="B287" s="13">
        <v>46229</v>
      </c>
      <c r="C287" s="13" t="str">
        <f t="shared" si="18"/>
        <v>Sun</v>
      </c>
      <c r="D287" s="14">
        <v>0.39583333333333331</v>
      </c>
      <c r="E287" s="14" t="s">
        <v>31</v>
      </c>
      <c r="F287" s="15">
        <v>22.87</v>
      </c>
      <c r="G287" s="15">
        <v>18</v>
      </c>
      <c r="H287" s="16">
        <v>-0.21310000000000001</v>
      </c>
      <c r="I287" s="17">
        <v>388.04</v>
      </c>
      <c r="J287" s="17">
        <v>296.94</v>
      </c>
      <c r="K287" s="17">
        <f t="shared" si="19"/>
        <v>5344.92</v>
      </c>
      <c r="L287" s="15">
        <f t="shared" si="20"/>
        <v>0</v>
      </c>
      <c r="M287" s="16">
        <v>-0.23480000000000001</v>
      </c>
      <c r="N287" s="16">
        <v>0.88</v>
      </c>
      <c r="O287" s="18">
        <v>0</v>
      </c>
      <c r="P287" s="18">
        <f t="shared" si="21"/>
        <v>15.84</v>
      </c>
      <c r="Q287" s="16">
        <v>0.74829999999999997</v>
      </c>
      <c r="R287" s="16">
        <v>0</v>
      </c>
      <c r="S287" s="15">
        <v>10.56</v>
      </c>
      <c r="T287" s="15"/>
      <c r="U287" s="15"/>
      <c r="V287" s="15">
        <v>31.18</v>
      </c>
      <c r="W287" s="15">
        <v>19.13</v>
      </c>
      <c r="X287" s="15">
        <v>40</v>
      </c>
      <c r="Y287" s="15"/>
    </row>
    <row r="288" spans="2:25" x14ac:dyDescent="0.35">
      <c r="B288" s="13">
        <v>46229</v>
      </c>
      <c r="C288" s="13" t="str">
        <f t="shared" si="18"/>
        <v>Sun</v>
      </c>
      <c r="D288" s="14">
        <v>0.40625</v>
      </c>
      <c r="E288" s="14" t="s">
        <v>31</v>
      </c>
      <c r="F288" s="15">
        <v>22.66</v>
      </c>
      <c r="G288" s="15">
        <v>19</v>
      </c>
      <c r="H288" s="16">
        <v>-0.16159999999999999</v>
      </c>
      <c r="I288" s="17">
        <v>389.35</v>
      </c>
      <c r="J288" s="17">
        <v>426.79</v>
      </c>
      <c r="K288" s="17">
        <f t="shared" si="19"/>
        <v>8109.01</v>
      </c>
      <c r="L288" s="15">
        <f t="shared" si="20"/>
        <v>1</v>
      </c>
      <c r="M288" s="16">
        <v>9.6199999999999994E-2</v>
      </c>
      <c r="N288" s="16">
        <v>1</v>
      </c>
      <c r="O288" s="18">
        <v>0</v>
      </c>
      <c r="P288" s="18">
        <f t="shared" si="21"/>
        <v>19</v>
      </c>
      <c r="Q288" s="16">
        <v>0.75180000000000002</v>
      </c>
      <c r="R288" s="16">
        <v>0</v>
      </c>
      <c r="S288" s="15">
        <v>5.84</v>
      </c>
      <c r="T288" s="15"/>
      <c r="U288" s="15"/>
      <c r="V288" s="15">
        <v>31.16</v>
      </c>
      <c r="W288" s="15">
        <v>20.87</v>
      </c>
      <c r="X288" s="15">
        <v>40</v>
      </c>
      <c r="Y288" s="15"/>
    </row>
    <row r="289" spans="2:25" x14ac:dyDescent="0.35">
      <c r="B289" s="13">
        <v>46229</v>
      </c>
      <c r="C289" s="13" t="str">
        <f t="shared" si="18"/>
        <v>Sun</v>
      </c>
      <c r="D289" s="14">
        <v>0.41666666666666669</v>
      </c>
      <c r="E289" s="14" t="s">
        <v>31</v>
      </c>
      <c r="F289" s="15">
        <v>23.97</v>
      </c>
      <c r="G289" s="15">
        <v>18</v>
      </c>
      <c r="H289" s="16">
        <v>-0.249</v>
      </c>
      <c r="I289" s="17">
        <v>384.65</v>
      </c>
      <c r="J289" s="17">
        <v>269.56</v>
      </c>
      <c r="K289" s="17">
        <f t="shared" si="19"/>
        <v>4852.08</v>
      </c>
      <c r="L289" s="15">
        <f t="shared" si="20"/>
        <v>0</v>
      </c>
      <c r="M289" s="16">
        <v>-0.29920000000000002</v>
      </c>
      <c r="N289" s="16">
        <v>1</v>
      </c>
      <c r="O289" s="18">
        <v>0</v>
      </c>
      <c r="P289" s="18">
        <f t="shared" si="21"/>
        <v>18</v>
      </c>
      <c r="Q289" s="16">
        <v>0.74519999999999997</v>
      </c>
      <c r="R289" s="16">
        <v>0</v>
      </c>
      <c r="S289" s="15">
        <v>8.2200000000000006</v>
      </c>
      <c r="T289" s="15"/>
      <c r="U289" s="15"/>
      <c r="V289" s="15">
        <v>31.87</v>
      </c>
      <c r="W289" s="15">
        <v>17.59</v>
      </c>
      <c r="X289" s="15">
        <v>40</v>
      </c>
      <c r="Y289" s="15"/>
    </row>
    <row r="290" spans="2:25" x14ac:dyDescent="0.35">
      <c r="B290" s="13">
        <v>46229</v>
      </c>
      <c r="C290" s="13" t="str">
        <f t="shared" si="18"/>
        <v>Sun</v>
      </c>
      <c r="D290" s="14">
        <v>0.42708333333333331</v>
      </c>
      <c r="E290" s="14" t="s">
        <v>31</v>
      </c>
      <c r="F290" s="15">
        <v>24.52</v>
      </c>
      <c r="G290" s="15">
        <v>23</v>
      </c>
      <c r="H290" s="16">
        <v>-6.1800000000000001E-2</v>
      </c>
      <c r="I290" s="17">
        <v>385.44</v>
      </c>
      <c r="J290" s="17">
        <v>441.09</v>
      </c>
      <c r="K290" s="17">
        <f t="shared" si="19"/>
        <v>10145.07</v>
      </c>
      <c r="L290" s="15">
        <f t="shared" si="20"/>
        <v>1</v>
      </c>
      <c r="M290" s="16">
        <v>0.1444</v>
      </c>
      <c r="N290" s="16">
        <v>1</v>
      </c>
      <c r="O290" s="18">
        <v>0</v>
      </c>
      <c r="P290" s="18">
        <f t="shared" si="21"/>
        <v>23</v>
      </c>
      <c r="Q290" s="16">
        <v>0.73140000000000005</v>
      </c>
      <c r="R290" s="16">
        <v>0</v>
      </c>
      <c r="S290" s="15">
        <v>9.39</v>
      </c>
      <c r="T290" s="15"/>
      <c r="U290" s="15"/>
      <c r="V290" s="15">
        <v>32.26</v>
      </c>
      <c r="W290" s="15">
        <v>21.86</v>
      </c>
      <c r="X290" s="15">
        <v>42</v>
      </c>
      <c r="Y290" s="15"/>
    </row>
    <row r="291" spans="2:25" x14ac:dyDescent="0.35">
      <c r="B291" s="13">
        <v>46229</v>
      </c>
      <c r="C291" s="13" t="str">
        <f t="shared" si="18"/>
        <v>Sun</v>
      </c>
      <c r="D291" s="14">
        <v>0.4375</v>
      </c>
      <c r="E291" s="14" t="s">
        <v>31</v>
      </c>
      <c r="F291" s="15">
        <v>25.23</v>
      </c>
      <c r="G291" s="15">
        <v>26</v>
      </c>
      <c r="H291" s="16">
        <v>3.0700000000000002E-2</v>
      </c>
      <c r="I291" s="17">
        <v>377.6</v>
      </c>
      <c r="J291" s="17">
        <v>351.73</v>
      </c>
      <c r="K291" s="17">
        <f t="shared" si="19"/>
        <v>9144.98</v>
      </c>
      <c r="L291" s="15">
        <f t="shared" si="20"/>
        <v>0</v>
      </c>
      <c r="M291" s="16">
        <v>-6.8500000000000005E-2</v>
      </c>
      <c r="N291" s="16">
        <v>0.96</v>
      </c>
      <c r="O291" s="18">
        <v>0</v>
      </c>
      <c r="P291" s="18">
        <f t="shared" si="21"/>
        <v>24.96</v>
      </c>
      <c r="Q291" s="16">
        <v>0.74409999999999998</v>
      </c>
      <c r="R291" s="16">
        <v>0</v>
      </c>
      <c r="S291" s="15">
        <v>10</v>
      </c>
      <c r="T291" s="15"/>
      <c r="U291" s="15"/>
      <c r="V291" s="15">
        <v>32.380000000000003</v>
      </c>
      <c r="W291" s="15">
        <v>19.32</v>
      </c>
      <c r="X291" s="15">
        <v>45</v>
      </c>
      <c r="Y291" s="15"/>
    </row>
    <row r="292" spans="2:25" x14ac:dyDescent="0.35">
      <c r="B292" s="13">
        <v>46229</v>
      </c>
      <c r="C292" s="13" t="str">
        <f t="shared" si="18"/>
        <v>Sun</v>
      </c>
      <c r="D292" s="14">
        <v>0.44791666666666669</v>
      </c>
      <c r="E292" s="14" t="s">
        <v>31</v>
      </c>
      <c r="F292" s="15">
        <v>26.21</v>
      </c>
      <c r="G292" s="15">
        <v>33</v>
      </c>
      <c r="H292" s="16">
        <v>0.25900000000000001</v>
      </c>
      <c r="I292" s="17">
        <v>369.52</v>
      </c>
      <c r="J292" s="17">
        <v>419.61</v>
      </c>
      <c r="K292" s="17">
        <f t="shared" si="19"/>
        <v>13847.130000000001</v>
      </c>
      <c r="L292" s="15">
        <f t="shared" si="20"/>
        <v>1</v>
      </c>
      <c r="M292" s="16">
        <v>0.13550000000000001</v>
      </c>
      <c r="N292" s="16">
        <v>0.84</v>
      </c>
      <c r="O292" s="18">
        <v>0</v>
      </c>
      <c r="P292" s="18">
        <f t="shared" si="21"/>
        <v>27.72</v>
      </c>
      <c r="Q292" s="16">
        <v>0.72</v>
      </c>
      <c r="R292" s="16">
        <v>0</v>
      </c>
      <c r="S292" s="15">
        <v>18.39</v>
      </c>
      <c r="T292" s="15"/>
      <c r="U292" s="15"/>
      <c r="V292" s="15">
        <v>32.770000000000003</v>
      </c>
      <c r="W292" s="15">
        <v>28.76</v>
      </c>
      <c r="X292" s="15">
        <v>43</v>
      </c>
      <c r="Y292" s="15"/>
    </row>
    <row r="293" spans="2:25" x14ac:dyDescent="0.35">
      <c r="B293" s="13">
        <v>46229</v>
      </c>
      <c r="C293" s="13" t="str">
        <f t="shared" si="18"/>
        <v>Sun</v>
      </c>
      <c r="D293" s="14">
        <v>0.45833333333333331</v>
      </c>
      <c r="E293" s="14" t="s">
        <v>31</v>
      </c>
      <c r="F293" s="15">
        <v>26.79</v>
      </c>
      <c r="G293" s="15">
        <v>21</v>
      </c>
      <c r="H293" s="16">
        <v>-0.2162</v>
      </c>
      <c r="I293" s="17">
        <v>371.23</v>
      </c>
      <c r="J293" s="17">
        <v>451.62</v>
      </c>
      <c r="K293" s="17">
        <f t="shared" si="19"/>
        <v>9484.02</v>
      </c>
      <c r="L293" s="15">
        <f t="shared" si="20"/>
        <v>1</v>
      </c>
      <c r="M293" s="16">
        <v>0.2165</v>
      </c>
      <c r="N293" s="16">
        <v>0.85</v>
      </c>
      <c r="O293" s="18">
        <v>0</v>
      </c>
      <c r="P293" s="18">
        <f t="shared" si="21"/>
        <v>17.849999999999998</v>
      </c>
      <c r="Q293" s="16">
        <v>0.71860000000000002</v>
      </c>
      <c r="R293" s="16">
        <v>0</v>
      </c>
      <c r="S293" s="15">
        <v>15.05</v>
      </c>
      <c r="T293" s="15"/>
      <c r="U293" s="15"/>
      <c r="V293" s="15">
        <v>33.020000000000003</v>
      </c>
      <c r="W293" s="15">
        <v>22.61</v>
      </c>
      <c r="X293" s="15">
        <v>41</v>
      </c>
      <c r="Y293" s="15"/>
    </row>
    <row r="294" spans="2:25" x14ac:dyDescent="0.35">
      <c r="B294" s="13">
        <v>46229</v>
      </c>
      <c r="C294" s="13" t="str">
        <f t="shared" si="18"/>
        <v>Sun</v>
      </c>
      <c r="D294" s="14">
        <v>0.46875</v>
      </c>
      <c r="E294" s="14" t="s">
        <v>31</v>
      </c>
      <c r="F294" s="15">
        <v>26.54</v>
      </c>
      <c r="G294" s="15">
        <v>19</v>
      </c>
      <c r="H294" s="16">
        <v>-0.28399999999999997</v>
      </c>
      <c r="I294" s="17">
        <v>375.1</v>
      </c>
      <c r="J294" s="17">
        <v>354.53</v>
      </c>
      <c r="K294" s="17">
        <f t="shared" si="19"/>
        <v>6736.07</v>
      </c>
      <c r="L294" s="15">
        <f t="shared" si="20"/>
        <v>0</v>
      </c>
      <c r="M294" s="16">
        <v>-5.4800000000000001E-2</v>
      </c>
      <c r="N294" s="16">
        <v>0.84</v>
      </c>
      <c r="O294" s="18">
        <v>0</v>
      </c>
      <c r="P294" s="18">
        <f t="shared" si="21"/>
        <v>15.959999999999999</v>
      </c>
      <c r="Q294" s="16">
        <v>0.74509999999999998</v>
      </c>
      <c r="R294" s="16">
        <v>0</v>
      </c>
      <c r="S294" s="15">
        <v>18.32</v>
      </c>
      <c r="T294" s="15"/>
      <c r="U294" s="15"/>
      <c r="V294" s="15">
        <v>33.340000000000003</v>
      </c>
      <c r="W294" s="15">
        <v>21.03</v>
      </c>
      <c r="X294" s="15">
        <v>45</v>
      </c>
      <c r="Y294" s="15"/>
    </row>
    <row r="295" spans="2:25" x14ac:dyDescent="0.35">
      <c r="B295" s="13">
        <v>46229</v>
      </c>
      <c r="C295" s="13" t="str">
        <f t="shared" si="18"/>
        <v>Sun</v>
      </c>
      <c r="D295" s="14">
        <v>0.47916666666666669</v>
      </c>
      <c r="E295" s="14" t="s">
        <v>31</v>
      </c>
      <c r="F295" s="15">
        <v>26.42</v>
      </c>
      <c r="G295" s="15">
        <v>22</v>
      </c>
      <c r="H295" s="16">
        <v>-0.16719999999999999</v>
      </c>
      <c r="I295" s="17">
        <v>381.6</v>
      </c>
      <c r="J295" s="17">
        <v>405</v>
      </c>
      <c r="K295" s="17">
        <f t="shared" si="19"/>
        <v>8910</v>
      </c>
      <c r="L295" s="15">
        <f t="shared" si="20"/>
        <v>1</v>
      </c>
      <c r="M295" s="16">
        <v>6.13E-2</v>
      </c>
      <c r="N295" s="16">
        <v>0.95</v>
      </c>
      <c r="O295" s="18">
        <v>0</v>
      </c>
      <c r="P295" s="18">
        <f t="shared" si="21"/>
        <v>20.9</v>
      </c>
      <c r="Q295" s="16">
        <v>0.74250000000000005</v>
      </c>
      <c r="R295" s="16">
        <v>0</v>
      </c>
      <c r="S295" s="15">
        <v>6.59</v>
      </c>
      <c r="T295" s="15"/>
      <c r="U295" s="15"/>
      <c r="V295" s="15">
        <v>33.69</v>
      </c>
      <c r="W295" s="15">
        <v>26.67</v>
      </c>
      <c r="X295" s="15">
        <v>42</v>
      </c>
      <c r="Y295" s="15"/>
    </row>
    <row r="296" spans="2:25" x14ac:dyDescent="0.35">
      <c r="B296" s="13">
        <v>46229</v>
      </c>
      <c r="C296" s="13" t="str">
        <f t="shared" si="18"/>
        <v>Sun</v>
      </c>
      <c r="D296" s="14">
        <v>0.48958333333333331</v>
      </c>
      <c r="E296" s="14" t="s">
        <v>31</v>
      </c>
      <c r="F296" s="15">
        <v>25.73</v>
      </c>
      <c r="G296" s="15">
        <v>17</v>
      </c>
      <c r="H296" s="16">
        <v>-0.33929999999999999</v>
      </c>
      <c r="I296" s="17">
        <v>384.83</v>
      </c>
      <c r="J296" s="17">
        <v>375.82</v>
      </c>
      <c r="K296" s="17">
        <f t="shared" si="19"/>
        <v>6388.94</v>
      </c>
      <c r="L296" s="15">
        <f t="shared" si="20"/>
        <v>0</v>
      </c>
      <c r="M296" s="16">
        <v>-2.3400000000000001E-2</v>
      </c>
      <c r="N296" s="16">
        <v>1</v>
      </c>
      <c r="O296" s="18">
        <v>0</v>
      </c>
      <c r="P296" s="18">
        <f t="shared" si="21"/>
        <v>17</v>
      </c>
      <c r="Q296" s="16">
        <v>0.72089999999999999</v>
      </c>
      <c r="R296" s="16">
        <v>0</v>
      </c>
      <c r="S296" s="15">
        <v>8.06</v>
      </c>
      <c r="T296" s="15"/>
      <c r="U296" s="15"/>
      <c r="V296" s="15">
        <v>33.39</v>
      </c>
      <c r="W296" s="15">
        <v>21.45</v>
      </c>
      <c r="X296" s="15">
        <v>39</v>
      </c>
      <c r="Y296" s="15"/>
    </row>
    <row r="297" spans="2:25" x14ac:dyDescent="0.35">
      <c r="B297" s="13">
        <v>46229</v>
      </c>
      <c r="C297" s="13" t="str">
        <f t="shared" si="18"/>
        <v>Sun</v>
      </c>
      <c r="D297" s="14">
        <v>0.5</v>
      </c>
      <c r="E297" s="14" t="s">
        <v>32</v>
      </c>
      <c r="F297" s="15">
        <v>24.92</v>
      </c>
      <c r="G297" s="15">
        <v>18</v>
      </c>
      <c r="H297" s="16">
        <v>-0.2777</v>
      </c>
      <c r="I297" s="17">
        <v>387.88</v>
      </c>
      <c r="J297" s="17">
        <v>302.06</v>
      </c>
      <c r="K297" s="17">
        <f t="shared" si="19"/>
        <v>5437.08</v>
      </c>
      <c r="L297" s="15">
        <f t="shared" si="20"/>
        <v>0</v>
      </c>
      <c r="M297" s="16">
        <v>-0.2213</v>
      </c>
      <c r="N297" s="16">
        <v>1</v>
      </c>
      <c r="O297" s="18">
        <v>0</v>
      </c>
      <c r="P297" s="18">
        <f t="shared" si="21"/>
        <v>18</v>
      </c>
      <c r="Q297" s="16">
        <v>0.73140000000000005</v>
      </c>
      <c r="R297" s="16">
        <v>0</v>
      </c>
      <c r="S297" s="15">
        <v>10.44</v>
      </c>
      <c r="T297" s="15"/>
      <c r="U297" s="15"/>
      <c r="V297" s="15">
        <v>33.130000000000003</v>
      </c>
      <c r="W297" s="15">
        <v>13.36</v>
      </c>
      <c r="X297" s="15">
        <v>43</v>
      </c>
      <c r="Y297" s="15"/>
    </row>
    <row r="298" spans="2:25" x14ac:dyDescent="0.35">
      <c r="B298" s="13">
        <v>46229</v>
      </c>
      <c r="C298" s="13" t="str">
        <f t="shared" si="18"/>
        <v>Sun</v>
      </c>
      <c r="D298" s="14">
        <v>0.51041666666666663</v>
      </c>
      <c r="E298" s="14" t="s">
        <v>32</v>
      </c>
      <c r="F298" s="15">
        <v>24.26</v>
      </c>
      <c r="G298" s="15">
        <v>28</v>
      </c>
      <c r="H298" s="16">
        <v>0.1542</v>
      </c>
      <c r="I298" s="17">
        <v>399.16</v>
      </c>
      <c r="J298" s="17">
        <v>330.89</v>
      </c>
      <c r="K298" s="17">
        <f t="shared" si="19"/>
        <v>9264.92</v>
      </c>
      <c r="L298" s="15">
        <f t="shared" si="20"/>
        <v>0</v>
      </c>
      <c r="M298" s="16">
        <v>-0.17100000000000001</v>
      </c>
      <c r="N298" s="16">
        <v>0.96</v>
      </c>
      <c r="O298" s="18">
        <v>0</v>
      </c>
      <c r="P298" s="18">
        <f t="shared" si="21"/>
        <v>26.88</v>
      </c>
      <c r="Q298" s="16">
        <v>0.73919999999999997</v>
      </c>
      <c r="R298" s="16">
        <v>0</v>
      </c>
      <c r="S298" s="15">
        <v>9.89</v>
      </c>
      <c r="T298" s="15"/>
      <c r="U298" s="15"/>
      <c r="V298" s="15">
        <v>33.43</v>
      </c>
      <c r="W298" s="15">
        <v>27.5</v>
      </c>
      <c r="X298" s="15">
        <v>44</v>
      </c>
      <c r="Y298" s="15"/>
    </row>
    <row r="299" spans="2:25" x14ac:dyDescent="0.35">
      <c r="B299" s="13">
        <v>46229</v>
      </c>
      <c r="C299" s="13" t="str">
        <f t="shared" si="18"/>
        <v>Sun</v>
      </c>
      <c r="D299" s="14">
        <v>0.52083333333333337</v>
      </c>
      <c r="E299" s="14" t="s">
        <v>32</v>
      </c>
      <c r="F299" s="15">
        <v>23.91</v>
      </c>
      <c r="G299" s="15">
        <v>31</v>
      </c>
      <c r="H299" s="16">
        <v>0.29680000000000001</v>
      </c>
      <c r="I299" s="17">
        <v>398.87</v>
      </c>
      <c r="J299" s="17">
        <v>383.97</v>
      </c>
      <c r="K299" s="17">
        <f t="shared" si="19"/>
        <v>11903.070000000002</v>
      </c>
      <c r="L299" s="15">
        <f t="shared" si="20"/>
        <v>0</v>
      </c>
      <c r="M299" s="16">
        <v>-3.7400000000000003E-2</v>
      </c>
      <c r="N299" s="16">
        <v>0.96</v>
      </c>
      <c r="O299" s="18">
        <v>0</v>
      </c>
      <c r="P299" s="18">
        <f t="shared" si="21"/>
        <v>29.759999999999998</v>
      </c>
      <c r="Q299" s="16">
        <v>0.75739999999999996</v>
      </c>
      <c r="R299" s="16">
        <v>0</v>
      </c>
      <c r="S299" s="15">
        <v>15.9</v>
      </c>
      <c r="T299" s="15"/>
      <c r="U299" s="15"/>
      <c r="V299" s="15">
        <v>33.369999999999997</v>
      </c>
      <c r="W299" s="15">
        <v>30.8</v>
      </c>
      <c r="X299" s="15">
        <v>41</v>
      </c>
      <c r="Y299" s="15"/>
    </row>
    <row r="300" spans="2:25" x14ac:dyDescent="0.35">
      <c r="B300" s="13">
        <v>46229</v>
      </c>
      <c r="C300" s="13" t="str">
        <f t="shared" si="18"/>
        <v>Sun</v>
      </c>
      <c r="D300" s="14">
        <v>0.53125</v>
      </c>
      <c r="E300" s="14" t="s">
        <v>32</v>
      </c>
      <c r="F300" s="15">
        <v>23.56</v>
      </c>
      <c r="G300" s="15">
        <v>33</v>
      </c>
      <c r="H300" s="16">
        <v>0.40060000000000001</v>
      </c>
      <c r="I300" s="17">
        <v>402.29</v>
      </c>
      <c r="J300" s="17">
        <v>355.03</v>
      </c>
      <c r="K300" s="17">
        <f t="shared" si="19"/>
        <v>11715.99</v>
      </c>
      <c r="L300" s="15">
        <f t="shared" si="20"/>
        <v>0</v>
      </c>
      <c r="M300" s="16">
        <v>-0.11749999999999999</v>
      </c>
      <c r="N300" s="16">
        <v>1</v>
      </c>
      <c r="O300" s="18">
        <v>0</v>
      </c>
      <c r="P300" s="18">
        <f t="shared" si="21"/>
        <v>33</v>
      </c>
      <c r="Q300" s="16">
        <v>0.76649999999999996</v>
      </c>
      <c r="R300" s="16">
        <v>0</v>
      </c>
      <c r="S300" s="15">
        <v>10.15</v>
      </c>
      <c r="T300" s="15"/>
      <c r="U300" s="15"/>
      <c r="V300" s="15">
        <v>33.229999999999997</v>
      </c>
      <c r="W300" s="15">
        <v>29.8</v>
      </c>
      <c r="X300" s="15">
        <v>44</v>
      </c>
      <c r="Y300" s="15"/>
    </row>
    <row r="301" spans="2:25" x14ac:dyDescent="0.35">
      <c r="B301" s="13">
        <v>46229</v>
      </c>
      <c r="C301" s="13" t="str">
        <f t="shared" si="18"/>
        <v>Sun</v>
      </c>
      <c r="D301" s="14">
        <v>0.54166666666666663</v>
      </c>
      <c r="E301" s="14" t="s">
        <v>32</v>
      </c>
      <c r="F301" s="15">
        <v>23.01</v>
      </c>
      <c r="G301" s="15">
        <v>14</v>
      </c>
      <c r="H301" s="16">
        <v>-0.39169999999999999</v>
      </c>
      <c r="I301" s="17">
        <v>405.13</v>
      </c>
      <c r="J301" s="17">
        <v>532.71</v>
      </c>
      <c r="K301" s="17">
        <f t="shared" si="19"/>
        <v>7457.9400000000005</v>
      </c>
      <c r="L301" s="15">
        <f t="shared" si="20"/>
        <v>1</v>
      </c>
      <c r="M301" s="16">
        <v>0.31490000000000001</v>
      </c>
      <c r="N301" s="16">
        <v>1</v>
      </c>
      <c r="O301" s="18">
        <v>0</v>
      </c>
      <c r="P301" s="18">
        <f t="shared" si="21"/>
        <v>14</v>
      </c>
      <c r="Q301" s="16">
        <v>0.76980000000000004</v>
      </c>
      <c r="R301" s="16">
        <v>0</v>
      </c>
      <c r="S301" s="15">
        <v>9.2899999999999991</v>
      </c>
      <c r="T301" s="15"/>
      <c r="U301" s="15"/>
      <c r="V301" s="15">
        <v>30</v>
      </c>
      <c r="W301" s="15">
        <v>15.91</v>
      </c>
      <c r="X301" s="15">
        <v>43</v>
      </c>
      <c r="Y301" s="15"/>
    </row>
    <row r="302" spans="2:25" x14ac:dyDescent="0.35">
      <c r="B302" s="13">
        <v>46229</v>
      </c>
      <c r="C302" s="13" t="str">
        <f t="shared" si="18"/>
        <v>Sun</v>
      </c>
      <c r="D302" s="14">
        <v>0.55208333333333337</v>
      </c>
      <c r="E302" s="14" t="s">
        <v>32</v>
      </c>
      <c r="F302" s="15">
        <v>23.21</v>
      </c>
      <c r="G302" s="15">
        <v>17</v>
      </c>
      <c r="H302" s="16">
        <v>-0.26740000000000003</v>
      </c>
      <c r="I302" s="17">
        <v>401.59</v>
      </c>
      <c r="J302" s="17">
        <v>491.12</v>
      </c>
      <c r="K302" s="17">
        <f t="shared" si="19"/>
        <v>8349.0400000000009</v>
      </c>
      <c r="L302" s="15">
        <f t="shared" si="20"/>
        <v>1</v>
      </c>
      <c r="M302" s="16">
        <v>0.22289999999999999</v>
      </c>
      <c r="N302" s="16">
        <v>0.88</v>
      </c>
      <c r="O302" s="18">
        <v>0</v>
      </c>
      <c r="P302" s="18">
        <f t="shared" si="21"/>
        <v>14.96</v>
      </c>
      <c r="Q302" s="16">
        <v>0.76839999999999997</v>
      </c>
      <c r="R302" s="16">
        <v>0</v>
      </c>
      <c r="S302" s="15">
        <v>12.12</v>
      </c>
      <c r="T302" s="15"/>
      <c r="U302" s="15"/>
      <c r="V302" s="15">
        <v>29.74</v>
      </c>
      <c r="W302" s="15">
        <v>17.309999999999999</v>
      </c>
      <c r="X302" s="15">
        <v>45</v>
      </c>
      <c r="Y302" s="15"/>
    </row>
    <row r="303" spans="2:25" x14ac:dyDescent="0.35">
      <c r="B303" s="13">
        <v>46229</v>
      </c>
      <c r="C303" s="13" t="str">
        <f t="shared" si="18"/>
        <v>Sun</v>
      </c>
      <c r="D303" s="14">
        <v>0.5625</v>
      </c>
      <c r="E303" s="14" t="s">
        <v>32</v>
      </c>
      <c r="F303" s="15">
        <v>24.02</v>
      </c>
      <c r="G303" s="15">
        <v>15</v>
      </c>
      <c r="H303" s="16">
        <v>-0.3755</v>
      </c>
      <c r="I303" s="17">
        <v>398.89</v>
      </c>
      <c r="J303" s="17">
        <v>362.43</v>
      </c>
      <c r="K303" s="17">
        <f t="shared" si="19"/>
        <v>5436.45</v>
      </c>
      <c r="L303" s="15">
        <f t="shared" si="20"/>
        <v>0</v>
      </c>
      <c r="M303" s="16">
        <v>-9.1399999999999995E-2</v>
      </c>
      <c r="N303" s="16">
        <v>0.8</v>
      </c>
      <c r="O303" s="18">
        <v>0</v>
      </c>
      <c r="P303" s="18">
        <f t="shared" si="21"/>
        <v>12</v>
      </c>
      <c r="Q303" s="16">
        <v>0.77800000000000002</v>
      </c>
      <c r="R303" s="16">
        <v>6.6699999999999995E-2</v>
      </c>
      <c r="S303" s="15">
        <v>35.71</v>
      </c>
      <c r="T303" s="15"/>
      <c r="U303" s="15"/>
      <c r="V303" s="15">
        <v>29.76</v>
      </c>
      <c r="W303" s="15">
        <v>15.14</v>
      </c>
      <c r="X303" s="15">
        <v>46</v>
      </c>
      <c r="Y303" s="15"/>
    </row>
    <row r="304" spans="2:25" x14ac:dyDescent="0.35">
      <c r="B304" s="13">
        <v>46229</v>
      </c>
      <c r="C304" s="13" t="str">
        <f t="shared" si="18"/>
        <v>Sun</v>
      </c>
      <c r="D304" s="14">
        <v>0.57291666666666663</v>
      </c>
      <c r="E304" s="14" t="s">
        <v>32</v>
      </c>
      <c r="F304" s="15">
        <v>23.43</v>
      </c>
      <c r="G304" s="15">
        <v>22</v>
      </c>
      <c r="H304" s="16">
        <v>-6.1100000000000002E-2</v>
      </c>
      <c r="I304" s="17">
        <v>389.61</v>
      </c>
      <c r="J304" s="17">
        <v>350.82</v>
      </c>
      <c r="K304" s="17">
        <f t="shared" si="19"/>
        <v>7718.04</v>
      </c>
      <c r="L304" s="15">
        <f t="shared" si="20"/>
        <v>0</v>
      </c>
      <c r="M304" s="16">
        <v>-9.9599999999999994E-2</v>
      </c>
      <c r="N304" s="16">
        <v>1</v>
      </c>
      <c r="O304" s="18">
        <v>0</v>
      </c>
      <c r="P304" s="18">
        <f t="shared" si="21"/>
        <v>22</v>
      </c>
      <c r="Q304" s="16">
        <v>0.77270000000000005</v>
      </c>
      <c r="R304" s="16">
        <v>0</v>
      </c>
      <c r="S304" s="15">
        <v>9.32</v>
      </c>
      <c r="T304" s="15"/>
      <c r="U304" s="15"/>
      <c r="V304" s="15">
        <v>29.02</v>
      </c>
      <c r="W304" s="15">
        <v>19.57</v>
      </c>
      <c r="X304" s="15">
        <v>41</v>
      </c>
      <c r="Y304" s="15"/>
    </row>
    <row r="305" spans="2:25" x14ac:dyDescent="0.35">
      <c r="B305" s="13">
        <v>46229</v>
      </c>
      <c r="C305" s="13" t="str">
        <f t="shared" si="18"/>
        <v>Sun</v>
      </c>
      <c r="D305" s="14">
        <v>0.58333333333333337</v>
      </c>
      <c r="E305" s="14" t="s">
        <v>32</v>
      </c>
      <c r="F305" s="15">
        <v>22.78</v>
      </c>
      <c r="G305" s="15">
        <v>34</v>
      </c>
      <c r="H305" s="16">
        <v>0.49280000000000002</v>
      </c>
      <c r="I305" s="17">
        <v>395.51</v>
      </c>
      <c r="J305" s="17">
        <v>431.41</v>
      </c>
      <c r="K305" s="17">
        <f t="shared" si="19"/>
        <v>14667.94</v>
      </c>
      <c r="L305" s="15">
        <f t="shared" si="20"/>
        <v>1</v>
      </c>
      <c r="M305" s="16">
        <v>9.0800000000000006E-2</v>
      </c>
      <c r="N305" s="16">
        <v>0.85</v>
      </c>
      <c r="O305" s="18">
        <v>0</v>
      </c>
      <c r="P305" s="18">
        <f t="shared" si="21"/>
        <v>28.9</v>
      </c>
      <c r="Q305" s="16">
        <v>0.75039999999999996</v>
      </c>
      <c r="R305" s="16">
        <v>0</v>
      </c>
      <c r="S305" s="15">
        <v>16.440000000000001</v>
      </c>
      <c r="T305" s="15"/>
      <c r="U305" s="15"/>
      <c r="V305" s="15">
        <v>29.11</v>
      </c>
      <c r="W305" s="15">
        <v>35.92</v>
      </c>
      <c r="X305" s="15">
        <v>39</v>
      </c>
      <c r="Y305" s="15"/>
    </row>
    <row r="306" spans="2:25" x14ac:dyDescent="0.35">
      <c r="B306" s="13">
        <v>46229</v>
      </c>
      <c r="C306" s="13" t="str">
        <f t="shared" si="18"/>
        <v>Sun</v>
      </c>
      <c r="D306" s="14">
        <v>0.59375</v>
      </c>
      <c r="E306" s="14" t="s">
        <v>32</v>
      </c>
      <c r="F306" s="15">
        <v>21.66</v>
      </c>
      <c r="G306" s="15">
        <v>19</v>
      </c>
      <c r="H306" s="16">
        <v>-0.1227</v>
      </c>
      <c r="I306" s="17">
        <v>400.03</v>
      </c>
      <c r="J306" s="17">
        <v>379.11</v>
      </c>
      <c r="K306" s="17">
        <f t="shared" si="19"/>
        <v>7203.09</v>
      </c>
      <c r="L306" s="15">
        <f t="shared" si="20"/>
        <v>0</v>
      </c>
      <c r="M306" s="16">
        <v>-5.2299999999999999E-2</v>
      </c>
      <c r="N306" s="16">
        <v>0.89</v>
      </c>
      <c r="O306" s="18">
        <v>0</v>
      </c>
      <c r="P306" s="18">
        <f t="shared" si="21"/>
        <v>16.91</v>
      </c>
      <c r="Q306" s="16">
        <v>0.76359999999999995</v>
      </c>
      <c r="R306" s="16">
        <v>0</v>
      </c>
      <c r="S306" s="15">
        <v>14.58</v>
      </c>
      <c r="T306" s="15"/>
      <c r="U306" s="15"/>
      <c r="V306" s="15">
        <v>28.83</v>
      </c>
      <c r="W306" s="15">
        <v>17.670000000000002</v>
      </c>
      <c r="X306" s="15">
        <v>40</v>
      </c>
      <c r="Y306" s="15"/>
    </row>
    <row r="307" spans="2:25" x14ac:dyDescent="0.35">
      <c r="B307" s="13">
        <v>46229</v>
      </c>
      <c r="C307" s="13" t="str">
        <f t="shared" si="18"/>
        <v>Sun</v>
      </c>
      <c r="D307" s="14">
        <v>0.60416666666666663</v>
      </c>
      <c r="E307" s="14" t="s">
        <v>32</v>
      </c>
      <c r="F307" s="15">
        <v>21.62</v>
      </c>
      <c r="G307" s="15">
        <v>16</v>
      </c>
      <c r="H307" s="16">
        <v>-0.25990000000000002</v>
      </c>
      <c r="I307" s="17">
        <v>403.93</v>
      </c>
      <c r="J307" s="17">
        <v>401.06</v>
      </c>
      <c r="K307" s="17">
        <f t="shared" si="19"/>
        <v>6416.96</v>
      </c>
      <c r="L307" s="15">
        <f t="shared" si="20"/>
        <v>0</v>
      </c>
      <c r="M307" s="16">
        <v>-7.1000000000000004E-3</v>
      </c>
      <c r="N307" s="16">
        <v>1</v>
      </c>
      <c r="O307" s="18">
        <v>0</v>
      </c>
      <c r="P307" s="18">
        <f t="shared" si="21"/>
        <v>16</v>
      </c>
      <c r="Q307" s="16">
        <v>0.77700000000000002</v>
      </c>
      <c r="R307" s="16">
        <v>0</v>
      </c>
      <c r="S307" s="15">
        <v>10.94</v>
      </c>
      <c r="T307" s="15"/>
      <c r="U307" s="15"/>
      <c r="V307" s="15">
        <v>28.94</v>
      </c>
      <c r="W307" s="15">
        <v>16.88</v>
      </c>
      <c r="X307" s="15">
        <v>38</v>
      </c>
      <c r="Y307" s="15"/>
    </row>
    <row r="308" spans="2:25" x14ac:dyDescent="0.35">
      <c r="B308" s="13">
        <v>46229</v>
      </c>
      <c r="C308" s="13" t="str">
        <f t="shared" si="18"/>
        <v>Sun</v>
      </c>
      <c r="D308" s="14">
        <v>0.61458333333333337</v>
      </c>
      <c r="E308" s="14" t="s">
        <v>32</v>
      </c>
      <c r="F308" s="15">
        <v>19.28</v>
      </c>
      <c r="G308" s="15">
        <v>15</v>
      </c>
      <c r="H308" s="16">
        <v>-0.22209999999999999</v>
      </c>
      <c r="I308" s="17">
        <v>396.93</v>
      </c>
      <c r="J308" s="17">
        <v>271.14</v>
      </c>
      <c r="K308" s="17">
        <f t="shared" si="19"/>
        <v>4067.1</v>
      </c>
      <c r="L308" s="15">
        <f t="shared" si="20"/>
        <v>0</v>
      </c>
      <c r="M308" s="16">
        <v>-0.31690000000000002</v>
      </c>
      <c r="N308" s="16">
        <v>0.73</v>
      </c>
      <c r="O308" s="18">
        <v>1</v>
      </c>
      <c r="P308" s="18">
        <f t="shared" si="21"/>
        <v>10.95</v>
      </c>
      <c r="Q308" s="16">
        <v>0.77629999999999999</v>
      </c>
      <c r="R308" s="16">
        <v>6.6699999999999995E-2</v>
      </c>
      <c r="S308" s="15">
        <v>29.64</v>
      </c>
      <c r="T308" s="15"/>
      <c r="U308" s="15"/>
      <c r="V308" s="15">
        <v>26.84</v>
      </c>
      <c r="W308" s="15">
        <v>13.91</v>
      </c>
      <c r="X308" s="15">
        <v>43</v>
      </c>
      <c r="Y308" s="15"/>
    </row>
    <row r="309" spans="2:25" x14ac:dyDescent="0.35">
      <c r="B309" s="13">
        <v>46229</v>
      </c>
      <c r="C309" s="13" t="str">
        <f t="shared" si="18"/>
        <v>Sun</v>
      </c>
      <c r="D309" s="14">
        <v>0.625</v>
      </c>
      <c r="E309" s="14" t="s">
        <v>33</v>
      </c>
      <c r="F309" s="15">
        <v>9.4499999999999993</v>
      </c>
      <c r="G309" s="15">
        <v>6</v>
      </c>
      <c r="H309" s="16">
        <v>-0.36530000000000001</v>
      </c>
      <c r="I309" s="17">
        <v>418.6</v>
      </c>
      <c r="J309" s="17">
        <v>475.83</v>
      </c>
      <c r="K309" s="17">
        <f t="shared" si="19"/>
        <v>2854.98</v>
      </c>
      <c r="L309" s="15">
        <f t="shared" si="20"/>
        <v>1</v>
      </c>
      <c r="M309" s="16">
        <v>0.13669999999999999</v>
      </c>
      <c r="N309" s="16">
        <v>1</v>
      </c>
      <c r="O309" s="18">
        <v>0</v>
      </c>
      <c r="P309" s="18">
        <f t="shared" si="21"/>
        <v>6</v>
      </c>
      <c r="Q309" s="16">
        <v>0.63480000000000003</v>
      </c>
      <c r="R309" s="16">
        <v>0</v>
      </c>
      <c r="S309" s="15">
        <v>4.5</v>
      </c>
      <c r="T309" s="15"/>
      <c r="U309" s="15"/>
      <c r="V309" s="15">
        <v>13.03</v>
      </c>
      <c r="W309" s="15">
        <v>7.71</v>
      </c>
      <c r="X309" s="15">
        <v>29</v>
      </c>
      <c r="Y309" s="15"/>
    </row>
    <row r="310" spans="2:25" x14ac:dyDescent="0.35">
      <c r="B310" s="13">
        <v>46229</v>
      </c>
      <c r="C310" s="13" t="str">
        <f t="shared" si="18"/>
        <v>Sun</v>
      </c>
      <c r="D310" s="14">
        <v>0.63541666666666663</v>
      </c>
      <c r="E310" s="14" t="s">
        <v>33</v>
      </c>
      <c r="F310" s="15">
        <v>6.89</v>
      </c>
      <c r="G310" s="15">
        <v>5</v>
      </c>
      <c r="H310" s="16">
        <v>-0.27379999999999999</v>
      </c>
      <c r="I310" s="17">
        <v>432.11</v>
      </c>
      <c r="J310" s="17">
        <v>416.8</v>
      </c>
      <c r="K310" s="17">
        <f t="shared" si="19"/>
        <v>2084</v>
      </c>
      <c r="L310" s="15">
        <f t="shared" si="20"/>
        <v>0</v>
      </c>
      <c r="M310" s="16">
        <v>-3.5400000000000001E-2</v>
      </c>
      <c r="N310" s="16">
        <v>0.8</v>
      </c>
      <c r="O310" s="18">
        <v>0</v>
      </c>
      <c r="P310" s="18">
        <f t="shared" si="21"/>
        <v>4</v>
      </c>
      <c r="Q310" s="16">
        <v>0.51429999999999998</v>
      </c>
      <c r="R310" s="16">
        <v>0</v>
      </c>
      <c r="S310" s="15">
        <v>38.200000000000003</v>
      </c>
      <c r="T310" s="15"/>
      <c r="U310" s="15"/>
      <c r="V310" s="15">
        <v>10.82</v>
      </c>
      <c r="W310" s="15">
        <v>4.41</v>
      </c>
      <c r="X310" s="15">
        <v>29</v>
      </c>
      <c r="Y310" s="15"/>
    </row>
    <row r="311" spans="2:25" x14ac:dyDescent="0.35">
      <c r="B311" s="13">
        <v>46229</v>
      </c>
      <c r="C311" s="13" t="str">
        <f t="shared" si="18"/>
        <v>Sun</v>
      </c>
      <c r="D311" s="14">
        <v>0.64583333333333337</v>
      </c>
      <c r="E311" s="14" t="s">
        <v>33</v>
      </c>
      <c r="F311" s="15">
        <v>6.21</v>
      </c>
      <c r="G311" s="15">
        <v>4</v>
      </c>
      <c r="H311" s="16">
        <v>-0.35560000000000003</v>
      </c>
      <c r="I311" s="17">
        <v>443.26</v>
      </c>
      <c r="J311" s="17">
        <v>610.25</v>
      </c>
      <c r="K311" s="17">
        <f t="shared" si="19"/>
        <v>2441</v>
      </c>
      <c r="L311" s="15">
        <f t="shared" si="20"/>
        <v>1</v>
      </c>
      <c r="M311" s="16">
        <v>0.37669999999999998</v>
      </c>
      <c r="N311" s="16">
        <v>1</v>
      </c>
      <c r="O311" s="18">
        <v>0</v>
      </c>
      <c r="P311" s="18">
        <f t="shared" si="21"/>
        <v>4</v>
      </c>
      <c r="Q311" s="16">
        <v>0.46929999999999999</v>
      </c>
      <c r="R311" s="16">
        <v>0</v>
      </c>
      <c r="S311" s="15">
        <v>9.25</v>
      </c>
      <c r="T311" s="15"/>
      <c r="U311" s="15"/>
      <c r="V311" s="15">
        <v>10.36</v>
      </c>
      <c r="W311" s="15">
        <v>4.9400000000000004</v>
      </c>
      <c r="X311" s="15">
        <v>32</v>
      </c>
      <c r="Y311" s="15"/>
    </row>
    <row r="312" spans="2:25" x14ac:dyDescent="0.35">
      <c r="B312" s="13">
        <v>46229</v>
      </c>
      <c r="C312" s="13" t="str">
        <f t="shared" si="18"/>
        <v>Sun</v>
      </c>
      <c r="D312" s="14">
        <v>0.65625</v>
      </c>
      <c r="E312" s="14" t="s">
        <v>33</v>
      </c>
      <c r="F312" s="15">
        <v>6.19</v>
      </c>
      <c r="G312" s="15">
        <v>2</v>
      </c>
      <c r="H312" s="16">
        <v>-0.67700000000000005</v>
      </c>
      <c r="I312" s="17">
        <v>439.88</v>
      </c>
      <c r="J312" s="17">
        <v>159.5</v>
      </c>
      <c r="K312" s="17">
        <f t="shared" si="19"/>
        <v>319</v>
      </c>
      <c r="L312" s="15">
        <f t="shared" si="20"/>
        <v>0</v>
      </c>
      <c r="M312" s="16">
        <v>-0.63739999999999997</v>
      </c>
      <c r="N312" s="16">
        <v>1</v>
      </c>
      <c r="O312" s="18">
        <v>0</v>
      </c>
      <c r="P312" s="18">
        <f t="shared" si="21"/>
        <v>2</v>
      </c>
      <c r="Q312" s="16">
        <v>0.45910000000000001</v>
      </c>
      <c r="R312" s="16">
        <v>0</v>
      </c>
      <c r="S312" s="15">
        <v>10.5</v>
      </c>
      <c r="T312" s="15"/>
      <c r="U312" s="15"/>
      <c r="V312" s="15">
        <v>10.220000000000001</v>
      </c>
      <c r="W312" s="15">
        <v>2.35</v>
      </c>
      <c r="X312" s="15">
        <v>35</v>
      </c>
      <c r="Y312" s="15"/>
    </row>
    <row r="313" spans="2:25" x14ac:dyDescent="0.35">
      <c r="B313" s="13">
        <v>46229</v>
      </c>
      <c r="C313" s="13" t="str">
        <f t="shared" si="18"/>
        <v>Sun</v>
      </c>
      <c r="D313" s="14">
        <v>0.66666666666666663</v>
      </c>
      <c r="E313" s="14" t="s">
        <v>33</v>
      </c>
      <c r="F313" s="15">
        <v>5.7</v>
      </c>
      <c r="G313" s="15">
        <v>3</v>
      </c>
      <c r="H313" s="16">
        <v>-0.47370000000000001</v>
      </c>
      <c r="I313" s="17">
        <v>439.31</v>
      </c>
      <c r="J313" s="17">
        <v>205</v>
      </c>
      <c r="K313" s="17">
        <f t="shared" si="19"/>
        <v>615</v>
      </c>
      <c r="L313" s="15">
        <f t="shared" si="20"/>
        <v>0</v>
      </c>
      <c r="M313" s="16">
        <v>-0.53339999999999999</v>
      </c>
      <c r="N313" s="16">
        <v>1</v>
      </c>
      <c r="O313" s="18">
        <v>0</v>
      </c>
      <c r="P313" s="18">
        <f t="shared" si="21"/>
        <v>3</v>
      </c>
      <c r="Q313" s="16">
        <v>0.42599999999999999</v>
      </c>
      <c r="R313" s="16">
        <v>0</v>
      </c>
      <c r="S313" s="15">
        <v>4.67</v>
      </c>
      <c r="T313" s="15"/>
      <c r="U313" s="15"/>
      <c r="V313" s="15">
        <v>9.7799999999999994</v>
      </c>
      <c r="W313" s="15">
        <v>2.64</v>
      </c>
      <c r="X313" s="15">
        <v>35</v>
      </c>
      <c r="Y313" s="15"/>
    </row>
    <row r="314" spans="2:25" x14ac:dyDescent="0.35">
      <c r="B314" s="13">
        <v>46229</v>
      </c>
      <c r="C314" s="13" t="str">
        <f t="shared" si="18"/>
        <v>Sun</v>
      </c>
      <c r="D314" s="14">
        <v>0.67708333333333337</v>
      </c>
      <c r="E314" s="14" t="s">
        <v>33</v>
      </c>
      <c r="F314" s="15">
        <v>5.91</v>
      </c>
      <c r="G314" s="15">
        <v>3</v>
      </c>
      <c r="H314" s="16">
        <v>-0.49249999999999999</v>
      </c>
      <c r="I314" s="17">
        <v>431.26</v>
      </c>
      <c r="J314" s="17">
        <v>291.33</v>
      </c>
      <c r="K314" s="17">
        <f t="shared" si="19"/>
        <v>873.99</v>
      </c>
      <c r="L314" s="15">
        <f t="shared" si="20"/>
        <v>0</v>
      </c>
      <c r="M314" s="16">
        <v>-0.32450000000000001</v>
      </c>
      <c r="N314" s="16">
        <v>1</v>
      </c>
      <c r="O314" s="18">
        <v>0</v>
      </c>
      <c r="P314" s="18">
        <f t="shared" si="21"/>
        <v>3</v>
      </c>
      <c r="Q314" s="16">
        <v>0.43680000000000002</v>
      </c>
      <c r="R314" s="16">
        <v>0</v>
      </c>
      <c r="S314" s="15">
        <v>6.67</v>
      </c>
      <c r="T314" s="15"/>
      <c r="U314" s="15"/>
      <c r="V314" s="15">
        <v>9.82</v>
      </c>
      <c r="W314" s="15">
        <v>2.5299999999999998</v>
      </c>
      <c r="X314" s="15">
        <v>35</v>
      </c>
      <c r="Y314" s="15"/>
    </row>
    <row r="315" spans="2:25" x14ac:dyDescent="0.35">
      <c r="F315" s="7">
        <f>SUM(F5:F314)</f>
        <v>148898.26000000018</v>
      </c>
      <c r="G315" s="7">
        <f>SUM(G5:G314)</f>
        <v>151840</v>
      </c>
      <c r="I315" s="19" cm="1">
        <f t="array" ref="I315">SUMPRODUCT(I5:I314*F5:F314)/SUM(F5:F314)</f>
        <v>437.87544687560444</v>
      </c>
      <c r="J315" s="19" cm="1">
        <f t="array" ref="J315">SUMPRODUCT(J5:J314*G5:G314)/SUM(G5:G314)</f>
        <v>431.19432922813513</v>
      </c>
      <c r="K315" s="19"/>
      <c r="N315" s="20" cm="1">
        <f t="array" ref="N315">SUMPRODUCT(N5:N314*G5:G314)/SUM(G5:G314)</f>
        <v>0.72065430716543721</v>
      </c>
      <c r="O315" s="21">
        <f>SUM(O5:O314)</f>
        <v>120</v>
      </c>
      <c r="P315" s="21"/>
      <c r="R315" s="22" cm="1">
        <f t="array" ref="R315">SUMPRODUCT(R5:R314*G5:G314)/SUM(G5:G314)</f>
        <v>2.1651541754478389E-2</v>
      </c>
      <c r="S315" s="9" cm="1">
        <f t="array" ref="S315">SUMPRODUCT(S5:S314*G5:G314)/SUM(G5:G314)</f>
        <v>39.307262644889327</v>
      </c>
    </row>
    <row r="316" spans="2:25" x14ac:dyDescent="0.35">
      <c r="G316" s="22">
        <f>G315/F315</f>
        <v>1.0197567117305455</v>
      </c>
      <c r="O316" s="9">
        <f>310</f>
        <v>310</v>
      </c>
    </row>
    <row r="317" spans="2:25" x14ac:dyDescent="0.35">
      <c r="O317" s="22">
        <f>O315/O316</f>
        <v>0.38709677419354838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</vt:lpstr>
      <vt:lpstr>Raw Data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 Das</dc:creator>
  <cp:lastModifiedBy>Prasun Das</cp:lastModifiedBy>
  <dcterms:created xsi:type="dcterms:W3CDTF">2026-07-28T16:01:25Z</dcterms:created>
  <dcterms:modified xsi:type="dcterms:W3CDTF">2026-07-28T20:17:21Z</dcterms:modified>
</cp:coreProperties>
</file>